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90ab6d32d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3bc2ef1b6fa243bb"/>
    <x:sheet xmlns:r="http://schemas.openxmlformats.org/officeDocument/2006/relationships" name="Commercial" sheetId="2" r:id="Rd5af179da62d4e9b"/>
    <x:sheet xmlns:r="http://schemas.openxmlformats.org/officeDocument/2006/relationships" name="Functional" sheetId="3" r:id="R41ecf5229299465a"/>
    <x:sheet xmlns:r="http://schemas.openxmlformats.org/officeDocument/2006/relationships" name="Missing TL" sheetId="4" r:id="Rfdee550e6d4146e3"/>
    <x:sheet xmlns:r="http://schemas.openxmlformats.org/officeDocument/2006/relationships" name="Validation" sheetId="5" r:id="R6daa8615f6cf4acc"/>
    <x:sheet xmlns:r="http://schemas.openxmlformats.org/officeDocument/2006/relationships" name="Metadata" sheetId="6" r:id="Rfd8d83bdf3344a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5ad8b5e6040c6" /><Relationship Type="http://schemas.openxmlformats.org/officeDocument/2006/relationships/theme" Target="/xl/theme/theme1.xml" Id="Rb75fa5232cd3415d" /><Relationship Type="http://schemas.openxmlformats.org/officeDocument/2006/relationships/sharedStrings" Target="/xl/sharedStrings.xml" Id="R51ce8a22e3ab4cc1" /><Relationship Type="http://schemas.openxmlformats.org/officeDocument/2006/relationships/worksheet" Target="/xl/worksheets/sheet1.xml" Id="R3bc2ef1b6fa243bb" /><Relationship Type="http://schemas.openxmlformats.org/officeDocument/2006/relationships/worksheet" Target="/xl/worksheets/sheet2.xml" Id="Rd5af179da62d4e9b" /><Relationship Type="http://schemas.openxmlformats.org/officeDocument/2006/relationships/worksheet" Target="/xl/worksheets/sheet3.xml" Id="R41ecf5229299465a" /><Relationship Type="http://schemas.openxmlformats.org/officeDocument/2006/relationships/worksheet" Target="/xl/worksheets/sheet4.xml" Id="Rfdee550e6d4146e3" /><Relationship Type="http://schemas.openxmlformats.org/officeDocument/2006/relationships/worksheet" Target="/xl/worksheets/sheet5.xml" Id="R6daa8615f6cf4acc" /><Relationship Type="http://schemas.openxmlformats.org/officeDocument/2006/relationships/worksheet" Target="/xl/worksheets/sheet6.xml" Id="Rfd8d83bdf3344a27" /></Relationships>
</file>

<file path=xl/tables/table1.xml><?xml version="1.0" encoding="utf-8"?>
<x:table xmlns:x="http://schemas.openxmlformats.org/spreadsheetml/2006/main" id="1" name="LME018SpeciesTable" displayName="LME018SpeciesTable" ref="A1:U62" headerRowCount="1" totalsRowCount="0" totalsRowShown="0">
  <x:autoFilter ref="A1:U6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18CommercialTable" displayName="LME018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18FunctionalTable" displayName="LME018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18ValidationTable" displayName="LME01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4b26290b02a4f9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bf219ba9264d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9d0dcfa89684d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612bc0988641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LME_018</x:v>
      </x:c>
      <x:c r="B2" s="46" t="str">
        <x:v>Canadian Eastern Arctic -West Greenland</x:v>
      </x:c>
      <x:c r="C2" s="46" t="str">
        <x:v>LME</x:v>
      </x:c>
      <x:c r="D2" s="58" t="n">
        <x:v>2019</x:v>
      </x:c>
      <x:c r="E2" s="46" t="str">
        <x:v>Pandalus borealis</x:v>
      </x:c>
      <x:c r="F2" s="46" t="str">
        <x:v>Northern prawn</x:v>
      </x:c>
      <x:c r="G2" s="46" t="str">
        <x:v>Shrimps</x:v>
      </x:c>
      <x:c r="H2" s="46" t="str">
        <x:v>Crustaceans</x:v>
      </x:c>
      <x:c r="I2" s="60" t="n">
        <x:v>65284.653631250505</x:v>
      </x:c>
      <x:c r="J2" s="60" t="n">
        <x:v>59941.2460000651</x:v>
      </x:c>
      <x:c r="K2" s="60" t="n">
        <x:v>5343.4076311854005</x:v>
      </x:c>
      <x:c r="L2" s="60" t="n">
        <x:v>59941.2460000651</x:v>
      </x:c>
      <x:c r="M2" s="60" t="n">
        <x:v>5343.4076311854005</x:v>
      </x:c>
      <x:c r="N2" s="46" t="str">
        <x:v>pandalus borealis</x:v>
      </x:c>
      <x:c r="O2" s="62" t="n">
        <x:v>3.07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Pandalus borealis</x:v>
      </x:c>
      <x:c r="T2" s="62" t="n">
        <x:f>IF(O2="","",(1/'Metadata'!$B$5)^(O2-1))</x:f>
        <x:v>493.32382598718914</x:v>
      </x:c>
      <x:c r="U2" s="60" t="n">
        <x:f>IF(T2="","",I2*T2)</x:f>
        <x:v>32206475.10761694</x:v>
      </x:c>
    </x:row>
    <x:row r="3" ht="18" customHeight="1">
      <x:c r="A3" s="46" t="str">
        <x:v>LME_018</x:v>
      </x:c>
      <x:c r="B3" s="46" t="str">
        <x:v>Canadian Eastern Arctic -West Greenland</x:v>
      </x:c>
      <x:c r="C3" s="46" t="str">
        <x:v>LME</x:v>
      </x:c>
      <x:c r="D3" s="58" t="n">
        <x:v>2019</x:v>
      </x:c>
      <x:c r="E3" s="46" t="str">
        <x:v>Reinhardtius hippoglossoides</x:v>
      </x:c>
      <x:c r="F3" s="46" t="str">
        <x:v>Greenland halibut</x:v>
      </x:c>
      <x:c r="G3" s="46" t="str">
        <x:v>Small to medium flatfishes (&lt;90 cm)</x:v>
      </x:c>
      <x:c r="H3" s="46" t="str">
        <x:v>Flatfishes</x:v>
      </x:c>
      <x:c r="I3" s="60" t="n">
        <x:v>59736.381869074605</x:v>
      </x:c>
      <x:c r="J3" s="60" t="n">
        <x:v>54526.5827562403</x:v>
      </x:c>
      <x:c r="K3" s="60" t="n">
        <x:v>5209.7991128343</x:v>
      </x:c>
      <x:c r="L3" s="60" t="n">
        <x:v>53610.558403661504</x:v>
      </x:c>
      <x:c r="M3" s="60" t="n">
        <x:v>6125.823465413099</x:v>
      </x:c>
      <x:c r="N3" s="46" t="str">
        <x:v>reinhardtius hippoglossoides</x:v>
      </x:c>
      <x:c r="O3" s="62" t="n">
        <x:v>4.38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Reinhardtius hippoglossoides</x:v>
      </x:c>
      <x:c r="T3" s="62" t="n">
        <x:f>IF(O3="","",(1/'Metadata'!$B$5)^(O3-1))</x:f>
        <x:v>24973.6134538561</x:v>
      </x:c>
      <x:c r="U3" s="60" t="n">
        <x:f>IF(T3="","",I3*T3)</x:f>
        <x:v>1491833309.930207</x:v>
      </x:c>
    </x:row>
    <x:row r="4" ht="18" customHeight="1">
      <x:c r="A4" s="46" t="str">
        <x:v>LME_018</x:v>
      </x:c>
      <x:c r="B4" s="46" t="str">
        <x:v>Canadian Eastern Arctic -West Greenland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48629.0940319659</x:v>
      </x:c>
      <x:c r="J4" s="60" t="n">
        <x:v>44530.5599653195</x:v>
      </x:c>
      <x:c r="K4" s="60" t="n">
        <x:v>4098.5340666464</x:v>
      </x:c>
      <x:c r="L4" s="60" t="n">
        <x:v>44487.2535668203</x:v>
      </x:c>
      <x:c r="M4" s="60" t="n">
        <x:v>4141.8404651456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45003321.54445912</x:v>
      </x:c>
    </x:row>
    <x:row r="5" ht="18" customHeight="1">
      <x:c r="A5" s="46" t="str">
        <x:v>LME_018</x:v>
      </x:c>
      <x:c r="B5" s="46" t="str">
        <x:v>Canadian Eastern Arctic -West Greenland</x:v>
      </x:c>
      <x:c r="C5" s="46" t="str">
        <x:v>LME</x:v>
      </x:c>
      <x:c r="D5" s="58" t="n">
        <x:v>2019</x:v>
      </x:c>
      <x:c r="E5" s="46" t="str">
        <x:v>Gadus morhua</x:v>
      </x:c>
      <x:c r="F5" s="46" t="str">
        <x:v>Atlantic cod</x:v>
      </x:c>
      <x:c r="G5" s="46" t="str">
        <x:v>Large benthopelagics (&gt;=90 cm)</x:v>
      </x:c>
      <x:c r="H5" s="46" t="str">
        <x:v>Cod-likes</x:v>
      </x:c>
      <x:c r="I5" s="60" t="n">
        <x:v>32265.2051231904</x:v>
      </x:c>
      <x:c r="J5" s="60" t="n">
        <x:v>22678.974674141202</x:v>
      </x:c>
      <x:c r="K5" s="60" t="n">
        <x:v>9586.230449049199</x:v>
      </x:c>
      <x:c r="L5" s="60" t="n">
        <x:v>21444.8151243423</x:v>
      </x:c>
      <x:c r="M5" s="60" t="n">
        <x:v>10820.3899988481</x:v>
      </x:c>
      <x:c r="N5" s="46" t="str">
        <x:v>gadus morhua</x:v>
      </x:c>
      <x:c r="O5" s="62" t="n">
        <x:v>4.09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Gadus morhua</x:v>
      </x:c>
      <x:c r="T5" s="62" t="n">
        <x:f>IF(O5="","",(1/'Metadata'!$B$5)^(O5-1))</x:f>
        <x:v>10475.691168449957</x:v>
      </x:c>
      <x:c r="U5" s="60" t="n">
        <x:f>IF(T5="","",I5*T5)</x:f>
        <x:v>338000324.357232</x:v>
      </x:c>
    </x:row>
    <x:row r="6" ht="18" customHeight="1">
      <x:c r="A6" s="46" t="str">
        <x:v>LME_018</x:v>
      </x:c>
      <x:c r="B6" s="46" t="str">
        <x:v>Canadian Eastern Arctic -West Greenland</x:v>
      </x:c>
      <x:c r="C6" s="46" t="str">
        <x:v>LME</x:v>
      </x:c>
      <x:c r="D6" s="58" t="n">
        <x:v>2019</x:v>
      </x:c>
      <x:c r="E6" s="46" t="str">
        <x:v>Cyclopterus lumpus</x:v>
      </x:c>
      <x:c r="F6" s="46" t="str">
        <x:v>Lumpfish</x:v>
      </x:c>
      <x:c r="G6" s="46" t="str">
        <x:v>Medium benthopelagics (30 - 89 cm)</x:v>
      </x:c>
      <x:c r="H6" s="46" t="str">
        <x:v>Scorpionfishes</x:v>
      </x:c>
      <x:c r="I6" s="60" t="n">
        <x:v>7681.3008699946</x:v>
      </x:c>
      <x:c r="J6" s="60" t="n">
        <x:v>7121.1127262693</x:v>
      </x:c>
      <x:c r="K6" s="60" t="n">
        <x:v>560.1881437252999</x:v>
      </x:c>
      <x:c r="L6" s="60" t="n">
        <x:v>7099.1817187413</x:v>
      </x:c>
      <x:c r="M6" s="60" t="n">
        <x:v>582.1191512533</x:v>
      </x:c>
      <x:c r="N6" s="46" t="str">
        <x:v>cyclopterus lumpus</x:v>
      </x:c>
      <x:c r="O6" s="62" t="n">
        <x:v>3.89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Cyclopterus lumpus</x:v>
      </x:c>
      <x:c r="T6" s="62" t="n">
        <x:f>IF(O6="","",(1/'Metadata'!$B$5)^(O6-1))</x:f>
        <x:v>5754.090490759748</x:v>
      </x:c>
      <x:c r="U6" s="60" t="n">
        <x:f>IF(T6="","",I6*T6)</x:f>
        <x:v>44198900.29270051</x:v>
      </x:c>
    </x:row>
    <x:row r="7" ht="18" customHeight="1">
      <x:c r="A7" s="46" t="str">
        <x:v>LME_018</x:v>
      </x:c>
      <x:c r="B7" s="46" t="str">
        <x:v>Canadian Eastern Arctic -West Greenland</x:v>
      </x:c>
      <x:c r="C7" s="46" t="str">
        <x:v>LME</x:v>
      </x:c>
      <x:c r="D7" s="58" t="n">
        <x:v>2019</x:v>
      </x:c>
      <x:c r="E7" s="46" t="str">
        <x:v>Chionoecetes opilio</x:v>
      </x:c>
      <x:c r="F7" s="46" t="str">
        <x:v>Snow crab</x:v>
      </x:c>
      <x:c r="G7" s="46" t="str">
        <x:v>Lobsters, crabs</x:v>
      </x:c>
      <x:c r="H7" s="46" t="str">
        <x:v>Crustaceans</x:v>
      </x:c>
      <x:c r="I7" s="60" t="n">
        <x:v>2252.7948917853</x:v>
      </x:c>
      <x:c r="J7" s="60" t="n">
        <x:v>2047.3311835194002</x:v>
      </x:c>
      <x:c r="K7" s="60" t="n">
        <x:v>205.4637082659</x:v>
      </x:c>
      <x:c r="L7" s="60" t="n">
        <x:v>2047.3311835194002</x:v>
      </x:c>
      <x:c r="M7" s="60" t="n">
        <x:v>205.4637082659</x:v>
      </x:c>
      <x:c r="N7" s="46" t="str">
        <x:v>chionoecetes opilio</x:v>
      </x:c>
      <x:c r="O7" s="62" t="n">
        <x:v>3.54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Chionoecetes opilio</x:v>
      </x:c>
      <x:c r="T7" s="62" t="n">
        <x:f>IF(O7="","",(1/'Metadata'!$B$5)^(O7-1))</x:f>
        <x:v>2016.5834052007342</x:v>
      </x:c>
      <x:c r="U7" s="60" t="n">
        <x:f>IF(T7="","",I7*T7)</x:f>
        <x:v>4542948.79409522</x:v>
      </x:c>
    </x:row>
    <x:row r="8" ht="18" customHeight="1">
      <x:c r="A8" s="46" t="str">
        <x:v>LME_018</x:v>
      </x:c>
      <x:c r="B8" s="46" t="str">
        <x:v>Canadian Eastern Arctic -West Greenland</x:v>
      </x:c>
      <x:c r="C8" s="46" t="str">
        <x:v>LME</x:v>
      </x:c>
      <x:c r="D8" s="58" t="n">
        <x:v>2019</x:v>
      </x:c>
      <x:c r="E8" s="46" t="str">
        <x:v>Sebastes mentella</x:v>
      </x:c>
      <x:c r="F8" s="46" t="str">
        <x:v>Beaked redfish</x:v>
      </x:c>
      <x:c r="G8" s="46" t="str">
        <x:v>Medium bathypelagics (30 - 89 cm)</x:v>
      </x:c>
      <x:c r="H8" s="46" t="str">
        <x:v>Scorpionfishes</x:v>
      </x:c>
      <x:c r="I8" s="60" t="n">
        <x:v>1250.9962077252</x:v>
      </x:c>
      <x:c r="J8" s="60" t="n">
        <x:v>1246.2676381786</x:v>
      </x:c>
      <x:c r="K8" s="60" t="n">
        <x:v>4.7285695466</x:v>
      </x:c>
      <x:c r="L8" s="60" t="n">
        <x:v>1246.2676381786</x:v>
      </x:c>
      <x:c r="M8" s="60" t="n">
        <x:v>4.7285695466</x:v>
      </x:c>
      <x:c r="N8" s="46" t="str">
        <x:v>sebastes mentella</x:v>
      </x:c>
      <x:c r="O8" s="62" t="n">
        <x:v>3.65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Sebastes mentella</x:v>
      </x:c>
      <x:c r="T8" s="62" t="n">
        <x:f>IF(O8="","",(1/'Metadata'!$B$5)^(O8-1))</x:f>
        <x:v>2803.6867455443476</x:v>
      </x:c>
      <x:c r="U8" s="60" t="n">
        <x:f>IF(T8="","",I8*T8)</x:f>
        <x:v>3507401.486325387</x:v>
      </x:c>
    </x:row>
    <x:row r="9" ht="18" customHeight="1">
      <x:c r="A9" s="46" t="str">
        <x:v>LME_018</x:v>
      </x:c>
      <x:c r="B9" s="46" t="str">
        <x:v>Canadian Eastern Arctic -West Greenland</x:v>
      </x:c>
      <x:c r="C9" s="46" t="str">
        <x:v>LME</x:v>
      </x:c>
      <x:c r="D9" s="58" t="n">
        <x:v>2019</x:v>
      </x:c>
      <x:c r="E9" s="46" t="str">
        <x:v>Mallotus villosus</x:v>
      </x:c>
      <x:c r="F9" s="46" t="str">
        <x:v>Capelin</x:v>
      </x:c>
      <x:c r="G9" s="46" t="str">
        <x:v>Small pelagics (&lt;30 cm)</x:v>
      </x:c>
      <x:c r="H9" s="46" t="str">
        <x:v>Salmon, smelts, etc</x:v>
      </x:c>
      <x:c r="I9" s="60" t="n">
        <x:v>814.3822958795</x:v>
      </x:c>
      <x:c r="J9" s="60" t="n">
        <x:v>803.0911056088</x:v>
      </x:c>
      <x:c r="K9" s="60" t="n">
        <x:v>11.2911902707</x:v>
      </x:c>
      <x:c r="L9" s="60" t="n">
        <x:v>773.9229707073</x:v>
      </x:c>
      <x:c r="M9" s="60" t="n">
        <x:v>40.4593251722</x:v>
      </x:c>
      <x:c r="N9" s="46" t="str">
        <x:v>mallotus villosus</x:v>
      </x:c>
      <x:c r="O9" s="62" t="n">
        <x:v>3.15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Mallotus villosus</x:v>
      </x:c>
      <x:c r="T9" s="62" t="n">
        <x:f>IF(O9="","",(1/'Metadata'!$B$5)^(O9-1))</x:f>
        <x:v>626.9234150652317</x:v>
      </x:c>
      <x:c r="U9" s="60" t="n">
        <x:f>IF(T9="","",I9*T9)</x:f>
        <x:v>510555.3301014401</x:v>
      </x:c>
    </x:row>
    <x:row r="10" ht="18" customHeight="1">
      <x:c r="A10" s="46" t="str">
        <x:v>LME_018</x:v>
      </x:c>
      <x:c r="B10" s="46" t="str">
        <x:v>Canadian Eastern Arctic -West Greenland</x:v>
      </x:c>
      <x:c r="C10" s="46" t="str">
        <x:v>LME</x:v>
      </x:c>
      <x:c r="D10" s="58" t="n">
        <x:v>2019</x:v>
      </x:c>
      <x:c r="E10" s="46" t="str">
        <x:v>Anarhichadidae</x:v>
      </x:c>
      <x:c r="F10" s="46" t="str">
        <x:v>Wolffishes, wolfeels</x:v>
      </x:c>
      <x:c r="G10" s="46" t="str">
        <x:v>Large demersals (&gt;=90 cm)</x:v>
      </x:c>
      <x:c r="H10" s="46" t="str">
        <x:v>Perch-likes</x:v>
      </x:c>
      <x:c r="I10" s="60" t="n">
        <x:v>180.8946484992</x:v>
      </x:c>
      <x:c r="J10" s="60" t="n">
        <x:v>180.8946484992</x:v>
      </x:c>
      <x:c r="K10" s="60" t="n">
        <x:v>0</x:v>
      </x:c>
      <x:c r="L10" s="60" t="n">
        <x:v>150.7552878808</x:v>
      </x:c>
      <x:c r="M10" s="60" t="n">
        <x:v>30.1393606184</x:v>
      </x:c>
      <x:c r="N10" s="46" t="str">
        <x:v>anarhichadidae</x:v>
      </x:c>
      <x:c r="O10" s="62" t="n">
        <x:v>3.47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Anarhichadidae</x:v>
      </x:c>
      <x:c r="T10" s="62" t="n">
        <x:f>IF(O10="","",(1/'Metadata'!$B$5)^(O10-1))</x:f>
        <x:v>1635.0991368927735</x:v>
      </x:c>
      <x:c r="U10" s="60" t="n">
        <x:f>IF(T10="","",I10*T10)</x:f>
        <x:v>295780.68362956354</x:v>
      </x:c>
    </x:row>
    <x:row r="11" ht="18" customHeight="1">
      <x:c r="A11" s="46" t="str">
        <x:v>LME_018</x:v>
      </x:c>
      <x:c r="B11" s="46" t="str">
        <x:v>Canadian Eastern Arctic -West Greenland</x:v>
      </x:c>
      <x:c r="C11" s="46" t="str">
        <x:v>LME</x:v>
      </x:c>
      <x:c r="D11" s="58" t="n">
        <x:v>2019</x:v>
      </x:c>
      <x:c r="E11" s="46" t="str">
        <x:v>Salmo salar</x:v>
      </x:c>
      <x:c r="F11" s="46" t="str">
        <x:v>Atlantic salmon</x:v>
      </x:c>
      <x:c r="G11" s="46" t="str">
        <x:v>Large benthopelagics (&gt;=90 cm)</x:v>
      </x:c>
      <x:c r="H11" s="46" t="str">
        <x:v>Salmon, smelts, etc</x:v>
      </x:c>
      <x:c r="I11" s="60" t="n">
        <x:v>158.7179224673</x:v>
      </x:c>
      <x:c r="J11" s="60" t="n">
        <x:v>158.7179224673</x:v>
      </x:c>
      <x:c r="K11" s="60" t="n">
        <x:v>0</x:v>
      </x:c>
      <x:c r="L11" s="60" t="n">
        <x:v>0</x:v>
      </x:c>
      <x:c r="M11" s="60" t="n">
        <x:v>158.7179224673</x:v>
      </x:c>
      <x:c r="N11" s="46" t="str">
        <x:v>salmo salar</x:v>
      </x:c>
      <x:c r="O11" s="62" t="n">
        <x:v>4.5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Salmo salar</x:v>
      </x:c>
      <x:c r="T11" s="62" t="n">
        <x:f>IF(O11="","",(1/'Metadata'!$B$5)^(O11-1))</x:f>
        <x:v>35777.08763999664</x:v>
      </x:c>
      <x:c r="U11" s="60" t="n">
        <x:f>IF(T11="","",I11*T11)</x:f>
        <x:v>5678465.022150784</x:v>
      </x:c>
    </x:row>
    <x:row r="12" ht="18" customHeight="1">
      <x:c r="A12" s="46" t="str">
        <x:v>LME_018</x:v>
      </x:c>
      <x:c r="B12" s="46" t="str">
        <x:v>Canadian Eastern Arctic -West Greenland</x:v>
      </x:c>
      <x:c r="C12" s="46" t="str">
        <x:v>LME</x:v>
      </x:c>
      <x:c r="D12" s="58" t="n">
        <x:v>2019</x:v>
      </x:c>
      <x:c r="E12" s="46" t="str">
        <x:v>Salvelinus alpinus</x:v>
      </x:c>
      <x:c r="F12" s="46" t="str">
        <x:v>Arctic char</x:v>
      </x:c>
      <x:c r="G12" s="46" t="str">
        <x:v>Medium benthopelagics (30 - 89 cm)</x:v>
      </x:c>
      <x:c r="H12" s="46" t="str">
        <x:v>Salmon, smelts, etc</x:v>
      </x:c>
      <x:c r="I12" s="60" t="n">
        <x:v>153.6028490169</x:v>
      </x:c>
      <x:c r="J12" s="60" t="n">
        <x:v>152.3019737288</x:v>
      </x:c>
      <x:c r="K12" s="60" t="n">
        <x:v>1.3008752880999999</x:v>
      </x:c>
      <x:c r="L12" s="60" t="n">
        <x:v>9.6939146387</x:v>
      </x:c>
      <x:c r="M12" s="60" t="n">
        <x:v>143.9089343782</x:v>
      </x:c>
      <x:c r="N12" s="46" t="str">
        <x:v>salvelinus alpinus</x:v>
      </x:c>
      <x:c r="O12" s="62" t="n">
        <x:v>4.39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Salvelinus alpinus</x:v>
      </x:c>
      <x:c r="T12" s="62" t="n">
        <x:f>IF(O12="","",(1/'Metadata'!$B$5)^(O12-1))</x:f>
        <x:v>25733.07497204781</x:v>
      </x:c>
      <x:c r="U12" s="60" t="n">
        <x:f>IF(T12="","",I12*T12)</x:f>
        <x:v>3952673.6296720277</x:v>
      </x:c>
    </x:row>
    <x:row r="13" ht="18" customHeight="1">
      <x:c r="A13" s="46" t="str">
        <x:v>LME_018</x:v>
      </x:c>
      <x:c r="B13" s="46" t="str">
        <x:v>Canadian Eastern Arctic -West Greenland</x:v>
      </x:c>
      <x:c r="C13" s="46" t="str">
        <x:v>LME</x:v>
      </x:c>
      <x:c r="D13" s="58" t="n">
        <x:v>2019</x:v>
      </x:c>
      <x:c r="E13" s="46" t="str">
        <x:v>Sebastes</x:v>
      </x:c>
      <x:c r="F13" s="46" t="str">
        <x:v>Redfishes</x:v>
      </x:c>
      <x:c r="G13" s="46" t="str">
        <x:v>Large reef assoc. fish (&gt;=90 cm)</x:v>
      </x:c>
      <x:c r="H13" s="46" t="str">
        <x:v>Scorpionfishes</x:v>
      </x:c>
      <x:c r="I13" s="60" t="n">
        <x:v>128.6456227831</x:v>
      </x:c>
      <x:c r="J13" s="60" t="n">
        <x:v>95.8615894614</x:v>
      </x:c>
      <x:c r="K13" s="60" t="n">
        <x:v>32.7840333217</x:v>
      </x:c>
      <x:c r="L13" s="60" t="n">
        <x:v>66.3111811095</x:v>
      </x:c>
      <x:c r="M13" s="60" t="n">
        <x:v>62.3344416736</x:v>
      </x:c>
      <x:c r="N13" s="46" t="str">
        <x:v>sebastes</x:v>
      </x:c>
      <x:c r="O13" s="62" t="n">
        <x:v>3.79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Sebastes</x:v>
      </x:c>
      <x:c r="T13" s="62" t="n">
        <x:f>IF(O13="","",(1/'Metadata'!$B$5)^(O13-1))</x:f>
        <x:v>4264.554685980751</x:v>
      </x:c>
      <x:c r="U13" s="60" t="n">
        <x:f>IF(T13="","",I13*T13)</x:f>
        <x:v>548616.2934705812</x:v>
      </x:c>
    </x:row>
    <x:row r="14" ht="18" customHeight="1">
      <x:c r="A14" s="46" t="str">
        <x:v>LME_018</x:v>
      </x:c>
      <x:c r="B14" s="46" t="str">
        <x:v>Canadian Eastern Arctic -West Greenland</x:v>
      </x:c>
      <x:c r="C14" s="46" t="str">
        <x:v>LME</x:v>
      </x:c>
      <x:c r="D14" s="58" t="n">
        <x:v>2019</x:v>
      </x:c>
      <x:c r="E14" s="46" t="str">
        <x:v>Salmo</x:v>
      </x:c>
      <x:c r="F14" s="46" t="str">
        <x:v>Trouts</x:v>
      </x:c>
      <x:c r="G14" s="46" t="str">
        <x:v>Large benthopelagics (&gt;=90 cm)</x:v>
      </x:c>
      <x:c r="H14" s="46" t="str">
        <x:v>Salmon, smelts, etc</x:v>
      </x:c>
      <x:c r="I14" s="60" t="n">
        <x:v>102.5836896325</x:v>
      </x:c>
      <x:c r="J14" s="60" t="n">
        <x:v>102.5836896325</x:v>
      </x:c>
      <x:c r="K14" s="60" t="n">
        <x:v>0</x:v>
      </x:c>
      <x:c r="L14" s="60" t="n">
        <x:v>0</x:v>
      </x:c>
      <x:c r="M14" s="60" t="n">
        <x:v>102.5836896325</x:v>
      </x:c>
      <x:c r="N14" s="46" t="str">
        <x:v>salmo</x:v>
      </x:c>
      <x:c r="O14" s="62" t="n">
        <x:v>4</x:v>
      </x:c>
      <x:c r="P14" s="46" t="str">
        <x:v>exact_sea_around_us</x:v>
      </x:c>
      <x:c r="Q14" s="62" t="str">
        <x:v>Sea Around Us exploited organisms</x:v>
      </x:c>
      <x:c r="R14" s="46" t="str">
        <x:v>high</x:v>
      </x:c>
      <x:c r="S14" s="46" t="str">
        <x:v>Salmo</x:v>
      </x:c>
      <x:c r="T14" s="62" t="n">
        <x:f>IF(O14="","",(1/'Metadata'!$B$5)^(O14-1))</x:f>
        <x:v>8000</x:v>
      </x:c>
      <x:c r="U14" s="60" t="n">
        <x:f>IF(T14="","",I14*T14)</x:f>
        <x:v>820669.51706</x:v>
      </x:c>
    </x:row>
    <x:row r="15" ht="18" customHeight="1">
      <x:c r="A15" s="46" t="str">
        <x:v>LME_018</x:v>
      </x:c>
      <x:c r="B15" s="46" t="str">
        <x:v>Canadian Eastern Arctic -West Greenland</x:v>
      </x:c>
      <x:c r="C15" s="46" t="str">
        <x:v>LME</x:v>
      </x:c>
      <x:c r="D15" s="58" t="n">
        <x:v>2019</x:v>
      </x:c>
      <x:c r="E15" s="46" t="str">
        <x:v>Anarhichas</x:v>
      </x:c>
      <x:c r="F15" s="46" t="str">
        <x:v>Wolffishes</x:v>
      </x:c>
      <x:c r="G15" s="46" t="str">
        <x:v>Large demersals (&gt;=90 cm)</x:v>
      </x:c>
      <x:c r="H15" s="46" t="str">
        <x:v>Perch-likes</x:v>
      </x:c>
      <x:c r="I15" s="60" t="n">
        <x:v>45.0071883201</x:v>
      </x:c>
      <x:c r="J15" s="60" t="n">
        <x:v>4.5897531328</x:v>
      </x:c>
      <x:c r="K15" s="60" t="n">
        <x:v>40.4174351873</x:v>
      </x:c>
      <x:c r="L15" s="60" t="n">
        <x:v>4.5897531328</x:v>
      </x:c>
      <x:c r="M15" s="60" t="n">
        <x:v>40.4174351873</x:v>
      </x:c>
      <x:c r="N15" s="46" t="str">
        <x:v>anarhichas</x:v>
      </x:c>
      <x:c r="O15" s="62" t="n">
        <x:v>3.35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Anarhichas</x:v>
      </x:c>
      <x:c r="T15" s="62" t="n">
        <x:f>IF(O15="","",(1/'Metadata'!$B$5)^(O15-1))</x:f>
        <x:v>1141.3543275066227</x:v>
      </x:c>
      <x:c r="U15" s="60" t="n">
        <x:f>IF(T15="","",I15*T15)</x:f>
        <x:v>51369.14915805166</x:v>
      </x:c>
    </x:row>
    <x:row r="16" ht="18" customHeight="1">
      <x:c r="A16" s="46" t="str">
        <x:v>LME_018</x:v>
      </x:c>
      <x:c r="B16" s="46" t="str">
        <x:v>Canadian Eastern Arctic -West Greenland</x:v>
      </x:c>
      <x:c r="C16" s="46" t="str">
        <x:v>LME</x:v>
      </x:c>
      <x:c r="D16" s="58" t="n">
        <x:v>2019</x:v>
      </x:c>
      <x:c r="E16" s="46" t="str">
        <x:v>Hippoglossus hippoglossus</x:v>
      </x:c>
      <x:c r="F16" s="46" t="str">
        <x:v>Atlantic halibut</x:v>
      </x:c>
      <x:c r="G16" s="46" t="str">
        <x:v>Large flatfishes (&gt;=90 cm)</x:v>
      </x:c>
      <x:c r="H16" s="46" t="str">
        <x:v>Flatfishes</x:v>
      </x:c>
      <x:c r="I16" s="60" t="n">
        <x:v>39.7001000657</x:v>
      </x:c>
      <x:c r="J16" s="60" t="n">
        <x:v>9.8575820983</x:v>
      </x:c>
      <x:c r="K16" s="60" t="n">
        <x:v>29.8425179674</x:v>
      </x:c>
      <x:c r="L16" s="60" t="n">
        <x:v>9.8575820983</x:v>
      </x:c>
      <x:c r="M16" s="60" t="n">
        <x:v>29.8425179674</x:v>
      </x:c>
      <x:c r="N16" s="46" t="str">
        <x:v>hippoglossus hippoglossus</x:v>
      </x:c>
      <x:c r="O16" s="62" t="n">
        <x:v>4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Hippoglossus hippoglossus</x:v>
      </x:c>
      <x:c r="T16" s="62" t="n">
        <x:f>IF(O16="","",(1/'Metadata'!$B$5)^(O16-1))</x:f>
        <x:v>8000</x:v>
      </x:c>
      <x:c r="U16" s="60" t="n">
        <x:f>IF(T16="","",I16*T16)</x:f>
        <x:v>317600.8005256</x:v>
      </x:c>
    </x:row>
    <x:row r="17" ht="18" customHeight="1">
      <x:c r="A17" s="46" t="str">
        <x:v>LME_018</x:v>
      </x:c>
      <x:c r="B17" s="46" t="str">
        <x:v>Canadian Eastern Arctic -West Greenland</x:v>
      </x:c>
      <x:c r="C17" s="46" t="str">
        <x:v>LME</x:v>
      </x:c>
      <x:c r="D17" s="58" t="n">
        <x:v>2019</x:v>
      </x:c>
      <x:c r="E17" s="46" t="str">
        <x:v>Pandalus montagui</x:v>
      </x:c>
      <x:c r="F17" s="46" t="str">
        <x:v>Aesop shrimp</x:v>
      </x:c>
      <x:c r="G17" s="46" t="str">
        <x:v>Shrimps</x:v>
      </x:c>
      <x:c r="H17" s="46" t="str">
        <x:v>Crustaceans</x:v>
      </x:c>
      <x:c r="I17" s="60" t="n">
        <x:v>37.7077401314</x:v>
      </x:c>
      <x:c r="J17" s="60" t="n">
        <x:v>27.9372379486</x:v>
      </x:c>
      <x:c r="K17" s="60" t="n">
        <x:v>9.770502182800001</x:v>
      </x:c>
      <x:c r="L17" s="60" t="n">
        <x:v>27.9372379486</x:v>
      </x:c>
      <x:c r="M17" s="60" t="n">
        <x:v>9.770502182800001</x:v>
      </x:c>
      <x:c r="N17" s="46" t="str">
        <x:v>pandalus montagui</x:v>
      </x:c>
      <x:c r="O17" s="62" t="n">
        <x:v>2.3</x:v>
      </x:c>
      <x:c r="P17" s="46" t="str">
        <x:v>exact_sea_around_us</x:v>
      </x:c>
      <x:c r="Q17" s="62" t="str">
        <x:v>Sea Around Us exploited organisms</x:v>
      </x:c>
      <x:c r="R17" s="46" t="str">
        <x:v>high</x:v>
      </x:c>
      <x:c r="S17" s="46" t="str">
        <x:v>Pandalus montagui</x:v>
      </x:c>
      <x:c r="T17" s="62" t="n">
        <x:f>IF(O17="","",(1/'Metadata'!$B$5)^(O17-1))</x:f>
        <x:v>49.12912104463159</x:v>
      </x:c>
      <x:c r="U17" s="60" t="n">
        <x:f>IF(T17="","",I17*T17)</x:f>
        <x:v>1852.548129235063</x:v>
      </x:c>
    </x:row>
    <x:row r="18" ht="18" customHeight="1">
      <x:c r="A18" s="46" t="str">
        <x:v>LME_018</x:v>
      </x:c>
      <x:c r="B18" s="46" t="str">
        <x:v>Canadian Eastern Arctic -West Greenland</x:v>
      </x:c>
      <x:c r="C18" s="46" t="str">
        <x:v>LME</x:v>
      </x:c>
      <x:c r="D18" s="58" t="n">
        <x:v>2019</x:v>
      </x:c>
      <x:c r="E18" s="46" t="str">
        <x:v>Mollusca</x:v>
      </x:c>
      <x:c r="F18" s="46" t="str">
        <x:v>Clams, seasnails, squids, octopuses</x:v>
      </x:c>
      <x:c r="G18" s="46" t="str">
        <x:v>Other demersal invertebrates</x:v>
      </x:c>
      <x:c r="H18" s="46" t="str">
        <x:v>Molluscs</x:v>
      </x:c>
      <x:c r="I18" s="60" t="n">
        <x:v>36.9231386183</x:v>
      </x:c>
      <x:c r="J18" s="60" t="n">
        <x:v>0</x:v>
      </x:c>
      <x:c r="K18" s="60" t="n">
        <x:v>36.9231386183</x:v>
      </x:c>
      <x:c r="L18" s="60" t="n">
        <x:v>0</x:v>
      </x:c>
      <x:c r="M18" s="60" t="n">
        <x:v>36.9231386183</x:v>
      </x:c>
      <x:c r="N18" s="46" t="str">
        <x:v>mollusca</x:v>
      </x:c>
      <x:c r="O18" s="62" t="n">
        <x:v>2.1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Mollusca</x:v>
      </x:c>
      <x:c r="T18" s="62" t="n">
        <x:f>IF(O18="","",(1/'Metadata'!$B$5)^(O18-1))</x:f>
        <x:v>26.985656953471274</x:v>
      </x:c>
      <x:c r="U18" s="60" t="n">
        <x:f>IF(T18="","",I18*T18)</x:f>
        <x:v>996.3951523989111</x:v>
      </x:c>
    </x:row>
    <x:row r="19" ht="18" customHeight="1">
      <x:c r="A19" s="46" t="str">
        <x:v>LME_018</x:v>
      </x:c>
      <x:c r="B19" s="46" t="str">
        <x:v>Canadian Eastern Arctic -West Greenland</x:v>
      </x:c>
      <x:c r="C19" s="46" t="str">
        <x:v>LME</x:v>
      </x:c>
      <x:c r="D19" s="58" t="n">
        <x:v>2019</x:v>
      </x:c>
      <x:c r="E19" s="46" t="str">
        <x:v>Anarhichas minor</x:v>
      </x:c>
      <x:c r="F19" s="46" t="str">
        <x:v>Spotted wolffish</x:v>
      </x:c>
      <x:c r="G19" s="46" t="str">
        <x:v>Large demersals (&gt;=90 cm)</x:v>
      </x:c>
      <x:c r="H19" s="46" t="str">
        <x:v>Perch-likes</x:v>
      </x:c>
      <x:c r="I19" s="60" t="n">
        <x:v>35.7461976559</x:v>
      </x:c>
      <x:c r="J19" s="60" t="n">
        <x:v>35.7461976559</x:v>
      </x:c>
      <x:c r="K19" s="60" t="n">
        <x:v>0</x:v>
      </x:c>
      <x:c r="L19" s="60" t="n">
        <x:v>35.7461976559</x:v>
      </x:c>
      <x:c r="M19" s="60" t="n">
        <x:v>0</x:v>
      </x:c>
      <x:c r="N19" s="46" t="str">
        <x:v>anarhichas minor</x:v>
      </x:c>
      <x:c r="O19" s="62" t="n">
        <x:v>3.45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Anarhichas minor</x:v>
      </x:c>
      <x:c r="T19" s="62" t="n">
        <x:f>IF(O19="","",(1/'Metadata'!$B$5)^(O19-1))</x:f>
        <x:v>1540.009817222681</x:v>
      </x:c>
      <x:c r="U19" s="60" t="n">
        <x:f>IF(T19="","",I19*T19)</x:f>
        <x:v>55049.49531846838</x:v>
      </x:c>
    </x:row>
    <x:row r="20" ht="18" customHeight="1">
      <x:c r="A20" s="46" t="str">
        <x:v>LME_018</x:v>
      </x:c>
      <x:c r="B20" s="46" t="str">
        <x:v>Canadian Eastern Arctic -West Greenland</x:v>
      </x:c>
      <x:c r="C20" s="46" t="str">
        <x:v>LME</x:v>
      </x:c>
      <x:c r="D20" s="58" t="n">
        <x:v>2019</x:v>
      </x:c>
      <x:c r="E20" s="46" t="str">
        <x:v>Somniosus microcephalus</x:v>
      </x:c>
      <x:c r="F20" s="46" t="str">
        <x:v>Greenland shark</x:v>
      </x:c>
      <x:c r="G20" s="46" t="str">
        <x:v>Large sharks (&gt;=90 cm)</x:v>
      </x:c>
      <x:c r="H20" s="46" t="str">
        <x:v>Sharks &amp; rays</x:v>
      </x:c>
      <x:c r="I20" s="60" t="n">
        <x:v>28.2822813354</x:v>
      </x:c>
      <x:c r="J20" s="60" t="n">
        <x:v>28.2822813354</x:v>
      </x:c>
      <x:c r="K20" s="60" t="n">
        <x:v>0</x:v>
      </x:c>
      <x:c r="L20" s="60" t="n">
        <x:v>28.2822813354</x:v>
      </x:c>
      <x:c r="M20" s="60" t="n">
        <x:v>0</x:v>
      </x:c>
      <x:c r="N20" s="46" t="str">
        <x:v>somniosus microcephalus</x:v>
      </x:c>
      <x:c r="O20" s="62" t="n">
        <x:v>4.22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Somniosus microcephalus</x:v>
      </x:c>
      <x:c r="T20" s="62" t="n">
        <x:f>IF(O20="","",(1/'Metadata'!$B$5)^(O20-1))</x:f>
        <x:v>15463.812886046735</x:v>
      </x:c>
      <x:c r="U20" s="60" t="n">
        <x:f>IF(T20="","",I20*T20)</x:f>
        <x:v>437351.9065611576</x:v>
      </x:c>
    </x:row>
    <x:row r="21" ht="18" customHeight="1">
      <x:c r="A21" s="46" t="str">
        <x:v>LME_018</x:v>
      </x:c>
      <x:c r="B21" s="46" t="str">
        <x:v>Canadian Eastern Arctic -West Greenland</x:v>
      </x:c>
      <x:c r="C21" s="46" t="str">
        <x:v>LME</x:v>
      </x:c>
      <x:c r="D21" s="58" t="n">
        <x:v>2019</x:v>
      </x:c>
      <x:c r="E21" s="46" t="str">
        <x:v>Coryphaenoides rupestris</x:v>
      </x:c>
      <x:c r="F21" s="46" t="str">
        <x:v>Roundnose grenadier</x:v>
      </x:c>
      <x:c r="G21" s="46" t="str">
        <x:v>Large bathypelagics (&gt;=90 cm)</x:v>
      </x:c>
      <x:c r="H21" s="46" t="str">
        <x:v>Cod-likes</x:v>
      </x:c>
      <x:c r="I21" s="60" t="n">
        <x:v>25.5225360827</x:v>
      </x:c>
      <x:c r="J21" s="60" t="n">
        <x:v>17.99471921</x:v>
      </x:c>
      <x:c r="K21" s="60" t="n">
        <x:v>7.5278168727</x:v>
      </x:c>
      <x:c r="L21" s="60" t="n">
        <x:v>17.99471921</x:v>
      </x:c>
      <x:c r="M21" s="60" t="n">
        <x:v>7.5278168727</x:v>
      </x:c>
      <x:c r="N21" s="46" t="str">
        <x:v>coryphaenoides rupestris</x:v>
      </x:c>
      <x:c r="O21" s="62" t="n">
        <x:v>3.54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Coryphaenoides rupestris</x:v>
      </x:c>
      <x:c r="T21" s="62" t="n">
        <x:f>IF(O21="","",(1/'Metadata'!$B$5)^(O21-1))</x:f>
        <x:v>2016.5834052007342</x:v>
      </x:c>
      <x:c r="U21" s="60" t="n">
        <x:f>IF(T21="","",I21*T21)</x:f>
        <x:v>51468.32272300978</x:v>
      </x:c>
    </x:row>
    <x:row r="22" ht="18" customHeight="1">
      <x:c r="A22" s="46" t="str">
        <x:v>LME_018</x:v>
      </x:c>
      <x:c r="B22" s="46" t="str">
        <x:v>Canadian Eastern Arctic -West Greenland</x:v>
      </x:c>
      <x:c r="C22" s="46" t="str">
        <x:v>LME</x:v>
      </x:c>
      <x:c r="D22" s="58" t="n">
        <x:v>2019</x:v>
      </x:c>
      <x:c r="E22" s="46" t="str">
        <x:v>Myoxocephalus</x:v>
      </x:c>
      <x:c r="F22" s="46" t="str">
        <x:v>Grubbies and sculpins</x:v>
      </x:c>
      <x:c r="G22" s="46" t="str">
        <x:v>Large reef assoc. fish (&gt;=90 cm)</x:v>
      </x:c>
      <x:c r="H22" s="46" t="str">
        <x:v>Scorpionfishes</x:v>
      </x:c>
      <x:c r="I22" s="60" t="n">
        <x:v>24.1059429318</x:v>
      </x:c>
      <x:c r="J22" s="60" t="n">
        <x:v>0</x:v>
      </x:c>
      <x:c r="K22" s="60" t="n">
        <x:v>24.1059429318</x:v>
      </x:c>
      <x:c r="L22" s="60" t="n">
        <x:v>0</x:v>
      </x:c>
      <x:c r="M22" s="60" t="n">
        <x:v>24.1059429318</x:v>
      </x:c>
      <x:c r="N22" s="46" t="str">
        <x:v>myoxocephalus</x:v>
      </x:c>
      <x:c r="O22" s="62" t="n">
        <x:v>3.71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Myoxocephalus</x:v>
      </x:c>
      <x:c r="T22" s="62" t="n">
        <x:f>IF(O22="","",(1/'Metadata'!$B$5)^(O22-1))</x:f>
        <x:v>3355.7630537706395</x:v>
      </x:c>
      <x:c r="U22" s="60" t="n">
        <x:f>IF(T22="","",I22*T22)</x:f>
        <x:v>80893.83266683793</x:v>
      </x:c>
    </x:row>
    <x:row r="23" ht="18" customHeight="1">
      <x:c r="A23" s="46" t="str">
        <x:v>LME_018</x:v>
      </x:c>
      <x:c r="B23" s="46" t="str">
        <x:v>Canadian Eastern Arctic -West Greenland</x:v>
      </x:c>
      <x:c r="C23" s="46" t="str">
        <x:v>LME</x:v>
      </x:c>
      <x:c r="D23" s="58" t="n">
        <x:v>2019</x:v>
      </x:c>
      <x:c r="E23" s="46" t="str">
        <x:v>Brosme brosme</x:v>
      </x:c>
      <x:c r="F23" s="46" t="str">
        <x:v>Tusk</x:v>
      </x:c>
      <x:c r="G23" s="46" t="str">
        <x:v>Large demersals (&gt;=90 cm)</x:v>
      </x:c>
      <x:c r="H23" s="46" t="str">
        <x:v>Cod-likes</x:v>
      </x:c>
      <x:c r="I23" s="60" t="n">
        <x:v>19.7578552198</x:v>
      </x:c>
      <x:c r="J23" s="60" t="n">
        <x:v>16.2714289634</x:v>
      </x:c>
      <x:c r="K23" s="60" t="n">
        <x:v>3.4864262564</x:v>
      </x:c>
      <x:c r="L23" s="60" t="n">
        <x:v>16.2714289634</x:v>
      </x:c>
      <x:c r="M23" s="60" t="n">
        <x:v>3.4864262564</x:v>
      </x:c>
      <x:c r="N23" s="46" t="str">
        <x:v>brosme brosme</x:v>
      </x:c>
      <x:c r="O23" s="62" t="n">
        <x:v>3.9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Brosme brosme</x:v>
      </x:c>
      <x:c r="T23" s="62" t="n">
        <x:f>IF(O23="","",(1/'Metadata'!$B$5)^(O23-1))</x:f>
        <x:v>5929.07559285558</x:v>
      </x:c>
      <x:c r="U23" s="60" t="n">
        <x:f>IF(T23="","",I23*T23)</x:f>
        <x:v>117145.8171508904</x:v>
      </x:c>
    </x:row>
    <x:row r="24" ht="18" customHeight="1">
      <x:c r="A24" s="46" t="str">
        <x:v>LME_018</x:v>
      </x:c>
      <x:c r="B24" s="46" t="str">
        <x:v>Canadian Eastern Arctic -West Greenland</x:v>
      </x:c>
      <x:c r="C24" s="46" t="str">
        <x:v>LME</x:v>
      </x:c>
      <x:c r="D24" s="58" t="n">
        <x:v>2019</x:v>
      </x:c>
      <x:c r="E24" s="46" t="str">
        <x:v>Lycodes</x:v>
      </x:c>
      <x:c r="F24" s="46" t="str">
        <x:v>Eelpouts</x:v>
      </x:c>
      <x:c r="G24" s="46" t="str">
        <x:v>Medium bathydemersals (30 - 89 cm)</x:v>
      </x:c>
      <x:c r="H24" s="46" t="str">
        <x:v>Perch-likes</x:v>
      </x:c>
      <x:c r="I24" s="60" t="n">
        <x:v>16.4437148834</x:v>
      </x:c>
      <x:c r="J24" s="60" t="n">
        <x:v>0</x:v>
      </x:c>
      <x:c r="K24" s="60" t="n">
        <x:v>16.4437148834</x:v>
      </x:c>
      <x:c r="L24" s="60" t="n">
        <x:v>0</x:v>
      </x:c>
      <x:c r="M24" s="60" t="n">
        <x:v>16.4437148834</x:v>
      </x:c>
      <x:c r="N24" s="46" t="str">
        <x:v>lycodes</x:v>
      </x:c>
      <x:c r="O24" s="62" t="n">
        <x:v>3.3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Lycodes</x:v>
      </x:c>
      <x:c r="T24" s="62" t="n">
        <x:f>IF(O24="","",(1/'Metadata'!$B$5)^(O24-1))</x:f>
        <x:v>982.5824208926318</x:v>
      </x:c>
      <x:c r="U24" s="60" t="n">
        <x:f>IF(T24="","",I24*T24)</x:f>
        <x:v>16157.305178599372</x:v>
      </x:c>
    </x:row>
    <x:row r="25" ht="18" customHeight="1">
      <x:c r="A25" s="46" t="str">
        <x:v>LME_018</x:v>
      </x:c>
      <x:c r="B25" s="46" t="str">
        <x:v>Canadian Eastern Arctic -West Greenland</x:v>
      </x:c>
      <x:c r="C25" s="46" t="str">
        <x:v>LME</x:v>
      </x:c>
      <x:c r="D25" s="58" t="n">
        <x:v>2019</x:v>
      </x:c>
      <x:c r="E25" s="46" t="str">
        <x:v>Anarhichas denticulatus</x:v>
      </x:c>
      <x:c r="F25" s="46" t="str">
        <x:v>Northern wolffish</x:v>
      </x:c>
      <x:c r="G25" s="46" t="str">
        <x:v>Large benthopelagics (&gt;=90 cm)</x:v>
      </x:c>
      <x:c r="H25" s="46" t="str">
        <x:v>Perch-likes</x:v>
      </x:c>
      <x:c r="I25" s="60" t="n">
        <x:v>15.5632856211</x:v>
      </x:c>
      <x:c r="J25" s="60" t="n">
        <x:v>0</x:v>
      </x:c>
      <x:c r="K25" s="60" t="n">
        <x:v>15.5632856211</x:v>
      </x:c>
      <x:c r="L25" s="60" t="n">
        <x:v>0</x:v>
      </x:c>
      <x:c r="M25" s="60" t="n">
        <x:v>15.5632856211</x:v>
      </x:c>
      <x:c r="N25" s="46" t="str">
        <x:v>anarhichas denticulatus</x:v>
      </x:c>
      <x:c r="O25" s="62" t="n">
        <x:v>3.75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Anarhichas denticulatus</x:v>
      </x:c>
      <x:c r="T25" s="62" t="n">
        <x:f>IF(O25="","",(1/'Metadata'!$B$5)^(O25-1))</x:f>
        <x:v>3782.966436012703</x:v>
      </x:c>
      <x:c r="U25" s="60" t="n">
        <x:f>IF(T25="","",I25*T25)</x:f>
        <x:v>58875.38713870042</x:v>
      </x:c>
    </x:row>
    <x:row r="26" ht="18" customHeight="1">
      <x:c r="A26" s="46" t="str">
        <x:v>LME_018</x:v>
      </x:c>
      <x:c r="B26" s="46" t="str">
        <x:v>Canadian Eastern Arctic -West Greenland</x:v>
      </x:c>
      <x:c r="C26" s="46" t="str">
        <x:v>LME</x:v>
      </x:c>
      <x:c r="D26" s="58" t="n">
        <x:v>2019</x:v>
      </x:c>
      <x:c r="E26" s="46" t="str">
        <x:v>Elasmobranchii</x:v>
      </x:c>
      <x:c r="F26" s="46" t="str">
        <x:v>Sharks, rays, skates</x:v>
      </x:c>
      <x:c r="G26" s="46" t="str">
        <x:v>Large sharks (&gt;=90 cm)</x:v>
      </x:c>
      <x:c r="H26" s="46" t="str">
        <x:v>Sharks &amp; rays</x:v>
      </x:c>
      <x:c r="I26" s="60" t="n">
        <x:v>14.7199218463</x:v>
      </x:c>
      <x:c r="J26" s="60" t="n">
        <x:v>0</x:v>
      </x:c>
      <x:c r="K26" s="60" t="n">
        <x:v>14.7199218463</x:v>
      </x:c>
      <x:c r="L26" s="60" t="n">
        <x:v>0</x:v>
      </x:c>
      <x:c r="M26" s="60" t="n">
        <x:v>14.7199218463</x:v>
      </x:c>
      <x:c r="N26" s="46" t="str">
        <x:v>elasmobranchii</x:v>
      </x:c>
      <x:c r="O26" s="62" t="n">
        <x:v>4.05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Elasmobranchii</x:v>
      </x:c>
      <x:c r="T26" s="62" t="n">
        <x:f>IF(O26="","",(1/'Metadata'!$B$5)^(O26-1))</x:f>
        <x:v>9292.690797132333</x:v>
      </x:c>
      <x:c r="U26" s="60" t="n">
        <x:f>IF(T26="","",I26*T26)</x:f>
        <x:v>136787.68227561918</x:v>
      </x:c>
    </x:row>
    <x:row r="27" ht="18" customHeight="1">
      <x:c r="A27" s="46" t="str">
        <x:v>LME_018</x:v>
      </x:c>
      <x:c r="B27" s="46" t="str">
        <x:v>Canadian Eastern Arctic -West Greenland</x:v>
      </x:c>
      <x:c r="C27" s="46" t="str">
        <x:v>LME</x:v>
      </x:c>
      <x:c r="D27" s="58" t="n">
        <x:v>2019</x:v>
      </x:c>
      <x:c r="E27" s="46" t="str">
        <x:v>Chionoecetes</x:v>
      </x:c>
      <x:c r="F27" s="46" t="str">
        <x:v>Tanner, snow crabs</x:v>
      </x:c>
      <x:c r="G27" s="46" t="str">
        <x:v>Lobsters, crabs</x:v>
      </x:c>
      <x:c r="H27" s="46" t="str">
        <x:v>Crustaceans</x:v>
      </x:c>
      <x:c r="I27" s="60" t="n">
        <x:v>10.1729044602</x:v>
      </x:c>
      <x:c r="J27" s="60" t="n">
        <x:v>0</x:v>
      </x:c>
      <x:c r="K27" s="60" t="n">
        <x:v>10.1729044602</x:v>
      </x:c>
      <x:c r="L27" s="60" t="n">
        <x:v>0</x:v>
      </x:c>
      <x:c r="M27" s="60" t="n">
        <x:v>10.1729044602</x:v>
      </x:c>
      <x:c r="N27" s="46" t="str">
        <x:v>chionoecetes</x:v>
      </x:c>
      <x:c r="O27" s="62" t="n">
        <x:v>2.3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Chionoecetes</x:v>
      </x:c>
      <x:c r="T27" s="62" t="n">
        <x:f>IF(O27="","",(1/'Metadata'!$B$5)^(O27-1))</x:f>
        <x:v>49.12912104463159</x:v>
      </x:c>
      <x:c r="U27" s="60" t="n">
        <x:f>IF(T27="","",I27*T27)</x:f>
        <x:v>499.78585460063834</x:v>
      </x:c>
    </x:row>
    <x:row r="28" ht="18" customHeight="1">
      <x:c r="A28" s="46" t="str">
        <x:v>LME_018</x:v>
      </x:c>
      <x:c r="B28" s="46" t="str">
        <x:v>Canadian Eastern Arctic -West Greenland</x:v>
      </x:c>
      <x:c r="C28" s="46" t="str">
        <x:v>LME</x:v>
      </x:c>
      <x:c r="D28" s="58" t="n">
        <x:v>2019</x:v>
      </x:c>
      <x:c r="E28" s="46" t="str">
        <x:v>Macrourus berglax</x:v>
      </x:c>
      <x:c r="F28" s="46" t="str">
        <x:v>Roughhead grenadier</x:v>
      </x:c>
      <x:c r="G28" s="46" t="str">
        <x:v>Large benthopelagics (&gt;=90 cm)</x:v>
      </x:c>
      <x:c r="H28" s="46" t="str">
        <x:v>Cod-likes</x:v>
      </x:c>
      <x:c r="I28" s="60" t="n">
        <x:v>8.2800440985</x:v>
      </x:c>
      <x:c r="J28" s="60" t="n">
        <x:v>2.8764866823</x:v>
      </x:c>
      <x:c r="K28" s="60" t="n">
        <x:v>5.4035574162</x:v>
      </x:c>
      <x:c r="L28" s="60" t="n">
        <x:v>2.8764866823</x:v>
      </x:c>
      <x:c r="M28" s="60" t="n">
        <x:v>5.4035574162</x:v>
      </x:c>
      <x:c r="N28" s="46" t="str">
        <x:v>macrourus berglax</x:v>
      </x:c>
      <x:c r="O28" s="62" t="n">
        <x:v>4.48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Macrourus berglax</x:v>
      </x:c>
      <x:c r="T28" s="62" t="n">
        <x:f>IF(O28="","",(1/'Metadata'!$B$5)^(O28-1))</x:f>
        <x:v>33696.468277717824</x:v>
      </x:c>
      <x:c r="U28" s="60" t="n">
        <x:f>IF(T28="","",I28*T28)</x:f>
        <x:v>279008.2433032099</x:v>
      </x:c>
    </x:row>
    <x:row r="29" ht="18" customHeight="1">
      <x:c r="A29" s="46" t="str">
        <x:v>LME_018</x:v>
      </x:c>
      <x:c r="B29" s="46" t="str">
        <x:v>Canadian Eastern Arctic -West Greenland</x:v>
      </x:c>
      <x:c r="C29" s="46" t="str">
        <x:v>LME</x:v>
      </x:c>
      <x:c r="D29" s="58" t="n">
        <x:v>2019</x:v>
      </x:c>
      <x:c r="E29" s="46" t="str">
        <x:v>Squalus</x:v>
      </x:c>
      <x:c r="F29" s="46" t="str">
        <x:v>Dogfishes</x:v>
      </x:c>
      <x:c r="G29" s="46" t="str">
        <x:v>Large sharks (&gt;=90 cm)</x:v>
      </x:c>
      <x:c r="H29" s="46" t="str">
        <x:v>Sharks &amp; rays</x:v>
      </x:c>
      <x:c r="I29" s="60" t="n">
        <x:v>7.163977217299999</x:v>
      </x:c>
      <x:c r="J29" s="60" t="n">
        <x:v>0</x:v>
      </x:c>
      <x:c r="K29" s="60" t="n">
        <x:v>7.163977217299999</x:v>
      </x:c>
      <x:c r="L29" s="60" t="n">
        <x:v>0</x:v>
      </x:c>
      <x:c r="M29" s="60" t="n">
        <x:v>7.163977217299999</x:v>
      </x:c>
      <x:c r="N29" s="46" t="str">
        <x:v>squalus</x:v>
      </x:c>
      <x:c r="O29" s="62" t="n">
        <x:v>4.23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Squalus</x:v>
      </x:c>
      <x:c r="T29" s="62" t="n">
        <x:f>IF(O29="","",(1/'Metadata'!$B$5)^(O29-1))</x:f>
        <x:v>15934.076063346663</x:v>
      </x:c>
      <x:c r="U29" s="60" t="n">
        <x:f>IF(T29="","",I29*T29)</x:f>
        <x:v>114151.35789654077</x:v>
      </x:c>
    </x:row>
    <x:row r="30" ht="18" customHeight="1">
      <x:c r="A30" s="46" t="str">
        <x:v>LME_018</x:v>
      </x:c>
      <x:c r="B30" s="46" t="str">
        <x:v>Canadian Eastern Arctic -West Greenland</x:v>
      </x:c>
      <x:c r="C30" s="46" t="str">
        <x:v>LME</x:v>
      </x:c>
      <x:c r="D30" s="58" t="n">
        <x:v>2019</x:v>
      </x:c>
      <x:c r="E30" s="46" t="str">
        <x:v>Anarhichas lupus</x:v>
      </x:c>
      <x:c r="F30" s="46" t="str">
        <x:v>Atlantic wolffish</x:v>
      </x:c>
      <x:c r="G30" s="46" t="str">
        <x:v>Large demersals (&gt;=90 cm)</x:v>
      </x:c>
      <x:c r="H30" s="46" t="str">
        <x:v>Perch-likes</x:v>
      </x:c>
      <x:c r="I30" s="60" t="n">
        <x:v>7.144444228</x:v>
      </x:c>
      <x:c r="J30" s="60" t="n">
        <x:v>0</x:v>
      </x:c>
      <x:c r="K30" s="60" t="n">
        <x:v>7.144444228</x:v>
      </x:c>
      <x:c r="L30" s="60" t="n">
        <x:v>0</x:v>
      </x:c>
      <x:c r="M30" s="60" t="n">
        <x:v>7.144444228</x:v>
      </x:c>
      <x:c r="N30" s="46" t="str">
        <x:v>anarhichas lupus</x:v>
      </x:c>
      <x:c r="O30" s="62" t="n">
        <x:v>3.55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Anarhichas lupus</x:v>
      </x:c>
      <x:c r="T30" s="62" t="n">
        <x:f>IF(O30="","",(1/'Metadata'!$B$5)^(O30-1))</x:f>
        <x:v>2077.9088316274606</x:v>
      </x:c>
      <x:c r="U30" s="60" t="n">
        <x:f>IF(T30="","",I30*T30)</x:f>
        <x:v>14845.503758431036</x:v>
      </x:c>
    </x:row>
    <x:row r="31" ht="18" customHeight="1">
      <x:c r="A31" s="46" t="str">
        <x:v>LME_018</x:v>
      </x:c>
      <x:c r="B31" s="46" t="str">
        <x:v>Canadian Eastern Arctic -West Greenland</x:v>
      </x:c>
      <x:c r="C31" s="46" t="str">
        <x:v>LME</x:v>
      </x:c>
      <x:c r="D31" s="58" t="n">
        <x:v>2019</x:v>
      </x:c>
      <x:c r="E31" s="46" t="str">
        <x:v>Centroscyllium fabricii</x:v>
      </x:c>
      <x:c r="F31" s="46" t="str">
        <x:v>Black dogfish</x:v>
      </x:c>
      <x:c r="G31" s="46" t="str">
        <x:v>Small to medium sharks (&lt;90 cm)</x:v>
      </x:c>
      <x:c r="H31" s="46" t="str">
        <x:v>Sharks &amp; rays</x:v>
      </x:c>
      <x:c r="I31" s="60" t="n">
        <x:v>5.3603047153</x:v>
      </x:c>
      <x:c r="J31" s="60" t="n">
        <x:v>0</x:v>
      </x:c>
      <x:c r="K31" s="60" t="n">
        <x:v>5.3603047153</x:v>
      </x:c>
      <x:c r="L31" s="60" t="n">
        <x:v>0</x:v>
      </x:c>
      <x:c r="M31" s="60" t="n">
        <x:v>5.3603047153</x:v>
      </x:c>
      <x:c r="N31" s="46" t="str">
        <x:v>centroscyllium fabricii</x:v>
      </x:c>
      <x:c r="O31" s="62" t="n">
        <x:v>3.84</x:v>
      </x:c>
      <x:c r="P31" s="46" t="str">
        <x:v>exact_2020_supplement</x:v>
      </x:c>
      <x:c r="Q31" s="62" t="str">
        <x:v>2020 supplement MeanTL</x:v>
      </x:c>
      <x:c r="R31" s="46" t="str">
        <x:v>high</x:v>
      </x:c>
      <x:c r="S31" s="46" t="str">
        <x:v>Centroscyllium fabricii</x:v>
      </x:c>
      <x:c r="T31" s="62" t="n">
        <x:f>IF(O31="","",(1/'Metadata'!$B$5)^(O31-1))</x:f>
        <x:v>4953.648510535111</x:v>
      </x:c>
      <x:c r="U31" s="60" t="n">
        <x:f>IF(T31="","",I31*T31)</x:f>
        <x:v>26553.065468960176</x:v>
      </x:c>
    </x:row>
    <x:row r="32" ht="18" customHeight="1">
      <x:c r="A32" s="46" t="str">
        <x:v>LME_018</x:v>
      </x:c>
      <x:c r="B32" s="46" t="str">
        <x:v>Canadian Eastern Arctic -West Greenland</x:v>
      </x:c>
      <x:c r="C32" s="46" t="str">
        <x:v>LME</x:v>
      </x:c>
      <x:c r="D32" s="58" t="n">
        <x:v>2019</x:v>
      </x:c>
      <x:c r="E32" s="46" t="str">
        <x:v>Clupea harengus</x:v>
      </x:c>
      <x:c r="F32" s="46" t="str">
        <x:v>Atlantic herring</x:v>
      </x:c>
      <x:c r="G32" s="46" t="str">
        <x:v>Medium pelagics (30 - 89 cm)</x:v>
      </x:c>
      <x:c r="H32" s="46" t="str">
        <x:v>Herring-likes</x:v>
      </x:c>
      <x:c r="I32" s="60" t="n">
        <x:v>5.2252798923</x:v>
      </x:c>
      <x:c r="J32" s="60" t="n">
        <x:v>0</x:v>
      </x:c>
      <x:c r="K32" s="60" t="n">
        <x:v>5.2252798923</x:v>
      </x:c>
      <x:c r="L32" s="60" t="n">
        <x:v>0</x:v>
      </x:c>
      <x:c r="M32" s="60" t="n">
        <x:v>5.2252798923</x:v>
      </x:c>
      <x:c r="N32" s="46" t="str">
        <x:v>clupea harengus</x:v>
      </x:c>
      <x:c r="O32" s="62" t="n">
        <x:v>3.38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Clupea harengus</x:v>
      </x:c>
      <x:c r="T32" s="62" t="n">
        <x:f>IF(O32="","",(1/'Metadata'!$B$5)^(O32-1))</x:f>
        <x:v>1248.6806726928048</x:v>
      </x:c>
      <x:c r="U32" s="60" t="n">
        <x:f>IF(T32="","",I32*T32)</x:f>
        <x:v>6524.706010925351</x:v>
      </x:c>
    </x:row>
    <x:row r="33" ht="18" customHeight="1">
      <x:c r="A33" s="46" t="str">
        <x:v>LME_018</x:v>
      </x:c>
      <x:c r="B33" s="46" t="str">
        <x:v>Canadian Eastern Arctic -West Greenland</x:v>
      </x:c>
      <x:c r="C33" s="46" t="str">
        <x:v>LME</x:v>
      </x:c>
      <x:c r="D33" s="58" t="n">
        <x:v>2019</x:v>
      </x:c>
      <x:c r="E33" s="46" t="str">
        <x:v>Sebastes norvegicus</x:v>
      </x:c>
      <x:c r="F33" s="46" t="str">
        <x:v>Golden redfish</x:v>
      </x:c>
      <x:c r="G33" s="46" t="str">
        <x:v>Medium benthopelagics (30 - 89 cm)</x:v>
      </x:c>
      <x:c r="H33" s="46" t="str">
        <x:v>Scorpionfishes</x:v>
      </x:c>
      <x:c r="I33" s="60" t="n">
        <x:v>3.9071667604</x:v>
      </x:c>
      <x:c r="J33" s="60" t="n">
        <x:v>0.9986015739999999</x:v>
      </x:c>
      <x:c r="K33" s="60" t="n">
        <x:v>2.9085651864</x:v>
      </x:c>
      <x:c r="L33" s="60" t="n">
        <x:v>0.9986015739999999</x:v>
      </x:c>
      <x:c r="M33" s="60" t="n">
        <x:v>2.9085651864</x:v>
      </x:c>
      <x:c r="N33" s="46" t="str">
        <x:v>sebastes norvegicus</x:v>
      </x:c>
      <x:c r="O33" s="62" t="n">
        <x:v>4.04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Sebastes norvegicus</x:v>
      </x:c>
      <x:c r="T33" s="62" t="n">
        <x:f>IF(O33="","",(1/'Metadata'!$B$5)^(O33-1))</x:f>
        <x:v>9018.435152653688</x:v>
      </x:c>
      <x:c r="U33" s="60" t="n">
        <x:f>IF(T33="","",I33*T33)</x:f>
        <x:v>35236.53005927139</x:v>
      </x:c>
    </x:row>
    <x:row r="34" ht="18" customHeight="1">
      <x:c r="A34" s="46" t="str">
        <x:v>LME_018</x:v>
      </x:c>
      <x:c r="B34" s="46" t="str">
        <x:v>Canadian Eastern Arctic -West Greenland</x:v>
      </x:c>
      <x:c r="C34" s="46" t="str">
        <x:v>LME</x:v>
      </x:c>
      <x:c r="D34" s="58" t="n">
        <x:v>2019</x:v>
      </x:c>
      <x:c r="E34" s="46" t="str">
        <x:v>Brachyura</x:v>
      </x:c>
      <x:c r="F34" s="46" t="str">
        <x:v>Marine crabs</x:v>
      </x:c>
      <x:c r="G34" s="46" t="str">
        <x:v>Lobsters, crabs</x:v>
      </x:c>
      <x:c r="H34" s="46" t="str">
        <x:v>Crustaceans</x:v>
      </x:c>
      <x:c r="I34" s="60" t="n">
        <x:v>3.1915580009</x:v>
      </x:c>
      <x:c r="J34" s="60" t="n">
        <x:v>0</x:v>
      </x:c>
      <x:c r="K34" s="60" t="n">
        <x:v>3.1915580009</x:v>
      </x:c>
      <x:c r="L34" s="60" t="n">
        <x:v>0</x:v>
      </x:c>
      <x:c r="M34" s="60" t="n">
        <x:v>3.1915580009</x:v>
      </x:c>
      <x:c r="N34" s="46" t="str">
        <x:v>brachyura</x:v>
      </x:c>
      <x:c r="O34" s="62" t="n">
        <x:v>2.6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Brachyura</x:v>
      </x:c>
      <x:c r="T34" s="62" t="n">
        <x:f>IF(O34="","",(1/'Metadata'!$B$5)^(O34-1))</x:f>
        <x:v>120.6835267309033</x:v>
      </x:c>
      <x:c r="U34" s="60" t="n">
        <x:f>IF(T34="","",I34*T34)</x:f>
        <x:v>385.1684753148435</x:v>
      </x:c>
    </x:row>
    <x:row r="35" ht="18" customHeight="1">
      <x:c r="A35" s="46" t="str">
        <x:v>LME_018</x:v>
      </x:c>
      <x:c r="B35" s="46" t="str">
        <x:v>Canadian Eastern Arctic -West Greenland</x:v>
      </x:c>
      <x:c r="C35" s="46" t="str">
        <x:v>LME</x:v>
      </x:c>
      <x:c r="D35" s="58" t="n">
        <x:v>2019</x:v>
      </x:c>
      <x:c r="E35" s="46" t="str">
        <x:v>Glyptocephalus cynoglossus</x:v>
      </x:c>
      <x:c r="F35" s="46" t="str">
        <x:v>Witch flounder</x:v>
      </x:c>
      <x:c r="G35" s="46" t="str">
        <x:v>Small to medium flatfishes (&lt;90 cm)</x:v>
      </x:c>
      <x:c r="H35" s="46" t="str">
        <x:v>Flatfishes</x:v>
      </x:c>
      <x:c r="I35" s="60" t="n">
        <x:v>3.0358902134</x:v>
      </x:c>
      <x:c r="J35" s="60" t="n">
        <x:v>0</x:v>
      </x:c>
      <x:c r="K35" s="60" t="n">
        <x:v>3.0358902134</x:v>
      </x:c>
      <x:c r="L35" s="60" t="n">
        <x:v>0</x:v>
      </x:c>
      <x:c r="M35" s="60" t="n">
        <x:v>3.0358902134</x:v>
      </x:c>
      <x:c r="N35" s="46" t="str">
        <x:v>glyptocephalus cynoglossus</x:v>
      </x:c>
      <x:c r="O35" s="62" t="n">
        <x:v>3.17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Glyptocephalus cynoglossus</x:v>
      </x:c>
      <x:c r="T35" s="62" t="n">
        <x:f>IF(O35="","",(1/'Metadata'!$B$5)^(O35-1))</x:f>
        <x:v>665.6333767532121</x:v>
      </x:c>
      <x:c r="U35" s="60" t="n">
        <x:f>IF(T35="","",I35*T35)</x:f>
        <x:v>2020.7898541974719</x:v>
      </x:c>
    </x:row>
    <x:row r="36" ht="18" customHeight="1">
      <x:c r="A36" s="46" t="str">
        <x:v>LME_018</x:v>
      </x:c>
      <x:c r="B36" s="46" t="str">
        <x:v>Canadian Eastern Arctic -West Greenland</x:v>
      </x:c>
      <x:c r="C36" s="46" t="str">
        <x:v>LME</x:v>
      </x:c>
      <x:c r="D36" s="58" t="n">
        <x:v>2019</x:v>
      </x:c>
      <x:c r="E36" s="46" t="str">
        <x:v>Coryphaenoides</x:v>
      </x:c>
      <x:c r="F36" s="46" t="str">
        <x:v>Grenadiers</x:v>
      </x:c>
      <x:c r="G36" s="46" t="str">
        <x:v>Large bathypelagics (&gt;=90 cm)</x:v>
      </x:c>
      <x:c r="H36" s="46" t="str">
        <x:v>Cod-likes</x:v>
      </x:c>
      <x:c r="I36" s="60" t="n">
        <x:v>2.5845535633</x:v>
      </x:c>
      <x:c r="J36" s="60" t="n">
        <x:v>0</x:v>
      </x:c>
      <x:c r="K36" s="60" t="n">
        <x:v>2.5845535633</x:v>
      </x:c>
      <x:c r="L36" s="60" t="n">
        <x:v>0</x:v>
      </x:c>
      <x:c r="M36" s="60" t="n">
        <x:v>2.5845535633</x:v>
      </x:c>
      <x:c r="N36" s="46" t="str">
        <x:v>coryphaenoides</x:v>
      </x:c>
      <x:c r="O36" s="62" t="n">
        <x:v>3.97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Coryphaenoides</x:v>
      </x:c>
      <x:c r="T36" s="62" t="n">
        <x:f>IF(O36="","",(1/'Metadata'!$B$5)^(O36-1))</x:f>
        <x:v>7312.385640086951</x:v>
      </x:c>
      <x:c r="U36" s="60" t="n">
        <x:f>IF(T36="","",I36*T36)</x:f>
        <x:v>18899.25236231048</x:v>
      </x:c>
    </x:row>
    <x:row r="37" ht="18" customHeight="1">
      <x:c r="A37" s="46" t="str">
        <x:v>LME_018</x:v>
      </x:c>
      <x:c r="B37" s="46" t="str">
        <x:v>Canadian Eastern Arctic -West Greenland</x:v>
      </x:c>
      <x:c r="C37" s="46" t="str">
        <x:v>LME</x:v>
      </x:c>
      <x:c r="D37" s="58" t="n">
        <x:v>2019</x:v>
      </x:c>
      <x:c r="E37" s="46" t="str">
        <x:v>Osmerus mordax</x:v>
      </x:c>
      <x:c r="F37" s="46" t="str">
        <x:v>Rainbow smelt</x:v>
      </x:c>
      <x:c r="G37" s="46" t="str">
        <x:v>Small pelagics (&lt;30 cm)</x:v>
      </x:c>
      <x:c r="H37" s="46" t="str">
        <x:v>Salmon, smelts, etc</x:v>
      </x:c>
      <x:c r="I37" s="60" t="n">
        <x:v>2.4329244832</x:v>
      </x:c>
      <x:c r="J37" s="60" t="n">
        <x:v>0</x:v>
      </x:c>
      <x:c r="K37" s="60" t="n">
        <x:v>2.4329244832</x:v>
      </x:c>
      <x:c r="L37" s="60" t="n">
        <x:v>0</x:v>
      </x:c>
      <x:c r="M37" s="60" t="n">
        <x:v>2.4329244832</x:v>
      </x:c>
      <x:c r="N37" s="46" t="str">
        <x:v>osmerus mordax</x:v>
      </x:c>
      <x:c r="O37" s="62" t="n">
        <x:v>3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Osmerus mordax</x:v>
      </x:c>
      <x:c r="T37" s="62" t="n">
        <x:f>IF(O37="","",(1/'Metadata'!$B$5)^(O37-1))</x:f>
        <x:v>400</x:v>
      </x:c>
      <x:c r="U37" s="60" t="n">
        <x:f>IF(T37="","",I37*T37)</x:f>
        <x:v>973.1697932799999</x:v>
      </x:c>
    </x:row>
    <x:row r="38" ht="18" customHeight="1">
      <x:c r="A38" s="46" t="str">
        <x:v>LME_018</x:v>
      </x:c>
      <x:c r="B38" s="46" t="str">
        <x:v>Canadian Eastern Arctic -West Greenland</x:v>
      </x:c>
      <x:c r="C38" s="46" t="str">
        <x:v>LME</x:v>
      </x:c>
      <x:c r="D38" s="58" t="n">
        <x:v>2019</x:v>
      </x:c>
      <x:c r="E38" s="46" t="str">
        <x:v>Squalidae</x:v>
      </x:c>
      <x:c r="F38" s="46" t="str">
        <x:v>Dogfish sharks</x:v>
      </x:c>
      <x:c r="G38" s="46" t="str">
        <x:v>Large sharks (&gt;=90 cm)</x:v>
      </x:c>
      <x:c r="H38" s="46" t="str">
        <x:v>Sharks &amp; rays</x:v>
      </x:c>
      <x:c r="I38" s="60" t="n">
        <x:v>1.966202682</x:v>
      </x:c>
      <x:c r="J38" s="60" t="n">
        <x:v>1.966202682</x:v>
      </x:c>
      <x:c r="K38" s="60" t="n">
        <x:v>0</x:v>
      </x:c>
      <x:c r="L38" s="60" t="n">
        <x:v>1.966202682</x:v>
      </x:c>
      <x:c r="M38" s="60" t="n">
        <x:v>0</x:v>
      </x:c>
      <x:c r="N38" s="46" t="str">
        <x:v>squalidae</x:v>
      </x:c>
      <x:c r="O38" s="62" t="n">
        <x:v>4.23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Squalidae</x:v>
      </x:c>
      <x:c r="T38" s="62" t="n">
        <x:f>IF(O38="","",(1/'Metadata'!$B$5)^(O38-1))</x:f>
        <x:v>15934.076063346663</x:v>
      </x:c>
      <x:c r="U38" s="60" t="n">
        <x:f>IF(T38="","",I38*T38)</x:f>
        <x:v>31329.623090944213</x:v>
      </x:c>
    </x:row>
    <x:row r="39" ht="18" customHeight="1">
      <x:c r="A39" s="46" t="str">
        <x:v>LME_018</x:v>
      </x:c>
      <x:c r="B39" s="46" t="str">
        <x:v>Canadian Eastern Arctic -West Greenland</x:v>
      </x:c>
      <x:c r="C39" s="46" t="str">
        <x:v>LME</x:v>
      </x:c>
      <x:c r="D39" s="58" t="n">
        <x:v>2019</x:v>
      </x:c>
      <x:c r="E39" s="46" t="str">
        <x:v>Buccinum undatum</x:v>
      </x:c>
      <x:c r="F39" s="46" t="str">
        <x:v>Whelk</x:v>
      </x:c>
      <x:c r="G39" s="46" t="str">
        <x:v>Other demersal invertebrates</x:v>
      </x:c>
      <x:c r="H39" s="46" t="str">
        <x:v>Molluscs</x:v>
      </x:c>
      <x:c r="I39" s="60" t="n">
        <x:v>1.3327000586</x:v>
      </x:c>
      <x:c r="J39" s="60" t="n">
        <x:v>0</x:v>
      </x:c>
      <x:c r="K39" s="60" t="n">
        <x:v>1.3327000586</x:v>
      </x:c>
      <x:c r="L39" s="60" t="n">
        <x:v>0</x:v>
      </x:c>
      <x:c r="M39" s="60" t="n">
        <x:v>1.3327000586</x:v>
      </x:c>
      <x:c r="N39" s="46" t="str">
        <x:v>buccinum undatum</x:v>
      </x:c>
      <x:c r="O39" s="62" t="n">
        <x:v>3.75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Buccinum undatum</x:v>
      </x:c>
      <x:c r="T39" s="62" t="n">
        <x:f>IF(O39="","",(1/'Metadata'!$B$5)^(O39-1))</x:f>
        <x:v>3782.966436012703</x:v>
      </x:c>
      <x:c r="U39" s="60" t="n">
        <x:f>IF(T39="","",I39*T39)</x:f>
        <x:v>5041.559590955962</x:v>
      </x:c>
    </x:row>
    <x:row r="40" ht="18" customHeight="1">
      <x:c r="A40" s="46" t="str">
        <x:v>LME_018</x:v>
      </x:c>
      <x:c r="B40" s="46" t="str">
        <x:v>Canadian Eastern Arctic -West Greenland</x:v>
      </x:c>
      <x:c r="C40" s="46" t="str">
        <x:v>LME</x:v>
      </x:c>
      <x:c r="D40" s="58" t="n">
        <x:v>2019</x:v>
      </x:c>
      <x:c r="E40" s="46" t="str">
        <x:v>Pollachius virens</x:v>
      </x:c>
      <x:c r="F40" s="46" t="str">
        <x:v>Saithe</x:v>
      </x:c>
      <x:c r="G40" s="46" t="str">
        <x:v>Large demersals (&gt;=90 cm)</x:v>
      </x:c>
      <x:c r="H40" s="46" t="str">
        <x:v>Cod-likes</x:v>
      </x:c>
      <x:c r="I40" s="60" t="n">
        <x:v>0.9199061134</x:v>
      </x:c>
      <x:c r="J40" s="60" t="n">
        <x:v>0</x:v>
      </x:c>
      <x:c r="K40" s="60" t="n">
        <x:v>0.9199061134</x:v>
      </x:c>
      <x:c r="L40" s="60" t="n">
        <x:v>0</x:v>
      </x:c>
      <x:c r="M40" s="60" t="n">
        <x:v>0.9199061134</x:v>
      </x:c>
      <x:c r="N40" s="46" t="str">
        <x:v>pollachius virens</x:v>
      </x:c>
      <x:c r="O40" s="62" t="n">
        <x:v>4.31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Pollachius virens</x:v>
      </x:c>
      <x:c r="T40" s="62" t="n">
        <x:f>IF(O40="","",(1/'Metadata'!$B$5)^(O40-1))</x:f>
        <x:v>20249.266010115305</x:v>
      </x:c>
      <x:c r="U40" s="60" t="n">
        <x:f>IF(T40="","",I40*T40)</x:f>
        <x:v>18627.423594567896</x:v>
      </x:c>
    </x:row>
    <x:row r="41" ht="18" customHeight="1">
      <x:c r="A41" s="46" t="str">
        <x:v>LME_018</x:v>
      </x:c>
      <x:c r="B41" s="46" t="str">
        <x:v>Canadian Eastern Arctic -West Greenland</x:v>
      </x:c>
      <x:c r="C41" s="46" t="str">
        <x:v>LME</x:v>
      </x:c>
      <x:c r="D41" s="58" t="n">
        <x:v>2019</x:v>
      </x:c>
      <x:c r="E41" s="46" t="str">
        <x:v>Cottidae</x:v>
      </x:c>
      <x:c r="F41" s="46" t="str">
        <x:v>Sculpins</x:v>
      </x:c>
      <x:c r="G41" s="46" t="str">
        <x:v>Large reef assoc. fish (&gt;=90 cm)</x:v>
      </x:c>
      <x:c r="H41" s="46" t="str">
        <x:v>Scorpionfishes</x:v>
      </x:c>
      <x:c r="I41" s="60" t="n">
        <x:v>0.8042130376000001</x:v>
      </x:c>
      <x:c r="J41" s="60" t="n">
        <x:v>0.0002463184</x:v>
      </x:c>
      <x:c r="K41" s="60" t="n">
        <x:v>0.8039667192</x:v>
      </x:c>
      <x:c r="L41" s="60" t="n">
        <x:v>0</x:v>
      </x:c>
      <x:c r="M41" s="60" t="n">
        <x:v>0.8042130376000001</x:v>
      </x:c>
      <x:c r="N41" s="46" t="str">
        <x:v>cottidae</x:v>
      </x:c>
      <x:c r="O41" s="62" t="n">
        <x:v>3.81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Cottidae</x:v>
      </x:c>
      <x:c r="T41" s="62" t="n">
        <x:f>IF(O41="","",(1/'Metadata'!$B$5)^(O41-1))</x:f>
        <x:v>4527.873529309382</x:v>
      </x:c>
      <x:c r="U41" s="60" t="n">
        <x:f>IF(T41="","",I41*T41)</x:f>
        <x:v>3641.374924874531</x:v>
      </x:c>
    </x:row>
    <x:row r="42" ht="18" customHeight="1">
      <x:c r="A42" s="46" t="str">
        <x:v>LME_018</x:v>
      </x:c>
      <x:c r="B42" s="46" t="str">
        <x:v>Canadian Eastern Arctic -West Greenland</x:v>
      </x:c>
      <x:c r="C42" s="46" t="str">
        <x:v>LME</x:v>
      </x:c>
      <x:c r="D42" s="58" t="n">
        <x:v>2019</x:v>
      </x:c>
      <x:c r="E42" s="46" t="str">
        <x:v>Molva dypterygia</x:v>
      </x:c>
      <x:c r="F42" s="46" t="str">
        <x:v>Blue ling</x:v>
      </x:c>
      <x:c r="G42" s="46" t="str">
        <x:v>Large demersals (&gt;=90 cm)</x:v>
      </x:c>
      <x:c r="H42" s="46" t="str">
        <x:v>Cod-likes</x:v>
      </x:c>
      <x:c r="I42" s="60" t="n">
        <x:v>0.7046986105</x:v>
      </x:c>
      <x:c r="J42" s="60" t="n">
        <x:v>0</x:v>
      </x:c>
      <x:c r="K42" s="60" t="n">
        <x:v>0.7046986105</x:v>
      </x:c>
      <x:c r="L42" s="60" t="n">
        <x:v>0</x:v>
      </x:c>
      <x:c r="M42" s="60" t="n">
        <x:v>0.7046986105</x:v>
      </x:c>
      <x:c r="N42" s="46" t="str">
        <x:v>molva dypterygia</x:v>
      </x:c>
      <x:c r="O42" s="62" t="n">
        <x:v>4.49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Molva dypterygia</x:v>
      </x:c>
      <x:c r="T42" s="62" t="n">
        <x:f>IF(O42="","",(1/'Metadata'!$B$5)^(O42-1))</x:f>
        <x:v>34721.19667768202</x:v>
      </x:c>
      <x:c r="U42" s="60" t="n">
        <x:f>IF(T42="","",I42*T42)</x:f>
        <x:v>24467.979053659736</x:v>
      </x:c>
    </x:row>
    <x:row r="43" ht="18" customHeight="1">
      <x:c r="A43" s="46" t="str">
        <x:v>LME_018</x:v>
      </x:c>
      <x:c r="B43" s="46" t="str">
        <x:v>Canadian Eastern Arctic -West Greenland</x:v>
      </x:c>
      <x:c r="C43" s="46" t="str">
        <x:v>LME</x:v>
      </x:c>
      <x:c r="D43" s="58" t="n">
        <x:v>2019</x:v>
      </x:c>
      <x:c r="E43" s="46" t="str">
        <x:v>Salvelinus</x:v>
      </x:c>
      <x:c r="F43" s="46" t="str">
        <x:v>Chars</x:v>
      </x:c>
      <x:c r="G43" s="46" t="str">
        <x:v>Large benthopelagics (&gt;=90 cm)</x:v>
      </x:c>
      <x:c r="H43" s="46" t="str">
        <x:v>Salmon, smelts, etc</x:v>
      </x:c>
      <x:c r="I43" s="60" t="n">
        <x:v>0.5197307766</x:v>
      </x:c>
      <x:c r="J43" s="60" t="n">
        <x:v>0.5197307766</x:v>
      </x:c>
      <x:c r="K43" s="60" t="n">
        <x:v>0</x:v>
      </x:c>
      <x:c r="L43" s="60" t="n">
        <x:v>0</x:v>
      </x:c>
      <x:c r="M43" s="60" t="n">
        <x:v>0.5197307766</x:v>
      </x:c>
      <x:c r="N43" s="46" t="str">
        <x:v>salvelinus</x:v>
      </x:c>
      <x:c r="O43" s="62" t="n">
        <x:v>4.1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Salvelinus</x:v>
      </x:c>
      <x:c r="T43" s="62" t="n">
        <x:f>IF(O43="","",(1/'Metadata'!$B$5)^(O43-1))</x:f>
        <x:v>10794.262781388496</x:v>
      </x:c>
      <x:c r="U43" s="60" t="n">
        <x:f>IF(T43="","",I43*T43)</x:f>
        <x:v>5610.110578195518</x:v>
      </x:c>
    </x:row>
    <x:row r="44" ht="18" customHeight="1">
      <x:c r="A44" s="46" t="str">
        <x:v>LME_018</x:v>
      </x:c>
      <x:c r="B44" s="46" t="str">
        <x:v>Canadian Eastern Arctic -West Greenland</x:v>
      </x:c>
      <x:c r="C44" s="46" t="str">
        <x:v>LME</x:v>
      </x:c>
      <x:c r="D44" s="58" t="n">
        <x:v>2019</x:v>
      </x:c>
      <x:c r="E44" s="46" t="str">
        <x:v>Strongylocentrotus droebachiensis</x:v>
      </x:c>
      <x:c r="F44" s="46" t="str">
        <x:v>Green sea urchin</x:v>
      </x:c>
      <x:c r="G44" s="46" t="str">
        <x:v>Other demersal invertebrates</x:v>
      </x:c>
      <x:c r="H44" s="46" t="str">
        <x:v>Other fishes &amp; inverts</x:v>
      </x:c>
      <x:c r="I44" s="60" t="n">
        <x:v>0.5072555494</x:v>
      </x:c>
      <x:c r="J44" s="60" t="n">
        <x:v>0</x:v>
      </x:c>
      <x:c r="K44" s="60" t="n">
        <x:v>0.5072555494</x:v>
      </x:c>
      <x:c r="L44" s="60" t="n">
        <x:v>0</x:v>
      </x:c>
      <x:c r="M44" s="60" t="n">
        <x:v>0.5072555494</x:v>
      </x:c>
      <x:c r="N44" s="46" t="str">
        <x:v>strongylocentrotus droebachiensis</x:v>
      </x:c>
      <x:c r="O44" s="62" t="n">
        <x:v>2.3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Strongylocentrotus droebachiensis</x:v>
      </x:c>
      <x:c r="T44" s="62" t="n">
        <x:f>IF(O44="","",(1/'Metadata'!$B$5)^(O44-1))</x:f>
        <x:v>49.12912104463159</x:v>
      </x:c>
      <x:c r="U44" s="60" t="n">
        <x:f>IF(T44="","",I44*T44)</x:f>
        <x:v>24.921019287033698</x:v>
      </x:c>
    </x:row>
    <x:row r="45" ht="18" customHeight="1">
      <x:c r="A45" s="46" t="str">
        <x:v>LME_018</x:v>
      </x:c>
      <x:c r="B45" s="46" t="str">
        <x:v>Canadian Eastern Arctic -West Greenland</x:v>
      </x:c>
      <x:c r="C45" s="46" t="str">
        <x:v>LME</x:v>
      </x:c>
      <x:c r="D45" s="58" t="n">
        <x:v>2019</x:v>
      </x:c>
      <x:c r="E45" s="46" t="str">
        <x:v>Scorpaeniformes</x:v>
      </x:c>
      <x:c r="F45" s="46" t="str">
        <x:v>Scorpionfishes, flatheads</x:v>
      </x:c>
      <x:c r="G45" s="46" t="str">
        <x:v>Medium demersals (30 - 89 cm)</x:v>
      </x:c>
      <x:c r="H45" s="46" t="str">
        <x:v>Scorpionfishes</x:v>
      </x:c>
      <x:c r="I45" s="60" t="n">
        <x:v>0.3782963897</x:v>
      </x:c>
      <x:c r="J45" s="60" t="n">
        <x:v>0</x:v>
      </x:c>
      <x:c r="K45" s="60" t="n">
        <x:v>0.3782963897</x:v>
      </x:c>
      <x:c r="L45" s="60" t="n">
        <x:v>0</x:v>
      </x:c>
      <x:c r="M45" s="60" t="n">
        <x:v>0.3782963897</x:v>
      </x:c>
      <x:c r="N45" s="46" t="str">
        <x:v>scorpaeniformes</x:v>
      </x:c>
      <x:c r="O45" s="62" t="n">
        <x:v>3.78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Scorpaeniformes</x:v>
      </x:c>
      <x:c r="T45" s="62" t="n">
        <x:f>IF(O45="","",(1/'Metadata'!$B$5)^(O45-1))</x:f>
        <x:v>4138.694671981463</x:v>
      </x:c>
      <x:c r="U45" s="60" t="n">
        <x:f>IF(T45="","",I45*T45)</x:f>
        <x:v>1565.6532524812133</x:v>
      </x:c>
    </x:row>
    <x:row r="46" ht="18" customHeight="1">
      <x:c r="A46" s="46" t="str">
        <x:v>LME_018</x:v>
      </x:c>
      <x:c r="B46" s="46" t="str">
        <x:v>Canadian Eastern Arctic -West Greenland</x:v>
      </x:c>
      <x:c r="C46" s="46" t="str">
        <x:v>LME</x:v>
      </x:c>
      <x:c r="D46" s="58" t="n">
        <x:v>2019</x:v>
      </x:c>
      <x:c r="E46" s="46" t="str">
        <x:v>Myxinidae</x:v>
      </x:c>
      <x:c r="F46" s="46" t="str">
        <x:v>Hagfishes</x:v>
      </x:c>
      <x:c r="G46" s="46" t="str">
        <x:v>Medium bathydemersals (30 - 89 cm)</x:v>
      </x:c>
      <x:c r="H46" s="46" t="str">
        <x:v>Other fishes &amp; inverts</x:v>
      </x:c>
      <x:c r="I46" s="60" t="n">
        <x:v>0.2907777922</x:v>
      </x:c>
      <x:c r="J46" s="60" t="n">
        <x:v>0</x:v>
      </x:c>
      <x:c r="K46" s="60" t="n">
        <x:v>0.2907777922</x:v>
      </x:c>
      <x:c r="L46" s="60" t="n">
        <x:v>0</x:v>
      </x:c>
      <x:c r="M46" s="60" t="n">
        <x:v>0.2907777922</x:v>
      </x:c>
      <x:c r="N46" s="46" t="str">
        <x:v>myxinidae</x:v>
      </x:c>
      <x:c r="O46" s="62" t="n">
        <x:v>3.45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Myxinidae</x:v>
      </x:c>
      <x:c r="T46" s="62" t="n">
        <x:f>IF(O46="","",(1/'Metadata'!$B$5)^(O46-1))</x:f>
        <x:v>1540.009817222681</x:v>
      </x:c>
      <x:c r="U46" s="60" t="n">
        <x:f>IF(T46="","",I46*T46)</x:f>
        <x:v>447.8006546183367</x:v>
      </x:c>
    </x:row>
    <x:row r="47" ht="18" customHeight="1">
      <x:c r="A47" s="46" t="str">
        <x:v>LME_018</x:v>
      </x:c>
      <x:c r="B47" s="46" t="str">
        <x:v>Canadian Eastern Arctic -West Greenland</x:v>
      </x:c>
      <x:c r="C47" s="46" t="str">
        <x:v>LME</x:v>
      </x:c>
      <x:c r="D47" s="58" t="n">
        <x:v>2019</x:v>
      </x:c>
      <x:c r="E47" s="46" t="str">
        <x:v>Gadiformes</x:v>
      </x:c>
      <x:c r="F47" s="46" t="str">
        <x:v>Cods</x:v>
      </x:c>
      <x:c r="G47" s="46" t="str">
        <x:v>Medium benthopelagics (30 - 89 cm)</x:v>
      </x:c>
      <x:c r="H47" s="46" t="str">
        <x:v>Cod-likes</x:v>
      </x:c>
      <x:c r="I47" s="60" t="n">
        <x:v>0.236611511</x:v>
      </x:c>
      <x:c r="J47" s="60" t="n">
        <x:v>0</x:v>
      </x:c>
      <x:c r="K47" s="60" t="n">
        <x:v>0.236611511</x:v>
      </x:c>
      <x:c r="L47" s="60" t="n">
        <x:v>0</x:v>
      </x:c>
      <x:c r="M47" s="60" t="n">
        <x:v>0.236611511</x:v>
      </x:c>
      <x:c r="N47" s="46" t="str">
        <x:v>gadiformes</x:v>
      </x:c>
      <x:c r="O47" s="62" t="n">
        <x:v>3.91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Gadiformes</x:v>
      </x:c>
      <x:c r="T47" s="62" t="n">
        <x:f>IF(O47="","",(1/'Metadata'!$B$5)^(O47-1))</x:f>
        <x:v>6109.382089532312</x:v>
      </x:c>
      <x:c r="U47" s="60" t="n">
        <x:f>IF(T47="","",I47*T47)</x:f>
        <x:v>1445.5501274805777</x:v>
      </x:c>
    </x:row>
    <x:row r="48" ht="18" customHeight="1">
      <x:c r="A48" s="46" t="str">
        <x:v>LME_018</x:v>
      </x:c>
      <x:c r="B48" s="46" t="str">
        <x:v>Canadian Eastern Arctic -West Greenland</x:v>
      </x:c>
      <x:c r="C48" s="46" t="str">
        <x:v>LME</x:v>
      </x:c>
      <x:c r="D48" s="58" t="n">
        <x:v>2019</x:v>
      </x:c>
      <x:c r="E48" s="46" t="str">
        <x:v>Gadidae</x:v>
      </x:c>
      <x:c r="F48" s="46" t="str">
        <x:v>Cods, haddocks</x:v>
      </x:c>
      <x:c r="G48" s="46" t="str">
        <x:v>Medium demersals (30 - 89 cm)</x:v>
      </x:c>
      <x:c r="H48" s="46" t="str">
        <x:v>Cod-likes</x:v>
      </x:c>
      <x:c r="I48" s="60" t="n">
        <x:v>0.1937720352</x:v>
      </x:c>
      <x:c r="J48" s="60" t="n">
        <x:v>0.0464925229</x:v>
      </x:c>
      <x:c r="K48" s="60" t="n">
        <x:v>0.1472795123</x:v>
      </x:c>
      <x:c r="L48" s="60" t="n">
        <x:v>0</x:v>
      </x:c>
      <x:c r="M48" s="60" t="n">
        <x:v>0.1937720352</x:v>
      </x:c>
      <x:c r="N48" s="46" t="str">
        <x:v>gadidae</x:v>
      </x:c>
      <x:c r="O48" s="62" t="n">
        <x:v>3.84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Gadidae</x:v>
      </x:c>
      <x:c r="T48" s="62" t="n">
        <x:f>IF(O48="","",(1/'Metadata'!$B$5)^(O48-1))</x:f>
        <x:v>4953.648510535111</x:v>
      </x:c>
      <x:c r="U48" s="60" t="n">
        <x:f>IF(T48="","",I48*T48)</x:f>
        <x:v>959.8785535518372</x:v>
      </x:c>
    </x:row>
    <x:row r="49" ht="18" customHeight="1">
      <x:c r="A49" s="46" t="str">
        <x:v>LME_018</x:v>
      </x:c>
      <x:c r="B49" s="46" t="str">
        <x:v>Canadian Eastern Arctic -West Greenland</x:v>
      </x:c>
      <x:c r="C49" s="46" t="str">
        <x:v>LME</x:v>
      </x:c>
      <x:c r="D49" s="58" t="n">
        <x:v>2019</x:v>
      </x:c>
      <x:c r="E49" s="46" t="str">
        <x:v>Coregonus</x:v>
      </x:c>
      <x:c r="F49" s="46" t="str">
        <x:v>Whitefishes</x:v>
      </x:c>
      <x:c r="G49" s="46" t="str">
        <x:v>Medium pelagics (30 - 89 cm)</x:v>
      </x:c>
      <x:c r="H49" s="46" t="str">
        <x:v>Salmon, smelts, etc</x:v>
      </x:c>
      <x:c r="I49" s="60" t="n">
        <x:v>0.1445168056</x:v>
      </x:c>
      <x:c r="J49" s="60" t="n">
        <x:v>0.1445168056</x:v>
      </x:c>
      <x:c r="K49" s="60" t="n">
        <x:v>0</x:v>
      </x:c>
      <x:c r="L49" s="60" t="n">
        <x:v>0</x:v>
      </x:c>
      <x:c r="M49" s="60" t="n">
        <x:v>0.1445168056</x:v>
      </x:c>
      <x:c r="N49" s="46" t="str">
        <x:v>coregonus</x:v>
      </x:c>
      <x:c r="O49" s="62" t="n">
        <x:v>3.3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Coregonus</x:v>
      </x:c>
      <x:c r="T49" s="62" t="n">
        <x:f>IF(O49="","",(1/'Metadata'!$B$5)^(O49-1))</x:f>
        <x:v>982.5824208926318</x:v>
      </x:c>
      <x:c r="U49" s="60" t="n">
        <x:f>IF(T49="","",I49*T49)</x:f>
        <x:v>141.99967270611785</x:v>
      </x:c>
    </x:row>
    <x:row r="50" ht="18" customHeight="1">
      <x:c r="A50" s="46" t="str">
        <x:v>LME_018</x:v>
      </x:c>
      <x:c r="B50" s="46" t="str">
        <x:v>Canadian Eastern Arctic -West Greenland</x:v>
      </x:c>
      <x:c r="C50" s="46" t="str">
        <x:v>LME</x:v>
      </x:c>
      <x:c r="D50" s="58" t="n">
        <x:v>2019</x:v>
      </x:c>
      <x:c r="E50" s="46" t="str">
        <x:v>Melanogrammus aeglefinus</x:v>
      </x:c>
      <x:c r="F50" s="46" t="str">
        <x:v>Haddock</x:v>
      </x:c>
      <x:c r="G50" s="46" t="str">
        <x:v>Medium demersals (30 - 89 cm)</x:v>
      </x:c>
      <x:c r="H50" s="46" t="str">
        <x:v>Cod-likes</x:v>
      </x:c>
      <x:c r="I50" s="60" t="n">
        <x:v>0.0942246716</x:v>
      </x:c>
      <x:c r="J50" s="60" t="n">
        <x:v>0</x:v>
      </x:c>
      <x:c r="K50" s="60" t="n">
        <x:v>0.0942246716</x:v>
      </x:c>
      <x:c r="L50" s="60" t="n">
        <x:v>0</x:v>
      </x:c>
      <x:c r="M50" s="60" t="n">
        <x:v>0.0942246716</x:v>
      </x:c>
      <x:c r="N50" s="46" t="str">
        <x:v>melanogrammus aeglefinus</x:v>
      </x:c>
      <x:c r="O50" s="62" t="n">
        <x:v>4.03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Melanogrammus aeglefinus</x:v>
      </x:c>
      <x:c r="T50" s="62" t="n">
        <x:f>IF(O50="","",(1/'Metadata'!$B$5)^(O50-1))</x:f>
        <x:v>8752.273628615554</x:v>
      </x:c>
      <x:c r="U50" s="60" t="n">
        <x:f>IF(T50="","",I50*T50)</x:f>
        <x:v>824.680108409641</x:v>
      </x:c>
    </x:row>
    <x:row r="51" ht="18" customHeight="1">
      <x:c r="A51" s="46" t="str">
        <x:v>LME_018</x:v>
      </x:c>
      <x:c r="B51" s="46" t="str">
        <x:v>Canadian Eastern Arctic -West Greenland</x:v>
      </x:c>
      <x:c r="C51" s="46" t="str">
        <x:v>LME</x:v>
      </x:c>
      <x:c r="D51" s="58" t="n">
        <x:v>2019</x:v>
      </x:c>
      <x:c r="E51" s="46" t="str">
        <x:v>Rajidae</x:v>
      </x:c>
      <x:c r="F51" s="46" t="str">
        <x:v>Stingrays</x:v>
      </x:c>
      <x:c r="G51" s="46" t="str">
        <x:v>Large rays (&gt;=90 cm)</x:v>
      </x:c>
      <x:c r="H51" s="46" t="str">
        <x:v>Sharks &amp; rays</x:v>
      </x:c>
      <x:c r="I51" s="60" t="n">
        <x:v>0.0665625482</x:v>
      </x:c>
      <x:c r="J51" s="60" t="n">
        <x:v>0</x:v>
      </x:c>
      <x:c r="K51" s="60" t="n">
        <x:v>0.0665625482</x:v>
      </x:c>
      <x:c r="L51" s="60" t="n">
        <x:v>0</x:v>
      </x:c>
      <x:c r="M51" s="60" t="n">
        <x:v>0.0665625482</x:v>
      </x:c>
      <x:c r="N51" s="46" t="str">
        <x:v>rajidae</x:v>
      </x:c>
      <x:c r="O51" s="62" t="n">
        <x:v>3.82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Rajidae</x:v>
      </x:c>
      <x:c r="T51" s="62" t="n">
        <x:f>IF(O51="","",(1/'Metadata'!$B$5)^(O51-1))</x:f>
        <x:v>4665.56868948727</x:v>
      </x:c>
      <x:c r="U51" s="60" t="n">
        <x:f>IF(T51="","",I51*T51)</x:f>
        <x:v>310.55214077440723</x:v>
      </x:c>
    </x:row>
    <x:row r="52" ht="18" customHeight="1">
      <x:c r="A52" s="46" t="str">
        <x:v>LME_018</x:v>
      </x:c>
      <x:c r="B52" s="46" t="str">
        <x:v>Canadian Eastern Arctic -West Greenland</x:v>
      </x:c>
      <x:c r="C52" s="46" t="str">
        <x:v>LME</x:v>
      </x:c>
      <x:c r="D52" s="58" t="n">
        <x:v>2019</x:v>
      </x:c>
      <x:c r="E52" s="46" t="str">
        <x:v>Miscellaneous aquatic invertebrates</x:v>
      </x:c>
      <x:c r="F52" s="46" t="str">
        <x:v>Aquatic invertebrates</x:v>
      </x:c>
      <x:c r="G52" s="46" t="str">
        <x:v>Other demersal invertebrates</x:v>
      </x:c>
      <x:c r="H52" s="46" t="str">
        <x:v>Other fishes &amp; inverts</x:v>
      </x:c>
      <x:c r="I52" s="60" t="n">
        <x:v>0.0618482539</x:v>
      </x:c>
      <x:c r="J52" s="60" t="n">
        <x:v>0</x:v>
      </x:c>
      <x:c r="K52" s="60" t="n">
        <x:v>0.0618482539</x:v>
      </x:c>
      <x:c r="L52" s="60" t="n">
        <x:v>0</x:v>
      </x:c>
      <x:c r="M52" s="60" t="n">
        <x:v>0.0618482539</x:v>
      </x:c>
      <x:c r="N52" s="46" t="str">
        <x:v>miscellaneous aquatic invertebrates</x:v>
      </x:c>
      <x:c r="O52" s="62" t="n">
        <x:v>2.43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Miscellaneous aquatic invertebrates</x:v>
      </x:c>
      <x:c r="T52" s="62" t="n">
        <x:f>IF(O52="","",(1/'Metadata'!$B$5)^(O52-1))</x:f>
        <x:v>72.52252122305909</x:v>
      </x:c>
      <x:c r="U52" s="60" t="n">
        <x:f>IF(T52="","",I52*T52)</x:f>
        <x:v>4.485391306071897</x:v>
      </x:c>
    </x:row>
    <x:row r="53" ht="18" customHeight="1">
      <x:c r="A53" s="46" t="str">
        <x:v>LME_018</x:v>
      </x:c>
      <x:c r="B53" s="46" t="str">
        <x:v>Canadian Eastern Arctic -West Greenland</x:v>
      </x:c>
      <x:c r="C53" s="46" t="str">
        <x:v>LME</x:v>
      </x:c>
      <x:c r="D53" s="58" t="n">
        <x:v>2019</x:v>
      </x:c>
      <x:c r="E53" s="46" t="str">
        <x:v>Teuthida</x:v>
      </x:c>
      <x:c r="F53" s="46" t="str">
        <x:v>Squids</x:v>
      </x:c>
      <x:c r="G53" s="46" t="str">
        <x:v>Cephalopods</x:v>
      </x:c>
      <x:c r="H53" s="46" t="str">
        <x:v>Other fishes &amp; inverts</x:v>
      </x:c>
      <x:c r="I53" s="60" t="n">
        <x:v>0.0493171724</x:v>
      </x:c>
      <x:c r="J53" s="60" t="n">
        <x:v>0</x:v>
      </x:c>
      <x:c r="K53" s="60" t="n">
        <x:v>0.0493171724</x:v>
      </x:c>
      <x:c r="L53" s="60" t="n">
        <x:v>0</x:v>
      </x:c>
      <x:c r="M53" s="60" t="n">
        <x:v>0.0493171724</x:v>
      </x:c>
      <x:c r="N53" s="46" t="str">
        <x:v>teuthida</x:v>
      </x:c>
      <x:c r="O53" s="62" t="n">
        <x:v>4.13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Teuthida</x:v>
      </x:c>
      <x:c r="T53" s="62" t="n">
        <x:f>IF(O53="","",(1/'Metadata'!$B$5)^(O53-1))</x:f>
        <x:v>11809.292685236613</x:v>
      </x:c>
      <x:c r="U53" s="60" t="n">
        <x:f>IF(T53="","",I53*T53)</x:f>
        <x:v>582.4009232798729</x:v>
      </x:c>
    </x:row>
    <x:row r="54" ht="18" customHeight="1">
      <x:c r="A54" s="46" t="str">
        <x:v>LME_018</x:v>
      </x:c>
      <x:c r="B54" s="46" t="str">
        <x:v>Canadian Eastern Arctic -West Greenland</x:v>
      </x:c>
      <x:c r="C54" s="46" t="str">
        <x:v>LME</x:v>
      </x:c>
      <x:c r="D54" s="58" t="n">
        <x:v>2019</x:v>
      </x:c>
      <x:c r="E54" s="46" t="str">
        <x:v>Echinoidea</x:v>
      </x:c>
      <x:c r="F54" s="46" t="str">
        <x:v>Sea urchins, sea hedgehogs</x:v>
      </x:c>
      <x:c r="G54" s="46" t="str">
        <x:v>Other demersal invertebrates</x:v>
      </x:c>
      <x:c r="H54" s="46" t="str">
        <x:v>Other fishes &amp; inverts</x:v>
      </x:c>
      <x:c r="I54" s="60" t="n">
        <x:v>0.0412218229</x:v>
      </x:c>
      <x:c r="J54" s="60" t="n">
        <x:v>0</x:v>
      </x:c>
      <x:c r="K54" s="60" t="n">
        <x:v>0.0412218229</x:v>
      </x:c>
      <x:c r="L54" s="60" t="n">
        <x:v>0</x:v>
      </x:c>
      <x:c r="M54" s="60" t="n">
        <x:v>0.0412218229</x:v>
      </x:c>
      <x:c r="N54" s="46" t="str">
        <x:v>echinoidea</x:v>
      </x:c>
      <x:c r="O54" s="62" t="n">
        <x:v>2.51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Echinoidea</x:v>
      </x:c>
      <x:c r="T54" s="62" t="n">
        <x:f>IF(O54="","",(1/'Metadata'!$B$5)^(O54-1))</x:f>
        <x:v>92.16272208892171</x:v>
      </x:c>
      <x:c r="U54" s="60" t="n">
        <x:f>IF(T54="","",I54*T54)</x:f>
        <x:v>3.799115407931449</x:v>
      </x:c>
    </x:row>
    <x:row r="55" ht="18" customHeight="1">
      <x:c r="A55" s="46" t="str">
        <x:v>LME_018</x:v>
      </x:c>
      <x:c r="B55" s="46" t="str">
        <x:v>Canadian Eastern Arctic -West Greenland</x:v>
      </x:c>
      <x:c r="C55" s="46" t="str">
        <x:v>LME</x:v>
      </x:c>
      <x:c r="D55" s="58" t="n">
        <x:v>2019</x:v>
      </x:c>
      <x:c r="E55" s="46" t="str">
        <x:v>Coregonus nasus</x:v>
      </x:c>
      <x:c r="F55" s="46" t="str">
        <x:v>Broad whitefish</x:v>
      </x:c>
      <x:c r="G55" s="46" t="str">
        <x:v>Medium demersals (30 - 89 cm)</x:v>
      </x:c>
      <x:c r="H55" s="46" t="str">
        <x:v>Salmon, smelts, etc</x:v>
      </x:c>
      <x:c r="I55" s="60" t="n">
        <x:v>0.0389619584</x:v>
      </x:c>
      <x:c r="J55" s="60" t="n">
        <x:v>0.0389619584</x:v>
      </x:c>
      <x:c r="K55" s="60" t="n">
        <x:v>0</x:v>
      </x:c>
      <x:c r="L55" s="60" t="n">
        <x:v>0</x:v>
      </x:c>
      <x:c r="M55" s="60" t="n">
        <x:v>0.0389619584</x:v>
      </x:c>
      <x:c r="N55" s="46" t="str">
        <x:v>coregonus nasus</x:v>
      </x:c>
      <x:c r="O55" s="62" t="n">
        <x:v>3.45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Coregonus nasus</x:v>
      </x:c>
      <x:c r="T55" s="62" t="n">
        <x:f>IF(O55="","",(1/'Metadata'!$B$5)^(O55-1))</x:f>
        <x:v>1540.009817222681</x:v>
      </x:c>
      <x:c r="U55" s="60" t="n">
        <x:f>IF(T55="","",I55*T55)</x:f>
        <x:v>60.001798434221705</x:v>
      </x:c>
    </x:row>
    <x:row r="56" ht="18" customHeight="1">
      <x:c r="A56" s="46" t="str">
        <x:v>LME_018</x:v>
      </x:c>
      <x:c r="B56" s="46" t="str">
        <x:v>Canadian Eastern Arctic -West Greenland</x:v>
      </x:c>
      <x:c r="C56" s="46" t="str">
        <x:v>LME</x:v>
      </x:c>
      <x:c r="D56" s="58" t="n">
        <x:v>2019</x:v>
      </x:c>
      <x:c r="E56" s="46" t="str">
        <x:v>Miscellaneous marine crustaceans</x:v>
      </x:c>
      <x:c r="F56" s="46" t="str">
        <x:v>Marine crabs, shrimps, lobsters nei</x:v>
      </x:c>
      <x:c r="G56" s="46" t="str">
        <x:v>Shrimps</x:v>
      </x:c>
      <x:c r="H56" s="46" t="str">
        <x:v>Crustaceans</x:v>
      </x:c>
      <x:c r="I56" s="60" t="n">
        <x:v>0.0225869813</x:v>
      </x:c>
      <x:c r="J56" s="60" t="n">
        <x:v>0</x:v>
      </x:c>
      <x:c r="K56" s="60" t="n">
        <x:v>0.0225869813</x:v>
      </x:c>
      <x:c r="L56" s="60" t="n">
        <x:v>0</x:v>
      </x:c>
      <x:c r="M56" s="60" t="n">
        <x:v>0.0225869813</x:v>
      </x:c>
      <x:c r="N56" s="46" t="str">
        <x:v>miscellaneous marine crustaceans</x:v>
      </x:c>
      <x:c r="O56" s="62" t="n">
        <x:v>2.7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Miscellaneous marine crustaceans</x:v>
      </x:c>
      <x:c r="T56" s="62" t="n">
        <x:f>IF(O56="","",(1/'Metadata'!$B$5)^(O56-1))</x:f>
        <x:v>162.83621261476185</x:v>
      </x:c>
      <x:c r="U56" s="60" t="n">
        <x:f>IF(T56="","",I56*T56)</x:f>
        <x:v>3.67797848929245</x:v>
      </x:c>
    </x:row>
    <x:row r="57" ht="18" customHeight="1">
      <x:c r="A57" s="46" t="str">
        <x:v>LME_018</x:v>
      </x:c>
      <x:c r="B57" s="46" t="str">
        <x:v>Canadian Eastern Arctic -West Greenland</x:v>
      </x:c>
      <x:c r="C57" s="46" t="str">
        <x:v>LME</x:v>
      </x:c>
      <x:c r="D57" s="58" t="n">
        <x:v>2019</x:v>
      </x:c>
      <x:c r="E57" s="46" t="str">
        <x:v>Scyphozoa</x:v>
      </x:c>
      <x:c r="F57" s="46" t="str">
        <x:v>True jellyfishes</x:v>
      </x:c>
      <x:c r="G57" s="46" t="str">
        <x:v>Jellyfish</x:v>
      </x:c>
      <x:c r="H57" s="46" t="str">
        <x:v>Other fishes &amp; inverts</x:v>
      </x:c>
      <x:c r="I57" s="60" t="n">
        <x:v>0.0131508159</x:v>
      </x:c>
      <x:c r="J57" s="60" t="n">
        <x:v>0</x:v>
      </x:c>
      <x:c r="K57" s="60" t="n">
        <x:v>0.0131508159</x:v>
      </x:c>
      <x:c r="L57" s="60" t="n">
        <x:v>0</x:v>
      </x:c>
      <x:c r="M57" s="60" t="n">
        <x:v>0.0131508159</x:v>
      </x:c>
      <x:c r="N57" s="46" t="str">
        <x:v>scyphozoa</x:v>
      </x:c>
      <x:c r="O57" s="62" t="n">
        <x:v>3.46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Scyphozoa</x:v>
      </x:c>
      <x:c r="T57" s="62" t="n">
        <x:f>IF(O57="","",(1/'Metadata'!$B$5)^(O57-1))</x:f>
        <x:v>1586.8423749532276</x:v>
      </x:c>
      <x:c r="U57" s="60" t="n">
        <x:f>IF(T57="","",I57*T57)</x:f>
        <x:v>20.868271935328668</x:v>
      </x:c>
    </x:row>
    <x:row r="58" ht="18" customHeight="1">
      <x:c r="A58" s="46" t="str">
        <x:v>LME_018</x:v>
      </x:c>
      <x:c r="B58" s="46" t="str">
        <x:v>Canadian Eastern Arctic -West Greenland</x:v>
      </x:c>
      <x:c r="C58" s="46" t="str">
        <x:v>LME</x:v>
      </x:c>
      <x:c r="D58" s="58" t="n">
        <x:v>2019</x:v>
      </x:c>
      <x:c r="E58" s="46" t="str">
        <x:v>Osmeridae</x:v>
      </x:c>
      <x:c r="F58" s="46" t="str">
        <x:v>Smelts</x:v>
      </x:c>
      <x:c r="G58" s="46" t="str">
        <x:v>Small pelagics (&lt;30 cm)</x:v>
      </x:c>
      <x:c r="H58" s="46" t="str">
        <x:v>Salmon, smelts, etc</x:v>
      </x:c>
      <x:c r="I58" s="60" t="n">
        <x:v>0.0031864925</x:v>
      </x:c>
      <x:c r="J58" s="60" t="n">
        <x:v>0.0031864925</x:v>
      </x:c>
      <x:c r="K58" s="60" t="n">
        <x:v>0</x:v>
      </x:c>
      <x:c r="L58" s="60" t="n">
        <x:v>0</x:v>
      </x:c>
      <x:c r="M58" s="60" t="n">
        <x:v>0.0031864925</x:v>
      </x:c>
      <x:c r="N58" s="46" t="str">
        <x:v>osmeridae</x:v>
      </x:c>
      <x:c r="O58" s="62" t="n">
        <x:v>3.46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Osmeridae</x:v>
      </x:c>
      <x:c r="T58" s="62" t="n">
        <x:f>IF(O58="","",(1/'Metadata'!$B$5)^(O58-1))</x:f>
        <x:v>1586.8423749532276</x:v>
      </x:c>
      <x:c r="U58" s="60" t="n">
        <x:f>IF(T58="","",I58*T58)</x:f>
        <x:v>5.0564613264706475</x:v>
      </x:c>
    </x:row>
    <x:row r="59" ht="18" customHeight="1">
      <x:c r="A59" s="46" t="str">
        <x:v>LME_018</x:v>
      </x:c>
      <x:c r="B59" s="46" t="str">
        <x:v>Canadian Eastern Arctic -West Greenland</x:v>
      </x:c>
      <x:c r="C59" s="46" t="str">
        <x:v>LME</x:v>
      </x:c>
      <x:c r="D59" s="58" t="n">
        <x:v>2019</x:v>
      </x:c>
      <x:c r="E59" s="46" t="str">
        <x:v>Ammodytidae</x:v>
      </x:c>
      <x:c r="F59" s="46" t="str">
        <x:v>Sand lances</x:v>
      </x:c>
      <x:c r="G59" s="46" t="str">
        <x:v>Large reef assoc. fish (&gt;=90 cm)</x:v>
      </x:c>
      <x:c r="H59" s="46" t="str">
        <x:v>Perch-likes</x:v>
      </x:c>
      <x:c r="I59" s="60" t="n">
        <x:v>0.0009223944</x:v>
      </x:c>
      <x:c r="J59" s="60" t="n">
        <x:v>0</x:v>
      </x:c>
      <x:c r="K59" s="60" t="n">
        <x:v>0.0009223944</x:v>
      </x:c>
      <x:c r="L59" s="60" t="n">
        <x:v>0</x:v>
      </x:c>
      <x:c r="M59" s="60" t="n">
        <x:v>0.0009223944</x:v>
      </x:c>
      <x:c r="N59" s="46" t="str">
        <x:v>ammodytidae</x:v>
      </x:c>
      <x:c r="O59" s="62" t="n">
        <x:v>3.11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Ammodytidae</x:v>
      </x:c>
      <x:c r="T59" s="62" t="n">
        <x:f>IF(O59="","",(1/'Metadata'!$B$5)^(O59-1))</x:f>
        <x:v>556.1261167405597</x:v>
      </x:c>
      <x:c r="U59" s="60" t="n">
        <x:f>IF(T59="","",I59*T59)</x:f>
        <x:v>0.5129676157752385</x:v>
      </x:c>
    </x:row>
    <x:row r="60" ht="18" customHeight="1">
      <x:c r="A60" s="46" t="str">
        <x:v>LME_018</x:v>
      </x:c>
      <x:c r="B60" s="46" t="str">
        <x:v>Canadian Eastern Arctic -West Greenland</x:v>
      </x:c>
      <x:c r="C60" s="46" t="str">
        <x:v>LME</x:v>
      </x:c>
      <x:c r="D60" s="58" t="n">
        <x:v>2019</x:v>
      </x:c>
      <x:c r="E60" s="46" t="str">
        <x:v>Phycis</x:v>
      </x:c>
      <x:c r="F60" s="46" t="str">
        <x:v>Gunnels, forkbeards</x:v>
      </x:c>
      <x:c r="G60" s="46" t="str">
        <x:v>Medium benthopelagics (30 - 89 cm)</x:v>
      </x:c>
      <x:c r="H60" s="46" t="str">
        <x:v>Cod-likes</x:v>
      </x:c>
      <x:c r="I60" s="60" t="n">
        <x:v>0.0008362692</x:v>
      </x:c>
      <x:c r="J60" s="60" t="n">
        <x:v>0</x:v>
      </x:c>
      <x:c r="K60" s="60" t="n">
        <x:v>0.0008362692</x:v>
      </x:c>
      <x:c r="L60" s="60" t="n">
        <x:v>0</x:v>
      </x:c>
      <x:c r="M60" s="60" t="n">
        <x:v>0.0008362692</x:v>
      </x:c>
      <x:c r="N60" s="46" t="str">
        <x:v>phycis</x:v>
      </x:c>
      <x:c r="O60" s="62" t="n">
        <x:v>3.99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Phycis</x:v>
      </x:c>
      <x:c r="T60" s="62" t="n">
        <x:f>IF(O60="","",(1/'Metadata'!$B$5)^(O60-1))</x:f>
        <x:v>7763.895603143686</x:v>
      </x:c>
      <x:c r="U60" s="60" t="n">
        <x:f>IF(T60="","",I60*T60)</x:f>
        <x:v>6.492706764924487</x:v>
      </x:c>
    </x:row>
    <x:row r="61" ht="18" customHeight="1">
      <x:c r="A61" s="46" t="str">
        <x:v>LME_018</x:v>
      </x:c>
      <x:c r="B61" s="46" t="str">
        <x:v>Canadian Eastern Arctic -West Greenland</x:v>
      </x:c>
      <x:c r="C61" s="46" t="str">
        <x:v>LME</x:v>
      </x:c>
      <x:c r="D61" s="58" t="n">
        <x:v>2019</x:v>
      </x:c>
      <x:c r="E61" s="46" t="str">
        <x:v>Boreogadus saida</x:v>
      </x:c>
      <x:c r="F61" s="46" t="str">
        <x:v>Polar cod</x:v>
      </x:c>
      <x:c r="G61" s="46" t="str">
        <x:v>Medium demersals (30 - 89 cm)</x:v>
      </x:c>
      <x:c r="H61" s="46" t="str">
        <x:v>Cod-likes</x:v>
      </x:c>
      <x:c r="I61" s="60" t="n">
        <x:v>0.0000555015</x:v>
      </x:c>
      <x:c r="J61" s="60" t="n">
        <x:v>0.0000555015</x:v>
      </x:c>
      <x:c r="K61" s="60" t="n">
        <x:v>0</x:v>
      </x:c>
      <x:c r="L61" s="60" t="n">
        <x:v>0</x:v>
      </x:c>
      <x:c r="M61" s="60" t="n">
        <x:v>0.0000555015</x:v>
      </x:c>
      <x:c r="N61" s="46" t="str">
        <x:v>boreogadus saida</x:v>
      </x:c>
      <x:c r="O61" s="62" t="n">
        <x:v>3.12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Boreogadus saida</x:v>
      </x:c>
      <x:c r="T61" s="62" t="n">
        <x:f>IF(O61="","",(1/'Metadata'!$B$5)^(O61-1))</x:f>
        <x:v>573.0382222196589</x:v>
      </x:c>
      <x:c r="U61" s="60" t="n">
        <x:f>IF(T61="","",I61*T61)</x:f>
        <x:v>0.0318044808905244</x:v>
      </x:c>
    </x:row>
    <x:row r="62" ht="18" customHeight="1">
      <x:c r="A62" s="46" t="str">
        <x:v>LME_018</x:v>
      </x:c>
      <x:c r="B62" s="46" t="str">
        <x:v>Canadian Eastern Arctic -West Greenland</x:v>
      </x:c>
      <x:c r="C62" s="46" t="str">
        <x:v>LME</x:v>
      </x:c>
      <x:c r="D62" s="58" t="n">
        <x:v>2019</x:v>
      </x:c>
      <x:c r="E62" s="46" t="str">
        <x:v>Myoxocephalus quadricornis</x:v>
      </x:c>
      <x:c r="F62" s="46" t="str">
        <x:v>Fourhorn sculpin</x:v>
      </x:c>
      <x:c r="G62" s="46" t="str">
        <x:v>Medium demersals (30 - 89 cm)</x:v>
      </x:c>
      <x:c r="H62" s="46" t="str">
        <x:v>Scorpionfishes</x:v>
      </x:c>
      <x:c r="I62" s="60" t="n">
        <x:v>0.0000093277</x:v>
      </x:c>
      <x:c r="J62" s="60" t="n">
        <x:v>0.0000093277</x:v>
      </x:c>
      <x:c r="K62" s="60" t="n">
        <x:v>0</x:v>
      </x:c>
      <x:c r="L62" s="60" t="n">
        <x:v>0</x:v>
      </x:c>
      <x:c r="M62" s="60" t="n">
        <x:v>0.0000093277</x:v>
      </x:c>
      <x:c r="N62" s="46" t="str">
        <x:v>myoxocephalus quadricornis</x:v>
      </x:c>
      <x:c r="O62" s="62" t="n">
        <x:v>3.69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Myoxocephalus quadricornis</x:v>
      </x:c>
      <x:c r="T62" s="62" t="n">
        <x:f>IF(O62="","",(1/'Metadata'!$B$5)^(O62-1))</x:f>
        <x:v>3160.6083878807954</x:v>
      </x:c>
      <x:c r="U62" s="60" t="n">
        <x:f>IF(T62="","",I62*T62)</x:f>
        <x:v>0.029481206859635695</x:v>
      </x:c>
    </x:row>
  </x:sheetData>
  <x:conditionalFormatting sqref="R2:R6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4b26290b02a4f9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12</x:v>
      </x:c>
      <x:c r="C2" s="64" t="n">
        <x:v>12</x:v>
      </x:c>
      <x:c r="D2" s="60" t="n">
        <x:v>32323.500216867098</x:v>
      </x:c>
      <x:c r="E2" s="60" t="n">
        <x:v>32323.500216867098</x:v>
      </x:c>
      <x:c r="F2" s="62" t="n">
        <x:v>0</x:v>
      </x:c>
      <x:c r="G2" s="66" t="n">
        <x:v>1</x:v>
      </x:c>
      <x:c r="H2" s="62" t="n">
        <x:f>IF(E2=0,"",I2/E2)</x:f>
        <x:v>10472.664648244903</x:v>
      </x:c>
      <x:c r="I2" s="60" t="n">
        <x:f>SUMIF('Species'!$H$2:$H$62,A2,'Species'!$U$2:$U$62)</x:f>
        <x:v>338513178.0287205</x:v>
      </x:c>
      <x:c r="J2" s="62" t="n">
        <x:v>4.089551877683279</x:v>
      </x:c>
      <x:c r="K2" s="62" t="n">
        <x:f>IF(J2="","",(1/'Metadata'!$B$5)^(J2-1))</x:f>
        <x:v>10461.637465178706</x:v>
      </x:c>
      <x:c r="L2" s="60" t="n">
        <x:f>IF(E2=0,"",E2*K2)</x:f>
        <x:v>338156740.8744889</x:v>
      </x:c>
      <x:c r="M2" s="60" t="n">
        <x:f>I2-L2</x:f>
        <x:v>356437.1542316079</x:v>
      </x:c>
      <x:c r="N2" s="62" t="n">
        <x:f>IF(L2=0,"",I2/L2)</x:f>
        <x:v>1.0010540589943877</x:v>
      </x:c>
      <x:c r="O2" s="66" t="n">
        <x:f>IF(L2=0,"",M2/L2)</x:f>
        <x:v>0.0010540589943877654</x:v>
      </x:c>
    </x:row>
    <x:row r="3" ht="18" customHeight="1">
      <x:c r="A3" s="46" t="str">
        <x:v>Crustaceans</x:v>
      </x:c>
      <x:c r="B3" s="64" t="n">
        <x:v>6</x:v>
      </x:c>
      <x:c r="C3" s="64" t="n">
        <x:v>6</x:v>
      </x:c>
      <x:c r="D3" s="60" t="n">
        <x:v>67588.5433126096</x:v>
      </x:c>
      <x:c r="E3" s="60" t="n">
        <x:v>67588.5433126096</x:v>
      </x:c>
      <x:c r="F3" s="62" t="n">
        <x:v>0</x:v>
      </x:c>
      <x:c r="G3" s="66" t="n">
        <x:v>1</x:v>
      </x:c>
      <x:c r="H3" s="62" t="n">
        <x:f>IF(E3=0,"",I3/E3)</x:f>
        <x:v>543.7632367983459</x:v>
      </x:c>
      <x:c r="I3" s="60" t="n">
        <x:f>SUMIF('Species'!$H$2:$H$62,A3,'Species'!$U$2:$U$62)</x:f>
        <x:v>36752165.082149796</x:v>
      </x:c>
      <x:c r="J3" s="62" t="n">
        <x:v>3.0850977823066903</x:v>
      </x:c>
      <x:c r="K3" s="62" t="n">
        <x:f>IF(J3="","",(1/'Metadata'!$B$5)^(J3-1))</x:f>
        <x:v>516.1486059119117</x:v>
      </x:c>
      <x:c r="L3" s="60" t="n">
        <x:f>IF(E3=0,"",E3*K3)</x:f>
        <x:v>34885732.406420305</x:v>
      </x:c>
      <x:c r="M3" s="60" t="n">
        <x:f>I3-L3</x:f>
        <x:v>1866432.6757294908</x:v>
      </x:c>
      <x:c r="N3" s="62" t="n">
        <x:f>IF(L3=0,"",I3/L3)</x:f>
        <x:v>1.0535013183609123</x:v>
      </x:c>
      <x:c r="O3" s="66" t="n">
        <x:f>IF(L3=0,"",M3/L3)</x:f>
        <x:v>0.05350131836091238</x:v>
      </x:c>
    </x:row>
    <x:row r="4" ht="18" customHeight="1">
      <x:c r="A4" s="46" t="str">
        <x:v>Flatfishes</x:v>
      </x:c>
      <x:c r="B4" s="64" t="n">
        <x:v>3</x:v>
      </x:c>
      <x:c r="C4" s="64" t="n">
        <x:v>3</x:v>
      </x:c>
      <x:c r="D4" s="60" t="n">
        <x:v>59779.117859353704</x:v>
      </x:c>
      <x:c r="E4" s="60" t="n">
        <x:v>59779.117859353704</x:v>
      </x:c>
      <x:c r="F4" s="62" t="n">
        <x:v>0</x:v>
      </x:c>
      <x:c r="G4" s="66" t="n">
        <x:v>1</x:v>
      </x:c>
      <x:c r="H4" s="62" t="n">
        <x:f>IF(E4=0,"",I4/E4)</x:f>
        <x:v>24961.106569542797</x:v>
      </x:c>
      <x:c r="I4" s="60" t="n">
        <x:f>SUMIF('Species'!$H$2:$H$62,A4,'Species'!$U$2:$U$62)</x:f>
        <x:v>1492152931.520587</x:v>
      </x:c>
      <x:c r="J4" s="62" t="n">
        <x:v>4.37968618698544</x:v>
      </x:c>
      <x:c r="K4" s="62" t="n">
        <x:f>IF(J4="","",(1/'Metadata'!$B$5)^(J4-1))</x:f>
        <x:v>24950.146797680143</x:v>
      </x:c>
      <x:c r="L4" s="60" t="n">
        <x:f>IF(E4=0,"",E4*K4)</x:f>
        <x:v>1491497766.0266976</x:v>
      </x:c>
      <x:c r="M4" s="60" t="n">
        <x:f>I4-L4</x:f>
        <x:v>655165.4938893318</x:v>
      </x:c>
      <x:c r="N4" s="62" t="n">
        <x:f>IF(L4=0,"",I4/L4)</x:f>
        <x:v>1.0004392668288298</x:v>
      </x:c>
      <x:c r="O4" s="66" t="n">
        <x:f>IF(L4=0,"",M4/L4)</x:f>
        <x:v>0.00043926682882983577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5.2252798923</x:v>
      </x:c>
      <x:c r="E5" s="60" t="n">
        <x:v>5.2252798923</x:v>
      </x:c>
      <x:c r="F5" s="62" t="n">
        <x:v>0</x:v>
      </x:c>
      <x:c r="G5" s="66" t="n">
        <x:v>1</x:v>
      </x:c>
      <x:c r="H5" s="62" t="n">
        <x:f>IF(E5=0,"",I5/E5)</x:f>
        <x:v>1248.6806726928048</x:v>
      </x:c>
      <x:c r="I5" s="60" t="n">
        <x:f>SUMIF('Species'!$H$2:$H$62,A5,'Species'!$U$2:$U$62)</x:f>
        <x:v>6524.706010925351</x:v>
      </x:c>
      <x:c r="J5" s="62" t="n">
        <x:v>3.38</x:v>
      </x:c>
      <x:c r="K5" s="62" t="n">
        <x:f>IF(J5="","",(1/'Metadata'!$B$5)^(J5-1))</x:f>
        <x:v>1248.6806726928048</x:v>
      </x:c>
      <x:c r="L5" s="60" t="n">
        <x:f>IF(E5=0,"",E5*K5)</x:f>
        <x:v>6524.706010925351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2</x:v>
      </x:c>
      <x:c r="C6" s="64" t="n">
        <x:v>2</x:v>
      </x:c>
      <x:c r="D6" s="60" t="n">
        <x:v>38.2558386769</x:v>
      </x:c>
      <x:c r="E6" s="60" t="n">
        <x:v>38.2558386769</x:v>
      </x:c>
      <x:c r="F6" s="62" t="n">
        <x:v>0</x:v>
      </x:c>
      <x:c r="G6" s="66" t="n">
        <x:v>1</x:v>
      </x:c>
      <x:c r="H6" s="62" t="n">
        <x:f>IF(E6=0,"",I6/E6)</x:f>
        <x:v>157.83093384385188</x:v>
      </x:c>
      <x:c r="I6" s="60" t="n">
        <x:f>SUMIF('Species'!$H$2:$H$62,A6,'Species'!$U$2:$U$62)</x:f>
        <x:v>6037.954743354873</x:v>
      </x:c>
      <x:c r="J6" s="62" t="n">
        <x:v>2.157480248054732</x:v>
      </x:c>
      <x:c r="K6" s="62" t="n">
        <x:f>IF(J6="","",(1/'Metadata'!$B$5)^(J6-1))</x:f>
        <x:v>32.05653090833509</x:v>
      </x:c>
      <x:c r="L6" s="60" t="n">
        <x:f>IF(E6=0,"",E6*K6)</x:f>
        <x:v>1226.349474970326</x:v>
      </x:c>
      <x:c r="M6" s="60" t="n">
        <x:f>I6-L6</x:f>
        <x:v>4811.605268384547</x:v>
      </x:c>
      <x:c r="N6" s="62" t="n">
        <x:f>IF(L6=0,"",I6/L6)</x:f>
        <x:v>4.923518839114743</x:v>
      </x:c>
      <x:c r="O6" s="66" t="n">
        <x:f>IF(L6=0,"",M6/L6)</x:f>
        <x:v>3.9235188391147426</x:v>
      </x:c>
    </x:row>
    <x:row r="7" ht="18" customHeight="1">
      <x:c r="A7" s="46" t="str">
        <x:v>Other fishes &amp; inverts</x:v>
      </x:c>
      <x:c r="B7" s="64" t="n">
        <x:v>7</x:v>
      </x:c>
      <x:c r="C7" s="64" t="n">
        <x:v>7</x:v>
      </x:c>
      <x:c r="D7" s="60" t="n">
        <x:v>48630.0576033726</x:v>
      </x:c>
      <x:c r="E7" s="60" t="n">
        <x:v>48630.0576033726</x:v>
      </x:c>
      <x:c r="F7" s="62" t="n">
        <x:v>0</x:v>
      </x:c>
      <x:c r="G7" s="66" t="n">
        <x:v>1</x:v>
      </x:c>
      <x:c r="H7" s="62" t="n">
        <x:f>IF(E7=0,"",I7/E7)</x:f>
        <x:v>925.4442219026653</x:v>
      </x:c>
      <x:c r="I7" s="60" t="n">
        <x:f>SUMIF('Species'!$H$2:$H$62,A7,'Species'!$U$2:$U$62)</x:f>
        <x:v>45004405.81983495</x:v>
      </x:c>
      <x:c r="J7" s="62" t="n">
        <x:v>3.2799899711554157</x:v>
      </x:c>
      <x:c r="K7" s="62" t="n">
        <x:f>IF(J7="","",(1/'Metadata'!$B$5)^(J7-1))</x:f>
        <x:v>925.4124592038223</x:v>
      </x:c>
      <x:c r="L7" s="60" t="n">
        <x:f>IF(E7=0,"",E7*K7)</x:f>
        <x:v>45002861.19796058</x:v>
      </x:c>
      <x:c r="M7" s="60" t="n">
        <x:f>I7-L7</x:f>
        <x:v>1544.6218743696809</x:v>
      </x:c>
      <x:c r="N7" s="62" t="n">
        <x:f>IF(L7=0,"",I7/L7)</x:f>
        <x:v>1.0000343227482265</x:v>
      </x:c>
      <x:c r="O7" s="66" t="n">
        <x:f>IF(L7=0,"",M7/L7)</x:f>
        <x:v>0.000034322748226498976</x:v>
      </x:c>
    </x:row>
    <x:row r="8" ht="18" customHeight="1">
      <x:c r="A8" s="46" t="str">
        <x:v>Perch-likes</x:v>
      </x:c>
      <x:c r="B8" s="64" t="n">
        <x:v>7</x:v>
      </x:c>
      <x:c r="C8" s="64" t="n">
        <x:v>7</x:v>
      </x:c>
      <x:c r="D8" s="60" t="n">
        <x:v>300.8004016021</x:v>
      </x:c>
      <x:c r="E8" s="60" t="n">
        <x:v>300.8004016021</x:v>
      </x:c>
      <x:c r="F8" s="62" t="n">
        <x:v>0</x:v>
      </x:c>
      <x:c r="G8" s="66" t="n">
        <x:v>1</x:v>
      </x:c>
      <x:c r="H8" s="62" t="n">
        <x:f>IF(E8=0,"",I8/E8)</x:f>
        <x:v>1635.8955457790678</x:v>
      </x:c>
      <x:c r="I8" s="60" t="n">
        <x:f>SUMIF('Species'!$H$2:$H$62,A8,'Species'!$U$2:$U$62)</x:f>
        <x:v>492078.0371494302</x:v>
      </x:c>
      <x:c r="J8" s="62" t="n">
        <x:v>3.456761072756771</x:v>
      </x:c>
      <x:c r="K8" s="62" t="n">
        <x:f>IF(J8="","",(1/'Metadata'!$B$5)^(J8-1))</x:f>
        <x:v>1571.5197661856632</x:v>
      </x:c>
      <x:c r="L8" s="60" t="n">
        <x:f>IF(E8=0,"",E8*K8)</x:f>
        <x:v>472713.7767942858</x:v>
      </x:c>
      <x:c r="M8" s="60" t="n">
        <x:f>I8-L8</x:f>
        <x:v>19364.26035514439</x:v>
      </x:c>
      <x:c r="N8" s="62" t="n">
        <x:f>IF(L8=0,"",I8/L8)</x:f>
        <x:v>1.0409640279292542</x:v>
      </x:c>
      <x:c r="O8" s="66" t="n">
        <x:f>IF(L8=0,"",M8/L8)</x:f>
        <x:v>0.040964027929254264</x:v>
      </x:c>
    </x:row>
    <x:row r="9" ht="18" customHeight="1">
      <x:c r="A9" s="46" t="str">
        <x:v>Salmon, smelts, etc</x:v>
      </x:c>
      <x:c r="B9" s="64" t="n">
        <x:v>9</x:v>
      </x:c>
      <x:c r="C9" s="64" t="n">
        <x:v>9</x:v>
      </x:c>
      <x:c r="D9" s="60" t="n">
        <x:v>1232.4260775125</x:v>
      </x:c>
      <x:c r="E9" s="60" t="n">
        <x:v>1232.4260775125</x:v>
      </x:c>
      <x:c r="F9" s="62" t="n">
        <x:v>0</x:v>
      </x:c>
      <x:c r="G9" s="66" t="n">
        <x:v>1</x:v>
      </x:c>
      <x:c r="H9" s="62" t="n">
        <x:f>IF(E9=0,"",I9/E9)</x:f>
        <x:v>8900.455806183587</x:v>
      </x:c>
      <x:c r="I9" s="60" t="n">
        <x:f>SUMIF('Species'!$H$2:$H$62,A9,'Species'!$U$2:$U$62)</x:f>
        <x:v>10969153.837288193</x:v>
      </x:c>
      <x:c r="J9" s="62" t="n">
        <x:v>3.5492904992557417</x:v>
      </x:c>
      <x:c r="K9" s="62" t="n">
        <x:f>IF(J9="","",(1/'Metadata'!$B$5)^(J9-1))</x:f>
        <x:v>2073.4969801538045</x:v>
      </x:c>
      <x:c r="L9" s="60" t="n">
        <x:f>IF(E9=0,"",E9*K9)</x:f>
        <x:v>2555431.749984967</x:v>
      </x:c>
      <x:c r="M9" s="60" t="n">
        <x:f>I9-L9</x:f>
        <x:v>8413722.087303227</x:v>
      </x:c>
      <x:c r="N9" s="62" t="n">
        <x:f>IF(L9=0,"",I9/L9)</x:f>
        <x:v>4.292485540790797</x:v>
      </x:c>
      <x:c r="O9" s="66" t="n">
        <x:f>IF(L9=0,"",M9/L9)</x:f>
        <x:v>3.292485540790797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9090.138328950101</x:v>
      </x:c>
      <x:c r="E10" s="60" t="n">
        <x:v>9090.138328950101</x:v>
      </x:c>
      <x:c r="F10" s="62" t="n">
        <x:v>0</x:v>
      </x:c>
      <x:c r="G10" s="66" t="n">
        <x:v>1</x:v>
      </x:c>
      <x:c r="H10" s="62" t="n">
        <x:f>IF(E10=0,"",I10/E10)</x:f>
        <x:v>5321.839310059053</x:v>
      </x:c>
      <x:c r="I10" s="60" t="n">
        <x:f>SUMIF('Species'!$H$2:$H$62,A10,'Species'!$U$2:$U$62)</x:f>
        <x:v>48376255.49288116</x:v>
      </x:c>
      <x:c r="J10" s="62" t="n">
        <x:v>3.8551311578672043</x:v>
      </x:c>
      <x:c r="K10" s="62" t="n">
        <x:f>IF(J10="","",(1/'Metadata'!$B$5)^(J10-1))</x:f>
        <x:v>5183.358866045726</x:v>
      </x:c>
      <x:c r="L10" s="60" t="n">
        <x:f>IF(E10=0,"",E10*K10)</x:f>
        <x:v>47117449.100945584</x:v>
      </x:c>
      <x:c r="M10" s="60" t="n">
        <x:f>I10-L10</x:f>
        <x:v>1258806.391935572</x:v>
      </x:c>
      <x:c r="N10" s="62" t="n">
        <x:f>IF(L10=0,"",I10/L10)</x:f>
        <x:v>1.0267163527728056</x:v>
      </x:c>
      <x:c r="O10" s="66" t="n">
        <x:f>IF(L10=0,"",M10/L10)</x:f>
        <x:v>0.02671635277280555</x:v>
      </x:c>
    </x:row>
    <x:row r="11" ht="18" customHeight="1">
      <x:c r="A11" s="46" t="str">
        <x:v>Sharks &amp; rays</x:v>
      </x:c>
      <x:c r="B11" s="64" t="n">
        <x:v>6</x:v>
      </x:c>
      <x:c r="C11" s="64" t="n">
        <x:v>6</x:v>
      </x:c>
      <x:c r="D11" s="60" t="n">
        <x:v>57.5592503445</x:v>
      </x:c>
      <x:c r="E11" s="60" t="n">
        <x:v>57.5592503445</x:v>
      </x:c>
      <x:c r="F11" s="62" t="n">
        <x:v>0</x:v>
      </x:c>
      <x:c r="G11" s="66" t="n">
        <x:v>1</x:v>
      </x:c>
      <x:c r="H11" s="62" t="n">
        <x:f>IF(E11=0,"",I11/E11)</x:f>
        <x:v>12968.969939083403</x:v>
      </x:c>
      <x:c r="I11" s="60" t="n">
        <x:f>SUMIF('Species'!$H$2:$H$62,A11,'Species'!$U$2:$U$62)</x:f>
        <x:v>746484.1874339965</x:v>
      </x:c>
      <x:c r="J11" s="62" t="n">
        <x:v>4.142260528078619</x:v>
      </x:c>
      <x:c r="K11" s="62" t="n">
        <x:f>IF(J11="","",(1/'Metadata'!$B$5)^(J11-1))</x:f>
        <x:v>12251.103283541468</x:v>
      </x:c>
      <x:c r="L11" s="60" t="n">
        <x:f>IF(E11=0,"",E11*K11)</x:f>
        <x:v>705164.3208936893</x:v>
      </x:c>
      <x:c r="M11" s="60" t="n">
        <x:f>I11-L11</x:f>
        <x:v>41319.86654030718</x:v>
      </x:c>
      <x:c r="N11" s="62" t="n">
        <x:f>IF(L11=0,"",I11/L11)</x:f>
        <x:v>1.0585960822407188</x:v>
      </x:c>
      <x:c r="O11" s="66" t="n">
        <x:f>IF(L11=0,"",M11/L11)</x:f>
        <x:v>0.058596082240718717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4bf219ba9264d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</x:v>
      </x:c>
      <x:c r="C2" s="64" t="n">
        <x:v>1</x:v>
      </x:c>
      <x:c r="D2" s="60" t="n">
        <x:v>0.0493171724</x:v>
      </x:c>
      <x:c r="E2" s="60" t="n">
        <x:v>0.0493171724</x:v>
      </x:c>
      <x:c r="F2" s="62" t="n">
        <x:v>0</x:v>
      </x:c>
      <x:c r="G2" s="66" t="n">
        <x:v>1</x:v>
      </x:c>
      <x:c r="H2" s="62" t="n">
        <x:f>IF(E2=0,"",I2/E2)</x:f>
        <x:v>11809.292685236613</x:v>
      </x:c>
      <x:c r="I2" s="60" t="n">
        <x:f>SUMIF('Species'!$G$2:$G$62,A2,'Species'!$U$2:$U$62)</x:f>
        <x:v>582.4009232798729</x:v>
      </x:c>
      <x:c r="J2" s="62" t="n">
        <x:v>4.13</x:v>
      </x:c>
      <x:c r="K2" s="62" t="n">
        <x:f>IF(J2="","",(1/'Metadata'!$B$5)^(J2-1))</x:f>
        <x:v>11809.292685236613</x:v>
      </x:c>
      <x:c r="L2" s="60" t="n">
        <x:f>IF(E2=0,"",E2*K2)</x:f>
        <x:v>582.4009232798729</x:v>
      </x:c>
      <x:c r="M2" s="60" t="n">
        <x:f>I2-L2</x:f>
        <x:v>0</x:v>
      </x:c>
      <x:c r="N2" s="62" t="n">
        <x:f>IF(L2=0,"",I2/L2)</x:f>
        <x:v>1</x:v>
      </x:c>
      <x:c r="O2" s="66" t="n">
        <x:f>IF(L2=0,"",M2/L2)</x:f>
        <x:v>0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0.0131508159</x:v>
      </x:c>
      <x:c r="E3" s="60" t="n">
        <x:v>0.0131508159</x:v>
      </x:c>
      <x:c r="F3" s="62" t="n">
        <x:v>0</x:v>
      </x:c>
      <x:c r="G3" s="66" t="n">
        <x:v>1</x:v>
      </x:c>
      <x:c r="H3" s="62" t="n">
        <x:f>IF(E3=0,"",I3/E3)</x:f>
        <x:v>1586.8423749532276</x:v>
      </x:c>
      <x:c r="I3" s="60" t="n">
        <x:f>SUMIF('Species'!$G$2:$G$62,A3,'Species'!$U$2:$U$62)</x:f>
        <x:v>20.868271935328668</x:v>
      </x:c>
      <x:c r="J3" s="62" t="n">
        <x:v>3.46</x:v>
      </x:c>
      <x:c r="K3" s="62" t="n">
        <x:f>IF(J3="","",(1/'Metadata'!$B$5)^(J3-1))</x:f>
        <x:v>1586.8423749532276</x:v>
      </x:c>
      <x:c r="L3" s="60" t="n">
        <x:f>IF(E3=0,"",E3*K3)</x:f>
        <x:v>20.868271935328668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bathypelagics (&gt;=90 cm)</x:v>
      </x:c>
      <x:c r="B4" s="64" t="n">
        <x:v>2</x:v>
      </x:c>
      <x:c r="C4" s="64" t="n">
        <x:v>2</x:v>
      </x:c>
      <x:c r="D4" s="60" t="n">
        <x:v>28.107089646</x:v>
      </x:c>
      <x:c r="E4" s="60" t="n">
        <x:v>28.107089646</x:v>
      </x:c>
      <x:c r="F4" s="62" t="n">
        <x:v>0</x:v>
      </x:c>
      <x:c r="G4" s="66" t="n">
        <x:v>1</x:v>
      </x:c>
      <x:c r="H4" s="62" t="n">
        <x:f>IF(E4=0,"",I4/E4)</x:f>
        <x:v>2503.5525190113185</x:v>
      </x:c>
      <x:c r="I4" s="60" t="n">
        <x:f>SUMIF('Species'!$G$2:$G$62,A4,'Species'!$U$2:$U$62)</x:f>
        <x:v>70367.57508532025</x:v>
      </x:c>
      <x:c r="J4" s="62" t="n">
        <x:v>3.579540131910355</x:v>
      </x:c>
      <x:c r="K4" s="62" t="n">
        <x:f>IF(J4="","",(1/'Metadata'!$B$5)^(J4-1))</x:f>
        <x:v>2270.173692553432</x:v>
      </x:c>
      <x:c r="L4" s="60" t="n">
        <x:f>IF(E4=0,"",E4*K4)</x:f>
        <x:v>63807.97548859015</x:v>
      </x:c>
      <x:c r="M4" s="60" t="n">
        <x:f>I4-L4</x:f>
        <x:v>6559.599596730099</x:v>
      </x:c>
      <x:c r="N4" s="62" t="n">
        <x:f>IF(L4=0,"",I4/L4)</x:f>
        <x:v>1.1028021896401188</x:v>
      </x:c>
      <x:c r="O4" s="66" t="n">
        <x:f>IF(L4=0,"",M4/L4)</x:f>
        <x:v>0.10280218964011884</x:v>
      </x:c>
    </x:row>
    <x:row r="5" ht="18" customHeight="1">
      <x:c r="A5" s="46" t="str">
        <x:v>Large benthopelagics (&gt;=90 cm)</x:v>
      </x:c>
      <x:c r="B5" s="64" t="n">
        <x:v>6</x:v>
      </x:c>
      <x:c r="C5" s="64" t="n">
        <x:v>6</x:v>
      </x:c>
      <x:c r="D5" s="60" t="n">
        <x:v>32550.869795786402</x:v>
      </x:c>
      <x:c r="E5" s="60" t="n">
        <x:v>32550.869795786402</x:v>
      </x:c>
      <x:c r="F5" s="62" t="n">
        <x:v>0</x:v>
      </x:c>
      <x:c r="G5" s="66" t="n">
        <x:v>1</x:v>
      </x:c>
      <x:c r="H5" s="62" t="n">
        <x:f>IF(E5=0,"",I5/E5)</x:f>
        <x:v>10593.970446900365</x:v>
      </x:c>
      <x:c r="I5" s="60" t="n">
        <x:f>SUMIF('Species'!$G$2:$G$62,A5,'Species'!$U$2:$U$62)</x:f>
        <x:v>344842952.63746285</x:v>
      </x:c>
      <x:c r="J5" s="62" t="n">
        <x:v>4.091652327998517</x:v>
      </x:c>
      <x:c r="K5" s="62" t="n">
        <x:f>IF(J5="","",(1/'Metadata'!$B$5)^(J5-1))</x:f>
        <x:v>10527.673679468207</x:v>
      </x:c>
      <x:c r="L5" s="60" t="n">
        <x:f>IF(E5=0,"",E5*K5)</x:f>
        <x:v>342684935.1928972</x:v>
      </x:c>
      <x:c r="M5" s="60" t="n">
        <x:f>I5-L5</x:f>
        <x:v>2158017.444565654</x:v>
      </x:c>
      <x:c r="N5" s="62" t="n">
        <x:f>IF(L5=0,"",I5/L5)</x:f>
        <x:v>1.0062973805468014</x:v>
      </x:c>
      <x:c r="O5" s="66" t="n">
        <x:f>IF(L5=0,"",M5/L5)</x:f>
        <x:v>0.006297380546801413</x:v>
      </x:c>
    </x:row>
    <x:row r="6" ht="18" customHeight="1">
      <x:c r="A6" s="46" t="str">
        <x:v>Large demersals (&gt;=90 cm)</x:v>
      </x:c>
      <x:c r="B6" s="64" t="n">
        <x:v>7</x:v>
      </x:c>
      <x:c r="C6" s="64" t="n">
        <x:v>7</x:v>
      </x:c>
      <x:c r="D6" s="60" t="n">
        <x:v>290.17493864689993</x:v>
      </x:c>
      <x:c r="E6" s="60" t="n">
        <x:v>290.17493864689993</x:v>
      </x:c>
      <x:c r="F6" s="62" t="n">
        <x:v>0</x:v>
      </x:c>
      <x:c r="G6" s="66" t="n">
        <x:v>1</x:v>
      </x:c>
      <x:c r="H6" s="62" t="n">
        <x:f>IF(E6=0,"",I6/E6)</x:f>
        <x:v>1989.4414533368938</x:v>
      </x:c>
      <x:c r="I6" s="60" t="n">
        <x:f>SUMIF('Species'!$G$2:$G$62,A6,'Species'!$U$2:$U$62)</x:f>
        <x:v>577286.0516636326</x:v>
      </x:c>
      <x:c r="J6" s="62" t="n">
        <x:v>3.4853120061639675</x:v>
      </x:c>
      <x:c r="K6" s="62" t="n">
        <x:f>IF(J6="","",(1/'Metadata'!$B$5)^(J6-1))</x:f>
        <x:v>1711.8490596398549</x:v>
      </x:c>
      <x:c r="L6" s="60" t="n">
        <x:f>IF(E6=0,"",E6*K6)</x:f>
        <x:v>496735.69585374824</x:v>
      </x:c>
      <x:c r="M6" s="60" t="n">
        <x:f>I6-L6</x:f>
        <x:v>80550.35580988438</x:v>
      </x:c>
      <x:c r="N6" s="62" t="n">
        <x:f>IF(L6=0,"",I6/L6)</x:f>
        <x:v>1.1621593867367255</x:v>
      </x:c>
      <x:c r="O6" s="66" t="n">
        <x:f>IF(L6=0,"",M6/L6)</x:f>
        <x:v>0.16215938673672542</x:v>
      </x:c>
    </x:row>
    <x:row r="7" ht="18" customHeight="1">
      <x:c r="A7" s="46" t="str">
        <x:v>Large flatfishes (&gt;=90 cm)</x:v>
      </x:c>
      <x:c r="B7" s="64" t="n">
        <x:v>1</x:v>
      </x:c>
      <x:c r="C7" s="64" t="n">
        <x:v>1</x:v>
      </x:c>
      <x:c r="D7" s="60" t="n">
        <x:v>39.7001000657</x:v>
      </x:c>
      <x:c r="E7" s="60" t="n">
        <x:v>39.7001000657</x:v>
      </x:c>
      <x:c r="F7" s="62" t="n">
        <x:v>0</x:v>
      </x:c>
      <x:c r="G7" s="66" t="n">
        <x:v>1</x:v>
      </x:c>
      <x:c r="H7" s="62" t="n">
        <x:f>IF(E7=0,"",I7/E7)</x:f>
        <x:v>7999.999999999999</x:v>
      </x:c>
      <x:c r="I7" s="60" t="n">
        <x:f>SUMIF('Species'!$G$2:$G$62,A7,'Species'!$U$2:$U$62)</x:f>
        <x:v>317600.8005256</x:v>
      </x:c>
      <x:c r="J7" s="62" t="n">
        <x:v>4</x:v>
      </x:c>
      <x:c r="K7" s="62" t="n">
        <x:f>IF(J7="","",(1/'Metadata'!$B$5)^(J7-1))</x:f>
        <x:v>8000</x:v>
      </x:c>
      <x:c r="L7" s="60" t="n">
        <x:f>IF(E7=0,"",E7*K7)</x:f>
        <x:v>317600.8005256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rays (&gt;=90 cm)</x:v>
      </x:c>
      <x:c r="B8" s="64" t="n">
        <x:v>1</x:v>
      </x:c>
      <x:c r="C8" s="64" t="n">
        <x:v>1</x:v>
      </x:c>
      <x:c r="D8" s="60" t="n">
        <x:v>0.0665625482</x:v>
      </x:c>
      <x:c r="E8" s="60" t="n">
        <x:v>0.0665625482</x:v>
      </x:c>
      <x:c r="F8" s="62" t="n">
        <x:v>0</x:v>
      </x:c>
      <x:c r="G8" s="66" t="n">
        <x:v>1</x:v>
      </x:c>
      <x:c r="H8" s="62" t="n">
        <x:f>IF(E8=0,"",I8/E8)</x:f>
        <x:v>4665.56868948727</x:v>
      </x:c>
      <x:c r="I8" s="60" t="n">
        <x:f>SUMIF('Species'!$G$2:$G$62,A8,'Species'!$U$2:$U$62)</x:f>
        <x:v>310.55214077440723</x:v>
      </x:c>
      <x:c r="J8" s="62" t="n">
        <x:v>3.8199999999999994</x:v>
      </x:c>
      <x:c r="K8" s="62" t="n">
        <x:f>IF(J8="","",(1/'Metadata'!$B$5)^(J8-1))</x:f>
        <x:v>4665.568689487263</x:v>
      </x:c>
      <x:c r="L8" s="60" t="n">
        <x:f>IF(E8=0,"",E8*K8)</x:f>
        <x:v>310.5521407744068</x:v>
      </x:c>
      <x:c r="M8" s="60" t="n">
        <x:f>I8-L8</x:f>
        <x:v>4.547473508864641e-13</x:v>
      </x:c>
      <x:c r="N8" s="62" t="n">
        <x:f>IF(L8=0,"",I8/L8)</x:f>
        <x:v>1.0000000000000016</x:v>
      </x:c>
      <x:c r="O8" s="66" t="n">
        <x:f>IF(L8=0,"",M8/L8)</x:f>
        <x:v>1.464318841121126e-15</x:v>
      </x:c>
    </x:row>
    <x:row r="9" ht="18" customHeight="1">
      <x:c r="A9" s="46" t="str">
        <x:v>Large reef assoc. fish (&gt;=90 cm)</x:v>
      </x:c>
      <x:c r="B9" s="64" t="n">
        <x:v>4</x:v>
      </x:c>
      <x:c r="C9" s="64" t="n">
        <x:v>4</x:v>
      </x:c>
      <x:c r="D9" s="60" t="n">
        <x:v>153.5567011469</x:v>
      </x:c>
      <x:c r="E9" s="60" t="n">
        <x:v>153.5567011469</x:v>
      </x:c>
      <x:c r="F9" s="62" t="n">
        <x:v>0</x:v>
      </x:c>
      <x:c r="G9" s="66" t="n">
        <x:v>1</x:v>
      </x:c>
      <x:c r="H9" s="62" t="n">
        <x:f>IF(E9=0,"",I9/E9)</x:f>
        <x:v>4123.245741155931</x:v>
      </x:c>
      <x:c r="I9" s="60" t="n">
        <x:f>SUMIF('Species'!$G$2:$G$62,A9,'Species'!$U$2:$U$62)</x:f>
        <x:v>633152.0140299094</x:v>
      </x:c>
      <x:c r="J9" s="62" t="n">
        <x:v>3.7775419412653712</x:v>
      </x:c>
      <x:c r="K9" s="62" t="n">
        <x:f>IF(J9="","",(1/'Metadata'!$B$5)^(J9-1))</x:f>
        <x:v>4108.330557562252</x:v>
      </x:c>
      <x:c r="L9" s="60" t="n">
        <x:f>IF(E9=0,"",E9*K9)</x:f>
        <x:v>630861.6876402637</x:v>
      </x:c>
      <x:c r="M9" s="60" t="n">
        <x:f>I9-L9</x:f>
        <x:v>2290.326389645692</x:v>
      </x:c>
      <x:c r="N9" s="62" t="n">
        <x:f>IF(L9=0,"",I9/L9)</x:f>
        <x:v>1.0036304731045131</x:v>
      </x:c>
      <x:c r="O9" s="66" t="n">
        <x:f>IF(L9=0,"",M9/L9)</x:f>
        <x:v>0.0036304731045130527</x:v>
      </x:c>
    </x:row>
    <x:row r="10" ht="18" customHeight="1">
      <x:c r="A10" s="46" t="str">
        <x:v>Large sharks (&gt;=90 cm)</x:v>
      </x:c>
      <x:c r="B10" s="64" t="n">
        <x:v>4</x:v>
      </x:c>
      <x:c r="C10" s="64" t="n">
        <x:v>4</x:v>
      </x:c>
      <x:c r="D10" s="60" t="n">
        <x:v>52.132383081</x:v>
      </x:c>
      <x:c r="E10" s="60" t="n">
        <x:v>52.132383081</x:v>
      </x:c>
      <x:c r="F10" s="62" t="n">
        <x:v>0</x:v>
      </x:c>
      <x:c r="G10" s="66" t="n">
        <x:v>1</x:v>
      </x:c>
      <x:c r="H10" s="62" t="n">
        <x:f>IF(E10=0,"",I10/E10)</x:f>
        <x:v>13803.715220655862</x:v>
      </x:c>
      <x:c r="I10" s="60" t="n">
        <x:f>SUMIF('Species'!$G$2:$G$62,A10,'Species'!$U$2:$U$62)</x:f>
        <x:v>719620.5698242618</x:v>
      </x:c>
      <x:c r="J10" s="62" t="n">
        <x:v>4.173750725127378</x:v>
      </x:c>
      <x:c r="K10" s="62" t="n">
        <x:f>IF(J10="","",(1/'Metadata'!$B$5)^(J10-1))</x:f>
        <x:v>13463.094436547837</x:v>
      </x:c>
      <x:c r="L10" s="60" t="n">
        <x:f>IF(E10=0,"",E10*K10)</x:f>
        <x:v>701863.1966217917</x:v>
      </x:c>
      <x:c r="M10" s="60" t="n">
        <x:f>I10-L10</x:f>
        <x:v>17757.37320247013</x:v>
      </x:c>
      <x:c r="N10" s="62" t="n">
        <x:f>IF(L10=0,"",I10/L10)</x:f>
        <x:v>1.0253003338655453</x:v>
      </x:c>
      <x:c r="O10" s="66" t="n">
        <x:f>IF(L10=0,"",M10/L10)</x:f>
        <x:v>0.025300333865545206</x:v>
      </x:c>
    </x:row>
    <x:row r="11" ht="18" customHeight="1">
      <x:c r="A11" s="46" t="str">
        <x:v>Lobsters, crabs</x:v>
      </x:c>
      <x:c r="B11" s="64" t="n">
        <x:v>3</x:v>
      </x:c>
      <x:c r="C11" s="64" t="n">
        <x:v>3</x:v>
      </x:c>
      <x:c r="D11" s="60" t="n">
        <x:v>2266.1593542463997</x:v>
      </x:c>
      <x:c r="E11" s="60" t="n">
        <x:v>2266.1593542463997</x:v>
      </x:c>
      <x:c r="F11" s="62" t="n">
        <x:v>0</x:v>
      </x:c>
      <x:c r="G11" s="66" t="n">
        <x:v>1</x:v>
      </x:c>
      <x:c r="H11" s="62" t="n">
        <x:f>IF(E11=0,"",I11/E11)</x:f>
        <x:v>2005.0813019440839</x:v>
      </x:c>
      <x:c r="I11" s="60" t="n">
        <x:f>SUMIF('Species'!$G$2:$G$62,A11,'Species'!$U$2:$U$62)</x:f>
        <x:v>4543833.748425135</x:v>
      </x:c>
      <x:c r="J11" s="62" t="n">
        <x:v>3.533109722834701</x:v>
      </x:c>
      <x:c r="K11" s="62" t="n">
        <x:f>IF(J11="","",(1/'Metadata'!$B$5)^(J11-1))</x:f>
        <x:v>1975.3849093356132</x:v>
      </x:c>
      <x:c r="L11" s="60" t="n">
        <x:f>IF(E11=0,"",E11*K11)</x:f>
        <x:v>4476536.990528076</x:v>
      </x:c>
      <x:c r="M11" s="60" t="n">
        <x:f>I11-L11</x:f>
        <x:v>67296.75789705943</x:v>
      </x:c>
      <x:c r="N11" s="62" t="n">
        <x:f>IF(L11=0,"",I11/L11)</x:f>
        <x:v>1.0150332183202</x:v>
      </x:c>
      <x:c r="O11" s="66" t="n">
        <x:f>IF(L11=0,"",M11/L11)</x:f>
        <x:v>0.015033218320199953</x:v>
      </x:c>
    </x:row>
    <x:row r="12" ht="18" customHeight="1">
      <x:c r="A12" s="46" t="str">
        <x:v>Medium bathydemersals (30 - 89 cm)</x:v>
      </x:c>
      <x:c r="B12" s="64" t="n">
        <x:v>2</x:v>
      </x:c>
      <x:c r="C12" s="64" t="n">
        <x:v>2</x:v>
      </x:c>
      <x:c r="D12" s="60" t="n">
        <x:v>16.7344926756</x:v>
      </x:c>
      <x:c r="E12" s="60" t="n">
        <x:v>16.7344926756</x:v>
      </x:c>
      <x:c r="F12" s="62" t="n">
        <x:v>0</x:v>
      </x:c>
      <x:c r="G12" s="66" t="n">
        <x:v>1</x:v>
      </x:c>
      <x:c r="H12" s="62" t="n">
        <x:f>IF(E12=0,"",I12/E12)</x:f>
        <x:v>992.2682542643827</x:v>
      </x:c>
      <x:c r="I12" s="60" t="n">
        <x:f>SUMIF('Species'!$G$2:$G$62,A12,'Species'!$U$2:$U$62)</x:f>
        <x:v>16605.10583321771</x:v>
      </x:c>
      <x:c r="J12" s="62" t="n">
        <x:v>3.302606393254669</x:v>
      </x:c>
      <x:c r="K12" s="62" t="n">
        <x:f>IF(J12="","",(1/'Metadata'!$B$5)^(J12-1))</x:f>
        <x:v>990.2845098856926</x:v>
      </x:c>
      <x:c r="L12" s="60" t="n">
        <x:f>IF(E12=0,"",E12*K12)</x:f>
        <x:v>16571.908877442256</x:v>
      </x:c>
      <x:c r="M12" s="60" t="n">
        <x:f>I12-L12</x:f>
        <x:v>33.19695577545281</x:v>
      </x:c>
      <x:c r="N12" s="62" t="n">
        <x:f>IF(L12=0,"",I12/L12)</x:f>
        <x:v>1.002003206511752</x:v>
      </x:c>
      <x:c r="O12" s="66" t="n">
        <x:f>IF(L12=0,"",M12/L12)</x:f>
        <x:v>0.002003206511751982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1250.9962077252</x:v>
      </x:c>
      <x:c r="E13" s="60" t="n">
        <x:v>1250.9962077252</x:v>
      </x:c>
      <x:c r="F13" s="62" t="n">
        <x:v>0</x:v>
      </x:c>
      <x:c r="G13" s="66" t="n">
        <x:v>1</x:v>
      </x:c>
      <x:c r="H13" s="62" t="n">
        <x:f>IF(E13=0,"",I13/E13)</x:f>
        <x:v>2803.6867455443476</x:v>
      </x:c>
      <x:c r="I13" s="60" t="n">
        <x:f>SUMIF('Species'!$G$2:$G$62,A13,'Species'!$U$2:$U$62)</x:f>
        <x:v>3507401.486325387</x:v>
      </x:c>
      <x:c r="J13" s="62" t="n">
        <x:v>3.6500000000000004</x:v>
      </x:c>
      <x:c r="K13" s="62" t="n">
        <x:f>IF(J13="","",(1/'Metadata'!$B$5)^(J13-1))</x:f>
        <x:v>2803.686745544351</x:v>
      </x:c>
      <x:c r="L13" s="60" t="n">
        <x:f>IF(E13=0,"",E13*K13)</x:f>
        <x:v>3507401.486325391</x:v>
      </x:c>
      <x:c r="M13" s="60" t="n">
        <x:f>I13-L13</x:f>
        <x:v>-4.190951585769653e-9</x:v>
      </x:c>
      <x:c r="N13" s="62" t="n">
        <x:f>IF(L13=0,"",I13/L13)</x:f>
        <x:v>0.9999999999999988</x:v>
      </x:c>
      <x:c r="O13" s="66" t="n">
        <x:f>IF(L13=0,"",M13/L13)</x:f>
        <x:v>-1.1948878969542774e-15</x:v>
      </x:c>
    </x:row>
    <x:row r="14" ht="18" customHeight="1">
      <x:c r="A14" s="46" t="str">
        <x:v>Medium benthopelagics (30 - 89 cm)</x:v>
      </x:c>
      <x:c r="B14" s="64" t="n">
        <x:v>5</x:v>
      </x:c>
      <x:c r="C14" s="64" t="n">
        <x:v>5</x:v>
      </x:c>
      <x:c r="D14" s="60" t="n">
        <x:v>7839.0483335521</x:v>
      </x:c>
      <x:c r="E14" s="60" t="n">
        <x:v>7839.0483335521</x:v>
      </x:c>
      <x:c r="F14" s="62" t="n">
        <x:v>0</x:v>
      </x:c>
      <x:c r="G14" s="66" t="n">
        <x:v>1</x:v>
      </x:c>
      <x:c r="H14" s="62" t="n">
        <x:f>IF(E14=0,"",I14/E14)</x:f>
        <x:v>6147.208238149816</x:v>
      </x:c>
      <x:c r="I14" s="60" t="n">
        <x:f>SUMIF('Species'!$G$2:$G$62,A14,'Species'!$U$2:$U$62)</x:f>
        <x:v>48188262.49526606</x:v>
      </x:c>
      <x:c r="J14" s="62" t="n">
        <x:v>3.899872667202268</x:v>
      </x:c>
      <x:c r="K14" s="62" t="n">
        <x:f>IF(J14="","",(1/'Metadata'!$B$5)^(J14-1))</x:f>
        <x:v>5926.814348802222</x:v>
      </x:c>
      <x:c r="L14" s="60" t="n">
        <x:f>IF(E14=0,"",E14*K14)</x:f>
        <x:v>46460584.144250736</x:v>
      </x:c>
      <x:c r="M14" s="60" t="n">
        <x:f>I14-L14</x:f>
        <x:v>1727678.351015322</x:v>
      </x:c>
      <x:c r="N14" s="62" t="n">
        <x:f>IF(L14=0,"",I14/L14)</x:f>
        <x:v>1.037185893867611</x:v>
      </x:c>
      <x:c r="O14" s="66" t="n">
        <x:f>IF(L14=0,"",M14/L14)</x:f>
        <x:v>0.03718589386761108</x:v>
      </x:c>
    </x:row>
    <x:row r="15" ht="18" customHeight="1">
      <x:c r="A15" s="46" t="str">
        <x:v>Medium demersals (30 - 89 cm)</x:v>
      </x:c>
      <x:c r="B15" s="64" t="n">
        <x:v>7</x:v>
      </x:c>
      <x:c r="C15" s="64" t="n">
        <x:v>7</x:v>
      </x:c>
      <x:c r="D15" s="60" t="n">
        <x:v>48629.79935185</x:v>
      </x:c>
      <x:c r="E15" s="60" t="n">
        <x:v>48629.79935185</x:v>
      </x:c>
      <x:c r="F15" s="62" t="n">
        <x:v>0</x:v>
      </x:c>
      <x:c r="G15" s="66" t="n">
        <x:v>1</x:v>
      </x:c>
      <x:c r="H15" s="62" t="n">
        <x:f>IF(E15=0,"",I15/E15)</x:f>
        <x:v>925.4969672776477</x:v>
      </x:c>
      <x:c r="I15" s="60" t="n">
        <x:f>SUMIF('Species'!$G$2:$G$62,A15,'Species'!$U$2:$U$62)</x:f>
        <x:v>45006731.819457695</x:v>
      </x:c>
      <x:c r="J15" s="62" t="n">
        <x:v>3.2800077102418737</x:v>
      </x:c>
      <x:c r="K15" s="62" t="n">
        <x:f>IF(J15="","",(1/'Metadata'!$B$5)^(J15-1))</x:f>
        <x:v>925.4616383665324</x:v>
      </x:c>
      <x:c r="L15" s="60" t="n">
        <x:f>IF(E15=0,"",E15*K15)</x:f>
        <x:v>45005013.781598836</x:v>
      </x:c>
      <x:c r="M15" s="60" t="n">
        <x:f>I15-L15</x:f>
        <x:v>1718.0378588587046</x:v>
      </x:c>
      <x:c r="N15" s="62" t="n">
        <x:f>IF(L15=0,"",I15/L15)</x:f>
        <x:v>1.0000381743657984</x:v>
      </x:c>
      <x:c r="O15" s="66" t="n">
        <x:f>IF(L15=0,"",M15/L15)</x:f>
        <x:v>0.00003817436579835372</x:v>
      </x:c>
    </x:row>
    <x:row r="16" ht="18" customHeight="1">
      <x:c r="A16" s="46" t="str">
        <x:v>Medium pelagics (30 - 89 cm)</x:v>
      </x:c>
      <x:c r="B16" s="64" t="n">
        <x:v>2</x:v>
      </x:c>
      <x:c r="C16" s="64" t="n">
        <x:v>2</x:v>
      </x:c>
      <x:c r="D16" s="60" t="n">
        <x:v>5.3697966979</x:v>
      </x:c>
      <x:c r="E16" s="60" t="n">
        <x:v>5.3697966979</x:v>
      </x:c>
      <x:c r="F16" s="62" t="n">
        <x:v>0</x:v>
      </x:c>
      <x:c r="G16" s="66" t="n">
        <x:v>1</x:v>
      </x:c>
      <x:c r="H16" s="62" t="n">
        <x:f>IF(E16=0,"",I16/E16)</x:f>
        <x:v>1241.5191968512809</x:v>
      </x:c>
      <x:c r="I16" s="60" t="n">
        <x:f>SUMIF('Species'!$G$2:$G$62,A16,'Species'!$U$2:$U$62)</x:f>
        <x:v>6666.705683631469</x:v>
      </x:c>
      <x:c r="J16" s="62" t="n">
        <x:v>3.377846967939676</x:v>
      </x:c>
      <x:c r="K16" s="62" t="n">
        <x:f>IF(J16="","",(1/'Metadata'!$B$5)^(J16-1))</x:f>
        <x:v>1240.652715318548</x:v>
      </x:c>
      <x:c r="L16" s="60" t="n">
        <x:f>IF(E16=0,"",E16*K16)</x:f>
        <x:v>6662.052853958207</x:v>
      </x:c>
      <x:c r="M16" s="60" t="n">
        <x:f>I16-L16</x:f>
        <x:v>4.652829673261294</x:v>
      </x:c>
      <x:c r="N16" s="62" t="n">
        <x:f>IF(L16=0,"",I16/L16)</x:f>
        <x:v>1.0006984077994063</x:v>
      </x:c>
      <x:c r="O16" s="66" t="n">
        <x:f>IF(L16=0,"",M16/L16)</x:f>
        <x:v>0.0006984077994062823</x:v>
      </x:c>
    </x:row>
    <x:row r="17" ht="18" customHeight="1">
      <x:c r="A17" s="46" t="str">
        <x:v>Other demersal invertebrates</x:v>
      </x:c>
      <x:c r="B17" s="64" t="n">
        <x:v>5</x:v>
      </x:c>
      <x:c r="C17" s="64" t="n">
        <x:v>5</x:v>
      </x:c>
      <x:c r="D17" s="60" t="n">
        <x:v>38.8661643031</x:v>
      </x:c>
      <x:c r="E17" s="60" t="n">
        <x:v>38.8661643031</x:v>
      </x:c>
      <x:c r="F17" s="62" t="n">
        <x:v>0</x:v>
      </x:c>
      <x:c r="G17" s="66" t="n">
        <x:v>1</x:v>
      </x:c>
      <x:c r="H17" s="62" t="n">
        <x:f>IF(E17=0,"",I17/E17)</x:f>
        <x:v>156.20682869576788</x:v>
      </x:c>
      <x:c r="I17" s="60" t="n">
        <x:f>SUMIF('Species'!$G$2:$G$62,A17,'Species'!$U$2:$U$62)</x:f>
        <x:v>6071.160269355911</x:v>
      </x:c>
      <x:c r="J17" s="62" t="n">
        <x:v>2.1601478720543454</x:v>
      </x:c>
      <x:c r="K17" s="62" t="n">
        <x:f>IF(J17="","",(1/'Metadata'!$B$5)^(J17-1))</x:f>
        <x:v>32.313736627546724</x:v>
      </x:c>
      <x:c r="L17" s="60" t="n">
        <x:f>IF(E17=0,"",E17*K17)</x:f>
        <x:v>1255.9109970133316</x:v>
      </x:c>
      <x:c r="M17" s="60" t="n">
        <x:f>I17-L17</x:f>
        <x:v>4815.249272342579</x:v>
      </x:c>
      <x:c r="N17" s="62" t="n">
        <x:f>IF(L17=0,"",I17/L17)</x:f>
        <x:v>4.834068882105238</x:v>
      </x:c>
      <x:c r="O17" s="66" t="n">
        <x:f>IF(L17=0,"",M17/L17)</x:f>
        <x:v>3.8340688821052384</x:v>
      </x:c>
    </x:row>
    <x:row r="18" ht="18" customHeight="1">
      <x:c r="A18" s="46" t="str">
        <x:v>Shrimps</x:v>
      </x:c>
      <x:c r="B18" s="64" t="n">
        <x:v>3</x:v>
      </x:c>
      <x:c r="C18" s="64" t="n">
        <x:v>3</x:v>
      </x:c>
      <x:c r="D18" s="60" t="n">
        <x:v>65322.38395836321</x:v>
      </x:c>
      <x:c r="E18" s="60" t="n">
        <x:v>65322.38395836321</x:v>
      </x:c>
      <x:c r="F18" s="62" t="n">
        <x:v>0</x:v>
      </x:c>
      <x:c r="G18" s="66" t="n">
        <x:v>1</x:v>
      </x:c>
      <x:c r="H18" s="62" t="n">
        <x:f>IF(E18=0,"",I18/E18)</x:f>
        <x:v>493.0672976395718</x:v>
      </x:c>
      <x:c r="I18" s="60" t="n">
        <x:f>SUMIF('Species'!$G$2:$G$62,A18,'Species'!$U$2:$U$62)</x:f>
        <x:v>32208331.333724663</x:v>
      </x:c>
      <x:c r="J18" s="62" t="n">
        <x:v>3.0695553849182424</x:v>
      </x:c>
      <x:c r="K18" s="62" t="n">
        <x:f>IF(J18="","",(1/'Metadata'!$B$5)^(J18-1))</x:f>
        <x:v>492.66718183220837</x:v>
      </x:c>
      <x:c r="L18" s="60" t="n">
        <x:f>IF(E18=0,"",E18*K18)</x:f>
        <x:v>32182194.81532826</x:v>
      </x:c>
      <x:c r="M18" s="60" t="n">
        <x:f>I18-L18</x:f>
        <x:v>26136.51839640364</x:v>
      </x:c>
      <x:c r="N18" s="62" t="n">
        <x:f>IF(L18=0,"",I18/L18)</x:f>
        <x:v>1.0008121421968383</x:v>
      </x:c>
      <x:c r="O18" s="66" t="n">
        <x:f>IF(L18=0,"",M18/L18)</x:f>
        <x:v>0.0008121421968384491</x:v>
      </x:c>
    </x:row>
    <x:row r="19" ht="18" customHeight="1">
      <x:c r="A19" s="46" t="str">
        <x:v>Small pelagics (&lt;30 cm)</x:v>
      </x:c>
      <x:c r="B19" s="64" t="n">
        <x:v>3</x:v>
      </x:c>
      <x:c r="C19" s="64" t="n">
        <x:v>3</x:v>
      </x:c>
      <x:c r="D19" s="60" t="n">
        <x:v>816.8184068552001</x:v>
      </x:c>
      <x:c r="E19" s="60" t="n">
        <x:v>816.8184068552001</x:v>
      </x:c>
      <x:c r="F19" s="62" t="n">
        <x:v>0</x:v>
      </x:c>
      <x:c r="G19" s="66" t="n">
        <x:v>1</x:v>
      </x:c>
      <x:c r="H19" s="62" t="n">
        <x:f>IF(E19=0,"",I19/E19)</x:f>
        <x:v>626.251259843031</x:v>
      </x:c>
      <x:c r="I19" s="60" t="n">
        <x:f>SUMIF('Species'!$G$2:$G$62,A19,'Species'!$U$2:$U$62)</x:f>
        <x:v>511533.5563560466</x:v>
      </x:c>
      <x:c r="J19" s="62" t="n">
        <x:v>3.1495544286750263</x:v>
      </x:c>
      <x:c r="K19" s="62" t="n">
        <x:f>IF(J19="","",(1/'Metadata'!$B$5)^(J19-1))</x:f>
        <x:v>626.0871481718345</x:v>
      </x:c>
      <x:c r="L19" s="60" t="n">
        <x:f>IF(E19=0,"",E19*K19)</x:f>
        <x:v>511399.5069222335</x:v>
      </x:c>
      <x:c r="M19" s="60" t="n">
        <x:f>I19-L19</x:f>
        <x:v>134.04943381308112</x:v>
      </x:c>
      <x:c r="N19" s="62" t="n">
        <x:f>IF(L19=0,"",I19/L19)</x:f>
        <x:v>1.0002621227279234</x:v>
      </x:c>
      <x:c r="O19" s="66" t="n">
        <x:f>IF(L19=0,"",M19/L19)</x:f>
        <x:v>0.00026212272792328973</x:v>
      </x:c>
    </x:row>
    <x:row r="20" ht="18" customHeight="1">
      <x:c r="A20" s="46" t="str">
        <x:v>Small to medium flatfishes (&lt;90 cm)</x:v>
      </x:c>
      <x:c r="B20" s="64" t="n">
        <x:v>2</x:v>
      </x:c>
      <x:c r="C20" s="64" t="n">
        <x:v>2</x:v>
      </x:c>
      <x:c r="D20" s="60" t="n">
        <x:v>59739.41775928801</x:v>
      </x:c>
      <x:c r="E20" s="60" t="n">
        <x:v>59739.41775928801</x:v>
      </x:c>
      <x:c r="F20" s="62" t="n">
        <x:v>0</x:v>
      </x:c>
      <x:c r="G20" s="66" t="n">
        <x:v>1</x:v>
      </x:c>
      <x:c r="H20" s="62" t="n">
        <x:f>IF(E20=0,"",I20/E20)</x:f>
        <x:v>24972.378149569722</x:v>
      </x:c>
      <x:c r="I20" s="60" t="n">
        <x:f>SUMIF('Species'!$G$2:$G$62,A20,'Species'!$U$2:$U$62)</x:f>
        <x:v>1491835330.7200613</x:v>
      </x:c>
      <x:c r="J20" s="62" t="n">
        <x:v>4.379938509157002</x:v>
      </x:c>
      <x:c r="K20" s="62" t="n">
        <x:f>IF(J20="","",(1/'Metadata'!$B$5)^(J20-1))</x:f>
        <x:v>24969.013485645373</x:v>
      </x:c>
      <x:c r="L20" s="60" t="n">
        <x:f>IF(E20=0,"",E20*K20)</x:f>
        <x:v>1491634327.656265</x:v>
      </x:c>
      <x:c r="M20" s="60" t="n">
        <x:f>I20-L20</x:f>
        <x:v>201003.06379628181</x:v>
      </x:c>
      <x:c r="N20" s="62" t="n">
        <x:f>IF(L20=0,"",I20/L20)</x:f>
        <x:v>1.000134753578722</x:v>
      </x:c>
      <x:c r="O20" s="66" t="n">
        <x:f>IF(L20=0,"",M20/L20)</x:f>
        <x:v>0.00013475357872201057</x:v>
      </x:c>
    </x:row>
    <x:row r="21" ht="18" customHeight="1">
      <x:c r="A21" s="46" t="str">
        <x:v>Small to medium sharks (&lt;90 cm)</x:v>
      </x:c>
      <x:c r="B21" s="64" t="n">
        <x:v>1</x:v>
      </x:c>
      <x:c r="C21" s="64" t="n">
        <x:v>1</x:v>
      </x:c>
      <x:c r="D21" s="60" t="n">
        <x:v>5.3603047153</x:v>
      </x:c>
      <x:c r="E21" s="60" t="n">
        <x:v>5.3603047153</x:v>
      </x:c>
      <x:c r="F21" s="62" t="n">
        <x:v>0</x:v>
      </x:c>
      <x:c r="G21" s="66" t="n">
        <x:v>1</x:v>
      </x:c>
      <x:c r="H21" s="62" t="n">
        <x:f>IF(E21=0,"",I21/E21)</x:f>
        <x:v>4953.648510535111</x:v>
      </x:c>
      <x:c r="I21" s="60" t="n">
        <x:f>SUMIF('Species'!$G$2:$G$62,A21,'Species'!$U$2:$U$62)</x:f>
        <x:v>26553.065468960176</x:v>
      </x:c>
      <x:c r="J21" s="62" t="n">
        <x:v>3.84</x:v>
      </x:c>
      <x:c r="K21" s="62" t="n">
        <x:f>IF(J21="","",(1/'Metadata'!$B$5)^(J21-1))</x:f>
        <x:v>4953.648510535111</x:v>
      </x:c>
      <x:c r="L21" s="60" t="n">
        <x:f>IF(E21=0,"",E21*K21)</x:f>
        <x:v>26553.065468960176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9d0dcfa89684d3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LME_018</x:v>
      </x:c>
      <x:c r="B2" s="46" t="str">
        <x:v>raw_filtered_tonnes</x:v>
      </x:c>
      <x:c r="C2" s="46" t="n">
        <x:v>219045.6241691814</x:v>
      </x:c>
      <x:c r="D2" s="46" t="str">
        <x:v>tonnes</x:v>
      </x:c>
    </x:row>
    <x:row r="3" ht="18" customHeight="1">
      <x:c r="A3" s="46" t="str">
        <x:v>LME_018</x:v>
      </x:c>
      <x:c r="B3" s="46" t="str">
        <x:v>species_catch_tonnes</x:v>
      </x:c>
      <x:c r="C3" s="46" t="n">
        <x:v>219045.62416918142</x:v>
      </x:c>
      <x:c r="D3" s="46" t="str">
        <x:v>tonnes</x:v>
      </x:c>
    </x:row>
    <x:row r="4" ht="18" customHeight="1">
      <x:c r="A4" s="46" t="str">
        <x:v>LME_018</x:v>
      </x:c>
      <x:c r="B4" s="46" t="str">
        <x:v>catch_difference_tonnes</x:v>
      </x:c>
      <x:c r="C4" s="46" t="n">
        <x:v>2.9103830456733704e-11</x:v>
      </x:c>
      <x:c r="D4" s="46" t="str">
        <x:v>tonnes</x:v>
      </x:c>
    </x:row>
    <x:row r="5" ht="18" customHeight="1">
      <x:c r="A5" s="46" t="str">
        <x:v>LME_018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LME_018</x:v>
      </x:c>
      <x:c r="B6" s="46" t="str">
        <x:v>matched_catch_tonnes</x:v>
      </x:c>
      <x:c r="C6" s="46" t="n">
        <x:v>219045.62416918142</x:v>
      </x:c>
      <x:c r="D6" s="46" t="str">
        <x:v>tonnes</x:v>
      </x:c>
    </x:row>
    <x:row r="7" ht="18" customHeight="1">
      <x:c r="A7" s="46" t="str">
        <x:v>LME_018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LME_018</x:v>
      </x:c>
      <x:c r="B8" s="46" t="str">
        <x:v>taxa_count</x:v>
      </x:c>
      <x:c r="C8" s="46" t="n">
        <x:v>61</x:v>
      </x:c>
      <x:c r="D8" s="46" t="str">
        <x:v>count</x:v>
      </x:c>
    </x:row>
    <x:row r="9" ht="18" customHeight="1">
      <x:c r="A9" s="46" t="str">
        <x:v>LME_018</x:v>
      </x:c>
      <x:c r="B9" s="46" t="str">
        <x:v>matched_taxa_count</x:v>
      </x:c>
      <x:c r="C9" s="46" t="n">
        <x:v>61</x:v>
      </x:c>
      <x:c r="D9" s="46" t="str">
        <x:v>count</x:v>
      </x:c>
    </x:row>
    <x:row r="10" ht="18" customHeight="1">
      <x:c r="A10" s="46" t="str">
        <x:v>LME_018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LME_018</x:v>
      </x:c>
      <x:c r="B11" s="46" t="str">
        <x:v>species_ppr</x:v>
      </x:c>
      <x:c r="C11" s="46" t="n">
        <x:v>1973019214.6667988</x:v>
      </x:c>
      <x:c r="D11" s="46" t="str">
        <x:v>tonnes_primary_production_equivalent</x:v>
      </x:c>
    </x:row>
    <x:row r="12" ht="18" customHeight="1">
      <x:c r="A12" s="46" t="str">
        <x:v>LME_018</x:v>
      </x:c>
      <x:c r="B12" s="46" t="str">
        <x:v>commercial_ppr</x:v>
      </x:c>
      <x:c r="C12" s="46" t="n">
        <x:v>1973019214.6667988</x:v>
      </x:c>
      <x:c r="D12" s="46" t="str">
        <x:v>tonnes_primary_production_equivalent</x:v>
      </x:c>
    </x:row>
    <x:row r="13" ht="18" customHeight="1">
      <x:c r="A13" s="46" t="str">
        <x:v>LME_018</x:v>
      </x:c>
      <x:c r="B13" s="46" t="str">
        <x:v>functional_ppr</x:v>
      </x:c>
      <x:c r="C13" s="46" t="n">
        <x:v>1973019214.666799</x:v>
      </x:c>
      <x:c r="D13" s="46" t="str">
        <x:v>tonnes_primary_production_equivalent</x:v>
      </x:c>
    </x:row>
    <x:row r="14" ht="18" customHeight="1">
      <x:c r="A14" s="46" t="str">
        <x:v>LME_018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LME_018</x:v>
      </x:c>
      <x:c r="B15" s="46" t="str">
        <x:v>functional_ppr_difference</x:v>
      </x:c>
      <x:c r="C15" s="46" t="n">
        <x:v>2.384185791015625e-7</x:v>
      </x:c>
      <x:c r="D15" s="46" t="str">
        <x:v>tonnes_primary_production_equivalent</x:v>
      </x:c>
    </x:row>
    <x:row r="16" ht="18" customHeight="1">
      <x:c r="A16" s="46" t="str">
        <x:v>LME_018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LME_018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LME_018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LME_018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5a612bc0988641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LME_018 - Canadian Eastern Arctic -West Greenland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LME_018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raw_data/SAU_downloads/LME_018-catch.zip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