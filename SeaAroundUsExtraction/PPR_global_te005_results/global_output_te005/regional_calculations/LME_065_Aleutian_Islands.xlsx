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c43bc87a8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ab165857e15461c"/>
    <x:sheet xmlns:r="http://schemas.openxmlformats.org/officeDocument/2006/relationships" name="Commercial" sheetId="2" r:id="Rbf6187fff9074326"/>
    <x:sheet xmlns:r="http://schemas.openxmlformats.org/officeDocument/2006/relationships" name="Functional" sheetId="3" r:id="Rd8e872f6df6246d9"/>
    <x:sheet xmlns:r="http://schemas.openxmlformats.org/officeDocument/2006/relationships" name="Missing TL" sheetId="4" r:id="Ra7dd0413af6a4b11"/>
    <x:sheet xmlns:r="http://schemas.openxmlformats.org/officeDocument/2006/relationships" name="Validation" sheetId="5" r:id="Rde9c9b502c6f4e0f"/>
    <x:sheet xmlns:r="http://schemas.openxmlformats.org/officeDocument/2006/relationships" name="Metadata" sheetId="6" r:id="R74b0f650e2284f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3faa54c1a048a4" /><Relationship Type="http://schemas.openxmlformats.org/officeDocument/2006/relationships/theme" Target="/xl/theme/theme1.xml" Id="R1c93270bdc854dcf" /><Relationship Type="http://schemas.openxmlformats.org/officeDocument/2006/relationships/sharedStrings" Target="/xl/sharedStrings.xml" Id="R05801539c6e640b5" /><Relationship Type="http://schemas.openxmlformats.org/officeDocument/2006/relationships/worksheet" Target="/xl/worksheets/sheet1.xml" Id="R2ab165857e15461c" /><Relationship Type="http://schemas.openxmlformats.org/officeDocument/2006/relationships/worksheet" Target="/xl/worksheets/sheet2.xml" Id="Rbf6187fff9074326" /><Relationship Type="http://schemas.openxmlformats.org/officeDocument/2006/relationships/worksheet" Target="/xl/worksheets/sheet3.xml" Id="Rd8e872f6df6246d9" /><Relationship Type="http://schemas.openxmlformats.org/officeDocument/2006/relationships/worksheet" Target="/xl/worksheets/sheet4.xml" Id="Ra7dd0413af6a4b11" /><Relationship Type="http://schemas.openxmlformats.org/officeDocument/2006/relationships/worksheet" Target="/xl/worksheets/sheet5.xml" Id="Rde9c9b502c6f4e0f" /><Relationship Type="http://schemas.openxmlformats.org/officeDocument/2006/relationships/worksheet" Target="/xl/worksheets/sheet6.xml" Id="R74b0f650e2284fba" /></Relationships>
</file>

<file path=xl/tables/table1.xml><?xml version="1.0" encoding="utf-8"?>
<x:table xmlns:x="http://schemas.openxmlformats.org/spreadsheetml/2006/main" id="1" name="LME065SpeciesTable" displayName="LME065SpeciesTable" ref="A1:U69" headerRowCount="1" totalsRowCount="0" totalsRowShown="0">
  <x:autoFilter ref="A1:U6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65CommercialTable" displayName="LME065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65FunctionalTable" displayName="LME065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65ValidationTable" displayName="LME06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a6c747d34d4f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c9c99cd5f44f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c2c638021545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ef37cec1034f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LME_065</x:v>
      </x:c>
      <x:c r="B2" s="46" t="str">
        <x:v>Aleutian Islands</x:v>
      </x:c>
      <x:c r="C2" s="46" t="str">
        <x:v>LME</x:v>
      </x:c>
      <x:c r="D2" s="58" t="n">
        <x:v>2019</x:v>
      </x:c>
      <x:c r="E2" s="46" t="str">
        <x:v>Gadus chalcogrammus</x:v>
      </x:c>
      <x:c r="F2" s="46" t="str">
        <x:v>Alaska pollock</x:v>
      </x:c>
      <x:c r="G2" s="46" t="str">
        <x:v>Medium benthopelagics (30 - 89 cm)</x:v>
      </x:c>
      <x:c r="H2" s="46" t="str">
        <x:v>Cod-likes</x:v>
      </x:c>
      <x:c r="I2" s="60" t="n">
        <x:v>86041.6643582491</x:v>
      </x:c>
      <x:c r="J2" s="60" t="n">
        <x:v>83089.38790347369</x:v>
      </x:c>
      <x:c r="K2" s="60" t="n">
        <x:v>2952.2764547754005</x:v>
      </x:c>
      <x:c r="L2" s="60" t="n">
        <x:v>83089.3796524477</x:v>
      </x:c>
      <x:c r="M2" s="60" t="n">
        <x:v>2952.2847058014004</x:v>
      </x:c>
      <x:c r="N2" s="46" t="str">
        <x:v>gadus chalcogrammus</x:v>
      </x:c>
      <x:c r="O2" s="62" t="n">
        <x:v>3.57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Gadus chalcogrammus</x:v>
      </x:c>
      <x:c r="T2" s="62" t="n">
        <x:f>IF(O2="","",(1/'Metadata'!$B$5)^(O2-1))</x:f>
        <x:v>2206.2112196552644</x:v>
      </x:c>
      <x:c r="U2" s="60" t="n">
        <x:f>IF(T2="","",I2*T2)</x:f>
        <x:v>189826085.26498163</x:v>
      </x:c>
    </x:row>
    <x:row r="3" ht="18" customHeight="1">
      <x:c r="A3" s="46" t="str">
        <x:v>LME_065</x:v>
      </x:c>
      <x:c r="B3" s="46" t="str">
        <x:v>Aleutian Islands</x:v>
      </x:c>
      <x:c r="C3" s="46" t="str">
        <x:v>LME</x:v>
      </x:c>
      <x:c r="D3" s="58" t="n">
        <x:v>2019</x:v>
      </x:c>
      <x:c r="E3" s="46" t="str">
        <x:v>Gadus macrocephalus</x:v>
      </x:c>
      <x:c r="F3" s="46" t="str">
        <x:v>Pacific cod</x:v>
      </x:c>
      <x:c r="G3" s="46" t="str">
        <x:v>Large demersals (&gt;=90 cm)</x:v>
      </x:c>
      <x:c r="H3" s="46" t="str">
        <x:v>Cod-likes</x:v>
      </x:c>
      <x:c r="I3" s="60" t="n">
        <x:v>14648.1259484195</x:v>
      </x:c>
      <x:c r="J3" s="60" t="n">
        <x:v>13128.783672077501</x:v>
      </x:c>
      <x:c r="K3" s="60" t="n">
        <x:v>1519.3422763419999</x:v>
      </x:c>
      <x:c r="L3" s="60" t="n">
        <x:v>13126.3398815563</x:v>
      </x:c>
      <x:c r="M3" s="60" t="n">
        <x:v>1521.7860668632</x:v>
      </x:c>
      <x:c r="N3" s="46" t="str">
        <x:v>gadus macrocephalus</x:v>
      </x:c>
      <x:c r="O3" s="62" t="n">
        <x:v>4.16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Gadus macrocephalus</x:v>
      </x:c>
      <x:c r="T3" s="62" t="n">
        <x:f>IF(O3="","",(1/'Metadata'!$B$5)^(O3-1))</x:f>
        <x:v>12919.77011769987</x:v>
      </x:c>
      <x:c r="U3" s="60" t="n">
        <x:f>IF(T3="","",I3*T3)</x:f>
        <x:v>189250419.90869433</x:v>
      </x:c>
    </x:row>
    <x:row r="4" ht="18" customHeight="1">
      <x:c r="A4" s="46" t="str">
        <x:v>LME_065</x:v>
      </x:c>
      <x:c r="B4" s="46" t="str">
        <x:v>Aleutian Islands</x:v>
      </x:c>
      <x:c r="C4" s="46" t="str">
        <x:v>LME</x:v>
      </x:c>
      <x:c r="D4" s="58" t="n">
        <x:v>2019</x:v>
      </x:c>
      <x:c r="E4" s="46" t="str">
        <x:v>Limanda aspera</x:v>
      </x:c>
      <x:c r="F4" s="46" t="str">
        <x:v>Yellowfin sole</x:v>
      </x:c>
      <x:c r="G4" s="46" t="str">
        <x:v>Small to medium flatfishes (&lt;90 cm)</x:v>
      </x:c>
      <x:c r="H4" s="46" t="str">
        <x:v>Flatfishes</x:v>
      </x:c>
      <x:c r="I4" s="60" t="n">
        <x:v>11133.3411091532</x:v>
      </x:c>
      <x:c r="J4" s="60" t="n">
        <x:v>9395.4351432619</x:v>
      </x:c>
      <x:c r="K4" s="60" t="n">
        <x:v>1737.9059658913</x:v>
      </x:c>
      <x:c r="L4" s="60" t="n">
        <x:v>9395.4351432619</x:v>
      </x:c>
      <x:c r="M4" s="60" t="n">
        <x:v>1737.9059658913</x:v>
      </x:c>
      <x:c r="N4" s="46" t="str">
        <x:v>limanda aspera</x:v>
      </x:c>
      <x:c r="O4" s="62" t="n">
        <x:v>3.49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Limanda aspera</x:v>
      </x:c>
      <x:c r="T4" s="62" t="n">
        <x:f>IF(O4="","",(1/'Metadata'!$B$5)^(O4-1))</x:f>
        <x:v>1736.059833884101</x:v>
      </x:c>
      <x:c r="U4" s="60" t="n">
        <x:f>IF(T4="","",I4*T4)</x:f>
        <x:v>19328146.316531535</x:v>
      </x:c>
    </x:row>
    <x:row r="5" ht="18" customHeight="1">
      <x:c r="A5" s="46" t="str">
        <x:v>LME_065</x:v>
      </x:c>
      <x:c r="B5" s="46" t="str">
        <x:v>Aleutian Islands</x:v>
      </x:c>
      <x:c r="C5" s="46" t="str">
        <x:v>LME</x:v>
      </x:c>
      <x:c r="D5" s="58" t="n">
        <x:v>2019</x:v>
      </x:c>
      <x:c r="E5" s="46" t="str">
        <x:v>Marine fishes not identified</x:v>
      </x:c>
      <x:c r="F5" s="46" t="str">
        <x:v>Marine fishes nei</x:v>
      </x:c>
      <x:c r="G5" s="46" t="str">
        <x:v>Medium demersals (30 - 89 cm)</x:v>
      </x:c>
      <x:c r="H5" s="46" t="str">
        <x:v>Other fishes &amp; inverts</x:v>
      </x:c>
      <x:c r="I5" s="60" t="n">
        <x:v>6450.6532988615</x:v>
      </x:c>
      <x:c r="J5" s="60" t="n">
        <x:v>1776.4269413497998</x:v>
      </x:c>
      <x:c r="K5" s="60" t="n">
        <x:v>4674.2263575117</x:v>
      </x:c>
      <x:c r="L5" s="60" t="n">
        <x:v>1556.3940147417</x:v>
      </x:c>
      <x:c r="M5" s="60" t="n">
        <x:v>4894.2592841198</x:v>
      </x:c>
      <x:c r="N5" s="46" t="str">
        <x:v>marine fishes not identified</x:v>
      </x:c>
      <x:c r="O5" s="62" t="n">
        <x:v>3.28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Marine fishes not identified</x:v>
      </x:c>
      <x:c r="T5" s="62" t="n">
        <x:f>IF(O5="","",(1/'Metadata'!$B$5)^(O5-1))</x:f>
        <x:v>925.4402624666747</x:v>
      </x:c>
      <x:c r="U5" s="60" t="n">
        <x:f>IF(T5="","",I5*T5)</x:f>
        <x:v>5969694.281979907</x:v>
      </x:c>
    </x:row>
    <x:row r="6" ht="18" customHeight="1">
      <x:c r="A6" s="46" t="str">
        <x:v>LME_065</x:v>
      </x:c>
      <x:c r="B6" s="46" t="str">
        <x:v>Aleutian Islands</x:v>
      </x:c>
      <x:c r="C6" s="46" t="str">
        <x:v>LME</x:v>
      </x:c>
      <x:c r="D6" s="58" t="n">
        <x:v>2019</x:v>
      </x:c>
      <x:c r="E6" s="46" t="str">
        <x:v>Pleurogrammus monopterygius</x:v>
      </x:c>
      <x:c r="F6" s="46" t="str">
        <x:v>Atka mackerel</x:v>
      </x:c>
      <x:c r="G6" s="46" t="str">
        <x:v>Medium demersals (30 - 89 cm)</x:v>
      </x:c>
      <x:c r="H6" s="46" t="str">
        <x:v>Scorpionfishes</x:v>
      </x:c>
      <x:c r="I6" s="60" t="n">
        <x:v>5861.136425063601</x:v>
      </x:c>
      <x:c r="J6" s="60" t="n">
        <x:v>5632.639728928701</x:v>
      </x:c>
      <x:c r="K6" s="60" t="n">
        <x:v>228.49669613490002</x:v>
      </x:c>
      <x:c r="L6" s="60" t="n">
        <x:v>5632.639728928701</x:v>
      </x:c>
      <x:c r="M6" s="60" t="n">
        <x:v>228.49669613490002</x:v>
      </x:c>
      <x:c r="N6" s="46" t="str">
        <x:v>pleurogrammus monopterygius</x:v>
      </x:c>
      <x:c r="O6" s="62" t="n">
        <x:v>3.38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Pleurogrammus monopterygius</x:v>
      </x:c>
      <x:c r="T6" s="62" t="n">
        <x:f>IF(O6="","",(1/'Metadata'!$B$5)^(O6-1))</x:f>
        <x:v>1248.6806726928048</x:v>
      </x:c>
      <x:c r="U6" s="60" t="n">
        <x:f>IF(T6="","",I6*T6)</x:f>
        <x:v>7318687.773992718</x:v>
      </x:c>
    </x:row>
    <x:row r="7" ht="18" customHeight="1">
      <x:c r="A7" s="46" t="str">
        <x:v>LME_065</x:v>
      </x:c>
      <x:c r="B7" s="46" t="str">
        <x:v>Aleutian Islands</x:v>
      </x:c>
      <x:c r="C7" s="46" t="str">
        <x:v>LME</x:v>
      </x:c>
      <x:c r="D7" s="58" t="n">
        <x:v>2019</x:v>
      </x:c>
      <x:c r="E7" s="46" t="str">
        <x:v>Sebastes alutus</x:v>
      </x:c>
      <x:c r="F7" s="46" t="str">
        <x:v>Pacific ocean perch</x:v>
      </x:c>
      <x:c r="G7" s="46" t="str">
        <x:v>Medium demersals (30 - 89 cm)</x:v>
      </x:c>
      <x:c r="H7" s="46" t="str">
        <x:v>Scorpionfishes</x:v>
      </x:c>
      <x:c r="I7" s="60" t="n">
        <x:v>5517.8297153384</x:v>
      </x:c>
      <x:c r="J7" s="60" t="n">
        <x:v>4206.5762301215</x:v>
      </x:c>
      <x:c r="K7" s="60" t="n">
        <x:v>1311.2534852169001</x:v>
      </x:c>
      <x:c r="L7" s="60" t="n">
        <x:v>4206.5762301215</x:v>
      </x:c>
      <x:c r="M7" s="60" t="n">
        <x:v>1311.2534852169001</x:v>
      </x:c>
      <x:c r="N7" s="46" t="str">
        <x:v>sebastes alutus</x:v>
      </x:c>
      <x:c r="O7" s="62" t="n">
        <x:v>3.48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Sebastes alutus</x:v>
      </x:c>
      <x:c r="T7" s="62" t="n">
        <x:f>IF(O7="","",(1/'Metadata'!$B$5)^(O7-1))</x:f>
        <x:v>1684.8234138858888</x:v>
      </x:c>
      <x:c r="U7" s="60" t="n">
        <x:f>IF(T7="","",I7*T7)</x:f>
        <x:v>9296568.698237445</x:v>
      </x:c>
    </x:row>
    <x:row r="8" ht="18" customHeight="1">
      <x:c r="A8" s="46" t="str">
        <x:v>LME_065</x:v>
      </x:c>
      <x:c r="B8" s="46" t="str">
        <x:v>Aleutian Islands</x:v>
      </x:c>
      <x:c r="C8" s="46" t="str">
        <x:v>LME</x:v>
      </x:c>
      <x:c r="D8" s="58" t="n">
        <x:v>2019</x:v>
      </x:c>
      <x:c r="E8" s="46" t="str">
        <x:v>Oncorhynchus gorbuscha</x:v>
      </x:c>
      <x:c r="F8" s="46" t="str">
        <x:v>Pink salmon</x:v>
      </x:c>
      <x:c r="G8" s="46" t="str">
        <x:v>Medium demersals (30 - 89 cm)</x:v>
      </x:c>
      <x:c r="H8" s="46" t="str">
        <x:v>Salmon, smelts, etc</x:v>
      </x:c>
      <x:c r="I8" s="60" t="n">
        <x:v>4319.471655354099</x:v>
      </x:c>
      <x:c r="J8" s="60" t="n">
        <x:v>4286.4730785538995</x:v>
      </x:c>
      <x:c r="K8" s="60" t="n">
        <x:v>32.9985768002</x:v>
      </x:c>
      <x:c r="L8" s="60" t="n">
        <x:v>4280.9544082811</x:v>
      </x:c>
      <x:c r="M8" s="60" t="n">
        <x:v>38.517247073</x:v>
      </x:c>
      <x:c r="N8" s="46" t="str">
        <x:v>oncorhynchus gorbuscha</x:v>
      </x:c>
      <x:c r="O8" s="62" t="n">
        <x:v>4.49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Oncorhynchus gorbuscha</x:v>
      </x:c>
      <x:c r="T8" s="62" t="n">
        <x:f>IF(O8="","",(1/'Metadata'!$B$5)^(O8-1))</x:f>
        <x:v>34721.19667768202</x:v>
      </x:c>
      <x:c r="U8" s="60" t="n">
        <x:f>IF(T8="","",I8*T8)</x:f>
        <x:v>149977224.8892224</x:v>
      </x:c>
    </x:row>
    <x:row r="9" ht="18" customHeight="1">
      <x:c r="A9" s="46" t="str">
        <x:v>LME_065</x:v>
      </x:c>
      <x:c r="B9" s="46" t="str">
        <x:v>Aleutian Islands</x:v>
      </x:c>
      <x:c r="C9" s="46" t="str">
        <x:v>LME</x:v>
      </x:c>
      <x:c r="D9" s="58" t="n">
        <x:v>2019</x:v>
      </x:c>
      <x:c r="E9" s="46" t="str">
        <x:v>Oncorhynchus nerka</x:v>
      </x:c>
      <x:c r="F9" s="46" t="str">
        <x:v>Sockeye salmon</x:v>
      </x:c>
      <x:c r="G9" s="46" t="str">
        <x:v>Medium pelagics (30 - 89 cm)</x:v>
      </x:c>
      <x:c r="H9" s="46" t="str">
        <x:v>Salmon, smelts, etc</x:v>
      </x:c>
      <x:c r="I9" s="60" t="n">
        <x:v>2656.3482379735</x:v>
      </x:c>
      <x:c r="J9" s="60" t="n">
        <x:v>2654.939684843</x:v>
      </x:c>
      <x:c r="K9" s="60" t="n">
        <x:v>1.4085531305</x:v>
      </x:c>
      <x:c r="L9" s="60" t="n">
        <x:v>2644.5936310026</x:v>
      </x:c>
      <x:c r="M9" s="60" t="n">
        <x:v>11.7546069709</x:v>
      </x:c>
      <x:c r="N9" s="46" t="str">
        <x:v>oncorhynchus nerka</x:v>
      </x:c>
      <x:c r="O9" s="62" t="n">
        <x:v>3.54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Oncorhynchus nerka</x:v>
      </x:c>
      <x:c r="T9" s="62" t="n">
        <x:f>IF(O9="","",(1/'Metadata'!$B$5)^(O9-1))</x:f>
        <x:v>2016.5834052007342</x:v>
      </x:c>
      <x:c r="U9" s="60" t="n">
        <x:f>IF(T9="","",I9*T9)</x:f>
        <x:v>5356747.775131571</x:v>
      </x:c>
    </x:row>
    <x:row r="10" ht="18" customHeight="1">
      <x:c r="A10" s="46" t="str">
        <x:v>LME_065</x:v>
      </x:c>
      <x:c r="B10" s="46" t="str">
        <x:v>Aleutian Islands</x:v>
      </x:c>
      <x:c r="C10" s="46" t="str">
        <x:v>LME</x:v>
      </x:c>
      <x:c r="D10" s="58" t="n">
        <x:v>2019</x:v>
      </x:c>
      <x:c r="E10" s="46" t="str">
        <x:v>Cottidae</x:v>
      </x:c>
      <x:c r="F10" s="46" t="str">
        <x:v>Sculpins</x:v>
      </x:c>
      <x:c r="G10" s="46" t="str">
        <x:v>Large reef assoc. fish (&gt;=90 cm)</x:v>
      </x:c>
      <x:c r="H10" s="46" t="str">
        <x:v>Scorpionfishes</x:v>
      </x:c>
      <x:c r="I10" s="60" t="n">
        <x:v>2655.655677477</x:v>
      </x:c>
      <x:c r="J10" s="60" t="n">
        <x:v>0.9451562982</x:v>
      </x:c>
      <x:c r="K10" s="60" t="n">
        <x:v>2654.7105211788</x:v>
      </x:c>
      <x:c r="L10" s="60" t="n">
        <x:v>0.9234481587</x:v>
      </x:c>
      <x:c r="M10" s="60" t="n">
        <x:v>2654.7322293183</x:v>
      </x:c>
      <x:c r="N10" s="46" t="str">
        <x:v>cottidae</x:v>
      </x:c>
      <x:c r="O10" s="62" t="n">
        <x:v>3.81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Cottidae</x:v>
      </x:c>
      <x:c r="T10" s="62" t="n">
        <x:f>IF(O10="","",(1/'Metadata'!$B$5)^(O10-1))</x:f>
        <x:v>4527.873529309382</x:v>
      </x:c>
      <x:c r="U10" s="60" t="n">
        <x:f>IF(T10="","",I10*T10)</x:f>
        <x:v>12024473.045008283</x:v>
      </x:c>
    </x:row>
    <x:row r="11" ht="18" customHeight="1">
      <x:c r="A11" s="46" t="str">
        <x:v>LME_065</x:v>
      </x:c>
      <x:c r="B11" s="46" t="str">
        <x:v>Aleutian Islands</x:v>
      </x:c>
      <x:c r="C11" s="46" t="str">
        <x:v>LME</x:v>
      </x:c>
      <x:c r="D11" s="58" t="n">
        <x:v>2019</x:v>
      </x:c>
      <x:c r="E11" s="46" t="str">
        <x:v>Oncorhynchus keta</x:v>
      </x:c>
      <x:c r="F11" s="46" t="str">
        <x:v>Chum salmon</x:v>
      </x:c>
      <x:c r="G11" s="46" t="str">
        <x:v>Large benthopelagics (&gt;=90 cm)</x:v>
      </x:c>
      <x:c r="H11" s="46" t="str">
        <x:v>Salmon, smelts, etc</x:v>
      </x:c>
      <x:c r="I11" s="60" t="n">
        <x:v>1620.9435948097998</x:v>
      </x:c>
      <x:c r="J11" s="60" t="n">
        <x:v>1618.740910608</x:v>
      </x:c>
      <x:c r="K11" s="60" t="n">
        <x:v>2.2026842018</x:v>
      </x:c>
      <x:c r="L11" s="60" t="n">
        <x:v>1587.5783138119</x:v>
      </x:c>
      <x:c r="M11" s="60" t="n">
        <x:v>33.3652809979</x:v>
      </x:c>
      <x:c r="N11" s="46" t="str">
        <x:v>oncorhynchus keta</x:v>
      </x:c>
      <x:c r="O11" s="62" t="n">
        <x:v>3.74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Oncorhynchus keta</x:v>
      </x:c>
      <x:c r="T11" s="62" t="n">
        <x:f>IF(O11="","",(1/'Metadata'!$B$5)^(O11-1))</x:f>
        <x:v>3671.3195599248957</x:v>
      </x:c>
      <x:c r="U11" s="60" t="n">
        <x:f>IF(T11="","",I11*T11)</x:f>
        <x:v>5951001.925160193</x:v>
      </x:c>
    </x:row>
    <x:row r="12" ht="18" customHeight="1">
      <x:c r="A12" s="46" t="str">
        <x:v>LME_065</x:v>
      </x:c>
      <x:c r="B12" s="46" t="str">
        <x:v>Aleutian Islands</x:v>
      </x:c>
      <x:c r="C12" s="46" t="str">
        <x:v>LME</x:v>
      </x:c>
      <x:c r="D12" s="58" t="n">
        <x:v>2019</x:v>
      </x:c>
      <x:c r="E12" s="46" t="str">
        <x:v>Hippoglossoides elassodon</x:v>
      </x:c>
      <x:c r="F12" s="46" t="str">
        <x:v>Flathead sole</x:v>
      </x:c>
      <x:c r="G12" s="46" t="str">
        <x:v>Small to medium flatfishes (&lt;90 cm)</x:v>
      </x:c>
      <x:c r="H12" s="46" t="str">
        <x:v>Flatfishes</x:v>
      </x:c>
      <x:c r="I12" s="60" t="n">
        <x:v>1523.5399757917999</x:v>
      </x:c>
      <x:c r="J12" s="60" t="n">
        <x:v>1023.4879875353</x:v>
      </x:c>
      <x:c r="K12" s="60" t="n">
        <x:v>500.0519882565</x:v>
      </x:c>
      <x:c r="L12" s="60" t="n">
        <x:v>1023.4879875353</x:v>
      </x:c>
      <x:c r="M12" s="60" t="n">
        <x:v>500.0519882565</x:v>
      </x:c>
      <x:c r="N12" s="46" t="str">
        <x:v>hippoglossoides elassodon</x:v>
      </x:c>
      <x:c r="O12" s="62" t="n">
        <x:v>3.67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Hippoglossoides elassodon</x:v>
      </x:c>
      <x:c r="T12" s="62" t="n">
        <x:f>IF(O12="","",(1/'Metadata'!$B$5)^(O12-1))</x:f>
        <x:v>2976.8029570258213</x:v>
      </x:c>
      <x:c r="U12" s="60" t="n">
        <x:f>IF(T12="","",I12*T12)</x:f>
        <x:v>4535278.305084078</x:v>
      </x:c>
    </x:row>
    <x:row r="13" ht="18" customHeight="1">
      <x:c r="A13" s="46" t="str">
        <x:v>LME_065</x:v>
      </x:c>
      <x:c r="B13" s="46" t="str">
        <x:v>Aleutian Islands</x:v>
      </x:c>
      <x:c r="C13" s="46" t="str">
        <x:v>LME</x:v>
      </x:c>
      <x:c r="D13" s="58" t="n">
        <x:v>2019</x:v>
      </x:c>
      <x:c r="E13" s="46" t="str">
        <x:v>Atheresthes stomias</x:v>
      </x:c>
      <x:c r="F13" s="46" t="str">
        <x:v>Arrowtooth flounder</x:v>
      </x:c>
      <x:c r="G13" s="46" t="str">
        <x:v>Small to medium flatfishes (&lt;90 cm)</x:v>
      </x:c>
      <x:c r="H13" s="46" t="str">
        <x:v>Flatfishes</x:v>
      </x:c>
      <x:c r="I13" s="60" t="n">
        <x:v>1409.228061824</x:v>
      </x:c>
      <x:c r="J13" s="60" t="n">
        <x:v>954.0229739647</x:v>
      </x:c>
      <x:c r="K13" s="60" t="n">
        <x:v>455.2050878593</x:v>
      </x:c>
      <x:c r="L13" s="60" t="n">
        <x:v>954.0229739647</x:v>
      </x:c>
      <x:c r="M13" s="60" t="n">
        <x:v>455.2050878593</x:v>
      </x:c>
      <x:c r="N13" s="46" t="str">
        <x:v>atheresthes stomias</x:v>
      </x:c>
      <x:c r="O13" s="62" t="n">
        <x:v>4.17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Atheresthes stomias</x:v>
      </x:c>
      <x:c r="T13" s="62" t="n">
        <x:f>IF(O13="","",(1/'Metadata'!$B$5)^(O13-1))</x:f>
        <x:v>13312.667535064244</x:v>
      </x:c>
      <x:c r="U13" s="60" t="n">
        <x:f>IF(T13="","",I13*T13)</x:f>
        <x:v>18760584.668145873</x:v>
      </x:c>
    </x:row>
    <x:row r="14" ht="18" customHeight="1">
      <x:c r="A14" s="46" t="str">
        <x:v>LME_065</x:v>
      </x:c>
      <x:c r="B14" s="46" t="str">
        <x:v>Aleutian Islands</x:v>
      </x:c>
      <x:c r="C14" s="46" t="str">
        <x:v>LME</x:v>
      </x:c>
      <x:c r="D14" s="58" t="n">
        <x:v>2019</x:v>
      </x:c>
      <x:c r="E14" s="46" t="str">
        <x:v>Pleuronectiformes</x:v>
      </x:c>
      <x:c r="F14" s="46" t="str">
        <x:v>Flatfishes</x:v>
      </x:c>
      <x:c r="G14" s="46" t="str">
        <x:v>Small to medium flatfishes (&lt;90 cm)</x:v>
      </x:c>
      <x:c r="H14" s="46" t="str">
        <x:v>Flatfishes</x:v>
      </x:c>
      <x:c r="I14" s="60" t="n">
        <x:v>1400.7329657033</x:v>
      </x:c>
      <x:c r="J14" s="60" t="n">
        <x:v>829.5456258682999</x:v>
      </x:c>
      <x:c r="K14" s="60" t="n">
        <x:v>571.187339835</x:v>
      </x:c>
      <x:c r="L14" s="60" t="n">
        <x:v>829.4161848237</x:v>
      </x:c>
      <x:c r="M14" s="60" t="n">
        <x:v>571.3167808796</x:v>
      </x:c>
      <x:c r="N14" s="46" t="str">
        <x:v>pleuronectiformes</x:v>
      </x:c>
      <x:c r="O14" s="62" t="n">
        <x:v>3.57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Pleuronectiformes</x:v>
      </x:c>
      <x:c r="T14" s="62" t="n">
        <x:f>IF(O14="","",(1/'Metadata'!$B$5)^(O14-1))</x:f>
        <x:v>2206.2112196552644</x:v>
      </x:c>
      <x:c r="U14" s="60" t="n">
        <x:f>IF(T14="","",I14*T14)</x:f>
        <x:v>3090312.784675613</x:v>
      </x:c>
    </x:row>
    <x:row r="15" ht="18" customHeight="1">
      <x:c r="A15" s="46" t="str">
        <x:v>LME_065</x:v>
      </x:c>
      <x:c r="B15" s="46" t="str">
        <x:v>Aleutian Islands</x:v>
      </x:c>
      <x:c r="C15" s="46" t="str">
        <x:v>LME</x:v>
      </x:c>
      <x:c r="D15" s="58" t="n">
        <x:v>2019</x:v>
      </x:c>
      <x:c r="E15" s="46" t="str">
        <x:v>Pleuronectes quadrituberculatus</x:v>
      </x:c>
      <x:c r="F15" s="46" t="str">
        <x:v>Alaska plaice</x:v>
      </x:c>
      <x:c r="G15" s="46" t="str">
        <x:v>Small to medium flatfishes (&lt;90 cm)</x:v>
      </x:c>
      <x:c r="H15" s="46" t="str">
        <x:v>Flatfishes</x:v>
      </x:c>
      <x:c r="I15" s="60" t="n">
        <x:v>899.5978219051999</x:v>
      </x:c>
      <x:c r="J15" s="60" t="n">
        <x:v>0</x:v>
      </x:c>
      <x:c r="K15" s="60" t="n">
        <x:v>899.5978219051999</x:v>
      </x:c>
      <x:c r="L15" s="60" t="n">
        <x:v>0</x:v>
      </x:c>
      <x:c r="M15" s="60" t="n">
        <x:v>899.5978219051999</x:v>
      </x:c>
      <x:c r="N15" s="46" t="str">
        <x:v>pleuronectes quadrituberculatus</x:v>
      </x:c>
      <x:c r="O15" s="62" t="n">
        <x:v>3.59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Pleuronectes quadrituberculatus</x:v>
      </x:c>
      <x:c r="T15" s="62" t="n">
        <x:f>IF(O15="","",(1/'Metadata'!$B$5)^(O15-1))</x:f>
        <x:v>2342.4357563948306</x:v>
      </x:c>
      <x:c r="U15" s="60" t="n">
        <x:f>IF(T15="","",I15*T15)</x:f>
        <x:v>2107250.104405649</x:v>
      </x:c>
    </x:row>
    <x:row r="16" ht="18" customHeight="1">
      <x:c r="A16" s="46" t="str">
        <x:v>LME_065</x:v>
      </x:c>
      <x:c r="B16" s="46" t="str">
        <x:v>Aleutian Islands</x:v>
      </x:c>
      <x:c r="C16" s="46" t="str">
        <x:v>LME</x:v>
      </x:c>
      <x:c r="D16" s="58" t="n">
        <x:v>2019</x:v>
      </x:c>
      <x:c r="E16" s="46" t="str">
        <x:v>Anoplopoma fimbria</x:v>
      </x:c>
      <x:c r="F16" s="46" t="str">
        <x:v>Sablefish</x:v>
      </x:c>
      <x:c r="G16" s="46" t="str">
        <x:v>Large bathydemersals (&gt;=90 cm)</x:v>
      </x:c>
      <x:c r="H16" s="46" t="str">
        <x:v>Scorpionfishes</x:v>
      </x:c>
      <x:c r="I16" s="60" t="n">
        <x:v>864.0181941010001</x:v>
      </x:c>
      <x:c r="J16" s="60" t="n">
        <x:v>650.4145902501</x:v>
      </x:c>
      <x:c r="K16" s="60" t="n">
        <x:v>213.60360385090002</x:v>
      </x:c>
      <x:c r="L16" s="60" t="n">
        <x:v>649.6563675264</x:v>
      </x:c>
      <x:c r="M16" s="60" t="n">
        <x:v>214.3618265746</x:v>
      </x:c>
      <x:c r="N16" s="46" t="str">
        <x:v>anoplopoma fimbria</x:v>
      </x:c>
      <x:c r="O16" s="62" t="n">
        <x:v>3.84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Anoplopoma fimbria</x:v>
      </x:c>
      <x:c r="T16" s="62" t="n">
        <x:f>IF(O16="","",(1/'Metadata'!$B$5)^(O16-1))</x:f>
        <x:v>4953.648510535111</x:v>
      </x:c>
      <x:c r="U16" s="60" t="n">
        <x:f>IF(T16="","",I16*T16)</x:f>
        <x:v>4280042.440283655</x:v>
      </x:c>
    </x:row>
    <x:row r="17" ht="18" customHeight="1">
      <x:c r="A17" s="46" t="str">
        <x:v>LME_065</x:v>
      </x:c>
      <x:c r="B17" s="46" t="str">
        <x:v>Aleutian Islands</x:v>
      </x:c>
      <x:c r="C17" s="46" t="str">
        <x:v>LME</x:v>
      </x:c>
      <x:c r="D17" s="58" t="n">
        <x:v>2019</x:v>
      </x:c>
      <x:c r="E17" s="46" t="str">
        <x:v>Sebastes</x:v>
      </x:c>
      <x:c r="F17" s="46" t="str">
        <x:v>Redfishes</x:v>
      </x:c>
      <x:c r="G17" s="46" t="str">
        <x:v>Large reef assoc. fish (&gt;=90 cm)</x:v>
      </x:c>
      <x:c r="H17" s="46" t="str">
        <x:v>Scorpionfishes</x:v>
      </x:c>
      <x:c r="I17" s="60" t="n">
        <x:v>834.0503287993001</x:v>
      </x:c>
      <x:c r="J17" s="60" t="n">
        <x:v>758.1964034222001</x:v>
      </x:c>
      <x:c r="K17" s="60" t="n">
        <x:v>75.8539253771</x:v>
      </x:c>
      <x:c r="L17" s="60" t="n">
        <x:v>757.7821897633</x:v>
      </x:c>
      <x:c r="M17" s="60" t="n">
        <x:v>76.268139036</x:v>
      </x:c>
      <x:c r="N17" s="46" t="str">
        <x:v>sebastes</x:v>
      </x:c>
      <x:c r="O17" s="62" t="n">
        <x:v>3.79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Sebastes</x:v>
      </x:c>
      <x:c r="T17" s="62" t="n">
        <x:f>IF(O17="","",(1/'Metadata'!$B$5)^(O17-1))</x:f>
        <x:v>4264.554685980751</x:v>
      </x:c>
      <x:c r="U17" s="60" t="n">
        <x:f>IF(T17="","",I17*T17)</x:f>
        <x:v>3556853.2380248415</x:v>
      </x:c>
    </x:row>
    <x:row r="18" ht="18" customHeight="1">
      <x:c r="A18" s="46" t="str">
        <x:v>LME_065</x:v>
      </x:c>
      <x:c r="B18" s="46" t="str">
        <x:v>Aleutian Islands</x:v>
      </x:c>
      <x:c r="C18" s="46" t="str">
        <x:v>LME</x:v>
      </x:c>
      <x:c r="D18" s="58" t="n">
        <x:v>2019</x:v>
      </x:c>
      <x:c r="E18" s="46" t="str">
        <x:v>Lepidopsetta bilineata</x:v>
      </x:c>
      <x:c r="F18" s="46" t="str">
        <x:v>Rock sole</x:v>
      </x:c>
      <x:c r="G18" s="46" t="str">
        <x:v>Small to medium flatfishes (&lt;90 cm)</x:v>
      </x:c>
      <x:c r="H18" s="46" t="str">
        <x:v>Flatfishes</x:v>
      </x:c>
      <x:c r="I18" s="60" t="n">
        <x:v>620.5015265237</x:v>
      </x:c>
      <x:c r="J18" s="60" t="n">
        <x:v>0</x:v>
      </x:c>
      <x:c r="K18" s="60" t="n">
        <x:v>620.5015265237</x:v>
      </x:c>
      <x:c r="L18" s="60" t="n">
        <x:v>0</x:v>
      </x:c>
      <x:c r="M18" s="60" t="n">
        <x:v>620.5015265237</x:v>
      </x:c>
      <x:c r="N18" s="46" t="str">
        <x:v>lepidopsetta bilineata</x:v>
      </x:c>
      <x:c r="O18" s="62" t="n">
        <x:v>3.18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Lepidopsetta bilineata</x:v>
      </x:c>
      <x:c r="T18" s="62" t="n">
        <x:f>IF(O18="","",(1/'Metadata'!$B$5)^(O18-1))</x:f>
        <x:v>685.8756591046288</x:v>
      </x:c>
      <x:c r="U18" s="60" t="n">
        <x:f>IF(T18="","",I18*T18)</x:f>
        <x:v>425586.89347987104</x:v>
      </x:c>
    </x:row>
    <x:row r="19" ht="18" customHeight="1">
      <x:c r="A19" s="46" t="str">
        <x:v>LME_065</x:v>
      </x:c>
      <x:c r="B19" s="46" t="str">
        <x:v>Aleutian Islands</x:v>
      </x:c>
      <x:c r="C19" s="46" t="str">
        <x:v>LME</x:v>
      </x:c>
      <x:c r="D19" s="58" t="n">
        <x:v>2019</x:v>
      </x:c>
      <x:c r="E19" s="46" t="str">
        <x:v>Rajidae</x:v>
      </x:c>
      <x:c r="F19" s="46" t="str">
        <x:v>Stingrays</x:v>
      </x:c>
      <x:c r="G19" s="46" t="str">
        <x:v>Large rays (&gt;=90 cm)</x:v>
      </x:c>
      <x:c r="H19" s="46" t="str">
        <x:v>Sharks &amp; rays</x:v>
      </x:c>
      <x:c r="I19" s="60" t="n">
        <x:v>482.2877997074</x:v>
      </x:c>
      <x:c r="J19" s="60" t="n">
        <x:v>85.42942862529999</x:v>
      </x:c>
      <x:c r="K19" s="60" t="n">
        <x:v>396.8583710821</x:v>
      </x:c>
      <x:c r="L19" s="60" t="n">
        <x:v>85.4199888438</x:v>
      </x:c>
      <x:c r="M19" s="60" t="n">
        <x:v>396.8678108636</x:v>
      </x:c>
      <x:c r="N19" s="46" t="str">
        <x:v>rajidae</x:v>
      </x:c>
      <x:c r="O19" s="62" t="n">
        <x:v>3.82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Rajidae</x:v>
      </x:c>
      <x:c r="T19" s="62" t="n">
        <x:f>IF(O19="","",(1/'Metadata'!$B$5)^(O19-1))</x:f>
        <x:v>4665.56868948727</x:v>
      </x:c>
      <x:c r="U19" s="60" t="n">
        <x:f>IF(T19="","",I19*T19)</x:f>
        <x:v>2250146.857636553</x:v>
      </x:c>
    </x:row>
    <x:row r="20" ht="18" customHeight="1">
      <x:c r="A20" s="46" t="str">
        <x:v>LME_065</x:v>
      </x:c>
      <x:c r="B20" s="46" t="str">
        <x:v>Aleutian Islands</x:v>
      </x:c>
      <x:c r="C20" s="46" t="str">
        <x:v>LME</x:v>
      </x:c>
      <x:c r="D20" s="58" t="n">
        <x:v>2019</x:v>
      </x:c>
      <x:c r="E20" s="46" t="str">
        <x:v>Oncorhynchus kisutch</x:v>
      </x:c>
      <x:c r="F20" s="46" t="str">
        <x:v>Coho salmon</x:v>
      </x:c>
      <x:c r="G20" s="46" t="str">
        <x:v>Large demersals (&gt;=90 cm)</x:v>
      </x:c>
      <x:c r="H20" s="46" t="str">
        <x:v>Salmon, smelts, etc</x:v>
      </x:c>
      <x:c r="I20" s="60" t="n">
        <x:v>434.876027502</x:v>
      </x:c>
      <x:c r="J20" s="60" t="n">
        <x:v>434.7536407415</x:v>
      </x:c>
      <x:c r="K20" s="60" t="n">
        <x:v>0.1223867605</x:v>
      </x:c>
      <x:c r="L20" s="60" t="n">
        <x:v>385.9199217536</x:v>
      </x:c>
      <x:c r="M20" s="60" t="n">
        <x:v>48.956105748400006</x:v>
      </x:c>
      <x:c r="N20" s="46" t="str">
        <x:v>oncorhynchus kisutch</x:v>
      </x:c>
      <x:c r="O20" s="62" t="n">
        <x:v>4.22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Oncorhynchus kisutch</x:v>
      </x:c>
      <x:c r="T20" s="62" t="n">
        <x:f>IF(O20="","",(1/'Metadata'!$B$5)^(O20-1))</x:f>
        <x:v>15463.812886046735</x:v>
      </x:c>
      <x:c r="U20" s="60" t="n">
        <x:f>IF(T20="","",I20*T20)</x:f>
        <x:v>6724841.517918242</x:v>
      </x:c>
    </x:row>
    <x:row r="21" ht="18" customHeight="1">
      <x:c r="A21" s="46" t="str">
        <x:v>LME_065</x:v>
      </x:c>
      <x:c r="B21" s="46" t="str">
        <x:v>Aleutian Islands</x:v>
      </x:c>
      <x:c r="C21" s="46" t="str">
        <x:v>LME</x:v>
      </x:c>
      <x:c r="D21" s="58" t="n">
        <x:v>2019</x:v>
      </x:c>
      <x:c r="E21" s="46" t="str">
        <x:v>Hippoglossus stenolepis</x:v>
      </x:c>
      <x:c r="F21" s="46" t="str">
        <x:v>Pacific halibut</x:v>
      </x:c>
      <x:c r="G21" s="46" t="str">
        <x:v>Large flatfishes (&gt;=90 cm)</x:v>
      </x:c>
      <x:c r="H21" s="46" t="str">
        <x:v>Flatfishes</x:v>
      </x:c>
      <x:c r="I21" s="60" t="n">
        <x:v>338.6488155505</x:v>
      </x:c>
      <x:c r="J21" s="60" t="n">
        <x:v>338.6488155505</x:v>
      </x:c>
      <x:c r="K21" s="60" t="n">
        <x:v>0</x:v>
      </x:c>
      <x:c r="L21" s="60" t="n">
        <x:v>242.2154736747</x:v>
      </x:c>
      <x:c r="M21" s="60" t="n">
        <x:v>96.4333418758</x:v>
      </x:c>
      <x:c r="N21" s="46" t="str">
        <x:v>hippoglossus stenolepis</x:v>
      </x:c>
      <x:c r="O21" s="62" t="n">
        <x:v>4.14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Hippoglossus stenolepis</x:v>
      </x:c>
      <x:c r="T21" s="62" t="n">
        <x:f>IF(O21="","",(1/'Metadata'!$B$5)^(O21-1))</x:f>
        <x:v>12168.419864331923</x:v>
      </x:c>
      <x:c r="U21" s="60" t="n">
        <x:f>IF(T21="","",I21*T21)</x:f>
        <x:v>4120820.9741771817</x:v>
      </x:c>
    </x:row>
    <x:row r="22" ht="18" customHeight="1">
      <x:c r="A22" s="46" t="str">
        <x:v>LME_065</x:v>
      </x:c>
      <x:c r="B22" s="46" t="str">
        <x:v>Aleutian Islands</x:v>
      </x:c>
      <x:c r="C22" s="46" t="str">
        <x:v>LME</x:v>
      </x:c>
      <x:c r="D22" s="58" t="n">
        <x:v>2019</x:v>
      </x:c>
      <x:c r="E22" s="46" t="str">
        <x:v>Sebastidae</x:v>
      </x:c>
      <x:c r="F22" s="46" t="str">
        <x:v>Rockfishes, rockcods, thornyheads</x:v>
      </x:c>
      <x:c r="G22" s="46" t="str">
        <x:v>Medium demersals (30 - 89 cm)</x:v>
      </x:c>
      <x:c r="H22" s="46" t="str">
        <x:v>Scorpionfishes</x:v>
      </x:c>
      <x:c r="I22" s="60" t="n">
        <x:v>261.4353380494</x:v>
      </x:c>
      <x:c r="J22" s="60" t="n">
        <x:v>0</x:v>
      </x:c>
      <x:c r="K22" s="60" t="n">
        <x:v>261.4353380494</x:v>
      </x:c>
      <x:c r="L22" s="60" t="n">
        <x:v>0</x:v>
      </x:c>
      <x:c r="M22" s="60" t="n">
        <x:v>261.4353380494</x:v>
      </x:c>
      <x:c r="N22" s="46" t="str">
        <x:v>sebastidae</x:v>
      </x:c>
      <x:c r="O22" s="62" t="n">
        <x:v>3.74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Sebastidae</x:v>
      </x:c>
      <x:c r="T22" s="62" t="n">
        <x:f>IF(O22="","",(1/'Metadata'!$B$5)^(O22-1))</x:f>
        <x:v>3671.3195599248957</x:v>
      </x:c>
      <x:c r="U22" s="60" t="n">
        <x:f>IF(T22="","",I22*T22)</x:f>
        <x:v>959812.6702363396</x:v>
      </x:c>
    </x:row>
    <x:row r="23" ht="18" customHeight="1">
      <x:c r="A23" s="46" t="str">
        <x:v>LME_065</x:v>
      </x:c>
      <x:c r="B23" s="46" t="str">
        <x:v>Aleutian Islands</x:v>
      </x:c>
      <x:c r="C23" s="46" t="str">
        <x:v>LME</x:v>
      </x:c>
      <x:c r="D23" s="58" t="n">
        <x:v>2019</x:v>
      </x:c>
      <x:c r="E23" s="46" t="str">
        <x:v>Clupea pallasii</x:v>
      </x:c>
      <x:c r="F23" s="46" t="str">
        <x:v>Pacific herring</x:v>
      </x:c>
      <x:c r="G23" s="46" t="str">
        <x:v>Medium pelagics (30 - 89 cm)</x:v>
      </x:c>
      <x:c r="H23" s="46" t="str">
        <x:v>Herring-likes</x:v>
      </x:c>
      <x:c r="I23" s="60" t="n">
        <x:v>239.8291587181</x:v>
      </x:c>
      <x:c r="J23" s="60" t="n">
        <x:v>239.8291587181</x:v>
      </x:c>
      <x:c r="K23" s="60" t="n">
        <x:v>0</x:v>
      </x:c>
      <x:c r="L23" s="60" t="n">
        <x:v>235.08178606479999</x:v>
      </x:c>
      <x:c r="M23" s="60" t="n">
        <x:v>4.7473726533</x:v>
      </x:c>
      <x:c r="N23" s="46" t="str">
        <x:v>clupea pallasii</x:v>
      </x:c>
      <x:c r="O23" s="62" t="n">
        <x:v>3.16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Clupea pallasii</x:v>
      </x:c>
      <x:c r="T23" s="62" t="n">
        <x:f>IF(O23="","",(1/'Metadata'!$B$5)^(O23-1))</x:f>
        <x:v>645.9885058849935</x:v>
      </x:c>
      <x:c r="U23" s="60" t="n">
        <x:f>IF(T23="","",I23*T23)</x:f>
        <x:v>154926.8799079604</x:v>
      </x:c>
    </x:row>
    <x:row r="24" ht="18" customHeight="1">
      <x:c r="A24" s="46" t="str">
        <x:v>LME_065</x:v>
      </x:c>
      <x:c r="B24" s="46" t="str">
        <x:v>Aleutian Islands</x:v>
      </x:c>
      <x:c r="C24" s="46" t="str">
        <x:v>LME</x:v>
      </x:c>
      <x:c r="D24" s="58" t="n">
        <x:v>2019</x:v>
      </x:c>
      <x:c r="E24" s="46" t="str">
        <x:v>Raja</x:v>
      </x:c>
      <x:c r="F24" s="46" t="str">
        <x:v>Stingrays, skates</x:v>
      </x:c>
      <x:c r="G24" s="46" t="str">
        <x:v>Small to medium rays (&lt;90 cm)</x:v>
      </x:c>
      <x:c r="H24" s="46" t="str">
        <x:v>Sharks &amp; rays</x:v>
      </x:c>
      <x:c r="I24" s="60" t="n">
        <x:v>167.6845087398</x:v>
      </x:c>
      <x:c r="J24" s="60" t="n">
        <x:v>0</x:v>
      </x:c>
      <x:c r="K24" s="60" t="n">
        <x:v>167.6845087398</x:v>
      </x:c>
      <x:c r="L24" s="60" t="n">
        <x:v>0</x:v>
      </x:c>
      <x:c r="M24" s="60" t="n">
        <x:v>167.6845087398</x:v>
      </x:c>
      <x:c r="N24" s="46" t="str">
        <x:v>raja</x:v>
      </x:c>
      <x:c r="O24" s="62" t="n">
        <x:v>3.8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Raja</x:v>
      </x:c>
      <x:c r="T24" s="62" t="n">
        <x:f>IF(O24="","",(1/'Metadata'!$B$5)^(O24-1))</x:f>
        <x:v>4394.242173224468</x:v>
      </x:c>
      <x:c r="U24" s="60" t="n">
        <x:f>IF(T24="","",I24*T24)</x:f>
        <x:v>736846.3401008561</x:v>
      </x:c>
    </x:row>
    <x:row r="25" ht="18" customHeight="1">
      <x:c r="A25" s="46" t="str">
        <x:v>LME_065</x:v>
      </x:c>
      <x:c r="B25" s="46" t="str">
        <x:v>Aleutian Islands</x:v>
      </x:c>
      <x:c r="C25" s="46" t="str">
        <x:v>LME</x:v>
      </x:c>
      <x:c r="D25" s="58" t="n">
        <x:v>2019</x:v>
      </x:c>
      <x:c r="E25" s="46" t="str">
        <x:v>Glyptocephalus zachirus</x:v>
      </x:c>
      <x:c r="F25" s="46" t="str">
        <x:v>Rex sole</x:v>
      </x:c>
      <x:c r="G25" s="46" t="str">
        <x:v>Small to medium flatfishes (&lt;90 cm)</x:v>
      </x:c>
      <x:c r="H25" s="46" t="str">
        <x:v>Flatfishes</x:v>
      </x:c>
      <x:c r="I25" s="60" t="n">
        <x:v>156.33854396630002</x:v>
      </x:c>
      <x:c r="J25" s="60" t="n">
        <x:v>153.20090038900003</x:v>
      </x:c>
      <x:c r="K25" s="60" t="n">
        <x:v>3.1376435773</x:v>
      </x:c>
      <x:c r="L25" s="60" t="n">
        <x:v>153.20090038900003</x:v>
      </x:c>
      <x:c r="M25" s="60" t="n">
        <x:v>3.1376435773</x:v>
      </x:c>
      <x:c r="N25" s="46" t="str">
        <x:v>glyptocephalus zachirus</x:v>
      </x:c>
      <x:c r="O25" s="62" t="n">
        <x:v>3.25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Glyptocephalus zachirus</x:v>
      </x:c>
      <x:c r="T25" s="62" t="n">
        <x:f>IF(O25="","",(1/'Metadata'!$B$5)^(O25-1))</x:f>
        <x:v>845.8970107524513</x:v>
      </x:c>
      <x:c r="U25" s="60" t="n">
        <x:f>IF(T25="","",I25*T25)</x:f>
        <x:v>132246.30700648387</x:v>
      </x:c>
    </x:row>
    <x:row r="26" ht="18" customHeight="1">
      <x:c r="A26" s="46" t="str">
        <x:v>LME_065</x:v>
      </x:c>
      <x:c r="B26" s="46" t="str">
        <x:v>Aleutian Islands</x:v>
      </x:c>
      <x:c r="C26" s="46" t="str">
        <x:v>LME</x:v>
      </x:c>
      <x:c r="D26" s="58" t="n">
        <x:v>2019</x:v>
      </x:c>
      <x:c r="E26" s="46" t="str">
        <x:v>Teuthida</x:v>
      </x:c>
      <x:c r="F26" s="46" t="str">
        <x:v>Squids</x:v>
      </x:c>
      <x:c r="G26" s="46" t="str">
        <x:v>Cephalopods</x:v>
      </x:c>
      <x:c r="H26" s="46" t="str">
        <x:v>Other fishes &amp; inverts</x:v>
      </x:c>
      <x:c r="I26" s="60" t="n">
        <x:v>131.5258191901</x:v>
      </x:c>
      <x:c r="J26" s="60" t="n">
        <x:v>0</x:v>
      </x:c>
      <x:c r="K26" s="60" t="n">
        <x:v>131.5258191901</x:v>
      </x:c>
      <x:c r="L26" s="60" t="n">
        <x:v>0</x:v>
      </x:c>
      <x:c r="M26" s="60" t="n">
        <x:v>131.5258191901</x:v>
      </x:c>
      <x:c r="N26" s="46" t="str">
        <x:v>teuthida</x:v>
      </x:c>
      <x:c r="O26" s="62" t="n">
        <x:v>4.13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Teuthida</x:v>
      </x:c>
      <x:c r="T26" s="62" t="n">
        <x:f>IF(O26="","",(1/'Metadata'!$B$5)^(O26-1))</x:f>
        <x:v>11809.292685236613</x:v>
      </x:c>
      <x:c r="U26" s="60" t="n">
        <x:f>IF(T26="","",I26*T26)</x:f>
        <x:v>1553226.8944814014</x:v>
      </x:c>
    </x:row>
    <x:row r="27" ht="18" customHeight="1">
      <x:c r="A27" s="46" t="str">
        <x:v>LME_065</x:v>
      </x:c>
      <x:c r="B27" s="46" t="str">
        <x:v>Aleutian Islands</x:v>
      </x:c>
      <x:c r="C27" s="46" t="str">
        <x:v>LME</x:v>
      </x:c>
      <x:c r="D27" s="58" t="n">
        <x:v>2019</x:v>
      </x:c>
      <x:c r="E27" s="46" t="str">
        <x:v>Paralithodes</x:v>
      </x:c>
      <x:c r="F27" s="46" t="str">
        <x:v>North Pacific king crabs</x:v>
      </x:c>
      <x:c r="G27" s="46" t="str">
        <x:v>Lobsters, crabs</x:v>
      </x:c>
      <x:c r="H27" s="46" t="str">
        <x:v>Crustaceans</x:v>
      </x:c>
      <x:c r="I27" s="60" t="n">
        <x:v>124.707066604</x:v>
      </x:c>
      <x:c r="J27" s="60" t="n">
        <x:v>124.707066604</x:v>
      </x:c>
      <x:c r="K27" s="60" t="n">
        <x:v>0</x:v>
      </x:c>
      <x:c r="L27" s="60" t="n">
        <x:v>124.707066604</x:v>
      </x:c>
      <x:c r="M27" s="60" t="n">
        <x:v>0</x:v>
      </x:c>
      <x:c r="N27" s="46" t="str">
        <x:v>paralithodes</x:v>
      </x:c>
      <x:c r="O27" s="62" t="n">
        <x:v>2.82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Paralithodes</x:v>
      </x:c>
      <x:c r="T27" s="62" t="n">
        <x:f>IF(O27="","",(1/'Metadata'!$B$5)^(O27-1))</x:f>
        <x:v>233.27843447436348</x:v>
      </x:c>
      <x:c r="U27" s="60" t="n">
        <x:f>IF(T27="","",I27*T27)</x:f>
        <x:v>29091.4692652713</x:v>
      </x:c>
    </x:row>
    <x:row r="28" ht="18" customHeight="1">
      <x:c r="A28" s="46" t="str">
        <x:v>LME_065</x:v>
      </x:c>
      <x:c r="B28" s="46" t="str">
        <x:v>Aleutian Islands</x:v>
      </x:c>
      <x:c r="C28" s="46" t="str">
        <x:v>LME</x:v>
      </x:c>
      <x:c r="D28" s="58" t="n">
        <x:v>2019</x:v>
      </x:c>
      <x:c r="E28" s="46" t="str">
        <x:v>Reinhardtius hippoglossoides</x:v>
      </x:c>
      <x:c r="F28" s="46" t="str">
        <x:v>Greenland halibut</x:v>
      </x:c>
      <x:c r="G28" s="46" t="str">
        <x:v>Small to medium flatfishes (&lt;90 cm)</x:v>
      </x:c>
      <x:c r="H28" s="46" t="str">
        <x:v>Flatfishes</x:v>
      </x:c>
      <x:c r="I28" s="60" t="n">
        <x:v>119.5478113603</x:v>
      </x:c>
      <x:c r="J28" s="60" t="n">
        <x:v>71.1321618939</x:v>
      </x:c>
      <x:c r="K28" s="60" t="n">
        <x:v>48.4156494664</x:v>
      </x:c>
      <x:c r="L28" s="60" t="n">
        <x:v>71.1321618939</x:v>
      </x:c>
      <x:c r="M28" s="60" t="n">
        <x:v>48.4156494664</x:v>
      </x:c>
      <x:c r="N28" s="46" t="str">
        <x:v>reinhardtius hippoglossoides</x:v>
      </x:c>
      <x:c r="O28" s="62" t="n">
        <x:v>4.38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Reinhardtius hippoglossoides</x:v>
      </x:c>
      <x:c r="T28" s="62" t="n">
        <x:f>IF(O28="","",(1/'Metadata'!$B$5)^(O28-1))</x:f>
        <x:v>24973.6134538561</x:v>
      </x:c>
      <x:c r="U28" s="60" t="n">
        <x:f>IF(T28="","",I28*T28)</x:f>
        <x:v>2985540.830166639</x:v>
      </x:c>
    </x:row>
    <x:row r="29" ht="18" customHeight="1">
      <x:c r="A29" s="46" t="str">
        <x:v>LME_065</x:v>
      </x:c>
      <x:c r="B29" s="46" t="str">
        <x:v>Aleutian Islands</x:v>
      </x:c>
      <x:c r="C29" s="46" t="str">
        <x:v>LME</x:v>
      </x:c>
      <x:c r="D29" s="58" t="n">
        <x:v>2019</x:v>
      </x:c>
      <x:c r="E29" s="46" t="str">
        <x:v>Chionoecetes opilio</x:v>
      </x:c>
      <x:c r="F29" s="46" t="str">
        <x:v>Snow crab</x:v>
      </x:c>
      <x:c r="G29" s="46" t="str">
        <x:v>Lobsters, crabs</x:v>
      </x:c>
      <x:c r="H29" s="46" t="str">
        <x:v>Crustaceans</x:v>
      </x:c>
      <x:c r="I29" s="60" t="n">
        <x:v>117.87524184809999</x:v>
      </x:c>
      <x:c r="J29" s="60" t="n">
        <x:v>117.87524184809999</x:v>
      </x:c>
      <x:c r="K29" s="60" t="n">
        <x:v>0</x:v>
      </x:c>
      <x:c r="L29" s="60" t="n">
        <x:v>117.87524184809999</x:v>
      </x:c>
      <x:c r="M29" s="60" t="n">
        <x:v>0</x:v>
      </x:c>
      <x:c r="N29" s="46" t="str">
        <x:v>chionoecetes opilio</x:v>
      </x:c>
      <x:c r="O29" s="62" t="n">
        <x:v>3.54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Chionoecetes opilio</x:v>
      </x:c>
      <x:c r="T29" s="62" t="n">
        <x:f>IF(O29="","",(1/'Metadata'!$B$5)^(O29-1))</x:f>
        <x:v>2016.5834052007342</x:v>
      </x:c>
      <x:c r="U29" s="60" t="n">
        <x:f>IF(T29="","",I29*T29)</x:f>
        <x:v>237705.25659490156</x:v>
      </x:c>
    </x:row>
    <x:row r="30" ht="18" customHeight="1">
      <x:c r="A30" s="46" t="str">
        <x:v>LME_065</x:v>
      </x:c>
      <x:c r="B30" s="46" t="str">
        <x:v>Aleutian Islands</x:v>
      </x:c>
      <x:c r="C30" s="46" t="str">
        <x:v>LME</x:v>
      </x:c>
      <x:c r="D30" s="58" t="n">
        <x:v>2019</x:v>
      </x:c>
      <x:c r="E30" s="46" t="str">
        <x:v>Octopodidae</x:v>
      </x:c>
      <x:c r="F30" s="46" t="str">
        <x:v>Octopuses</x:v>
      </x:c>
      <x:c r="G30" s="46" t="str">
        <x:v>Cephalopods</x:v>
      </x:c>
      <x:c r="H30" s="46" t="str">
        <x:v>Other fishes &amp; inverts</x:v>
      </x:c>
      <x:c r="I30" s="60" t="n">
        <x:v>101.8226520076</x:v>
      </x:c>
      <x:c r="J30" s="60" t="n">
        <x:v>7.0954572128</x:v>
      </x:c>
      <x:c r="K30" s="60" t="n">
        <x:v>94.7271947948</x:v>
      </x:c>
      <x:c r="L30" s="60" t="n">
        <x:v>7.0954572128</x:v>
      </x:c>
      <x:c r="M30" s="60" t="n">
        <x:v>94.7271947948</x:v>
      </x:c>
      <x:c r="N30" s="46" t="str">
        <x:v>octopodidae</x:v>
      </x:c>
      <x:c r="O30" s="62" t="n">
        <x:v>3.59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Octopodidae</x:v>
      </x:c>
      <x:c r="T30" s="62" t="n">
        <x:f>IF(O30="","",(1/'Metadata'!$B$5)^(O30-1))</x:f>
        <x:v>2342.4357563948306</x:v>
      </x:c>
      <x:c r="U30" s="60" t="n">
        <x:f>IF(T30="","",I30*T30)</x:f>
        <x:v>238513.02087355012</x:v>
      </x:c>
    </x:row>
    <x:row r="31" ht="18" customHeight="1">
      <x:c r="A31" s="46" t="str">
        <x:v>LME_065</x:v>
      </x:c>
      <x:c r="B31" s="46" t="str">
        <x:v>Aleutian Islands</x:v>
      </x:c>
      <x:c r="C31" s="46" t="str">
        <x:v>LME</x:v>
      </x:c>
      <x:c r="D31" s="58" t="n">
        <x:v>2019</x:v>
      </x:c>
      <x:c r="E31" s="46" t="str">
        <x:v>Atheresthes evermanni</x:v>
      </x:c>
      <x:c r="F31" s="46" t="str">
        <x:v>Kamchatka flounder</x:v>
      </x:c>
      <x:c r="G31" s="46" t="str">
        <x:v>Large flatfishes (&gt;=90 cm)</x:v>
      </x:c>
      <x:c r="H31" s="46" t="str">
        <x:v>Flatfishes</x:v>
      </x:c>
      <x:c r="I31" s="60" t="n">
        <x:v>100.0455649683</x:v>
      </x:c>
      <x:c r="J31" s="60" t="n">
        <x:v>0</x:v>
      </x:c>
      <x:c r="K31" s="60" t="n">
        <x:v>100.0455649683</x:v>
      </x:c>
      <x:c r="L31" s="60" t="n">
        <x:v>0</x:v>
      </x:c>
      <x:c r="M31" s="60" t="n">
        <x:v>100.0455649683</x:v>
      </x:c>
      <x:c r="N31" s="46" t="str">
        <x:v>atheresthes evermanni</x:v>
      </x:c>
      <x:c r="O31" s="62" t="n">
        <x:v>4.3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Atheresthes evermanni</x:v>
      </x:c>
      <x:c r="T31" s="62" t="n">
        <x:f>IF(O31="","",(1/'Metadata'!$B$5)^(O31-1))</x:f>
        <x:v>19651.648417852637</x:v>
      </x:c>
      <x:c r="U31" s="60" t="n">
        <x:f>IF(T31="","",I31*T31)</x:f>
        <x:v>1966060.2685224658</x:v>
      </x:c>
    </x:row>
    <x:row r="32" ht="18" customHeight="1">
      <x:c r="A32" s="46" t="str">
        <x:v>LME_065</x:v>
      </x:c>
      <x:c r="B32" s="46" t="str">
        <x:v>Aleutian Islands</x:v>
      </x:c>
      <x:c r="C32" s="46" t="str">
        <x:v>LME</x:v>
      </x:c>
      <x:c r="D32" s="58" t="n">
        <x:v>2019</x:v>
      </x:c>
      <x:c r="E32" s="46" t="str">
        <x:v>Oncorhynchus tshawytscha</x:v>
      </x:c>
      <x:c r="F32" s="46" t="str">
        <x:v>Chinook salmon</x:v>
      </x:c>
      <x:c r="G32" s="46" t="str">
        <x:v>Large benthopelagics (&gt;=90 cm)</x:v>
      </x:c>
      <x:c r="H32" s="46" t="str">
        <x:v>Salmon, smelts, etc</x:v>
      </x:c>
      <x:c r="I32" s="60" t="n">
        <x:v>93.1219016487</x:v>
      </x:c>
      <x:c r="J32" s="60" t="n">
        <x:v>92.62164883470001</x:v>
      </x:c>
      <x:c r="K32" s="60" t="n">
        <x:v>0.500252814</x:v>
      </x:c>
      <x:c r="L32" s="60" t="n">
        <x:v>45.5316662147</x:v>
      </x:c>
      <x:c r="M32" s="60" t="n">
        <x:v>47.590235434</x:v>
      </x:c>
      <x:c r="N32" s="46" t="str">
        <x:v>oncorhynchus tshawytscha</x:v>
      </x:c>
      <x:c r="O32" s="62" t="n">
        <x:v>4.4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Oncorhynchus tshawytscha</x:v>
      </x:c>
      <x:c r="T32" s="62" t="n">
        <x:f>IF(O32="","",(1/'Metadata'!$B$5)^(O32-1))</x:f>
        <x:v>26515.632138719924</x:v>
      </x:c>
      <x:c r="U32" s="60" t="n">
        <x:f>IF(T32="","",I32*T32)</x:f>
        <x:v>2469186.0881749857</x:v>
      </x:c>
    </x:row>
    <x:row r="33" ht="18" customHeight="1">
      <x:c r="A33" s="46" t="str">
        <x:v>LME_065</x:v>
      </x:c>
      <x:c r="B33" s="46" t="str">
        <x:v>Aleutian Islands</x:v>
      </x:c>
      <x:c r="C33" s="46" t="str">
        <x:v>LME</x:v>
      </x:c>
      <x:c r="D33" s="58" t="n">
        <x:v>2019</x:v>
      </x:c>
      <x:c r="E33" s="46" t="str">
        <x:v>Mollusca</x:v>
      </x:c>
      <x:c r="F33" s="46" t="str">
        <x:v>Clams, seasnails, squids, octopuses</x:v>
      </x:c>
      <x:c r="G33" s="46" t="str">
        <x:v>Other demersal invertebrates</x:v>
      </x:c>
      <x:c r="H33" s="46" t="str">
        <x:v>Molluscs</x:v>
      </x:c>
      <x:c r="I33" s="60" t="n">
        <x:v>64.61308763929999</x:v>
      </x:c>
      <x:c r="J33" s="60" t="n">
        <x:v>64.61308763929999</x:v>
      </x:c>
      <x:c r="K33" s="60" t="n">
        <x:v>0</x:v>
      </x:c>
      <x:c r="L33" s="60" t="n">
        <x:v>0</x:v>
      </x:c>
      <x:c r="M33" s="60" t="n">
        <x:v>64.61308763929999</x:v>
      </x:c>
      <x:c r="N33" s="46" t="str">
        <x:v>mollusca</x:v>
      </x:c>
      <x:c r="O33" s="62" t="n">
        <x:v>2.1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Mollusca</x:v>
      </x:c>
      <x:c r="T33" s="62" t="n">
        <x:f>IF(O33="","",(1/'Metadata'!$B$5)^(O33-1))</x:f>
        <x:v>26.985656953471274</x:v>
      </x:c>
      <x:c r="U33" s="60" t="n">
        <x:f>IF(T33="","",I33*T33)</x:f>
        <x:v>1743.6266177387247</x:v>
      </x:c>
    </x:row>
    <x:row r="34" ht="18" customHeight="1">
      <x:c r="A34" s="46" t="str">
        <x:v>LME_065</x:v>
      </x:c>
      <x:c r="B34" s="46" t="str">
        <x:v>Aleutian Islands</x:v>
      </x:c>
      <x:c r="C34" s="46" t="str">
        <x:v>LME</x:v>
      </x:c>
      <x:c r="D34" s="58" t="n">
        <x:v>2019</x:v>
      </x:c>
      <x:c r="E34" s="46" t="str">
        <x:v>Chionoecetes bairdi</x:v>
      </x:c>
      <x:c r="F34" s="46" t="str">
        <x:v>Tanner crab</x:v>
      </x:c>
      <x:c r="G34" s="46" t="str">
        <x:v>Lobsters, crabs</x:v>
      </x:c>
      <x:c r="H34" s="46" t="str">
        <x:v>Crustaceans</x:v>
      </x:c>
      <x:c r="I34" s="60" t="n">
        <x:v>36.2709654822</x:v>
      </x:c>
      <x:c r="J34" s="60" t="n">
        <x:v>36.2709654822</x:v>
      </x:c>
      <x:c r="K34" s="60" t="n">
        <x:v>0</x:v>
      </x:c>
      <x:c r="L34" s="60" t="n">
        <x:v>36.2709654822</x:v>
      </x:c>
      <x:c r="M34" s="60" t="n">
        <x:v>0</x:v>
      </x:c>
      <x:c r="N34" s="46" t="str">
        <x:v>chionoecetes bairdi</x:v>
      </x:c>
      <x:c r="O34" s="62" t="n">
        <x:v>3.08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Chionoecetes bairdi</x:v>
      </x:c>
      <x:c r="T34" s="62" t="n">
        <x:f>IF(O34="","",(1/'Metadata'!$B$5)^(O34-1))</x:f>
        <x:v>508.32607876637354</x:v>
      </x:c>
      <x:c r="U34" s="60" t="n">
        <x:f>IF(T34="","",I34*T34)</x:f>
        <x:v>18437.477656637213</x:v>
      </x:c>
    </x:row>
    <x:row r="35" ht="18" customHeight="1">
      <x:c r="A35" s="46" t="str">
        <x:v>LME_065</x:v>
      </x:c>
      <x:c r="B35" s="46" t="str">
        <x:v>Aleutian Islands</x:v>
      </x:c>
      <x:c r="C35" s="46" t="str">
        <x:v>LME</x:v>
      </x:c>
      <x:c r="D35" s="58" t="n">
        <x:v>2019</x:v>
      </x:c>
      <x:c r="E35" s="46" t="str">
        <x:v>Elasmobranchii</x:v>
      </x:c>
      <x:c r="F35" s="46" t="str">
        <x:v>Sharks, rays, skates</x:v>
      </x:c>
      <x:c r="G35" s="46" t="str">
        <x:v>Large sharks (&gt;=90 cm)</x:v>
      </x:c>
      <x:c r="H35" s="46" t="str">
        <x:v>Sharks &amp; rays</x:v>
      </x:c>
      <x:c r="I35" s="60" t="n">
        <x:v>32.7444936877</x:v>
      </x:c>
      <x:c r="J35" s="60" t="n">
        <x:v>0.1518321749</x:v>
      </x:c>
      <x:c r="K35" s="60" t="n">
        <x:v>32.5926615128</x:v>
      </x:c>
      <x:c r="L35" s="60" t="n">
        <x:v>0</x:v>
      </x:c>
      <x:c r="M35" s="60" t="n">
        <x:v>32.7444936877</x:v>
      </x:c>
      <x:c r="N35" s="46" t="str">
        <x:v>elasmobranchii</x:v>
      </x:c>
      <x:c r="O35" s="62" t="n">
        <x:v>4.05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Elasmobranchii</x:v>
      </x:c>
      <x:c r="T35" s="62" t="n">
        <x:f>IF(O35="","",(1/'Metadata'!$B$5)^(O35-1))</x:f>
        <x:v>9292.690797132333</x:v>
      </x:c>
      <x:c r="U35" s="60" t="n">
        <x:f>IF(T35="","",I35*T35)</x:f>
        <x:v>304284.45514844754</x:v>
      </x:c>
    </x:row>
    <x:row r="36" ht="18" customHeight="1">
      <x:c r="A36" s="46" t="str">
        <x:v>LME_065</x:v>
      </x:c>
      <x:c r="B36" s="46" t="str">
        <x:v>Aleutian Islands</x:v>
      </x:c>
      <x:c r="C36" s="46" t="str">
        <x:v>LME</x:v>
      </x:c>
      <x:c r="D36" s="58" t="n">
        <x:v>2019</x:v>
      </x:c>
      <x:c r="E36" s="46" t="str">
        <x:v>Ophiodon elongatus</x:v>
      </x:c>
      <x:c r="F36" s="46" t="str">
        <x:v>Lingcod</x:v>
      </x:c>
      <x:c r="G36" s="46" t="str">
        <x:v>Large demersals (&gt;=90 cm)</x:v>
      </x:c>
      <x:c r="H36" s="46" t="str">
        <x:v>Scorpionfishes</x:v>
      </x:c>
      <x:c r="I36" s="60" t="n">
        <x:v>15.750757249</x:v>
      </x:c>
      <x:c r="J36" s="60" t="n">
        <x:v>15.750757249</x:v>
      </x:c>
      <x:c r="K36" s="60" t="n">
        <x:v>0</x:v>
      </x:c>
      <x:c r="L36" s="60" t="n">
        <x:v>11.2405400205</x:v>
      </x:c>
      <x:c r="M36" s="60" t="n">
        <x:v>4.5102172285</x:v>
      </x:c>
      <x:c r="N36" s="46" t="str">
        <x:v>ophiodon elongatus</x:v>
      </x:c>
      <x:c r="O36" s="62" t="n">
        <x:v>4.32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Ophiodon elongatus</x:v>
      </x:c>
      <x:c r="T36" s="62" t="n">
        <x:f>IF(O36="","",(1/'Metadata'!$B$5)^(O36-1))</x:f>
        <x:v>20865.057486776313</x:v>
      </x:c>
      <x:c r="U36" s="60" t="n">
        <x:f>IF(T36="","",I36*T36)</x:f>
        <x:v>328640.45546064375</x:v>
      </x:c>
    </x:row>
    <x:row r="37" ht="18" customHeight="1">
      <x:c r="A37" s="46" t="str">
        <x:v>LME_065</x:v>
      </x:c>
      <x:c r="B37" s="46" t="str">
        <x:v>Aleutian Islands</x:v>
      </x:c>
      <x:c r="C37" s="46" t="str">
        <x:v>LME</x:v>
      </x:c>
      <x:c r="D37" s="58" t="n">
        <x:v>2019</x:v>
      </x:c>
      <x:c r="E37" s="46" t="str">
        <x:v>Pleuronectidae</x:v>
      </x:c>
      <x:c r="F37" s="46" t="str">
        <x:v>Righteye flounders</x:v>
      </x:c>
      <x:c r="G37" s="46" t="str">
        <x:v>Small to medium flatfishes (&lt;90 cm)</x:v>
      </x:c>
      <x:c r="H37" s="46" t="str">
        <x:v>Flatfishes</x:v>
      </x:c>
      <x:c r="I37" s="60" t="n">
        <x:v>12.793663647499999</x:v>
      </x:c>
      <x:c r="J37" s="60" t="n">
        <x:v>12.793663647499999</x:v>
      </x:c>
      <x:c r="K37" s="60" t="n">
        <x:v>0</x:v>
      </x:c>
      <x:c r="L37" s="60" t="n">
        <x:v>12.793663647499999</x:v>
      </x:c>
      <x:c r="M37" s="60" t="n">
        <x:v>0</x:v>
      </x:c>
      <x:c r="N37" s="46" t="str">
        <x:v>pleuronectidae</x:v>
      </x:c>
      <x:c r="O37" s="62" t="n">
        <x:v>3.49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Pleuronectidae</x:v>
      </x:c>
      <x:c r="T37" s="62" t="n">
        <x:f>IF(O37="","",(1/'Metadata'!$B$5)^(O37-1))</x:f>
        <x:v>1736.059833884101</x:v>
      </x:c>
      <x:c r="U37" s="60" t="n">
        <x:f>IF(T37="","",I37*T37)</x:f>
        <x:v>22210.56558664791</x:v>
      </x:c>
    </x:row>
    <x:row r="38" ht="18" customHeight="1">
      <x:c r="A38" s="46" t="str">
        <x:v>LME_065</x:v>
      </x:c>
      <x:c r="B38" s="46" t="str">
        <x:v>Aleutian Islands</x:v>
      </x:c>
      <x:c r="C38" s="46" t="str">
        <x:v>LME</x:v>
      </x:c>
      <x:c r="D38" s="58" t="n">
        <x:v>2019</x:v>
      </x:c>
      <x:c r="E38" s="46" t="str">
        <x:v>Miscellaneous marine crustaceans</x:v>
      </x:c>
      <x:c r="F38" s="46" t="str">
        <x:v>Marine crabs, shrimps, lobsters nei</x:v>
      </x:c>
      <x:c r="G38" s="46" t="str">
        <x:v>Shrimps</x:v>
      </x:c>
      <x:c r="H38" s="46" t="str">
        <x:v>Crustaceans</x:v>
      </x:c>
      <x:c r="I38" s="60" t="n">
        <x:v>3.2447322607</x:v>
      </x:c>
      <x:c r="J38" s="60" t="n">
        <x:v>3.2447322607</x:v>
      </x:c>
      <x:c r="K38" s="60" t="n">
        <x:v>0</x:v>
      </x:c>
      <x:c r="L38" s="60" t="n">
        <x:v>3.2447322607</x:v>
      </x:c>
      <x:c r="M38" s="60" t="n">
        <x:v>0</x:v>
      </x:c>
      <x:c r="N38" s="46" t="str">
        <x:v>miscellaneous marine crustaceans</x:v>
      </x:c>
      <x:c r="O38" s="62" t="n">
        <x:v>2.7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Miscellaneous marine crustaceans</x:v>
      </x:c>
      <x:c r="T38" s="62" t="n">
        <x:f>IF(O38="","",(1/'Metadata'!$B$5)^(O38-1))</x:f>
        <x:v>162.83621261476185</x:v>
      </x:c>
      <x:c r="U38" s="60" t="n">
        <x:f>IF(T38="","",I38*T38)</x:f>
        <x:v>528.3599122813221</x:v>
      </x:c>
    </x:row>
    <x:row r="39" ht="18" customHeight="1">
      <x:c r="A39" s="46" t="str">
        <x:v>LME_065</x:v>
      </x:c>
      <x:c r="B39" s="46" t="str">
        <x:v>Aleutian Islands</x:v>
      </x:c>
      <x:c r="C39" s="46" t="str">
        <x:v>LME</x:v>
      </x:c>
      <x:c r="D39" s="58" t="n">
        <x:v>2019</x:v>
      </x:c>
      <x:c r="E39" s="46" t="str">
        <x:v>Sebastes melanops</x:v>
      </x:c>
      <x:c r="F39" s="46" t="str">
        <x:v>Black rockfish</x:v>
      </x:c>
      <x:c r="G39" s="46" t="str">
        <x:v>Medium reef assoc. fish (30 - 89 cm)</x:v>
      </x:c>
      <x:c r="H39" s="46" t="str">
        <x:v>Scorpionfishes</x:v>
      </x:c>
      <x:c r="I39" s="60" t="n">
        <x:v>2.9814762331</x:v>
      </x:c>
      <x:c r="J39" s="60" t="n">
        <x:v>2.9814762331</x:v>
      </x:c>
      <x:c r="K39" s="60" t="n">
        <x:v>0</x:v>
      </x:c>
      <x:c r="L39" s="60" t="n">
        <x:v>0</x:v>
      </x:c>
      <x:c r="M39" s="60" t="n">
        <x:v>2.9814762331</x:v>
      </x:c>
      <x:c r="N39" s="46" t="str">
        <x:v>sebastes melanops</x:v>
      </x:c>
      <x:c r="O39" s="62" t="n">
        <x:v>4.38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Sebastes melanops</x:v>
      </x:c>
      <x:c r="T39" s="62" t="n">
        <x:f>IF(O39="","",(1/'Metadata'!$B$5)^(O39-1))</x:f>
        <x:v>24973.6134538561</x:v>
      </x:c>
      <x:c r="U39" s="60" t="n">
        <x:f>IF(T39="","",I39*T39)</x:f>
        <x:v>74458.23496729835</x:v>
      </x:c>
    </x:row>
    <x:row r="40" ht="18" customHeight="1">
      <x:c r="A40" s="46" t="str">
        <x:v>LME_065</x:v>
      </x:c>
      <x:c r="B40" s="46" t="str">
        <x:v>Aleutian Islands</x:v>
      </x:c>
      <x:c r="C40" s="46" t="str">
        <x:v>LME</x:v>
      </x:c>
      <x:c r="D40" s="58" t="n">
        <x:v>2019</x:v>
      </x:c>
      <x:c r="E40" s="46" t="str">
        <x:v>Sebastes entomelas</x:v>
      </x:c>
      <x:c r="F40" s="46" t="str">
        <x:v>Widow rockfish</x:v>
      </x:c>
      <x:c r="G40" s="46" t="str">
        <x:v>Medium pelagics (30 - 89 cm)</x:v>
      </x:c>
      <x:c r="H40" s="46" t="str">
        <x:v>Scorpionfishes</x:v>
      </x:c>
      <x:c r="I40" s="60" t="n">
        <x:v>1.9350150252</x:v>
      </x:c>
      <x:c r="J40" s="60" t="n">
        <x:v>1.9350150252</x:v>
      </x:c>
      <x:c r="K40" s="60" t="n">
        <x:v>0</x:v>
      </x:c>
      <x:c r="L40" s="60" t="n">
        <x:v>1.9350150252</x:v>
      </x:c>
      <x:c r="M40" s="60" t="n">
        <x:v>0</x:v>
      </x:c>
      <x:c r="N40" s="46" t="str">
        <x:v>sebastes entomelas</x:v>
      </x:c>
      <x:c r="O40" s="62" t="n">
        <x:v>3.7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Sebastes entomelas</x:v>
      </x:c>
      <x:c r="T40" s="62" t="n">
        <x:f>IF(O40="","",(1/'Metadata'!$B$5)^(O40-1))</x:f>
        <x:v>3256.724252295237</x:v>
      </x:c>
      <x:c r="U40" s="60" t="n">
        <x:f>IF(T40="","",I40*T40)</x:f>
        <x:v>6301.810361124519</x:v>
      </x:c>
    </x:row>
    <x:row r="41" ht="18" customHeight="1">
      <x:c r="A41" s="46" t="str">
        <x:v>LME_065</x:v>
      </x:c>
      <x:c r="B41" s="46" t="str">
        <x:v>Aleutian Islands</x:v>
      </x:c>
      <x:c r="C41" s="46" t="str">
        <x:v>LME</x:v>
      </x:c>
      <x:c r="D41" s="58" t="n">
        <x:v>2019</x:v>
      </x:c>
      <x:c r="E41" s="46" t="str">
        <x:v>Strongylocentrotus</x:v>
      </x:c>
      <x:c r="F41" s="46" t="str">
        <x:v>Sickle-arched sea urchins</x:v>
      </x:c>
      <x:c r="G41" s="46" t="str">
        <x:v>Other demersal invertebrates</x:v>
      </x:c>
      <x:c r="H41" s="46" t="str">
        <x:v>Other fishes &amp; inverts</x:v>
      </x:c>
      <x:c r="I41" s="60" t="n">
        <x:v>1.8522826782</x:v>
      </x:c>
      <x:c r="J41" s="60" t="n">
        <x:v>1.8522826782</x:v>
      </x:c>
      <x:c r="K41" s="60" t="n">
        <x:v>0</x:v>
      </x:c>
      <x:c r="L41" s="60" t="n">
        <x:v>1.7673953541999998</x:v>
      </x:c>
      <x:c r="M41" s="60" t="n">
        <x:v>0.084887324</x:v>
      </x:c>
      <x:c r="N41" s="46" t="str">
        <x:v>strongylocentrotus</x:v>
      </x:c>
      <x:c r="O41" s="62" t="n">
        <x:v>2.1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Strongylocentrotus</x:v>
      </x:c>
      <x:c r="T41" s="62" t="n">
        <x:f>IF(O41="","",(1/'Metadata'!$B$5)^(O41-1))</x:f>
        <x:v>26.985656953471274</x:v>
      </x:c>
      <x:c r="U41" s="60" t="n">
        <x:f>IF(T41="","",I41*T41)</x:f>
        <x:v>49.98506493476222</x:v>
      </x:c>
    </x:row>
    <x:row r="42" ht="18" customHeight="1">
      <x:c r="A42" s="46" t="str">
        <x:v>LME_065</x:v>
      </x:c>
      <x:c r="B42" s="46" t="str">
        <x:v>Aleutian Islands</x:v>
      </x:c>
      <x:c r="C42" s="46" t="str">
        <x:v>LME</x:v>
      </x:c>
      <x:c r="D42" s="58" t="n">
        <x:v>2019</x:v>
      </x:c>
      <x:c r="E42" s="46" t="str">
        <x:v>Microstomus pacificus</x:v>
      </x:c>
      <x:c r="F42" s="46" t="str">
        <x:v>Dover sole</x:v>
      </x:c>
      <x:c r="G42" s="46" t="str">
        <x:v>Small to medium flatfishes (&lt;90 cm)</x:v>
      </x:c>
      <x:c r="H42" s="46" t="str">
        <x:v>Flatfishes</x:v>
      </x:c>
      <x:c r="I42" s="60" t="n">
        <x:v>1.5327444249</x:v>
      </x:c>
      <x:c r="J42" s="60" t="n">
        <x:v>1.5327444249</x:v>
      </x:c>
      <x:c r="K42" s="60" t="n">
        <x:v>0</x:v>
      </x:c>
      <x:c r="L42" s="60" t="n">
        <x:v>1.5327444249</x:v>
      </x:c>
      <x:c r="M42" s="60" t="n">
        <x:v>0</x:v>
      </x:c>
      <x:c r="N42" s="46" t="str">
        <x:v>microstomus pacificus</x:v>
      </x:c>
      <x:c r="O42" s="62" t="n">
        <x:v>3.22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Microstomus pacificus</x:v>
      </x:c>
      <x:c r="T42" s="62" t="n">
        <x:f>IF(O42="","",(1/'Metadata'!$B$5)^(O42-1))</x:f>
        <x:v>773.1906443023378</x:v>
      </x:c>
      <x:c r="U42" s="60" t="n">
        <x:f>IF(T42="","",I42*T42)</x:f>
        <x:v>1185.1036494392472</x:v>
      </x:c>
    </x:row>
    <x:row r="43" ht="18" customHeight="1">
      <x:c r="A43" s="46" t="str">
        <x:v>LME_065</x:v>
      </x:c>
      <x:c r="B43" s="46" t="str">
        <x:v>Aleutian Islands</x:v>
      </x:c>
      <x:c r="C43" s="46" t="str">
        <x:v>LME</x:v>
      </x:c>
      <x:c r="D43" s="58" t="n">
        <x:v>2019</x:v>
      </x:c>
      <x:c r="E43" s="46" t="str">
        <x:v>Pandalidae</x:v>
      </x:c>
      <x:c r="F43" s="46" t="str">
        <x:v>Northern shrimps</x:v>
      </x:c>
      <x:c r="G43" s="46" t="str">
        <x:v>Shrimps</x:v>
      </x:c>
      <x:c r="H43" s="46" t="str">
        <x:v>Crustaceans</x:v>
      </x:c>
      <x:c r="I43" s="60" t="n">
        <x:v>1.2148070935</x:v>
      </x:c>
      <x:c r="J43" s="60" t="n">
        <x:v>1.2148070935</x:v>
      </x:c>
      <x:c r="K43" s="60" t="n">
        <x:v>0</x:v>
      </x:c>
      <x:c r="L43" s="60" t="n">
        <x:v>0</x:v>
      </x:c>
      <x:c r="M43" s="60" t="n">
        <x:v>1.2148070935</x:v>
      </x:c>
      <x:c r="N43" s="46" t="str">
        <x:v>pandalidae</x:v>
      </x:c>
      <x:c r="O43" s="62" t="n">
        <x:v>2.7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Pandalidae</x:v>
      </x:c>
      <x:c r="T43" s="62" t="n">
        <x:f>IF(O43="","",(1/'Metadata'!$B$5)^(O43-1))</x:f>
        <x:v>162.83621261476185</x:v>
      </x:c>
      <x:c r="U43" s="60" t="n">
        <x:f>IF(T43="","",I43*T43)</x:f>
        <x:v>197.81458616308686</x:v>
      </x:c>
    </x:row>
    <x:row r="44" ht="18" customHeight="1">
      <x:c r="A44" s="46" t="str">
        <x:v>LME_065</x:v>
      </x:c>
      <x:c r="B44" s="46" t="str">
        <x:v>Aleutian Islands</x:v>
      </x:c>
      <x:c r="C44" s="46" t="str">
        <x:v>LME</x:v>
      </x:c>
      <x:c r="D44" s="58" t="n">
        <x:v>2019</x:v>
      </x:c>
      <x:c r="E44" s="46" t="str">
        <x:v>Veneridae</x:v>
      </x:c>
      <x:c r="F44" s="46" t="str">
        <x:v>Venus clams</x:v>
      </x:c>
      <x:c r="G44" s="46" t="str">
        <x:v>Other demersal invertebrates</x:v>
      </x:c>
      <x:c r="H44" s="46" t="str">
        <x:v>Molluscs</x:v>
      </x:c>
      <x:c r="I44" s="60" t="n">
        <x:v>0.8608720031</x:v>
      </x:c>
      <x:c r="J44" s="60" t="n">
        <x:v>0.8608720031</x:v>
      </x:c>
      <x:c r="K44" s="60" t="n">
        <x:v>0</x:v>
      </x:c>
      <x:c r="L44" s="60" t="n">
        <x:v>0</x:v>
      </x:c>
      <x:c r="M44" s="60" t="n">
        <x:v>0.8608720031</x:v>
      </x:c>
      <x:c r="N44" s="46" t="str">
        <x:v>veneridae</x:v>
      </x:c>
      <x:c r="O44" s="62" t="n">
        <x:v>2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Veneridae</x:v>
      </x:c>
      <x:c r="T44" s="62" t="n">
        <x:f>IF(O44="","",(1/'Metadata'!$B$5)^(O44-1))</x:f>
        <x:v>20</x:v>
      </x:c>
      <x:c r="U44" s="60" t="n">
        <x:f>IF(T44="","",I44*T44)</x:f>
        <x:v>17.217440062</x:v>
      </x:c>
    </x:row>
    <x:row r="45" ht="18" customHeight="1">
      <x:c r="A45" s="46" t="str">
        <x:v>LME_065</x:v>
      </x:c>
      <x:c r="B45" s="46" t="str">
        <x:v>Aleutian Islands</x:v>
      </x:c>
      <x:c r="C45" s="46" t="str">
        <x:v>LME</x:v>
      </x:c>
      <x:c r="D45" s="58" t="n">
        <x:v>2019</x:v>
      </x:c>
      <x:c r="E45" s="46" t="str">
        <x:v>Decapoda</x:v>
      </x:c>
      <x:c r="F45" s="46" t="str">
        <x:v>Crabs, lobsters, shrimps</x:v>
      </x:c>
      <x:c r="G45" s="46" t="str">
        <x:v>Lobsters, crabs</x:v>
      </x:c>
      <x:c r="H45" s="46" t="str">
        <x:v>Crustaceans</x:v>
      </x:c>
      <x:c r="I45" s="60" t="n">
        <x:v>0.8443071016</x:v>
      </x:c>
      <x:c r="J45" s="60" t="n">
        <x:v>0.8443071016</x:v>
      </x:c>
      <x:c r="K45" s="60" t="n">
        <x:v>0</x:v>
      </x:c>
      <x:c r="L45" s="60" t="n">
        <x:v>0</x:v>
      </x:c>
      <x:c r="M45" s="60" t="n">
        <x:v>0.8443071016</x:v>
      </x:c>
      <x:c r="N45" s="46" t="str">
        <x:v>decapoda</x:v>
      </x:c>
      <x:c r="O45" s="62" t="n">
        <x:v>3.43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Decapoda</x:v>
      </x:c>
      <x:c r="T45" s="62" t="n">
        <x:f>IF(O45="","",(1/'Metadata'!$B$5)^(O45-1))</x:f>
        <x:v>1450.450424461182</x:v>
      </x:c>
      <x:c r="U45" s="60" t="n">
        <x:f>IF(T45="","",I45*T45)</x:f>
        <x:v>1224.6255938913102</x:v>
      </x:c>
    </x:row>
    <x:row r="46" ht="18" customHeight="1">
      <x:c r="A46" s="46" t="str">
        <x:v>LME_065</x:v>
      </x:c>
      <x:c r="B46" s="46" t="str">
        <x:v>Aleutian Islands</x:v>
      </x:c>
      <x:c r="C46" s="46" t="str">
        <x:v>LME</x:v>
      </x:c>
      <x:c r="D46" s="58" t="n">
        <x:v>2019</x:v>
      </x:c>
      <x:c r="E46" s="46" t="str">
        <x:v>Siliqua patula</x:v>
      </x:c>
      <x:c r="F46" s="46" t="str">
        <x:v>Pacific razor clam</x:v>
      </x:c>
      <x:c r="G46" s="46" t="str">
        <x:v>Other demersal invertebrates</x:v>
      </x:c>
      <x:c r="H46" s="46" t="str">
        <x:v>Molluscs</x:v>
      </x:c>
      <x:c r="I46" s="60" t="n">
        <x:v>0.8435955978</x:v>
      </x:c>
      <x:c r="J46" s="60" t="n">
        <x:v>0.8435955978</x:v>
      </x:c>
      <x:c r="K46" s="60" t="n">
        <x:v>0</x:v>
      </x:c>
      <x:c r="L46" s="60" t="n">
        <x:v>0</x:v>
      </x:c>
      <x:c r="M46" s="60" t="n">
        <x:v>0.8435955978</x:v>
      </x:c>
      <x:c r="N46" s="46" t="str">
        <x:v>siliqua patula</x:v>
      </x:c>
      <x:c r="O46" s="62" t="n">
        <x:v>2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Siliqua patula</x:v>
      </x:c>
      <x:c r="T46" s="62" t="n">
        <x:f>IF(O46="","",(1/'Metadata'!$B$5)^(O46-1))</x:f>
        <x:v>20</x:v>
      </x:c>
      <x:c r="U46" s="60" t="n">
        <x:f>IF(T46="","",I46*T46)</x:f>
        <x:v>16.871911956</x:v>
      </x:c>
    </x:row>
    <x:row r="47" ht="18" customHeight="1">
      <x:c r="A47" s="46" t="str">
        <x:v>LME_065</x:v>
      </x:c>
      <x:c r="B47" s="46" t="str">
        <x:v>Aleutian Islands</x:v>
      </x:c>
      <x:c r="C47" s="46" t="str">
        <x:v>LME</x:v>
      </x:c>
      <x:c r="D47" s="58" t="n">
        <x:v>2019</x:v>
      </x:c>
      <x:c r="E47" s="46" t="str">
        <x:v>Lithodidae</x:v>
      </x:c>
      <x:c r="F47" s="46" t="str">
        <x:v>Stone/king crabs</x:v>
      </x:c>
      <x:c r="G47" s="46" t="str">
        <x:v>Lobsters, crabs</x:v>
      </x:c>
      <x:c r="H47" s="46" t="str">
        <x:v>Crustaceans</x:v>
      </x:c>
      <x:c r="I47" s="60" t="n">
        <x:v>0.7862117706</x:v>
      </x:c>
      <x:c r="J47" s="60" t="n">
        <x:v>0.7862117706</x:v>
      </x:c>
      <x:c r="K47" s="60" t="n">
        <x:v>0</x:v>
      </x:c>
      <x:c r="L47" s="60" t="n">
        <x:v>0</x:v>
      </x:c>
      <x:c r="M47" s="60" t="n">
        <x:v>0.7862117706</x:v>
      </x:c>
      <x:c r="N47" s="46" t="str">
        <x:v>lithodidae</x:v>
      </x:c>
      <x:c r="O47" s="62" t="n">
        <x:v>2.82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Lithodidae</x:v>
      </x:c>
      <x:c r="T47" s="62" t="n">
        <x:f>IF(O47="","",(1/'Metadata'!$B$5)^(O47-1))</x:f>
        <x:v>233.27843447436348</x:v>
      </x:c>
      <x:c r="U47" s="60" t="n">
        <x:f>IF(T47="","",I47*T47)</x:f>
        <x:v>183.4062510108854</x:v>
      </x:c>
    </x:row>
    <x:row r="48" ht="18" customHeight="1">
      <x:c r="A48" s="46" t="str">
        <x:v>LME_065</x:v>
      </x:c>
      <x:c r="B48" s="46" t="str">
        <x:v>Aleutian Islands</x:v>
      </x:c>
      <x:c r="C48" s="46" t="str">
        <x:v>LME</x:v>
      </x:c>
      <x:c r="D48" s="58" t="n">
        <x:v>2019</x:v>
      </x:c>
      <x:c r="E48" s="46" t="str">
        <x:v>Enteroctopus dofleini</x:v>
      </x:c>
      <x:c r="F48" s="46" t="str">
        <x:v>North Pacific giant octopus</x:v>
      </x:c>
      <x:c r="G48" s="46" t="str">
        <x:v>Cephalopods</x:v>
      </x:c>
      <x:c r="H48" s="46" t="str">
        <x:v>Other fishes &amp; inverts</x:v>
      </x:c>
      <x:c r="I48" s="60" t="n">
        <x:v>0.7209256486</x:v>
      </x:c>
      <x:c r="J48" s="60" t="n">
        <x:v>0.7209256486</x:v>
      </x:c>
      <x:c r="K48" s="60" t="n">
        <x:v>0</x:v>
      </x:c>
      <x:c r="L48" s="60" t="n">
        <x:v>0</x:v>
      </x:c>
      <x:c r="M48" s="60" t="n">
        <x:v>0.7209256486</x:v>
      </x:c>
      <x:c r="N48" s="46" t="str">
        <x:v>enteroctopus dofleini</x:v>
      </x:c>
      <x:c r="O48" s="62" t="n">
        <x:v>3.33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Enteroctopus dofleini</x:v>
      </x:c>
      <x:c r="T48" s="62" t="n">
        <x:f>IF(O48="","",(1/'Metadata'!$B$5)^(O48-1))</x:f>
        <x:v>1074.9787762899762</x:v>
      </x:c>
      <x:c r="U48" s="60" t="n">
        <x:f>IF(T48="","",I48*T48)</x:f>
        <x:v>774.9797715280853</x:v>
      </x:c>
    </x:row>
    <x:row r="49" ht="18" customHeight="1">
      <x:c r="A49" s="46" t="str">
        <x:v>LME_065</x:v>
      </x:c>
      <x:c r="B49" s="46" t="str">
        <x:v>Aleutian Islands</x:v>
      </x:c>
      <x:c r="C49" s="46" t="str">
        <x:v>LME</x:v>
      </x:c>
      <x:c r="D49" s="58" t="n">
        <x:v>2019</x:v>
      </x:c>
      <x:c r="E49" s="46" t="str">
        <x:v>Osmeridae</x:v>
      </x:c>
      <x:c r="F49" s="46" t="str">
        <x:v>Smelts</x:v>
      </x:c>
      <x:c r="G49" s="46" t="str">
        <x:v>Small pelagics (&lt;30 cm)</x:v>
      </x:c>
      <x:c r="H49" s="46" t="str">
        <x:v>Salmon, smelts, etc</x:v>
      </x:c>
      <x:c r="I49" s="60" t="n">
        <x:v>0.4631058733</x:v>
      </x:c>
      <x:c r="J49" s="60" t="n">
        <x:v>0.4631058733</x:v>
      </x:c>
      <x:c r="K49" s="60" t="n">
        <x:v>0</x:v>
      </x:c>
      <x:c r="L49" s="60" t="n">
        <x:v>0</x:v>
      </x:c>
      <x:c r="M49" s="60" t="n">
        <x:v>0.4631058733</x:v>
      </x:c>
      <x:c r="N49" s="46" t="str">
        <x:v>osmeridae</x:v>
      </x:c>
      <x:c r="O49" s="62" t="n">
        <x:v>3.46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Osmeridae</x:v>
      </x:c>
      <x:c r="T49" s="62" t="n">
        <x:f>IF(O49="","",(1/'Metadata'!$B$5)^(O49-1))</x:f>
        <x:v>1586.8423749532276</x:v>
      </x:c>
      <x:c r="U49" s="60" t="n">
        <x:f>IF(T49="","",I49*T49)</x:f>
        <x:v>734.8760238421605</x:v>
      </x:c>
    </x:row>
    <x:row r="50" ht="18" customHeight="1">
      <x:c r="A50" s="46" t="str">
        <x:v>LME_065</x:v>
      </x:c>
      <x:c r="B50" s="46" t="str">
        <x:v>Aleutian Islands</x:v>
      </x:c>
      <x:c r="C50" s="46" t="str">
        <x:v>LME</x:v>
      </x:c>
      <x:c r="D50" s="58" t="n">
        <x:v>2019</x:v>
      </x:c>
      <x:c r="E50" s="46" t="str">
        <x:v>Salvelinus malma</x:v>
      </x:c>
      <x:c r="F50" s="46" t="str">
        <x:v>Dolly varden</x:v>
      </x:c>
      <x:c r="G50" s="46" t="str">
        <x:v>Large benthopelagics (&gt;=90 cm)</x:v>
      </x:c>
      <x:c r="H50" s="46" t="str">
        <x:v>Salmon, smelts, etc</x:v>
      </x:c>
      <x:c r="I50" s="60" t="n">
        <x:v>0.3926473976</x:v>
      </x:c>
      <x:c r="J50" s="60" t="n">
        <x:v>0.3926473976</x:v>
      </x:c>
      <x:c r="K50" s="60" t="n">
        <x:v>0</x:v>
      </x:c>
      <x:c r="L50" s="60" t="n">
        <x:v>0</x:v>
      </x:c>
      <x:c r="M50" s="60" t="n">
        <x:v>0.3926473976</x:v>
      </x:c>
      <x:c r="N50" s="46" t="str">
        <x:v>salvelinus malma</x:v>
      </x:c>
      <x:c r="O50" s="62" t="n">
        <x:v>4.4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Salvelinus malma</x:v>
      </x:c>
      <x:c r="T50" s="62" t="n">
        <x:f>IF(O50="","",(1/'Metadata'!$B$5)^(O50-1))</x:f>
        <x:v>26515.632138719924</x:v>
      </x:c>
      <x:c r="U50" s="60" t="n">
        <x:f>IF(T50="","",I50*T50)</x:f>
        <x:v>10411.2939549873</x:v>
      </x:c>
    </x:row>
    <x:row r="51" ht="18" customHeight="1">
      <x:c r="A51" s="46" t="str">
        <x:v>LME_065</x:v>
      </x:c>
      <x:c r="B51" s="46" t="str">
        <x:v>Aleutian Islands</x:v>
      </x:c>
      <x:c r="C51" s="46" t="str">
        <x:v>LME</x:v>
      </x:c>
      <x:c r="D51" s="58" t="n">
        <x:v>2019</x:v>
      </x:c>
      <x:c r="E51" s="46" t="str">
        <x:v>Chionoecetes</x:v>
      </x:c>
      <x:c r="F51" s="46" t="str">
        <x:v>Tanner, snow crabs</x:v>
      </x:c>
      <x:c r="G51" s="46" t="str">
        <x:v>Lobsters, crabs</x:v>
      </x:c>
      <x:c r="H51" s="46" t="str">
        <x:v>Crustaceans</x:v>
      </x:c>
      <x:c r="I51" s="60" t="n">
        <x:v>0.3297004448</x:v>
      </x:c>
      <x:c r="J51" s="60" t="n">
        <x:v>0.3297004448</x:v>
      </x:c>
      <x:c r="K51" s="60" t="n">
        <x:v>0</x:v>
      </x:c>
      <x:c r="L51" s="60" t="n">
        <x:v>0</x:v>
      </x:c>
      <x:c r="M51" s="60" t="n">
        <x:v>0.3297004448</x:v>
      </x:c>
      <x:c r="N51" s="46" t="str">
        <x:v>chionoecetes</x:v>
      </x:c>
      <x:c r="O51" s="62" t="n">
        <x:v>2.3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Chionoecetes</x:v>
      </x:c>
      <x:c r="T51" s="62" t="n">
        <x:f>IF(O51="","",(1/'Metadata'!$B$5)^(O51-1))</x:f>
        <x:v>49.12912104463159</x:v>
      </x:c>
      <x:c r="U51" s="60" t="n">
        <x:f>IF(T51="","",I51*T51)</x:f>
        <x:v>16.197893061048074</x:v>
      </x:c>
    </x:row>
    <x:row r="52" ht="18" customHeight="1">
      <x:c r="A52" s="46" t="str">
        <x:v>LME_065</x:v>
      </x:c>
      <x:c r="B52" s="46" t="str">
        <x:v>Aleutian Islands</x:v>
      </x:c>
      <x:c r="C52" s="46" t="str">
        <x:v>LME</x:v>
      </x:c>
      <x:c r="D52" s="58" t="n">
        <x:v>2019</x:v>
      </x:c>
      <x:c r="E52" s="46" t="str">
        <x:v>Leukoma staminea</x:v>
      </x:c>
      <x:c r="F52" s="46" t="str">
        <x:v>Pacific littleneck clam</x:v>
      </x:c>
      <x:c r="G52" s="46" t="str">
        <x:v>Other demersal invertebrates</x:v>
      </x:c>
      <x:c r="H52" s="46" t="str">
        <x:v>Molluscs</x:v>
      </x:c>
      <x:c r="I52" s="60" t="n">
        <x:v>0.2165246989</x:v>
      </x:c>
      <x:c r="J52" s="60" t="n">
        <x:v>0.2165246989</x:v>
      </x:c>
      <x:c r="K52" s="60" t="n">
        <x:v>0</x:v>
      </x:c>
      <x:c r="L52" s="60" t="n">
        <x:v>0</x:v>
      </x:c>
      <x:c r="M52" s="60" t="n">
        <x:v>0.2165246989</x:v>
      </x:c>
      <x:c r="N52" s="46" t="str">
        <x:v>leukoma staminea</x:v>
      </x:c>
      <x:c r="O52" s="62" t="n">
        <x:v>2.1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Leukoma staminea</x:v>
      </x:c>
      <x:c r="T52" s="62" t="n">
        <x:f>IF(O52="","",(1/'Metadata'!$B$5)^(O52-1))</x:f>
        <x:v>26.985656953471274</x:v>
      </x:c>
      <x:c r="U52" s="60" t="n">
        <x:f>IF(T52="","",I52*T52)</x:f>
        <x:v>5.843061246469059</x:v>
      </x:c>
    </x:row>
    <x:row r="53" ht="18" customHeight="1">
      <x:c r="A53" s="46" t="str">
        <x:v>LME_065</x:v>
      </x:c>
      <x:c r="B53" s="46" t="str">
        <x:v>Aleutian Islands</x:v>
      </x:c>
      <x:c r="C53" s="46" t="str">
        <x:v>LME</x:v>
      </x:c>
      <x:c r="D53" s="58" t="n">
        <x:v>2019</x:v>
      </x:c>
      <x:c r="E53" s="46" t="str">
        <x:v>Oncorhynchus mykiss</x:v>
      </x:c>
      <x:c r="F53" s="46" t="str">
        <x:v>Rainbow trout</x:v>
      </x:c>
      <x:c r="G53" s="46" t="str">
        <x:v>Large benthopelagics (&gt;=90 cm)</x:v>
      </x:c>
      <x:c r="H53" s="46" t="str">
        <x:v>Salmon, smelts, etc</x:v>
      </x:c>
      <x:c r="I53" s="60" t="n">
        <x:v>0.1506547082</x:v>
      </x:c>
      <x:c r="J53" s="60" t="n">
        <x:v>0.1506547082</x:v>
      </x:c>
      <x:c r="K53" s="60" t="n">
        <x:v>0</x:v>
      </x:c>
      <x:c r="L53" s="60" t="n">
        <x:v>0</x:v>
      </x:c>
      <x:c r="M53" s="60" t="n">
        <x:v>0.1506547082</x:v>
      </x:c>
      <x:c r="N53" s="46" t="str">
        <x:v>oncorhynchus mykiss</x:v>
      </x:c>
      <x:c r="O53" s="62" t="n">
        <x:v>4.08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Oncorhynchus mykiss</x:v>
      </x:c>
      <x:c r="T53" s="62" t="n">
        <x:f>IF(O53="","",(1/'Metadata'!$B$5)^(O53-1))</x:f>
        <x:v>10166.521575327472</x:v>
      </x:c>
      <x:c r="U53" s="60" t="n">
        <x:f>IF(T53="","",I53*T53)</x:f>
        <x:v>1531.6343413399645</x:v>
      </x:c>
    </x:row>
    <x:row r="54" ht="18" customHeight="1">
      <x:c r="A54" s="46" t="str">
        <x:v>LME_065</x:v>
      </x:c>
      <x:c r="B54" s="46" t="str">
        <x:v>Aleutian Islands</x:v>
      </x:c>
      <x:c r="C54" s="46" t="str">
        <x:v>LME</x:v>
      </x:c>
      <x:c r="D54" s="58" t="n">
        <x:v>2019</x:v>
      </x:c>
      <x:c r="E54" s="46" t="str">
        <x:v>Bivalvia</x:v>
      </x:c>
      <x:c r="F54" s="46" t="str">
        <x:v>Clams</x:v>
      </x:c>
      <x:c r="G54" s="46" t="str">
        <x:v>Other demersal invertebrates</x:v>
      </x:c>
      <x:c r="H54" s="46" t="str">
        <x:v>Molluscs</x:v>
      </x:c>
      <x:c r="I54" s="60" t="n">
        <x:v>0.1158236676</x:v>
      </x:c>
      <x:c r="J54" s="60" t="n">
        <x:v>0.1158236676</x:v>
      </x:c>
      <x:c r="K54" s="60" t="n">
        <x:v>0</x:v>
      </x:c>
      <x:c r="L54" s="60" t="n">
        <x:v>0</x:v>
      </x:c>
      <x:c r="M54" s="60" t="n">
        <x:v>0.1158236676</x:v>
      </x:c>
      <x:c r="N54" s="46" t="str">
        <x:v>bivalvia</x:v>
      </x:c>
      <x:c r="O54" s="62" t="n">
        <x:v>2.23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Bivalvia</x:v>
      </x:c>
      <x:c r="T54" s="62" t="n">
        <x:f>IF(O54="","",(1/'Metadata'!$B$5)^(O54-1))</x:f>
        <x:v>39.83519015836661</x:v>
      </x:c>
      <x:c r="U54" s="60" t="n">
        <x:f>IF(T54="","",I54*T54)</x:f>
        <x:v>4.6138578236854455</x:v>
      </x:c>
    </x:row>
    <x:row r="55" ht="18" customHeight="1">
      <x:c r="A55" s="46" t="str">
        <x:v>LME_065</x:v>
      </x:c>
      <x:c r="B55" s="46" t="str">
        <x:v>Aleutian Islands</x:v>
      </x:c>
      <x:c r="C55" s="46" t="str">
        <x:v>LME</x:v>
      </x:c>
      <x:c r="D55" s="58" t="n">
        <x:v>2019</x:v>
      </x:c>
      <x:c r="E55" s="46" t="str">
        <x:v>Salmonidae</x:v>
      </x:c>
      <x:c r="F55" s="46" t="str">
        <x:v>Salmonids</x:v>
      </x:c>
      <x:c r="G55" s="46" t="str">
        <x:v>Large benthopelagics (&gt;=90 cm)</x:v>
      </x:c>
      <x:c r="H55" s="46" t="str">
        <x:v>Salmon, smelts, etc</x:v>
      </x:c>
      <x:c r="I55" s="60" t="n">
        <x:v>0.0802047262</x:v>
      </x:c>
      <x:c r="J55" s="60" t="n">
        <x:v>0.0802047262</x:v>
      </x:c>
      <x:c r="K55" s="60" t="n">
        <x:v>0</x:v>
      </x:c>
      <x:c r="L55" s="60" t="n">
        <x:v>0</x:v>
      </x:c>
      <x:c r="M55" s="60" t="n">
        <x:v>0.0802047262</x:v>
      </x:c>
      <x:c r="N55" s="46" t="str">
        <x:v>salmonidae</x:v>
      </x:c>
      <x:c r="O55" s="62" t="n">
        <x:v>3.3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Salmonidae</x:v>
      </x:c>
      <x:c r="T55" s="62" t="n">
        <x:f>IF(O55="","",(1/'Metadata'!$B$5)^(O55-1))</x:f>
        <x:v>982.5824208926318</x:v>
      </x:c>
      <x:c r="U55" s="60" t="n">
        <x:f>IF(T55="","",I55*T55)</x:f>
        <x:v>78.8077540366267</x:v>
      </x:c>
    </x:row>
    <x:row r="56" ht="18" customHeight="1">
      <x:c r="A56" s="46" t="str">
        <x:v>LME_065</x:v>
      </x:c>
      <x:c r="B56" s="46" t="str">
        <x:v>Aleutian Islands</x:v>
      </x:c>
      <x:c r="C56" s="46" t="str">
        <x:v>LME</x:v>
      </x:c>
      <x:c r="D56" s="58" t="n">
        <x:v>2019</x:v>
      </x:c>
      <x:c r="E56" s="46" t="str">
        <x:v>Gadidae</x:v>
      </x:c>
      <x:c r="F56" s="46" t="str">
        <x:v>Cods, haddocks</x:v>
      </x:c>
      <x:c r="G56" s="46" t="str">
        <x:v>Medium demersals (30 - 89 cm)</x:v>
      </x:c>
      <x:c r="H56" s="46" t="str">
        <x:v>Cod-likes</x:v>
      </x:c>
      <x:c r="I56" s="60" t="n">
        <x:v>0.0554461939</x:v>
      </x:c>
      <x:c r="J56" s="60" t="n">
        <x:v>0.0554461939</x:v>
      </x:c>
      <x:c r="K56" s="60" t="n">
        <x:v>0</x:v>
      </x:c>
      <x:c r="L56" s="60" t="n">
        <x:v>0</x:v>
      </x:c>
      <x:c r="M56" s="60" t="n">
        <x:v>0.0554461939</x:v>
      </x:c>
      <x:c r="N56" s="46" t="str">
        <x:v>gadidae</x:v>
      </x:c>
      <x:c r="O56" s="62" t="n">
        <x:v>3.84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Gadidae</x:v>
      </x:c>
      <x:c r="T56" s="62" t="n">
        <x:f>IF(O56="","",(1/'Metadata'!$B$5)^(O56-1))</x:f>
        <x:v>4953.648510535111</x:v>
      </x:c>
      <x:c r="U56" s="60" t="n">
        <x:f>IF(T56="","",I56*T56)</x:f>
        <x:v>274.660955827576</x:v>
      </x:c>
    </x:row>
    <x:row r="57" ht="18" customHeight="1">
      <x:c r="A57" s="46" t="str">
        <x:v>LME_065</x:v>
      </x:c>
      <x:c r="B57" s="46" t="str">
        <x:v>Aleutian Islands</x:v>
      </x:c>
      <x:c r="C57" s="46" t="str">
        <x:v>LME</x:v>
      </x:c>
      <x:c r="D57" s="58" t="n">
        <x:v>2019</x:v>
      </x:c>
      <x:c r="E57" s="46" t="str">
        <x:v>Oncorhynchus</x:v>
      </x:c>
      <x:c r="F57" s="46" t="str">
        <x:v>Salmons, trouts</x:v>
      </x:c>
      <x:c r="G57" s="46" t="str">
        <x:v>Large benthopelagics (&gt;=90 cm)</x:v>
      </x:c>
      <x:c r="H57" s="46" t="str">
        <x:v>Salmon, smelts, etc</x:v>
      </x:c>
      <x:c r="I57" s="60" t="n">
        <x:v>0.0544570328</x:v>
      </x:c>
      <x:c r="J57" s="60" t="n">
        <x:v>0.0544570328</x:v>
      </x:c>
      <x:c r="K57" s="60" t="n">
        <x:v>0</x:v>
      </x:c>
      <x:c r="L57" s="60" t="n">
        <x:v>0</x:v>
      </x:c>
      <x:c r="M57" s="60" t="n">
        <x:v>0.0544570328</x:v>
      </x:c>
      <x:c r="N57" s="46" t="str">
        <x:v>oncorhynchus</x:v>
      </x:c>
      <x:c r="O57" s="62" t="n">
        <x:v>3.95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Oncorhynchus</x:v>
      </x:c>
      <x:c r="T57" s="62" t="n">
        <x:f>IF(O57="","",(1/'Metadata'!$B$5)^(O57-1))</x:f>
        <x:v>6887.133274653882</x:v>
      </x:c>
      <x:c r="U57" s="60" t="n">
        <x:f>IF(T57="","",I57*T57)</x:f>
        <x:v>375.05284263579784</x:v>
      </x:c>
    </x:row>
    <x:row r="58" ht="18" customHeight="1">
      <x:c r="A58" s="46" t="str">
        <x:v>LME_065</x:v>
      </x:c>
      <x:c r="B58" s="46" t="str">
        <x:v>Aleutian Islands</x:v>
      </x:c>
      <x:c r="C58" s="46" t="str">
        <x:v>LME</x:v>
      </x:c>
      <x:c r="D58" s="58" t="n">
        <x:v>2019</x:v>
      </x:c>
      <x:c r="E58" s="46" t="str">
        <x:v>Platichthys stellatus</x:v>
      </x:c>
      <x:c r="F58" s="46" t="str">
        <x:v>Starry flounder</x:v>
      </x:c>
      <x:c r="G58" s="46" t="str">
        <x:v>Small to medium flatfishes (&lt;90 cm)</x:v>
      </x:c>
      <x:c r="H58" s="46" t="str">
        <x:v>Flatfishes</x:v>
      </x:c>
      <x:c r="I58" s="60" t="n">
        <x:v>0.0465006001</x:v>
      </x:c>
      <x:c r="J58" s="60" t="n">
        <x:v>0.0465006001</x:v>
      </x:c>
      <x:c r="K58" s="60" t="n">
        <x:v>0</x:v>
      </x:c>
      <x:c r="L58" s="60" t="n">
        <x:v>0</x:v>
      </x:c>
      <x:c r="M58" s="60" t="n">
        <x:v>0.0465006001</x:v>
      </x:c>
      <x:c r="N58" s="46" t="str">
        <x:v>platichthys stellatus</x:v>
      </x:c>
      <x:c r="O58" s="62" t="n">
        <x:v>3.58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Platichthys stellatus</x:v>
      </x:c>
      <x:c r="T58" s="62" t="n">
        <x:f>IF(O58="","",(1/'Metadata'!$B$5)^(O58-1))</x:f>
        <x:v>2273.3033337150473</x:v>
      </x:c>
      <x:c r="U58" s="60" t="n">
        <x:f>IF(T58="","",I58*T58)</x:f>
        <x:v>105.70996922708025</x:v>
      </x:c>
    </x:row>
    <x:row r="59" ht="18" customHeight="1">
      <x:c r="A59" s="46" t="str">
        <x:v>LME_065</x:v>
      </x:c>
      <x:c r="B59" s="46" t="str">
        <x:v>Aleutian Islands</x:v>
      </x:c>
      <x:c r="C59" s="46" t="str">
        <x:v>LME</x:v>
      </x:c>
      <x:c r="D59" s="58" t="n">
        <x:v>2019</x:v>
      </x:c>
      <x:c r="E59" s="46" t="str">
        <x:v>Gastropoda</x:v>
      </x:c>
      <x:c r="F59" s="46" t="str">
        <x:v>Sea snails</x:v>
      </x:c>
      <x:c r="G59" s="46" t="str">
        <x:v>Other demersal invertebrates</x:v>
      </x:c>
      <x:c r="H59" s="46" t="str">
        <x:v>Molluscs</x:v>
      </x:c>
      <x:c r="I59" s="60" t="n">
        <x:v>0.0339236376</x:v>
      </x:c>
      <x:c r="J59" s="60" t="n">
        <x:v>0.0339236376</x:v>
      </x:c>
      <x:c r="K59" s="60" t="n">
        <x:v>0</x:v>
      </x:c>
      <x:c r="L59" s="60" t="n">
        <x:v>0</x:v>
      </x:c>
      <x:c r="M59" s="60" t="n">
        <x:v>0.0339236376</x:v>
      </x:c>
      <x:c r="N59" s="46" t="str">
        <x:v>gastropoda</x:v>
      </x:c>
      <x:c r="O59" s="62" t="n">
        <x:v>3.06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Gastropoda</x:v>
      </x:c>
      <x:c r="T59" s="62" t="n">
        <x:f>IF(O59="","",(1/'Metadata'!$B$5)^(O59-1))</x:f>
        <x:v>478.7643354384948</x:v>
      </x:c>
      <x:c r="U59" s="60" t="n">
        <x:f>IF(T59="","",I59*T59)</x:f>
        <x:v>16.241427811220337</x:v>
      </x:c>
    </x:row>
    <x:row r="60" ht="18" customHeight="1">
      <x:c r="A60" s="46" t="str">
        <x:v>LME_065</x:v>
      </x:c>
      <x:c r="B60" s="46" t="str">
        <x:v>Aleutian Islands</x:v>
      </x:c>
      <x:c r="C60" s="46" t="str">
        <x:v>LME</x:v>
      </x:c>
      <x:c r="D60" s="58" t="n">
        <x:v>2019</x:v>
      </x:c>
      <x:c r="E60" s="46" t="str">
        <x:v>Chondrichthyes</x:v>
      </x:c>
      <x:c r="F60" s="46" t="str">
        <x:v>Sharks, rays, chimaeras</x:v>
      </x:c>
      <x:c r="G60" s="46" t="str">
        <x:v>Large sharks (&gt;=90 cm)</x:v>
      </x:c>
      <x:c r="H60" s="46" t="str">
        <x:v>Sharks &amp; rays</x:v>
      </x:c>
      <x:c r="I60" s="60" t="n">
        <x:v>0.0313214505</x:v>
      </x:c>
      <x:c r="J60" s="60" t="n">
        <x:v>0.0313214505</x:v>
      </x:c>
      <x:c r="K60" s="60" t="n">
        <x:v>0</x:v>
      </x:c>
      <x:c r="L60" s="60" t="n">
        <x:v>0</x:v>
      </x:c>
      <x:c r="M60" s="60" t="n">
        <x:v>0.0313214505</x:v>
      </x:c>
      <x:c r="N60" s="46" t="str">
        <x:v>chondrichthyes</x:v>
      </x:c>
      <x:c r="O60" s="62" t="n">
        <x:v>4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Chondrichthyes</x:v>
      </x:c>
      <x:c r="T60" s="62" t="n">
        <x:f>IF(O60="","",(1/'Metadata'!$B$5)^(O60-1))</x:f>
        <x:v>8000</x:v>
      </x:c>
      <x:c r="U60" s="60" t="n">
        <x:f>IF(T60="","",I60*T60)</x:f>
        <x:v>250.571604</x:v>
      </x:c>
    </x:row>
    <x:row r="61" ht="18" customHeight="1">
      <x:c r="A61" s="46" t="str">
        <x:v>LME_065</x:v>
      </x:c>
      <x:c r="B61" s="46" t="str">
        <x:v>Aleutian Islands</x:v>
      </x:c>
      <x:c r="C61" s="46" t="str">
        <x:v>LME</x:v>
      </x:c>
      <x:c r="D61" s="58" t="n">
        <x:v>2019</x:v>
      </x:c>
      <x:c r="E61" s="46" t="str">
        <x:v>Petromyzontidae</x:v>
      </x:c>
      <x:c r="F61" s="46" t="str">
        <x:v>Lampreys</x:v>
      </x:c>
      <x:c r="G61" s="46" t="str">
        <x:v>Large demersals (&gt;=90 cm)</x:v>
      </x:c>
      <x:c r="H61" s="46" t="str">
        <x:v>Other fishes &amp; inverts</x:v>
      </x:c>
      <x:c r="I61" s="60" t="n">
        <x:v>0.0299558437</x:v>
      </x:c>
      <x:c r="J61" s="60" t="n">
        <x:v>0.0299558437</x:v>
      </x:c>
      <x:c r="K61" s="60" t="n">
        <x:v>0</x:v>
      </x:c>
      <x:c r="L61" s="60" t="n">
        <x:v>0</x:v>
      </x:c>
      <x:c r="M61" s="60" t="n">
        <x:v>0.0299558437</x:v>
      </x:c>
      <x:c r="N61" s="46" t="str">
        <x:v>petromyzontidae</x:v>
      </x:c>
      <x:c r="O61" s="62" t="n">
        <x:v>4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Petromyzontidae</x:v>
      </x:c>
      <x:c r="T61" s="62" t="n">
        <x:f>IF(O61="","",(1/'Metadata'!$B$5)^(O61-1))</x:f>
        <x:v>8000</x:v>
      </x:c>
      <x:c r="U61" s="60" t="n">
        <x:f>IF(T61="","",I61*T61)</x:f>
        <x:v>239.6467496</x:v>
      </x:c>
    </x:row>
    <x:row r="62" ht="18" customHeight="1">
      <x:c r="A62" s="46" t="str">
        <x:v>LME_065</x:v>
      </x:c>
      <x:c r="B62" s="46" t="str">
        <x:v>Aleutian Islands</x:v>
      </x:c>
      <x:c r="C62" s="46" t="str">
        <x:v>LME</x:v>
      </x:c>
      <x:c r="D62" s="58" t="n">
        <x:v>2019</x:v>
      </x:c>
      <x:c r="E62" s="46" t="str">
        <x:v>Hexagrammidae</x:v>
      </x:c>
      <x:c r="F62" s="46" t="str">
        <x:v>Greenlings</x:v>
      </x:c>
      <x:c r="G62" s="46" t="str">
        <x:v>Medium demersals (30 - 89 cm)</x:v>
      </x:c>
      <x:c r="H62" s="46" t="str">
        <x:v>Scorpionfishes</x:v>
      </x:c>
      <x:c r="I62" s="60" t="n">
        <x:v>0.0271784708</x:v>
      </x:c>
      <x:c r="J62" s="60" t="n">
        <x:v>0.0271784708</x:v>
      </x:c>
      <x:c r="K62" s="60" t="n">
        <x:v>0</x:v>
      </x:c>
      <x:c r="L62" s="60" t="n">
        <x:v>0</x:v>
      </x:c>
      <x:c r="M62" s="60" t="n">
        <x:v>0.0271784708</x:v>
      </x:c>
      <x:c r="N62" s="46" t="str">
        <x:v>hexagrammidae</x:v>
      </x:c>
      <x:c r="O62" s="62" t="n">
        <x:v>3.72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Hexagrammidae</x:v>
      </x:c>
      <x:c r="T62" s="62" t="n">
        <x:f>IF(O62="","",(1/'Metadata'!$B$5)^(O62-1))</x:f>
        <x:v>3457.8136804537753</x:v>
      </x:c>
      <x:c r="U62" s="60" t="n">
        <x:f>IF(T62="","",I62*T62)</x:f>
        <x:v>93.97808814605347</x:v>
      </x:c>
    </x:row>
    <x:row r="63" ht="18" customHeight="1">
      <x:c r="A63" s="46" t="str">
        <x:v>LME_065</x:v>
      </x:c>
      <x:c r="B63" s="46" t="str">
        <x:v>Aleutian Islands</x:v>
      </x:c>
      <x:c r="C63" s="46" t="str">
        <x:v>LME</x:v>
      </x:c>
      <x:c r="D63" s="58" t="n">
        <x:v>2019</x:v>
      </x:c>
      <x:c r="E63" s="46" t="str">
        <x:v>Mallotus villosus</x:v>
      </x:c>
      <x:c r="F63" s="46" t="str">
        <x:v>Capelin</x:v>
      </x:c>
      <x:c r="G63" s="46" t="str">
        <x:v>Small pelagics (&lt;30 cm)</x:v>
      </x:c>
      <x:c r="H63" s="46" t="str">
        <x:v>Salmon, smelts, etc</x:v>
      </x:c>
      <x:c r="I63" s="60" t="n">
        <x:v>0.0266345183</x:v>
      </x:c>
      <x:c r="J63" s="60" t="n">
        <x:v>0.0266345183</x:v>
      </x:c>
      <x:c r="K63" s="60" t="n">
        <x:v>0</x:v>
      </x:c>
      <x:c r="L63" s="60" t="n">
        <x:v>0</x:v>
      </x:c>
      <x:c r="M63" s="60" t="n">
        <x:v>0.0266345183</x:v>
      </x:c>
      <x:c r="N63" s="46" t="str">
        <x:v>mallotus villosus</x:v>
      </x:c>
      <x:c r="O63" s="62" t="n">
        <x:v>3.15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Mallotus villosus</x:v>
      </x:c>
      <x:c r="T63" s="62" t="n">
        <x:f>IF(O63="","",(1/'Metadata'!$B$5)^(O63-1))</x:f>
        <x:v>626.9234150652317</x:v>
      </x:c>
      <x:c r="U63" s="60" t="n">
        <x:f>IF(T63="","",I63*T63)</x:f>
        <x:v>16.69780317125341</x:v>
      </x:c>
    </x:row>
    <x:row r="64" ht="18" customHeight="1">
      <x:c r="A64" s="46" t="str">
        <x:v>LME_065</x:v>
      </x:c>
      <x:c r="B64" s="46" t="str">
        <x:v>Aleutian Islands</x:v>
      </x:c>
      <x:c r="C64" s="46" t="str">
        <x:v>LME</x:v>
      </x:c>
      <x:c r="D64" s="58" t="n">
        <x:v>2019</x:v>
      </x:c>
      <x:c r="E64" s="46" t="str">
        <x:v>Squalus suckleyi</x:v>
      </x:c>
      <x:c r="F64" s="46" t="str">
        <x:v>Pacific spiny dogfish</x:v>
      </x:c>
      <x:c r="G64" s="46" t="str">
        <x:v>Large sharks (&gt;=90 cm)</x:v>
      </x:c>
      <x:c r="H64" s="46" t="str">
        <x:v>Sharks &amp; rays</x:v>
      </x:c>
      <x:c r="I64" s="60" t="n">
        <x:v>0.017999993</x:v>
      </x:c>
      <x:c r="J64" s="60" t="n">
        <x:v>0.017999993</x:v>
      </x:c>
      <x:c r="K64" s="60" t="n">
        <x:v>0</x:v>
      </x:c>
      <x:c r="L64" s="60" t="n">
        <x:v>0</x:v>
      </x:c>
      <x:c r="M64" s="60" t="n">
        <x:v>0.017999993</x:v>
      </x:c>
      <x:c r="N64" s="46" t="str">
        <x:v>squalus suckleyi</x:v>
      </x:c>
      <x:c r="O64" s="62" t="n">
        <x:v>3.82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Squalus suckleyi</x:v>
      </x:c>
      <x:c r="T64" s="62" t="n">
        <x:f>IF(O64="","",(1/'Metadata'!$B$5)^(O64-1))</x:f>
        <x:v>4665.56868948727</x:v>
      </x:c>
      <x:c r="U64" s="60" t="n">
        <x:f>IF(T64="","",I64*T64)</x:f>
        <x:v>83.98020375179003</x:v>
      </x:c>
    </x:row>
    <x:row r="65" ht="18" customHeight="1">
      <x:c r="A65" s="46" t="str">
        <x:v>LME_065</x:v>
      </x:c>
      <x:c r="B65" s="46" t="str">
        <x:v>Aleutian Islands</x:v>
      </x:c>
      <x:c r="C65" s="46" t="str">
        <x:v>LME</x:v>
      </x:c>
      <x:c r="D65" s="58" t="n">
        <x:v>2019</x:v>
      </x:c>
      <x:c r="E65" s="46" t="str">
        <x:v>Crassostrea</x:v>
      </x:c>
      <x:c r="F65" s="46" t="str">
        <x:v>Cupped oysters</x:v>
      </x:c>
      <x:c r="G65" s="46" t="str">
        <x:v>Other demersal invertebrates</x:v>
      </x:c>
      <x:c r="H65" s="46" t="str">
        <x:v>Molluscs</x:v>
      </x:c>
      <x:c r="I65" s="60" t="n">
        <x:v>0.0106594267</x:v>
      </x:c>
      <x:c r="J65" s="60" t="n">
        <x:v>0.0106594267</x:v>
      </x:c>
      <x:c r="K65" s="60" t="n">
        <x:v>0</x:v>
      </x:c>
      <x:c r="L65" s="60" t="n">
        <x:v>0</x:v>
      </x:c>
      <x:c r="M65" s="60" t="n">
        <x:v>0.0106594267</x:v>
      </x:c>
      <x:c r="N65" s="46" t="str">
        <x:v>crassostrea</x:v>
      </x:c>
      <x:c r="O65" s="62" t="n">
        <x:v>2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Crassostrea</x:v>
      </x:c>
      <x:c r="T65" s="62" t="n">
        <x:f>IF(O65="","",(1/'Metadata'!$B$5)^(O65-1))</x:f>
        <x:v>20</x:v>
      </x:c>
      <x:c r="U65" s="60" t="n">
        <x:f>IF(T65="","",I65*T65)</x:f>
        <x:v>0.213188534</x:v>
      </x:c>
    </x:row>
    <x:row r="66" ht="18" customHeight="1">
      <x:c r="A66" s="46" t="str">
        <x:v>LME_065</x:v>
      </x:c>
      <x:c r="B66" s="46" t="str">
        <x:v>Aleutian Islands</x:v>
      </x:c>
      <x:c r="C66" s="46" t="str">
        <x:v>LME</x:v>
      </x:c>
      <x:c r="D66" s="58" t="n">
        <x:v>2019</x:v>
      </x:c>
      <x:c r="E66" s="46" t="str">
        <x:v>Erimacrus isenbeckii</x:v>
      </x:c>
      <x:c r="F66" s="46" t="str">
        <x:v>Hair Crab</x:v>
      </x:c>
      <x:c r="G66" s="46" t="str">
        <x:v>Lobsters, crabs</x:v>
      </x:c>
      <x:c r="H66" s="46" t="str">
        <x:v>Crustaceans</x:v>
      </x:c>
      <x:c r="I66" s="60" t="n">
        <x:v>0.0071029711</x:v>
      </x:c>
      <x:c r="J66" s="60" t="n">
        <x:v>0.0071029711</x:v>
      </x:c>
      <x:c r="K66" s="60" t="n">
        <x:v>0</x:v>
      </x:c>
      <x:c r="L66" s="60" t="n">
        <x:v>0</x:v>
      </x:c>
      <x:c r="M66" s="60" t="n">
        <x:v>0.0071029711</x:v>
      </x:c>
      <x:c r="N66" s="46" t="str">
        <x:v>erimacrus isenbeckii</x:v>
      </x:c>
      <x:c r="O66" s="62" t="n">
        <x:v>2.6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Erimacrus isenbeckii</x:v>
      </x:c>
      <x:c r="T66" s="62" t="n">
        <x:f>IF(O66="","",(1/'Metadata'!$B$5)^(O66-1))</x:f>
        <x:v>120.6835267309033</x:v>
      </x:c>
      <x:c r="U66" s="60" t="n">
        <x:f>IF(T66="","",I66*T66)</x:f>
        <x:v>0.8572116026156836</x:v>
      </x:c>
    </x:row>
    <x:row r="67" ht="18" customHeight="1">
      <x:c r="A67" s="46" t="str">
        <x:v>LME_065</x:v>
      </x:c>
      <x:c r="B67" s="46" t="str">
        <x:v>Aleutian Islands</x:v>
      </x:c>
      <x:c r="C67" s="46" t="str">
        <x:v>LME</x:v>
      </x:c>
      <x:c r="D67" s="58" t="n">
        <x:v>2019</x:v>
      </x:c>
      <x:c r="E67" s="46" t="str">
        <x:v>Coregonus</x:v>
      </x:c>
      <x:c r="F67" s="46" t="str">
        <x:v>Whitefishes</x:v>
      </x:c>
      <x:c r="G67" s="46" t="str">
        <x:v>Medium pelagics (30 - 89 cm)</x:v>
      </x:c>
      <x:c r="H67" s="46" t="str">
        <x:v>Salmon, smelts, etc</x:v>
      </x:c>
      <x:c r="I67" s="60" t="n">
        <x:v>0.0054620712</x:v>
      </x:c>
      <x:c r="J67" s="60" t="n">
        <x:v>0.0054620712</x:v>
      </x:c>
      <x:c r="K67" s="60" t="n">
        <x:v>0</x:v>
      </x:c>
      <x:c r="L67" s="60" t="n">
        <x:v>0</x:v>
      </x:c>
      <x:c r="M67" s="60" t="n">
        <x:v>0.0054620712</x:v>
      </x:c>
      <x:c r="N67" s="46" t="str">
        <x:v>coregonus</x:v>
      </x:c>
      <x:c r="O67" s="62" t="n">
        <x:v>3.3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Coregonus</x:v>
      </x:c>
      <x:c r="T67" s="62" t="n">
        <x:f>IF(O67="","",(1/'Metadata'!$B$5)^(O67-1))</x:f>
        <x:v>982.5824208926318</x:v>
      </x:c>
      <x:c r="U67" s="60" t="n">
        <x:f>IF(T67="","",I67*T67)</x:f>
        <x:v>5.366935142783922</x:v>
      </x:c>
    </x:row>
    <x:row r="68" ht="18" customHeight="1">
      <x:c r="A68" s="46" t="str">
        <x:v>LME_065</x:v>
      </x:c>
      <x:c r="B68" s="46" t="str">
        <x:v>Aleutian Islands</x:v>
      </x:c>
      <x:c r="C68" s="46" t="str">
        <x:v>LME</x:v>
      </x:c>
      <x:c r="D68" s="58" t="n">
        <x:v>2019</x:v>
      </x:c>
      <x:c r="E68" s="46" t="str">
        <x:v>Miscellaneous aquatic invertebrates</x:v>
      </x:c>
      <x:c r="F68" s="46" t="str">
        <x:v>Aquatic invertebrates</x:v>
      </x:c>
      <x:c r="G68" s="46" t="str">
        <x:v>Other demersal invertebrates</x:v>
      </x:c>
      <x:c r="H68" s="46" t="str">
        <x:v>Other fishes &amp; inverts</x:v>
      </x:c>
      <x:c r="I68" s="60" t="n">
        <x:v>0.0013797385</x:v>
      </x:c>
      <x:c r="J68" s="60" t="n">
        <x:v>0.0013797385</x:v>
      </x:c>
      <x:c r="K68" s="60" t="n">
        <x:v>0</x:v>
      </x:c>
      <x:c r="L68" s="60" t="n">
        <x:v>0</x:v>
      </x:c>
      <x:c r="M68" s="60" t="n">
        <x:v>0.0013797385</x:v>
      </x:c>
      <x:c r="N68" s="46" t="str">
        <x:v>miscellaneous aquatic invertebrates</x:v>
      </x:c>
      <x:c r="O68" s="62" t="n">
        <x:v>2.43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Miscellaneous aquatic invertebrates</x:v>
      </x:c>
      <x:c r="T68" s="62" t="n">
        <x:f>IF(O68="","",(1/'Metadata'!$B$5)^(O68-1))</x:f>
        <x:v>72.52252122305909</x:v>
      </x:c>
      <x:c r="U68" s="60" t="n">
        <x:f>IF(T68="","",I68*T68)</x:f>
        <x:v>0.10006211464852172</x:v>
      </x:c>
    </x:row>
    <x:row r="69" ht="18" customHeight="1">
      <x:c r="A69" s="46" t="str">
        <x:v>LME_065</x:v>
      </x:c>
      <x:c r="B69" s="46" t="str">
        <x:v>Aleutian Islands</x:v>
      </x:c>
      <x:c r="C69" s="46" t="str">
        <x:v>LME</x:v>
      </x:c>
      <x:c r="D69" s="58" t="n">
        <x:v>2019</x:v>
      </x:c>
      <x:c r="E69" s="46" t="str">
        <x:v>Scombridae</x:v>
      </x:c>
      <x:c r="F69" s="46" t="str">
        <x:v>Mackerels, tunas, bonitos</x:v>
      </x:c>
      <x:c r="G69" s="46" t="str">
        <x:v>Medium pelagics (30 - 89 cm)</x:v>
      </x:c>
      <x:c r="H69" s="46" t="str">
        <x:v>Perch-likes</x:v>
      </x:c>
      <x:c r="I69" s="60" t="n">
        <x:v>0.0000247632</x:v>
      </x:c>
      <x:c r="J69" s="60" t="n">
        <x:v>0.0000247632</x:v>
      </x:c>
      <x:c r="K69" s="60" t="n">
        <x:v>0</x:v>
      </x:c>
      <x:c r="L69" s="60" t="n">
        <x:v>0</x:v>
      </x:c>
      <x:c r="M69" s="60" t="n">
        <x:v>0.0000247632</x:v>
      </x:c>
      <x:c r="N69" s="46" t="str">
        <x:v>scombridae</x:v>
      </x:c>
      <x:c r="O69" s="62" t="n">
        <x:v>4.26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Scombridae</x:v>
      </x:c>
      <x:c r="T69" s="62" t="n">
        <x:f>IF(O69="","",(1/'Metadata'!$B$5)^(O69-1))</x:f>
        <x:v>17432.42421569787</x:v>
      </x:c>
      <x:c r="U69" s="60" t="n">
        <x:f>IF(T69="","",I69*T69)</x:f>
        <x:v>0.4316826073381695</x:v>
      </x:c>
    </x:row>
  </x:sheetData>
  <x:conditionalFormatting sqref="R2:R6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6a6c747d34d4f6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3</x:v>
      </x:c>
      <x:c r="C2" s="64" t="n">
        <x:v>3</x:v>
      </x:c>
      <x:c r="D2" s="60" t="n">
        <x:v>100689.8457528625</x:v>
      </x:c>
      <x:c r="E2" s="60" t="n">
        <x:v>100689.8457528625</x:v>
      </x:c>
      <x:c r="F2" s="62" t="n">
        <x:v>0</x:v>
      </x:c>
      <x:c r="G2" s="66" t="n">
        <x:v>1</x:v>
      </x:c>
      <x:c r="H2" s="62" t="n">
        <x:f>IF(E2=0,"",I2/E2)</x:f>
        <x:v>3764.7965095214686</x:v>
      </x:c>
      <x:c r="I2" s="60" t="n">
        <x:f>SUMIF('Species'!$H$2:$H$69,A2,'Species'!$U$2:$U$69)</x:f>
        <x:v>379076779.8346318</x:v>
      </x:c>
      <x:c r="J2" s="62" t="n">
        <x:v>3.6558319845007223</x:v>
      </x:c>
      <x:c r="K2" s="62" t="n">
        <x:f>IF(J2="","",(1/'Metadata'!$B$5)^(J2-1))</x:f>
        <x:v>2853.100535477927</x:v>
      </x:c>
      <x:c r="L2" s="60" t="n">
        <x:f>IF(E2=0,"",E2*K2)</x:f>
        <x:v>287278252.83468187</x:v>
      </x:c>
      <x:c r="M2" s="60" t="n">
        <x:f>I2-L2</x:f>
        <x:v>91798526.99994993</x:v>
      </x:c>
      <x:c r="N2" s="62" t="n">
        <x:f>IF(L2=0,"",I2/L2)</x:f>
        <x:v>1.319545688175626</x:v>
      </x:c>
      <x:c r="O2" s="66" t="n">
        <x:f>IF(L2=0,"",M2/L2)</x:f>
        <x:v>0.3195456881756261</x:v>
      </x:c>
    </x:row>
    <x:row r="3" ht="18" customHeight="1">
      <x:c r="A3" s="46" t="str">
        <x:v>Crustaceans</x:v>
      </x:c>
      <x:c r="B3" s="64" t="n">
        <x:v>9</x:v>
      </x:c>
      <x:c r="C3" s="64" t="n">
        <x:v>9</x:v>
      </x:c>
      <x:c r="D3" s="60" t="n">
        <x:v>285.28013557659995</x:v>
      </x:c>
      <x:c r="E3" s="60" t="n">
        <x:v>285.28013557659995</x:v>
      </x:c>
      <x:c r="F3" s="62" t="n">
        <x:v>0</x:v>
      </x:c>
      <x:c r="G3" s="66" t="n">
        <x:v>1</x:v>
      </x:c>
      <x:c r="H3" s="62" t="n">
        <x:f>IF(E3=0,"",I3/E3)</x:f>
        <x:v>1007.3798667543577</x:v>
      </x:c>
      <x:c r="I3" s="60" t="n">
        <x:f>SUMIF('Species'!$H$2:$H$69,A3,'Species'!$U$2:$U$69)</x:f>
        <x:v>287385.46496482036</x:v>
      </x:c>
      <x:c r="J3" s="62" t="n">
        <x:v>3.1498775103647882</x:v>
      </x:c>
      <x:c r="K3" s="62" t="n">
        <x:f>IF(J3="","",(1/'Metadata'!$B$5)^(J3-1))</x:f>
        <x:v>626.6934101319035</x:v>
      </x:c>
      <x:c r="L3" s="60" t="n">
        <x:f>IF(E3=0,"",E3*K3)</x:f>
        <x:v>178783.1810073912</x:v>
      </x:c>
      <x:c r="M3" s="60" t="n">
        <x:f>I3-L3</x:f>
        <x:v>108602.28395742917</x:v>
      </x:c>
      <x:c r="N3" s="62" t="n">
        <x:f>IF(L3=0,"",I3/L3)</x:f>
        <x:v>1.6074524647424153</x:v>
      </x:c>
      <x:c r="O3" s="66" t="n">
        <x:f>IF(L3=0,"",M3/L3)</x:f>
        <x:v>0.6074524647424154</x:v>
      </x:c>
    </x:row>
    <x:row r="4" ht="18" customHeight="1">
      <x:c r="A4" s="46" t="str">
        <x:v>Flatfishes</x:v>
      </x:c>
      <x:c r="B4" s="64" t="n">
        <x:v>13</x:v>
      </x:c>
      <x:c r="C4" s="64" t="n">
        <x:v>13</x:v>
      </x:c>
      <x:c r="D4" s="60" t="n">
        <x:v>17715.895105419095</x:v>
      </x:c>
      <x:c r="E4" s="60" t="n">
        <x:v>17715.895105419095</x:v>
      </x:c>
      <x:c r="F4" s="62" t="n">
        <x:v>0</x:v>
      </x:c>
      <x:c r="G4" s="66" t="n">
        <x:v>1</x:v>
      </x:c>
      <x:c r="H4" s="62" t="n">
        <x:f>IF(E4=0,"",I4/E4)</x:f>
        <x:v>3244.2802629724106</x:v>
      </x:c>
      <x:c r="I4" s="60" t="n">
        <x:f>SUMIF('Species'!$H$2:$H$69,A4,'Species'!$U$2:$U$69)</x:f>
        <x:v>57475328.8314007</x:v>
      </x:c>
      <x:c r="J4" s="62" t="n">
        <x:v>3.580980472489051</x:v>
      </x:c>
      <x:c r="K4" s="62" t="n">
        <x:f>IF(J4="","",(1/'Metadata'!$B$5)^(J4-1))</x:f>
        <x:v>2279.9903713514004</x:v>
      </x:c>
      <x:c r="L4" s="60" t="n">
        <x:f>IF(E4=0,"",E4*K4)</x:f>
        <x:v>40392070.26022694</x:v>
      </x:c>
      <x:c r="M4" s="60" t="n">
        <x:f>I4-L4</x:f>
        <x:v>17083258.571173757</x:v>
      </x:c>
      <x:c r="N4" s="62" t="n">
        <x:f>IF(L4=0,"",I4/L4)</x:f>
        <x:v>1.4229359490888789</x:v>
      </x:c>
      <x:c r="O4" s="66" t="n">
        <x:f>IF(L4=0,"",M4/L4)</x:f>
        <x:v>0.42293594908887877</x:v>
      </x:c>
    </x:row>
    <x:row r="5" ht="18" customHeight="1">
      <x:c r="A5" s="46" t="str">
        <x:v>Herring-likes</x:v>
      </x:c>
      <x:c r="B5" s="64" t="n">
        <x:v>1</x:v>
      </x:c>
      <x:c r="C5" s="64" t="n">
        <x:v>1</x:v>
      </x:c>
      <x:c r="D5" s="60" t="n">
        <x:v>239.8291587181</x:v>
      </x:c>
      <x:c r="E5" s="60" t="n">
        <x:v>239.8291587181</x:v>
      </x:c>
      <x:c r="F5" s="62" t="n">
        <x:v>0</x:v>
      </x:c>
      <x:c r="G5" s="66" t="n">
        <x:v>1</x:v>
      </x:c>
      <x:c r="H5" s="62" t="n">
        <x:f>IF(E5=0,"",I5/E5)</x:f>
        <x:v>645.9885058849935</x:v>
      </x:c>
      <x:c r="I5" s="60" t="n">
        <x:f>SUMIF('Species'!$H$2:$H$69,A5,'Species'!$U$2:$U$69)</x:f>
        <x:v>154926.8799079604</x:v>
      </x:c>
      <x:c r="J5" s="62" t="n">
        <x:v>3.16</x:v>
      </x:c>
      <x:c r="K5" s="62" t="n">
        <x:f>IF(J5="","",(1/'Metadata'!$B$5)^(J5-1))</x:f>
        <x:v>645.9885058849935</x:v>
      </x:c>
      <x:c r="L5" s="60" t="n">
        <x:f>IF(E5=0,"",E5*K5)</x:f>
        <x:v>154926.8799079604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Molluscs</x:v>
      </x:c>
      <x:c r="B6" s="64" t="n">
        <x:v>7</x:v>
      </x:c>
      <x:c r="C6" s="64" t="n">
        <x:v>7</x:v>
      </x:c>
      <x:c r="D6" s="60" t="n">
        <x:v>66.69448667099999</x:v>
      </x:c>
      <x:c r="E6" s="60" t="n">
        <x:v>66.69448667099999</x:v>
      </x:c>
      <x:c r="F6" s="62" t="n">
        <x:v>0</x:v>
      </x:c>
      <x:c r="G6" s="66" t="n">
        <x:v>1</x:v>
      </x:c>
      <x:c r="H6" s="62" t="n">
        <x:f>IF(E6=0,"",I6/E6)</x:f>
        <x:v>27.058121221836846</x:v>
      </x:c>
      <x:c r="I6" s="60" t="n">
        <x:f>SUMIF('Species'!$H$2:$H$69,A6,'Species'!$U$2:$U$69)</x:f>
        <x:v>1804.6275051720995</x:v>
      </x:c>
      <x:c r="J6" s="62" t="n">
        <x:v>2.098142441151288</x:v>
      </x:c>
      <x:c r="K6" s="62" t="n">
        <x:f>IF(J6="","",(1/'Metadata'!$B$5)^(J6-1))</x:f>
        <x:v>26.835905596904865</x:v>
      </x:c>
      <x:c r="L6" s="60" t="n">
        <x:f>IF(E6=0,"",E6*K6)</x:f>
        <x:v>1789.8069481369857</x:v>
      </x:c>
      <x:c r="M6" s="60" t="n">
        <x:f>I6-L6</x:f>
        <x:v>14.82055703511378</x:v>
      </x:c>
      <x:c r="N6" s="62" t="n">
        <x:f>IF(L6=0,"",I6/L6)</x:f>
        <x:v>1.0082805338589955</x:v>
      </x:c>
      <x:c r="O6" s="66" t="n">
        <x:f>IF(L6=0,"",M6/L6)</x:f>
        <x:v>0.008280533858995538</x:v>
      </x:c>
    </x:row>
    <x:row r="7" ht="18" customHeight="1">
      <x:c r="A7" s="46" t="str">
        <x:v>Other fishes &amp; inverts</x:v>
      </x:c>
      <x:c r="B7" s="64" t="n">
        <x:v>7</x:v>
      </x:c>
      <x:c r="C7" s="64" t="n">
        <x:v>7</x:v>
      </x:c>
      <x:c r="D7" s="60" t="n">
        <x:v>6686.6063139682</x:v>
      </x:c>
      <x:c r="E7" s="60" t="n">
        <x:v>6686.6063139682</x:v>
      </x:c>
      <x:c r="F7" s="62" t="n">
        <x:v>0</x:v>
      </x:c>
      <x:c r="G7" s="66" t="n">
        <x:v>1</x:v>
      </x:c>
      <x:c r="H7" s="62" t="n">
        <x:f>IF(E7=0,"",I7/E7)</x:f>
        <x:v>1160.9026379745605</x:v>
      </x:c>
      <x:c r="I7" s="60" t="n">
        <x:f>SUMIF('Species'!$H$2:$H$69,A7,'Species'!$U$2:$U$69)</x:f>
        <x:v>7762498.908983037</x:v>
      </x:c>
      <x:c r="J7" s="62" t="n">
        <x:v>3.301121733500416</x:v>
      </x:c>
      <x:c r="K7" s="62" t="n">
        <x:f>IF(J7="","",(1/'Metadata'!$B$5)^(J7-1))</x:f>
        <x:v>985.8898579437914</x:v>
      </x:c>
      <x:c r="L7" s="60" t="n">
        <x:f>IF(E7=0,"",E7*K7)</x:f>
        <x:v>6592257.349004167</x:v>
      </x:c>
      <x:c r="M7" s="60" t="n">
        <x:f>I7-L7</x:f>
        <x:v>1170241.5599788697</x:v>
      </x:c>
      <x:c r="N7" s="62" t="n">
        <x:f>IF(L7=0,"",I7/L7)</x:f>
        <x:v>1.1775175782777423</x:v>
      </x:c>
      <x:c r="O7" s="66" t="n">
        <x:f>IF(L7=0,"",M7/L7)</x:f>
        <x:v>0.1775175782777424</x:v>
      </x:c>
    </x:row>
    <x:row r="8" ht="18" customHeight="1">
      <x:c r="A8" s="46" t="str">
        <x:v>Perch-likes</x:v>
      </x:c>
      <x:c r="B8" s="64" t="n">
        <x:v>1</x:v>
      </x:c>
      <x:c r="C8" s="64" t="n">
        <x:v>1</x:v>
      </x:c>
      <x:c r="D8" s="60" t="n">
        <x:v>0.0000247632</x:v>
      </x:c>
      <x:c r="E8" s="60" t="n">
        <x:v>0.0000247632</x:v>
      </x:c>
      <x:c r="F8" s="62" t="n">
        <x:v>0</x:v>
      </x:c>
      <x:c r="G8" s="66" t="n">
        <x:v>1</x:v>
      </x:c>
      <x:c r="H8" s="62" t="n">
        <x:f>IF(E8=0,"",I8/E8)</x:f>
        <x:v>17432.42421569787</x:v>
      </x:c>
      <x:c r="I8" s="60" t="n">
        <x:f>SUMIF('Species'!$H$2:$H$69,A8,'Species'!$U$2:$U$69)</x:f>
        <x:v>0.4316826073381695</x:v>
      </x:c>
      <x:c r="J8" s="62" t="n">
        <x:v>4.26</x:v>
      </x:c>
      <x:c r="K8" s="62" t="n">
        <x:f>IF(J8="","",(1/'Metadata'!$B$5)^(J8-1))</x:f>
        <x:v>17432.42421569787</x:v>
      </x:c>
      <x:c r="L8" s="60" t="n">
        <x:f>IF(E8=0,"",E8*K8)</x:f>
        <x:v>0.4316826073381695</x:v>
      </x:c>
      <x:c r="M8" s="60" t="n">
        <x:f>I8-L8</x:f>
        <x:v>0</x:v>
      </x:c>
      <x:c r="N8" s="62" t="n">
        <x:f>IF(L8=0,"",I8/L8)</x:f>
        <x:v>1</x:v>
      </x:c>
      <x:c r="O8" s="66" t="n">
        <x:f>IF(L8=0,"",M8/L8)</x:f>
        <x:v>0</x:v>
      </x:c>
    </x:row>
    <x:row r="9" ht="18" customHeight="1">
      <x:c r="A9" s="46" t="str">
        <x:v>Salmon, smelts, etc</x:v>
      </x:c>
      <x:c r="B9" s="64" t="n">
        <x:v>12</x:v>
      </x:c>
      <x:c r="C9" s="64" t="n">
        <x:v>12</x:v>
      </x:c>
      <x:c r="D9" s="60" t="n">
        <x:v>9125.9345836157</x:v>
      </x:c>
      <x:c r="E9" s="60" t="n">
        <x:v>9125.9345836157</x:v>
      </x:c>
      <x:c r="F9" s="62" t="n">
        <x:v>0</x:v>
      </x:c>
      <x:c r="G9" s="66" t="n">
        <x:v>1</x:v>
      </x:c>
      <x:c r="H9" s="62" t="n">
        <x:f>IF(E9=0,"",I9/E9)</x:f>
        <x:v>18682.15845326753</x:v>
      </x:c>
      <x:c r="I9" s="60" t="n">
        <x:f>SUMIF('Species'!$H$2:$H$69,A9,'Species'!$U$2:$U$69)</x:f>
        <x:v>170492155.92526257</x:v>
      </x:c>
      <x:c r="J9" s="62" t="n">
        <x:v>4.0663965726882</x:v>
      </x:c>
      <x:c r="K9" s="62" t="n">
        <x:f>IF(J9="","",(1/'Metadata'!$B$5)^(J9-1))</x:f>
        <x:v>9760.541664874258</x:v>
      </x:c>
      <x:c r="L9" s="60" t="n">
        <x:f>IF(E9=0,"",E9*K9)</x:f>
        <x:v>89074064.73429796</x:v>
      </x:c>
      <x:c r="M9" s="60" t="n">
        <x:f>I9-L9</x:f>
        <x:v>81418091.19096461</x:v>
      </x:c>
      <x:c r="N9" s="62" t="n">
        <x:f>IF(L9=0,"",I9/L9)</x:f>
        <x:v>1.9140493524555031</x:v>
      </x:c>
      <x:c r="O9" s="66" t="n">
        <x:f>IF(L9=0,"",M9/L9)</x:f>
        <x:v>0.914049352455503</x:v>
      </x:c>
    </x:row>
    <x:row r="10" ht="18" customHeight="1">
      <x:c r="A10" s="46" t="str">
        <x:v>Scorpionfishes</x:v>
      </x:c>
      <x:c r="B10" s="64" t="n">
        <x:v>10</x:v>
      </x:c>
      <x:c r="C10" s="64" t="n">
        <x:v>10</x:v>
      </x:c>
      <x:c r="D10" s="60" t="n">
        <x:v>16014.8201058068</x:v>
      </x:c>
      <x:c r="E10" s="60" t="n">
        <x:v>16014.8201058068</x:v>
      </x:c>
      <x:c r="F10" s="62" t="n">
        <x:v>0</x:v>
      </x:c>
      <x:c r="G10" s="66" t="n">
        <x:v>1</x:v>
      </x:c>
      <x:c r="H10" s="62" t="n">
        <x:f>IF(E10=0,"",I10/E10)</x:f>
        <x:v>2363.1818587171</x:v>
      </x:c>
      <x:c r="I10" s="60" t="n">
        <x:f>SUMIF('Species'!$H$2:$H$69,A10,'Species'!$U$2:$U$69)</x:f>
        <x:v>37845932.3446605</x:v>
      </x:c>
      <x:c r="J10" s="62" t="n">
        <x:v>3.5389562827029932</x:v>
      </x:c>
      <x:c r="K10" s="62" t="n">
        <x:f>IF(J10="","",(1/'Metadata'!$B$5)^(J10-1))</x:f>
        <x:v>2010.2880057593313</x:v>
      </x:c>
      <x:c r="L10" s="60" t="n">
        <x:f>IF(E10=0,"",E10*K10)</x:f>
        <x:v>32194400.773096796</x:v>
      </x:c>
      <x:c r="M10" s="60" t="n">
        <x:f>I10-L10</x:f>
        <x:v>5651531.571563702</x:v>
      </x:c>
      <x:c r="N10" s="62" t="n">
        <x:f>IF(L10=0,"",I10/L10)</x:f>
        <x:v>1.175543928007705</x:v>
      </x:c>
      <x:c r="O10" s="66" t="n">
        <x:f>IF(L10=0,"",M10/L10)</x:f>
        <x:v>0.17554392800770488</x:v>
      </x:c>
    </x:row>
    <x:row r="11" ht="18" customHeight="1">
      <x:c r="A11" s="46" t="str">
        <x:v>Sharks &amp; rays</x:v>
      </x:c>
      <x:c r="B11" s="64" t="n">
        <x:v>5</x:v>
      </x:c>
      <x:c r="C11" s="64" t="n">
        <x:v>5</x:v>
      </x:c>
      <x:c r="D11" s="60" t="n">
        <x:v>682.7661235784</x:v>
      </x:c>
      <x:c r="E11" s="60" t="n">
        <x:v>682.7661235784</x:v>
      </x:c>
      <x:c r="F11" s="62" t="n">
        <x:v>0</x:v>
      </x:c>
      <x:c r="G11" s="66" t="n">
        <x:v>1</x:v>
      </x:c>
      <x:c r="H11" s="62" t="n">
        <x:f>IF(E11=0,"",I11/E11)</x:f>
        <x:v>4820.995200292245</x:v>
      </x:c>
      <x:c r="I11" s="60" t="n">
        <x:f>SUMIF('Species'!$H$2:$H$69,A11,'Species'!$U$2:$U$69)</x:f>
        <x:v>3291612.204693608</x:v>
      </x:c>
      <x:c r="J11" s="62" t="n">
        <x:v>3.826126814277985</x:v>
      </x:c>
      <x:c r="K11" s="62" t="n">
        <x:f>IF(J11="","",(1/'Metadata'!$B$5)^(J11-1))</x:f>
        <x:v>4751.992613717455</x:v>
      </x:c>
      <x:c r="L11" s="60" t="n">
        <x:f>IF(E11=0,"",E11*K11)</x:f>
        <x:v>3244499.576141056</x:v>
      </x:c>
      <x:c r="M11" s="60" t="n">
        <x:f>I11-L11</x:f>
        <x:v>47112.62855255185</x:v>
      </x:c>
      <x:c r="N11" s="62" t="n">
        <x:f>IF(L11=0,"",I11/L11)</x:f>
        <x:v>1.0145207689034703</x:v>
      </x:c>
      <x:c r="O11" s="66" t="n">
        <x:f>IF(L11=0,"",M11/L11)</x:f>
        <x:v>0.014520768903470371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8c9c99cd5f44f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3</x:v>
      </x:c>
      <x:c r="C2" s="64" t="n">
        <x:v>3</x:v>
      </x:c>
      <x:c r="D2" s="60" t="n">
        <x:v>234.0693968463</x:v>
      </x:c>
      <x:c r="E2" s="60" t="n">
        <x:v>234.0693968463</x:v>
      </x:c>
      <x:c r="F2" s="62" t="n">
        <x:v>0</x:v>
      </x:c>
      <x:c r="G2" s="66" t="n">
        <x:v>1</x:v>
      </x:c>
      <x:c r="H2" s="62" t="n">
        <x:f>IF(E2=0,"",I2/E2)</x:f>
        <x:v>7658.048934536802</x:v>
      </x:c>
      <x:c r="I2" s="60" t="n">
        <x:f>SUMIF('Species'!$G$2:$G$69,A2,'Species'!$U$2:$U$69)</x:f>
        <x:v>1792514.8951264797</x:v>
      </x:c>
      <x:c r="J2" s="62" t="n">
        <x:v>3.892630342319087</x:v>
      </x:c>
      <x:c r="K2" s="62" t="n">
        <x:f>IF(J2="","",(1/'Metadata'!$B$5)^(J2-1))</x:f>
        <x:v>5799.610690457646</x:v>
      </x:c>
      <x:c r="L2" s="60" t="n">
        <x:f>IF(E2=0,"",E2*K2)</x:f>
        <x:v>1357511.376258775</x:v>
      </x:c>
      <x:c r="M2" s="60" t="n">
        <x:f>I2-L2</x:f>
        <x:v>435003.5188677048</x:v>
      </x:c>
      <x:c r="N2" s="62" t="n">
        <x:f>IF(L2=0,"",I2/L2)</x:f>
        <x:v>1.3204418957184358</x:v>
      </x:c>
      <x:c r="O2" s="66" t="n">
        <x:f>IF(L2=0,"",M2/L2)</x:f>
        <x:v>0.32044189571843595</x:v>
      </x:c>
    </x:row>
    <x:row r="3" ht="18" customHeight="1">
      <x:c r="A3" s="46" t="str">
        <x:v>Large bathydemersals (&gt;=90 cm)</x:v>
      </x:c>
      <x:c r="B3" s="64" t="n">
        <x:v>1</x:v>
      </x:c>
      <x:c r="C3" s="64" t="n">
        <x:v>1</x:v>
      </x:c>
      <x:c r="D3" s="60" t="n">
        <x:v>864.0181941010001</x:v>
      </x:c>
      <x:c r="E3" s="60" t="n">
        <x:v>864.0181941010001</x:v>
      </x:c>
      <x:c r="F3" s="62" t="n">
        <x:v>0</x:v>
      </x:c>
      <x:c r="G3" s="66" t="n">
        <x:v>1</x:v>
      </x:c>
      <x:c r="H3" s="62" t="n">
        <x:f>IF(E3=0,"",I3/E3)</x:f>
        <x:v>4953.648510535111</x:v>
      </x:c>
      <x:c r="I3" s="60" t="n">
        <x:f>SUMIF('Species'!$G$2:$G$69,A3,'Species'!$U$2:$U$69)</x:f>
        <x:v>4280042.440283655</x:v>
      </x:c>
      <x:c r="J3" s="62" t="n">
        <x:v>3.84</x:v>
      </x:c>
      <x:c r="K3" s="62" t="n">
        <x:f>IF(J3="","",(1/'Metadata'!$B$5)^(J3-1))</x:f>
        <x:v>4953.648510535111</x:v>
      </x:c>
      <x:c r="L3" s="60" t="n">
        <x:f>IF(E3=0,"",E3*K3)</x:f>
        <x:v>4280042.440283655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benthopelagics (&gt;=90 cm)</x:v>
      </x:c>
      <x:c r="B4" s="64" t="n">
        <x:v>6</x:v>
      </x:c>
      <x:c r="C4" s="64" t="n">
        <x:v>6</x:v>
      </x:c>
      <x:c r="D4" s="60" t="n">
        <x:v>1714.7434603232998</x:v>
      </x:c>
      <x:c r="E4" s="60" t="n">
        <x:v>1714.7434603232998</x:v>
      </x:c>
      <x:c r="F4" s="62" t="n">
        <x:v>0</x:v>
      </x:c>
      <x:c r="G4" s="66" t="n">
        <x:v>1</x:v>
      </x:c>
      <x:c r="H4" s="62" t="n">
        <x:f>IF(E4=0,"",I4/E4)</x:f>
        <x:v>4917.694685733509</x:v>
      </x:c>
      <x:c r="I4" s="60" t="n">
        <x:f>SUMIF('Species'!$G$2:$G$69,A4,'Species'!$U$2:$U$69)</x:f>
        <x:v>8432584.802228179</x:v>
      </x:c>
      <x:c r="J4" s="62" t="n">
        <x:v>3.776009451149657</x:v>
      </x:c>
      <x:c r="K4" s="62" t="n">
        <x:f>IF(J4="","",(1/'Metadata'!$B$5)^(J4-1))</x:f>
        <x:v>4089.5127278724835</x:v>
      </x:c>
      <x:c r="L4" s="60" t="n">
        <x:f>IF(E4=0,"",E4*K4)</x:f>
        <x:v>7012465.20602824</x:v>
      </x:c>
      <x:c r="M4" s="60" t="n">
        <x:f>I4-L4</x:f>
        <x:v>1420119.596199939</x:v>
      </x:c>
      <x:c r="N4" s="62" t="n">
        <x:f>IF(L4=0,"",I4/L4)</x:f>
        <x:v>1.2025136032017867</x:v>
      </x:c>
      <x:c r="O4" s="66" t="n">
        <x:f>IF(L4=0,"",M4/L4)</x:f>
        <x:v>0.2025136032017868</x:v>
      </x:c>
    </x:row>
    <x:row r="5" ht="18" customHeight="1">
      <x:c r="A5" s="46" t="str">
        <x:v>Large demersals (&gt;=90 cm)</x:v>
      </x:c>
      <x:c r="B5" s="64" t="n">
        <x:v>4</x:v>
      </x:c>
      <x:c r="C5" s="64" t="n">
        <x:v>4</x:v>
      </x:c>
      <x:c r="D5" s="60" t="n">
        <x:v>15098.782689014199</x:v>
      </x:c>
      <x:c r="E5" s="60" t="n">
        <x:v>15098.782689014199</x:v>
      </x:c>
      <x:c r="F5" s="62" t="n">
        <x:v>0</x:v>
      </x:c>
      <x:c r="G5" s="66" t="n">
        <x:v>1</x:v>
      </x:c>
      <x:c r="H5" s="62" t="n">
        <x:f>IF(E5=0,"",I5/E5)</x:f>
        <x:v>13001.32239611957</x:v>
      </x:c>
      <x:c r="I5" s="60" t="n">
        <x:f>SUMIF('Species'!$G$2:$G$69,A5,'Species'!$U$2:$U$69)</x:f>
        <x:v>196304141.52882278</x:v>
      </x:c>
      <x:c r="J5" s="62" t="n">
        <x:v>4.161894714988897</x:v>
      </x:c>
      <x:c r="K5" s="62" t="n">
        <x:f>IF(J5="","",(1/'Metadata'!$B$5)^(J5-1))</x:f>
        <x:v>12993.31200971336</x:v>
      </x:c>
      <x:c r="L5" s="60" t="n">
        <x:f>IF(E5=0,"",E5*K5)</x:f>
        <x:v>196183194.44522035</x:v>
      </x:c>
      <x:c r="M5" s="60" t="n">
        <x:f>I5-L5</x:f>
        <x:v>120947.08360242844</x:v>
      </x:c>
      <x:c r="N5" s="62" t="n">
        <x:f>IF(L5=0,"",I5/L5)</x:f>
        <x:v>1.0006165007351646</x:v>
      </x:c>
      <x:c r="O5" s="66" t="n">
        <x:f>IF(L5=0,"",M5/L5)</x:f>
        <x:v>0.0006165007351646531</x:v>
      </x:c>
    </x:row>
    <x:row r="6" ht="18" customHeight="1">
      <x:c r="A6" s="46" t="str">
        <x:v>Large flatfishes (&gt;=90 cm)</x:v>
      </x:c>
      <x:c r="B6" s="64" t="n">
        <x:v>2</x:v>
      </x:c>
      <x:c r="C6" s="64" t="n">
        <x:v>2</x:v>
      </x:c>
      <x:c r="D6" s="60" t="n">
        <x:v>438.6943805188</x:v>
      </x:c>
      <x:c r="E6" s="60" t="n">
        <x:v>438.6943805188</x:v>
      </x:c>
      <x:c r="F6" s="62" t="n">
        <x:v>0</x:v>
      </x:c>
      <x:c r="G6" s="66" t="n">
        <x:v>1</x:v>
      </x:c>
      <x:c r="H6" s="62" t="n">
        <x:f>IF(E6=0,"",I6/E6)</x:f>
        <x:v>13874.992507315232</x:v>
      </x:c>
      <x:c r="I6" s="60" t="n">
        <x:f>SUMIF('Species'!$G$2:$G$69,A6,'Species'!$U$2:$U$69)</x:f>
        <x:v>6086881.242699647</x:v>
      </x:c>
      <x:c r="J6" s="62" t="n">
        <x:v>4.1764884783251555</x:v>
      </x:c>
      <x:c r="K6" s="62" t="n">
        <x:f>IF(J6="","",(1/'Metadata'!$B$5)^(J6-1))</x:f>
        <x:v>13573.967067172693</x:v>
      </x:c>
      <x:c r="L6" s="60" t="n">
        <x:f>IF(E6=0,"",E6*K6)</x:f>
        <x:v>5954823.073715917</x:v>
      </x:c>
      <x:c r="M6" s="60" t="n">
        <x:f>I6-L6</x:f>
        <x:v>132058.1689837305</x:v>
      </x:c>
      <x:c r="N6" s="62" t="n">
        <x:f>IF(L6=0,"",I6/L6)</x:f>
        <x:v>1.022176673823715</x:v>
      </x:c>
      <x:c r="O6" s="66" t="n">
        <x:f>IF(L6=0,"",M6/L6)</x:f>
        <x:v>0.022176673823715104</x:v>
      </x:c>
    </x:row>
    <x:row r="7" ht="18" customHeight="1">
      <x:c r="A7" s="46" t="str">
        <x:v>Large rays (&gt;=90 cm)</x:v>
      </x:c>
      <x:c r="B7" s="64" t="n">
        <x:v>1</x:v>
      </x:c>
      <x:c r="C7" s="64" t="n">
        <x:v>1</x:v>
      </x:c>
      <x:c r="D7" s="60" t="n">
        <x:v>482.2877997074</x:v>
      </x:c>
      <x:c r="E7" s="60" t="n">
        <x:v>482.2877997074</x:v>
      </x:c>
      <x:c r="F7" s="62" t="n">
        <x:v>0</x:v>
      </x:c>
      <x:c r="G7" s="66" t="n">
        <x:v>1</x:v>
      </x:c>
      <x:c r="H7" s="62" t="n">
        <x:f>IF(E7=0,"",I7/E7)</x:f>
        <x:v>4665.56868948727</x:v>
      </x:c>
      <x:c r="I7" s="60" t="n">
        <x:f>SUMIF('Species'!$G$2:$G$69,A7,'Species'!$U$2:$U$69)</x:f>
        <x:v>2250146.857636553</x:v>
      </x:c>
      <x:c r="J7" s="62" t="n">
        <x:v>3.82</x:v>
      </x:c>
      <x:c r="K7" s="62" t="n">
        <x:f>IF(J7="","",(1/'Metadata'!$B$5)^(J7-1))</x:f>
        <x:v>4665.56868948727</x:v>
      </x:c>
      <x:c r="L7" s="60" t="n">
        <x:f>IF(E7=0,"",E7*K7)</x:f>
        <x:v>2250146.857636553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Large reef assoc. fish (&gt;=90 cm)</x:v>
      </x:c>
      <x:c r="B8" s="64" t="n">
        <x:v>2</x:v>
      </x:c>
      <x:c r="C8" s="64" t="n">
        <x:v>2</x:v>
      </x:c>
      <x:c r="D8" s="60" t="n">
        <x:v>3489.7060062763003</x:v>
      </x:c>
      <x:c r="E8" s="60" t="n">
        <x:v>3489.7060062763003</x:v>
      </x:c>
      <x:c r="F8" s="62" t="n">
        <x:v>0</x:v>
      </x:c>
      <x:c r="G8" s="66" t="n">
        <x:v>1</x:v>
      </x:c>
      <x:c r="H8" s="62" t="n">
        <x:f>IF(E8=0,"",I8/E8)</x:f>
        <x:v>4464.939526427104</x:v>
      </x:c>
      <x:c r="I8" s="60" t="n">
        <x:f>SUMIF('Species'!$G$2:$G$69,A8,'Species'!$U$2:$U$69)</x:f>
        <x:v>15581326.283033125</x:v>
      </x:c>
      <x:c r="J8" s="62" t="n">
        <x:v>3.8052199392882993</x:v>
      </x:c>
      <x:c r="K8" s="62" t="n">
        <x:f>IF(J8="","",(1/'Metadata'!$B$5)^(J8-1))</x:f>
        <x:v>4463.497392976235</x:v>
      </x:c>
      <x:c r="L8" s="60" t="n">
        <x:f>IF(E8=0,"",E8*K8)</x:f>
        <x:v>15576293.661267774</x:v>
      </x:c>
      <x:c r="M8" s="60" t="n">
        <x:f>I8-L8</x:f>
        <x:v>5032.621765350923</x:v>
      </x:c>
      <x:c r="N8" s="62" t="n">
        <x:f>IF(L8=0,"",I8/L8)</x:f>
        <x:v>1.0003230949463842</x:v>
      </x:c>
      <x:c r="O8" s="66" t="n">
        <x:f>IF(L8=0,"",M8/L8)</x:f>
        <x:v>0.00032309494638413947</x:v>
      </x:c>
    </x:row>
    <x:row r="9" ht="18" customHeight="1">
      <x:c r="A9" s="46" t="str">
        <x:v>Large sharks (&gt;=90 cm)</x:v>
      </x:c>
      <x:c r="B9" s="64" t="n">
        <x:v>3</x:v>
      </x:c>
      <x:c r="C9" s="64" t="n">
        <x:v>3</x:v>
      </x:c>
      <x:c r="D9" s="60" t="n">
        <x:v>32.7938151312</x:v>
      </x:c>
      <x:c r="E9" s="60" t="n">
        <x:v>32.7938151312</x:v>
      </x:c>
      <x:c r="F9" s="62" t="n">
        <x:v>0</x:v>
      </x:c>
      <x:c r="G9" s="66" t="n">
        <x:v>1</x:v>
      </x:c>
      <x:c r="H9" s="62" t="n">
        <x:f>IF(E9=0,"",I9/E9)</x:f>
        <x:v>9288.91639284705</x:v>
      </x:c>
      <x:c r="I9" s="60" t="n">
        <x:f>SUMIF('Species'!$G$2:$G$69,A9,'Species'!$U$2:$U$69)</x:f>
        <x:v>304619.0069561993</x:v>
      </x:c>
      <x:c r="J9" s="62" t="n">
        <x:v>4.049826001613653</x:v>
      </x:c>
      <x:c r="K9" s="62" t="n">
        <x:f>IF(J9="","",(1/'Metadata'!$B$5)^(J9-1))</x:f>
        <x:v>9287.84822027749</x:v>
      </x:c>
      <x:c r="L9" s="60" t="n">
        <x:f>IF(E9=0,"",E9*K9)</x:f>
        <x:v>304583.97750242497</x:v>
      </x:c>
      <x:c r="M9" s="60" t="n">
        <x:f>I9-L9</x:f>
        <x:v>35.02945377433207</x:v>
      </x:c>
      <x:c r="N9" s="62" t="n">
        <x:f>IF(L9=0,"",I9/L9)</x:f>
        <x:v>1.000115007539338</x:v>
      </x:c>
      <x:c r="O9" s="66" t="n">
        <x:f>IF(L9=0,"",M9/L9)</x:f>
        <x:v>0.00011500753933799154</x:v>
      </x:c>
    </x:row>
    <x:row r="10" ht="18" customHeight="1">
      <x:c r="A10" s="46" t="str">
        <x:v>Lobsters, crabs</x:v>
      </x:c>
      <x:c r="B10" s="64" t="n">
        <x:v>7</x:v>
      </x:c>
      <x:c r="C10" s="64" t="n">
        <x:v>7</x:v>
      </x:c>
      <x:c r="D10" s="60" t="n">
        <x:v>280.82059622239996</x:v>
      </x:c>
      <x:c r="E10" s="60" t="n">
        <x:v>280.82059622239996</x:v>
      </x:c>
      <x:c r="F10" s="62" t="n">
        <x:v>0</x:v>
      </x:c>
      <x:c r="G10" s="66" t="n">
        <x:v>1</x:v>
      </x:c>
      <x:c r="H10" s="62" t="n">
        <x:f>IF(E10=0,"",I10/E10)</x:f>
        <x:v>1020.7915456434397</x:v>
      </x:c>
      <x:c r="I10" s="60" t="n">
        <x:f>SUMIF('Species'!$G$2:$G$69,A10,'Species'!$U$2:$U$69)</x:f>
        <x:v>286659.29046637594</x:v>
      </x:c>
      <x:c r="J10" s="62" t="n">
        <x:v>3.1570217387049793</x:v>
      </x:c>
      <x:c r="K10" s="62" t="n">
        <x:f>IF(J10="","",(1/'Metadata'!$B$5)^(J10-1))</x:f>
        <x:v>640.2505841108515</x:v>
      </x:c>
      <x:c r="L10" s="60" t="n">
        <x:f>IF(E10=0,"",E10*K10)</x:f>
        <x:v>179795.55076174915</x:v>
      </x:c>
      <x:c r="M10" s="60" t="n">
        <x:f>I10-L10</x:f>
        <x:v>106863.73970462679</x:v>
      </x:c>
      <x:c r="N10" s="62" t="n">
        <x:f>IF(L10=0,"",I10/L10)</x:f>
        <x:v>1.5943625370698642</x:v>
      </x:c>
      <x:c r="O10" s="66" t="n">
        <x:f>IF(L10=0,"",M10/L10)</x:f>
        <x:v>0.5943625370698642</x:v>
      </x:c>
    </x:row>
    <x:row r="11" ht="18" customHeight="1">
      <x:c r="A11" s="46" t="str">
        <x:v>Medium benthopelagics (30 - 89 cm)</x:v>
      </x:c>
      <x:c r="B11" s="64" t="n">
        <x:v>1</x:v>
      </x:c>
      <x:c r="C11" s="64" t="n">
        <x:v>1</x:v>
      </x:c>
      <x:c r="D11" s="60" t="n">
        <x:v>86041.6643582491</x:v>
      </x:c>
      <x:c r="E11" s="60" t="n">
        <x:v>86041.6643582491</x:v>
      </x:c>
      <x:c r="F11" s="62" t="n">
        <x:v>0</x:v>
      </x:c>
      <x:c r="G11" s="66" t="n">
        <x:v>1</x:v>
      </x:c>
      <x:c r="H11" s="62" t="n">
        <x:f>IF(E11=0,"",I11/E11)</x:f>
        <x:v>2206.2112196552644</x:v>
      </x:c>
      <x:c r="I11" s="60" t="n">
        <x:f>SUMIF('Species'!$G$2:$G$69,A11,'Species'!$U$2:$U$69)</x:f>
        <x:v>189826085.26498163</x:v>
      </x:c>
      <x:c r="J11" s="62" t="n">
        <x:v>3.57</x:v>
      </x:c>
      <x:c r="K11" s="62" t="n">
        <x:f>IF(J11="","",(1/'Metadata'!$B$5)^(J11-1))</x:f>
        <x:v>2206.2112196552644</x:v>
      </x:c>
      <x:c r="L11" s="60" t="n">
        <x:f>IF(E11=0,"",E11*K11)</x:f>
        <x:v>189826085.26498163</x:v>
      </x:c>
      <x:c r="M11" s="60" t="n">
        <x:f>I11-L11</x:f>
        <x:v>0</x:v>
      </x:c>
      <x:c r="N11" s="62" t="n">
        <x:f>IF(L11=0,"",I11/L11)</x:f>
        <x:v>1</x:v>
      </x:c>
      <x:c r="O11" s="66" t="n">
        <x:f>IF(L11=0,"",M11/L11)</x:f>
        <x:v>0</x:v>
      </x:c>
    </x:row>
    <x:row r="12" ht="18" customHeight="1">
      <x:c r="A12" s="46" t="str">
        <x:v>Medium demersals (30 - 89 cm)</x:v>
      </x:c>
      <x:c r="B12" s="64" t="n">
        <x:v>7</x:v>
      </x:c>
      <x:c r="C12" s="64" t="n">
        <x:v>7</x:v>
      </x:c>
      <x:c r="D12" s="60" t="n">
        <x:v>22410.609057331698</x:v>
      </x:c>
      <x:c r="E12" s="60" t="n">
        <x:v>22410.609057331698</x:v>
      </x:c>
      <x:c r="F12" s="62" t="n">
        <x:v>0</x:v>
      </x:c>
      <x:c r="G12" s="66" t="n">
        <x:v>1</x:v>
      </x:c>
      <x:c r="H12" s="62" t="n">
        <x:f>IF(E12=0,"",I12/E12)</x:f>
        <x:v>7742.86662664103</x:v>
      </x:c>
      <x:c r="I12" s="60" t="n">
        <x:f>SUMIF('Species'!$G$2:$G$69,A12,'Species'!$U$2:$U$69)</x:f>
        <x:v>173522356.9527128</x:v>
      </x:c>
      <x:c r="J12" s="62" t="n">
        <x:v>3.5939827005348137</x:v>
      </x:c>
      <x:c r="K12" s="62" t="n">
        <x:f>IF(J12="","",(1/'Metadata'!$B$5)^(J12-1))</x:f>
        <x:v>2370.550991640749</x:v>
      </x:c>
      <x:c r="L12" s="60" t="n">
        <x:f>IF(E12=0,"",E12*K12)</x:f>
        <x:v>53125491.52413081</x:v>
      </x:c>
      <x:c r="M12" s="60" t="n">
        <x:f>I12-L12</x:f>
        <x:v>120396865.428582</x:v>
      </x:c>
      <x:c r="N12" s="62" t="n">
        <x:f>IF(L12=0,"",I12/L12)</x:f>
        <x:v>3.2662729694255157</x:v>
      </x:c>
      <x:c r="O12" s="66" t="n">
        <x:f>IF(L12=0,"",M12/L12)</x:f>
        <x:v>2.2662729694255157</x:v>
      </x:c>
    </x:row>
    <x:row r="13" ht="18" customHeight="1">
      <x:c r="A13" s="46" t="str">
        <x:v>Medium pelagics (30 - 89 cm)</x:v>
      </x:c>
      <x:c r="B13" s="64" t="n">
        <x:v>5</x:v>
      </x:c>
      <x:c r="C13" s="64" t="n">
        <x:v>5</x:v>
      </x:c>
      <x:c r="D13" s="60" t="n">
        <x:v>2898.1178985512</x:v>
      </x:c>
      <x:c r="E13" s="60" t="n">
        <x:v>2898.1178985512</x:v>
      </x:c>
      <x:c r="F13" s="62" t="n">
        <x:v>0</x:v>
      </x:c>
      <x:c r="G13" s="66" t="n">
        <x:v>1</x:v>
      </x:c>
      <x:c r="H13" s="62" t="n">
        <x:f>IF(E13=0,"",I13/E13)</x:f>
        <x:v>1903.9881941231251</x:v>
      </x:c>
      <x:c r="I13" s="60" t="n">
        <x:f>SUMIF('Species'!$G$2:$G$69,A13,'Species'!$U$2:$U$69)</x:f>
        <x:v>5517982.264018406</x:v>
      </x:c>
      <x:c r="J13" s="62" t="n">
        <x:v>3.508660084180207</x:v>
      </x:c>
      <x:c r="K13" s="62" t="n">
        <x:f>IF(J13="","",(1/'Metadata'!$B$5)^(J13-1))</x:f>
        <x:v>1835.870394678993</x:v>
      </x:c>
      <x:c r="L13" s="60" t="n">
        <x:f>IF(E13=0,"",E13*K13)</x:f>
        <x:v>5320568.850239445</x:v>
      </x:c>
      <x:c r="M13" s="60" t="n">
        <x:f>I13-L13</x:f>
        <x:v>197413.4137789607</x:v>
      </x:c>
      <x:c r="N13" s="62" t="n">
        <x:f>IF(L13=0,"",I13/L13)</x:f>
        <x:v>1.0371038171548286</x:v>
      </x:c>
      <x:c r="O13" s="66" t="n">
        <x:f>IF(L13=0,"",M13/L13)</x:f>
        <x:v>0.03710381715482854</x:v>
      </x:c>
    </x:row>
    <x:row r="14" ht="18" customHeight="1">
      <x:c r="A14" s="46" t="str">
        <x:v>Medium reef assoc. fish (30 - 89 cm)</x:v>
      </x:c>
      <x:c r="B14" s="64" t="n">
        <x:v>1</x:v>
      </x:c>
      <x:c r="C14" s="64" t="n">
        <x:v>1</x:v>
      </x:c>
      <x:c r="D14" s="60" t="n">
        <x:v>2.9814762331</x:v>
      </x:c>
      <x:c r="E14" s="60" t="n">
        <x:v>2.9814762331</x:v>
      </x:c>
      <x:c r="F14" s="62" t="n">
        <x:v>0</x:v>
      </x:c>
      <x:c r="G14" s="66" t="n">
        <x:v>1</x:v>
      </x:c>
      <x:c r="H14" s="62" t="n">
        <x:f>IF(E14=0,"",I14/E14)</x:f>
        <x:v>24973.6134538561</x:v>
      </x:c>
      <x:c r="I14" s="60" t="n">
        <x:f>SUMIF('Species'!$G$2:$G$69,A14,'Species'!$U$2:$U$69)</x:f>
        <x:v>74458.23496729835</x:v>
      </x:c>
      <x:c r="J14" s="62" t="n">
        <x:v>4.38</x:v>
      </x:c>
      <x:c r="K14" s="62" t="n">
        <x:f>IF(J14="","",(1/'Metadata'!$B$5)^(J14-1))</x:f>
        <x:v>24973.6134538561</x:v>
      </x:c>
      <x:c r="L14" s="60" t="n">
        <x:f>IF(E14=0,"",E14*K14)</x:f>
        <x:v>74458.23496729835</x:v>
      </x:c>
      <x:c r="M14" s="60" t="n">
        <x:f>I14-L14</x:f>
        <x:v>0</x:v>
      </x:c>
      <x:c r="N14" s="62" t="n">
        <x:f>IF(L14=0,"",I14/L14)</x:f>
        <x:v>1</x:v>
      </x:c>
      <x:c r="O14" s="66" t="n">
        <x:f>IF(L14=0,"",M14/L14)</x:f>
        <x:v>0</x:v>
      </x:c>
    </x:row>
    <x:row r="15" ht="18" customHeight="1">
      <x:c r="A15" s="46" t="str">
        <x:v>Other demersal invertebrates</x:v>
      </x:c>
      <x:c r="B15" s="64" t="n">
        <x:v>9</x:v>
      </x:c>
      <x:c r="C15" s="64" t="n">
        <x:v>9</x:v>
      </x:c>
      <x:c r="D15" s="60" t="n">
        <x:v>68.5481490877</x:v>
      </x:c>
      <x:c r="E15" s="60" t="n">
        <x:v>68.5481490877</x:v>
      </x:c>
      <x:c r="F15" s="62" t="n">
        <x:v>0</x:v>
      </x:c>
      <x:c r="G15" s="66" t="n">
        <x:v>1</x:v>
      </x:c>
      <x:c r="H15" s="62" t="n">
        <x:f>IF(E15=0,"",I15/E15)</x:f>
        <x:v>27.05707822757701</x:v>
      </x:c>
      <x:c r="I15" s="60" t="n">
        <x:f>SUMIF('Species'!$G$2:$G$69,A15,'Species'!$U$2:$U$69)</x:f>
        <x:v>1854.7126322215104</x:v>
      </x:c>
      <x:c r="J15" s="62" t="n">
        <x:v>2.098199315053524</x:v>
      </x:c>
      <x:c r="K15" s="62" t="n">
        <x:f>IF(J15="","",(1/'Metadata'!$B$5)^(J15-1))</x:f>
        <x:v>26.84047826077913</x:v>
      </x:c>
      <x:c r="L15" s="60" t="n">
        <x:f>IF(E15=0,"",E15*K15)</x:f>
        <x:v>1839.8651054050586</x:v>
      </x:c>
      <x:c r="M15" s="60" t="n">
        <x:f>I15-L15</x:f>
        <x:v>14.847526816451818</x:v>
      </x:c>
      <x:c r="N15" s="62" t="n">
        <x:f>IF(L15=0,"",I15/L15)</x:f>
        <x:v>1.008069899675163</x:v>
      </x:c>
      <x:c r="O15" s="66" t="n">
        <x:f>IF(L15=0,"",M15/L15)</x:f>
        <x:v>0.00806989967516289</x:v>
      </x:c>
    </x:row>
    <x:row r="16" ht="18" customHeight="1">
      <x:c r="A16" s="46" t="str">
        <x:v>Shrimps</x:v>
      </x:c>
      <x:c r="B16" s="64" t="n">
        <x:v>2</x:v>
      </x:c>
      <x:c r="C16" s="64" t="n">
        <x:v>2</x:v>
      </x:c>
      <x:c r="D16" s="60" t="n">
        <x:v>4.4595393542</x:v>
      </x:c>
      <x:c r="E16" s="60" t="n">
        <x:v>4.4595393542</x:v>
      </x:c>
      <x:c r="F16" s="62" t="n">
        <x:v>0</x:v>
      </x:c>
      <x:c r="G16" s="66" t="n">
        <x:v>1</x:v>
      </x:c>
      <x:c r="H16" s="62" t="n">
        <x:f>IF(E16=0,"",I16/E16)</x:f>
        <x:v>162.83621261476185</x:v>
      </x:c>
      <x:c r="I16" s="60" t="n">
        <x:f>SUMIF('Species'!$G$2:$G$69,A16,'Species'!$U$2:$U$69)</x:f>
        <x:v>726.174498444409</x:v>
      </x:c>
      <x:c r="J16" s="62" t="n">
        <x:v>2.7</x:v>
      </x:c>
      <x:c r="K16" s="62" t="n">
        <x:f>IF(J16="","",(1/'Metadata'!$B$5)^(J16-1))</x:f>
        <x:v>162.83621261476185</x:v>
      </x:c>
      <x:c r="L16" s="60" t="n">
        <x:f>IF(E16=0,"",E16*K16)</x:f>
        <x:v>726.174498444409</x:v>
      </x:c>
      <x:c r="M16" s="60" t="n">
        <x:f>I16-L16</x:f>
        <x:v>0</x:v>
      </x:c>
      <x:c r="N16" s="62" t="n">
        <x:f>IF(L16=0,"",I16/L16)</x:f>
        <x:v>1</x:v>
      </x:c>
      <x:c r="O16" s="66" t="n">
        <x:f>IF(L16=0,"",M16/L16)</x:f>
        <x:v>0</x:v>
      </x:c>
    </x:row>
    <x:row r="17" ht="18" customHeight="1">
      <x:c r="A17" s="46" t="str">
        <x:v>Small pelagics (&lt;30 cm)</x:v>
      </x:c>
      <x:c r="B17" s="64" t="n">
        <x:v>2</x:v>
      </x:c>
      <x:c r="C17" s="64" t="n">
        <x:v>2</x:v>
      </x:c>
      <x:c r="D17" s="60" t="n">
        <x:v>0.48974039160000005</x:v>
      </x:c>
      <x:c r="E17" s="60" t="n">
        <x:v>0.48974039160000005</x:v>
      </x:c>
      <x:c r="F17" s="62" t="n">
        <x:v>0</x:v>
      </x:c>
      <x:c r="G17" s="66" t="n">
        <x:v>1</x:v>
      </x:c>
      <x:c r="H17" s="62" t="n">
        <x:f>IF(E17=0,"",I17/E17)</x:f>
        <x:v>1534.637207598896</x:v>
      </x:c>
      <x:c r="I17" s="60" t="n">
        <x:f>SUMIF('Species'!$G$2:$G$69,A17,'Species'!$U$2:$U$69)</x:f>
        <x:v>751.573827013414</x:v>
      </x:c>
      <x:c r="J17" s="62" t="n">
        <x:v>3.4431406581637565</x:v>
      </x:c>
      <x:c r="K17" s="62" t="n">
        <x:f>IF(J17="","",(1/'Metadata'!$B$5)^(J17-1))</x:f>
        <x:v>1508.687457696577</x:v>
      </x:c>
      <x:c r="L17" s="60" t="n">
        <x:f>IF(E17=0,"",E17*K17)</x:f>
        <x:v>738.8651863343301</x:v>
      </x:c>
      <x:c r="M17" s="60" t="n">
        <x:f>I17-L17</x:f>
        <x:v>12.708640679083828</x:v>
      </x:c>
      <x:c r="N17" s="62" t="n">
        <x:f>IF(L17=0,"",I17/L17)</x:f>
        <x:v>1.0172002158365778</x:v>
      </x:c>
      <x:c r="O17" s="66" t="n">
        <x:f>IF(L17=0,"",M17/L17)</x:f>
        <x:v>0.017200215836577902</x:v>
      </x:c>
    </x:row>
    <x:row r="18" ht="18" customHeight="1">
      <x:c r="A18" s="46" t="str">
        <x:v>Small to medium flatfishes (&lt;90 cm)</x:v>
      </x:c>
      <x:c r="B18" s="64" t="n">
        <x:v>11</x:v>
      </x:c>
      <x:c r="C18" s="64" t="n">
        <x:v>11</x:v>
      </x:c>
      <x:c r="D18" s="60" t="n">
        <x:v>17277.2007249003</x:v>
      </x:c>
      <x:c r="E18" s="60" t="n">
        <x:v>17277.2007249003</x:v>
      </x:c>
      <x:c r="F18" s="62" t="n">
        <x:v>0</x:v>
      </x:c>
      <x:c r="G18" s="66" t="n">
        <x:v>1</x:v>
      </x:c>
      <x:c r="H18" s="62" t="n">
        <x:f>IF(E18=0,"",I18/E18)</x:f>
        <x:v>2974.35032485551</x:v>
      </x:c>
      <x:c r="I18" s="60" t="n">
        <x:f>SUMIF('Species'!$G$2:$G$69,A18,'Species'!$U$2:$U$69)</x:f>
        <x:v>51388447.588701054</x:v>
      </x:c>
      <x:c r="J18" s="62" t="n">
        <x:v>3.565859619297957</x:v>
      </x:c>
      <x:c r="K18" s="62" t="n">
        <x:f>IF(J18="","",(1/'Metadata'!$B$5)^(J18-1))</x:f>
        <x:v>2179.0155493890793</x:v>
      </x:c>
      <x:c r="L18" s="60" t="n">
        <x:f>IF(E18=0,"",E18*K18)</x:f>
        <x:v>37647289.02947403</x:v>
      </x:c>
      <x:c r="M18" s="60" t="n">
        <x:f>I18-L18</x:f>
        <x:v>13741158.559227027</x:v>
      </x:c>
      <x:c r="N18" s="62" t="n">
        <x:f>IF(L18=0,"",I18/L18)</x:f>
        <x:v>1.3649972923274525</x:v>
      </x:c>
      <x:c r="O18" s="66" t="n">
        <x:f>IF(L18=0,"",M18/L18)</x:f>
        <x:v>0.3649972923274525</x:v>
      </x:c>
    </x:row>
    <x:row r="19" ht="18" customHeight="1">
      <x:c r="A19" s="46" t="str">
        <x:v>Small to medium rays (&lt;90 cm)</x:v>
      </x:c>
      <x:c r="B19" s="64" t="n">
        <x:v>1</x:v>
      </x:c>
      <x:c r="C19" s="64" t="n">
        <x:v>1</x:v>
      </x:c>
      <x:c r="D19" s="60" t="n">
        <x:v>167.6845087398</x:v>
      </x:c>
      <x:c r="E19" s="60" t="n">
        <x:v>167.6845087398</x:v>
      </x:c>
      <x:c r="F19" s="62" t="n">
        <x:v>0</x:v>
      </x:c>
      <x:c r="G19" s="66" t="n">
        <x:v>1</x:v>
      </x:c>
      <x:c r="H19" s="62" t="n">
        <x:f>IF(E19=0,"",I19/E19)</x:f>
        <x:v>4394.242173224468</x:v>
      </x:c>
      <x:c r="I19" s="60" t="n">
        <x:f>SUMIF('Species'!$G$2:$G$69,A19,'Species'!$U$2:$U$69)</x:f>
        <x:v>736846.3401008561</x:v>
      </x:c>
      <x:c r="J19" s="62" t="n">
        <x:v>3.7999999999999994</x:v>
      </x:c>
      <x:c r="K19" s="62" t="n">
        <x:f>IF(J19="","",(1/'Metadata'!$B$5)^(J19-1))</x:f>
        <x:v>4394.242173224463</x:v>
      </x:c>
      <x:c r="L19" s="60" t="n">
        <x:f>IF(E19=0,"",E19*K19)</x:f>
        <x:v>736846.3401008552</x:v>
      </x:c>
      <x:c r="M19" s="60" t="n">
        <x:f>I19-L19</x:f>
        <x:v>9.313225746154785e-10</x:v>
      </x:c>
      <x:c r="N19" s="62" t="n">
        <x:f>IF(L19=0,"",I19/L19)</x:f>
        <x:v>1.0000000000000013</x:v>
      </x:c>
      <x:c r="O19" s="66" t="n">
        <x:f>IF(L19=0,"",M19/L19)</x:f>
        <x:v>1.2639305156730568e-15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8c2c638021545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LME_065</x:v>
      </x:c>
      <x:c r="B2" s="46" t="str">
        <x:v>raw_filtered_tonnes</x:v>
      </x:c>
      <x:c r="C2" s="46" t="n">
        <x:v>151507.6717909796</x:v>
      </x:c>
      <x:c r="D2" s="46" t="str">
        <x:v>tonnes</x:v>
      </x:c>
    </x:row>
    <x:row r="3" ht="18" customHeight="1">
      <x:c r="A3" s="46" t="str">
        <x:v>LME_065</x:v>
      </x:c>
      <x:c r="B3" s="46" t="str">
        <x:v>species_catch_tonnes</x:v>
      </x:c>
      <x:c r="C3" s="46" t="n">
        <x:v>151507.6717909796</x:v>
      </x:c>
      <x:c r="D3" s="46" t="str">
        <x:v>tonnes</x:v>
      </x:c>
    </x:row>
    <x:row r="4" ht="18" customHeight="1">
      <x:c r="A4" s="46" t="str">
        <x:v>LME_065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LME_065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LME_065</x:v>
      </x:c>
      <x:c r="B6" s="46" t="str">
        <x:v>matched_catch_tonnes</x:v>
      </x:c>
      <x:c r="C6" s="46" t="n">
        <x:v>151507.6717909796</x:v>
      </x:c>
      <x:c r="D6" s="46" t="str">
        <x:v>tonnes</x:v>
      </x:c>
    </x:row>
    <x:row r="7" ht="18" customHeight="1">
      <x:c r="A7" s="46" t="str">
        <x:v>LME_065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LME_065</x:v>
      </x:c>
      <x:c r="B8" s="46" t="str">
        <x:v>taxa_count</x:v>
      </x:c>
      <x:c r="C8" s="46" t="n">
        <x:v>68</x:v>
      </x:c>
      <x:c r="D8" s="46" t="str">
        <x:v>count</x:v>
      </x:c>
    </x:row>
    <x:row r="9" ht="18" customHeight="1">
      <x:c r="A9" s="46" t="str">
        <x:v>LME_065</x:v>
      </x:c>
      <x:c r="B9" s="46" t="str">
        <x:v>matched_taxa_count</x:v>
      </x:c>
      <x:c r="C9" s="46" t="n">
        <x:v>68</x:v>
      </x:c>
      <x:c r="D9" s="46" t="str">
        <x:v>count</x:v>
      </x:c>
    </x:row>
    <x:row r="10" ht="18" customHeight="1">
      <x:c r="A10" s="46" t="str">
        <x:v>LME_065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LME_065</x:v>
      </x:c>
      <x:c r="B11" s="46" t="str">
        <x:v>species_ppr</x:v>
      </x:c>
      <x:c r="C11" s="46" t="n">
        <x:v>656388425.4536928</x:v>
      </x:c>
      <x:c r="D11" s="46" t="str">
        <x:v>tonnes_primary_production_equivalent</x:v>
      </x:c>
    </x:row>
    <x:row r="12" ht="18" customHeight="1">
      <x:c r="A12" s="46" t="str">
        <x:v>LME_065</x:v>
      </x:c>
      <x:c r="B12" s="46" t="str">
        <x:v>commercial_ppr</x:v>
      </x:c>
      <x:c r="C12" s="46" t="n">
        <x:v>656388425.4536927</x:v>
      </x:c>
      <x:c r="D12" s="46" t="str">
        <x:v>tonnes_primary_production_equivalent</x:v>
      </x:c>
    </x:row>
    <x:row r="13" ht="18" customHeight="1">
      <x:c r="A13" s="46" t="str">
        <x:v>LME_065</x:v>
      </x:c>
      <x:c r="B13" s="46" t="str">
        <x:v>functional_ppr</x:v>
      </x:c>
      <x:c r="C13" s="46" t="n">
        <x:v>656388425.4536928</x:v>
      </x:c>
      <x:c r="D13" s="46" t="str">
        <x:v>tonnes_primary_production_equivalent</x:v>
      </x:c>
    </x:row>
    <x:row r="14" ht="18" customHeight="1">
      <x:c r="A14" s="46" t="str">
        <x:v>LME_065</x:v>
      </x:c>
      <x:c r="B14" s="46" t="str">
        <x:v>commercial_ppr_difference</x:v>
      </x:c>
      <x:c r="C14" s="46" t="n">
        <x:v>-1.1920928955078125e-7</x:v>
      </x:c>
      <x:c r="D14" s="46" t="str">
        <x:v>tonnes_primary_production_equivalent</x:v>
      </x:c>
    </x:row>
    <x:row r="15" ht="18" customHeight="1">
      <x:c r="A15" s="46" t="str">
        <x:v>LME_065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LME_065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LME_065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LME_065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LME_065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cef37cec1034f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LME_065 - Aleutian Islands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LME_065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raw_data/SAU_downloads/LME_065-catch.zip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