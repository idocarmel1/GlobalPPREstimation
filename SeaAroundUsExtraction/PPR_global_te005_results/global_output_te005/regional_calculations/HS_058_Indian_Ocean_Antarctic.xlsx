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e2c926c6c43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d28201d58f74ca1"/>
    <x:sheet xmlns:r="http://schemas.openxmlformats.org/officeDocument/2006/relationships" name="Commercial" sheetId="2" r:id="R0680bc35c31c4713"/>
    <x:sheet xmlns:r="http://schemas.openxmlformats.org/officeDocument/2006/relationships" name="Functional" sheetId="3" r:id="R0b796c52f7d2470b"/>
    <x:sheet xmlns:r="http://schemas.openxmlformats.org/officeDocument/2006/relationships" name="Missing TL" sheetId="4" r:id="Ra88369de3ab645f9"/>
    <x:sheet xmlns:r="http://schemas.openxmlformats.org/officeDocument/2006/relationships" name="Validation" sheetId="5" r:id="R8a461bee47b84a3c"/>
    <x:sheet xmlns:r="http://schemas.openxmlformats.org/officeDocument/2006/relationships" name="Metadata" sheetId="6" r:id="R08e00d99b4fc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9b2e8e677a4e5f" /><Relationship Type="http://schemas.openxmlformats.org/officeDocument/2006/relationships/theme" Target="/xl/theme/theme1.xml" Id="R854097f1933c452f" /><Relationship Type="http://schemas.openxmlformats.org/officeDocument/2006/relationships/sharedStrings" Target="/xl/sharedStrings.xml" Id="Rb390fa705a384621" /><Relationship Type="http://schemas.openxmlformats.org/officeDocument/2006/relationships/worksheet" Target="/xl/worksheets/sheet1.xml" Id="Rfd28201d58f74ca1" /><Relationship Type="http://schemas.openxmlformats.org/officeDocument/2006/relationships/worksheet" Target="/xl/worksheets/sheet2.xml" Id="R0680bc35c31c4713" /><Relationship Type="http://schemas.openxmlformats.org/officeDocument/2006/relationships/worksheet" Target="/xl/worksheets/sheet3.xml" Id="R0b796c52f7d2470b" /><Relationship Type="http://schemas.openxmlformats.org/officeDocument/2006/relationships/worksheet" Target="/xl/worksheets/sheet4.xml" Id="Ra88369de3ab645f9" /><Relationship Type="http://schemas.openxmlformats.org/officeDocument/2006/relationships/worksheet" Target="/xl/worksheets/sheet5.xml" Id="R8a461bee47b84a3c" /><Relationship Type="http://schemas.openxmlformats.org/officeDocument/2006/relationships/worksheet" Target="/xl/worksheets/sheet6.xml" Id="R08e00d99b4fc4a6a" /></Relationships>
</file>

<file path=xl/tables/table1.xml><?xml version="1.0" encoding="utf-8"?>
<x:table xmlns:x="http://schemas.openxmlformats.org/spreadsheetml/2006/main" id="1" name="HS058SpeciesTable" displayName="HS058SpeciesTable" ref="A1:U7" headerRowCount="1" totalsRowCount="0" totalsRowShown="0">
  <x:autoFilter ref="A1:U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58CommercialTable" displayName="HS058CommercialTable" ref="A1:O4" headerRowCount="1" totalsRowCount="0" totalsRowShown="0">
  <x:autoFilter ref="A1:O4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58FunctionalTable" displayName="HS058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58ValidationTable" displayName="HS05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6741d0c30a4f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0d57fcb52444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b6d59a282547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b5b6c77b9c4c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HS_058</x:v>
      </x:c>
      <x:c r="B2" s="46" t="str">
        <x:v>Indian Ocean, Antarctic</x:v>
      </x:c>
      <x:c r="C2" s="46" t="str">
        <x:v>High Seas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1610.6000393135002</x:v>
      </x:c>
      <x:c r="J2" s="60" t="n">
        <x:v>1591.2833250273002</x:v>
      </x:c>
      <x:c r="K2" s="60" t="n">
        <x:v>19.3167142862</x:v>
      </x:c>
      <x:c r="L2" s="60" t="n">
        <x:v>249.2833250271</x:v>
      </x:c>
      <x:c r="M2" s="60" t="n">
        <x:v>1361.3167142864002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1490514.1231111223</x:v>
      </x:c>
    </x:row>
    <x:row r="3" ht="18" customHeight="1">
      <x:c r="A3" s="46" t="str">
        <x:v>HS_058</x:v>
      </x:c>
      <x:c r="B3" s="46" t="str">
        <x:v>Indian Ocean, Antarctic</x:v>
      </x:c>
      <x:c r="C3" s="46" t="str">
        <x:v>High Seas</x:v>
      </x:c>
      <x:c r="D3" s="58" t="n">
        <x:v>2019</x:v>
      </x:c>
      <x:c r="E3" s="46" t="str">
        <x:v>Dissostichus eleginoides</x:v>
      </x:c>
      <x:c r="F3" s="46" t="str">
        <x:v>Patagonian toothfish</x:v>
      </x:c>
      <x:c r="G3" s="46" t="str">
        <x:v>Large bathydemersals (&gt;=90 cm)</x:v>
      </x:c>
      <x:c r="H3" s="46" t="str">
        <x:v>Perch-likes</x:v>
      </x:c>
      <x:c r="I3" s="60" t="n">
        <x:v>10.60277</x:v>
      </x:c>
      <x:c r="J3" s="60" t="n">
        <x:v>10.60277</x:v>
      </x:c>
      <x:c r="K3" s="60" t="n">
        <x:v>0</x:v>
      </x:c>
      <x:c r="L3" s="60" t="n">
        <x:v>10.60277</x:v>
      </x:c>
      <x:c r="M3" s="60" t="n">
        <x:v>0</x:v>
      </x:c>
      <x:c r="N3" s="46" t="str">
        <x:v>dissostichus eleginoides</x:v>
      </x:c>
      <x:c r="O3" s="62" t="n">
        <x:v>3.96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Dissostichus eleginoides</x:v>
      </x:c>
      <x:c r="T3" s="62" t="n">
        <x:f>IF(O3="","",(1/'Metadata'!$B$5)^(O3-1))</x:f>
        <x:v>7096.574839945253</x:v>
      </x:c>
      <x:c r="U3" s="60" t="n">
        <x:f>IF(T3="","",I3*T3)</x:f>
        <x:v>75243.35081572633</x:v>
      </x:c>
    </x:row>
    <x:row r="4" ht="18" customHeight="1">
      <x:c r="A4" s="46" t="str">
        <x:v>HS_058</x:v>
      </x:c>
      <x:c r="B4" s="46" t="str">
        <x:v>Indian Ocean, Antarctic</x:v>
      </x:c>
      <x:c r="C4" s="46" t="str">
        <x:v>High Seas</x:v>
      </x:c>
      <x:c r="D4" s="58" t="n">
        <x:v>2019</x:v>
      </x:c>
      <x:c r="E4" s="46" t="str">
        <x:v>Trematomus eulepidotus</x:v>
      </x:c>
      <x:c r="F4" s="46" t="str">
        <x:v>Blunt scalyhead</x:v>
      </x:c>
      <x:c r="G4" s="46" t="str">
        <x:v>Small demersals (&lt;30 cm)</x:v>
      </x:c>
      <x:c r="H4" s="46" t="str">
        <x:v>Perch-likes</x:v>
      </x:c>
      <x:c r="I4" s="60" t="n">
        <x:v>1</x:v>
      </x:c>
      <x:c r="J4" s="60" t="n">
        <x:v>1</x:v>
      </x:c>
      <x:c r="K4" s="60" t="n">
        <x:v>0</x:v>
      </x:c>
      <x:c r="L4" s="60" t="n">
        <x:v>1</x:v>
      </x:c>
      <x:c r="M4" s="60" t="n">
        <x:v>0</x:v>
      </x:c>
      <x:c r="N4" s="46" t="str">
        <x:v>trematomus eulepidotus</x:v>
      </x:c>
      <x:c r="O4" s="62" t="n">
        <x:v>3.35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Trematomus eulepidotus</x:v>
      </x:c>
      <x:c r="T4" s="62" t="n">
        <x:f>IF(O4="","",(1/'Metadata'!$B$5)^(O4-1))</x:f>
        <x:v>1141.3543275066227</x:v>
      </x:c>
      <x:c r="U4" s="60" t="n">
        <x:f>IF(T4="","",I4*T4)</x:f>
        <x:v>1141.3543275066227</x:v>
      </x:c>
    </x:row>
    <x:row r="5" ht="18" customHeight="1">
      <x:c r="A5" s="46" t="str">
        <x:v>HS_058</x:v>
      </x:c>
      <x:c r="B5" s="46" t="str">
        <x:v>Indian Ocean, Antarctic</x:v>
      </x:c>
      <x:c r="C5" s="46" t="str">
        <x:v>High Seas</x:v>
      </x:c>
      <x:c r="D5" s="58" t="n">
        <x:v>2019</x:v>
      </x:c>
      <x:c r="E5" s="46" t="str">
        <x:v>Chionobathyscus dewitti</x:v>
      </x:c>
      <x:c r="F5" s="46" t="str">
        <x:v>Chionobathyscus dewitti</x:v>
      </x:c>
      <x:c r="G5" s="46" t="str">
        <x:v>Medium bathydemersals (30 - 89 cm)</x:v>
      </x:c>
      <x:c r="H5" s="46" t="str">
        <x:v>Perch-likes</x:v>
      </x:c>
      <x:c r="I5" s="60" t="n">
        <x:v>0.05056</x:v>
      </x:c>
      <x:c r="J5" s="60" t="n">
        <x:v>0.05056</x:v>
      </x:c>
      <x:c r="K5" s="60" t="n">
        <x:v>0</x:v>
      </x:c>
      <x:c r="L5" s="60" t="n">
        <x:v>0.05056</x:v>
      </x:c>
      <x:c r="M5" s="60" t="n">
        <x:v>0</x:v>
      </x:c>
      <x:c r="N5" s="46" t="str">
        <x:v>chionobathyscus dewitti</x:v>
      </x:c>
      <x:c r="O5" s="62" t="n">
        <x:v>3.76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Chionobathyscus dewitti</x:v>
      </x:c>
      <x:c r="T5" s="62" t="n">
        <x:f>IF(O5="","",(1/'Metadata'!$B$5)^(O5-1))</x:f>
        <x:v>3898.0085558913897</x:v>
      </x:c>
      <x:c r="U5" s="60" t="n">
        <x:f>IF(T5="","",I5*T5)</x:f>
        <x:v>197.08331258586867</x:v>
      </x:c>
    </x:row>
    <x:row r="6" ht="18" customHeight="1">
      <x:c r="A6" s="46" t="str">
        <x:v>HS_058</x:v>
      </x:c>
      <x:c r="B6" s="46" t="str">
        <x:v>Indian Ocean, Antarctic</x:v>
      </x:c>
      <x:c r="C6" s="46" t="str">
        <x:v>High Seas</x:v>
      </x:c>
      <x:c r="D6" s="58" t="n">
        <x:v>2019</x:v>
      </x:c>
      <x:c r="E6" s="46" t="str">
        <x:v>Rajiformes</x:v>
      </x:c>
      <x:c r="F6" s="46" t="str">
        <x:v>Skates and rays</x:v>
      </x:c>
      <x:c r="G6" s="46" t="str">
        <x:v>Large rays (&gt;=90 cm)</x:v>
      </x:c>
      <x:c r="H6" s="46" t="str">
        <x:v>Sharks &amp; rays</x:v>
      </x:c>
      <x:c r="I6" s="60" t="n">
        <x:v>0.02267</x:v>
      </x:c>
      <x:c r="J6" s="60" t="n">
        <x:v>0.02267</x:v>
      </x:c>
      <x:c r="K6" s="60" t="n">
        <x:v>0</x:v>
      </x:c>
      <x:c r="L6" s="60" t="n">
        <x:v>0.02267</x:v>
      </x:c>
      <x:c r="M6" s="60" t="n">
        <x:v>0</x:v>
      </x:c>
      <x:c r="N6" s="46" t="str">
        <x:v>rajiformes</x:v>
      </x:c>
      <x:c r="O6" s="62" t="n">
        <x:v>3.61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Rajiformes</x:v>
      </x:c>
      <x:c r="T6" s="62" t="n">
        <x:f>IF(O6="","",(1/'Metadata'!$B$5)^(O6-1))</x:f>
        <x:v>2487.0716021897506</x:v>
      </x:c>
      <x:c r="U6" s="60" t="n">
        <x:f>IF(T6="","",I6*T6)</x:f>
        <x:v>56.381913221641646</x:v>
      </x:c>
    </x:row>
    <x:row r="7" ht="18" customHeight="1">
      <x:c r="A7" s="46" t="str">
        <x:v>HS_058</x:v>
      </x:c>
      <x:c r="B7" s="46" t="str">
        <x:v>Indian Ocean, Antarctic</x:v>
      </x:c>
      <x:c r="C7" s="46" t="str">
        <x:v>High Seas</x:v>
      </x:c>
      <x:c r="D7" s="58" t="n">
        <x:v>2019</x:v>
      </x:c>
      <x:c r="E7" s="46" t="str">
        <x:v>Artedidraconidae</x:v>
      </x:c>
      <x:c r="F7" s="46" t="str">
        <x:v>Barbled plunderfishes</x:v>
      </x:c>
      <x:c r="G7" s="46" t="str">
        <x:v>Small demersals (&lt;30 cm)</x:v>
      </x:c>
      <x:c r="H7" s="46" t="str">
        <x:v>Perch-likes</x:v>
      </x:c>
      <x:c r="I7" s="60" t="n">
        <x:v>0.00392</x:v>
      </x:c>
      <x:c r="J7" s="60" t="n">
        <x:v>0.00392</x:v>
      </x:c>
      <x:c r="K7" s="60" t="n">
        <x:v>0</x:v>
      </x:c>
      <x:c r="L7" s="60" t="n">
        <x:v>0.00392</x:v>
      </x:c>
      <x:c r="M7" s="60" t="n">
        <x:v>0</x:v>
      </x:c>
      <x:c r="N7" s="46" t="str">
        <x:v>artedidraconidae</x:v>
      </x:c>
      <x:c r="O7" s="62" t="n">
        <x:v>3.1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Artedidraconidae</x:v>
      </x:c>
      <x:c r="T7" s="62" t="n">
        <x:f>IF(O7="","",(1/'Metadata'!$B$5)^(O7-1))</x:f>
        <x:v>539.7131390694254</x:v>
      </x:c>
      <x:c r="U7" s="60" t="n">
        <x:f>IF(T7="","",I7*T7)</x:f>
        <x:v>2.1156755051521476</x:v>
      </x:c>
    </x:row>
  </x:sheetData>
  <x:conditionalFormatting sqref="R2:R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66741d0c30a4fc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1</x:v>
      </x:c>
      <x:c r="C2" s="64" t="n">
        <x:v>1</x:v>
      </x:c>
      <x:c r="D2" s="60" t="n">
        <x:v>1610.6000393135002</x:v>
      </x:c>
      <x:c r="E2" s="60" t="n">
        <x:v>1610.6000393135002</x:v>
      </x:c>
      <x:c r="F2" s="62" t="n">
        <x:v>0</x:v>
      </x:c>
      <x:c r="G2" s="66" t="n">
        <x:v>1</x:v>
      </x:c>
      <x:c r="H2" s="62" t="n">
        <x:f>IF(E2=0,"",I2/E2)</x:f>
        <x:v>925.4402624666748</x:v>
      </x:c>
      <x:c r="I2" s="60" t="n">
        <x:f>SUMIF('Species'!$H$2:$H$7,A2,'Species'!$U$2:$U$7)</x:f>
        <x:v>1490514.1231111223</x:v>
      </x:c>
      <x:c r="J2" s="62" t="n">
        <x:v>3.28</x:v>
      </x:c>
      <x:c r="K2" s="62" t="n">
        <x:f>IF(J2="","",(1/'Metadata'!$B$5)^(J2-1))</x:f>
        <x:v>925.4402624666747</x:v>
      </x:c>
      <x:c r="L2" s="60" t="n">
        <x:f>IF(E2=0,"",E2*K2)</x:f>
        <x:v>1490514.1231111223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Perch-likes</x:v>
      </x:c>
      <x:c r="B3" s="64" t="n">
        <x:v>4</x:v>
      </x:c>
      <x:c r="C3" s="64" t="n">
        <x:v>4</x:v>
      </x:c>
      <x:c r="D3" s="60" t="n">
        <x:v>11.657250000000001</x:v>
      </x:c>
      <x:c r="E3" s="60" t="n">
        <x:v>11.657250000000001</x:v>
      </x:c>
      <x:c r="F3" s="62" t="n">
        <x:v>0</x:v>
      </x:c>
      <x:c r="G3" s="66" t="n">
        <x:v>1</x:v>
      </x:c>
      <x:c r="H3" s="62" t="n">
        <x:f>IF(E3=0,"",I3/E3)</x:f>
        <x:v>6569.63727562881</x:v>
      </x:c>
      <x:c r="I3" s="60" t="n">
        <x:f>SUMIF('Species'!$H$2:$H$7,A3,'Species'!$U$2:$U$7)</x:f>
        <x:v>76583.90413132396</x:v>
      </x:c>
      <x:c r="J3" s="62" t="n">
        <x:v>3.9065154131549034</x:v>
      </x:c>
      <x:c r="K3" s="62" t="n">
        <x:f>IF(J3="","",(1/'Metadata'!$B$5)^(J3-1))</x:f>
        <x:v>6045.938642062284</x:v>
      </x:c>
      <x:c r="L3" s="60" t="n">
        <x:f>IF(E3=0,"",E3*K3)</x:f>
        <x:v>70479.01823518057</x:v>
      </x:c>
      <x:c r="M3" s="60" t="n">
        <x:f>I3-L3</x:f>
        <x:v>6104.885896143387</x:v>
      </x:c>
      <x:c r="N3" s="62" t="n">
        <x:f>IF(L3=0,"",I3/L3)</x:f>
        <x:v>1.086619905455721</x:v>
      </x:c>
      <x:c r="O3" s="66" t="n">
        <x:f>IF(L3=0,"",M3/L3)</x:f>
        <x:v>0.08661990545572114</x:v>
      </x:c>
    </x:row>
    <x:row r="4" ht="18" customHeight="1">
      <x:c r="A4" s="46" t="str">
        <x:v>Sharks &amp; rays</x:v>
      </x:c>
      <x:c r="B4" s="64" t="n">
        <x:v>1</x:v>
      </x:c>
      <x:c r="C4" s="64" t="n">
        <x:v>1</x:v>
      </x:c>
      <x:c r="D4" s="60" t="n">
        <x:v>0.02267</x:v>
      </x:c>
      <x:c r="E4" s="60" t="n">
        <x:v>0.02267</x:v>
      </x:c>
      <x:c r="F4" s="62" t="n">
        <x:v>0</x:v>
      </x:c>
      <x:c r="G4" s="66" t="n">
        <x:v>1</x:v>
      </x:c>
      <x:c r="H4" s="62" t="n">
        <x:f>IF(E4=0,"",I4/E4)</x:f>
        <x:v>2487.0716021897506</x:v>
      </x:c>
      <x:c r="I4" s="60" t="n">
        <x:f>SUMIF('Species'!$H$2:$H$7,A4,'Species'!$U$2:$U$7)</x:f>
        <x:v>56.381913221641646</x:v>
      </x:c>
      <x:c r="J4" s="62" t="n">
        <x:v>3.6100000000000003</x:v>
      </x:c>
      <x:c r="K4" s="62" t="n">
        <x:f>IF(J4="","",(1/'Metadata'!$B$5)^(J4-1))</x:f>
        <x:v>2487.0716021897542</x:v>
      </x:c>
      <x:c r="L4" s="60" t="n">
        <x:f>IF(E4=0,"",E4*K4)</x:f>
        <x:v>56.381913221641724</x:v>
      </x:c>
      <x:c r="M4" s="60" t="n">
        <x:f>I4-L4</x:f>
        <x:v>-7.815970093361102e-14</x:v>
      </x:c>
      <x:c r="N4" s="62" t="n">
        <x:f>IF(L4=0,"",I4/L4)</x:f>
        <x:v>0.9999999999999987</x:v>
      </x:c>
      <x:c r="O4" s="66" t="n">
        <x:f>IF(L4=0,"",M4/L4)</x:f>
        <x:v>-1.3862548549276627e-15</x:v>
      </x:c>
    </x:row>
  </x:sheetData>
  <x:conditionalFormatting sqref="G2:G4">
    <x:cfRule type="cellIs" dxfId="1" priority="1" operator="lessThan">
      <x:formula>0.9</x:formula>
    </x:cfRule>
  </x:conditionalFormatting>
  <x:conditionalFormatting sqref="O2:O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80d57fcb52444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bathydemersals (&gt;=90 cm)</x:v>
      </x:c>
      <x:c r="B2" s="64" t="n">
        <x:v>1</x:v>
      </x:c>
      <x:c r="C2" s="64" t="n">
        <x:v>1</x:v>
      </x:c>
      <x:c r="D2" s="60" t="n">
        <x:v>10.60277</x:v>
      </x:c>
      <x:c r="E2" s="60" t="n">
        <x:v>10.60277</x:v>
      </x:c>
      <x:c r="F2" s="62" t="n">
        <x:v>0</x:v>
      </x:c>
      <x:c r="G2" s="66" t="n">
        <x:v>1</x:v>
      </x:c>
      <x:c r="H2" s="62" t="n">
        <x:f>IF(E2=0,"",I2/E2)</x:f>
        <x:v>7096.574839945253</x:v>
      </x:c>
      <x:c r="I2" s="60" t="n">
        <x:f>SUMIF('Species'!$G$2:$G$7,A2,'Species'!$U$2:$U$7)</x:f>
        <x:v>75243.35081572633</x:v>
      </x:c>
      <x:c r="J2" s="62" t="n">
        <x:v>3.96</x:v>
      </x:c>
      <x:c r="K2" s="62" t="n">
        <x:f>IF(J2="","",(1/'Metadata'!$B$5)^(J2-1))</x:f>
        <x:v>7096.574839945253</x:v>
      </x:c>
      <x:c r="L2" s="60" t="n">
        <x:f>IF(E2=0,"",E2*K2)</x:f>
        <x:v>75243.35081572633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Large rays (&gt;=90 cm)</x:v>
      </x:c>
      <x:c r="B3" s="64" t="n">
        <x:v>1</x:v>
      </x:c>
      <x:c r="C3" s="64" t="n">
        <x:v>1</x:v>
      </x:c>
      <x:c r="D3" s="60" t="n">
        <x:v>0.02267</x:v>
      </x:c>
      <x:c r="E3" s="60" t="n">
        <x:v>0.02267</x:v>
      </x:c>
      <x:c r="F3" s="62" t="n">
        <x:v>0</x:v>
      </x:c>
      <x:c r="G3" s="66" t="n">
        <x:v>1</x:v>
      </x:c>
      <x:c r="H3" s="62" t="n">
        <x:f>IF(E3=0,"",I3/E3)</x:f>
        <x:v>2487.0716021897506</x:v>
      </x:c>
      <x:c r="I3" s="60" t="n">
        <x:f>SUMIF('Species'!$G$2:$G$7,A3,'Species'!$U$2:$U$7)</x:f>
        <x:v>56.381913221641646</x:v>
      </x:c>
      <x:c r="J3" s="62" t="n">
        <x:v>3.6100000000000003</x:v>
      </x:c>
      <x:c r="K3" s="62" t="n">
        <x:f>IF(J3="","",(1/'Metadata'!$B$5)^(J3-1))</x:f>
        <x:v>2487.0716021897542</x:v>
      </x:c>
      <x:c r="L3" s="60" t="n">
        <x:f>IF(E3=0,"",E3*K3)</x:f>
        <x:v>56.381913221641724</x:v>
      </x:c>
      <x:c r="M3" s="60" t="n">
        <x:f>I3-L3</x:f>
        <x:v>-7.815970093361102e-14</x:v>
      </x:c>
      <x:c r="N3" s="62" t="n">
        <x:f>IF(L3=0,"",I3/L3)</x:f>
        <x:v>0.9999999999999987</x:v>
      </x:c>
      <x:c r="O3" s="66" t="n">
        <x:f>IF(L3=0,"",M3/L3)</x:f>
        <x:v>-1.3862548549276627e-15</x:v>
      </x:c>
    </x:row>
    <x:row r="4" ht="18" customHeight="1">
      <x:c r="A4" s="46" t="str">
        <x:v>Medium bathydemersals (30 - 89 cm)</x:v>
      </x:c>
      <x:c r="B4" s="64" t="n">
        <x:v>1</x:v>
      </x:c>
      <x:c r="C4" s="64" t="n">
        <x:v>1</x:v>
      </x:c>
      <x:c r="D4" s="60" t="n">
        <x:v>0.05056</x:v>
      </x:c>
      <x:c r="E4" s="60" t="n">
        <x:v>0.05056</x:v>
      </x:c>
      <x:c r="F4" s="62" t="n">
        <x:v>0</x:v>
      </x:c>
      <x:c r="G4" s="66" t="n">
        <x:v>1</x:v>
      </x:c>
      <x:c r="H4" s="62" t="n">
        <x:f>IF(E4=0,"",I4/E4)</x:f>
        <x:v>3898.0085558913897</x:v>
      </x:c>
      <x:c r="I4" s="60" t="n">
        <x:f>SUMIF('Species'!$G$2:$G$7,A4,'Species'!$U$2:$U$7)</x:f>
        <x:v>197.08331258586867</x:v>
      </x:c>
      <x:c r="J4" s="62" t="n">
        <x:v>3.76</x:v>
      </x:c>
      <x:c r="K4" s="62" t="n">
        <x:f>IF(J4="","",(1/'Metadata'!$B$5)^(J4-1))</x:f>
        <x:v>3898.0085558913897</x:v>
      </x:c>
      <x:c r="L4" s="60" t="n">
        <x:f>IF(E4=0,"",E4*K4)</x:f>
        <x:v>197.08331258586867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demersals (30 - 89 cm)</x:v>
      </x:c>
      <x:c r="B5" s="64" t="n">
        <x:v>1</x:v>
      </x:c>
      <x:c r="C5" s="64" t="n">
        <x:v>1</x:v>
      </x:c>
      <x:c r="D5" s="60" t="n">
        <x:v>1610.6000393135002</x:v>
      </x:c>
      <x:c r="E5" s="60" t="n">
        <x:v>1610.6000393135002</x:v>
      </x:c>
      <x:c r="F5" s="62" t="n">
        <x:v>0</x:v>
      </x:c>
      <x:c r="G5" s="66" t="n">
        <x:v>1</x:v>
      </x:c>
      <x:c r="H5" s="62" t="n">
        <x:f>IF(E5=0,"",I5/E5)</x:f>
        <x:v>925.4402624666748</x:v>
      </x:c>
      <x:c r="I5" s="60" t="n">
        <x:f>SUMIF('Species'!$G$2:$G$7,A5,'Species'!$U$2:$U$7)</x:f>
        <x:v>1490514.1231111223</x:v>
      </x:c>
      <x:c r="J5" s="62" t="n">
        <x:v>3.28</x:v>
      </x:c>
      <x:c r="K5" s="62" t="n">
        <x:f>IF(J5="","",(1/'Metadata'!$B$5)^(J5-1))</x:f>
        <x:v>925.4402624666747</x:v>
      </x:c>
      <x:c r="L5" s="60" t="n">
        <x:f>IF(E5=0,"",E5*K5)</x:f>
        <x:v>1490514.1231111223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Small demersals (&lt;30 cm)</x:v>
      </x:c>
      <x:c r="B6" s="64" t="n">
        <x:v>2</x:v>
      </x:c>
      <x:c r="C6" s="64" t="n">
        <x:v>2</x:v>
      </x:c>
      <x:c r="D6" s="60" t="n">
        <x:v>1.00392</x:v>
      </x:c>
      <x:c r="E6" s="60" t="n">
        <x:v>1.00392</x:v>
      </x:c>
      <x:c r="F6" s="62" t="n">
        <x:v>0</x:v>
      </x:c>
      <x:c r="G6" s="66" t="n">
        <x:v>1</x:v>
      </x:c>
      <x:c r="H6" s="62" t="n">
        <x:f>IF(E6=0,"",I6/E6)</x:f>
        <x:v>1139.0051030079837</x:v>
      </x:c>
      <x:c r="I6" s="60" t="n">
        <x:f>SUMIF('Species'!$G$2:$G$7,A6,'Species'!$U$2:$U$7)</x:f>
        <x:v>1143.470003011775</x:v>
      </x:c>
      <x:c r="J6" s="62" t="n">
        <x:v>3.3490238265997294</x:v>
      </x:c>
      <x:c r="K6" s="62" t="n">
        <x:f>IF(J6="","",(1/'Metadata'!$B$5)^(J6-1))</x:f>
        <x:v>1138.0214788213264</x:v>
      </x:c>
      <x:c r="L6" s="60" t="n">
        <x:f>IF(E6=0,"",E6*K6)</x:f>
        <x:v>1142.4825230183058</x:v>
      </x:c>
      <x:c r="M6" s="60" t="n">
        <x:f>I6-L6</x:f>
        <x:v>0.9874799934691509</x:v>
      </x:c>
      <x:c r="N6" s="62" t="n">
        <x:f>IF(L6=0,"",I6/L6)</x:f>
        <x:v>1.0008643283145027</x:v>
      </x:c>
      <x:c r="O6" s="66" t="n">
        <x:f>IF(L6=0,"",M6/L6)</x:f>
        <x:v>0.0008643283145026532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cb6d59a282547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HS_058</x:v>
      </x:c>
      <x:c r="B2" s="46" t="str">
        <x:v>raw_filtered_tonnes</x:v>
      </x:c>
      <x:c r="C2" s="46" t="n">
        <x:v>1622.2799593135</x:v>
      </x:c>
      <x:c r="D2" s="46" t="str">
        <x:v>tonnes</x:v>
      </x:c>
    </x:row>
    <x:row r="3" ht="18" customHeight="1">
      <x:c r="A3" s="46" t="str">
        <x:v>HS_058</x:v>
      </x:c>
      <x:c r="B3" s="46" t="str">
        <x:v>species_catch_tonnes</x:v>
      </x:c>
      <x:c r="C3" s="46" t="n">
        <x:v>1622.2799593135003</x:v>
      </x:c>
      <x:c r="D3" s="46" t="str">
        <x:v>tonnes</x:v>
      </x:c>
    </x:row>
    <x:row r="4" ht="18" customHeight="1">
      <x:c r="A4" s="46" t="str">
        <x:v>HS_058</x:v>
      </x:c>
      <x:c r="B4" s="46" t="str">
        <x:v>catch_difference_tonnes</x:v>
      </x:c>
      <x:c r="C4" s="46" t="n">
        <x:v>2.2737367544323206e-13</x:v>
      </x:c>
      <x:c r="D4" s="46" t="str">
        <x:v>tonnes</x:v>
      </x:c>
    </x:row>
    <x:row r="5" ht="18" customHeight="1">
      <x:c r="A5" s="46" t="str">
        <x:v>HS_058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HS_058</x:v>
      </x:c>
      <x:c r="B6" s="46" t="str">
        <x:v>matched_catch_tonnes</x:v>
      </x:c>
      <x:c r="C6" s="46" t="n">
        <x:v>1622.2799593135003</x:v>
      </x:c>
      <x:c r="D6" s="46" t="str">
        <x:v>tonnes</x:v>
      </x:c>
    </x:row>
    <x:row r="7" ht="18" customHeight="1">
      <x:c r="A7" s="46" t="str">
        <x:v>HS_058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HS_058</x:v>
      </x:c>
      <x:c r="B8" s="46" t="str">
        <x:v>taxa_count</x:v>
      </x:c>
      <x:c r="C8" s="46" t="n">
        <x:v>6</x:v>
      </x:c>
      <x:c r="D8" s="46" t="str">
        <x:v>count</x:v>
      </x:c>
    </x:row>
    <x:row r="9" ht="18" customHeight="1">
      <x:c r="A9" s="46" t="str">
        <x:v>HS_058</x:v>
      </x:c>
      <x:c r="B9" s="46" t="str">
        <x:v>matched_taxa_count</x:v>
      </x:c>
      <x:c r="C9" s="46" t="n">
        <x:v>6</x:v>
      </x:c>
      <x:c r="D9" s="46" t="str">
        <x:v>count</x:v>
      </x:c>
    </x:row>
    <x:row r="10" ht="18" customHeight="1">
      <x:c r="A10" s="46" t="str">
        <x:v>HS_058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HS_058</x:v>
      </x:c>
      <x:c r="B11" s="46" t="str">
        <x:v>species_ppr</x:v>
      </x:c>
      <x:c r="C11" s="46" t="n">
        <x:v>1567154.4091556682</x:v>
      </x:c>
      <x:c r="D11" s="46" t="str">
        <x:v>tonnes_primary_production_equivalent</x:v>
      </x:c>
    </x:row>
    <x:row r="12" ht="18" customHeight="1">
      <x:c r="A12" s="46" t="str">
        <x:v>HS_058</x:v>
      </x:c>
      <x:c r="B12" s="46" t="str">
        <x:v>commercial_ppr</x:v>
      </x:c>
      <x:c r="C12" s="46" t="n">
        <x:v>1567154.409155668</x:v>
      </x:c>
      <x:c r="D12" s="46" t="str">
        <x:v>tonnes_primary_production_equivalent</x:v>
      </x:c>
    </x:row>
    <x:row r="13" ht="18" customHeight="1">
      <x:c r="A13" s="46" t="str">
        <x:v>HS_058</x:v>
      </x:c>
      <x:c r="B13" s="46" t="str">
        <x:v>functional_ppr</x:v>
      </x:c>
      <x:c r="C13" s="46" t="n">
        <x:v>1567154.409155668</x:v>
      </x:c>
      <x:c r="D13" s="46" t="str">
        <x:v>tonnes_primary_production_equivalent</x:v>
      </x:c>
    </x:row>
    <x:row r="14" ht="18" customHeight="1">
      <x:c r="A14" s="46" t="str">
        <x:v>HS_058</x:v>
      </x:c>
      <x:c r="B14" s="46" t="str">
        <x:v>commercial_ppr_difference</x:v>
      </x:c>
      <x:c r="C14" s="46" t="n">
        <x:v>-2.3283064365386963e-10</x:v>
      </x:c>
      <x:c r="D14" s="46" t="str">
        <x:v>tonnes_primary_production_equivalent</x:v>
      </x:c>
    </x:row>
    <x:row r="15" ht="18" customHeight="1">
      <x:c r="A15" s="46" t="str">
        <x:v>HS_058</x:v>
      </x:c>
      <x:c r="B15" s="46" t="str">
        <x:v>functional_ppr_difference</x:v>
      </x:c>
      <x:c r="C15" s="46" t="n">
        <x:v>-2.3283064365386963e-10</x:v>
      </x:c>
      <x:c r="D15" s="46" t="str">
        <x:v>tonnes_primary_production_equivalent</x:v>
      </x:c>
    </x:row>
    <x:row r="16" ht="18" customHeight="1">
      <x:c r="A16" s="46" t="str">
        <x:v>HS_058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HS_058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HS_058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HS_058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2b5b6c77b9c4c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HS_058 - Indian Ocean, Antarctic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HS_058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raw_data/SAU_downloads/HS_058-catch.zip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