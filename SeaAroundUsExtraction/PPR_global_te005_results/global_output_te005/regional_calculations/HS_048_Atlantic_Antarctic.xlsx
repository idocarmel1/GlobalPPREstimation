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5bd8585e84c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cd22b344e23434b"/>
    <x:sheet xmlns:r="http://schemas.openxmlformats.org/officeDocument/2006/relationships" name="Commercial" sheetId="2" r:id="R8434459154e64f53"/>
    <x:sheet xmlns:r="http://schemas.openxmlformats.org/officeDocument/2006/relationships" name="Functional" sheetId="3" r:id="Rc9c8ed2cc82041d3"/>
    <x:sheet xmlns:r="http://schemas.openxmlformats.org/officeDocument/2006/relationships" name="Missing TL" sheetId="4" r:id="R84b7de70fcd044c5"/>
    <x:sheet xmlns:r="http://schemas.openxmlformats.org/officeDocument/2006/relationships" name="Validation" sheetId="5" r:id="R68d362c078cc4b89"/>
    <x:sheet xmlns:r="http://schemas.openxmlformats.org/officeDocument/2006/relationships" name="Metadata" sheetId="6" r:id="Rb2d5873e9dc646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12b25381ee4233" /><Relationship Type="http://schemas.openxmlformats.org/officeDocument/2006/relationships/theme" Target="/xl/theme/theme1.xml" Id="Rdc92cdab06b04125" /><Relationship Type="http://schemas.openxmlformats.org/officeDocument/2006/relationships/sharedStrings" Target="/xl/sharedStrings.xml" Id="Rd3e2feab8e1e4ac7" /><Relationship Type="http://schemas.openxmlformats.org/officeDocument/2006/relationships/worksheet" Target="/xl/worksheets/sheet1.xml" Id="Recd22b344e23434b" /><Relationship Type="http://schemas.openxmlformats.org/officeDocument/2006/relationships/worksheet" Target="/xl/worksheets/sheet2.xml" Id="R8434459154e64f53" /><Relationship Type="http://schemas.openxmlformats.org/officeDocument/2006/relationships/worksheet" Target="/xl/worksheets/sheet3.xml" Id="Rc9c8ed2cc82041d3" /><Relationship Type="http://schemas.openxmlformats.org/officeDocument/2006/relationships/worksheet" Target="/xl/worksheets/sheet4.xml" Id="R84b7de70fcd044c5" /><Relationship Type="http://schemas.openxmlformats.org/officeDocument/2006/relationships/worksheet" Target="/xl/worksheets/sheet5.xml" Id="R68d362c078cc4b89" /><Relationship Type="http://schemas.openxmlformats.org/officeDocument/2006/relationships/worksheet" Target="/xl/worksheets/sheet6.xml" Id="Rb2d5873e9dc64622" /></Relationships>
</file>

<file path=xl/tables/table1.xml><?xml version="1.0" encoding="utf-8"?>
<x:table xmlns:x="http://schemas.openxmlformats.org/spreadsheetml/2006/main" id="1" name="HS048SpeciesTable" displayName="HS048SpeciesTable" ref="A1:U7" headerRowCount="1" totalsRowCount="0" totalsRowShown="0">
  <x:autoFilter ref="A1:U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48CommercialTable" displayName="HS048CommercialTable" ref="A1:O4" headerRowCount="1" totalsRowCount="0" totalsRowShown="0">
  <x:autoFilter ref="A1:O4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48FunctionalTable" displayName="HS048FunctionalTable" ref="A1:O7" headerRowCount="1" totalsRowCount="0" totalsRowShown="0">
  <x:autoFilter ref="A1:O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48ValidationTable" displayName="HS04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36a11ec1e940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2b8ea74a5a49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1ed775995bd45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71089e9eb64e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HS_048</x:v>
      </x:c>
      <x:c r="B2" s="46" t="str">
        <x:v>Atlantic, Antarctic</x:v>
      </x:c>
      <x:c r="C2" s="46" t="str">
        <x:v>High Seas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154127.5378022161</x:v>
      </x:c>
      <x:c r="J2" s="60" t="n">
        <x:v>154122.6604983919</x:v>
      </x:c>
      <x:c r="K2" s="60" t="n">
        <x:v>4.8773038242</x:v>
      </x:c>
      <x:c r="L2" s="60" t="n">
        <x:v>154097.6508252417</x:v>
      </x:c>
      <x:c r="M2" s="60" t="n">
        <x:v>29.8869769744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925.4402624666747</x:v>
      </x:c>
      <x:c r="U2" s="60" t="n">
        <x:f>IF(T2="","",I2*T2)</x:f>
        <x:v>142635829.03702518</x:v>
      </x:c>
    </x:row>
    <x:row r="3" ht="18" customHeight="1">
      <x:c r="A3" s="46" t="str">
        <x:v>HS_048</x:v>
      </x:c>
      <x:c r="B3" s="46" t="str">
        <x:v>Atlantic, Antarctic</x:v>
      </x:c>
      <x:c r="C3" s="46" t="str">
        <x:v>High Seas</x:v>
      </x:c>
      <x:c r="D3" s="58" t="n">
        <x:v>2019</x:v>
      </x:c>
      <x:c r="E3" s="46" t="str">
        <x:v>Trematomus eulepidotus</x:v>
      </x:c>
      <x:c r="F3" s="46" t="str">
        <x:v>Blunt scalyhead</x:v>
      </x:c>
      <x:c r="G3" s="46" t="str">
        <x:v>Small demersals (&lt;30 cm)</x:v>
      </x:c>
      <x:c r="H3" s="46" t="str">
        <x:v>Perch-likes</x:v>
      </x:c>
      <x:c r="I3" s="60" t="n">
        <x:v>0.0472999999</x:v>
      </x:c>
      <x:c r="J3" s="60" t="n">
        <x:v>0.0472999999</x:v>
      </x:c>
      <x:c r="K3" s="60" t="n">
        <x:v>0</x:v>
      </x:c>
      <x:c r="L3" s="60" t="n">
        <x:v>0.0472999999</x:v>
      </x:c>
      <x:c r="M3" s="60" t="n">
        <x:v>0</x:v>
      </x:c>
      <x:c r="N3" s="46" t="str">
        <x:v>trematomus eulepidotus</x:v>
      </x:c>
      <x:c r="O3" s="62" t="n">
        <x:v>3.35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Trematomus eulepidotus</x:v>
      </x:c>
      <x:c r="T3" s="62" t="n">
        <x:f>IF(O3="","",(1/'Metadata'!$B$5)^(O3-1))</x:f>
        <x:v>1141.3543275066227</x:v>
      </x:c>
      <x:c r="U3" s="60" t="n">
        <x:f>IF(T3="","",I3*T3)</x:f>
        <x:v>53.98605957692782</x:v>
      </x:c>
    </x:row>
    <x:row r="4" ht="18" customHeight="1">
      <x:c r="A4" s="46" t="str">
        <x:v>HS_048</x:v>
      </x:c>
      <x:c r="B4" s="46" t="str">
        <x:v>Atlantic, Antarctic</x:v>
      </x:c>
      <x:c r="C4" s="46" t="str">
        <x:v>High Seas</x:v>
      </x:c>
      <x:c r="D4" s="58" t="n">
        <x:v>2019</x:v>
      </x:c>
      <x:c r="E4" s="46" t="str">
        <x:v>Rajiformes</x:v>
      </x:c>
      <x:c r="F4" s="46" t="str">
        <x:v>Skates and rays</x:v>
      </x:c>
      <x:c r="G4" s="46" t="str">
        <x:v>Large rays (&gt;=90 cm)</x:v>
      </x:c>
      <x:c r="H4" s="46" t="str">
        <x:v>Sharks &amp; rays</x:v>
      </x:c>
      <x:c r="I4" s="60" t="n">
        <x:v>0.0286972066</x:v>
      </x:c>
      <x:c r="J4" s="60" t="n">
        <x:v>0.0031566928</x:v>
      </x:c>
      <x:c r="K4" s="60" t="n">
        <x:v>0.025540513799999998</x:v>
      </x:c>
      <x:c r="L4" s="60" t="n">
        <x:v>0.0286972066</x:v>
      </x:c>
      <x:c r="M4" s="60" t="n">
        <x:v>0</x:v>
      </x:c>
      <x:c r="N4" s="46" t="str">
        <x:v>rajiformes</x:v>
      </x:c>
      <x:c r="O4" s="62" t="n">
        <x:v>3.61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Rajiformes</x:v>
      </x:c>
      <x:c r="T4" s="62" t="n">
        <x:f>IF(O4="","",(1/'Metadata'!$B$5)^(O4-1))</x:f>
        <x:v>2487.0716021897506</x:v>
      </x:c>
      <x:c r="U4" s="60" t="n">
        <x:f>IF(T4="","",I4*T4)</x:f>
        <x:v>71.37200759703228</x:v>
      </x:c>
    </x:row>
    <x:row r="5" ht="18" customHeight="1">
      <x:c r="A5" s="46" t="str">
        <x:v>HS_048</x:v>
      </x:c>
      <x:c r="B5" s="46" t="str">
        <x:v>Atlantic, Antarctic</x:v>
      </x:c>
      <x:c r="C5" s="46" t="str">
        <x:v>High Seas</x:v>
      </x:c>
      <x:c r="D5" s="58" t="n">
        <x:v>2019</x:v>
      </x:c>
      <x:c r="E5" s="46" t="str">
        <x:v>Cephalopoda</x:v>
      </x:c>
      <x:c r="F5" s="46" t="str">
        <x:v>Squids, cuttlefishes, octopuses</x:v>
      </x:c>
      <x:c r="G5" s="46" t="str">
        <x:v>Cephalopods</x:v>
      </x:c>
      <x:c r="H5" s="46" t="str">
        <x:v>Other fishes &amp; inverts</x:v>
      </x:c>
      <x:c r="I5" s="60" t="n">
        <x:v>0.00152</x:v>
      </x:c>
      <x:c r="J5" s="60" t="n">
        <x:v>0.00152</x:v>
      </x:c>
      <x:c r="K5" s="60" t="n">
        <x:v>0</x:v>
      </x:c>
      <x:c r="L5" s="60" t="n">
        <x:v>0.00152</x:v>
      </x:c>
      <x:c r="M5" s="60" t="n">
        <x:v>0</x:v>
      </x:c>
      <x:c r="N5" s="46" t="str">
        <x:v>cephalopoda</x:v>
      </x:c>
      <x:c r="O5" s="62" t="n">
        <x:v>3.81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Cephalopoda</x:v>
      </x:c>
      <x:c r="T5" s="62" t="n">
        <x:f>IF(O5="","",(1/'Metadata'!$B$5)^(O5-1))</x:f>
        <x:v>4527.873529309382</x:v>
      </x:c>
      <x:c r="U5" s="60" t="n">
        <x:f>IF(T5="","",I5*T5)</x:f>
        <x:v>6.882367764550262</x:v>
      </x:c>
    </x:row>
    <x:row r="6" ht="18" customHeight="1">
      <x:c r="A6" s="46" t="str">
        <x:v>HS_048</x:v>
      </x:c>
      <x:c r="B6" s="46" t="str">
        <x:v>Atlantic, Antarctic</x:v>
      </x:c>
      <x:c r="C6" s="46" t="str">
        <x:v>High Seas</x:v>
      </x:c>
      <x:c r="D6" s="58" t="n">
        <x:v>2019</x:v>
      </x:c>
      <x:c r="E6" s="46" t="str">
        <x:v>Chionobathyscus dewitti</x:v>
      </x:c>
      <x:c r="F6" s="46" t="str">
        <x:v>Chionobathyscus dewitti</x:v>
      </x:c>
      <x:c r="G6" s="46" t="str">
        <x:v>Medium bathydemersals (30 - 89 cm)</x:v>
      </x:c>
      <x:c r="H6" s="46" t="str">
        <x:v>Perch-likes</x:v>
      </x:c>
      <x:c r="I6" s="60" t="n">
        <x:v>0.0000800001</x:v>
      </x:c>
      <x:c r="J6" s="60" t="n">
        <x:v>0.0000800001</x:v>
      </x:c>
      <x:c r="K6" s="60" t="n">
        <x:v>0</x:v>
      </x:c>
      <x:c r="L6" s="60" t="n">
        <x:v>0.0000800001</x:v>
      </x:c>
      <x:c r="M6" s="60" t="n">
        <x:v>0</x:v>
      </x:c>
      <x:c r="N6" s="46" t="str">
        <x:v>chionobathyscus dewitti</x:v>
      </x:c>
      <x:c r="O6" s="62" t="n">
        <x:v>3.76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Chionobathyscus dewitti</x:v>
      </x:c>
      <x:c r="T6" s="62" t="n">
        <x:f>IF(O6="","",(1/'Metadata'!$B$5)^(O6-1))</x:f>
        <x:v>3898.0085558913897</x:v>
      </x:c>
      <x:c r="U6" s="60" t="n">
        <x:f>IF(T6="","",I6*T6)</x:f>
        <x:v>0.3118410742721668</x:v>
      </x:c>
    </x:row>
    <x:row r="7" ht="18" customHeight="1">
      <x:c r="A7" s="46" t="str">
        <x:v>HS_048</x:v>
      </x:c>
      <x:c r="B7" s="46" t="str">
        <x:v>Atlantic, Antarctic</x:v>
      </x:c>
      <x:c r="C7" s="46" t="str">
        <x:v>High Seas</x:v>
      </x:c>
      <x:c r="D7" s="58" t="n">
        <x:v>2019</x:v>
      </x:c>
      <x:c r="E7" s="46" t="str">
        <x:v>Cnidaria</x:v>
      </x:c>
      <x:c r="F7" s="46" t="str">
        <x:v>Cnidarians, coelenterates</x:v>
      </x:c>
      <x:c r="G7" s="46" t="str">
        <x:v>Jellyfish</x:v>
      </x:c>
      <x:c r="H7" s="46" t="str">
        <x:v>Other fishes &amp; inverts</x:v>
      </x:c>
      <x:c r="I7" s="60" t="n">
        <x:v>0.0000035281</x:v>
      </x:c>
      <x:c r="J7" s="60" t="n">
        <x:v>0</x:v>
      </x:c>
      <x:c r="K7" s="60" t="n">
        <x:v>0.0000035281</x:v>
      </x:c>
      <x:c r="L7" s="60" t="n">
        <x:v>0</x:v>
      </x:c>
      <x:c r="M7" s="60" t="n">
        <x:v>0.0000035281</x:v>
      </x:c>
      <x:c r="N7" s="46" t="str">
        <x:v>cnidaria</x:v>
      </x:c>
      <x:c r="O7" s="62" t="n">
        <x:v>2.5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Cnidaria</x:v>
      </x:c>
      <x:c r="T7" s="62" t="n">
        <x:f>IF(O7="","",(1/'Metadata'!$B$5)^(O7-1))</x:f>
        <x:v>89.44271909999159</x:v>
      </x:c>
      <x:c r="U7" s="60" t="n">
        <x:f>IF(T7="","",I7*T7)</x:f>
        <x:v>0.00031556285725668033</x:v>
      </x:c>
    </x:row>
  </x:sheetData>
  <x:conditionalFormatting sqref="R2:R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c36a11ec1e940b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3</x:v>
      </x:c>
      <x:c r="C2" s="64" t="n">
        <x:v>3</x:v>
      </x:c>
      <x:c r="D2" s="60" t="n">
        <x:v>154127.5393257442</x:v>
      </x:c>
      <x:c r="E2" s="60" t="n">
        <x:v>154127.5393257442</x:v>
      </x:c>
      <x:c r="F2" s="62" t="n">
        <x:v>0</x:v>
      </x:c>
      <x:c r="G2" s="66" t="n">
        <x:v>1</x:v>
      </x:c>
      <x:c r="H2" s="62" t="n">
        <x:f>IF(E2=0,"",I2/E2)</x:f>
        <x:v>925.4402979745995</x:v>
      </x:c>
      <x:c r="I2" s="60" t="n">
        <x:f>SUMIF('Species'!$H$2:$H$7,A2,'Species'!$U$2:$U$7)</x:f>
        <x:v>142635835.91970852</x:v>
      </x:c>
      <x:c r="J2" s="62" t="n">
        <x:v>3.2800000052089846</x:v>
      </x:c>
      <x:c r="K2" s="62" t="n">
        <x:f>IF(J2="","",(1/'Metadata'!$B$5)^(J2-1))</x:f>
        <x:v>925.4402769079145</x:v>
      </x:c>
      <x:c r="L2" s="60" t="n">
        <x:f>IF(E2=0,"",E2*K2)</x:f>
        <x:v>142635832.6727522</x:v>
      </x:c>
      <x:c r="M2" s="60" t="n">
        <x:f>I2-L2</x:f>
        <x:v>3.246956318616867</x:v>
      </x:c>
      <x:c r="N2" s="62" t="n">
        <x:f>IF(L2=0,"",I2/L2)</x:f>
        <x:v>1.0000000227639596</x:v>
      </x:c>
      <x:c r="O2" s="66" t="n">
        <x:f>IF(L2=0,"",M2/L2)</x:f>
        <x:v>2.276395950284332e-8</x:v>
      </x:c>
    </x:row>
    <x:row r="3" ht="18" customHeight="1">
      <x:c r="A3" s="46" t="str">
        <x:v>Perch-likes</x:v>
      </x:c>
      <x:c r="B3" s="64" t="n">
        <x:v>2</x:v>
      </x:c>
      <x:c r="C3" s="64" t="n">
        <x:v>2</x:v>
      </x:c>
      <x:c r="D3" s="60" t="n">
        <x:v>0.04738</x:v>
      </x:c>
      <x:c r="E3" s="60" t="n">
        <x:v>0.04738</x:v>
      </x:c>
      <x:c r="F3" s="62" t="n">
        <x:v>0</x:v>
      </x:c>
      <x:c r="G3" s="66" t="n">
        <x:v>1</x:v>
      </x:c>
      <x:c r="H3" s="62" t="n">
        <x:f>IF(E3=0,"",I3/E3)</x:f>
        <x:v>1146.0088782439846</x:v>
      </x:c>
      <x:c r="I3" s="60" t="n">
        <x:f>SUMIF('Species'!$H$2:$H$7,A3,'Species'!$U$2:$U$7)</x:f>
        <x:v>54.29790065119999</x:v>
      </x:c>
      <x:c r="J3" s="62" t="n">
        <x:v>3.350692276086957</x:v>
      </x:c>
      <x:c r="K3" s="62" t="n">
        <x:f>IF(J3="","",(1/'Metadata'!$B$5)^(J3-1))</x:f>
        <x:v>1143.723808514167</x:v>
      </x:c>
      <x:c r="L3" s="60" t="n">
        <x:f>IF(E3=0,"",E3*K3)</x:f>
        <x:v>54.189634047401235</x:v>
      </x:c>
      <x:c r="M3" s="60" t="n">
        <x:f>I3-L3</x:f>
        <x:v>0.10826660379875364</x:v>
      </x:c>
      <x:c r="N3" s="62" t="n">
        <x:f>IF(L3=0,"",I3/L3)</x:f>
        <x:v>1.0019979209253203</x:v>
      </x:c>
      <x:c r="O3" s="66" t="n">
        <x:f>IF(L3=0,"",M3/L3)</x:f>
        <x:v>0.0019979209253203245</x:v>
      </x:c>
    </x:row>
    <x:row r="4" ht="18" customHeight="1">
      <x:c r="A4" s="46" t="str">
        <x:v>Sharks &amp; rays</x:v>
      </x:c>
      <x:c r="B4" s="64" t="n">
        <x:v>1</x:v>
      </x:c>
      <x:c r="C4" s="64" t="n">
        <x:v>1</x:v>
      </x:c>
      <x:c r="D4" s="60" t="n">
        <x:v>0.0286972066</x:v>
      </x:c>
      <x:c r="E4" s="60" t="n">
        <x:v>0.0286972066</x:v>
      </x:c>
      <x:c r="F4" s="62" t="n">
        <x:v>0</x:v>
      </x:c>
      <x:c r="G4" s="66" t="n">
        <x:v>1</x:v>
      </x:c>
      <x:c r="H4" s="62" t="n">
        <x:f>IF(E4=0,"",I4/E4)</x:f>
        <x:v>2487.07160218975</x:v>
      </x:c>
      <x:c r="I4" s="60" t="n">
        <x:f>SUMIF('Species'!$H$2:$H$7,A4,'Species'!$U$2:$U$7)</x:f>
        <x:v>71.37200759703228</x:v>
      </x:c>
      <x:c r="J4" s="62" t="n">
        <x:v>3.61</x:v>
      </x:c>
      <x:c r="K4" s="62" t="n">
        <x:f>IF(J4="","",(1/'Metadata'!$B$5)^(J4-1))</x:f>
        <x:v>2487.0716021897506</x:v>
      </x:c>
      <x:c r="L4" s="60" t="n">
        <x:f>IF(E4=0,"",E4*K4)</x:f>
        <x:v>71.37200759703228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</x:sheetData>
  <x:conditionalFormatting sqref="G2:G4">
    <x:cfRule type="cellIs" dxfId="1" priority="1" operator="lessThan">
      <x:formula>0.9</x:formula>
    </x:cfRule>
  </x:conditionalFormatting>
  <x:conditionalFormatting sqref="O2:O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72b8ea74a5a49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</x:v>
      </x:c>
      <x:c r="C2" s="64" t="n">
        <x:v>1</x:v>
      </x:c>
      <x:c r="D2" s="60" t="n">
        <x:v>0.00152</x:v>
      </x:c>
      <x:c r="E2" s="60" t="n">
        <x:v>0.00152</x:v>
      </x:c>
      <x:c r="F2" s="62" t="n">
        <x:v>0</x:v>
      </x:c>
      <x:c r="G2" s="66" t="n">
        <x:v>1</x:v>
      </x:c>
      <x:c r="H2" s="62" t="n">
        <x:f>IF(E2=0,"",I2/E2)</x:f>
        <x:v>4527.873529309382</x:v>
      </x:c>
      <x:c r="I2" s="60" t="n">
        <x:f>SUMIF('Species'!$G$2:$G$7,A2,'Species'!$U$2:$U$7)</x:f>
        <x:v>6.882367764550262</x:v>
      </x:c>
      <x:c r="J2" s="62" t="n">
        <x:v>3.81</x:v>
      </x:c>
      <x:c r="K2" s="62" t="n">
        <x:f>IF(J2="","",(1/'Metadata'!$B$5)^(J2-1))</x:f>
        <x:v>4527.873529309382</x:v>
      </x:c>
      <x:c r="L2" s="60" t="n">
        <x:f>IF(E2=0,"",E2*K2)</x:f>
        <x:v>6.882367764550262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0.0000035281</x:v>
      </x:c>
      <x:c r="E3" s="60" t="n">
        <x:v>0.0000035281</x:v>
      </x:c>
      <x:c r="F3" s="62" t="n">
        <x:v>0</x:v>
      </x:c>
      <x:c r="G3" s="66" t="n">
        <x:v>1</x:v>
      </x:c>
      <x:c r="H3" s="62" t="n">
        <x:f>IF(E3=0,"",I3/E3)</x:f>
        <x:v>89.44271909999159</x:v>
      </x:c>
      <x:c r="I3" s="60" t="n">
        <x:f>SUMIF('Species'!$G$2:$G$7,A3,'Species'!$U$2:$U$7)</x:f>
        <x:v>0.00031556285725668033</x:v>
      </x:c>
      <x:c r="J3" s="62" t="n">
        <x:v>2.5</x:v>
      </x:c>
      <x:c r="K3" s="62" t="n">
        <x:f>IF(J3="","",(1/'Metadata'!$B$5)^(J3-1))</x:f>
        <x:v>89.44271909999159</x:v>
      </x:c>
      <x:c r="L3" s="60" t="n">
        <x:f>IF(E3=0,"",E3*K3)</x:f>
        <x:v>0.00031556285725668033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rays (&gt;=90 cm)</x:v>
      </x:c>
      <x:c r="B4" s="64" t="n">
        <x:v>1</x:v>
      </x:c>
      <x:c r="C4" s="64" t="n">
        <x:v>1</x:v>
      </x:c>
      <x:c r="D4" s="60" t="n">
        <x:v>0.0286972066</x:v>
      </x:c>
      <x:c r="E4" s="60" t="n">
        <x:v>0.0286972066</x:v>
      </x:c>
      <x:c r="F4" s="62" t="n">
        <x:v>0</x:v>
      </x:c>
      <x:c r="G4" s="66" t="n">
        <x:v>1</x:v>
      </x:c>
      <x:c r="H4" s="62" t="n">
        <x:f>IF(E4=0,"",I4/E4)</x:f>
        <x:v>2487.07160218975</x:v>
      </x:c>
      <x:c r="I4" s="60" t="n">
        <x:f>SUMIF('Species'!$G$2:$G$7,A4,'Species'!$U$2:$U$7)</x:f>
        <x:v>71.37200759703228</x:v>
      </x:c>
      <x:c r="J4" s="62" t="n">
        <x:v>3.61</x:v>
      </x:c>
      <x:c r="K4" s="62" t="n">
        <x:f>IF(J4="","",(1/'Metadata'!$B$5)^(J4-1))</x:f>
        <x:v>2487.0716021897506</x:v>
      </x:c>
      <x:c r="L4" s="60" t="n">
        <x:f>IF(E4=0,"",E4*K4)</x:f>
        <x:v>71.37200759703228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Medium bathydemersals (30 - 89 cm)</x:v>
      </x:c>
      <x:c r="B5" s="64" t="n">
        <x:v>1</x:v>
      </x:c>
      <x:c r="C5" s="64" t="n">
        <x:v>1</x:v>
      </x:c>
      <x:c r="D5" s="60" t="n">
        <x:v>0.0000800001</x:v>
      </x:c>
      <x:c r="E5" s="60" t="n">
        <x:v>0.0000800001</x:v>
      </x:c>
      <x:c r="F5" s="62" t="n">
        <x:v>0</x:v>
      </x:c>
      <x:c r="G5" s="66" t="n">
        <x:v>1</x:v>
      </x:c>
      <x:c r="H5" s="62" t="n">
        <x:f>IF(E5=0,"",I5/E5)</x:f>
        <x:v>3898.0085558913897</x:v>
      </x:c>
      <x:c r="I5" s="60" t="n">
        <x:f>SUMIF('Species'!$G$2:$G$7,A5,'Species'!$U$2:$U$7)</x:f>
        <x:v>0.3118410742721668</x:v>
      </x:c>
      <x:c r="J5" s="62" t="n">
        <x:v>3.7600000000000002</x:v>
      </x:c>
      <x:c r="K5" s="62" t="n">
        <x:f>IF(J5="","",(1/'Metadata'!$B$5)^(J5-1))</x:f>
        <x:v>3898.0085558913947</x:v>
      </x:c>
      <x:c r="L5" s="60" t="n">
        <x:f>IF(E5=0,"",E5*K5)</x:f>
        <x:v>0.3118410742721672</x:v>
      </x:c>
      <x:c r="M5" s="60" t="n">
        <x:f>I5-L5</x:f>
        <x:v>-3.885780586188048e-16</x:v>
      </x:c>
      <x:c r="N5" s="62" t="n">
        <x:f>IF(L5=0,"",I5/L5)</x:f>
        <x:v>0.9999999999999988</x:v>
      </x:c>
      <x:c r="O5" s="66" t="n">
        <x:f>IF(L5=0,"",M5/L5)</x:f>
        <x:v>-1.2460772190633985e-15</x:v>
      </x:c>
    </x:row>
    <x:row r="6" ht="18" customHeight="1">
      <x:c r="A6" s="46" t="str">
        <x:v>Medium demersals (30 - 89 cm)</x:v>
      </x:c>
      <x:c r="B6" s="64" t="n">
        <x:v>1</x:v>
      </x:c>
      <x:c r="C6" s="64" t="n">
        <x:v>1</x:v>
      </x:c>
      <x:c r="D6" s="60" t="n">
        <x:v>154127.5378022161</x:v>
      </x:c>
      <x:c r="E6" s="60" t="n">
        <x:v>154127.5378022161</x:v>
      </x:c>
      <x:c r="F6" s="62" t="n">
        <x:v>0</x:v>
      </x:c>
      <x:c r="G6" s="66" t="n">
        <x:v>1</x:v>
      </x:c>
      <x:c r="H6" s="62" t="n">
        <x:f>IF(E6=0,"",I6/E6)</x:f>
        <x:v>925.4402624666747</x:v>
      </x:c>
      <x:c r="I6" s="60" t="n">
        <x:f>SUMIF('Species'!$G$2:$G$7,A6,'Species'!$U$2:$U$7)</x:f>
        <x:v>142635829.03702518</x:v>
      </x:c>
      <x:c r="J6" s="62" t="n">
        <x:v>3.28</x:v>
      </x:c>
      <x:c r="K6" s="62" t="n">
        <x:f>IF(J6="","",(1/'Metadata'!$B$5)^(J6-1))</x:f>
        <x:v>925.4402624666747</x:v>
      </x:c>
      <x:c r="L6" s="60" t="n">
        <x:f>IF(E6=0,"",E6*K6)</x:f>
        <x:v>142635829.03702518</x:v>
      </x:c>
      <x:c r="M6" s="60" t="n">
        <x:f>I6-L6</x:f>
        <x:v>0</x:v>
      </x:c>
      <x:c r="N6" s="62" t="n">
        <x:f>IF(L6=0,"",I6/L6)</x:f>
        <x:v>1</x:v>
      </x:c>
      <x:c r="O6" s="66" t="n">
        <x:f>IF(L6=0,"",M6/L6)</x:f>
        <x:v>0</x:v>
      </x:c>
    </x:row>
    <x:row r="7" ht="18" customHeight="1">
      <x:c r="A7" s="46" t="str">
        <x:v>Small demersals (&lt;30 cm)</x:v>
      </x:c>
      <x:c r="B7" s="64" t="n">
        <x:v>1</x:v>
      </x:c>
      <x:c r="C7" s="64" t="n">
        <x:v>1</x:v>
      </x:c>
      <x:c r="D7" s="60" t="n">
        <x:v>0.0472999999</x:v>
      </x:c>
      <x:c r="E7" s="60" t="n">
        <x:v>0.0472999999</x:v>
      </x:c>
      <x:c r="F7" s="62" t="n">
        <x:v>0</x:v>
      </x:c>
      <x:c r="G7" s="66" t="n">
        <x:v>1</x:v>
      </x:c>
      <x:c r="H7" s="62" t="n">
        <x:f>IF(E7=0,"",I7/E7)</x:f>
        <x:v>1141.3543275066227</x:v>
      </x:c>
      <x:c r="I7" s="60" t="n">
        <x:f>SUMIF('Species'!$G$2:$G$7,A7,'Species'!$U$2:$U$7)</x:f>
        <x:v>53.98605957692782</x:v>
      </x:c>
      <x:c r="J7" s="62" t="n">
        <x:v>3.35</x:v>
      </x:c>
      <x:c r="K7" s="62" t="n">
        <x:f>IF(J7="","",(1/'Metadata'!$B$5)^(J7-1))</x:f>
        <x:v>1141.3543275066227</x:v>
      </x:c>
      <x:c r="L7" s="60" t="n">
        <x:f>IF(E7=0,"",E7*K7)</x:f>
        <x:v>53.98605957692782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</x:sheetData>
  <x:conditionalFormatting sqref="G2:G7">
    <x:cfRule type="cellIs" dxfId="2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1ed775995bd45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HS_048</x:v>
      </x:c>
      <x:c r="B2" s="46" t="str">
        <x:v>raw_filtered_tonnes</x:v>
      </x:c>
      <x:c r="C2" s="46" t="n">
        <x:v>154127.6154029508</x:v>
      </x:c>
      <x:c r="D2" s="46" t="str">
        <x:v>tonnes</x:v>
      </x:c>
    </x:row>
    <x:row r="3" ht="18" customHeight="1">
      <x:c r="A3" s="46" t="str">
        <x:v>HS_048</x:v>
      </x:c>
      <x:c r="B3" s="46" t="str">
        <x:v>species_catch_tonnes</x:v>
      </x:c>
      <x:c r="C3" s="46" t="n">
        <x:v>154127.61540295082</x:v>
      </x:c>
      <x:c r="D3" s="46" t="str">
        <x:v>tonnes</x:v>
      </x:c>
    </x:row>
    <x:row r="4" ht="18" customHeight="1">
      <x:c r="A4" s="46" t="str">
        <x:v>HS_048</x:v>
      </x:c>
      <x:c r="B4" s="46" t="str">
        <x:v>catch_difference_tonnes</x:v>
      </x:c>
      <x:c r="C4" s="46" t="n">
        <x:v>2.9103830456733704e-11</x:v>
      </x:c>
      <x:c r="D4" s="46" t="str">
        <x:v>tonnes</x:v>
      </x:c>
    </x:row>
    <x:row r="5" ht="18" customHeight="1">
      <x:c r="A5" s="46" t="str">
        <x:v>HS_048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HS_048</x:v>
      </x:c>
      <x:c r="B6" s="46" t="str">
        <x:v>matched_catch_tonnes</x:v>
      </x:c>
      <x:c r="C6" s="46" t="n">
        <x:v>154127.61540295082</x:v>
      </x:c>
      <x:c r="D6" s="46" t="str">
        <x:v>tonnes</x:v>
      </x:c>
    </x:row>
    <x:row r="7" ht="18" customHeight="1">
      <x:c r="A7" s="46" t="str">
        <x:v>HS_048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HS_048</x:v>
      </x:c>
      <x:c r="B8" s="46" t="str">
        <x:v>taxa_count</x:v>
      </x:c>
      <x:c r="C8" s="46" t="n">
        <x:v>6</x:v>
      </x:c>
      <x:c r="D8" s="46" t="str">
        <x:v>count</x:v>
      </x:c>
    </x:row>
    <x:row r="9" ht="18" customHeight="1">
      <x:c r="A9" s="46" t="str">
        <x:v>HS_048</x:v>
      </x:c>
      <x:c r="B9" s="46" t="str">
        <x:v>matched_taxa_count</x:v>
      </x:c>
      <x:c r="C9" s="46" t="n">
        <x:v>6</x:v>
      </x:c>
      <x:c r="D9" s="46" t="str">
        <x:v>count</x:v>
      </x:c>
    </x:row>
    <x:row r="10" ht="18" customHeight="1">
      <x:c r="A10" s="46" t="str">
        <x:v>HS_048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HS_048</x:v>
      </x:c>
      <x:c r="B11" s="46" t="str">
        <x:v>species_ppr</x:v>
      </x:c>
      <x:c r="C11" s="46" t="n">
        <x:v>142635961.58961678</x:v>
      </x:c>
      <x:c r="D11" s="46" t="str">
        <x:v>tonnes_primary_production_equivalent</x:v>
      </x:c>
    </x:row>
    <x:row r="12" ht="18" customHeight="1">
      <x:c r="A12" s="46" t="str">
        <x:v>HS_048</x:v>
      </x:c>
      <x:c r="B12" s="46" t="str">
        <x:v>commercial_ppr</x:v>
      </x:c>
      <x:c r="C12" s="46" t="n">
        <x:v>142635961.58961678</x:v>
      </x:c>
      <x:c r="D12" s="46" t="str">
        <x:v>tonnes_primary_production_equivalent</x:v>
      </x:c>
    </x:row>
    <x:row r="13" ht="18" customHeight="1">
      <x:c r="A13" s="46" t="str">
        <x:v>HS_048</x:v>
      </x:c>
      <x:c r="B13" s="46" t="str">
        <x:v>functional_ppr</x:v>
      </x:c>
      <x:c r="C13" s="46" t="n">
        <x:v>142635961.58961675</x:v>
      </x:c>
      <x:c r="D13" s="46" t="str">
        <x:v>tonnes_primary_production_equivalent</x:v>
      </x:c>
    </x:row>
    <x:row r="14" ht="18" customHeight="1">
      <x:c r="A14" s="46" t="str">
        <x:v>HS_048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HS_048</x:v>
      </x:c>
      <x:c r="B15" s="46" t="str">
        <x:v>functional_ppr_difference</x:v>
      </x:c>
      <x:c r="C15" s="46" t="n">
        <x:v>-2.9802322387695312e-8</x:v>
      </x:c>
      <x:c r="D15" s="46" t="str">
        <x:v>tonnes_primary_production_equivalent</x:v>
      </x:c>
    </x:row>
    <x:row r="16" ht="18" customHeight="1">
      <x:c r="A16" s="46" t="str">
        <x:v>HS_048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HS_048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HS_048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HS_048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171089e9eb64e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HS_048 - Atlantic, Antarctic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HS_048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raw_data/SAU_downloads/HS_048-catch.zip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