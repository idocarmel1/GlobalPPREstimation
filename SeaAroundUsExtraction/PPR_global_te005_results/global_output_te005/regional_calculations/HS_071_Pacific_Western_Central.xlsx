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f4cb2b452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dc6deba0ae54ba1"/>
    <x:sheet xmlns:r="http://schemas.openxmlformats.org/officeDocument/2006/relationships" name="Commercial" sheetId="2" r:id="R24532fd89ea0409b"/>
    <x:sheet xmlns:r="http://schemas.openxmlformats.org/officeDocument/2006/relationships" name="Functional" sheetId="3" r:id="R22a6c2c6ee554b2c"/>
    <x:sheet xmlns:r="http://schemas.openxmlformats.org/officeDocument/2006/relationships" name="Missing TL" sheetId="4" r:id="R279e20373fb94cac"/>
    <x:sheet xmlns:r="http://schemas.openxmlformats.org/officeDocument/2006/relationships" name="Validation" sheetId="5" r:id="R95675bc0a4324d96"/>
    <x:sheet xmlns:r="http://schemas.openxmlformats.org/officeDocument/2006/relationships" name="Metadata" sheetId="6" r:id="R7ad89d59ffa6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9d8466354dc5" /><Relationship Type="http://schemas.openxmlformats.org/officeDocument/2006/relationships/theme" Target="/xl/theme/theme1.xml" Id="Rceaf9d958d254e8f" /><Relationship Type="http://schemas.openxmlformats.org/officeDocument/2006/relationships/sharedStrings" Target="/xl/sharedStrings.xml" Id="R8f6ed735b45a4360" /><Relationship Type="http://schemas.openxmlformats.org/officeDocument/2006/relationships/worksheet" Target="/xl/worksheets/sheet1.xml" Id="R9dc6deba0ae54ba1" /><Relationship Type="http://schemas.openxmlformats.org/officeDocument/2006/relationships/worksheet" Target="/xl/worksheets/sheet2.xml" Id="R24532fd89ea0409b" /><Relationship Type="http://schemas.openxmlformats.org/officeDocument/2006/relationships/worksheet" Target="/xl/worksheets/sheet3.xml" Id="R22a6c2c6ee554b2c" /><Relationship Type="http://schemas.openxmlformats.org/officeDocument/2006/relationships/worksheet" Target="/xl/worksheets/sheet4.xml" Id="R279e20373fb94cac" /><Relationship Type="http://schemas.openxmlformats.org/officeDocument/2006/relationships/worksheet" Target="/xl/worksheets/sheet5.xml" Id="R95675bc0a4324d96" /><Relationship Type="http://schemas.openxmlformats.org/officeDocument/2006/relationships/worksheet" Target="/xl/worksheets/sheet6.xml" Id="R7ad89d59ffa64fed" /></Relationships>
</file>

<file path=xl/tables/table1.xml><?xml version="1.0" encoding="utf-8"?>
<x:table xmlns:x="http://schemas.openxmlformats.org/spreadsheetml/2006/main" id="1" name="HS071SpeciesTable" displayName="HS071SpeciesTable" ref="A1:U24" headerRowCount="1" totalsRowCount="0" totalsRowShown="0">
  <x:autoFilter ref="A1:U2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71CommercialTable" displayName="HS07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71FunctionalTable" displayName="HS07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71ValidationTable" displayName="HS07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493e6ee9a41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bd4023989c46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20e84af436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ad640969bb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HS_071</x:v>
      </x:c>
      <x:c r="B2" s="46" t="str">
        <x:v>Pacific, Western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382330.0463323972</x:v>
      </x:c>
      <x:c r="J2" s="60" t="n">
        <x:v>379104.0203851209</x:v>
      </x:c>
      <x:c r="K2" s="60" t="n">
        <x:v>3226.0259472763</x:v>
      </x:c>
      <x:c r="L2" s="60" t="n">
        <x:v>379104.0203851209</x:v>
      </x:c>
      <x:c r="M2" s="60" t="n">
        <x:v>3226.0259472763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11091015559.741762</x:v>
      </x:c>
    </x:row>
    <x:row r="3" ht="18" customHeight="1">
      <x:c r="A3" s="46" t="str">
        <x:v>HS_071</x:v>
      </x:c>
      <x:c r="B3" s="46" t="str">
        <x:v>Pacific, Western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111565.1228841234</x:v>
      </x:c>
      <x:c r="J3" s="60" t="n">
        <x:v>111118.5399814832</x:v>
      </x:c>
      <x:c r="K3" s="60" t="n">
        <x:v>446.58290264019996</x:v>
      </x:c>
      <x:c r="L3" s="60" t="n">
        <x:v>111118.5399814832</x:v>
      </x:c>
      <x:c r="M3" s="60" t="n">
        <x:v>446.58290264019996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3048180871.1685247</x:v>
      </x:c>
    </x:row>
    <x:row r="4" ht="18" customHeight="1">
      <x:c r="A4" s="46" t="str">
        <x:v>HS_071</x:v>
      </x:c>
      <x:c r="B4" s="46" t="str">
        <x:v>Pacific, Western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24224.8630511907</x:v>
      </x:c>
      <x:c r="J4" s="60" t="n">
        <x:v>23945.4674626815</x:v>
      </x:c>
      <x:c r="K4" s="60" t="n">
        <x:v>279.39558850919997</x:v>
      </x:c>
      <x:c r="L4" s="60" t="n">
        <x:v>23945.4674626815</x:v>
      </x:c>
      <x:c r="M4" s="60" t="n">
        <x:v>279.39558850919997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34721.19667768202</x:v>
      </x:c>
      <x:c r="U4" s="60" t="n">
        <x:f>IF(T4="","",I4*T4)</x:f>
        <x:v>841116234.4903045</x:v>
      </x:c>
    </x:row>
    <x:row r="5" ht="18" customHeight="1">
      <x:c r="A5" s="46" t="str">
        <x:v>HS_071</x:v>
      </x:c>
      <x:c r="B5" s="46" t="str">
        <x:v>Pacific, Western Central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15944.9950977959</x:v>
      </x:c>
      <x:c r="J5" s="60" t="n">
        <x:v>7353.2070982564</x:v>
      </x:c>
      <x:c r="K5" s="60" t="n">
        <x:v>8591.7879995395</x:v>
      </x:c>
      <x:c r="L5" s="60" t="n">
        <x:v>7353.2070982564</x:v>
      </x:c>
      <x:c r="M5" s="60" t="n">
        <x:v>8591.7879995395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22827.086550132422</x:v>
      </x:c>
      <x:c r="U5" s="60" t="n">
        <x:f>IF(T5="","",I5*T5)</x:f>
        <x:v>363977783.13882416</x:v>
      </x:c>
    </x:row>
    <x:row r="6" ht="18" customHeight="1">
      <x:c r="A6" s="46" t="str">
        <x:v>HS_071</x:v>
      </x:c>
      <x:c r="B6" s="46" t="str">
        <x:v>Pacific, Western Central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7874.9419576226</x:v>
      </x:c>
      <x:c r="J6" s="60" t="n">
        <x:v>7853.864742469</x:v>
      </x:c>
      <x:c r="K6" s="60" t="n">
        <x:v>21.077215153599997</x:v>
      </x:c>
      <x:c r="L6" s="60" t="n">
        <x:v>7853.864742469</x:v>
      </x:c>
      <x:c r="M6" s="60" t="n">
        <x:v>21.077215153599997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19651.648417852637</x:v>
      </x:c>
      <x:c r="U6" s="60" t="n">
        <x:f>IF(T6="","",I6*T6)</x:f>
        <x:v>154755590.6621955</x:v>
      </x:c>
    </x:row>
    <x:row r="7" ht="18" customHeight="1">
      <x:c r="A7" s="46" t="str">
        <x:v>HS_071</x:v>
      </x:c>
      <x:c r="B7" s="46" t="str">
        <x:v>Pacific, Western Central</x:v>
      </x:c>
      <x:c r="C7" s="46" t="str">
        <x:v>High Seas</x:v>
      </x:c>
      <x:c r="D7" s="58" t="n">
        <x:v>2019</x:v>
      </x:c>
      <x:c r="E7" s="46" t="str">
        <x:v>Marine fishes not identified</x:v>
      </x:c>
      <x:c r="F7" s="46" t="str">
        <x:v>Marine fishes nei</x:v>
      </x:c>
      <x:c r="G7" s="46" t="str">
        <x:v>Medium demersals (30 - 89 cm)</x:v>
      </x:c>
      <x:c r="H7" s="46" t="str">
        <x:v>Other fishes &amp; inverts</x:v>
      </x:c>
      <x:c r="I7" s="60" t="n">
        <x:v>7263.5041104633</x:v>
      </x:c>
      <x:c r="J7" s="60" t="n">
        <x:v>0</x:v>
      </x:c>
      <x:c r="K7" s="60" t="n">
        <x:v>7263.5041104633</x:v>
      </x:c>
      <x:c r="L7" s="60" t="n">
        <x:v>0</x:v>
      </x:c>
      <x:c r="M7" s="60" t="n">
        <x:v>7263.5041104633</x:v>
      </x:c>
      <x:c r="N7" s="46" t="str">
        <x:v>marine fishes not identified</x:v>
      </x:c>
      <x:c r="O7" s="62" t="n">
        <x:v>3.28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fishes not identified</x:v>
      </x:c>
      <x:c r="T7" s="62" t="n">
        <x:f>IF(O7="","",(1/'Metadata'!$B$5)^(O7-1))</x:f>
        <x:v>925.4402624666747</x:v>
      </x:c>
      <x:c r="U7" s="60" t="n">
        <x:f>IF(T7="","",I7*T7)</x:f>
        <x:v>6721939.150414927</x:v>
      </x:c>
    </x:row>
    <x:row r="8" ht="18" customHeight="1">
      <x:c r="A8" s="46" t="str">
        <x:v>HS_071</x:v>
      </x:c>
      <x:c r="B8" s="46" t="str">
        <x:v>Pacific, Western Central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4591.1484657753</x:v>
      </x:c>
      <x:c r="J8" s="60" t="n">
        <x:v>0</x:v>
      </x:c>
      <x:c r="K8" s="60" t="n">
        <x:v>4591.1484657753</x:v>
      </x:c>
      <x:c r="L8" s="60" t="n">
        <x:v>0</x:v>
      </x:c>
      <x:c r="M8" s="60" t="n">
        <x:v>4591.1484657753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9292.690797132333</x:v>
      </x:c>
      <x:c r="U8" s="60" t="n">
        <x:f>IF(T8="","",I8*T8)</x:f>
        <x:v>42664123.09617836</x:v>
      </x:c>
    </x:row>
    <x:row r="9" ht="18" customHeight="1">
      <x:c r="A9" s="46" t="str">
        <x:v>HS_071</x:v>
      </x:c>
      <x:c r="B9" s="46" t="str">
        <x:v>Pacific, Western Central</x:v>
      </x:c>
      <x:c r="C9" s="46" t="str">
        <x:v>High Seas</x:v>
      </x:c>
      <x:c r="D9" s="58" t="n">
        <x:v>2019</x:v>
      </x:c>
      <x:c r="E9" s="46" t="str">
        <x:v>Marine pelagic fishes not identified</x:v>
      </x:c>
      <x:c r="F9" s="46" t="str">
        <x:v>Pelagic fishes</x:v>
      </x:c>
      <x:c r="G9" s="46" t="str">
        <x:v>Medium pelagics (30 - 89 cm)</x:v>
      </x:c>
      <x:c r="H9" s="46" t="str">
        <x:v>Other fishes &amp; inverts</x:v>
      </x:c>
      <x:c r="I9" s="60" t="n">
        <x:v>4183.7400255864995</x:v>
      </x:c>
      <x:c r="J9" s="60" t="n">
        <x:v>3440.9397622191</x:v>
      </x:c>
      <x:c r="K9" s="60" t="n">
        <x:v>742.8002633674</x:v>
      </x:c>
      <x:c r="L9" s="60" t="n">
        <x:v>3440.9397622191</x:v>
      </x:c>
      <x:c r="M9" s="60" t="n">
        <x:v>742.8002633674</x:v>
      </x:c>
      <x:c r="N9" s="46" t="str">
        <x:v>marine pelagic fishes not identified</x:v>
      </x:c>
      <x:c r="O9" s="62" t="n">
        <x:v>3.35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pelagic fishes not identified</x:v>
      </x:c>
      <x:c r="T9" s="62" t="n">
        <x:f>IF(O9="","",(1/'Metadata'!$B$5)^(O9-1))</x:f>
        <x:v>1141.3543275066227</x:v>
      </x:c>
      <x:c r="U9" s="60" t="n">
        <x:f>IF(T9="","",I9*T9)</x:f>
        <x:v>4775129.78336582</x:v>
      </x:c>
    </x:row>
    <x:row r="10" ht="18" customHeight="1">
      <x:c r="A10" s="46" t="str">
        <x:v>HS_071</x:v>
      </x:c>
      <x:c r="B10" s="46" t="str">
        <x:v>Pacific, Western Central</x:v>
      </x:c>
      <x:c r="C10" s="46" t="str">
        <x:v>High Seas</x:v>
      </x:c>
      <x:c r="D10" s="58" t="n">
        <x:v>2019</x:v>
      </x:c>
      <x:c r="E10" s="46" t="str">
        <x:v>Scombridae</x:v>
      </x:c>
      <x:c r="F10" s="46" t="str">
        <x:v>Mackerels, tunas, bonitos</x:v>
      </x:c>
      <x:c r="G10" s="46" t="str">
        <x:v>Medium pelagics (30 - 89 cm)</x:v>
      </x:c>
      <x:c r="H10" s="46" t="str">
        <x:v>Perch-likes</x:v>
      </x:c>
      <x:c r="I10" s="60" t="n">
        <x:v>2939.5621171377</x:v>
      </x:c>
      <x:c r="J10" s="60" t="n">
        <x:v>0</x:v>
      </x:c>
      <x:c r="K10" s="60" t="n">
        <x:v>2939.5621171377</x:v>
      </x:c>
      <x:c r="L10" s="60" t="n">
        <x:v>0</x:v>
      </x:c>
      <x:c r="M10" s="60" t="n">
        <x:v>2939.5621171377</x:v>
      </x:c>
      <x:c r="N10" s="46" t="str">
        <x:v>scombridae</x:v>
      </x:c>
      <x:c r="O10" s="62" t="n">
        <x:v>4.26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Scombridae</x:v>
      </x:c>
      <x:c r="T10" s="62" t="n">
        <x:f>IF(O10="","",(1/'Metadata'!$B$5)^(O10-1))</x:f>
        <x:v>17432.42421569787</x:v>
      </x:c>
      <x:c r="U10" s="60" t="n">
        <x:f>IF(T10="","",I10*T10)</x:f>
        <x:v>51243693.83433934</x:v>
      </x:c>
    </x:row>
    <x:row r="11" ht="18" customHeight="1">
      <x:c r="A11" s="46" t="str">
        <x:v>HS_071</x:v>
      </x:c>
      <x:c r="B11" s="46" t="str">
        <x:v>Pacific, Western Central</x:v>
      </x:c>
      <x:c r="C11" s="46" t="str">
        <x:v>High Seas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2574.1407820474997</x:v>
      </x:c>
      <x:c r="J11" s="60" t="n">
        <x:v>0</x:v>
      </x:c>
      <x:c r="K11" s="60" t="n">
        <x:v>2574.1407820474997</x:v>
      </x:c>
      <x:c r="L11" s="60" t="n">
        <x:v>0</x:v>
      </x:c>
      <x:c r="M11" s="60" t="n">
        <x:v>2574.1407820474997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24236.56596112542</x:v>
      </x:c>
      <x:c r="U11" s="60" t="n">
        <x:f>IF(T11="","",I11*T11)</x:f>
        <x:v>62388332.857317194</x:v>
      </x:c>
    </x:row>
    <x:row r="12" ht="18" customHeight="1">
      <x:c r="A12" s="46" t="str">
        <x:v>HS_071</x:v>
      </x:c>
      <x:c r="B12" s="46" t="str">
        <x:v>Pacific, Western Central</x:v>
      </x:c>
      <x:c r="C12" s="46" t="str">
        <x:v>High Seas</x:v>
      </x:c>
      <x:c r="D12" s="58" t="n">
        <x:v>2019</x:v>
      </x:c>
      <x:c r="E12" s="46" t="str">
        <x:v>Xiphias gladius</x:v>
      </x:c>
      <x:c r="F12" s="46" t="str">
        <x:v>Swordfish</x:v>
      </x:c>
      <x:c r="G12" s="46" t="str">
        <x:v>Large pelagics (&gt;=90 cm)</x:v>
      </x:c>
      <x:c r="H12" s="46" t="str">
        <x:v>Tuna &amp; billfishes</x:v>
      </x:c>
      <x:c r="I12" s="60" t="n">
        <x:v>2012.7741795332</x:v>
      </x:c>
      <x:c r="J12" s="60" t="n">
        <x:v>822.8522543065</x:v>
      </x:c>
      <x:c r="K12" s="60" t="n">
        <x:v>1189.9219252267</x:v>
      </x:c>
      <x:c r="L12" s="60" t="n">
        <x:v>822.8522543065</x:v>
      </x:c>
      <x:c r="M12" s="60" t="n">
        <x:v>1189.9219252267</x:v>
      </x:c>
      <x:c r="N12" s="46" t="str">
        <x:v>xiphias gladius</x:v>
      </x:c>
      <x:c r="O12" s="62" t="n">
        <x:v>4.53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Xiphias gladius</x:v>
      </x:c>
      <x:c r="T12" s="62" t="n">
        <x:f>IF(O12="","",(1/'Metadata'!$B$5)^(O12-1))</x:f>
        <x:v>39141.35758252625</x:v>
      </x:c>
      <x:c r="U12" s="60" t="n">
        <x:f>IF(T12="","",I12*T12)</x:f>
        <x:v>78782713.89398487</x:v>
      </x:c>
    </x:row>
    <x:row r="13" ht="18" customHeight="1">
      <x:c r="A13" s="46" t="str">
        <x:v>HS_071</x:v>
      </x:c>
      <x:c r="B13" s="46" t="str">
        <x:v>Pacific, Western Central</x:v>
      </x:c>
      <x:c r="C13" s="46" t="str">
        <x:v>High Seas</x:v>
      </x:c>
      <x:c r="D13" s="58" t="n">
        <x:v>2019</x:v>
      </x:c>
      <x:c r="E13" s="46" t="str">
        <x:v>Thunnus orientalis</x:v>
      </x:c>
      <x:c r="F13" s="46" t="str">
        <x:v>Pacific bluefin tuna</x:v>
      </x:c>
      <x:c r="G13" s="46" t="str">
        <x:v>Large pelagics (&gt;=90 cm)</x:v>
      </x:c>
      <x:c r="H13" s="46" t="str">
        <x:v>Tuna &amp; billfishes</x:v>
      </x:c>
      <x:c r="I13" s="60" t="n">
        <x:v>1406.9569425268999</x:v>
      </x:c>
      <x:c r="J13" s="60" t="n">
        <x:v>1403.3752038716</x:v>
      </x:c>
      <x:c r="K13" s="60" t="n">
        <x:v>3.5817386552999997</x:v>
      </x:c>
      <x:c r="L13" s="60" t="n">
        <x:v>1403.3752038716</x:v>
      </x:c>
      <x:c r="M13" s="60" t="n">
        <x:v>3.5817386552999997</x:v>
      </x:c>
      <x:c r="N13" s="46" t="str">
        <x:v>thunnus orientalis</x:v>
      </x:c>
      <x:c r="O13" s="62" t="n">
        <x:v>4.05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Thunnus orientalis</x:v>
      </x:c>
      <x:c r="T13" s="62" t="n">
        <x:f>IF(O13="","",(1/'Metadata'!$B$5)^(O13-1))</x:f>
        <x:v>9292.690797132333</x:v>
      </x:c>
      <x:c r="U13" s="60" t="n">
        <x:f>IF(T13="","",I13*T13)</x:f>
        <x:v>13074415.831781166</x:v>
      </x:c>
    </x:row>
    <x:row r="14" ht="18" customHeight="1">
      <x:c r="A14" s="46" t="str">
        <x:v>HS_071</x:v>
      </x:c>
      <x:c r="B14" s="46" t="str">
        <x:v>Pacific, Western Central</x:v>
      </x:c>
      <x:c r="C14" s="46" t="str">
        <x:v>High Seas</x:v>
      </x:c>
      <x:c r="D14" s="58" t="n">
        <x:v>2019</x:v>
      </x:c>
      <x:c r="E14" s="46" t="str">
        <x:v>Isurus</x:v>
      </x:c>
      <x:c r="F14" s="46" t="str">
        <x:v>Mako sharks</x:v>
      </x:c>
      <x:c r="G14" s="46" t="str">
        <x:v>Large sharks (&gt;=90 cm)</x:v>
      </x:c>
      <x:c r="H14" s="46" t="str">
        <x:v>Sharks &amp; rays</x:v>
      </x:c>
      <x:c r="I14" s="60" t="n">
        <x:v>1278.7091317823</x:v>
      </x:c>
      <x:c r="J14" s="60" t="n">
        <x:v>367.1086732061</x:v>
      </x:c>
      <x:c r="K14" s="60" t="n">
        <x:v>911.6004585762</x:v>
      </x:c>
      <x:c r="L14" s="60" t="n">
        <x:v>367.1086732061</x:v>
      </x:c>
      <x:c r="M14" s="60" t="n">
        <x:v>911.6004585762</x:v>
      </x:c>
      <x:c r="N14" s="46" t="str">
        <x:v>isurus</x:v>
      </x:c>
      <x:c r="O14" s="62" t="n">
        <x:v>4.5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Isurus</x:v>
      </x:c>
      <x:c r="T14" s="62" t="n">
        <x:f>IF(O14="","",(1/'Metadata'!$B$5)^(O14-1))</x:f>
        <x:v>35777.08763999664</x:v>
      </x:c>
      <x:c r="U14" s="60" t="n">
        <x:f>IF(T14="","",I14*T14)</x:f>
        <x:v>45748488.67383935</x:v>
      </x:c>
    </x:row>
    <x:row r="15" ht="18" customHeight="1">
      <x:c r="A15" s="46" t="str">
        <x:v>HS_071</x:v>
      </x:c>
      <x:c r="B15" s="46" t="str">
        <x:v>Pacific, Western Central</x:v>
      </x:c>
      <x:c r="C15" s="46" t="str">
        <x:v>High Seas</x:v>
      </x:c>
      <x:c r="D15" s="58" t="n">
        <x:v>2019</x:v>
      </x:c>
      <x:c r="E15" s="46" t="str">
        <x:v>Istiophoridae</x:v>
      </x:c>
      <x:c r="F15" s="46" t="str">
        <x:v>Billfishes</x:v>
      </x:c>
      <x:c r="G15" s="46" t="str">
        <x:v>Large pelagics (&gt;=90 cm)</x:v>
      </x:c>
      <x:c r="H15" s="46" t="str">
        <x:v>Tuna &amp; billfishes</x:v>
      </x:c>
      <x:c r="I15" s="60" t="n">
        <x:v>874.7489932229</x:v>
      </x:c>
      <x:c r="J15" s="60" t="n">
        <x:v>0</x:v>
      </x:c>
      <x:c r="K15" s="60" t="n">
        <x:v>874.7489932229</x:v>
      </x:c>
      <x:c r="L15" s="60" t="n">
        <x:v>0</x:v>
      </x:c>
      <x:c r="M15" s="60" t="n">
        <x:v>874.7489932229</x:v>
      </x:c>
      <x:c r="N15" s="46" t="str">
        <x:v>istiophoridae</x:v>
      </x:c>
      <x:c r="O15" s="62" t="n">
        <x:v>4.48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Istiophoridae</x:v>
      </x:c>
      <x:c r="T15" s="62" t="n">
        <x:f>IF(O15="","",(1/'Metadata'!$B$5)^(O15-1))</x:f>
        <x:v>33696.468277717824</x:v>
      </x:c>
      <x:c r="U15" s="60" t="n">
        <x:f>IF(T15="","",I15*T15)</x:f>
        <x:v>29475951.701101054</x:v>
      </x:c>
    </x:row>
    <x:row r="16" ht="18" customHeight="1">
      <x:c r="A16" s="46" t="str">
        <x:v>HS_071</x:v>
      </x:c>
      <x:c r="B16" s="46" t="str">
        <x:v>Pacific, Western Central</x:v>
      </x:c>
      <x:c r="C16" s="46" t="str">
        <x:v>High Seas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829.358216698</x:v>
      </x:c>
      <x:c r="J16" s="60" t="n">
        <x:v>0</x:v>
      </x:c>
      <x:c r="K16" s="60" t="n">
        <x:v>829.358216698</x:v>
      </x:c>
      <x:c r="L16" s="60" t="n">
        <x:v>0</x:v>
      </x:c>
      <x:c r="M16" s="60" t="n">
        <x:v>829.358216698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9292.690797132333</x:v>
      </x:c>
      <x:c r="U16" s="60" t="n">
        <x:f>IF(T16="","",I16*T16)</x:f>
        <x:v>7706969.467835587</x:v>
      </x:c>
    </x:row>
    <x:row r="17" ht="18" customHeight="1">
      <x:c r="A17" s="46" t="str">
        <x:v>HS_071</x:v>
      </x:c>
      <x:c r="B17" s="46" t="str">
        <x:v>Pacific, Western Central</x:v>
      </x:c>
      <x:c r="C17" s="46" t="str">
        <x:v>High Seas</x:v>
      </x:c>
      <x:c r="D17" s="58" t="n">
        <x:v>2019</x:v>
      </x:c>
      <x:c r="E17" s="46" t="str">
        <x:v>Carcharhinus falciformis</x:v>
      </x:c>
      <x:c r="F17" s="46" t="str">
        <x:v>Silky shark</x:v>
      </x:c>
      <x:c r="G17" s="46" t="str">
        <x:v>Large sharks (&gt;=90 cm)</x:v>
      </x:c>
      <x:c r="H17" s="46" t="str">
        <x:v>Sharks &amp; rays</x:v>
      </x:c>
      <x:c r="I17" s="60" t="n">
        <x:v>560.1012113606</x:v>
      </x:c>
      <x:c r="J17" s="60" t="n">
        <x:v>44.855925309599996</x:v>
      </x:c>
      <x:c r="K17" s="60" t="n">
        <x:v>515.245286051</x:v>
      </x:c>
      <x:c r="L17" s="60" t="n">
        <x:v>44.855925309599996</x:v>
      </x:c>
      <x:c r="M17" s="60" t="n">
        <x:v>515.245286051</x:v>
      </x:c>
      <x:c r="N17" s="46" t="str">
        <x:v>carcharhinus falciformis</x:v>
      </x:c>
      <x:c r="O17" s="62" t="n">
        <x:v>4.51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Carcharhinus falciformis</x:v>
      </x:c>
      <x:c r="T17" s="62" t="n">
        <x:f>IF(O17="","",(1/'Metadata'!$B$5)^(O17-1))</x:f>
        <x:v>36865.088835568684</x:v>
      </x:c>
      <x:c r="U17" s="60" t="n">
        <x:f>IF(T17="","",I17*T17)</x:f>
        <x:v>20648180.913718153</x:v>
      </x:c>
    </x:row>
    <x:row r="18" ht="18" customHeight="1">
      <x:c r="A18" s="46" t="str">
        <x:v>HS_071</x:v>
      </x:c>
      <x:c r="B18" s="46" t="str">
        <x:v>Pacific, Western Central</x:v>
      </x:c>
      <x:c r="C18" s="46" t="str">
        <x:v>High Seas</x:v>
      </x:c>
      <x:c r="D18" s="58" t="n">
        <x:v>2019</x:v>
      </x:c>
      <x:c r="E18" s="46" t="str">
        <x:v>Carcharhinus longimanus</x:v>
      </x:c>
      <x:c r="F18" s="46" t="str">
        <x:v>Oceanic whitetip shark</x:v>
      </x:c>
      <x:c r="G18" s="46" t="str">
        <x:v>Large sharks (&gt;=90 cm)</x:v>
      </x:c>
      <x:c r="H18" s="46" t="str">
        <x:v>Sharks &amp; rays</x:v>
      </x:c>
      <x:c r="I18" s="60" t="n">
        <x:v>423.9906548202</x:v>
      </x:c>
      <x:c r="J18" s="60" t="n">
        <x:v>41.3270457503</x:v>
      </x:c>
      <x:c r="K18" s="60" t="n">
        <x:v>382.66360906989996</x:v>
      </x:c>
      <x:c r="L18" s="60" t="n">
        <x:v>41.3270457503</x:v>
      </x:c>
      <x:c r="M18" s="60" t="n">
        <x:v>382.66360906989996</x:v>
      </x:c>
      <x:c r="N18" s="46" t="str">
        <x:v>carcharhinus longimanus</x:v>
      </x:c>
      <x:c r="O18" s="62" t="n">
        <x:v>4.16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Carcharhinus longimanus</x:v>
      </x:c>
      <x:c r="T18" s="62" t="n">
        <x:f>IF(O18="","",(1/'Metadata'!$B$5)^(O18-1))</x:f>
        <x:v>12919.77011769987</x:v>
      </x:c>
      <x:c r="U18" s="60" t="n">
        <x:f>IF(T18="","",I18*T18)</x:f>
        <x:v>5477861.792330021</x:v>
      </x:c>
    </x:row>
    <x:row r="19" ht="18" customHeight="1">
      <x:c r="A19" s="46" t="str">
        <x:v>HS_071</x:v>
      </x:c>
      <x:c r="B19" s="46" t="str">
        <x:v>Pacific, Western Central</x:v>
      </x:c>
      <x:c r="C19" s="46" t="str">
        <x:v>High Seas</x:v>
      </x:c>
      <x:c r="D19" s="58" t="n">
        <x:v>2019</x:v>
      </x:c>
      <x:c r="E19" s="46" t="str">
        <x:v>Istiompax indica</x:v>
      </x:c>
      <x:c r="F19" s="46" t="str">
        <x:v>Black marlin</x:v>
      </x:c>
      <x:c r="G19" s="46" t="str">
        <x:v>Large pelagics (&gt;=90 cm)</x:v>
      </x:c>
      <x:c r="H19" s="46" t="str">
        <x:v>Tuna &amp; billfishes</x:v>
      </x:c>
      <x:c r="I19" s="60" t="n">
        <x:v>270.1215566438</x:v>
      </x:c>
      <x:c r="J19" s="60" t="n">
        <x:v>270.1215566438</x:v>
      </x:c>
      <x:c r="K19" s="60" t="n">
        <x:v>0</x:v>
      </x:c>
      <x:c r="L19" s="60" t="n">
        <x:v>270.1215566438</x:v>
      </x:c>
      <x:c r="M19" s="60" t="n">
        <x:v>0</x:v>
      </x:c>
      <x:c r="N19" s="46" t="str">
        <x:v>istiompax indica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Istiompax indica</x:v>
      </x:c>
      <x:c r="T19" s="62" t="n">
        <x:f>IF(O19="","",(1/'Metadata'!$B$5)^(O19-1))</x:f>
        <x:v>35777.08763999664</x:v>
      </x:c>
      <x:c r="U19" s="60" t="n">
        <x:f>IF(T19="","",I19*T19)</x:f>
        <x:v>9664162.605497548</x:v>
      </x:c>
    </x:row>
    <x:row r="20" ht="18" customHeight="1">
      <x:c r="A20" s="46" t="str">
        <x:v>HS_071</x:v>
      </x:c>
      <x:c r="B20" s="46" t="str">
        <x:v>Pacific, Western Central</x:v>
      </x:c>
      <x:c r="C20" s="46" t="str">
        <x:v>High Seas</x:v>
      </x:c>
      <x:c r="D20" s="58" t="n">
        <x:v>2019</x:v>
      </x:c>
      <x:c r="E20" s="46" t="str">
        <x:v>Kajikia audax</x:v>
      </x:c>
      <x:c r="F20" s="46" t="str">
        <x:v>Striped marlin</x:v>
      </x:c>
      <x:c r="G20" s="46" t="str">
        <x:v>Large pelagics (&gt;=90 cm)</x:v>
      </x:c>
      <x:c r="H20" s="46" t="str">
        <x:v>Tuna &amp; billfishes</x:v>
      </x:c>
      <x:c r="I20" s="60" t="n">
        <x:v>254.7077900817</x:v>
      </x:c>
      <x:c r="J20" s="60" t="n">
        <x:v>254.7077900817</x:v>
      </x:c>
      <x:c r="K20" s="60" t="n">
        <x:v>0</x:v>
      </x:c>
      <x:c r="L20" s="60" t="n">
        <x:v>254.7077900817</x:v>
      </x:c>
      <x:c r="M20" s="60" t="n">
        <x:v>0</x:v>
      </x:c>
      <x:c r="N20" s="46" t="str">
        <x:v>kajikia audax</x:v>
      </x:c>
      <x:c r="O20" s="62" t="n">
        <x:v>4.58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Kajikia audax</x:v>
      </x:c>
      <x:c r="T20" s="62" t="n">
        <x:f>IF(O20="","",(1/'Metadata'!$B$5)^(O20-1))</x:f>
        <x:v>45466.06667430095</x:v>
      </x:c>
      <x:c r="U20" s="60" t="n">
        <x:f>IF(T20="","",I20*T20)</x:f>
        <x:v>11580561.366318423</x:v>
      </x:c>
    </x:row>
    <x:row r="21" ht="18" customHeight="1">
      <x:c r="A21" s="46" t="str">
        <x:v>HS_071</x:v>
      </x:c>
      <x:c r="B21" s="46" t="str">
        <x:v>Pacific, Western Central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235.1708022412</x:v>
      </x:c>
      <x:c r="J21" s="60" t="n">
        <x:v>0</x:v>
      </x:c>
      <x:c r="K21" s="60" t="n">
        <x:v>235.1708022412</x:v>
      </x:c>
      <x:c r="L21" s="60" t="n">
        <x:v>0</x:v>
      </x:c>
      <x:c r="M21" s="60" t="n">
        <x:v>235.1708022412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17432.42421569787</x:v>
      </x:c>
      <x:c r="U21" s="60" t="n">
        <x:f>IF(T21="","",I21*T21)</x:f>
        <x:v>4099597.1878145896</x:v>
      </x:c>
    </x:row>
    <x:row r="22" ht="18" customHeight="1">
      <x:c r="A22" s="46" t="str">
        <x:v>HS_071</x:v>
      </x:c>
      <x:c r="B22" s="46" t="str">
        <x:v>Pacific, Western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142.9079558861</x:v>
      </x:c>
      <x:c r="J22" s="60" t="n">
        <x:v>71.7257193973</x:v>
      </x:c>
      <x:c r="K22" s="60" t="n">
        <x:v>71.1822364888</x:v>
      </x:c>
      <x:c r="L22" s="60" t="n">
        <x:v>71.7257193973</x:v>
      </x:c>
      <x:c r="M22" s="60" t="n">
        <x:v>71.1822364888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35777.08763999664</x:v>
      </x:c>
      <x:c r="U22" s="60" t="n">
        <x:f>IF(T22="","",I22*T22)</x:f>
        <x:v>5112830.462189773</x:v>
      </x:c>
    </x:row>
    <x:row r="23" ht="18" customHeight="1">
      <x:c r="A23" s="46" t="str">
        <x:v>HS_071</x:v>
      </x:c>
      <x:c r="B23" s="46" t="str">
        <x:v>Pacific, Western Central</x:v>
      </x:c>
      <x:c r="C23" s="46" t="str">
        <x:v>High Seas</x:v>
      </x:c>
      <x:c r="D23" s="58" t="n">
        <x:v>2019</x:v>
      </x:c>
      <x:c r="E23" s="46" t="str">
        <x:v>Sphyrna</x:v>
      </x:c>
      <x:c r="F23" s="46" t="str">
        <x:v>Hammerhead sharks</x:v>
      </x:c>
      <x:c r="G23" s="46" t="str">
        <x:v>Large sharks (&gt;=90 cm)</x:v>
      </x:c>
      <x:c r="H23" s="46" t="str">
        <x:v>Sharks &amp; rays</x:v>
      </x:c>
      <x:c r="I23" s="60" t="n">
        <x:v>36.0347914432</x:v>
      </x:c>
      <x:c r="J23" s="60" t="n">
        <x:v>36.0347914432</x:v>
      </x:c>
      <x:c r="K23" s="60" t="n">
        <x:v>0</x:v>
      </x:c>
      <x:c r="L23" s="60" t="n">
        <x:v>36.0347914432</x:v>
      </x:c>
      <x:c r="M23" s="60" t="n">
        <x:v>0</x:v>
      </x:c>
      <x:c r="N23" s="46" t="str">
        <x:v>sphyrna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Sphyrna</x:v>
      </x:c>
      <x:c r="T23" s="62" t="n">
        <x:f>IF(O23="","",(1/'Metadata'!$B$5)^(O23-1))</x:f>
        <x:v>14564.51362420865</x:v>
      </x:c>
      <x:c r="U23" s="60" t="n">
        <x:f>IF(T23="","",I23*T23)</x:f>
        <x:v>524829.2109200037</x:v>
      </x:c>
    </x:row>
    <x:row r="24" ht="18" customHeight="1">
      <x:c r="A24" s="46" t="str">
        <x:v>HS_071</x:v>
      </x:c>
      <x:c r="B24" s="46" t="str">
        <x:v>Pacific, Western Central</x:v>
      </x:c>
      <x:c r="C24" s="46" t="str">
        <x:v>High Seas</x:v>
      </x:c>
      <x:c r="D24" s="58" t="n">
        <x:v>2019</x:v>
      </x:c>
      <x:c r="E24" s="46" t="str">
        <x:v>Thunnus maccoyii</x:v>
      </x:c>
      <x:c r="F24" s="46" t="str">
        <x:v>Southern bluefin tuna</x:v>
      </x:c>
      <x:c r="G24" s="46" t="str">
        <x:v>Large pelagics (&gt;=90 cm)</x:v>
      </x:c>
      <x:c r="H24" s="46" t="str">
        <x:v>Tuna &amp; billfishes</x:v>
      </x:c>
      <x:c r="I24" s="60" t="n">
        <x:v>0.1395048658</x:v>
      </x:c>
      <x:c r="J24" s="60" t="n">
        <x:v>0</x:v>
      </x:c>
      <x:c r="K24" s="60" t="n">
        <x:v>0.1395048658</x:v>
      </x:c>
      <x:c r="L24" s="60" t="n">
        <x:v>0</x:v>
      </x:c>
      <x:c r="M24" s="60" t="n">
        <x:v>0.1395048658</x:v>
      </x:c>
      <x:c r="N24" s="46" t="str">
        <x:v>thunnus maccoyii</x:v>
      </x:c>
      <x:c r="O24" s="62" t="n">
        <x:v>3.93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Thunnus maccoyii</x:v>
      </x:c>
      <x:c r="T24" s="62" t="n">
        <x:f>IF(O24="","",(1/'Metadata'!$B$5)^(O24-1))</x:f>
        <x:v>6486.611494177253</x:v>
      </x:c>
      <x:c r="U24" s="60" t="n">
        <x:f>IF(T24="","",I24*T24)</x:f>
        <x:v>904.913865991935</x:v>
      </x:c>
    </x:row>
  </x:sheetData>
  <x:conditionalFormatting sqref="R2:R2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71493e6ee9a41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11447.2441360498</x:v>
      </x:c>
      <x:c r="E2" s="60" t="n">
        <x:v>11447.2441360498</x:v>
      </x:c>
      <x:c r="F2" s="62" t="n">
        <x:v>0</x:v>
      </x:c>
      <x:c r="G2" s="66" t="n">
        <x:v>1</x:v>
      </x:c>
      <x:c r="H2" s="62" t="n">
        <x:f>IF(E2=0,"",I2/E2)</x:f>
        <x:v>1004.3525583222287</x:v>
      </x:c>
      <x:c r="I2" s="60" t="n">
        <x:f>SUMIF('Species'!$H$2:$H$24,A2,'Species'!$U$2:$U$24)</x:f>
        <x:v>11497068.933780747</x:v>
      </x:c>
      <x:c r="J2" s="62" t="n">
        <x:v>3.3055836075749245</x:v>
      </x:c>
      <x:c r="K2" s="62" t="n">
        <x:f>IF(J2="","",(1/'Metadata'!$B$5)^(J2-1))</x:f>
        <x:v>999.1562997225005</x:v>
      </x:c>
      <x:c r="L2" s="60" t="n">
        <x:f>IF(E2=0,"",E2*K2)</x:f>
        <x:v>11437586.09299561</x:v>
      </x:c>
      <x:c r="M2" s="60" t="n">
        <x:f>I2-L2</x:f>
        <x:v>59482.840785136446</x:v>
      </x:c>
      <x:c r="N2" s="62" t="n">
        <x:f>IF(L2=0,"",I2/L2)</x:f>
        <x:v>1.0052006463865277</x:v>
      </x:c>
      <x:c r="O2" s="66" t="n">
        <x:f>IF(L2=0,"",M2/L2)</x:f>
        <x:v>0.005200646386527644</x:v>
      </x:c>
    </x:row>
    <x:row r="3" ht="18" customHeight="1">
      <x:c r="A3" s="46" t="str">
        <x:v>Perch-likes</x:v>
      </x:c>
      <x:c r="B3" s="64" t="n">
        <x:v>4</x:v>
      </x:c>
      <x:c r="C3" s="64" t="n">
        <x:v>4</x:v>
      </x:c>
      <x:c r="D3" s="60" t="n">
        <x:v>6578.2319181244</x:v>
      </x:c>
      <x:c r="E3" s="60" t="n">
        <x:v>6578.2319181244</x:v>
      </x:c>
      <x:c r="F3" s="62" t="n">
        <x:v>0</x:v>
      </x:c>
      <x:c r="G3" s="66" t="n">
        <x:v>1</x:v>
      </x:c>
      <x:c r="H3" s="62" t="n">
        <x:f>IF(E3=0,"",I3/E3)</x:f>
        <x:v>19068.739884602917</x:v>
      </x:c>
      <x:c r="I3" s="60" t="n">
        <x:f>SUMIF('Species'!$H$2:$H$24,A3,'Species'!$U$2:$U$24)</x:f>
        <x:v>125438593.34730671</x:v>
      </x:c>
      <x:c r="J3" s="62" t="n">
        <x:v>4.276568321378021</x:v>
      </x:c>
      <x:c r="K3" s="62" t="n">
        <x:f>IF(J3="","",(1/'Metadata'!$B$5)^(J3-1))</x:f>
        <x:v>18319.50222723934</x:v>
      </x:c>
      <x:c r="L3" s="60" t="n">
        <x:f>IF(E3=0,"",E3*K3)</x:f>
        <x:v>120509934.27537687</x:v>
      </x:c>
      <x:c r="M3" s="60" t="n">
        <x:f>I3-L3</x:f>
        <x:v>4928659.071929842</x:v>
      </x:c>
      <x:c r="N3" s="62" t="n">
        <x:f>IF(L3=0,"",I3/L3)</x:f>
        <x:v>1.0408983632890163</x:v>
      </x:c>
      <x:c r="O3" s="66" t="n">
        <x:f>IF(L3=0,"",M3/L3)</x:f>
        <x:v>0.04089836328901631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22977.887308863603</x:v>
      </x:c>
      <x:c r="E4" s="60" t="n">
        <x:v>22977.887308863603</x:v>
      </x:c>
      <x:c r="F4" s="62" t="n">
        <x:v>0</x:v>
      </x:c>
      <x:c r="G4" s="66" t="n">
        <x:v>1</x:v>
      </x:c>
      <x:c r="H4" s="62" t="n">
        <x:f>IF(E4=0,"",I4/E4)</x:f>
        <x:v>21070.43570978085</x:v>
      </x:c>
      <x:c r="I4" s="60" t="n">
        <x:f>SUMIF('Species'!$H$2:$H$24,A4,'Species'!$U$2:$U$24)</x:f>
        <x:v>484154097.2879998</x:v>
      </x:c>
      <x:c r="J4" s="62" t="n">
        <x:v>4.299497131294167</x:v>
      </x:c>
      <x:c r="K4" s="62" t="n">
        <x:f>IF(J4="","",(1/'Metadata'!$B$5)^(J4-1))</x:f>
        <x:v>19622.066283098655</x:v>
      </x:c>
      <x:c r="L4" s="60" t="n">
        <x:f>IF(E4=0,"",E4*K4)</x:f>
        <x:v>450873627.820093</x:v>
      </x:c>
      <x:c r="M4" s="60" t="n">
        <x:f>I4-L4</x:f>
        <x:v>33280469.467906833</x:v>
      </x:c>
      <x:c r="N4" s="62" t="n">
        <x:f>IF(L4=0,"",I4/L4)</x:f>
        <x:v>1.0738132980383284</x:v>
      </x:c>
      <x:c r="O4" s="66" t="n">
        <x:f>IF(L4=0,"",M4/L4)</x:f>
        <x:v>0.0738132980383283</x:v>
      </x:c>
    </x:row>
    <x:row r="5" ht="18" customHeight="1">
      <x:c r="A5" s="46" t="str">
        <x:v>Tuna &amp; billfishes</x:v>
      </x:c>
      <x:c r="B5" s="64" t="n">
        <x:v>10</x:v>
      </x:c>
      <x:c r="C5" s="64" t="n">
        <x:v>10</x:v>
      </x:c>
      <x:c r="D5" s="60" t="n">
        <x:v>530814.4231922082</x:v>
      </x:c>
      <x:c r="E5" s="60" t="n">
        <x:v>530814.4231922082</x:v>
      </x:c>
      <x:c r="F5" s="62" t="n">
        <x:v>0</x:v>
      </x:c>
      <x:c r="G5" s="66" t="n">
        <x:v>1</x:v>
      </x:c>
      <x:c r="H5" s="62" t="n">
        <x:f>IF(E5=0,"",I5/E5)</x:f>
        <x:v>28781.521938493544</x:v>
      </x:c>
      <x:c r="I5" s="60" t="n">
        <x:f>SUMIF('Species'!$H$2:$H$24,A5,'Species'!$U$2:$U$24)</x:f>
        <x:v>15277646966.375336</x:v>
      </x:c>
      <x:c r="J5" s="62" t="n">
        <x:v>4.426167894304057</x:v>
      </x:c>
      <x:c r="K5" s="62" t="n">
        <x:f>IF(J5="","",(1/'Metadata'!$B$5)^(J5-1))</x:f>
        <x:v>28677.890401674573</x:v>
      </x:c>
      <x:c r="L5" s="60" t="n">
        <x:f>IF(E5=0,"",E5*K5)</x:f>
        <x:v>15222637851.934252</x:v>
      </x:c>
      <x:c r="M5" s="60" t="n">
        <x:f>I5-L5</x:f>
        <x:v>55009114.44108391</x:v>
      </x:c>
      <x:c r="N5" s="62" t="n">
        <x:f>IF(L5=0,"",I5/L5)</x:f>
        <x:v>1.0036136387777297</x:v>
      </x:c>
      <x:c r="O5" s="66" t="n">
        <x:f>IF(L5=0,"",M5/L5)</x:f>
        <x:v>0.003613638777729592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bbd4023989c46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12</x:v>
      </x:c>
      <x:c r="C2" s="64" t="n">
        <x:v>12</x:v>
      </x:c>
      <x:c r="D2" s="60" t="n">
        <x:v>533623.7347764968</x:v>
      </x:c>
      <x:c r="E2" s="60" t="n">
        <x:v>533623.7347764968</x:v>
      </x:c>
      <x:c r="F2" s="62" t="n">
        <x:v>0</x:v>
      </x:c>
      <x:c r="G2" s="66" t="n">
        <x:v>1</x:v>
      </x:c>
      <x:c r="H2" s="62" t="n">
        <x:f>IF(E2=0,"",I2/E2)</x:f>
        <x:v>28754.595975471766</x:v>
      </x:c>
      <x:c r="I2" s="60" t="n">
        <x:f>SUMIF('Species'!$G$2:$G$24,A2,'Species'!$U$2:$U$24)</x:f>
        <x:v>15344134896.420467</x:v>
      </x:c>
      <x:c r="J2" s="62" t="n">
        <x:v>4.425823715639559</x:v>
      </x:c>
      <x:c r="K2" s="62" t="n">
        <x:f>IF(J2="","",(1/'Metadata'!$B$5)^(J2-1))</x:f>
        <x:v>28648.336809921333</x:v>
      </x:c>
      <x:c r="L2" s="60" t="n">
        <x:f>IF(E2=0,"",E2*K2)</x:f>
        <x:v>15287432483.64521</x:v>
      </x:c>
      <x:c r="M2" s="60" t="n">
        <x:f>I2-L2</x:f>
        <x:v>56702412.77525711</x:v>
      </x:c>
      <x:c r="N2" s="62" t="n">
        <x:f>IF(L2=0,"",I2/L2)</x:f>
        <x:v>1.003709086717859</x:v>
      </x:c>
      <x:c r="O2" s="66" t="n">
        <x:f>IF(L2=0,"",M2/L2)</x:f>
        <x:v>0.0037090867178591596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22977.887308863603</x:v>
      </x:c>
      <x:c r="E3" s="60" t="n">
        <x:v>22977.887308863603</x:v>
      </x:c>
      <x:c r="F3" s="62" t="n">
        <x:v>0</x:v>
      </x:c>
      <x:c r="G3" s="66" t="n">
        <x:v>1</x:v>
      </x:c>
      <x:c r="H3" s="62" t="n">
        <x:f>IF(E3=0,"",I3/E3)</x:f>
        <x:v>21070.43570978085</x:v>
      </x:c>
      <x:c r="I3" s="60" t="n">
        <x:f>SUMIF('Species'!$G$2:$G$24,A3,'Species'!$U$2:$U$24)</x:f>
        <x:v>484154097.2879998</x:v>
      </x:c>
      <x:c r="J3" s="62" t="n">
        <x:v>4.299497131294167</x:v>
      </x:c>
      <x:c r="K3" s="62" t="n">
        <x:f>IF(J3="","",(1/'Metadata'!$B$5)^(J3-1))</x:f>
        <x:v>19622.066283098655</x:v>
      </x:c>
      <x:c r="L3" s="60" t="n">
        <x:f>IF(E3=0,"",E3*K3)</x:f>
        <x:v>450873627.820093</x:v>
      </x:c>
      <x:c r="M3" s="60" t="n">
        <x:f>I3-L3</x:f>
        <x:v>33280469.467906833</x:v>
      </x:c>
      <x:c r="N3" s="62" t="n">
        <x:f>IF(L3=0,"",I3/L3)</x:f>
        <x:v>1.0738132980383284</x:v>
      </x:c>
      <x:c r="O3" s="66" t="n">
        <x:f>IF(L3=0,"",M3/L3)</x:f>
        <x:v>0.0738132980383283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7263.5041104633</x:v>
      </x:c>
      <x:c r="E4" s="60" t="n">
        <x:v>7263.5041104633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SUMIF('Species'!$G$2:$G$24,A4,'Species'!$U$2:$U$24)</x:f>
        <x:v>6721939.150414927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6721939.150414927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7952.6603594222</x:v>
      </x:c>
      <x:c r="E5" s="60" t="n">
        <x:v>7952.6603594222</x:v>
      </x:c>
      <x:c r="F5" s="62" t="n">
        <x:v>0</x:v>
      </x:c>
      <x:c r="G5" s="66" t="n">
        <x:v>1</x:v>
      </x:c>
      <x:c r="H5" s="62" t="n">
        <x:f>IF(E5=0,"",I5/E5)</x:f>
        <x:v>8013.141540747347</x:v>
      </x:c>
      <x:c r="I5" s="60" t="n">
        <x:f>SUMIF('Species'!$G$2:$G$24,A5,'Species'!$U$2:$U$24)</x:f>
        <x:v>63725793.08554076</x:v>
      </x:c>
      <x:c r="J5" s="62" t="n">
        <x:v>3.7593664423159696</x:v>
      </x:c>
      <x:c r="K5" s="62" t="n">
        <x:f>IF(J5="","",(1/'Metadata'!$B$5)^(J5-1))</x:f>
        <x:v>3890.617272139518</x:v>
      </x:c>
      <x:c r="L5" s="60" t="n">
        <x:f>IF(E5=0,"",E5*K5)</x:f>
        <x:v>30940757.753827278</x:v>
      </x:c>
      <x:c r="M5" s="60" t="n">
        <x:f>I5-L5</x:f>
        <x:v>32785035.33171348</x:v>
      </x:c>
      <x:c r="N5" s="62" t="n">
        <x:f>IF(L5=0,"",I5/L5)</x:f>
        <x:v>2.0596067359616645</x:v>
      </x:c>
      <x:c r="O5" s="66" t="n">
        <x:f>IF(L5=0,"",M5/L5)</x:f>
        <x:v>1.0596067359616643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120e84af4364d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HS_071</x:v>
      </x:c>
      <x:c r="B2" s="46" t="str">
        <x:v>raw_filtered_tonnes</x:v>
      </x:c>
      <x:c r="C2" s="46" t="n">
        <x:v>571817.786555246</x:v>
      </x:c>
      <x:c r="D2" s="46" t="str">
        <x:v>tonnes</x:v>
      </x:c>
    </x:row>
    <x:row r="3" ht="18" customHeight="1">
      <x:c r="A3" s="46" t="str">
        <x:v>HS_071</x:v>
      </x:c>
      <x:c r="B3" s="46" t="str">
        <x:v>species_catch_tonnes</x:v>
      </x:c>
      <x:c r="C3" s="46" t="n">
        <x:v>571817.786555246</x:v>
      </x:c>
      <x:c r="D3" s="46" t="str">
        <x:v>tonnes</x:v>
      </x:c>
    </x:row>
    <x:row r="4" ht="18" customHeight="1">
      <x:c r="A4" s="46" t="str">
        <x:v>HS_071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HS_071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HS_071</x:v>
      </x:c>
      <x:c r="B6" s="46" t="str">
        <x:v>matched_catch_tonnes</x:v>
      </x:c>
      <x:c r="C6" s="46" t="n">
        <x:v>571817.786555246</x:v>
      </x:c>
      <x:c r="D6" s="46" t="str">
        <x:v>tonnes</x:v>
      </x:c>
    </x:row>
    <x:row r="7" ht="18" customHeight="1">
      <x:c r="A7" s="46" t="str">
        <x:v>HS_071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HS_071</x:v>
      </x:c>
      <x:c r="B8" s="46" t="str">
        <x:v>taxa_count</x:v>
      </x:c>
      <x:c r="C8" s="46" t="n">
        <x:v>23</x:v>
      </x:c>
      <x:c r="D8" s="46" t="str">
        <x:v>count</x:v>
      </x:c>
    </x:row>
    <x:row r="9" ht="18" customHeight="1">
      <x:c r="A9" s="46" t="str">
        <x:v>HS_071</x:v>
      </x:c>
      <x:c r="B9" s="46" t="str">
        <x:v>matched_taxa_count</x:v>
      </x:c>
      <x:c r="C9" s="46" t="n">
        <x:v>23</x:v>
      </x:c>
      <x:c r="D9" s="46" t="str">
        <x:v>count</x:v>
      </x:c>
    </x:row>
    <x:row r="10" ht="18" customHeight="1">
      <x:c r="A10" s="46" t="str">
        <x:v>HS_071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HS_071</x:v>
      </x:c>
      <x:c r="B11" s="46" t="str">
        <x:v>species_ppr</x:v>
      </x:c>
      <x:c r="C11" s="46" t="n">
        <x:v>15898736725.944424</x:v>
      </x:c>
      <x:c r="D11" s="46" t="str">
        <x:v>tonnes_primary_production_equivalent</x:v>
      </x:c>
    </x:row>
    <x:row r="12" ht="18" customHeight="1">
      <x:c r="A12" s="46" t="str">
        <x:v>HS_071</x:v>
      </x:c>
      <x:c r="B12" s="46" t="str">
        <x:v>commercial_ppr</x:v>
      </x:c>
      <x:c r="C12" s="46" t="n">
        <x:v>15898736725.944422</x:v>
      </x:c>
      <x:c r="D12" s="46" t="str">
        <x:v>tonnes_primary_production_equivalent</x:v>
      </x:c>
    </x:row>
    <x:row r="13" ht="18" customHeight="1">
      <x:c r="A13" s="46" t="str">
        <x:v>HS_071</x:v>
      </x:c>
      <x:c r="B13" s="46" t="str">
        <x:v>functional_ppr</x:v>
      </x:c>
      <x:c r="C13" s="46" t="n">
        <x:v>15898736725.944422</x:v>
      </x:c>
      <x:c r="D13" s="46" t="str">
        <x:v>tonnes_primary_production_equivalent</x:v>
      </x:c>
    </x:row>
    <x:row r="14" ht="18" customHeight="1">
      <x:c r="A14" s="46" t="str">
        <x:v>HS_071</x:v>
      </x:c>
      <x:c r="B14" s="46" t="str">
        <x:v>commercial_ppr_difference</x:v>
      </x:c>
      <x:c r="C14" s="46" t="n">
        <x:v>-0.0000019073486328125</x:v>
      </x:c>
      <x:c r="D14" s="46" t="str">
        <x:v>tonnes_primary_production_equivalent</x:v>
      </x:c>
    </x:row>
    <x:row r="15" ht="18" customHeight="1">
      <x:c r="A15" s="46" t="str">
        <x:v>HS_071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HS_071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HS_071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HS_071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HS_071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5ad640969bb43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HS_071 - Pacific, Western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HS_071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raw_data/SAU_downloads/HS_071-catch.zip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