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b856aff44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5df30f011464e0b"/>
    <x:sheet xmlns:r="http://schemas.openxmlformats.org/officeDocument/2006/relationships" name="Commercial" sheetId="2" r:id="Rddd7c5850eb94736"/>
    <x:sheet xmlns:r="http://schemas.openxmlformats.org/officeDocument/2006/relationships" name="Functional" sheetId="3" r:id="Rd8bb9add2f6c488b"/>
    <x:sheet xmlns:r="http://schemas.openxmlformats.org/officeDocument/2006/relationships" name="Missing TL" sheetId="4" r:id="R2c5d2cbf2fb044c6"/>
    <x:sheet xmlns:r="http://schemas.openxmlformats.org/officeDocument/2006/relationships" name="Validation" sheetId="5" r:id="Ra71ab6fea0d54f09"/>
    <x:sheet xmlns:r="http://schemas.openxmlformats.org/officeDocument/2006/relationships" name="Metadata" sheetId="6" r:id="R00d441e403ad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0f744238649b2" /><Relationship Type="http://schemas.openxmlformats.org/officeDocument/2006/relationships/theme" Target="/xl/theme/theme1.xml" Id="R039735c5b0b04269" /><Relationship Type="http://schemas.openxmlformats.org/officeDocument/2006/relationships/sharedStrings" Target="/xl/sharedStrings.xml" Id="R5efb4f00873e4dff" /><Relationship Type="http://schemas.openxmlformats.org/officeDocument/2006/relationships/worksheet" Target="/xl/worksheets/sheet1.xml" Id="Ra5df30f011464e0b" /><Relationship Type="http://schemas.openxmlformats.org/officeDocument/2006/relationships/worksheet" Target="/xl/worksheets/sheet2.xml" Id="Rddd7c5850eb94736" /><Relationship Type="http://schemas.openxmlformats.org/officeDocument/2006/relationships/worksheet" Target="/xl/worksheets/sheet3.xml" Id="Rd8bb9add2f6c488b" /><Relationship Type="http://schemas.openxmlformats.org/officeDocument/2006/relationships/worksheet" Target="/xl/worksheets/sheet4.xml" Id="R2c5d2cbf2fb044c6" /><Relationship Type="http://schemas.openxmlformats.org/officeDocument/2006/relationships/worksheet" Target="/xl/worksheets/sheet5.xml" Id="Ra71ab6fea0d54f09" /><Relationship Type="http://schemas.openxmlformats.org/officeDocument/2006/relationships/worksheet" Target="/xl/worksheets/sheet6.xml" Id="R00d441e403ad4ff4" /></Relationships>
</file>

<file path=xl/tables/table1.xml><?xml version="1.0" encoding="utf-8"?>
<x:table xmlns:x="http://schemas.openxmlformats.org/spreadsheetml/2006/main" id="1" name="LME002SpeciesTable" displayName="LME002SpeciesTable" ref="A1:U171" headerRowCount="1" totalsRowCount="0" totalsRowShown="0">
  <x:autoFilter ref="A1:U17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2CommercialTable" displayName="LME00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2FunctionalTable" displayName="LME002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2ValidationTable" displayName="LME00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8fd1026aa04e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4cd0bf6eac4e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334b7ac52d45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11f057282e42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LME_002</x:v>
      </x:c>
      <x:c r="B2" s="46" t="str">
        <x:v>Gulf of Alaska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507486.35415705916</x:v>
      </x:c>
      <x:c r="J2" s="60" t="n">
        <x:v>505526.95530117385</x:v>
      </x:c>
      <x:c r="K2" s="60" t="n">
        <x:v>1959.3988558853</x:v>
      </x:c>
      <x:c r="L2" s="60" t="n">
        <x:v>505526.7950955974</x:v>
      </x:c>
      <x:c r="M2" s="60" t="n">
        <x:v>1959.5590614618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2206.2112196552644</x:v>
      </x:c>
      <x:c r="U2" s="60" t="n">
        <x:f>IF(T2="","",I2*T2)</x:f>
        <x:v>1119622088.3632488</x:v>
      </x:c>
    </x:row>
    <x:row r="3" ht="18" customHeight="1">
      <x:c r="A3" s="46" t="str">
        <x:v>LME_002</x:v>
      </x:c>
      <x:c r="B3" s="46" t="str">
        <x:v>Gulf of Alaska</x:v>
      </x:c>
      <x:c r="C3" s="46" t="str">
        <x:v>LME</x:v>
      </x:c>
      <x:c r="D3" s="58" t="n">
        <x:v>2019</x:v>
      </x:c>
      <x:c r="E3" s="46" t="str">
        <x:v>Merluccius productus</x:v>
      </x:c>
      <x:c r="F3" s="46" t="str">
        <x:v>North Pacific hake</x:v>
      </x:c>
      <x:c r="G3" s="46" t="str">
        <x:v>Medium benthopelagics (30 - 89 cm)</x:v>
      </x:c>
      <x:c r="H3" s="46" t="str">
        <x:v>Cod-likes</x:v>
      </x:c>
      <x:c r="I3" s="60" t="n">
        <x:v>131830.8955257195</x:v>
      </x:c>
      <x:c r="J3" s="60" t="n">
        <x:v>130862.3320022662</x:v>
      </x:c>
      <x:c r="K3" s="60" t="n">
        <x:v>968.5635234533</x:v>
      </x:c>
      <x:c r="L3" s="60" t="n">
        <x:v>130862.3300426582</x:v>
      </x:c>
      <x:c r="M3" s="60" t="n">
        <x:v>968.5654830613</x:v>
      </x:c>
      <x:c r="N3" s="46" t="str">
        <x:v>merluccius productus</x:v>
      </x:c>
      <x:c r="O3" s="62" t="n">
        <x:v>4.35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Merluccius productus</x:v>
      </x:c>
      <x:c r="T3" s="62" t="n">
        <x:f>IF(O3="","",(1/'Metadata'!$B$5)^(O3-1))</x:f>
        <x:v>22827.086550132422</x:v>
      </x:c>
      <x:c r="U3" s="60" t="n">
        <x:f>IF(T3="","",I3*T3)</x:f>
        <x:v>3009315262.147064</x:v>
      </x:c>
    </x:row>
    <x:row r="4" ht="18" customHeight="1">
      <x:c r="A4" s="46" t="str">
        <x:v>LME_002</x:v>
      </x:c>
      <x:c r="B4" s="46" t="str">
        <x:v>Gulf of Alaska</x:v>
      </x:c>
      <x:c r="C4" s="46" t="str">
        <x:v>LME</x:v>
      </x:c>
      <x:c r="D4" s="58" t="n">
        <x:v>2019</x:v>
      </x:c>
      <x:c r="E4" s="46" t="str">
        <x:v>Oncorhynchus gorbuscha</x:v>
      </x:c>
      <x:c r="F4" s="46" t="str">
        <x:v>Pink salmon</x:v>
      </x:c>
      <x:c r="G4" s="46" t="str">
        <x:v>Medium demersals (30 - 89 cm)</x:v>
      </x:c>
      <x:c r="H4" s="46" t="str">
        <x:v>Salmon, smelts, etc</x:v>
      </x:c>
      <x:c r="I4" s="60" t="n">
        <x:v>67972.3782535132</x:v>
      </x:c>
      <x:c r="J4" s="60" t="n">
        <x:v>67872.8462742023</x:v>
      </x:c>
      <x:c r="K4" s="60" t="n">
        <x:v>99.5319793109</x:v>
      </x:c>
      <x:c r="L4" s="60" t="n">
        <x:v>67519.7089270527</x:v>
      </x:c>
      <x:c r="M4" s="60" t="n">
        <x:v>452.6693264605</x:v>
      </x:c>
      <x:c r="N4" s="46" t="str">
        <x:v>oncorhynchus gorbuscha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Oncorhynchus gorbuscha</x:v>
      </x:c>
      <x:c r="T4" s="62" t="n">
        <x:f>IF(O4="","",(1/'Metadata'!$B$5)^(O4-1))</x:f>
        <x:v>34721.19667768202</x:v>
      </x:c>
      <x:c r="U4" s="60" t="n">
        <x:f>IF(T4="","",I4*T4)</x:f>
        <x:v>2360082313.9900284</x:v>
      </x:c>
    </x:row>
    <x:row r="5" ht="18" customHeight="1">
      <x:c r="A5" s="46" t="str">
        <x:v>LME_002</x:v>
      </x:c>
      <x:c r="B5" s="46" t="str">
        <x:v>Gulf of Alaska</x:v>
      </x:c>
      <x:c r="C5" s="46" t="str">
        <x:v>LME</x:v>
      </x:c>
      <x:c r="D5" s="58" t="n">
        <x:v>2019</x:v>
      </x:c>
      <x:c r="E5" s="46" t="str">
        <x:v>Gadus macrocephalus</x:v>
      </x:c>
      <x:c r="F5" s="46" t="str">
        <x:v>Pacific cod</x:v>
      </x:c>
      <x:c r="G5" s="46" t="str">
        <x:v>Large demersals (&gt;=90 cm)</x:v>
      </x:c>
      <x:c r="H5" s="46" t="str">
        <x:v>Cod-likes</x:v>
      </x:c>
      <x:c r="I5" s="60" t="n">
        <x:v>67482.4261698609</x:v>
      </x:c>
      <x:c r="J5" s="60" t="n">
        <x:v>66936.4038780401</x:v>
      </x:c>
      <x:c r="K5" s="60" t="n">
        <x:v>546.0222918208</x:v>
      </x:c>
      <x:c r="L5" s="60" t="n">
        <x:v>66909.19102722639</x:v>
      </x:c>
      <x:c r="M5" s="60" t="n">
        <x:v>573.2351426345</x:v>
      </x:c>
      <x:c r="N5" s="46" t="str">
        <x:v>gadus macrocephalus</x:v>
      </x:c>
      <x:c r="O5" s="62" t="n">
        <x:v>4.16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Gadus macrocephalus</x:v>
      </x:c>
      <x:c r="T5" s="62" t="n">
        <x:f>IF(O5="","",(1/'Metadata'!$B$5)^(O5-1))</x:f>
        <x:v>12919.77011769987</x:v>
      </x:c>
      <x:c r="U5" s="60" t="n">
        <x:f>IF(T5="","",I5*T5)</x:f>
        <x:v>871857433.0992566</x:v>
      </x:c>
    </x:row>
    <x:row r="6" ht="18" customHeight="1">
      <x:c r="A6" s="46" t="str">
        <x:v>LME_002</x:v>
      </x:c>
      <x:c r="B6" s="46" t="str">
        <x:v>Gulf of Alaska</x:v>
      </x:c>
      <x:c r="C6" s="46" t="str">
        <x:v>LME</x:v>
      </x:c>
      <x:c r="D6" s="58" t="n">
        <x:v>2019</x:v>
      </x:c>
      <x:c r="E6" s="46" t="str">
        <x:v>Oncorhynchus nerka</x:v>
      </x:c>
      <x:c r="F6" s="46" t="str">
        <x:v>Sockeye salmon</x:v>
      </x:c>
      <x:c r="G6" s="46" t="str">
        <x:v>Medium pelagics (30 - 89 cm)</x:v>
      </x:c>
      <x:c r="H6" s="46" t="str">
        <x:v>Salmon, smelts, etc</x:v>
      </x:c>
      <x:c r="I6" s="60" t="n">
        <x:v>52489.3676422594</x:v>
      </x:c>
      <x:c r="J6" s="60" t="n">
        <x:v>52485.034144979596</x:v>
      </x:c>
      <x:c r="K6" s="60" t="n">
        <x:v>4.3334972798</x:v>
      </x:c>
      <x:c r="L6" s="60" t="n">
        <x:v>51659.181296834504</x:v>
      </x:c>
      <x:c r="M6" s="60" t="n">
        <x:v>830.1863454249001</x:v>
      </x:c>
      <x:c r="N6" s="46" t="str">
        <x:v>oncorhynchus nerka</x:v>
      </x:c>
      <x:c r="O6" s="62" t="n">
        <x:v>3.54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Oncorhynchus nerka</x:v>
      </x:c>
      <x:c r="T6" s="62" t="n">
        <x:f>IF(O6="","",(1/'Metadata'!$B$5)^(O6-1))</x:f>
        <x:v>2016.5834052007342</x:v>
      </x:c>
      <x:c r="U6" s="60" t="n">
        <x:f>IF(T6="","",I6*T6)</x:f>
        <x:v>105849187.73686069</x:v>
      </x:c>
    </x:row>
    <x:row r="7" ht="18" customHeight="1">
      <x:c r="A7" s="46" t="str">
        <x:v>LME_002</x:v>
      </x:c>
      <x:c r="B7" s="46" t="str">
        <x:v>Gulf of Alaska</x:v>
      </x:c>
      <x:c r="C7" s="46" t="str">
        <x:v>LME</x:v>
      </x:c>
      <x:c r="D7" s="58" t="n">
        <x:v>2019</x:v>
      </x:c>
      <x:c r="E7" s="46" t="str">
        <x:v>Limanda aspera</x:v>
      </x:c>
      <x:c r="F7" s="46" t="str">
        <x:v>Yellowfin sole</x:v>
      </x:c>
      <x:c r="G7" s="46" t="str">
        <x:v>Small to medium flatfishes (&lt;90 cm)</x:v>
      </x:c>
      <x:c r="H7" s="46" t="str">
        <x:v>Flatfishes</x:v>
      </x:c>
      <x:c r="I7" s="60" t="n">
        <x:v>30971.0200375262</x:v>
      </x:c>
      <x:c r="J7" s="60" t="n">
        <x:v>30522.157100882898</x:v>
      </x:c>
      <x:c r="K7" s="60" t="n">
        <x:v>448.86293664330003</x:v>
      </x:c>
      <x:c r="L7" s="60" t="n">
        <x:v>30522.157100882898</x:v>
      </x:c>
      <x:c r="M7" s="60" t="n">
        <x:v>448.86293664330003</x:v>
      </x:c>
      <x:c r="N7" s="46" t="str">
        <x:v>limanda aspera</x:v>
      </x:c>
      <x:c r="O7" s="62" t="n">
        <x:v>3.49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Limanda aspera</x:v>
      </x:c>
      <x:c r="T7" s="62" t="n">
        <x:f>IF(O7="","",(1/'Metadata'!$B$5)^(O7-1))</x:f>
        <x:v>1736.059833884101</x:v>
      </x:c>
      <x:c r="U7" s="60" t="n">
        <x:f>IF(T7="","",I7*T7)</x:f>
        <x:v>53767543.9015689</x:v>
      </x:c>
    </x:row>
    <x:row r="8" ht="18" customHeight="1">
      <x:c r="A8" s="46" t="str">
        <x:v>LME_002</x:v>
      </x:c>
      <x:c r="B8" s="46" t="str">
        <x:v>Gulf of Alaska</x:v>
      </x:c>
      <x:c r="C8" s="46" t="str">
        <x:v>LME</x:v>
      </x:c>
      <x:c r="D8" s="58" t="n">
        <x:v>2019</x:v>
      </x:c>
      <x:c r="E8" s="46" t="str">
        <x:v>Clupea pallasii</x:v>
      </x:c>
      <x:c r="F8" s="46" t="str">
        <x:v>Pacific herring</x:v>
      </x:c>
      <x:c r="G8" s="46" t="str">
        <x:v>Medium pelagics (30 - 89 cm)</x:v>
      </x:c>
      <x:c r="H8" s="46" t="str">
        <x:v>Herring-likes</x:v>
      </x:c>
      <x:c r="I8" s="60" t="n">
        <x:v>27931.677965587798</x:v>
      </x:c>
      <x:c r="J8" s="60" t="n">
        <x:v>27931.6771502429</x:v>
      </x:c>
      <x:c r="K8" s="60" t="n">
        <x:v>0.0008153449</x:v>
      </x:c>
      <x:c r="L8" s="60" t="n">
        <x:v>27750.8862122596</x:v>
      </x:c>
      <x:c r="M8" s="60" t="n">
        <x:v>180.79175332819997</x:v>
      </x:c>
      <x:c r="N8" s="46" t="str">
        <x:v>clupea pallasii</x:v>
      </x:c>
      <x:c r="O8" s="62" t="n">
        <x:v>3.16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Clupea pallasii</x:v>
      </x:c>
      <x:c r="T8" s="62" t="n">
        <x:f>IF(O8="","",(1/'Metadata'!$B$5)^(O8-1))</x:f>
        <x:v>645.9885058849935</x:v>
      </x:c>
      <x:c r="U8" s="60" t="n">
        <x:f>IF(T8="","",I8*T8)</x:f>
        <x:v>18043542.915850855</x:v>
      </x:c>
    </x:row>
    <x:row r="9" ht="18" customHeight="1">
      <x:c r="A9" s="46" t="str">
        <x:v>LME_002</x:v>
      </x:c>
      <x:c r="B9" s="46" t="str">
        <x:v>Gulf of Alaska</x:v>
      </x:c>
      <x:c r="C9" s="46" t="str">
        <x:v>LME</x:v>
      </x:c>
      <x:c r="D9" s="58" t="n">
        <x:v>2019</x:v>
      </x:c>
      <x:c r="E9" s="46" t="str">
        <x:v>Marine fishes not identified</x:v>
      </x:c>
      <x:c r="F9" s="46" t="str">
        <x:v>Marine fishes nei</x:v>
      </x:c>
      <x:c r="G9" s="46" t="str">
        <x:v>Medium demersals (30 - 89 cm)</x:v>
      </x:c>
      <x:c r="H9" s="46" t="str">
        <x:v>Other fishes &amp; inverts</x:v>
      </x:c>
      <x:c r="I9" s="60" t="n">
        <x:v>23347.4406183363</x:v>
      </x:c>
      <x:c r="J9" s="60" t="n">
        <x:v>23243.5216872239</x:v>
      </x:c>
      <x:c r="K9" s="60" t="n">
        <x:v>103.9189311124</x:v>
      </x:c>
      <x:c r="L9" s="60" t="n">
        <x:v>22965.2720877265</x:v>
      </x:c>
      <x:c r="M9" s="60" t="n">
        <x:v>382.1685306098</x:v>
      </x:c>
      <x:c r="N9" s="46" t="str">
        <x:v>marine fishes not identified</x:v>
      </x:c>
      <x:c r="O9" s="62" t="n">
        <x:v>3.28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Marine fishes not identified</x:v>
      </x:c>
      <x:c r="T9" s="62" t="n">
        <x:f>IF(O9="","",(1/'Metadata'!$B$5)^(O9-1))</x:f>
        <x:v>925.4402624666747</x:v>
      </x:c>
      <x:c r="U9" s="60" t="n">
        <x:f>IF(T9="","",I9*T9)</x:f>
        <x:v>21606661.573758245</x:v>
      </x:c>
    </x:row>
    <x:row r="10" ht="18" customHeight="1">
      <x:c r="A10" s="46" t="str">
        <x:v>LME_002</x:v>
      </x:c>
      <x:c r="B10" s="46" t="str">
        <x:v>Gulf of Alaska</x:v>
      </x:c>
      <x:c r="C10" s="46" t="str">
        <x:v>LME</x:v>
      </x:c>
      <x:c r="D10" s="58" t="n">
        <x:v>2019</x:v>
      </x:c>
      <x:c r="E10" s="46" t="str">
        <x:v>Oncorhynchus keta</x:v>
      </x:c>
      <x:c r="F10" s="46" t="str">
        <x:v>Chum salmon</x:v>
      </x:c>
      <x:c r="G10" s="46" t="str">
        <x:v>Large benthopelagics (&gt;=90 cm)</x:v>
      </x:c>
      <x:c r="H10" s="46" t="str">
        <x:v>Salmon, smelts, etc</x:v>
      </x:c>
      <x:c r="I10" s="60" t="n">
        <x:v>20023.8335841893</x:v>
      </x:c>
      <x:c r="J10" s="60" t="n">
        <x:v>19993.2827782321</x:v>
      </x:c>
      <x:c r="K10" s="60" t="n">
        <x:v>30.550805957199998</x:v>
      </x:c>
      <x:c r="L10" s="60" t="n">
        <x:v>18672.5461510582</x:v>
      </x:c>
      <x:c r="M10" s="60" t="n">
        <x:v>1351.2874331311</x:v>
      </x:c>
      <x:c r="N10" s="46" t="str">
        <x:v>oncorhynchus keta</x:v>
      </x:c>
      <x:c r="O10" s="62" t="n">
        <x:v>3.74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Oncorhynchus keta</x:v>
      </x:c>
      <x:c r="T10" s="62" t="n">
        <x:f>IF(O10="","",(1/'Metadata'!$B$5)^(O10-1))</x:f>
        <x:v>3671.3195599248957</x:v>
      </x:c>
      <x:c r="U10" s="60" t="n">
        <x:f>IF(T10="","",I10*T10)</x:f>
        <x:v>73513891.9023152</x:v>
      </x:c>
    </x:row>
    <x:row r="11" ht="18" customHeight="1">
      <x:c r="A11" s="46" t="str">
        <x:v>LME_002</x:v>
      </x:c>
      <x:c r="B11" s="46" t="str">
        <x:v>Gulf of Alaska</x:v>
      </x:c>
      <x:c r="C11" s="46" t="str">
        <x:v>LME</x:v>
      </x:c>
      <x:c r="D11" s="58" t="n">
        <x:v>2019</x:v>
      </x:c>
      <x:c r="E11" s="46" t="str">
        <x:v>Pleurogrammus monopterygius</x:v>
      </x:c>
      <x:c r="F11" s="46" t="str">
        <x:v>Atka mackerel</x:v>
      </x:c>
      <x:c r="G11" s="46" t="str">
        <x:v>Medium demersals (30 - 89 cm)</x:v>
      </x:c>
      <x:c r="H11" s="46" t="str">
        <x:v>Scorpionfishes</x:v>
      </x:c>
      <x:c r="I11" s="60" t="n">
        <x:v>18876.5678172202</x:v>
      </x:c>
      <x:c r="J11" s="60" t="n">
        <x:v>18697.8228274701</x:v>
      </x:c>
      <x:c r="K11" s="60" t="n">
        <x:v>178.7449897501</x:v>
      </x:c>
      <x:c r="L11" s="60" t="n">
        <x:v>18697.8228274701</x:v>
      </x:c>
      <x:c r="M11" s="60" t="n">
        <x:v>178.7449897501</x:v>
      </x:c>
      <x:c r="N11" s="46" t="str">
        <x:v>pleurogrammus monopterygius</x:v>
      </x:c>
      <x:c r="O11" s="62" t="n">
        <x:v>3.38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Pleurogrammus monopterygius</x:v>
      </x:c>
      <x:c r="T11" s="62" t="n">
        <x:f>IF(O11="","",(1/'Metadata'!$B$5)^(O11-1))</x:f>
        <x:v>1248.6806726928048</x:v>
      </x:c>
      <x:c r="U11" s="60" t="n">
        <x:f>IF(T11="","",I11*T11)</x:f>
        <x:v>23570805.400137868</x:v>
      </x:c>
    </x:row>
    <x:row r="12" ht="18" customHeight="1">
      <x:c r="A12" s="46" t="str">
        <x:v>LME_002</x:v>
      </x:c>
      <x:c r="B12" s="46" t="str">
        <x:v>Gulf of Alaska</x:v>
      </x:c>
      <x:c r="C12" s="46" t="str">
        <x:v>LME</x:v>
      </x:c>
      <x:c r="D12" s="58" t="n">
        <x:v>2019</x:v>
      </x:c>
      <x:c r="E12" s="46" t="str">
        <x:v>Sebastes alutus</x:v>
      </x:c>
      <x:c r="F12" s="46" t="str">
        <x:v>Pacific ocean perch</x:v>
      </x:c>
      <x:c r="G12" s="46" t="str">
        <x:v>Medium demersals (30 - 89 cm)</x:v>
      </x:c>
      <x:c r="H12" s="46" t="str">
        <x:v>Scorpionfishes</x:v>
      </x:c>
      <x:c r="I12" s="60" t="n">
        <x:v>15422.992010898499</x:v>
      </x:c>
      <x:c r="J12" s="60" t="n">
        <x:v>14396.1944872897</x:v>
      </x:c>
      <x:c r="K12" s="60" t="n">
        <x:v>1026.7975236088</x:v>
      </x:c>
      <x:c r="L12" s="60" t="n">
        <x:v>14396.1944555167</x:v>
      </x:c>
      <x:c r="M12" s="60" t="n">
        <x:v>1026.7975553818</x:v>
      </x:c>
      <x:c r="N12" s="46" t="str">
        <x:v>sebastes alutus</x:v>
      </x:c>
      <x:c r="O12" s="62" t="n">
        <x:v>3.48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Sebastes alutus</x:v>
      </x:c>
      <x:c r="T12" s="62" t="n">
        <x:f>IF(O12="","",(1/'Metadata'!$B$5)^(O12-1))</x:f>
        <x:v>1684.8234138858888</x:v>
      </x:c>
      <x:c r="U12" s="60" t="n">
        <x:f>IF(T12="","",I12*T12)</x:f>
        <x:v>25985018.052136797</x:v>
      </x:c>
    </x:row>
    <x:row r="13" ht="18" customHeight="1">
      <x:c r="A13" s="46" t="str">
        <x:v>LME_002</x:v>
      </x:c>
      <x:c r="B13" s="46" t="str">
        <x:v>Gulf of Alaska</x:v>
      </x:c>
      <x:c r="C13" s="46" t="str">
        <x:v>LME</x:v>
      </x:c>
      <x:c r="D13" s="58" t="n">
        <x:v>2019</x:v>
      </x:c>
      <x:c r="E13" s="46" t="str">
        <x:v>Metacarcinus magister</x:v>
      </x:c>
      <x:c r="F13" s="46" t="str">
        <x:v>Dungeness crab</x:v>
      </x:c>
      <x:c r="G13" s="46" t="str">
        <x:v>Lobsters, crabs</x:v>
      </x:c>
      <x:c r="H13" s="46" t="str">
        <x:v>Crustaceans</x:v>
      </x:c>
      <x:c r="I13" s="60" t="n">
        <x:v>15110.415169058499</x:v>
      </x:c>
      <x:c r="J13" s="60" t="n">
        <x:v>15110.415169058499</x:v>
      </x:c>
      <x:c r="K13" s="60" t="n">
        <x:v>0</x:v>
      </x:c>
      <x:c r="L13" s="60" t="n">
        <x:v>14783.331327524898</x:v>
      </x:c>
      <x:c r="M13" s="60" t="n">
        <x:v>327.0838415336</x:v>
      </x:c>
      <x:c r="N13" s="46" t="str">
        <x:v>metacarcinus magister</x:v>
      </x:c>
      <x:c r="O13" s="62" t="n">
        <x:v>4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Metacarcinus magister</x:v>
      </x:c>
      <x:c r="T13" s="62" t="n">
        <x:f>IF(O13="","",(1/'Metadata'!$B$5)^(O13-1))</x:f>
        <x:v>8000</x:v>
      </x:c>
      <x:c r="U13" s="60" t="n">
        <x:f>IF(T13="","",I13*T13)</x:f>
        <x:v>120883321.35246798</x:v>
      </x:c>
    </x:row>
    <x:row r="14" ht="18" customHeight="1">
      <x:c r="A14" s="46" t="str">
        <x:v>LME_002</x:v>
      </x:c>
      <x:c r="B14" s="46" t="str">
        <x:v>Gulf of Alaska</x:v>
      </x:c>
      <x:c r="C14" s="46" t="str">
        <x:v>LME</x:v>
      </x:c>
      <x:c r="D14" s="58" t="n">
        <x:v>2019</x:v>
      </x:c>
      <x:c r="E14" s="46" t="str">
        <x:v>Hippoglossus stenolepis</x:v>
      </x:c>
      <x:c r="F14" s="46" t="str">
        <x:v>Pacific halibut</x:v>
      </x:c>
      <x:c r="G14" s="46" t="str">
        <x:v>Large flatfishes (&gt;=90 cm)</x:v>
      </x:c>
      <x:c r="H14" s="46" t="str">
        <x:v>Flatfishes</x:v>
      </x:c>
      <x:c r="I14" s="60" t="n">
        <x:v>12802.864690524</x:v>
      </x:c>
      <x:c r="J14" s="60" t="n">
        <x:v>10830.4503667431</x:v>
      </x:c>
      <x:c r="K14" s="60" t="n">
        <x:v>1972.4143237809</x:v>
      </x:c>
      <x:c r="L14" s="60" t="n">
        <x:v>6779.2438539101</x:v>
      </x:c>
      <x:c r="M14" s="60" t="n">
        <x:v>6023.6208366139</x:v>
      </x:c>
      <x:c r="N14" s="46" t="str">
        <x:v>hippoglossus stenolepis</x:v>
      </x:c>
      <x:c r="O14" s="62" t="n">
        <x:v>4.14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Hippoglossus stenolepis</x:v>
      </x:c>
      <x:c r="T14" s="62" t="n">
        <x:f>IF(O14="","",(1/'Metadata'!$B$5)^(O14-1))</x:f>
        <x:v>12168.419864331923</x:v>
      </x:c>
      <x:c r="U14" s="60" t="n">
        <x:f>IF(T14="","",I14*T14)</x:f>
        <x:v>155790633.02052602</x:v>
      </x:c>
    </x:row>
    <x:row r="15" ht="18" customHeight="1">
      <x:c r="A15" s="46" t="str">
        <x:v>LME_002</x:v>
      </x:c>
      <x:c r="B15" s="46" t="str">
        <x:v>Gulf of Alaska</x:v>
      </x:c>
      <x:c r="C15" s="46" t="str">
        <x:v>LME</x:v>
      </x:c>
      <x:c r="D15" s="58" t="n">
        <x:v>2019</x:v>
      </x:c>
      <x:c r="E15" s="46" t="str">
        <x:v>Sebastidae</x:v>
      </x:c>
      <x:c r="F15" s="46" t="str">
        <x:v>Rockfishes, rockcods, thornyheads</x:v>
      </x:c>
      <x:c r="G15" s="46" t="str">
        <x:v>Medium demersals (30 - 89 cm)</x:v>
      </x:c>
      <x:c r="H15" s="46" t="str">
        <x:v>Scorpionfishes</x:v>
      </x:c>
      <x:c r="I15" s="60" t="n">
        <x:v>11858.5274166806</x:v>
      </x:c>
      <x:c r="J15" s="60" t="n">
        <x:v>11585.8634970591</x:v>
      </x:c>
      <x:c r="K15" s="60" t="n">
        <x:v>272.6639196215</x:v>
      </x:c>
      <x:c r="L15" s="60" t="n">
        <x:v>11503.3108906743</x:v>
      </x:c>
      <x:c r="M15" s="60" t="n">
        <x:v>355.2165260063</x:v>
      </x:c>
      <x:c r="N15" s="46" t="str">
        <x:v>sebastidae</x:v>
      </x:c>
      <x:c r="O15" s="62" t="n">
        <x:v>3.74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Sebastidae</x:v>
      </x:c>
      <x:c r="T15" s="62" t="n">
        <x:f>IF(O15="","",(1/'Metadata'!$B$5)^(O15-1))</x:f>
        <x:v>3671.3195599248957</x:v>
      </x:c>
      <x:c r="U15" s="60" t="n">
        <x:f>IF(T15="","",I15*T15)</x:f>
        <x:v>43536443.656765126</x:v>
      </x:c>
    </x:row>
    <x:row r="16" ht="18" customHeight="1">
      <x:c r="A16" s="46" t="str">
        <x:v>LME_002</x:v>
      </x:c>
      <x:c r="B16" s="46" t="str">
        <x:v>Gulf of Alaska</x:v>
      </x:c>
      <x:c r="C16" s="46" t="str">
        <x:v>LME</x:v>
      </x:c>
      <x:c r="D16" s="58" t="n">
        <x:v>2019</x:v>
      </x:c>
      <x:c r="E16" s="46" t="str">
        <x:v>Atheresthes stomias</x:v>
      </x:c>
      <x:c r="F16" s="46" t="str">
        <x:v>Arrowtooth flounder</x:v>
      </x:c>
      <x:c r="G16" s="46" t="str">
        <x:v>Small to medium flatfishes (&lt;90 cm)</x:v>
      </x:c>
      <x:c r="H16" s="46" t="str">
        <x:v>Flatfishes</x:v>
      </x:c>
      <x:c r="I16" s="60" t="n">
        <x:v>10262.748676431</x:v>
      </x:c>
      <x:c r="J16" s="60" t="n">
        <x:v>9742.9865633742</x:v>
      </x:c>
      <x:c r="K16" s="60" t="n">
        <x:v>519.7621130568</x:v>
      </x:c>
      <x:c r="L16" s="60" t="n">
        <x:v>9742.9684536528</x:v>
      </x:c>
      <x:c r="M16" s="60" t="n">
        <x:v>519.7802227782</x:v>
      </x:c>
      <x:c r="N16" s="46" t="str">
        <x:v>atheresthes stomias</x:v>
      </x:c>
      <x:c r="O16" s="62" t="n">
        <x:v>4.17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Atheresthes stomias</x:v>
      </x:c>
      <x:c r="T16" s="62" t="n">
        <x:f>IF(O16="","",(1/'Metadata'!$B$5)^(O16-1))</x:f>
        <x:v>13312.667535064244</x:v>
      </x:c>
      <x:c r="U16" s="60" t="n">
        <x:f>IF(T16="","",I16*T16)</x:f>
        <x:v>136624561.1252465</x:v>
      </x:c>
    </x:row>
    <x:row r="17" ht="18" customHeight="1">
      <x:c r="A17" s="46" t="str">
        <x:v>LME_002</x:v>
      </x:c>
      <x:c r="B17" s="46" t="str">
        <x:v>Gulf of Alaska</x:v>
      </x:c>
      <x:c r="C17" s="46" t="str">
        <x:v>LME</x:v>
      </x:c>
      <x:c r="D17" s="58" t="n">
        <x:v>2019</x:v>
      </x:c>
      <x:c r="E17" s="46" t="str">
        <x:v>Rajidae</x:v>
      </x:c>
      <x:c r="F17" s="46" t="str">
        <x:v>Stingrays</x:v>
      </x:c>
      <x:c r="G17" s="46" t="str">
        <x:v>Large rays (&gt;=90 cm)</x:v>
      </x:c>
      <x:c r="H17" s="46" t="str">
        <x:v>Sharks &amp; rays</x:v>
      </x:c>
      <x:c r="I17" s="60" t="n">
        <x:v>8005.1886326382</x:v>
      </x:c>
      <x:c r="J17" s="60" t="n">
        <x:v>4314.5269529194</x:v>
      </x:c>
      <x:c r="K17" s="60" t="n">
        <x:v>3690.6616797188003</x:v>
      </x:c>
      <x:c r="L17" s="60" t="n">
        <x:v>4313.690371816199</x:v>
      </x:c>
      <x:c r="M17" s="60" t="n">
        <x:v>3691.4982608220002</x:v>
      </x:c>
      <x:c r="N17" s="46" t="str">
        <x:v>rajidae</x:v>
      </x:c>
      <x:c r="O17" s="62" t="n">
        <x:v>3.82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Rajidae</x:v>
      </x:c>
      <x:c r="T17" s="62" t="n">
        <x:f>IF(O17="","",(1/'Metadata'!$B$5)^(O17-1))</x:f>
        <x:v>4665.56868948727</x:v>
      </x:c>
      <x:c r="U17" s="60" t="n">
        <x:f>IF(T17="","",I17*T17)</x:f>
        <x:v>37348757.437876195</x:v>
      </x:c>
    </x:row>
    <x:row r="18" ht="18" customHeight="1">
      <x:c r="A18" s="46" t="str">
        <x:v>LME_002</x:v>
      </x:c>
      <x:c r="B18" s="46" t="str">
        <x:v>Gulf of Alaska</x:v>
      </x:c>
      <x:c r="C18" s="46" t="str">
        <x:v>LME</x:v>
      </x:c>
      <x:c r="D18" s="58" t="n">
        <x:v>2019</x:v>
      </x:c>
      <x:c r="E18" s="46" t="str">
        <x:v>Marine groundfishes not identified</x:v>
      </x:c>
      <x:c r="F18" s="46" t="str">
        <x:v>Groundfishes</x:v>
      </x:c>
      <x:c r="G18" s="46" t="str">
        <x:v>Medium demersals (30 - 89 cm)</x:v>
      </x:c>
      <x:c r="H18" s="46" t="str">
        <x:v>Other fishes &amp; inverts</x:v>
      </x:c>
      <x:c r="I18" s="60" t="n">
        <x:v>7937.6435407044</x:v>
      </x:c>
      <x:c r="J18" s="60" t="n">
        <x:v>0</x:v>
      </x:c>
      <x:c r="K18" s="60" t="n">
        <x:v>7937.6435407044</x:v>
      </x:c>
      <x:c r="L18" s="60" t="n">
        <x:v>0</x:v>
      </x:c>
      <x:c r="M18" s="60" t="n">
        <x:v>7937.6435407044</x:v>
      </x:c>
      <x:c r="N18" s="46" t="str">
        <x:v>marine groundfishes not identified</x:v>
      </x:c>
      <x:c r="O18" s="62" t="n">
        <x:v>3.22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Marine groundfishes not identified</x:v>
      </x:c>
      <x:c r="T18" s="62" t="n">
        <x:f>IF(O18="","",(1/'Metadata'!$B$5)^(O18-1))</x:f>
        <x:v>773.1906443023378</x:v>
      </x:c>
      <x:c r="U18" s="60" t="n">
        <x:f>IF(T18="","",I18*T18)</x:f>
        <x:v>6137311.723479525</x:v>
      </x:c>
    </x:row>
    <x:row r="19" ht="18" customHeight="1">
      <x:c r="A19" s="46" t="str">
        <x:v>LME_002</x:v>
      </x:c>
      <x:c r="B19" s="46" t="str">
        <x:v>Gulf of Alaska</x:v>
      </x:c>
      <x:c r="C19" s="46" t="str">
        <x:v>LME</x:v>
      </x:c>
      <x:c r="D19" s="58" t="n">
        <x:v>2019</x:v>
      </x:c>
      <x:c r="E19" s="46" t="str">
        <x:v>Pleuronectiformes</x:v>
      </x:c>
      <x:c r="F19" s="46" t="str">
        <x:v>Flatfishes</x:v>
      </x:c>
      <x:c r="G19" s="46" t="str">
        <x:v>Small to medium flatfishes (&lt;90 cm)</x:v>
      </x:c>
      <x:c r="H19" s="46" t="str">
        <x:v>Flatfishes</x:v>
      </x:c>
      <x:c r="I19" s="60" t="n">
        <x:v>7140.8852751219</x:v>
      </x:c>
      <x:c r="J19" s="60" t="n">
        <x:v>6403.5019727576</x:v>
      </x:c>
      <x:c r="K19" s="60" t="n">
        <x:v>737.3833023643</x:v>
      </x:c>
      <x:c r="L19" s="60" t="n">
        <x:v>6400.5629159381</x:v>
      </x:c>
      <x:c r="M19" s="60" t="n">
        <x:v>740.3223591838</x:v>
      </x:c>
      <x:c r="N19" s="46" t="str">
        <x:v>pleuronectiformes</x:v>
      </x:c>
      <x:c r="O19" s="62" t="n">
        <x:v>3.57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Pleuronectiformes</x:v>
      </x:c>
      <x:c r="T19" s="62" t="n">
        <x:f>IF(O19="","",(1/'Metadata'!$B$5)^(O19-1))</x:f>
        <x:v>2206.2112196552644</x:v>
      </x:c>
      <x:c r="U19" s="60" t="n">
        <x:f>IF(T19="","",I19*T19)</x:f>
        <x:v>15754301.212245006</x:v>
      </x:c>
    </x:row>
    <x:row r="20" ht="18" customHeight="1">
      <x:c r="A20" s="46" t="str">
        <x:v>LME_002</x:v>
      </x:c>
      <x:c r="B20" s="46" t="str">
        <x:v>Gulf of Alaska</x:v>
      </x:c>
      <x:c r="C20" s="46" t="str">
        <x:v>LME</x:v>
      </x:c>
      <x:c r="D20" s="58" t="n">
        <x:v>2019</x:v>
      </x:c>
      <x:c r="E20" s="46" t="str">
        <x:v>Sebastes</x:v>
      </x:c>
      <x:c r="F20" s="46" t="str">
        <x:v>Redfishes</x:v>
      </x:c>
      <x:c r="G20" s="46" t="str">
        <x:v>Large reef assoc. fish (&gt;=90 cm)</x:v>
      </x:c>
      <x:c r="H20" s="46" t="str">
        <x:v>Scorpionfishes</x:v>
      </x:c>
      <x:c r="I20" s="60" t="n">
        <x:v>6815.378843753</x:v>
      </x:c>
      <x:c r="J20" s="60" t="n">
        <x:v>6677.0192351903</x:v>
      </x:c>
      <x:c r="K20" s="60" t="n">
        <x:v>138.3596085627</x:v>
      </x:c>
      <x:c r="L20" s="60" t="n">
        <x:v>6663.6525411934</x:v>
      </x:c>
      <x:c r="M20" s="60" t="n">
        <x:v>151.7263025596</x:v>
      </x:c>
      <x:c r="N20" s="46" t="str">
        <x:v>sebastes</x:v>
      </x:c>
      <x:c r="O20" s="62" t="n">
        <x:v>3.79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Sebastes</x:v>
      </x:c>
      <x:c r="T20" s="62" t="n">
        <x:f>IF(O20="","",(1/'Metadata'!$B$5)^(O20-1))</x:f>
        <x:v>4264.554685980751</x:v>
      </x:c>
      <x:c r="U20" s="60" t="n">
        <x:f>IF(T20="","",I20*T20)</x:f>
        <x:v>29064555.784860928</x:v>
      </x:c>
    </x:row>
    <x:row r="21" ht="18" customHeight="1">
      <x:c r="A21" s="46" t="str">
        <x:v>LME_002</x:v>
      </x:c>
      <x:c r="B21" s="46" t="str">
        <x:v>Gulf of Alaska</x:v>
      </x:c>
      <x:c r="C21" s="46" t="str">
        <x:v>LME</x:v>
      </x:c>
      <x:c r="D21" s="58" t="n">
        <x:v>2019</x:v>
      </x:c>
      <x:c r="E21" s="46" t="str">
        <x:v>Oncorhynchus kisutch</x:v>
      </x:c>
      <x:c r="F21" s="46" t="str">
        <x:v>Coho salmon</x:v>
      </x:c>
      <x:c r="G21" s="46" t="str">
        <x:v>Large demersals (&gt;=90 cm)</x:v>
      </x:c>
      <x:c r="H21" s="46" t="str">
        <x:v>Salmon, smelts, etc</x:v>
      </x:c>
      <x:c r="I21" s="60" t="n">
        <x:v>6628.8438391145</x:v>
      </x:c>
      <x:c r="J21" s="60" t="n">
        <x:v>6625.2635962308</x:v>
      </x:c>
      <x:c r="K21" s="60" t="n">
        <x:v>3.5802428836999995</x:v>
      </x:c>
      <x:c r="L21" s="60" t="n">
        <x:v>4290.870219231801</x:v>
      </x:c>
      <x:c r="M21" s="60" t="n">
        <x:v>2337.9736198827</x:v>
      </x:c>
      <x:c r="N21" s="46" t="str">
        <x:v>oncorhynchus kisutch</x:v>
      </x:c>
      <x:c r="O21" s="62" t="n">
        <x:v>4.22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Oncorhynchus kisutch</x:v>
      </x:c>
      <x:c r="T21" s="62" t="n">
        <x:f>IF(O21="","",(1/'Metadata'!$B$5)^(O21-1))</x:f>
        <x:v>15463.812886046735</x:v>
      </x:c>
      <x:c r="U21" s="60" t="n">
        <x:f>IF(T21="","",I21*T21)</x:f>
        <x:v>102507200.77889031</x:v>
      </x:c>
    </x:row>
    <x:row r="22" ht="18" customHeight="1">
      <x:c r="A22" s="46" t="str">
        <x:v>LME_002</x:v>
      </x:c>
      <x:c r="B22" s="46" t="str">
        <x:v>Gulf of Alaska</x:v>
      </x:c>
      <x:c r="C22" s="46" t="str">
        <x:v>LME</x:v>
      </x:c>
      <x:c r="D22" s="58" t="n">
        <x:v>2019</x:v>
      </x:c>
      <x:c r="E22" s="46" t="str">
        <x:v>Oncorhynchus tshawytscha</x:v>
      </x:c>
      <x:c r="F22" s="46" t="str">
        <x:v>Chinook salmon</x:v>
      </x:c>
      <x:c r="G22" s="46" t="str">
        <x:v>Large benthopelagics (&gt;=90 cm)</x:v>
      </x:c>
      <x:c r="H22" s="46" t="str">
        <x:v>Salmon, smelts, etc</x:v>
      </x:c>
      <x:c r="I22" s="60" t="n">
        <x:v>5883.0664957126</x:v>
      </x:c>
      <x:c r="J22" s="60" t="n">
        <x:v>5846.787605907</x:v>
      </x:c>
      <x:c r="K22" s="60" t="n">
        <x:v>36.278889805599995</x:v>
      </x:c>
      <x:c r="L22" s="60" t="n">
        <x:v>905.7181537533</x:v>
      </x:c>
      <x:c r="M22" s="60" t="n">
        <x:v>4977.3483419593</x:v>
      </x:c>
      <x:c r="N22" s="46" t="str">
        <x:v>oncorhynchus tshawytscha</x:v>
      </x:c>
      <x:c r="O22" s="62" t="n">
        <x:v>4.4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Oncorhynchus tshawytscha</x:v>
      </x:c>
      <x:c r="T22" s="62" t="n">
        <x:f>IF(O22="","",(1/'Metadata'!$B$5)^(O22-1))</x:f>
        <x:v>26515.632138719924</x:v>
      </x:c>
      <x:c r="U22" s="60" t="n">
        <x:f>IF(T22="","",I22*T22)</x:f>
        <x:v>155993227.0479434</x:v>
      </x:c>
    </x:row>
    <x:row r="23" ht="18" customHeight="1">
      <x:c r="A23" s="46" t="str">
        <x:v>LME_002</x:v>
      </x:c>
      <x:c r="B23" s="46" t="str">
        <x:v>Gulf of Alaska</x:v>
      </x:c>
      <x:c r="C23" s="46" t="str">
        <x:v>LME</x:v>
      </x:c>
      <x:c r="D23" s="58" t="n">
        <x:v>2019</x:v>
      </x:c>
      <x:c r="E23" s="46" t="str">
        <x:v>Anoplopoma fimbria</x:v>
      </x:c>
      <x:c r="F23" s="46" t="str">
        <x:v>Sablefish</x:v>
      </x:c>
      <x:c r="G23" s="46" t="str">
        <x:v>Large bathydemersals (&gt;=90 cm)</x:v>
      </x:c>
      <x:c r="H23" s="46" t="str">
        <x:v>Scorpionfishes</x:v>
      </x:c>
      <x:c r="I23" s="60" t="n">
        <x:v>5300.010436317099</x:v>
      </x:c>
      <x:c r="J23" s="60" t="n">
        <x:v>4984.872988245599</x:v>
      </x:c>
      <x:c r="K23" s="60" t="n">
        <x:v>315.1374480715</x:v>
      </x:c>
      <x:c r="L23" s="60" t="n">
        <x:v>4978.3365922157</x:v>
      </x:c>
      <x:c r="M23" s="60" t="n">
        <x:v>321.6738441014</x:v>
      </x:c>
      <x:c r="N23" s="46" t="str">
        <x:v>anoplopoma fimbria</x:v>
      </x:c>
      <x:c r="O23" s="62" t="n">
        <x:v>3.84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Anoplopoma fimbria</x:v>
      </x:c>
      <x:c r="T23" s="62" t="n">
        <x:f>IF(O23="","",(1/'Metadata'!$B$5)^(O23-1))</x:f>
        <x:v>4953.648510535111</x:v>
      </x:c>
      <x:c r="U23" s="60" t="n">
        <x:f>IF(T23="","",I23*T23)</x:f>
        <x:v>26254388.803682745</x:v>
      </x:c>
    </x:row>
    <x:row r="24" ht="18" customHeight="1">
      <x:c r="A24" s="46" t="str">
        <x:v>LME_002</x:v>
      </x:c>
      <x:c r="B24" s="46" t="str">
        <x:v>Gulf of Alaska</x:v>
      </x:c>
      <x:c r="C24" s="46" t="str">
        <x:v>LME</x:v>
      </x:c>
      <x:c r="D24" s="58" t="n">
        <x:v>2019</x:v>
      </x:c>
      <x:c r="E24" s="46" t="str">
        <x:v>Oncorhynchus</x:v>
      </x:c>
      <x:c r="F24" s="46" t="str">
        <x:v>Salmons, trouts</x:v>
      </x:c>
      <x:c r="G24" s="46" t="str">
        <x:v>Large benthopelagics (&gt;=90 cm)</x:v>
      </x:c>
      <x:c r="H24" s="46" t="str">
        <x:v>Salmon, smelts, etc</x:v>
      </x:c>
      <x:c r="I24" s="60" t="n">
        <x:v>4542.9992509844</x:v>
      </x:c>
      <x:c r="J24" s="60" t="n">
        <x:v>4542.9992509844</x:v>
      </x:c>
      <x:c r="K24" s="60" t="n">
        <x:v>0</x:v>
      </x:c>
      <x:c r="L24" s="60" t="n">
        <x:v>4541.8385449042</x:v>
      </x:c>
      <x:c r="M24" s="60" t="n">
        <x:v>1.1607060802</x:v>
      </x:c>
      <x:c r="N24" s="46" t="str">
        <x:v>oncorhynchus</x:v>
      </x:c>
      <x:c r="O24" s="62" t="n">
        <x:v>3.95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Oncorhynchus</x:v>
      </x:c>
      <x:c r="T24" s="62" t="n">
        <x:f>IF(O24="","",(1/'Metadata'!$B$5)^(O24-1))</x:f>
        <x:v>6887.133274653882</x:v>
      </x:c>
      <x:c r="U24" s="60" t="n">
        <x:f>IF(T24="","",I24*T24)</x:f>
        <x:v>31288241.30818232</x:v>
      </x:c>
    </x:row>
    <x:row r="25" ht="18" customHeight="1">
      <x:c r="A25" s="46" t="str">
        <x:v>LME_002</x:v>
      </x:c>
      <x:c r="B25" s="46" t="str">
        <x:v>Gulf of Alaska</x:v>
      </x:c>
      <x:c r="C25" s="46" t="str">
        <x:v>LME</x:v>
      </x:c>
      <x:c r="D25" s="58" t="n">
        <x:v>2019</x:v>
      </x:c>
      <x:c r="E25" s="46" t="str">
        <x:v>Chionoecetes opilio</x:v>
      </x:c>
      <x:c r="F25" s="46" t="str">
        <x:v>Snow crab</x:v>
      </x:c>
      <x:c r="G25" s="46" t="str">
        <x:v>Lobsters, crabs</x:v>
      </x:c>
      <x:c r="H25" s="46" t="str">
        <x:v>Crustaceans</x:v>
      </x:c>
      <x:c r="I25" s="60" t="n">
        <x:v>4062.8101522194</x:v>
      </x:c>
      <x:c r="J25" s="60" t="n">
        <x:v>4062.8101522194</x:v>
      </x:c>
      <x:c r="K25" s="60" t="n">
        <x:v>0</x:v>
      </x:c>
      <x:c r="L25" s="60" t="n">
        <x:v>4062.8101522194</x:v>
      </x:c>
      <x:c r="M25" s="60" t="n">
        <x:v>0</x:v>
      </x:c>
      <x:c r="N25" s="46" t="str">
        <x:v>chionoecetes opilio</x:v>
      </x:c>
      <x:c r="O25" s="62" t="n">
        <x:v>3.54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Chionoecetes opilio</x:v>
      </x:c>
      <x:c r="T25" s="62" t="n">
        <x:f>IF(O25="","",(1/'Metadata'!$B$5)^(O25-1))</x:f>
        <x:v>2016.5834052007342</x:v>
      </x:c>
      <x:c r="U25" s="60" t="n">
        <x:f>IF(T25="","",I25*T25)</x:f>
        <x:v>8192995.531446711</x:v>
      </x:c>
    </x:row>
    <x:row r="26" ht="18" customHeight="1">
      <x:c r="A26" s="46" t="str">
        <x:v>LME_002</x:v>
      </x:c>
      <x:c r="B26" s="46" t="str">
        <x:v>Gulf of Alaska</x:v>
      </x:c>
      <x:c r="C26" s="46" t="str">
        <x:v>LME</x:v>
      </x:c>
      <x:c r="D26" s="58" t="n">
        <x:v>2019</x:v>
      </x:c>
      <x:c r="E26" s="46" t="str">
        <x:v>Hippoglossoides elassodon</x:v>
      </x:c>
      <x:c r="F26" s="46" t="str">
        <x:v>Flathead sole</x:v>
      </x:c>
      <x:c r="G26" s="46" t="str">
        <x:v>Small to medium flatfishes (&lt;90 cm)</x:v>
      </x:c>
      <x:c r="H26" s="46" t="str">
        <x:v>Flatfishes</x:v>
      </x:c>
      <x:c r="I26" s="60" t="n">
        <x:v>4023.1942907469</x:v>
      </x:c>
      <x:c r="J26" s="60" t="n">
        <x:v>3849.64881125</x:v>
      </x:c>
      <x:c r="K26" s="60" t="n">
        <x:v>173.5454794969</x:v>
      </x:c>
      <x:c r="L26" s="60" t="n">
        <x:v>3849.64881125</x:v>
      </x:c>
      <x:c r="M26" s="60" t="n">
        <x:v>173.5454794969</x:v>
      </x:c>
      <x:c r="N26" s="46" t="str">
        <x:v>hippoglossoides elassodon</x:v>
      </x:c>
      <x:c r="O26" s="62" t="n">
        <x:v>3.67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Hippoglossoides elassodon</x:v>
      </x:c>
      <x:c r="T26" s="62" t="n">
        <x:f>IF(O26="","",(1/'Metadata'!$B$5)^(O26-1))</x:f>
        <x:v>2976.8029570258213</x:v>
      </x:c>
      <x:c r="U26" s="60" t="n">
        <x:f>IF(T26="","",I26*T26)</x:f>
        <x:v>11976256.661384774</x:v>
      </x:c>
    </x:row>
    <x:row r="27" ht="18" customHeight="1">
      <x:c r="A27" s="46" t="str">
        <x:v>LME_002</x:v>
      </x:c>
      <x:c r="B27" s="46" t="str">
        <x:v>Gulf of Alaska</x:v>
      </x:c>
      <x:c r="C27" s="46" t="str">
        <x:v>LME</x:v>
      </x:c>
      <x:c r="D27" s="58" t="n">
        <x:v>2019</x:v>
      </x:c>
      <x:c r="E27" s="46" t="str">
        <x:v>Pandalus jordani</x:v>
      </x:c>
      <x:c r="F27" s="46" t="str">
        <x:v>Ocean shrimp</x:v>
      </x:c>
      <x:c r="G27" s="46" t="str">
        <x:v>Shrimps</x:v>
      </x:c>
      <x:c r="H27" s="46" t="str">
        <x:v>Crustaceans</x:v>
      </x:c>
      <x:c r="I27" s="60" t="n">
        <x:v>4005.9538129662997</x:v>
      </x:c>
      <x:c r="J27" s="60" t="n">
        <x:v>4005.9538129662997</x:v>
      </x:c>
      <x:c r="K27" s="60" t="n">
        <x:v>0</x:v>
      </x:c>
      <x:c r="L27" s="60" t="n">
        <x:v>4005.9538129662997</x:v>
      </x:c>
      <x:c r="M27" s="60" t="n">
        <x:v>0</x:v>
      </x:c>
      <x:c r="N27" s="46" t="str">
        <x:v>pandalus jordani</x:v>
      </x:c>
      <x:c r="O27" s="62" t="n">
        <x:v>3.23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Pandalus jordani</x:v>
      </x:c>
      <x:c r="T27" s="62" t="n">
        <x:f>IF(O27="","",(1/'Metadata'!$B$5)^(O27-1))</x:f>
        <x:v>796.7038031673321</x:v>
      </x:c>
      <x:c r="U27" s="60" t="n">
        <x:f>IF(T27="","",I27*T27)</x:f>
        <x:v>3191558.6381029263</x:v>
      </x:c>
    </x:row>
    <x:row r="28" ht="18" customHeight="1">
      <x:c r="A28" s="46" t="str">
        <x:v>LME_002</x:v>
      </x:c>
      <x:c r="B28" s="46" t="str">
        <x:v>Gulf of Alaska</x:v>
      </x:c>
      <x:c r="C28" s="46" t="str">
        <x:v>LME</x:v>
      </x:c>
      <x:c r="D28" s="58" t="n">
        <x:v>2019</x:v>
      </x:c>
      <x:c r="E28" s="46" t="str">
        <x:v>Mesocentrotus franciscanus</x:v>
      </x:c>
      <x:c r="F28" s="46" t="str">
        <x:v>Red sea urchin</x:v>
      </x:c>
      <x:c r="G28" s="46" t="str">
        <x:v>Other demersal invertebrates</x:v>
      </x:c>
      <x:c r="H28" s="46" t="str">
        <x:v>Other fishes &amp; inverts</x:v>
      </x:c>
      <x:c r="I28" s="60" t="n">
        <x:v>3017.1469434349997</x:v>
      </x:c>
      <x:c r="J28" s="60" t="n">
        <x:v>3017.1469434349997</x:v>
      </x:c>
      <x:c r="K28" s="60" t="n">
        <x:v>0</x:v>
      </x:c>
      <x:c r="L28" s="60" t="n">
        <x:v>3017.1469434349997</x:v>
      </x:c>
      <x:c r="M28" s="60" t="n">
        <x:v>0</x:v>
      </x:c>
      <x:c r="N28" s="46" t="str">
        <x:v>mesocentrotus franciscanus</x:v>
      </x:c>
      <x:c r="O28" s="62" t="n">
        <x:v>2.4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Mesocentrotus franciscanus</x:v>
      </x:c>
      <x:c r="T28" s="62" t="n">
        <x:f>IF(O28="","",(1/'Metadata'!$B$5)^(O28-1))</x:f>
        <x:v>66.28908034679972</x:v>
      </x:c>
      <x:c r="U28" s="60" t="n">
        <x:f>IF(T28="","",I28*T28)</x:f>
        <x:v>200003.89615146388</x:v>
      </x:c>
    </x:row>
    <x:row r="29" ht="18" customHeight="1">
      <x:c r="A29" s="46" t="str">
        <x:v>LME_002</x:v>
      </x:c>
      <x:c r="B29" s="46" t="str">
        <x:v>Gulf of Alaska</x:v>
      </x:c>
      <x:c r="C29" s="46" t="str">
        <x:v>LME</x:v>
      </x:c>
      <x:c r="D29" s="58" t="n">
        <x:v>2019</x:v>
      </x:c>
      <x:c r="E29" s="46" t="str">
        <x:v>Dendrobranchiata</x:v>
      </x:c>
      <x:c r="F29" s="46" t="str">
        <x:v>Shrimps and prawns</x:v>
      </x:c>
      <x:c r="G29" s="46" t="str">
        <x:v>Shrimps</x:v>
      </x:c>
      <x:c r="H29" s="46" t="str">
        <x:v>Crustaceans</x:v>
      </x:c>
      <x:c r="I29" s="60" t="n">
        <x:v>2677.510287445</x:v>
      </x:c>
      <x:c r="J29" s="60" t="n">
        <x:v>2677.510287445</x:v>
      </x:c>
      <x:c r="K29" s="60" t="n">
        <x:v>0</x:v>
      </x:c>
      <x:c r="L29" s="60" t="n">
        <x:v>2677.510287445</x:v>
      </x:c>
      <x:c r="M29" s="60" t="n">
        <x:v>0</x:v>
      </x:c>
      <x:c r="N29" s="46" t="str">
        <x:v>dendrobranchiata</x:v>
      </x:c>
      <x:c r="O29" s="62" t="n">
        <x:v>3.24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Dendrobranchiata</x:v>
      </x:c>
      <x:c r="T29" s="62" t="n">
        <x:f>IF(O29="","",(1/'Metadata'!$B$5)^(O29-1))</x:f>
        <x:v>820.9320103116679</x:v>
      </x:c>
      <x:c r="U29" s="60" t="n">
        <x:f>IF(T29="","",I29*T29)</x:f>
        <x:v>2198053.9029023955</x:v>
      </x:c>
    </x:row>
    <x:row r="30" ht="18" customHeight="1">
      <x:c r="A30" s="46" t="str">
        <x:v>LME_002</x:v>
      </x:c>
      <x:c r="B30" s="46" t="str">
        <x:v>Gulf of Alaska</x:v>
      </x:c>
      <x:c r="C30" s="46" t="str">
        <x:v>LME</x:v>
      </x:c>
      <x:c r="D30" s="58" t="n">
        <x:v>2019</x:v>
      </x:c>
      <x:c r="E30" s="46" t="str">
        <x:v>Cottidae</x:v>
      </x:c>
      <x:c r="F30" s="46" t="str">
        <x:v>Sculpins</x:v>
      </x:c>
      <x:c r="G30" s="46" t="str">
        <x:v>Large reef assoc. fish (&gt;=90 cm)</x:v>
      </x:c>
      <x:c r="H30" s="46" t="str">
        <x:v>Scorpionfishes</x:v>
      </x:c>
      <x:c r="I30" s="60" t="n">
        <x:v>1738.3232820301</x:v>
      </x:c>
      <x:c r="J30" s="60" t="n">
        <x:v>26.2327275281</x:v>
      </x:c>
      <x:c r="K30" s="60" t="n">
        <x:v>1712.090554502</x:v>
      </x:c>
      <x:c r="L30" s="60" t="n">
        <x:v>25.5526887515</x:v>
      </x:c>
      <x:c r="M30" s="60" t="n">
        <x:v>1712.7705932786</x:v>
      </x:c>
      <x:c r="N30" s="46" t="str">
        <x:v>cottidae</x:v>
      </x:c>
      <x:c r="O30" s="62" t="n">
        <x:v>3.81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Cottidae</x:v>
      </x:c>
      <x:c r="T30" s="62" t="n">
        <x:f>IF(O30="","",(1/'Metadata'!$B$5)^(O30-1))</x:f>
        <x:v>4527.873529309382</x:v>
      </x:c>
      <x:c r="U30" s="60" t="n">
        <x:f>IF(T30="","",I30*T30)</x:f>
        <x:v>7870907.974086298</x:v>
      </x:c>
    </x:row>
    <x:row r="31" ht="18" customHeight="1">
      <x:c r="A31" s="46" t="str">
        <x:v>LME_002</x:v>
      </x:c>
      <x:c r="B31" s="46" t="str">
        <x:v>Gulf of Alaska</x:v>
      </x:c>
      <x:c r="C31" s="46" t="str">
        <x:v>LME</x:v>
      </x:c>
      <x:c r="D31" s="58" t="n">
        <x:v>2019</x:v>
      </x:c>
      <x:c r="E31" s="46" t="str">
        <x:v>Bivalvia</x:v>
      </x:c>
      <x:c r="F31" s="46" t="str">
        <x:v>Clams</x:v>
      </x:c>
      <x:c r="G31" s="46" t="str">
        <x:v>Other demersal invertebrates</x:v>
      </x:c>
      <x:c r="H31" s="46" t="str">
        <x:v>Molluscs</x:v>
      </x:c>
      <x:c r="I31" s="60" t="n">
        <x:v>1709.5999979261999</x:v>
      </x:c>
      <x:c r="J31" s="60" t="n">
        <x:v>1709.5999979261999</x:v>
      </x:c>
      <x:c r="K31" s="60" t="n">
        <x:v>0</x:v>
      </x:c>
      <x:c r="L31" s="60" t="n">
        <x:v>1594.4476301768</x:v>
      </x:c>
      <x:c r="M31" s="60" t="n">
        <x:v>115.1523677494</x:v>
      </x:c>
      <x:c r="N31" s="46" t="str">
        <x:v>bivalvia</x:v>
      </x:c>
      <x:c r="O31" s="62" t="n">
        <x:v>2.23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Bivalvia</x:v>
      </x:c>
      <x:c r="T31" s="62" t="n">
        <x:f>IF(O31="","",(1/'Metadata'!$B$5)^(O31-1))</x:f>
        <x:v>39.83519015836661</x:v>
      </x:c>
      <x:c r="U31" s="60" t="n">
        <x:f>IF(T31="","",I31*T31)</x:f>
        <x:v>68102.24101213332</x:v>
      </x:c>
    </x:row>
    <x:row r="32" ht="18" customHeight="1">
      <x:c r="A32" s="46" t="str">
        <x:v>LME_002</x:v>
      </x:c>
      <x:c r="B32" s="46" t="str">
        <x:v>Gulf of Alaska</x:v>
      </x:c>
      <x:c r="C32" s="46" t="str">
        <x:v>LME</x:v>
      </x:c>
      <x:c r="D32" s="58" t="n">
        <x:v>2019</x:v>
      </x:c>
      <x:c r="E32" s="46" t="str">
        <x:v>Sebastes entomelas</x:v>
      </x:c>
      <x:c r="F32" s="46" t="str">
        <x:v>Widow rockfish</x:v>
      </x:c>
      <x:c r="G32" s="46" t="str">
        <x:v>Medium pelagics (30 - 89 cm)</x:v>
      </x:c>
      <x:c r="H32" s="46" t="str">
        <x:v>Scorpionfishes</x:v>
      </x:c>
      <x:c r="I32" s="60" t="n">
        <x:v>1597.6933064923999</x:v>
      </x:c>
      <x:c r="J32" s="60" t="n">
        <x:v>1581.8571034781</x:v>
      </x:c>
      <x:c r="K32" s="60" t="n">
        <x:v>15.8362030143</x:v>
      </x:c>
      <x:c r="L32" s="60" t="n">
        <x:v>1581.8347756635</x:v>
      </x:c>
      <x:c r="M32" s="60" t="n">
        <x:v>15.858530828900001</x:v>
      </x:c>
      <x:c r="N32" s="46" t="str">
        <x:v>sebastes entomelas</x:v>
      </x:c>
      <x:c r="O32" s="62" t="n">
        <x:v>3.7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Sebastes entomelas</x:v>
      </x:c>
      <x:c r="T32" s="62" t="n">
        <x:f>IF(O32="","",(1/'Metadata'!$B$5)^(O32-1))</x:f>
        <x:v>3256.724252295237</x:v>
      </x:c>
      <x:c r="U32" s="60" t="n">
        <x:f>IF(T32="","",I32*T32)</x:f>
        <x:v>5203246.538983566</x:v>
      </x:c>
    </x:row>
    <x:row r="33" ht="18" customHeight="1">
      <x:c r="A33" s="46" t="str">
        <x:v>LME_002</x:v>
      </x:c>
      <x:c r="B33" s="46" t="str">
        <x:v>Gulf of Alaska</x:v>
      </x:c>
      <x:c r="C33" s="46" t="str">
        <x:v>LME</x:v>
      </x:c>
      <x:c r="D33" s="58" t="n">
        <x:v>2019</x:v>
      </x:c>
      <x:c r="E33" s="46" t="str">
        <x:v>Reinhardtius hippoglossoides</x:v>
      </x:c>
      <x:c r="F33" s="46" t="str">
        <x:v>Greenland halibut</x:v>
      </x:c>
      <x:c r="G33" s="46" t="str">
        <x:v>Small to medium flatfishes (&lt;90 cm)</x:v>
      </x:c>
      <x:c r="H33" s="46" t="str">
        <x:v>Flatfishes</x:v>
      </x:c>
      <x:c r="I33" s="60" t="n">
        <x:v>1587.142130677</x:v>
      </x:c>
      <x:c r="J33" s="60" t="n">
        <x:v>1560.0791329755</x:v>
      </x:c>
      <x:c r="K33" s="60" t="n">
        <x:v>27.062997701500002</x:v>
      </x:c>
      <x:c r="L33" s="60" t="n">
        <x:v>1560.0791329755</x:v>
      </x:c>
      <x:c r="M33" s="60" t="n">
        <x:v>27.062997701500002</x:v>
      </x:c>
      <x:c r="N33" s="46" t="str">
        <x:v>reinhardtius hippoglossoides</x:v>
      </x:c>
      <x:c r="O33" s="62" t="n">
        <x:v>4.38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Reinhardtius hippoglossoides</x:v>
      </x:c>
      <x:c r="T33" s="62" t="n">
        <x:f>IF(O33="","",(1/'Metadata'!$B$5)^(O33-1))</x:f>
        <x:v>24973.6134538561</x:v>
      </x:c>
      <x:c r="U33" s="60" t="n">
        <x:f>IF(T33="","",I33*T33)</x:f>
        <x:v>39636674.06785696</x:v>
      </x:c>
    </x:row>
    <x:row r="34" ht="18" customHeight="1">
      <x:c r="A34" s="46" t="str">
        <x:v>LME_002</x:v>
      </x:c>
      <x:c r="B34" s="46" t="str">
        <x:v>Gulf of Alaska</x:v>
      </x:c>
      <x:c r="C34" s="46" t="str">
        <x:v>LME</x:v>
      </x:c>
      <x:c r="D34" s="58" t="n">
        <x:v>2019</x:v>
      </x:c>
      <x:c r="E34" s="46" t="str">
        <x:v>Microstomus pacificus</x:v>
      </x:c>
      <x:c r="F34" s="46" t="str">
        <x:v>Dover sole</x:v>
      </x:c>
      <x:c r="G34" s="46" t="str">
        <x:v>Small to medium flatfishes (&lt;90 cm)</x:v>
      </x:c>
      <x:c r="H34" s="46" t="str">
        <x:v>Flatfishes</x:v>
      </x:c>
      <x:c r="I34" s="60" t="n">
        <x:v>1043.8549735903002</x:v>
      </x:c>
      <x:c r="J34" s="60" t="n">
        <x:v>1035.8328503659</x:v>
      </x:c>
      <x:c r="K34" s="60" t="n">
        <x:v>8.0221232244</x:v>
      </x:c>
      <x:c r="L34" s="60" t="n">
        <x:v>1035.8098820361001</x:v>
      </x:c>
      <x:c r="M34" s="60" t="n">
        <x:v>8.045091554199999</x:v>
      </x:c>
      <x:c r="N34" s="46" t="str">
        <x:v>microstomus pacificus</x:v>
      </x:c>
      <x:c r="O34" s="62" t="n">
        <x:v>3.22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Microstomus pacificus</x:v>
      </x:c>
      <x:c r="T34" s="62" t="n">
        <x:f>IF(O34="","",(1/'Metadata'!$B$5)^(O34-1))</x:f>
        <x:v>773.1906443023378</x:v>
      </x:c>
      <x:c r="U34" s="60" t="n">
        <x:f>IF(T34="","",I34*T34)</x:f>
        <x:v>807098.899588484</x:v>
      </x:c>
    </x:row>
    <x:row r="35" ht="18" customHeight="1">
      <x:c r="A35" s="46" t="str">
        <x:v>LME_002</x:v>
      </x:c>
      <x:c r="B35" s="46" t="str">
        <x:v>Gulf of Alaska</x:v>
      </x:c>
      <x:c r="C35" s="46" t="str">
        <x:v>LME</x:v>
      </x:c>
      <x:c r="D35" s="58" t="n">
        <x:v>2019</x:v>
      </x:c>
      <x:c r="E35" s="46" t="str">
        <x:v>Sebastes pinniger</x:v>
      </x:c>
      <x:c r="F35" s="46" t="str">
        <x:v>Canary rockfish</x:v>
      </x:c>
      <x:c r="G35" s="46" t="str">
        <x:v>Medium reef assoc. fish (30 - 89 cm)</x:v>
      </x:c>
      <x:c r="H35" s="46" t="str">
        <x:v>Scorpionfishes</x:v>
      </x:c>
      <x:c r="I35" s="60" t="n">
        <x:v>1034.444363232</x:v>
      </x:c>
      <x:c r="J35" s="60" t="n">
        <x:v>1030.4763134166</x:v>
      </x:c>
      <x:c r="K35" s="60" t="n">
        <x:v>3.9680498154</x:v>
      </x:c>
      <x:c r="L35" s="60" t="n">
        <x:v>1025.6099636741</x:v>
      </x:c>
      <x:c r="M35" s="60" t="n">
        <x:v>8.8343995579</x:v>
      </x:c>
      <x:c r="N35" s="46" t="str">
        <x:v>sebastes pinniger</x:v>
      </x:c>
      <x:c r="O35" s="62" t="n">
        <x:v>3.8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Sebastes pinniger</x:v>
      </x:c>
      <x:c r="T35" s="62" t="n">
        <x:f>IF(O35="","",(1/'Metadata'!$B$5)^(O35-1))</x:f>
        <x:v>4394.242173224468</x:v>
      </x:c>
      <x:c r="U35" s="60" t="n">
        <x:f>IF(T35="","",I35*T35)</x:f>
        <x:v>4545599.046768385</x:v>
      </x:c>
    </x:row>
    <x:row r="36" ht="18" customHeight="1">
      <x:c r="A36" s="46" t="str">
        <x:v>LME_002</x:v>
      </x:c>
      <x:c r="B36" s="46" t="str">
        <x:v>Gulf of Alaska</x:v>
      </x:c>
      <x:c r="C36" s="46" t="str">
        <x:v>LME</x:v>
      </x:c>
      <x:c r="D36" s="58" t="n">
        <x:v>2019</x:v>
      </x:c>
      <x:c r="E36" s="46" t="str">
        <x:v>Paralithodes</x:v>
      </x:c>
      <x:c r="F36" s="46" t="str">
        <x:v>North Pacific king crabs</x:v>
      </x:c>
      <x:c r="G36" s="46" t="str">
        <x:v>Lobsters, crabs</x:v>
      </x:c>
      <x:c r="H36" s="46" t="str">
        <x:v>Crustaceans</x:v>
      </x:c>
      <x:c r="I36" s="60" t="n">
        <x:v>981.0145157247</x:v>
      </x:c>
      <x:c r="J36" s="60" t="n">
        <x:v>981.0145157247</x:v>
      </x:c>
      <x:c r="K36" s="60" t="n">
        <x:v>0</x:v>
      </x:c>
      <x:c r="L36" s="60" t="n">
        <x:v>981.0145157247</x:v>
      </x:c>
      <x:c r="M36" s="60" t="n">
        <x:v>0</x:v>
      </x:c>
      <x:c r="N36" s="46" t="str">
        <x:v>paralithodes</x:v>
      </x:c>
      <x:c r="O36" s="62" t="n">
        <x:v>2.82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Paralithodes</x:v>
      </x:c>
      <x:c r="T36" s="62" t="n">
        <x:f>IF(O36="","",(1/'Metadata'!$B$5)^(O36-1))</x:f>
        <x:v>233.27843447436348</x:v>
      </x:c>
      <x:c r="U36" s="60" t="n">
        <x:f>IF(T36="","",I36*T36)</x:f>
        <x:v>228849.53042488385</x:v>
      </x:c>
    </x:row>
    <x:row r="37" ht="18" customHeight="1">
      <x:c r="A37" s="46" t="str">
        <x:v>LME_002</x:v>
      </x:c>
      <x:c r="B37" s="46" t="str">
        <x:v>Gulf of Alaska</x:v>
      </x:c>
      <x:c r="C37" s="46" t="str">
        <x:v>LME</x:v>
      </x:c>
      <x:c r="D37" s="58" t="n">
        <x:v>2019</x:v>
      </x:c>
      <x:c r="E37" s="46" t="str">
        <x:v>Raja</x:v>
      </x:c>
      <x:c r="F37" s="46" t="str">
        <x:v>Stingrays, skates</x:v>
      </x:c>
      <x:c r="G37" s="46" t="str">
        <x:v>Small to medium rays (&lt;90 cm)</x:v>
      </x:c>
      <x:c r="H37" s="46" t="str">
        <x:v>Sharks &amp; rays</x:v>
      </x:c>
      <x:c r="I37" s="60" t="n">
        <x:v>842.9277586306</x:v>
      </x:c>
      <x:c r="J37" s="60" t="n">
        <x:v>0.0356404437</x:v>
      </x:c>
      <x:c r="K37" s="60" t="n">
        <x:v>842.8921181869</x:v>
      </x:c>
      <x:c r="L37" s="60" t="n">
        <x:v>0</x:v>
      </x:c>
      <x:c r="M37" s="60" t="n">
        <x:v>842.9277586306</x:v>
      </x:c>
      <x:c r="N37" s="46" t="str">
        <x:v>raja</x:v>
      </x:c>
      <x:c r="O37" s="62" t="n">
        <x:v>3.8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Raja</x:v>
      </x:c>
      <x:c r="T37" s="62" t="n">
        <x:f>IF(O37="","",(1/'Metadata'!$B$5)^(O37-1))</x:f>
        <x:v>4394.242173224468</x:v>
      </x:c>
      <x:c r="U37" s="60" t="n">
        <x:f>IF(T37="","",I37*T37)</x:f>
        <x:v>3704028.7059561578</x:v>
      </x:c>
    </x:row>
    <x:row r="38" ht="18" customHeight="1">
      <x:c r="A38" s="46" t="str">
        <x:v>LME_002</x:v>
      </x:c>
      <x:c r="B38" s="46" t="str">
        <x:v>Gulf of Alaska</x:v>
      </x:c>
      <x:c r="C38" s="46" t="str">
        <x:v>LME</x:v>
      </x:c>
      <x:c r="D38" s="58" t="n">
        <x:v>2019</x:v>
      </x:c>
      <x:c r="E38" s="46" t="str">
        <x:v>Thunnus alalunga</x:v>
      </x:c>
      <x:c r="F38" s="46" t="str">
        <x:v>Albacore</x:v>
      </x:c>
      <x:c r="G38" s="46" t="str">
        <x:v>Large pelagics (&gt;=90 cm)</x:v>
      </x:c>
      <x:c r="H38" s="46" t="str">
        <x:v>Tuna &amp; billfishes</x:v>
      </x:c>
      <x:c r="I38" s="60" t="n">
        <x:v>763.6514381298</x:v>
      </x:c>
      <x:c r="J38" s="60" t="n">
        <x:v>763.6471598579</x:v>
      </x:c>
      <x:c r="K38" s="60" t="n">
        <x:v>0.0042782719</x:v>
      </x:c>
      <x:c r="L38" s="60" t="n">
        <x:v>751.7283727921</x:v>
      </x:c>
      <x:c r="M38" s="60" t="n">
        <x:v>11.9230653377</x:v>
      </x:c>
      <x:c r="N38" s="46" t="str">
        <x:v>thunnus alalunga</x:v>
      </x:c>
      <x:c r="O38" s="62" t="n">
        <x:v>4.3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Thunnus alalunga</x:v>
      </x:c>
      <x:c r="T38" s="62" t="n">
        <x:f>IF(O38="","",(1/'Metadata'!$B$5)^(O38-1))</x:f>
        <x:v>19651.648417852637</x:v>
      </x:c>
      <x:c r="U38" s="60" t="n">
        <x:f>IF(T38="","",I38*T38)</x:f>
        <x:v>15007009.575914375</x:v>
      </x:c>
    </x:row>
    <x:row r="39" ht="18" customHeight="1">
      <x:c r="A39" s="46" t="str">
        <x:v>LME_002</x:v>
      </x:c>
      <x:c r="B39" s="46" t="str">
        <x:v>Gulf of Alaska</x:v>
      </x:c>
      <x:c r="C39" s="46" t="str">
        <x:v>LME</x:v>
      </x:c>
      <x:c r="D39" s="58" t="n">
        <x:v>2019</x:v>
      </x:c>
      <x:c r="E39" s="46" t="str">
        <x:v>Sebastes flavidus</x:v>
      </x:c>
      <x:c r="F39" s="46" t="str">
        <x:v>Yellowtail rockfish</x:v>
      </x:c>
      <x:c r="G39" s="46" t="str">
        <x:v>Medium reef assoc. fish (30 - 89 cm)</x:v>
      </x:c>
      <x:c r="H39" s="46" t="str">
        <x:v>Scorpionfishes</x:v>
      </x:c>
      <x:c r="I39" s="60" t="n">
        <x:v>742.3243022913</x:v>
      </x:c>
      <x:c r="J39" s="60" t="n">
        <x:v>734.9846950167</x:v>
      </x:c>
      <x:c r="K39" s="60" t="n">
        <x:v>7.3396072746000005</x:v>
      </x:c>
      <x:c r="L39" s="60" t="n">
        <x:v>733.8946460577</x:v>
      </x:c>
      <x:c r="M39" s="60" t="n">
        <x:v>8.429656233600001</x:v>
      </x:c>
      <x:c r="N39" s="46" t="str">
        <x:v>sebastes flavidus</x:v>
      </x:c>
      <x:c r="O39" s="62" t="n">
        <x:v>4.15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Sebastes flavidus</x:v>
      </x:c>
      <x:c r="T39" s="62" t="n">
        <x:f>IF(O39="","",(1/'Metadata'!$B$5)^(O39-1))</x:f>
        <x:v>12538.46830130465</x:v>
      </x:c>
      <x:c r="U39" s="60" t="n">
        <x:f>IF(T39="","",I39*T39)</x:f>
        <x:v>9307609.733567556</x:v>
      </x:c>
    </x:row>
    <x:row r="40" ht="18" customHeight="1">
      <x:c r="A40" s="46" t="str">
        <x:v>LME_002</x:v>
      </x:c>
      <x:c r="B40" s="46" t="str">
        <x:v>Gulf of Alaska</x:v>
      </x:c>
      <x:c r="C40" s="46" t="str">
        <x:v>LME</x:v>
      </x:c>
      <x:c r="D40" s="58" t="n">
        <x:v>2019</x:v>
      </x:c>
      <x:c r="E40" s="46" t="str">
        <x:v>Glyptocephalus zachirus</x:v>
      </x:c>
      <x:c r="F40" s="46" t="str">
        <x:v>Rex sole</x:v>
      </x:c>
      <x:c r="G40" s="46" t="str">
        <x:v>Small to medium flatfishes (&lt;90 cm)</x:v>
      </x:c>
      <x:c r="H40" s="46" t="str">
        <x:v>Flatfishes</x:v>
      </x:c>
      <x:c r="I40" s="60" t="n">
        <x:v>617.6231999716999</x:v>
      </x:c>
      <x:c r="J40" s="60" t="n">
        <x:v>606.4871368879</x:v>
      </x:c>
      <x:c r="K40" s="60" t="n">
        <x:v>11.1360630838</x:v>
      </x:c>
      <x:c r="L40" s="60" t="n">
        <x:v>606.4871368879</x:v>
      </x:c>
      <x:c r="M40" s="60" t="n">
        <x:v>11.1360630838</x:v>
      </x:c>
      <x:c r="N40" s="46" t="str">
        <x:v>glyptocephalus zachirus</x:v>
      </x:c>
      <x:c r="O40" s="62" t="n">
        <x:v>3.25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Glyptocephalus zachirus</x:v>
      </x:c>
      <x:c r="T40" s="62" t="n">
        <x:f>IF(O40="","",(1/'Metadata'!$B$5)^(O40-1))</x:f>
        <x:v>845.8970107524513</x:v>
      </x:c>
      <x:c r="U40" s="60" t="n">
        <x:f>IF(T40="","",I40*T40)</x:f>
        <x:v>522445.6186274244</x:v>
      </x:c>
    </x:row>
    <x:row r="41" ht="18" customHeight="1">
      <x:c r="A41" s="46" t="str">
        <x:v>LME_002</x:v>
      </x:c>
      <x:c r="B41" s="46" t="str">
        <x:v>Gulf of Alaska</x:v>
      </x:c>
      <x:c r="C41" s="46" t="str">
        <x:v>LME</x:v>
      </x:c>
      <x:c r="D41" s="58" t="n">
        <x:v>2019</x:v>
      </x:c>
      <x:c r="E41" s="46" t="str">
        <x:v>Panopea generosa</x:v>
      </x:c>
      <x:c r="F41" s="46" t="str">
        <x:v>Pacific geoduck</x:v>
      </x:c>
      <x:c r="G41" s="46" t="str">
        <x:v>Other demersal invertebrates</x:v>
      </x:c>
      <x:c r="H41" s="46" t="str">
        <x:v>Molluscs</x:v>
      </x:c>
      <x:c r="I41" s="60" t="n">
        <x:v>542.6614226084</x:v>
      </x:c>
      <x:c r="J41" s="60" t="n">
        <x:v>542.6614226084</x:v>
      </x:c>
      <x:c r="K41" s="60" t="n">
        <x:v>0</x:v>
      </x:c>
      <x:c r="L41" s="60" t="n">
        <x:v>540.7904831525999</x:v>
      </x:c>
      <x:c r="M41" s="60" t="n">
        <x:v>1.8709394557999999</x:v>
      </x:c>
      <x:c r="N41" s="46" t="str">
        <x:v>panopea generosa</x:v>
      </x:c>
      <x:c r="O41" s="62" t="n">
        <x:v>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Panopea generosa</x:v>
      </x:c>
      <x:c r="T41" s="62" t="n">
        <x:f>IF(O41="","",(1/'Metadata'!$B$5)^(O41-1))</x:f>
        <x:v>20</x:v>
      </x:c>
      <x:c r="U41" s="60" t="n">
        <x:f>IF(T41="","",I41*T41)</x:f>
        <x:v>10853.228452168001</x:v>
      </x:c>
    </x:row>
    <x:row r="42" ht="18" customHeight="1">
      <x:c r="A42" s="46" t="str">
        <x:v>LME_002</x:v>
      </x:c>
      <x:c r="B42" s="46" t="str">
        <x:v>Gulf of Alaska</x:v>
      </x:c>
      <x:c r="C42" s="46" t="str">
        <x:v>LME</x:v>
      </x:c>
      <x:c r="D42" s="58" t="n">
        <x:v>2019</x:v>
      </x:c>
      <x:c r="E42" s="46" t="str">
        <x:v>Eopsetta jordani</x:v>
      </x:c>
      <x:c r="F42" s="46" t="str">
        <x:v>Petrale sole</x:v>
      </x:c>
      <x:c r="G42" s="46" t="str">
        <x:v>Small to medium flatfishes (&lt;90 cm)</x:v>
      </x:c>
      <x:c r="H42" s="46" t="str">
        <x:v>Flatfishes</x:v>
      </x:c>
      <x:c r="I42" s="60" t="n">
        <x:v>537.7491281684</x:v>
      </x:c>
      <x:c r="J42" s="60" t="n">
        <x:v>532.8393793106</x:v>
      </x:c>
      <x:c r="K42" s="60" t="n">
        <x:v>4.9097488578</x:v>
      </x:c>
      <x:c r="L42" s="60" t="n">
        <x:v>532.5386091555999</x:v>
      </x:c>
      <x:c r="M42" s="60" t="n">
        <x:v>5.2105190128</x:v>
      </x:c>
      <x:c r="N42" s="46" t="str">
        <x:v>eopsetta jordani</x:v>
      </x:c>
      <x:c r="O42" s="62" t="n">
        <x:v>4.05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Eopsetta jordani</x:v>
      </x:c>
      <x:c r="T42" s="62" t="n">
        <x:f>IF(O42="","",(1/'Metadata'!$B$5)^(O42-1))</x:f>
        <x:v>9292.690797132333</x:v>
      </x:c>
      <x:c r="U42" s="60" t="n">
        <x:f>IF(T42="","",I42*T42)</x:f>
        <x:v>4997136.374496426</x:v>
      </x:c>
    </x:row>
    <x:row r="43" ht="18" customHeight="1">
      <x:c r="A43" s="46" t="str">
        <x:v>LME_002</x:v>
      </x:c>
      <x:c r="B43" s="46" t="str">
        <x:v>Gulf of Alaska</x:v>
      </x:c>
      <x:c r="C43" s="46" t="str">
        <x:v>LME</x:v>
      </x:c>
      <x:c r="D43" s="58" t="n">
        <x:v>2019</x:v>
      </x:c>
      <x:c r="E43" s="46" t="str">
        <x:v>Chionoecetes bairdi</x:v>
      </x:c>
      <x:c r="F43" s="46" t="str">
        <x:v>Tanner crab</x:v>
      </x:c>
      <x:c r="G43" s="46" t="str">
        <x:v>Lobsters, crabs</x:v>
      </x:c>
      <x:c r="H43" s="46" t="str">
        <x:v>Crustaceans</x:v>
      </x:c>
      <x:c r="I43" s="60" t="n">
        <x:v>466.9229627203</x:v>
      </x:c>
      <x:c r="J43" s="60" t="n">
        <x:v>466.9229627203</x:v>
      </x:c>
      <x:c r="K43" s="60" t="n">
        <x:v>0</x:v>
      </x:c>
      <x:c r="L43" s="60" t="n">
        <x:v>466.9229627203</x:v>
      </x:c>
      <x:c r="M43" s="60" t="n">
        <x:v>0</x:v>
      </x:c>
      <x:c r="N43" s="46" t="str">
        <x:v>chionoecetes bairdi</x:v>
      </x:c>
      <x:c r="O43" s="62" t="n">
        <x:v>3.08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Chionoecetes bairdi</x:v>
      </x:c>
      <x:c r="T43" s="62" t="n">
        <x:f>IF(O43="","",(1/'Metadata'!$B$5)^(O43-1))</x:f>
        <x:v>508.32607876637354</x:v>
      </x:c>
      <x:c r="U43" s="60" t="n">
        <x:f>IF(T43="","",I43*T43)</x:f>
        <x:v>237349.11872558773</x:v>
      </x:c>
    </x:row>
    <x:row r="44" ht="18" customHeight="1">
      <x:c r="A44" s="46" t="str">
        <x:v>LME_002</x:v>
      </x:c>
      <x:c r="B44" s="46" t="str">
        <x:v>Gulf of Alaska</x:v>
      </x:c>
      <x:c r="C44" s="46" t="str">
        <x:v>LME</x:v>
      </x:c>
      <x:c r="D44" s="58" t="n">
        <x:v>2019</x:v>
      </x:c>
      <x:c r="E44" s="46" t="str">
        <x:v>Elasmobranchii</x:v>
      </x:c>
      <x:c r="F44" s="46" t="str">
        <x:v>Sharks, rays, skates</x:v>
      </x:c>
      <x:c r="G44" s="46" t="str">
        <x:v>Large sharks (&gt;=90 cm)</x:v>
      </x:c>
      <x:c r="H44" s="46" t="str">
        <x:v>Sharks &amp; rays</x:v>
      </x:c>
      <x:c r="I44" s="60" t="n">
        <x:v>445.18396736619997</x:v>
      </x:c>
      <x:c r="J44" s="60" t="n">
        <x:v>0.053819465</x:v>
      </x:c>
      <x:c r="K44" s="60" t="n">
        <x:v>445.13014790119996</x:v>
      </x:c>
      <x:c r="L44" s="60" t="n">
        <x:v>0</x:v>
      </x:c>
      <x:c r="M44" s="60" t="n">
        <x:v>445.18396736619997</x:v>
      </x:c>
      <x:c r="N44" s="46" t="str">
        <x:v>elasmobranchii</x:v>
      </x:c>
      <x:c r="O44" s="62" t="n">
        <x:v>4.05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Elasmobranchii</x:v>
      </x:c>
      <x:c r="T44" s="62" t="n">
        <x:f>IF(O44="","",(1/'Metadata'!$B$5)^(O44-1))</x:f>
        <x:v>9292.690797132333</x:v>
      </x:c>
      <x:c r="U44" s="60" t="n">
        <x:f>IF(T44="","",I44*T44)</x:f>
        <x:v>4136956.956574747</x:v>
      </x:c>
    </x:row>
    <x:row r="45" ht="18" customHeight="1">
      <x:c r="A45" s="46" t="str">
        <x:v>LME_002</x:v>
      </x:c>
      <x:c r="B45" s="46" t="str">
        <x:v>Gulf of Alaska</x:v>
      </x:c>
      <x:c r="C45" s="46" t="str">
        <x:v>LME</x:v>
      </x:c>
      <x:c r="D45" s="58" t="n">
        <x:v>2019</x:v>
      </x:c>
      <x:c r="E45" s="46" t="str">
        <x:v>Strongylocentrotus</x:v>
      </x:c>
      <x:c r="F45" s="46" t="str">
        <x:v>Sickle-arched sea urchins</x:v>
      </x:c>
      <x:c r="G45" s="46" t="str">
        <x:v>Other demersal invertebrates</x:v>
      </x:c>
      <x:c r="H45" s="46" t="str">
        <x:v>Other fishes &amp; inverts</x:v>
      </x:c>
      <x:c r="I45" s="60" t="n">
        <x:v>443.11089878030003</x:v>
      </x:c>
      <x:c r="J45" s="60" t="n">
        <x:v>443.11089878030003</x:v>
      </x:c>
      <x:c r="K45" s="60" t="n">
        <x:v>0</x:v>
      </x:c>
      <x:c r="L45" s="60" t="n">
        <x:v>441.2312746118</x:v>
      </x:c>
      <x:c r="M45" s="60" t="n">
        <x:v>1.8796241685</x:v>
      </x:c>
      <x:c r="N45" s="46" t="str">
        <x:v>strongylocentrotus</x:v>
      </x:c>
      <x:c r="O45" s="62" t="n">
        <x:v>2.1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Strongylocentrotus</x:v>
      </x:c>
      <x:c r="T45" s="62" t="n">
        <x:f>IF(O45="","",(1/'Metadata'!$B$5)^(O45-1))</x:f>
        <x:v>26.985656953471274</x:v>
      </x:c>
      <x:c r="U45" s="60" t="n">
        <x:f>IF(T45="","",I45*T45)</x:f>
        <x:v>11957.63870682951</x:v>
      </x:c>
    </x:row>
    <x:row r="46" ht="18" customHeight="1">
      <x:c r="A46" s="46" t="str">
        <x:v>LME_002</x:v>
      </x:c>
      <x:c r="B46" s="46" t="str">
        <x:v>Gulf of Alaska</x:v>
      </x:c>
      <x:c r="C46" s="46" t="str">
        <x:v>LME</x:v>
      </x:c>
      <x:c r="D46" s="58" t="n">
        <x:v>2019</x:v>
      </x:c>
      <x:c r="E46" s="46" t="str">
        <x:v>Ophiodon elongatus</x:v>
      </x:c>
      <x:c r="F46" s="46" t="str">
        <x:v>Lingcod</x:v>
      </x:c>
      <x:c r="G46" s="46" t="str">
        <x:v>Large demersals (&gt;=90 cm)</x:v>
      </x:c>
      <x:c r="H46" s="46" t="str">
        <x:v>Scorpionfishes</x:v>
      </x:c>
      <x:c r="I46" s="60" t="n">
        <x:v>369.2680526431</x:v>
      </x:c>
      <x:c r="J46" s="60" t="n">
        <x:v>364.0409236234</x:v>
      </x:c>
      <x:c r="K46" s="60" t="n">
        <x:v>5.2271290196999995</x:v>
      </x:c>
      <x:c r="L46" s="60" t="n">
        <x:v>172.0229054145</x:v>
      </x:c>
      <x:c r="M46" s="60" t="n">
        <x:v>197.2451472286</x:v>
      </x:c>
      <x:c r="N46" s="46" t="str">
        <x:v>ophiodon elongatus</x:v>
      </x:c>
      <x:c r="O46" s="62" t="n">
        <x:v>4.32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Ophiodon elongatus</x:v>
      </x:c>
      <x:c r="T46" s="62" t="n">
        <x:f>IF(O46="","",(1/'Metadata'!$B$5)^(O46-1))</x:f>
        <x:v>20865.057486776313</x:v>
      </x:c>
      <x:c r="U46" s="60" t="n">
        <x:f>IF(T46="","",I46*T46)</x:f>
        <x:v>7704799.146428224</x:v>
      </x:c>
    </x:row>
    <x:row r="47" ht="18" customHeight="1">
      <x:c r="A47" s="46" t="str">
        <x:v>LME_002</x:v>
      </x:c>
      <x:c r="B47" s="46" t="str">
        <x:v>Gulf of Alaska</x:v>
      </x:c>
      <x:c r="C47" s="46" t="str">
        <x:v>LME</x:v>
      </x:c>
      <x:c r="D47" s="58" t="n">
        <x:v>2019</x:v>
      </x:c>
      <x:c r="E47" s="46" t="str">
        <x:v>Rajiformes</x:v>
      </x:c>
      <x:c r="F47" s="46" t="str">
        <x:v>Skates and rays</x:v>
      </x:c>
      <x:c r="G47" s="46" t="str">
        <x:v>Large rays (&gt;=90 cm)</x:v>
      </x:c>
      <x:c r="H47" s="46" t="str">
        <x:v>Sharks &amp; rays</x:v>
      </x:c>
      <x:c r="I47" s="60" t="n">
        <x:v>320.58095870750003</x:v>
      </x:c>
      <x:c r="J47" s="60" t="n">
        <x:v>320.4807905348</x:v>
      </x:c>
      <x:c r="K47" s="60" t="n">
        <x:v>0.1001681727</x:v>
      </x:c>
      <x:c r="L47" s="60" t="n">
        <x:v>320.3514732962</x:v>
      </x:c>
      <x:c r="M47" s="60" t="n">
        <x:v>0.2294854113</x:v>
      </x:c>
      <x:c r="N47" s="46" t="str">
        <x:v>rajiformes</x:v>
      </x:c>
      <x:c r="O47" s="62" t="n">
        <x:v>3.61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Rajiformes</x:v>
      </x:c>
      <x:c r="T47" s="62" t="n">
        <x:f>IF(O47="","",(1/'Metadata'!$B$5)^(O47-1))</x:f>
        <x:v>2487.0716021897506</x:v>
      </x:c>
      <x:c r="U47" s="60" t="n">
        <x:f>IF(T47="","",I47*T47)</x:f>
        <x:v>797307.7986041884</x:v>
      </x:c>
    </x:row>
    <x:row r="48" ht="18" customHeight="1">
      <x:c r="A48" s="46" t="str">
        <x:v>LME_002</x:v>
      </x:c>
      <x:c r="B48" s="46" t="str">
        <x:v>Gulf of Alaska</x:v>
      </x:c>
      <x:c r="C48" s="46" t="str">
        <x:v>LME</x:v>
      </x:c>
      <x:c r="D48" s="58" t="n">
        <x:v>2019</x:v>
      </x:c>
      <x:c r="E48" s="46" t="str">
        <x:v>Pleuronectes quadrituberculatus</x:v>
      </x:c>
      <x:c r="F48" s="46" t="str">
        <x:v>Alaska plaice</x:v>
      </x:c>
      <x:c r="G48" s="46" t="str">
        <x:v>Small to medium flatfishes (&lt;90 cm)</x:v>
      </x:c>
      <x:c r="H48" s="46" t="str">
        <x:v>Flatfishes</x:v>
      </x:c>
      <x:c r="I48" s="60" t="n">
        <x:v>225.11739249320001</x:v>
      </x:c>
      <x:c r="J48" s="60" t="n">
        <x:v>0</x:v>
      </x:c>
      <x:c r="K48" s="60" t="n">
        <x:v>225.11739249320001</x:v>
      </x:c>
      <x:c r="L48" s="60" t="n">
        <x:v>0</x:v>
      </x:c>
      <x:c r="M48" s="60" t="n">
        <x:v>225.11739249320001</x:v>
      </x:c>
      <x:c r="N48" s="46" t="str">
        <x:v>pleuronectes quadrituberculatus</x:v>
      </x:c>
      <x:c r="O48" s="62" t="n">
        <x:v>3.59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Pleuronectes quadrituberculatus</x:v>
      </x:c>
      <x:c r="T48" s="62" t="n">
        <x:f>IF(O48="","",(1/'Metadata'!$B$5)^(O48-1))</x:f>
        <x:v>2342.4357563948306</x:v>
      </x:c>
      <x:c r="U48" s="60" t="n">
        <x:f>IF(T48="","",I48*T48)</x:f>
        <x:v>527323.0295624409</x:v>
      </x:c>
    </x:row>
    <x:row r="49" ht="18" customHeight="1">
      <x:c r="A49" s="46" t="str">
        <x:v>LME_002</x:v>
      </x:c>
      <x:c r="B49" s="46" t="str">
        <x:v>Gulf of Alaska</x:v>
      </x:c>
      <x:c r="C49" s="46" t="str">
        <x:v>LME</x:v>
      </x:c>
      <x:c r="D49" s="58" t="n">
        <x:v>2019</x:v>
      </x:c>
      <x:c r="E49" s="46" t="str">
        <x:v>Squalus suckleyi</x:v>
      </x:c>
      <x:c r="F49" s="46" t="str">
        <x:v>Pacific spiny dogfish</x:v>
      </x:c>
      <x:c r="G49" s="46" t="str">
        <x:v>Large sharks (&gt;=90 cm)</x:v>
      </x:c>
      <x:c r="H49" s="46" t="str">
        <x:v>Sharks &amp; rays</x:v>
      </x:c>
      <x:c r="I49" s="60" t="n">
        <x:v>210.2591431975</x:v>
      </x:c>
      <x:c r="J49" s="60" t="n">
        <x:v>180.4164330955</x:v>
      </x:c>
      <x:c r="K49" s="60" t="n">
        <x:v>29.842710101999998</x:v>
      </x:c>
      <x:c r="L49" s="60" t="n">
        <x:v>180.0883215161</x:v>
      </x:c>
      <x:c r="M49" s="60" t="n">
        <x:v>30.1708216814</x:v>
      </x:c>
      <x:c r="N49" s="46" t="str">
        <x:v>squalus suckleyi</x:v>
      </x:c>
      <x:c r="O49" s="62" t="n">
        <x:v>3.82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Squalus suckleyi</x:v>
      </x:c>
      <x:c r="T49" s="62" t="n">
        <x:f>IF(O49="","",(1/'Metadata'!$B$5)^(O49-1))</x:f>
        <x:v>4665.56868948727</x:v>
      </x:c>
      <x:c r="U49" s="60" t="n">
        <x:f>IF(T49="","",I49*T49)</x:f>
        <x:v>980978.4751806763</x:v>
      </x:c>
    </x:row>
    <x:row r="50" ht="18" customHeight="1">
      <x:c r="A50" s="46" t="str">
        <x:v>LME_002</x:v>
      </x:c>
      <x:c r="B50" s="46" t="str">
        <x:v>Gulf of Alaska</x:v>
      </x:c>
      <x:c r="C50" s="46" t="str">
        <x:v>LME</x:v>
      </x:c>
      <x:c r="D50" s="58" t="n">
        <x:v>2019</x:v>
      </x:c>
      <x:c r="E50" s="46" t="str">
        <x:v>Lepidopsetta bilineata</x:v>
      </x:c>
      <x:c r="F50" s="46" t="str">
        <x:v>Rock sole</x:v>
      </x:c>
      <x:c r="G50" s="46" t="str">
        <x:v>Small to medium flatfishes (&lt;90 cm)</x:v>
      </x:c>
      <x:c r="H50" s="46" t="str">
        <x:v>Flatfishes</x:v>
      </x:c>
      <x:c r="I50" s="60" t="n">
        <x:v>200.9861676401</x:v>
      </x:c>
      <x:c r="J50" s="60" t="n">
        <x:v>0.0296419252</x:v>
      </x:c>
      <x:c r="K50" s="60" t="n">
        <x:v>200.9565257149</x:v>
      </x:c>
      <x:c r="L50" s="60" t="n">
        <x:v>0</x:v>
      </x:c>
      <x:c r="M50" s="60" t="n">
        <x:v>200.9861676401</x:v>
      </x:c>
      <x:c r="N50" s="46" t="str">
        <x:v>lepidopsetta bilineata</x:v>
      </x:c>
      <x:c r="O50" s="62" t="n">
        <x:v>3.18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Lepidopsetta bilineata</x:v>
      </x:c>
      <x:c r="T50" s="62" t="n">
        <x:f>IF(O50="","",(1/'Metadata'!$B$5)^(O50-1))</x:f>
        <x:v>685.8756591046288</x:v>
      </x:c>
      <x:c r="U50" s="60" t="n">
        <x:f>IF(T50="","",I50*T50)</x:f>
        <x:v>137851.520201067</x:v>
      </x:c>
    </x:row>
    <x:row r="51" ht="18" customHeight="1">
      <x:c r="A51" s="46" t="str">
        <x:v>LME_002</x:v>
      </x:c>
      <x:c r="B51" s="46" t="str">
        <x:v>Gulf of Alaska</x:v>
      </x:c>
      <x:c r="C51" s="46" t="str">
        <x:v>LME</x:v>
      </x:c>
      <x:c r="D51" s="58" t="n">
        <x:v>2019</x:v>
      </x:c>
      <x:c r="E51" s="46" t="str">
        <x:v>Sebastes paucispinis</x:v>
      </x:c>
      <x:c r="F51" s="46" t="str">
        <x:v>Bocaccio rockfish</x:v>
      </x:c>
      <x:c r="G51" s="46" t="str">
        <x:v>Medium reef assoc. fish (30 - 89 cm)</x:v>
      </x:c>
      <x:c r="H51" s="46" t="str">
        <x:v>Scorpionfishes</x:v>
      </x:c>
      <x:c r="I51" s="60" t="n">
        <x:v>194.3816512561</x:v>
      </x:c>
      <x:c r="J51" s="60" t="n">
        <x:v>194.2358724098</x:v>
      </x:c>
      <x:c r="K51" s="60" t="n">
        <x:v>0.1457788463</x:v>
      </x:c>
      <x:c r="L51" s="60" t="n">
        <x:v>194.221910119</x:v>
      </x:c>
      <x:c r="M51" s="60" t="n">
        <x:v>0.15974113709999999</x:v>
      </x:c>
      <x:c r="N51" s="46" t="str">
        <x:v>sebastes paucispinis</x:v>
      </x:c>
      <x:c r="O51" s="62" t="n">
        <x:v>3.51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Sebastes paucispinis</x:v>
      </x:c>
      <x:c r="T51" s="62" t="n">
        <x:f>IF(O51="","",(1/'Metadata'!$B$5)^(O51-1))</x:f>
        <x:v>1843.2544417784343</x:v>
      </x:c>
      <x:c r="U51" s="60" t="n">
        <x:f>IF(T51="","",I51*T51)</x:f>
        <x:v>358294.8420780329</x:v>
      </x:c>
    </x:row>
    <x:row r="52" ht="18" customHeight="1">
      <x:c r="A52" s="46" t="str">
        <x:v>LME_002</x:v>
      </x:c>
      <x:c r="B52" s="46" t="str">
        <x:v>Gulf of Alaska</x:v>
      </x:c>
      <x:c r="C52" s="46" t="str">
        <x:v>LME</x:v>
      </x:c>
      <x:c r="D52" s="58" t="n">
        <x:v>2019</x:v>
      </x:c>
      <x:c r="E52" s="46" t="str">
        <x:v>Miscellaneous marine crustaceans</x:v>
      </x:c>
      <x:c r="F52" s="46" t="str">
        <x:v>Marine crabs, shrimps, lobsters nei</x:v>
      </x:c>
      <x:c r="G52" s="46" t="str">
        <x:v>Shrimps</x:v>
      </x:c>
      <x:c r="H52" s="46" t="str">
        <x:v>Crustaceans</x:v>
      </x:c>
      <x:c r="I52" s="60" t="n">
        <x:v>190.8113690661</x:v>
      </x:c>
      <x:c r="J52" s="60" t="n">
        <x:v>190.8113690661</x:v>
      </x:c>
      <x:c r="K52" s="60" t="n">
        <x:v>0</x:v>
      </x:c>
      <x:c r="L52" s="60" t="n">
        <x:v>190.8113690661</x:v>
      </x:c>
      <x:c r="M52" s="60" t="n">
        <x:v>0</x:v>
      </x:c>
      <x:c r="N52" s="46" t="str">
        <x:v>miscellaneous marine crustaceans</x:v>
      </x:c>
      <x:c r="O52" s="62" t="n">
        <x:v>2.7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Miscellaneous marine crustaceans</x:v>
      </x:c>
      <x:c r="T52" s="62" t="n">
        <x:f>IF(O52="","",(1/'Metadata'!$B$5)^(O52-1))</x:f>
        <x:v>162.83621261476185</x:v>
      </x:c>
      <x:c r="U52" s="60" t="n">
        <x:f>IF(T52="","",I52*T52)</x:f>
        <x:v>31071.000662561255</x:v>
      </x:c>
    </x:row>
    <x:row r="53" ht="18" customHeight="1">
      <x:c r="A53" s="46" t="str">
        <x:v>LME_002</x:v>
      </x:c>
      <x:c r="B53" s="46" t="str">
        <x:v>Gulf of Alaska</x:v>
      </x:c>
      <x:c r="C53" s="46" t="str">
        <x:v>LME</x:v>
      </x:c>
      <x:c r="D53" s="58" t="n">
        <x:v>2019</x:v>
      </x:c>
      <x:c r="E53" s="46" t="str">
        <x:v>Parophrys vetulus</x:v>
      </x:c>
      <x:c r="F53" s="46" t="str">
        <x:v>English sole</x:v>
      </x:c>
      <x:c r="G53" s="46" t="str">
        <x:v>Small to medium flatfishes (&lt;90 cm)</x:v>
      </x:c>
      <x:c r="H53" s="46" t="str">
        <x:v>Flatfishes</x:v>
      </x:c>
      <x:c r="I53" s="60" t="n">
        <x:v>182.2243747494</x:v>
      </x:c>
      <x:c r="J53" s="60" t="n">
        <x:v>165.0949803188</x:v>
      </x:c>
      <x:c r="K53" s="60" t="n">
        <x:v>17.1293944306</x:v>
      </x:c>
      <x:c r="L53" s="60" t="n">
        <x:v>165.0949803188</x:v>
      </x:c>
      <x:c r="M53" s="60" t="n">
        <x:v>17.1293944306</x:v>
      </x:c>
      <x:c r="N53" s="46" t="str">
        <x:v>parophrys vetulus</x:v>
      </x:c>
      <x:c r="O53" s="62" t="n">
        <x:v>3.39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Parophrys vetulus</x:v>
      </x:c>
      <x:c r="T53" s="62" t="n">
        <x:f>IF(O53="","",(1/'Metadata'!$B$5)^(O53-1))</x:f>
        <x:v>1286.6537486023922</x:v>
      </x:c>
      <x:c r="U53" s="60" t="n">
        <x:f>IF(T53="","",I53*T53)</x:f>
        <x:v>234459.6748580426</x:v>
      </x:c>
    </x:row>
    <x:row r="54" ht="18" customHeight="1">
      <x:c r="A54" s="46" t="str">
        <x:v>LME_002</x:v>
      </x:c>
      <x:c r="B54" s="46" t="str">
        <x:v>Gulf of Alaska</x:v>
      </x:c>
      <x:c r="C54" s="46" t="str">
        <x:v>LME</x:v>
      </x:c>
      <x:c r="D54" s="58" t="n">
        <x:v>2019</x:v>
      </x:c>
      <x:c r="E54" s="46" t="str">
        <x:v>Teuthida</x:v>
      </x:c>
      <x:c r="F54" s="46" t="str">
        <x:v>Squids</x:v>
      </x:c>
      <x:c r="G54" s="46" t="str">
        <x:v>Cephalopods</x:v>
      </x:c>
      <x:c r="H54" s="46" t="str">
        <x:v>Other fishes &amp; inverts</x:v>
      </x:c>
      <x:c r="I54" s="60" t="n">
        <x:v>178.8842868205</x:v>
      </x:c>
      <x:c r="J54" s="60" t="n">
        <x:v>0</x:v>
      </x:c>
      <x:c r="K54" s="60" t="n">
        <x:v>178.8842868205</x:v>
      </x:c>
      <x:c r="L54" s="60" t="n">
        <x:v>0</x:v>
      </x:c>
      <x:c r="M54" s="60" t="n">
        <x:v>178.8842868205</x:v>
      </x:c>
      <x:c r="N54" s="46" t="str">
        <x:v>teuthida</x:v>
      </x:c>
      <x:c r="O54" s="62" t="n">
        <x:v>4.13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Teuthida</x:v>
      </x:c>
      <x:c r="T54" s="62" t="n">
        <x:f>IF(O54="","",(1/'Metadata'!$B$5)^(O54-1))</x:f>
        <x:v>11809.292685236613</x:v>
      </x:c>
      <x:c r="U54" s="60" t="n">
        <x:f>IF(T54="","",I54*T54)</x:f>
        <x:v>2112496.8998530987</x:v>
      </x:c>
    </x:row>
    <x:row r="55" ht="18" customHeight="1">
      <x:c r="A55" s="46" t="str">
        <x:v>LME_002</x:v>
      </x:c>
      <x:c r="B55" s="46" t="str">
        <x:v>Gulf of Alaska</x:v>
      </x:c>
      <x:c r="C55" s="46" t="str">
        <x:v>LME</x:v>
      </x:c>
      <x:c r="D55" s="58" t="n">
        <x:v>2019</x:v>
      </x:c>
      <x:c r="E55" s="46" t="str">
        <x:v>Octopodidae</x:v>
      </x:c>
      <x:c r="F55" s="46" t="str">
        <x:v>Octopuses</x:v>
      </x:c>
      <x:c r="G55" s="46" t="str">
        <x:v>Cephalopods</x:v>
      </x:c>
      <x:c r="H55" s="46" t="str">
        <x:v>Other fishes &amp; inverts</x:v>
      </x:c>
      <x:c r="I55" s="60" t="n">
        <x:v>167.2965600556</x:v>
      </x:c>
      <x:c r="J55" s="60" t="n">
        <x:v>130.7361614813</x:v>
      </x:c>
      <x:c r="K55" s="60" t="n">
        <x:v>36.5603985743</x:v>
      </x:c>
      <x:c r="L55" s="60" t="n">
        <x:v>130.7361614813</x:v>
      </x:c>
      <x:c r="M55" s="60" t="n">
        <x:v>36.5603985743</x:v>
      </x:c>
      <x:c r="N55" s="46" t="str">
        <x:v>octopodidae</x:v>
      </x:c>
      <x:c r="O55" s="62" t="n">
        <x:v>3.59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Octopodidae</x:v>
      </x:c>
      <x:c r="T55" s="62" t="n">
        <x:f>IF(O55="","",(1/'Metadata'!$B$5)^(O55-1))</x:f>
        <x:v>2342.4357563948306</x:v>
      </x:c>
      <x:c r="U55" s="60" t="n">
        <x:f>IF(T55="","",I55*T55)</x:f>
        <x:v>391881.4441960926</x:v>
      </x:c>
    </x:row>
    <x:row r="56" ht="18" customHeight="1">
      <x:c r="A56" s="46" t="str">
        <x:v>LME_002</x:v>
      </x:c>
      <x:c r="B56" s="46" t="str">
        <x:v>Gulf of Alaska</x:v>
      </x:c>
      <x:c r="C56" s="46" t="str">
        <x:v>LME</x:v>
      </x:c>
      <x:c r="D56" s="58" t="n">
        <x:v>2019</x:v>
      </x:c>
      <x:c r="E56" s="46" t="str">
        <x:v>Doryteuthis opalescens</x:v>
      </x:c>
      <x:c r="F56" s="46" t="str">
        <x:v>California market squid</x:v>
      </x:c>
      <x:c r="G56" s="46" t="str">
        <x:v>Cephalopods</x:v>
      </x:c>
      <x:c r="H56" s="46" t="str">
        <x:v>Other fishes &amp; inverts</x:v>
      </x:c>
      <x:c r="I56" s="60" t="n">
        <x:v>127.0837142199</x:v>
      </x:c>
      <x:c r="J56" s="60" t="n">
        <x:v>127.0837142199</x:v>
      </x:c>
      <x:c r="K56" s="60" t="n">
        <x:v>0</x:v>
      </x:c>
      <x:c r="L56" s="60" t="n">
        <x:v>127.0837142199</x:v>
      </x:c>
      <x:c r="M56" s="60" t="n">
        <x:v>0</x:v>
      </x:c>
      <x:c r="N56" s="46" t="str">
        <x:v>doryteuthis opalescens</x:v>
      </x:c>
      <x:c r="O56" s="62" t="n">
        <x:v>3.86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Doryteuthis opalescens</x:v>
      </x:c>
      <x:c r="T56" s="62" t="n">
        <x:f>IF(O56="","",(1/'Metadata'!$B$5)^(O56-1))</x:f>
        <x:v>5259.51608454905</x:v>
      </x:c>
      <x:c r="U56" s="60" t="n">
        <x:f>IF(T56="","",I56*T56)</x:f>
        <x:v>668398.8390237989</x:v>
      </x:c>
    </x:row>
    <x:row r="57" ht="18" customHeight="1">
      <x:c r="A57" s="46" t="str">
        <x:v>LME_002</x:v>
      </x:c>
      <x:c r="B57" s="46" t="str">
        <x:v>Gulf of Alaska</x:v>
      </x:c>
      <x:c r="C57" s="46" t="str">
        <x:v>LME</x:v>
      </x:c>
      <x:c r="D57" s="58" t="n">
        <x:v>2019</x:v>
      </x:c>
      <x:c r="E57" s="46" t="str">
        <x:v>Strongylocentrotus droebachiensis</x:v>
      </x:c>
      <x:c r="F57" s="46" t="str">
        <x:v>Green sea urchin</x:v>
      </x:c>
      <x:c r="G57" s="46" t="str">
        <x:v>Other demersal invertebrates</x:v>
      </x:c>
      <x:c r="H57" s="46" t="str">
        <x:v>Other fishes &amp; inverts</x:v>
      </x:c>
      <x:c r="I57" s="60" t="n">
        <x:v>125.3095424018</x:v>
      </x:c>
      <x:c r="J57" s="60" t="n">
        <x:v>125.3095424018</x:v>
      </x:c>
      <x:c r="K57" s="60" t="n">
        <x:v>0</x:v>
      </x:c>
      <x:c r="L57" s="60" t="n">
        <x:v>125.3095424018</x:v>
      </x:c>
      <x:c r="M57" s="60" t="n">
        <x:v>0</x:v>
      </x:c>
      <x:c r="N57" s="46" t="str">
        <x:v>strongylocentrotus droebachiensis</x:v>
      </x:c>
      <x:c r="O57" s="62" t="n">
        <x:v>2.3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Strongylocentrotus droebachiensis</x:v>
      </x:c>
      <x:c r="T57" s="62" t="n">
        <x:f>IF(O57="","",(1/'Metadata'!$B$5)^(O57-1))</x:f>
        <x:v>49.12912104463159</x:v>
      </x:c>
      <x:c r="U57" s="60" t="n">
        <x:f>IF(T57="","",I57*T57)</x:f>
        <x:v>6156.347676705427</x:v>
      </x:c>
    </x:row>
    <x:row r="58" ht="18" customHeight="1">
      <x:c r="A58" s="46" t="str">
        <x:v>LME_002</x:v>
      </x:c>
      <x:c r="B58" s="46" t="str">
        <x:v>Gulf of Alaska</x:v>
      </x:c>
      <x:c r="C58" s="46" t="str">
        <x:v>LME</x:v>
      </x:c>
      <x:c r="D58" s="58" t="n">
        <x:v>2019</x:v>
      </x:c>
      <x:c r="E58" s="46" t="str">
        <x:v>Trachurus symmetricus</x:v>
      </x:c>
      <x:c r="F58" s="46" t="str">
        <x:v>Pacific jack mackerel</x:v>
      </x:c>
      <x:c r="G58" s="46" t="str">
        <x:v>Medium pelagics (30 - 89 cm)</x:v>
      </x:c>
      <x:c r="H58" s="46" t="str">
        <x:v>Perch-likes</x:v>
      </x:c>
      <x:c r="I58" s="60" t="n">
        <x:v>123.0114156177</x:v>
      </x:c>
      <x:c r="J58" s="60" t="n">
        <x:v>122.998879398</x:v>
      </x:c>
      <x:c r="K58" s="60" t="n">
        <x:v>0.0125362197</x:v>
      </x:c>
      <x:c r="L58" s="60" t="n">
        <x:v>122.6563114545</x:v>
      </x:c>
      <x:c r="M58" s="60" t="n">
        <x:v>0.35510416320000004</x:v>
      </x:c>
      <x:c r="N58" s="46" t="str">
        <x:v>trachurus symmetricus</x:v>
      </x:c>
      <x:c r="O58" s="62" t="n">
        <x:v>3.57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Trachurus symmetricus</x:v>
      </x:c>
      <x:c r="T58" s="62" t="n">
        <x:f>IF(O58="","",(1/'Metadata'!$B$5)^(O58-1))</x:f>
        <x:v>2206.2112196552644</x:v>
      </x:c>
      <x:c r="U58" s="60" t="n">
        <x:f>IF(T58="","",I58*T58)</x:f>
        <x:v>271389.16528144653</x:v>
      </x:c>
    </x:row>
    <x:row r="59" ht="18" customHeight="1">
      <x:c r="A59" s="46" t="str">
        <x:v>LME_002</x:v>
      </x:c>
      <x:c r="B59" s="46" t="str">
        <x:v>Gulf of Alaska</x:v>
      </x:c>
      <x:c r="C59" s="46" t="str">
        <x:v>LME</x:v>
      </x:c>
      <x:c r="D59" s="58" t="n">
        <x:v>2019</x:v>
      </x:c>
      <x:c r="E59" s="46" t="str">
        <x:v>Siliqua patula</x:v>
      </x:c>
      <x:c r="F59" s="46" t="str">
        <x:v>Pacific razor clam</x:v>
      </x:c>
      <x:c r="G59" s="46" t="str">
        <x:v>Other demersal invertebrates</x:v>
      </x:c>
      <x:c r="H59" s="46" t="str">
        <x:v>Molluscs</x:v>
      </x:c>
      <x:c r="I59" s="60" t="n">
        <x:v>116.65722349549999</x:v>
      </x:c>
      <x:c r="J59" s="60" t="n">
        <x:v>116.65722349549999</x:v>
      </x:c>
      <x:c r="K59" s="60" t="n">
        <x:v>0</x:v>
      </x:c>
      <x:c r="L59" s="60" t="n">
        <x:v>14.5704058491</x:v>
      </x:c>
      <x:c r="M59" s="60" t="n">
        <x:v>102.0868176464</x:v>
      </x:c>
      <x:c r="N59" s="46" t="str">
        <x:v>siliqua patula</x:v>
      </x:c>
      <x:c r="O59" s="62" t="n">
        <x:v>2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Siliqua patula</x:v>
      </x:c>
      <x:c r="T59" s="62" t="n">
        <x:f>IF(O59="","",(1/'Metadata'!$B$5)^(O59-1))</x:f>
        <x:v>20</x:v>
      </x:c>
      <x:c r="U59" s="60" t="n">
        <x:f>IF(T59="","",I59*T59)</x:f>
        <x:v>2333.1444699099998</x:v>
      </x:c>
    </x:row>
    <x:row r="60" ht="18" customHeight="1">
      <x:c r="A60" s="46" t="str">
        <x:v>LME_002</x:v>
      </x:c>
      <x:c r="B60" s="46" t="str">
        <x:v>Gulf of Alaska</x:v>
      </x:c>
      <x:c r="C60" s="46" t="str">
        <x:v>LME</x:v>
      </x:c>
      <x:c r="D60" s="58" t="n">
        <x:v>2019</x:v>
      </x:c>
      <x:c r="E60" s="46" t="str">
        <x:v>Thunnus albacares</x:v>
      </x:c>
      <x:c r="F60" s="46" t="str">
        <x:v>Yellowfin tuna</x:v>
      </x:c>
      <x:c r="G60" s="46" t="str">
        <x:v>Large pelagics (&gt;=90 cm)</x:v>
      </x:c>
      <x:c r="H60" s="46" t="str">
        <x:v>Tuna &amp; billfishes</x:v>
      </x:c>
      <x:c r="I60" s="60" t="n">
        <x:v>109.964324921</x:v>
      </x:c>
      <x:c r="J60" s="60" t="n">
        <x:v>109.964324921</x:v>
      </x:c>
      <x:c r="K60" s="60" t="n">
        <x:v>0</x:v>
      </x:c>
      <x:c r="L60" s="60" t="n">
        <x:v>0</x:v>
      </x:c>
      <x:c r="M60" s="60" t="n">
        <x:v>109.964324921</x:v>
      </x:c>
      <x:c r="N60" s="46" t="str">
        <x:v>thunnus albacares</x:v>
      </x:c>
      <x:c r="O60" s="62" t="n">
        <x:v>4.41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Thunnus albacares</x:v>
      </x:c>
      <x:c r="T60" s="62" t="n">
        <x:f>IF(O60="","",(1/'Metadata'!$B$5)^(O60-1))</x:f>
        <x:v>27321.987305427916</x:v>
      </x:c>
      <x:c r="U60" s="60" t="n">
        <x:f>IF(T60="","",I60*T60)</x:f>
        <x:v>3004443.889541513</x:v>
      </x:c>
    </x:row>
    <x:row r="61" ht="18" customHeight="1">
      <x:c r="A61" s="46" t="str">
        <x:v>LME_002</x:v>
      </x:c>
      <x:c r="B61" s="46" t="str">
        <x:v>Gulf of Alaska</x:v>
      </x:c>
      <x:c r="C61" s="46" t="str">
        <x:v>LME</x:v>
      </x:c>
      <x:c r="D61" s="58" t="n">
        <x:v>2019</x:v>
      </x:c>
      <x:c r="E61" s="46" t="str">
        <x:v>Pleuronectidae</x:v>
      </x:c>
      <x:c r="F61" s="46" t="str">
        <x:v>Righteye flounders</x:v>
      </x:c>
      <x:c r="G61" s="46" t="str">
        <x:v>Small to medium flatfishes (&lt;90 cm)</x:v>
      </x:c>
      <x:c r="H61" s="46" t="str">
        <x:v>Flatfishes</x:v>
      </x:c>
      <x:c r="I61" s="60" t="n">
        <x:v>109.84009039050001</x:v>
      </x:c>
      <x:c r="J61" s="60" t="n">
        <x:v>80.2297620635</x:v>
      </x:c>
      <x:c r="K61" s="60" t="n">
        <x:v>29.610328327</x:v>
      </x:c>
      <x:c r="L61" s="60" t="n">
        <x:v>80.2281327676</x:v>
      </x:c>
      <x:c r="M61" s="60" t="n">
        <x:v>29.6119576229</x:v>
      </x:c>
      <x:c r="N61" s="46" t="str">
        <x:v>pleuronectidae</x:v>
      </x:c>
      <x:c r="O61" s="62" t="n">
        <x:v>3.49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Pleuronectidae</x:v>
      </x:c>
      <x:c r="T61" s="62" t="n">
        <x:f>IF(O61="","",(1/'Metadata'!$B$5)^(O61-1))</x:f>
        <x:v>1736.059833884101</x:v>
      </x:c>
      <x:c r="U61" s="60" t="n">
        <x:f>IF(T61="","",I61*T61)</x:f>
        <x:v>190688.9690771461</x:v>
      </x:c>
    </x:row>
    <x:row r="62" ht="18" customHeight="1">
      <x:c r="A62" s="46" t="str">
        <x:v>LME_002</x:v>
      </x:c>
      <x:c r="B62" s="46" t="str">
        <x:v>Gulf of Alaska</x:v>
      </x:c>
      <x:c r="C62" s="46" t="str">
        <x:v>LME</x:v>
      </x:c>
      <x:c r="D62" s="58" t="n">
        <x:v>2019</x:v>
      </x:c>
      <x:c r="E62" s="46" t="str">
        <x:v>Sebastolobus alascanus</x:v>
      </x:c>
      <x:c r="F62" s="46" t="str">
        <x:v>Shortspine thornyhead</x:v>
      </x:c>
      <x:c r="G62" s="46" t="str">
        <x:v>Medium bathydemersals (30 - 89 cm)</x:v>
      </x:c>
      <x:c r="H62" s="46" t="str">
        <x:v>Scorpionfishes</x:v>
      </x:c>
      <x:c r="I62" s="60" t="n">
        <x:v>93.13546790699999</x:v>
      </x:c>
      <x:c r="J62" s="60" t="n">
        <x:v>88.8978616284</x:v>
      </x:c>
      <x:c r="K62" s="60" t="n">
        <x:v>4.2376062786</x:v>
      </x:c>
      <x:c r="L62" s="60" t="n">
        <x:v>88.8978616284</x:v>
      </x:c>
      <x:c r="M62" s="60" t="n">
        <x:v>4.2376062786</x:v>
      </x:c>
      <x:c r="N62" s="46" t="str">
        <x:v>sebastolobus alascanus</x:v>
      </x:c>
      <x:c r="O62" s="62" t="n">
        <x:v>3.62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Sebastolobus alascanus</x:v>
      </x:c>
      <x:c r="T62" s="62" t="n">
        <x:f>IF(O62="","",(1/'Metadata'!$B$5)^(O62-1))</x:f>
        <x:v>2562.7048371775754</x:v>
      </x:c>
      <x:c r="U62" s="60" t="n">
        <x:f>IF(T62="","",I62*T62)</x:f>
        <x:v>238678.71411806572</x:v>
      </x:c>
    </x:row>
    <x:row r="63" ht="18" customHeight="1">
      <x:c r="A63" s="46" t="str">
        <x:v>LME_002</x:v>
      </x:c>
      <x:c r="B63" s="46" t="str">
        <x:v>Gulf of Alaska</x:v>
      </x:c>
      <x:c r="C63" s="46" t="str">
        <x:v>LME</x:v>
      </x:c>
      <x:c r="D63" s="58" t="n">
        <x:v>2019</x:v>
      </x:c>
      <x:c r="E63" s="46" t="str">
        <x:v>Sebastes crameri</x:v>
      </x:c>
      <x:c r="F63" s="46" t="str">
        <x:v>Darkblotched rockfish</x:v>
      </x:c>
      <x:c r="G63" s="46" t="str">
        <x:v>Medium demersals (30 - 89 cm)</x:v>
      </x:c>
      <x:c r="H63" s="46" t="str">
        <x:v>Scorpionfishes</x:v>
      </x:c>
      <x:c r="I63" s="60" t="n">
        <x:v>90.6348298675</x:v>
      </x:c>
      <x:c r="J63" s="60" t="n">
        <x:v>87.5813906213</x:v>
      </x:c>
      <x:c r="K63" s="60" t="n">
        <x:v>3.0534392462</x:v>
      </x:c>
      <x:c r="L63" s="60" t="n">
        <x:v>87.5803150315</x:v>
      </x:c>
      <x:c r="M63" s="60" t="n">
        <x:v>3.054514836</x:v>
      </x:c>
      <x:c r="N63" s="46" t="str">
        <x:v>sebastes crameri</x:v>
      </x:c>
      <x:c r="O63" s="62" t="n">
        <x:v>3.7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Sebastes crameri</x:v>
      </x:c>
      <x:c r="T63" s="62" t="n">
        <x:f>IF(O63="","",(1/'Metadata'!$B$5)^(O63-1))</x:f>
        <x:v>3256.724252295237</x:v>
      </x:c>
      <x:c r="U63" s="60" t="n">
        <x:f>IF(T63="","",I63*T63)</x:f>
        <x:v>295172.64853213995</x:v>
      </x:c>
    </x:row>
    <x:row r="64" ht="18" customHeight="1">
      <x:c r="A64" s="46" t="str">
        <x:v>LME_002</x:v>
      </x:c>
      <x:c r="B64" s="46" t="str">
        <x:v>Gulf of Alaska</x:v>
      </x:c>
      <x:c r="C64" s="46" t="str">
        <x:v>LME</x:v>
      </x:c>
      <x:c r="D64" s="58" t="n">
        <x:v>2019</x:v>
      </x:c>
      <x:c r="E64" s="46" t="str">
        <x:v>Alosa sapidissima</x:v>
      </x:c>
      <x:c r="F64" s="46" t="str">
        <x:v>American shad</x:v>
      </x:c>
      <x:c r="G64" s="46" t="str">
        <x:v>Medium pelagics (30 - 89 cm)</x:v>
      </x:c>
      <x:c r="H64" s="46" t="str">
        <x:v>Herring-likes</x:v>
      </x:c>
      <x:c r="I64" s="60" t="n">
        <x:v>61.7900627622</x:v>
      </x:c>
      <x:c r="J64" s="60" t="n">
        <x:v>61.694852769499995</x:v>
      </x:c>
      <x:c r="K64" s="60" t="n">
        <x:v>0.0952099927</x:v>
      </x:c>
      <x:c r="L64" s="60" t="n">
        <x:v>61.686966452099995</x:v>
      </x:c>
      <x:c r="M64" s="60" t="n">
        <x:v>0.10309631009999999</x:v>
      </x:c>
      <x:c r="N64" s="46" t="str">
        <x:v>alosa sapidissima</x:v>
      </x:c>
      <x:c r="O64" s="62" t="n">
        <x:v>3.48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Alosa sapidissima</x:v>
      </x:c>
      <x:c r="T64" s="62" t="n">
        <x:f>IF(O64="","",(1/'Metadata'!$B$5)^(O64-1))</x:f>
        <x:v>1684.8234138858888</x:v>
      </x:c>
      <x:c r="U64" s="60" t="n">
        <x:f>IF(T64="","",I64*T64)</x:f>
        <x:v>104105.34448723315</x:v>
      </x:c>
    </x:row>
    <x:row r="65" ht="18" customHeight="1">
      <x:c r="A65" s="46" t="str">
        <x:v>LME_002</x:v>
      </x:c>
      <x:c r="B65" s="46" t="str">
        <x:v>Gulf of Alaska</x:v>
      </x:c>
      <x:c r="C65" s="46" t="str">
        <x:v>LME</x:v>
      </x:c>
      <x:c r="D65" s="58" t="n">
        <x:v>2019</x:v>
      </x:c>
      <x:c r="E65" s="46" t="str">
        <x:v>Veneridae</x:v>
      </x:c>
      <x:c r="F65" s="46" t="str">
        <x:v>Venus clams</x:v>
      </x:c>
      <x:c r="G65" s="46" t="str">
        <x:v>Other demersal invertebrates</x:v>
      </x:c>
      <x:c r="H65" s="46" t="str">
        <x:v>Molluscs</x:v>
      </x:c>
      <x:c r="I65" s="60" t="n">
        <x:v>55.6965955425</x:v>
      </x:c>
      <x:c r="J65" s="60" t="n">
        <x:v>55.6965955425</x:v>
      </x:c>
      <x:c r="K65" s="60" t="n">
        <x:v>0</x:v>
      </x:c>
      <x:c r="L65" s="60" t="n">
        <x:v>0</x:v>
      </x:c>
      <x:c r="M65" s="60" t="n">
        <x:v>55.6965955425</x:v>
      </x:c>
      <x:c r="N65" s="46" t="str">
        <x:v>veneridae</x:v>
      </x:c>
      <x:c r="O65" s="62" t="n">
        <x:v>2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Veneridae</x:v>
      </x:c>
      <x:c r="T65" s="62" t="n">
        <x:f>IF(O65="","",(1/'Metadata'!$B$5)^(O65-1))</x:f>
        <x:v>20</x:v>
      </x:c>
      <x:c r="U65" s="60" t="n">
        <x:f>IF(T65="","",I65*T65)</x:f>
        <x:v>1113.93191085</x:v>
      </x:c>
    </x:row>
    <x:row r="66" ht="18" customHeight="1">
      <x:c r="A66" s="46" t="str">
        <x:v>LME_002</x:v>
      </x:c>
      <x:c r="B66" s="46" t="str">
        <x:v>Gulf of Alaska</x:v>
      </x:c>
      <x:c r="C66" s="46" t="str">
        <x:v>LME</x:v>
      </x:c>
      <x:c r="D66" s="58" t="n">
        <x:v>2019</x:v>
      </x:c>
      <x:c r="E66" s="46" t="str">
        <x:v>Decapoda</x:v>
      </x:c>
      <x:c r="F66" s="46" t="str">
        <x:v>Crabs, lobsters, shrimps</x:v>
      </x:c>
      <x:c r="G66" s="46" t="str">
        <x:v>Lobsters, crabs</x:v>
      </x:c>
      <x:c r="H66" s="46" t="str">
        <x:v>Crustaceans</x:v>
      </x:c>
      <x:c r="I66" s="60" t="n">
        <x:v>50.3004765486</x:v>
      </x:c>
      <x:c r="J66" s="60" t="n">
        <x:v>17.1119691257</x:v>
      </x:c>
      <x:c r="K66" s="60" t="n">
        <x:v>33.188507422899995</x:v>
      </x:c>
      <x:c r="L66" s="60" t="n">
        <x:v>0.0172917751</x:v>
      </x:c>
      <x:c r="M66" s="60" t="n">
        <x:v>50.283184773500004</x:v>
      </x:c>
      <x:c r="N66" s="46" t="str">
        <x:v>decapoda</x:v>
      </x:c>
      <x:c r="O66" s="62" t="n">
        <x:v>3.43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Decapoda</x:v>
      </x:c>
      <x:c r="T66" s="62" t="n">
        <x:f>IF(O66="","",(1/'Metadata'!$B$5)^(O66-1))</x:f>
        <x:v>1450.450424461182</x:v>
      </x:c>
      <x:c r="U66" s="60" t="n">
        <x:f>IF(T66="","",I66*T66)</x:f>
        <x:v>72958.3475605166</x:v>
      </x:c>
    </x:row>
    <x:row r="67" ht="18" customHeight="1">
      <x:c r="A67" s="46" t="str">
        <x:v>LME_002</x:v>
      </x:c>
      <x:c r="B67" s="46" t="str">
        <x:v>Gulf of Alaska</x:v>
      </x:c>
      <x:c r="C67" s="46" t="str">
        <x:v>LME</x:v>
      </x:c>
      <x:c r="D67" s="58" t="n">
        <x:v>2019</x:v>
      </x:c>
      <x:c r="E67" s="46" t="str">
        <x:v>Sebastes melanops</x:v>
      </x:c>
      <x:c r="F67" s="46" t="str">
        <x:v>Black rockfish</x:v>
      </x:c>
      <x:c r="G67" s="46" t="str">
        <x:v>Medium reef assoc. fish (30 - 89 cm)</x:v>
      </x:c>
      <x:c r="H67" s="46" t="str">
        <x:v>Scorpionfishes</x:v>
      </x:c>
      <x:c r="I67" s="60" t="n">
        <x:v>42.2969227891</x:v>
      </x:c>
      <x:c r="J67" s="60" t="n">
        <x:v>39.6592539902</x:v>
      </x:c>
      <x:c r="K67" s="60" t="n">
        <x:v>2.6376687989</x:v>
      </x:c>
      <x:c r="L67" s="60" t="n">
        <x:v>18.7646920269</x:v>
      </x:c>
      <x:c r="M67" s="60" t="n">
        <x:v>23.5322307622</x:v>
      </x:c>
      <x:c r="N67" s="46" t="str">
        <x:v>sebastes melanops</x:v>
      </x:c>
      <x:c r="O67" s="62" t="n">
        <x:v>4.38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Sebastes melanops</x:v>
      </x:c>
      <x:c r="T67" s="62" t="n">
        <x:f>IF(O67="","",(1/'Metadata'!$B$5)^(O67-1))</x:f>
        <x:v>24973.6134538561</x:v>
      </x:c>
      <x:c r="U67" s="60" t="n">
        <x:f>IF(T67="","",I67*T67)</x:f>
        <x:v>1056307.0000225804</x:v>
      </x:c>
    </x:row>
    <x:row r="68" ht="18" customHeight="1">
      <x:c r="A68" s="46" t="str">
        <x:v>LME_002</x:v>
      </x:c>
      <x:c r="B68" s="46" t="str">
        <x:v>Gulf of Alaska</x:v>
      </x:c>
      <x:c r="C68" s="46" t="str">
        <x:v>LME</x:v>
      </x:c>
      <x:c r="D68" s="58" t="n">
        <x:v>2019</x:v>
      </x:c>
      <x:c r="E68" s="46" t="str">
        <x:v>Saxidomus gigantea</x:v>
      </x:c>
      <x:c r="F68" s="46" t="str">
        <x:v>Butter clam</x:v>
      </x:c>
      <x:c r="G68" s="46" t="str">
        <x:v>Other demersal invertebrates</x:v>
      </x:c>
      <x:c r="H68" s="46" t="str">
        <x:v>Molluscs</x:v>
      </x:c>
      <x:c r="I68" s="60" t="n">
        <x:v>40.851462832900005</x:v>
      </x:c>
      <x:c r="J68" s="60" t="n">
        <x:v>40.851462832900005</x:v>
      </x:c>
      <x:c r="K68" s="60" t="n">
        <x:v>0</x:v>
      </x:c>
      <x:c r="L68" s="60" t="n">
        <x:v>16.215071874000003</x:v>
      </x:c>
      <x:c r="M68" s="60" t="n">
        <x:v>24.6363909589</x:v>
      </x:c>
      <x:c r="N68" s="46" t="str">
        <x:v>saxidomus gigantea</x:v>
      </x:c>
      <x:c r="O68" s="62" t="n">
        <x:v>2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Saxidomus gigantea</x:v>
      </x:c>
      <x:c r="T68" s="62" t="n">
        <x:f>IF(O68="","",(1/'Metadata'!$B$5)^(O68-1))</x:f>
        <x:v>20</x:v>
      </x:c>
      <x:c r="U68" s="60" t="n">
        <x:f>IF(T68="","",I68*T68)</x:f>
        <x:v>817.0292566580001</x:v>
      </x:c>
    </x:row>
    <x:row r="69" ht="18" customHeight="1">
      <x:c r="A69" s="46" t="str">
        <x:v>LME_002</x:v>
      </x:c>
      <x:c r="B69" s="46" t="str">
        <x:v>Gulf of Alaska</x:v>
      </x:c>
      <x:c r="C69" s="46" t="str">
        <x:v>LME</x:v>
      </x:c>
      <x:c r="D69" s="58" t="n">
        <x:v>2019</x:v>
      </x:c>
      <x:c r="E69" s="46" t="str">
        <x:v>Clinocardium nuttallii</x:v>
      </x:c>
      <x:c r="F69" s="46" t="str">
        <x:v>Nuttall cockle</x:v>
      </x:c>
      <x:c r="G69" s="46" t="str">
        <x:v>Other demersal invertebrates</x:v>
      </x:c>
      <x:c r="H69" s="46" t="str">
        <x:v>Molluscs</x:v>
      </x:c>
      <x:c r="I69" s="60" t="n">
        <x:v>33.0555107614</x:v>
      </x:c>
      <x:c r="J69" s="60" t="n">
        <x:v>33.0555107614</x:v>
      </x:c>
      <x:c r="K69" s="60" t="n">
        <x:v>0</x:v>
      </x:c>
      <x:c r="L69" s="60" t="n">
        <x:v>23.6183405701</x:v>
      </x:c>
      <x:c r="M69" s="60" t="n">
        <x:v>9.4371701913</x:v>
      </x:c>
      <x:c r="N69" s="46" t="str">
        <x:v>clinocardium nuttallii</x:v>
      </x:c>
      <x:c r="O69" s="62" t="n">
        <x:v>2.05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Clinocardium nuttallii</x:v>
      </x:c>
      <x:c r="T69" s="62" t="n">
        <x:f>IF(O69="","",(1/'Metadata'!$B$5)^(O69-1))</x:f>
        <x:v>23.231726992830833</x:v>
      </x:c>
      <x:c r="U69" s="60" t="n">
        <x:f>IF(T69="","",I69*T69)</x:f>
        <x:v>767.9366016174265</x:v>
      </x:c>
    </x:row>
    <x:row r="70" ht="18" customHeight="1">
      <x:c r="A70" s="46" t="str">
        <x:v>LME_002</x:v>
      </x:c>
      <x:c r="B70" s="46" t="str">
        <x:v>Gulf of Alaska</x:v>
      </x:c>
      <x:c r="C70" s="46" t="str">
        <x:v>LME</x:v>
      </x:c>
      <x:c r="D70" s="58" t="n">
        <x:v>2019</x:v>
      </x:c>
      <x:c r="E70" s="46" t="str">
        <x:v>Atheresthes evermanni</x:v>
      </x:c>
      <x:c r="F70" s="46" t="str">
        <x:v>Kamchatka flounder</x:v>
      </x:c>
      <x:c r="G70" s="46" t="str">
        <x:v>Large flatfishes (&gt;=90 cm)</x:v>
      </x:c>
      <x:c r="H70" s="46" t="str">
        <x:v>Flatfishes</x:v>
      </x:c>
      <x:c r="I70" s="60" t="n">
        <x:v>29.5814550459</x:v>
      </x:c>
      <x:c r="J70" s="60" t="n">
        <x:v>0</x:v>
      </x:c>
      <x:c r="K70" s="60" t="n">
        <x:v>29.5814550459</x:v>
      </x:c>
      <x:c r="L70" s="60" t="n">
        <x:v>0</x:v>
      </x:c>
      <x:c r="M70" s="60" t="n">
        <x:v>29.5814550459</x:v>
      </x:c>
      <x:c r="N70" s="46" t="str">
        <x:v>atheresthes evermanni</x:v>
      </x:c>
      <x:c r="O70" s="62" t="n">
        <x:v>4.3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Atheresthes evermanni</x:v>
      </x:c>
      <x:c r="T70" s="62" t="n">
        <x:f>IF(O70="","",(1/'Metadata'!$B$5)^(O70-1))</x:f>
        <x:v>19651.648417852637</x:v>
      </x:c>
      <x:c r="U70" s="60" t="n">
        <x:f>IF(T70="","",I70*T70)</x:f>
        <x:v>581324.3542505397</x:v>
      </x:c>
    </x:row>
    <x:row r="71" ht="18" customHeight="1">
      <x:c r="A71" s="46" t="str">
        <x:v>LME_002</x:v>
      </x:c>
      <x:c r="B71" s="46" t="str">
        <x:v>Gulf of Alaska</x:v>
      </x:c>
      <x:c r="C71" s="46" t="str">
        <x:v>LME</x:v>
      </x:c>
      <x:c r="D71" s="58" t="n">
        <x:v>2019</x:v>
      </x:c>
      <x:c r="E71" s="46" t="str">
        <x:v>Scomber japonicus</x:v>
      </x:c>
      <x:c r="F71" s="46" t="str">
        <x:v>Pacific chub mackerel</x:v>
      </x:c>
      <x:c r="G71" s="46" t="str">
        <x:v>Medium pelagics (30 - 89 cm)</x:v>
      </x:c>
      <x:c r="H71" s="46" t="str">
        <x:v>Perch-likes</x:v>
      </x:c>
      <x:c r="I71" s="60" t="n">
        <x:v>29.492114005800005</x:v>
      </x:c>
      <x:c r="J71" s="60" t="n">
        <x:v>27.532009027200004</x:v>
      </x:c>
      <x:c r="K71" s="60" t="n">
        <x:v>1.9601049786</x:v>
      </x:c>
      <x:c r="L71" s="60" t="n">
        <x:v>18.444827407000002</x:v>
      </x:c>
      <x:c r="M71" s="60" t="n">
        <x:v>11.047286598800001</x:v>
      </x:c>
      <x:c r="N71" s="46" t="str">
        <x:v>scomber japonicus</x:v>
      </x:c>
      <x:c r="O71" s="62" t="n">
        <x:v>3.38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Scomber japonicus</x:v>
      </x:c>
      <x:c r="T71" s="62" t="n">
        <x:f>IF(O71="","",(1/'Metadata'!$B$5)^(O71-1))</x:f>
        <x:v>1248.6806726928048</x:v>
      </x:c>
      <x:c r="U71" s="60" t="n">
        <x:f>IF(T71="","",I71*T71)</x:f>
        <x:v>36826.23275589524</x:v>
      </x:c>
    </x:row>
    <x:row r="72" ht="18" customHeight="1">
      <x:c r="A72" s="46" t="str">
        <x:v>LME_002</x:v>
      </x:c>
      <x:c r="B72" s="46" t="str">
        <x:v>Gulf of Alaska</x:v>
      </x:c>
      <x:c r="C72" s="46" t="str">
        <x:v>LME</x:v>
      </x:c>
      <x:c r="D72" s="58" t="n">
        <x:v>2019</x:v>
      </x:c>
      <x:c r="E72" s="46" t="str">
        <x:v>Citharichthys sordidus</x:v>
      </x:c>
      <x:c r="F72" s="46" t="str">
        <x:v>Pacific sanddab</x:v>
      </x:c>
      <x:c r="G72" s="46" t="str">
        <x:v>Small to medium flatfishes (&lt;90 cm)</x:v>
      </x:c>
      <x:c r="H72" s="46" t="str">
        <x:v>Flatfishes</x:v>
      </x:c>
      <x:c r="I72" s="60" t="n">
        <x:v>28.1538349086</x:v>
      </x:c>
      <x:c r="J72" s="60" t="n">
        <x:v>3.3451711671999997</x:v>
      </x:c>
      <x:c r="K72" s="60" t="n">
        <x:v>24.8086637414</x:v>
      </x:c>
      <x:c r="L72" s="60" t="n">
        <x:v>3.3189316027999998</x:v>
      </x:c>
      <x:c r="M72" s="60" t="n">
        <x:v>24.8349033058</x:v>
      </x:c>
      <x:c r="N72" s="46" t="str">
        <x:v>citharichthys sordidus</x:v>
      </x:c>
      <x:c r="O72" s="62" t="n">
        <x:v>3.46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Citharichthys sordidus</x:v>
      </x:c>
      <x:c r="T72" s="62" t="n">
        <x:f>IF(O72="","",(1/'Metadata'!$B$5)^(O72-1))</x:f>
        <x:v>1586.8423749532276</x:v>
      </x:c>
      <x:c r="U72" s="60" t="n">
        <x:f>IF(T72="","",I72*T72)</x:f>
        <x:v>44675.69825040391</x:v>
      </x:c>
    </x:row>
    <x:row r="73" ht="18" customHeight="1">
      <x:c r="A73" s="46" t="str">
        <x:v>LME_002</x:v>
      </x:c>
      <x:c r="B73" s="46" t="str">
        <x:v>Gulf of Alaska</x:v>
      </x:c>
      <x:c r="C73" s="46" t="str">
        <x:v>LME</x:v>
      </x:c>
      <x:c r="D73" s="58" t="n">
        <x:v>2019</x:v>
      </x:c>
      <x:c r="E73" s="46" t="str">
        <x:v>Salvelinus malma</x:v>
      </x:c>
      <x:c r="F73" s="46" t="str">
        <x:v>Dolly varden</x:v>
      </x:c>
      <x:c r="G73" s="46" t="str">
        <x:v>Large benthopelagics (&gt;=90 cm)</x:v>
      </x:c>
      <x:c r="H73" s="46" t="str">
        <x:v>Salmon, smelts, etc</x:v>
      </x:c>
      <x:c r="I73" s="60" t="n">
        <x:v>23.5330733825</x:v>
      </x:c>
      <x:c r="J73" s="60" t="n">
        <x:v>23.5330733825</x:v>
      </x:c>
      <x:c r="K73" s="60" t="n">
        <x:v>0</x:v>
      </x:c>
      <x:c r="L73" s="60" t="n">
        <x:v>0</x:v>
      </x:c>
      <x:c r="M73" s="60" t="n">
        <x:v>23.5330733825</x:v>
      </x:c>
      <x:c r="N73" s="46" t="str">
        <x:v>salvelinus malma</x:v>
      </x:c>
      <x:c r="O73" s="62" t="n">
        <x:v>4.4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Salvelinus malma</x:v>
      </x:c>
      <x:c r="T73" s="62" t="n">
        <x:f>IF(O73="","",(1/'Metadata'!$B$5)^(O73-1))</x:f>
        <x:v>26515.632138719924</x:v>
      </x:c>
      <x:c r="U73" s="60" t="n">
        <x:f>IF(T73="","",I73*T73)</x:f>
        <x:v>623994.3169038714</x:v>
      </x:c>
    </x:row>
    <x:row r="74" ht="18" customHeight="1">
      <x:c r="A74" s="46" t="str">
        <x:v>LME_002</x:v>
      </x:c>
      <x:c r="B74" s="46" t="str">
        <x:v>Gulf of Alaska</x:v>
      </x:c>
      <x:c r="C74" s="46" t="str">
        <x:v>LME</x:v>
      </x:c>
      <x:c r="D74" s="58" t="n">
        <x:v>2019</x:v>
      </x:c>
      <x:c r="E74" s="46" t="str">
        <x:v>Pandalidae</x:v>
      </x:c>
      <x:c r="F74" s="46" t="str">
        <x:v>Northern shrimps</x:v>
      </x:c>
      <x:c r="G74" s="46" t="str">
        <x:v>Shrimps</x:v>
      </x:c>
      <x:c r="H74" s="46" t="str">
        <x:v>Crustaceans</x:v>
      </x:c>
      <x:c r="I74" s="60" t="n">
        <x:v>23.4919421925</x:v>
      </x:c>
      <x:c r="J74" s="60" t="n">
        <x:v>23.4919421925</x:v>
      </x:c>
      <x:c r="K74" s="60" t="n">
        <x:v>0</x:v>
      </x:c>
      <x:c r="L74" s="60" t="n">
        <x:v>0</x:v>
      </x:c>
      <x:c r="M74" s="60" t="n">
        <x:v>23.4919421925</x:v>
      </x:c>
      <x:c r="N74" s="46" t="str">
        <x:v>pandalidae</x:v>
      </x:c>
      <x:c r="O74" s="62" t="n">
        <x:v>2.7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Pandalidae</x:v>
      </x:c>
      <x:c r="T74" s="62" t="n">
        <x:f>IF(O74="","",(1/'Metadata'!$B$5)^(O74-1))</x:f>
        <x:v>162.83621261476185</x:v>
      </x:c>
      <x:c r="U74" s="60" t="n">
        <x:f>IF(T74="","",I74*T74)</x:f>
        <x:v>3825.338893591625</x:v>
      </x:c>
    </x:row>
    <x:row r="75" ht="18" customHeight="1">
      <x:c r="A75" s="46" t="str">
        <x:v>LME_002</x:v>
      </x:c>
      <x:c r="B75" s="46" t="str">
        <x:v>Gulf of Alaska</x:v>
      </x:c>
      <x:c r="C75" s="46" t="str">
        <x:v>LME</x:v>
      </x:c>
      <x:c r="D75" s="58" t="n">
        <x:v>2019</x:v>
      </x:c>
      <x:c r="E75" s="46" t="str">
        <x:v>Osmeridae</x:v>
      </x:c>
      <x:c r="F75" s="46" t="str">
        <x:v>Smelts</x:v>
      </x:c>
      <x:c r="G75" s="46" t="str">
        <x:v>Small pelagics (&lt;30 cm)</x:v>
      </x:c>
      <x:c r="H75" s="46" t="str">
        <x:v>Salmon, smelts, etc</x:v>
      </x:c>
      <x:c r="I75" s="60" t="n">
        <x:v>21.2154780038</x:v>
      </x:c>
      <x:c r="J75" s="60" t="n">
        <x:v>20.219170474800002</x:v>
      </x:c>
      <x:c r="K75" s="60" t="n">
        <x:v>0.996307529</x:v>
      </x:c>
      <x:c r="L75" s="60" t="n">
        <x:v>5.5450600824</x:v>
      </x:c>
      <x:c r="M75" s="60" t="n">
        <x:v>15.6704179214</x:v>
      </x:c>
      <x:c r="N75" s="46" t="str">
        <x:v>osmeridae</x:v>
      </x:c>
      <x:c r="O75" s="62" t="n">
        <x:v>3.46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Osmeridae</x:v>
      </x:c>
      <x:c r="T75" s="62" t="n">
        <x:f>IF(O75="","",(1/'Metadata'!$B$5)^(O75-1))</x:f>
        <x:v>1586.8423749532276</x:v>
      </x:c>
      <x:c r="U75" s="60" t="n">
        <x:f>IF(T75="","",I75*T75)</x:f>
        <x:v>33665.61950131795</x:v>
      </x:c>
    </x:row>
    <x:row r="76" ht="18" customHeight="1">
      <x:c r="A76" s="46" t="str">
        <x:v>LME_002</x:v>
      </x:c>
      <x:c r="B76" s="46" t="str">
        <x:v>Gulf of Alaska</x:v>
      </x:c>
      <x:c r="C76" s="46" t="str">
        <x:v>LME</x:v>
      </x:c>
      <x:c r="D76" s="58" t="n">
        <x:v>2019</x:v>
      </x:c>
      <x:c r="E76" s="46" t="str">
        <x:v>Tresus</x:v>
      </x:c>
      <x:c r="F76" s="46" t="str">
        <x:v>Gaper clams</x:v>
      </x:c>
      <x:c r="G76" s="46" t="str">
        <x:v>Other demersal invertebrates</x:v>
      </x:c>
      <x:c r="H76" s="46" t="str">
        <x:v>Molluscs</x:v>
      </x:c>
      <x:c r="I76" s="60" t="n">
        <x:v>20.232864704599997</x:v>
      </x:c>
      <x:c r="J76" s="60" t="n">
        <x:v>20.232864704599997</x:v>
      </x:c>
      <x:c r="K76" s="60" t="n">
        <x:v>0</x:v>
      </x:c>
      <x:c r="L76" s="60" t="n">
        <x:v>18.3791521578</x:v>
      </x:c>
      <x:c r="M76" s="60" t="n">
        <x:v>1.8537125468</x:v>
      </x:c>
      <x:c r="N76" s="46" t="str">
        <x:v>tresus</x:v>
      </x:c>
      <x:c r="O76" s="62" t="n">
        <x:v>2.03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Tresus</x:v>
      </x:c>
      <x:c r="T76" s="62" t="n">
        <x:f>IF(O76="","",(1/'Metadata'!$B$5)^(O76-1))</x:f>
        <x:v>21.880684071538855</x:v>
      </x:c>
      <x:c r="U76" s="60" t="n">
        <x:f>IF(T76="","",I76*T76)</x:f>
        <x:v>442.70892046354186</x:v>
      </x:c>
    </x:row>
    <x:row r="77" ht="18" customHeight="1">
      <x:c r="A77" s="46" t="str">
        <x:v>LME_002</x:v>
      </x:c>
      <x:c r="B77" s="46" t="str">
        <x:v>Gulf of Alaska</x:v>
      </x:c>
      <x:c r="C77" s="46" t="str">
        <x:v>LME</x:v>
      </x:c>
      <x:c r="D77" s="58" t="n">
        <x:v>2019</x:v>
      </x:c>
      <x:c r="E77" s="46" t="str">
        <x:v>Pandalus</x:v>
      </x:c>
      <x:c r="F77" s="46" t="str">
        <x:v>Seabed shrimps</x:v>
      </x:c>
      <x:c r="G77" s="46" t="str">
        <x:v>Shrimps</x:v>
      </x:c>
      <x:c r="H77" s="46" t="str">
        <x:v>Crustaceans</x:v>
      </x:c>
      <x:c r="I77" s="60" t="n">
        <x:v>15.6257711177</x:v>
      </x:c>
      <x:c r="J77" s="60" t="n">
        <x:v>15.6257711177</x:v>
      </x:c>
      <x:c r="K77" s="60" t="n">
        <x:v>0</x:v>
      </x:c>
      <x:c r="L77" s="60" t="n">
        <x:v>0</x:v>
      </x:c>
      <x:c r="M77" s="60" t="n">
        <x:v>15.6257711177</x:v>
      </x:c>
      <x:c r="N77" s="46" t="str">
        <x:v>pandalus</x:v>
      </x:c>
      <x:c r="O77" s="62" t="n">
        <x:v>2.6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Pandalus</x:v>
      </x:c>
      <x:c r="T77" s="62" t="n">
        <x:f>IF(O77="","",(1/'Metadata'!$B$5)^(O77-1))</x:f>
        <x:v>120.6835267309033</x:v>
      </x:c>
      <x:c r="U77" s="60" t="n">
        <x:f>IF(T77="","",I77*T77)</x:f>
        <x:v>1885.7731663739246</x:v>
      </x:c>
    </x:row>
    <x:row r="78" ht="18" customHeight="1">
      <x:c r="A78" s="46" t="str">
        <x:v>LME_002</x:v>
      </x:c>
      <x:c r="B78" s="46" t="str">
        <x:v>Gulf of Alaska</x:v>
      </x:c>
      <x:c r="C78" s="46" t="str">
        <x:v>LME</x:v>
      </x:c>
      <x:c r="D78" s="58" t="n">
        <x:v>2019</x:v>
      </x:c>
      <x:c r="E78" s="46" t="str">
        <x:v>Sebastes jordani</x:v>
      </x:c>
      <x:c r="F78" s="46" t="str">
        <x:v>Shortbelly rockfish</x:v>
      </x:c>
      <x:c r="G78" s="46" t="str">
        <x:v>Medium demersals (30 - 89 cm)</x:v>
      </x:c>
      <x:c r="H78" s="46" t="str">
        <x:v>Scorpionfishes</x:v>
      </x:c>
      <x:c r="I78" s="60" t="n">
        <x:v>15.3890608995</x:v>
      </x:c>
      <x:c r="J78" s="60" t="n">
        <x:v>15.2167359307</x:v>
      </x:c>
      <x:c r="K78" s="60" t="n">
        <x:v>0.17232496879999998</x:v>
      </x:c>
      <x:c r="L78" s="60" t="n">
        <x:v>15.2167359307</x:v>
      </x:c>
      <x:c r="M78" s="60" t="n">
        <x:v>0.17232496879999998</x:v>
      </x:c>
      <x:c r="N78" s="46" t="str">
        <x:v>sebastes jordani</x:v>
      </x:c>
      <x:c r="O78" s="62" t="n">
        <x:v>3.2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Sebastes jordani</x:v>
      </x:c>
      <x:c r="T78" s="62" t="n">
        <x:f>IF(O78="","",(1/'Metadata'!$B$5)^(O78-1))</x:f>
        <x:v>728.2256812104325</x:v>
      </x:c>
      <x:c r="U78" s="60" t="n">
        <x:f>IF(T78="","",I78*T78)</x:f>
        <x:v>11206.709356727219</x:v>
      </x:c>
    </x:row>
    <x:row r="79" ht="18" customHeight="1">
      <x:c r="A79" s="46" t="str">
        <x:v>LME_002</x:v>
      </x:c>
      <x:c r="B79" s="46" t="str">
        <x:v>Gulf of Alaska</x:v>
      </x:c>
      <x:c r="C79" s="46" t="str">
        <x:v>LME</x:v>
      </x:c>
      <x:c r="D79" s="58" t="n">
        <x:v>2019</x:v>
      </x:c>
      <x:c r="E79" s="46" t="str">
        <x:v>Oncorhynchus mykiss</x:v>
      </x:c>
      <x:c r="F79" s="46" t="str">
        <x:v>Rainbow trout</x:v>
      </x:c>
      <x:c r="G79" s="46" t="str">
        <x:v>Large benthopelagics (&gt;=90 cm)</x:v>
      </x:c>
      <x:c r="H79" s="46" t="str">
        <x:v>Salmon, smelts, etc</x:v>
      </x:c>
      <x:c r="I79" s="60" t="n">
        <x:v>15.2917599507</x:v>
      </x:c>
      <x:c r="J79" s="60" t="n">
        <x:v>15.2917599507</x:v>
      </x:c>
      <x:c r="K79" s="60" t="n">
        <x:v>0</x:v>
      </x:c>
      <x:c r="L79" s="60" t="n">
        <x:v>12.678697422399999</x:v>
      </x:c>
      <x:c r="M79" s="60" t="n">
        <x:v>2.6130625283</x:v>
      </x:c>
      <x:c r="N79" s="46" t="str">
        <x:v>oncorhynchus mykiss</x:v>
      </x:c>
      <x:c r="O79" s="62" t="n">
        <x:v>4.08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Oncorhynchus mykiss</x:v>
      </x:c>
      <x:c r="T79" s="62" t="n">
        <x:f>IF(O79="","",(1/'Metadata'!$B$5)^(O79-1))</x:f>
        <x:v>10166.521575327472</x:v>
      </x:c>
      <x:c r="U79" s="60" t="n">
        <x:f>IF(T79="","",I79*T79)</x:f>
        <x:v>155464.0074635201</x:v>
      </x:c>
    </x:row>
    <x:row r="80" ht="18" customHeight="1">
      <x:c r="A80" s="46" t="str">
        <x:v>LME_002</x:v>
      </x:c>
      <x:c r="B80" s="46" t="str">
        <x:v>Gulf of Alaska</x:v>
      </x:c>
      <x:c r="C80" s="46" t="str">
        <x:v>LME</x:v>
      </x:c>
      <x:c r="D80" s="58" t="n">
        <x:v>2019</x:v>
      </x:c>
      <x:c r="E80" s="46" t="str">
        <x:v>Thaleichthys pacificus</x:v>
      </x:c>
      <x:c r="F80" s="46" t="str">
        <x:v>Eulachon</x:v>
      </x:c>
      <x:c r="G80" s="46" t="str">
        <x:v>Small pelagics (&lt;30 cm)</x:v>
      </x:c>
      <x:c r="H80" s="46" t="str">
        <x:v>Salmon, smelts, etc</x:v>
      </x:c>
      <x:c r="I80" s="60" t="n">
        <x:v>14.8078985026</x:v>
      </x:c>
      <x:c r="J80" s="60" t="n">
        <x:v>14.8078985026</x:v>
      </x:c>
      <x:c r="K80" s="60" t="n">
        <x:v>0</x:v>
      </x:c>
      <x:c r="L80" s="60" t="n">
        <x:v>0.0219948504</x:v>
      </x:c>
      <x:c r="M80" s="60" t="n">
        <x:v>14.7859036522</x:v>
      </x:c>
      <x:c r="N80" s="46" t="str">
        <x:v>thaleichthys pacificus</x:v>
      </x:c>
      <x:c r="O80" s="62" t="n">
        <x:v>3.25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Thaleichthys pacificus</x:v>
      </x:c>
      <x:c r="T80" s="62" t="n">
        <x:f>IF(O80="","",(1/'Metadata'!$B$5)^(O80-1))</x:f>
        <x:v>845.8970107524513</x:v>
      </x:c>
      <x:c r="U80" s="60" t="n">
        <x:f>IF(T80="","",I80*T80)</x:f>
        <x:v>12525.957078875039</x:v>
      </x:c>
    </x:row>
    <x:row r="81" ht="18" customHeight="1">
      <x:c r="A81" s="46" t="str">
        <x:v>LME_002</x:v>
      </x:c>
      <x:c r="B81" s="46" t="str">
        <x:v>Gulf of Alaska</x:v>
      </x:c>
      <x:c r="C81" s="46" t="str">
        <x:v>LME</x:v>
      </x:c>
      <x:c r="D81" s="58" t="n">
        <x:v>2019</x:v>
      </x:c>
      <x:c r="E81" s="46" t="str">
        <x:v>Lithodidae</x:v>
      </x:c>
      <x:c r="F81" s="46" t="str">
        <x:v>Stone/king crabs</x:v>
      </x:c>
      <x:c r="G81" s="46" t="str">
        <x:v>Lobsters, crabs</x:v>
      </x:c>
      <x:c r="H81" s="46" t="str">
        <x:v>Crustaceans</x:v>
      </x:c>
      <x:c r="I81" s="60" t="n">
        <x:v>14.0973002763</x:v>
      </x:c>
      <x:c r="J81" s="60" t="n">
        <x:v>14.0973002763</x:v>
      </x:c>
      <x:c r="K81" s="60" t="n">
        <x:v>0</x:v>
      </x:c>
      <x:c r="L81" s="60" t="n">
        <x:v>0</x:v>
      </x:c>
      <x:c r="M81" s="60" t="n">
        <x:v>14.0973002763</x:v>
      </x:c>
      <x:c r="N81" s="46" t="str">
        <x:v>lithodidae</x:v>
      </x:c>
      <x:c r="O81" s="62" t="n">
        <x:v>2.82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Lithodidae</x:v>
      </x:c>
      <x:c r="T81" s="62" t="n">
        <x:f>IF(O81="","",(1/'Metadata'!$B$5)^(O81-1))</x:f>
        <x:v>233.27843447436348</x:v>
      </x:c>
      <x:c r="U81" s="60" t="n">
        <x:f>IF(T81="","",I81*T81)</x:f>
        <x:v>3288.596138770276</x:v>
      </x:c>
    </x:row>
    <x:row r="82" ht="18" customHeight="1">
      <x:c r="A82" s="46" t="str">
        <x:v>LME_002</x:v>
      </x:c>
      <x:c r="B82" s="46" t="str">
        <x:v>Gulf of Alaska</x:v>
      </x:c>
      <x:c r="C82" s="46" t="str">
        <x:v>LME</x:v>
      </x:c>
      <x:c r="D82" s="58" t="n">
        <x:v>2019</x:v>
      </x:c>
      <x:c r="E82" s="46" t="str">
        <x:v>Penaeidae</x:v>
      </x:c>
      <x:c r="F82" s="46" t="str">
        <x:v>Commercial shrimps and prawns</x:v>
      </x:c>
      <x:c r="G82" s="46" t="str">
        <x:v>Shrimps</x:v>
      </x:c>
      <x:c r="H82" s="46" t="str">
        <x:v>Crustaceans</x:v>
      </x:c>
      <x:c r="I82" s="60" t="n">
        <x:v>13.6908182274</x:v>
      </x:c>
      <x:c r="J82" s="60" t="n">
        <x:v>13.6908182274</x:v>
      </x:c>
      <x:c r="K82" s="60" t="n">
        <x:v>0</x:v>
      </x:c>
      <x:c r="L82" s="60" t="n">
        <x:v>13.6908182274</x:v>
      </x:c>
      <x:c r="M82" s="60" t="n">
        <x:v>0</x:v>
      </x:c>
      <x:c r="N82" s="46" t="str">
        <x:v>penaeidae</x:v>
      </x:c>
      <x:c r="O82" s="62" t="n">
        <x:v>3.31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Penaeidae</x:v>
      </x:c>
      <x:c r="T82" s="62" t="n">
        <x:f>IF(O82="","",(1/'Metadata'!$B$5)^(O82-1))</x:f>
        <x:v>1012.4633005057666</x:v>
      </x:c>
      <x:c r="U82" s="60" t="n">
        <x:f>IF(T82="","",I82*T82)</x:f>
        <x:v>13861.451009137912</x:v>
      </x:c>
    </x:row>
    <x:row r="83" ht="18" customHeight="1">
      <x:c r="A83" s="46" t="str">
        <x:v>LME_002</x:v>
      </x:c>
      <x:c r="B83" s="46" t="str">
        <x:v>Gulf of Alaska</x:v>
      </x:c>
      <x:c r="C83" s="46" t="str">
        <x:v>LME</x:v>
      </x:c>
      <x:c r="D83" s="58" t="n">
        <x:v>2019</x:v>
      </x:c>
      <x:c r="E83" s="46" t="str">
        <x:v>Hydrolagus colliei</x:v>
      </x:c>
      <x:c r="F83" s="46" t="str">
        <x:v>Spotted ratfish</x:v>
      </x:c>
      <x:c r="G83" s="46" t="str">
        <x:v>Small to medium rays (&lt;90 cm)</x:v>
      </x:c>
      <x:c r="H83" s="46" t="str">
        <x:v>Sharks &amp; rays</x:v>
      </x:c>
      <x:c r="I83" s="60" t="n">
        <x:v>12.7899264458</x:v>
      </x:c>
      <x:c r="J83" s="60" t="n">
        <x:v>0.23604108280000002</x:v>
      </x:c>
      <x:c r="K83" s="60" t="n">
        <x:v>12.553885363000001</x:v>
      </x:c>
      <x:c r="L83" s="60" t="n">
        <x:v>0.23365084700000002</x:v>
      </x:c>
      <x:c r="M83" s="60" t="n">
        <x:v>12.556275598800001</x:v>
      </x:c>
      <x:c r="N83" s="46" t="str">
        <x:v>hydrolagus colliei</x:v>
      </x:c>
      <x:c r="O83" s="62" t="n">
        <x:v>3.68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Hydrolagus colliei</x:v>
      </x:c>
      <x:c r="T83" s="62" t="n">
        <x:f>IF(O83="","",(1/'Metadata'!$B$5)^(O83-1))</x:f>
        <x:v>3067.3291957408446</x:v>
      </x:c>
      <x:c r="U83" s="60" t="n">
        <x:f>IF(T83="","",I83*T83)</x:f>
        <x:v>39230.91479858028</x:v>
      </x:c>
    </x:row>
    <x:row r="84" ht="18" customHeight="1">
      <x:c r="A84" s="46" t="str">
        <x:v>LME_002</x:v>
      </x:c>
      <x:c r="B84" s="46" t="str">
        <x:v>Gulf of Alaska</x:v>
      </x:c>
      <x:c r="C84" s="46" t="str">
        <x:v>LME</x:v>
      </x:c>
      <x:c r="D84" s="58" t="n">
        <x:v>2019</x:v>
      </x:c>
      <x:c r="E84" s="46" t="str">
        <x:v>Loliginidae</x:v>
      </x:c>
      <x:c r="F84" s="46" t="str">
        <x:v>Common pencil squids</x:v>
      </x:c>
      <x:c r="G84" s="46" t="str">
        <x:v>Cephalopods</x:v>
      </x:c>
      <x:c r="H84" s="46" t="str">
        <x:v>Other fishes &amp; inverts</x:v>
      </x:c>
      <x:c r="I84" s="60" t="n">
        <x:v>12.214629658600002</x:v>
      </x:c>
      <x:c r="J84" s="60" t="n">
        <x:v>12.214629658600002</x:v>
      </x:c>
      <x:c r="K84" s="60" t="n">
        <x:v>0</x:v>
      </x:c>
      <x:c r="L84" s="60" t="n">
        <x:v>12.214629658600002</x:v>
      </x:c>
      <x:c r="M84" s="60" t="n">
        <x:v>0</x:v>
      </x:c>
      <x:c r="N84" s="46" t="str">
        <x:v>loliginidae</x:v>
      </x:c>
      <x:c r="O84" s="62" t="n">
        <x:v>3.9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Loliginidae</x:v>
      </x:c>
      <x:c r="T84" s="62" t="n">
        <x:f>IF(O84="","",(1/'Metadata'!$B$5)^(O84-1))</x:f>
        <x:v>5929.07559285558</x:v>
      </x:c>
      <x:c r="U84" s="60" t="n">
        <x:f>IF(T84="","",I84*T84)</x:f>
        <x:v>72421.46258457516</x:v>
      </x:c>
    </x:row>
    <x:row r="85" ht="18" customHeight="1">
      <x:c r="A85" s="46" t="str">
        <x:v>LME_002</x:v>
      </x:c>
      <x:c r="B85" s="46" t="str">
        <x:v>Gulf of Alaska</x:v>
      </x:c>
      <x:c r="C85" s="46" t="str">
        <x:v>LME</x:v>
      </x:c>
      <x:c r="D85" s="58" t="n">
        <x:v>2019</x:v>
      </x:c>
      <x:c r="E85" s="46" t="str">
        <x:v>Chionoecetes</x:v>
      </x:c>
      <x:c r="F85" s="46" t="str">
        <x:v>Tanner, snow crabs</x:v>
      </x:c>
      <x:c r="G85" s="46" t="str">
        <x:v>Lobsters, crabs</x:v>
      </x:c>
      <x:c r="H85" s="46" t="str">
        <x:v>Crustaceans</x:v>
      </x:c>
      <x:c r="I85" s="60" t="n">
        <x:v>11.364918497</x:v>
      </x:c>
      <x:c r="J85" s="60" t="n">
        <x:v>11.364918497</x:v>
      </x:c>
      <x:c r="K85" s="60" t="n">
        <x:v>0</x:v>
      </x:c>
      <x:c r="L85" s="60" t="n">
        <x:v>0</x:v>
      </x:c>
      <x:c r="M85" s="60" t="n">
        <x:v>11.364918497</x:v>
      </x:c>
      <x:c r="N85" s="46" t="str">
        <x:v>chionoecetes</x:v>
      </x:c>
      <x:c r="O85" s="62" t="n">
        <x:v>2.3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Chionoecetes</x:v>
      </x:c>
      <x:c r="T85" s="62" t="n">
        <x:f>IF(O85="","",(1/'Metadata'!$B$5)^(O85-1))</x:f>
        <x:v>49.12912104463159</x:v>
      </x:c>
      <x:c r="U85" s="60" t="n">
        <x:f>IF(T85="","",I85*T85)</x:f>
        <x:v>558.3484565014855</x:v>
      </x:c>
    </x:row>
    <x:row r="86" ht="18" customHeight="1">
      <x:c r="A86" s="46" t="str">
        <x:v>LME_002</x:v>
      </x:c>
      <x:c r="B86" s="46" t="str">
        <x:v>Gulf of Alaska</x:v>
      </x:c>
      <x:c r="C86" s="46" t="str">
        <x:v>LME</x:v>
      </x:c>
      <x:c r="D86" s="58" t="n">
        <x:v>2019</x:v>
      </x:c>
      <x:c r="E86" s="46" t="str">
        <x:v>Cardiidae</x:v>
      </x:c>
      <x:c r="F86" s="46" t="str">
        <x:v>Cockles</x:v>
      </x:c>
      <x:c r="G86" s="46" t="str">
        <x:v>Other demersal invertebrates</x:v>
      </x:c>
      <x:c r="H86" s="46" t="str">
        <x:v>Molluscs</x:v>
      </x:c>
      <x:c r="I86" s="60" t="n">
        <x:v>11.250255574</x:v>
      </x:c>
      <x:c r="J86" s="60" t="n">
        <x:v>11.250255574</x:v>
      </x:c>
      <x:c r="K86" s="60" t="n">
        <x:v>0</x:v>
      </x:c>
      <x:c r="L86" s="60" t="n">
        <x:v>0</x:v>
      </x:c>
      <x:c r="M86" s="60" t="n">
        <x:v>11.250255574</x:v>
      </x:c>
      <x:c r="N86" s="46" t="str">
        <x:v>cardiidae</x:v>
      </x:c>
      <x:c r="O86" s="62" t="n">
        <x:v>2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Cardiidae</x:v>
      </x:c>
      <x:c r="T86" s="62" t="n">
        <x:f>IF(O86="","",(1/'Metadata'!$B$5)^(O86-1))</x:f>
        <x:v>20</x:v>
      </x:c>
      <x:c r="U86" s="60" t="n">
        <x:f>IF(T86="","",I86*T86)</x:f>
        <x:v>225.00511148</x:v>
      </x:c>
    </x:row>
    <x:row r="87" ht="18" customHeight="1">
      <x:c r="A87" s="46" t="str">
        <x:v>LME_002</x:v>
      </x:c>
      <x:c r="B87" s="46" t="str">
        <x:v>Gulf of Alaska</x:v>
      </x:c>
      <x:c r="C87" s="46" t="str">
        <x:v>LME</x:v>
      </x:c>
      <x:c r="D87" s="58" t="n">
        <x:v>2019</x:v>
      </x:c>
      <x:c r="E87" s="46" t="str">
        <x:v>Sebastes proriger</x:v>
      </x:c>
      <x:c r="F87" s="46" t="str">
        <x:v>Redstripe rockfish</x:v>
      </x:c>
      <x:c r="G87" s="46" t="str">
        <x:v>Medium bathydemersals (30 - 89 cm)</x:v>
      </x:c>
      <x:c r="H87" s="46" t="str">
        <x:v>Scorpionfishes</x:v>
      </x:c>
      <x:c r="I87" s="60" t="n">
        <x:v>11.2481225503</x:v>
      </x:c>
      <x:c r="J87" s="60" t="n">
        <x:v>11.1694648566</x:v>
      </x:c>
      <x:c r="K87" s="60" t="n">
        <x:v>0.0786576937</x:v>
      </x:c>
      <x:c r="L87" s="60" t="n">
        <x:v>11.1535549943</x:v>
      </x:c>
      <x:c r="M87" s="60" t="n">
        <x:v>0.094567556</x:v>
      </x:c>
      <x:c r="N87" s="46" t="str">
        <x:v>sebastes proriger</x:v>
      </x:c>
      <x:c r="O87" s="62" t="n">
        <x:v>3.81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Sebastes proriger</x:v>
      </x:c>
      <x:c r="T87" s="62" t="n">
        <x:f>IF(O87="","",(1/'Metadata'!$B$5)^(O87-1))</x:f>
        <x:v>4527.873529309382</x:v>
      </x:c>
      <x:c r="U87" s="60" t="n">
        <x:f>IF(T87="","",I87*T87)</x:f>
        <x:v>50930.07634993131</x:v>
      </x:c>
    </x:row>
    <x:row r="88" ht="18" customHeight="1">
      <x:c r="A88" s="46" t="str">
        <x:v>LME_002</x:v>
      </x:c>
      <x:c r="B88" s="46" t="str">
        <x:v>Gulf of Alaska</x:v>
      </x:c>
      <x:c r="C88" s="46" t="str">
        <x:v>LME</x:v>
      </x:c>
      <x:c r="D88" s="58" t="n">
        <x:v>2019</x:v>
      </x:c>
      <x:c r="E88" s="46" t="str">
        <x:v>Sebastes babcocki</x:v>
      </x:c>
      <x:c r="F88" s="46" t="str">
        <x:v>Redbanded rockfish</x:v>
      </x:c>
      <x:c r="G88" s="46" t="str">
        <x:v>Medium demersals (30 - 89 cm)</x:v>
      </x:c>
      <x:c r="H88" s="46" t="str">
        <x:v>Scorpionfishes</x:v>
      </x:c>
      <x:c r="I88" s="60" t="n">
        <x:v>10.113466880699999</x:v>
      </x:c>
      <x:c r="J88" s="60" t="n">
        <x:v>8.386586282</x:v>
      </x:c>
      <x:c r="K88" s="60" t="n">
        <x:v>1.7268805986999998</x:v>
      </x:c>
      <x:c r="L88" s="60" t="n">
        <x:v>8.3859193745</x:v>
      </x:c>
      <x:c r="M88" s="60" t="n">
        <x:v>1.7275475061999999</x:v>
      </x:c>
      <x:c r="N88" s="46" t="str">
        <x:v>sebastes babcocki</x:v>
      </x:c>
      <x:c r="O88" s="62" t="n">
        <x:v>3.82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Sebastes babcocki</x:v>
      </x:c>
      <x:c r="T88" s="62" t="n">
        <x:f>IF(O88="","",(1/'Metadata'!$B$5)^(O88-1))</x:f>
        <x:v>4665.56868948727</x:v>
      </x:c>
      <x:c r="U88" s="60" t="n">
        <x:f>IF(T88="","",I88*T88)</x:f>
        <x:v>47185.0744207604</x:v>
      </x:c>
    </x:row>
    <x:row r="89" ht="18" customHeight="1">
      <x:c r="A89" s="46" t="str">
        <x:v>LME_002</x:v>
      </x:c>
      <x:c r="B89" s="46" t="str">
        <x:v>Gulf of Alaska</x:v>
      </x:c>
      <x:c r="C89" s="46" t="str">
        <x:v>LME</x:v>
      </x:c>
      <x:c r="D89" s="58" t="n">
        <x:v>2019</x:v>
      </x:c>
      <x:c r="E89" s="46" t="str">
        <x:v>Leukoma staminea</x:v>
      </x:c>
      <x:c r="F89" s="46" t="str">
        <x:v>Pacific littleneck clam</x:v>
      </x:c>
      <x:c r="G89" s="46" t="str">
        <x:v>Other demersal invertebrates</x:v>
      </x:c>
      <x:c r="H89" s="46" t="str">
        <x:v>Molluscs</x:v>
      </x:c>
      <x:c r="I89" s="60" t="n">
        <x:v>9.2826046045</x:v>
      </x:c>
      <x:c r="J89" s="60" t="n">
        <x:v>9.2826046045</x:v>
      </x:c>
      <x:c r="K89" s="60" t="n">
        <x:v>0</x:v>
      </x:c>
      <x:c r="L89" s="60" t="n">
        <x:v>0</x:v>
      </x:c>
      <x:c r="M89" s="60" t="n">
        <x:v>9.2826046045</x:v>
      </x:c>
      <x:c r="N89" s="46" t="str">
        <x:v>leukoma staminea</x:v>
      </x:c>
      <x:c r="O89" s="62" t="n">
        <x:v>2.1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Leukoma staminea</x:v>
      </x:c>
      <x:c r="T89" s="62" t="n">
        <x:f>IF(O89="","",(1/'Metadata'!$B$5)^(O89-1))</x:f>
        <x:v>26.985656953471274</x:v>
      </x:c>
      <x:c r="U89" s="60" t="n">
        <x:f>IF(T89="","",I89*T89)</x:f>
        <x:v>250.49718349174987</x:v>
      </x:c>
    </x:row>
    <x:row r="90" ht="18" customHeight="1">
      <x:c r="A90" s="46" t="str">
        <x:v>LME_002</x:v>
      </x:c>
      <x:c r="B90" s="46" t="str">
        <x:v>Gulf of Alaska</x:v>
      </x:c>
      <x:c r="C90" s="46" t="str">
        <x:v>LME</x:v>
      </x:c>
      <x:c r="D90" s="58" t="n">
        <x:v>2019</x:v>
      </x:c>
      <x:c r="E90" s="46" t="str">
        <x:v>Scorpaenichthys marmoratus</x:v>
      </x:c>
      <x:c r="F90" s="46" t="str">
        <x:v>Cabezon</x:v>
      </x:c>
      <x:c r="G90" s="46" t="str">
        <x:v>Medium demersals (30 - 89 cm)</x:v>
      </x:c>
      <x:c r="H90" s="46" t="str">
        <x:v>Scorpionfishes</x:v>
      </x:c>
      <x:c r="I90" s="60" t="n">
        <x:v>7.000914041</x:v>
      </x:c>
      <x:c r="J90" s="60" t="n">
        <x:v>6.3162586045</x:v>
      </x:c>
      <x:c r="K90" s="60" t="n">
        <x:v>0.6846554365</x:v>
      </x:c>
      <x:c r="L90" s="60" t="n">
        <x:v>5.098422600499999</x:v>
      </x:c>
      <x:c r="M90" s="60" t="n">
        <x:v>1.9024914405</x:v>
      </x:c>
      <x:c r="N90" s="46" t="str">
        <x:v>scorpaenichthys marmoratus</x:v>
      </x:c>
      <x:c r="O90" s="62" t="n">
        <x:v>3.62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Scorpaenichthys marmoratus</x:v>
      </x:c>
      <x:c r="T90" s="62" t="n">
        <x:f>IF(O90="","",(1/'Metadata'!$B$5)^(O90-1))</x:f>
        <x:v>2562.7048371775754</x:v>
      </x:c>
      <x:c r="U90" s="60" t="n">
        <x:f>IF(T90="","",I90*T90)</x:f>
        <x:v>17941.276277535108</x:v>
      </x:c>
    </x:row>
    <x:row r="91" ht="18" customHeight="1">
      <x:c r="A91" s="46" t="str">
        <x:v>LME_002</x:v>
      </x:c>
      <x:c r="B91" s="46" t="str">
        <x:v>Gulf of Alaska</x:v>
      </x:c>
      <x:c r="C91" s="46" t="str">
        <x:v>LME</x:v>
      </x:c>
      <x:c r="D91" s="58" t="n">
        <x:v>2019</x:v>
      </x:c>
      <x:c r="E91" s="46" t="str">
        <x:v>Sebastes zacentrus</x:v>
      </x:c>
      <x:c r="F91" s="46" t="str">
        <x:v>Sharpchin rockfish</x:v>
      </x:c>
      <x:c r="G91" s="46" t="str">
        <x:v>Medium bathydemersals (30 - 89 cm)</x:v>
      </x:c>
      <x:c r="H91" s="46" t="str">
        <x:v>Scorpionfishes</x:v>
      </x:c>
      <x:c r="I91" s="60" t="n">
        <x:v>6.9829637324</x:v>
      </x:c>
      <x:c r="J91" s="60" t="n">
        <x:v>6.6807350832</x:v>
      </x:c>
      <x:c r="K91" s="60" t="n">
        <x:v>0.30222864920000003</x:v>
      </x:c>
      <x:c r="L91" s="60" t="n">
        <x:v>6.6807350832</x:v>
      </x:c>
      <x:c r="M91" s="60" t="n">
        <x:v>0.30222864920000003</x:v>
      </x:c>
      <x:c r="N91" s="46" t="str">
        <x:v>sebastes zacentrus</x:v>
      </x:c>
      <x:c r="O91" s="62" t="n">
        <x:v>3.7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Sebastes zacentrus</x:v>
      </x:c>
      <x:c r="T91" s="62" t="n">
        <x:f>IF(O91="","",(1/'Metadata'!$B$5)^(O91-1))</x:f>
        <x:v>3256.724252295237</x:v>
      </x:c>
      <x:c r="U91" s="60" t="n">
        <x:f>IF(T91="","",I91*T91)</x:f>
        <x:v>22741.587340205147</x:v>
      </x:c>
    </x:row>
    <x:row r="92" ht="18" customHeight="1">
      <x:c r="A92" s="46" t="str">
        <x:v>LME_002</x:v>
      </x:c>
      <x:c r="B92" s="46" t="str">
        <x:v>Gulf of Alaska</x:v>
      </x:c>
      <x:c r="C92" s="46" t="str">
        <x:v>LME</x:v>
      </x:c>
      <x:c r="D92" s="58" t="n">
        <x:v>2019</x:v>
      </x:c>
      <x:c r="E92" s="46" t="str">
        <x:v>Perciformes</x:v>
      </x:c>
      <x:c r="F92" s="46" t="str">
        <x:v>Perch-likes</x:v>
      </x:c>
      <x:c r="G92" s="46" t="str">
        <x:v>Medium demersals (30 - 89 cm)</x:v>
      </x:c>
      <x:c r="H92" s="46" t="str">
        <x:v>Perch-likes</x:v>
      </x:c>
      <x:c r="I92" s="60" t="n">
        <x:v>6.9002562619</x:v>
      </x:c>
      <x:c r="J92" s="60" t="n">
        <x:v>5.6052495066</x:v>
      </x:c>
      <x:c r="K92" s="60" t="n">
        <x:v>1.2950067553</x:v>
      </x:c>
      <x:c r="L92" s="60" t="n">
        <x:v>0</x:v>
      </x:c>
      <x:c r="M92" s="60" t="n">
        <x:v>6.9002562619</x:v>
      </x:c>
      <x:c r="N92" s="46" t="str">
        <x:v>perciformes</x:v>
      </x:c>
      <x:c r="O92" s="62" t="n">
        <x:v>3.53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Perciformes</x:v>
      </x:c>
      <x:c r="T92" s="62" t="n">
        <x:f>IF(O92="","",(1/'Metadata'!$B$5)^(O92-1))</x:f>
        <x:v>1957.0678791263101</x:v>
      </x:c>
      <x:c r="U92" s="60" t="n">
        <x:f>IF(T92="","",I92*T92)</x:f>
        <x:v>13504.269887904673</x:v>
      </x:c>
    </x:row>
    <x:row r="93" ht="18" customHeight="1">
      <x:c r="A93" s="46" t="str">
        <x:v>LME_002</x:v>
      </x:c>
      <x:c r="B93" s="46" t="str">
        <x:v>Gulf of Alaska</x:v>
      </x:c>
      <x:c r="C93" s="46" t="str">
        <x:v>LME</x:v>
      </x:c>
      <x:c r="D93" s="58" t="n">
        <x:v>2019</x:v>
      </x:c>
      <x:c r="E93" s="46" t="str">
        <x:v>Chondrichthyes</x:v>
      </x:c>
      <x:c r="F93" s="46" t="str">
        <x:v>Sharks, rays, chimaeras</x:v>
      </x:c>
      <x:c r="G93" s="46" t="str">
        <x:v>Large sharks (&gt;=90 cm)</x:v>
      </x:c>
      <x:c r="H93" s="46" t="str">
        <x:v>Sharks &amp; rays</x:v>
      </x:c>
      <x:c r="I93" s="60" t="n">
        <x:v>6.5793345</x:v>
      </x:c>
      <x:c r="J93" s="60" t="n">
        <x:v>6.5793345</x:v>
      </x:c>
      <x:c r="K93" s="60" t="n">
        <x:v>0</x:v>
      </x:c>
      <x:c r="L93" s="60" t="n">
        <x:v>6.5689220474</x:v>
      </x:c>
      <x:c r="M93" s="60" t="n">
        <x:v>0.0104124526</x:v>
      </x:c>
      <x:c r="N93" s="46" t="str">
        <x:v>chondrichthyes</x:v>
      </x:c>
      <x:c r="O93" s="62" t="n">
        <x:v>4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Chondrichthyes</x:v>
      </x:c>
      <x:c r="T93" s="62" t="n">
        <x:f>IF(O93="","",(1/'Metadata'!$B$5)^(O93-1))</x:f>
        <x:v>8000</x:v>
      </x:c>
      <x:c r="U93" s="60" t="n">
        <x:f>IF(T93="","",I93*T93)</x:f>
        <x:v>52634.676</x:v>
      </x:c>
    </x:row>
    <x:row r="94" ht="18" customHeight="1">
      <x:c r="A94" s="46" t="str">
        <x:v>LME_002</x:v>
      </x:c>
      <x:c r="B94" s="46" t="str">
        <x:v>Gulf of Alaska</x:v>
      </x:c>
      <x:c r="C94" s="46" t="str">
        <x:v>LME</x:v>
      </x:c>
      <x:c r="D94" s="58" t="n">
        <x:v>2019</x:v>
      </x:c>
      <x:c r="E94" s="46" t="str">
        <x:v>Enteroctopus dofleini</x:v>
      </x:c>
      <x:c r="F94" s="46" t="str">
        <x:v>North Pacific giant octopus</x:v>
      </x:c>
      <x:c r="G94" s="46" t="str">
        <x:v>Cephalopods</x:v>
      </x:c>
      <x:c r="H94" s="46" t="str">
        <x:v>Other fishes &amp; inverts</x:v>
      </x:c>
      <x:c r="I94" s="60" t="n">
        <x:v>6.4824545302</x:v>
      </x:c>
      <x:c r="J94" s="60" t="n">
        <x:v>6.4824545302</x:v>
      </x:c>
      <x:c r="K94" s="60" t="n">
        <x:v>0</x:v>
      </x:c>
      <x:c r="L94" s="60" t="n">
        <x:v>0</x:v>
      </x:c>
      <x:c r="M94" s="60" t="n">
        <x:v>6.4824545302</x:v>
      </x:c>
      <x:c r="N94" s="46" t="str">
        <x:v>enteroctopus dofleini</x:v>
      </x:c>
      <x:c r="O94" s="62" t="n">
        <x:v>3.33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Enteroctopus dofleini</x:v>
      </x:c>
      <x:c r="T94" s="62" t="n">
        <x:f>IF(O94="","",(1/'Metadata'!$B$5)^(O94-1))</x:f>
        <x:v>1074.9787762899762</x:v>
      </x:c>
      <x:c r="U94" s="60" t="n">
        <x:f>IF(T94="","",I94*T94)</x:f>
        <x:v>6968.501038229809</x:v>
      </x:c>
    </x:row>
    <x:row r="95" ht="18" customHeight="1">
      <x:c r="A95" s="46" t="str">
        <x:v>LME_002</x:v>
      </x:c>
      <x:c r="B95" s="46" t="str">
        <x:v>Gulf of Alaska</x:v>
      </x:c>
      <x:c r="C95" s="46" t="str">
        <x:v>LME</x:v>
      </x:c>
      <x:c r="D95" s="58" t="n">
        <x:v>2019</x:v>
      </x:c>
      <x:c r="E95" s="46" t="str">
        <x:v>Cancer productus</x:v>
      </x:c>
      <x:c r="F95" s="46" t="str">
        <x:v>Pacific rock crab</x:v>
      </x:c>
      <x:c r="G95" s="46" t="str">
        <x:v>Lobsters, crabs</x:v>
      </x:c>
      <x:c r="H95" s="46" t="str">
        <x:v>Crustaceans</x:v>
      </x:c>
      <x:c r="I95" s="60" t="n">
        <x:v>5.903305124399999</x:v>
      </x:c>
      <x:c r="J95" s="60" t="n">
        <x:v>5.903305124399999</x:v>
      </x:c>
      <x:c r="K95" s="60" t="n">
        <x:v>0</x:v>
      </x:c>
      <x:c r="L95" s="60" t="n">
        <x:v>0.017145519</x:v>
      </x:c>
      <x:c r="M95" s="60" t="n">
        <x:v>5.8861596054</x:v>
      </x:c>
      <x:c r="N95" s="46" t="str">
        <x:v>cancer productus</x:v>
      </x:c>
      <x:c r="O95" s="62" t="n">
        <x:v>3.3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Cancer productus</x:v>
      </x:c>
      <x:c r="T95" s="62" t="n">
        <x:f>IF(O95="","",(1/'Metadata'!$B$5)^(O95-1))</x:f>
        <x:v>982.5824208926318</x:v>
      </x:c>
      <x:c r="U95" s="60" t="n">
        <x:f>IF(T95="","",I95*T95)</x:f>
        <x:v>5800.483840400831</x:v>
      </x:c>
    </x:row>
    <x:row r="96" ht="18" customHeight="1">
      <x:c r="A96" s="46" t="str">
        <x:v>LME_002</x:v>
      </x:c>
      <x:c r="B96" s="46" t="str">
        <x:v>Gulf of Alaska</x:v>
      </x:c>
      <x:c r="C96" s="46" t="str">
        <x:v>LME</x:v>
      </x:c>
      <x:c r="D96" s="58" t="n">
        <x:v>2019</x:v>
      </x:c>
      <x:c r="E96" s="46" t="str">
        <x:v>Magallana gigas</x:v>
      </x:c>
      <x:c r="F96" s="46" t="str">
        <x:v>Pacific cupped oyster</x:v>
      </x:c>
      <x:c r="G96" s="46" t="str">
        <x:v>Other demersal invertebrates</x:v>
      </x:c>
      <x:c r="H96" s="46" t="str">
        <x:v>Molluscs</x:v>
      </x:c>
      <x:c r="I96" s="60" t="n">
        <x:v>5.8986125332</x:v>
      </x:c>
      <x:c r="J96" s="60" t="n">
        <x:v>5.8986125332</x:v>
      </x:c>
      <x:c r="K96" s="60" t="n">
        <x:v>0</x:v>
      </x:c>
      <x:c r="L96" s="60" t="n">
        <x:v>0</x:v>
      </x:c>
      <x:c r="M96" s="60" t="n">
        <x:v>5.8986125332</x:v>
      </x:c>
      <x:c r="N96" s="46" t="str">
        <x:v>magallana gigas</x:v>
      </x:c>
      <x:c r="O96" s="62" t="n">
        <x:v>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Magallana gigas</x:v>
      </x:c>
      <x:c r="T96" s="62" t="n">
        <x:f>IF(O96="","",(1/'Metadata'!$B$5)^(O96-1))</x:f>
        <x:v>20</x:v>
      </x:c>
      <x:c r="U96" s="60" t="n">
        <x:f>IF(T96="","",I96*T96)</x:f>
        <x:v>117.972250664</x:v>
      </x:c>
    </x:row>
    <x:row r="97" ht="18" customHeight="1">
      <x:c r="A97" s="46" t="str">
        <x:v>LME_002</x:v>
      </x:c>
      <x:c r="B97" s="46" t="str">
        <x:v>Gulf of Alaska</x:v>
      </x:c>
      <x:c r="C97" s="46" t="str">
        <x:v>LME</x:v>
      </x:c>
      <x:c r="D97" s="58" t="n">
        <x:v>2019</x:v>
      </x:c>
      <x:c r="E97" s="46" t="str">
        <x:v>Sebastes reedi</x:v>
      </x:c>
      <x:c r="F97" s="46" t="str">
        <x:v>Yellowmouth rockfish</x:v>
      </x:c>
      <x:c r="G97" s="46" t="str">
        <x:v>Medium bathydemersals (30 - 89 cm)</x:v>
      </x:c>
      <x:c r="H97" s="46" t="str">
        <x:v>Scorpionfishes</x:v>
      </x:c>
      <x:c r="I97" s="60" t="n">
        <x:v>5.6658731267</x:v>
      </x:c>
      <x:c r="J97" s="60" t="n">
        <x:v>5.6599480887</x:v>
      </x:c>
      <x:c r="K97" s="60" t="n">
        <x:v>0.0059250380000000005</x:v>
      </x:c>
      <x:c r="L97" s="60" t="n">
        <x:v>5.6599480887</x:v>
      </x:c>
      <x:c r="M97" s="60" t="n">
        <x:v>0.0059250380000000005</x:v>
      </x:c>
      <x:c r="N97" s="46" t="str">
        <x:v>sebastes reedi</x:v>
      </x:c>
      <x:c r="O97" s="62" t="n">
        <x:v>3.88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Sebastes reedi</x:v>
      </x:c>
      <x:c r="T97" s="62" t="n">
        <x:f>IF(O97="","",(1/'Metadata'!$B$5)^(O97-1))</x:f>
        <x:v>5584.269732662554</x:v>
      </x:c>
      <x:c r="U97" s="60" t="n">
        <x:f>IF(T97="","",I97*T97)</x:f>
        <x:v>31639.76381053696</x:v>
      </x:c>
    </x:row>
    <x:row r="98" ht="18" customHeight="1">
      <x:c r="A98" s="46" t="str">
        <x:v>LME_002</x:v>
      </x:c>
      <x:c r="B98" s="46" t="str">
        <x:v>Gulf of Alaska</x:v>
      </x:c>
      <x:c r="C98" s="46" t="str">
        <x:v>LME</x:v>
      </x:c>
      <x:c r="D98" s="58" t="n">
        <x:v>2019</x:v>
      </x:c>
      <x:c r="E98" s="46" t="str">
        <x:v>Sebastes goodei</x:v>
      </x:c>
      <x:c r="F98" s="46" t="str">
        <x:v>Chilipepper rockfish</x:v>
      </x:c>
      <x:c r="G98" s="46" t="str">
        <x:v>Medium demersals (30 - 89 cm)</x:v>
      </x:c>
      <x:c r="H98" s="46" t="str">
        <x:v>Scorpionfishes</x:v>
      </x:c>
      <x:c r="I98" s="60" t="n">
        <x:v>4.8546964209</x:v>
      </x:c>
      <x:c r="J98" s="60" t="n">
        <x:v>4.8544712959</x:v>
      </x:c>
      <x:c r="K98" s="60" t="n">
        <x:v>0.000225125</x:v>
      </x:c>
      <x:c r="L98" s="60" t="n">
        <x:v>4.854025722499999</x:v>
      </x:c>
      <x:c r="M98" s="60" t="n">
        <x:v>0.0006706984000000001</x:v>
      </x:c>
      <x:c r="N98" s="46" t="str">
        <x:v>sebastes goodei</x:v>
      </x:c>
      <x:c r="O98" s="62" t="n">
        <x:v>3.46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Sebastes goodei</x:v>
      </x:c>
      <x:c r="T98" s="62" t="n">
        <x:f>IF(O98="","",(1/'Metadata'!$B$5)^(O98-1))</x:f>
        <x:v>1586.8423749532276</x:v>
      </x:c>
      <x:c r="U98" s="60" t="n">
        <x:f>IF(T98="","",I98*T98)</x:f>
        <x:v>7703.63799821789</x:v>
      </x:c>
    </x:row>
    <x:row r="99" ht="18" customHeight="1">
      <x:c r="A99" s="46" t="str">
        <x:v>LME_002</x:v>
      </x:c>
      <x:c r="B99" s="46" t="str">
        <x:v>Gulf of Alaska</x:v>
      </x:c>
      <x:c r="C99" s="46" t="str">
        <x:v>LME</x:v>
      </x:c>
      <x:c r="D99" s="58" t="n">
        <x:v>2019</x:v>
      </x:c>
      <x:c r="E99" s="46" t="str">
        <x:v>Prionace glauca</x:v>
      </x:c>
      <x:c r="F99" s="46" t="str">
        <x:v>Blue shark</x:v>
      </x:c>
      <x:c r="G99" s="46" t="str">
        <x:v>Large sharks (&gt;=90 cm)</x:v>
      </x:c>
      <x:c r="H99" s="46" t="str">
        <x:v>Sharks &amp; rays</x:v>
      </x:c>
      <x:c r="I99" s="60" t="n">
        <x:v>3.2494225712</x:v>
      </x:c>
      <x:c r="J99" s="60" t="n">
        <x:v>0.496230871</x:v>
      </x:c>
      <x:c r="K99" s="60" t="n">
        <x:v>2.7531917002</x:v>
      </x:c>
      <x:c r="L99" s="60" t="n">
        <x:v>0.4865555465</x:v>
      </x:c>
      <x:c r="M99" s="60" t="n">
        <x:v>2.7628670247000002</x:v>
      </x:c>
      <x:c r="N99" s="46" t="str">
        <x:v>prionace glauca</x:v>
      </x:c>
      <x:c r="O99" s="62" t="n">
        <x:v>4.35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Prionace glauca</x:v>
      </x:c>
      <x:c r="T99" s="62" t="n">
        <x:f>IF(O99="","",(1/'Metadata'!$B$5)^(O99-1))</x:f>
        <x:v>22827.086550132422</x:v>
      </x:c>
      <x:c r="U99" s="60" t="n">
        <x:f>IF(T99="","",I99*T99)</x:f>
        <x:v>74174.85027073623</x:v>
      </x:c>
    </x:row>
    <x:row r="100" ht="18" customHeight="1">
      <x:c r="A100" s="46" t="str">
        <x:v>LME_002</x:v>
      </x:c>
      <x:c r="B100" s="46" t="str">
        <x:v>Gulf of Alaska</x:v>
      </x:c>
      <x:c r="C100" s="46" t="str">
        <x:v>LME</x:v>
      </x:c>
      <x:c r="D100" s="58" t="n">
        <x:v>2019</x:v>
      </x:c>
      <x:c r="E100" s="46" t="str">
        <x:v>Amphistichus rhodoterus</x:v>
      </x:c>
      <x:c r="F100" s="46" t="str">
        <x:v>Redtail surfperch</x:v>
      </x:c>
      <x:c r="G100" s="46" t="str">
        <x:v>Medium demersals (30 - 89 cm)</x:v>
      </x:c>
      <x:c r="H100" s="46" t="str">
        <x:v>Perch-likes</x:v>
      </x:c>
      <x:c r="I100" s="60" t="n">
        <x:v>2.9562818052999997</x:v>
      </x:c>
      <x:c r="J100" s="60" t="n">
        <x:v>2.321462719</x:v>
      </x:c>
      <x:c r="K100" s="60" t="n">
        <x:v>0.6348190863</x:v>
      </x:c>
      <x:c r="L100" s="60" t="n">
        <x:v>0</x:v>
      </x:c>
      <x:c r="M100" s="60" t="n">
        <x:v>2.9562818052999997</x:v>
      </x:c>
      <x:c r="N100" s="46" t="str">
        <x:v>amphistichus rhodoterus</x:v>
      </x:c>
      <x:c r="O100" s="62" t="n">
        <x:v>3.37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Amphistichus rhodoterus</x:v>
      </x:c>
      <x:c r="T100" s="62" t="n">
        <x:f>IF(O100="","",(1/'Metadata'!$B$5)^(O100-1))</x:f>
        <x:v>1211.828298056271</x:v>
      </x:c>
      <x:c r="U100" s="60" t="n">
        <x:f>IF(T100="","",I100*T100)</x:f>
        <x:v>3582.5059486914192</x:v>
      </x:c>
    </x:row>
    <x:row r="101" ht="18" customHeight="1">
      <x:c r="A101" s="46" t="str">
        <x:v>LME_002</x:v>
      </x:c>
      <x:c r="B101" s="46" t="str">
        <x:v>Gulf of Alaska</x:v>
      </x:c>
      <x:c r="C101" s="46" t="str">
        <x:v>LME</x:v>
      </x:c>
      <x:c r="D101" s="58" t="n">
        <x:v>2019</x:v>
      </x:c>
      <x:c r="E101" s="46" t="str">
        <x:v>Psettichthys melanostictus</x:v>
      </x:c>
      <x:c r="F101" s="46" t="str">
        <x:v>Pacific sand sole</x:v>
      </x:c>
      <x:c r="G101" s="46" t="str">
        <x:v>Small to medium flatfishes (&lt;90 cm)</x:v>
      </x:c>
      <x:c r="H101" s="46" t="str">
        <x:v>Flatfishes</x:v>
      </x:c>
      <x:c r="I101" s="60" t="n">
        <x:v>2.8763001779999997</x:v>
      </x:c>
      <x:c r="J101" s="60" t="n">
        <x:v>2.7804696662999997</x:v>
      </x:c>
      <x:c r="K101" s="60" t="n">
        <x:v>0.0958305117</x:v>
      </x:c>
      <x:c r="L101" s="60" t="n">
        <x:v>2.7629463193999997</x:v>
      </x:c>
      <x:c r="M101" s="60" t="n">
        <x:v>0.1133538586</x:v>
      </x:c>
      <x:c r="N101" s="46" t="str">
        <x:v>psettichthys melanostictus</x:v>
      </x:c>
      <x:c r="O101" s="62" t="n">
        <x:v>4.06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Psettichthys melanostictus</x:v>
      </x:c>
      <x:c r="T101" s="62" t="n">
        <x:f>IF(O101="","",(1/'Metadata'!$B$5)^(O101-1))</x:f>
        <x:v>9575.286708769883</x:v>
      </x:c>
      <x:c r="U101" s="60" t="n">
        <x:f>IF(T101="","",I101*T101)</x:f>
        <x:v>27541.398864835846</x:v>
      </x:c>
    </x:row>
    <x:row r="102" ht="18" customHeight="1">
      <x:c r="A102" s="46" t="str">
        <x:v>LME_002</x:v>
      </x:c>
      <x:c r="B102" s="46" t="str">
        <x:v>Gulf of Alaska</x:v>
      </x:c>
      <x:c r="C102" s="46" t="str">
        <x:v>LME</x:v>
      </x:c>
      <x:c r="D102" s="58" t="n">
        <x:v>2019</x:v>
      </x:c>
      <x:c r="E102" s="46" t="str">
        <x:v>Caulolatilus princeps</x:v>
      </x:c>
      <x:c r="F102" s="46" t="str">
        <x:v>Ocean whitefish</x:v>
      </x:c>
      <x:c r="G102" s="46" t="str">
        <x:v>Medium reef assoc. fish (30 - 89 cm)</x:v>
      </x:c>
      <x:c r="H102" s="46" t="str">
        <x:v>Perch-likes</x:v>
      </x:c>
      <x:c r="I102" s="60" t="n">
        <x:v>2.796302908</x:v>
      </x:c>
      <x:c r="J102" s="60" t="n">
        <x:v>2.7875672054</x:v>
      </x:c>
      <x:c r="K102" s="60" t="n">
        <x:v>0.0087357026</x:v>
      </x:c>
      <x:c r="L102" s="60" t="n">
        <x:v>0</x:v>
      </x:c>
      <x:c r="M102" s="60" t="n">
        <x:v>2.796302908</x:v>
      </x:c>
      <x:c r="N102" s="46" t="str">
        <x:v>caulolatilus princeps</x:v>
      </x:c>
      <x:c r="O102" s="62" t="n">
        <x:v>3.7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Caulolatilus princeps</x:v>
      </x:c>
      <x:c r="T102" s="62" t="n">
        <x:f>IF(O102="","",(1/'Metadata'!$B$5)^(O102-1))</x:f>
        <x:v>3256.724252295237</x:v>
      </x:c>
      <x:c r="U102" s="60" t="n">
        <x:f>IF(T102="","",I102*T102)</x:f>
        <x:v>9106.787497247296</x:v>
      </x:c>
    </x:row>
    <x:row r="103" ht="18" customHeight="1">
      <x:c r="A103" s="46" t="str">
        <x:v>LME_002</x:v>
      </x:c>
      <x:c r="B103" s="46" t="str">
        <x:v>Gulf of Alaska</x:v>
      </x:c>
      <x:c r="C103" s="46" t="str">
        <x:v>LME</x:v>
      </x:c>
      <x:c r="D103" s="58" t="n">
        <x:v>2019</x:v>
      </x:c>
      <x:c r="E103" s="46" t="str">
        <x:v>Hexagrammidae</x:v>
      </x:c>
      <x:c r="F103" s="46" t="str">
        <x:v>Greenlings</x:v>
      </x:c>
      <x:c r="G103" s="46" t="str">
        <x:v>Medium demersals (30 - 89 cm)</x:v>
      </x:c>
      <x:c r="H103" s="46" t="str">
        <x:v>Scorpionfishes</x:v>
      </x:c>
      <x:c r="I103" s="60" t="n">
        <x:v>2.6693484474</x:v>
      </x:c>
      <x:c r="J103" s="60" t="n">
        <x:v>2.4535662903</x:v>
      </x:c>
      <x:c r="K103" s="60" t="n">
        <x:v>0.2157821571</x:v>
      </x:c>
      <x:c r="L103" s="60" t="n">
        <x:v>1.9313202810999999</x:v>
      </x:c>
      <x:c r="M103" s="60" t="n">
        <x:v>0.7380281663</x:v>
      </x:c>
      <x:c r="N103" s="46" t="str">
        <x:v>hexagrammidae</x:v>
      </x:c>
      <x:c r="O103" s="62" t="n">
        <x:v>3.72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Hexagrammidae</x:v>
      </x:c>
      <x:c r="T103" s="62" t="n">
        <x:f>IF(O103="","",(1/'Metadata'!$B$5)^(O103-1))</x:f>
        <x:v>3457.8136804537753</x:v>
      </x:c>
      <x:c r="U103" s="60" t="n">
        <x:f>IF(T103="","",I103*T103)</x:f>
        <x:v>9230.109579317765</x:v>
      </x:c>
    </x:row>
    <x:row r="104" ht="18" customHeight="1">
      <x:c r="A104" s="46" t="str">
        <x:v>LME_002</x:v>
      </x:c>
      <x:c r="B104" s="46" t="str">
        <x:v>Gulf of Alaska</x:v>
      </x:c>
      <x:c r="C104" s="46" t="str">
        <x:v>LME</x:v>
      </x:c>
      <x:c r="D104" s="58" t="n">
        <x:v>2019</x:v>
      </x:c>
      <x:c r="E104" s="46" t="str">
        <x:v>Sebastes elongatus</x:v>
      </x:c>
      <x:c r="F104" s="46" t="str">
        <x:v>Greenstriped rockfish</x:v>
      </x:c>
      <x:c r="G104" s="46" t="str">
        <x:v>Medium demersals (30 - 89 cm)</x:v>
      </x:c>
      <x:c r="H104" s="46" t="str">
        <x:v>Scorpionfishes</x:v>
      </x:c>
      <x:c r="I104" s="60" t="n">
        <x:v>2.5371869028</x:v>
      </x:c>
      <x:c r="J104" s="60" t="n">
        <x:v>1.7557453646</x:v>
      </x:c>
      <x:c r="K104" s="60" t="n">
        <x:v>0.7814415382</x:v>
      </x:c>
      <x:c r="L104" s="60" t="n">
        <x:v>1.7378818069</x:v>
      </x:c>
      <x:c r="M104" s="60" t="n">
        <x:v>0.7993050959</x:v>
      </x:c>
      <x:c r="N104" s="46" t="str">
        <x:v>sebastes elongatus</x:v>
      </x:c>
      <x:c r="O104" s="62" t="n">
        <x:v>3.7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Sebastes elongatus</x:v>
      </x:c>
      <x:c r="T104" s="62" t="n">
        <x:f>IF(O104="","",(1/'Metadata'!$B$5)^(O104-1))</x:f>
        <x:v>3256.724252295237</x:v>
      </x:c>
      <x:c r="U104" s="60" t="n">
        <x:f>IF(T104="","",I104*T104)</x:f>
        <x:v>8262.918118954598</x:v>
      </x:c>
    </x:row>
    <x:row r="105" ht="18" customHeight="1">
      <x:c r="A105" s="46" t="str">
        <x:v>LME_002</x:v>
      </x:c>
      <x:c r="B105" s="46" t="str">
        <x:v>Gulf of Alaska</x:v>
      </x:c>
      <x:c r="C105" s="46" t="str">
        <x:v>LME</x:v>
      </x:c>
      <x:c r="D105" s="58" t="n">
        <x:v>2019</x:v>
      </x:c>
      <x:c r="E105" s="46" t="str">
        <x:v>Sardinops sagax</x:v>
      </x:c>
      <x:c r="F105" s="46" t="str">
        <x:v>South American pilchard</x:v>
      </x:c>
      <x:c r="G105" s="46" t="str">
        <x:v>Medium pelagics (30 - 89 cm)</x:v>
      </x:c>
      <x:c r="H105" s="46" t="str">
        <x:v>Herring-likes</x:v>
      </x:c>
      <x:c r="I105" s="60" t="n">
        <x:v>2.4797473274</x:v>
      </x:c>
      <x:c r="J105" s="60" t="n">
        <x:v>2.4678023896</x:v>
      </x:c>
      <x:c r="K105" s="60" t="n">
        <x:v>0.0119449378</x:v>
      </x:c>
      <x:c r="L105" s="60" t="n">
        <x:v>2.4677808513</x:v>
      </x:c>
      <x:c r="M105" s="60" t="n">
        <x:v>0.0119664761</x:v>
      </x:c>
      <x:c r="N105" s="46" t="str">
        <x:v>sardinops sagax</x:v>
      </x:c>
      <x:c r="O105" s="62" t="n">
        <x:v>2.84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Sardinops sagax</x:v>
      </x:c>
      <x:c r="T105" s="62" t="n">
        <x:f>IF(O105="","",(1/'Metadata'!$B$5)^(O105-1))</x:f>
        <x:v>247.68242552675557</x:v>
      </x:c>
      <x:c r="U105" s="60" t="n">
        <x:f>IF(T105="","",I105*T105)</x:f>
        <x:v>614.1898327439217</x:v>
      </x:c>
    </x:row>
    <x:row r="106" ht="18" customHeight="1">
      <x:c r="A106" s="46" t="str">
        <x:v>LME_002</x:v>
      </x:c>
      <x:c r="B106" s="46" t="str">
        <x:v>Gulf of Alaska</x:v>
      </x:c>
      <x:c r="C106" s="46" t="str">
        <x:v>LME</x:v>
      </x:c>
      <x:c r="D106" s="58" t="n">
        <x:v>2019</x:v>
      </x:c>
      <x:c r="E106" s="46" t="str">
        <x:v>Microgadus proximus</x:v>
      </x:c>
      <x:c r="F106" s="46" t="str">
        <x:v>Pacific tomcod</x:v>
      </x:c>
      <x:c r="G106" s="46" t="str">
        <x:v>Medium demersals (30 - 89 cm)</x:v>
      </x:c>
      <x:c r="H106" s="46" t="str">
        <x:v>Cod-likes</x:v>
      </x:c>
      <x:c r="I106" s="60" t="n">
        <x:v>2.1492994706</x:v>
      </x:c>
      <x:c r="J106" s="60" t="n">
        <x:v>2.1492994706</x:v>
      </x:c>
      <x:c r="K106" s="60" t="n">
        <x:v>0</x:v>
      </x:c>
      <x:c r="L106" s="60" t="n">
        <x:v>0</x:v>
      </x:c>
      <x:c r="M106" s="60" t="n">
        <x:v>2.1492994706</x:v>
      </x:c>
      <x:c r="N106" s="46" t="str">
        <x:v>microgadus proximus</x:v>
      </x:c>
      <x:c r="O106" s="62" t="n">
        <x:v>3.58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Microgadus proximus</x:v>
      </x:c>
      <x:c r="T106" s="62" t="n">
        <x:f>IF(O106="","",(1/'Metadata'!$B$5)^(O106-1))</x:f>
        <x:v>2273.3033337150473</x:v>
      </x:c>
      <x:c r="U106" s="60" t="n">
        <x:f>IF(T106="","",I106*T106)</x:f>
        <x:v>4886.009651666966</x:v>
      </x:c>
    </x:row>
    <x:row r="107" ht="18" customHeight="1">
      <x:c r="A107" s="46" t="str">
        <x:v>LME_002</x:v>
      </x:c>
      <x:c r="B107" s="46" t="str">
        <x:v>Gulf of Alaska</x:v>
      </x:c>
      <x:c r="C107" s="46" t="str">
        <x:v>LME</x:v>
      </x:c>
      <x:c r="D107" s="58" t="n">
        <x:v>2019</x:v>
      </x:c>
      <x:c r="E107" s="46" t="str">
        <x:v>Salmonidae</x:v>
      </x:c>
      <x:c r="F107" s="46" t="str">
        <x:v>Salmonids</x:v>
      </x:c>
      <x:c r="G107" s="46" t="str">
        <x:v>Large benthopelagics (&gt;=90 cm)</x:v>
      </x:c>
      <x:c r="H107" s="46" t="str">
        <x:v>Salmon, smelts, etc</x:v>
      </x:c>
      <x:c r="I107" s="60" t="n">
        <x:v>1.8947586747</x:v>
      </x:c>
      <x:c r="J107" s="60" t="n">
        <x:v>1.8947586747</x:v>
      </x:c>
      <x:c r="K107" s="60" t="n">
        <x:v>0</x:v>
      </x:c>
      <x:c r="L107" s="60" t="n">
        <x:v>0</x:v>
      </x:c>
      <x:c r="M107" s="60" t="n">
        <x:v>1.8947586747</x:v>
      </x:c>
      <x:c r="N107" s="46" t="str">
        <x:v>salmonidae</x:v>
      </x:c>
      <x:c r="O107" s="62" t="n">
        <x:v>3.3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Salmonidae</x:v>
      </x:c>
      <x:c r="T107" s="62" t="n">
        <x:f>IF(O107="","",(1/'Metadata'!$B$5)^(O107-1))</x:f>
        <x:v>982.5824208926318</x:v>
      </x:c>
      <x:c r="U107" s="60" t="n">
        <x:f>IF(T107="","",I107*T107)</x:f>
        <x:v>1861.7565655940407</x:v>
      </x:c>
    </x:row>
    <x:row r="108" ht="18" customHeight="1">
      <x:c r="A108" s="46" t="str">
        <x:v>LME_002</x:v>
      </x:c>
      <x:c r="B108" s="46" t="str">
        <x:v>Gulf of Alaska</x:v>
      </x:c>
      <x:c r="C108" s="46" t="str">
        <x:v>LME</x:v>
      </x:c>
      <x:c r="D108" s="58" t="n">
        <x:v>2019</x:v>
      </x:c>
      <x:c r="E108" s="46" t="str">
        <x:v>Atractoscion nobilis</x:v>
      </x:c>
      <x:c r="F108" s="46" t="str">
        <x:v>White weakfish</x:v>
      </x:c>
      <x:c r="G108" s="46" t="str">
        <x:v>Large demersals (&gt;=90 cm)</x:v>
      </x:c>
      <x:c r="H108" s="46" t="str">
        <x:v>Perch-likes</x:v>
      </x:c>
      <x:c r="I108" s="60" t="n">
        <x:v>1.8928204856000002</x:v>
      </x:c>
      <x:c r="J108" s="60" t="n">
        <x:v>1.2573294471</x:v>
      </x:c>
      <x:c r="K108" s="60" t="n">
        <x:v>0.6354910385</x:v>
      </x:c>
      <x:c r="L108" s="60" t="n">
        <x:v>0</x:v>
      </x:c>
      <x:c r="M108" s="60" t="n">
        <x:v>1.8928204856000002</x:v>
      </x:c>
      <x:c r="N108" s="46" t="str">
        <x:v>atractoscion nobilis</x:v>
      </x:c>
      <x:c r="O108" s="62" t="n">
        <x:v>3.21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Atractoscion nobilis</x:v>
      </x:c>
      <x:c r="T108" s="62" t="n">
        <x:f>IF(O108="","",(1/'Metadata'!$B$5)^(O108-1))</x:f>
        <x:v>750.3714304613432</x:v>
      </x:c>
      <x:c r="U108" s="60" t="n">
        <x:f>IF(T108="","",I108*T108)</x:f>
        <x:v>1420.3184153862062</x:v>
      </x:c>
    </x:row>
    <x:row r="109" ht="18" customHeight="1">
      <x:c r="A109" s="46" t="str">
        <x:v>LME_002</x:v>
      </x:c>
      <x:c r="B109" s="46" t="str">
        <x:v>Gulf of Alaska</x:v>
      </x:c>
      <x:c r="C109" s="46" t="str">
        <x:v>LME</x:v>
      </x:c>
      <x:c r="D109" s="58" t="n">
        <x:v>2019</x:v>
      </x:c>
      <x:c r="E109" s="46" t="str">
        <x:v>Platichthys stellatus</x:v>
      </x:c>
      <x:c r="F109" s="46" t="str">
        <x:v>Starry flounder</x:v>
      </x:c>
      <x:c r="G109" s="46" t="str">
        <x:v>Small to medium flatfishes (&lt;90 cm)</x:v>
      </x:c>
      <x:c r="H109" s="46" t="str">
        <x:v>Flatfishes</x:v>
      </x:c>
      <x:c r="I109" s="60" t="n">
        <x:v>1.6215031595</x:v>
      </x:c>
      <x:c r="J109" s="60" t="n">
        <x:v>0.9655150981</x:v>
      </x:c>
      <x:c r="K109" s="60" t="n">
        <x:v>0.6559880614</x:v>
      </x:c>
      <x:c r="L109" s="60" t="n">
        <x:v>0.0267915862</x:v>
      </x:c>
      <x:c r="M109" s="60" t="n">
        <x:v>1.5947115733</x:v>
      </x:c>
      <x:c r="N109" s="46" t="str">
        <x:v>platichthys stellatus</x:v>
      </x:c>
      <x:c r="O109" s="62" t="n">
        <x:v>3.58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Platichthys stellatus</x:v>
      </x:c>
      <x:c r="T109" s="62" t="n">
        <x:f>IF(O109="","",(1/'Metadata'!$B$5)^(O109-1))</x:f>
        <x:v>2273.3033337150473</x:v>
      </x:c>
      <x:c r="U109" s="60" t="n">
        <x:f>IF(T109="","",I109*T109)</x:f>
        <x:v>3686.168538120832</x:v>
      </x:c>
    </x:row>
    <x:row r="110" ht="18" customHeight="1">
      <x:c r="A110" s="46" t="str">
        <x:v>LME_002</x:v>
      </x:c>
      <x:c r="B110" s="46" t="str">
        <x:v>Gulf of Alaska</x:v>
      </x:c>
      <x:c r="C110" s="46" t="str">
        <x:v>LME</x:v>
      </x:c>
      <x:c r="D110" s="58" t="n">
        <x:v>2019</x:v>
      </x:c>
      <x:c r="E110" s="46" t="str">
        <x:v>Sebastes aleutianus</x:v>
      </x:c>
      <x:c r="F110" s="46" t="str">
        <x:v>Rougheye rockfish</x:v>
      </x:c>
      <x:c r="G110" s="46" t="str">
        <x:v>Large bathydemersals (&gt;=90 cm)</x:v>
      </x:c>
      <x:c r="H110" s="46" t="str">
        <x:v>Scorpionfishes</x:v>
      </x:c>
      <x:c r="I110" s="60" t="n">
        <x:v>1.5770273694</x:v>
      </x:c>
      <x:c r="J110" s="60" t="n">
        <x:v>1.4219746211000002</x:v>
      </x:c>
      <x:c r="K110" s="60" t="n">
        <x:v>0.15505274830000002</x:v>
      </x:c>
      <x:c r="L110" s="60" t="n">
        <x:v>1.4219746211000002</x:v>
      </x:c>
      <x:c r="M110" s="60" t="n">
        <x:v>0.15505274830000002</x:v>
      </x:c>
      <x:c r="N110" s="46" t="str">
        <x:v>sebastes aleutianus</x:v>
      </x:c>
      <x:c r="O110" s="62" t="n">
        <x:v>3.52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Sebastes aleutianus</x:v>
      </x:c>
      <x:c r="T110" s="62" t="n">
        <x:f>IF(O110="","",(1/'Metadata'!$B$5)^(O110-1))</x:f>
        <x:v>1899.308837725312</x:v>
      </x:c>
      <x:c r="U110" s="60" t="n">
        <x:f>IF(T110="","",I110*T110)</x:f>
        <x:v>2995.2620200361207</x:v>
      </x:c>
    </x:row>
    <x:row r="111" ht="18" customHeight="1">
      <x:c r="A111" s="46" t="str">
        <x:v>LME_002</x:v>
      </x:c>
      <x:c r="B111" s="46" t="str">
        <x:v>Gulf of Alaska</x:v>
      </x:c>
      <x:c r="C111" s="46" t="str">
        <x:v>LME</x:v>
      </x:c>
      <x:c r="D111" s="58" t="n">
        <x:v>2019</x:v>
      </x:c>
      <x:c r="E111" s="46" t="str">
        <x:v>Gastropoda</x:v>
      </x:c>
      <x:c r="F111" s="46" t="str">
        <x:v>Sea snails</x:v>
      </x:c>
      <x:c r="G111" s="46" t="str">
        <x:v>Other demersal invertebrates</x:v>
      </x:c>
      <x:c r="H111" s="46" t="str">
        <x:v>Molluscs</x:v>
      </x:c>
      <x:c r="I111" s="60" t="n">
        <x:v>1.541155171</x:v>
      </x:c>
      <x:c r="J111" s="60" t="n">
        <x:v>1.541155171</x:v>
      </x:c>
      <x:c r="K111" s="60" t="n">
        <x:v>0</x:v>
      </x:c>
      <x:c r="L111" s="60" t="n">
        <x:v>0</x:v>
      </x:c>
      <x:c r="M111" s="60" t="n">
        <x:v>1.541155171</x:v>
      </x:c>
      <x:c r="N111" s="46" t="str">
        <x:v>gastropoda</x:v>
      </x:c>
      <x:c r="O111" s="62" t="n">
        <x:v>3.06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Gastropoda</x:v>
      </x:c>
      <x:c r="T111" s="62" t="n">
        <x:f>IF(O111="","",(1/'Metadata'!$B$5)^(O111-1))</x:f>
        <x:v>478.7643354384948</x:v>
      </x:c>
      <x:c r="U111" s="60" t="n">
        <x:f>IF(T111="","",I111*T111)</x:f>
        <x:v>737.8501312514148</x:v>
      </x:c>
    </x:row>
    <x:row r="112" ht="18" customHeight="1">
      <x:c r="A112" s="46" t="str">
        <x:v>LME_002</x:v>
      </x:c>
      <x:c r="B112" s="46" t="str">
        <x:v>Gulf of Alaska</x:v>
      </x:c>
      <x:c r="C112" s="46" t="str">
        <x:v>LME</x:v>
      </x:c>
      <x:c r="D112" s="58" t="n">
        <x:v>2019</x:v>
      </x:c>
      <x:c r="E112" s="46" t="str">
        <x:v>Gadidae</x:v>
      </x:c>
      <x:c r="F112" s="46" t="str">
        <x:v>Cods, haddocks</x:v>
      </x:c>
      <x:c r="G112" s="46" t="str">
        <x:v>Medium demersals (30 - 89 cm)</x:v>
      </x:c>
      <x:c r="H112" s="46" t="str">
        <x:v>Cod-likes</x:v>
      </x:c>
      <x:c r="I112" s="60" t="n">
        <x:v>1.3292156092</x:v>
      </x:c>
      <x:c r="J112" s="60" t="n">
        <x:v>1.3292156092</x:v>
      </x:c>
      <x:c r="K112" s="60" t="n">
        <x:v>0</x:v>
      </x:c>
      <x:c r="L112" s="60" t="n">
        <x:v>0</x:v>
      </x:c>
      <x:c r="M112" s="60" t="n">
        <x:v>1.3292156092</x:v>
      </x:c>
      <x:c r="N112" s="46" t="str">
        <x:v>gadidae</x:v>
      </x:c>
      <x:c r="O112" s="62" t="n">
        <x:v>3.84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Gadidae</x:v>
      </x:c>
      <x:c r="T112" s="62" t="n">
        <x:f>IF(O112="","",(1/'Metadata'!$B$5)^(O112-1))</x:f>
        <x:v>4953.648510535111</x:v>
      </x:c>
      <x:c r="U112" s="60" t="n">
        <x:f>IF(T112="","",I112*T112)</x:f>
        <x:v>6584.4669226936</x:v>
      </x:c>
    </x:row>
    <x:row r="113" ht="18" customHeight="1">
      <x:c r="A113" s="46" t="str">
        <x:v>LME_002</x:v>
      </x:c>
      <x:c r="B113" s="46" t="str">
        <x:v>Gulf of Alaska</x:v>
      </x:c>
      <x:c r="C113" s="46" t="str">
        <x:v>LME</x:v>
      </x:c>
      <x:c r="D113" s="58" t="n">
        <x:v>2019</x:v>
      </x:c>
      <x:c r="E113" s="46" t="str">
        <x:v>Cephalopoda</x:v>
      </x:c>
      <x:c r="F113" s="46" t="str">
        <x:v>Squids, cuttlefishes, octopuses</x:v>
      </x:c>
      <x:c r="G113" s="46" t="str">
        <x:v>Cephalopods</x:v>
      </x:c>
      <x:c r="H113" s="46" t="str">
        <x:v>Other fishes &amp; inverts</x:v>
      </x:c>
      <x:c r="I113" s="60" t="n">
        <x:v>1.2728562465</x:v>
      </x:c>
      <x:c r="J113" s="60" t="n">
        <x:v>1.2728562465</x:v>
      </x:c>
      <x:c r="K113" s="60" t="n">
        <x:v>0</x:v>
      </x:c>
      <x:c r="L113" s="60" t="n">
        <x:v>0</x:v>
      </x:c>
      <x:c r="M113" s="60" t="n">
        <x:v>1.2728562465</x:v>
      </x:c>
      <x:c r="N113" s="46" t="str">
        <x:v>cephalopoda</x:v>
      </x:c>
      <x:c r="O113" s="62" t="n">
        <x:v>3.81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Cephalopoda</x:v>
      </x:c>
      <x:c r="T113" s="62" t="n">
        <x:f>IF(O113="","",(1/'Metadata'!$B$5)^(O113-1))</x:f>
        <x:v>4527.873529309382</x:v>
      </x:c>
      <x:c r="U113" s="60" t="n">
        <x:f>IF(T113="","",I113*T113)</x:f>
        <x:v>5763.332105143448</x:v>
      </x:c>
    </x:row>
    <x:row r="114" ht="18" customHeight="1">
      <x:c r="A114" s="46" t="str">
        <x:v>LME_002</x:v>
      </x:c>
      <x:c r="B114" s="46" t="str">
        <x:v>Gulf of Alaska</x:v>
      </x:c>
      <x:c r="C114" s="46" t="str">
        <x:v>LME</x:v>
      </x:c>
      <x:c r="D114" s="58" t="n">
        <x:v>2019</x:v>
      </x:c>
      <x:c r="E114" s="46" t="str">
        <x:v>Sebastes saxicola</x:v>
      </x:c>
      <x:c r="F114" s="46" t="str">
        <x:v>Stripetail rockfish</x:v>
      </x:c>
      <x:c r="G114" s="46" t="str">
        <x:v>Medium demersals (30 - 89 cm)</x:v>
      </x:c>
      <x:c r="H114" s="46" t="str">
        <x:v>Scorpionfishes</x:v>
      </x:c>
      <x:c r="I114" s="60" t="n">
        <x:v>1.1861417634</x:v>
      </x:c>
      <x:c r="J114" s="60" t="n">
        <x:v>0.2575230624</x:v>
      </x:c>
      <x:c r="K114" s="60" t="n">
        <x:v>0.928618701</x:v>
      </x:c>
      <x:c r="L114" s="60" t="n">
        <x:v>0.2575230624</x:v>
      </x:c>
      <x:c r="M114" s="60" t="n">
        <x:v>0.928618701</x:v>
      </x:c>
      <x:c r="N114" s="46" t="str">
        <x:v>sebastes saxicola</x:v>
      </x:c>
      <x:c r="O114" s="62" t="n">
        <x:v>3.7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Sebastes saxicola</x:v>
      </x:c>
      <x:c r="T114" s="62" t="n">
        <x:f>IF(O114="","",(1/'Metadata'!$B$5)^(O114-1))</x:f>
        <x:v>3256.724252295237</x:v>
      </x:c>
      <x:c r="U114" s="60" t="n">
        <x:f>IF(T114="","",I114*T114)</x:f>
        <x:v>3862.936647525019</x:v>
      </x:c>
    </x:row>
    <x:row r="115" ht="18" customHeight="1">
      <x:c r="A115" s="46" t="str">
        <x:v>LME_002</x:v>
      </x:c>
      <x:c r="B115" s="46" t="str">
        <x:v>Gulf of Alaska</x:v>
      </x:c>
      <x:c r="C115" s="46" t="str">
        <x:v>LME</x:v>
      </x:c>
      <x:c r="D115" s="58" t="n">
        <x:v>2019</x:v>
      </x:c>
      <x:c r="E115" s="46" t="str">
        <x:v>Coregonus laurettae</x:v>
      </x:c>
      <x:c r="F115" s="46" t="str">
        <x:v>Bering cisco</x:v>
      </x:c>
      <x:c r="G115" s="46" t="str">
        <x:v>Medium pelagics (30 - 89 cm)</x:v>
      </x:c>
      <x:c r="H115" s="46" t="str">
        <x:v>Salmon, smelts, etc</x:v>
      </x:c>
      <x:c r="I115" s="60" t="n">
        <x:v>0.8234543837</x:v>
      </x:c>
      <x:c r="J115" s="60" t="n">
        <x:v>0.8234543837</x:v>
      </x:c>
      <x:c r="K115" s="60" t="n">
        <x:v>0</x:v>
      </x:c>
      <x:c r="L115" s="60" t="n">
        <x:v>0</x:v>
      </x:c>
      <x:c r="M115" s="60" t="n">
        <x:v>0.8234543837</x:v>
      </x:c>
      <x:c r="N115" s="46" t="str">
        <x:v>coregonus laurettae</x:v>
      </x:c>
      <x:c r="O115" s="62" t="n">
        <x:v>3.79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Coregonus laurettae</x:v>
      </x:c>
      <x:c r="T115" s="62" t="n">
        <x:f>IF(O115="","",(1/'Metadata'!$B$5)^(O115-1))</x:f>
        <x:v>4264.554685980751</x:v>
      </x:c>
      <x:c r="U115" s="60" t="n">
        <x:f>IF(T115="","",I115*T115)</x:f>
        <x:v>3511.6662506992266</x:v>
      </x:c>
    </x:row>
    <x:row r="116" ht="18" customHeight="1">
      <x:c r="A116" s="46" t="str">
        <x:v>LME_002</x:v>
      </x:c>
      <x:c r="B116" s="46" t="str">
        <x:v>Gulf of Alaska</x:v>
      </x:c>
      <x:c r="C116" s="46" t="str">
        <x:v>LME</x:v>
      </x:c>
      <x:c r="D116" s="58" t="n">
        <x:v>2019</x:v>
      </x:c>
      <x:c r="E116" s="46" t="str">
        <x:v>Microstomus bathybius</x:v>
      </x:c>
      <x:c r="F116" s="46" t="str">
        <x:v>Deep-sea sole</x:v>
      </x:c>
      <x:c r="G116" s="46" t="str">
        <x:v>Medium bathydemersals (30 - 89 cm)</x:v>
      </x:c>
      <x:c r="H116" s="46" t="str">
        <x:v>Flatfishes</x:v>
      </x:c>
      <x:c r="I116" s="60" t="n">
        <x:v>0.8152785617999999</x:v>
      </x:c>
      <x:c r="J116" s="60" t="n">
        <x:v>0</x:v>
      </x:c>
      <x:c r="K116" s="60" t="n">
        <x:v>0.8152785617999999</x:v>
      </x:c>
      <x:c r="L116" s="60" t="n">
        <x:v>0</x:v>
      </x:c>
      <x:c r="M116" s="60" t="n">
        <x:v>0.8152785617999999</x:v>
      </x:c>
      <x:c r="N116" s="46" t="str">
        <x:v>microstomus bathybius</x:v>
      </x:c>
      <x:c r="O116" s="62" t="n">
        <x:v>3.2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Microstomus bathybius</x:v>
      </x:c>
      <x:c r="T116" s="62" t="n">
        <x:f>IF(O116="","",(1/'Metadata'!$B$5)^(O116-1))</x:f>
        <x:v>728.2256812104325</x:v>
      </x:c>
      <x:c r="U116" s="60" t="n">
        <x:f>IF(T116="","",I116*T116)</x:f>
        <x:v>593.7067860430667</x:v>
      </x:c>
    </x:row>
    <x:row r="117" ht="18" customHeight="1">
      <x:c r="A117" s="46" t="str">
        <x:v>LME_002</x:v>
      </x:c>
      <x:c r="B117" s="46" t="str">
        <x:v>Gulf of Alaska</x:v>
      </x:c>
      <x:c r="C117" s="46" t="str">
        <x:v>LME</x:v>
      </x:c>
      <x:c r="D117" s="58" t="n">
        <x:v>2019</x:v>
      </x:c>
      <x:c r="E117" s="46" t="str">
        <x:v>Mallotus villosus</x:v>
      </x:c>
      <x:c r="F117" s="46" t="str">
        <x:v>Capelin</x:v>
      </x:c>
      <x:c r="G117" s="46" t="str">
        <x:v>Small pelagics (&lt;30 cm)</x:v>
      </x:c>
      <x:c r="H117" s="46" t="str">
        <x:v>Salmon, smelts, etc</x:v>
      </x:c>
      <x:c r="I117" s="60" t="n">
        <x:v>0.7667779156</x:v>
      </x:c>
      <x:c r="J117" s="60" t="n">
        <x:v>0.7667779156</x:v>
      </x:c>
      <x:c r="K117" s="60" t="n">
        <x:v>0</x:v>
      </x:c>
      <x:c r="L117" s="60" t="n">
        <x:v>0</x:v>
      </x:c>
      <x:c r="M117" s="60" t="n">
        <x:v>0.7667779156</x:v>
      </x:c>
      <x:c r="N117" s="46" t="str">
        <x:v>mallotus villosus</x:v>
      </x:c>
      <x:c r="O117" s="62" t="n">
        <x:v>3.15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Mallotus villosus</x:v>
      </x:c>
      <x:c r="T117" s="62" t="n">
        <x:f>IF(O117="","",(1/'Metadata'!$B$5)^(O117-1))</x:f>
        <x:v>626.9234150652317</x:v>
      </x:c>
      <x:c r="U117" s="60" t="n">
        <x:f>IF(T117="","",I117*T117)</x:f>
        <x:v>480.71102944455197</x:v>
      </x:c>
    </x:row>
    <x:row r="118" ht="18" customHeight="1">
      <x:c r="A118" s="46" t="str">
        <x:v>LME_002</x:v>
      </x:c>
      <x:c r="B118" s="46" t="str">
        <x:v>Gulf of Alaska</x:v>
      </x:c>
      <x:c r="C118" s="46" t="str">
        <x:v>LME</x:v>
      </x:c>
      <x:c r="D118" s="58" t="n">
        <x:v>2019</x:v>
      </x:c>
      <x:c r="E118" s="46" t="str">
        <x:v>Eleginus gracilis</x:v>
      </x:c>
      <x:c r="F118" s="46" t="str">
        <x:v>Saffron cod</x:v>
      </x:c>
      <x:c r="G118" s="46" t="str">
        <x:v>Medium demersals (30 - 89 cm)</x:v>
      </x:c>
      <x:c r="H118" s="46" t="str">
        <x:v>Cod-likes</x:v>
      </x:c>
      <x:c r="I118" s="60" t="n">
        <x:v>0.7397208073</x:v>
      </x:c>
      <x:c r="J118" s="60" t="n">
        <x:v>0.7397208073</x:v>
      </x:c>
      <x:c r="K118" s="60" t="n">
        <x:v>0</x:v>
      </x:c>
      <x:c r="L118" s="60" t="n">
        <x:v>0</x:v>
      </x:c>
      <x:c r="M118" s="60" t="n">
        <x:v>0.7397208073</x:v>
      </x:c>
      <x:c r="N118" s="46" t="str">
        <x:v>eleginus gracilis</x:v>
      </x:c>
      <x:c r="O118" s="62" t="n">
        <x:v>4.1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Eleginus gracilis</x:v>
      </x:c>
      <x:c r="T118" s="62" t="n">
        <x:f>IF(O118="","",(1/'Metadata'!$B$5)^(O118-1))</x:f>
        <x:v>10794.262781388496</x:v>
      </x:c>
      <x:c r="U118" s="60" t="n">
        <x:f>IF(T118="","",I118*T118)</x:f>
        <x:v>7984.740778857042</x:v>
      </x:c>
    </x:row>
    <x:row r="119" ht="18" customHeight="1">
      <x:c r="A119" s="46" t="str">
        <x:v>LME_002</x:v>
      </x:c>
      <x:c r="B119" s="46" t="str">
        <x:v>Gulf of Alaska</x:v>
      </x:c>
      <x:c r="C119" s="46" t="str">
        <x:v>LME</x:v>
      </x:c>
      <x:c r="D119" s="58" t="n">
        <x:v>2019</x:v>
      </x:c>
      <x:c r="E119" s="46" t="str">
        <x:v>Embiotoca lateralis</x:v>
      </x:c>
      <x:c r="F119" s="46" t="str">
        <x:v>Striped seaperch</x:v>
      </x:c>
      <x:c r="G119" s="46" t="str">
        <x:v>Medium demersals (30 - 89 cm)</x:v>
      </x:c>
      <x:c r="H119" s="46" t="str">
        <x:v>Perch-likes</x:v>
      </x:c>
      <x:c r="I119" s="60" t="n">
        <x:v>0.6469506237</x:v>
      </x:c>
      <x:c r="J119" s="60" t="n">
        <x:v>0.5774865439</x:v>
      </x:c>
      <x:c r="K119" s="60" t="n">
        <x:v>0.0694640798</x:v>
      </x:c>
      <x:c r="L119" s="60" t="n">
        <x:v>0</x:v>
      </x:c>
      <x:c r="M119" s="60" t="n">
        <x:v>0.6469506237</x:v>
      </x:c>
      <x:c r="N119" s="46" t="str">
        <x:v>embiotoca lateralis</x:v>
      </x:c>
      <x:c r="O119" s="62" t="n">
        <x:v>3.31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Embiotoca lateralis</x:v>
      </x:c>
      <x:c r="T119" s="62" t="n">
        <x:f>IF(O119="","",(1/'Metadata'!$B$5)^(O119-1))</x:f>
        <x:v>1012.4633005057666</x:v>
      </x:c>
      <x:c r="U119" s="60" t="n">
        <x:f>IF(T119="","",I119*T119)</x:f>
        <x:v>655.0137637355663</x:v>
      </x:c>
    </x:row>
    <x:row r="120" ht="18" customHeight="1">
      <x:c r="A120" s="46" t="str">
        <x:v>LME_002</x:v>
      </x:c>
      <x:c r="B120" s="46" t="str">
        <x:v>Gulf of Alaska</x:v>
      </x:c>
      <x:c r="C120" s="46" t="str">
        <x:v>LME</x:v>
      </x:c>
      <x:c r="D120" s="58" t="n">
        <x:v>2019</x:v>
      </x:c>
      <x:c r="E120" s="46" t="str">
        <x:v>Hyperprosopon ellipticum</x:v>
      </x:c>
      <x:c r="F120" s="46" t="str">
        <x:v>Silver surfperch</x:v>
      </x:c>
      <x:c r="G120" s="46" t="str">
        <x:v>Small demersals (&lt;30 cm)</x:v>
      </x:c>
      <x:c r="H120" s="46" t="str">
        <x:v>Perch-likes</x:v>
      </x:c>
      <x:c r="I120" s="60" t="n">
        <x:v>0.5657690165</x:v>
      </x:c>
      <x:c r="J120" s="60" t="n">
        <x:v>0.4797587591</x:v>
      </x:c>
      <x:c r="K120" s="60" t="n">
        <x:v>0.0860102574</x:v>
      </x:c>
      <x:c r="L120" s="60" t="n">
        <x:v>0</x:v>
      </x:c>
      <x:c r="M120" s="60" t="n">
        <x:v>0.5657690165</x:v>
      </x:c>
      <x:c r="N120" s="46" t="str">
        <x:v>hyperprosopon ellipticum</x:v>
      </x:c>
      <x:c r="O120" s="62" t="n">
        <x:v>3.3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Hyperprosopon ellipticum</x:v>
      </x:c>
      <x:c r="T120" s="62" t="n">
        <x:f>IF(O120="","",(1/'Metadata'!$B$5)^(O120-1))</x:f>
        <x:v>982.5824208926318</x:v>
      </x:c>
      <x:c r="U120" s="60" t="n">
        <x:f>IF(T120="","",I120*T120)</x:f>
        <x:v>555.9146898986133</x:v>
      </x:c>
    </x:row>
    <x:row r="121" ht="18" customHeight="1">
      <x:c r="A121" s="46" t="str">
        <x:v>LME_002</x:v>
      </x:c>
      <x:c r="B121" s="46" t="str">
        <x:v>Gulf of Alaska</x:v>
      </x:c>
      <x:c r="C121" s="46" t="str">
        <x:v>LME</x:v>
      </x:c>
      <x:c r="D121" s="58" t="n">
        <x:v>2019</x:v>
      </x:c>
      <x:c r="E121" s="46" t="str">
        <x:v>Notorynchus cepedianus</x:v>
      </x:c>
      <x:c r="F121" s="46" t="str">
        <x:v>Broadnose sevengill shark</x:v>
      </x:c>
      <x:c r="G121" s="46" t="str">
        <x:v>Large sharks (&gt;=90 cm)</x:v>
      </x:c>
      <x:c r="H121" s="46" t="str">
        <x:v>Sharks &amp; rays</x:v>
      </x:c>
      <x:c r="I121" s="60" t="n">
        <x:v>0.5533492317</x:v>
      </x:c>
      <x:c r="J121" s="60" t="n">
        <x:v>0</x:v>
      </x:c>
      <x:c r="K121" s="60" t="n">
        <x:v>0.5533492317</x:v>
      </x:c>
      <x:c r="L121" s="60" t="n">
        <x:v>0</x:v>
      </x:c>
      <x:c r="M121" s="60" t="n">
        <x:v>0.5533492317</x:v>
      </x:c>
      <x:c r="N121" s="46" t="str">
        <x:v>notorynchus cepedianus</x:v>
      </x:c>
      <x:c r="O121" s="62" t="n">
        <x:v>4.68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Notorynchus cepedianus</x:v>
      </x:c>
      <x:c r="T121" s="62" t="n">
        <x:f>IF(O121="","",(1/'Metadata'!$B$5)^(O121-1))</x:f>
        <x:v>61346.583914816816</x:v>
      </x:c>
      <x:c r="U121" s="60" t="n">
        <x:f>IF(T121="","",I121*T121)</x:f>
        <x:v>33946.08507668347</x:v>
      </x:c>
    </x:row>
    <x:row r="122" ht="18" customHeight="1">
      <x:c r="A122" s="46" t="str">
        <x:v>LME_002</x:v>
      </x:c>
      <x:c r="B122" s="46" t="str">
        <x:v>Gulf of Alaska</x:v>
      </x:c>
      <x:c r="C122" s="46" t="str">
        <x:v>LME</x:v>
      </x:c>
      <x:c r="D122" s="58" t="n">
        <x:v>2019</x:v>
      </x:c>
      <x:c r="E122" s="46" t="str">
        <x:v>Petromyzontidae</x:v>
      </x:c>
      <x:c r="F122" s="46" t="str">
        <x:v>Lampreys</x:v>
      </x:c>
      <x:c r="G122" s="46" t="str">
        <x:v>Large demersals (&gt;=90 cm)</x:v>
      </x:c>
      <x:c r="H122" s="46" t="str">
        <x:v>Other fishes &amp; inverts</x:v>
      </x:c>
      <x:c r="I122" s="60" t="n">
        <x:v>0.4696362129</x:v>
      </x:c>
      <x:c r="J122" s="60" t="n">
        <x:v>0.4696362129</x:v>
      </x:c>
      <x:c r="K122" s="60" t="n">
        <x:v>0</x:v>
      </x:c>
      <x:c r="L122" s="60" t="n">
        <x:v>0</x:v>
      </x:c>
      <x:c r="M122" s="60" t="n">
        <x:v>0.4696362129</x:v>
      </x:c>
      <x:c r="N122" s="46" t="str">
        <x:v>petromyzontidae</x:v>
      </x:c>
      <x:c r="O122" s="62" t="n">
        <x:v>4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Petromyzontidae</x:v>
      </x:c>
      <x:c r="T122" s="62" t="n">
        <x:f>IF(O122="","",(1/'Metadata'!$B$5)^(O122-1))</x:f>
        <x:v>8000</x:v>
      </x:c>
      <x:c r="U122" s="60" t="n">
        <x:f>IF(T122="","",I122*T122)</x:f>
        <x:v>3757.0897032000003</x:v>
      </x:c>
    </x:row>
    <x:row r="123" ht="18" customHeight="1">
      <x:c r="A123" s="46" t="str">
        <x:v>LME_002</x:v>
      </x:c>
      <x:c r="B123" s="46" t="str">
        <x:v>Gulf of Alaska</x:v>
      </x:c>
      <x:c r="C123" s="46" t="str">
        <x:v>LME</x:v>
      </x:c>
      <x:c r="D123" s="58" t="n">
        <x:v>2019</x:v>
      </x:c>
      <x:c r="E123" s="46" t="str">
        <x:v>Sciaenidae</x:v>
      </x:c>
      <x:c r="F123" s="46" t="str">
        <x:v>Drums, croakers</x:v>
      </x:c>
      <x:c r="G123" s="46" t="str">
        <x:v>Medium demersals (30 - 89 cm)</x:v>
      </x:c>
      <x:c r="H123" s="46" t="str">
        <x:v>Perch-likes</x:v>
      </x:c>
      <x:c r="I123" s="60" t="n">
        <x:v>0.402388927</x:v>
      </x:c>
      <x:c r="J123" s="60" t="n">
        <x:v>0.2950499241</x:v>
      </x:c>
      <x:c r="K123" s="60" t="n">
        <x:v>0.1073390029</x:v>
      </x:c>
      <x:c r="L123" s="60" t="n">
        <x:v>0</x:v>
      </x:c>
      <x:c r="M123" s="60" t="n">
        <x:v>0.402388927</x:v>
      </x:c>
      <x:c r="N123" s="46" t="str">
        <x:v>sciaenidae</x:v>
      </x:c>
      <x:c r="O123" s="62" t="n">
        <x:v>3.76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Sciaenidae</x:v>
      </x:c>
      <x:c r="T123" s="62" t="n">
        <x:f>IF(O123="","",(1/'Metadata'!$B$5)^(O123-1))</x:f>
        <x:v>3898.0085558913897</x:v>
      </x:c>
      <x:c r="U123" s="60" t="n">
        <x:f>IF(T123="","",I123*T123)</x:f>
        <x:v>1568.5154802419559</x:v>
      </x:c>
    </x:row>
    <x:row r="124" ht="18" customHeight="1">
      <x:c r="A124" s="46" t="str">
        <x:v>LME_002</x:v>
      </x:c>
      <x:c r="B124" s="46" t="str">
        <x:v>Gulf of Alaska</x:v>
      </x:c>
      <x:c r="C124" s="46" t="str">
        <x:v>LME</x:v>
      </x:c>
      <x:c r="D124" s="58" t="n">
        <x:v>2019</x:v>
      </x:c>
      <x:c r="E124" s="46" t="str">
        <x:v>Sebastes rosaceus</x:v>
      </x:c>
      <x:c r="F124" s="46" t="str">
        <x:v>Rosy rockfish</x:v>
      </x:c>
      <x:c r="G124" s="46" t="str">
        <x:v>Medium demersals (30 - 89 cm)</x:v>
      </x:c>
      <x:c r="H124" s="46" t="str">
        <x:v>Scorpionfishes</x:v>
      </x:c>
      <x:c r="I124" s="60" t="n">
        <x:v>0.3159729171</x:v>
      </x:c>
      <x:c r="J124" s="60" t="n">
        <x:v>0.1239993651</x:v>
      </x:c>
      <x:c r="K124" s="60" t="n">
        <x:v>0.191973552</x:v>
      </x:c>
      <x:c r="L124" s="60" t="n">
        <x:v>0</x:v>
      </x:c>
      <x:c r="M124" s="60" t="n">
        <x:v>0.3159729171</x:v>
      </x:c>
      <x:c r="N124" s="46" t="str">
        <x:v>sebastes rosaceus</x:v>
      </x:c>
      <x:c r="O124" s="62" t="n">
        <x:v>3.68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Sebastes rosaceus</x:v>
      </x:c>
      <x:c r="T124" s="62" t="n">
        <x:f>IF(O124="","",(1/'Metadata'!$B$5)^(O124-1))</x:f>
        <x:v>3067.3291957408446</x:v>
      </x:c>
      <x:c r="U124" s="60" t="n">
        <x:f>IF(T124="","",I124*T124)</x:f>
        <x:v>969.1929536842315</x:v>
      </x:c>
    </x:row>
    <x:row r="125" ht="18" customHeight="1">
      <x:c r="A125" s="46" t="str">
        <x:v>LME_002</x:v>
      </x:c>
      <x:c r="B125" s="46" t="str">
        <x:v>Gulf of Alaska</x:v>
      </x:c>
      <x:c r="C125" s="46" t="str">
        <x:v>LME</x:v>
      </x:c>
      <x:c r="D125" s="58" t="n">
        <x:v>2019</x:v>
      </x:c>
      <x:c r="E125" s="46" t="str">
        <x:v>Galeorhinus galeus</x:v>
      </x:c>
      <x:c r="F125" s="46" t="str">
        <x:v>Tope shark</x:v>
      </x:c>
      <x:c r="G125" s="46" t="str">
        <x:v>Large sharks (&gt;=90 cm)</x:v>
      </x:c>
      <x:c r="H125" s="46" t="str">
        <x:v>Sharks &amp; rays</x:v>
      </x:c>
      <x:c r="I125" s="60" t="n">
        <x:v>0.2718736804</x:v>
      </x:c>
      <x:c r="J125" s="60" t="n">
        <x:v>0.0434142393</x:v>
      </x:c>
      <x:c r="K125" s="60" t="n">
        <x:v>0.2284594411</x:v>
      </x:c>
      <x:c r="L125" s="60" t="n">
        <x:v>0.0410364471</x:v>
      </x:c>
      <x:c r="M125" s="60" t="n">
        <x:v>0.2308372333</x:v>
      </x:c>
      <x:c r="N125" s="46" t="str">
        <x:v>galeorhinus galeus</x:v>
      </x:c>
      <x:c r="O125" s="62" t="n">
        <x:v>4.34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Galeorhinus galeus</x:v>
      </x:c>
      <x:c r="T125" s="62" t="n">
        <x:f>IF(O125="","",(1/'Metadata'!$B$5)^(O125-1))</x:f>
        <x:v>22153.389612394185</x:v>
      </x:c>
      <x:c r="U125" s="60" t="n">
        <x:f>IF(T125="","",I125*T125)</x:f>
        <x:v>6022.9235672567365</x:v>
      </x:c>
    </x:row>
    <x:row r="126" ht="18" customHeight="1">
      <x:c r="A126" s="46" t="str">
        <x:v>LME_002</x:v>
      </x:c>
      <x:c r="B126" s="46" t="str">
        <x:v>Gulf of Alaska</x:v>
      </x:c>
      <x:c r="C126" s="46" t="str">
        <x:v>LME</x:v>
      </x:c>
      <x:c r="D126" s="58" t="n">
        <x:v>2019</x:v>
      </x:c>
      <x:c r="E126" s="46" t="str">
        <x:v>Sebastes auriculatus</x:v>
      </x:c>
      <x:c r="F126" s="46" t="str">
        <x:v>Brown rockfish</x:v>
      </x:c>
      <x:c r="G126" s="46" t="str">
        <x:v>Medium demersals (30 - 89 cm)</x:v>
      </x:c>
      <x:c r="H126" s="46" t="str">
        <x:v>Scorpionfishes</x:v>
      </x:c>
      <x:c r="I126" s="60" t="n">
        <x:v>0.2599515469</x:v>
      </x:c>
      <x:c r="J126" s="60" t="n">
        <x:v>0.0205383917</x:v>
      </x:c>
      <x:c r="K126" s="60" t="n">
        <x:v>0.2394131552</x:v>
      </x:c>
      <x:c r="L126" s="60" t="n">
        <x:v>0.018447105</x:v>
      </x:c>
      <x:c r="M126" s="60" t="n">
        <x:v>0.2415044419</x:v>
      </x:c>
      <x:c r="N126" s="46" t="str">
        <x:v>sebastes auriculatus</x:v>
      </x:c>
      <x:c r="O126" s="62" t="n">
        <x:v>4.03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Sebastes auriculatus</x:v>
      </x:c>
      <x:c r="T126" s="62" t="n">
        <x:f>IF(O126="","",(1/'Metadata'!$B$5)^(O126-1))</x:f>
        <x:v>8752.273628615554</x:v>
      </x:c>
      <x:c r="U126" s="60" t="n">
        <x:f>IF(T126="","",I126*T126)</x:f>
        <x:v>2275.1670686506895</x:v>
      </x:c>
    </x:row>
    <x:row r="127" ht="18" customHeight="1">
      <x:c r="A127" s="46" t="str">
        <x:v>LME_002</x:v>
      </x:c>
      <x:c r="B127" s="46" t="str">
        <x:v>Gulf of Alaska</x:v>
      </x:c>
      <x:c r="C127" s="46" t="str">
        <x:v>LME</x:v>
      </x:c>
      <x:c r="D127" s="58" t="n">
        <x:v>2019</x:v>
      </x:c>
      <x:c r="E127" s="46" t="str">
        <x:v>Alopias vulpinus</x:v>
      </x:c>
      <x:c r="F127" s="46" t="str">
        <x:v>Thresher</x:v>
      </x:c>
      <x:c r="G127" s="46" t="str">
        <x:v>Large sharks (&gt;=90 cm)</x:v>
      </x:c>
      <x:c r="H127" s="46" t="str">
        <x:v>Sharks &amp; rays</x:v>
      </x:c>
      <x:c r="I127" s="60" t="n">
        <x:v>0.2488598075</x:v>
      </x:c>
      <x:c r="J127" s="60" t="n">
        <x:v>0.2019688055</x:v>
      </x:c>
      <x:c r="K127" s="60" t="n">
        <x:v>0.046891002</x:v>
      </x:c>
      <x:c r="L127" s="60" t="n">
        <x:v>0.0581755312</x:v>
      </x:c>
      <x:c r="M127" s="60" t="n">
        <x:v>0.1906842763</x:v>
      </x:c>
      <x:c r="N127" s="46" t="str">
        <x:v>alopias vulpinus</x:v>
      </x:c>
      <x:c r="O127" s="62" t="n">
        <x:v>4.5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Alopias vulpinus</x:v>
      </x:c>
      <x:c r="T127" s="62" t="n">
        <x:f>IF(O127="","",(1/'Metadata'!$B$5)^(O127-1))</x:f>
        <x:v>35777.08763999664</x:v>
      </x:c>
      <x:c r="U127" s="60" t="n">
        <x:f>IF(T127="","",I127*T127)</x:f>
        <x:v>8903.479143000191</x:v>
      </x:c>
    </x:row>
    <x:row r="128" ht="18" customHeight="1">
      <x:c r="A128" s="46" t="str">
        <x:v>LME_002</x:v>
      </x:c>
      <x:c r="B128" s="46" t="str">
        <x:v>Gulf of Alaska</x:v>
      </x:c>
      <x:c r="C128" s="46" t="str">
        <x:v>LME</x:v>
      </x:c>
      <x:c r="D128" s="58" t="n">
        <x:v>2019</x:v>
      </x:c>
      <x:c r="E128" s="46" t="str">
        <x:v>Pleuronichthys decurrens</x:v>
      </x:c>
      <x:c r="F128" s="46" t="str">
        <x:v>Curlfin sole</x:v>
      </x:c>
      <x:c r="G128" s="46" t="str">
        <x:v>Small to medium flatfishes (&lt;90 cm)</x:v>
      </x:c>
      <x:c r="H128" s="46" t="str">
        <x:v>Flatfishes</x:v>
      </x:c>
      <x:c r="I128" s="60" t="n">
        <x:v>0.22932572229999998</x:v>
      </x:c>
      <x:c r="J128" s="60" t="n">
        <x:v>0.0008682401</x:v>
      </x:c>
      <x:c r="K128" s="60" t="n">
        <x:v>0.22845748219999998</x:v>
      </x:c>
      <x:c r="L128" s="60" t="n">
        <x:v>0</x:v>
      </x:c>
      <x:c r="M128" s="60" t="n">
        <x:v>0.22932572229999998</x:v>
      </x:c>
      <x:c r="N128" s="46" t="str">
        <x:v>pleuronichthys decurrens</x:v>
      </x:c>
      <x:c r="O128" s="62" t="n">
        <x:v>3.85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Pleuronichthys decurrens</x:v>
      </x:c>
      <x:c r="T128" s="62" t="n">
        <x:f>IF(O128="","",(1/'Metadata'!$B$5)^(O128-1))</x:f>
        <x:v>5104.291725436732</x:v>
      </x:c>
      <x:c r="U128" s="60" t="n">
        <x:f>IF(T128="","",I128*T128)</x:f>
        <x:v>1170.5453867656918</x:v>
      </x:c>
    </x:row>
    <x:row r="129" ht="18" customHeight="1">
      <x:c r="A129" s="46" t="str">
        <x:v>LME_002</x:v>
      </x:c>
      <x:c r="B129" s="46" t="str">
        <x:v>Gulf of Alaska</x:v>
      </x:c>
      <x:c r="C129" s="46" t="str">
        <x:v>LME</x:v>
      </x:c>
      <x:c r="D129" s="58" t="n">
        <x:v>2019</x:v>
      </x:c>
      <x:c r="E129" s="46" t="str">
        <x:v>Paralichthys californicus</x:v>
      </x:c>
      <x:c r="F129" s="46" t="str">
        <x:v>California flounder</x:v>
      </x:c>
      <x:c r="G129" s="46" t="str">
        <x:v>Large flatfishes (&gt;=90 cm)</x:v>
      </x:c>
      <x:c r="H129" s="46" t="str">
        <x:v>Flatfishes</x:v>
      </x:c>
      <x:c r="I129" s="60" t="n">
        <x:v>0.22932454830000001</x:v>
      </x:c>
      <x:c r="J129" s="60" t="n">
        <x:v>0.0666977229</x:v>
      </x:c>
      <x:c r="K129" s="60" t="n">
        <x:v>0.1626268254</x:v>
      </x:c>
      <x:c r="L129" s="60" t="n">
        <x:v>0</x:v>
      </x:c>
      <x:c r="M129" s="60" t="n">
        <x:v>0.22932454830000001</x:v>
      </x:c>
      <x:c r="N129" s="46" t="str">
        <x:v>paralichthys californicus</x:v>
      </x:c>
      <x:c r="O129" s="62" t="n">
        <x:v>4.5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Paralichthys californicus</x:v>
      </x:c>
      <x:c r="T129" s="62" t="n">
        <x:f>IF(O129="","",(1/'Metadata'!$B$5)^(O129-1))</x:f>
        <x:v>35777.08763999664</x:v>
      </x:c>
      <x:c r="U129" s="60" t="n">
        <x:f>IF(T129="","",I129*T129)</x:f>
        <x:v>8204.564462531742</x:v>
      </x:c>
    </x:row>
    <x:row r="130" ht="18" customHeight="1">
      <x:c r="A130" s="46" t="str">
        <x:v>LME_002</x:v>
      </x:c>
      <x:c r="B130" s="46" t="str">
        <x:v>Gulf of Alaska</x:v>
      </x:c>
      <x:c r="C130" s="46" t="str">
        <x:v>LME</x:v>
      </x:c>
      <x:c r="D130" s="58" t="n">
        <x:v>2019</x:v>
      </x:c>
      <x:c r="E130" s="46" t="str">
        <x:v>Crassostrea</x:v>
      </x:c>
      <x:c r="F130" s="46" t="str">
        <x:v>Cupped oysters</x:v>
      </x:c>
      <x:c r="G130" s="46" t="str">
        <x:v>Other demersal invertebrates</x:v>
      </x:c>
      <x:c r="H130" s="46" t="str">
        <x:v>Molluscs</x:v>
      </x:c>
      <x:c r="I130" s="60" t="n">
        <x:v>0.2285636687</x:v>
      </x:c>
      <x:c r="J130" s="60" t="n">
        <x:v>0.2285636687</x:v>
      </x:c>
      <x:c r="K130" s="60" t="n">
        <x:v>0</x:v>
      </x:c>
      <x:c r="L130" s="60" t="n">
        <x:v>0</x:v>
      </x:c>
      <x:c r="M130" s="60" t="n">
        <x:v>0.2285636687</x:v>
      </x:c>
      <x:c r="N130" s="46" t="str">
        <x:v>crassostrea</x:v>
      </x:c>
      <x:c r="O130" s="62" t="n">
        <x:v>2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Crassostrea</x:v>
      </x:c>
      <x:c r="T130" s="62" t="n">
        <x:f>IF(O130="","",(1/'Metadata'!$B$5)^(O130-1))</x:f>
        <x:v>20</x:v>
      </x:c>
      <x:c r="U130" s="60" t="n">
        <x:f>IF(T130="","",I130*T130)</x:f>
        <x:v>4.5712733740000004</x:v>
      </x:c>
    </x:row>
    <x:row r="131" ht="18" customHeight="1">
      <x:c r="A131" s="46" t="str">
        <x:v>LME_002</x:v>
      </x:c>
      <x:c r="B131" s="46" t="str">
        <x:v>Gulf of Alaska</x:v>
      </x:c>
      <x:c r="C131" s="46" t="str">
        <x:v>LME</x:v>
      </x:c>
      <x:c r="D131" s="58" t="n">
        <x:v>2019</x:v>
      </x:c>
      <x:c r="E131" s="46" t="str">
        <x:v>Apristurus brunneus</x:v>
      </x:c>
      <x:c r="F131" s="46" t="str">
        <x:v>Brown catshark</x:v>
      </x:c>
      <x:c r="G131" s="46" t="str">
        <x:v>Small to medium sharks (&lt;90 cm)</x:v>
      </x:c>
      <x:c r="H131" s="46" t="str">
        <x:v>Sharks &amp; rays</x:v>
      </x:c>
      <x:c r="I131" s="60" t="n">
        <x:v>0.2258423545</x:v>
      </x:c>
      <x:c r="J131" s="60" t="n">
        <x:v>0.2258423545</x:v>
      </x:c>
      <x:c r="K131" s="60" t="n">
        <x:v>0</x:v>
      </x:c>
      <x:c r="L131" s="60" t="n">
        <x:v>0.2258423545</x:v>
      </x:c>
      <x:c r="M131" s="60" t="n">
        <x:v>0</x:v>
      </x:c>
      <x:c r="N131" s="46" t="str">
        <x:v>apristurus brunneus</x:v>
      </x:c>
      <x:c r="O131" s="62" t="n">
        <x:v>3.58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Apristurus brunneus</x:v>
      </x:c>
      <x:c r="T131" s="62" t="n">
        <x:f>IF(O131="","",(1/'Metadata'!$B$5)^(O131-1))</x:f>
        <x:v>2273.3033337150473</x:v>
      </x:c>
      <x:c r="U131" s="60" t="n">
        <x:f>IF(T131="","",I131*T131)</x:f>
        <x:v>513.4081773789055</x:v>
      </x:c>
    </x:row>
    <x:row r="132" ht="18" customHeight="1">
      <x:c r="A132" s="46" t="str">
        <x:v>LME_002</x:v>
      </x:c>
      <x:c r="B132" s="46" t="str">
        <x:v>Gulf of Alaska</x:v>
      </x:c>
      <x:c r="C132" s="46" t="str">
        <x:v>LME</x:v>
      </x:c>
      <x:c r="D132" s="58" t="n">
        <x:v>2019</x:v>
      </x:c>
      <x:c r="E132" s="46" t="str">
        <x:v>Genyonemus lineatus</x:v>
      </x:c>
      <x:c r="F132" s="46" t="str">
        <x:v>White croaker</x:v>
      </x:c>
      <x:c r="G132" s="46" t="str">
        <x:v>Medium benthopelagics (30 - 89 cm)</x:v>
      </x:c>
      <x:c r="H132" s="46" t="str">
        <x:v>Perch-likes</x:v>
      </x:c>
      <x:c r="I132" s="60" t="n">
        <x:v>0.2207219873</x:v>
      </x:c>
      <x:c r="J132" s="60" t="n">
        <x:v>0.1040453276</x:v>
      </x:c>
      <x:c r="K132" s="60" t="n">
        <x:v>0.1166766597</x:v>
      </x:c>
      <x:c r="L132" s="60" t="n">
        <x:v>0</x:v>
      </x:c>
      <x:c r="M132" s="60" t="n">
        <x:v>0.2207219873</x:v>
      </x:c>
      <x:c r="N132" s="46" t="str">
        <x:v>genyonemus lineatus</x:v>
      </x:c>
      <x:c r="O132" s="62" t="n">
        <x:v>3.43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Genyonemus lineatus</x:v>
      </x:c>
      <x:c r="T132" s="62" t="n">
        <x:f>IF(O132="","",(1/'Metadata'!$B$5)^(O132-1))</x:f>
        <x:v>1450.450424461182</x:v>
      </x:c>
      <x:c r="U132" s="60" t="n">
        <x:f>IF(T132="","",I132*T132)</x:f>
        <x:v>320.1463001672006</x:v>
      </x:c>
    </x:row>
    <x:row r="133" ht="18" customHeight="1">
      <x:c r="A133" s="46" t="str">
        <x:v>LME_002</x:v>
      </x:c>
      <x:c r="B133" s="46" t="str">
        <x:v>Gulf of Alaska</x:v>
      </x:c>
      <x:c r="C133" s="46" t="str">
        <x:v>LME</x:v>
      </x:c>
      <x:c r="D133" s="58" t="n">
        <x:v>2019</x:v>
      </x:c>
      <x:c r="E133" s="46" t="str">
        <x:v>Sebastes helvomaculatus</x:v>
      </x:c>
      <x:c r="F133" s="46" t="str">
        <x:v>Rosethorn rockfish</x:v>
      </x:c>
      <x:c r="G133" s="46" t="str">
        <x:v>Medium demersals (30 - 89 cm)</x:v>
      </x:c>
      <x:c r="H133" s="46" t="str">
        <x:v>Scorpionfishes</x:v>
      </x:c>
      <x:c r="I133" s="60" t="n">
        <x:v>0.19892644059999998</x:v>
      </x:c>
      <x:c r="J133" s="60" t="n">
        <x:v>0.004450915</x:v>
      </x:c>
      <x:c r="K133" s="60" t="n">
        <x:v>0.19447552559999998</x:v>
      </x:c>
      <x:c r="L133" s="60" t="n">
        <x:v>0</x:v>
      </x:c>
      <x:c r="M133" s="60" t="n">
        <x:v>0.19892644059999998</x:v>
      </x:c>
      <x:c r="N133" s="46" t="str">
        <x:v>sebastes helvomaculatus</x:v>
      </x:c>
      <x:c r="O133" s="62" t="n">
        <x:v>3.7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Sebastes helvomaculatus</x:v>
      </x:c>
      <x:c r="T133" s="62" t="n">
        <x:f>IF(O133="","",(1/'Metadata'!$B$5)^(O133-1))</x:f>
        <x:v>3256.724252295237</x:v>
      </x:c>
      <x:c r="U133" s="60" t="n">
        <x:f>IF(T133="","",I133*T133)</x:f>
        <x:v>647.8485635247878</x:v>
      </x:c>
    </x:row>
    <x:row r="134" ht="18" customHeight="1">
      <x:c r="A134" s="46" t="str">
        <x:v>LME_002</x:v>
      </x:c>
      <x:c r="B134" s="46" t="str">
        <x:v>Gulf of Alaska</x:v>
      </x:c>
      <x:c r="C134" s="46" t="str">
        <x:v>LME</x:v>
      </x:c>
      <x:c r="D134" s="58" t="n">
        <x:v>2019</x:v>
      </x:c>
      <x:c r="E134" s="46" t="str">
        <x:v>Scorpaeniformes</x:v>
      </x:c>
      <x:c r="F134" s="46" t="str">
        <x:v>Scorpionfishes, flatheads</x:v>
      </x:c>
      <x:c r="G134" s="46" t="str">
        <x:v>Medium demersals (30 - 89 cm)</x:v>
      </x:c>
      <x:c r="H134" s="46" t="str">
        <x:v>Scorpionfishes</x:v>
      </x:c>
      <x:c r="I134" s="60" t="n">
        <x:v>0.1775555397</x:v>
      </x:c>
      <x:c r="J134" s="60" t="n">
        <x:v>0</x:v>
      </x:c>
      <x:c r="K134" s="60" t="n">
        <x:v>0.1775555397</x:v>
      </x:c>
      <x:c r="L134" s="60" t="n">
        <x:v>0</x:v>
      </x:c>
      <x:c r="M134" s="60" t="n">
        <x:v>0.1775555397</x:v>
      </x:c>
      <x:c r="N134" s="46" t="str">
        <x:v>scorpaeniformes</x:v>
      </x:c>
      <x:c r="O134" s="62" t="n">
        <x:v>3.78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Scorpaeniformes</x:v>
      </x:c>
      <x:c r="T134" s="62" t="n">
        <x:f>IF(O134="","",(1/'Metadata'!$B$5)^(O134-1))</x:f>
        <x:v>4138.694671981463</x:v>
      </x:c>
      <x:c r="U134" s="60" t="n">
        <x:f>IF(T134="","",I134*T134)</x:f>
        <x:v>734.8481661371832</x:v>
      </x:c>
    </x:row>
    <x:row r="135" ht="18" customHeight="1">
      <x:c r="A135" s="46" t="str">
        <x:v>LME_002</x:v>
      </x:c>
      <x:c r="B135" s="46" t="str">
        <x:v>Gulf of Alaska</x:v>
      </x:c>
      <x:c r="C135" s="46" t="str">
        <x:v>LME</x:v>
      </x:c>
      <x:c r="D135" s="58" t="n">
        <x:v>2019</x:v>
      </x:c>
      <x:c r="E135" s="46" t="str">
        <x:v>Mya arenaria</x:v>
      </x:c>
      <x:c r="F135" s="46" t="str">
        <x:v>Sand gaper</x:v>
      </x:c>
      <x:c r="G135" s="46" t="str">
        <x:v>Other demersal invertebrates</x:v>
      </x:c>
      <x:c r="H135" s="46" t="str">
        <x:v>Molluscs</x:v>
      </x:c>
      <x:c r="I135" s="60" t="n">
        <x:v>0.1410813003</x:v>
      </x:c>
      <x:c r="J135" s="60" t="n">
        <x:v>0.1410813003</x:v>
      </x:c>
      <x:c r="K135" s="60" t="n">
        <x:v>0</x:v>
      </x:c>
      <x:c r="L135" s="60" t="n">
        <x:v>0</x:v>
      </x:c>
      <x:c r="M135" s="60" t="n">
        <x:v>0.1410813003</x:v>
      </x:c>
      <x:c r="N135" s="46" t="str">
        <x:v>mya arenaria</x:v>
      </x:c>
      <x:c r="O135" s="62" t="n">
        <x:v>2.31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Mya arenaria</x:v>
      </x:c>
      <x:c r="T135" s="62" t="n">
        <x:f>IF(O135="","",(1/'Metadata'!$B$5)^(O135-1))</x:f>
        <x:v>50.62316502528833</x:v>
      </x:c>
      <x:c r="U135" s="60" t="n">
        <x:f>IF(T135="","",I135*T135)</x:f>
        <x:v>7.1419819470691595</x:v>
      </x:c>
    </x:row>
    <x:row r="136" ht="18" customHeight="1">
      <x:c r="A136" s="46" t="str">
        <x:v>LME_002</x:v>
      </x:c>
      <x:c r="B136" s="46" t="str">
        <x:v>Gulf of Alaska</x:v>
      </x:c>
      <x:c r="C136" s="46" t="str">
        <x:v>LME</x:v>
      </x:c>
      <x:c r="D136" s="58" t="n">
        <x:v>2019</x:v>
      </x:c>
      <x:c r="E136" s="46" t="str">
        <x:v>Erimacrus isenbeckii</x:v>
      </x:c>
      <x:c r="F136" s="46" t="str">
        <x:v>Hair Crab</x:v>
      </x:c>
      <x:c r="G136" s="46" t="str">
        <x:v>Lobsters, crabs</x:v>
      </x:c>
      <x:c r="H136" s="46" t="str">
        <x:v>Crustaceans</x:v>
      </x:c>
      <x:c r="I136" s="60" t="n">
        <x:v>0.1127026301</x:v>
      </x:c>
      <x:c r="J136" s="60" t="n">
        <x:v>0.1127026301</x:v>
      </x:c>
      <x:c r="K136" s="60" t="n">
        <x:v>0</x:v>
      </x:c>
      <x:c r="L136" s="60" t="n">
        <x:v>0</x:v>
      </x:c>
      <x:c r="M136" s="60" t="n">
        <x:v>0.1127026301</x:v>
      </x:c>
      <x:c r="N136" s="46" t="str">
        <x:v>erimacrus isenbeckii</x:v>
      </x:c>
      <x:c r="O136" s="62" t="n">
        <x:v>2.6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Erimacrus isenbeckii</x:v>
      </x:c>
      <x:c r="T136" s="62" t="n">
        <x:f>IF(O136="","",(1/'Metadata'!$B$5)^(O136-1))</x:f>
        <x:v>120.6835267309033</x:v>
      </x:c>
      <x:c r="U136" s="60" t="n">
        <x:f>IF(T136="","",I136*T136)</x:f>
        <x:v>13.601350872316457</x:v>
      </x:c>
    </x:row>
    <x:row r="137" ht="18" customHeight="1">
      <x:c r="A137" s="46" t="str">
        <x:v>LME_002</x:v>
      </x:c>
      <x:c r="B137" s="46" t="str">
        <x:v>Gulf of Alaska</x:v>
      </x:c>
      <x:c r="C137" s="46" t="str">
        <x:v>LME</x:v>
      </x:c>
      <x:c r="D137" s="58" t="n">
        <x:v>2019</x:v>
      </x:c>
      <x:c r="E137" s="46" t="str">
        <x:v>Coregonus</x:v>
      </x:c>
      <x:c r="F137" s="46" t="str">
        <x:v>Whitefishes</x:v>
      </x:c>
      <x:c r="G137" s="46" t="str">
        <x:v>Medium pelagics (30 - 89 cm)</x:v>
      </x:c>
      <x:c r="H137" s="46" t="str">
        <x:v>Salmon, smelts, etc</x:v>
      </x:c>
      <x:c r="I137" s="60" t="n">
        <x:v>0.1125129118</x:v>
      </x:c>
      <x:c r="J137" s="60" t="n">
        <x:v>0.1125129118</x:v>
      </x:c>
      <x:c r="K137" s="60" t="n">
        <x:v>0</x:v>
      </x:c>
      <x:c r="L137" s="60" t="n">
        <x:v>0</x:v>
      </x:c>
      <x:c r="M137" s="60" t="n">
        <x:v>0.1125129118</x:v>
      </x:c>
      <x:c r="N137" s="46" t="str">
        <x:v>coregonus</x:v>
      </x:c>
      <x:c r="O137" s="62" t="n">
        <x:v>3.3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Coregonus</x:v>
      </x:c>
      <x:c r="T137" s="62" t="n">
        <x:f>IF(O137="","",(1/'Metadata'!$B$5)^(O137-1))</x:f>
        <x:v>982.5824208926318</x:v>
      </x:c>
      <x:c r="U137" s="60" t="n">
        <x:f>IF(T137="","",I137*T137)</x:f>
        <x:v>110.55320925812316</x:v>
      </x:c>
    </x:row>
    <x:row r="138" ht="18" customHeight="1">
      <x:c r="A138" s="46" t="str">
        <x:v>LME_002</x:v>
      </x:c>
      <x:c r="B138" s="46" t="str">
        <x:v>Gulf of Alaska</x:v>
      </x:c>
      <x:c r="C138" s="46" t="str">
        <x:v>LME</x:v>
      </x:c>
      <x:c r="D138" s="58" t="n">
        <x:v>2019</x:v>
      </x:c>
      <x:c r="E138" s="46" t="str">
        <x:v>Anarrhichthys ocellatus</x:v>
      </x:c>
      <x:c r="F138" s="46" t="str">
        <x:v>Wolf-eel</x:v>
      </x:c>
      <x:c r="G138" s="46" t="str">
        <x:v>Large demersals (&gt;=90 cm)</x:v>
      </x:c>
      <x:c r="H138" s="46" t="str">
        <x:v>Perch-likes</x:v>
      </x:c>
      <x:c r="I138" s="60" t="n">
        <x:v>0.1048065544</x:v>
      </x:c>
      <x:c r="J138" s="60" t="n">
        <x:v>0.1048065544</x:v>
      </x:c>
      <x:c r="K138" s="60" t="n">
        <x:v>0</x:v>
      </x:c>
      <x:c r="L138" s="60" t="n">
        <x:v>0.0978174283</x:v>
      </x:c>
      <x:c r="M138" s="60" t="n">
        <x:v>0.0069891261</x:v>
      </x:c>
      <x:c r="N138" s="46" t="str">
        <x:v>anarrhichthys ocellatus</x:v>
      </x:c>
      <x:c r="O138" s="62" t="n">
        <x:v>3.51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Anarrhichthys ocellatus</x:v>
      </x:c>
      <x:c r="T138" s="62" t="n">
        <x:f>IF(O138="","",(1/'Metadata'!$B$5)^(O138-1))</x:f>
        <x:v>1843.2544417784343</x:v>
      </x:c>
      <x:c r="U138" s="60" t="n">
        <x:f>IF(T138="","",I138*T138)</x:f>
        <x:v>193.1851469252931</x:v>
      </x:c>
    </x:row>
    <x:row r="139" ht="18" customHeight="1">
      <x:c r="A139" s="46" t="str">
        <x:v>LME_002</x:v>
      </x:c>
      <x:c r="B139" s="46" t="str">
        <x:v>Gulf of Alaska</x:v>
      </x:c>
      <x:c r="C139" s="46" t="str">
        <x:v>LME</x:v>
      </x:c>
      <x:c r="D139" s="58" t="n">
        <x:v>2019</x:v>
      </x:c>
      <x:c r="E139" s="46" t="str">
        <x:v>Enophrys bison</x:v>
      </x:c>
      <x:c r="F139" s="46" t="str">
        <x:v>Buffalo sculpin</x:v>
      </x:c>
      <x:c r="G139" s="46" t="str">
        <x:v>Medium demersals (30 - 89 cm)</x:v>
      </x:c>
      <x:c r="H139" s="46" t="str">
        <x:v>Scorpionfishes</x:v>
      </x:c>
      <x:c r="I139" s="60" t="n">
        <x:v>0.1013728176</x:v>
      </x:c>
      <x:c r="J139" s="60" t="n">
        <x:v>0.009842581</x:v>
      </x:c>
      <x:c r="K139" s="60" t="n">
        <x:v>0.09153023660000001</x:v>
      </x:c>
      <x:c r="L139" s="60" t="n">
        <x:v>0</x:v>
      </x:c>
      <x:c r="M139" s="60" t="n">
        <x:v>0.1013728176</x:v>
      </x:c>
      <x:c r="N139" s="46" t="str">
        <x:v>enophrys bison</x:v>
      </x:c>
      <x:c r="O139" s="62" t="n">
        <x:v>3.34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Enophrys bison</x:v>
      </x:c>
      <x:c r="T139" s="62" t="n">
        <x:f>IF(O139="","",(1/'Metadata'!$B$5)^(O139-1))</x:f>
        <x:v>1107.6694806197092</x:v>
      </x:c>
      <x:c r="U139" s="60" t="n">
        <x:f>IF(T139="","",I139*T139)</x:f>
        <x:v>112.28757621994852</x:v>
      </x:c>
    </x:row>
    <x:row r="140" ht="18" customHeight="1">
      <x:c r="A140" s="46" t="str">
        <x:v>LME_002</x:v>
      </x:c>
      <x:c r="B140" s="46" t="str">
        <x:v>Gulf of Alaska</x:v>
      </x:c>
      <x:c r="C140" s="46" t="str">
        <x:v>LME</x:v>
      </x:c>
      <x:c r="D140" s="58" t="n">
        <x:v>2019</x:v>
      </x:c>
      <x:c r="E140" s="46" t="str">
        <x:v>Paralichthyidae</x:v>
      </x:c>
      <x:c r="F140" s="46" t="str">
        <x:v>Largetooth flounders</x:v>
      </x:c>
      <x:c r="G140" s="46" t="str">
        <x:v>Small to medium flatfishes (&lt;90 cm)</x:v>
      </x:c>
      <x:c r="H140" s="46" t="str">
        <x:v>Flatfishes</x:v>
      </x:c>
      <x:c r="I140" s="60" t="n">
        <x:v>0.094650026</x:v>
      </x:c>
      <x:c r="J140" s="60" t="n">
        <x:v>0.09277542709999999</x:v>
      </x:c>
      <x:c r="K140" s="60" t="n">
        <x:v>0.0018745989</x:v>
      </x:c>
      <x:c r="L140" s="60" t="n">
        <x:v>0.09277542709999999</x:v>
      </x:c>
      <x:c r="M140" s="60" t="n">
        <x:v>0.0018745989</x:v>
      </x:c>
      <x:c r="N140" s="46" t="str">
        <x:v>paralichthyidae</x:v>
      </x:c>
      <x:c r="O140" s="62" t="n">
        <x:v>4.06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Paralichthyidae</x:v>
      </x:c>
      <x:c r="T140" s="62" t="n">
        <x:f>IF(O140="","",(1/'Metadata'!$B$5)^(O140-1))</x:f>
        <x:v>9575.286708769883</x:v>
      </x:c>
      <x:c r="U140" s="60" t="n">
        <x:f>IF(T140="","",I140*T140)</x:f>
        <x:v>906.3011359425238</x:v>
      </x:c>
    </x:row>
    <x:row r="141" ht="18" customHeight="1">
      <x:c r="A141" s="46" t="str">
        <x:v>LME_002</x:v>
      </x:c>
      <x:c r="B141" s="46" t="str">
        <x:v>Gulf of Alaska</x:v>
      </x:c>
      <x:c r="C141" s="46" t="str">
        <x:v>LME</x:v>
      </x:c>
      <x:c r="D141" s="58" t="n">
        <x:v>2019</x:v>
      </x:c>
      <x:c r="E141" s="46" t="str">
        <x:v>Allosmerus elongatus</x:v>
      </x:c>
      <x:c r="F141" s="46" t="str">
        <x:v>Whitebait smelt</x:v>
      </x:c>
      <x:c r="G141" s="46" t="str">
        <x:v>Small pelagics (&lt;30 cm)</x:v>
      </x:c>
      <x:c r="H141" s="46" t="str">
        <x:v>Salmon, smelts, etc</x:v>
      </x:c>
      <x:c r="I141" s="60" t="n">
        <x:v>0.0903205998</x:v>
      </x:c>
      <x:c r="J141" s="60" t="n">
        <x:v>0</x:v>
      </x:c>
      <x:c r="K141" s="60" t="n">
        <x:v>0.0903205998</x:v>
      </x:c>
      <x:c r="L141" s="60" t="n">
        <x:v>0</x:v>
      </x:c>
      <x:c r="M141" s="60" t="n">
        <x:v>0.0903205998</x:v>
      </x:c>
      <x:c r="N141" s="46" t="str">
        <x:v>allosmerus elongatus</x:v>
      </x:c>
      <x:c r="O141" s="62" t="n">
        <x:v>3.3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Allosmerus elongatus</x:v>
      </x:c>
      <x:c r="T141" s="62" t="n">
        <x:f>IF(O141="","",(1/'Metadata'!$B$5)^(O141-1))</x:f>
        <x:v>982.5824208926318</x:v>
      </x:c>
      <x:c r="U141" s="60" t="n">
        <x:f>IF(T141="","",I141*T141)</x:f>
        <x:v>88.74743360795856</x:v>
      </x:c>
    </x:row>
    <x:row r="142" ht="18" customHeight="1">
      <x:c r="A142" s="46" t="str">
        <x:v>LME_002</x:v>
      </x:c>
      <x:c r="B142" s="46" t="str">
        <x:v>Gulf of Alaska</x:v>
      </x:c>
      <x:c r="C142" s="46" t="str">
        <x:v>LME</x:v>
      </x:c>
      <x:c r="D142" s="58" t="n">
        <x:v>2019</x:v>
      </x:c>
      <x:c r="E142" s="46" t="str">
        <x:v>Miscellaneous aquatic invertebrates</x:v>
      </x:c>
      <x:c r="F142" s="46" t="str">
        <x:v>Aquatic invertebrates</x:v>
      </x:c>
      <x:c r="G142" s="46" t="str">
        <x:v>Other demersal invertebrates</x:v>
      </x:c>
      <x:c r="H142" s="46" t="str">
        <x:v>Other fishes &amp; inverts</x:v>
      </x:c>
      <x:c r="I142" s="60" t="n">
        <x:v>0.073082921</x:v>
      </x:c>
      <x:c r="J142" s="60" t="n">
        <x:v>0.073082921</x:v>
      </x:c>
      <x:c r="K142" s="60" t="n">
        <x:v>0</x:v>
      </x:c>
      <x:c r="L142" s="60" t="n">
        <x:v>0</x:v>
      </x:c>
      <x:c r="M142" s="60" t="n">
        <x:v>0.073082921</x:v>
      </x:c>
      <x:c r="N142" s="46" t="str">
        <x:v>miscellaneous aquatic invertebrates</x:v>
      </x:c>
      <x:c r="O142" s="62" t="n">
        <x:v>2.43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Miscellaneous aquatic invertebrates</x:v>
      </x:c>
      <x:c r="T142" s="62" t="n">
        <x:f>IF(O142="","",(1/'Metadata'!$B$5)^(O142-1))</x:f>
        <x:v>72.52252122305909</x:v>
      </x:c>
      <x:c r="U142" s="60" t="n">
        <x:f>IF(T142="","",I142*T142)</x:f>
        <x:v>5.30015768926565</x:v>
      </x:c>
    </x:row>
    <x:row r="143" ht="18" customHeight="1">
      <x:c r="A143" s="46" t="str">
        <x:v>LME_002</x:v>
      </x:c>
      <x:c r="B143" s="46" t="str">
        <x:v>Gulf of Alaska</x:v>
      </x:c>
      <x:c r="C143" s="46" t="str">
        <x:v>LME</x:v>
      </x:c>
      <x:c r="D143" s="58" t="n">
        <x:v>2019</x:v>
      </x:c>
      <x:c r="E143" s="46" t="str">
        <x:v>Amphistichus koelzi</x:v>
      </x:c>
      <x:c r="F143" s="46" t="str">
        <x:v>Calico surfperch</x:v>
      </x:c>
      <x:c r="G143" s="46" t="str">
        <x:v>Small demersals (&lt;30 cm)</x:v>
      </x:c>
      <x:c r="H143" s="46" t="str">
        <x:v>Perch-likes</x:v>
      </x:c>
      <x:c r="I143" s="60" t="n">
        <x:v>0.0652654021</x:v>
      </x:c>
      <x:c r="J143" s="60" t="n">
        <x:v>0.054517968</x:v>
      </x:c>
      <x:c r="K143" s="60" t="n">
        <x:v>0.0107474341</x:v>
      </x:c>
      <x:c r="L143" s="60" t="n">
        <x:v>0</x:v>
      </x:c>
      <x:c r="M143" s="60" t="n">
        <x:v>0.0652654021</x:v>
      </x:c>
      <x:c r="N143" s="46" t="str">
        <x:v>amphistichus koelzi</x:v>
      </x:c>
      <x:c r="O143" s="62" t="n">
        <x:v>3.36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Amphistichus koelzi</x:v>
      </x:c>
      <x:c r="T143" s="62" t="n">
        <x:f>IF(O143="","",(1/'Metadata'!$B$5)^(O143-1))</x:f>
        <x:v>1176.0635493805207</x:v>
      </x:c>
      <x:c r="U143" s="60" t="n">
        <x:f>IF(T143="","",I143*T143)</x:f>
        <x:v>76.75626044547289</x:v>
      </x:c>
    </x:row>
    <x:row r="144" ht="18" customHeight="1">
      <x:c r="A144" s="46" t="str">
        <x:v>LME_002</x:v>
      </x:c>
      <x:c r="B144" s="46" t="str">
        <x:v>Gulf of Alaska</x:v>
      </x:c>
      <x:c r="C144" s="46" t="str">
        <x:v>LME</x:v>
      </x:c>
      <x:c r="D144" s="58" t="n">
        <x:v>2019</x:v>
      </x:c>
      <x:c r="E144" s="46" t="str">
        <x:v>Haliotis</x:v>
      </x:c>
      <x:c r="F144" s="46" t="str">
        <x:v>Abalones</x:v>
      </x:c>
      <x:c r="G144" s="46" t="str">
        <x:v>Other demersal invertebrates</x:v>
      </x:c>
      <x:c r="H144" s="46" t="str">
        <x:v>Molluscs</x:v>
      </x:c>
      <x:c r="I144" s="60" t="n">
        <x:v>0.0596730916</x:v>
      </x:c>
      <x:c r="J144" s="60" t="n">
        <x:v>0.0596730916</x:v>
      </x:c>
      <x:c r="K144" s="60" t="n">
        <x:v>0</x:v>
      </x:c>
      <x:c r="L144" s="60" t="n">
        <x:v>0</x:v>
      </x:c>
      <x:c r="M144" s="60" t="n">
        <x:v>0.0596730916</x:v>
      </x:c>
      <x:c r="N144" s="46" t="str">
        <x:v>haliotis</x:v>
      </x:c>
      <x:c r="O144" s="62" t="n">
        <x:v>2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Haliotis</x:v>
      </x:c>
      <x:c r="T144" s="62" t="n">
        <x:f>IF(O144="","",(1/'Metadata'!$B$5)^(O144-1))</x:f>
        <x:v>20</x:v>
      </x:c>
      <x:c r="U144" s="60" t="n">
        <x:f>IF(T144="","",I144*T144)</x:f>
        <x:v>1.193461832</x:v>
      </x:c>
    </x:row>
    <x:row r="145" ht="18" customHeight="1">
      <x:c r="A145" s="46" t="str">
        <x:v>LME_002</x:v>
      </x:c>
      <x:c r="B145" s="46" t="str">
        <x:v>Gulf of Alaska</x:v>
      </x:c>
      <x:c r="C145" s="46" t="str">
        <x:v>LME</x:v>
      </x:c>
      <x:c r="D145" s="58" t="n">
        <x:v>2019</x:v>
      </x:c>
      <x:c r="E145" s="46" t="str">
        <x:v>Caliraja stellulata</x:v>
      </x:c>
      <x:c r="F145" s="46" t="str">
        <x:v>Starry skate</x:v>
      </x:c>
      <x:c r="G145" s="46" t="str">
        <x:v>Small to medium rays (&lt;90 cm)</x:v>
      </x:c>
      <x:c r="H145" s="46" t="str">
        <x:v>Sharks &amp; rays</x:v>
      </x:c>
      <x:c r="I145" s="60" t="n">
        <x:v>0.044979491600000004</x:v>
      </x:c>
      <x:c r="J145" s="60" t="n">
        <x:v>0</x:v>
      </x:c>
      <x:c r="K145" s="60" t="n">
        <x:v>0.044979491600000004</x:v>
      </x:c>
      <x:c r="L145" s="60" t="n">
        <x:v>0</x:v>
      </x:c>
      <x:c r="M145" s="60" t="n">
        <x:v>0.044979491600000004</x:v>
      </x:c>
      <x:c r="N145" s="46" t="str">
        <x:v>caliraja stellulata</x:v>
      </x:c>
      <x:c r="O145" s="62" t="n">
        <x:v>3.63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Caliraja stellulata</x:v>
      </x:c>
      <x:c r="T145" s="62" t="n">
        <x:f>IF(O145="","",(1/'Metadata'!$B$5)^(O145-1))</x:f>
        <x:v>2640.638121038009</x:v>
      </x:c>
      <x:c r="U145" s="60" t="n">
        <x:f>IF(T145="","",I145*T145)</x:f>
        <x:v>118.77456018386893</x:v>
      </x:c>
    </x:row>
    <x:row r="146" ht="18" customHeight="1">
      <x:c r="A146" s="46" t="str">
        <x:v>LME_002</x:v>
      </x:c>
      <x:c r="B146" s="46" t="str">
        <x:v>Gulf of Alaska</x:v>
      </x:c>
      <x:c r="C146" s="46" t="str">
        <x:v>LME</x:v>
      </x:c>
      <x:c r="D146" s="58" t="n">
        <x:v>2019</x:v>
      </x:c>
      <x:c r="E146" s="46" t="str">
        <x:v>Thunnus orientalis</x:v>
      </x:c>
      <x:c r="F146" s="46" t="str">
        <x:v>Pacific bluefin tuna</x:v>
      </x:c>
      <x:c r="G146" s="46" t="str">
        <x:v>Large pelagics (&gt;=90 cm)</x:v>
      </x:c>
      <x:c r="H146" s="46" t="str">
        <x:v>Tuna &amp; billfishes</x:v>
      </x:c>
      <x:c r="I146" s="60" t="n">
        <x:v>0.0421788693</x:v>
      </x:c>
      <x:c r="J146" s="60" t="n">
        <x:v>0.0421788693</x:v>
      </x:c>
      <x:c r="K146" s="60" t="n">
        <x:v>0</x:v>
      </x:c>
      <x:c r="L146" s="60" t="n">
        <x:v>0.0421788693</x:v>
      </x:c>
      <x:c r="M146" s="60" t="n">
        <x:v>0</x:v>
      </x:c>
      <x:c r="N146" s="46" t="str">
        <x:v>thunnus orientalis</x:v>
      </x:c>
      <x:c r="O146" s="62" t="n">
        <x:v>4.05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Thunnus orientalis</x:v>
      </x:c>
      <x:c r="T146" s="62" t="n">
        <x:f>IF(O146="","",(1/'Metadata'!$B$5)^(O146-1))</x:f>
        <x:v>9292.690797132333</x:v>
      </x:c>
      <x:c r="U146" s="60" t="n">
        <x:f>IF(T146="","",I146*T146)</x:f>
        <x:v>391.95519057755746</x:v>
      </x:c>
    </x:row>
    <x:row r="147" ht="18" customHeight="1">
      <x:c r="A147" s="46" t="str">
        <x:v>LME_002</x:v>
      </x:c>
      <x:c r="B147" s="46" t="str">
        <x:v>Gulf of Alaska</x:v>
      </x:c>
      <x:c r="C147" s="46" t="str">
        <x:v>LME</x:v>
      </x:c>
      <x:c r="D147" s="58" t="n">
        <x:v>2019</x:v>
      </x:c>
      <x:c r="E147" s="46" t="str">
        <x:v>Sebastes nigrocinctus</x:v>
      </x:c>
      <x:c r="F147" s="46" t="str">
        <x:v>Tiger rockfish</x:v>
      </x:c>
      <x:c r="G147" s="46" t="str">
        <x:v>Medium reef assoc. fish (30 - 89 cm)</x:v>
      </x:c>
      <x:c r="H147" s="46" t="str">
        <x:v>Scorpionfishes</x:v>
      </x:c>
      <x:c r="I147" s="60" t="n">
        <x:v>0.040675547500000006</x:v>
      </x:c>
      <x:c r="J147" s="60" t="n">
        <x:v>0.0332637345</x:v>
      </x:c>
      <x:c r="K147" s="60" t="n">
        <x:v>0.007411813</x:v>
      </x:c>
      <x:c r="L147" s="60" t="n">
        <x:v>0</x:v>
      </x:c>
      <x:c r="M147" s="60" t="n">
        <x:v>0.040675547500000006</x:v>
      </x:c>
      <x:c r="N147" s="46" t="str">
        <x:v>sebastes nigrocinctus</x:v>
      </x:c>
      <x:c r="O147" s="62" t="n">
        <x:v>3.52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Sebastes nigrocinctus</x:v>
      </x:c>
      <x:c r="T147" s="62" t="n">
        <x:f>IF(O147="","",(1/'Metadata'!$B$5)^(O147-1))</x:f>
        <x:v>1899.308837725312</x:v>
      </x:c>
      <x:c r="U147" s="60" t="n">
        <x:f>IF(T147="","",I147*T147)</x:f>
        <x:v>77.25542684606573</x:v>
      </x:c>
    </x:row>
    <x:row r="148" ht="18" customHeight="1">
      <x:c r="A148" s="46" t="str">
        <x:v>LME_002</x:v>
      </x:c>
      <x:c r="B148" s="46" t="str">
        <x:v>Gulf of Alaska</x:v>
      </x:c>
      <x:c r="C148" s="46" t="str">
        <x:v>LME</x:v>
      </x:c>
      <x:c r="D148" s="58" t="n">
        <x:v>2019</x:v>
      </x:c>
      <x:c r="E148" s="46" t="str">
        <x:v>Hemilepidotus hemilepidotus</x:v>
      </x:c>
      <x:c r="F148" s="46" t="str">
        <x:v>Red Irish lord</x:v>
      </x:c>
      <x:c r="G148" s="46" t="str">
        <x:v>Medium demersals (30 - 89 cm)</x:v>
      </x:c>
      <x:c r="H148" s="46" t="str">
        <x:v>Scorpionfishes</x:v>
      </x:c>
      <x:c r="I148" s="60" t="n">
        <x:v>0.0360357377</x:v>
      </x:c>
      <x:c r="J148" s="60" t="n">
        <x:v>0</x:v>
      </x:c>
      <x:c r="K148" s="60" t="n">
        <x:v>0.0360357377</x:v>
      </x:c>
      <x:c r="L148" s="60" t="n">
        <x:v>0</x:v>
      </x:c>
      <x:c r="M148" s="60" t="n">
        <x:v>0.0360357377</x:v>
      </x:c>
      <x:c r="N148" s="46" t="str">
        <x:v>hemilepidotus hemilepidotus</x:v>
      </x:c>
      <x:c r="O148" s="62" t="n">
        <x:v>3.53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Hemilepidotus hemilepidotus</x:v>
      </x:c>
      <x:c r="T148" s="62" t="n">
        <x:f>IF(O148="","",(1/'Metadata'!$B$5)^(O148-1))</x:f>
        <x:v>1957.0678791263101</x:v>
      </x:c>
      <x:c r="U148" s="60" t="n">
        <x:f>IF(T148="","",I148*T148)</x:f>
        <x:v>70.52438475329102</x:v>
      </x:c>
    </x:row>
    <x:row r="149" ht="18" customHeight="1">
      <x:c r="A149" s="46" t="str">
        <x:v>LME_002</x:v>
      </x:c>
      <x:c r="B149" s="46" t="str">
        <x:v>Gulf of Alaska</x:v>
      </x:c>
      <x:c r="C149" s="46" t="str">
        <x:v>LME</x:v>
      </x:c>
      <x:c r="D149" s="58" t="n">
        <x:v>2019</x:v>
      </x:c>
      <x:c r="E149" s="46" t="str">
        <x:v>Hyperprosopon argenteum</x:v>
      </x:c>
      <x:c r="F149" s="46" t="str">
        <x:v>Walleye surfperch</x:v>
      </x:c>
      <x:c r="G149" s="46" t="str">
        <x:v>Medium demersals (30 - 89 cm)</x:v>
      </x:c>
      <x:c r="H149" s="46" t="str">
        <x:v>Perch-likes</x:v>
      </x:c>
      <x:c r="I149" s="60" t="n">
        <x:v>0.0355471373</x:v>
      </x:c>
      <x:c r="J149" s="60" t="n">
        <x:v>0</x:v>
      </x:c>
      <x:c r="K149" s="60" t="n">
        <x:v>0.0355471373</x:v>
      </x:c>
      <x:c r="L149" s="60" t="n">
        <x:v>0</x:v>
      </x:c>
      <x:c r="M149" s="60" t="n">
        <x:v>0.0355471373</x:v>
      </x:c>
      <x:c r="N149" s="46" t="str">
        <x:v>hyperprosopon argenteum</x:v>
      </x:c>
      <x:c r="O149" s="62" t="n">
        <x:v>3.5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Hyperprosopon argenteum</x:v>
      </x:c>
      <x:c r="T149" s="62" t="n">
        <x:f>IF(O149="","",(1/'Metadata'!$B$5)^(O149-1))</x:f>
        <x:v>1788.8543819998317</x:v>
      </x:c>
      <x:c r="U149" s="60" t="n">
        <x:f>IF(T149="","",I149*T149)</x:f>
        <x:v>63.58865232665466</x:v>
      </x:c>
    </x:row>
    <x:row r="150" ht="18" customHeight="1">
      <x:c r="A150" s="46" t="str">
        <x:v>LME_002</x:v>
      </x:c>
      <x:c r="B150" s="46" t="str">
        <x:v>Gulf of Alaska</x:v>
      </x:c>
      <x:c r="C150" s="46" t="str">
        <x:v>LME</x:v>
      </x:c>
      <x:c r="D150" s="58" t="n">
        <x:v>2019</x:v>
      </x:c>
      <x:c r="E150" s="46" t="str">
        <x:v>Sebastes aurora</x:v>
      </x:c>
      <x:c r="F150" s="46" t="str">
        <x:v>Aurora rockfish</x:v>
      </x:c>
      <x:c r="G150" s="46" t="str">
        <x:v>Medium bathydemersals (30 - 89 cm)</x:v>
      </x:c>
      <x:c r="H150" s="46" t="str">
        <x:v>Scorpionfishes</x:v>
      </x:c>
      <x:c r="I150" s="60" t="n">
        <x:v>0.024001827299999997</x:v>
      </x:c>
      <x:c r="J150" s="60" t="n">
        <x:v>0.024001827299999997</x:v>
      </x:c>
      <x:c r="K150" s="60" t="n">
        <x:v>0</x:v>
      </x:c>
      <x:c r="L150" s="60" t="n">
        <x:v>0.024001827299999997</x:v>
      </x:c>
      <x:c r="M150" s="60" t="n">
        <x:v>0</x:v>
      </x:c>
      <x:c r="N150" s="46" t="str">
        <x:v>sebastes aurora</x:v>
      </x:c>
      <x:c r="O150" s="62" t="n">
        <x:v>3.68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Sebastes aurora</x:v>
      </x:c>
      <x:c r="T150" s="62" t="n">
        <x:f>IF(O150="","",(1/'Metadata'!$B$5)^(O150-1))</x:f>
        <x:v>3067.3291957408446</x:v>
      </x:c>
      <x:c r="U150" s="60" t="n">
        <x:f>IF(T150="","",I150*T150)</x:f>
        <x:v>73.62150562841964</x:v>
      </x:c>
    </x:row>
    <x:row r="151" ht="18" customHeight="1">
      <x:c r="A151" s="46" t="str">
        <x:v>LME_002</x:v>
      </x:c>
      <x:c r="B151" s="46" t="str">
        <x:v>Gulf of Alaska</x:v>
      </x:c>
      <x:c r="C151" s="46" t="str">
        <x:v>LME</x:v>
      </x:c>
      <x:c r="D151" s="58" t="n">
        <x:v>2019</x:v>
      </x:c>
      <x:c r="E151" s="46" t="str">
        <x:v>Brachyura</x:v>
      </x:c>
      <x:c r="F151" s="46" t="str">
        <x:v>Marine crabs</x:v>
      </x:c>
      <x:c r="G151" s="46" t="str">
        <x:v>Lobsters, crabs</x:v>
      </x:c>
      <x:c r="H151" s="46" t="str">
        <x:v>Crustaceans</x:v>
      </x:c>
      <x:c r="I151" s="60" t="n">
        <x:v>0.0177266921</x:v>
      </x:c>
      <x:c r="J151" s="60" t="n">
        <x:v>0.0170254108</x:v>
      </x:c>
      <x:c r="K151" s="60" t="n">
        <x:v>0.0007012813</x:v>
      </x:c>
      <x:c r="L151" s="60" t="n">
        <x:v>0</x:v>
      </x:c>
      <x:c r="M151" s="60" t="n">
        <x:v>0.0177266921</x:v>
      </x:c>
      <x:c r="N151" s="46" t="str">
        <x:v>brachyura</x:v>
      </x:c>
      <x:c r="O151" s="62" t="n">
        <x:v>2.6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Brachyura</x:v>
      </x:c>
      <x:c r="T151" s="62" t="n">
        <x:f>IF(O151="","",(1/'Metadata'!$B$5)^(O151-1))</x:f>
        <x:v>120.6835267309033</x:v>
      </x:c>
      <x:c r="U151" s="60" t="n">
        <x:f>IF(T151="","",I151*T151)</x:f>
        <x:v>2.1393197199008425</x:v>
      </x:c>
    </x:row>
    <x:row r="152" ht="18" customHeight="1">
      <x:c r="A152" s="46" t="str">
        <x:v>LME_002</x:v>
      </x:c>
      <x:c r="B152" s="46" t="str">
        <x:v>Gulf of Alaska</x:v>
      </x:c>
      <x:c r="C152" s="46" t="str">
        <x:v>LME</x:v>
      </x:c>
      <x:c r="D152" s="58" t="n">
        <x:v>2019</x:v>
      </x:c>
      <x:c r="E152" s="46" t="str">
        <x:v>Isurus oxyrinchus</x:v>
      </x:c>
      <x:c r="F152" s="46" t="str">
        <x:v>Shortfin mako</x:v>
      </x:c>
      <x:c r="G152" s="46" t="str">
        <x:v>Large sharks (&gt;=90 cm)</x:v>
      </x:c>
      <x:c r="H152" s="46" t="str">
        <x:v>Sharks &amp; rays</x:v>
      </x:c>
      <x:c r="I152" s="60" t="n">
        <x:v>0.0116084596</x:v>
      </x:c>
      <x:c r="J152" s="60" t="n">
        <x:v>0.0116084596</x:v>
      </x:c>
      <x:c r="K152" s="60" t="n">
        <x:v>0</x:v>
      </x:c>
      <x:c r="L152" s="60" t="n">
        <x:v>0.007533423500000001</x:v>
      </x:c>
      <x:c r="M152" s="60" t="n">
        <x:v>0.0040750361</x:v>
      </x:c>
      <x:c r="N152" s="46" t="str">
        <x:v>isurus oxyrinchus</x:v>
      </x:c>
      <x:c r="O152" s="62" t="n">
        <x:v>4.5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Isurus oxyrinchus</x:v>
      </x:c>
      <x:c r="T152" s="62" t="n">
        <x:f>IF(O152="","",(1/'Metadata'!$B$5)^(O152-1))</x:f>
        <x:v>35777.08763999664</x:v>
      </x:c>
      <x:c r="U152" s="60" t="n">
        <x:f>IF(T152="","",I152*T152)</x:f>
        <x:v>415.31687647456033</x:v>
      </x:c>
    </x:row>
    <x:row r="153" ht="18" customHeight="1">
      <x:c r="A153" s="46" t="str">
        <x:v>LME_002</x:v>
      </x:c>
      <x:c r="B153" s="46" t="str">
        <x:v>Gulf of Alaska</x:v>
      </x:c>
      <x:c r="C153" s="46" t="str">
        <x:v>LME</x:v>
      </x:c>
      <x:c r="D153" s="58" t="n">
        <x:v>2019</x:v>
      </x:c>
      <x:c r="E153" s="46" t="str">
        <x:v>Octopoda</x:v>
      </x:c>
      <x:c r="F153" s="46" t="str">
        <x:v>Octopuses, argonauts</x:v>
      </x:c>
      <x:c r="G153" s="46" t="str">
        <x:v>Cephalopods</x:v>
      </x:c>
      <x:c r="H153" s="46" t="str">
        <x:v>Other fishes &amp; inverts</x:v>
      </x:c>
      <x:c r="I153" s="60" t="n">
        <x:v>0.0100090187</x:v>
      </x:c>
      <x:c r="J153" s="60" t="n">
        <x:v>0.0100090187</x:v>
      </x:c>
      <x:c r="K153" s="60" t="n">
        <x:v>0</x:v>
      </x:c>
      <x:c r="L153" s="60" t="n">
        <x:v>0</x:v>
      </x:c>
      <x:c r="M153" s="60" t="n">
        <x:v>0.0100090187</x:v>
      </x:c>
      <x:c r="N153" s="46" t="str">
        <x:v>octopoda</x:v>
      </x:c>
      <x:c r="O153" s="62" t="n">
        <x:v>3.58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Octopoda</x:v>
      </x:c>
      <x:c r="T153" s="62" t="n">
        <x:f>IF(O153="","",(1/'Metadata'!$B$5)^(O153-1))</x:f>
        <x:v>2273.3033337150473</x:v>
      </x:c>
      <x:c r="U153" s="60" t="n">
        <x:f>IF(T153="","",I153*T153)</x:f>
        <x:v>22.75353557792625</x:v>
      </x:c>
    </x:row>
    <x:row r="154" ht="18" customHeight="1">
      <x:c r="A154" s="46" t="str">
        <x:v>LME_002</x:v>
      </x:c>
      <x:c r="B154" s="46" t="str">
        <x:v>Gulf of Alaska</x:v>
      </x:c>
      <x:c r="C154" s="46" t="str">
        <x:v>LME</x:v>
      </x:c>
      <x:c r="D154" s="58" t="n">
        <x:v>2019</x:v>
      </x:c>
      <x:c r="E154" s="46" t="str">
        <x:v>Hexanchus griseus</x:v>
      </x:c>
      <x:c r="F154" s="46" t="str">
        <x:v>Bluntnose sixgill shark</x:v>
      </x:c>
      <x:c r="G154" s="46" t="str">
        <x:v>Large sharks (&gt;=90 cm)</x:v>
      </x:c>
      <x:c r="H154" s="46" t="str">
        <x:v>Sharks &amp; rays</x:v>
      </x:c>
      <x:c r="I154" s="60" t="n">
        <x:v>0.0096665334</x:v>
      </x:c>
      <x:c r="J154" s="60" t="n">
        <x:v>0.0088386034</x:v>
      </x:c>
      <x:c r="K154" s="60" t="n">
        <x:v>0.00082793</x:v>
      </x:c>
      <x:c r="L154" s="60" t="n">
        <x:v>0</x:v>
      </x:c>
      <x:c r="M154" s="60" t="n">
        <x:v>0.0096665334</x:v>
      </x:c>
      <x:c r="N154" s="46" t="str">
        <x:v>hexanchus griseus</x:v>
      </x:c>
      <x:c r="O154" s="62" t="n">
        <x:v>4.48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Hexanchus griseus</x:v>
      </x:c>
      <x:c r="T154" s="62" t="n">
        <x:f>IF(O154="","",(1/'Metadata'!$B$5)^(O154-1))</x:f>
        <x:v>33696.468277717824</x:v>
      </x:c>
      <x:c r="U154" s="60" t="n">
        <x:f>IF(T154="","",I154*T154)</x:f>
        <x:v>325.7280360685998</x:v>
      </x:c>
    </x:row>
    <x:row r="155" ht="18" customHeight="1">
      <x:c r="A155" s="46" t="str">
        <x:v>LME_002</x:v>
      </x:c>
      <x:c r="B155" s="46" t="str">
        <x:v>Gulf of Alaska</x:v>
      </x:c>
      <x:c r="C155" s="46" t="str">
        <x:v>LME</x:v>
      </x:c>
      <x:c r="D155" s="58" t="n">
        <x:v>2019</x:v>
      </x:c>
      <x:c r="E155" s="46" t="str">
        <x:v>Cancer antennarius</x:v>
      </x:c>
      <x:c r="F155" s="46" t="str">
        <x:v>California red rock crab</x:v>
      </x:c>
      <x:c r="G155" s="46" t="str">
        <x:v>Lobsters, crabs</x:v>
      </x:c>
      <x:c r="H155" s="46" t="str">
        <x:v>Crustaceans</x:v>
      </x:c>
      <x:c r="I155" s="60" t="n">
        <x:v>0.0066744447</x:v>
      </x:c>
      <x:c r="J155" s="60" t="n">
        <x:v>0.0066744447</x:v>
      </x:c>
      <x:c r="K155" s="60" t="n">
        <x:v>0</x:v>
      </x:c>
      <x:c r="L155" s="60" t="n">
        <x:v>0</x:v>
      </x:c>
      <x:c r="M155" s="60" t="n">
        <x:v>0.0066744447</x:v>
      </x:c>
      <x:c r="N155" s="46" t="str">
        <x:v>cancer antennarius</x:v>
      </x:c>
      <x:c r="O155" s="62" t="n">
        <x:v>3.77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Cancer antennarius</x:v>
      </x:c>
      <x:c r="T155" s="62" t="n">
        <x:f>IF(O155="","",(1/'Metadata'!$B$5)^(O155-1))</x:f>
        <x:v>4016.549170818885</x:v>
      </x:c>
      <x:c r="U155" s="60" t="n">
        <x:f>IF(T155="","",I155*T155)</x:f>
        <x:v>26.808235325461503</x:v>
      </x:c>
    </x:row>
    <x:row r="156" ht="18" customHeight="1">
      <x:c r="A156" s="46" t="str">
        <x:v>LME_002</x:v>
      </x:c>
      <x:c r="B156" s="46" t="str">
        <x:v>Gulf of Alaska</x:v>
      </x:c>
      <x:c r="C156" s="46" t="str">
        <x:v>LME</x:v>
      </x:c>
      <x:c r="D156" s="58" t="n">
        <x:v>2019</x:v>
      </x:c>
      <x:c r="E156" s="46" t="str">
        <x:v>Ammodytidae</x:v>
      </x:c>
      <x:c r="F156" s="46" t="str">
        <x:v>Sand lances</x:v>
      </x:c>
      <x:c r="G156" s="46" t="str">
        <x:v>Large reef assoc. fish (&gt;=90 cm)</x:v>
      </x:c>
      <x:c r="H156" s="46" t="str">
        <x:v>Perch-likes</x:v>
      </x:c>
      <x:c r="I156" s="60" t="n">
        <x:v>0.0063871694</x:v>
      </x:c>
      <x:c r="J156" s="60" t="n">
        <x:v>0.0005142971</x:v>
      </x:c>
      <x:c r="K156" s="60" t="n">
        <x:v>0.0058728723</x:v>
      </x:c>
      <x:c r="L156" s="60" t="n">
        <x:v>0</x:v>
      </x:c>
      <x:c r="M156" s="60" t="n">
        <x:v>0.0063871694</x:v>
      </x:c>
      <x:c r="N156" s="46" t="str">
        <x:v>ammodytidae</x:v>
      </x:c>
      <x:c r="O156" s="62" t="n">
        <x:v>3.11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Ammodytidae</x:v>
      </x:c>
      <x:c r="T156" s="62" t="n">
        <x:f>IF(O156="","",(1/'Metadata'!$B$5)^(O156-1))</x:f>
        <x:v>556.1261167405597</x:v>
      </x:c>
      <x:c r="U156" s="60" t="n">
        <x:f>IF(T156="","",I156*T156)</x:f>
        <x:v>3.552071715386131</x:v>
      </x:c>
    </x:row>
    <x:row r="157" ht="18" customHeight="1">
      <x:c r="A157" s="46" t="str">
        <x:v>LME_002</x:v>
      </x:c>
      <x:c r="B157" s="46" t="str">
        <x:v>Gulf of Alaska</x:v>
      </x:c>
      <x:c r="C157" s="46" t="str">
        <x:v>LME</x:v>
      </x:c>
      <x:c r="D157" s="58" t="n">
        <x:v>2019</x:v>
      </x:c>
      <x:c r="E157" s="46" t="str">
        <x:v>Phanerodon furcatus</x:v>
      </x:c>
      <x:c r="F157" s="46" t="str">
        <x:v>White seaperch</x:v>
      </x:c>
      <x:c r="G157" s="46" t="str">
        <x:v>Medium demersals (30 - 89 cm)</x:v>
      </x:c>
      <x:c r="H157" s="46" t="str">
        <x:v>Perch-likes</x:v>
      </x:c>
      <x:c r="I157" s="60" t="n">
        <x:v>0.0059067354</x:v>
      </x:c>
      <x:c r="J157" s="60" t="n">
        <x:v>0</x:v>
      </x:c>
      <x:c r="K157" s="60" t="n">
        <x:v>0.0059067354</x:v>
      </x:c>
      <x:c r="L157" s="60" t="n">
        <x:v>0</x:v>
      </x:c>
      <x:c r="M157" s="60" t="n">
        <x:v>0.0059067354</x:v>
      </x:c>
      <x:c r="N157" s="46" t="str">
        <x:v>phanerodon furcatus</x:v>
      </x:c>
      <x:c r="O157" s="62" t="n">
        <x:v>3.3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Phanerodon furcatus</x:v>
      </x:c>
      <x:c r="T157" s="62" t="n">
        <x:f>IF(O157="","",(1/'Metadata'!$B$5)^(O157-1))</x:f>
        <x:v>982.5824208926318</x:v>
      </x:c>
      <x:c r="U157" s="60" t="n">
        <x:f>IF(T157="","",I157*T157)</x:f>
        <x:v>5.803854368904208</x:v>
      </x:c>
    </x:row>
    <x:row r="158" ht="18" customHeight="1">
      <x:c r="A158" s="46" t="str">
        <x:v>LME_002</x:v>
      </x:c>
      <x:c r="B158" s="46" t="str">
        <x:v>Gulf of Alaska</x:v>
      </x:c>
      <x:c r="C158" s="46" t="str">
        <x:v>LME</x:v>
      </x:c>
      <x:c r="D158" s="58" t="n">
        <x:v>2019</x:v>
      </x:c>
      <x:c r="E158" s="46" t="str">
        <x:v>Engraulis mordax</x:v>
      </x:c>
      <x:c r="F158" s="46" t="str">
        <x:v>Californian anchovy</x:v>
      </x:c>
      <x:c r="G158" s="46" t="str">
        <x:v>Small pelagics (&lt;30 cm)</x:v>
      </x:c>
      <x:c r="H158" s="46" t="str">
        <x:v>Anchovies</x:v>
      </x:c>
      <x:c r="I158" s="60" t="n">
        <x:v>0.0052133158</x:v>
      </x:c>
      <x:c r="J158" s="60" t="n">
        <x:v>0.0001025646</x:v>
      </x:c>
      <x:c r="K158" s="60" t="n">
        <x:v>0.0051107512</x:v>
      </x:c>
      <x:c r="L158" s="60" t="n">
        <x:v>0</x:v>
      </x:c>
      <x:c r="M158" s="60" t="n">
        <x:v>0.0052133158</x:v>
      </x:c>
      <x:c r="N158" s="46" t="str">
        <x:v>engraulis mordax</x:v>
      </x:c>
      <x:c r="O158" s="62" t="n">
        <x:v>2.97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Engraulis mordax</x:v>
      </x:c>
      <x:c r="T158" s="62" t="n">
        <x:f>IF(O158="","",(1/'Metadata'!$B$5)^(O158-1))</x:f>
        <x:v>365.61928200434755</x:v>
      </x:c>
      <x:c r="U158" s="60" t="n">
        <x:f>IF(T158="","",I158*T158)</x:f>
        <x:v>1.9060887796579207</x:v>
      </x:c>
    </x:row>
    <x:row r="159" ht="18" customHeight="1">
      <x:c r="A159" s="46" t="str">
        <x:v>LME_002</x:v>
      </x:c>
      <x:c r="B159" s="46" t="str">
        <x:v>Gulf of Alaska</x:v>
      </x:c>
      <x:c r="C159" s="46" t="str">
        <x:v>LME</x:v>
      </x:c>
      <x:c r="D159" s="58" t="n">
        <x:v>2019</x:v>
      </x:c>
      <x:c r="E159" s="46" t="str">
        <x:v>Hexagrammos lagocephalus</x:v>
      </x:c>
      <x:c r="F159" s="46" t="str">
        <x:v>Rock greenling</x:v>
      </x:c>
      <x:c r="G159" s="46" t="str">
        <x:v>Medium demersals (30 - 89 cm)</x:v>
      </x:c>
      <x:c r="H159" s="46" t="str">
        <x:v>Scorpionfishes</x:v>
      </x:c>
      <x:c r="I159" s="60" t="n">
        <x:v>0.002097323</x:v>
      </x:c>
      <x:c r="J159" s="60" t="n">
        <x:v>0</x:v>
      </x:c>
      <x:c r="K159" s="60" t="n">
        <x:v>0.002097323</x:v>
      </x:c>
      <x:c r="L159" s="60" t="n">
        <x:v>0</x:v>
      </x:c>
      <x:c r="M159" s="60" t="n">
        <x:v>0.002097323</x:v>
      </x:c>
      <x:c r="N159" s="46" t="str">
        <x:v>hexagrammos lagocephalus</x:v>
      </x:c>
      <x:c r="O159" s="62" t="n">
        <x:v>3.67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Hexagrammos lagocephalus</x:v>
      </x:c>
      <x:c r="T159" s="62" t="n">
        <x:f>IF(O159="","",(1/'Metadata'!$B$5)^(O159-1))</x:f>
        <x:v>2976.8029570258213</x:v>
      </x:c>
      <x:c r="U159" s="60" t="n">
        <x:f>IF(T159="","",I159*T159)</x:f>
        <x:v>6.243317308238266</x:v>
      </x:c>
    </x:row>
    <x:row r="160" ht="18" customHeight="1">
      <x:c r="A160" s="46" t="str">
        <x:v>LME_002</x:v>
      </x:c>
      <x:c r="B160" s="46" t="str">
        <x:v>Gulf of Alaska</x:v>
      </x:c>
      <x:c r="C160" s="46" t="str">
        <x:v>LME</x:v>
      </x:c>
      <x:c r="D160" s="58" t="n">
        <x:v>2019</x:v>
      </x:c>
      <x:c r="E160" s="46" t="str">
        <x:v>Lampris guttatus</x:v>
      </x:c>
      <x:c r="F160" s="46" t="str">
        <x:v>Opah</x:v>
      </x:c>
      <x:c r="G160" s="46" t="str">
        <x:v>Large bathypelagics (&gt;=90 cm)</x:v>
      </x:c>
      <x:c r="H160" s="46" t="str">
        <x:v>Other fishes &amp; inverts</x:v>
      </x:c>
      <x:c r="I160" s="60" t="n">
        <x:v>0.0016582616</x:v>
      </x:c>
      <x:c r="J160" s="60" t="n">
        <x:v>0.0016582616</x:v>
      </x:c>
      <x:c r="K160" s="60" t="n">
        <x:v>0</x:v>
      </x:c>
      <x:c r="L160" s="60" t="n">
        <x:v>0</x:v>
      </x:c>
      <x:c r="M160" s="60" t="n">
        <x:v>0.0016582616</x:v>
      </x:c>
      <x:c r="N160" s="46" t="str">
        <x:v>lampris guttatus</x:v>
      </x:c>
      <x:c r="O160" s="62" t="n">
        <x:v>4.22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Lampris guttatus</x:v>
      </x:c>
      <x:c r="T160" s="62" t="n">
        <x:f>IF(O160="","",(1/'Metadata'!$B$5)^(O160-1))</x:f>
        <x:v>15463.812886046735</x:v>
      </x:c>
      <x:c r="U160" s="60" t="n">
        <x:f>IF(T160="","",I160*T160)</x:f>
        <x:v>25.643047098516476</x:v>
      </x:c>
    </x:row>
    <x:row r="161" ht="18" customHeight="1">
      <x:c r="A161" s="46" t="str">
        <x:v>LME_002</x:v>
      </x:c>
      <x:c r="B161" s="46" t="str">
        <x:v>Gulf of Alaska</x:v>
      </x:c>
      <x:c r="C161" s="46" t="str">
        <x:v>LME</x:v>
      </x:c>
      <x:c r="D161" s="58" t="n">
        <x:v>2019</x:v>
      </x:c>
      <x:c r="E161" s="46" t="str">
        <x:v>Scyliorhinidae</x:v>
      </x:c>
      <x:c r="F161" s="46" t="str">
        <x:v>Cat/swellsharks</x:v>
      </x:c>
      <x:c r="G161" s="46" t="str">
        <x:v>Large sharks (&gt;=90 cm)</x:v>
      </x:c>
      <x:c r="H161" s="46" t="str">
        <x:v>Sharks &amp; rays</x:v>
      </x:c>
      <x:c r="I161" s="60" t="n">
        <x:v>0.0014100201</x:v>
      </x:c>
      <x:c r="J161" s="60" t="n">
        <x:v>0.0014100201</x:v>
      </x:c>
      <x:c r="K161" s="60" t="n">
        <x:v>0</x:v>
      </x:c>
      <x:c r="L161" s="60" t="n">
        <x:v>0</x:v>
      </x:c>
      <x:c r="M161" s="60" t="n">
        <x:v>0.0014100201</x:v>
      </x:c>
      <x:c r="N161" s="46" t="str">
        <x:v>scyliorhinidae</x:v>
      </x:c>
      <x:c r="O161" s="62" t="n">
        <x:v>3.97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Scyliorhinidae</x:v>
      </x:c>
      <x:c r="T161" s="62" t="n">
        <x:f>IF(O161="","",(1/'Metadata'!$B$5)^(O161-1))</x:f>
        <x:v>7312.385640086951</x:v>
      </x:c>
      <x:c r="U161" s="60" t="n">
        <x:f>IF(T161="","",I161*T161)</x:f>
        <x:v>10.310610731473966</x:v>
      </x:c>
    </x:row>
    <x:row r="162" ht="18" customHeight="1">
      <x:c r="A162" s="46" t="str">
        <x:v>LME_002</x:v>
      </x:c>
      <x:c r="B162" s="46" t="str">
        <x:v>Gulf of Alaska</x:v>
      </x:c>
      <x:c r="C162" s="46" t="str">
        <x:v>LME</x:v>
      </x:c>
      <x:c r="D162" s="58" t="n">
        <x:v>2019</x:v>
      </x:c>
      <x:c r="E162" s="46" t="str">
        <x:v>Stromateidae</x:v>
      </x:c>
      <x:c r="F162" s="46" t="str">
        <x:v>Butterfishes</x:v>
      </x:c>
      <x:c r="G162" s="46" t="str">
        <x:v>Small benthopelagics (&lt;30 cm)</x:v>
      </x:c>
      <x:c r="H162" s="46" t="str">
        <x:v>Perch-likes</x:v>
      </x:c>
      <x:c r="I162" s="60" t="n">
        <x:v>0.0013604217</x:v>
      </x:c>
      <x:c r="J162" s="60" t="n">
        <x:v>0.0013604217</x:v>
      </x:c>
      <x:c r="K162" s="60" t="n">
        <x:v>0</x:v>
      </x:c>
      <x:c r="L162" s="60" t="n">
        <x:v>0</x:v>
      </x:c>
      <x:c r="M162" s="60" t="n">
        <x:v>0.0013604217</x:v>
      </x:c>
      <x:c r="N162" s="46" t="str">
        <x:v>stromateidae</x:v>
      </x:c>
      <x:c r="O162" s="62" t="n">
        <x:v>3.62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Stromateidae</x:v>
      </x:c>
      <x:c r="T162" s="62" t="n">
        <x:f>IF(O162="","",(1/'Metadata'!$B$5)^(O162-1))</x:f>
        <x:v>2562.7048371775754</x:v>
      </x:c>
      <x:c r="U162" s="60" t="n">
        <x:f>IF(T162="","",I162*T162)</x:f>
        <x:v>3.4863592711913403</x:v>
      </x:c>
    </x:row>
    <x:row r="163" ht="18" customHeight="1">
      <x:c r="A163" s="46" t="str">
        <x:v>LME_002</x:v>
      </x:c>
      <x:c r="B163" s="46" t="str">
        <x:v>Gulf of Alaska</x:v>
      </x:c>
      <x:c r="C163" s="46" t="str">
        <x:v>LME</x:v>
      </x:c>
      <x:c r="D163" s="58" t="n">
        <x:v>2019</x:v>
      </x:c>
      <x:c r="E163" s="46" t="str">
        <x:v>Mola mola</x:v>
      </x:c>
      <x:c r="F163" s="46" t="str">
        <x:v>Ocean sunfish</x:v>
      </x:c>
      <x:c r="G163" s="46" t="str">
        <x:v>Large pelagics (&gt;=90 cm)</x:v>
      </x:c>
      <x:c r="H163" s="46" t="str">
        <x:v>Other fishes &amp; inverts</x:v>
      </x:c>
      <x:c r="I163" s="60" t="n">
        <x:v>0.0012528459000000001</x:v>
      </x:c>
      <x:c r="J163" s="60" t="n">
        <x:v>0.0011588506</x:v>
      </x:c>
      <x:c r="K163" s="60" t="n">
        <x:v>0.0000939953</x:v>
      </x:c>
      <x:c r="L163" s="60" t="n">
        <x:v>0</x:v>
      </x:c>
      <x:c r="M163" s="60" t="n">
        <x:v>0.0012528459000000001</x:v>
      </x:c>
      <x:c r="N163" s="46" t="str">
        <x:v>mola mola</x:v>
      </x:c>
      <x:c r="O163" s="62" t="n">
        <x:v>3.68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Mola mola</x:v>
      </x:c>
      <x:c r="T163" s="62" t="n">
        <x:f>IF(O163="","",(1/'Metadata'!$B$5)^(O163-1))</x:f>
        <x:v>3067.3291957408446</x:v>
      </x:c>
      <x:c r="U163" s="60" t="n">
        <x:f>IF(T163="","",I163*T163)</x:f>
        <x:v>3.842890806834215</x:v>
      </x:c>
    </x:row>
    <x:row r="164" ht="18" customHeight="1">
      <x:c r="A164" s="46" t="str">
        <x:v>LME_002</x:v>
      </x:c>
      <x:c r="B164" s="46" t="str">
        <x:v>Gulf of Alaska</x:v>
      </x:c>
      <x:c r="C164" s="46" t="str">
        <x:v>LME</x:v>
      </x:c>
      <x:c r="D164" s="58" t="n">
        <x:v>2019</x:v>
      </x:c>
      <x:c r="E164" s="46" t="str">
        <x:v>Alepisaurus ferox</x:v>
      </x:c>
      <x:c r="F164" s="46" t="str">
        <x:v>Long snouted lancetfish</x:v>
      </x:c>
      <x:c r="G164" s="46" t="str">
        <x:v>Large bathypelagics (&gt;=90 cm)</x:v>
      </x:c>
      <x:c r="H164" s="46" t="str">
        <x:v>Other fishes &amp; inverts</x:v>
      </x:c>
      <x:c r="I164" s="60" t="n">
        <x:v>0.0010045103</x:v>
      </x:c>
      <x:c r="J164" s="60" t="n">
        <x:v>0.0010045103</x:v>
      </x:c>
      <x:c r="K164" s="60" t="n">
        <x:v>0</x:v>
      </x:c>
      <x:c r="L164" s="60" t="n">
        <x:v>0</x:v>
      </x:c>
      <x:c r="M164" s="60" t="n">
        <x:v>0.0010045103</x:v>
      </x:c>
      <x:c r="N164" s="46" t="str">
        <x:v>alepisaurus ferox</x:v>
      </x:c>
      <x:c r="O164" s="62" t="n">
        <x:v>4.03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Alepisaurus ferox</x:v>
      </x:c>
      <x:c r="T164" s="62" t="n">
        <x:f>IF(O164="","",(1/'Metadata'!$B$5)^(O164-1))</x:f>
        <x:v>8752.273628615554</x:v>
      </x:c>
      <x:c r="U164" s="60" t="n">
        <x:f>IF(T164="","",I164*T164)</x:f>
        <x:v>8.791749008362698</x:v>
      </x:c>
    </x:row>
    <x:row r="165" ht="18" customHeight="1">
      <x:c r="A165" s="46" t="str">
        <x:v>LME_002</x:v>
      </x:c>
      <x:c r="B165" s="46" t="str">
        <x:v>Gulf of Alaska</x:v>
      </x:c>
      <x:c r="C165" s="46" t="str">
        <x:v>LME</x:v>
      </x:c>
      <x:c r="D165" s="58" t="n">
        <x:v>2019</x:v>
      </x:c>
      <x:c r="E165" s="46" t="str">
        <x:v>Hypomesus pretiosus</x:v>
      </x:c>
      <x:c r="F165" s="46" t="str">
        <x:v>Surf smelt</x:v>
      </x:c>
      <x:c r="G165" s="46" t="str">
        <x:v>Small pelagics (&lt;30 cm)</x:v>
      </x:c>
      <x:c r="H165" s="46" t="str">
        <x:v>Salmon, smelts, etc</x:v>
      </x:c>
      <x:c r="I165" s="60" t="n">
        <x:v>0.000906485</x:v>
      </x:c>
      <x:c r="J165" s="60" t="n">
        <x:v>0</x:v>
      </x:c>
      <x:c r="K165" s="60" t="n">
        <x:v>0.000906485</x:v>
      </x:c>
      <x:c r="L165" s="60" t="n">
        <x:v>0</x:v>
      </x:c>
      <x:c r="M165" s="60" t="n">
        <x:v>0.000906485</x:v>
      </x:c>
      <x:c r="N165" s="46" t="str">
        <x:v>hypomesus pretiosus</x:v>
      </x:c>
      <x:c r="O165" s="62" t="n">
        <x:v>3.43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Hypomesus pretiosus</x:v>
      </x:c>
      <x:c r="T165" s="62" t="n">
        <x:f>IF(O165="","",(1/'Metadata'!$B$5)^(O165-1))</x:f>
        <x:v>1450.450424461182</x:v>
      </x:c>
      <x:c r="U165" s="60" t="n">
        <x:f>IF(T165="","",I165*T165)</x:f>
        <x:v>1.3148115530176945</x:v>
      </x:c>
    </x:row>
    <x:row r="166" ht="18" customHeight="1">
      <x:c r="A166" s="46" t="str">
        <x:v>LME_002</x:v>
      </x:c>
      <x:c r="B166" s="46" t="str">
        <x:v>Gulf of Alaska</x:v>
      </x:c>
      <x:c r="C166" s="46" t="str">
        <x:v>LME</x:v>
      </x:c>
      <x:c r="D166" s="58" t="n">
        <x:v>2019</x:v>
      </x:c>
      <x:c r="E166" s="46" t="str">
        <x:v>Thunnus</x:v>
      </x:c>
      <x:c r="F166" s="46" t="str">
        <x:v>Tunas</x:v>
      </x:c>
      <x:c r="G166" s="46" t="str">
        <x:v>Large pelagics (&gt;=90 cm)</x:v>
      </x:c>
      <x:c r="H166" s="46" t="str">
        <x:v>Tuna &amp; billfishes</x:v>
      </x:c>
      <x:c r="I166" s="60" t="n">
        <x:v>0.0005189923</x:v>
      </x:c>
      <x:c r="J166" s="60" t="n">
        <x:v>0.0005189923</x:v>
      </x:c>
      <x:c r="K166" s="60" t="n">
        <x:v>0</x:v>
      </x:c>
      <x:c r="L166" s="60" t="n">
        <x:v>0</x:v>
      </x:c>
      <x:c r="M166" s="60" t="n">
        <x:v>0.0005189923</x:v>
      </x:c>
      <x:c r="N166" s="46" t="str">
        <x:v>thunnus</x:v>
      </x:c>
      <x:c r="O166" s="62" t="n">
        <x:v>4.34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Thunnus</x:v>
      </x:c>
      <x:c r="T166" s="62" t="n">
        <x:f>IF(O166="","",(1/'Metadata'!$B$5)^(O166-1))</x:f>
        <x:v>22153.389612394185</x:v>
      </x:c>
      <x:c r="U166" s="60" t="n">
        <x:f>IF(T166="","",I166*T166)</x:f>
        <x:v>11.497438627732567</x:v>
      </x:c>
    </x:row>
    <x:row r="167" ht="18" customHeight="1">
      <x:c r="A167" s="46" t="str">
        <x:v>LME_002</x:v>
      </x:c>
      <x:c r="B167" s="46" t="str">
        <x:v>Gulf of Alaska</x:v>
      </x:c>
      <x:c r="C167" s="46" t="str">
        <x:v>LME</x:v>
      </x:c>
      <x:c r="D167" s="58" t="n">
        <x:v>2019</x:v>
      </x:c>
      <x:c r="E167" s="46" t="str">
        <x:v>Scombridae</x:v>
      </x:c>
      <x:c r="F167" s="46" t="str">
        <x:v>Mackerels, tunas, bonitos</x:v>
      </x:c>
      <x:c r="G167" s="46" t="str">
        <x:v>Medium pelagics (30 - 89 cm)</x:v>
      </x:c>
      <x:c r="H167" s="46" t="str">
        <x:v>Perch-likes</x:v>
      </x:c>
      <x:c r="I167" s="60" t="n">
        <x:v>0.000502974</x:v>
      </x:c>
      <x:c r="J167" s="60" t="n">
        <x:v>0.000502974</x:v>
      </x:c>
      <x:c r="K167" s="60" t="n">
        <x:v>0</x:v>
      </x:c>
      <x:c r="L167" s="60" t="n">
        <x:v>0</x:v>
      </x:c>
      <x:c r="M167" s="60" t="n">
        <x:v>0.000502974</x:v>
      </x:c>
      <x:c r="N167" s="46" t="str">
        <x:v>scombridae</x:v>
      </x:c>
      <x:c r="O167" s="62" t="n">
        <x:v>4.26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Scombridae</x:v>
      </x:c>
      <x:c r="T167" s="62" t="n">
        <x:f>IF(O167="","",(1/'Metadata'!$B$5)^(O167-1))</x:f>
        <x:v>17432.42421569787</x:v>
      </x:c>
      <x:c r="U167" s="60" t="n">
        <x:f>IF(T167="","",I167*T167)</x:f>
        <x:v>8.76805613746642</x:v>
      </x:c>
    </x:row>
    <x:row r="168" ht="18" customHeight="1">
      <x:c r="A168" s="46" t="str">
        <x:v>LME_002</x:v>
      </x:c>
      <x:c r="B168" s="46" t="str">
        <x:v>Gulf of Alaska</x:v>
      </x:c>
      <x:c r="C168" s="46" t="str">
        <x:v>LME</x:v>
      </x:c>
      <x:c r="D168" s="58" t="n">
        <x:v>2019</x:v>
      </x:c>
      <x:c r="E168" s="46" t="str">
        <x:v>Scomberesocidae</x:v>
      </x:c>
      <x:c r="F168" s="46" t="str">
        <x:v>Sauries</x:v>
      </x:c>
      <x:c r="G168" s="46" t="str">
        <x:v>Medium pelagics (30 - 89 cm)</x:v>
      </x:c>
      <x:c r="H168" s="46" t="str">
        <x:v>Other fishes &amp; inverts</x:v>
      </x:c>
      <x:c r="I168" s="60" t="n">
        <x:v>0.00045927710000000005</x:v>
      </x:c>
      <x:c r="J168" s="60" t="n">
        <x:v>0</x:v>
      </x:c>
      <x:c r="K168" s="60" t="n">
        <x:v>0.00045927710000000005</x:v>
      </x:c>
      <x:c r="L168" s="60" t="n">
        <x:v>0</x:v>
      </x:c>
      <x:c r="M168" s="60" t="n">
        <x:v>0.00045927710000000005</x:v>
      </x:c>
      <x:c r="N168" s="46" t="str">
        <x:v>scomberesocidae</x:v>
      </x:c>
      <x:c r="O168" s="62" t="n">
        <x:v>4.01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Scomberesocidae</x:v>
      </x:c>
      <x:c r="T168" s="62" t="n">
        <x:f>IF(O168="","",(1/'Metadata'!$B$5)^(O168-1))</x:f>
        <x:v>8243.284463290014</x:v>
      </x:c>
      <x:c r="U168" s="60" t="n">
        <x:f>IF(T168="","",I168*T168)</x:f>
        <x:v>3.7859517827748945</x:v>
      </x:c>
    </x:row>
    <x:row r="169" ht="18" customHeight="1">
      <x:c r="A169" s="46" t="str">
        <x:v>LME_002</x:v>
      </x:c>
      <x:c r="B169" s="46" t="str">
        <x:v>Gulf of Alaska</x:v>
      </x:c>
      <x:c r="C169" s="46" t="str">
        <x:v>LME</x:v>
      </x:c>
      <x:c r="D169" s="58" t="n">
        <x:v>2019</x:v>
      </x:c>
      <x:c r="E169" s="46" t="str">
        <x:v>Lamnidae</x:v>
      </x:c>
      <x:c r="F169" s="46" t="str">
        <x:v>Mackerel/white sharks</x:v>
      </x:c>
      <x:c r="G169" s="46" t="str">
        <x:v>Large sharks (&gt;=90 cm)</x:v>
      </x:c>
      <x:c r="H169" s="46" t="str">
        <x:v>Sharks &amp; rays</x:v>
      </x:c>
      <x:c r="I169" s="60" t="n">
        <x:v>0.0002684619</x:v>
      </x:c>
      <x:c r="J169" s="60" t="n">
        <x:v>0</x:v>
      </x:c>
      <x:c r="K169" s="60" t="n">
        <x:v>0.0002684619</x:v>
      </x:c>
      <x:c r="L169" s="60" t="n">
        <x:v>0</x:v>
      </x:c>
      <x:c r="M169" s="60" t="n">
        <x:v>0.0002684619</x:v>
      </x:c>
      <x:c r="N169" s="46" t="str">
        <x:v>lamnidae</x:v>
      </x:c>
      <x:c r="O169" s="62" t="n">
        <x:v>4.5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Lamnidae</x:v>
      </x:c>
      <x:c r="T169" s="62" t="n">
        <x:f>IF(O169="","",(1/'Metadata'!$B$5)^(O169-1))</x:f>
        <x:v>35777.08763999664</x:v>
      </x:c>
      <x:c r="U169" s="60" t="n">
        <x:f>IF(T169="","",I169*T169)</x:f>
        <x:v>9.604784924300013</x:v>
      </x:c>
    </x:row>
    <x:row r="170" ht="18" customHeight="1">
      <x:c r="A170" s="46" t="str">
        <x:v>LME_002</x:v>
      </x:c>
      <x:c r="B170" s="46" t="str">
        <x:v>Gulf of Alaska</x:v>
      </x:c>
      <x:c r="C170" s="46" t="str">
        <x:v>LME</x:v>
      </x:c>
      <x:c r="D170" s="58" t="n">
        <x:v>2019</x:v>
      </x:c>
      <x:c r="E170" s="46" t="str">
        <x:v>Eptatretus stoutii</x:v>
      </x:c>
      <x:c r="F170" s="46" t="str">
        <x:v>Pacific hagfish</x:v>
      </x:c>
      <x:c r="G170" s="46" t="str">
        <x:v>Medium demersals (30 - 89 cm)</x:v>
      </x:c>
      <x:c r="H170" s="46" t="str">
        <x:v>Other fishes &amp; inverts</x:v>
      </x:c>
      <x:c r="I170" s="60" t="n">
        <x:v>0.0001624938</x:v>
      </x:c>
      <x:c r="J170" s="60" t="n">
        <x:v>0</x:v>
      </x:c>
      <x:c r="K170" s="60" t="n">
        <x:v>0.0001624938</x:v>
      </x:c>
      <x:c r="L170" s="60" t="n">
        <x:v>0</x:v>
      </x:c>
      <x:c r="M170" s="60" t="n">
        <x:v>0.0001624938</x:v>
      </x:c>
      <x:c r="N170" s="46" t="str">
        <x:v>eptatretus stoutii</x:v>
      </x:c>
      <x:c r="O170" s="62" t="n">
        <x:v>4.24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Eptatretus stoutii</x:v>
      </x:c>
      <x:c r="T170" s="62" t="n">
        <x:f>IF(O170="","",(1/'Metadata'!$B$5)^(O170-1))</x:f>
        <x:v>16418.64020623336</x:v>
      </x:c>
      <x:c r="U170" s="60" t="n">
        <x:f>IF(T170="","",I170*T170)</x:f>
        <x:v>2.667927237943642</x:v>
      </x:c>
    </x:row>
    <x:row r="171" ht="18" customHeight="1">
      <x:c r="A171" s="46" t="str">
        <x:v>LME_002</x:v>
      </x:c>
      <x:c r="B171" s="46" t="str">
        <x:v>Gulf of Alaska</x:v>
      </x:c>
      <x:c r="C171" s="46" t="str">
        <x:v>LME</x:v>
      </x:c>
      <x:c r="D171" s="58" t="n">
        <x:v>2019</x:v>
      </x:c>
      <x:c r="E171" s="46" t="str">
        <x:v>Coregonus pidschian</x:v>
      </x:c>
      <x:c r="F171" s="46" t="str">
        <x:v>Humpback whitefish</x:v>
      </x:c>
      <x:c r="G171" s="46" t="str">
        <x:v>Medium demersals (30 - 89 cm)</x:v>
      </x:c>
      <x:c r="H171" s="46" t="str">
        <x:v>Salmon, smelts, etc</x:v>
      </x:c>
      <x:c r="I171" s="60" t="n">
        <x:v>0.0000640894</x:v>
      </x:c>
      <x:c r="J171" s="60" t="n">
        <x:v>0.0000640894</x:v>
      </x:c>
      <x:c r="K171" s="60" t="n">
        <x:v>0</x:v>
      </x:c>
      <x:c r="L171" s="60" t="n">
        <x:v>0</x:v>
      </x:c>
      <x:c r="M171" s="60" t="n">
        <x:v>0.0000640894</x:v>
      </x:c>
      <x:c r="N171" s="46" t="str">
        <x:v>coregonus pidschian</x:v>
      </x:c>
      <x:c r="O171" s="62" t="n">
        <x:v>3.31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Coregonus pidschian</x:v>
      </x:c>
      <x:c r="T171" s="62" t="n">
        <x:f>IF(O171="","",(1/'Metadata'!$B$5)^(O171-1))</x:f>
        <x:v>1012.4633005057666</x:v>
      </x:c>
      <x:c r="U171" s="60" t="n">
        <x:f>IF(T171="","",I171*T171)</x:f>
        <x:v>0.06488816545143428</x:v>
      </x:c>
    </x:row>
  </x:sheetData>
  <x:conditionalFormatting sqref="R2:R17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28fd1026aa04e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0.0052133158</x:v>
      </x:c>
      <x:c r="E2" s="60" t="n">
        <x:v>0.0052133158</x:v>
      </x:c>
      <x:c r="F2" s="62" t="n">
        <x:v>0</x:v>
      </x:c>
      <x:c r="G2" s="66" t="n">
        <x:v>1</x:v>
      </x:c>
      <x:c r="H2" s="62" t="n">
        <x:f>IF(E2=0,"",I2/E2)</x:f>
        <x:v>365.61928200434755</x:v>
      </x:c>
      <x:c r="I2" s="60" t="n">
        <x:f>SUMIF('Species'!$H$2:$H$171,A2,'Species'!$U$2:$U$171)</x:f>
        <x:v>1.9060887796579207</x:v>
      </x:c>
      <x:c r="J2" s="62" t="n">
        <x:v>2.97</x:v>
      </x:c>
      <x:c r="K2" s="62" t="n">
        <x:f>IF(J2="","",(1/'Metadata'!$B$5)^(J2-1))</x:f>
        <x:v>365.61928200434755</x:v>
      </x:c>
      <x:c r="L2" s="60" t="n">
        <x:f>IF(E2=0,"",E2*K2)</x:f>
        <x:v>1.9060887796579207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6</x:v>
      </x:c>
      <x:c r="C3" s="64" t="n">
        <x:v>6</x:v>
      </x:c>
      <x:c r="D3" s="60" t="n">
        <x:v>706803.8940885267</x:v>
      </x:c>
      <x:c r="E3" s="60" t="n">
        <x:v>706803.8940885267</x:v>
      </x:c>
      <x:c r="F3" s="62" t="n">
        <x:v>0</x:v>
      </x:c>
      <x:c r="G3" s="66" t="n">
        <x:v>1</x:v>
      </x:c>
      <x:c r="H3" s="62" t="n">
        <x:f>IF(E3=0,"",I3/E3)</x:f>
        <x:v>7075.2499818578735</x:v>
      </x:c>
      <x:c r="I3" s="60" t="n">
        <x:f>SUMIF('Species'!$H$2:$H$171,A3,'Species'!$U$2:$U$171)</x:f>
        <x:v>5000814238.826923</x:v>
      </x:c>
      <x:c r="J3" s="62" t="n">
        <x:v>3.771814822437368</x:v>
      </x:c>
      <x:c r="K3" s="62" t="n">
        <x:f>IF(J3="","",(1/'Metadata'!$B$5)^(J3-1))</x:f>
        <x:v>4038.4455008449536</x:v>
      </x:c>
      <x:c r="L3" s="60" t="n">
        <x:f>IF(E3=0,"",E3*K3)</x:f>
        <x:v>2854389006.061504</x:v>
      </x:c>
      <x:c r="M3" s="60" t="n">
        <x:f>I3-L3</x:f>
        <x:v>2146425232.7654195</x:v>
      </x:c>
      <x:c r="N3" s="62" t="n">
        <x:f>IF(L3=0,"",I3/L3)</x:f>
        <x:v>1.7519736196458606</x:v>
      </x:c>
      <x:c r="O3" s="66" t="n">
        <x:f>IF(L3=0,"",M3/L3)</x:f>
        <x:v>0.7519736196458606</x:v>
      </x:c>
    </x:row>
    <x:row r="4" ht="18" customHeight="1">
      <x:c r="A4" s="46" t="str">
        <x:v>Crustaceans</x:v>
      </x:c>
      <x:c r="B4" s="64" t="n">
        <x:v>17</x:v>
      </x:c>
      <x:c r="C4" s="64" t="n">
        <x:v>17</x:v>
      </x:c>
      <x:c r="D4" s="60" t="n">
        <x:v>27630.049904951098</x:v>
      </x:c>
      <x:c r="E4" s="60" t="n">
        <x:v>27630.049904951098</x:v>
      </x:c>
      <x:c r="F4" s="62" t="n">
        <x:v>0</x:v>
      </x:c>
      <x:c r="G4" s="66" t="n">
        <x:v>1</x:v>
      </x:c>
      <x:c r="H4" s="62" t="n">
        <x:f>IF(E4=0,"",I4/E4)</x:f>
        <x:v>4888.352370963383</x:v>
      </x:c>
      <x:c r="I4" s="60" t="n">
        <x:f>SUMIF('Species'!$H$2:$H$171,A4,'Species'!$U$2:$U$171)</x:f>
        <x:v>135065419.9627043</x:v>
      </x:c>
      <x:c r="J4" s="62" t="n">
        <x:v>3.675917663722411</x:v>
      </x:c>
      <x:c r="K4" s="62" t="n">
        <x:f>IF(J4="","",(1/'Metadata'!$B$5)^(J4-1))</x:f>
        <x:v>3030.0454748327556</x:v>
      </x:c>
      <x:c r="L4" s="60" t="n">
        <x:f>IF(E4=0,"",E4*K4)</x:f>
        <x:v>83720307.68390028</x:v>
      </x:c>
      <x:c r="M4" s="60" t="n">
        <x:f>I4-L4</x:f>
        <x:v>51345112.27880402</x:v>
      </x:c>
      <x:c r="N4" s="62" t="n">
        <x:f>IF(L4=0,"",I4/L4)</x:f>
        <x:v>1.6132934015563571</x:v>
      </x:c>
      <x:c r="O4" s="66" t="n">
        <x:f>IF(L4=0,"",M4/L4)</x:f>
        <x:v>0.613293401556357</x:v>
      </x:c>
    </x:row>
    <x:row r="5" ht="18" customHeight="1">
      <x:c r="A5" s="46" t="str">
        <x:v>Flatfishes</x:v>
      </x:c>
      <x:c r="B5" s="64" t="n">
        <x:v>21</x:v>
      </x:c>
      <x:c r="C5" s="64" t="n">
        <x:v>21</x:v>
      </x:c>
      <x:c r="D5" s="60" t="n">
        <x:v>69768.85210018101</x:v>
      </x:c>
      <x:c r="E5" s="60" t="n">
        <x:v>69768.85210018101</x:v>
      </x:c>
      <x:c r="F5" s="62" t="n">
        <x:v>0</x:v>
      </x:c>
      <x:c r="G5" s="66" t="n">
        <x:v>1</x:v>
      </x:c>
      <x:c r="H5" s="62" t="n">
        <x:f>IF(E5=0,"",I5/E5)</x:f>
        <x:v>6043.31394484589</x:v>
      </x:c>
      <x:c r="I5" s="60" t="n">
        <x:f>SUMIF('Species'!$H$2:$H$171,A5,'Species'!$U$2:$U$171)</x:f>
        <x:v>421635076.8129144</x:v>
      </x:c>
      <x:c r="J5" s="62" t="n">
        <x:v>3.7457963772897322</x:v>
      </x:c>
      <x:c r="K5" s="62" t="n">
        <x:f>IF(J5="","",(1/'Metadata'!$B$5)^(J5-1))</x:f>
        <x:v>3735.6265109708247</x:v>
      </x:c>
      <x:c r="L5" s="60" t="n">
        <x:f>IF(E5=0,"",E5*K5)</x:f>
        <x:v>260630373.5454387</x:v>
      </x:c>
      <x:c r="M5" s="60" t="n">
        <x:f>I5-L5</x:f>
        <x:v>161004703.26747566</x:v>
      </x:c>
      <x:c r="N5" s="62" t="n">
        <x:f>IF(L5=0,"",I5/L5)</x:f>
        <x:v>1.6177511127244186</x:v>
      </x:c>
      <x:c r="O5" s="66" t="n">
        <x:f>IF(L5=0,"",M5/L5)</x:f>
        <x:v>0.6177511127244187</x:v>
      </x:c>
    </x:row>
    <x:row r="6" ht="18" customHeight="1">
      <x:c r="A6" s="46" t="str">
        <x:v>Herring-likes</x:v>
      </x:c>
      <x:c r="B6" s="64" t="n">
        <x:v>3</x:v>
      </x:c>
      <x:c r="C6" s="64" t="n">
        <x:v>3</x:v>
      </x:c>
      <x:c r="D6" s="60" t="n">
        <x:v>27995.9477756774</x:v>
      </x:c>
      <x:c r="E6" s="60" t="n">
        <x:v>27995.9477756774</x:v>
      </x:c>
      <x:c r="F6" s="62" t="n">
        <x:v>0</x:v>
      </x:c>
      <x:c r="G6" s="66" t="n">
        <x:v>1</x:v>
      </x:c>
      <x:c r="H6" s="62" t="n">
        <x:f>IF(E6=0,"",I6/E6)</x:f>
        <x:v>648.246046020198</x:v>
      </x:c>
      <x:c r="I6" s="60" t="n">
        <x:f>SUMIF('Species'!$H$2:$H$171,A6,'Species'!$U$2:$U$171)</x:f>
        <x:v>18148262.450170834</x:v>
      </x:c>
      <x:c r="J6" s="62" t="n">
        <x:v>3.160677930288026</x:v>
      </x:c>
      <x:c r="K6" s="62" t="n">
        <x:f>IF(J6="","",(1/'Metadata'!$B$5)^(J6-1))</x:f>
        <x:v>647.3017755257607</x:v>
      </x:c>
      <x:c r="L6" s="60" t="n">
        <x:f>IF(E6=0,"",E6*K6)</x:f>
        <x:v>18121826.702722453</x:v>
      </x:c>
      <x:c r="M6" s="60" t="n">
        <x:f>I6-L6</x:f>
        <x:v>26435.747448381037</x:v>
      </x:c>
      <x:c r="N6" s="62" t="n">
        <x:f>IF(L6=0,"",I6/L6)</x:f>
        <x:v>1.0014587793980179</x:v>
      </x:c>
      <x:c r="O6" s="66" t="n">
        <x:f>IF(L6=0,"",M6/L6)</x:f>
        <x:v>0.0014587793980178378</x:v>
      </x:c>
    </x:row>
    <x:row r="7" ht="18" customHeight="1">
      <x:c r="A7" s="46" t="str">
        <x:v>Molluscs</x:v>
      </x:c>
      <x:c r="B7" s="64" t="n">
        <x:v>14</x:v>
      </x:c>
      <x:c r="C7" s="64" t="n">
        <x:v>14</x:v>
      </x:c>
      <x:c r="D7" s="60" t="n">
        <x:v>2547.1570238147997</x:v>
      </x:c>
      <x:c r="E7" s="60" t="n">
        <x:v>2547.1570238147997</x:v>
      </x:c>
      <x:c r="F7" s="62" t="n">
        <x:v>0</x:v>
      </x:c>
      <x:c r="G7" s="66" t="n">
        <x:v>1</x:v>
      </x:c>
      <x:c r="H7" s="62" t="n">
        <x:f>IF(E7=0,"",I7/E7)</x:f>
        <x:v>33.674583551735154</x:v>
      </x:c>
      <x:c r="I7" s="60" t="n">
        <x:f>SUMIF('Species'!$H$2:$H$171,A7,'Species'!$U$2:$U$171)</x:f>
        <x:v>85774.45201784052</x:v>
      </x:c>
      <x:c r="J7" s="62" t="n">
        <x:v>2.156281445323247</x:v>
      </x:c>
      <x:c r="K7" s="62" t="n">
        <x:f>IF(J7="","",(1/'Metadata'!$B$5)^(J7-1))</x:f>
        <x:v>31.941613019660306</x:v>
      </x:c>
      <x:c r="L7" s="60" t="n">
        <x:f>IF(E7=0,"",E7*K7)</x:f>
        <x:v>81360.303955002</x:v>
      </x:c>
      <x:c r="M7" s="60" t="n">
        <x:f>I7-L7</x:f>
        <x:v>4414.148062838518</x:v>
      </x:c>
      <x:c r="N7" s="62" t="n">
        <x:f>IF(L7=0,"",I7/L7)</x:f>
        <x:v>1.0542543211893585</x:v>
      </x:c>
      <x:c r="O7" s="66" t="n">
        <x:f>IF(L7=0,"",M7/L7)</x:f>
        <x:v>0.05425432118935856</x:v>
      </x:c>
    </x:row>
    <x:row r="8" ht="18" customHeight="1">
      <x:c r="A8" s="46" t="str">
        <x:v>Other fishes &amp; inverts</x:v>
      </x:c>
      <x:c r="B8" s="64" t="n">
        <x:v>19</x:v>
      </x:c>
      <x:c r="C8" s="64" t="n">
        <x:v>19</x:v>
      </x:c>
      <x:c r="D8" s="60" t="n">
        <x:v>35364.4433107304</x:v>
      </x:c>
      <x:c r="E8" s="60" t="n">
        <x:v>35364.4433107304</x:v>
      </x:c>
      <x:c r="F8" s="62" t="n">
        <x:v>0</x:v>
      </x:c>
      <x:c r="G8" s="66" t="n">
        <x:v>1</x:v>
      </x:c>
      <x:c r="H8" s="62" t="n">
        <x:f>IF(E8=0,"",I8/E8)</x:f>
        <x:v>882.9165288758288</x:v>
      </x:c>
      <x:c r="I8" s="60" t="n">
        <x:f>SUMIF('Species'!$H$2:$H$171,A8,'Species'!$U$2:$U$171)</x:f>
        <x:v>31223851.533536106</x:v>
      </x:c>
      <x:c r="J8" s="62" t="n">
        <x:v>3.1812978702740278</x:v>
      </x:c>
      <x:c r="K8" s="62" t="n">
        <x:f>IF(J8="","",(1/'Metadata'!$B$5)^(J8-1))</x:f>
        <x:v>688.5475839107652</x:v>
      </x:c>
      <x:c r="L8" s="60" t="n">
        <x:f>IF(E8=0,"",E8*K8)</x:f>
        <x:v>24350101.997952636</x:v>
      </x:c>
      <x:c r="M8" s="60" t="n">
        <x:f>I8-L8</x:f>
        <x:v>6873749.53558347</x:v>
      </x:c>
      <x:c r="N8" s="62" t="n">
        <x:f>IF(L8=0,"",I8/L8)</x:f>
        <x:v>1.2822883261910532</x:v>
      </x:c>
      <x:c r="O8" s="66" t="n">
        <x:f>IF(L8=0,"",M8/L8)</x:f>
        <x:v>0.2822883261910532</x:v>
      </x:c>
    </x:row>
    <x:row r="9" ht="18" customHeight="1">
      <x:c r="A9" s="46" t="str">
        <x:v>Perch-likes</x:v>
      </x:c>
      <x:c r="B9" s="64" t="n">
        <x:v>17</x:v>
      </x:c>
      <x:c r="C9" s="64" t="n">
        <x:v>17</x:v>
      </x:c>
      <x:c r="D9" s="60" t="n">
        <x:v>169.1047980331</x:v>
      </x:c>
      <x:c r="E9" s="60" t="n">
        <x:v>169.1047980331</x:v>
      </x:c>
      <x:c r="F9" s="62" t="n">
        <x:v>0</x:v>
      </x:c>
      <x:c r="G9" s="66" t="n">
        <x:v>1</x:v>
      </x:c>
      <x:c r="H9" s="62" t="n">
        <x:f>IF(E9=0,"",I9/E9)</x:f>
        <x:v>2006.3535415204174</x:v>
      </x:c>
      <x:c r="I9" s="60" t="n">
        <x:f>SUMIF('Species'!$H$2:$H$171,A9,'Species'!$U$2:$U$171)</x:f>
        <x:v>339284.0104218051</x:v>
      </x:c>
      <x:c r="J9" s="62" t="n">
        <x:v>3.5280693356944957</x:v>
      </x:c>
      <x:c r="K9" s="62" t="n">
        <x:f>IF(J9="","",(1/'Metadata'!$B$5)^(J9-1))</x:f>
        <x:v>1945.7813518941007</x:v>
      </x:c>
      <x:c r="L9" s="60" t="n">
        <x:f>IF(E9=0,"",E9*K9)</x:f>
        <x:v>329040.96252862416</x:v>
      </x:c>
      <x:c r="M9" s="60" t="n">
        <x:f>I9-L9</x:f>
        <x:v>10243.04789318092</x:v>
      </x:c>
      <x:c r="N9" s="62" t="n">
        <x:f>IF(L9=0,"",I9/L9)</x:f>
        <x:v>1.0311300082958208</x:v>
      </x:c>
      <x:c r="O9" s="66" t="n">
        <x:f>IF(L9=0,"",M9/L9)</x:f>
        <x:v>0.031130008295820764</x:v>
      </x:c>
    </x:row>
    <x:row r="10" ht="18" customHeight="1">
      <x:c r="A10" s="46" t="str">
        <x:v>Salmon, smelts, etc</x:v>
      </x:c>
      <x:c r="B10" s="64" t="n">
        <x:v>17</x:v>
      </x:c>
      <x:c r="C10" s="64" t="n">
        <x:v>17</x:v>
      </x:c>
      <x:c r="D10" s="60" t="n">
        <x:v>157619.026070673</x:v>
      </x:c>
      <x:c r="E10" s="60" t="n">
        <x:v>157619.026070673</x:v>
      </x:c>
      <x:c r="F10" s="62" t="n">
        <x:v>0</x:v>
      </x:c>
      <x:c r="G10" s="66" t="n">
        <x:v>1</x:v>
      </x:c>
      <x:c r="H10" s="62" t="n">
        <x:f>IF(E10=0,"",I10/E10)</x:f>
        <x:v>17955.102490040863</x:v>
      </x:c>
      <x:c r="I10" s="60" t="n">
        <x:f>SUMIF('Species'!$H$2:$H$171,A10,'Species'!$U$2:$U$171)</x:f>
        <x:v>2830065767.4793563</x:v>
      </x:c>
      <x:c r="J10" s="62" t="n">
        <x:v>4.047743998239861</x:v>
      </x:c>
      <x:c r="K10" s="62" t="n">
        <x:f>IF(J10="","",(1/'Metadata'!$B$5)^(J10-1))</x:f>
        <x:v>9230.099034376852</x:v>
      </x:c>
      <x:c r="L10" s="60" t="n">
        <x:f>IF(E10=0,"",E10*K10)</x:f>
        <x:v>1454839220.3343387</x:v>
      </x:c>
      <x:c r="M10" s="60" t="n">
        <x:f>I10-L10</x:f>
        <x:v>1375226547.1450176</x:v>
      </x:c>
      <x:c r="N10" s="62" t="n">
        <x:f>IF(L10=0,"",I10/L10)</x:f>
        <x:v>1.9452773391887077</x:v>
      </x:c>
      <x:c r="O10" s="66" t="n">
        <x:f>IF(L10=0,"",M10/L10)</x:f>
        <x:v>0.9452773391887076</x:v>
      </x:c>
    </x:row>
    <x:row r="11" ht="18" customHeight="1">
      <x:c r="A11" s="46" t="str">
        <x:v>Scorpionfishes</x:v>
      </x:c>
      <x:c r="B11" s="64" t="n">
        <x:v>34</x:v>
      </x:c>
      <x:c r="C11" s="64" t="n">
        <x:v>34</x:v>
      </x:c>
      <x:c r="D11" s="60" t="n">
        <x:v>64246.36009520989</x:v>
      </x:c>
      <x:c r="E11" s="60" t="n">
        <x:v>64246.36009520989</x:v>
      </x:c>
      <x:c r="F11" s="62" t="n">
        <x:v>0</x:v>
      </x:c>
      <x:c r="G11" s="66" t="n">
        <x:v>1</x:v>
      </x:c>
      <x:c r="H11" s="62" t="n">
        <x:f>IF(E11=0,"",I11/E11)</x:f>
        <x:v>2882.8169161424576</x:v>
      </x:c>
      <x:c r="I11" s="60" t="n">
        <x:f>SUMIF('Species'!$H$2:$H$171,A11,'Species'!$U$2:$U$171)</x:f>
        <x:v>185210493.68305084</x:v>
      </x:c>
      <x:c r="J11" s="62" t="n">
        <x:v>3.594656462160672</x:v>
      </x:c>
      <x:c r="K11" s="62" t="n">
        <x:f>IF(J11="","",(1/'Metadata'!$B$5)^(J11-1))</x:f>
        <x:v>2375.340566192713</x:v>
      </x:c>
      <x:c r="L11" s="60" t="n">
        <x:f>IF(E11=0,"",E11*K11)</x:f>
        <x:v>152606985.3643768</x:v>
      </x:c>
      <x:c r="M11" s="60" t="n">
        <x:f>I11-L11</x:f>
        <x:v>32603508.318674028</x:v>
      </x:c>
      <x:c r="N11" s="62" t="n">
        <x:f>IF(L11=0,"",I11/L11)</x:f>
        <x:v>1.2136436169080154</x:v>
      </x:c>
      <x:c r="O11" s="66" t="n">
        <x:f>IF(L11=0,"",M11/L11)</x:f>
        <x:v>0.21364361690801537</x:v>
      </x:c>
    </x:row>
    <x:row r="12" ht="18" customHeight="1">
      <x:c r="A12" s="46" t="str">
        <x:v>Sharks &amp; rays</x:v>
      </x:c>
      <x:c r="B12" s="64" t="n">
        <x:v>17</x:v>
      </x:c>
      <x:c r="C12" s="64" t="n">
        <x:v>17</x:v>
      </x:c>
      <x:c r="D12" s="60" t="n">
        <x:v>9848.127002097699</x:v>
      </x:c>
      <x:c r="E12" s="60" t="n">
        <x:v>9848.127002097699</x:v>
      </x:c>
      <x:c r="F12" s="62" t="n">
        <x:v>0</x:v>
      </x:c>
      <x:c r="G12" s="66" t="n">
        <x:v>1</x:v>
      </x:c>
      <x:c r="H12" s="62" t="n">
        <x:f>IF(E12=0,"",I12/E12)</x:f>
        <x:v>4791.198918946057</x:v>
      </x:c>
      <x:c r="I12" s="60" t="n">
        <x:f>SUMIF('Species'!$H$2:$H$171,A12,'Species'!$U$2:$U$171)</x:f>
        <x:v>47184335.44609398</x:v>
      </x:c>
      <x:c r="J12" s="62" t="n">
        <x:v>3.8220375487881553</x:v>
      </x:c>
      <x:c r="K12" s="62" t="n">
        <x:f>IF(J12="","",(1/'Metadata'!$B$5)^(J12-1))</x:f>
        <x:v>4694.134183075844</x:v>
      </x:c>
      <x:c r="L12" s="60" t="n">
        <x:f>IF(E12=0,"",E12*K12)</x:f>
        <x:v>46228429.59981904</x:v>
      </x:c>
      <x:c r="M12" s="60" t="n">
        <x:f>I12-L12</x:f>
        <x:v>955905.8462749347</x:v>
      </x:c>
      <x:c r="N12" s="62" t="n">
        <x:f>IF(L12=0,"",I12/L12)</x:f>
        <x:v>1.0206778784083697</x:v>
      </x:c>
      <x:c r="O12" s="66" t="n">
        <x:f>IF(L12=0,"",M12/L12)</x:f>
        <x:v>0.020677878408369654</x:v>
      </x:c>
    </x:row>
    <x:row r="13" ht="18" customHeight="1">
      <x:c r="A13" s="46" t="str">
        <x:v>Tuna &amp; billfishes</x:v>
      </x:c>
      <x:c r="B13" s="64" t="n">
        <x:v>4</x:v>
      </x:c>
      <x:c r="C13" s="64" t="n">
        <x:v>4</x:v>
      </x:c>
      <x:c r="D13" s="60" t="n">
        <x:v>873.6584609124</x:v>
      </x:c>
      <x:c r="E13" s="60" t="n">
        <x:v>873.6584609124</x:v>
      </x:c>
      <x:c r="F13" s="62" t="n">
        <x:v>0</x:v>
      </x:c>
      <x:c r="G13" s="66" t="n">
        <x:v>1</x:v>
      </x:c>
      <x:c r="H13" s="62" t="n">
        <x:f>IF(E13=0,"",I13/E13)</x:f>
        <x:v>20616.58843122119</x:v>
      </x:c>
      <x:c r="I13" s="60" t="n">
        <x:f>SUMIF('Species'!$H$2:$H$171,A13,'Species'!$U$2:$U$171)</x:f>
        <x:v>18011856.918085095</x:v>
      </x:c>
      <x:c r="J13" s="62" t="n">
        <x:v>4.3138332681755935</x:v>
      </x:c>
      <x:c r="K13" s="62" t="n">
        <x:f>IF(J13="","",(1/'Metadata'!$B$5)^(J13-1))</x:f>
        <x:v>20483.137602181032</x:v>
      </x:c>
      <x:c r="L13" s="60" t="n">
        <x:f>IF(E13=0,"",E13*K13)</x:f>
        <x:v>17895266.47217839</x:v>
      </x:c>
      <x:c r="M13" s="60" t="n">
        <x:f>I13-L13</x:f>
        <x:v>116590.44590670615</x:v>
      </x:c>
      <x:c r="N13" s="62" t="n">
        <x:f>IF(L13=0,"",I13/L13)</x:f>
        <x:v>1.0065151556188319</x:v>
      </x:c>
      <x:c r="O13" s="66" t="n">
        <x:f>IF(L13=0,"",M13/L13)</x:f>
        <x:v>0.006515155618831845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94cd0bf6eac4e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7</x:v>
      </x:c>
      <x:c r="C2" s="64" t="n">
        <x:v>7</x:v>
      </x:c>
      <x:c r="D2" s="60" t="n">
        <x:v>493.24451055</x:v>
      </x:c>
      <x:c r="E2" s="60" t="n">
        <x:v>493.24451055</x:v>
      </x:c>
      <x:c r="F2" s="62" t="n">
        <x:v>0</x:v>
      </x:c>
      <x:c r="G2" s="66" t="n">
        <x:v>1</x:v>
      </x:c>
      <x:c r="H2" s="62" t="n">
        <x:f>IF(E2=0,"",I2/E2)</x:f>
        <x:v>6605.148486505577</x:v>
      </x:c>
      <x:c r="I2" s="60" t="n">
        <x:f>SUMIF('Species'!$G$2:$G$171,A2,'Species'!$U$2:$U$171)</x:f>
        <x:v>3257953.2323365165</x:v>
      </x:c>
      <x:c r="J2" s="62" t="n">
        <x:v>3.8602334038632713</x:v>
      </x:c>
      <x:c r="K2" s="62" t="n">
        <x:f>IF(J2="","",(1/'Metadata'!$B$5)^(J2-1))</x:f>
        <x:v>5263.194905638554</x:v>
      </x:c>
      <x:c r="L2" s="60" t="n">
        <x:f>IF(E2=0,"",E2*K2)</x:f>
        <x:v>2596041.995160942</x:v>
      </x:c>
      <x:c r="M2" s="60" t="n">
        <x:f>I2-L2</x:f>
        <x:v>661911.2371755745</x:v>
      </x:c>
      <x:c r="N2" s="62" t="n">
        <x:f>IF(L2=0,"",I2/L2)</x:f>
        <x:v>1.2549693874018164</x:v>
      </x:c>
      <x:c r="O2" s="66" t="n">
        <x:f>IF(L2=0,"",M2/L2)</x:f>
        <x:v>0.25496938740181635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5301.587463686499</x:v>
      </x:c>
      <x:c r="E3" s="60" t="n">
        <x:v>5301.587463686499</x:v>
      </x:c>
      <x:c r="F3" s="62" t="n">
        <x:v>0</x:v>
      </x:c>
      <x:c r="G3" s="66" t="n">
        <x:v>1</x:v>
      </x:c>
      <x:c r="H3" s="62" t="n">
        <x:f>IF(E3=0,"",I3/E3)</x:f>
        <x:v>4952.7399567684415</x:v>
      </x:c>
      <x:c r="I3" s="60" t="n">
        <x:f>SUMIF('Species'!$G$2:$G$171,A3,'Species'!$U$2:$U$171)</x:f>
        <x:v>26257384.06570278</x:v>
      </x:c>
      <x:c r="J3" s="62" t="n">
        <x:v>3.839904811764087</x:v>
      </x:c>
      <x:c r="K3" s="62" t="n">
        <x:f>IF(J3="","",(1/'Metadata'!$B$5)^(J3-1))</x:f>
        <x:v>4952.236137087707</x:v>
      </x:c>
      <x:c r="L3" s="60" t="n">
        <x:f>IF(E3=0,"",E3*K3)</x:f>
        <x:v>26254713.02159944</x:v>
      </x:c>
      <x:c r="M3" s="60" t="n">
        <x:f>I3-L3</x:f>
        <x:v>2671.0441033393145</x:v>
      </x:c>
      <x:c r="N3" s="62" t="n">
        <x:f>IF(L3=0,"",I3/L3)</x:f>
        <x:v>1.0001017357950606</x:v>
      </x:c>
      <x:c r="O3" s="66" t="n">
        <x:f>IF(L3=0,"",M3/L3)</x:f>
        <x:v>0.0001017357950605622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0.0026627719000000003</x:v>
      </x:c>
      <x:c r="E4" s="60" t="n">
        <x:v>0.0026627719000000003</x:v>
      </x:c>
      <x:c r="F4" s="62" t="n">
        <x:v>0</x:v>
      </x:c>
      <x:c r="G4" s="66" t="n">
        <x:v>1</x:v>
      </x:c>
      <x:c r="H4" s="62" t="n">
        <x:f>IF(E4=0,"",I4/E4)</x:f>
        <x:v>12931.936117727235</x:v>
      </x:c>
      <x:c r="I4" s="60" t="n">
        <x:f>SUMIF('Species'!$G$2:$G$171,A4,'Species'!$U$2:$U$171)</x:f>
        <x:v>34.434796106879176</x:v>
      </x:c>
      <x:c r="J4" s="62" t="n">
        <x:v>4.148323955574265</x:v>
      </x:c>
      <x:c r="K4" s="62" t="n">
        <x:f>IF(J4="","",(1/'Metadata'!$B$5)^(J4-1))</x:f>
        <x:v>12475.670682726422</x:v>
      </x:c>
      <x:c r="L4" s="60" t="n">
        <x:f>IF(E4=0,"",E4*K4)</x:f>
        <x:v>33.21986532761774</x:v>
      </x:c>
      <x:c r="M4" s="60" t="n">
        <x:f>I4-L4</x:f>
        <x:v>1.2149307792614366</x:v>
      </x:c>
      <x:c r="N4" s="62" t="n">
        <x:f>IF(L4=0,"",I4/L4)</x:f>
        <x:v>1.0365724173556896</x:v>
      </x:c>
      <x:c r="O4" s="66" t="n">
        <x:f>IF(L4=0,"",M4/L4)</x:f>
        <x:v>0.03657241735568955</x:v>
      </x:c>
    </x:row>
    <x:row r="5" ht="18" customHeight="1">
      <x:c r="A5" s="46" t="str">
        <x:v>Large benthopelagics (&gt;=90 cm)</x:v>
      </x:c>
      <x:c r="B5" s="64" t="n">
        <x:v>6</x:v>
      </x:c>
      <x:c r="C5" s="64" t="n">
        <x:v>6</x:v>
      </x:c>
      <x:c r="D5" s="60" t="n">
        <x:v>30490.618922894202</x:v>
      </x:c>
      <x:c r="E5" s="60" t="n">
        <x:v>30490.618922894202</x:v>
      </x:c>
      <x:c r="F5" s="62" t="n">
        <x:v>0</x:v>
      </x:c>
      <x:c r="G5" s="66" t="n">
        <x:v>1</x:v>
      </x:c>
      <x:c r="H5" s="62" t="n">
        <x:f>IF(E5=0,"",I5/E5)</x:f>
        <x:v>8578.92327475735</x:v>
      </x:c>
      <x:c r="I5" s="60" t="n">
        <x:f>SUMIF('Species'!$G$2:$G$171,A5,'Species'!$U$2:$U$171)</x:f>
        <x:v>261576680.33937392</x:v>
      </x:c>
      <x:c r="J5" s="62" t="n">
        <x:v>3.8992867325900393</x:v>
      </x:c>
      <x:c r="K5" s="62" t="n">
        <x:f>IF(J5="","",(1/'Metadata'!$B$5)^(J5-1))</x:f>
        <x:v>5916.420117626308</x:v>
      </x:c>
      <x:c r="L5" s="60" t="n">
        <x:f>IF(E5=0,"",E5*K5)</x:f>
        <x:v>180395311.19428864</x:v>
      </x:c>
      <x:c r="M5" s="60" t="n">
        <x:f>I5-L5</x:f>
        <x:v>81181369.14508528</x:v>
      </x:c>
      <x:c r="N5" s="62" t="n">
        <x:f>IF(L5=0,"",I5/L5)</x:f>
        <x:v>1.4500192860204202</x:v>
      </x:c>
      <x:c r="O5" s="66" t="n">
        <x:f>IF(L5=0,"",M5/L5)</x:f>
        <x:v>0.45001928602042013</x:v>
      </x:c>
    </x:row>
    <x:row r="6" ht="18" customHeight="1">
      <x:c r="A6" s="46" t="str">
        <x:v>Large demersals (&gt;=90 cm)</x:v>
      </x:c>
      <x:c r="B6" s="64" t="n">
        <x:v>6</x:v>
      </x:c>
      <x:c r="C6" s="64" t="n">
        <x:v>6</x:v>
      </x:c>
      <x:c r="D6" s="60" t="n">
        <x:v>74483.00532487142</x:v>
      </x:c>
      <x:c r="E6" s="60" t="n">
        <x:v>74483.00532487142</x:v>
      </x:c>
      <x:c r="F6" s="62" t="n">
        <x:v>0</x:v>
      </x:c>
      <x:c r="G6" s="66" t="n">
        <x:v>1</x:v>
      </x:c>
      <x:c r="H6" s="62" t="n">
        <x:f>IF(E6=0,"",I6/E6)</x:f>
        <x:v>13185.219894583193</x:v>
      </x:c>
      <x:c r="I6" s="60" t="n">
        <x:f>SUMIF('Species'!$G$2:$G$171,A6,'Species'!$U$2:$U$171)</x:f>
        <x:v>982074803.6178406</x:v>
      </x:c>
      <x:c r="J6" s="62" t="n">
        <x:v>4.166107058533285</x:v>
      </x:c>
      <x:c r="K6" s="62" t="n">
        <x:f>IF(J6="","",(1/'Metadata'!$B$5)^(J6-1))</x:f>
        <x:v>13158.314205334971</x:v>
      </x:c>
      <x:c r="L6" s="60" t="n">
        <x:f>IF(E6=0,"",E6*K6)</x:f>
        <x:v>980070787.022296</x:v>
      </x:c>
      <x:c r="M6" s="60" t="n">
        <x:f>I6-L6</x:f>
        <x:v>2004016.5955446959</x:v>
      </x:c>
      <x:c r="N6" s="62" t="n">
        <x:f>IF(L6=0,"",I6/L6)</x:f>
        <x:v>1.0020447671964934</x:v>
      </x:c>
      <x:c r="O6" s="66" t="n">
        <x:f>IF(L6=0,"",M6/L6)</x:f>
        <x:v>0.0020447671964934364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12832.6754701182</x:v>
      </x:c>
      <x:c r="E7" s="60" t="n">
        <x:v>12832.6754701182</x:v>
      </x:c>
      <x:c r="F7" s="62" t="n">
        <x:v>0</x:v>
      </x:c>
      <x:c r="G7" s="66" t="n">
        <x:v>1</x:v>
      </x:c>
      <x:c r="H7" s="62" t="n">
        <x:f>IF(E7=0,"",I7/E7)</x:f>
        <x:v>12186.091848374213</x:v>
      </x:c>
      <x:c r="I7" s="60" t="n">
        <x:f>SUMIF('Species'!$G$2:$G$171,A7,'Species'!$U$2:$U$171)</x:f>
        <x:v>156380161.9392391</x:v>
      </x:c>
      <x:c r="J7" s="62" t="n">
        <x:v>4.14037525998814</x:v>
      </x:c>
      <x:c r="K7" s="62" t="n">
        <x:f>IF(J7="","",(1/'Metadata'!$B$5)^(J7-1))</x:f>
        <x:v>12182.107031772488</x:v>
      </x:c>
      <x:c r="L7" s="60" t="n">
        <x:f>IF(E7=0,"",E7*K7)</x:f>
        <x:v>156329026.08098125</x:v>
      </x:c>
      <x:c r="M7" s="60" t="n">
        <x:f>I7-L7</x:f>
        <x:v>51135.858257859945</x:v>
      </x:c>
      <x:c r="N7" s="62" t="n">
        <x:f>IF(L7=0,"",I7/L7)</x:f>
        <x:v>1.0003271040544408</x:v>
      </x:c>
      <x:c r="O7" s="66" t="n">
        <x:f>IF(L7=0,"",M7/L7)</x:f>
        <x:v>0.00032710405444073224</x:v>
      </x:c>
    </x:row>
    <x:row r="8" ht="18" customHeight="1">
      <x:c r="A8" s="46" t="str">
        <x:v>Large pelagics (&gt;=90 cm)</x:v>
      </x:c>
      <x:c r="B8" s="64" t="n">
        <x:v>5</x:v>
      </x:c>
      <x:c r="C8" s="64" t="n">
        <x:v>5</x:v>
      </x:c>
      <x:c r="D8" s="60" t="n">
        <x:v>873.6597137583</x:v>
      </x:c>
      <x:c r="E8" s="60" t="n">
        <x:v>873.6597137583</x:v>
      </x:c>
      <x:c r="F8" s="62" t="n">
        <x:v>0</x:v>
      </x:c>
      <x:c r="G8" s="66" t="n">
        <x:v>1</x:v>
      </x:c>
      <x:c r="H8" s="62" t="n">
        <x:f>IF(E8=0,"",I8/E8)</x:f>
        <x:v>20616.56326522448</x:v>
      </x:c>
      <x:c r="I8" s="60" t="n">
        <x:f>SUMIF('Species'!$G$2:$G$171,A8,'Species'!$U$2:$U$171)</x:f>
        <x:v>18011860.7609759</x:v>
      </x:c>
      <x:c r="J8" s="62" t="n">
        <x:v>4.313832359245722</x:v>
      </x:c>
      <x:c r="K8" s="62" t="n">
        <x:f>IF(J8="","",(1/'Metadata'!$B$5)^(J8-1))</x:f>
        <x:v>20483.081828505463</x:v>
      </x:c>
      <x:c r="L8" s="60" t="n">
        <x:f>IF(E8=0,"",E8*K8)</x:f>
        <x:v>17895243.40717992</x:v>
      </x:c>
      <x:c r="M8" s="60" t="n">
        <x:f>I8-L8</x:f>
        <x:v>116617.3537959829</x:v>
      </x:c>
      <x:c r="N8" s="62" t="n">
        <x:f>IF(L8=0,"",I8/L8)</x:f>
        <x:v>1.0065166676497506</x:v>
      </x:c>
      <x:c r="O8" s="66" t="n">
        <x:f>IF(L8=0,"",M8/L8)</x:f>
        <x:v>0.006516667649750646</x:v>
      </x:c>
    </x:row>
    <x:row r="9" ht="18" customHeight="1">
      <x:c r="A9" s="46" t="str">
        <x:v>Large rays (&gt;=90 cm)</x:v>
      </x:c>
      <x:c r="B9" s="64" t="n">
        <x:v>2</x:v>
      </x:c>
      <x:c r="C9" s="64" t="n">
        <x:v>2</x:v>
      </x:c>
      <x:c r="D9" s="60" t="n">
        <x:v>8325.7695913457</x:v>
      </x:c>
      <x:c r="E9" s="60" t="n">
        <x:v>8325.7695913457</x:v>
      </x:c>
      <x:c r="F9" s="62" t="n">
        <x:v>0</x:v>
      </x:c>
      <x:c r="G9" s="66" t="n">
        <x:v>1</x:v>
      </x:c>
      <x:c r="H9" s="62" t="n">
        <x:f>IF(E9=0,"",I9/E9)</x:f>
        <x:v>4581.686391625788</x:v>
      </x:c>
      <x:c r="I9" s="60" t="n">
        <x:f>SUMIF('Species'!$G$2:$G$171,A9,'Species'!$U$2:$U$171)</x:f>
        <x:v>38146065.236480385</x:v>
      </x:c>
      <x:c r="J9" s="62" t="n">
        <x:v>3.8119140206091515</x:v>
      </x:c>
      <x:c r="K9" s="62" t="n">
        <x:f>IF(J9="","",(1/'Metadata'!$B$5)^(J9-1))</x:f>
        <x:v>4553.910448174212</x:v>
      </x:c>
      <x:c r="L9" s="60" t="n">
        <x:f>IF(E9=0,"",E9*K9)</x:f>
        <x:v>37914809.131120324</x:v>
      </x:c>
      <x:c r="M9" s="60" t="n">
        <x:f>I9-L9</x:f>
        <x:v>231256.10536006093</x:v>
      </x:c>
      <x:c r="N9" s="62" t="n">
        <x:f>IF(L9=0,"",I9/L9)</x:f>
        <x:v>1.0060993609267637</x:v>
      </x:c>
      <x:c r="O9" s="66" t="n">
        <x:f>IF(L9=0,"",M9/L9)</x:f>
        <x:v>0.006099360926763755</x:v>
      </x:c>
    </x:row>
    <x:row r="10" ht="18" customHeight="1">
      <x:c r="A10" s="46" t="str">
        <x:v>Large reef assoc. fish (&gt;=90 cm)</x:v>
      </x:c>
      <x:c r="B10" s="64" t="n">
        <x:v>3</x:v>
      </x:c>
      <x:c r="C10" s="64" t="n">
        <x:v>3</x:v>
      </x:c>
      <x:c r="D10" s="60" t="n">
        <x:v>8553.7085129525</x:v>
      </x:c>
      <x:c r="E10" s="60" t="n">
        <x:v>8553.7085129525</x:v>
      </x:c>
      <x:c r="F10" s="62" t="n">
        <x:v>0</x:v>
      </x:c>
      <x:c r="G10" s="66" t="n">
        <x:v>1</x:v>
      </x:c>
      <x:c r="H10" s="62" t="n">
        <x:f>IF(E10=0,"",I10/E10)</x:f>
        <x:v>4318.064761628152</x:v>
      </x:c>
      <x:c r="I10" s="60" t="n">
        <x:f>SUMIF('Species'!$G$2:$G$171,A10,'Species'!$U$2:$U$171)</x:f>
        <x:v>36935467.31101894</x:v>
      </x:c>
      <x:c r="J10" s="62" t="n">
        <x:v>3.794063982577004</x:v>
      </x:c>
      <x:c r="K10" s="62" t="n">
        <x:f>IF(J10="","",(1/'Metadata'!$B$5)^(J10-1))</x:f>
        <x:v>4316.791284248399</x:v>
      </x:c>
      <x:c r="L10" s="60" t="n">
        <x:f>IF(E10=0,"",E10*K10)</x:f>
        <x:v>36924574.35671469</x:v>
      </x:c>
      <x:c r="M10" s="60" t="n">
        <x:f>I10-L10</x:f>
        <x:v>10892.954304248095</x:v>
      </x:c>
      <x:c r="N10" s="62" t="n">
        <x:f>IF(L10=0,"",I10/L10)</x:f>
        <x:v>1.0002950055483109</x:v>
      </x:c>
      <x:c r="O10" s="66" t="n">
        <x:f>IF(L10=0,"",M10/L10)</x:f>
        <x:v>0.0002950055483108697</x:v>
      </x:c>
    </x:row>
    <x:row r="11" ht="18" customHeight="1">
      <x:c r="A11" s="46" t="str">
        <x:v>Large sharks (&gt;=90 cm)</x:v>
      </x:c>
      <x:c r="B11" s="64" t="n">
        <x:v>11</x:v>
      </x:c>
      <x:c r="C11" s="64" t="n">
        <x:v>11</x:v>
      </x:c>
      <x:c r="D11" s="60" t="n">
        <x:v>666.3689038295</x:v>
      </x:c>
      <x:c r="E11" s="60" t="n">
        <x:v>666.3689038295</x:v>
      </x:c>
      <x:c r="F11" s="62" t="n">
        <x:v>0</x:v>
      </x:c>
      <x:c r="G11" s="66" t="n">
        <x:v>1</x:v>
      </x:c>
      <x:c r="H11" s="62" t="n">
        <x:f>IF(E11=0,"",I11/E11)</x:f>
        <x:v>7945.1162497161495</x:v>
      </x:c>
      <x:c r="I11" s="60" t="n">
        <x:f>SUMIF('Species'!$G$2:$G$171,A11,'Species'!$U$2:$U$171)</x:f>
        <x:v>5294378.406121299</x:v>
      </x:c>
      <x:c r="J11" s="62" t="n">
        <x:v>3.979221015718281</x:v>
      </x:c>
      <x:c r="K11" s="62" t="n">
        <x:f>IF(J11="","",(1/'Metadata'!$B$5)^(J11-1))</x:f>
        <x:v>7517.196539496189</x:v>
      </x:c>
      <x:c r="L11" s="60" t="n">
        <x:f>IF(E11=0,"",E11*K11)</x:f>
        <x:v>5009226.017894986</x:v>
      </x:c>
      <x:c r="M11" s="60" t="n">
        <x:f>I11-L11</x:f>
        <x:v>285152.3882263126</x:v>
      </x:c>
      <x:c r="N11" s="62" t="n">
        <x:f>IF(L11=0,"",I11/L11)</x:f>
        <x:v>1.056925438622181</x:v>
      </x:c>
      <x:c r="O11" s="66" t="n">
        <x:f>IF(L11=0,"",M11/L11)</x:f>
        <x:v>0.056925438622180885</x:v>
      </x:c>
    </x:row>
    <x:row r="12" ht="18" customHeight="1">
      <x:c r="A12" s="46" t="str">
        <x:v>Lobsters, crabs</x:v>
      </x:c>
      <x:c r="B12" s="64" t="n">
        <x:v>11</x:v>
      </x:c>
      <x:c r="C12" s="64" t="n">
        <x:v>11</x:v>
      </x:c>
      <x:c r="D12" s="60" t="n">
        <x:v>20702.9659039361</x:v>
      </x:c>
      <x:c r="E12" s="60" t="n">
        <x:v>20702.9659039361</x:v>
      </x:c>
      <x:c r="F12" s="62" t="n">
        <x:v>0</x:v>
      </x:c>
      <x:c r="G12" s="66" t="n">
        <x:v>1</x:v>
      </x:c>
      <x:c r="H12" s="62" t="n">
        <x:f>IF(E12=0,"",I12/E12)</x:f>
        <x:v>6261.188105097667</x:v>
      </x:c>
      <x:c r="I12" s="60" t="n">
        <x:f>SUMIF('Species'!$G$2:$G$171,A12,'Species'!$U$2:$U$171)</x:f>
        <x:v>129625163.85796727</x:v>
      </x:c>
      <x:c r="J12" s="62" t="n">
        <x:v>3.8297344526480313</x:v>
      </x:c>
      <x:c r="K12" s="62" t="n">
        <x:f>IF(J12="","",(1/'Metadata'!$B$5)^(J12-1))</x:f>
        <x:v>4803.628387432755</x:v>
      </x:c>
      <x:c r="L12" s="60" t="n">
        <x:f>IF(E12=0,"",E12*K12)</x:f>
        <x:v>99449354.72019987</x:v>
      </x:c>
      <x:c r="M12" s="60" t="n">
        <x:f>I12-L12</x:f>
        <x:v>30175809.137767404</x:v>
      </x:c>
      <x:c r="N12" s="62" t="n">
        <x:f>IF(L12=0,"",I12/L12)</x:f>
        <x:v>1.3034289083389918</x:v>
      </x:c>
      <x:c r="O12" s="66" t="n">
        <x:f>IF(L12=0,"",M12/L12)</x:f>
        <x:v>0.3034289083389918</x:v>
      </x:c>
    </x:row>
    <x:row r="13" ht="18" customHeight="1">
      <x:c r="A13" s="46" t="str">
        <x:v>Medium bathydemersals (30 - 89 cm)</x:v>
      </x:c>
      <x:c r="B13" s="64" t="n">
        <x:v>6</x:v>
      </x:c>
      <x:c r="C13" s="64" t="n">
        <x:v>6</x:v>
      </x:c>
      <x:c r="D13" s="60" t="n">
        <x:v>117.87170770549999</x:v>
      </x:c>
      <x:c r="E13" s="60" t="n">
        <x:v>117.87170770549999</x:v>
      </x:c>
      <x:c r="F13" s="62" t="n">
        <x:v>0</x:v>
      </x:c>
      <x:c r="G13" s="66" t="n">
        <x:v>1</x:v>
      </x:c>
      <x:c r="H13" s="62" t="n">
        <x:f>IF(E13=0,"",I13/E13)</x:f>
        <x:v>2924.0050612614364</x:v>
      </x:c>
      <x:c r="I13" s="60" t="n">
        <x:f>SUMIF('Species'!$G$2:$G$171,A13,'Species'!$U$2:$U$171)</x:f>
        <x:v>344657.4699104106</x:v>
      </x:c>
      <x:c r="J13" s="62" t="n">
        <x:v>3.6524753970591233</x:v>
      </x:c>
      <x:c r="K13" s="62" t="n">
        <x:f>IF(J13="","",(1/'Metadata'!$B$5)^(J13-1))</x:f>
        <x:v>2824.5551206910277</x:v>
      </x:c>
      <x:c r="L13" s="60" t="n">
        <x:f>IF(E13=0,"",E13*K13)</x:f>
        <x:v>332935.13558416604</x:v>
      </x:c>
      <x:c r="M13" s="60" t="n">
        <x:f>I13-L13</x:f>
        <x:v>11722.334326244541</x:v>
      </x:c>
      <x:c r="N13" s="62" t="n">
        <x:f>IF(L13=0,"",I13/L13)</x:f>
        <x:v>1.0352090634882276</x:v>
      </x:c>
      <x:c r="O13" s="66" t="n">
        <x:f>IF(L13=0,"",M13/L13)</x:f>
        <x:v>0.03520906348822753</x:v>
      </x:c>
    </x:row>
    <x:row r="14" ht="18" customHeight="1">
      <x:c r="A14" s="46" t="str">
        <x:v>Medium benthopelagics (30 - 89 cm)</x:v>
      </x:c>
      <x:c r="B14" s="64" t="n">
        <x:v>3</x:v>
      </x:c>
      <x:c r="C14" s="64" t="n">
        <x:v>3</x:v>
      </x:c>
      <x:c r="D14" s="60" t="n">
        <x:v>639317.470404766</x:v>
      </x:c>
      <x:c r="E14" s="60" t="n">
        <x:v>639317.470404766</x:v>
      </x:c>
      <x:c r="F14" s="62" t="n">
        <x:v>0</x:v>
      </x:c>
      <x:c r="G14" s="66" t="n">
        <x:v>1</x:v>
      </x:c>
      <x:c r="H14" s="62" t="n">
        <x:f>IF(E14=0,"",I14/E14)</x:f>
        <x:v>6458.35263666812</x:v>
      </x:c>
      <x:c r="I14" s="60" t="n">
        <x:f>SUMIF('Species'!$G$2:$G$171,A14,'Species'!$U$2:$U$171)</x:f>
        <x:v>4128937670.6566133</x:v>
      </x:c>
      <x:c r="J14" s="62" t="n">
        <x:v>3.7308403842677413</x:v>
      </x:c>
      <x:c r="K14" s="62" t="n">
        <x:f>IF(J14="","",(1/'Metadata'!$B$5)^(J14-1))</x:f>
        <x:v>3571.9490317780537</x:v>
      </x:c>
      <x:c r="L14" s="60" t="n">
        <x:f>IF(E14=0,"",E14*K14)</x:f>
        <x:v>2283609419.4110985</x:v>
      </x:c>
      <x:c r="M14" s="60" t="n">
        <x:f>I14-L14</x:f>
        <x:v>1845328251.2455149</x:v>
      </x:c>
      <x:c r="N14" s="62" t="n">
        <x:f>IF(L14=0,"",I14/L14)</x:f>
        <x:v>1.8080752494537318</x:v>
      </x:c>
      <x:c r="O14" s="66" t="n">
        <x:f>IF(L14=0,"",M14/L14)</x:f>
        <x:v>0.8080752494537318</x:v>
      </x:c>
    </x:row>
    <x:row r="15" ht="18" customHeight="1">
      <x:c r="A15" s="46" t="str">
        <x:v>Medium demersals (30 - 89 cm)</x:v>
      </x:c>
      <x:c r="B15" s="64" t="n">
        <x:v>32</x:v>
      </x:c>
      <x:c r="C15" s="64" t="n">
        <x:v>32</x:v>
      </x:c>
      <x:c r="D15" s="60" t="n">
        <x:v>145566.1930088599</x:v>
      </x:c>
      <x:c r="E15" s="60" t="n">
        <x:v>145566.1930088599</x:v>
      </x:c>
      <x:c r="F15" s="62" t="n">
        <x:v>0</x:v>
      </x:c>
      <x:c r="G15" s="66" t="n">
        <x:v>1</x:v>
      </x:c>
      <x:c r="H15" s="62" t="n">
        <x:f>IF(E15=0,"",I15/E15)</x:f>
        <x:v>17046.284732582062</x:v>
      </x:c>
      <x:c r="I15" s="60" t="n">
        <x:f>SUMIF('Species'!$G$2:$G$171,A15,'Species'!$U$2:$U$171)</x:f>
        <x:v>2481362773.4670224</x:v>
      </x:c>
      <x:c r="J15" s="62" t="n">
        <x:v>3.913735768573696</x:v>
      </x:c>
      <x:c r="K15" s="62" t="n">
        <x:f>IF(J15="","",(1/'Metadata'!$B$5)^(J15-1))</x:f>
        <x:v>6178.138419926919</x:v>
      </x:c>
      <x:c r="L15" s="60" t="n">
        <x:f>IF(E15=0,"",E15*K15)</x:f>
        <x:v>899328089.6705346</x:v>
      </x:c>
      <x:c r="M15" s="60" t="n">
        <x:f>I15-L15</x:f>
        <x:v>1582034683.7964878</x:v>
      </x:c>
      <x:c r="N15" s="62" t="n">
        <x:f>IF(L15=0,"",I15/L15)</x:f>
        <x:v>2.759129623512661</x:v>
      </x:c>
      <x:c r="O15" s="66" t="n">
        <x:f>IF(L15=0,"",M15/L15)</x:f>
        <x:v>1.7591296235126606</x:v>
      </x:c>
    </x:row>
    <x:row r="16" ht="18" customHeight="1">
      <x:c r="A16" s="46" t="str">
        <x:v>Medium pelagics (30 - 89 cm)</x:v>
      </x:c>
      <x:c r="B16" s="64" t="n">
        <x:v>11</x:v>
      </x:c>
      <x:c r="C16" s="64" t="n">
        <x:v>11</x:v>
      </x:c>
      <x:c r="D16" s="60" t="n">
        <x:v>82236.44918359928</x:v>
      </x:c>
      <x:c r="E16" s="60" t="n">
        <x:v>82236.44918359928</x:v>
      </x:c>
      <x:c r="F16" s="62" t="n">
        <x:v>0</x:v>
      </x:c>
      <x:c r="G16" s="66" t="n">
        <x:v>1</x:v>
      </x:c>
      <x:c r="H16" s="62" t="n">
        <x:f>IF(E16=0,"",I16/E16)</x:f>
        <x:v>1574.880094936656</x:v>
      </x:c>
      <x:c r="I16" s="60" t="n">
        <x:f>SUMIF('Species'!$G$2:$G$171,A16,'Species'!$U$2:$U$171)</x:f>
        <x:v>129512546.89752032</x:v>
      </x:c>
      <x:c r="J16" s="62" t="n">
        <x:v>3.4139646594065214</x:v>
      </x:c>
      <x:c r="K16" s="62" t="n">
        <x:f>IF(J16="","",(1/'Metadata'!$B$5)^(J16-1))</x:f>
        <x:v>1382.4213435264799</x:v>
      </x:c>
      <x:c r="L16" s="60" t="n">
        <x:f>IF(E16=0,"",E16*K16)</x:f>
        <x:v>113685422.5672384</x:v>
      </x:c>
      <x:c r="M16" s="60" t="n">
        <x:f>I16-L16</x:f>
        <x:v>15827124.330281913</x:v>
      </x:c>
      <x:c r="N16" s="62" t="n">
        <x:f>IF(L16=0,"",I16/L16)</x:f>
        <x:v>1.1392185908524999</x:v>
      </x:c>
      <x:c r="O16" s="66" t="n">
        <x:f>IF(L16=0,"",M16/L16)</x:f>
        <x:v>0.13921859085249982</x:v>
      </x:c>
    </x:row>
    <x:row r="17" ht="18" customHeight="1">
      <x:c r="A17" s="46" t="str">
        <x:v>Medium reef assoc. fish (30 - 89 cm)</x:v>
      </x:c>
      <x:c r="B17" s="64" t="n">
        <x:v>6</x:v>
      </x:c>
      <x:c r="C17" s="64" t="n">
        <x:v>6</x:v>
      </x:c>
      <x:c r="D17" s="60" t="n">
        <x:v>2016.284218024</x:v>
      </x:c>
      <x:c r="E17" s="60" t="n">
        <x:v>2016.284218024</x:v>
      </x:c>
      <x:c r="F17" s="62" t="n">
        <x:v>0</x:v>
      </x:c>
      <x:c r="G17" s="66" t="n">
        <x:v>1</x:v>
      </x:c>
      <x:c r="H17" s="62" t="n">
        <x:f>IF(E17=0,"",I17/E17)</x:f>
        <x:v>7576.806151035798</x:v>
      </x:c>
      <x:c r="I17" s="60" t="n">
        <x:f>SUMIF('Species'!$G$2:$G$171,A17,'Species'!$U$2:$U$171)</x:f>
        <x:v>15276994.665360648</x:v>
      </x:c>
      <x:c r="J17" s="62" t="n">
        <x:v>3.912922583371901</x:v>
      </x:c>
      <x:c r="K17" s="62" t="n">
        <x:f>IF(J17="","",(1/'Metadata'!$B$5)^(J17-1))</x:f>
        <x:v>6163.106265884202</x:v>
      </x:c>
      <x:c r="L17" s="60" t="n">
        <x:f>IF(E17=0,"",E17*K17)</x:f>
        <x:v>12426573.897907143</x:v>
      </x:c>
      <x:c r="M17" s="60" t="n">
        <x:f>I17-L17</x:f>
        <x:v>2850420.7674535047</x:v>
      </x:c>
      <x:c r="N17" s="62" t="n">
        <x:f>IF(L17=0,"",I17/L17)</x:f>
        <x:v>1.2293810660019144</x:v>
      </x:c>
      <x:c r="O17" s="66" t="n">
        <x:f>IF(L17=0,"",M17/L17)</x:f>
        <x:v>0.22938106600191435</x:v>
      </x:c>
    </x:row>
    <x:row r="18" ht="18" customHeight="1">
      <x:c r="A18" s="46" t="str">
        <x:v>Other demersal invertebrates</x:v>
      </x:c>
      <x:c r="B18" s="64" t="n">
        <x:v>18</x:v>
      </x:c>
      <x:c r="C18" s="64" t="n">
        <x:v>18</x:v>
      </x:c>
      <x:c r="D18" s="60" t="n">
        <x:v>6132.7974913529</x:v>
      </x:c>
      <x:c r="E18" s="60" t="n">
        <x:v>6132.7974913529</x:v>
      </x:c>
      <x:c r="F18" s="62" t="n">
        <x:v>0</x:v>
      </x:c>
      <x:c r="G18" s="66" t="n">
        <x:v>1</x:v>
      </x:c>
      <x:c r="H18" s="62" t="n">
        <x:f>IF(E18=0,"",I18/E18)</x:f>
        <x:v>49.55285661054638</x:v>
      </x:c>
      <x:c r="I18" s="60" t="n">
        <x:f>SUMIF('Species'!$G$2:$G$171,A18,'Species'!$U$2:$U$171)</x:f>
        <x:v>303897.6347105288</x:v>
      </x:c>
      <x:c r="J18" s="62" t="n">
        <x:v>2.275056781045531</x:v>
      </x:c>
      <x:c r="K18" s="62" t="n">
        <x:f>IF(J18="","",(1/'Metadata'!$B$5)^(J18-1))</x:f>
        <x:v>45.59183983828727</x:v>
      </x:c>
      <x:c r="L18" s="60" t="n">
        <x:f>IF(E18=0,"",E18*K18)</x:f>
        <x:v>279605.5209864114</x:v>
      </x:c>
      <x:c r="M18" s="60" t="n">
        <x:f>I18-L18</x:f>
        <x:v>24292.1137241174</x:v>
      </x:c>
      <x:c r="N18" s="62" t="n">
        <x:f>IF(L18=0,"",I18/L18)</x:f>
        <x:v>1.0868799501469715</x:v>
      </x:c>
      <x:c r="O18" s="66" t="n">
        <x:f>IF(L18=0,"",M18/L18)</x:f>
        <x:v>0.08687995014697145</x:v>
      </x:c>
    </x:row>
    <x:row r="19" ht="18" customHeight="1">
      <x:c r="A19" s="46" t="str">
        <x:v>Shrimps</x:v>
      </x:c>
      <x:c r="B19" s="64" t="n">
        <x:v>6</x:v>
      </x:c>
      <x:c r="C19" s="64" t="n">
        <x:v>6</x:v>
      </x:c>
      <x:c r="D19" s="60" t="n">
        <x:v>6927.0840010150005</x:v>
      </x:c>
      <x:c r="E19" s="60" t="n">
        <x:v>6927.0840010150005</x:v>
      </x:c>
      <x:c r="F19" s="62" t="n">
        <x:v>0</x:v>
      </x:c>
      <x:c r="G19" s="66" t="n">
        <x:v>1</x:v>
      </x:c>
      <x:c r="H19" s="62" t="n">
        <x:f>IF(E19=0,"",I19/E19)</x:f>
        <x:v>785.3602040829655</x:v>
      </x:c>
      <x:c r="I19" s="60" t="n">
        <x:f>SUMIF('Species'!$G$2:$G$171,A19,'Species'!$U$2:$U$171)</x:f>
        <x:v>5440256.104736987</x:v>
      </x:c>
      <x:c r="J19" s="62" t="n">
        <x:v>3.2162056498196683</x:v>
      </x:c>
      <x:c r="K19" s="62" t="n">
        <x:f>IF(J19="","",(1/'Metadata'!$B$5)^(J19-1))</x:f>
        <x:v>764.4516580868551</x:v>
      </x:c>
      <x:c r="L19" s="60" t="n">
        <x:f>IF(E19=0,"",E19*K19)</x:f>
        <x:v>5295420.850282843</x:v>
      </x:c>
      <x:c r="M19" s="60" t="n">
        <x:f>I19-L19</x:f>
        <x:v>144835.25445414335</x:v>
      </x:c>
      <x:c r="N19" s="62" t="n">
        <x:f>IF(L19=0,"",I19/L19)</x:f>
        <x:v>1.0273510375377262</x:v>
      </x:c>
      <x:c r="O19" s="66" t="n">
        <x:f>IF(L19=0,"",M19/L19)</x:f>
        <x:v>0.02735103753772607</x:v>
      </x:c>
    </x:row>
    <x:row r="20" ht="18" customHeight="1">
      <x:c r="A20" s="46" t="str">
        <x:v>Small benthopelagics (&lt;30 cm)</x:v>
      </x:c>
      <x:c r="B20" s="64" t="n">
        <x:v>1</x:v>
      </x:c>
      <x:c r="C20" s="64" t="n">
        <x:v>1</x:v>
      </x:c>
      <x:c r="D20" s="60" t="n">
        <x:v>0.0013604217</x:v>
      </x:c>
      <x:c r="E20" s="60" t="n">
        <x:v>0.0013604217</x:v>
      </x:c>
      <x:c r="F20" s="62" t="n">
        <x:v>0</x:v>
      </x:c>
      <x:c r="G20" s="66" t="n">
        <x:v>1</x:v>
      </x:c>
      <x:c r="H20" s="62" t="n">
        <x:f>IF(E20=0,"",I20/E20)</x:f>
        <x:v>2562.7048371775754</x:v>
      </x:c>
      <x:c r="I20" s="60" t="n">
        <x:f>SUMIF('Species'!$G$2:$G$171,A20,'Species'!$U$2:$U$171)</x:f>
        <x:v>3.4863592711913403</x:v>
      </x:c>
      <x:c r="J20" s="62" t="n">
        <x:v>3.6199999999999997</x:v>
      </x:c>
      <x:c r="K20" s="62" t="n">
        <x:f>IF(J20="","",(1/'Metadata'!$B$5)^(J20-1))</x:f>
        <x:v>2562.7048371775722</x:v>
      </x:c>
      <x:c r="L20" s="60" t="n">
        <x:f>IF(E20=0,"",E20*K20)</x:f>
        <x:v>3.486359271191336</x:v>
      </x:c>
      <x:c r="M20" s="60" t="n">
        <x:f>I20-L20</x:f>
        <x:v>4.440892098500626e-15</x:v>
      </x:c>
      <x:c r="N20" s="62" t="n">
        <x:f>IF(L20=0,"",I20/L20)</x:f>
        <x:v>1.0000000000000013</x:v>
      </x:c>
      <x:c r="O20" s="66" t="n">
        <x:f>IF(L20=0,"",M20/L20)</x:f>
        <x:v>1.2737907235197575e-15</x:v>
      </x:c>
    </x:row>
    <x:row r="21" ht="18" customHeight="1">
      <x:c r="A21" s="46" t="str">
        <x:v>Small demersals (&lt;30 cm)</x:v>
      </x:c>
      <x:c r="B21" s="64" t="n">
        <x:v>2</x:v>
      </x:c>
      <x:c r="C21" s="64" t="n">
        <x:v>2</x:v>
      </x:c>
      <x:c r="D21" s="60" t="n">
        <x:v>0.6310344186</x:v>
      </x:c>
      <x:c r="E21" s="60" t="n">
        <x:v>0.6310344186</x:v>
      </x:c>
      <x:c r="F21" s="62" t="n">
        <x:v>0</x:v>
      </x:c>
      <x:c r="G21" s="66" t="n">
        <x:v>1</x:v>
      </x:c>
      <x:c r="H21" s="62" t="n">
        <x:f>IF(E21=0,"",I21/E21)</x:f>
        <x:v>1002.5934112242514</x:v>
      </x:c>
      <x:c r="I21" s="60" t="n">
        <x:f>SUMIF('Species'!$G$2:$G$171,A21,'Species'!$U$2:$U$171)</x:f>
        <x:v>632.6709503440862</x:v>
      </x:c>
      <x:c r="J21" s="62" t="n">
        <x:v>3.3062055634535557</x:v>
      </x:c>
      <x:c r="K21" s="62" t="n">
        <x:f>IF(J21="","",(1/'Metadata'!$B$5)^(J21-1))</x:f>
        <x:v>1001.0196764223198</x:v>
      </x:c>
      <x:c r="L21" s="60" t="n">
        <x:f>IF(E21=0,"",E21*K21)</x:f>
        <x:v>631.6778695183186</x:v>
      </x:c>
      <x:c r="M21" s="60" t="n">
        <x:f>I21-L21</x:f>
        <x:v>0.9930808257676063</x:v>
      </x:c>
      <x:c r="N21" s="62" t="n">
        <x:f>IF(L21=0,"",I21/L21)</x:f>
        <x:v>1.0015721317362676</x:v>
      </x:c>
      <x:c r="O21" s="66" t="n">
        <x:f>IF(L21=0,"",M21/L21)</x:f>
        <x:v>0.0015721317362675264</x:v>
      </x:c>
    </x:row>
    <x:row r="22" ht="18" customHeight="1">
      <x:c r="A22" s="46" t="str">
        <x:v>Small pelagics (&lt;30 cm)</x:v>
      </x:c>
      <x:c r="B22" s="64" t="n">
        <x:v>6</x:v>
      </x:c>
      <x:c r="C22" s="64" t="n">
        <x:v>6</x:v>
      </x:c>
      <x:c r="D22" s="60" t="n">
        <x:v>36.8865948226</x:v>
      </x:c>
      <x:c r="E22" s="60" t="n">
        <x:v>36.8865948226</x:v>
      </x:c>
      <x:c r="F22" s="62" t="n">
        <x:v>0</x:v>
      </x:c>
      <x:c r="G22" s="66" t="n">
        <x:v>1</x:v>
      </x:c>
      <x:c r="H22" s="62" t="n">
        <x:f>IF(E22=0,"",I22/E22)</x:f>
        <x:v>1267.7845750870517</x:v>
      </x:c>
      <x:c r="I22" s="60" t="n">
        <x:f>SUMIF('Species'!$G$2:$G$171,A22,'Species'!$U$2:$U$171)</x:f>
        <x:v>46764.25594357819</x:v>
      </x:c>
      <x:c r="J22" s="62" t="n">
        <x:v>3.3687909070809465</x:v>
      </x:c>
      <x:c r="K22" s="62" t="n">
        <x:f>IF(J22="","",(1/'Metadata'!$B$5)^(J22-1))</x:f>
        <x:v>1207.4468519908398</x:v>
      </x:c>
      <x:c r="L22" s="60" t="n">
        <x:f>IF(E22=0,"",E22*K22)</x:f>
        <x:v>44538.602799209984</x:v>
      </x:c>
      <x:c r="M22" s="60" t="n">
        <x:f>I22-L22</x:f>
        <x:v>2225.6531443682034</x:v>
      </x:c>
      <x:c r="N22" s="62" t="n">
        <x:f>IF(L22=0,"",I22/L22)</x:f>
        <x:v>1.0499713283418868</x:v>
      </x:c>
      <x:c r="O22" s="66" t="n">
        <x:f>IF(L22=0,"",M22/L22)</x:f>
        <x:v>0.04997132834188686</x:v>
      </x:c>
    </x:row>
    <x:row r="23" ht="18" customHeight="1">
      <x:c r="A23" s="46" t="str">
        <x:v>Small to medium flatfishes (&lt;90 cm)</x:v>
      </x:c>
      <x:c r="B23" s="64" t="n">
        <x:v>17</x:v>
      </x:c>
      <x:c r="C23" s="64" t="n">
        <x:v>17</x:v>
      </x:c>
      <x:c r="D23" s="60" t="n">
        <x:v>56935.361351501</x:v>
      </x:c>
      <x:c r="E23" s="60" t="n">
        <x:v>56935.361351501</x:v>
      </x:c>
      <x:c r="F23" s="62" t="n">
        <x:v>0</x:v>
      </x:c>
      <x:c r="G23" s="66" t="n">
        <x:v>1</x:v>
      </x:c>
      <x:c r="H23" s="62" t="n">
        <x:f>IF(E23=0,"",I23/E23)</x:f>
        <x:v>4658.867790954949</x:v>
      </x:c>
      <x:c r="I23" s="60" t="n">
        <x:f>SUMIF('Species'!$G$2:$G$171,A23,'Species'!$U$2:$U$171)</x:f>
        <x:v>265254321.16688925</x:v>
      </x:c>
      <x:c r="J23" s="62" t="n">
        <x:v>3.6568699587554367</x:v>
      </x:c>
      <x:c r="K23" s="62" t="n">
        <x:f>IF(J23="","",(1/'Metadata'!$B$5)^(J23-1))</x:f>
        <x:v>2861.9860390930917</x:v>
      </x:c>
      <x:c r="L23" s="60" t="n">
        <x:f>IF(E23=0,"",E23*K23)</x:f>
        <x:v>162948209.31871623</x:v>
      </x:c>
      <x:c r="M23" s="60" t="n">
        <x:f>I23-L23</x:f>
        <x:v>102306111.84817302</x:v>
      </x:c>
      <x:c r="N23" s="62" t="n">
        <x:f>IF(L23=0,"",I23/L23)</x:f>
        <x:v>1.6278443456108735</x:v>
      </x:c>
      <x:c r="O23" s="66" t="n">
        <x:f>IF(L23=0,"",M23/L23)</x:f>
        <x:v>0.6278443456108734</x:v>
      </x:c>
    </x:row>
    <x:row r="24" ht="18" customHeight="1">
      <x:c r="A24" s="46" t="str">
        <x:v>Small to medium rays (&lt;90 cm)</x:v>
      </x:c>
      <x:c r="B24" s="64" t="n">
        <x:v>3</x:v>
      </x:c>
      <x:c r="C24" s="64" t="n">
        <x:v>3</x:v>
      </x:c>
      <x:c r="D24" s="60" t="n">
        <x:v>855.762664568</x:v>
      </x:c>
      <x:c r="E24" s="60" t="n">
        <x:v>855.762664568</x:v>
      </x:c>
      <x:c r="F24" s="62" t="n">
        <x:v>0</x:v>
      </x:c>
      <x:c r="G24" s="66" t="n">
        <x:v>1</x:v>
      </x:c>
      <x:c r="H24" s="62" t="n">
        <x:f>IF(E24=0,"",I24/E24)</x:f>
        <x:v>4374.318429987393</x:v>
      </x:c>
      <x:c r="I24" s="60" t="n">
        <x:f>SUMIF('Species'!$G$2:$G$171,A24,'Species'!$U$2:$U$171)</x:f>
        <x:v>3743378.3953149216</x:v>
      </x:c>
      <x:c r="J24" s="62" t="n">
        <x:v>3.7981975870753293</x:v>
      </x:c>
      <x:c r="K24" s="62" t="n">
        <x:f>IF(J24="","",(1/'Metadata'!$B$5)^(J24-1))</x:f>
        <x:v>4370.5792001299</x:v>
      </x:c>
      <x:c r="L24" s="60" t="n">
        <x:f>IF(E24=0,"",E24*K24)</x:f>
        <x:v>3740178.502008641</x:v>
      </x:c>
      <x:c r="M24" s="60" t="n">
        <x:f>I24-L24</x:f>
        <x:v>3199.8933062804863</x:v>
      </x:c>
      <x:c r="N24" s="62" t="n">
        <x:f>IF(L24=0,"",I24/L24)</x:f>
        <x:v>1.0008555456122112</x:v>
      </x:c>
      <x:c r="O24" s="66" t="n">
        <x:f>IF(L24=0,"",M24/L24)</x:f>
        <x:v>0.0008555456122112895</x:v>
      </x:c>
    </x:row>
    <x:row r="25" ht="18" customHeight="1">
      <x:c r="A25" s="46" t="str">
        <x:v>Small to medium sharks (&lt;90 cm)</x:v>
      </x:c>
      <x:c r="B25" s="64" t="n">
        <x:v>1</x:v>
      </x:c>
      <x:c r="C25" s="64" t="n">
        <x:v>1</x:v>
      </x:c>
      <x:c r="D25" s="60" t="n">
        <x:v>0.2258423545</x:v>
      </x:c>
      <x:c r="E25" s="60" t="n">
        <x:v>0.2258423545</x:v>
      </x:c>
      <x:c r="F25" s="62" t="n">
        <x:v>0</x:v>
      </x:c>
      <x:c r="G25" s="66" t="n">
        <x:v>1</x:v>
      </x:c>
      <x:c r="H25" s="62" t="n">
        <x:f>IF(E25=0,"",I25/E25)</x:f>
        <x:v>2273.3033337150473</x:v>
      </x:c>
      <x:c r="I25" s="60" t="n">
        <x:f>SUMIF('Species'!$G$2:$G$171,A25,'Species'!$U$2:$U$171)</x:f>
        <x:v>513.4081773789055</x:v>
      </x:c>
      <x:c r="J25" s="62" t="n">
        <x:v>3.58</x:v>
      </x:c>
      <x:c r="K25" s="62" t="n">
        <x:f>IF(J25="","",(1/'Metadata'!$B$5)^(J25-1))</x:f>
        <x:v>2273.3033337150473</x:v>
      </x:c>
      <x:c r="L25" s="60" t="n">
        <x:f>IF(E25=0,"",E25*K25)</x:f>
        <x:v>513.4081773789055</x:v>
      </x:c>
      <x:c r="M25" s="60" t="n">
        <x:f>I25-L25</x:f>
        <x:v>0</x:v>
      </x:c>
      <x:c r="N25" s="62" t="n">
        <x:f>IF(L25=0,"",I25/L25)</x:f>
        <x:v>1</x:v>
      </x:c>
      <x:c r="O25" s="66" t="n">
        <x:f>IF(L25=0,"",M25/L25)</x:f>
        <x:v>0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e334b7ac52d45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LME_002</x:v>
      </x:c>
      <x:c r="B2" s="46" t="str">
        <x:v>raw_filtered_tonnes</x:v>
      </x:c>
      <x:c r="C2" s="46" t="n">
        <x:v>1102866.6258441233</x:v>
      </x:c>
      <x:c r="D2" s="46" t="str">
        <x:v>tonnes</x:v>
      </x:c>
    </x:row>
    <x:row r="3" ht="18" customHeight="1">
      <x:c r="A3" s="46" t="str">
        <x:v>LME_002</x:v>
      </x:c>
      <x:c r="B3" s="46" t="str">
        <x:v>species_catch_tonnes</x:v>
      </x:c>
      <x:c r="C3" s="46" t="n">
        <x:v>1102866.6258441233</x:v>
      </x:c>
      <x:c r="D3" s="46" t="str">
        <x:v>tonnes</x:v>
      </x:c>
    </x:row>
    <x:row r="4" ht="18" customHeight="1">
      <x:c r="A4" s="46" t="str">
        <x:v>LME_002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LME_002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LME_002</x:v>
      </x:c>
      <x:c r="B6" s="46" t="str">
        <x:v>matched_catch_tonnes</x:v>
      </x:c>
      <x:c r="C6" s="46" t="n">
        <x:v>1102866.6258441233</x:v>
      </x:c>
      <x:c r="D6" s="46" t="str">
        <x:v>tonnes</x:v>
      </x:c>
    </x:row>
    <x:row r="7" ht="18" customHeight="1">
      <x:c r="A7" s="46" t="str">
        <x:v>LME_002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LME_002</x:v>
      </x:c>
      <x:c r="B8" s="46" t="str">
        <x:v>taxa_count</x:v>
      </x:c>
      <x:c r="C8" s="46" t="n">
        <x:v>170</x:v>
      </x:c>
      <x:c r="D8" s="46" t="str">
        <x:v>count</x:v>
      </x:c>
    </x:row>
    <x:row r="9" ht="18" customHeight="1">
      <x:c r="A9" s="46" t="str">
        <x:v>LME_002</x:v>
      </x:c>
      <x:c r="B9" s="46" t="str">
        <x:v>matched_taxa_count</x:v>
      </x:c>
      <x:c r="C9" s="46" t="n">
        <x:v>170</x:v>
      </x:c>
      <x:c r="D9" s="46" t="str">
        <x:v>count</x:v>
      </x:c>
    </x:row>
    <x:row r="10" ht="18" customHeight="1">
      <x:c r="A10" s="46" t="str">
        <x:v>LME_002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LME_002</x:v>
      </x:c>
      <x:c r="B11" s="46" t="str">
        <x:v>species_ppr</x:v>
      </x:c>
      <x:c r="C11" s="46" t="n">
        <x:v>8687784363.481363</x:v>
      </x:c>
      <x:c r="D11" s="46" t="str">
        <x:v>tonnes_primary_production_equivalent</x:v>
      </x:c>
    </x:row>
    <x:row r="12" ht="18" customHeight="1">
      <x:c r="A12" s="46" t="str">
        <x:v>LME_002</x:v>
      </x:c>
      <x:c r="B12" s="46" t="str">
        <x:v>commercial_ppr</x:v>
      </x:c>
      <x:c r="C12" s="46" t="n">
        <x:v>8687784363.481363</x:v>
      </x:c>
      <x:c r="D12" s="46" t="str">
        <x:v>tonnes_primary_production_equivalent</x:v>
      </x:c>
    </x:row>
    <x:row r="13" ht="18" customHeight="1">
      <x:c r="A13" s="46" t="str">
        <x:v>LME_002</x:v>
      </x:c>
      <x:c r="B13" s="46" t="str">
        <x:v>functional_ppr</x:v>
      </x:c>
      <x:c r="C13" s="46" t="n">
        <x:v>8687784363.481363</x:v>
      </x:c>
      <x:c r="D13" s="46" t="str">
        <x:v>tonnes_primary_production_equivalent</x:v>
      </x:c>
    </x:row>
    <x:row r="14" ht="18" customHeight="1">
      <x:c r="A14" s="46" t="str">
        <x:v>LME_002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LME_002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LME_002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b11f057282e42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LME_002 - Gulf of Alaska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