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56982f5084f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06bad183382432b"/>
    <x:sheet xmlns:r="http://schemas.openxmlformats.org/officeDocument/2006/relationships" name="Commercial" sheetId="2" r:id="R385512afc95f4829"/>
    <x:sheet xmlns:r="http://schemas.openxmlformats.org/officeDocument/2006/relationships" name="Functional" sheetId="3" r:id="R7e7d95fa22f74082"/>
    <x:sheet xmlns:r="http://schemas.openxmlformats.org/officeDocument/2006/relationships" name="Missing TL" sheetId="4" r:id="R2e936c76bdca4248"/>
    <x:sheet xmlns:r="http://schemas.openxmlformats.org/officeDocument/2006/relationships" name="Validation" sheetId="5" r:id="R4f8b965a74a64ae4"/>
    <x:sheet xmlns:r="http://schemas.openxmlformats.org/officeDocument/2006/relationships" name="Metadata" sheetId="6" r:id="Ra6fbbf02556c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e5806db5f44cc" /><Relationship Type="http://schemas.openxmlformats.org/officeDocument/2006/relationships/theme" Target="/xl/theme/theme1.xml" Id="R294f1e35d10d4598" /><Relationship Type="http://schemas.openxmlformats.org/officeDocument/2006/relationships/sharedStrings" Target="/xl/sharedStrings.xml" Id="Rd6bbd2c3542d4111" /><Relationship Type="http://schemas.openxmlformats.org/officeDocument/2006/relationships/worksheet" Target="/xl/worksheets/sheet1.xml" Id="R306bad183382432b" /><Relationship Type="http://schemas.openxmlformats.org/officeDocument/2006/relationships/worksheet" Target="/xl/worksheets/sheet2.xml" Id="R385512afc95f4829" /><Relationship Type="http://schemas.openxmlformats.org/officeDocument/2006/relationships/worksheet" Target="/xl/worksheets/sheet3.xml" Id="R7e7d95fa22f74082" /><Relationship Type="http://schemas.openxmlformats.org/officeDocument/2006/relationships/worksheet" Target="/xl/worksheets/sheet4.xml" Id="R2e936c76bdca4248" /><Relationship Type="http://schemas.openxmlformats.org/officeDocument/2006/relationships/worksheet" Target="/xl/worksheets/sheet5.xml" Id="R4f8b965a74a64ae4" /><Relationship Type="http://schemas.openxmlformats.org/officeDocument/2006/relationships/worksheet" Target="/xl/worksheets/sheet6.xml" Id="Ra6fbbf02556c47fa" /></Relationships>
</file>

<file path=xl/tables/table1.xml><?xml version="1.0" encoding="utf-8"?>
<x:table xmlns:x="http://schemas.openxmlformats.org/spreadsheetml/2006/main" id="1" name="LME061SpeciesTable" displayName="LME061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61CommercialTable" displayName="LME061CommercialTable" ref="A1:O6" headerRowCount="1" totalsRowCount="0" totalsRowShown="0">
  <x:autoFilter ref="A1:O6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61FunctionalTable" displayName="LME061FunctionalTable" ref="A1:O10" headerRowCount="1" totalsRowCount="0" totalsRowShown="0">
  <x:autoFilter ref="A1:O1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61ValidationTable" displayName="LME06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8588b48684a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ce4c12b2254a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b2bf4a4a8d45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06b170696d47b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LME_061</x:v>
      </x:c>
      <x:c r="B2" s="46" t="str">
        <x:v>Antarctic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0.1829741856</x:v>
      </x:c>
      <x:c r="J2" s="60" t="n">
        <x:v>0.1829741856</x:v>
      </x:c>
      <x:c r="K2" s="60" t="n">
        <x:v>0</x:v>
      </x:c>
      <x:c r="L2" s="60" t="n">
        <x:v>0.1829741856</x:v>
      </x:c>
      <x:c r="M2" s="60" t="n">
        <x:v>0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169.33167834629003</x:v>
      </x:c>
    </x:row>
    <x:row r="3" ht="18" customHeight="1">
      <x:c r="A3" s="46" t="str">
        <x:v>LME_061</x:v>
      </x:c>
      <x:c r="B3" s="46" t="str">
        <x:v>Antarctic</x:v>
      </x:c>
      <x:c r="C3" s="46" t="str">
        <x:v>LME</x:v>
      </x:c>
      <x:c r="D3" s="58" t="n">
        <x:v>2019</x:v>
      </x:c>
      <x:c r="E3" s="46" t="str">
        <x:v>Rajiformes</x:v>
      </x:c>
      <x:c r="F3" s="46" t="str">
        <x:v>Skates and rays</x:v>
      </x:c>
      <x:c r="G3" s="46" t="str">
        <x:v>Large rays (&gt;=90 cm)</x:v>
      </x:c>
      <x:c r="H3" s="46" t="str">
        <x:v>Sharks &amp; rays</x:v>
      </x:c>
      <x:c r="I3" s="60" t="n">
        <x:v>0.0321891454</x:v>
      </x:c>
      <x:c r="J3" s="60" t="n">
        <x:v>0.0321891454</x:v>
      </x:c>
      <x:c r="K3" s="60" t="n">
        <x:v>0</x:v>
      </x:c>
      <x:c r="L3" s="60" t="n">
        <x:v>0.0321891454</x:v>
      </x:c>
      <x:c r="M3" s="60" t="n">
        <x:v>0</x:v>
      </x:c>
      <x:c r="N3" s="46" t="str">
        <x:v>rajiformes</x:v>
      </x:c>
      <x:c r="O3" s="62" t="n">
        <x:v>3.61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Rajiformes</x:v>
      </x:c>
      <x:c r="T3" s="62" t="n">
        <x:f>IF(O3="","",(1/'Metadata'!$B$5)^(O3-1))</x:f>
        <x:v>2487.0716021897506</x:v>
      </x:c>
      <x:c r="U3" s="60" t="n">
        <x:f>IF(T3="","",I3*T3)</x:f>
        <x:v>80.05670942309685</x:v>
      </x:c>
    </x:row>
    <x:row r="4" ht="18" customHeight="1">
      <x:c r="A4" s="46" t="str">
        <x:v>LME_061</x:v>
      </x:c>
      <x:c r="B4" s="46" t="str">
        <x:v>Antarctic</x:v>
      </x:c>
      <x:c r="C4" s="46" t="str">
        <x:v>LME</x:v>
      </x:c>
      <x:c r="D4" s="58" t="n">
        <x:v>2019</x:v>
      </x:c>
      <x:c r="E4" s="46" t="str">
        <x:v>Macrourus whitsoni</x:v>
      </x:c>
      <x:c r="F4" s="46" t="str">
        <x:v>Whitson's grenadier</x:v>
      </x:c>
      <x:c r="G4" s="46" t="str">
        <x:v>Medium bathypelagics (30 - 89 cm)</x:v>
      </x:c>
      <x:c r="H4" s="46" t="str">
        <x:v>Cod-likes</x:v>
      </x:c>
      <x:c r="I4" s="60" t="n">
        <x:v>0.0276479012</x:v>
      </x:c>
      <x:c r="J4" s="60" t="n">
        <x:v>0.0276479012</x:v>
      </x:c>
      <x:c r="K4" s="60" t="n">
        <x:v>0</x:v>
      </x:c>
      <x:c r="L4" s="60" t="n">
        <x:v>0.0276479012</x:v>
      </x:c>
      <x:c r="M4" s="60" t="n">
        <x:v>0</x:v>
      </x:c>
      <x:c r="N4" s="46" t="str">
        <x:v>macrourus whitsoni</x:v>
      </x:c>
      <x:c r="O4" s="62" t="n">
        <x:v>3.47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Macrourus whitsoni</x:v>
      </x:c>
      <x:c r="T4" s="62" t="n">
        <x:f>IF(O4="","",(1/'Metadata'!$B$5)^(O4-1))</x:f>
        <x:v>1635.0991368927735</x:v>
      </x:c>
      <x:c r="U4" s="60" t="n">
        <x:f>IF(T4="","",I4*T4)</x:f>
        <x:v>45.20705938901668</x:v>
      </x:c>
    </x:row>
    <x:row r="5" ht="18" customHeight="1">
      <x:c r="A5" s="46" t="str">
        <x:v>LME_061</x:v>
      </x:c>
      <x:c r="B5" s="46" t="str">
        <x:v>Antarctic</x:v>
      </x:c>
      <x:c r="C5" s="46" t="str">
        <x:v>LME</x:v>
      </x:c>
      <x:c r="D5" s="58" t="n">
        <x:v>2019</x:v>
      </x:c>
      <x:c r="E5" s="46" t="str">
        <x:v>Pagetodes antarcticus</x:v>
      </x:c>
      <x:c r="F5" s="46" t="str">
        <x:v>Long-fingered icefish</x:v>
      </x:c>
      <x:c r="G5" s="46" t="str">
        <x:v>Medium bathydemersals (30 - 89 cm)</x:v>
      </x:c>
      <x:c r="H5" s="46" t="str">
        <x:v>Perch-likes</x:v>
      </x:c>
      <x:c r="I5" s="60" t="n">
        <x:v>0.0023521774999999997</x:v>
      </x:c>
      <x:c r="J5" s="60" t="n">
        <x:v>0.0023521774999999997</x:v>
      </x:c>
      <x:c r="K5" s="60" t="n">
        <x:v>0</x:v>
      </x:c>
      <x:c r="L5" s="60" t="n">
        <x:v>0.0023521774999999997</x:v>
      </x:c>
      <x:c r="M5" s="60" t="n">
        <x:v>0</x:v>
      </x:c>
      <x:c r="N5" s="46" t="str">
        <x:v>pagetodes antarcticus</x:v>
      </x:c>
      <x:c r="O5" s="62" t="n">
        <x:v>3.57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Pagetodes antarcticus</x:v>
      </x:c>
      <x:c r="T5" s="62" t="n">
        <x:f>IF(O5="","",(1/'Metadata'!$B$5)^(O5-1))</x:f>
        <x:v>2206.2112196552644</x:v>
      </x:c>
      <x:c r="U5" s="60" t="n">
        <x:f>IF(T5="","",I5*T5)</x:f>
        <x:v>5.18940039112067</x:v>
      </x:c>
    </x:row>
    <x:row r="6" ht="18" customHeight="1">
      <x:c r="A6" s="46" t="str">
        <x:v>LME_061</x:v>
      </x:c>
      <x:c r="B6" s="46" t="str">
        <x:v>Antarctic</x:v>
      </x:c>
      <x:c r="C6" s="46" t="str">
        <x:v>LME</x:v>
      </x:c>
      <x:c r="D6" s="58" t="n">
        <x:v>2019</x:v>
      </x:c>
      <x:c r="E6" s="46" t="str">
        <x:v>Pleuragramma antarcticum</x:v>
      </x:c>
      <x:c r="F6" s="46" t="str">
        <x:v>Antarctic silverfish</x:v>
      </x:c>
      <x:c r="G6" s="46" t="str">
        <x:v>Small pelagics (&lt;30 cm)</x:v>
      </x:c>
      <x:c r="H6" s="46" t="str">
        <x:v>Perch-likes</x:v>
      </x:c>
      <x:c r="I6" s="60" t="n">
        <x:v>0.0022005613000000003</x:v>
      </x:c>
      <x:c r="J6" s="60" t="n">
        <x:v>0.0022005613000000003</x:v>
      </x:c>
      <x:c r="K6" s="60" t="n">
        <x:v>0</x:v>
      </x:c>
      <x:c r="L6" s="60" t="n">
        <x:v>0.0022005613000000003</x:v>
      </x:c>
      <x:c r="M6" s="60" t="n">
        <x:v>0</x:v>
      </x:c>
      <x:c r="N6" s="46" t="str">
        <x:v>pleuragramma antarcticum</x:v>
      </x:c>
      <x:c r="O6" s="62" t="n">
        <x:v>3.23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Pleuragramma antarcticum</x:v>
      </x:c>
      <x:c r="T6" s="62" t="n">
        <x:f>IF(O6="","",(1/'Metadata'!$B$5)^(O6-1))</x:f>
        <x:v>796.7038031673321</x:v>
      </x:c>
      <x:c r="U6" s="60" t="n">
        <x:f>IF(T6="","",I6*T6)</x:f>
        <x:v>1.7531955568128488</x:v>
      </x:c>
    </x:row>
    <x:row r="7" ht="18" customHeight="1">
      <x:c r="A7" s="46" t="str">
        <x:v>LME_061</x:v>
      </x:c>
      <x:c r="B7" s="46" t="str">
        <x:v>Antarctic</x:v>
      </x:c>
      <x:c r="C7" s="46" t="str">
        <x:v>LME</x:v>
      </x:c>
      <x:c r="D7" s="58" t="n">
        <x:v>2019</x:v>
      </x:c>
      <x:c r="E7" s="46" t="str">
        <x:v>Artedidraconidae</x:v>
      </x:c>
      <x:c r="F7" s="46" t="str">
        <x:v>Barbled plunderfishes</x:v>
      </x:c>
      <x:c r="G7" s="46" t="str">
        <x:v>Small demersals (&lt;30 cm)</x:v>
      </x:c>
      <x:c r="H7" s="46" t="str">
        <x:v>Perch-likes</x:v>
      </x:c>
      <x:c r="I7" s="60" t="n">
        <x:v>0.0017045646</x:v>
      </x:c>
      <x:c r="J7" s="60" t="n">
        <x:v>0.0017045646</x:v>
      </x:c>
      <x:c r="K7" s="60" t="n">
        <x:v>0</x:v>
      </x:c>
      <x:c r="L7" s="60" t="n">
        <x:v>0.0017045646</x:v>
      </x:c>
      <x:c r="M7" s="60" t="n">
        <x:v>0</x:v>
      </x:c>
      <x:c r="N7" s="46" t="str">
        <x:v>artedidraconidae</x:v>
      </x:c>
      <x:c r="O7" s="62" t="n">
        <x:v>3.1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Artedidraconidae</x:v>
      </x:c>
      <x:c r="T7" s="62" t="n">
        <x:f>IF(O7="","",(1/'Metadata'!$B$5)^(O7-1))</x:f>
        <x:v>539.7131390694254</x:v>
      </x:c>
      <x:c r="U7" s="60" t="n">
        <x:f>IF(T7="","",I7*T7)</x:f>
        <x:v>0.9199759110126196</x:v>
      </x:c>
    </x:row>
    <x:row r="8" ht="18" customHeight="1">
      <x:c r="A8" s="46" t="str">
        <x:v>LME_061</x:v>
      </x:c>
      <x:c r="B8" s="46" t="str">
        <x:v>Antarctic</x:v>
      </x:c>
      <x:c r="C8" s="46" t="str">
        <x:v>LME</x:v>
      </x:c>
      <x:c r="D8" s="58" t="n">
        <x:v>2019</x:v>
      </x:c>
      <x:c r="E8" s="46" t="str">
        <x:v>Neopagetopsis ionah</x:v>
      </x:c>
      <x:c r="F8" s="46" t="str">
        <x:v>Jonah's icefish</x:v>
      </x:c>
      <x:c r="G8" s="46" t="str">
        <x:v>Medium benthopelagics (30 - 89 cm)</x:v>
      </x:c>
      <x:c r="H8" s="46" t="str">
        <x:v>Perch-likes</x:v>
      </x:c>
      <x:c r="I8" s="60" t="n">
        <x:v>0.0003971103</x:v>
      </x:c>
      <x:c r="J8" s="60" t="n">
        <x:v>0.0003971103</x:v>
      </x:c>
      <x:c r="K8" s="60" t="n">
        <x:v>0</x:v>
      </x:c>
      <x:c r="L8" s="60" t="n">
        <x:v>0.0003971103</x:v>
      </x:c>
      <x:c r="M8" s="60" t="n">
        <x:v>0</x:v>
      </x:c>
      <x:c r="N8" s="46" t="str">
        <x:v>neopagetopsis ionah</x:v>
      </x:c>
      <x:c r="O8" s="62" t="n">
        <x:v>3.42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Neopagetopsis ionah</x:v>
      </x:c>
      <x:c r="T8" s="62" t="n">
        <x:f>IF(O8="","",(1/'Metadata'!$B$5)^(O8-1))</x:f>
        <x:v>1407.643209131506</x:v>
      </x:c>
      <x:c r="U8" s="60" t="n">
        <x:f>IF(T8="","",I8*T8)</x:f>
        <x:v>0.558989617071175</x:v>
      </x:c>
    </x:row>
    <x:row r="9" ht="18" customHeight="1">
      <x:c r="A9" s="46" t="str">
        <x:v>LME_061</x:v>
      </x:c>
      <x:c r="B9" s="46" t="str">
        <x:v>Antarctic</x:v>
      </x:c>
      <x:c r="C9" s="46" t="str">
        <x:v>LME</x:v>
      </x:c>
      <x:c r="D9" s="58" t="n">
        <x:v>2019</x:v>
      </x:c>
      <x:c r="E9" s="46" t="str">
        <x:v>Pogonophryne permitini</x:v>
      </x:c>
      <x:c r="F9" s="46" t="str">
        <x:v>Plunderfish</x:v>
      </x:c>
      <x:c r="G9" s="46" t="str">
        <x:v>Small bathydemersals (&lt;30 cm)</x:v>
      </x:c>
      <x:c r="H9" s="46" t="str">
        <x:v>Perch-likes</x:v>
      </x:c>
      <x:c r="I9" s="60" t="n">
        <x:v>0.00013419120000000002</x:v>
      </x:c>
      <x:c r="J9" s="60" t="n">
        <x:v>0.00013419120000000002</x:v>
      </x:c>
      <x:c r="K9" s="60" t="n">
        <x:v>0</x:v>
      </x:c>
      <x:c r="L9" s="60" t="n">
        <x:v>0.00013419120000000002</x:v>
      </x:c>
      <x:c r="M9" s="60" t="n">
        <x:v>0</x:v>
      </x:c>
      <x:c r="N9" s="46" t="str">
        <x:v>pogonophryne permitini</x:v>
      </x:c>
      <x:c r="O9" s="62" t="n">
        <x:v>3.29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Pogonophryne permitini</x:v>
      </x:c>
      <x:c r="T9" s="62" t="n">
        <x:f>IF(O9="","",(1/'Metadata'!$B$5)^(O9-1))</x:f>
        <x:v>953.5834171618228</x:v>
      </x:c>
      <x:c r="U9" s="60" t="n">
        <x:f>IF(T9="","",I9*T9)</x:f>
        <x:v>0.1279625030490456</x:v>
      </x:c>
    </x:row>
    <x:row r="10" ht="18" customHeight="1">
      <x:c r="A10" s="46" t="str">
        <x:v>LME_061</x:v>
      </x:c>
      <x:c r="B10" s="46" t="str">
        <x:v>Antarctic</x:v>
      </x:c>
      <x:c r="C10" s="46" t="str">
        <x:v>LME</x:v>
      </x:c>
      <x:c r="D10" s="58" t="n">
        <x:v>2019</x:v>
      </x:c>
      <x:c r="E10" s="46" t="str">
        <x:v>Trematomus eulepidotus</x:v>
      </x:c>
      <x:c r="F10" s="46" t="str">
        <x:v>Blunt scalyhead</x:v>
      </x:c>
      <x:c r="G10" s="46" t="str">
        <x:v>Small demersals (&lt;30 cm)</x:v>
      </x:c>
      <x:c r="H10" s="46" t="str">
        <x:v>Perch-likes</x:v>
      </x:c>
      <x:c r="I10" s="60" t="n">
        <x:v>0.0000095616</x:v>
      </x:c>
      <x:c r="J10" s="60" t="n">
        <x:v>0.0000095616</x:v>
      </x:c>
      <x:c r="K10" s="60" t="n">
        <x:v>0</x:v>
      </x:c>
      <x:c r="L10" s="60" t="n">
        <x:v>0.0000095616</x:v>
      </x:c>
      <x:c r="M10" s="60" t="n">
        <x:v>0</x:v>
      </x:c>
      <x:c r="N10" s="46" t="str">
        <x:v>trematomus eulepidotus</x:v>
      </x:c>
      <x:c r="O10" s="62" t="n">
        <x:v>3.35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Trematomus eulepidotus</x:v>
      </x:c>
      <x:c r="T10" s="62" t="n">
        <x:f>IF(O10="","",(1/'Metadata'!$B$5)^(O10-1))</x:f>
        <x:v>1141.3543275066227</x:v>
      </x:c>
      <x:c r="U10" s="60" t="n">
        <x:f>IF(T10="","",I10*T10)</x:f>
        <x:v>0.010913173537887323</x:v>
      </x:c>
    </x:row>
    <x:row r="11" ht="18" customHeight="1">
      <x:c r="A11" s="46" t="str">
        <x:v>LME_061</x:v>
      </x:c>
      <x:c r="B11" s="46" t="str">
        <x:v>Antarctic</x:v>
      </x:c>
      <x:c r="C11" s="46" t="str">
        <x:v>LME</x:v>
      </x:c>
      <x:c r="D11" s="58" t="n">
        <x:v>2019</x:v>
      </x:c>
      <x:c r="E11" s="46" t="str">
        <x:v>Mollusca</x:v>
      </x:c>
      <x:c r="F11" s="46" t="str">
        <x:v>Clams, seasnails, squids, octopuses</x:v>
      </x:c>
      <x:c r="G11" s="46" t="str">
        <x:v>Other demersal invertebrates</x:v>
      </x:c>
      <x:c r="H11" s="46" t="str">
        <x:v>Molluscs</x:v>
      </x:c>
      <x:c r="I11" s="60" t="n">
        <x:v>0.0000046147</x:v>
      </x:c>
      <x:c r="J11" s="60" t="n">
        <x:v>0.0000046147</x:v>
      </x:c>
      <x:c r="K11" s="60" t="n">
        <x:v>0</x:v>
      </x:c>
      <x:c r="L11" s="60" t="n">
        <x:v>0.0000046147</x:v>
      </x:c>
      <x:c r="M11" s="60" t="n">
        <x:v>0</x:v>
      </x:c>
      <x:c r="N11" s="46" t="str">
        <x:v>mollusca</x:v>
      </x:c>
      <x:c r="O11" s="62" t="n">
        <x:v>2.1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Mollusca</x:v>
      </x:c>
      <x:c r="T11" s="62" t="n">
        <x:f>IF(O11="","",(1/'Metadata'!$B$5)^(O11-1))</x:f>
        <x:v>26.985656953471274</x:v>
      </x:c>
      <x:c r="U11" s="60" t="n">
        <x:f>IF(T11="","",I11*T11)</x:f>
        <x:v>0.0001245307111431839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e88588b48684a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</x:v>
      </x:c>
      <x:c r="C2" s="64" t="n">
        <x:v>1</x:v>
      </x:c>
      <x:c r="D2" s="60" t="n">
        <x:v>0.0276479012</x:v>
      </x:c>
      <x:c r="E2" s="60" t="n">
        <x:v>0.0276479012</x:v>
      </x:c>
      <x:c r="F2" s="62" t="n">
        <x:v>0</x:v>
      </x:c>
      <x:c r="G2" s="66" t="n">
        <x:v>1</x:v>
      </x:c>
      <x:c r="H2" s="62" t="n">
        <x:f>IF(E2=0,"",I2/E2)</x:f>
        <x:v>1635.0991368927735</x:v>
      </x:c>
      <x:c r="I2" s="60" t="n">
        <x:f>SUMIF('Species'!$H$2:$H$11,A2,'Species'!$U$2:$U$11)</x:f>
        <x:v>45.20705938901668</x:v>
      </x:c>
      <x:c r="J2" s="62" t="n">
        <x:v>3.47</x:v>
      </x:c>
      <x:c r="K2" s="62" t="n">
        <x:f>IF(J2="","",(1/'Metadata'!$B$5)^(J2-1))</x:f>
        <x:v>1635.0991368927735</x:v>
      </x:c>
      <x:c r="L2" s="60" t="n">
        <x:f>IF(E2=0,"",E2*K2)</x:f>
        <x:v>45.20705938901668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Molluscs</x:v>
      </x:c>
      <x:c r="B3" s="64" t="n">
        <x:v>1</x:v>
      </x:c>
      <x:c r="C3" s="64" t="n">
        <x:v>1</x:v>
      </x:c>
      <x:c r="D3" s="60" t="n">
        <x:v>0.0000046147</x:v>
      </x:c>
      <x:c r="E3" s="60" t="n">
        <x:v>0.0000046147</x:v>
      </x:c>
      <x:c r="F3" s="62" t="n">
        <x:v>0</x:v>
      </x:c>
      <x:c r="G3" s="66" t="n">
        <x:v>1</x:v>
      </x:c>
      <x:c r="H3" s="62" t="n">
        <x:f>IF(E3=0,"",I3/E3)</x:f>
        <x:v>26.985656953471274</x:v>
      </x:c>
      <x:c r="I3" s="60" t="n">
        <x:f>SUMIF('Species'!$H$2:$H$11,A3,'Species'!$U$2:$U$11)</x:f>
        <x:v>0.0001245307111431839</x:v>
      </x:c>
      <x:c r="J3" s="62" t="n">
        <x:v>2.1</x:v>
      </x:c>
      <x:c r="K3" s="62" t="n">
        <x:f>IF(J3="","",(1/'Metadata'!$B$5)^(J3-1))</x:f>
        <x:v>26.985656953471274</x:v>
      </x:c>
      <x:c r="L3" s="60" t="n">
        <x:f>IF(E3=0,"",E3*K3)</x:f>
        <x:v>0.0001245307111431839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Other fishes &amp; inverts</x:v>
      </x:c>
      <x:c r="B4" s="64" t="n">
        <x:v>1</x:v>
      </x:c>
      <x:c r="C4" s="64" t="n">
        <x:v>1</x:v>
      </x:c>
      <x:c r="D4" s="60" t="n">
        <x:v>0.1829741856</x:v>
      </x:c>
      <x:c r="E4" s="60" t="n">
        <x:v>0.1829741856</x:v>
      </x:c>
      <x:c r="F4" s="62" t="n">
        <x:v>0</x:v>
      </x:c>
      <x:c r="G4" s="66" t="n">
        <x:v>1</x:v>
      </x:c>
      <x:c r="H4" s="62" t="n">
        <x:f>IF(E4=0,"",I4/E4)</x:f>
        <x:v>925.4402624666745</x:v>
      </x:c>
      <x:c r="I4" s="60" t="n">
        <x:f>SUMIF('Species'!$H$2:$H$11,A4,'Species'!$U$2:$U$11)</x:f>
        <x:v>169.33167834629003</x:v>
      </x:c>
      <x:c r="J4" s="62" t="n">
        <x:v>3.2799999999999994</x:v>
      </x:c>
      <x:c r="K4" s="62" t="n">
        <x:f>IF(J4="","",(1/'Metadata'!$B$5)^(J4-1))</x:f>
        <x:v>925.4402624666734</x:v>
      </x:c>
      <x:c r="L4" s="60" t="n">
        <x:f>IF(E4=0,"",E4*K4)</x:f>
        <x:v>169.3316783462898</x:v>
      </x:c>
      <x:c r="M4" s="60" t="n">
        <x:f>I4-L4</x:f>
        <x:v>2.2737367544323206e-13</x:v>
      </x:c>
      <x:c r="N4" s="62" t="n">
        <x:f>IF(L4=0,"",I4/L4)</x:f>
        <x:v>1.0000000000000013</x:v>
      </x:c>
      <x:c r="O4" s="66" t="n">
        <x:f>IF(L4=0,"",M4/L4)</x:f>
        <x:v>1.3427710494798507e-15</x:v>
      </x:c>
    </x:row>
    <x:row r="5" ht="18" customHeight="1">
      <x:c r="A5" s="46" t="str">
        <x:v>Perch-likes</x:v>
      </x:c>
      <x:c r="B5" s="64" t="n">
        <x:v>6</x:v>
      </x:c>
      <x:c r="C5" s="64" t="n">
        <x:v>6</x:v>
      </x:c>
      <x:c r="D5" s="60" t="n">
        <x:v>0.006798166499999999</x:v>
      </x:c>
      <x:c r="E5" s="60" t="n">
        <x:v>0.006798166499999999</x:v>
      </x:c>
      <x:c r="F5" s="62" t="n">
        <x:v>0</x:v>
      </x:c>
      <x:c r="G5" s="66" t="n">
        <x:v>1</x:v>
      </x:c>
      <x:c r="H5" s="62" t="n">
        <x:f>IF(E5=0,"",I5/E5)</x:f>
        <x:v>1259.227344991366</x:v>
      </x:c>
      <x:c r="I5" s="60" t="n">
        <x:f>SUMIF('Species'!$H$2:$H$11,A5,'Species'!$U$2:$U$11)</x:f>
        <x:v>8.560437152604246</x:v>
      </x:c>
      <x:c r="J5" s="62" t="n">
        <x:v>3.3274964018607074</x:v>
      </x:c>
      <x:c r="K5" s="62" t="n">
        <x:f>IF(J5="","",(1/'Metadata'!$B$5)^(J5-1))</x:f>
        <x:v>1066.946476709952</x:v>
      </x:c>
      <x:c r="L5" s="60" t="n">
        <x:f>IF(E5=0,"",E5*K5)</x:f>
        <x:v>7.253279795262626</x:v>
      </x:c>
      <x:c r="M5" s="60" t="n">
        <x:f>I5-L5</x:f>
        <x:v>1.3071573573416204</x:v>
      </x:c>
      <x:c r="N5" s="62" t="n">
        <x:f>IF(L5=0,"",I5/L5)</x:f>
        <x:v>1.1802160393971526</x:v>
      </x:c>
      <x:c r="O5" s="66" t="n">
        <x:f>IF(L5=0,"",M5/L5)</x:f>
        <x:v>0.1802160393971526</x:v>
      </x:c>
    </x:row>
    <x:row r="6" ht="18" customHeight="1">
      <x:c r="A6" s="46" t="str">
        <x:v>Sharks &amp; rays</x:v>
      </x:c>
      <x:c r="B6" s="64" t="n">
        <x:v>1</x:v>
      </x:c>
      <x:c r="C6" s="64" t="n">
        <x:v>1</x:v>
      </x:c>
      <x:c r="D6" s="60" t="n">
        <x:v>0.0321891454</x:v>
      </x:c>
      <x:c r="E6" s="60" t="n">
        <x:v>0.0321891454</x:v>
      </x:c>
      <x:c r="F6" s="62" t="n">
        <x:v>0</x:v>
      </x:c>
      <x:c r="G6" s="66" t="n">
        <x:v>1</x:v>
      </x:c>
      <x:c r="H6" s="62" t="n">
        <x:f>IF(E6=0,"",I6/E6)</x:f>
        <x:v>2487.0716021897506</x:v>
      </x:c>
      <x:c r="I6" s="60" t="n">
        <x:f>SUMIF('Species'!$H$2:$H$11,A6,'Species'!$U$2:$U$11)</x:f>
        <x:v>80.05670942309685</x:v>
      </x:c>
      <x:c r="J6" s="62" t="n">
        <x:v>3.61</x:v>
      </x:c>
      <x:c r="K6" s="62" t="n">
        <x:f>IF(J6="","",(1/'Metadata'!$B$5)^(J6-1))</x:f>
        <x:v>2487.0716021897506</x:v>
      </x:c>
      <x:c r="L6" s="60" t="n">
        <x:f>IF(E6=0,"",E6*K6)</x:f>
        <x:v>80.05670942309685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</x:sheetData>
  <x:conditionalFormatting sqref="G2:G6">
    <x:cfRule type="cellIs" dxfId="1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ce4c12b2254a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rays (&gt;=90 cm)</x:v>
      </x:c>
      <x:c r="B2" s="64" t="n">
        <x:v>1</x:v>
      </x:c>
      <x:c r="C2" s="64" t="n">
        <x:v>1</x:v>
      </x:c>
      <x:c r="D2" s="60" t="n">
        <x:v>0.0321891454</x:v>
      </x:c>
      <x:c r="E2" s="60" t="n">
        <x:v>0.0321891454</x:v>
      </x:c>
      <x:c r="F2" s="62" t="n">
        <x:v>0</x:v>
      </x:c>
      <x:c r="G2" s="66" t="n">
        <x:v>1</x:v>
      </x:c>
      <x:c r="H2" s="62" t="n">
        <x:f>IF(E2=0,"",I2/E2)</x:f>
        <x:v>2487.0716021897506</x:v>
      </x:c>
      <x:c r="I2" s="60" t="n">
        <x:f>SUMIF('Species'!$G$2:$G$11,A2,'Species'!$U$2:$U$11)</x:f>
        <x:v>80.05670942309685</x:v>
      </x:c>
      <x:c r="J2" s="62" t="n">
        <x:v>3.61</x:v>
      </x:c>
      <x:c r="K2" s="62" t="n">
        <x:f>IF(J2="","",(1/'Metadata'!$B$5)^(J2-1))</x:f>
        <x:v>2487.0716021897506</x:v>
      </x:c>
      <x:c r="L2" s="60" t="n">
        <x:f>IF(E2=0,"",E2*K2)</x:f>
        <x:v>80.05670942309685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Medium bathydemersals (30 - 89 cm)</x:v>
      </x:c>
      <x:c r="B3" s="64" t="n">
        <x:v>1</x:v>
      </x:c>
      <x:c r="C3" s="64" t="n">
        <x:v>1</x:v>
      </x:c>
      <x:c r="D3" s="60" t="n">
        <x:v>0.0023521774999999997</x:v>
      </x:c>
      <x:c r="E3" s="60" t="n">
        <x:v>0.0023521774999999997</x:v>
      </x:c>
      <x:c r="F3" s="62" t="n">
        <x:v>0</x:v>
      </x:c>
      <x:c r="G3" s="66" t="n">
        <x:v>1</x:v>
      </x:c>
      <x:c r="H3" s="62" t="n">
        <x:f>IF(E3=0,"",I3/E3)</x:f>
        <x:v>2206.2112196552644</x:v>
      </x:c>
      <x:c r="I3" s="60" t="n">
        <x:f>SUMIF('Species'!$G$2:$G$11,A3,'Species'!$U$2:$U$11)</x:f>
        <x:v>5.18940039112067</x:v>
      </x:c>
      <x:c r="J3" s="62" t="n">
        <x:v>3.57</x:v>
      </x:c>
      <x:c r="K3" s="62" t="n">
        <x:f>IF(J3="","",(1/'Metadata'!$B$5)^(J3-1))</x:f>
        <x:v>2206.2112196552644</x:v>
      </x:c>
      <x:c r="L3" s="60" t="n">
        <x:f>IF(E3=0,"",E3*K3)</x:f>
        <x:v>5.18940039112067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0.0276479012</x:v>
      </x:c>
      <x:c r="E4" s="60" t="n">
        <x:v>0.0276479012</x:v>
      </x:c>
      <x:c r="F4" s="62" t="n">
        <x:v>0</x:v>
      </x:c>
      <x:c r="G4" s="66" t="n">
        <x:v>1</x:v>
      </x:c>
      <x:c r="H4" s="62" t="n">
        <x:f>IF(E4=0,"",I4/E4)</x:f>
        <x:v>1635.0991368927735</x:v>
      </x:c>
      <x:c r="I4" s="60" t="n">
        <x:f>SUMIF('Species'!$G$2:$G$11,A4,'Species'!$U$2:$U$11)</x:f>
        <x:v>45.20705938901668</x:v>
      </x:c>
      <x:c r="J4" s="62" t="n">
        <x:v>3.47</x:v>
      </x:c>
      <x:c r="K4" s="62" t="n">
        <x:f>IF(J4="","",(1/'Metadata'!$B$5)^(J4-1))</x:f>
        <x:v>1635.0991368927735</x:v>
      </x:c>
      <x:c r="L4" s="60" t="n">
        <x:f>IF(E4=0,"",E4*K4)</x:f>
        <x:v>45.20705938901668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benthopelagics (30 - 89 cm)</x:v>
      </x:c>
      <x:c r="B5" s="64" t="n">
        <x:v>1</x:v>
      </x:c>
      <x:c r="C5" s="64" t="n">
        <x:v>1</x:v>
      </x:c>
      <x:c r="D5" s="60" t="n">
        <x:v>0.0003971103</x:v>
      </x:c>
      <x:c r="E5" s="60" t="n">
        <x:v>0.0003971103</x:v>
      </x:c>
      <x:c r="F5" s="62" t="n">
        <x:v>0</x:v>
      </x:c>
      <x:c r="G5" s="66" t="n">
        <x:v>1</x:v>
      </x:c>
      <x:c r="H5" s="62" t="n">
        <x:f>IF(E5=0,"",I5/E5)</x:f>
        <x:v>1407.6432091315057</x:v>
      </x:c>
      <x:c r="I5" s="60" t="n">
        <x:f>SUMIF('Species'!$G$2:$G$11,A5,'Species'!$U$2:$U$11)</x:f>
        <x:v>0.558989617071175</x:v>
      </x:c>
      <x:c r="J5" s="62" t="n">
        <x:v>3.42</x:v>
      </x:c>
      <x:c r="K5" s="62" t="n">
        <x:f>IF(J5="","",(1/'Metadata'!$B$5)^(J5-1))</x:f>
        <x:v>1407.643209131506</x:v>
      </x:c>
      <x:c r="L5" s="60" t="n">
        <x:f>IF(E5=0,"",E5*K5)</x:f>
        <x:v>0.558989617071175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0.1829741856</x:v>
      </x:c>
      <x:c r="E6" s="60" t="n">
        <x:v>0.1829741856</x:v>
      </x:c>
      <x:c r="F6" s="62" t="n">
        <x:v>0</x:v>
      </x:c>
      <x:c r="G6" s="66" t="n">
        <x:v>1</x:v>
      </x:c>
      <x:c r="H6" s="62" t="n">
        <x:f>IF(E6=0,"",I6/E6)</x:f>
        <x:v>925.4402624666745</x:v>
      </x:c>
      <x:c r="I6" s="60" t="n">
        <x:f>SUMIF('Species'!$G$2:$G$11,A6,'Species'!$U$2:$U$11)</x:f>
        <x:v>169.33167834629003</x:v>
      </x:c>
      <x:c r="J6" s="62" t="n">
        <x:v>3.2799999999999994</x:v>
      </x:c>
      <x:c r="K6" s="62" t="n">
        <x:f>IF(J6="","",(1/'Metadata'!$B$5)^(J6-1))</x:f>
        <x:v>925.4402624666734</x:v>
      </x:c>
      <x:c r="L6" s="60" t="n">
        <x:f>IF(E6=0,"",E6*K6)</x:f>
        <x:v>169.3316783462898</x:v>
      </x:c>
      <x:c r="M6" s="60" t="n">
        <x:f>I6-L6</x:f>
        <x:v>2.2737367544323206e-13</x:v>
      </x:c>
      <x:c r="N6" s="62" t="n">
        <x:f>IF(L6=0,"",I6/L6)</x:f>
        <x:v>1.0000000000000013</x:v>
      </x:c>
      <x:c r="O6" s="66" t="n">
        <x:f>IF(L6=0,"",M6/L6)</x:f>
        <x:v>1.3427710494798507e-15</x:v>
      </x:c>
    </x:row>
    <x:row r="7" ht="18" customHeight="1">
      <x:c r="A7" s="46" t="str">
        <x:v>Other demersal invertebrates</x:v>
      </x:c>
      <x:c r="B7" s="64" t="n">
        <x:v>1</x:v>
      </x:c>
      <x:c r="C7" s="64" t="n">
        <x:v>1</x:v>
      </x:c>
      <x:c r="D7" s="60" t="n">
        <x:v>0.0000046147</x:v>
      </x:c>
      <x:c r="E7" s="60" t="n">
        <x:v>0.0000046147</x:v>
      </x:c>
      <x:c r="F7" s="62" t="n">
        <x:v>0</x:v>
      </x:c>
      <x:c r="G7" s="66" t="n">
        <x:v>1</x:v>
      </x:c>
      <x:c r="H7" s="62" t="n">
        <x:f>IF(E7=0,"",I7/E7)</x:f>
        <x:v>26.985656953471274</x:v>
      </x:c>
      <x:c r="I7" s="60" t="n">
        <x:f>SUMIF('Species'!$G$2:$G$11,A7,'Species'!$U$2:$U$11)</x:f>
        <x:v>0.0001245307111431839</x:v>
      </x:c>
      <x:c r="J7" s="62" t="n">
        <x:v>2.1</x:v>
      </x:c>
      <x:c r="K7" s="62" t="n">
        <x:f>IF(J7="","",(1/'Metadata'!$B$5)^(J7-1))</x:f>
        <x:v>26.985656953471274</x:v>
      </x:c>
      <x:c r="L7" s="60" t="n">
        <x:f>IF(E7=0,"",E7*K7)</x:f>
        <x:v>0.0001245307111431839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Small bathydemersals (&lt;30 cm)</x:v>
      </x:c>
      <x:c r="B8" s="64" t="n">
        <x:v>1</x:v>
      </x:c>
      <x:c r="C8" s="64" t="n">
        <x:v>1</x:v>
      </x:c>
      <x:c r="D8" s="60" t="n">
        <x:v>0.00013419120000000002</x:v>
      </x:c>
      <x:c r="E8" s="60" t="n">
        <x:v>0.00013419120000000002</x:v>
      </x:c>
      <x:c r="F8" s="62" t="n">
        <x:v>0</x:v>
      </x:c>
      <x:c r="G8" s="66" t="n">
        <x:v>1</x:v>
      </x:c>
      <x:c r="H8" s="62" t="n">
        <x:f>IF(E8=0,"",I8/E8)</x:f>
        <x:v>953.5834171618228</x:v>
      </x:c>
      <x:c r="I8" s="60" t="n">
        <x:f>SUMIF('Species'!$G$2:$G$11,A8,'Species'!$U$2:$U$11)</x:f>
        <x:v>0.1279625030490456</x:v>
      </x:c>
      <x:c r="J8" s="62" t="n">
        <x:v>3.29</x:v>
      </x:c>
      <x:c r="K8" s="62" t="n">
        <x:f>IF(J8="","",(1/'Metadata'!$B$5)^(J8-1))</x:f>
        <x:v>953.5834171618228</x:v>
      </x:c>
      <x:c r="L8" s="60" t="n">
        <x:f>IF(E8=0,"",E8*K8)</x:f>
        <x:v>0.1279625030490456</x:v>
      </x:c>
      <x:c r="M8" s="60" t="n">
        <x:f>I8-L8</x:f>
        <x:v>0</x:v>
      </x:c>
      <x:c r="N8" s="62" t="n">
        <x:f>IF(L8=0,"",I8/L8)</x:f>
        <x:v>1</x:v>
      </x:c>
      <x:c r="O8" s="66" t="n">
        <x:f>IF(L8=0,"",M8/L8)</x:f>
        <x:v>0</x:v>
      </x:c>
    </x:row>
    <x:row r="9" ht="18" customHeight="1">
      <x:c r="A9" s="46" t="str">
        <x:v>Small demersals (&lt;30 cm)</x:v>
      </x:c>
      <x:c r="B9" s="64" t="n">
        <x:v>2</x:v>
      </x:c>
      <x:c r="C9" s="64" t="n">
        <x:v>2</x:v>
      </x:c>
      <x:c r="D9" s="60" t="n">
        <x:v>0.0017141262</x:v>
      </x:c>
      <x:c r="E9" s="60" t="n">
        <x:v>0.0017141262</x:v>
      </x:c>
      <x:c r="F9" s="62" t="n">
        <x:v>0</x:v>
      </x:c>
      <x:c r="G9" s="66" t="n">
        <x:v>1</x:v>
      </x:c>
      <x:c r="H9" s="62" t="n">
        <x:f>IF(E9=0,"",I9/E9)</x:f>
        <x:v>543.069165240288</x:v>
      </x:c>
      <x:c r="I9" s="60" t="n">
        <x:f>SUMIF('Species'!$G$2:$G$11,A9,'Species'!$U$2:$U$11)</x:f>
        <x:v>0.9308890845505069</x:v>
      </x:c>
      <x:c r="J9" s="62" t="n">
        <x:v>3.1013945297609946</x:v>
      </x:c>
      <x:c r="K9" s="62" t="n">
        <x:f>IF(J9="","",(1/'Metadata'!$B$5)^(J9-1))</x:f>
        <x:v>541.9725813662152</x:v>
      </x:c>
      <x:c r="L9" s="60" t="n">
        <x:f>IF(E9=0,"",E9*K9)</x:f>
        <x:v>0.9290094014014613</x:v>
      </x:c>
      <x:c r="M9" s="60" t="n">
        <x:f>I9-L9</x:f>
        <x:v>0.00187968314904563</x:v>
      </x:c>
      <x:c r="N9" s="62" t="n">
        <x:f>IF(L9=0,"",I9/L9)</x:f>
        <x:v>1.0020233198353106</x:v>
      </x:c>
      <x:c r="O9" s="66" t="n">
        <x:f>IF(L9=0,"",M9/L9)</x:f>
        <x:v>0.0020233198353106284</x:v>
      </x:c>
    </x:row>
    <x:row r="10" ht="18" customHeight="1">
      <x:c r="A10" s="46" t="str">
        <x:v>Small pelagics (&lt;30 cm)</x:v>
      </x:c>
      <x:c r="B10" s="64" t="n">
        <x:v>1</x:v>
      </x:c>
      <x:c r="C10" s="64" t="n">
        <x:v>1</x:v>
      </x:c>
      <x:c r="D10" s="60" t="n">
        <x:v>0.0022005613000000003</x:v>
      </x:c>
      <x:c r="E10" s="60" t="n">
        <x:v>0.0022005613000000003</x:v>
      </x:c>
      <x:c r="F10" s="62" t="n">
        <x:v>0</x:v>
      </x:c>
      <x:c r="G10" s="66" t="n">
        <x:v>1</x:v>
      </x:c>
      <x:c r="H10" s="62" t="n">
        <x:f>IF(E10=0,"",I10/E10)</x:f>
        <x:v>796.7038031673321</x:v>
      </x:c>
      <x:c r="I10" s="60" t="n">
        <x:f>SUMIF('Species'!$G$2:$G$11,A10,'Species'!$U$2:$U$11)</x:f>
        <x:v>1.7531955568128488</x:v>
      </x:c>
      <x:c r="J10" s="62" t="n">
        <x:v>3.23</x:v>
      </x:c>
      <x:c r="K10" s="62" t="n">
        <x:f>IF(J10="","",(1/'Metadata'!$B$5)^(J10-1))</x:f>
        <x:v>796.7038031673321</x:v>
      </x:c>
      <x:c r="L10" s="60" t="n">
        <x:f>IF(E10=0,"",E10*K10)</x:f>
        <x:v>1.7531955568128488</x:v>
      </x:c>
      <x:c r="M10" s="60" t="n">
        <x:f>I10-L10</x:f>
        <x:v>0</x:v>
      </x:c>
      <x:c r="N10" s="62" t="n">
        <x:f>IF(L10=0,"",I10/L10)</x:f>
        <x:v>1</x:v>
      </x:c>
      <x:c r="O10" s="66" t="n">
        <x:f>IF(L10=0,"",M10/L10)</x:f>
        <x:v>0</x:v>
      </x:c>
    </x:row>
  </x:sheetData>
  <x:conditionalFormatting sqref="G2:G10">
    <x:cfRule type="cellIs" dxfId="2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eb2bf4a4a8d45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LME_061</x:v>
      </x:c>
      <x:c r="B2" s="46" t="str">
        <x:v>raw_filtered_tonnes</x:v>
      </x:c>
      <x:c r="C2" s="46" t="n">
        <x:v>0.2496140134</x:v>
      </x:c>
      <x:c r="D2" s="46" t="str">
        <x:v>tonnes</x:v>
      </x:c>
    </x:row>
    <x:row r="3" ht="18" customHeight="1">
      <x:c r="A3" s="46" t="str">
        <x:v>LME_061</x:v>
      </x:c>
      <x:c r="B3" s="46" t="str">
        <x:v>species_catch_tonnes</x:v>
      </x:c>
      <x:c r="C3" s="46" t="n">
        <x:v>0.2496140134</x:v>
      </x:c>
      <x:c r="D3" s="46" t="str">
        <x:v>tonnes</x:v>
      </x:c>
    </x:row>
    <x:row r="4" ht="18" customHeight="1">
      <x:c r="A4" s="46" t="str">
        <x:v>LME_061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LME_061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LME_061</x:v>
      </x:c>
      <x:c r="B6" s="46" t="str">
        <x:v>matched_catch_tonnes</x:v>
      </x:c>
      <x:c r="C6" s="46" t="n">
        <x:v>0.2496140134</x:v>
      </x:c>
      <x:c r="D6" s="46" t="str">
        <x:v>tonnes</x:v>
      </x:c>
    </x:row>
    <x:row r="7" ht="18" customHeight="1">
      <x:c r="A7" s="46" t="str">
        <x:v>LME_061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LME_061</x:v>
      </x:c>
      <x:c r="B8" s="46" t="str">
        <x:v>taxa_count</x:v>
      </x:c>
      <x:c r="C8" s="46" t="n">
        <x:v>10</x:v>
      </x:c>
      <x:c r="D8" s="46" t="str">
        <x:v>count</x:v>
      </x:c>
    </x:row>
    <x:row r="9" ht="18" customHeight="1">
      <x:c r="A9" s="46" t="str">
        <x:v>LME_061</x:v>
      </x:c>
      <x:c r="B9" s="46" t="str">
        <x:v>matched_taxa_count</x:v>
      </x:c>
      <x:c r="C9" s="46" t="n">
        <x:v>10</x:v>
      </x:c>
      <x:c r="D9" s="46" t="str">
        <x:v>count</x:v>
      </x:c>
    </x:row>
    <x:row r="10" ht="18" customHeight="1">
      <x:c r="A10" s="46" t="str">
        <x:v>LME_061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LME_061</x:v>
      </x:c>
      <x:c r="B11" s="46" t="str">
        <x:v>species_ppr</x:v>
      </x:c>
      <x:c r="C11" s="46" t="n">
        <x:v>303.156008841719</x:v>
      </x:c>
      <x:c r="D11" s="46" t="str">
        <x:v>tonnes_primary_production_equivalent</x:v>
      </x:c>
    </x:row>
    <x:row r="12" ht="18" customHeight="1">
      <x:c r="A12" s="46" t="str">
        <x:v>LME_061</x:v>
      </x:c>
      <x:c r="B12" s="46" t="str">
        <x:v>commercial_ppr</x:v>
      </x:c>
      <x:c r="C12" s="46" t="n">
        <x:v>303.1560088417189</x:v>
      </x:c>
      <x:c r="D12" s="46" t="str">
        <x:v>tonnes_primary_production_equivalent</x:v>
      </x:c>
    </x:row>
    <x:row r="13" ht="18" customHeight="1">
      <x:c r="A13" s="46" t="str">
        <x:v>LME_061</x:v>
      </x:c>
      <x:c r="B13" s="46" t="str">
        <x:v>functional_ppr</x:v>
      </x:c>
      <x:c r="C13" s="46" t="n">
        <x:v>303.1560088417189</x:v>
      </x:c>
      <x:c r="D13" s="46" t="str">
        <x:v>tonnes_primary_production_equivalent</x:v>
      </x:c>
    </x:row>
    <x:row r="14" ht="18" customHeight="1">
      <x:c r="A14" s="46" t="str">
        <x:v>LME_061</x:v>
      </x:c>
      <x:c r="B14" s="46" t="str">
        <x:v>commercial_ppr_difference</x:v>
      </x:c>
      <x:c r="C14" s="46" t="n">
        <x:v>-5.684341886080802e-14</x:v>
      </x:c>
      <x:c r="D14" s="46" t="str">
        <x:v>tonnes_primary_production_equivalent</x:v>
      </x:c>
    </x:row>
    <x:row r="15" ht="18" customHeight="1">
      <x:c r="A15" s="46" t="str">
        <x:v>LME_061</x:v>
      </x:c>
      <x:c r="B15" s="46" t="str">
        <x:v>functional_ppr_difference</x:v>
      </x:c>
      <x:c r="C15" s="46" t="n">
        <x:v>-5.684341886080802e-14</x:v>
      </x:c>
      <x:c r="D15" s="46" t="str">
        <x:v>tonnes_primary_production_equivalent</x:v>
      </x:c>
    </x:row>
    <x:row r="16" ht="18" customHeight="1">
      <x:c r="A16" s="46" t="str">
        <x:v>LME_061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LME_061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LME_061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LME_061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506b170696d47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LME_061 - Antarctic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LME_061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raw_data/SAU_downloads/LME_061-catch.zip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