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4d655b4d3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1f26351d128467c"/>
    <x:sheet xmlns:r="http://schemas.openxmlformats.org/officeDocument/2006/relationships" name="Commercial" sheetId="2" r:id="Rb3c912e34f0549a2"/>
    <x:sheet xmlns:r="http://schemas.openxmlformats.org/officeDocument/2006/relationships" name="Functional" sheetId="3" r:id="Rb07e781e718445bb"/>
    <x:sheet xmlns:r="http://schemas.openxmlformats.org/officeDocument/2006/relationships" name="Missing TL" sheetId="4" r:id="Radbf6333b0ab4ff4"/>
    <x:sheet xmlns:r="http://schemas.openxmlformats.org/officeDocument/2006/relationships" name="Validation" sheetId="5" r:id="R56e20594eeb84230"/>
    <x:sheet xmlns:r="http://schemas.openxmlformats.org/officeDocument/2006/relationships" name="Metadata" sheetId="6" r:id="R7de35462d39b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0ffe087f84ac5" /><Relationship Type="http://schemas.openxmlformats.org/officeDocument/2006/relationships/theme" Target="/xl/theme/theme1.xml" Id="R6e0e52e1407144a7" /><Relationship Type="http://schemas.openxmlformats.org/officeDocument/2006/relationships/sharedStrings" Target="/xl/sharedStrings.xml" Id="R6de0902712bc42f1" /><Relationship Type="http://schemas.openxmlformats.org/officeDocument/2006/relationships/worksheet" Target="/xl/worksheets/sheet1.xml" Id="R71f26351d128467c" /><Relationship Type="http://schemas.openxmlformats.org/officeDocument/2006/relationships/worksheet" Target="/xl/worksheets/sheet2.xml" Id="Rb3c912e34f0549a2" /><Relationship Type="http://schemas.openxmlformats.org/officeDocument/2006/relationships/worksheet" Target="/xl/worksheets/sheet3.xml" Id="Rb07e781e718445bb" /><Relationship Type="http://schemas.openxmlformats.org/officeDocument/2006/relationships/worksheet" Target="/xl/worksheets/sheet4.xml" Id="Radbf6333b0ab4ff4" /><Relationship Type="http://schemas.openxmlformats.org/officeDocument/2006/relationships/worksheet" Target="/xl/worksheets/sheet5.xml" Id="R56e20594eeb84230" /><Relationship Type="http://schemas.openxmlformats.org/officeDocument/2006/relationships/worksheet" Target="/xl/worksheets/sheet6.xml" Id="R7de35462d39b4f0d" /></Relationships>
</file>

<file path=xl/tables/table1.xml><?xml version="1.0" encoding="utf-8"?>
<x:table xmlns:x="http://schemas.openxmlformats.org/spreadsheetml/2006/main" id="1" name="LME031SpeciesTable" displayName="LME031SpeciesTable" ref="A1:U206" headerRowCount="1" totalsRowCount="0" totalsRowShown="0">
  <x:autoFilter ref="A1:U20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1CommercialTable" displayName="LME031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1FunctionalTable" displayName="LME031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1ValidationTable" displayName="LME03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dc8539c30347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291e476ec744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aa51806b514d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f9a403c7674d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LME_031</x:v>
      </x:c>
      <x:c r="B2" s="46" t="str">
        <x:v>Somali Coastal Current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15652.0756653815</x:v>
      </x:c>
      <x:c r="J2" s="60" t="n">
        <x:v>13417.3206545678</x:v>
      </x:c>
      <x:c r="K2" s="60" t="n">
        <x:v>2234.7550108137</x:v>
      </x:c>
      <x:c r="L2" s="60" t="n">
        <x:v>5847.0708829121995</x:v>
      </x:c>
      <x:c r="M2" s="60" t="n">
        <x:v>9805.004782469301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14485061.011918908</x:v>
      </x:c>
    </x:row>
    <x:row r="3" ht="18" customHeight="1">
      <x:c r="A3" s="46" t="str">
        <x:v>LME_031</x:v>
      </x:c>
      <x:c r="B3" s="46" t="str">
        <x:v>Somali Coastal Current</x:v>
      </x:c>
      <x:c r="C3" s="46" t="str">
        <x:v>LME</x:v>
      </x:c>
      <x:c r="D3" s="58" t="n">
        <x:v>2019</x:v>
      </x:c>
      <x:c r="E3" s="46" t="str">
        <x:v>Elasmobranchii</x:v>
      </x:c>
      <x:c r="F3" s="46" t="str">
        <x:v>Sharks, rays, skates</x:v>
      </x:c>
      <x:c r="G3" s="46" t="str">
        <x:v>Large sharks (&gt;=90 cm)</x:v>
      </x:c>
      <x:c r="H3" s="46" t="str">
        <x:v>Sharks &amp; rays</x:v>
      </x:c>
      <x:c r="I3" s="60" t="n">
        <x:v>11254.054948888499</x:v>
      </x:c>
      <x:c r="J3" s="60" t="n">
        <x:v>10867.7325470047</x:v>
      </x:c>
      <x:c r="K3" s="60" t="n">
        <x:v>386.3224018838</x:v>
      </x:c>
      <x:c r="L3" s="60" t="n">
        <x:v>7882.0042596313</x:v>
      </x:c>
      <x:c r="M3" s="60" t="n">
        <x:v>3372.0506892572</x:v>
      </x:c>
      <x:c r="N3" s="46" t="str">
        <x:v>elasmobranchii</x:v>
      </x:c>
      <x:c r="O3" s="62" t="n">
        <x:v>4.05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Elasmobranchii</x:v>
      </x:c>
      <x:c r="T3" s="62" t="n">
        <x:f>IF(O3="","",(1/'Metadata'!$B$5)^(O3-1))</x:f>
        <x:v>9292.690797132333</x:v>
      </x:c>
      <x:c r="U3" s="60" t="n">
        <x:f>IF(T3="","",I3*T3)</x:f>
        <x:v>104580452.85395774</x:v>
      </x:c>
    </x:row>
    <x:row r="4" ht="18" customHeight="1">
      <x:c r="A4" s="46" t="str">
        <x:v>LME_031</x:v>
      </x:c>
      <x:c r="B4" s="46" t="str">
        <x:v>Somali Coastal Current</x:v>
      </x:c>
      <x:c r="C4" s="46" t="str">
        <x:v>LME</x:v>
      </x:c>
      <x:c r="D4" s="58" t="n">
        <x:v>2019</x:v>
      </x:c>
      <x:c r="E4" s="46" t="str">
        <x:v>Lethrinidae</x:v>
      </x:c>
      <x:c r="F4" s="46" t="str">
        <x:v>Emperors, scavengers</x:v>
      </x:c>
      <x:c r="G4" s="46" t="str">
        <x:v>Medium reef assoc. fish (30 - 89 cm)</x:v>
      </x:c>
      <x:c r="H4" s="46" t="str">
        <x:v>Perch-likes</x:v>
      </x:c>
      <x:c r="I4" s="60" t="n">
        <x:v>9703.1552391095</x:v>
      </x:c>
      <x:c r="J4" s="60" t="n">
        <x:v>9135.9981968741</x:v>
      </x:c>
      <x:c r="K4" s="60" t="n">
        <x:v>567.1570422354</x:v>
      </x:c>
      <x:c r="L4" s="60" t="n">
        <x:v>5780.7115173017</x:v>
      </x:c>
      <x:c r="M4" s="60" t="n">
        <x:v>3922.4437218078</x:v>
      </x:c>
      <x:c r="N4" s="46" t="str">
        <x:v>lethrinidae</x:v>
      </x:c>
      <x:c r="O4" s="62" t="n">
        <x:v>3.59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Lethrinidae</x:v>
      </x:c>
      <x:c r="T4" s="62" t="n">
        <x:f>IF(O4="","",(1/'Metadata'!$B$5)^(O4-1))</x:f>
        <x:v>2342.4357563948306</x:v>
      </x:c>
      <x:c r="U4" s="60" t="n">
        <x:f>IF(T4="","",I4*T4)</x:f>
        <x:v>22729017.781939924</x:v>
      </x:c>
    </x:row>
    <x:row r="5" ht="18" customHeight="1">
      <x:c r="A5" s="46" t="str">
        <x:v>LME_031</x:v>
      </x:c>
      <x:c r="B5" s="46" t="str">
        <x:v>Somali Coastal Current</x:v>
      </x:c>
      <x:c r="C5" s="46" t="str">
        <x:v>LME</x:v>
      </x:c>
      <x:c r="D5" s="58" t="n">
        <x:v>2019</x:v>
      </x:c>
      <x:c r="E5" s="46" t="str">
        <x:v>Carangidae</x:v>
      </x:c>
      <x:c r="F5" s="46" t="str">
        <x:v>Jacks, pompanos</x:v>
      </x:c>
      <x:c r="G5" s="46" t="str">
        <x:v>Medium pelagics (30 - 89 cm)</x:v>
      </x:c>
      <x:c r="H5" s="46" t="str">
        <x:v>Perch-likes</x:v>
      </x:c>
      <x:c r="I5" s="60" t="n">
        <x:v>9002.0819059964</x:v>
      </x:c>
      <x:c r="J5" s="60" t="n">
        <x:v>8972.0455434031</x:v>
      </x:c>
      <x:c r="K5" s="60" t="n">
        <x:v>30.036362593299998</x:v>
      </x:c>
      <x:c r="L5" s="60" t="n">
        <x:v>3915.790710333</x:v>
      </x:c>
      <x:c r="M5" s="60" t="n">
        <x:v>5086.2911956634</x:v>
      </x:c>
      <x:c r="N5" s="46" t="str">
        <x:v>carangidae</x:v>
      </x:c>
      <x:c r="O5" s="62" t="n">
        <x:v>4.05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Carangidae</x:v>
      </x:c>
      <x:c r="T5" s="62" t="n">
        <x:f>IF(O5="","",(1/'Metadata'!$B$5)^(O5-1))</x:f>
        <x:v>9292.690797132333</x:v>
      </x:c>
      <x:c r="U5" s="60" t="n">
        <x:f>IF(T5="","",I5*T5)</x:f>
        <x:v>83653563.68288423</x:v>
      </x:c>
    </x:row>
    <x:row r="6" ht="18" customHeight="1">
      <x:c r="A6" s="46" t="str">
        <x:v>LME_031</x:v>
      </x:c>
      <x:c r="B6" s="46" t="str">
        <x:v>Somali Coastal Current</x:v>
      </x:c>
      <x:c r="C6" s="46" t="str">
        <x:v>LME</x:v>
      </x:c>
      <x:c r="D6" s="58" t="n">
        <x:v>2019</x:v>
      </x:c>
      <x:c r="E6" s="46" t="str">
        <x:v>Rachycentron canadum</x:v>
      </x:c>
      <x:c r="F6" s="46" t="str">
        <x:v>Cobia</x:v>
      </x:c>
      <x:c r="G6" s="46" t="str">
        <x:v>Large pelagics (&gt;=90 cm)</x:v>
      </x:c>
      <x:c r="H6" s="46" t="str">
        <x:v>Perch-likes</x:v>
      </x:c>
      <x:c r="I6" s="60" t="n">
        <x:v>8813.1758489597</x:v>
      </x:c>
      <x:c r="J6" s="60" t="n">
        <x:v>8813.1758489597</x:v>
      </x:c>
      <x:c r="K6" s="60" t="n">
        <x:v>0</x:v>
      </x:c>
      <x:c r="L6" s="60" t="n">
        <x:v>8399.2784825304</x:v>
      </x:c>
      <x:c r="M6" s="60" t="n">
        <x:v>413.89736642929995</x:v>
      </x:c>
      <x:c r="N6" s="46" t="str">
        <x:v>rachycentron canadum</x:v>
      </x:c>
      <x:c r="O6" s="62" t="n">
        <x:v>3.96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Rachycentron canadum</x:v>
      </x:c>
      <x:c r="T6" s="62" t="n">
        <x:f>IF(O6="","",(1/'Metadata'!$B$5)^(O6-1))</x:f>
        <x:v>7096.574839945253</x:v>
      </x:c>
      <x:c r="U6" s="60" t="n">
        <x:f>IF(T6="","",I6*T6)</x:f>
        <x:v>62543361.98974055</x:v>
      </x:c>
    </x:row>
    <x:row r="7" ht="18" customHeight="1">
      <x:c r="A7" s="46" t="str">
        <x:v>LME_031</x:v>
      </x:c>
      <x:c r="B7" s="46" t="str">
        <x:v>Somali Coastal Current</x:v>
      </x:c>
      <x:c r="C7" s="46" t="str">
        <x:v>LME</x:v>
      </x:c>
      <x:c r="D7" s="58" t="n">
        <x:v>2019</x:v>
      </x:c>
      <x:c r="E7" s="46" t="str">
        <x:v>Sardinella</x:v>
      </x:c>
      <x:c r="F7" s="46" t="str">
        <x:v>Sardinellas</x:v>
      </x:c>
      <x:c r="G7" s="46" t="str">
        <x:v>Small pelagics (&lt;30 cm)</x:v>
      </x:c>
      <x:c r="H7" s="46" t="str">
        <x:v>Herring-likes</x:v>
      </x:c>
      <x:c r="I7" s="60" t="n">
        <x:v>8750.113360913</x:v>
      </x:c>
      <x:c r="J7" s="60" t="n">
        <x:v>8750.113360913</x:v>
      </x:c>
      <x:c r="K7" s="60" t="n">
        <x:v>0</x:v>
      </x:c>
      <x:c r="L7" s="60" t="n">
        <x:v>7371.5188405627005</x:v>
      </x:c>
      <x:c r="M7" s="60" t="n">
        <x:v>1378.5945203503</x:v>
      </x:c>
      <x:c r="N7" s="46" t="str">
        <x:v>sardinella</x:v>
      </x:c>
      <x:c r="O7" s="62" t="n">
        <x:v>2.77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Sardinella</x:v>
      </x:c>
      <x:c r="T7" s="62" t="n">
        <x:f>IF(O7="","",(1/'Metadata'!$B$5)^(O7-1))</x:f>
        <x:v>200.82745854094426</x:v>
      </x:c>
      <x:c r="U7" s="60" t="n">
        <x:f>IF(T7="","",I7*T7)</x:f>
        <x:v>1757263.0282173178</x:v>
      </x:c>
    </x:row>
    <x:row r="8" ht="18" customHeight="1">
      <x:c r="A8" s="46" t="str">
        <x:v>LME_031</x:v>
      </x:c>
      <x:c r="B8" s="46" t="str">
        <x:v>Somali Coastal Current</x:v>
      </x:c>
      <x:c r="C8" s="46" t="str">
        <x:v>LME</x:v>
      </x:c>
      <x:c r="D8" s="58" t="n">
        <x:v>2019</x:v>
      </x:c>
      <x:c r="E8" s="46" t="str">
        <x:v>Nemipteridae</x:v>
      </x:c>
      <x:c r="F8" s="46" t="str">
        <x:v>Threadfins, whiptail breams</x:v>
      </x:c>
      <x:c r="G8" s="46" t="str">
        <x:v>Small demersals (&lt;30 cm)</x:v>
      </x:c>
      <x:c r="H8" s="46" t="str">
        <x:v>Perch-likes</x:v>
      </x:c>
      <x:c r="I8" s="60" t="n">
        <x:v>8687.0816207157</x:v>
      </x:c>
      <x:c r="J8" s="60" t="n">
        <x:v>8623.7221836475</x:v>
      </x:c>
      <x:c r="K8" s="60" t="n">
        <x:v>63.3594370682</x:v>
      </x:c>
      <x:c r="L8" s="60" t="n">
        <x:v>4646.5336532919</x:v>
      </x:c>
      <x:c r="M8" s="60" t="n">
        <x:v>4040.5479674237995</x:v>
      </x:c>
      <x:c r="N8" s="46" t="str">
        <x:v>nemipteridae</x:v>
      </x:c>
      <x:c r="O8" s="62" t="n">
        <x:v>3.51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Nemipteridae</x:v>
      </x:c>
      <x:c r="T8" s="62" t="n">
        <x:f>IF(O8="","",(1/'Metadata'!$B$5)^(O8-1))</x:f>
        <x:v>1843.2544417784343</x:v>
      </x:c>
      <x:c r="U8" s="60" t="n">
        <x:f>IF(T8="","",I8*T8)</x:f>
        <x:v>16012501.783476014</x:v>
      </x:c>
    </x:row>
    <x:row r="9" ht="18" customHeight="1">
      <x:c r="A9" s="46" t="str">
        <x:v>LME_031</x:v>
      </x:c>
      <x:c r="B9" s="46" t="str">
        <x:v>Somali Coastal Current</x:v>
      </x:c>
      <x:c r="C9" s="46" t="str">
        <x:v>LME</x:v>
      </x:c>
      <x:c r="D9" s="58" t="n">
        <x:v>2019</x:v>
      </x:c>
      <x:c r="E9" s="46" t="str">
        <x:v>Rastrelliger kanagurta</x:v>
      </x:c>
      <x:c r="F9" s="46" t="str">
        <x:v>Indian mackerel</x:v>
      </x:c>
      <x:c r="G9" s="46" t="str">
        <x:v>Medium pelagics (30 - 89 cm)</x:v>
      </x:c>
      <x:c r="H9" s="46" t="str">
        <x:v>Perch-likes</x:v>
      </x:c>
      <x:c r="I9" s="60" t="n">
        <x:v>8387.3344753176</x:v>
      </x:c>
      <x:c r="J9" s="60" t="n">
        <x:v>8386.364797728</x:v>
      </x:c>
      <x:c r="K9" s="60" t="n">
        <x:v>0.9696775896</x:v>
      </x:c>
      <x:c r="L9" s="60" t="n">
        <x:v>5017.9509511237</x:v>
      </x:c>
      <x:c r="M9" s="60" t="n">
        <x:v>3369.3835241939</x:v>
      </x:c>
      <x:c r="N9" s="46" t="str">
        <x:v>rastrelliger kanagurta</x:v>
      </x:c>
      <x:c r="O9" s="62" t="n">
        <x:v>3.19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Rastrelliger kanagurta</x:v>
      </x:c>
      <x:c r="T9" s="62" t="n">
        <x:f>IF(O9="","",(1/'Metadata'!$B$5)^(O9-1))</x:f>
        <x:v>706.7335205557481</x:v>
      </x:c>
      <x:c r="U9" s="60" t="n">
        <x:f>IF(T9="","",I9*T9)</x:f>
        <x:v>5927610.421819806</x:v>
      </x:c>
    </x:row>
    <x:row r="10" ht="18" customHeight="1">
      <x:c r="A10" s="46" t="str">
        <x:v>LME_031</x:v>
      </x:c>
      <x:c r="B10" s="46" t="str">
        <x:v>Somali Coastal Current</x:v>
      </x:c>
      <x:c r="C10" s="46" t="str">
        <x:v>LME</x:v>
      </x:c>
      <x:c r="D10" s="58" t="n">
        <x:v>2019</x:v>
      </x:c>
      <x:c r="E10" s="46" t="str">
        <x:v>Batoidea</x:v>
      </x:c>
      <x:c r="F10" s="46" t="str">
        <x:v>Batoids, skates, rays, sawfishes</x:v>
      </x:c>
      <x:c r="G10" s="46" t="str">
        <x:v>Large rays (&gt;=90 cm)</x:v>
      </x:c>
      <x:c r="H10" s="46" t="str">
        <x:v>Sharks &amp; rays</x:v>
      </x:c>
      <x:c r="I10" s="60" t="n">
        <x:v>7592.7860690242005</x:v>
      </x:c>
      <x:c r="J10" s="60" t="n">
        <x:v>7592.7860690242005</x:v>
      </x:c>
      <x:c r="K10" s="60" t="n">
        <x:v>0</x:v>
      </x:c>
      <x:c r="L10" s="60" t="n">
        <x:v>5356.2306571931</x:v>
      </x:c>
      <x:c r="M10" s="60" t="n">
        <x:v>2236.5554118311</x:v>
      </x:c>
      <x:c r="N10" s="46" t="str">
        <x:v>batoidea</x:v>
      </x:c>
      <x:c r="O10" s="62" t="n">
        <x:v>3.72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Batoidea</x:v>
      </x:c>
      <x:c r="T10" s="62" t="n">
        <x:f>IF(O10="","",(1/'Metadata'!$B$5)^(O10-1))</x:f>
        <x:v>3457.8136804537753</x:v>
      </x:c>
      <x:c r="U10" s="60" t="n">
        <x:f>IF(T10="","",I10*T10)</x:f>
        <x:v>26254439.542230725</x:v>
      </x:c>
    </x:row>
    <x:row r="11" ht="18" customHeight="1">
      <x:c r="A11" s="46" t="str">
        <x:v>LME_031</x:v>
      </x:c>
      <x:c r="B11" s="46" t="str">
        <x:v>Somali Coastal Current</x:v>
      </x:c>
      <x:c r="C11" s="46" t="str">
        <x:v>LME</x:v>
      </x:c>
      <x:c r="D11" s="58" t="n">
        <x:v>2019</x:v>
      </x:c>
      <x:c r="E11" s="46" t="str">
        <x:v>Octopoda</x:v>
      </x:c>
      <x:c r="F11" s="46" t="str">
        <x:v>Octopuses, argonauts</x:v>
      </x:c>
      <x:c r="G11" s="46" t="str">
        <x:v>Cephalopods</x:v>
      </x:c>
      <x:c r="H11" s="46" t="str">
        <x:v>Other fishes &amp; inverts</x:v>
      </x:c>
      <x:c r="I11" s="60" t="n">
        <x:v>6272.9733697335</x:v>
      </x:c>
      <x:c r="J11" s="60" t="n">
        <x:v>6272.9733697335</x:v>
      </x:c>
      <x:c r="K11" s="60" t="n">
        <x:v>0</x:v>
      </x:c>
      <x:c r="L11" s="60" t="n">
        <x:v>5416.3083820157</x:v>
      </x:c>
      <x:c r="M11" s="60" t="n">
        <x:v>856.6649877177999</x:v>
      </x:c>
      <x:c r="N11" s="46" t="str">
        <x:v>octopoda</x:v>
      </x:c>
      <x:c r="O11" s="62" t="n">
        <x:v>3.58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Octopoda</x:v>
      </x:c>
      <x:c r="T11" s="62" t="n">
        <x:f>IF(O11="","",(1/'Metadata'!$B$5)^(O11-1))</x:f>
        <x:v>2273.3033337150473</x:v>
      </x:c>
      <x:c r="U11" s="60" t="n">
        <x:f>IF(T11="","",I11*T11)</x:f>
        <x:v>14260371.27372088</x:v>
      </x:c>
    </x:row>
    <x:row r="12" ht="18" customHeight="1">
      <x:c r="A12" s="46" t="str">
        <x:v>LME_031</x:v>
      </x:c>
      <x:c r="B12" s="46" t="str">
        <x:v>Somali Coastal Current</x:v>
      </x:c>
      <x:c r="C12" s="46" t="str">
        <x:v>LME</x:v>
      </x:c>
      <x:c r="D12" s="58" t="n">
        <x:v>2019</x:v>
      </x:c>
      <x:c r="E12" s="46" t="str">
        <x:v>Scomberomorus commerson</x:v>
      </x:c>
      <x:c r="F12" s="46" t="str">
        <x:v>Narrow-barred Spanish mackerel</x:v>
      </x:c>
      <x:c r="G12" s="46" t="str">
        <x:v>Large pelagics (&gt;=90 cm)</x:v>
      </x:c>
      <x:c r="H12" s="46" t="str">
        <x:v>Perch-likes</x:v>
      </x:c>
      <x:c r="I12" s="60" t="n">
        <x:v>5764.4822769321</x:v>
      </x:c>
      <x:c r="J12" s="60" t="n">
        <x:v>5764.4822769321</x:v>
      </x:c>
      <x:c r="K12" s="60" t="n">
        <x:v>0</x:v>
      </x:c>
      <x:c r="L12" s="60" t="n">
        <x:v>1417.5704022733</x:v>
      </x:c>
      <x:c r="M12" s="60" t="n">
        <x:v>4346.9118746588</x:v>
      </x:c>
      <x:c r="N12" s="46" t="str">
        <x:v>scomberomorus commerson</x:v>
      </x:c>
      <x:c r="O12" s="62" t="n">
        <x:v>4.5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Scomberomorus commerson</x:v>
      </x:c>
      <x:c r="T12" s="62" t="n">
        <x:f>IF(O12="","",(1/'Metadata'!$B$5)^(O12-1))</x:f>
        <x:v>35777.08763999664</x:v>
      </x:c>
      <x:c r="U12" s="60" t="n">
        <x:f>IF(T12="","",I12*T12)</x:f>
        <x:v>206236387.6210071</x:v>
      </x:c>
    </x:row>
    <x:row r="13" ht="18" customHeight="1">
      <x:c r="A13" s="46" t="str">
        <x:v>LME_031</x:v>
      </x:c>
      <x:c r="B13" s="46" t="str">
        <x:v>Somali Coastal Current</x:v>
      </x:c>
      <x:c r="C13" s="46" t="str">
        <x:v>LME</x:v>
      </x:c>
      <x:c r="D13" s="58" t="n">
        <x:v>2019</x:v>
      </x:c>
      <x:c r="E13" s="46" t="str">
        <x:v>Ariidae</x:v>
      </x:c>
      <x:c r="F13" s="46" t="str">
        <x:v>Sea catfishes, coblers</x:v>
      </x:c>
      <x:c r="G13" s="46" t="str">
        <x:v>Medium demersals (30 - 89 cm)</x:v>
      </x:c>
      <x:c r="H13" s="46" t="str">
        <x:v>Other fishes &amp; inverts</x:v>
      </x:c>
      <x:c r="I13" s="60" t="n">
        <x:v>5748.313211632</x:v>
      </x:c>
      <x:c r="J13" s="60" t="n">
        <x:v>5741.414178994</x:v>
      </x:c>
      <x:c r="K13" s="60" t="n">
        <x:v>6.899032638</x:v>
      </x:c>
      <x:c r="L13" s="60" t="n">
        <x:v>4365.6994459959005</x:v>
      </x:c>
      <x:c r="M13" s="60" t="n">
        <x:v>1382.6137656361</x:v>
      </x:c>
      <x:c r="N13" s="46" t="str">
        <x:v>ariidae</x:v>
      </x:c>
      <x:c r="O13" s="62" t="n">
        <x:v>3.48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Ariidae</x:v>
      </x:c>
      <x:c r="T13" s="62" t="n">
        <x:f>IF(O13="","",(1/'Metadata'!$B$5)^(O13-1))</x:f>
        <x:v>1684.8234138858888</x:v>
      </x:c>
      <x:c r="U13" s="60" t="n">
        <x:f>IF(T13="","",I13*T13)</x:f>
        <x:v>9684892.689307185</x:v>
      </x:c>
    </x:row>
    <x:row r="14" ht="18" customHeight="1">
      <x:c r="A14" s="46" t="str">
        <x:v>LME_031</x:v>
      </x:c>
      <x:c r="B14" s="46" t="str">
        <x:v>Somali Coastal Current</x:v>
      </x:c>
      <x:c r="C14" s="46" t="str">
        <x:v>LME</x:v>
      </x:c>
      <x:c r="D14" s="58" t="n">
        <x:v>2019</x:v>
      </x:c>
      <x:c r="E14" s="46" t="str">
        <x:v>Siganidae</x:v>
      </x:c>
      <x:c r="F14" s="46" t="str">
        <x:v>Rabbitfishes</x:v>
      </x:c>
      <x:c r="G14" s="46" t="str">
        <x:v>Medium reef assoc. fish (30 - 89 cm)</x:v>
      </x:c>
      <x:c r="H14" s="46" t="str">
        <x:v>Perch-likes</x:v>
      </x:c>
      <x:c r="I14" s="60" t="n">
        <x:v>5509.1549652725</x:v>
      </x:c>
      <x:c r="J14" s="60" t="n">
        <x:v>5502.0169691798</x:v>
      </x:c>
      <x:c r="K14" s="60" t="n">
        <x:v>7.1379960927</x:v>
      </x:c>
      <x:c r="L14" s="60" t="n">
        <x:v>4913.7890046591</x:v>
      </x:c>
      <x:c r="M14" s="60" t="n">
        <x:v>595.3659606134</x:v>
      </x:c>
      <x:c r="N14" s="46" t="str">
        <x:v>siganidae</x:v>
      </x:c>
      <x:c r="O14" s="62" t="n">
        <x:v>2.11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Siganidae</x:v>
      </x:c>
      <x:c r="T14" s="62" t="n">
        <x:f>IF(O14="","",(1/'Metadata'!$B$5)^(O14-1))</x:f>
        <x:v>27.80630583702799</x:v>
      </x:c>
      <x:c r="U14" s="60" t="n">
        <x:f>IF(T14="","",I14*T14)</x:f>
        <x:v>153189.24786794843</x:v>
      </x:c>
    </x:row>
    <x:row r="15" ht="18" customHeight="1">
      <x:c r="A15" s="46" t="str">
        <x:v>LME_031</x:v>
      </x:c>
      <x:c r="B15" s="46" t="str">
        <x:v>Somali Coastal Current</x:v>
      </x:c>
      <x:c r="C15" s="46" t="str">
        <x:v>LME</x:v>
      </x:c>
      <x:c r="D15" s="58" t="n">
        <x:v>2019</x:v>
      </x:c>
      <x:c r="E15" s="46" t="str">
        <x:v>Cephea</x:v>
      </x:c>
      <x:c r="F15" s="46" t="str">
        <x:v>Cepheid jellyfishes</x:v>
      </x:c>
      <x:c r="G15" s="46" t="str">
        <x:v>Jellyfish</x:v>
      </x:c>
      <x:c r="H15" s="46" t="str">
        <x:v>Other fishes &amp; inverts</x:v>
      </x:c>
      <x:c r="I15" s="60" t="n">
        <x:v>5356.8961506921</x:v>
      </x:c>
      <x:c r="J15" s="60" t="n">
        <x:v>5356.8961506921</x:v>
      </x:c>
      <x:c r="K15" s="60" t="n">
        <x:v>0</x:v>
      </x:c>
      <x:c r="L15" s="60" t="n">
        <x:v>0</x:v>
      </x:c>
      <x:c r="M15" s="60" t="n">
        <x:v>5356.8961506921</x:v>
      </x:c>
      <x:c r="N15" s="46" t="str">
        <x:v>cephea</x:v>
      </x:c>
      <x:c r="O15" s="62" t="n">
        <x:v>3.46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Cephea</x:v>
      </x:c>
      <x:c r="T15" s="62" t="n">
        <x:f>IF(O15="","",(1/'Metadata'!$B$5)^(O15-1))</x:f>
        <x:v>1586.8423749532276</x:v>
      </x:c>
      <x:c r="U15" s="60" t="n">
        <x:f>IF(T15="","",I15*T15)</x:f>
        <x:v>8500549.810142055</x:v>
      </x:c>
    </x:row>
    <x:row r="16" ht="18" customHeight="1">
      <x:c r="A16" s="46" t="str">
        <x:v>LME_031</x:v>
      </x:c>
      <x:c r="B16" s="46" t="str">
        <x:v>Somali Coastal Current</x:v>
      </x:c>
      <x:c r="C16" s="46" t="str">
        <x:v>LME</x:v>
      </x:c>
      <x:c r="D16" s="58" t="n">
        <x:v>2019</x:v>
      </x:c>
      <x:c r="E16" s="46" t="str">
        <x:v>Penaeus</x:v>
      </x:c>
      <x:c r="F16" s="46" t="str">
        <x:v>Tiger prawns</x:v>
      </x:c>
      <x:c r="G16" s="46" t="str">
        <x:v>Shrimps</x:v>
      </x:c>
      <x:c r="H16" s="46" t="str">
        <x:v>Crustaceans</x:v>
      </x:c>
      <x:c r="I16" s="60" t="n">
        <x:v>5298.936550644001</x:v>
      </x:c>
      <x:c r="J16" s="60" t="n">
        <x:v>5298.936550644001</x:v>
      </x:c>
      <x:c r="K16" s="60" t="n">
        <x:v>0</x:v>
      </x:c>
      <x:c r="L16" s="60" t="n">
        <x:v>4125.2246689682</x:v>
      </x:c>
      <x:c r="M16" s="60" t="n">
        <x:v>1173.7118816758002</x:v>
      </x:c>
      <x:c r="N16" s="46" t="str">
        <x:v>penaeus</x:v>
      </x:c>
      <x:c r="O16" s="62" t="n">
        <x:v>2.7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Penaeus</x:v>
      </x:c>
      <x:c r="T16" s="62" t="n">
        <x:f>IF(O16="","",(1/'Metadata'!$B$5)^(O16-1))</x:f>
        <x:v>162.83621261476185</x:v>
      </x:c>
      <x:c r="U16" s="60" t="n">
        <x:f>IF(T16="","",I16*T16)</x:f>
        <x:v>862858.7587927993</x:v>
      </x:c>
    </x:row>
    <x:row r="17" ht="18" customHeight="1">
      <x:c r="A17" s="46" t="str">
        <x:v>LME_031</x:v>
      </x:c>
      <x:c r="B17" s="46" t="str">
        <x:v>Somali Coastal Current</x:v>
      </x:c>
      <x:c r="C17" s="46" t="str">
        <x:v>LME</x:v>
      </x:c>
      <x:c r="D17" s="58" t="n">
        <x:v>2019</x:v>
      </x:c>
      <x:c r="E17" s="46" t="str">
        <x:v>Serranidae</x:v>
      </x:c>
      <x:c r="F17" s="46" t="str">
        <x:v>Basses, groupers, hinds</x:v>
      </x:c>
      <x:c r="G17" s="46" t="str">
        <x:v>Medium reef assoc. fish (30 - 89 cm)</x:v>
      </x:c>
      <x:c r="H17" s="46" t="str">
        <x:v>Perch-likes</x:v>
      </x:c>
      <x:c r="I17" s="60" t="n">
        <x:v>5052.3721840016005</x:v>
      </x:c>
      <x:c r="J17" s="60" t="n">
        <x:v>4800.3564743529005</x:v>
      </x:c>
      <x:c r="K17" s="60" t="n">
        <x:v>252.0157096487</x:v>
      </x:c>
      <x:c r="L17" s="60" t="n">
        <x:v>4173.8268188738</x:v>
      </x:c>
      <x:c r="M17" s="60" t="n">
        <x:v>878.5453651278</x:v>
      </x:c>
      <x:c r="N17" s="46" t="str">
        <x:v>serranidae</x:v>
      </x:c>
      <x:c r="O17" s="62" t="n">
        <x:v>3.98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Serranidae</x:v>
      </x:c>
      <x:c r="T17" s="62" t="n">
        <x:f>IF(O17="","",(1/'Metadata'!$B$5)^(O17-1))</x:f>
        <x:v>7534.759367064222</x:v>
      </x:c>
      <x:c r="U17" s="60" t="n">
        <x:f>IF(T17="","",I17*T17)</x:f>
        <x:v>38068408.63930078</x:v>
      </x:c>
    </x:row>
    <x:row r="18" ht="18" customHeight="1">
      <x:c r="A18" s="46" t="str">
        <x:v>LME_031</x:v>
      </x:c>
      <x:c r="B18" s="46" t="str">
        <x:v>Somali Coastal Current</x:v>
      </x:c>
      <x:c r="C18" s="46" t="str">
        <x:v>LME</x:v>
      </x:c>
      <x:c r="D18" s="58" t="n">
        <x:v>2019</x:v>
      </x:c>
      <x:c r="E18" s="46" t="str">
        <x:v>Sphyraena</x:v>
      </x:c>
      <x:c r="F18" s="46" t="str">
        <x:v>Barracudas, sennets</x:v>
      </x:c>
      <x:c r="G18" s="46" t="str">
        <x:v>Large pelagics (&gt;=90 cm)</x:v>
      </x:c>
      <x:c r="H18" s="46" t="str">
        <x:v>Perch-likes</x:v>
      </x:c>
      <x:c r="I18" s="60" t="n">
        <x:v>5030.6979995241</x:v>
      </x:c>
      <x:c r="J18" s="60" t="n">
        <x:v>5030.6979995241</x:v>
      </x:c>
      <x:c r="K18" s="60" t="n">
        <x:v>0</x:v>
      </x:c>
      <x:c r="L18" s="60" t="n">
        <x:v>2889.4598144247</x:v>
      </x:c>
      <x:c r="M18" s="60" t="n">
        <x:v>2141.2381850994</x:v>
      </x:c>
      <x:c r="N18" s="46" t="str">
        <x:v>sphyraena</x:v>
      </x:c>
      <x:c r="O18" s="62" t="n">
        <x:v>4.4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Sphyraena</x:v>
      </x:c>
      <x:c r="T18" s="62" t="n">
        <x:f>IF(O18="","",(1/'Metadata'!$B$5)^(O18-1))</x:f>
        <x:v>26515.632138719924</x:v>
      </x:c>
      <x:c r="U18" s="60" t="n">
        <x:f>IF(T18="","",I18*T18)</x:f>
        <x:v>133392137.55637525</x:v>
      </x:c>
    </x:row>
    <x:row r="19" ht="18" customHeight="1">
      <x:c r="A19" s="46" t="str">
        <x:v>LME_031</x:v>
      </x:c>
      <x:c r="B19" s="46" t="str">
        <x:v>Somali Coastal Current</x:v>
      </x:c>
      <x:c r="C19" s="46" t="str">
        <x:v>LME</x:v>
      </x:c>
      <x:c r="D19" s="58" t="n">
        <x:v>2019</x:v>
      </x:c>
      <x:c r="E19" s="46" t="str">
        <x:v>Scombridae</x:v>
      </x:c>
      <x:c r="F19" s="46" t="str">
        <x:v>Mackerels, tunas, bonitos</x:v>
      </x:c>
      <x:c r="G19" s="46" t="str">
        <x:v>Medium pelagics (30 - 89 cm)</x:v>
      </x:c>
      <x:c r="H19" s="46" t="str">
        <x:v>Perch-likes</x:v>
      </x:c>
      <x:c r="I19" s="60" t="n">
        <x:v>4886.2899240051</x:v>
      </x:c>
      <x:c r="J19" s="60" t="n">
        <x:v>4886.2899240051</x:v>
      </x:c>
      <x:c r="K19" s="60" t="n">
        <x:v>0</x:v>
      </x:c>
      <x:c r="L19" s="60" t="n">
        <x:v>2731.2247311095</x:v>
      </x:c>
      <x:c r="M19" s="60" t="n">
        <x:v>2155.0651928956</x:v>
      </x:c>
      <x:c r="N19" s="46" t="str">
        <x:v>scombridae</x:v>
      </x:c>
      <x:c r="O19" s="62" t="n">
        <x:v>4.26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Scombridae</x:v>
      </x:c>
      <x:c r="T19" s="62" t="n">
        <x:f>IF(O19="","",(1/'Metadata'!$B$5)^(O19-1))</x:f>
        <x:v>17432.42421569787</x:v>
      </x:c>
      <x:c r="U19" s="60" t="n">
        <x:f>IF(T19="","",I19*T19)</x:f>
        <x:v>85179878.796147</x:v>
      </x:c>
    </x:row>
    <x:row r="20" ht="18" customHeight="1">
      <x:c r="A20" s="46" t="str">
        <x:v>LME_031</x:v>
      </x:c>
      <x:c r="B20" s="46" t="str">
        <x:v>Somali Coastal Current</x:v>
      </x:c>
      <x:c r="C20" s="46" t="str">
        <x:v>LME</x:v>
      </x:c>
      <x:c r="D20" s="58" t="n">
        <x:v>2019</x:v>
      </x:c>
      <x:c r="E20" s="46" t="str">
        <x:v>Leiognathidae</x:v>
      </x:c>
      <x:c r="F20" s="46" t="str">
        <x:v>Slipmouths, ponyfishes</x:v>
      </x:c>
      <x:c r="G20" s="46" t="str">
        <x:v>Small benthopelagics (&lt;30 cm)</x:v>
      </x:c>
      <x:c r="H20" s="46" t="str">
        <x:v>Perch-likes</x:v>
      </x:c>
      <x:c r="I20" s="60" t="n">
        <x:v>4499.2506015873005</x:v>
      </x:c>
      <x:c r="J20" s="60" t="n">
        <x:v>3272.5458541495</x:v>
      </x:c>
      <x:c r="K20" s="60" t="n">
        <x:v>1226.7047474378</x:v>
      </x:c>
      <x:c r="L20" s="60" t="n">
        <x:v>52.3482677112</x:v>
      </x:c>
      <x:c r="M20" s="60" t="n">
        <x:v>4446.9023338761</x:v>
      </x:c>
      <x:c r="N20" s="46" t="str">
        <x:v>leiognathidae</x:v>
      </x:c>
      <x:c r="O20" s="62" t="n">
        <x:v>3.24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Leiognathidae</x:v>
      </x:c>
      <x:c r="T20" s="62" t="n">
        <x:f>IF(O20="","",(1/'Metadata'!$B$5)^(O20-1))</x:f>
        <x:v>820.9320103116679</x:v>
      </x:c>
      <x:c r="U20" s="60" t="n">
        <x:f>IF(T20="","",I20*T20)</x:f>
        <x:v>3693578.8412570436</x:v>
      </x:c>
    </x:row>
    <x:row r="21" ht="18" customHeight="1">
      <x:c r="A21" s="46" t="str">
        <x:v>LME_031</x:v>
      </x:c>
      <x:c r="B21" s="46" t="str">
        <x:v>Somali Coastal Current</x:v>
      </x:c>
      <x:c r="C21" s="46" t="str">
        <x:v>LME</x:v>
      </x:c>
      <x:c r="D21" s="58" t="n">
        <x:v>2019</x:v>
      </x:c>
      <x:c r="E21" s="46" t="str">
        <x:v>Octopus cyanea</x:v>
      </x:c>
      <x:c r="F21" s="46" t="str">
        <x:v>Big blue octopus</x:v>
      </x:c>
      <x:c r="G21" s="46" t="str">
        <x:v>Cephalopods</x:v>
      </x:c>
      <x:c r="H21" s="46" t="str">
        <x:v>Other fishes &amp; inverts</x:v>
      </x:c>
      <x:c r="I21" s="60" t="n">
        <x:v>4394.3817594513</x:v>
      </x:c>
      <x:c r="J21" s="60" t="n">
        <x:v>4394.3817594513</x:v>
      </x:c>
      <x:c r="K21" s="60" t="n">
        <x:v>0</x:v>
      </x:c>
      <x:c r="L21" s="60" t="n">
        <x:v>0</x:v>
      </x:c>
      <x:c r="M21" s="60" t="n">
        <x:v>4394.3817594513</x:v>
      </x:c>
      <x:c r="N21" s="46" t="str">
        <x:v>octopus cyanea</x:v>
      </x:c>
      <x:c r="O21" s="62" t="n">
        <x:v>3.6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Octopus cyanea</x:v>
      </x:c>
      <x:c r="T21" s="62" t="n">
        <x:f>IF(O21="","",(1/'Metadata'!$B$5)^(O21-1))</x:f>
        <x:v>2413.670534618066</x:v>
      </x:c>
      <x:c r="U21" s="60" t="n">
        <x:f>IF(T21="","",I21*T21)</x:f>
        <x:v>10606589.770650698</x:v>
      </x:c>
    </x:row>
    <x:row r="22" ht="18" customHeight="1">
      <x:c r="A22" s="46" t="str">
        <x:v>LME_031</x:v>
      </x:c>
      <x:c r="B22" s="46" t="str">
        <x:v>Somali Coastal Current</x:v>
      </x:c>
      <x:c r="C22" s="46" t="str">
        <x:v>LME</x:v>
      </x:c>
      <x:c r="D22" s="58" t="n">
        <x:v>2019</x:v>
      </x:c>
      <x:c r="E22" s="46" t="str">
        <x:v>Istiophorus platypterus</x:v>
      </x:c>
      <x:c r="F22" s="46" t="str">
        <x:v>Indo-Pacific sailfish</x:v>
      </x:c>
      <x:c r="G22" s="46" t="str">
        <x:v>Large pelagics (&gt;=90 cm)</x:v>
      </x:c>
      <x:c r="H22" s="46" t="str">
        <x:v>Tuna &amp; billfishes</x:v>
      </x:c>
      <x:c r="I22" s="60" t="n">
        <x:v>4354.4746359636</x:v>
      </x:c>
      <x:c r="J22" s="60" t="n">
        <x:v>4354.4746359636</x:v>
      </x:c>
      <x:c r="K22" s="60" t="n">
        <x:v>0</x:v>
      </x:c>
      <x:c r="L22" s="60" t="n">
        <x:v>3000.1464696533003</x:v>
      </x:c>
      <x:c r="M22" s="60" t="n">
        <x:v>1354.3281663103</x:v>
      </x:c>
      <x:c r="N22" s="46" t="str">
        <x:v>istiophorus platypterus</x:v>
      </x:c>
      <x:c r="O22" s="62" t="n">
        <x:v>4.5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Istiophorus platypterus</x:v>
      </x:c>
      <x:c r="T22" s="62" t="n">
        <x:f>IF(O22="","",(1/'Metadata'!$B$5)^(O22-1))</x:f>
        <x:v>35777.08763999664</x:v>
      </x:c>
      <x:c r="U22" s="60" t="n">
        <x:f>IF(T22="","",I22*T22)</x:f>
        <x:v>155790420.67701218</x:v>
      </x:c>
    </x:row>
    <x:row r="23" ht="18" customHeight="1">
      <x:c r="A23" s="46" t="str">
        <x:v>LME_031</x:v>
      </x:c>
      <x:c r="B23" s="46" t="str">
        <x:v>Somali Coastal Current</x:v>
      </x:c>
      <x:c r="C23" s="46" t="str">
        <x:v>LME</x:v>
      </x:c>
      <x:c r="D23" s="58" t="n">
        <x:v>2019</x:v>
      </x:c>
      <x:c r="E23" s="46" t="str">
        <x:v>Auxis thazard</x:v>
      </x:c>
      <x:c r="F23" s="46" t="str">
        <x:v>Frigate tuna</x:v>
      </x:c>
      <x:c r="G23" s="46" t="str">
        <x:v>Medium pelagics (30 - 89 cm)</x:v>
      </x:c>
      <x:c r="H23" s="46" t="str">
        <x:v>Tuna &amp; billfishes</x:v>
      </x:c>
      <x:c r="I23" s="60" t="n">
        <x:v>4077.3968828409</x:v>
      </x:c>
      <x:c r="J23" s="60" t="n">
        <x:v>4077.3968828409</x:v>
      </x:c>
      <x:c r="K23" s="60" t="n">
        <x:v>0</x:v>
      </x:c>
      <x:c r="L23" s="60" t="n">
        <x:v>4.625340905</x:v>
      </x:c>
      <x:c r="M23" s="60" t="n">
        <x:v>4072.7715419359</x:v>
      </x:c>
      <x:c r="N23" s="46" t="str">
        <x:v>auxis thazard</x:v>
      </x:c>
      <x:c r="O23" s="62" t="n">
        <x:v>4.37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Auxis thazard</x:v>
      </x:c>
      <x:c r="T23" s="62" t="n">
        <x:f>IF(O23="","",(1/'Metadata'!$B$5)^(O23-1))</x:f>
        <x:v>24236.56596112542</x:v>
      </x:c>
      <x:c r="U23" s="60" t="n">
        <x:f>IF(T23="","",I23*T23)</x:f>
        <x:v>98822098.50066066</x:v>
      </x:c>
    </x:row>
    <x:row r="24" ht="18" customHeight="1">
      <x:c r="A24" s="46" t="str">
        <x:v>LME_031</x:v>
      </x:c>
      <x:c r="B24" s="46" t="str">
        <x:v>Somali Coastal Current</x:v>
      </x:c>
      <x:c r="C24" s="46" t="str">
        <x:v>LME</x:v>
      </x:c>
      <x:c r="D24" s="58" t="n">
        <x:v>2019</x:v>
      </x:c>
      <x:c r="E24" s="46" t="str">
        <x:v>Seriola</x:v>
      </x:c>
      <x:c r="F24" s="46" t="str">
        <x:v>Amberjacks</x:v>
      </x:c>
      <x:c r="G24" s="46" t="str">
        <x:v>Large benthopelagics (&gt;=90 cm)</x:v>
      </x:c>
      <x:c r="H24" s="46" t="str">
        <x:v>Perch-likes</x:v>
      </x:c>
      <x:c r="I24" s="60" t="n">
        <x:v>4011.4179777022</x:v>
      </x:c>
      <x:c r="J24" s="60" t="n">
        <x:v>4011.4179777022</x:v>
      </x:c>
      <x:c r="K24" s="60" t="n">
        <x:v>0</x:v>
      </x:c>
      <x:c r="L24" s="60" t="n">
        <x:v>3521.8168439894</x:v>
      </x:c>
      <x:c r="M24" s="60" t="n">
        <x:v>489.6011337128</x:v>
      </x:c>
      <x:c r="N24" s="46" t="str">
        <x:v>seriola</x:v>
      </x:c>
      <x:c r="O24" s="62" t="n">
        <x:v>4.39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Seriola</x:v>
      </x:c>
      <x:c r="T24" s="62" t="n">
        <x:f>IF(O24="","",(1/'Metadata'!$B$5)^(O24-1))</x:f>
        <x:v>25733.07497204781</x:v>
      </x:c>
      <x:c r="U24" s="60" t="n">
        <x:f>IF(T24="","",I24*T24)</x:f>
        <x:v>103226119.56443112</x:v>
      </x:c>
    </x:row>
    <x:row r="25" ht="18" customHeight="1">
      <x:c r="A25" s="46" t="str">
        <x:v>LME_031</x:v>
      </x:c>
      <x:c r="B25" s="46" t="str">
        <x:v>Somali Coastal Current</x:v>
      </x:c>
      <x:c r="C25" s="46" t="str">
        <x:v>LME</x:v>
      </x:c>
      <x:c r="D25" s="58" t="n">
        <x:v>2019</x:v>
      </x:c>
      <x:c r="E25" s="46" t="str">
        <x:v>Decapterus russelli</x:v>
      </x:c>
      <x:c r="F25" s="46" t="str">
        <x:v>Indian scad</x:v>
      </x:c>
      <x:c r="G25" s="46" t="str">
        <x:v>Medium pelagics (30 - 89 cm)</x:v>
      </x:c>
      <x:c r="H25" s="46" t="str">
        <x:v>Perch-likes</x:v>
      </x:c>
      <x:c r="I25" s="60" t="n">
        <x:v>3028.6374633732003</x:v>
      </x:c>
      <x:c r="J25" s="60" t="n">
        <x:v>3028.6374633732003</x:v>
      </x:c>
      <x:c r="K25" s="60" t="n">
        <x:v>0</x:v>
      </x:c>
      <x:c r="L25" s="60" t="n">
        <x:v>0</x:v>
      </x:c>
      <x:c r="M25" s="60" t="n">
        <x:v>3028.6374633732003</x:v>
      </x:c>
      <x:c r="N25" s="46" t="str">
        <x:v>decapterus russelli</x:v>
      </x:c>
      <x:c r="O25" s="62" t="n">
        <x:v>3.68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Decapterus russelli</x:v>
      </x:c>
      <x:c r="T25" s="62" t="n">
        <x:f>IF(O25="","",(1/'Metadata'!$B$5)^(O25-1))</x:f>
        <x:v>3067.3291957408446</x:v>
      </x:c>
      <x:c r="U25" s="60" t="n">
        <x:f>IF(T25="","",I25*T25)</x:f>
        <x:v>9289828.11471911</x:v>
      </x:c>
    </x:row>
    <x:row r="26" ht="18" customHeight="1">
      <x:c r="A26" s="46" t="str">
        <x:v>LME_031</x:v>
      </x:c>
      <x:c r="B26" s="46" t="str">
        <x:v>Somali Coastal Current</x:v>
      </x:c>
      <x:c r="C26" s="46" t="str">
        <x:v>LME</x:v>
      </x:c>
      <x:c r="D26" s="58" t="n">
        <x:v>2019</x:v>
      </x:c>
      <x:c r="E26" s="46" t="str">
        <x:v>Labridae</x:v>
      </x:c>
      <x:c r="F26" s="46" t="str">
        <x:v>Wrasses, gropers, tuskfishes</x:v>
      </x:c>
      <x:c r="G26" s="46" t="str">
        <x:v>Medium reef assoc. fish (30 - 89 cm)</x:v>
      </x:c>
      <x:c r="H26" s="46" t="str">
        <x:v>Perch-likes</x:v>
      </x:c>
      <x:c r="I26" s="60" t="n">
        <x:v>2895.699055755</x:v>
      </x:c>
      <x:c r="J26" s="60" t="n">
        <x:v>2888.7832922719</x:v>
      </x:c>
      <x:c r="K26" s="60" t="n">
        <x:v>6.9157634831</x:v>
      </x:c>
      <x:c r="L26" s="60" t="n">
        <x:v>2447.9064788364</x:v>
      </x:c>
      <x:c r="M26" s="60" t="n">
        <x:v>447.7925769186</x:v>
      </x:c>
      <x:c r="N26" s="46" t="str">
        <x:v>labridae</x:v>
      </x:c>
      <x:c r="O26" s="62" t="n">
        <x:v>3.46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Labridae</x:v>
      </x:c>
      <x:c r="T26" s="62" t="n">
        <x:f>IF(O26="","",(1/'Metadata'!$B$5)^(O26-1))</x:f>
        <x:v>1586.8423749532276</x:v>
      </x:c>
      <x:c r="U26" s="60" t="n">
        <x:f>IF(T26="","",I26*T26)</x:f>
        <x:v>4595017.966784082</x:v>
      </x:c>
    </x:row>
    <x:row r="27" ht="18" customHeight="1">
      <x:c r="A27" s="46" t="str">
        <x:v>LME_031</x:v>
      </x:c>
      <x:c r="B27" s="46" t="str">
        <x:v>Somali Coastal Current</x:v>
      </x:c>
      <x:c r="C27" s="46" t="str">
        <x:v>LME</x:v>
      </x:c>
      <x:c r="D27" s="58" t="n">
        <x:v>2019</x:v>
      </x:c>
      <x:c r="E27" s="46" t="str">
        <x:v>Carcharhinus falciformis</x:v>
      </x:c>
      <x:c r="F27" s="46" t="str">
        <x:v>Silky shark</x:v>
      </x:c>
      <x:c r="G27" s="46" t="str">
        <x:v>Large sharks (&gt;=90 cm)</x:v>
      </x:c>
      <x:c r="H27" s="46" t="str">
        <x:v>Sharks &amp; rays</x:v>
      </x:c>
      <x:c r="I27" s="60" t="n">
        <x:v>2781.6011047195</x:v>
      </x:c>
      <x:c r="J27" s="60" t="n">
        <x:v>2781.6011047195</x:v>
      </x:c>
      <x:c r="K27" s="60" t="n">
        <x:v>0</x:v>
      </x:c>
      <x:c r="L27" s="60" t="n">
        <x:v>1944.1972302611998</x:v>
      </x:c>
      <x:c r="M27" s="60" t="n">
        <x:v>837.4038744583</x:v>
      </x:c>
      <x:c r="N27" s="46" t="str">
        <x:v>carcharhinus falciformis</x:v>
      </x:c>
      <x:c r="O27" s="62" t="n">
        <x:v>4.51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Carcharhinus falciformis</x:v>
      </x:c>
      <x:c r="T27" s="62" t="n">
        <x:f>IF(O27="","",(1/'Metadata'!$B$5)^(O27-1))</x:f>
        <x:v>36865.088835568684</x:v>
      </x:c>
      <x:c r="U27" s="60" t="n">
        <x:f>IF(T27="","",I27*T27)</x:f>
        <x:v>102543971.83060037</x:v>
      </x:c>
    </x:row>
    <x:row r="28" ht="18" customHeight="1">
      <x:c r="A28" s="46" t="str">
        <x:v>LME_031</x:v>
      </x:c>
      <x:c r="B28" s="46" t="str">
        <x:v>Somali Coastal Current</x:v>
      </x:c>
      <x:c r="C28" s="46" t="str">
        <x:v>LME</x:v>
      </x:c>
      <x:c r="D28" s="58" t="n">
        <x:v>2019</x:v>
      </x:c>
      <x:c r="E28" s="46" t="str">
        <x:v>Mollusca</x:v>
      </x:c>
      <x:c r="F28" s="46" t="str">
        <x:v>Clams, seasnails, squids, octopuses</x:v>
      </x:c>
      <x:c r="G28" s="46" t="str">
        <x:v>Other demersal invertebrates</x:v>
      </x:c>
      <x:c r="H28" s="46" t="str">
        <x:v>Molluscs</x:v>
      </x:c>
      <x:c r="I28" s="60" t="n">
        <x:v>2725.8535066721997</x:v>
      </x:c>
      <x:c r="J28" s="60" t="n">
        <x:v>2725.8535066721997</x:v>
      </x:c>
      <x:c r="K28" s="60" t="n">
        <x:v>0</x:v>
      </x:c>
      <x:c r="L28" s="60" t="n">
        <x:v>0</x:v>
      </x:c>
      <x:c r="M28" s="60" t="n">
        <x:v>2725.8535066721997</x:v>
      </x:c>
      <x:c r="N28" s="46" t="str">
        <x:v>mollusca</x:v>
      </x:c>
      <x:c r="O28" s="62" t="n">
        <x:v>2.1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Mollusca</x:v>
      </x:c>
      <x:c r="T28" s="62" t="n">
        <x:f>IF(O28="","",(1/'Metadata'!$B$5)^(O28-1))</x:f>
        <x:v>26.985656953471274</x:v>
      </x:c>
      <x:c r="U28" s="60" t="n">
        <x:f>IF(T28="","",I28*T28)</x:f>
        <x:v>73558.9476364727</x:v>
      </x:c>
    </x:row>
    <x:row r="29" ht="18" customHeight="1">
      <x:c r="A29" s="46" t="str">
        <x:v>LME_031</x:v>
      </x:c>
      <x:c r="B29" s="46" t="str">
        <x:v>Somali Coastal Current</x:v>
      </x:c>
      <x:c r="C29" s="46" t="str">
        <x:v>LME</x:v>
      </x:c>
      <x:c r="D29" s="58" t="n">
        <x:v>2019</x:v>
      </x:c>
      <x:c r="E29" s="46" t="str">
        <x:v>Thunnus albacares</x:v>
      </x:c>
      <x:c r="F29" s="46" t="str">
        <x:v>Yellowfin tuna</x:v>
      </x:c>
      <x:c r="G29" s="46" t="str">
        <x:v>Large pelagics (&gt;=90 cm)</x:v>
      </x:c>
      <x:c r="H29" s="46" t="str">
        <x:v>Tuna &amp; billfishes</x:v>
      </x:c>
      <x:c r="I29" s="60" t="n">
        <x:v>2665.5217945762</x:v>
      </x:c>
      <x:c r="J29" s="60" t="n">
        <x:v>2665.5217945762</x:v>
      </x:c>
      <x:c r="K29" s="60" t="n">
        <x:v>0</x:v>
      </x:c>
      <x:c r="L29" s="60" t="n">
        <x:v>1988.3576747854</x:v>
      </x:c>
      <x:c r="M29" s="60" t="n">
        <x:v>677.1641197908</x:v>
      </x:c>
      <x:c r="N29" s="46" t="str">
        <x:v>thunnus albacares</x:v>
      </x:c>
      <x:c r="O29" s="62" t="n">
        <x:v>4.41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Thunnus albacares</x:v>
      </x:c>
      <x:c r="T29" s="62" t="n">
        <x:f>IF(O29="","",(1/'Metadata'!$B$5)^(O29-1))</x:f>
        <x:v>27321.987305427916</x:v>
      </x:c>
      <x:c r="U29" s="60" t="n">
        <x:f>IF(T29="","",I29*T29)</x:f>
        <x:v>72827352.63375238</x:v>
      </x:c>
    </x:row>
    <x:row r="30" ht="18" customHeight="1">
      <x:c r="A30" s="46" t="str">
        <x:v>LME_031</x:v>
      </x:c>
      <x:c r="B30" s="46" t="str">
        <x:v>Somali Coastal Current</x:v>
      </x:c>
      <x:c r="C30" s="46" t="str">
        <x:v>LME</x:v>
      </x:c>
      <x:c r="D30" s="58" t="n">
        <x:v>2019</x:v>
      </x:c>
      <x:c r="E30" s="46" t="str">
        <x:v>Alopias vulpinus</x:v>
      </x:c>
      <x:c r="F30" s="46" t="str">
        <x:v>Thresher</x:v>
      </x:c>
      <x:c r="G30" s="46" t="str">
        <x:v>Large sharks (&gt;=90 cm)</x:v>
      </x:c>
      <x:c r="H30" s="46" t="str">
        <x:v>Sharks &amp; rays</x:v>
      </x:c>
      <x:c r="I30" s="60" t="n">
        <x:v>2548.4481979644</x:v>
      </x:c>
      <x:c r="J30" s="60" t="n">
        <x:v>1639.8202772555999</x:v>
      </x:c>
      <x:c r="K30" s="60" t="n">
        <x:v>908.6279207088</x:v>
      </x:c>
      <x:c r="L30" s="60" t="n">
        <x:v>1242.3322525295998</x:v>
      </x:c>
      <x:c r="M30" s="60" t="n">
        <x:v>1306.1159454348</x:v>
      </x:c>
      <x:c r="N30" s="46" t="str">
        <x:v>alopias vulpinus</x:v>
      </x:c>
      <x:c r="O30" s="62" t="n">
        <x:v>4.5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Alopias vulpinus</x:v>
      </x:c>
      <x:c r="T30" s="62" t="n">
        <x:f>IF(O30="","",(1/'Metadata'!$B$5)^(O30-1))</x:f>
        <x:v>35777.08763999664</x:v>
      </x:c>
      <x:c r="U30" s="60" t="n">
        <x:f>IF(T30="","",I30*T30)</x:f>
        <x:v>91176054.52456385</x:v>
      </x:c>
    </x:row>
    <x:row r="31" ht="18" customHeight="1">
      <x:c r="A31" s="46" t="str">
        <x:v>LME_031</x:v>
      </x:c>
      <x:c r="B31" s="46" t="str">
        <x:v>Somali Coastal Current</x:v>
      </x:c>
      <x:c r="C31" s="46" t="str">
        <x:v>LME</x:v>
      </x:c>
      <x:c r="D31" s="58" t="n">
        <x:v>2019</x:v>
      </x:c>
      <x:c r="E31" s="46" t="str">
        <x:v>Lutjanidae</x:v>
      </x:c>
      <x:c r="F31" s="46" t="str">
        <x:v>Snappers</x:v>
      </x:c>
      <x:c r="G31" s="46" t="str">
        <x:v>Medium reef assoc. fish (30 - 89 cm)</x:v>
      </x:c>
      <x:c r="H31" s="46" t="str">
        <x:v>Perch-likes</x:v>
      </x:c>
      <x:c r="I31" s="60" t="n">
        <x:v>2369.5194383654</x:v>
      </x:c>
      <x:c r="J31" s="60" t="n">
        <x:v>2174.3948177722</x:v>
      </x:c>
      <x:c r="K31" s="60" t="n">
        <x:v>195.1246205932</x:v>
      </x:c>
      <x:c r="L31" s="60" t="n">
        <x:v>1526.7354182666</x:v>
      </x:c>
      <x:c r="M31" s="60" t="n">
        <x:v>842.7840200987999</x:v>
      </x:c>
      <x:c r="N31" s="46" t="str">
        <x:v>lutjanidae</x:v>
      </x:c>
      <x:c r="O31" s="62" t="n">
        <x:v>4.02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Lutjanidae</x:v>
      </x:c>
      <x:c r="T31" s="62" t="n">
        <x:f>IF(O31="","",(1/'Metadata'!$B$5)^(O31-1))</x:f>
        <x:v>8493.967342839818</x:v>
      </x:c>
      <x:c r="U31" s="60" t="n">
        <x:f>IF(T31="","",I31*T31)</x:f>
        <x:v>20126620.727699857</x:v>
      </x:c>
    </x:row>
    <x:row r="32" ht="18" customHeight="1">
      <x:c r="A32" s="46" t="str">
        <x:v>LME_031</x:v>
      </x:c>
      <x:c r="B32" s="46" t="str">
        <x:v>Somali Coastal Current</x:v>
      </x:c>
      <x:c r="C32" s="46" t="str">
        <x:v>LME</x:v>
      </x:c>
      <x:c r="D32" s="58" t="n">
        <x:v>2019</x:v>
      </x:c>
      <x:c r="E32" s="46" t="str">
        <x:v>Sphyrnidae</x:v>
      </x:c>
      <x:c r="F32" s="46" t="str">
        <x:v>Hammer, bonnet, scoophead sharks</x:v>
      </x:c>
      <x:c r="G32" s="46" t="str">
        <x:v>Large sharks (&gt;=90 cm)</x:v>
      </x:c>
      <x:c r="H32" s="46" t="str">
        <x:v>Sharks &amp; rays</x:v>
      </x:c>
      <x:c r="I32" s="60" t="n">
        <x:v>2190.8403263603</x:v>
      </x:c>
      <x:c r="J32" s="60" t="n">
        <x:v>1403.585162309</x:v>
      </x:c>
      <x:c r="K32" s="60" t="n">
        <x:v>787.2551640513</x:v>
      </x:c>
      <x:c r="L32" s="60" t="n">
        <x:v>1063.2657754077</x:v>
      </x:c>
      <x:c r="M32" s="60" t="n">
        <x:v>1127.5745509526</x:v>
      </x:c>
      <x:c r="N32" s="46" t="str">
        <x:v>sphyrnidae</x:v>
      </x:c>
      <x:c r="O32" s="62" t="n">
        <x:v>4.19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Sphyrnidae</x:v>
      </x:c>
      <x:c r="T32" s="62" t="n">
        <x:f>IF(O32="","",(1/'Metadata'!$B$5)^(O32-1))</x:f>
        <x:v>14134.67041111498</x:v>
      </x:c>
      <x:c r="U32" s="60" t="n">
        <x:f>IF(T32="","",I32*T32)</x:f>
        <x:v>30966805.93648242</x:v>
      </x:c>
    </x:row>
    <x:row r="33" ht="18" customHeight="1">
      <x:c r="A33" s="46" t="str">
        <x:v>LME_031</x:v>
      </x:c>
      <x:c r="B33" s="46" t="str">
        <x:v>Somali Coastal Current</x:v>
      </x:c>
      <x:c r="C33" s="46" t="str">
        <x:v>LME</x:v>
      </x:c>
      <x:c r="D33" s="58" t="n">
        <x:v>2019</x:v>
      </x:c>
      <x:c r="E33" s="46" t="str">
        <x:v>Lamnidae</x:v>
      </x:c>
      <x:c r="F33" s="46" t="str">
        <x:v>Mackerel/white sharks</x:v>
      </x:c>
      <x:c r="G33" s="46" t="str">
        <x:v>Large sharks (&gt;=90 cm)</x:v>
      </x:c>
      <x:c r="H33" s="46" t="str">
        <x:v>Sharks &amp; rays</x:v>
      </x:c>
      <x:c r="I33" s="60" t="n">
        <x:v>2120.9332024537002</x:v>
      </x:c>
      <x:c r="J33" s="60" t="n">
        <x:v>1363.6359757629</x:v>
      </x:c>
      <x:c r="K33" s="60" t="n">
        <x:v>757.2972266908</x:v>
      </x:c>
      <x:c r="L33" s="60" t="n">
        <x:v>1033.0942828899001</x:v>
      </x:c>
      <x:c r="M33" s="60" t="n">
        <x:v>1087.8389195638001</x:v>
      </x:c>
      <x:c r="N33" s="46" t="str">
        <x:v>lamnidae</x:v>
      </x:c>
      <x:c r="O33" s="62" t="n">
        <x:v>4.5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Lamnidae</x:v>
      </x:c>
      <x:c r="T33" s="62" t="n">
        <x:f>IF(O33="","",(1/'Metadata'!$B$5)^(O33-1))</x:f>
        <x:v>35777.08763999664</x:v>
      </x:c>
      <x:c r="U33" s="60" t="n">
        <x:f>IF(T33="","",I33*T33)</x:f>
        <x:v>75880813.06276476</x:v>
      </x:c>
    </x:row>
    <x:row r="34" ht="18" customHeight="1">
      <x:c r="A34" s="46" t="str">
        <x:v>LME_031</x:v>
      </x:c>
      <x:c r="B34" s="46" t="str">
        <x:v>Somali Coastal Current</x:v>
      </x:c>
      <x:c r="C34" s="46" t="str">
        <x:v>LME</x:v>
      </x:c>
      <x:c r="D34" s="58" t="n">
        <x:v>2019</x:v>
      </x:c>
      <x:c r="E34" s="46" t="str">
        <x:v>Mugilidae</x:v>
      </x:c>
      <x:c r="F34" s="46" t="str">
        <x:v>Mullets, grey mullets</x:v>
      </x:c>
      <x:c r="G34" s="46" t="str">
        <x:v>Medium reef assoc. fish (30 - 89 cm)</x:v>
      </x:c>
      <x:c r="H34" s="46" t="str">
        <x:v>Perch-likes</x:v>
      </x:c>
      <x:c r="I34" s="60" t="n">
        <x:v>2026.6663633703</x:v>
      </x:c>
      <x:c r="J34" s="60" t="n">
        <x:v>2018.7812571483</x:v>
      </x:c>
      <x:c r="K34" s="60" t="n">
        <x:v>7.885106222</x:v>
      </x:c>
      <x:c r="L34" s="60" t="n">
        <x:v>1404.2393893642</x:v>
      </x:c>
      <x:c r="M34" s="60" t="n">
        <x:v>622.4269740061</x:v>
      </x:c>
      <x:c r="N34" s="46" t="str">
        <x:v>mugilidae</x:v>
      </x:c>
      <x:c r="O34" s="62" t="n">
        <x:v>2.53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Mugilidae</x:v>
      </x:c>
      <x:c r="T34" s="62" t="n">
        <x:f>IF(O34="","",(1/'Metadata'!$B$5)^(O34-1))</x:f>
        <x:v>97.8533939563155</x:v>
      </x:c>
      <x:c r="U34" s="60" t="n">
        <x:f>IF(T34="","",I34*T34)</x:f>
        <x:v>198316.18207288723</x:v>
      </x:c>
    </x:row>
    <x:row r="35" ht="18" customHeight="1">
      <x:c r="A35" s="46" t="str">
        <x:v>LME_031</x:v>
      </x:c>
      <x:c r="B35" s="46" t="str">
        <x:v>Somali Coastal Current</x:v>
      </x:c>
      <x:c r="C35" s="46" t="str">
        <x:v>LME</x:v>
      </x:c>
      <x:c r="D35" s="58" t="n">
        <x:v>2019</x:v>
      </x:c>
      <x:c r="E35" s="46" t="str">
        <x:v>Carcharhinus melanopterus</x:v>
      </x:c>
      <x:c r="F35" s="46" t="str">
        <x:v>Blacktip reef shark</x:v>
      </x:c>
      <x:c r="G35" s="46" t="str">
        <x:v>Large sharks (&gt;=90 cm)</x:v>
      </x:c>
      <x:c r="H35" s="46" t="str">
        <x:v>Sharks &amp; rays</x:v>
      </x:c>
      <x:c r="I35" s="60" t="n">
        <x:v>1980.4016369669</x:v>
      </x:c>
      <x:c r="J35" s="60" t="n">
        <x:v>1270.3257884193</x:v>
      </x:c>
      <x:c r="K35" s="60" t="n">
        <x:v>710.0758485476</x:v>
      </x:c>
      <x:c r="L35" s="60" t="n">
        <x:v>962.4022339902</x:v>
      </x:c>
      <x:c r="M35" s="60" t="n">
        <x:v>1017.9994029767</x:v>
      </x:c>
      <x:c r="N35" s="46" t="str">
        <x:v>carcharhinus melanopterus</x:v>
      </x:c>
      <x:c r="O35" s="62" t="n">
        <x:v>3.94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Carcharhinus melanopterus</x:v>
      </x:c>
      <x:c r="T35" s="62" t="n">
        <x:f>IF(O35="","",(1/'Metadata'!$B$5)^(O35-1))</x:f>
        <x:v>6683.872968668722</x:v>
      </x:c>
      <x:c r="U35" s="60" t="n">
        <x:f>IF(T35="","",I35*T35)</x:f>
        <x:v>13236752.968430351</x:v>
      </x:c>
    </x:row>
    <x:row r="36" ht="18" customHeight="1">
      <x:c r="A36" s="46" t="str">
        <x:v>LME_031</x:v>
      </x:c>
      <x:c r="B36" s="46" t="str">
        <x:v>Somali Coastal Current</x:v>
      </x:c>
      <x:c r="C36" s="46" t="str">
        <x:v>LME</x:v>
      </x:c>
      <x:c r="D36" s="58" t="n">
        <x:v>2019</x:v>
      </x:c>
      <x:c r="E36" s="46" t="str">
        <x:v>Lethrinus nebulosus</x:v>
      </x:c>
      <x:c r="F36" s="46" t="str">
        <x:v>Spangled emperor</x:v>
      </x:c>
      <x:c r="G36" s="46" t="str">
        <x:v>Medium demersals (30 - 89 cm)</x:v>
      </x:c>
      <x:c r="H36" s="46" t="str">
        <x:v>Perch-likes</x:v>
      </x:c>
      <x:c r="I36" s="60" t="n">
        <x:v>1882.1762854397</x:v>
      </x:c>
      <x:c r="J36" s="60" t="n">
        <x:v>1882.1762854397</x:v>
      </x:c>
      <x:c r="K36" s="60" t="n">
        <x:v>0</x:v>
      </x:c>
      <x:c r="L36" s="60" t="n">
        <x:v>776.7261518261</x:v>
      </x:c>
      <x:c r="M36" s="60" t="n">
        <x:v>1105.4501336136</x:v>
      </x:c>
      <x:c r="N36" s="46" t="str">
        <x:v>lethrinus nebulosus</x:v>
      </x:c>
      <x:c r="O36" s="62" t="n">
        <x:v>3.76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Lethrinus nebulosus</x:v>
      </x:c>
      <x:c r="T36" s="62" t="n">
        <x:f>IF(O36="","",(1/'Metadata'!$B$5)^(O36-1))</x:f>
        <x:v>3898.0085558913897</x:v>
      </x:c>
      <x:c r="U36" s="60" t="n">
        <x:f>IF(T36="","",I36*T36)</x:f>
        <x:v>7336739.264339825</x:v>
      </x:c>
    </x:row>
    <x:row r="37" ht="18" customHeight="1">
      <x:c r="A37" s="46" t="str">
        <x:v>LME_031</x:v>
      </x:c>
      <x:c r="B37" s="46" t="str">
        <x:v>Somali Coastal Current</x:v>
      </x:c>
      <x:c r="C37" s="46" t="str">
        <x:v>LME</x:v>
      </x:c>
      <x:c r="D37" s="58" t="n">
        <x:v>2019</x:v>
      </x:c>
      <x:c r="E37" s="46" t="str">
        <x:v>Euthynnus affinis</x:v>
      </x:c>
      <x:c r="F37" s="46" t="str">
        <x:v>Kawakawa</x:v>
      </x:c>
      <x:c r="G37" s="46" t="str">
        <x:v>Large pelagics (&gt;=90 cm)</x:v>
      </x:c>
      <x:c r="H37" s="46" t="str">
        <x:v>Tuna &amp; billfishes</x:v>
      </x:c>
      <x:c r="I37" s="60" t="n">
        <x:v>1870.9366566838</x:v>
      </x:c>
      <x:c r="J37" s="60" t="n">
        <x:v>1870.9366566838</x:v>
      </x:c>
      <x:c r="K37" s="60" t="n">
        <x:v>0</x:v>
      </x:c>
      <x:c r="L37" s="60" t="n">
        <x:v>1430.4081688786</x:v>
      </x:c>
      <x:c r="M37" s="60" t="n">
        <x:v>440.52848780520003</x:v>
      </x:c>
      <x:c r="N37" s="46" t="str">
        <x:v>euthynnus affinis</x:v>
      </x:c>
      <x:c r="O37" s="62" t="n">
        <x:v>4.5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Euthynnus affinis</x:v>
      </x:c>
      <x:c r="T37" s="62" t="n">
        <x:f>IF(O37="","",(1/'Metadata'!$B$5)^(O37-1))</x:f>
        <x:v>35777.08763999664</x:v>
      </x:c>
      <x:c r="U37" s="60" t="n">
        <x:f>IF(T37="","",I37*T37)</x:f>
        <x:v>66936664.73505861</x:v>
      </x:c>
    </x:row>
    <x:row r="38" ht="18" customHeight="1">
      <x:c r="A38" s="46" t="str">
        <x:v>LME_031</x:v>
      </x:c>
      <x:c r="B38" s="46" t="str">
        <x:v>Somali Coastal Current</x:v>
      </x:c>
      <x:c r="C38" s="46" t="str">
        <x:v>LME</x:v>
      </x:c>
      <x:c r="D38" s="58" t="n">
        <x:v>2019</x:v>
      </x:c>
      <x:c r="E38" s="46" t="str">
        <x:v>Engraulidae</x:v>
      </x:c>
      <x:c r="F38" s="46" t="str">
        <x:v>Anchovies, round herrings</x:v>
      </x:c>
      <x:c r="G38" s="46" t="str">
        <x:v>Small pelagics (&lt;30 cm)</x:v>
      </x:c>
      <x:c r="H38" s="46" t="str">
        <x:v>Anchovies</x:v>
      </x:c>
      <x:c r="I38" s="60" t="n">
        <x:v>1823.3886887052001</x:v>
      </x:c>
      <x:c r="J38" s="60" t="n">
        <x:v>1823.3886887052001</x:v>
      </x:c>
      <x:c r="K38" s="60" t="n">
        <x:v>0</x:v>
      </x:c>
      <x:c r="L38" s="60" t="n">
        <x:v>259.6761338583</x:v>
      </x:c>
      <x:c r="M38" s="60" t="n">
        <x:v>1563.7125548469</x:v>
      </x:c>
      <x:c r="N38" s="46" t="str">
        <x:v>engraulidae</x:v>
      </x:c>
      <x:c r="O38" s="62" t="n">
        <x:v>3.2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Engraulidae</x:v>
      </x:c>
      <x:c r="T38" s="62" t="n">
        <x:f>IF(O38="","",(1/'Metadata'!$B$5)^(O38-1))</x:f>
        <x:v>728.2256812104325</x:v>
      </x:c>
      <x:c r="U38" s="60" t="n">
        <x:f>IF(T38="","",I38*T38)</x:f>
        <x:v>1327838.4699437416</x:v>
      </x:c>
    </x:row>
    <x:row r="39" ht="18" customHeight="1">
      <x:c r="A39" s="46" t="str">
        <x:v>LME_031</x:v>
      </x:c>
      <x:c r="B39" s="46" t="str">
        <x:v>Somali Coastal Current</x:v>
      </x:c>
      <x:c r="C39" s="46" t="str">
        <x:v>LME</x:v>
      </x:c>
      <x:c r="D39" s="58" t="n">
        <x:v>2019</x:v>
      </x:c>
      <x:c r="E39" s="46" t="str">
        <x:v>Marine groundfishes not identified</x:v>
      </x:c>
      <x:c r="F39" s="46" t="str">
        <x:v>Groundfishes</x:v>
      </x:c>
      <x:c r="G39" s="46" t="str">
        <x:v>Medium demersals (30 - 89 cm)</x:v>
      </x:c>
      <x:c r="H39" s="46" t="str">
        <x:v>Other fishes &amp; inverts</x:v>
      </x:c>
      <x:c r="I39" s="60" t="n">
        <x:v>1811.2261853027999</x:v>
      </x:c>
      <x:c r="J39" s="60" t="n">
        <x:v>1811.2261853027999</x:v>
      </x:c>
      <x:c r="K39" s="60" t="n">
        <x:v>0</x:v>
      </x:c>
      <x:c r="L39" s="60" t="n">
        <x:v>1811.2261853027999</x:v>
      </x:c>
      <x:c r="M39" s="60" t="n">
        <x:v>0</x:v>
      </x:c>
      <x:c r="N39" s="46" t="str">
        <x:v>marine groundfishes not identified</x:v>
      </x:c>
      <x:c r="O39" s="62" t="n">
        <x:v>3.22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Marine groundfishes not identified</x:v>
      </x:c>
      <x:c r="T39" s="62" t="n">
        <x:f>IF(O39="","",(1/'Metadata'!$B$5)^(O39-1))</x:f>
        <x:v>773.1906443023378</x:v>
      </x:c>
      <x:c r="U39" s="60" t="n">
        <x:f>IF(T39="","",I39*T39)</x:f>
        <x:v>1400423.1411915373</x:v>
      </x:c>
    </x:row>
    <x:row r="40" ht="18" customHeight="1">
      <x:c r="A40" s="46" t="str">
        <x:v>LME_031</x:v>
      </x:c>
      <x:c r="B40" s="46" t="str">
        <x:v>Somali Coastal Current</x:v>
      </x:c>
      <x:c r="C40" s="46" t="str">
        <x:v>LME</x:v>
      </x:c>
      <x:c r="D40" s="58" t="n">
        <x:v>2019</x:v>
      </x:c>
      <x:c r="E40" s="46" t="str">
        <x:v>Selar crumenophthalmus</x:v>
      </x:c>
      <x:c r="F40" s="46" t="str">
        <x:v>Bigeye scad</x:v>
      </x:c>
      <x:c r="G40" s="46" t="str">
        <x:v>Medium pelagics (30 - 89 cm)</x:v>
      </x:c>
      <x:c r="H40" s="46" t="str">
        <x:v>Perch-likes</x:v>
      </x:c>
      <x:c r="I40" s="60" t="n">
        <x:v>1749.6597259636999</x:v>
      </x:c>
      <x:c r="J40" s="60" t="n">
        <x:v>1749.6597259636999</x:v>
      </x:c>
      <x:c r="K40" s="60" t="n">
        <x:v>0</x:v>
      </x:c>
      <x:c r="L40" s="60" t="n">
        <x:v>214.7877649029</x:v>
      </x:c>
      <x:c r="M40" s="60" t="n">
        <x:v>1534.8719610607998</x:v>
      </x:c>
      <x:c r="N40" s="46" t="str">
        <x:v>selar crumenophthalmus</x:v>
      </x:c>
      <x:c r="O40" s="62" t="n">
        <x:v>3.81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Selar crumenophthalmus</x:v>
      </x:c>
      <x:c r="T40" s="62" t="n">
        <x:f>IF(O40="","",(1/'Metadata'!$B$5)^(O40-1))</x:f>
        <x:v>4527.873529309382</x:v>
      </x:c>
      <x:c r="U40" s="60" t="n">
        <x:f>IF(T40="","",I40*T40)</x:f>
        <x:v>7922237.958489745</x:v>
      </x:c>
    </x:row>
    <x:row r="41" ht="18" customHeight="1">
      <x:c r="A41" s="46" t="str">
        <x:v>LME_031</x:v>
      </x:c>
      <x:c r="B41" s="46" t="str">
        <x:v>Somali Coastal Current</x:v>
      </x:c>
      <x:c r="C41" s="46" t="str">
        <x:v>LME</x:v>
      </x:c>
      <x:c r="D41" s="58" t="n">
        <x:v>2019</x:v>
      </x:c>
      <x:c r="E41" s="46" t="str">
        <x:v>Mullidae</x:v>
      </x:c>
      <x:c r="F41" s="46" t="str">
        <x:v>Goatfishes</x:v>
      </x:c>
      <x:c r="G41" s="46" t="str">
        <x:v>Medium reef assoc. fish (30 - 89 cm)</x:v>
      </x:c>
      <x:c r="H41" s="46" t="str">
        <x:v>Perch-likes</x:v>
      </x:c>
      <x:c r="I41" s="60" t="n">
        <x:v>1607.1393814802</x:v>
      </x:c>
      <x:c r="J41" s="60" t="n">
        <x:v>1375.2789129564999</x:v>
      </x:c>
      <x:c r="K41" s="60" t="n">
        <x:v>231.8604685237</x:v>
      </x:c>
      <x:c r="L41" s="60" t="n">
        <x:v>953.0152839873999</x:v>
      </x:c>
      <x:c r="M41" s="60" t="n">
        <x:v>654.1240974928</x:v>
      </x:c>
      <x:c r="N41" s="46" t="str">
        <x:v>mullidae</x:v>
      </x:c>
      <x:c r="O41" s="62" t="n">
        <x:v>3.46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Mullidae</x:v>
      </x:c>
      <x:c r="T41" s="62" t="n">
        <x:f>IF(O41="","",(1/'Metadata'!$B$5)^(O41-1))</x:f>
        <x:v>1586.8423749532276</x:v>
      </x:c>
      <x:c r="U41" s="60" t="n">
        <x:f>IF(T41="","",I41*T41)</x:f>
        <x:v>2550276.8729889016</x:v>
      </x:c>
    </x:row>
    <x:row r="42" ht="18" customHeight="1">
      <x:c r="A42" s="46" t="str">
        <x:v>LME_031</x:v>
      </x:c>
      <x:c r="B42" s="46" t="str">
        <x:v>Somali Coastal Current</x:v>
      </x:c>
      <x:c r="C42" s="46" t="str">
        <x:v>LME</x:v>
      </x:c>
      <x:c r="D42" s="58" t="n">
        <x:v>2019</x:v>
      </x:c>
      <x:c r="E42" s="46" t="str">
        <x:v>Hemiramphidae</x:v>
      </x:c>
      <x:c r="F42" s="46" t="str">
        <x:v>Halfbeaks, garfishes</x:v>
      </x:c>
      <x:c r="G42" s="46" t="str">
        <x:v>Medium pelagics (30 - 89 cm)</x:v>
      </x:c>
      <x:c r="H42" s="46" t="str">
        <x:v>Other fishes &amp; inverts</x:v>
      </x:c>
      <x:c r="I42" s="60" t="n">
        <x:v>1525.0674524545</x:v>
      </x:c>
      <x:c r="J42" s="60" t="n">
        <x:v>1525.0674524545</x:v>
      </x:c>
      <x:c r="K42" s="60" t="n">
        <x:v>0</x:v>
      </x:c>
      <x:c r="L42" s="60" t="n">
        <x:v>1193.7220406302</x:v>
      </x:c>
      <x:c r="M42" s="60" t="n">
        <x:v>331.3454118243</x:v>
      </x:c>
      <x:c r="N42" s="46" t="str">
        <x:v>hemiramphidae</x:v>
      </x:c>
      <x:c r="O42" s="62" t="n">
        <x:v>2.82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Hemiramphidae</x:v>
      </x:c>
      <x:c r="T42" s="62" t="n">
        <x:f>IF(O42="","",(1/'Metadata'!$B$5)^(O42-1))</x:f>
        <x:v>233.27843447436348</x:v>
      </x:c>
      <x:c r="U42" s="60" t="n">
        <x:f>IF(T42="","",I42*T42)</x:f>
        <x:v>355765.3477763915</x:v>
      </x:c>
    </x:row>
    <x:row r="43" ht="18" customHeight="1">
      <x:c r="A43" s="46" t="str">
        <x:v>LME_031</x:v>
      </x:c>
      <x:c r="B43" s="46" t="str">
        <x:v>Somali Coastal Current</x:v>
      </x:c>
      <x:c r="C43" s="46" t="str">
        <x:v>LME</x:v>
      </x:c>
      <x:c r="D43" s="58" t="n">
        <x:v>2019</x:v>
      </x:c>
      <x:c r="E43" s="46" t="str">
        <x:v>Octopodidae</x:v>
      </x:c>
      <x:c r="F43" s="46" t="str">
        <x:v>Octopuses</x:v>
      </x:c>
      <x:c r="G43" s="46" t="str">
        <x:v>Cephalopods</x:v>
      </x:c>
      <x:c r="H43" s="46" t="str">
        <x:v>Other fishes &amp; inverts</x:v>
      </x:c>
      <x:c r="I43" s="60" t="n">
        <x:v>1494.2037318364999</x:v>
      </x:c>
      <x:c r="J43" s="60" t="n">
        <x:v>1494.2037318364999</x:v>
      </x:c>
      <x:c r="K43" s="60" t="n">
        <x:v>0</x:v>
      </x:c>
      <x:c r="L43" s="60" t="n">
        <x:v>1335.1613169002</x:v>
      </x:c>
      <x:c r="M43" s="60" t="n">
        <x:v>159.0424149363</x:v>
      </x:c>
      <x:c r="N43" s="46" t="str">
        <x:v>octopodidae</x:v>
      </x:c>
      <x:c r="O43" s="62" t="n">
        <x:v>3.59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Octopodidae</x:v>
      </x:c>
      <x:c r="T43" s="62" t="n">
        <x:f>IF(O43="","",(1/'Metadata'!$B$5)^(O43-1))</x:f>
        <x:v>2342.4357563948306</x:v>
      </x:c>
      <x:c r="U43" s="60" t="n">
        <x:f>IF(T43="","",I43*T43)</x:f>
        <x:v>3500076.2487924104</x:v>
      </x:c>
    </x:row>
    <x:row r="44" ht="18" customHeight="1">
      <x:c r="A44" s="46" t="str">
        <x:v>LME_031</x:v>
      </x:c>
      <x:c r="B44" s="46" t="str">
        <x:v>Somali Coastal Current</x:v>
      </x:c>
      <x:c r="C44" s="46" t="str">
        <x:v>LME</x:v>
      </x:c>
      <x:c r="D44" s="58" t="n">
        <x:v>2019</x:v>
      </x:c>
      <x:c r="E44" s="46" t="str">
        <x:v>Scaridae</x:v>
      </x:c>
      <x:c r="F44" s="46" t="str">
        <x:v>Parrotfishes</x:v>
      </x:c>
      <x:c r="G44" s="46" t="str">
        <x:v>Medium reef assoc. fish (30 - 89 cm)</x:v>
      </x:c>
      <x:c r="H44" s="46" t="str">
        <x:v>Perch-likes</x:v>
      </x:c>
      <x:c r="I44" s="60" t="n">
        <x:v>1440.9255906842</x:v>
      </x:c>
      <x:c r="J44" s="60" t="n">
        <x:v>1440.9255906842</x:v>
      </x:c>
      <x:c r="K44" s="60" t="n">
        <x:v>0</x:v>
      </x:c>
      <x:c r="L44" s="60" t="n">
        <x:v>1074.9707927752</x:v>
      </x:c>
      <x:c r="M44" s="60" t="n">
        <x:v>365.954797909</x:v>
      </x:c>
      <x:c r="N44" s="46" t="str">
        <x:v>scaridae</x:v>
      </x:c>
      <x:c r="O44" s="62" t="n">
        <x:v>2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Scaridae</x:v>
      </x:c>
      <x:c r="T44" s="62" t="n">
        <x:f>IF(O44="","",(1/'Metadata'!$B$5)^(O44-1))</x:f>
        <x:v>20</x:v>
      </x:c>
      <x:c r="U44" s="60" t="n">
        <x:f>IF(T44="","",I44*T44)</x:f>
        <x:v>28818.511813684</x:v>
      </x:c>
    </x:row>
    <x:row r="45" ht="18" customHeight="1">
      <x:c r="A45" s="46" t="str">
        <x:v>LME_031</x:v>
      </x:c>
      <x:c r="B45" s="46" t="str">
        <x:v>Somali Coastal Current</x:v>
      </x:c>
      <x:c r="C45" s="46" t="str">
        <x:v>LME</x:v>
      </x:c>
      <x:c r="D45" s="58" t="n">
        <x:v>2019</x:v>
      </x:c>
      <x:c r="E45" s="46" t="str">
        <x:v>Loliginidae</x:v>
      </x:c>
      <x:c r="F45" s="46" t="str">
        <x:v>Common pencil squids</x:v>
      </x:c>
      <x:c r="G45" s="46" t="str">
        <x:v>Cephalopods</x:v>
      </x:c>
      <x:c r="H45" s="46" t="str">
        <x:v>Other fishes &amp; inverts</x:v>
      </x:c>
      <x:c r="I45" s="60" t="n">
        <x:v>1350.268481708</x:v>
      </x:c>
      <x:c r="J45" s="60" t="n">
        <x:v>1350.268481708</x:v>
      </x:c>
      <x:c r="K45" s="60" t="n">
        <x:v>0</x:v>
      </x:c>
      <x:c r="L45" s="60" t="n">
        <x:v>417.3671383252</x:v>
      </x:c>
      <x:c r="M45" s="60" t="n">
        <x:v>932.9013433828</x:v>
      </x:c>
      <x:c r="N45" s="46" t="str">
        <x:v>loliginidae</x:v>
      </x:c>
      <x:c r="O45" s="62" t="n">
        <x:v>3.9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Loliginidae</x:v>
      </x:c>
      <x:c r="T45" s="62" t="n">
        <x:f>IF(O45="","",(1/'Metadata'!$B$5)^(O45-1))</x:f>
        <x:v>5929.07559285558</x:v>
      </x:c>
      <x:c r="U45" s="60" t="n">
        <x:f>IF(T45="","",I45*T45)</x:f>
        <x:v>8005843.898697064</x:v>
      </x:c>
    </x:row>
    <x:row r="46" ht="18" customHeight="1">
      <x:c r="A46" s="46" t="str">
        <x:v>LME_031</x:v>
      </x:c>
      <x:c r="B46" s="46" t="str">
        <x:v>Somali Coastal Current</x:v>
      </x:c>
      <x:c r="C46" s="46" t="str">
        <x:v>LME</x:v>
      </x:c>
      <x:c r="D46" s="58" t="n">
        <x:v>2019</x:v>
      </x:c>
      <x:c r="E46" s="46" t="str">
        <x:v>Caesionidae</x:v>
      </x:c>
      <x:c r="F46" s="46" t="str">
        <x:v>Fusiliers</x:v>
      </x:c>
      <x:c r="G46" s="46" t="str">
        <x:v>Medium reef assoc. fish (30 - 89 cm)</x:v>
      </x:c>
      <x:c r="H46" s="46" t="str">
        <x:v>Perch-likes</x:v>
      </x:c>
      <x:c r="I46" s="60" t="n">
        <x:v>1312.1676094394</x:v>
      </x:c>
      <x:c r="J46" s="60" t="n">
        <x:v>1312.1676094394</x:v>
      </x:c>
      <x:c r="K46" s="60" t="n">
        <x:v>0</x:v>
      </x:c>
      <x:c r="L46" s="60" t="n">
        <x:v>1179.9871206932999</x:v>
      </x:c>
      <x:c r="M46" s="60" t="n">
        <x:v>132.1804887461</x:v>
      </x:c>
      <x:c r="N46" s="46" t="str">
        <x:v>caesionidae</x:v>
      </x:c>
      <x:c r="O46" s="62" t="n">
        <x:v>3.39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Caesionidae</x:v>
      </x:c>
      <x:c r="T46" s="62" t="n">
        <x:f>IF(O46="","",(1/'Metadata'!$B$5)^(O46-1))</x:f>
        <x:v>1286.6537486023922</x:v>
      </x:c>
      <x:c r="U46" s="60" t="n">
        <x:f>IF(T46="","",I46*T46)</x:f>
        <x:v>1688305.3734798436</x:v>
      </x:c>
    </x:row>
    <x:row r="47" ht="18" customHeight="1">
      <x:c r="A47" s="46" t="str">
        <x:v>LME_031</x:v>
      </x:c>
      <x:c r="B47" s="46" t="str">
        <x:v>Somali Coastal Current</x:v>
      </x:c>
      <x:c r="C47" s="46" t="str">
        <x:v>LME</x:v>
      </x:c>
      <x:c r="D47" s="58" t="n">
        <x:v>2019</x:v>
      </x:c>
      <x:c r="E47" s="46" t="str">
        <x:v>Clupeidae</x:v>
      </x:c>
      <x:c r="F47" s="46" t="str">
        <x:v>Herrings, sardines, menhadens</x:v>
      </x:c>
      <x:c r="G47" s="46" t="str">
        <x:v>Small pelagics (&lt;30 cm)</x:v>
      </x:c>
      <x:c r="H47" s="46" t="str">
        <x:v>Herring-likes</x:v>
      </x:c>
      <x:c r="I47" s="60" t="n">
        <x:v>1268.569438616</x:v>
      </x:c>
      <x:c r="J47" s="60" t="n">
        <x:v>1268.569438616</x:v>
      </x:c>
      <x:c r="K47" s="60" t="n">
        <x:v>0</x:v>
      </x:c>
      <x:c r="L47" s="60" t="n">
        <x:v>822.1355116962</x:v>
      </x:c>
      <x:c r="M47" s="60" t="n">
        <x:v>446.4339269198</x:v>
      </x:c>
      <x:c r="N47" s="46" t="str">
        <x:v>clupeidae</x:v>
      </x:c>
      <x:c r="O47" s="62" t="n">
        <x:v>3.16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Clupeidae</x:v>
      </x:c>
      <x:c r="T47" s="62" t="n">
        <x:f>IF(O47="","",(1/'Metadata'!$B$5)^(O47-1))</x:f>
        <x:v>645.9885058849935</x:v>
      </x:c>
      <x:c r="U47" s="60" t="n">
        <x:f>IF(T47="","",I47*T47)</x:f>
        <x:v>819481.2762629149</x:v>
      </x:c>
    </x:row>
    <x:row r="48" ht="18" customHeight="1">
      <x:c r="A48" s="46" t="str">
        <x:v>LME_031</x:v>
      </x:c>
      <x:c r="B48" s="46" t="str">
        <x:v>Somali Coastal Current</x:v>
      </x:c>
      <x:c r="C48" s="46" t="str">
        <x:v>LME</x:v>
      </x:c>
      <x:c r="D48" s="58" t="n">
        <x:v>2019</x:v>
      </x:c>
      <x:c r="E48" s="46" t="str">
        <x:v>Istiophoridae</x:v>
      </x:c>
      <x:c r="F48" s="46" t="str">
        <x:v>Billfishes</x:v>
      </x:c>
      <x:c r="G48" s="46" t="str">
        <x:v>Large pelagics (&gt;=90 cm)</x:v>
      </x:c>
      <x:c r="H48" s="46" t="str">
        <x:v>Tuna &amp; billfishes</x:v>
      </x:c>
      <x:c r="I48" s="60" t="n">
        <x:v>1241.5630608279</x:v>
      </x:c>
      <x:c r="J48" s="60" t="n">
        <x:v>1241.5630608279</x:v>
      </x:c>
      <x:c r="K48" s="60" t="n">
        <x:v>0</x:v>
      </x:c>
      <x:c r="L48" s="60" t="n">
        <x:v>645.2666928094</x:v>
      </x:c>
      <x:c r="M48" s="60" t="n">
        <x:v>596.2963680185001</x:v>
      </x:c>
      <x:c r="N48" s="46" t="str">
        <x:v>istiophoridae</x:v>
      </x:c>
      <x:c r="O48" s="62" t="n">
        <x:v>4.48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Istiophoridae</x:v>
      </x:c>
      <x:c r="T48" s="62" t="n">
        <x:f>IF(O48="","",(1/'Metadata'!$B$5)^(O48-1))</x:f>
        <x:v>33696.468277717824</x:v>
      </x:c>
      <x:c r="U48" s="60" t="n">
        <x:f>IF(T48="","",I48*T48)</x:f>
        <x:v>41836290.29397358</x:v>
      </x:c>
    </x:row>
    <x:row r="49" ht="18" customHeight="1">
      <x:c r="A49" s="46" t="str">
        <x:v>LME_031</x:v>
      </x:c>
      <x:c r="B49" s="46" t="str">
        <x:v>Somali Coastal Current</x:v>
      </x:c>
      <x:c r="C49" s="46" t="str">
        <x:v>LME</x:v>
      </x:c>
      <x:c r="D49" s="58" t="n">
        <x:v>2019</x:v>
      </x:c>
      <x:c r="E49" s="46" t="str">
        <x:v>Carcharhinus amblyrhynchos</x:v>
      </x:c>
      <x:c r="F49" s="46" t="str">
        <x:v>Blacktail reef shark</x:v>
      </x:c>
      <x:c r="G49" s="46" t="str">
        <x:v>Large sharks (&gt;=90 cm)</x:v>
      </x:c>
      <x:c r="H49" s="46" t="str">
        <x:v>Sharks &amp; rays</x:v>
      </x:c>
      <x:c r="I49" s="60" t="n">
        <x:v>1189.135591923</x:v>
      </x:c>
      <x:c r="J49" s="60" t="n">
        <x:v>760.9557074652</x:v>
      </x:c>
      <x:c r="K49" s="60" t="n">
        <x:v>428.1798844578</x:v>
      </x:c>
      <x:c r="L49" s="60" t="n">
        <x:v>576.5021389224</x:v>
      </x:c>
      <x:c r="M49" s="60" t="n">
        <x:v>612.6334530006</x:v>
      </x:c>
      <x:c r="N49" s="46" t="str">
        <x:v>carcharhinus amblyrhynchos</x:v>
      </x:c>
      <x:c r="O49" s="62" t="n">
        <x:v>4.11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Carcharhinus amblyrhynchos</x:v>
      </x:c>
      <x:c r="T49" s="62" t="n">
        <x:f>IF(O49="","",(1/'Metadata'!$B$5)^(O49-1))</x:f>
        <x:v>11122.52233481121</x:v>
      </x:c>
      <x:c r="U49" s="60" t="n">
        <x:f>IF(T49="","",I49*T49)</x:f>
        <x:v>13226187.180282516</x:v>
      </x:c>
    </x:row>
    <x:row r="50" ht="18" customHeight="1">
      <x:c r="A50" s="46" t="str">
        <x:v>LME_031</x:v>
      </x:c>
      <x:c r="B50" s="46" t="str">
        <x:v>Somali Coastal Current</x:v>
      </x:c>
      <x:c r="C50" s="46" t="str">
        <x:v>LME</x:v>
      </x:c>
      <x:c r="D50" s="58" t="n">
        <x:v>2019</x:v>
      </x:c>
      <x:c r="E50" s="46" t="str">
        <x:v>Megalaspis cordyla</x:v>
      </x:c>
      <x:c r="F50" s="46" t="str">
        <x:v>Torpedo scad</x:v>
      </x:c>
      <x:c r="G50" s="46" t="str">
        <x:v>Medium pelagics (30 - 89 cm)</x:v>
      </x:c>
      <x:c r="H50" s="46" t="str">
        <x:v>Perch-likes</x:v>
      </x:c>
      <x:c r="I50" s="60" t="n">
        <x:v>1101.0843473727</x:v>
      </x:c>
      <x:c r="J50" s="60" t="n">
        <x:v>1101.0843473727</x:v>
      </x:c>
      <x:c r="K50" s="60" t="n">
        <x:v>0</x:v>
      </x:c>
      <x:c r="L50" s="60" t="n">
        <x:v>0</x:v>
      </x:c>
      <x:c r="M50" s="60" t="n">
        <x:v>1101.0843473727</x:v>
      </x:c>
      <x:c r="N50" s="46" t="str">
        <x:v>megalaspis cordyla</x:v>
      </x:c>
      <x:c r="O50" s="62" t="n">
        <x:v>4.24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Megalaspis cordyla</x:v>
      </x:c>
      <x:c r="T50" s="62" t="n">
        <x:f>IF(O50="","",(1/'Metadata'!$B$5)^(O50-1))</x:f>
        <x:v>16418.64020623336</x:v>
      </x:c>
      <x:c r="U50" s="60" t="n">
        <x:f>IF(T50="","",I50*T50)</x:f>
        <x:v>18078307.736227628</x:v>
      </x:c>
    </x:row>
    <x:row r="51" ht="18" customHeight="1">
      <x:c r="A51" s="46" t="str">
        <x:v>LME_031</x:v>
      </x:c>
      <x:c r="B51" s="46" t="str">
        <x:v>Somali Coastal Current</x:v>
      </x:c>
      <x:c r="C51" s="46" t="str">
        <x:v>LME</x:v>
      </x:c>
      <x:c r="D51" s="58" t="n">
        <x:v>2019</x:v>
      </x:c>
      <x:c r="E51" s="46" t="str">
        <x:v>Gerres oyena</x:v>
      </x:c>
      <x:c r="F51" s="46" t="str">
        <x:v>Common silver-biddy</x:v>
      </x:c>
      <x:c r="G51" s="46" t="str">
        <x:v>Small demersals (&lt;30 cm)</x:v>
      </x:c>
      <x:c r="H51" s="46" t="str">
        <x:v>Perch-likes</x:v>
      </x:c>
      <x:c r="I51" s="60" t="n">
        <x:v>1036.6175152296998</x:v>
      </x:c>
      <x:c r="J51" s="60" t="n">
        <x:v>1036.6175152296998</x:v>
      </x:c>
      <x:c r="K51" s="60" t="n">
        <x:v>0</x:v>
      </x:c>
      <x:c r="L51" s="60" t="n">
        <x:v>1.7316552905</x:v>
      </x:c>
      <x:c r="M51" s="60" t="n">
        <x:v>1034.8858599392</x:v>
      </x:c>
      <x:c r="N51" s="46" t="str">
        <x:v>gerres oyena</x:v>
      </x:c>
      <x:c r="O51" s="62" t="n">
        <x:v>3.07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Gerres oyena</x:v>
      </x:c>
      <x:c r="T51" s="62" t="n">
        <x:f>IF(O51="","",(1/'Metadata'!$B$5)^(O51-1))</x:f>
        <x:v>493.32382598718914</x:v>
      </x:c>
      <x:c r="U51" s="60" t="n">
        <x:f>IF(T51="","",I51*T51)</x:f>
        <x:v>511388.1186984488</x:v>
      </x:c>
    </x:row>
    <x:row r="52" ht="18" customHeight="1">
      <x:c r="A52" s="46" t="str">
        <x:v>LME_031</x:v>
      </x:c>
      <x:c r="B52" s="46" t="str">
        <x:v>Somali Coastal Current</x:v>
      </x:c>
      <x:c r="C52" s="46" t="str">
        <x:v>LME</x:v>
      </x:c>
      <x:c r="D52" s="58" t="n">
        <x:v>2019</x:v>
      </x:c>
      <x:c r="E52" s="46" t="str">
        <x:v>Lethrinus olivaceus</x:v>
      </x:c>
      <x:c r="F52" s="46" t="str">
        <x:v>Longface emperor</x:v>
      </x:c>
      <x:c r="G52" s="46" t="str">
        <x:v>Medium demersals (30 - 89 cm)</x:v>
      </x:c>
      <x:c r="H52" s="46" t="str">
        <x:v>Perch-likes</x:v>
      </x:c>
      <x:c r="I52" s="60" t="n">
        <x:v>1030.2463636486</x:v>
      </x:c>
      <x:c r="J52" s="60" t="n">
        <x:v>1030.2463636486</x:v>
      </x:c>
      <x:c r="K52" s="60" t="n">
        <x:v>0</x:v>
      </x:c>
      <x:c r="L52" s="60" t="n">
        <x:v>425.1563998216</x:v>
      </x:c>
      <x:c r="M52" s="60" t="n">
        <x:v>605.089963827</x:v>
      </x:c>
      <x:c r="N52" s="46" t="str">
        <x:v>lethrinus olivaceus</x:v>
      </x:c>
      <x:c r="O52" s="62" t="n">
        <x:v>3.95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Lethrinus olivaceus</x:v>
      </x:c>
      <x:c r="T52" s="62" t="n">
        <x:f>IF(O52="","",(1/'Metadata'!$B$5)^(O52-1))</x:f>
        <x:v>6887.133274653882</x:v>
      </x:c>
      <x:c r="U52" s="60" t="n">
        <x:f>IF(T52="","",I52*T52)</x:f>
        <x:v>7095444.012175436</x:v>
      </x:c>
    </x:row>
    <x:row r="53" ht="18" customHeight="1">
      <x:c r="A53" s="46" t="str">
        <x:v>LME_031</x:v>
      </x:c>
      <x:c r="B53" s="46" t="str">
        <x:v>Somali Coastal Current</x:v>
      </x:c>
      <x:c r="C53" s="46" t="str">
        <x:v>LME</x:v>
      </x:c>
      <x:c r="D53" s="58" t="n">
        <x:v>2019</x:v>
      </x:c>
      <x:c r="E53" s="46" t="str">
        <x:v>Penaeidae</x:v>
      </x:c>
      <x:c r="F53" s="46" t="str">
        <x:v>Commercial shrimps and prawns</x:v>
      </x:c>
      <x:c r="G53" s="46" t="str">
        <x:v>Shrimps</x:v>
      </x:c>
      <x:c r="H53" s="46" t="str">
        <x:v>Crustaceans</x:v>
      </x:c>
      <x:c r="I53" s="60" t="n">
        <x:v>1029.152814466</x:v>
      </x:c>
      <x:c r="J53" s="60" t="n">
        <x:v>1029.152814466</x:v>
      </x:c>
      <x:c r="K53" s="60" t="n">
        <x:v>0</x:v>
      </x:c>
      <x:c r="L53" s="60" t="n">
        <x:v>4.4704909923</x:v>
      </x:c>
      <x:c r="M53" s="60" t="n">
        <x:v>1024.6823234737</x:v>
      </x:c>
      <x:c r="N53" s="46" t="str">
        <x:v>penaeidae</x:v>
      </x:c>
      <x:c r="O53" s="62" t="n">
        <x:v>3.31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Penaeidae</x:v>
      </x:c>
      <x:c r="T53" s="62" t="n">
        <x:f>IF(O53="","",(1/'Metadata'!$B$5)^(O53-1))</x:f>
        <x:v>1012.4633005057666</x:v>
      </x:c>
      <x:c r="U53" s="60" t="n">
        <x:f>IF(T53="","",I53*T53)</x:f>
        <x:v>1041979.4552590454</x:v>
      </x:c>
    </x:row>
    <x:row r="54" ht="18" customHeight="1">
      <x:c r="A54" s="46" t="str">
        <x:v>LME_031</x:v>
      </x:c>
      <x:c r="B54" s="46" t="str">
        <x:v>Somali Coastal Current</x:v>
      </x:c>
      <x:c r="C54" s="46" t="str">
        <x:v>LME</x:v>
      </x:c>
      <x:c r="D54" s="58" t="n">
        <x:v>2019</x:v>
      </x:c>
      <x:c r="E54" s="46" t="str">
        <x:v>Epinephelus areolatus</x:v>
      </x:c>
      <x:c r="F54" s="46" t="str">
        <x:v>Areolate grouper</x:v>
      </x:c>
      <x:c r="G54" s="46" t="str">
        <x:v>Medium reef assoc. fish (30 - 89 cm)</x:v>
      </x:c>
      <x:c r="H54" s="46" t="str">
        <x:v>Perch-likes</x:v>
      </x:c>
      <x:c r="I54" s="60" t="n">
        <x:v>1025.7960476199</x:v>
      </x:c>
      <x:c r="J54" s="60" t="n">
        <x:v>1025.7960476199</x:v>
      </x:c>
      <x:c r="K54" s="60" t="n">
        <x:v>0</x:v>
      </x:c>
      <x:c r="L54" s="60" t="n">
        <x:v>423.3198679634</x:v>
      </x:c>
      <x:c r="M54" s="60" t="n">
        <x:v>602.4761796565</x:v>
      </x:c>
      <x:c r="N54" s="46" t="str">
        <x:v>epinephelus areolatus</x:v>
      </x:c>
      <x:c r="O54" s="62" t="n">
        <x:v>3.74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Epinephelus areolatus</x:v>
      </x:c>
      <x:c r="T54" s="62" t="n">
        <x:f>IF(O54="","",(1/'Metadata'!$B$5)^(O54-1))</x:f>
        <x:v>3671.3195599248957</x:v>
      </x:c>
      <x:c r="U54" s="60" t="n">
        <x:f>IF(T54="","",I54*T54)</x:f>
        <x:v>3766025.0941205886</x:v>
      </x:c>
    </x:row>
    <x:row r="55" ht="18" customHeight="1">
      <x:c r="A55" s="46" t="str">
        <x:v>LME_031</x:v>
      </x:c>
      <x:c r="B55" s="46" t="str">
        <x:v>Somali Coastal Current</x:v>
      </x:c>
      <x:c r="C55" s="46" t="str">
        <x:v>LME</x:v>
      </x:c>
      <x:c r="D55" s="58" t="n">
        <x:v>2019</x:v>
      </x:c>
      <x:c r="E55" s="46" t="str">
        <x:v>Chirocentrus nudus</x:v>
      </x:c>
      <x:c r="F55" s="46" t="str">
        <x:v>Whitefin wolf-herring</x:v>
      </x:c>
      <x:c r="G55" s="46" t="str">
        <x:v>Large pelagics (&gt;=90 cm)</x:v>
      </x:c>
      <x:c r="H55" s="46" t="str">
        <x:v>Herring-likes</x:v>
      </x:c>
      <x:c r="I55" s="60" t="n">
        <x:v>903.384321055</x:v>
      </x:c>
      <x:c r="J55" s="60" t="n">
        <x:v>903.384321055</x:v>
      </x:c>
      <x:c r="K55" s="60" t="n">
        <x:v>0</x:v>
      </x:c>
      <x:c r="L55" s="60" t="n">
        <x:v>629.3338928294</x:v>
      </x:c>
      <x:c r="M55" s="60" t="n">
        <x:v>274.0504282256</x:v>
      </x:c>
      <x:c r="N55" s="46" t="str">
        <x:v>chirocentrus nudus</x:v>
      </x:c>
      <x:c r="O55" s="62" t="n">
        <x:v>4.19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Chirocentrus nudus</x:v>
      </x:c>
      <x:c r="T55" s="62" t="n">
        <x:f>IF(O55="","",(1/'Metadata'!$B$5)^(O55-1))</x:f>
        <x:v>14134.67041111498</x:v>
      </x:c>
      <x:c r="U55" s="60" t="n">
        <x:f>IF(T55="","",I55*T55)</x:f>
        <x:v>12769039.632681303</x:v>
      </x:c>
    </x:row>
    <x:row r="56" ht="18" customHeight="1">
      <x:c r="A56" s="46" t="str">
        <x:v>LME_031</x:v>
      </x:c>
      <x:c r="B56" s="46" t="str">
        <x:v>Somali Coastal Current</x:v>
      </x:c>
      <x:c r="C56" s="46" t="str">
        <x:v>LME</x:v>
      </x:c>
      <x:c r="D56" s="58" t="n">
        <x:v>2019</x:v>
      </x:c>
      <x:c r="E56" s="46" t="str">
        <x:v>Lethrinus lentjan</x:v>
      </x:c>
      <x:c r="F56" s="46" t="str">
        <x:v>Pink ear emperor</x:v>
      </x:c>
      <x:c r="G56" s="46" t="str">
        <x:v>Medium demersals (30 - 89 cm)</x:v>
      </x:c>
      <x:c r="H56" s="46" t="str">
        <x:v>Perch-likes</x:v>
      </x:c>
      <x:c r="I56" s="60" t="n">
        <x:v>890.4188754426</x:v>
      </x:c>
      <x:c r="J56" s="60" t="n">
        <x:v>890.4188754426</x:v>
      </x:c>
      <x:c r="K56" s="60" t="n">
        <x:v>0</x:v>
      </x:c>
      <x:c r="L56" s="60" t="n">
        <x:v>367.4531614707</x:v>
      </x:c>
      <x:c r="M56" s="60" t="n">
        <x:v>522.9657139719</x:v>
      </x:c>
      <x:c r="N56" s="46" t="str">
        <x:v>lethrinus lentjan</x:v>
      </x:c>
      <x:c r="O56" s="62" t="n">
        <x:v>3.94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Lethrinus lentjan</x:v>
      </x:c>
      <x:c r="T56" s="62" t="n">
        <x:f>IF(O56="","",(1/'Metadata'!$B$5)^(O56-1))</x:f>
        <x:v>6683.872968668722</x:v>
      </x:c>
      <x:c r="U56" s="60" t="n">
        <x:f>IF(T56="","",I56*T56)</x:f>
        <x:v>5951446.652363196</x:v>
      </x:c>
    </x:row>
    <x:row r="57" ht="18" customHeight="1">
      <x:c r="A57" s="46" t="str">
        <x:v>LME_031</x:v>
      </x:c>
      <x:c r="B57" s="46" t="str">
        <x:v>Somali Coastal Current</x:v>
      </x:c>
      <x:c r="C57" s="46" t="str">
        <x:v>LME</x:v>
      </x:c>
      <x:c r="D57" s="58" t="n">
        <x:v>2019</x:v>
      </x:c>
      <x:c r="E57" s="46" t="str">
        <x:v>Acanthuridae</x:v>
      </x:c>
      <x:c r="F57" s="46" t="str">
        <x:v>Surgeons, tangs, unicornfishes</x:v>
      </x:c>
      <x:c r="G57" s="46" t="str">
        <x:v>Small reef assoc. fish (&lt;30 cm)</x:v>
      </x:c>
      <x:c r="H57" s="46" t="str">
        <x:v>Perch-likes</x:v>
      </x:c>
      <x:c r="I57" s="60" t="n">
        <x:v>870.0475891355</x:v>
      </x:c>
      <x:c r="J57" s="60" t="n">
        <x:v>870.0475891355</x:v>
      </x:c>
      <x:c r="K57" s="60" t="n">
        <x:v>0</x:v>
      </x:c>
      <x:c r="L57" s="60" t="n">
        <x:v>814.3531861777</x:v>
      </x:c>
      <x:c r="M57" s="60" t="n">
        <x:v>55.6944029578</x:v>
      </x:c>
      <x:c r="N57" s="46" t="str">
        <x:v>acanthuridae</x:v>
      </x:c>
      <x:c r="O57" s="62" t="n">
        <x:v>2.28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Acanthuridae</x:v>
      </x:c>
      <x:c r="T57" s="62" t="n">
        <x:f>IF(O57="","",(1/'Metadata'!$B$5)^(O57-1))</x:f>
        <x:v>46.27201312333373</x:v>
      </x:c>
      <x:c r="U57" s="60" t="n">
        <x:f>IF(T57="","",I57*T57)</x:f>
        <x:v>40258.85346240272</x:v>
      </x:c>
    </x:row>
    <x:row r="58" ht="18" customHeight="1">
      <x:c r="A58" s="46" t="str">
        <x:v>LME_031</x:v>
      </x:c>
      <x:c r="B58" s="46" t="str">
        <x:v>Somali Coastal Current</x:v>
      </x:c>
      <x:c r="C58" s="46" t="str">
        <x:v>LME</x:v>
      </x:c>
      <x:c r="D58" s="58" t="n">
        <x:v>2019</x:v>
      </x:c>
      <x:c r="E58" s="46" t="str">
        <x:v>Haemulidae</x:v>
      </x:c>
      <x:c r="F58" s="46" t="str">
        <x:v>Grunts, sweetlips, bonnetmouths</x:v>
      </x:c>
      <x:c r="G58" s="46" t="str">
        <x:v>Medium demersals (30 - 89 cm)</x:v>
      </x:c>
      <x:c r="H58" s="46" t="str">
        <x:v>Perch-likes</x:v>
      </x:c>
      <x:c r="I58" s="60" t="n">
        <x:v>859.2536542745</x:v>
      </x:c>
      <x:c r="J58" s="60" t="n">
        <x:v>471.2244453005</x:v>
      </x:c>
      <x:c r="K58" s="60" t="n">
        <x:v>388.02920897399997</x:v>
      </x:c>
      <x:c r="L58" s="60" t="n">
        <x:v>449.4596857362</x:v>
      </x:c>
      <x:c r="M58" s="60" t="n">
        <x:v>409.7939685383</x:v>
      </x:c>
      <x:c r="N58" s="46" t="str">
        <x:v>haemulidae</x:v>
      </x:c>
      <x:c r="O58" s="62" t="n">
        <x:v>3.36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Haemulidae</x:v>
      </x:c>
      <x:c r="T58" s="62" t="n">
        <x:f>IF(O58="","",(1/'Metadata'!$B$5)^(O58-1))</x:f>
        <x:v>1176.0635493805207</x:v>
      </x:c>
      <x:c r="U58" s="60" t="n">
        <x:f>IF(T58="","",I58*T58)</x:f>
        <x:v>1010536.9024642514</x:v>
      </x:c>
    </x:row>
    <x:row r="59" ht="18" customHeight="1">
      <x:c r="A59" s="46" t="str">
        <x:v>LME_031</x:v>
      </x:c>
      <x:c r="B59" s="46" t="str">
        <x:v>Somali Coastal Current</x:v>
      </x:c>
      <x:c r="C59" s="46" t="str">
        <x:v>LME</x:v>
      </x:c>
      <x:c r="D59" s="58" t="n">
        <x:v>2019</x:v>
      </x:c>
      <x:c r="E59" s="46" t="str">
        <x:v>Sardinella longiceps</x:v>
      </x:c>
      <x:c r="F59" s="46" t="str">
        <x:v>Indian oil sardine</x:v>
      </x:c>
      <x:c r="G59" s="46" t="str">
        <x:v>Small pelagics (&lt;30 cm)</x:v>
      </x:c>
      <x:c r="H59" s="46" t="str">
        <x:v>Herring-likes</x:v>
      </x:c>
      <x:c r="I59" s="60" t="n">
        <x:v>822.2486211259001</x:v>
      </x:c>
      <x:c r="J59" s="60" t="n">
        <x:v>821.0955852323</x:v>
      </x:c>
      <x:c r="K59" s="60" t="n">
        <x:v>1.1530358936</x:v>
      </x:c>
      <x:c r="L59" s="60" t="n">
        <x:v>338.845207594</x:v>
      </x:c>
      <x:c r="M59" s="60" t="n">
        <x:v>483.4034135319</x:v>
      </x:c>
      <x:c r="N59" s="46" t="str">
        <x:v>sardinella longiceps</x:v>
      </x:c>
      <x:c r="O59" s="62" t="n">
        <x:v>2.41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Sardinella longiceps</x:v>
      </x:c>
      <x:c r="T59" s="62" t="n">
        <x:f>IF(O59="","",(1/'Metadata'!$B$5)^(O59-1))</x:f>
        <x:v>68.30496826356979</x:v>
      </x:c>
      <x:c r="U59" s="60" t="n">
        <x:f>IF(T59="","",I59*T59)</x:f>
        <x:v>56163.66597076863</x:v>
      </x:c>
    </x:row>
    <x:row r="60" ht="18" customHeight="1">
      <x:c r="A60" s="46" t="str">
        <x:v>LME_031</x:v>
      </x:c>
      <x:c r="B60" s="46" t="str">
        <x:v>Somali Coastal Current</x:v>
      </x:c>
      <x:c r="C60" s="46" t="str">
        <x:v>LME</x:v>
      </x:c>
      <x:c r="D60" s="58" t="n">
        <x:v>2019</x:v>
      </x:c>
      <x:c r="E60" s="46" t="str">
        <x:v>Gerres oblongus</x:v>
      </x:c>
      <x:c r="F60" s="46" t="str">
        <x:v>Slender silver-biddy</x:v>
      </x:c>
      <x:c r="G60" s="46" t="str">
        <x:v>Medium reef assoc. fish (30 - 89 cm)</x:v>
      </x:c>
      <x:c r="H60" s="46" t="str">
        <x:v>Perch-likes</x:v>
      </x:c>
      <x:c r="I60" s="60" t="n">
        <x:v>818.6283609666999</x:v>
      </x:c>
      <x:c r="J60" s="60" t="n">
        <x:v>818.6283609666999</x:v>
      </x:c>
      <x:c r="K60" s="60" t="n">
        <x:v>0</x:v>
      </x:c>
      <x:c r="L60" s="60" t="n">
        <x:v>630.2843855297999</x:v>
      </x:c>
      <x:c r="M60" s="60" t="n">
        <x:v>188.3439754369</x:v>
      </x:c>
      <x:c r="N60" s="46" t="str">
        <x:v>gerres oblongus</x:v>
      </x:c>
      <x:c r="O60" s="62" t="n">
        <x:v>3.5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Gerres oblongus</x:v>
      </x:c>
      <x:c r="T60" s="62" t="n">
        <x:f>IF(O60="","",(1/'Metadata'!$B$5)^(O60-1))</x:f>
        <x:v>1788.8543819998317</x:v>
      </x:c>
      <x:c r="U60" s="60" t="n">
        <x:f>IF(T60="","",I60*T60)</x:f>
        <x:v>1464406.9307446212</x:v>
      </x:c>
    </x:row>
    <x:row r="61" ht="18" customHeight="1">
      <x:c r="A61" s="46" t="str">
        <x:v>LME_031</x:v>
      </x:c>
      <x:c r="B61" s="46" t="str">
        <x:v>Somali Coastal Current</x:v>
      </x:c>
      <x:c r="C61" s="46" t="str">
        <x:v>LME</x:v>
      </x:c>
      <x:c r="D61" s="58" t="n">
        <x:v>2019</x:v>
      </x:c>
      <x:c r="E61" s="46" t="str">
        <x:v>Sepiidae</x:v>
      </x:c>
      <x:c r="F61" s="46" t="str">
        <x:v>Cuttlefishes</x:v>
      </x:c>
      <x:c r="G61" s="46" t="str">
        <x:v>Cephalopods</x:v>
      </x:c>
      <x:c r="H61" s="46" t="str">
        <x:v>Other fishes &amp; inverts</x:v>
      </x:c>
      <x:c r="I61" s="60" t="n">
        <x:v>811.4168218194</x:v>
      </x:c>
      <x:c r="J61" s="60" t="n">
        <x:v>811.4168218194</x:v>
      </x:c>
      <x:c r="K61" s="60" t="n">
        <x:v>0</x:v>
      </x:c>
      <x:c r="L61" s="60" t="n">
        <x:v>0</x:v>
      </x:c>
      <x:c r="M61" s="60" t="n">
        <x:v>811.4168218194</x:v>
      </x:c>
      <x:c r="N61" s="46" t="str">
        <x:v>sepiidae</x:v>
      </x:c>
      <x:c r="O61" s="62" t="n">
        <x:v>3.6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Sepiidae</x:v>
      </x:c>
      <x:c r="T61" s="62" t="n">
        <x:f>IF(O61="","",(1/'Metadata'!$B$5)^(O61-1))</x:f>
        <x:v>2413.670534618066</x:v>
      </x:c>
      <x:c r="U61" s="60" t="n">
        <x:f>IF(T61="","",I61*T61)</x:f>
        <x:v>1958492.8741189232</x:v>
      </x:c>
    </x:row>
    <x:row r="62" ht="18" customHeight="1">
      <x:c r="A62" s="46" t="str">
        <x:v>LME_031</x:v>
      </x:c>
      <x:c r="B62" s="46" t="str">
        <x:v>Somali Coastal Current</x:v>
      </x:c>
      <x:c r="C62" s="46" t="str">
        <x:v>LME</x:v>
      </x:c>
      <x:c r="D62" s="58" t="n">
        <x:v>2019</x:v>
      </x:c>
      <x:c r="E62" s="46" t="str">
        <x:v>Sphyraenidae</x:v>
      </x:c>
      <x:c r="F62" s="46" t="str">
        <x:v>Barracudas</x:v>
      </x:c>
      <x:c r="G62" s="46" t="str">
        <x:v>Medium reef assoc. fish (30 - 89 cm)</x:v>
      </x:c>
      <x:c r="H62" s="46" t="str">
        <x:v>Perch-likes</x:v>
      </x:c>
      <x:c r="I62" s="60" t="n">
        <x:v>806.1428208067</x:v>
      </x:c>
      <x:c r="J62" s="60" t="n">
        <x:v>806.1428208067</x:v>
      </x:c>
      <x:c r="K62" s="60" t="n">
        <x:v>0</x:v>
      </x:c>
      <x:c r="L62" s="60" t="n">
        <x:v>772.7963543761999</x:v>
      </x:c>
      <x:c r="M62" s="60" t="n">
        <x:v>33.3464664305</x:v>
      </x:c>
      <x:c r="N62" s="46" t="str">
        <x:v>sphyraenidae</x:v>
      </x:c>
      <x:c r="O62" s="62" t="n">
        <x:v>4.4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Sphyraenidae</x:v>
      </x:c>
      <x:c r="T62" s="62" t="n">
        <x:f>IF(O62="","",(1/'Metadata'!$B$5)^(O62-1))</x:f>
        <x:v>26515.632138719924</x:v>
      </x:c>
      <x:c r="U62" s="60" t="n">
        <x:f>IF(T62="","",I62*T62)</x:f>
        <x:v>21375386.48778047</x:v>
      </x:c>
    </x:row>
    <x:row r="63" ht="18" customHeight="1">
      <x:c r="A63" s="46" t="str">
        <x:v>LME_031</x:v>
      </x:c>
      <x:c r="B63" s="46" t="str">
        <x:v>Somali Coastal Current</x:v>
      </x:c>
      <x:c r="C63" s="46" t="str">
        <x:v>LME</x:v>
      </x:c>
      <x:c r="D63" s="58" t="n">
        <x:v>2019</x:v>
      </x:c>
      <x:c r="E63" s="46" t="str">
        <x:v>Plotosus lineatus</x:v>
      </x:c>
      <x:c r="F63" s="46" t="str">
        <x:v>Striped eel catfish</x:v>
      </x:c>
      <x:c r="G63" s="46" t="str">
        <x:v>Medium reef assoc. fish (30 - 89 cm)</x:v>
      </x:c>
      <x:c r="H63" s="46" t="str">
        <x:v>Other fishes &amp; inverts</x:v>
      </x:c>
      <x:c r="I63" s="60" t="n">
        <x:v>797.6976377095</x:v>
      </x:c>
      <x:c r="J63" s="60" t="n">
        <x:v>797.6976377095</x:v>
      </x:c>
      <x:c r="K63" s="60" t="n">
        <x:v>0</x:v>
      </x:c>
      <x:c r="L63" s="60" t="n">
        <x:v>0</x:v>
      </x:c>
      <x:c r="M63" s="60" t="n">
        <x:v>797.6976377095</x:v>
      </x:c>
      <x:c r="N63" s="46" t="str">
        <x:v>plotosus lineatus</x:v>
      </x:c>
      <x:c r="O63" s="62" t="n">
        <x:v>3.57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Plotosus lineatus</x:v>
      </x:c>
      <x:c r="T63" s="62" t="n">
        <x:f>IF(O63="","",(1/'Metadata'!$B$5)^(O63-1))</x:f>
        <x:v>2206.2112196552644</x:v>
      </x:c>
      <x:c r="U63" s="60" t="n">
        <x:f>IF(T63="","",I63*T63)</x:f>
        <x:v>1759889.4782071991</x:v>
      </x:c>
    </x:row>
    <x:row r="64" ht="18" customHeight="1">
      <x:c r="A64" s="46" t="str">
        <x:v>LME_031</x:v>
      </x:c>
      <x:c r="B64" s="46" t="str">
        <x:v>Somali Coastal Current</x:v>
      </x:c>
      <x:c r="C64" s="46" t="str">
        <x:v>LME</x:v>
      </x:c>
      <x:c r="D64" s="58" t="n">
        <x:v>2019</x:v>
      </x:c>
      <x:c r="E64" s="46" t="str">
        <x:v>Marine pelagic fishes not identified</x:v>
      </x:c>
      <x:c r="F64" s="46" t="str">
        <x:v>Pelagic fishes</x:v>
      </x:c>
      <x:c r="G64" s="46" t="str">
        <x:v>Medium pelagics (30 - 89 cm)</x:v>
      </x:c>
      <x:c r="H64" s="46" t="str">
        <x:v>Other fishes &amp; inverts</x:v>
      </x:c>
      <x:c r="I64" s="60" t="n">
        <x:v>765.5946578036</x:v>
      </x:c>
      <x:c r="J64" s="60" t="n">
        <x:v>765.5946578036</x:v>
      </x:c>
      <x:c r="K64" s="60" t="n">
        <x:v>0</x:v>
      </x:c>
      <x:c r="L64" s="60" t="n">
        <x:v>765.5946578036</x:v>
      </x:c>
      <x:c r="M64" s="60" t="n">
        <x:v>0</x:v>
      </x:c>
      <x:c r="N64" s="46" t="str">
        <x:v>marine pelagic fishes not identified</x:v>
      </x:c>
      <x:c r="O64" s="62" t="n">
        <x:v>3.35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Marine pelagic fishes not identified</x:v>
      </x:c>
      <x:c r="T64" s="62" t="n">
        <x:f>IF(O64="","",(1/'Metadata'!$B$5)^(O64-1))</x:f>
        <x:v>1141.3543275066227</x:v>
      </x:c>
      <x:c r="U64" s="60" t="n">
        <x:f>IF(T64="","",I64*T64)</x:f>
        <x:v>873814.7758000907</x:v>
      </x:c>
    </x:row>
    <x:row r="65" ht="18" customHeight="1">
      <x:c r="A65" s="46" t="str">
        <x:v>LME_031</x:v>
      </x:c>
      <x:c r="B65" s="46" t="str">
        <x:v>Somali Coastal Current</x:v>
      </x:c>
      <x:c r="C65" s="46" t="str">
        <x:v>LME</x:v>
      </x:c>
      <x:c r="D65" s="58" t="n">
        <x:v>2019</x:v>
      </x:c>
      <x:c r="E65" s="46" t="str">
        <x:v>Palinuridae</x:v>
      </x:c>
      <x:c r="F65" s="46" t="str">
        <x:v>Spiny lobsters</x:v>
      </x:c>
      <x:c r="G65" s="46" t="str">
        <x:v>Lobsters, crabs</x:v>
      </x:c>
      <x:c r="H65" s="46" t="str">
        <x:v>Crustaceans</x:v>
      </x:c>
      <x:c r="I65" s="60" t="n">
        <x:v>753.7362575728</x:v>
      </x:c>
      <x:c r="J65" s="60" t="n">
        <x:v>753.7362575728</x:v>
      </x:c>
      <x:c r="K65" s="60" t="n">
        <x:v>0</x:v>
      </x:c>
      <x:c r="L65" s="60" t="n">
        <x:v>723.067292635</x:v>
      </x:c>
      <x:c r="M65" s="60" t="n">
        <x:v>30.6689649378</x:v>
      </x:c>
      <x:c r="N65" s="46" t="str">
        <x:v>palinuridae</x:v>
      </x:c>
      <x:c r="O65" s="62" t="n">
        <x:v>3.14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Palinuridae</x:v>
      </x:c>
      <x:c r="T65" s="62" t="n">
        <x:f>IF(O65="","",(1/'Metadata'!$B$5)^(O65-1))</x:f>
        <x:v>608.420993216597</x:v>
      </x:c>
      <x:c r="U65" s="60" t="n">
        <x:f>IF(T65="","",I65*T65)</x:f>
        <x:v>458588.96245580376</x:v>
      </x:c>
    </x:row>
    <x:row r="66" ht="18" customHeight="1">
      <x:c r="A66" s="46" t="str">
        <x:v>LME_031</x:v>
      </x:c>
      <x:c r="B66" s="46" t="str">
        <x:v>Somali Coastal Current</x:v>
      </x:c>
      <x:c r="C66" s="46" t="str">
        <x:v>LME</x:v>
      </x:c>
      <x:c r="D66" s="58" t="n">
        <x:v>2019</x:v>
      </x:c>
      <x:c r="E66" s="46" t="str">
        <x:v>Teuthida</x:v>
      </x:c>
      <x:c r="F66" s="46" t="str">
        <x:v>Squids</x:v>
      </x:c>
      <x:c r="G66" s="46" t="str">
        <x:v>Cephalopods</x:v>
      </x:c>
      <x:c r="H66" s="46" t="str">
        <x:v>Other fishes &amp; inverts</x:v>
      </x:c>
      <x:c r="I66" s="60" t="n">
        <x:v>676.2832520965001</x:v>
      </x:c>
      <x:c r="J66" s="60" t="n">
        <x:v>676.2832520965001</x:v>
      </x:c>
      <x:c r="K66" s="60" t="n">
        <x:v>0</x:v>
      </x:c>
      <x:c r="L66" s="60" t="n">
        <x:v>373.78540047509995</x:v>
      </x:c>
      <x:c r="M66" s="60" t="n">
        <x:v>302.4978516214</x:v>
      </x:c>
      <x:c r="N66" s="46" t="str">
        <x:v>teuthida</x:v>
      </x:c>
      <x:c r="O66" s="62" t="n">
        <x:v>4.13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Teuthida</x:v>
      </x:c>
      <x:c r="T66" s="62" t="n">
        <x:f>IF(O66="","",(1/'Metadata'!$B$5)^(O66-1))</x:f>
        <x:v>11809.292685236613</x:v>
      </x:c>
      <x:c r="U66" s="60" t="n">
        <x:f>IF(T66="","",I66*T66)</x:f>
        <x:v>7986426.862131226</x:v>
      </x:c>
    </x:row>
    <x:row r="67" ht="18" customHeight="1">
      <x:c r="A67" s="46" t="str">
        <x:v>LME_031</x:v>
      </x:c>
      <x:c r="B67" s="46" t="str">
        <x:v>Somali Coastal Current</x:v>
      </x:c>
      <x:c r="C67" s="46" t="str">
        <x:v>LME</x:v>
      </x:c>
      <x:c r="D67" s="58" t="n">
        <x:v>2019</x:v>
      </x:c>
      <x:c r="E67" s="46" t="str">
        <x:v>Leiognathus equula</x:v>
      </x:c>
      <x:c r="F67" s="46" t="str">
        <x:v>Common ponyfish</x:v>
      </x:c>
      <x:c r="G67" s="46" t="str">
        <x:v>Small benthopelagics (&lt;30 cm)</x:v>
      </x:c>
      <x:c r="H67" s="46" t="str">
        <x:v>Perch-likes</x:v>
      </x:c>
      <x:c r="I67" s="60" t="n">
        <x:v>629.3793274369</x:v>
      </x:c>
      <x:c r="J67" s="60" t="n">
        <x:v>12.4455099307</x:v>
      </x:c>
      <x:c r="K67" s="60" t="n">
        <x:v>616.9338175062001</x:v>
      </x:c>
      <x:c r="L67" s="60" t="n">
        <x:v>12.4455099307</x:v>
      </x:c>
      <x:c r="M67" s="60" t="n">
        <x:v>616.9338175062001</x:v>
      </x:c>
      <x:c r="N67" s="46" t="str">
        <x:v>leiognathus equula</x:v>
      </x:c>
      <x:c r="O67" s="62" t="n">
        <x:v>2.95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Leiognathus equula</x:v>
      </x:c>
      <x:c r="T67" s="62" t="n">
        <x:f>IF(O67="","",(1/'Metadata'!$B$5)^(O67-1))</x:f>
        <x:v>344.3566637326941</x:v>
      </x:c>
      <x:c r="U67" s="60" t="n">
        <x:f>IF(T67="","",I67*T67)</x:f>
        <x:v>216730.9654184977</x:v>
      </x:c>
    </x:row>
    <x:row r="68" ht="18" customHeight="1">
      <x:c r="A68" s="46" t="str">
        <x:v>LME_031</x:v>
      </x:c>
      <x:c r="B68" s="46" t="str">
        <x:v>Somali Coastal Current</x:v>
      </x:c>
      <x:c r="C68" s="46" t="str">
        <x:v>LME</x:v>
      </x:c>
      <x:c r="D68" s="58" t="n">
        <x:v>2019</x:v>
      </x:c>
      <x:c r="E68" s="46" t="str">
        <x:v>Coryphaena</x:v>
      </x:c>
      <x:c r="F68" s="46" t="str">
        <x:v>Dolphinfishes</x:v>
      </x:c>
      <x:c r="G68" s="46" t="str">
        <x:v>Large pelagics (&gt;=90 cm)</x:v>
      </x:c>
      <x:c r="H68" s="46" t="str">
        <x:v>Perch-likes</x:v>
      </x:c>
      <x:c r="I68" s="60" t="n">
        <x:v>615.6021749595</x:v>
      </x:c>
      <x:c r="J68" s="60" t="n">
        <x:v>615.6021749595</x:v>
      </x:c>
      <x:c r="K68" s="60" t="n">
        <x:v>0</x:v>
      </x:c>
      <x:c r="L68" s="60" t="n">
        <x:v>464.7638631699</x:v>
      </x:c>
      <x:c r="M68" s="60" t="n">
        <x:v>150.8383117896</x:v>
      </x:c>
      <x:c r="N68" s="46" t="str">
        <x:v>coryphaena</x:v>
      </x:c>
      <x:c r="O68" s="62" t="n">
        <x:v>4.49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Coryphaena</x:v>
      </x:c>
      <x:c r="T68" s="62" t="n">
        <x:f>IF(O68="","",(1/'Metadata'!$B$5)^(O68-1))</x:f>
        <x:v>34721.19667768202</x:v>
      </x:c>
      <x:c r="U68" s="60" t="n">
        <x:f>IF(T68="","",I68*T68)</x:f>
        <x:v>21374444.191977616</x:v>
      </x:c>
    </x:row>
    <x:row r="69" ht="18" customHeight="1">
      <x:c r="A69" s="46" t="str">
        <x:v>LME_031</x:v>
      </x:c>
      <x:c r="B69" s="46" t="str">
        <x:v>Somali Coastal Current</x:v>
      </x:c>
      <x:c r="C69" s="46" t="str">
        <x:v>LME</x:v>
      </x:c>
      <x:c r="D69" s="58" t="n">
        <x:v>2019</x:v>
      </x:c>
      <x:c r="E69" s="46" t="str">
        <x:v>Pellona ditchela</x:v>
      </x:c>
      <x:c r="F69" s="46" t="str">
        <x:v>Indian pellona</x:v>
      </x:c>
      <x:c r="G69" s="46" t="str">
        <x:v>Small pelagics (&lt;30 cm)</x:v>
      </x:c>
      <x:c r="H69" s="46" t="str">
        <x:v>Herring-likes</x:v>
      </x:c>
      <x:c r="I69" s="60" t="n">
        <x:v>613.3657699188999</x:v>
      </x:c>
      <x:c r="J69" s="60" t="n">
        <x:v>8.1837200713</x:v>
      </x:c>
      <x:c r="K69" s="60" t="n">
        <x:v>605.1820498476</x:v>
      </x:c>
      <x:c r="L69" s="60" t="n">
        <x:v>8.1837200713</x:v>
      </x:c>
      <x:c r="M69" s="60" t="n">
        <x:v>605.1820498476</x:v>
      </x:c>
      <x:c r="N69" s="46" t="str">
        <x:v>pellona ditchela</x:v>
      </x:c>
      <x:c r="O69" s="62" t="n">
        <x:v>3.37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Pellona ditchela</x:v>
      </x:c>
      <x:c r="T69" s="62" t="n">
        <x:f>IF(O69="","",(1/'Metadata'!$B$5)^(O69-1))</x:f>
        <x:v>1211.828298056271</x:v>
      </x:c>
      <x:c r="U69" s="60" t="n">
        <x:f>IF(T69="","",I69*T69)</x:f>
        <x:v>743293.9970467947</x:v>
      </x:c>
    </x:row>
    <x:row r="70" ht="18" customHeight="1">
      <x:c r="A70" s="46" t="str">
        <x:v>LME_031</x:v>
      </x:c>
      <x:c r="B70" s="46" t="str">
        <x:v>Somali Coastal Current</x:v>
      </x:c>
      <x:c r="C70" s="46" t="str">
        <x:v>LME</x:v>
      </x:c>
      <x:c r="D70" s="58" t="n">
        <x:v>2019</x:v>
      </x:c>
      <x:c r="E70" s="46" t="str">
        <x:v>Psettodes erumei</x:v>
      </x:c>
      <x:c r="F70" s="46" t="str">
        <x:v>Indian halibut</x:v>
      </x:c>
      <x:c r="G70" s="46" t="str">
        <x:v>Small to medium flatfishes (&lt;90 cm)</x:v>
      </x:c>
      <x:c r="H70" s="46" t="str">
        <x:v>Flatfishes</x:v>
      </x:c>
      <x:c r="I70" s="60" t="n">
        <x:v>606.6931982661999</x:v>
      </x:c>
      <x:c r="J70" s="60" t="n">
        <x:v>606.6931982661999</x:v>
      </x:c>
      <x:c r="K70" s="60" t="n">
        <x:v>0</x:v>
      </x:c>
      <x:c r="L70" s="60" t="n">
        <x:v>464.8759049832</x:v>
      </x:c>
      <x:c r="M70" s="60" t="n">
        <x:v>141.817293283</x:v>
      </x:c>
      <x:c r="N70" s="46" t="str">
        <x:v>psettodes erumei</x:v>
      </x:c>
      <x:c r="O70" s="62" t="n">
        <x:v>4.39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Psettodes erumei</x:v>
      </x:c>
      <x:c r="T70" s="62" t="n">
        <x:f>IF(O70="","",(1/'Metadata'!$B$5)^(O70-1))</x:f>
        <x:v>25733.07497204781</x:v>
      </x:c>
      <x:c r="U70" s="60" t="n">
        <x:f>IF(T70="","",I70*T70)</x:f>
        <x:v>15612081.556015588</x:v>
      </x:c>
    </x:row>
    <x:row r="71" ht="18" customHeight="1">
      <x:c r="A71" s="46" t="str">
        <x:v>LME_031</x:v>
      </x:c>
      <x:c r="B71" s="46" t="str">
        <x:v>Somali Coastal Current</x:v>
      </x:c>
      <x:c r="C71" s="46" t="str">
        <x:v>LME</x:v>
      </x:c>
      <x:c r="D71" s="58" t="n">
        <x:v>2019</x:v>
      </x:c>
      <x:c r="E71" s="46" t="str">
        <x:v>Auxis</x:v>
      </x:c>
      <x:c r="F71" s="46" t="str">
        <x:v>Bullet and frigate tunas</x:v>
      </x:c>
      <x:c r="G71" s="46" t="str">
        <x:v>Medium pelagics (30 - 89 cm)</x:v>
      </x:c>
      <x:c r="H71" s="46" t="str">
        <x:v>Tuna &amp; billfishes</x:v>
      </x:c>
      <x:c r="I71" s="60" t="n">
        <x:v>602.8307697549</x:v>
      </x:c>
      <x:c r="J71" s="60" t="n">
        <x:v>602.8307697549</x:v>
      </x:c>
      <x:c r="K71" s="60" t="n">
        <x:v>0</x:v>
      </x:c>
      <x:c r="L71" s="60" t="n">
        <x:v>351.2533006398</x:v>
      </x:c>
      <x:c r="M71" s="60" t="n">
        <x:v>251.5774691151</x:v>
      </x:c>
      <x:c r="N71" s="46" t="str">
        <x:v>auxis</x:v>
      </x:c>
      <x:c r="O71" s="62" t="n">
        <x:v>4.24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Auxis</x:v>
      </x:c>
      <x:c r="T71" s="62" t="n">
        <x:f>IF(O71="","",(1/'Metadata'!$B$5)^(O71-1))</x:f>
        <x:v>16418.64020623336</x:v>
      </x:c>
      <x:c r="U71" s="60" t="n">
        <x:f>IF(T71="","",I71*T71)</x:f>
        <x:v>9897661.513852404</x:v>
      </x:c>
    </x:row>
    <x:row r="72" ht="18" customHeight="1">
      <x:c r="A72" s="46" t="str">
        <x:v>LME_031</x:v>
      </x:c>
      <x:c r="B72" s="46" t="str">
        <x:v>Somali Coastal Current</x:v>
      </x:c>
      <x:c r="C72" s="46" t="str">
        <x:v>LME</x:v>
      </x:c>
      <x:c r="D72" s="58" t="n">
        <x:v>2019</x:v>
      </x:c>
      <x:c r="E72" s="46" t="str">
        <x:v>Deveximentum insidiator</x:v>
      </x:c>
      <x:c r="F72" s="46" t="str">
        <x:v>Pugnose ponyfish</x:v>
      </x:c>
      <x:c r="G72" s="46" t="str">
        <x:v>Small pelagics (&lt;30 cm)</x:v>
      </x:c>
      <x:c r="H72" s="46" t="str">
        <x:v>Perch-likes</x:v>
      </x:c>
      <x:c r="I72" s="60" t="n">
        <x:v>599.4058983326</x:v>
      </x:c>
      <x:c r="J72" s="60" t="n">
        <x:v>1.9340659905</x:v>
      </x:c>
      <x:c r="K72" s="60" t="n">
        <x:v>597.4718323421</x:v>
      </x:c>
      <x:c r="L72" s="60" t="n">
        <x:v>1.9340659905</x:v>
      </x:c>
      <x:c r="M72" s="60" t="n">
        <x:v>597.4718323421</x:v>
      </x:c>
      <x:c r="N72" s="46" t="str">
        <x:v>deveximentum insidiator</x:v>
      </x:c>
      <x:c r="O72" s="62" t="n">
        <x:v>2.86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Deveximentum insidiator</x:v>
      </x:c>
      <x:c r="T72" s="62" t="n">
        <x:f>IF(O72="","",(1/'Metadata'!$B$5)^(O72-1))</x:f>
        <x:v>262.9758042274525</x:v>
      </x:c>
      <x:c r="U72" s="60" t="n">
        <x:f>IF(T72="","",I72*T72)</x:f>
        <x:v>157629.24817269412</x:v>
      </x:c>
    </x:row>
    <x:row r="73" ht="18" customHeight="1">
      <x:c r="A73" s="46" t="str">
        <x:v>LME_031</x:v>
      </x:c>
      <x:c r="B73" s="46" t="str">
        <x:v>Somali Coastal Current</x:v>
      </x:c>
      <x:c r="C73" s="46" t="str">
        <x:v>LME</x:v>
      </x:c>
      <x:c r="D73" s="58" t="n">
        <x:v>2019</x:v>
      </x:c>
      <x:c r="E73" s="46" t="str">
        <x:v>Pelates quadrilineatus</x:v>
      </x:c>
      <x:c r="F73" s="46" t="str">
        <x:v>Fourlined terapon</x:v>
      </x:c>
      <x:c r="G73" s="46" t="str">
        <x:v>Small pelagics (&lt;30 cm)</x:v>
      </x:c>
      <x:c r="H73" s="46" t="str">
        <x:v>Perch-likes</x:v>
      </x:c>
      <x:c r="I73" s="60" t="n">
        <x:v>596.6672361988</x:v>
      </x:c>
      <x:c r="J73" s="60" t="n">
        <x:v>1.6262728192</x:v>
      </x:c>
      <x:c r="K73" s="60" t="n">
        <x:v>595.0409633795999</x:v>
      </x:c>
      <x:c r="L73" s="60" t="n">
        <x:v>1.6262728192</x:v>
      </x:c>
      <x:c r="M73" s="60" t="n">
        <x:v>595.0409633795999</x:v>
      </x:c>
      <x:c r="N73" s="46" t="str">
        <x:v>pelates quadrilineatus</x:v>
      </x:c>
      <x:c r="O73" s="62" t="n">
        <x:v>3.5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Pelates quadrilineatus</x:v>
      </x:c>
      <x:c r="T73" s="62" t="n">
        <x:f>IF(O73="","",(1/'Metadata'!$B$5)^(O73-1))</x:f>
        <x:v>1788.8543819998317</x:v>
      </x:c>
      <x:c r="U73" s="60" t="n">
        <x:f>IF(T73="","",I73*T73)</x:f>
        <x:v>1067350.800069952</x:v>
      </x:c>
    </x:row>
    <x:row r="74" ht="18" customHeight="1">
      <x:c r="A74" s="46" t="str">
        <x:v>LME_031</x:v>
      </x:c>
      <x:c r="B74" s="46" t="str">
        <x:v>Somali Coastal Current</x:v>
      </x:c>
      <x:c r="C74" s="46" t="str">
        <x:v>LME</x:v>
      </x:c>
      <x:c r="D74" s="58" t="n">
        <x:v>2019</x:v>
      </x:c>
      <x:c r="E74" s="46" t="str">
        <x:v>Katsuwonus pelamis</x:v>
      </x:c>
      <x:c r="F74" s="46" t="str">
        <x:v>Skipjack tuna</x:v>
      </x:c>
      <x:c r="G74" s="46" t="str">
        <x:v>Large pelagics (&gt;=90 cm)</x:v>
      </x:c>
      <x:c r="H74" s="46" t="str">
        <x:v>Tuna &amp; billfishes</x:v>
      </x:c>
      <x:c r="I74" s="60" t="n">
        <x:v>594.4929132206</x:v>
      </x:c>
      <x:c r="J74" s="60" t="n">
        <x:v>594.4929132206</x:v>
      </x:c>
      <x:c r="K74" s="60" t="n">
        <x:v>0</x:v>
      </x:c>
      <x:c r="L74" s="60" t="n">
        <x:v>460.257435349</x:v>
      </x:c>
      <x:c r="M74" s="60" t="n">
        <x:v>134.2354778716</x:v>
      </x:c>
      <x:c r="N74" s="46" t="str">
        <x:v>katsuwonus pelamis</x:v>
      </x:c>
      <x:c r="O74" s="62" t="n">
        <x:v>4.43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Katsuwonus pelamis</x:v>
      </x:c>
      <x:c r="T74" s="62" t="n">
        <x:f>IF(O74="","",(1/'Metadata'!$B$5)^(O74-1))</x:f>
        <x:v>29009.008489223597</x:v>
      </x:c>
      <x:c r="U74" s="60" t="n">
        <x:f>IF(T74="","",I74*T74)</x:f>
        <x:v>17245649.966399655</x:v>
      </x:c>
    </x:row>
    <x:row r="75" ht="18" customHeight="1">
      <x:c r="A75" s="46" t="str">
        <x:v>LME_031</x:v>
      </x:c>
      <x:c r="B75" s="46" t="str">
        <x:v>Somali Coastal Current</x:v>
      </x:c>
      <x:c r="C75" s="46" t="str">
        <x:v>LME</x:v>
      </x:c>
      <x:c r="D75" s="58" t="n">
        <x:v>2019</x:v>
      </x:c>
      <x:c r="E75" s="46" t="str">
        <x:v>Pomadasys stridens</x:v>
      </x:c>
      <x:c r="F75" s="46" t="str">
        <x:v>Striped piggy</x:v>
      </x:c>
      <x:c r="G75" s="46" t="str">
        <x:v>Small reef assoc. fish (&lt;30 cm)</x:v>
      </x:c>
      <x:c r="H75" s="46" t="str">
        <x:v>Perch-likes</x:v>
      </x:c>
      <x:c r="I75" s="60" t="n">
        <x:v>590.6855428185</x:v>
      </x:c>
      <x:c r="J75" s="60" t="n">
        <x:v>0</x:v>
      </x:c>
      <x:c r="K75" s="60" t="n">
        <x:v>590.6855428185</x:v>
      </x:c>
      <x:c r="L75" s="60" t="n">
        <x:v>0</x:v>
      </x:c>
      <x:c r="M75" s="60" t="n">
        <x:v>590.6855428185</x:v>
      </x:c>
      <x:c r="N75" s="46" t="str">
        <x:v>pomadasys stridens</x:v>
      </x:c>
      <x:c r="O75" s="62" t="n">
        <x:v>4.02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Pomadasys stridens</x:v>
      </x:c>
      <x:c r="T75" s="62" t="n">
        <x:f>IF(O75="","",(1/'Metadata'!$B$5)^(O75-1))</x:f>
        <x:v>8493.967342839818</x:v>
      </x:c>
      <x:c r="U75" s="60" t="n">
        <x:f>IF(T75="","",I75*T75)</x:f>
        <x:v>5017263.71058795</x:v>
      </x:c>
    </x:row>
    <x:row r="76" ht="18" customHeight="1">
      <x:c r="A76" s="46" t="str">
        <x:v>LME_031</x:v>
      </x:c>
      <x:c r="B76" s="46" t="str">
        <x:v>Somali Coastal Current</x:v>
      </x:c>
      <x:c r="C76" s="46" t="str">
        <x:v>LME</x:v>
      </x:c>
      <x:c r="D76" s="58" t="n">
        <x:v>2019</x:v>
      </x:c>
      <x:c r="E76" s="46" t="str">
        <x:v>Gazza minuta</x:v>
      </x:c>
      <x:c r="F76" s="46" t="str">
        <x:v>Toothpony</x:v>
      </x:c>
      <x:c r="G76" s="46" t="str">
        <x:v>Small demersals (&lt;30 cm)</x:v>
      </x:c>
      <x:c r="H76" s="46" t="str">
        <x:v>Perch-likes</x:v>
      </x:c>
      <x:c r="I76" s="60" t="n">
        <x:v>579.7578629798</x:v>
      </x:c>
      <x:c r="J76" s="60" t="n">
        <x:v>3.4698864087</x:v>
      </x:c>
      <x:c r="K76" s="60" t="n">
        <x:v>576.2879765711001</x:v>
      </x:c>
      <x:c r="L76" s="60" t="n">
        <x:v>3.4698864087</x:v>
      </x:c>
      <x:c r="M76" s="60" t="n">
        <x:v>576.2879765711001</x:v>
      </x:c>
      <x:c r="N76" s="46" t="str">
        <x:v>gazza minuta</x:v>
      </x:c>
      <x:c r="O76" s="62" t="n">
        <x:v>4.19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Gazza minuta</x:v>
      </x:c>
      <x:c r="T76" s="62" t="n">
        <x:f>IF(O76="","",(1/'Metadata'!$B$5)^(O76-1))</x:f>
        <x:v>14134.67041111498</x:v>
      </x:c>
      <x:c r="U76" s="60" t="n">
        <x:f>IF(T76="","",I76*T76)</x:f>
        <x:v>8194686.311471832</x:v>
      </x:c>
    </x:row>
    <x:row r="77" ht="18" customHeight="1">
      <x:c r="A77" s="46" t="str">
        <x:v>LME_031</x:v>
      </x:c>
      <x:c r="B77" s="46" t="str">
        <x:v>Somali Coastal Current</x:v>
      </x:c>
      <x:c r="C77" s="46" t="str">
        <x:v>LME</x:v>
      </x:c>
      <x:c r="D77" s="58" t="n">
        <x:v>2019</x:v>
      </x:c>
      <x:c r="E77" s="46" t="str">
        <x:v>Thunnus tonggol</x:v>
      </x:c>
      <x:c r="F77" s="46" t="str">
        <x:v>Longtail tuna</x:v>
      </x:c>
      <x:c r="G77" s="46" t="str">
        <x:v>Large pelagics (&gt;=90 cm)</x:v>
      </x:c>
      <x:c r="H77" s="46" t="str">
        <x:v>Tuna &amp; billfishes</x:v>
      </x:c>
      <x:c r="I77" s="60" t="n">
        <x:v>558.0682726161</x:v>
      </x:c>
      <x:c r="J77" s="60" t="n">
        <x:v>558.0682726161</x:v>
      </x:c>
      <x:c r="K77" s="60" t="n">
        <x:v>0</x:v>
      </x:c>
      <x:c r="L77" s="60" t="n">
        <x:v>422.7940243378</x:v>
      </x:c>
      <x:c r="M77" s="60" t="n">
        <x:v>135.2742482783</x:v>
      </x:c>
      <x:c r="N77" s="46" t="str">
        <x:v>thunnus tonggol</x:v>
      </x:c>
      <x:c r="O77" s="62" t="n">
        <x:v>4.5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Thunnus tonggol</x:v>
      </x:c>
      <x:c r="T77" s="62" t="n">
        <x:f>IF(O77="","",(1/'Metadata'!$B$5)^(O77-1))</x:f>
        <x:v>35777.08763999664</x:v>
      </x:c>
      <x:c r="U77" s="60" t="n">
        <x:f>IF(T77="","",I77*T77)</x:f>
        <x:v>19966057.498487744</x:v>
      </x:c>
    </x:row>
    <x:row r="78" ht="18" customHeight="1">
      <x:c r="A78" s="46" t="str">
        <x:v>LME_031</x:v>
      </x:c>
      <x:c r="B78" s="46" t="str">
        <x:v>Somali Coastal Current</x:v>
      </x:c>
      <x:c r="C78" s="46" t="str">
        <x:v>LME</x:v>
      </x:c>
      <x:c r="D78" s="58" t="n">
        <x:v>2019</x:v>
      </x:c>
      <x:c r="E78" s="46" t="str">
        <x:v>Aprion virescens</x:v>
      </x:c>
      <x:c r="F78" s="46" t="str">
        <x:v>Green jobfish</x:v>
      </x:c>
      <x:c r="G78" s="46" t="str">
        <x:v>Large reef assoc. fish (&gt;=90 cm)</x:v>
      </x:c>
      <x:c r="H78" s="46" t="str">
        <x:v>Perch-likes</x:v>
      </x:c>
      <x:c r="I78" s="60" t="n">
        <x:v>512.8980237878001</x:v>
      </x:c>
      <x:c r="J78" s="60" t="n">
        <x:v>512.8980237878001</x:v>
      </x:c>
      <x:c r="K78" s="60" t="n">
        <x:v>0</x:v>
      </x:c>
      <x:c r="L78" s="60" t="n">
        <x:v>211.6599339626</x:v>
      </x:c>
      <x:c r="M78" s="60" t="n">
        <x:v>301.2380898252</x:v>
      </x:c>
      <x:c r="N78" s="46" t="str">
        <x:v>aprion virescens</x:v>
      </x:c>
      <x:c r="O78" s="62" t="n">
        <x:v>4.28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Aprion virescens</x:v>
      </x:c>
      <x:c r="T78" s="62" t="n">
        <x:f>IF(O78="","",(1/'Metadata'!$B$5)^(O78-1))</x:f>
        <x:v>18508.805249333516</x:v>
      </x:c>
      <x:c r="U78" s="60" t="n">
        <x:f>IF(T78="","",I78*T78)</x:f>
        <x:v>9493129.635056421</x:v>
      </x:c>
    </x:row>
    <x:row r="79" ht="18" customHeight="1">
      <x:c r="A79" s="46" t="str">
        <x:v>LME_031</x:v>
      </x:c>
      <x:c r="B79" s="46" t="str">
        <x:v>Somali Coastal Current</x:v>
      </x:c>
      <x:c r="C79" s="46" t="str">
        <x:v>LME</x:v>
      </x:c>
      <x:c r="D79" s="58" t="n">
        <x:v>2019</x:v>
      </x:c>
      <x:c r="E79" s="46" t="str">
        <x:v>Carcharhinidae</x:v>
      </x:c>
      <x:c r="F79" s="46" t="str">
        <x:v>Requiem sharks</x:v>
      </x:c>
      <x:c r="G79" s="46" t="str">
        <x:v>Large sharks (&gt;=90 cm)</x:v>
      </x:c>
      <x:c r="H79" s="46" t="str">
        <x:v>Sharks &amp; rays</x:v>
      </x:c>
      <x:c r="I79" s="60" t="n">
        <x:v>460.3269878458</x:v>
      </x:c>
      <x:c r="J79" s="60" t="n">
        <x:v>460.3269878458</x:v>
      </x:c>
      <x:c r="K79" s="60" t="n">
        <x:v>0</x:v>
      </x:c>
      <x:c r="L79" s="60" t="n">
        <x:v>460.3269878458</x:v>
      </x:c>
      <x:c r="M79" s="60" t="n">
        <x:v>0</x:v>
      </x:c>
      <x:c r="N79" s="46" t="str">
        <x:v>carcharhinidae</x:v>
      </x:c>
      <x:c r="O79" s="62" t="n">
        <x:v>4.24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Carcharhinidae</x:v>
      </x:c>
      <x:c r="T79" s="62" t="n">
        <x:f>IF(O79="","",(1/'Metadata'!$B$5)^(O79-1))</x:f>
        <x:v>16418.64020623336</x:v>
      </x:c>
      <x:c r="U79" s="60" t="n">
        <x:f>IF(T79="","",I79*T79)</x:f>
        <x:v>7557943.190659346</x:v>
      </x:c>
    </x:row>
    <x:row r="80" ht="18" customHeight="1">
      <x:c r="A80" s="46" t="str">
        <x:v>LME_031</x:v>
      </x:c>
      <x:c r="B80" s="46" t="str">
        <x:v>Somali Coastal Current</x:v>
      </x:c>
      <x:c r="C80" s="46" t="str">
        <x:v>LME</x:v>
      </x:c>
      <x:c r="D80" s="58" t="n">
        <x:v>2019</x:v>
      </x:c>
      <x:c r="E80" s="46" t="str">
        <x:v>Cephalopoda</x:v>
      </x:c>
      <x:c r="F80" s="46" t="str">
        <x:v>Squids, cuttlefishes, octopuses</x:v>
      </x:c>
      <x:c r="G80" s="46" t="str">
        <x:v>Cephalopods</x:v>
      </x:c>
      <x:c r="H80" s="46" t="str">
        <x:v>Other fishes &amp; inverts</x:v>
      </x:c>
      <x:c r="I80" s="60" t="n">
        <x:v>449.6105452081</x:v>
      </x:c>
      <x:c r="J80" s="60" t="n">
        <x:v>449.6105452081</x:v>
      </x:c>
      <x:c r="K80" s="60" t="n">
        <x:v>0</x:v>
      </x:c>
      <x:c r="L80" s="60" t="n">
        <x:v>324.03361963500004</x:v>
      </x:c>
      <x:c r="M80" s="60" t="n">
        <x:v>125.5769255731</x:v>
      </x:c>
      <x:c r="N80" s="46" t="str">
        <x:v>cephalopoda</x:v>
      </x:c>
      <x:c r="O80" s="62" t="n">
        <x:v>3.81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Cephalopoda</x:v>
      </x:c>
      <x:c r="T80" s="62" t="n">
        <x:f>IF(O80="","",(1/'Metadata'!$B$5)^(O80-1))</x:f>
        <x:v>4527.873529309382</x:v>
      </x:c>
      <x:c r="U80" s="60" t="n">
        <x:f>IF(T80="","",I80*T80)</x:f>
        <x:v>2035779.6861461154</x:v>
      </x:c>
    </x:row>
    <x:row r="81" ht="18" customHeight="1">
      <x:c r="A81" s="46" t="str">
        <x:v>LME_031</x:v>
      </x:c>
      <x:c r="B81" s="46" t="str">
        <x:v>Somali Coastal Current</x:v>
      </x:c>
      <x:c r="C81" s="46" t="str">
        <x:v>LME</x:v>
      </x:c>
      <x:c r="D81" s="58" t="n">
        <x:v>2019</x:v>
      </x:c>
      <x:c r="E81" s="46" t="str">
        <x:v>Portunus pelagicus</x:v>
      </x:c>
      <x:c r="F81" s="46" t="str">
        <x:v>Blue swimming crab</x:v>
      </x:c>
      <x:c r="G81" s="46" t="str">
        <x:v>Lobsters, crabs</x:v>
      </x:c>
      <x:c r="H81" s="46" t="str">
        <x:v>Crustaceans</x:v>
      </x:c>
      <x:c r="I81" s="60" t="n">
        <x:v>442.5741322368</x:v>
      </x:c>
      <x:c r="J81" s="60" t="n">
        <x:v>440.39946310979997</x:v>
      </x:c>
      <x:c r="K81" s="60" t="n">
        <x:v>2.174669127</x:v>
      </x:c>
      <x:c r="L81" s="60" t="n">
        <x:v>0</x:v>
      </x:c>
      <x:c r="M81" s="60" t="n">
        <x:v>442.5741322368</x:v>
      </x:c>
      <x:c r="N81" s="46" t="str">
        <x:v>portunus pelagicus</x:v>
      </x:c>
      <x:c r="O81" s="62" t="n">
        <x:v>2.48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Portunus pelagicus</x:v>
      </x:c>
      <x:c r="T81" s="62" t="n">
        <x:f>IF(O81="","",(1/'Metadata'!$B$5)^(O81-1))</x:f>
        <x:v>84.24117069429444</x:v>
      </x:c>
      <x:c r="U81" s="60" t="n">
        <x:f>IF(T81="","",I81*T81)</x:f>
        <x:v>37282.96301863951</x:v>
      </x:c>
    </x:row>
    <x:row r="82" ht="18" customHeight="1">
      <x:c r="A82" s="46" t="str">
        <x:v>LME_031</x:v>
      </x:c>
      <x:c r="B82" s="46" t="str">
        <x:v>Somali Coastal Current</x:v>
      </x:c>
      <x:c r="C82" s="46" t="str">
        <x:v>LME</x:v>
      </x:c>
      <x:c r="D82" s="58" t="n">
        <x:v>2019</x:v>
      </x:c>
      <x:c r="E82" s="46" t="str">
        <x:v>Gerreidae</x:v>
      </x:c>
      <x:c r="F82" s="46" t="str">
        <x:v>Mojarras, silverbellies</x:v>
      </x:c>
      <x:c r="G82" s="46" t="str">
        <x:v>Small benthopelagics (&lt;30 cm)</x:v>
      </x:c>
      <x:c r="H82" s="46" t="str">
        <x:v>Perch-likes</x:v>
      </x:c>
      <x:c r="I82" s="60" t="n">
        <x:v>371.9616503941</x:v>
      </x:c>
      <x:c r="J82" s="60" t="n">
        <x:v>365.0515679819</x:v>
      </x:c>
      <x:c r="K82" s="60" t="n">
        <x:v>6.9100824122</x:v>
      </x:c>
      <x:c r="L82" s="60" t="n">
        <x:v>320.2267742434</x:v>
      </x:c>
      <x:c r="M82" s="60" t="n">
        <x:v>51.7348761507</x:v>
      </x:c>
      <x:c r="N82" s="46" t="str">
        <x:v>gerreidae</x:v>
      </x:c>
      <x:c r="O82" s="62" t="n">
        <x:v>3.03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Gerreidae</x:v>
      </x:c>
      <x:c r="T82" s="62" t="n">
        <x:f>IF(O82="","",(1/'Metadata'!$B$5)^(O82-1))</x:f>
        <x:v>437.6136814307771</x:v>
      </x:c>
      <x:c r="U82" s="60" t="n">
        <x:f>IF(T82="","",I82*T82)</x:f>
        <x:v>162775.50718002976</x:v>
      </x:c>
    </x:row>
    <x:row r="83" ht="18" customHeight="1">
      <x:c r="A83" s="46" t="str">
        <x:v>LME_031</x:v>
      </x:c>
      <x:c r="B83" s="46" t="str">
        <x:v>Somali Coastal Current</x:v>
      </x:c>
      <x:c r="C83" s="46" t="str">
        <x:v>LME</x:v>
      </x:c>
      <x:c r="D83" s="58" t="n">
        <x:v>2019</x:v>
      </x:c>
      <x:c r="E83" s="46" t="str">
        <x:v>Xiphiidae</x:v>
      </x:c>
      <x:c r="F83" s="46" t="str">
        <x:v>Swordfishes</x:v>
      </x:c>
      <x:c r="G83" s="46" t="str">
        <x:v>Large pelagics (&gt;=90 cm)</x:v>
      </x:c>
      <x:c r="H83" s="46" t="str">
        <x:v>Tuna &amp; billfishes</x:v>
      </x:c>
      <x:c r="I83" s="60" t="n">
        <x:v>364.6974840129</x:v>
      </x:c>
      <x:c r="J83" s="60" t="n">
        <x:v>364.6974840129</x:v>
      </x:c>
      <x:c r="K83" s="60" t="n">
        <x:v>0</x:v>
      </x:c>
      <x:c r="L83" s="60" t="n">
        <x:v>276.2957947934</x:v>
      </x:c>
      <x:c r="M83" s="60" t="n">
        <x:v>88.4016892195</x:v>
      </x:c>
      <x:c r="N83" s="46" t="str">
        <x:v>xiphiidae</x:v>
      </x:c>
      <x:c r="O83" s="62" t="n">
        <x:v>4.5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Xiphiidae</x:v>
      </x:c>
      <x:c r="T83" s="62" t="n">
        <x:f>IF(O83="","",(1/'Metadata'!$B$5)^(O83-1))</x:f>
        <x:v>35777.08763999664</x:v>
      </x:c>
      <x:c r="U83" s="60" t="n">
        <x:f>IF(T83="","",I83*T83)</x:f>
        <x:v>13047813.847615797</x:v>
      </x:c>
    </x:row>
    <x:row r="84" ht="18" customHeight="1">
      <x:c r="A84" s="46" t="str">
        <x:v>LME_031</x:v>
      </x:c>
      <x:c r="B84" s="46" t="str">
        <x:v>Somali Coastal Current</x:v>
      </x:c>
      <x:c r="C84" s="46" t="str">
        <x:v>LME</x:v>
      </x:c>
      <x:c r="D84" s="58" t="n">
        <x:v>2019</x:v>
      </x:c>
      <x:c r="E84" s="46" t="str">
        <x:v>Sciaenidae</x:v>
      </x:c>
      <x:c r="F84" s="46" t="str">
        <x:v>Drums, croakers</x:v>
      </x:c>
      <x:c r="G84" s="46" t="str">
        <x:v>Medium demersals (30 - 89 cm)</x:v>
      </x:c>
      <x:c r="H84" s="46" t="str">
        <x:v>Perch-likes</x:v>
      </x:c>
      <x:c r="I84" s="60" t="n">
        <x:v>357.50698716069996</x:v>
      </x:c>
      <x:c r="J84" s="60" t="n">
        <x:v>329.3244854089</x:v>
      </x:c>
      <x:c r="K84" s="60" t="n">
        <x:v>28.182501751800004</x:v>
      </x:c>
      <x:c r="L84" s="60" t="n">
        <x:v>124.50799355689999</x:v>
      </x:c>
      <x:c r="M84" s="60" t="n">
        <x:v>232.9989936038</x:v>
      </x:c>
      <x:c r="N84" s="46" t="str">
        <x:v>sciaenidae</x:v>
      </x:c>
      <x:c r="O84" s="62" t="n">
        <x:v>3.76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Sciaenidae</x:v>
      </x:c>
      <x:c r="T84" s="62" t="n">
        <x:f>IF(O84="","",(1/'Metadata'!$B$5)^(O84-1))</x:f>
        <x:v>3898.0085558913897</x:v>
      </x:c>
      <x:c r="U84" s="60" t="n">
        <x:f>IF(T84="","",I84*T84)</x:f>
        <x:v>1393565.2947433617</x:v>
      </x:c>
    </x:row>
    <x:row r="85" ht="18" customHeight="1">
      <x:c r="A85" s="46" t="str">
        <x:v>LME_031</x:v>
      </x:c>
      <x:c r="B85" s="46" t="str">
        <x:v>Somali Coastal Current</x:v>
      </x:c>
      <x:c r="C85" s="46" t="str">
        <x:v>LME</x:v>
      </x:c>
      <x:c r="D85" s="58" t="n">
        <x:v>2019</x:v>
      </x:c>
      <x:c r="E85" s="46" t="str">
        <x:v>Xiphias gladius</x:v>
      </x:c>
      <x:c r="F85" s="46" t="str">
        <x:v>Swordfish</x:v>
      </x:c>
      <x:c r="G85" s="46" t="str">
        <x:v>Large pelagics (&gt;=90 cm)</x:v>
      </x:c>
      <x:c r="H85" s="46" t="str">
        <x:v>Tuna &amp; billfishes</x:v>
      </x:c>
      <x:c r="I85" s="60" t="n">
        <x:v>324.7908017681</x:v>
      </x:c>
      <x:c r="J85" s="60" t="n">
        <x:v>324.7908017681</x:v>
      </x:c>
      <x:c r="K85" s="60" t="n">
        <x:v>0</x:v>
      </x:c>
      <x:c r="L85" s="60" t="n">
        <x:v>314.2860508244</x:v>
      </x:c>
      <x:c r="M85" s="60" t="n">
        <x:v>10.5047509437</x:v>
      </x:c>
      <x:c r="N85" s="46" t="str">
        <x:v>xiphias gladius</x:v>
      </x:c>
      <x:c r="O85" s="62" t="n">
        <x:v>4.53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Xiphias gladius</x:v>
      </x:c>
      <x:c r="T85" s="62" t="n">
        <x:f>IF(O85="","",(1/'Metadata'!$B$5)^(O85-1))</x:f>
        <x:v>39141.35758252625</x:v>
      </x:c>
      <x:c r="U85" s="60" t="n">
        <x:f>IF(T85="","",I85*T85)</x:f>
        <x:v>12712752.9115206</x:v>
      </x:c>
    </x:row>
    <x:row r="86" ht="18" customHeight="1">
      <x:c r="A86" s="46" t="str">
        <x:v>LME_031</x:v>
      </x:c>
      <x:c r="B86" s="46" t="str">
        <x:v>Somali Coastal Current</x:v>
      </x:c>
      <x:c r="C86" s="46" t="str">
        <x:v>LME</x:v>
      </x:c>
      <x:c r="D86" s="58" t="n">
        <x:v>2019</x:v>
      </x:c>
      <x:c r="E86" s="46" t="str">
        <x:v>Lethrinus harak</x:v>
      </x:c>
      <x:c r="F86" s="46" t="str">
        <x:v>Thumbprint emperor</x:v>
      </x:c>
      <x:c r="G86" s="46" t="str">
        <x:v>Medium reef assoc. fish (30 - 89 cm)</x:v>
      </x:c>
      <x:c r="H86" s="46" t="str">
        <x:v>Perch-likes</x:v>
      </x:c>
      <x:c r="I86" s="60" t="n">
        <x:v>295.0665638801</x:v>
      </x:c>
      <x:c r="J86" s="60" t="n">
        <x:v>295.0665638801</x:v>
      </x:c>
      <x:c r="K86" s="60" t="n">
        <x:v>0</x:v>
      </x:c>
      <x:c r="L86" s="60" t="n">
        <x:v>0</x:v>
      </x:c>
      <x:c r="M86" s="60" t="n">
        <x:v>295.0665638801</x:v>
      </x:c>
      <x:c r="N86" s="46" t="str">
        <x:v>lethrinus harak</x:v>
      </x:c>
      <x:c r="O86" s="62" t="n">
        <x:v>3.59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Lethrinus harak</x:v>
      </x:c>
      <x:c r="T86" s="62" t="n">
        <x:f>IF(O86="","",(1/'Metadata'!$B$5)^(O86-1))</x:f>
        <x:v>2342.4357563948306</x:v>
      </x:c>
      <x:c r="U86" s="60" t="n">
        <x:f>IF(T86="","",I86*T86)</x:f>
        <x:v>691174.4697493056</x:v>
      </x:c>
    </x:row>
    <x:row r="87" ht="18" customHeight="1">
      <x:c r="A87" s="46" t="str">
        <x:v>LME_031</x:v>
      </x:c>
      <x:c r="B87" s="46" t="str">
        <x:v>Somali Coastal Current</x:v>
      </x:c>
      <x:c r="C87" s="46" t="str">
        <x:v>LME</x:v>
      </x:c>
      <x:c r="D87" s="58" t="n">
        <x:v>2019</x:v>
      </x:c>
      <x:c r="E87" s="46" t="str">
        <x:v>Sepia latimanus</x:v>
      </x:c>
      <x:c r="F87" s="46" t="str">
        <x:v>Broadclub cuttlefish</x:v>
      </x:c>
      <x:c r="G87" s="46" t="str">
        <x:v>Cephalopods</x:v>
      </x:c>
      <x:c r="H87" s="46" t="str">
        <x:v>Other fishes &amp; inverts</x:v>
      </x:c>
      <x:c r="I87" s="60" t="n">
        <x:v>293.7268863824</x:v>
      </x:c>
      <x:c r="J87" s="60" t="n">
        <x:v>293.7268863824</x:v>
      </x:c>
      <x:c r="K87" s="60" t="n">
        <x:v>0</x:v>
      </x:c>
      <x:c r="L87" s="60" t="n">
        <x:v>0</x:v>
      </x:c>
      <x:c r="M87" s="60" t="n">
        <x:v>293.7268863824</x:v>
      </x:c>
      <x:c r="N87" s="46" t="str">
        <x:v>sepia latimanus</x:v>
      </x:c>
      <x:c r="O87" s="62" t="n">
        <x:v>3.6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Sepia latimanus</x:v>
      </x:c>
      <x:c r="T87" s="62" t="n">
        <x:f>IF(O87="","",(1/'Metadata'!$B$5)^(O87-1))</x:f>
        <x:v>2413.670534618066</x:v>
      </x:c>
      <x:c r="U87" s="60" t="n">
        <x:f>IF(T87="","",I87*T87)</x:f>
        <x:v>708959.9308863073</x:v>
      </x:c>
    </x:row>
    <x:row r="88" ht="18" customHeight="1">
      <x:c r="A88" s="46" t="str">
        <x:v>LME_031</x:v>
      </x:c>
      <x:c r="B88" s="46" t="str">
        <x:v>Somali Coastal Current</x:v>
      </x:c>
      <x:c r="C88" s="46" t="str">
        <x:v>LME</x:v>
      </x:c>
      <x:c r="D88" s="58" t="n">
        <x:v>2019</x:v>
      </x:c>
      <x:c r="E88" s="46" t="str">
        <x:v>Diodon</x:v>
      </x:c>
      <x:c r="F88" s="46" t="str">
        <x:v>Porcupinefishes</x:v>
      </x:c>
      <x:c r="G88" s="46" t="str">
        <x:v>Medium reef assoc. fish (30 - 89 cm)</x:v>
      </x:c>
      <x:c r="H88" s="46" t="str">
        <x:v>Other fishes &amp; inverts</x:v>
      </x:c>
      <x:c r="I88" s="60" t="n">
        <x:v>293.3824900359</x:v>
      </x:c>
      <x:c r="J88" s="60" t="n">
        <x:v>293.3824900359</x:v>
      </x:c>
      <x:c r="K88" s="60" t="n">
        <x:v>0</x:v>
      </x:c>
      <x:c r="L88" s="60" t="n">
        <x:v>0</x:v>
      </x:c>
      <x:c r="M88" s="60" t="n">
        <x:v>293.3824900359</x:v>
      </x:c>
      <x:c r="N88" s="46" t="str">
        <x:v>diodon</x:v>
      </x:c>
      <x:c r="O88" s="62" t="n">
        <x:v>3.36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Diodon</x:v>
      </x:c>
      <x:c r="T88" s="62" t="n">
        <x:f>IF(O88="","",(1/'Metadata'!$B$5)^(O88-1))</x:f>
        <x:v>1176.0635493805207</x:v>
      </x:c>
      <x:c r="U88" s="60" t="n">
        <x:f>IF(T88="","",I88*T88)</x:f>
        <x:v>345036.4525577158</x:v>
      </x:c>
    </x:row>
    <x:row r="89" ht="18" customHeight="1">
      <x:c r="A89" s="46" t="str">
        <x:v>LME_031</x:v>
      </x:c>
      <x:c r="B89" s="46" t="str">
        <x:v>Somali Coastal Current</x:v>
      </x:c>
      <x:c r="C89" s="46" t="str">
        <x:v>LME</x:v>
      </x:c>
      <x:c r="D89" s="58" t="n">
        <x:v>2019</x:v>
      </x:c>
      <x:c r="E89" s="46" t="str">
        <x:v>Echidna nebulosa</x:v>
      </x:c>
      <x:c r="F89" s="46" t="str">
        <x:v>Snowflake moray</x:v>
      </x:c>
      <x:c r="G89" s="46" t="str">
        <x:v>Large reef assoc. fish (&gt;=90 cm)</x:v>
      </x:c>
      <x:c r="H89" s="46" t="str">
        <x:v>Other fishes &amp; inverts</x:v>
      </x:c>
      <x:c r="I89" s="60" t="n">
        <x:v>292.8037857257</x:v>
      </x:c>
      <x:c r="J89" s="60" t="n">
        <x:v>292.8037857257</x:v>
      </x:c>
      <x:c r="K89" s="60" t="n">
        <x:v>0</x:v>
      </x:c>
      <x:c r="L89" s="60" t="n">
        <x:v>0</x:v>
      </x:c>
      <x:c r="M89" s="60" t="n">
        <x:v>292.8037857257</x:v>
      </x:c>
      <x:c r="N89" s="46" t="str">
        <x:v>echidna nebulosa</x:v>
      </x:c>
      <x:c r="O89" s="62" t="n">
        <x:v>3.98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Echidna nebulosa</x:v>
      </x:c>
      <x:c r="T89" s="62" t="n">
        <x:f>IF(O89="","",(1/'Metadata'!$B$5)^(O89-1))</x:f>
        <x:v>7534.759367064222</x:v>
      </x:c>
      <x:c r="U89" s="60" t="n">
        <x:f>IF(T89="","",I89*T89)</x:f>
        <x:v>2206206.067208583</x:v>
      </x:c>
    </x:row>
    <x:row r="90" ht="18" customHeight="1">
      <x:c r="A90" s="46" t="str">
        <x:v>LME_031</x:v>
      </x:c>
      <x:c r="B90" s="46" t="str">
        <x:v>Somali Coastal Current</x:v>
      </x:c>
      <x:c r="C90" s="46" t="str">
        <x:v>LME</x:v>
      </x:c>
      <x:c r="D90" s="58" t="n">
        <x:v>2019</x:v>
      </x:c>
      <x:c r="E90" s="46" t="str">
        <x:v>Etelis</x:v>
      </x:c>
      <x:c r="F90" s="46" t="str">
        <x:v>Snappers</x:v>
      </x:c>
      <x:c r="G90" s="46" t="str">
        <x:v>Medium bathydemersals (30 - 89 cm)</x:v>
      </x:c>
      <x:c r="H90" s="46" t="str">
        <x:v>Perch-likes</x:v>
      </x:c>
      <x:c r="I90" s="60" t="n">
        <x:v>276.4768945364</x:v>
      </x:c>
      <x:c r="J90" s="60" t="n">
        <x:v>276.4768945364</x:v>
      </x:c>
      <x:c r="K90" s="60" t="n">
        <x:v>0</x:v>
      </x:c>
      <x:c r="L90" s="60" t="n">
        <x:v>209.45963892999998</x:v>
      </x:c>
      <x:c r="M90" s="60" t="n">
        <x:v>67.0172556064</x:v>
      </x:c>
      <x:c r="N90" s="46" t="str">
        <x:v>etelis</x:v>
      </x:c>
      <x:c r="O90" s="62" t="n">
        <x:v>4.36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Etelis</x:v>
      </x:c>
      <x:c r="T90" s="62" t="n">
        <x:f>IF(O90="","",(1/'Metadata'!$B$5)^(O90-1))</x:f>
        <x:v>23521.270987610445</x:v>
      </x:c>
      <x:c r="U90" s="60" t="n">
        <x:f>IF(T90="","",I90*T90)</x:f>
        <x:v>6503087.9582036575</x:v>
      </x:c>
    </x:row>
    <x:row r="91" ht="18" customHeight="1">
      <x:c r="A91" s="46" t="str">
        <x:v>LME_031</x:v>
      </x:c>
      <x:c r="B91" s="46" t="str">
        <x:v>Somali Coastal Current</x:v>
      </x:c>
      <x:c r="C91" s="46" t="str">
        <x:v>LME</x:v>
      </x:c>
      <x:c r="D91" s="58" t="n">
        <x:v>2019</x:v>
      </x:c>
      <x:c r="E91" s="46" t="str">
        <x:v>Chirocentrus</x:v>
      </x:c>
      <x:c r="F91" s="46" t="str">
        <x:v>Wolf herrings</x:v>
      </x:c>
      <x:c r="G91" s="46" t="str">
        <x:v>Large pelagics (&gt;=90 cm)</x:v>
      </x:c>
      <x:c r="H91" s="46" t="str">
        <x:v>Herring-likes</x:v>
      </x:c>
      <x:c r="I91" s="60" t="n">
        <x:v>231.2038257804</x:v>
      </x:c>
      <x:c r="J91" s="60" t="n">
        <x:v>231.2038257804</x:v>
      </x:c>
      <x:c r="K91" s="60" t="n">
        <x:v>0</x:v>
      </x:c>
      <x:c r="L91" s="60" t="n">
        <x:v>225.0449946535</x:v>
      </x:c>
      <x:c r="M91" s="60" t="n">
        <x:v>6.1588311269</x:v>
      </x:c>
      <x:c r="N91" s="46" t="str">
        <x:v>chirocentrus</x:v>
      </x:c>
      <x:c r="O91" s="62" t="n">
        <x:v>4.3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Chirocentrus</x:v>
      </x:c>
      <x:c r="T91" s="62" t="n">
        <x:f>IF(O91="","",(1/'Metadata'!$B$5)^(O91-1))</x:f>
        <x:v>19651.648417852637</x:v>
      </x:c>
      <x:c r="U91" s="60" t="n">
        <x:f>IF(T91="","",I91*T91)</x:f>
        <x:v>4543536.297098874</x:v>
      </x:c>
    </x:row>
    <x:row r="92" ht="18" customHeight="1">
      <x:c r="A92" s="46" t="str">
        <x:v>LME_031</x:v>
      </x:c>
      <x:c r="B92" s="46" t="str">
        <x:v>Somali Coastal Current</x:v>
      </x:c>
      <x:c r="C92" s="46" t="str">
        <x:v>LME</x:v>
      </x:c>
      <x:c r="D92" s="58" t="n">
        <x:v>2019</x:v>
      </x:c>
      <x:c r="E92" s="46" t="str">
        <x:v>Anguilliformes</x:v>
      </x:c>
      <x:c r="F92" s="46" t="str">
        <x:v>Eels, morays</x:v>
      </x:c>
      <x:c r="G92" s="46" t="str">
        <x:v>Large demersals (&gt;=90 cm)</x:v>
      </x:c>
      <x:c r="H92" s="46" t="str">
        <x:v>Other fishes &amp; inverts</x:v>
      </x:c>
      <x:c r="I92" s="60" t="n">
        <x:v>230.7271776833</x:v>
      </x:c>
      <x:c r="J92" s="60" t="n">
        <x:v>230.7271776833</x:v>
      </x:c>
      <x:c r="K92" s="60" t="n">
        <x:v>0</x:v>
      </x:c>
      <x:c r="L92" s="60" t="n">
        <x:v>0</x:v>
      </x:c>
      <x:c r="M92" s="60" t="n">
        <x:v>230.7271776833</x:v>
      </x:c>
      <x:c r="N92" s="46" t="str">
        <x:v>anguilliformes</x:v>
      </x:c>
      <x:c r="O92" s="62" t="n">
        <x:v>3.89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Anguilliformes</x:v>
      </x:c>
      <x:c r="T92" s="62" t="n">
        <x:f>IF(O92="","",(1/'Metadata'!$B$5)^(O92-1))</x:f>
        <x:v>5754.090490759748</x:v>
      </x:c>
      <x:c r="U92" s="60" t="n">
        <x:f>IF(T92="","",I92*T92)</x:f>
        <x:v>1327625.0590673112</x:v>
      </x:c>
    </x:row>
    <x:row r="93" ht="18" customHeight="1">
      <x:c r="A93" s="46" t="str">
        <x:v>LME_031</x:v>
      </x:c>
      <x:c r="B93" s="46" t="str">
        <x:v>Somali Coastal Current</x:v>
      </x:c>
      <x:c r="C93" s="46" t="str">
        <x:v>LME</x:v>
      </x:c>
      <x:c r="D93" s="58" t="n">
        <x:v>2019</x:v>
      </x:c>
      <x:c r="E93" s="46" t="str">
        <x:v>Thunnus obesus</x:v>
      </x:c>
      <x:c r="F93" s="46" t="str">
        <x:v>Bigeye tuna</x:v>
      </x:c>
      <x:c r="G93" s="46" t="str">
        <x:v>Large pelagics (&gt;=90 cm)</x:v>
      </x:c>
      <x:c r="H93" s="46" t="str">
        <x:v>Tuna &amp; billfishes</x:v>
      </x:c>
      <x:c r="I93" s="60" t="n">
        <x:v>229.6614863085</x:v>
      </x:c>
      <x:c r="J93" s="60" t="n">
        <x:v>229.6614863085</x:v>
      </x:c>
      <x:c r="K93" s="60" t="n">
        <x:v>0</x:v>
      </x:c>
      <x:c r="L93" s="60" t="n">
        <x:v>196.31101935290002</x:v>
      </x:c>
      <x:c r="M93" s="60" t="n">
        <x:v>33.3504669556</x:v>
      </x:c>
      <x:c r="N93" s="46" t="str">
        <x:v>thunnus obesus</x:v>
      </x:c>
      <x:c r="O93" s="62" t="n">
        <x:v>4.49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Thunnus obesus</x:v>
      </x:c>
      <x:c r="T93" s="62" t="n">
        <x:f>IF(O93="","",(1/'Metadata'!$B$5)^(O93-1))</x:f>
        <x:v>34721.19667768202</x:v>
      </x:c>
      <x:c r="U93" s="60" t="n">
        <x:f>IF(T93="","",I93*T93)</x:f>
        <x:v>7974121.6354062045</x:v>
      </x:c>
    </x:row>
    <x:row r="94" ht="18" customHeight="1">
      <x:c r="A94" s="46" t="str">
        <x:v>LME_031</x:v>
      </x:c>
      <x:c r="B94" s="46" t="str">
        <x:v>Somali Coastal Current</x:v>
      </x:c>
      <x:c r="C94" s="46" t="str">
        <x:v>LME</x:v>
      </x:c>
      <x:c r="D94" s="58" t="n">
        <x:v>2019</x:v>
      </x:c>
      <x:c r="E94" s="46" t="str">
        <x:v>Miscellaneous marine crustaceans</x:v>
      </x:c>
      <x:c r="F94" s="46" t="str">
        <x:v>Marine crabs, shrimps, lobsters nei</x:v>
      </x:c>
      <x:c r="G94" s="46" t="str">
        <x:v>Shrimps</x:v>
      </x:c>
      <x:c r="H94" s="46" t="str">
        <x:v>Crustaceans</x:v>
      </x:c>
      <x:c r="I94" s="60" t="n">
        <x:v>227.11386527769997</x:v>
      </x:c>
      <x:c r="J94" s="60" t="n">
        <x:v>227.11386527769997</x:v>
      </x:c>
      <x:c r="K94" s="60" t="n">
        <x:v>0</x:v>
      </x:c>
      <x:c r="L94" s="60" t="n">
        <x:v>137.9553760127</x:v>
      </x:c>
      <x:c r="M94" s="60" t="n">
        <x:v>89.158489265</x:v>
      </x:c>
      <x:c r="N94" s="46" t="str">
        <x:v>miscellaneous marine crustaceans</x:v>
      </x:c>
      <x:c r="O94" s="62" t="n">
        <x:v>2.7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Miscellaneous marine crustaceans</x:v>
      </x:c>
      <x:c r="T94" s="62" t="n">
        <x:f>IF(O94="","",(1/'Metadata'!$B$5)^(O94-1))</x:f>
        <x:v>162.83621261476185</x:v>
      </x:c>
      <x:c r="U94" s="60" t="n">
        <x:f>IF(T94="","",I94*T94)</x:f>
        <x:v>36982.36165411993</x:v>
      </x:c>
    </x:row>
    <x:row r="95" ht="18" customHeight="1">
      <x:c r="A95" s="46" t="str">
        <x:v>LME_031</x:v>
      </x:c>
      <x:c r="B95" s="46" t="str">
        <x:v>Somali Coastal Current</x:v>
      </x:c>
      <x:c r="C95" s="46" t="str">
        <x:v>LME</x:v>
      </x:c>
      <x:c r="D95" s="58" t="n">
        <x:v>2019</x:v>
      </x:c>
      <x:c r="E95" s="46" t="str">
        <x:v>Terapontidae</x:v>
      </x:c>
      <x:c r="F95" s="46" t="str">
        <x:v>Grunters, tigerperches</x:v>
      </x:c>
      <x:c r="G95" s="46" t="str">
        <x:v>Medium demersals (30 - 89 cm)</x:v>
      </x:c>
      <x:c r="H95" s="46" t="str">
        <x:v>Perch-likes</x:v>
      </x:c>
      <x:c r="I95" s="60" t="n">
        <x:v>200.3740863778</x:v>
      </x:c>
      <x:c r="J95" s="60" t="n">
        <x:v>200.3740863778</x:v>
      </x:c>
      <x:c r="K95" s="60" t="n">
        <x:v>0</x:v>
      </x:c>
      <x:c r="L95" s="60" t="n">
        <x:v>200.3740863778</x:v>
      </x:c>
      <x:c r="M95" s="60" t="n">
        <x:v>0</x:v>
      </x:c>
      <x:c r="N95" s="46" t="str">
        <x:v>terapontidae</x:v>
      </x:c>
      <x:c r="O95" s="62" t="n">
        <x:v>3.64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Terapontidae</x:v>
      </x:c>
      <x:c r="T95" s="62" t="n">
        <x:f>IF(O95="","",(1/'Metadata'!$B$5)^(O95-1))</x:f>
        <x:v>2720.9413995404984</x:v>
      </x:c>
      <x:c r="U95" s="60" t="n">
        <x:f>IF(T95="","",I95*T95)</x:f>
        <x:v>545206.1470204599</x:v>
      </x:c>
    </x:row>
    <x:row r="96" ht="18" customHeight="1">
      <x:c r="A96" s="46" t="str">
        <x:v>LME_031</x:v>
      </x:c>
      <x:c r="B96" s="46" t="str">
        <x:v>Somali Coastal Current</x:v>
      </x:c>
      <x:c r="C96" s="46" t="str">
        <x:v>LME</x:v>
      </x:c>
      <x:c r="D96" s="58" t="n">
        <x:v>2019</x:v>
      </x:c>
      <x:c r="E96" s="46" t="str">
        <x:v>Sparidae</x:v>
      </x:c>
      <x:c r="F96" s="46" t="str">
        <x:v>Porgies, seabreams</x:v>
      </x:c>
      <x:c r="G96" s="46" t="str">
        <x:v>Medium benthopelagics (30 - 89 cm)</x:v>
      </x:c>
      <x:c r="H96" s="46" t="str">
        <x:v>Perch-likes</x:v>
      </x:c>
      <x:c r="I96" s="60" t="n">
        <x:v>187.4117333635</x:v>
      </x:c>
      <x:c r="J96" s="60" t="n">
        <x:v>187.4117333635</x:v>
      </x:c>
      <x:c r="K96" s="60" t="n">
        <x:v>0</x:v>
      </x:c>
      <x:c r="L96" s="60" t="n">
        <x:v>12.813226650999999</x:v>
      </x:c>
      <x:c r="M96" s="60" t="n">
        <x:v>174.59850671249998</x:v>
      </x:c>
      <x:c r="N96" s="46" t="str">
        <x:v>sparidae</x:v>
      </x:c>
      <x:c r="O96" s="62" t="n">
        <x:v>3.31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Sparidae</x:v>
      </x:c>
      <x:c r="T96" s="62" t="n">
        <x:f>IF(O96="","",(1/'Metadata'!$B$5)^(O96-1))</x:f>
        <x:v>1012.4633005057666</x:v>
      </x:c>
      <x:c r="U96" s="60" t="n">
        <x:f>IF(T96="","",I96*T96)</x:f>
        <x:v>189747.5021147159</x:v>
      </x:c>
    </x:row>
    <x:row r="97" ht="18" customHeight="1">
      <x:c r="A97" s="46" t="str">
        <x:v>LME_031</x:v>
      </x:c>
      <x:c r="B97" s="46" t="str">
        <x:v>Somali Coastal Current</x:v>
      </x:c>
      <x:c r="C97" s="46" t="str">
        <x:v>LME</x:v>
      </x:c>
      <x:c r="D97" s="58" t="n">
        <x:v>2019</x:v>
      </x:c>
      <x:c r="E97" s="46" t="str">
        <x:v>Scolopsis</x:v>
      </x:c>
      <x:c r="F97" s="46" t="str">
        <x:v>Monocle breams</x:v>
      </x:c>
      <x:c r="G97" s="46" t="str">
        <x:v>Small reef assoc. fish (&lt;30 cm)</x:v>
      </x:c>
      <x:c r="H97" s="46" t="str">
        <x:v>Perch-likes</x:v>
      </x:c>
      <x:c r="I97" s="60" t="n">
        <x:v>180.7233837245</x:v>
      </x:c>
      <x:c r="J97" s="60" t="n">
        <x:v>180.7233837245</x:v>
      </x:c>
      <x:c r="K97" s="60" t="n">
        <x:v>0</x:v>
      </x:c>
      <x:c r="L97" s="60" t="n">
        <x:v>0</x:v>
      </x:c>
      <x:c r="M97" s="60" t="n">
        <x:v>180.7233837245</x:v>
      </x:c>
      <x:c r="N97" s="46" t="str">
        <x:v>scolopsis</x:v>
      </x:c>
      <x:c r="O97" s="62" t="n">
        <x:v>3.3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Scolopsis</x:v>
      </x:c>
      <x:c r="T97" s="62" t="n">
        <x:f>IF(O97="","",(1/'Metadata'!$B$5)^(O97-1))</x:f>
        <x:v>982.5824208926318</x:v>
      </x:c>
      <x:c r="U97" s="60" t="n">
        <x:f>IF(T97="","",I97*T97)</x:f>
        <x:v>177575.61989192726</x:v>
      </x:c>
    </x:row>
    <x:row r="98" ht="18" customHeight="1">
      <x:c r="A98" s="46" t="str">
        <x:v>LME_031</x:v>
      </x:c>
      <x:c r="B98" s="46" t="str">
        <x:v>Somali Coastal Current</x:v>
      </x:c>
      <x:c r="C98" s="46" t="str">
        <x:v>LME</x:v>
      </x:c>
      <x:c r="D98" s="58" t="n">
        <x:v>2019</x:v>
      </x:c>
      <x:c r="E98" s="46" t="str">
        <x:v>Portunus</x:v>
      </x:c>
      <x:c r="F98" s="46" t="str">
        <x:v>Swimmer crabs</x:v>
      </x:c>
      <x:c r="G98" s="46" t="str">
        <x:v>Lobsters, crabs</x:v>
      </x:c>
      <x:c r="H98" s="46" t="str">
        <x:v>Crustaceans</x:v>
      </x:c>
      <x:c r="I98" s="60" t="n">
        <x:v>167.7996435589</x:v>
      </x:c>
      <x:c r="J98" s="60" t="n">
        <x:v>167.7996435589</x:v>
      </x:c>
      <x:c r="K98" s="60" t="n">
        <x:v>0</x:v>
      </x:c>
      <x:c r="L98" s="60" t="n">
        <x:v>167.7996435589</x:v>
      </x:c>
      <x:c r="M98" s="60" t="n">
        <x:v>0</x:v>
      </x:c>
      <x:c r="N98" s="46" t="str">
        <x:v>portunus</x:v>
      </x:c>
      <x:c r="O98" s="62" t="n">
        <x:v>3.26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Portunus</x:v>
      </x:c>
      <x:c r="T98" s="62" t="n">
        <x:f>IF(O98="","",(1/'Metadata'!$B$5)^(O98-1))</x:f>
        <x:v>871.6212107848935</x:v>
      </x:c>
      <x:c r="U98" s="60" t="n">
        <x:f>IF(T98="","",I98*T98)</x:f>
        <x:v>146257.72848808195</x:v>
      </x:c>
    </x:row>
    <x:row r="99" ht="18" customHeight="1">
      <x:c r="A99" s="46" t="str">
        <x:v>LME_031</x:v>
      </x:c>
      <x:c r="B99" s="46" t="str">
        <x:v>Somali Coastal Current</x:v>
      </x:c>
      <x:c r="C99" s="46" t="str">
        <x:v>LME</x:v>
      </x:c>
      <x:c r="D99" s="58" t="n">
        <x:v>2019</x:v>
      </x:c>
      <x:c r="E99" s="46" t="str">
        <x:v>Sepioteuthis lessoniana</x:v>
      </x:c>
      <x:c r="F99" s="46" t="str">
        <x:v>Bigfin reef squid</x:v>
      </x:c>
      <x:c r="G99" s="46" t="str">
        <x:v>Cephalopods</x:v>
      </x:c>
      <x:c r="H99" s="46" t="str">
        <x:v>Other fishes &amp; inverts</x:v>
      </x:c>
      <x:c r="I99" s="60" t="n">
        <x:v>130.37016847229998</x:v>
      </x:c>
      <x:c r="J99" s="60" t="n">
        <x:v>130.37016847229998</x:v>
      </x:c>
      <x:c r="K99" s="60" t="n">
        <x:v>0</x:v>
      </x:c>
      <x:c r="L99" s="60" t="n">
        <x:v>0</x:v>
      </x:c>
      <x:c r="M99" s="60" t="n">
        <x:v>130.37016847229998</x:v>
      </x:c>
      <x:c r="N99" s="46" t="str">
        <x:v>sepioteuthis lessoniana</x:v>
      </x:c>
      <x:c r="O99" s="62" t="n">
        <x:v>3.98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Sepioteuthis lessoniana</x:v>
      </x:c>
      <x:c r="T99" s="62" t="n">
        <x:f>IF(O99="","",(1/'Metadata'!$B$5)^(O99-1))</x:f>
        <x:v>7534.759367064222</x:v>
      </x:c>
      <x:c r="U99" s="60" t="n">
        <x:f>IF(T99="","",I99*T99)</x:f>
        <x:v>982307.848082403</x:v>
      </x:c>
    </x:row>
    <x:row r="100" ht="18" customHeight="1">
      <x:c r="A100" s="46" t="str">
        <x:v>LME_031</x:v>
      </x:c>
      <x:c r="B100" s="46" t="str">
        <x:v>Somali Coastal Current</x:v>
      </x:c>
      <x:c r="C100" s="46" t="str">
        <x:v>LME</x:v>
      </x:c>
      <x:c r="D100" s="58" t="n">
        <x:v>2019</x:v>
      </x:c>
      <x:c r="E100" s="46" t="str">
        <x:v>Chirocentrus dorab</x:v>
      </x:c>
      <x:c r="F100" s="46" t="str">
        <x:v>Dorab wolf-herring</x:v>
      </x:c>
      <x:c r="G100" s="46" t="str">
        <x:v>Large benthopelagics (&gt;=90 cm)</x:v>
      </x:c>
      <x:c r="H100" s="46" t="str">
        <x:v>Herring-likes</x:v>
      </x:c>
      <x:c r="I100" s="60" t="n">
        <x:v>123.1414768229</x:v>
      </x:c>
      <x:c r="J100" s="60" t="n">
        <x:v>123.1414768229</x:v>
      </x:c>
      <x:c r="K100" s="60" t="n">
        <x:v>0</x:v>
      </x:c>
      <x:c r="L100" s="60" t="n">
        <x:v>0</x:v>
      </x:c>
      <x:c r="M100" s="60" t="n">
        <x:v>123.1414768229</x:v>
      </x:c>
      <x:c r="N100" s="46" t="str">
        <x:v>chirocentrus dorab</x:v>
      </x:c>
      <x:c r="O100" s="62" t="n">
        <x:v>4.2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Chirocentrus dorab</x:v>
      </x:c>
      <x:c r="T100" s="62" t="n">
        <x:f>IF(O100="","",(1/'Metadata'!$B$5)^(O100-1))</x:f>
        <x:v>14564.51362420865</x:v>
      </x:c>
      <x:c r="U100" s="60" t="n">
        <x:f>IF(T100="","",I100*T100)</x:f>
        <x:v>1793495.7168923009</x:v>
      </x:c>
    </x:row>
    <x:row r="101" ht="18" customHeight="1">
      <x:c r="A101" s="46" t="str">
        <x:v>LME_031</x:v>
      </x:c>
      <x:c r="B101" s="46" t="str">
        <x:v>Somali Coastal Current</x:v>
      </x:c>
      <x:c r="C101" s="46" t="str">
        <x:v>LME</x:v>
      </x:c>
      <x:c r="D101" s="58" t="n">
        <x:v>2019</x:v>
      </x:c>
      <x:c r="E101" s="46" t="str">
        <x:v>Trichiurus lepturus</x:v>
      </x:c>
      <x:c r="F101" s="46" t="str">
        <x:v>Largehead hairtail</x:v>
      </x:c>
      <x:c r="G101" s="46" t="str">
        <x:v>Large benthopelagics (&gt;=90 cm)</x:v>
      </x:c>
      <x:c r="H101" s="46" t="str">
        <x:v>Perch-likes</x:v>
      </x:c>
      <x:c r="I101" s="60" t="n">
        <x:v>121.68464343129999</x:v>
      </x:c>
      <x:c r="J101" s="60" t="n">
        <x:v>99.68192883799999</x:v>
      </x:c>
      <x:c r="K101" s="60" t="n">
        <x:v>22.0027145933</x:v>
      </x:c>
      <x:c r="L101" s="60" t="n">
        <x:v>84.6568099709</x:v>
      </x:c>
      <x:c r="M101" s="60" t="n">
        <x:v>37.0278334604</x:v>
      </x:c>
      <x:c r="N101" s="46" t="str">
        <x:v>trichiurus lepturus</x:v>
      </x:c>
      <x:c r="O101" s="62" t="n">
        <x:v>4.42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Trichiurus lepturus</x:v>
      </x:c>
      <x:c r="T101" s="62" t="n">
        <x:f>IF(O101="","",(1/'Metadata'!$B$5)^(O101-1))</x:f>
        <x:v>28152.864182630117</x:v>
      </x:c>
      <x:c r="U101" s="60" t="n">
        <x:f>IF(T101="","",I101*T101)</x:f>
        <x:v>3425771.2396331625</x:v>
      </x:c>
    </x:row>
    <x:row r="102" ht="18" customHeight="1">
      <x:c r="A102" s="46" t="str">
        <x:v>LME_031</x:v>
      </x:c>
      <x:c r="B102" s="46" t="str">
        <x:v>Somali Coastal Current</x:v>
      </x:c>
      <x:c r="C102" s="46" t="str">
        <x:v>LME</x:v>
      </x:c>
      <x:c r="D102" s="58" t="n">
        <x:v>2019</x:v>
      </x:c>
      <x:c r="E102" s="46" t="str">
        <x:v>Coryphaena hippurus</x:v>
      </x:c>
      <x:c r="F102" s="46" t="str">
        <x:v>Common dolphinfish</x:v>
      </x:c>
      <x:c r="G102" s="46" t="str">
        <x:v>Large pelagics (&gt;=90 cm)</x:v>
      </x:c>
      <x:c r="H102" s="46" t="str">
        <x:v>Perch-likes</x:v>
      </x:c>
      <x:c r="I102" s="60" t="n">
        <x:v>118.1020405401</x:v>
      </x:c>
      <x:c r="J102" s="60" t="n">
        <x:v>118.1020405401</x:v>
      </x:c>
      <x:c r="K102" s="60" t="n">
        <x:v>0</x:v>
      </x:c>
      <x:c r="L102" s="60" t="n">
        <x:v>92.4172283419</x:v>
      </x:c>
      <x:c r="M102" s="60" t="n">
        <x:v>25.6848121982</x:v>
      </x:c>
      <x:c r="N102" s="46" t="str">
        <x:v>coryphaena hippurus</x:v>
      </x:c>
      <x:c r="O102" s="62" t="n">
        <x:v>4.37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Coryphaena hippurus</x:v>
      </x:c>
      <x:c r="T102" s="62" t="n">
        <x:f>IF(O102="","",(1/'Metadata'!$B$5)^(O102-1))</x:f>
        <x:v>24236.56596112542</x:v>
      </x:c>
      <x:c r="U102" s="60" t="n">
        <x:f>IF(T102="","",I102*T102)</x:f>
        <x:v>2862387.895693642</x:v>
      </x:c>
    </x:row>
    <x:row r="103" ht="18" customHeight="1">
      <x:c r="A103" s="46" t="str">
        <x:v>LME_031</x:v>
      </x:c>
      <x:c r="B103" s="46" t="str">
        <x:v>Somali Coastal Current</x:v>
      </x:c>
      <x:c r="C103" s="46" t="str">
        <x:v>LME</x:v>
      </x:c>
      <x:c r="D103" s="58" t="n">
        <x:v>2019</x:v>
      </x:c>
      <x:c r="E103" s="46" t="str">
        <x:v>Platycephalidae</x:v>
      </x:c>
      <x:c r="F103" s="46" t="str">
        <x:v>Flatheads</x:v>
      </x:c>
      <x:c r="G103" s="46" t="str">
        <x:v>Medium demersals (30 - 89 cm)</x:v>
      </x:c>
      <x:c r="H103" s="46" t="str">
        <x:v>Scorpionfishes</x:v>
      </x:c>
      <x:c r="I103" s="60" t="n">
        <x:v>117.6208617045</x:v>
      </x:c>
      <x:c r="J103" s="60" t="n">
        <x:v>92.4385055457</x:v>
      </x:c>
      <x:c r="K103" s="60" t="n">
        <x:v>25.1823561588</x:v>
      </x:c>
      <x:c r="L103" s="60" t="n">
        <x:v>30.961140377</x:v>
      </x:c>
      <x:c r="M103" s="60" t="n">
        <x:v>86.65972132750001</x:v>
      </x:c>
      <x:c r="N103" s="46" t="str">
        <x:v>platycephalidae</x:v>
      </x:c>
      <x:c r="O103" s="62" t="n">
        <x:v>3.9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Platycephalidae</x:v>
      </x:c>
      <x:c r="T103" s="62" t="n">
        <x:f>IF(O103="","",(1/'Metadata'!$B$5)^(O103-1))</x:f>
        <x:v>5929.07559285558</x:v>
      </x:c>
      <x:c r="U103" s="60" t="n">
        <x:f>IF(T103="","",I103*T103)</x:f>
        <x:v>697382.9803427926</x:v>
      </x:c>
    </x:row>
    <x:row r="104" ht="18" customHeight="1">
      <x:c r="A104" s="46" t="str">
        <x:v>LME_031</x:v>
      </x:c>
      <x:c r="B104" s="46" t="str">
        <x:v>Somali Coastal Current</x:v>
      </x:c>
      <x:c r="C104" s="46" t="str">
        <x:v>LME</x:v>
      </x:c>
      <x:c r="D104" s="58" t="n">
        <x:v>2019</x:v>
      </x:c>
      <x:c r="E104" s="46" t="str">
        <x:v>Synodontidae</x:v>
      </x:c>
      <x:c r="F104" s="46" t="str">
        <x:v>Lizardfishes, sauries</x:v>
      </x:c>
      <x:c r="G104" s="46" t="str">
        <x:v>Medium demersals (30 - 89 cm)</x:v>
      </x:c>
      <x:c r="H104" s="46" t="str">
        <x:v>Other fishes &amp; inverts</x:v>
      </x:c>
      <x:c r="I104" s="60" t="n">
        <x:v>110.5876523817</x:v>
      </x:c>
      <x:c r="J104" s="60" t="n">
        <x:v>78.2626899412</x:v>
      </x:c>
      <x:c r="K104" s="60" t="n">
        <x:v>32.3249624405</x:v>
      </x:c>
      <x:c r="L104" s="60" t="n">
        <x:v>0</x:v>
      </x:c>
      <x:c r="M104" s="60" t="n">
        <x:v>110.5876523817</x:v>
      </x:c>
      <x:c r="N104" s="46" t="str">
        <x:v>synodontidae</x:v>
      </x:c>
      <x:c r="O104" s="62" t="n">
        <x:v>4.3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Synodontidae</x:v>
      </x:c>
      <x:c r="T104" s="62" t="n">
        <x:f>IF(O104="","",(1/'Metadata'!$B$5)^(O104-1))</x:f>
        <x:v>19651.648417852637</x:v>
      </x:c>
      <x:c r="U104" s="60" t="n">
        <x:f>IF(T104="","",I104*T104)</x:f>
        <x:v>2173229.663960872</x:v>
      </x:c>
    </x:row>
    <x:row r="105" ht="18" customHeight="1">
      <x:c r="A105" s="46" t="str">
        <x:v>LME_031</x:v>
      </x:c>
      <x:c r="B105" s="46" t="str">
        <x:v>Somali Coastal Current</x:v>
      </x:c>
      <x:c r="C105" s="46" t="str">
        <x:v>LME</x:v>
      </x:c>
      <x:c r="D105" s="58" t="n">
        <x:v>2019</x:v>
      </x:c>
      <x:c r="E105" s="46" t="str">
        <x:v>Sepia</x:v>
      </x:c>
      <x:c r="F105" s="46" t="str">
        <x:v>Sepia cuttlefishes</x:v>
      </x:c>
      <x:c r="G105" s="46" t="str">
        <x:v>Cephalopods</x:v>
      </x:c>
      <x:c r="H105" s="46" t="str">
        <x:v>Other fishes &amp; inverts</x:v>
      </x:c>
      <x:c r="I105" s="60" t="n">
        <x:v>103.32866329129999</x:v>
      </x:c>
      <x:c r="J105" s="60" t="n">
        <x:v>103.32866329129999</x:v>
      </x:c>
      <x:c r="K105" s="60" t="n">
        <x:v>0</x:v>
      </x:c>
      <x:c r="L105" s="60" t="n">
        <x:v>103.32866329129999</x:v>
      </x:c>
      <x:c r="M105" s="60" t="n">
        <x:v>0</x:v>
      </x:c>
      <x:c r="N105" s="46" t="str">
        <x:v>sepia</x:v>
      </x:c>
      <x:c r="O105" s="62" t="n">
        <x:v>3.69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Sepia</x:v>
      </x:c>
      <x:c r="T105" s="62" t="n">
        <x:f>IF(O105="","",(1/'Metadata'!$B$5)^(O105-1))</x:f>
        <x:v>3160.6083878807954</x:v>
      </x:c>
      <x:c r="U105" s="60" t="n">
        <x:f>IF(T105="","",I105*T105)</x:f>
        <x:v>326581.4399069932</x:v>
      </x:c>
    </x:row>
    <x:row r="106" ht="18" customHeight="1">
      <x:c r="A106" s="46" t="str">
        <x:v>LME_031</x:v>
      </x:c>
      <x:c r="B106" s="46" t="str">
        <x:v>Somali Coastal Current</x:v>
      </x:c>
      <x:c r="C106" s="46" t="str">
        <x:v>LME</x:v>
      </x:c>
      <x:c r="D106" s="58" t="n">
        <x:v>2019</x:v>
      </x:c>
      <x:c r="E106" s="46" t="str">
        <x:v>Saurida</x:v>
      </x:c>
      <x:c r="F106" s="46" t="str">
        <x:v>Lizardfishes</x:v>
      </x:c>
      <x:c r="G106" s="46" t="str">
        <x:v>Medium demersals (30 - 89 cm)</x:v>
      </x:c>
      <x:c r="H106" s="46" t="str">
        <x:v>Other fishes &amp; inverts</x:v>
      </x:c>
      <x:c r="I106" s="60" t="n">
        <x:v>98.15949383590001</x:v>
      </x:c>
      <x:c r="J106" s="60" t="n">
        <x:v>98.15949383590001</x:v>
      </x:c>
      <x:c r="K106" s="60" t="n">
        <x:v>0</x:v>
      </x:c>
      <x:c r="L106" s="60" t="n">
        <x:v>0</x:v>
      </x:c>
      <x:c r="M106" s="60" t="n">
        <x:v>98.15949383590001</x:v>
      </x:c>
      <x:c r="N106" s="46" t="str">
        <x:v>saurida</x:v>
      </x:c>
      <x:c r="O106" s="62" t="n">
        <x:v>4.35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Saurida</x:v>
      </x:c>
      <x:c r="T106" s="62" t="n">
        <x:f>IF(O106="","",(1/'Metadata'!$B$5)^(O106-1))</x:f>
        <x:v>22827.086550132422</x:v>
      </x:c>
      <x:c r="U106" s="60" t="n">
        <x:f>IF(T106="","",I106*T106)</x:f>
        <x:v>2240695.2615092797</x:v>
      </x:c>
    </x:row>
    <x:row r="107" ht="18" customHeight="1">
      <x:c r="A107" s="46" t="str">
        <x:v>LME_031</x:v>
      </x:c>
      <x:c r="B107" s="46" t="str">
        <x:v>Somali Coastal Current</x:v>
      </x:c>
      <x:c r="C107" s="46" t="str">
        <x:v>LME</x:v>
      </x:c>
      <x:c r="D107" s="58" t="n">
        <x:v>2019</x:v>
      </x:c>
      <x:c r="E107" s="46" t="str">
        <x:v>Penaeus indicus</x:v>
      </x:c>
      <x:c r="F107" s="46" t="str">
        <x:v>Indian white prawn</x:v>
      </x:c>
      <x:c r="G107" s="46" t="str">
        <x:v>Shrimps</x:v>
      </x:c>
      <x:c r="H107" s="46" t="str">
        <x:v>Crustaceans</x:v>
      </x:c>
      <x:c r="I107" s="60" t="n">
        <x:v>90.4279625937</x:v>
      </x:c>
      <x:c r="J107" s="60" t="n">
        <x:v>90.4279625937</x:v>
      </x:c>
      <x:c r="K107" s="60" t="n">
        <x:v>0</x:v>
      </x:c>
      <x:c r="L107" s="60" t="n">
        <x:v>90.4279625937</x:v>
      </x:c>
      <x:c r="M107" s="60" t="n">
        <x:v>0</x:v>
      </x:c>
      <x:c r="N107" s="46" t="str">
        <x:v>penaeus indicus</x:v>
      </x:c>
      <x:c r="O107" s="62" t="n">
        <x:v>2.7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Penaeus indicus</x:v>
      </x:c>
      <x:c r="T107" s="62" t="n">
        <x:f>IF(O107="","",(1/'Metadata'!$B$5)^(O107-1))</x:f>
        <x:v>162.83621261476185</x:v>
      </x:c>
      <x:c r="U107" s="60" t="n">
        <x:f>IF(T107="","",I107*T107)</x:f>
        <x:v>14724.946943227465</x:v>
      </x:c>
    </x:row>
    <x:row r="108" ht="18" customHeight="1">
      <x:c r="A108" s="46" t="str">
        <x:v>LME_031</x:v>
      </x:c>
      <x:c r="B108" s="46" t="str">
        <x:v>Somali Coastal Current</x:v>
      </x:c>
      <x:c r="C108" s="46" t="str">
        <x:v>LME</x:v>
      </x:c>
      <x:c r="D108" s="58" t="n">
        <x:v>2019</x:v>
      </x:c>
      <x:c r="E108" s="46" t="str">
        <x:v>Scomberomorus</x:v>
      </x:c>
      <x:c r="F108" s="46" t="str">
        <x:v>Spanish mackerels</x:v>
      </x:c>
      <x:c r="G108" s="46" t="str">
        <x:v>Large pelagics (&gt;=90 cm)</x:v>
      </x:c>
      <x:c r="H108" s="46" t="str">
        <x:v>Perch-likes</x:v>
      </x:c>
      <x:c r="I108" s="60" t="n">
        <x:v>89.15126497419999</x:v>
      </x:c>
      <x:c r="J108" s="60" t="n">
        <x:v>89.15126497419999</x:v>
      </x:c>
      <x:c r="K108" s="60" t="n">
        <x:v>0</x:v>
      </x:c>
      <x:c r="L108" s="60" t="n">
        <x:v>1.47379629</x:v>
      </x:c>
      <x:c r="M108" s="60" t="n">
        <x:v>87.6774686842</x:v>
      </x:c>
      <x:c r="N108" s="46" t="str">
        <x:v>scomberomorus</x:v>
      </x:c>
      <x:c r="O108" s="62" t="n">
        <x:v>4.35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Scomberomorus</x:v>
      </x:c>
      <x:c r="T108" s="62" t="n">
        <x:f>IF(O108="","",(1/'Metadata'!$B$5)^(O108-1))</x:f>
        <x:v>22827.086550132422</x:v>
      </x:c>
      <x:c r="U108" s="60" t="n">
        <x:f>IF(T108="","",I108*T108)</x:f>
        <x:v>2035063.6416198523</x:v>
      </x:c>
    </x:row>
    <x:row r="109" ht="18" customHeight="1">
      <x:c r="A109" s="46" t="str">
        <x:v>LME_031</x:v>
      </x:c>
      <x:c r="B109" s="46" t="str">
        <x:v>Somali Coastal Current</x:v>
      </x:c>
      <x:c r="C109" s="46" t="str">
        <x:v>LME</x:v>
      </x:c>
      <x:c r="D109" s="58" t="n">
        <x:v>2019</x:v>
      </x:c>
      <x:c r="E109" s="46" t="str">
        <x:v>Pleuronectiformes</x:v>
      </x:c>
      <x:c r="F109" s="46" t="str">
        <x:v>Flatfishes</x:v>
      </x:c>
      <x:c r="G109" s="46" t="str">
        <x:v>Small to medium flatfishes (&lt;90 cm)</x:v>
      </x:c>
      <x:c r="H109" s="46" t="str">
        <x:v>Flatfishes</x:v>
      </x:c>
      <x:c r="I109" s="60" t="n">
        <x:v>83.23348264170001</x:v>
      </x:c>
      <x:c r="J109" s="60" t="n">
        <x:v>83.23348264170001</x:v>
      </x:c>
      <x:c r="K109" s="60" t="n">
        <x:v>0</x:v>
      </x:c>
      <x:c r="L109" s="60" t="n">
        <x:v>82.9821969143</x:v>
      </x:c>
      <x:c r="M109" s="60" t="n">
        <x:v>0.2512857274</x:v>
      </x:c>
      <x:c r="N109" s="46" t="str">
        <x:v>pleuronectiformes</x:v>
      </x:c>
      <x:c r="O109" s="62" t="n">
        <x:v>3.57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Pleuronectiformes</x:v>
      </x:c>
      <x:c r="T109" s="62" t="n">
        <x:f>IF(O109="","",(1/'Metadata'!$B$5)^(O109-1))</x:f>
        <x:v>2206.2112196552644</x:v>
      </x:c>
      <x:c r="U109" s="60" t="n">
        <x:f>IF(T109="","",I109*T109)</x:f>
        <x:v>183630.64325510024</x:v>
      </x:c>
    </x:row>
    <x:row r="110" ht="18" customHeight="1">
      <x:c r="A110" s="46" t="str">
        <x:v>LME_031</x:v>
      </x:c>
      <x:c r="B110" s="46" t="str">
        <x:v>Somali Coastal Current</x:v>
      </x:c>
      <x:c r="C110" s="46" t="str">
        <x:v>LME</x:v>
      </x:c>
      <x:c r="D110" s="58" t="n">
        <x:v>2019</x:v>
      </x:c>
      <x:c r="E110" s="46" t="str">
        <x:v>Thunnus alalunga</x:v>
      </x:c>
      <x:c r="F110" s="46" t="str">
        <x:v>Albacore</x:v>
      </x:c>
      <x:c r="G110" s="46" t="str">
        <x:v>Large pelagics (&gt;=90 cm)</x:v>
      </x:c>
      <x:c r="H110" s="46" t="str">
        <x:v>Tuna &amp; billfishes</x:v>
      </x:c>
      <x:c r="I110" s="60" t="n">
        <x:v>77.5564760159</x:v>
      </x:c>
      <x:c r="J110" s="60" t="n">
        <x:v>77.5564760159</x:v>
      </x:c>
      <x:c r="K110" s="60" t="n">
        <x:v>0</x:v>
      </x:c>
      <x:c r="L110" s="60" t="n">
        <x:v>77.5564760159</x:v>
      </x:c>
      <x:c r="M110" s="60" t="n">
        <x:v>0</x:v>
      </x:c>
      <x:c r="N110" s="46" t="str">
        <x:v>thunnus alalunga</x:v>
      </x:c>
      <x:c r="O110" s="62" t="n">
        <x:v>4.3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Thunnus alalunga</x:v>
      </x:c>
      <x:c r="T110" s="62" t="n">
        <x:f>IF(O110="","",(1/'Metadata'!$B$5)^(O110-1))</x:f>
        <x:v>19651.648417852637</x:v>
      </x:c>
      <x:c r="U110" s="60" t="n">
        <x:f>IF(T110="","",I110*T110)</x:f>
        <x:v>1524112.5991920873</x:v>
      </x:c>
    </x:row>
    <x:row r="111" ht="18" customHeight="1">
      <x:c r="A111" s="46" t="str">
        <x:v>LME_031</x:v>
      </x:c>
      <x:c r="B111" s="46" t="str">
        <x:v>Somali Coastal Current</x:v>
      </x:c>
      <x:c r="C111" s="46" t="str">
        <x:v>LME</x:v>
      </x:c>
      <x:c r="D111" s="58" t="n">
        <x:v>2019</x:v>
      </x:c>
      <x:c r="E111" s="46" t="str">
        <x:v>Prionace glauca</x:v>
      </x:c>
      <x:c r="F111" s="46" t="str">
        <x:v>Blue shark</x:v>
      </x:c>
      <x:c r="G111" s="46" t="str">
        <x:v>Large sharks (&gt;=90 cm)</x:v>
      </x:c>
      <x:c r="H111" s="46" t="str">
        <x:v>Sharks &amp; rays</x:v>
      </x:c>
      <x:c r="I111" s="60" t="n">
        <x:v>71.9558168108</x:v>
      </x:c>
      <x:c r="J111" s="60" t="n">
        <x:v>71.9558168108</x:v>
      </x:c>
      <x:c r="K111" s="60" t="n">
        <x:v>0</x:v>
      </x:c>
      <x:c r="L111" s="60" t="n">
        <x:v>67.6502703484</x:v>
      </x:c>
      <x:c r="M111" s="60" t="n">
        <x:v>4.3055464624</x:v>
      </x:c>
      <x:c r="N111" s="46" t="str">
        <x:v>prionace glauca</x:v>
      </x:c>
      <x:c r="O111" s="62" t="n">
        <x:v>4.35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Prionace glauca</x:v>
      </x:c>
      <x:c r="T111" s="62" t="n">
        <x:f>IF(O111="","",(1/'Metadata'!$B$5)^(O111-1))</x:f>
        <x:v>22827.086550132422</x:v>
      </x:c>
      <x:c r="U111" s="60" t="n">
        <x:f>IF(T111="","",I111*T111)</x:f>
        <x:v>1642541.6581256052</x:v>
      </x:c>
    </x:row>
    <x:row r="112" ht="18" customHeight="1">
      <x:c r="A112" s="46" t="str">
        <x:v>LME_031</x:v>
      </x:c>
      <x:c r="B112" s="46" t="str">
        <x:v>Somali Coastal Current</x:v>
      </x:c>
      <x:c r="C112" s="46" t="str">
        <x:v>LME</x:v>
      </x:c>
      <x:c r="D112" s="58" t="n">
        <x:v>2019</x:v>
      </x:c>
      <x:c r="E112" s="46" t="str">
        <x:v>Scylla serrata</x:v>
      </x:c>
      <x:c r="F112" s="46" t="str">
        <x:v>Indo-Pacific swamp crab</x:v>
      </x:c>
      <x:c r="G112" s="46" t="str">
        <x:v>Lobsters, crabs</x:v>
      </x:c>
      <x:c r="H112" s="46" t="str">
        <x:v>Crustaceans</x:v>
      </x:c>
      <x:c r="I112" s="60" t="n">
        <x:v>70.7566414074</x:v>
      </x:c>
      <x:c r="J112" s="60" t="n">
        <x:v>70.7566414074</x:v>
      </x:c>
      <x:c r="K112" s="60" t="n">
        <x:v>0</x:v>
      </x:c>
      <x:c r="L112" s="60" t="n">
        <x:v>0</x:v>
      </x:c>
      <x:c r="M112" s="60" t="n">
        <x:v>70.7566414074</x:v>
      </x:c>
      <x:c r="N112" s="46" t="str">
        <x:v>scylla serrata</x:v>
      </x:c>
      <x:c r="O112" s="62" t="n">
        <x:v>3.17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Scylla serrata</x:v>
      </x:c>
      <x:c r="T112" s="62" t="n">
        <x:f>IF(O112="","",(1/'Metadata'!$B$5)^(O112-1))</x:f>
        <x:v>665.6333767532121</x:v>
      </x:c>
      <x:c r="U112" s="60" t="n">
        <x:f>IF(T112="","",I112*T112)</x:f>
        <x:v>47097.982147723815</x:v>
      </x:c>
    </x:row>
    <x:row r="113" ht="18" customHeight="1">
      <x:c r="A113" s="46" t="str">
        <x:v>LME_031</x:v>
      </x:c>
      <x:c r="B113" s="46" t="str">
        <x:v>Somali Coastal Current</x:v>
      </x:c>
      <x:c r="C113" s="46" t="str">
        <x:v>LME</x:v>
      </x:c>
      <x:c r="D113" s="58" t="n">
        <x:v>2019</x:v>
      </x:c>
      <x:c r="E113" s="46" t="str">
        <x:v>Sepiida</x:v>
      </x:c>
      <x:c r="F113" s="46" t="str">
        <x:v>Cuttlefishes, bobtail squids</x:v>
      </x:c>
      <x:c r="G113" s="46" t="str">
        <x:v>Cephalopods</x:v>
      </x:c>
      <x:c r="H113" s="46" t="str">
        <x:v>Other fishes &amp; inverts</x:v>
      </x:c>
      <x:c r="I113" s="60" t="n">
        <x:v>62.5220475265</x:v>
      </x:c>
      <x:c r="J113" s="60" t="n">
        <x:v>62.5220475265</x:v>
      </x:c>
      <x:c r="K113" s="60" t="n">
        <x:v>0</x:v>
      </x:c>
      <x:c r="L113" s="60" t="n">
        <x:v>58.6286422021</x:v>
      </x:c>
      <x:c r="M113" s="60" t="n">
        <x:v>3.8934053243999998</x:v>
      </x:c>
      <x:c r="N113" s="46" t="str">
        <x:v>sepiida</x:v>
      </x:c>
      <x:c r="O113" s="62" t="n">
        <x:v>3.7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Sepiida</x:v>
      </x:c>
      <x:c r="T113" s="62" t="n">
        <x:f>IF(O113="","",(1/'Metadata'!$B$5)^(O113-1))</x:f>
        <x:v>3256.724252295237</x:v>
      </x:c>
      <x:c r="U113" s="60" t="n">
        <x:f>IF(T113="","",I113*T113)</x:f>
        <x:v>203617.06848270798</x:v>
      </x:c>
    </x:row>
    <x:row r="114" ht="18" customHeight="1">
      <x:c r="A114" s="46" t="str">
        <x:v>LME_031</x:v>
      </x:c>
      <x:c r="B114" s="46" t="str">
        <x:v>Somali Coastal Current</x:v>
      </x:c>
      <x:c r="C114" s="46" t="str">
        <x:v>LME</x:v>
      </x:c>
      <x:c r="D114" s="58" t="n">
        <x:v>2019</x:v>
      </x:c>
      <x:c r="E114" s="46" t="str">
        <x:v>Cnidaria</x:v>
      </x:c>
      <x:c r="F114" s="46" t="str">
        <x:v>Cnidarians, coelenterates</x:v>
      </x:c>
      <x:c r="G114" s="46" t="str">
        <x:v>Jellyfish</x:v>
      </x:c>
      <x:c r="H114" s="46" t="str">
        <x:v>Other fishes &amp; inverts</x:v>
      </x:c>
      <x:c r="I114" s="60" t="n">
        <x:v>56.3035998283</x:v>
      </x:c>
      <x:c r="J114" s="60" t="n">
        <x:v>50.1055947048</x:v>
      </x:c>
      <x:c r="K114" s="60" t="n">
        <x:v>6.1980051235</x:v>
      </x:c>
      <x:c r="L114" s="60" t="n">
        <x:v>50.1055947048</x:v>
      </x:c>
      <x:c r="M114" s="60" t="n">
        <x:v>6.1980051235</x:v>
      </x:c>
      <x:c r="N114" s="46" t="str">
        <x:v>cnidaria</x:v>
      </x:c>
      <x:c r="O114" s="62" t="n">
        <x:v>2.5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Cnidaria</x:v>
      </x:c>
      <x:c r="T114" s="62" t="n">
        <x:f>IF(O114="","",(1/'Metadata'!$B$5)^(O114-1))</x:f>
        <x:v>89.44271909999159</x:v>
      </x:c>
      <x:c r="U114" s="60" t="n">
        <x:f>IF(T114="","",I114*T114)</x:f>
        <x:v>5035.947063760972</x:v>
      </x:c>
    </x:row>
    <x:row r="115" ht="18" customHeight="1">
      <x:c r="A115" s="46" t="str">
        <x:v>LME_031</x:v>
      </x:c>
      <x:c r="B115" s="46" t="str">
        <x:v>Somali Coastal Current</x:v>
      </x:c>
      <x:c r="C115" s="46" t="str">
        <x:v>LME</x:v>
      </x:c>
      <x:c r="D115" s="58" t="n">
        <x:v>2019</x:v>
      </x:c>
      <x:c r="E115" s="46" t="str">
        <x:v>Polynemidae</x:v>
      </x:c>
      <x:c r="F115" s="46" t="str">
        <x:v>Threadfins</x:v>
      </x:c>
      <x:c r="G115" s="46" t="str">
        <x:v>Small demersals (&lt;30 cm)</x:v>
      </x:c>
      <x:c r="H115" s="46" t="str">
        <x:v>Perch-likes</x:v>
      </x:c>
      <x:c r="I115" s="60" t="n">
        <x:v>51.3362291607</x:v>
      </x:c>
      <x:c r="J115" s="60" t="n">
        <x:v>47.8067820901</x:v>
      </x:c>
      <x:c r="K115" s="60" t="n">
        <x:v>3.5294470706</x:v>
      </x:c>
      <x:c r="L115" s="60" t="n">
        <x:v>8.0472511767</x:v>
      </x:c>
      <x:c r="M115" s="60" t="n">
        <x:v>43.288977984</x:v>
      </x:c>
      <x:c r="N115" s="46" t="str">
        <x:v>polynemidae</x:v>
      </x:c>
      <x:c r="O115" s="62" t="n">
        <x:v>3.62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Polynemidae</x:v>
      </x:c>
      <x:c r="T115" s="62" t="n">
        <x:f>IF(O115="","",(1/'Metadata'!$B$5)^(O115-1))</x:f>
        <x:v>2562.7048371775754</x:v>
      </x:c>
      <x:c r="U115" s="60" t="n">
        <x:f>IF(T115="","",I115*T115)</x:f>
        <x:v>131559.6027925824</x:v>
      </x:c>
    </x:row>
    <x:row r="116" ht="18" customHeight="1">
      <x:c r="A116" s="46" t="str">
        <x:v>LME_031</x:v>
      </x:c>
      <x:c r="B116" s="46" t="str">
        <x:v>Somali Coastal Current</x:v>
      </x:c>
      <x:c r="C116" s="46" t="str">
        <x:v>LME</x:v>
      </x:c>
      <x:c r="D116" s="58" t="n">
        <x:v>2019</x:v>
      </x:c>
      <x:c r="E116" s="46" t="str">
        <x:v>Otolithes ruber</x:v>
      </x:c>
      <x:c r="F116" s="46" t="str">
        <x:v>Tigertooth croaker</x:v>
      </x:c>
      <x:c r="G116" s="46" t="str">
        <x:v>Medium benthopelagics (30 - 89 cm)</x:v>
      </x:c>
      <x:c r="H116" s="46" t="str">
        <x:v>Perch-likes</x:v>
      </x:c>
      <x:c r="I116" s="60" t="n">
        <x:v>51.328141577400004</x:v>
      </x:c>
      <x:c r="J116" s="60" t="n">
        <x:v>44.9953650225</x:v>
      </x:c>
      <x:c r="K116" s="60" t="n">
        <x:v>6.3327765549</x:v>
      </x:c>
      <x:c r="L116" s="60" t="n">
        <x:v>44.9953650225</x:v>
      </x:c>
      <x:c r="M116" s="60" t="n">
        <x:v>6.3327765549</x:v>
      </x:c>
      <x:c r="N116" s="46" t="str">
        <x:v>otolithes ruber</x:v>
      </x:c>
      <x:c r="O116" s="62" t="n">
        <x:v>3.6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Otolithes ruber</x:v>
      </x:c>
      <x:c r="T116" s="62" t="n">
        <x:f>IF(O116="","",(1/'Metadata'!$B$5)^(O116-1))</x:f>
        <x:v>2413.670534618066</x:v>
      </x:c>
      <x:c r="U116" s="60" t="n">
        <x:f>IF(T116="","",I116*T116)</x:f>
        <x:v>123889.22292207486</x:v>
      </x:c>
    </x:row>
    <x:row r="117" ht="18" customHeight="1">
      <x:c r="A117" s="46" t="str">
        <x:v>LME_031</x:v>
      </x:c>
      <x:c r="B117" s="46" t="str">
        <x:v>Somali Coastal Current</x:v>
      </x:c>
      <x:c r="C117" s="46" t="str">
        <x:v>LME</x:v>
      </x:c>
      <x:c r="D117" s="58" t="n">
        <x:v>2019</x:v>
      </x:c>
      <x:c r="E117" s="46" t="str">
        <x:v>Kajikia audax</x:v>
      </x:c>
      <x:c r="F117" s="46" t="str">
        <x:v>Striped marlin</x:v>
      </x:c>
      <x:c r="G117" s="46" t="str">
        <x:v>Large pelagics (&gt;=90 cm)</x:v>
      </x:c>
      <x:c r="H117" s="46" t="str">
        <x:v>Tuna &amp; billfishes</x:v>
      </x:c>
      <x:c r="I117" s="60" t="n">
        <x:v>50.7547614337</x:v>
      </x:c>
      <x:c r="J117" s="60" t="n">
        <x:v>50.7547614337</x:v>
      </x:c>
      <x:c r="K117" s="60" t="n">
        <x:v>0</x:v>
      </x:c>
      <x:c r="L117" s="60" t="n">
        <x:v>26.9717732595</x:v>
      </x:c>
      <x:c r="M117" s="60" t="n">
        <x:v>23.7829881742</x:v>
      </x:c>
      <x:c r="N117" s="46" t="str">
        <x:v>kajikia audax</x:v>
      </x:c>
      <x:c r="O117" s="62" t="n">
        <x:v>4.58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Kajikia audax</x:v>
      </x:c>
      <x:c r="T117" s="62" t="n">
        <x:f>IF(O117="","",(1/'Metadata'!$B$5)^(O117-1))</x:f>
        <x:v>45466.06667430095</x:v>
      </x:c>
      <x:c r="U117" s="60" t="n">
        <x:f>IF(T117="","",I117*T117)</x:f>
        <x:v>2307619.3673828426</x:v>
      </x:c>
    </x:row>
    <x:row r="118" ht="18" customHeight="1">
      <x:c r="A118" s="46" t="str">
        <x:v>LME_031</x:v>
      </x:c>
      <x:c r="B118" s="46" t="str">
        <x:v>Somali Coastal Current</x:v>
      </x:c>
      <x:c r="C118" s="46" t="str">
        <x:v>LME</x:v>
      </x:c>
      <x:c r="D118" s="58" t="n">
        <x:v>2019</x:v>
      </x:c>
      <x:c r="E118" s="46" t="str">
        <x:v>Penaeus monodon</x:v>
      </x:c>
      <x:c r="F118" s="46" t="str">
        <x:v>Giant tiger prawn</x:v>
      </x:c>
      <x:c r="G118" s="46" t="str">
        <x:v>Shrimps</x:v>
      </x:c>
      <x:c r="H118" s="46" t="str">
        <x:v>Crustaceans</x:v>
      </x:c>
      <x:c r="I118" s="60" t="n">
        <x:v>50.2716858155</x:v>
      </x:c>
      <x:c r="J118" s="60" t="n">
        <x:v>50.2716858155</x:v>
      </x:c>
      <x:c r="K118" s="60" t="n">
        <x:v>0</x:v>
      </x:c>
      <x:c r="L118" s="60" t="n">
        <x:v>49.3416999723</x:v>
      </x:c>
      <x:c r="M118" s="60" t="n">
        <x:v>0.9299858432</x:v>
      </x:c>
      <x:c r="N118" s="46" t="str">
        <x:v>penaeus monodon</x:v>
      </x:c>
      <x:c r="O118" s="62" t="n">
        <x:v>2.6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Penaeus monodon</x:v>
      </x:c>
      <x:c r="T118" s="62" t="n">
        <x:f>IF(O118="","",(1/'Metadata'!$B$5)^(O118-1))</x:f>
        <x:v>120.6835267309033</x:v>
      </x:c>
      <x:c r="U118" s="60" t="n">
        <x:f>IF(T118="","",I118*T118)</x:f>
        <x:v>6066.964338922467</x:v>
      </x:c>
    </x:row>
    <x:row r="119" ht="18" customHeight="1">
      <x:c r="A119" s="46" t="str">
        <x:v>LME_031</x:v>
      </x:c>
      <x:c r="B119" s="46" t="str">
        <x:v>Somali Coastal Current</x:v>
      </x:c>
      <x:c r="C119" s="46" t="str">
        <x:v>LME</x:v>
      </x:c>
      <x:c r="D119" s="58" t="n">
        <x:v>2019</x:v>
      </x:c>
      <x:c r="E119" s="46" t="str">
        <x:v>Miscellaneous aquatic invertebrates</x:v>
      </x:c>
      <x:c r="F119" s="46" t="str">
        <x:v>Aquatic invertebrates</x:v>
      </x:c>
      <x:c r="G119" s="46" t="str">
        <x:v>Other demersal invertebrates</x:v>
      </x:c>
      <x:c r="H119" s="46" t="str">
        <x:v>Other fishes &amp; inverts</x:v>
      </x:c>
      <x:c r="I119" s="60" t="n">
        <x:v>35.9925571964</x:v>
      </x:c>
      <x:c r="J119" s="60" t="n">
        <x:v>35.9925571964</x:v>
      </x:c>
      <x:c r="K119" s="60" t="n">
        <x:v>0</x:v>
      </x:c>
      <x:c r="L119" s="60" t="n">
        <x:v>0</x:v>
      </x:c>
      <x:c r="M119" s="60" t="n">
        <x:v>35.9925571964</x:v>
      </x:c>
      <x:c r="N119" s="46" t="str">
        <x:v>miscellaneous aquatic invertebrates</x:v>
      </x:c>
      <x:c r="O119" s="62" t="n">
        <x:v>2.43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Miscellaneous aquatic invertebrates</x:v>
      </x:c>
      <x:c r="T119" s="62" t="n">
        <x:f>IF(O119="","",(1/'Metadata'!$B$5)^(O119-1))</x:f>
        <x:v>72.52252122305909</x:v>
      </x:c>
      <x:c r="U119" s="60" t="n">
        <x:f>IF(T119="","",I119*T119)</x:f>
        <x:v>2610.270993148087</x:v>
      </x:c>
    </x:row>
    <x:row r="120" ht="18" customHeight="1">
      <x:c r="A120" s="46" t="str">
        <x:v>LME_031</x:v>
      </x:c>
      <x:c r="B120" s="46" t="str">
        <x:v>Somali Coastal Current</x:v>
      </x:c>
      <x:c r="C120" s="46" t="str">
        <x:v>LME</x:v>
      </x:c>
      <x:c r="D120" s="58" t="n">
        <x:v>2019</x:v>
      </x:c>
      <x:c r="E120" s="46" t="str">
        <x:v>Parastromateus niger</x:v>
      </x:c>
      <x:c r="F120" s="46" t="str">
        <x:v>Black pomfret</x:v>
      </x:c>
      <x:c r="G120" s="46" t="str">
        <x:v>Medium benthopelagics (30 - 89 cm)</x:v>
      </x:c>
      <x:c r="H120" s="46" t="str">
        <x:v>Perch-likes</x:v>
      </x:c>
      <x:c r="I120" s="60" t="n">
        <x:v>32.5989184448</x:v>
      </x:c>
      <x:c r="J120" s="60" t="n">
        <x:v>32.5989184448</x:v>
      </x:c>
      <x:c r="K120" s="60" t="n">
        <x:v>0</x:v>
      </x:c>
      <x:c r="L120" s="60" t="n">
        <x:v>0</x:v>
      </x:c>
      <x:c r="M120" s="60" t="n">
        <x:v>32.5989184448</x:v>
      </x:c>
      <x:c r="N120" s="46" t="str">
        <x:v>parastromateus niger</x:v>
      </x:c>
      <x:c r="O120" s="62" t="n">
        <x:v>2.93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Parastromateus niger</x:v>
      </x:c>
      <x:c r="T120" s="62" t="n">
        <x:f>IF(O120="","",(1/'Metadata'!$B$5)^(O120-1))</x:f>
        <x:v>324.3305747088626</x:v>
      </x:c>
      <x:c r="U120" s="60" t="n">
        <x:f>IF(T120="","",I120*T120)</x:f>
        <x:v>10572.825954089327</x:v>
      </x:c>
    </x:row>
    <x:row r="121" ht="18" customHeight="1">
      <x:c r="A121" s="46" t="str">
        <x:v>LME_031</x:v>
      </x:c>
      <x:c r="B121" s="46" t="str">
        <x:v>Somali Coastal Current</x:v>
      </x:c>
      <x:c r="C121" s="46" t="str">
        <x:v>LME</x:v>
      </x:c>
      <x:c r="D121" s="58" t="n">
        <x:v>2019</x:v>
      </x:c>
      <x:c r="E121" s="46" t="str">
        <x:v>Metapenaeus monoceros</x:v>
      </x:c>
      <x:c r="F121" s="46" t="str">
        <x:v>Speckled shrimp</x:v>
      </x:c>
      <x:c r="G121" s="46" t="str">
        <x:v>Shrimps</x:v>
      </x:c>
      <x:c r="H121" s="46" t="str">
        <x:v>Crustaceans</x:v>
      </x:c>
      <x:c r="I121" s="60" t="n">
        <x:v>30.3084819789</x:v>
      </x:c>
      <x:c r="J121" s="60" t="n">
        <x:v>30.3084819789</x:v>
      </x:c>
      <x:c r="K121" s="60" t="n">
        <x:v>0</x:v>
      </x:c>
      <x:c r="L121" s="60" t="n">
        <x:v>30.3084819789</x:v>
      </x:c>
      <x:c r="M121" s="60" t="n">
        <x:v>0</x:v>
      </x:c>
      <x:c r="N121" s="46" t="str">
        <x:v>metapenaeus monoceros</x:v>
      </x:c>
      <x:c r="O121" s="62" t="n">
        <x:v>2.7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Metapenaeus monoceros</x:v>
      </x:c>
      <x:c r="T121" s="62" t="n">
        <x:f>IF(O121="","",(1/'Metadata'!$B$5)^(O121-1))</x:f>
        <x:v>162.83621261476185</x:v>
      </x:c>
      <x:c r="U121" s="60" t="n">
        <x:f>IF(T121="","",I121*T121)</x:f>
        <x:v>4935.318415546839</x:v>
      </x:c>
    </x:row>
    <x:row r="122" ht="18" customHeight="1">
      <x:c r="A122" s="46" t="str">
        <x:v>LME_031</x:v>
      </x:c>
      <x:c r="B122" s="46" t="str">
        <x:v>Somali Coastal Current</x:v>
      </x:c>
      <x:c r="C122" s="46" t="str">
        <x:v>LME</x:v>
      </x:c>
      <x:c r="D122" s="58" t="n">
        <x:v>2019</x:v>
      </x:c>
      <x:c r="E122" s="46" t="str">
        <x:v>Istiompax indica</x:v>
      </x:c>
      <x:c r="F122" s="46" t="str">
        <x:v>Black marlin</x:v>
      </x:c>
      <x:c r="G122" s="46" t="str">
        <x:v>Large pelagics (&gt;=90 cm)</x:v>
      </x:c>
      <x:c r="H122" s="46" t="str">
        <x:v>Tuna &amp; billfishes</x:v>
      </x:c>
      <x:c r="I122" s="60" t="n">
        <x:v>27.3129507593</x:v>
      </x:c>
      <x:c r="J122" s="60" t="n">
        <x:v>27.3129507593</x:v>
      </x:c>
      <x:c r="K122" s="60" t="n">
        <x:v>0</x:v>
      </x:c>
      <x:c r="L122" s="60" t="n">
        <x:v>3.9827316302</x:v>
      </x:c>
      <x:c r="M122" s="60" t="n">
        <x:v>23.3302191291</x:v>
      </x:c>
      <x:c r="N122" s="46" t="str">
        <x:v>istiompax indica</x:v>
      </x:c>
      <x:c r="O122" s="62" t="n">
        <x:v>4.5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Istiompax indica</x:v>
      </x:c>
      <x:c r="T122" s="62" t="n">
        <x:f>IF(O122="","",(1/'Metadata'!$B$5)^(O122-1))</x:f>
        <x:v>35777.08763999664</x:v>
      </x:c>
      <x:c r="U122" s="60" t="n">
        <x:f>IF(T122="","",I122*T122)</x:f>
        <x:v>977177.8330223889</x:v>
      </x:c>
    </x:row>
    <x:row r="123" ht="18" customHeight="1">
      <x:c r="A123" s="46" t="str">
        <x:v>LME_031</x:v>
      </x:c>
      <x:c r="B123" s="46" t="str">
        <x:v>Somali Coastal Current</x:v>
      </x:c>
      <x:c r="C123" s="46" t="str">
        <x:v>LME</x:v>
      </x:c>
      <x:c r="D123" s="58" t="n">
        <x:v>2019</x:v>
      </x:c>
      <x:c r="E123" s="46" t="str">
        <x:v>Muraenidae</x:v>
      </x:c>
      <x:c r="F123" s="46" t="str">
        <x:v>Moray eels</x:v>
      </x:c>
      <x:c r="G123" s="46" t="str">
        <x:v>Large reef assoc. fish (&gt;=90 cm)</x:v>
      </x:c>
      <x:c r="H123" s="46" t="str">
        <x:v>Other fishes &amp; inverts</x:v>
      </x:c>
      <x:c r="I123" s="60" t="n">
        <x:v>25.2375298203</x:v>
      </x:c>
      <x:c r="J123" s="60" t="n">
        <x:v>25.2375298203</x:v>
      </x:c>
      <x:c r="K123" s="60" t="n">
        <x:v>0</x:v>
      </x:c>
      <x:c r="L123" s="60" t="n">
        <x:v>10.327537944000001</x:v>
      </x:c>
      <x:c r="M123" s="60" t="n">
        <x:v>14.9099918763</x:v>
      </x:c>
      <x:c r="N123" s="46" t="str">
        <x:v>muraenidae</x:v>
      </x:c>
      <x:c r="O123" s="62" t="n">
        <x:v>4.07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Muraenidae</x:v>
      </x:c>
      <x:c r="T123" s="62" t="n">
        <x:f>IF(O123="","",(1/'Metadata'!$B$5)^(O123-1))</x:f>
        <x:v>9866.476519743796</x:v>
      </x:c>
      <x:c r="U123" s="60" t="n">
        <x:f>IF(T123="","",I123*T123)</x:f>
        <x:v>249005.49538832382</x:v>
      </x:c>
    </x:row>
    <x:row r="124" ht="18" customHeight="1">
      <x:c r="A124" s="46" t="str">
        <x:v>LME_031</x:v>
      </x:c>
      <x:c r="B124" s="46" t="str">
        <x:v>Somali Coastal Current</x:v>
      </x:c>
      <x:c r="C124" s="46" t="str">
        <x:v>LME</x:v>
      </x:c>
      <x:c r="D124" s="58" t="n">
        <x:v>2019</x:v>
      </x:c>
      <x:c r="E124" s="46" t="str">
        <x:v>Thryssa</x:v>
      </x:c>
      <x:c r="F124" s="46" t="str">
        <x:v>Thryssas</x:v>
      </x:c>
      <x:c r="G124" s="46" t="str">
        <x:v>Small pelagics (&lt;30 cm)</x:v>
      </x:c>
      <x:c r="H124" s="46" t="str">
        <x:v>Anchovies</x:v>
      </x:c>
      <x:c r="I124" s="60" t="n">
        <x:v>23.048994715899997</x:v>
      </x:c>
      <x:c r="J124" s="60" t="n">
        <x:v>0</x:v>
      </x:c>
      <x:c r="K124" s="60" t="n">
        <x:v>23.048994715899997</x:v>
      </x:c>
      <x:c r="L124" s="60" t="n">
        <x:v>0</x:v>
      </x:c>
      <x:c r="M124" s="60" t="n">
        <x:v>23.048994715899997</x:v>
      </x:c>
      <x:c r="N124" s="46" t="str">
        <x:v>thryssa</x:v>
      </x:c>
      <x:c r="O124" s="62" t="n">
        <x:v>3.34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Thryssa</x:v>
      </x:c>
      <x:c r="T124" s="62" t="n">
        <x:f>IF(O124="","",(1/'Metadata'!$B$5)^(O124-1))</x:f>
        <x:v>1107.6694806197092</x:v>
      </x:c>
      <x:c r="U124" s="60" t="n">
        <x:f>IF(T124="","",I124*T124)</x:f>
        <x:v>25530.668005767373</x:v>
      </x:c>
    </x:row>
    <x:row r="125" ht="18" customHeight="1">
      <x:c r="A125" s="46" t="str">
        <x:v>LME_031</x:v>
      </x:c>
      <x:c r="B125" s="46" t="str">
        <x:v>Somali Coastal Current</x:v>
      </x:c>
      <x:c r="C125" s="46" t="str">
        <x:v>LME</x:v>
      </x:c>
      <x:c r="D125" s="58" t="n">
        <x:v>2019</x:v>
      </x:c>
      <x:c r="E125" s="46" t="str">
        <x:v>Holocentridae</x:v>
      </x:c>
      <x:c r="F125" s="46" t="str">
        <x:v>Squirrel-, soldierfishes</x:v>
      </x:c>
      <x:c r="G125" s="46" t="str">
        <x:v>Small reef assoc. fish (&lt;30 cm)</x:v>
      </x:c>
      <x:c r="H125" s="46" t="str">
        <x:v>Other fishes &amp; inverts</x:v>
      </x:c>
      <x:c r="I125" s="60" t="n">
        <x:v>22.664189581000002</x:v>
      </x:c>
      <x:c r="J125" s="60" t="n">
        <x:v>22.664189581000002</x:v>
      </x:c>
      <x:c r="K125" s="60" t="n">
        <x:v>0</x:v>
      </x:c>
      <x:c r="L125" s="60" t="n">
        <x:v>22.664189581000002</x:v>
      </x:c>
      <x:c r="M125" s="60" t="n">
        <x:v>0</x:v>
      </x:c>
      <x:c r="N125" s="46" t="str">
        <x:v>holocentridae</x:v>
      </x:c>
      <x:c r="O125" s="62" t="n">
        <x:v>3.49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Holocentridae</x:v>
      </x:c>
      <x:c r="T125" s="62" t="n">
        <x:f>IF(O125="","",(1/'Metadata'!$B$5)^(O125-1))</x:f>
        <x:v>1736.059833884101</x:v>
      </x:c>
      <x:c r="U125" s="60" t="n">
        <x:f>IF(T125="","",I125*T125)</x:f>
        <x:v>39346.389199108635</x:v>
      </x:c>
    </x:row>
    <x:row r="126" ht="18" customHeight="1">
      <x:c r="A126" s="46" t="str">
        <x:v>LME_031</x:v>
      </x:c>
      <x:c r="B126" s="46" t="str">
        <x:v>Somali Coastal Current</x:v>
      </x:c>
      <x:c r="C126" s="46" t="str">
        <x:v>LME</x:v>
      </x:c>
      <x:c r="D126" s="58" t="n">
        <x:v>2019</x:v>
      </x:c>
      <x:c r="E126" s="46" t="str">
        <x:v>Sillaginidae</x:v>
      </x:c>
      <x:c r="F126" s="46" t="str">
        <x:v>Smelt-whitings</x:v>
      </x:c>
      <x:c r="G126" s="46" t="str">
        <x:v>Medium demersals (30 - 89 cm)</x:v>
      </x:c>
      <x:c r="H126" s="46" t="str">
        <x:v>Perch-likes</x:v>
      </x:c>
      <x:c r="I126" s="60" t="n">
        <x:v>22.6608913247</x:v>
      </x:c>
      <x:c r="J126" s="60" t="n">
        <x:v>22.6608913247</x:v>
      </x:c>
      <x:c r="K126" s="60" t="n">
        <x:v>0</x:v>
      </x:c>
      <x:c r="L126" s="60" t="n">
        <x:v>22.6608913247</x:v>
      </x:c>
      <x:c r="M126" s="60" t="n">
        <x:v>0</x:v>
      </x:c>
      <x:c r="N126" s="46" t="str">
        <x:v>sillaginidae</x:v>
      </x:c>
      <x:c r="O126" s="62" t="n">
        <x:v>3.25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Sillaginidae</x:v>
      </x:c>
      <x:c r="T126" s="62" t="n">
        <x:f>IF(O126="","",(1/'Metadata'!$B$5)^(O126-1))</x:f>
        <x:v>845.8970107524513</x:v>
      </x:c>
      <x:c r="U126" s="60" t="n">
        <x:f>IF(T126="","",I126*T126)</x:f>
        <x:v>19168.780232549885</x:v>
      </x:c>
    </x:row>
    <x:row r="127" ht="18" customHeight="1">
      <x:c r="A127" s="46" t="str">
        <x:v>LME_031</x:v>
      </x:c>
      <x:c r="B127" s="46" t="str">
        <x:v>Somali Coastal Current</x:v>
      </x:c>
      <x:c r="C127" s="46" t="str">
        <x:v>LME</x:v>
      </x:c>
      <x:c r="D127" s="58" t="n">
        <x:v>2019</x:v>
      </x:c>
      <x:c r="E127" s="46" t="str">
        <x:v>Chondrichthyes</x:v>
      </x:c>
      <x:c r="F127" s="46" t="str">
        <x:v>Sharks, rays, chimaeras</x:v>
      </x:c>
      <x:c r="G127" s="46" t="str">
        <x:v>Large sharks (&gt;=90 cm)</x:v>
      </x:c>
      <x:c r="H127" s="46" t="str">
        <x:v>Sharks &amp; rays</x:v>
      </x:c>
      <x:c r="I127" s="60" t="n">
        <x:v>21.4960528252</x:v>
      </x:c>
      <x:c r="J127" s="60" t="n">
        <x:v>21.4960528252</x:v>
      </x:c>
      <x:c r="K127" s="60" t="n">
        <x:v>0</x:v>
      </x:c>
      <x:c r="L127" s="60" t="n">
        <x:v>1.0376045026</x:v>
      </x:c>
      <x:c r="M127" s="60" t="n">
        <x:v>20.4584483226</x:v>
      </x:c>
      <x:c r="N127" s="46" t="str">
        <x:v>chondrichthyes</x:v>
      </x:c>
      <x:c r="O127" s="62" t="n">
        <x:v>4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Chondrichthyes</x:v>
      </x:c>
      <x:c r="T127" s="62" t="n">
        <x:f>IF(O127="","",(1/'Metadata'!$B$5)^(O127-1))</x:f>
        <x:v>8000</x:v>
      </x:c>
      <x:c r="U127" s="60" t="n">
        <x:f>IF(T127="","",I127*T127)</x:f>
        <x:v>171968.4226016</x:v>
      </x:c>
    </x:row>
    <x:row r="128" ht="18" customHeight="1">
      <x:c r="A128" s="46" t="str">
        <x:v>LME_031</x:v>
      </x:c>
      <x:c r="B128" s="46" t="str">
        <x:v>Somali Coastal Current</x:v>
      </x:c>
      <x:c r="C128" s="46" t="str">
        <x:v>LME</x:v>
      </x:c>
      <x:c r="D128" s="58" t="n">
        <x:v>2019</x:v>
      </x:c>
      <x:c r="E128" s="46" t="str">
        <x:v>Penaeus semisulcatus</x:v>
      </x:c>
      <x:c r="F128" s="46" t="str">
        <x:v>Green tiger prawn</x:v>
      </x:c>
      <x:c r="G128" s="46" t="str">
        <x:v>Shrimps</x:v>
      </x:c>
      <x:c r="H128" s="46" t="str">
        <x:v>Crustaceans</x:v>
      </x:c>
      <x:c r="I128" s="60" t="n">
        <x:v>21.238488966600002</x:v>
      </x:c>
      <x:c r="J128" s="60" t="n">
        <x:v>21.238488966600002</x:v>
      </x:c>
      <x:c r="K128" s="60" t="n">
        <x:v>0</x:v>
      </x:c>
      <x:c r="L128" s="60" t="n">
        <x:v>13.9664106289</x:v>
      </x:c>
      <x:c r="M128" s="60" t="n">
        <x:v>7.2720783377</x:v>
      </x:c>
      <x:c r="N128" s="46" t="str">
        <x:v>penaeus semisulcatus</x:v>
      </x:c>
      <x:c r="O128" s="62" t="n">
        <x:v>2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Penaeus semisulcatus</x:v>
      </x:c>
      <x:c r="T128" s="62" t="n">
        <x:f>IF(O128="","",(1/'Metadata'!$B$5)^(O128-1))</x:f>
        <x:v>20</x:v>
      </x:c>
      <x:c r="U128" s="60" t="n">
        <x:f>IF(T128="","",I128*T128)</x:f>
        <x:v>424.76977933200004</x:v>
      </x:c>
    </x:row>
    <x:row r="129" ht="18" customHeight="1">
      <x:c r="A129" s="46" t="str">
        <x:v>LME_031</x:v>
      </x:c>
      <x:c r="B129" s="46" t="str">
        <x:v>Somali Coastal Current</x:v>
      </x:c>
      <x:c r="C129" s="46" t="str">
        <x:v>LME</x:v>
      </x:c>
      <x:c r="D129" s="58" t="n">
        <x:v>2019</x:v>
      </x:c>
      <x:c r="E129" s="46" t="str">
        <x:v>Diodontidae</x:v>
      </x:c>
      <x:c r="F129" s="46" t="str">
        <x:v>Porcupine-, burrfishes</x:v>
      </x:c>
      <x:c r="G129" s="46" t="str">
        <x:v>Medium reef assoc. fish (30 - 89 cm)</x:v>
      </x:c>
      <x:c r="H129" s="46" t="str">
        <x:v>Other fishes &amp; inverts</x:v>
      </x:c>
      <x:c r="I129" s="60" t="n">
        <x:v>21.110525337400002</x:v>
      </x:c>
      <x:c r="J129" s="60" t="n">
        <x:v>14.2022340131</x:v>
      </x:c>
      <x:c r="K129" s="60" t="n">
        <x:v>6.9082913243</x:v>
      </x:c>
      <x:c r="L129" s="60" t="n">
        <x:v>5.0370567543</x:v>
      </x:c>
      <x:c r="M129" s="60" t="n">
        <x:v>16.073468583100002</x:v>
      </x:c>
      <x:c r="N129" s="46" t="str">
        <x:v>diodontidae</x:v>
      </x:c>
      <x:c r="O129" s="62" t="n">
        <x:v>3.36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Diodontidae</x:v>
      </x:c>
      <x:c r="T129" s="62" t="n">
        <x:f>IF(O129="","",(1/'Metadata'!$B$5)^(O129-1))</x:f>
        <x:v>1176.0635493805207</x:v>
      </x:c>
      <x:c r="U129" s="60" t="n">
        <x:f>IF(T129="","",I129*T129)</x:f>
        <x:v>24827.319357590062</x:v>
      </x:c>
    </x:row>
    <x:row r="130" ht="18" customHeight="1">
      <x:c r="A130" s="46" t="str">
        <x:v>LME_031</x:v>
      </x:c>
      <x:c r="B130" s="46" t="str">
        <x:v>Somali Coastal Current</x:v>
      </x:c>
      <x:c r="C130" s="46" t="str">
        <x:v>LME</x:v>
      </x:c>
      <x:c r="D130" s="58" t="n">
        <x:v>2019</x:v>
      </x:c>
      <x:c r="E130" s="46" t="str">
        <x:v>Pomadasys maculatus</x:v>
      </x:c>
      <x:c r="F130" s="46" t="str">
        <x:v>Saddle grunt</x:v>
      </x:c>
      <x:c r="G130" s="46" t="str">
        <x:v>Medium reef assoc. fish (30 - 89 cm)</x:v>
      </x:c>
      <x:c r="H130" s="46" t="str">
        <x:v>Perch-likes</x:v>
      </x:c>
      <x:c r="I130" s="60" t="n">
        <x:v>20.4797750466</x:v>
      </x:c>
      <x:c r="J130" s="60" t="n">
        <x:v>17.13516467</x:v>
      </x:c>
      <x:c r="K130" s="60" t="n">
        <x:v>3.3446103766</x:v>
      </x:c>
      <x:c r="L130" s="60" t="n">
        <x:v>17.13516467</x:v>
      </x:c>
      <x:c r="M130" s="60" t="n">
        <x:v>3.3446103766</x:v>
      </x:c>
      <x:c r="N130" s="46" t="str">
        <x:v>pomadasys maculatus</x:v>
      </x:c>
      <x:c r="O130" s="62" t="n">
        <x:v>4.04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Pomadasys maculatus</x:v>
      </x:c>
      <x:c r="T130" s="62" t="n">
        <x:f>IF(O130="","",(1/'Metadata'!$B$5)^(O130-1))</x:f>
        <x:v>9018.435152653688</x:v>
      </x:c>
      <x:c r="U130" s="60" t="n">
        <x:f>IF(T130="","",I130*T130)</x:f>
        <x:v>184695.52319869728</x:v>
      </x:c>
    </x:row>
    <x:row r="131" ht="18" customHeight="1">
      <x:c r="A131" s="46" t="str">
        <x:v>LME_031</x:v>
      </x:c>
      <x:c r="B131" s="46" t="str">
        <x:v>Somali Coastal Current</x:v>
      </x:c>
      <x:c r="C131" s="46" t="str">
        <x:v>LME</x:v>
      </x:c>
      <x:c r="D131" s="58" t="n">
        <x:v>2019</x:v>
      </x:c>
      <x:c r="E131" s="46" t="str">
        <x:v>Upeneus sulphureus</x:v>
      </x:c>
      <x:c r="F131" s="46" t="str">
        <x:v>Sulphur goatfish</x:v>
      </x:c>
      <x:c r="G131" s="46" t="str">
        <x:v>Small demersals (&lt;30 cm)</x:v>
      </x:c>
      <x:c r="H131" s="46" t="str">
        <x:v>Perch-likes</x:v>
      </x:c>
      <x:c r="I131" s="60" t="n">
        <x:v>18.3987187966</x:v>
      </x:c>
      <x:c r="J131" s="60" t="n">
        <x:v>18.3987187966</x:v>
      </x:c>
      <x:c r="K131" s="60" t="n">
        <x:v>0</x:v>
      </x:c>
      <x:c r="L131" s="60" t="n">
        <x:v>18.3987187966</x:v>
      </x:c>
      <x:c r="M131" s="60" t="n">
        <x:v>0</x:v>
      </x:c>
      <x:c r="N131" s="46" t="str">
        <x:v>upeneus sulphureus</x:v>
      </x:c>
      <x:c r="O131" s="62" t="n">
        <x:v>3.08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Upeneus sulphureus</x:v>
      </x:c>
      <x:c r="T131" s="62" t="n">
        <x:f>IF(O131="","",(1/'Metadata'!$B$5)^(O131-1))</x:f>
        <x:v>508.32607876637354</x:v>
      </x:c>
      <x:c r="U131" s="60" t="n">
        <x:f>IF(T131="","",I131*T131)</x:f>
        <x:v>9352.54858020085</x:v>
      </x:c>
    </x:row>
    <x:row r="132" ht="18" customHeight="1">
      <x:c r="A132" s="46" t="str">
        <x:v>LME_031</x:v>
      </x:c>
      <x:c r="B132" s="46" t="str">
        <x:v>Somali Coastal Current</x:v>
      </x:c>
      <x:c r="C132" s="46" t="str">
        <x:v>LME</x:v>
      </x:c>
      <x:c r="D132" s="58" t="n">
        <x:v>2019</x:v>
      </x:c>
      <x:c r="E132" s="46" t="str">
        <x:v>Scombroidei</x:v>
      </x:c>
      <x:c r="F132" s="46" t="str">
        <x:v>Tunas, bonitos, billfishes</x:v>
      </x:c>
      <x:c r="G132" s="46" t="str">
        <x:v>Large pelagics (&gt;=90 cm)</x:v>
      </x:c>
      <x:c r="H132" s="46" t="str">
        <x:v>Tuna &amp; billfishes</x:v>
      </x:c>
      <x:c r="I132" s="60" t="n">
        <x:v>18.398435736899998</x:v>
      </x:c>
      <x:c r="J132" s="60" t="n">
        <x:v>18.398435736899998</x:v>
      </x:c>
      <x:c r="K132" s="60" t="n">
        <x:v>0</x:v>
      </x:c>
      <x:c r="L132" s="60" t="n">
        <x:v>18.398435736899998</x:v>
      </x:c>
      <x:c r="M132" s="60" t="n">
        <x:v>0</x:v>
      </x:c>
      <x:c r="N132" s="46" t="str">
        <x:v>scombroidei</x:v>
      </x:c>
      <x:c r="O132" s="62" t="n">
        <x:v>4.2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Scombroidei</x:v>
      </x:c>
      <x:c r="T132" s="62" t="n">
        <x:f>IF(O132="","",(1/'Metadata'!$B$5)^(O132-1))</x:f>
        <x:v>14564.51362420865</x:v>
      </x:c>
      <x:c r="U132" s="60" t="n">
        <x:f>IF(T132="","",I132*T132)</x:f>
        <x:v>267964.2679542073</x:v>
      </x:c>
    </x:row>
    <x:row r="133" ht="18" customHeight="1">
      <x:c r="A133" s="46" t="str">
        <x:v>LME_031</x:v>
      </x:c>
      <x:c r="B133" s="46" t="str">
        <x:v>Somali Coastal Current</x:v>
      </x:c>
      <x:c r="C133" s="46" t="str">
        <x:v>LME</x:v>
      </x:c>
      <x:c r="D133" s="58" t="n">
        <x:v>2019</x:v>
      </x:c>
      <x:c r="E133" s="46" t="str">
        <x:v>Upeneus vittatus</x:v>
      </x:c>
      <x:c r="F133" s="46" t="str">
        <x:v>Yellowstriped goatfish</x:v>
      </x:c>
      <x:c r="G133" s="46" t="str">
        <x:v>Small reef assoc. fish (&lt;30 cm)</x:v>
      </x:c>
      <x:c r="H133" s="46" t="str">
        <x:v>Perch-likes</x:v>
      </x:c>
      <x:c r="I133" s="60" t="n">
        <x:v>17.3744301229</x:v>
      </x:c>
      <x:c r="J133" s="60" t="n">
        <x:v>12.4288347722</x:v>
      </x:c>
      <x:c r="K133" s="60" t="n">
        <x:v>4.9455953507</x:v>
      </x:c>
      <x:c r="L133" s="60" t="n">
        <x:v>12.4288347722</x:v>
      </x:c>
      <x:c r="M133" s="60" t="n">
        <x:v>4.9455953507</x:v>
      </x:c>
      <x:c r="N133" s="46" t="str">
        <x:v>upeneus vittatus</x:v>
      </x:c>
      <x:c r="O133" s="62" t="n">
        <x:v>3.62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Upeneus vittatus</x:v>
      </x:c>
      <x:c r="T133" s="62" t="n">
        <x:f>IF(O133="","",(1/'Metadata'!$B$5)^(O133-1))</x:f>
        <x:v>2562.7048371775754</x:v>
      </x:c>
      <x:c r="U133" s="60" t="n">
        <x:f>IF(T133="","",I133*T133)</x:f>
        <x:v>44525.53611915961</x:v>
      </x:c>
    </x:row>
    <x:row r="134" ht="18" customHeight="1">
      <x:c r="A134" s="46" t="str">
        <x:v>LME_031</x:v>
      </x:c>
      <x:c r="B134" s="46" t="str">
        <x:v>Somali Coastal Current</x:v>
      </x:c>
      <x:c r="C134" s="46" t="str">
        <x:v>LME</x:v>
      </x:c>
      <x:c r="D134" s="58" t="n">
        <x:v>2019</x:v>
      </x:c>
      <x:c r="E134" s="46" t="str">
        <x:v>Photopectoralis bindus</x:v>
      </x:c>
      <x:c r="F134" s="46" t="str">
        <x:v>Orangefin ponyfish</x:v>
      </x:c>
      <x:c r="G134" s="46" t="str">
        <x:v>Large reef assoc. fish (&gt;=90 cm)</x:v>
      </x:c>
      <x:c r="H134" s="46" t="str">
        <x:v>Perch-likes</x:v>
      </x:c>
      <x:c r="I134" s="60" t="n">
        <x:v>17.1503171005</x:v>
      </x:c>
      <x:c r="J134" s="60" t="n">
        <x:v>13.0055616899</x:v>
      </x:c>
      <x:c r="K134" s="60" t="n">
        <x:v>4.1447554106</x:v>
      </x:c>
      <x:c r="L134" s="60" t="n">
        <x:v>13.0055616899</x:v>
      </x:c>
      <x:c r="M134" s="60" t="n">
        <x:v>4.1447554106</x:v>
      </x:c>
      <x:c r="N134" s="46" t="str">
        <x:v>photopectoralis bindus</x:v>
      </x:c>
      <x:c r="O134" s="62" t="n">
        <x:v>2.93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Photopectoralis bindus</x:v>
      </x:c>
      <x:c r="T134" s="62" t="n">
        <x:f>IF(O134="","",(1/'Metadata'!$B$5)^(O134-1))</x:f>
        <x:v>324.3305747088626</x:v>
      </x:c>
      <x:c r="U134" s="60" t="n">
        <x:f>IF(T134="","",I134*T134)</x:f>
        <x:v>5562.3722016444</x:v>
      </x:c>
    </x:row>
    <x:row r="135" ht="18" customHeight="1">
      <x:c r="A135" s="46" t="str">
        <x:v>LME_031</x:v>
      </x:c>
      <x:c r="B135" s="46" t="str">
        <x:v>Somali Coastal Current</x:v>
      </x:c>
      <x:c r="C135" s="46" t="str">
        <x:v>LME</x:v>
      </x:c>
      <x:c r="D135" s="58" t="n">
        <x:v>2019</x:v>
      </x:c>
      <x:c r="E135" s="46" t="str">
        <x:v>Pomatomus saltatrix</x:v>
      </x:c>
      <x:c r="F135" s="46" t="str">
        <x:v>Bluefish</x:v>
      </x:c>
      <x:c r="G135" s="46" t="str">
        <x:v>Large pelagics (&gt;=90 cm)</x:v>
      </x:c>
      <x:c r="H135" s="46" t="str">
        <x:v>Perch-likes</x:v>
      </x:c>
      <x:c r="I135" s="60" t="n">
        <x:v>15.7988437638</x:v>
      </x:c>
      <x:c r="J135" s="60" t="n">
        <x:v>15.7988437638</x:v>
      </x:c>
      <x:c r="K135" s="60" t="n">
        <x:v>0</x:v>
      </x:c>
      <x:c r="L135" s="60" t="n">
        <x:v>15.7988437638</x:v>
      </x:c>
      <x:c r="M135" s="60" t="n">
        <x:v>0</x:v>
      </x:c>
      <x:c r="N135" s="46" t="str">
        <x:v>pomatomus saltatrix</x:v>
      </x:c>
      <x:c r="O135" s="62" t="n">
        <x:v>4.53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Pomatomus saltatrix</x:v>
      </x:c>
      <x:c r="T135" s="62" t="n">
        <x:f>IF(O135="","",(1/'Metadata'!$B$5)^(O135-1))</x:f>
        <x:v>39141.35758252625</x:v>
      </x:c>
      <x:c r="U135" s="60" t="n">
        <x:f>IF(T135="","",I135*T135)</x:f>
        <x:v>618388.1931493607</x:v>
      </x:c>
    </x:row>
    <x:row r="136" ht="18" customHeight="1">
      <x:c r="A136" s="46" t="str">
        <x:v>LME_031</x:v>
      </x:c>
      <x:c r="B136" s="46" t="str">
        <x:v>Somali Coastal Current</x:v>
      </x:c>
      <x:c r="C136" s="46" t="str">
        <x:v>LME</x:v>
      </x:c>
      <x:c r="D136" s="58" t="n">
        <x:v>2019</x:v>
      </x:c>
      <x:c r="E136" s="46" t="str">
        <x:v>Seriolina nigrofasciata</x:v>
      </x:c>
      <x:c r="F136" s="46" t="str">
        <x:v>Blackbanded trevally</x:v>
      </x:c>
      <x:c r="G136" s="46" t="str">
        <x:v>Medium reef assoc. fish (30 - 89 cm)</x:v>
      </x:c>
      <x:c r="H136" s="46" t="str">
        <x:v>Perch-likes</x:v>
      </x:c>
      <x:c r="I136" s="60" t="n">
        <x:v>15.5917164881</x:v>
      </x:c>
      <x:c r="J136" s="60" t="n">
        <x:v>15.5917164881</x:v>
      </x:c>
      <x:c r="K136" s="60" t="n">
        <x:v>0</x:v>
      </x:c>
      <x:c r="L136" s="60" t="n">
        <x:v>0</x:v>
      </x:c>
      <x:c r="M136" s="60" t="n">
        <x:v>15.5917164881</x:v>
      </x:c>
      <x:c r="N136" s="46" t="str">
        <x:v>seriolina nigrofasciata</x:v>
      </x:c>
      <x:c r="O136" s="62" t="n">
        <x:v>4.17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Seriolina nigrofasciata</x:v>
      </x:c>
      <x:c r="T136" s="62" t="n">
        <x:f>IF(O136="","",(1/'Metadata'!$B$5)^(O136-1))</x:f>
        <x:v>13312.667535064244</x:v>
      </x:c>
      <x:c r="U136" s="60" t="n">
        <x:f>IF(T136="","",I136*T136)</x:f>
        <x:v>207567.33790705475</x:v>
      </x:c>
    </x:row>
    <x:row r="137" ht="18" customHeight="1">
      <x:c r="A137" s="46" t="str">
        <x:v>LME_031</x:v>
      </x:c>
      <x:c r="B137" s="46" t="str">
        <x:v>Somali Coastal Current</x:v>
      </x:c>
      <x:c r="C137" s="46" t="str">
        <x:v>LME</x:v>
      </x:c>
      <x:c r="D137" s="58" t="n">
        <x:v>2019</x:v>
      </x:c>
      <x:c r="E137" s="46" t="str">
        <x:v>Ephippidae</x:v>
      </x:c>
      <x:c r="F137" s="46" t="str">
        <x:v>Spade-, batfishes, scats</x:v>
      </x:c>
      <x:c r="G137" s="46" t="str">
        <x:v>Medium reef assoc. fish (30 - 89 cm)</x:v>
      </x:c>
      <x:c r="H137" s="46" t="str">
        <x:v>Perch-likes</x:v>
      </x:c>
      <x:c r="I137" s="60" t="n">
        <x:v>15.1402059038</x:v>
      </x:c>
      <x:c r="J137" s="60" t="n">
        <x:v>15.1402059038</x:v>
      </x:c>
      <x:c r="K137" s="60" t="n">
        <x:v>0</x:v>
      </x:c>
      <x:c r="L137" s="60" t="n">
        <x:v>14.8933239819</x:v>
      </x:c>
      <x:c r="M137" s="60" t="n">
        <x:v>0.24688192190000002</x:v>
      </x:c>
      <x:c r="N137" s="46" t="str">
        <x:v>ephippidae</x:v>
      </x:c>
      <x:c r="O137" s="62" t="n">
        <x:v>3.57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Ephippidae</x:v>
      </x:c>
      <x:c r="T137" s="62" t="n">
        <x:f>IF(O137="","",(1/'Metadata'!$B$5)^(O137-1))</x:f>
        <x:v>2206.2112196552644</x:v>
      </x:c>
      <x:c r="U137" s="60" t="n">
        <x:f>IF(T137="","",I137*T137)</x:f>
        <x:v>33402.49213285443</x:v>
      </x:c>
    </x:row>
    <x:row r="138" ht="18" customHeight="1">
      <x:c r="A138" s="46" t="str">
        <x:v>LME_031</x:v>
      </x:c>
      <x:c r="B138" s="46" t="str">
        <x:v>Somali Coastal Current</x:v>
      </x:c>
      <x:c r="C138" s="46" t="str">
        <x:v>LME</x:v>
      </x:c>
      <x:c r="D138" s="58" t="n">
        <x:v>2019</x:v>
      </x:c>
      <x:c r="E138" s="46" t="str">
        <x:v>Rachycentridae</x:v>
      </x:c>
      <x:c r="F138" s="46" t="str">
        <x:v>Cobias</x:v>
      </x:c>
      <x:c r="G138" s="46" t="str">
        <x:v>Large pelagics (&gt;=90 cm)</x:v>
      </x:c>
      <x:c r="H138" s="46" t="str">
        <x:v>Perch-likes</x:v>
      </x:c>
      <x:c r="I138" s="60" t="n">
        <x:v>13.703860579999999</x:v>
      </x:c>
      <x:c r="J138" s="60" t="n">
        <x:v>13.703860579999999</x:v>
      </x:c>
      <x:c r="K138" s="60" t="n">
        <x:v>0</x:v>
      </x:c>
      <x:c r="L138" s="60" t="n">
        <x:v>2.6150142062</x:v>
      </x:c>
      <x:c r="M138" s="60" t="n">
        <x:v>11.0888463738</x:v>
      </x:c>
      <x:c r="N138" s="46" t="str">
        <x:v>rachycentridae</x:v>
      </x:c>
      <x:c r="O138" s="62" t="n">
        <x:v>3.96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Rachycentridae</x:v>
      </x:c>
      <x:c r="T138" s="62" t="n">
        <x:f>IF(O138="","",(1/'Metadata'!$B$5)^(O138-1))</x:f>
        <x:v>7096.574839945253</x:v>
      </x:c>
      <x:c r="U138" s="60" t="n">
        <x:f>IF(T138="","",I138*T138)</x:f>
        <x:v>97250.47220214555</x:v>
      </x:c>
    </x:row>
    <x:row r="139" ht="18" customHeight="1">
      <x:c r="A139" s="46" t="str">
        <x:v>LME_031</x:v>
      </x:c>
      <x:c r="B139" s="46" t="str">
        <x:v>Somali Coastal Current</x:v>
      </x:c>
      <x:c r="C139" s="46" t="str">
        <x:v>LME</x:v>
      </x:c>
      <x:c r="D139" s="58" t="n">
        <x:v>2019</x:v>
      </x:c>
      <x:c r="E139" s="46" t="str">
        <x:v>Sphyraena flavicauda</x:v>
      </x:c>
      <x:c r="F139" s="46" t="str">
        <x:v>Yellowtail barracuda</x:v>
      </x:c>
      <x:c r="G139" s="46" t="str">
        <x:v>Medium reef assoc. fish (30 - 89 cm)</x:v>
      </x:c>
      <x:c r="H139" s="46" t="str">
        <x:v>Perch-likes</x:v>
      </x:c>
      <x:c r="I139" s="60" t="n">
        <x:v>13.4094919164</x:v>
      </x:c>
      <x:c r="J139" s="60" t="n">
        <x:v>13.4094919164</x:v>
      </x:c>
      <x:c r="K139" s="60" t="n">
        <x:v>0</x:v>
      </x:c>
      <x:c r="L139" s="60" t="n">
        <x:v>13.4094919164</x:v>
      </x:c>
      <x:c r="M139" s="60" t="n">
        <x:v>0</x:v>
      </x:c>
      <x:c r="N139" s="46" t="str">
        <x:v>sphyraena flavicauda</x:v>
      </x:c>
      <x:c r="O139" s="62" t="n">
        <x:v>3.76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Sphyraena flavicauda</x:v>
      </x:c>
      <x:c r="T139" s="62" t="n">
        <x:f>IF(O139="","",(1/'Metadata'!$B$5)^(O139-1))</x:f>
        <x:v>3898.0085558913897</x:v>
      </x:c>
      <x:c r="U139" s="60" t="n">
        <x:f>IF(T139="","",I139*T139)</x:f>
        <x:v>52270.31422028363</x:v>
      </x:c>
    </x:row>
    <x:row r="140" ht="18" customHeight="1">
      <x:c r="A140" s="46" t="str">
        <x:v>LME_031</x:v>
      </x:c>
      <x:c r="B140" s="46" t="str">
        <x:v>Somali Coastal Current</x:v>
      </x:c>
      <x:c r="C140" s="46" t="str">
        <x:v>LME</x:v>
      </x:c>
      <x:c r="D140" s="58" t="n">
        <x:v>2019</x:v>
      </x:c>
      <x:c r="E140" s="46" t="str">
        <x:v>Makaira mazara</x:v>
      </x:c>
      <x:c r="F140" s="46" t="str">
        <x:v>Indo-Pacific blue marlin</x:v>
      </x:c>
      <x:c r="G140" s="46" t="str">
        <x:v>Large pelagics (&gt;=90 cm)</x:v>
      </x:c>
      <x:c r="H140" s="46" t="str">
        <x:v>Tuna &amp; billfishes</x:v>
      </x:c>
      <x:c r="I140" s="60" t="n">
        <x:v>13.1076191052</x:v>
      </x:c>
      <x:c r="J140" s="60" t="n">
        <x:v>13.1076191052</x:v>
      </x:c>
      <x:c r="K140" s="60" t="n">
        <x:v>0</x:v>
      </x:c>
      <x:c r="L140" s="60" t="n">
        <x:v>0</x:v>
      </x:c>
      <x:c r="M140" s="60" t="n">
        <x:v>13.1076191052</x:v>
      </x:c>
      <x:c r="N140" s="46" t="str">
        <x:v>makaira mazara</x:v>
      </x:c>
      <x:c r="O140" s="62" t="n">
        <x:v>4.46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Makaira mazara</x:v>
      </x:c>
      <x:c r="T140" s="62" t="n">
        <x:f>IF(O140="","",(1/'Metadata'!$B$5)^(O140-1))</x:f>
        <x:v>31736.84749906455</x:v>
      </x:c>
      <x:c r="U140" s="60" t="n">
        <x:f>IF(T140="","",I140*T140)</x:f>
        <x:v>415994.50861755735</x:v>
      </x:c>
    </x:row>
    <x:row r="141" ht="18" customHeight="1">
      <x:c r="A141" s="46" t="str">
        <x:v>LME_031</x:v>
      </x:c>
      <x:c r="B141" s="46" t="str">
        <x:v>Somali Coastal Current</x:v>
      </x:c>
      <x:c r="C141" s="46" t="str">
        <x:v>LME</x:v>
      </x:c>
      <x:c r="D141" s="58" t="n">
        <x:v>2019</x:v>
      </x:c>
      <x:c r="E141" s="46" t="str">
        <x:v>Sphyraena jello</x:v>
      </x:c>
      <x:c r="F141" s="46" t="str">
        <x:v>Pickhandle barracuda</x:v>
      </x:c>
      <x:c r="G141" s="46" t="str">
        <x:v>Large reef assoc. fish (&gt;=90 cm)</x:v>
      </x:c>
      <x:c r="H141" s="46" t="str">
        <x:v>Perch-likes</x:v>
      </x:c>
      <x:c r="I141" s="60" t="n">
        <x:v>11.2064772966</x:v>
      </x:c>
      <x:c r="J141" s="60" t="n">
        <x:v>11.2064772966</x:v>
      </x:c>
      <x:c r="K141" s="60" t="n">
        <x:v>0</x:v>
      </x:c>
      <x:c r="L141" s="60" t="n">
        <x:v>11.2064772966</x:v>
      </x:c>
      <x:c r="M141" s="60" t="n">
        <x:v>0</x:v>
      </x:c>
      <x:c r="N141" s="46" t="str">
        <x:v>sphyraena jello</x:v>
      </x:c>
      <x:c r="O141" s="62" t="n">
        <x:v>4.5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Sphyraena jello</x:v>
      </x:c>
      <x:c r="T141" s="62" t="n">
        <x:f>IF(O141="","",(1/'Metadata'!$B$5)^(O141-1))</x:f>
        <x:v>35777.08763999664</x:v>
      </x:c>
      <x:c r="U141" s="60" t="n">
        <x:f>IF(T141="","",I141*T141)</x:f>
        <x:v>400935.12037609075</x:v>
      </x:c>
    </x:row>
    <x:row r="142" ht="18" customHeight="1">
      <x:c r="A142" s="46" t="str">
        <x:v>LME_031</x:v>
      </x:c>
      <x:c r="B142" s="46" t="str">
        <x:v>Somali Coastal Current</x:v>
      </x:c>
      <x:c r="C142" s="46" t="str">
        <x:v>LME</x:v>
      </x:c>
      <x:c r="D142" s="58" t="n">
        <x:v>2019</x:v>
      </x:c>
      <x:c r="E142" s="46" t="str">
        <x:v>Pampus argenteus</x:v>
      </x:c>
      <x:c r="F142" s="46" t="str">
        <x:v>Silver pomfret</x:v>
      </x:c>
      <x:c r="G142" s="46" t="str">
        <x:v>Medium benthopelagics (30 - 89 cm)</x:v>
      </x:c>
      <x:c r="H142" s="46" t="str">
        <x:v>Perch-likes</x:v>
      </x:c>
      <x:c r="I142" s="60" t="n">
        <x:v>10.2279027736</x:v>
      </x:c>
      <x:c r="J142" s="60" t="n">
        <x:v>10.2279027736</x:v>
      </x:c>
      <x:c r="K142" s="60" t="n">
        <x:v>0</x:v>
      </x:c>
      <x:c r="L142" s="60" t="n">
        <x:v>0</x:v>
      </x:c>
      <x:c r="M142" s="60" t="n">
        <x:v>10.2279027736</x:v>
      </x:c>
      <x:c r="N142" s="46" t="str">
        <x:v>pampus argenteus</x:v>
      </x:c>
      <x:c r="O142" s="62" t="n">
        <x:v>3.3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Pampus argenteus</x:v>
      </x:c>
      <x:c r="T142" s="62" t="n">
        <x:f>IF(O142="","",(1/'Metadata'!$B$5)^(O142-1))</x:f>
        <x:v>982.5824208926318</x:v>
      </x:c>
      <x:c r="U142" s="60" t="n">
        <x:f>IF(T142="","",I142*T142)</x:f>
        <x:v>10049.757467938352</x:v>
      </x:c>
    </x:row>
    <x:row r="143" ht="18" customHeight="1">
      <x:c r="A143" s="46" t="str">
        <x:v>LME_031</x:v>
      </x:c>
      <x:c r="B143" s="46" t="str">
        <x:v>Somali Coastal Current</x:v>
      </x:c>
      <x:c r="C143" s="46" t="str">
        <x:v>LME</x:v>
      </x:c>
      <x:c r="D143" s="58" t="n">
        <x:v>2019</x:v>
      </x:c>
      <x:c r="E143" s="46" t="str">
        <x:v>Metapenaeus</x:v>
      </x:c>
      <x:c r="F143" s="46" t="str">
        <x:v>Indo-Pacific prawns</x:v>
      </x:c>
      <x:c r="G143" s="46" t="str">
        <x:v>Shrimps</x:v>
      </x:c>
      <x:c r="H143" s="46" t="str">
        <x:v>Crustaceans</x:v>
      </x:c>
      <x:c r="I143" s="60" t="n">
        <x:v>9.675874882</x:v>
      </x:c>
      <x:c r="J143" s="60" t="n">
        <x:v>9.675874882</x:v>
      </x:c>
      <x:c r="K143" s="60" t="n">
        <x:v>0</x:v>
      </x:c>
      <x:c r="L143" s="60" t="n">
        <x:v>4.8203510188</x:v>
      </x:c>
      <x:c r="M143" s="60" t="n">
        <x:v>4.8555238632</x:v>
      </x:c>
      <x:c r="N143" s="46" t="str">
        <x:v>metapenaeus</x:v>
      </x:c>
      <x:c r="O143" s="62" t="n">
        <x:v>2.7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Metapenaeus</x:v>
      </x:c>
      <x:c r="T143" s="62" t="n">
        <x:f>IF(O143="","",(1/'Metadata'!$B$5)^(O143-1))</x:f>
        <x:v>162.83621261476185</x:v>
      </x:c>
      <x:c r="U143" s="60" t="n">
        <x:f>IF(T143="","",I143*T143)</x:f>
        <x:v>1575.5828195191857</x:v>
      </x:c>
    </x:row>
    <x:row r="144" ht="18" customHeight="1">
      <x:c r="A144" s="46" t="str">
        <x:v>LME_031</x:v>
      </x:c>
      <x:c r="B144" s="46" t="str">
        <x:v>Somali Coastal Current</x:v>
      </x:c>
      <x:c r="C144" s="46" t="str">
        <x:v>LME</x:v>
      </x:c>
      <x:c r="D144" s="58" t="n">
        <x:v>2019</x:v>
      </x:c>
      <x:c r="E144" s="46" t="str">
        <x:v>Lobotes surinamensis</x:v>
      </x:c>
      <x:c r="F144" s="46" t="str">
        <x:v>Tripletail</x:v>
      </x:c>
      <x:c r="G144" s="46" t="str">
        <x:v>Large benthopelagics (&gt;=90 cm)</x:v>
      </x:c>
      <x:c r="H144" s="46" t="str">
        <x:v>Perch-likes</x:v>
      </x:c>
      <x:c r="I144" s="60" t="n">
        <x:v>9.4622311656</x:v>
      </x:c>
      <x:c r="J144" s="60" t="n">
        <x:v>9.4622311656</x:v>
      </x:c>
      <x:c r="K144" s="60" t="n">
        <x:v>0</x:v>
      </x:c>
      <x:c r="L144" s="60" t="n">
        <x:v>9.4622311656</x:v>
      </x:c>
      <x:c r="M144" s="60" t="n">
        <x:v>0</x:v>
      </x:c>
      <x:c r="N144" s="46" t="str">
        <x:v>lobotes surinamensis</x:v>
      </x:c>
      <x:c r="O144" s="62" t="n">
        <x:v>4.04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Lobotes surinamensis</x:v>
      </x:c>
      <x:c r="T144" s="62" t="n">
        <x:f>IF(O144="","",(1/'Metadata'!$B$5)^(O144-1))</x:f>
        <x:v>9018.435152653688</x:v>
      </x:c>
      <x:c r="U144" s="60" t="n">
        <x:f>IF(T144="","",I144*T144)</x:f>
        <x:v>85334.51816638233</x:v>
      </x:c>
    </x:row>
    <x:row r="145" ht="18" customHeight="1">
      <x:c r="A145" s="46" t="str">
        <x:v>LME_031</x:v>
      </x:c>
      <x:c r="B145" s="46" t="str">
        <x:v>Somali Coastal Current</x:v>
      </x:c>
      <x:c r="C145" s="46" t="str">
        <x:v>LME</x:v>
      </x:c>
      <x:c r="D145" s="58" t="n">
        <x:v>2019</x:v>
      </x:c>
      <x:c r="E145" s="46" t="str">
        <x:v>Ariomma indica</x:v>
      </x:c>
      <x:c r="F145" s="46" t="str">
        <x:v>Indian driftfish</x:v>
      </x:c>
      <x:c r="G145" s="46" t="str">
        <x:v>Small benthopelagics (&lt;30 cm)</x:v>
      </x:c>
      <x:c r="H145" s="46" t="str">
        <x:v>Perch-likes</x:v>
      </x:c>
      <x:c r="I145" s="60" t="n">
        <x:v>8.8817531716</x:v>
      </x:c>
      <x:c r="J145" s="60" t="n">
        <x:v>8.8817531716</x:v>
      </x:c>
      <x:c r="K145" s="60" t="n">
        <x:v>0</x:v>
      </x:c>
      <x:c r="L145" s="60" t="n">
        <x:v>8.8817531716</x:v>
      </x:c>
      <x:c r="M145" s="60" t="n">
        <x:v>0</x:v>
      </x:c>
      <x:c r="N145" s="46" t="str">
        <x:v>ariomma indica</x:v>
      </x:c>
      <x:c r="O145" s="62" t="n">
        <x:v>3.63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Ariomma indica</x:v>
      </x:c>
      <x:c r="T145" s="62" t="n">
        <x:f>IF(O145="","",(1/'Metadata'!$B$5)^(O145-1))</x:f>
        <x:v>2640.638121038009</x:v>
      </x:c>
      <x:c r="U145" s="60" t="n">
        <x:f>IF(T145="","",I145*T145)</x:f>
        <x:v>23453.496006577203</x:v>
      </x:c>
    </x:row>
    <x:row r="146" ht="18" customHeight="1">
      <x:c r="A146" s="46" t="str">
        <x:v>LME_031</x:v>
      </x:c>
      <x:c r="B146" s="46" t="str">
        <x:v>Somali Coastal Current</x:v>
      </x:c>
      <x:c r="C146" s="46" t="str">
        <x:v>LME</x:v>
      </x:c>
      <x:c r="D146" s="58" t="n">
        <x:v>2019</x:v>
      </x:c>
      <x:c r="E146" s="46" t="str">
        <x:v>Isurus oxyrinchus</x:v>
      </x:c>
      <x:c r="F146" s="46" t="str">
        <x:v>Shortfin mako</x:v>
      </x:c>
      <x:c r="G146" s="46" t="str">
        <x:v>Large sharks (&gt;=90 cm)</x:v>
      </x:c>
      <x:c r="H146" s="46" t="str">
        <x:v>Sharks &amp; rays</x:v>
      </x:c>
      <x:c r="I146" s="60" t="n">
        <x:v>8.1272866056</x:v>
      </x:c>
      <x:c r="J146" s="60" t="n">
        <x:v>8.1272866056</x:v>
      </x:c>
      <x:c r="K146" s="60" t="n">
        <x:v>0</x:v>
      </x:c>
      <x:c r="L146" s="60" t="n">
        <x:v>7.0866905758000005</x:v>
      </x:c>
      <x:c r="M146" s="60" t="n">
        <x:v>1.0405960298</x:v>
      </x:c>
      <x:c r="N146" s="46" t="str">
        <x:v>isurus oxyrinchus</x:v>
      </x:c>
      <x:c r="O146" s="62" t="n">
        <x:v>4.5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Isurus oxyrinchus</x:v>
      </x:c>
      <x:c r="T146" s="62" t="n">
        <x:f>IF(O146="","",(1/'Metadata'!$B$5)^(O146-1))</x:f>
        <x:v>35777.08763999664</x:v>
      </x:c>
      <x:c r="U146" s="60" t="n">
        <x:f>IF(T146="","",I146*T146)</x:f>
        <x:v>290770.645163922</x:v>
      </x:c>
    </x:row>
    <x:row r="147" ht="18" customHeight="1">
      <x:c r="A147" s="46" t="str">
        <x:v>LME_031</x:v>
      </x:c>
      <x:c r="B147" s="46" t="str">
        <x:v>Somali Coastal Current</x:v>
      </x:c>
      <x:c r="C147" s="46" t="str">
        <x:v>LME</x:v>
      </x:c>
      <x:c r="D147" s="58" t="n">
        <x:v>2019</x:v>
      </x:c>
      <x:c r="E147" s="46" t="str">
        <x:v>Pomacanthidae</x:v>
      </x:c>
      <x:c r="F147" s="46" t="str">
        <x:v>Angelfishes</x:v>
      </x:c>
      <x:c r="G147" s="46" t="str">
        <x:v>Medium reef assoc. fish (30 - 89 cm)</x:v>
      </x:c>
      <x:c r="H147" s="46" t="str">
        <x:v>Perch-likes</x:v>
      </x:c>
      <x:c r="I147" s="60" t="n">
        <x:v>7.8964908627</x:v>
      </x:c>
      <x:c r="J147" s="60" t="n">
        <x:v>7.8964908627</x:v>
      </x:c>
      <x:c r="K147" s="60" t="n">
        <x:v>0</x:v>
      </x:c>
      <x:c r="L147" s="60" t="n">
        <x:v>7.8964908627</x:v>
      </x:c>
      <x:c r="M147" s="60" t="n">
        <x:v>0</x:v>
      </x:c>
      <x:c r="N147" s="46" t="str">
        <x:v>pomacanthidae</x:v>
      </x:c>
      <x:c r="O147" s="62" t="n">
        <x:v>2.86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Pomacanthidae</x:v>
      </x:c>
      <x:c r="T147" s="62" t="n">
        <x:f>IF(O147="","",(1/'Metadata'!$B$5)^(O147-1))</x:f>
        <x:v>262.9758042274525</x:v>
      </x:c>
      <x:c r="U147" s="60" t="n">
        <x:f>IF(T147="","",I147*T147)</x:f>
        <x:v>2076.586035193263</x:v>
      </x:c>
    </x:row>
    <x:row r="148" ht="18" customHeight="1">
      <x:c r="A148" s="46" t="str">
        <x:v>LME_031</x:v>
      </x:c>
      <x:c r="B148" s="46" t="str">
        <x:v>Somali Coastal Current</x:v>
      </x:c>
      <x:c r="C148" s="46" t="str">
        <x:v>LME</x:v>
      </x:c>
      <x:c r="D148" s="58" t="n">
        <x:v>2019</x:v>
      </x:c>
      <x:c r="E148" s="46" t="str">
        <x:v>Galeocerdo cuvier</x:v>
      </x:c>
      <x:c r="F148" s="46" t="str">
        <x:v>Tiger shark</x:v>
      </x:c>
      <x:c r="G148" s="46" t="str">
        <x:v>Large sharks (&gt;=90 cm)</x:v>
      </x:c>
      <x:c r="H148" s="46" t="str">
        <x:v>Sharks &amp; rays</x:v>
      </x:c>
      <x:c r="I148" s="60" t="n">
        <x:v>7.6529756854</x:v>
      </x:c>
      <x:c r="J148" s="60" t="n">
        <x:v>7.6529756854</x:v>
      </x:c>
      <x:c r="K148" s="60" t="n">
        <x:v>0</x:v>
      </x:c>
      <x:c r="L148" s="60" t="n">
        <x:v>0</x:v>
      </x:c>
      <x:c r="M148" s="60" t="n">
        <x:v>7.6529756854</x:v>
      </x:c>
      <x:c r="N148" s="46" t="str">
        <x:v>galeocerdo cuvier</x:v>
      </x:c>
      <x:c r="O148" s="62" t="n">
        <x:v>4.54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Galeocerdo cuvier</x:v>
      </x:c>
      <x:c r="T148" s="62" t="n">
        <x:f>IF(O148="","",(1/'Metadata'!$B$5)^(O148-1))</x:f>
        <x:v>40331.66810401469</x:v>
      </x:c>
      <x:c r="U148" s="60" t="n">
        <x:f>IF(T148="","",I148*T148)</x:f>
        <x:v>308657.2753516471</x:v>
      </x:c>
    </x:row>
    <x:row r="149" ht="18" customHeight="1">
      <x:c r="A149" s="46" t="str">
        <x:v>LME_031</x:v>
      </x:c>
      <x:c r="B149" s="46" t="str">
        <x:v>Somali Coastal Current</x:v>
      </x:c>
      <x:c r="C149" s="46" t="str">
        <x:v>LME</x:v>
      </x:c>
      <x:c r="D149" s="58" t="n">
        <x:v>2019</x:v>
      </x:c>
      <x:c r="E149" s="46" t="str">
        <x:v>Pomadasys</x:v>
      </x:c>
      <x:c r="F149" s="46" t="str">
        <x:v>Grunters</x:v>
      </x:c>
      <x:c r="G149" s="46" t="str">
        <x:v>Medium demersals (30 - 89 cm)</x:v>
      </x:c>
      <x:c r="H149" s="46" t="str">
        <x:v>Perch-likes</x:v>
      </x:c>
      <x:c r="I149" s="60" t="n">
        <x:v>7.5467356097</x:v>
      </x:c>
      <x:c r="J149" s="60" t="n">
        <x:v>7.5467356097</x:v>
      </x:c>
      <x:c r="K149" s="60" t="n">
        <x:v>0</x:v>
      </x:c>
      <x:c r="L149" s="60" t="n">
        <x:v>7.5467356097</x:v>
      </x:c>
      <x:c r="M149" s="60" t="n">
        <x:v>0</x:v>
      </x:c>
      <x:c r="N149" s="46" t="str">
        <x:v>pomadasys</x:v>
      </x:c>
      <x:c r="O149" s="62" t="n">
        <x:v>3.59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Pomadasys</x:v>
      </x:c>
      <x:c r="T149" s="62" t="n">
        <x:f>IF(O149="","",(1/'Metadata'!$B$5)^(O149-1))</x:f>
        <x:v>2342.4357563948306</x:v>
      </x:c>
      <x:c r="U149" s="60" t="n">
        <x:f>IF(T149="","",I149*T149)</x:f>
        <x:v>17677.74333621942</x:v>
      </x:c>
    </x:row>
    <x:row r="150" ht="18" customHeight="1">
      <x:c r="A150" s="46" t="str">
        <x:v>LME_031</x:v>
      </x:c>
      <x:c r="B150" s="46" t="str">
        <x:v>Somali Coastal Current</x:v>
      </x:c>
      <x:c r="C150" s="46" t="str">
        <x:v>LME</x:v>
      </x:c>
      <x:c r="D150" s="58" t="n">
        <x:v>2019</x:v>
      </x:c>
      <x:c r="E150" s="46" t="str">
        <x:v>Leiognathus</x:v>
      </x:c>
      <x:c r="F150" s="46" t="str">
        <x:v>Ponyfishes</x:v>
      </x:c>
      <x:c r="G150" s="46" t="str">
        <x:v>Small benthopelagics (&lt;30 cm)</x:v>
      </x:c>
      <x:c r="H150" s="46" t="str">
        <x:v>Perch-likes</x:v>
      </x:c>
      <x:c r="I150" s="60" t="n">
        <x:v>7.1350889349</x:v>
      </x:c>
      <x:c r="J150" s="60" t="n">
        <x:v>0</x:v>
      </x:c>
      <x:c r="K150" s="60" t="n">
        <x:v>7.1350889349</x:v>
      </x:c>
      <x:c r="L150" s="60" t="n">
        <x:v>0</x:v>
      </x:c>
      <x:c r="M150" s="60" t="n">
        <x:v>7.1350889349</x:v>
      </x:c>
      <x:c r="N150" s="46" t="str">
        <x:v>leiognathus</x:v>
      </x:c>
      <x:c r="O150" s="62" t="n">
        <x:v>3.22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Leiognathus</x:v>
      </x:c>
      <x:c r="T150" s="62" t="n">
        <x:f>IF(O150="","",(1/'Metadata'!$B$5)^(O150-1))</x:f>
        <x:v>773.1906443023378</x:v>
      </x:c>
      <x:c r="U150" s="60" t="n">
        <x:f>IF(T150="","",I150*T150)</x:f>
        <x:v>5516.784010729812</x:v>
      </x:c>
    </x:row>
    <x:row r="151" ht="18" customHeight="1">
      <x:c r="A151" s="46" t="str">
        <x:v>LME_031</x:v>
      </x:c>
      <x:c r="B151" s="46" t="str">
        <x:v>Somali Coastal Current</x:v>
      </x:c>
      <x:c r="C151" s="46" t="str">
        <x:v>LME</x:v>
      </x:c>
      <x:c r="D151" s="58" t="n">
        <x:v>2019</x:v>
      </x:c>
      <x:c r="E151" s="46" t="str">
        <x:v>Isurus</x:v>
      </x:c>
      <x:c r="F151" s="46" t="str">
        <x:v>Mako sharks</x:v>
      </x:c>
      <x:c r="G151" s="46" t="str">
        <x:v>Large sharks (&gt;=90 cm)</x:v>
      </x:c>
      <x:c r="H151" s="46" t="str">
        <x:v>Sharks &amp; rays</x:v>
      </x:c>
      <x:c r="I151" s="60" t="n">
        <x:v>6.7488619949</x:v>
      </x:c>
      <x:c r="J151" s="60" t="n">
        <x:v>6.7488619949</x:v>
      </x:c>
      <x:c r="K151" s="60" t="n">
        <x:v>0</x:v>
      </x:c>
      <x:c r="L151" s="60" t="n">
        <x:v>6.7488619949</x:v>
      </x:c>
      <x:c r="M151" s="60" t="n">
        <x:v>0</x:v>
      </x:c>
      <x:c r="N151" s="46" t="str">
        <x:v>isurus</x:v>
      </x:c>
      <x:c r="O151" s="62" t="n">
        <x:v>4.5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Isurus</x:v>
      </x:c>
      <x:c r="T151" s="62" t="n">
        <x:f>IF(O151="","",(1/'Metadata'!$B$5)^(O151-1))</x:f>
        <x:v>35777.08763999664</x:v>
      </x:c>
      <x:c r="U151" s="60" t="n">
        <x:f>IF(T151="","",I151*T151)</x:f>
        <x:v>241454.62706177984</x:v>
      </x:c>
    </x:row>
    <x:row r="152" ht="18" customHeight="1">
      <x:c r="A152" s="46" t="str">
        <x:v>LME_031</x:v>
      </x:c>
      <x:c r="B152" s="46" t="str">
        <x:v>Somali Coastal Current</x:v>
      </x:c>
      <x:c r="C152" s="46" t="str">
        <x:v>LME</x:v>
      </x:c>
      <x:c r="D152" s="58" t="n">
        <x:v>2019</x:v>
      </x:c>
      <x:c r="E152" s="46" t="str">
        <x:v>Acanthocybium solandri</x:v>
      </x:c>
      <x:c r="F152" s="46" t="str">
        <x:v>Wahoo</x:v>
      </x:c>
      <x:c r="G152" s="46" t="str">
        <x:v>Large pelagics (&gt;=90 cm)</x:v>
      </x:c>
      <x:c r="H152" s="46" t="str">
        <x:v>Perch-likes</x:v>
      </x:c>
      <x:c r="I152" s="60" t="n">
        <x:v>6.630742358099999</x:v>
      </x:c>
      <x:c r="J152" s="60" t="n">
        <x:v>6.630742358099999</x:v>
      </x:c>
      <x:c r="K152" s="60" t="n">
        <x:v>0</x:v>
      </x:c>
      <x:c r="L152" s="60" t="n">
        <x:v>0.0879094478</x:v>
      </x:c>
      <x:c r="M152" s="60" t="n">
        <x:v>6.5428329103</x:v>
      </x:c>
      <x:c r="N152" s="46" t="str">
        <x:v>acanthocybium solandri</x:v>
      </x:c>
      <x:c r="O152" s="62" t="n">
        <x:v>4.26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Acanthocybium solandri</x:v>
      </x:c>
      <x:c r="T152" s="62" t="n">
        <x:f>IF(O152="","",(1/'Metadata'!$B$5)^(O152-1))</x:f>
        <x:v>17432.42421569787</x:v>
      </x:c>
      <x:c r="U152" s="60" t="n">
        <x:f>IF(T152="","",I152*T152)</x:f>
        <x:v>115589.91365139601</x:v>
      </x:c>
    </x:row>
    <x:row r="153" ht="18" customHeight="1">
      <x:c r="A153" s="46" t="str">
        <x:v>LME_031</x:v>
      </x:c>
      <x:c r="B153" s="46" t="str">
        <x:v>Somali Coastal Current</x:v>
      </x:c>
      <x:c r="C153" s="46" t="str">
        <x:v>LME</x:v>
      </x:c>
      <x:c r="D153" s="58" t="n">
        <x:v>2019</x:v>
      </x:c>
      <x:c r="E153" s="46" t="str">
        <x:v>Upeneus taeniopterus</x:v>
      </x:c>
      <x:c r="F153" s="46" t="str">
        <x:v>Finstripe goatfish</x:v>
      </x:c>
      <x:c r="G153" s="46" t="str">
        <x:v>Small reef assoc. fish (&lt;30 cm)</x:v>
      </x:c>
      <x:c r="H153" s="46" t="str">
        <x:v>Perch-likes</x:v>
      </x:c>
      <x:c r="I153" s="60" t="n">
        <x:v>6.4737260391</x:v>
      </x:c>
      <x:c r="J153" s="60" t="n">
        <x:v>6.4737260391</x:v>
      </x:c>
      <x:c r="K153" s="60" t="n">
        <x:v>0</x:v>
      </x:c>
      <x:c r="L153" s="60" t="n">
        <x:v>6.4737260391</x:v>
      </x:c>
      <x:c r="M153" s="60" t="n">
        <x:v>0</x:v>
      </x:c>
      <x:c r="N153" s="46" t="str">
        <x:v>upeneus taeniopterus</x:v>
      </x:c>
      <x:c r="O153" s="62" t="n">
        <x:v>3.54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Upeneus taeniopterus</x:v>
      </x:c>
      <x:c r="T153" s="62" t="n">
        <x:f>IF(O153="","",(1/'Metadata'!$B$5)^(O153-1))</x:f>
        <x:v>2016.5834052007342</x:v>
      </x:c>
      <x:c r="U153" s="60" t="n">
        <x:f>IF(T153="","",I153*T153)</x:f>
        <x:v>13054.808500264939</x:v>
      </x:c>
    </x:row>
    <x:row r="154" ht="18" customHeight="1">
      <x:c r="A154" s="46" t="str">
        <x:v>LME_031</x:v>
      </x:c>
      <x:c r="B154" s="46" t="str">
        <x:v>Somali Coastal Current</x:v>
      </x:c>
      <x:c r="C154" s="46" t="str">
        <x:v>LME</x:v>
      </x:c>
      <x:c r="D154" s="58" t="n">
        <x:v>2019</x:v>
      </x:c>
      <x:c r="E154" s="46" t="str">
        <x:v>Trichiuridae</x:v>
      </x:c>
      <x:c r="F154" s="46" t="str">
        <x:v>Cutlassfishes</x:v>
      </x:c>
      <x:c r="G154" s="46" t="str">
        <x:v>Large benthopelagics (&gt;=90 cm)</x:v>
      </x:c>
      <x:c r="H154" s="46" t="str">
        <x:v>Perch-likes</x:v>
      </x:c>
      <x:c r="I154" s="60" t="n">
        <x:v>5.8677095771</x:v>
      </x:c>
      <x:c r="J154" s="60" t="n">
        <x:v>5.8677095771</x:v>
      </x:c>
      <x:c r="K154" s="60" t="n">
        <x:v>0</x:v>
      </x:c>
      <x:c r="L154" s="60" t="n">
        <x:v>5.364638696</x:v>
      </x:c>
      <x:c r="M154" s="60" t="n">
        <x:v>0.5030708811</x:v>
      </x:c>
      <x:c r="N154" s="46" t="str">
        <x:v>trichiuridae</x:v>
      </x:c>
      <x:c r="O154" s="62" t="n">
        <x:v>4.15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Trichiuridae</x:v>
      </x:c>
      <x:c r="T154" s="62" t="n">
        <x:f>IF(O154="","",(1/'Metadata'!$B$5)^(O154-1))</x:f>
        <x:v>12538.46830130465</x:v>
      </x:c>
      <x:c r="U154" s="60" t="n">
        <x:f>IF(T154="","",I154*T154)</x:f>
        <x:v>73572.09053373006</x:v>
      </x:c>
    </x:row>
    <x:row r="155" ht="18" customHeight="1">
      <x:c r="A155" s="46" t="str">
        <x:v>LME_031</x:v>
      </x:c>
      <x:c r="B155" s="46" t="str">
        <x:v>Somali Coastal Current</x:v>
      </x:c>
      <x:c r="C155" s="46" t="str">
        <x:v>LME</x:v>
      </x:c>
      <x:c r="D155" s="58" t="n">
        <x:v>2019</x:v>
      </x:c>
      <x:c r="E155" s="46" t="str">
        <x:v>Sillago sihama</x:v>
      </x:c>
      <x:c r="F155" s="46" t="str">
        <x:v>Silver sillago</x:v>
      </x:c>
      <x:c r="G155" s="46" t="str">
        <x:v>Medium demersals (30 - 89 cm)</x:v>
      </x:c>
      <x:c r="H155" s="46" t="str">
        <x:v>Perch-likes</x:v>
      </x:c>
      <x:c r="I155" s="60" t="n">
        <x:v>5.8325565622</x:v>
      </x:c>
      <x:c r="J155" s="60" t="n">
        <x:v>3.4766131186</x:v>
      </x:c>
      <x:c r="K155" s="60" t="n">
        <x:v>2.3559434436</x:v>
      </x:c>
      <x:c r="L155" s="60" t="n">
        <x:v>3.4766131186</x:v>
      </x:c>
      <x:c r="M155" s="60" t="n">
        <x:v>2.3559434436</x:v>
      </x:c>
      <x:c r="N155" s="46" t="str">
        <x:v>sillago sihama</x:v>
      </x:c>
      <x:c r="O155" s="62" t="n">
        <x:v>3.33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Sillago sihama</x:v>
      </x:c>
      <x:c r="T155" s="62" t="n">
        <x:f>IF(O155="","",(1/'Metadata'!$B$5)^(O155-1))</x:f>
        <x:v>1074.9787762899762</x:v>
      </x:c>
      <x:c r="U155" s="60" t="n">
        <x:f>IF(T155="","",I155*T155)</x:f>
        <x:v>6269.874515875826</x:v>
      </x:c>
    </x:row>
    <x:row r="156" ht="18" customHeight="1">
      <x:c r="A156" s="46" t="str">
        <x:v>LME_031</x:v>
      </x:c>
      <x:c r="B156" s="46" t="str">
        <x:v>Somali Coastal Current</x:v>
      </x:c>
      <x:c r="C156" s="46" t="str">
        <x:v>LME</x:v>
      </x:c>
      <x:c r="D156" s="58" t="n">
        <x:v>2019</x:v>
      </x:c>
      <x:c r="E156" s="46" t="str">
        <x:v>Platycaranx chrysophrys</x:v>
      </x:c>
      <x:c r="F156" s="46" t="str">
        <x:v>Longnose trevally</x:v>
      </x:c>
      <x:c r="G156" s="46" t="str">
        <x:v>Small pelagics (&lt;30 cm)</x:v>
      </x:c>
      <x:c r="H156" s="46" t="str">
        <x:v>Perch-likes</x:v>
      </x:c>
      <x:c r="I156" s="60" t="n">
        <x:v>5.5148834409</x:v>
      </x:c>
      <x:c r="J156" s="60" t="n">
        <x:v>0</x:v>
      </x:c>
      <x:c r="K156" s="60" t="n">
        <x:v>5.5148834409</x:v>
      </x:c>
      <x:c r="L156" s="60" t="n">
        <x:v>0</x:v>
      </x:c>
      <x:c r="M156" s="60" t="n">
        <x:v>5.5148834409</x:v>
      </x:c>
      <x:c r="N156" s="46" t="str">
        <x:v>platycaranx chrysophrys</x:v>
      </x:c>
      <x:c r="O156" s="62" t="n">
        <x:v>4.3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Platycaranx chrysophrys</x:v>
      </x:c>
      <x:c r="T156" s="62" t="n">
        <x:f>IF(O156="","",(1/'Metadata'!$B$5)^(O156-1))</x:f>
        <x:v>19651.648417852637</x:v>
      </x:c>
      <x:c r="U156" s="60" t="n">
        <x:f>IF(T156="","",I156*T156)</x:f>
        <x:v>108376.5504460042</x:v>
      </x:c>
    </x:row>
    <x:row r="157" ht="18" customHeight="1">
      <x:c r="A157" s="46" t="str">
        <x:v>LME_031</x:v>
      </x:c>
      <x:c r="B157" s="46" t="str">
        <x:v>Somali Coastal Current</x:v>
      </x:c>
      <x:c r="C157" s="46" t="str">
        <x:v>LME</x:v>
      </x:c>
      <x:c r="D157" s="58" t="n">
        <x:v>2019</x:v>
      </x:c>
      <x:c r="E157" s="46" t="str">
        <x:v>Plotosidae</x:v>
      </x:c>
      <x:c r="F157" s="46" t="str">
        <x:v>Eeltail catfishes</x:v>
      </x:c>
      <x:c r="G157" s="46" t="str">
        <x:v>Medium reef assoc. fish (30 - 89 cm)</x:v>
      </x:c>
      <x:c r="H157" s="46" t="str">
        <x:v>Other fishes &amp; inverts</x:v>
      </x:c>
      <x:c r="I157" s="60" t="n">
        <x:v>5.0210533243</x:v>
      </x:c>
      <x:c r="J157" s="60" t="n">
        <x:v>5.0210533243</x:v>
      </x:c>
      <x:c r="K157" s="60" t="n">
        <x:v>0</x:v>
      </x:c>
      <x:c r="L157" s="60" t="n">
        <x:v>0</x:v>
      </x:c>
      <x:c r="M157" s="60" t="n">
        <x:v>5.0210533243</x:v>
      </x:c>
      <x:c r="N157" s="46" t="str">
        <x:v>plotosidae</x:v>
      </x:c>
      <x:c r="O157" s="62" t="n">
        <x:v>3.49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Plotosidae</x:v>
      </x:c>
      <x:c r="T157" s="62" t="n">
        <x:f>IF(O157="","",(1/'Metadata'!$B$5)^(O157-1))</x:f>
        <x:v>1736.059833884101</x:v>
      </x:c>
      <x:c r="U157" s="60" t="n">
        <x:f>IF(T157="","",I157*T157)</x:f>
        <x:v>8716.849000107472</x:v>
      </x:c>
    </x:row>
    <x:row r="158" ht="18" customHeight="1">
      <x:c r="A158" s="46" t="str">
        <x:v>LME_031</x:v>
      </x:c>
      <x:c r="B158" s="46" t="str">
        <x:v>Somali Coastal Current</x:v>
      </x:c>
      <x:c r="C158" s="46" t="str">
        <x:v>LME</x:v>
      </x:c>
      <x:c r="D158" s="58" t="n">
        <x:v>2019</x:v>
      </x:c>
      <x:c r="E158" s="46" t="str">
        <x:v>Muraenesocidae</x:v>
      </x:c>
      <x:c r="F158" s="46" t="str">
        <x:v>Pike congers</x:v>
      </x:c>
      <x:c r="G158" s="46" t="str">
        <x:v>Large demersals (&gt;=90 cm)</x:v>
      </x:c>
      <x:c r="H158" s="46" t="str">
        <x:v>Other fishes &amp; inverts</x:v>
      </x:c>
      <x:c r="I158" s="60" t="n">
        <x:v>4.6994889532</x:v>
      </x:c>
      <x:c r="J158" s="60" t="n">
        <x:v>4.6994889532</x:v>
      </x:c>
      <x:c r="K158" s="60" t="n">
        <x:v>0</x:v>
      </x:c>
      <x:c r="L158" s="60" t="n">
        <x:v>4.6994889532</x:v>
      </x:c>
      <x:c r="M158" s="60" t="n">
        <x:v>0</x:v>
      </x:c>
      <x:c r="N158" s="46" t="str">
        <x:v>muraenesocidae</x:v>
      </x:c>
      <x:c r="O158" s="62" t="n">
        <x:v>3.9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Muraenesocidae</x:v>
      </x:c>
      <x:c r="T158" s="62" t="n">
        <x:f>IF(O158="","",(1/'Metadata'!$B$5)^(O158-1))</x:f>
        <x:v>5929.07559285558</x:v>
      </x:c>
      <x:c r="U158" s="60" t="n">
        <x:f>IF(T158="","",I158*T158)</x:f>
        <x:v>27863.62525131254</x:v>
      </x:c>
    </x:row>
    <x:row r="159" ht="18" customHeight="1">
      <x:c r="A159" s="46" t="str">
        <x:v>LME_031</x:v>
      </x:c>
      <x:c r="B159" s="46" t="str">
        <x:v>Somali Coastal Current</x:v>
      </x:c>
      <x:c r="C159" s="46" t="str">
        <x:v>LME</x:v>
      </x:c>
      <x:c r="D159" s="58" t="n">
        <x:v>2019</x:v>
      </x:c>
      <x:c r="E159" s="46" t="str">
        <x:v>Caranx ignobilis</x:v>
      </x:c>
      <x:c r="F159" s="46" t="str">
        <x:v>Giant trevally</x:v>
      </x:c>
      <x:c r="G159" s="46" t="str">
        <x:v>Large reef assoc. fish (&gt;=90 cm)</x:v>
      </x:c>
      <x:c r="H159" s="46" t="str">
        <x:v>Perch-likes</x:v>
      </x:c>
      <x:c r="I159" s="60" t="n">
        <x:v>4.5558360721</x:v>
      </x:c>
      <x:c r="J159" s="60" t="n">
        <x:v>4.5558360721</x:v>
      </x:c>
      <x:c r="K159" s="60" t="n">
        <x:v>0</x:v>
      </x:c>
      <x:c r="L159" s="60" t="n">
        <x:v>3.8158746319</x:v>
      </x:c>
      <x:c r="M159" s="60" t="n">
        <x:v>0.7399614402</x:v>
      </x:c>
      <x:c r="N159" s="46" t="str">
        <x:v>caranx ignobilis</x:v>
      </x:c>
      <x:c r="O159" s="62" t="n">
        <x:v>4.22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Caranx ignobilis</x:v>
      </x:c>
      <x:c r="T159" s="62" t="n">
        <x:f>IF(O159="","",(1/'Metadata'!$B$5)^(O159-1))</x:f>
        <x:v>15463.812886046735</x:v>
      </x:c>
      <x:c r="U159" s="60" t="n">
        <x:f>IF(T159="","",I159*T159)</x:f>
        <x:v>70450.59655845653</x:v>
      </x:c>
    </x:row>
    <x:row r="160" ht="18" customHeight="1">
      <x:c r="A160" s="46" t="str">
        <x:v>LME_031</x:v>
      </x:c>
      <x:c r="B160" s="46" t="str">
        <x:v>Somali Coastal Current</x:v>
      </x:c>
      <x:c r="C160" s="46" t="str">
        <x:v>LME</x:v>
      </x:c>
      <x:c r="D160" s="58" t="n">
        <x:v>2019</x:v>
      </x:c>
      <x:c r="E160" s="46" t="str">
        <x:v>Netuma thalassina</x:v>
      </x:c>
      <x:c r="F160" s="46" t="str">
        <x:v>Giant catfish</x:v>
      </x:c>
      <x:c r="G160" s="46" t="str">
        <x:v>Large demersals (&gt;=90 cm)</x:v>
      </x:c>
      <x:c r="H160" s="46" t="str">
        <x:v>Other fishes &amp; inverts</x:v>
      </x:c>
      <x:c r="I160" s="60" t="n">
        <x:v>4.3402485642999995</x:v>
      </x:c>
      <x:c r="J160" s="60" t="n">
        <x:v>0</x:v>
      </x:c>
      <x:c r="K160" s="60" t="n">
        <x:v>4.3402485642999995</x:v>
      </x:c>
      <x:c r="L160" s="60" t="n">
        <x:v>0</x:v>
      </x:c>
      <x:c r="M160" s="60" t="n">
        <x:v>4.3402485642999995</x:v>
      </x:c>
      <x:c r="N160" s="46" t="str">
        <x:v>netuma thalassina</x:v>
      </x:c>
      <x:c r="O160" s="62" t="n">
        <x:v>3.54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Netuma thalassina</x:v>
      </x:c>
      <x:c r="T160" s="62" t="n">
        <x:f>IF(O160="","",(1/'Metadata'!$B$5)^(O160-1))</x:f>
        <x:v>2016.5834052007342</x:v>
      </x:c>
      <x:c r="U160" s="60" t="n">
        <x:f>IF(T160="","",I160*T160)</x:f>
        <x:v>8752.47322921369</x:v>
      </x:c>
    </x:row>
    <x:row r="161" ht="18" customHeight="1">
      <x:c r="A161" s="46" t="str">
        <x:v>LME_031</x:v>
      </x:c>
      <x:c r="B161" s="46" t="str">
        <x:v>Somali Coastal Current</x:v>
      </x:c>
      <x:c r="C161" s="46" t="str">
        <x:v>LME</x:v>
      </x:c>
      <x:c r="D161" s="58" t="n">
        <x:v>2019</x:v>
      </x:c>
      <x:c r="E161" s="46" t="str">
        <x:v>Hilsa kelee</x:v>
      </x:c>
      <x:c r="F161" s="46" t="str">
        <x:v>Kelee shad</x:v>
      </x:c>
      <x:c r="G161" s="46" t="str">
        <x:v>Small pelagics (&lt;30 cm)</x:v>
      </x:c>
      <x:c r="H161" s="46" t="str">
        <x:v>Herring-likes</x:v>
      </x:c>
      <x:c r="I161" s="60" t="n">
        <x:v>4.2637946413000005</x:v>
      </x:c>
      <x:c r="J161" s="60" t="n">
        <x:v>1.6967928027</x:v>
      </x:c>
      <x:c r="K161" s="60" t="n">
        <x:v>2.5670018386</x:v>
      </x:c>
      <x:c r="L161" s="60" t="n">
        <x:v>1.6967928027</x:v>
      </x:c>
      <x:c r="M161" s="60" t="n">
        <x:v>2.5670018386</x:v>
      </x:c>
      <x:c r="N161" s="46" t="str">
        <x:v>hilsa kelee</x:v>
      </x:c>
      <x:c r="O161" s="62" t="n">
        <x:v>3.25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Hilsa kelee</x:v>
      </x:c>
      <x:c r="T161" s="62" t="n">
        <x:f>IF(O161="","",(1/'Metadata'!$B$5)^(O161-1))</x:f>
        <x:v>845.8970107524513</x:v>
      </x:c>
      <x:c r="U161" s="60" t="n">
        <x:f>IF(T161="","",I161*T161)</x:f>
        <x:v>3606.7311415379904</x:v>
      </x:c>
    </x:row>
    <x:row r="162" ht="18" customHeight="1">
      <x:c r="A162" s="46" t="str">
        <x:v>LME_031</x:v>
      </x:c>
      <x:c r="B162" s="46" t="str">
        <x:v>Somali Coastal Current</x:v>
      </x:c>
      <x:c r="C162" s="46" t="str">
        <x:v>LME</x:v>
      </x:c>
      <x:c r="D162" s="58" t="n">
        <x:v>2019</x:v>
      </x:c>
      <x:c r="E162" s="46" t="str">
        <x:v>Sillago</x:v>
      </x:c>
      <x:c r="F162" s="46" t="str">
        <x:v>Smelt-whitings</x:v>
      </x:c>
      <x:c r="G162" s="46" t="str">
        <x:v>Medium demersals (30 - 89 cm)</x:v>
      </x:c>
      <x:c r="H162" s="46" t="str">
        <x:v>Perch-likes</x:v>
      </x:c>
      <x:c r="I162" s="60" t="n">
        <x:v>4.181370253800001</x:v>
      </x:c>
      <x:c r="J162" s="60" t="n">
        <x:v>4.181370253800001</x:v>
      </x:c>
      <x:c r="K162" s="60" t="n">
        <x:v>0</x:v>
      </x:c>
      <x:c r="L162" s="60" t="n">
        <x:v>0</x:v>
      </x:c>
      <x:c r="M162" s="60" t="n">
        <x:v>4.181370253800001</x:v>
      </x:c>
      <x:c r="N162" s="46" t="str">
        <x:v>sillago</x:v>
      </x:c>
      <x:c r="O162" s="62" t="n">
        <x:v>3.33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Sillago</x:v>
      </x:c>
      <x:c r="T162" s="62" t="n">
        <x:f>IF(O162="","",(1/'Metadata'!$B$5)^(O162-1))</x:f>
        <x:v>1074.9787762899762</x:v>
      </x:c>
      <x:c r="U162" s="60" t="n">
        <x:f>IF(T162="","",I162*T162)</x:f>
        <x:v>4494.884278645232</x:v>
      </x:c>
    </x:row>
    <x:row r="163" ht="18" customHeight="1">
      <x:c r="A163" s="46" t="str">
        <x:v>LME_031</x:v>
      </x:c>
      <x:c r="B163" s="46" t="str">
        <x:v>Somali Coastal Current</x:v>
      </x:c>
      <x:c r="C163" s="46" t="str">
        <x:v>LME</x:v>
      </x:c>
      <x:c r="D163" s="58" t="n">
        <x:v>2019</x:v>
      </x:c>
      <x:c r="E163" s="46" t="str">
        <x:v>Terapon theraps</x:v>
      </x:c>
      <x:c r="F163" s="46" t="str">
        <x:v>Largescaled terapon</x:v>
      </x:c>
      <x:c r="G163" s="46" t="str">
        <x:v>Small pelagics (&lt;30 cm)</x:v>
      </x:c>
      <x:c r="H163" s="46" t="str">
        <x:v>Perch-likes</x:v>
      </x:c>
      <x:c r="I163" s="60" t="n">
        <x:v>4.1384553429</x:v>
      </x:c>
      <x:c r="J163" s="60" t="n">
        <x:v>1.657128924</x:v>
      </x:c>
      <x:c r="K163" s="60" t="n">
        <x:v>2.4813264189</x:v>
      </x:c>
      <x:c r="L163" s="60" t="n">
        <x:v>1.657128924</x:v>
      </x:c>
      <x:c r="M163" s="60" t="n">
        <x:v>2.4813264189</x:v>
      </x:c>
      <x:c r="N163" s="46" t="str">
        <x:v>terapon theraps</x:v>
      </x:c>
      <x:c r="O163" s="62" t="n">
        <x:v>3.49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Terapon theraps</x:v>
      </x:c>
      <x:c r="T163" s="62" t="n">
        <x:f>IF(O163="","",(1/'Metadata'!$B$5)^(O163-1))</x:f>
        <x:v>1736.059833884101</x:v>
      </x:c>
      <x:c r="U163" s="60" t="n">
        <x:f>IF(T163="","",I163*T163)</x:f>
        <x:v>7184.606095131745</x:v>
      </x:c>
    </x:row>
    <x:row r="164" ht="18" customHeight="1">
      <x:c r="A164" s="46" t="str">
        <x:v>LME_031</x:v>
      </x:c>
      <x:c r="B164" s="46" t="str">
        <x:v>Somali Coastal Current</x:v>
      </x:c>
      <x:c r="C164" s="46" t="str">
        <x:v>LME</x:v>
      </x:c>
      <x:c r="D164" s="58" t="n">
        <x:v>2019</x:v>
      </x:c>
      <x:c r="E164" s="46" t="str">
        <x:v>Pomacentridae</x:v>
      </x:c>
      <x:c r="F164" s="46" t="str">
        <x:v>Damselfishes</x:v>
      </x:c>
      <x:c r="G164" s="46" t="str">
        <x:v>Small reef assoc. fish (&lt;30 cm)</x:v>
      </x:c>
      <x:c r="H164" s="46" t="str">
        <x:v>Perch-likes</x:v>
      </x:c>
      <x:c r="I164" s="60" t="n">
        <x:v>3.3994037403</x:v>
      </x:c>
      <x:c r="J164" s="60" t="n">
        <x:v>3.3994037403</x:v>
      </x:c>
      <x:c r="K164" s="60" t="n">
        <x:v>0</x:v>
      </x:c>
      <x:c r="L164" s="60" t="n">
        <x:v>1.3780720819</x:v>
      </x:c>
      <x:c r="M164" s="60" t="n">
        <x:v>2.0213316584</x:v>
      </x:c>
      <x:c r="N164" s="46" t="str">
        <x:v>pomacentridae</x:v>
      </x:c>
      <x:c r="O164" s="62" t="n">
        <x:v>2.57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Pomacentridae</x:v>
      </x:c>
      <x:c r="T164" s="62" t="n">
        <x:f>IF(O164="","",(1/'Metadata'!$B$5)^(O164-1))</x:f>
        <x:v>110.31056098276322</x:v>
      </x:c>
      <x:c r="U164" s="60" t="n">
        <x:f>IF(T164="","",I164*T164)</x:f>
        <x:v>374.99013359939653</x:v>
      </x:c>
    </x:row>
    <x:row r="165" ht="18" customHeight="1">
      <x:c r="A165" s="46" t="str">
        <x:v>LME_031</x:v>
      </x:c>
      <x:c r="B165" s="46" t="str">
        <x:v>Somali Coastal Current</x:v>
      </x:c>
      <x:c r="C165" s="46" t="str">
        <x:v>LME</x:v>
      </x:c>
      <x:c r="D165" s="58" t="n">
        <x:v>2019</x:v>
      </x:c>
      <x:c r="E165" s="46" t="str">
        <x:v>Mugil cephalus</x:v>
      </x:c>
      <x:c r="F165" s="46" t="str">
        <x:v>Flathead grey mullet</x:v>
      </x:c>
      <x:c r="G165" s="46" t="str">
        <x:v>Large benthopelagics (&gt;=90 cm)</x:v>
      </x:c>
      <x:c r="H165" s="46" t="str">
        <x:v>Perch-likes</x:v>
      </x:c>
      <x:c r="I165" s="60" t="n">
        <x:v>3.2849226966</x:v>
      </x:c>
      <x:c r="J165" s="60" t="n">
        <x:v>0</x:v>
      </x:c>
      <x:c r="K165" s="60" t="n">
        <x:v>3.2849226966</x:v>
      </x:c>
      <x:c r="L165" s="60" t="n">
        <x:v>0</x:v>
      </x:c>
      <x:c r="M165" s="60" t="n">
        <x:v>3.2849226966</x:v>
      </x:c>
      <x:c r="N165" s="46" t="str">
        <x:v>mugil cephalus</x:v>
      </x:c>
      <x:c r="O165" s="62" t="n">
        <x:v>2.14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Mugil cephalus</x:v>
      </x:c>
      <x:c r="T165" s="62" t="n">
        <x:f>IF(O165="","",(1/'Metadata'!$B$5)^(O165-1))</x:f>
        <x:v>30.421049660829848</x:v>
      </x:c>
      <x:c r="U165" s="60" t="n">
        <x:f>IF(T165="","",I165*T165)</x:f>
        <x:v>99.9307964852557</x:v>
      </x:c>
    </x:row>
    <x:row r="166" ht="18" customHeight="1">
      <x:c r="A166" s="46" t="str">
        <x:v>LME_031</x:v>
      </x:c>
      <x:c r="B166" s="46" t="str">
        <x:v>Somali Coastal Current</x:v>
      </x:c>
      <x:c r="C166" s="46" t="str">
        <x:v>LME</x:v>
      </x:c>
      <x:c r="D166" s="58" t="n">
        <x:v>2019</x:v>
      </x:c>
      <x:c r="E166" s="46" t="str">
        <x:v>Congridae</x:v>
      </x:c>
      <x:c r="F166" s="46" t="str">
        <x:v>Conger, garden eels</x:v>
      </x:c>
      <x:c r="G166" s="46" t="str">
        <x:v>Large demersals (&gt;=90 cm)</x:v>
      </x:c>
      <x:c r="H166" s="46" t="str">
        <x:v>Other fishes &amp; inverts</x:v>
      </x:c>
      <x:c r="I166" s="60" t="n">
        <x:v>2.9615402383</x:v>
      </x:c>
      <x:c r="J166" s="60" t="n">
        <x:v>2.9615402383</x:v>
      </x:c>
      <x:c r="K166" s="60" t="n">
        <x:v>0</x:v>
      </x:c>
      <x:c r="L166" s="60" t="n">
        <x:v>2.9615402383</x:v>
      </x:c>
      <x:c r="M166" s="60" t="n">
        <x:v>0</x:v>
      </x:c>
      <x:c r="N166" s="46" t="str">
        <x:v>congridae</x:v>
      </x:c>
      <x:c r="O166" s="62" t="n">
        <x:v>4.18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Congridae</x:v>
      </x:c>
      <x:c r="T166" s="62" t="n">
        <x:f>IF(O166="","",(1/'Metadata'!$B$5)^(O166-1))</x:f>
        <x:v>13717.513182092556</x:v>
      </x:c>
      <x:c r="U166" s="60" t="n">
        <x:f>IF(T166="","",I166*T166)</x:f>
        <x:v>40624.96725817778</x:v>
      </x:c>
    </x:row>
    <x:row r="167" ht="18" customHeight="1">
      <x:c r="A167" s="46" t="str">
        <x:v>LME_031</x:v>
      </x:c>
      <x:c r="B167" s="46" t="str">
        <x:v>Somali Coastal Current</x:v>
      </x:c>
      <x:c r="C167" s="46" t="str">
        <x:v>LME</x:v>
      </x:c>
      <x:c r="D167" s="58" t="n">
        <x:v>2019</x:v>
      </x:c>
      <x:c r="E167" s="46" t="str">
        <x:v>Gerres</x:v>
      </x:c>
      <x:c r="F167" s="46" t="str">
        <x:v>Silver biddies</x:v>
      </x:c>
      <x:c r="G167" s="46" t="str">
        <x:v>Small benthopelagics (&lt;30 cm)</x:v>
      </x:c>
      <x:c r="H167" s="46" t="str">
        <x:v>Perch-likes</x:v>
      </x:c>
      <x:c r="I167" s="60" t="n">
        <x:v>2.7767852496</x:v>
      </x:c>
      <x:c r="J167" s="60" t="n">
        <x:v>2.7767852496</x:v>
      </x:c>
      <x:c r="K167" s="60" t="n">
        <x:v>0</x:v>
      </x:c>
      <x:c r="L167" s="60" t="n">
        <x:v>2.7767852496</x:v>
      </x:c>
      <x:c r="M167" s="60" t="n">
        <x:v>0</x:v>
      </x:c>
      <x:c r="N167" s="46" t="str">
        <x:v>gerres</x:v>
      </x:c>
      <x:c r="O167" s="62" t="n">
        <x:v>3.27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Gerres</x:v>
      </x:c>
      <x:c r="T167" s="62" t="n">
        <x:f>IF(O167="","",(1/'Metadata'!$B$5)^(O167-1))</x:f>
        <x:v>898.1276980921442</x:v>
      </x:c>
      <x:c r="U167" s="60" t="n">
        <x:f>IF(T167="","",I167*T167)</x:f>
        <x:v>2493.9077443194683</x:v>
      </x:c>
    </x:row>
    <x:row r="168" ht="18" customHeight="1">
      <x:c r="A168" s="46" t="str">
        <x:v>LME_031</x:v>
      </x:c>
      <x:c r="B168" s="46" t="str">
        <x:v>Somali Coastal Current</x:v>
      </x:c>
      <x:c r="C168" s="46" t="str">
        <x:v>LME</x:v>
      </x:c>
      <x:c r="D168" s="58" t="n">
        <x:v>2019</x:v>
      </x:c>
      <x:c r="E168" s="46" t="str">
        <x:v>Scomberoides lysan</x:v>
      </x:c>
      <x:c r="F168" s="46" t="str">
        <x:v>Doublespotted queenfish</x:v>
      </x:c>
      <x:c r="G168" s="46" t="str">
        <x:v>Medium reef assoc. fish (30 - 89 cm)</x:v>
      </x:c>
      <x:c r="H168" s="46" t="str">
        <x:v>Perch-likes</x:v>
      </x:c>
      <x:c r="I168" s="60" t="n">
        <x:v>2.6813779103</x:v>
      </x:c>
      <x:c r="J168" s="60" t="n">
        <x:v>0</x:v>
      </x:c>
      <x:c r="K168" s="60" t="n">
        <x:v>2.6813779103</x:v>
      </x:c>
      <x:c r="L168" s="60" t="n">
        <x:v>0</x:v>
      </x:c>
      <x:c r="M168" s="60" t="n">
        <x:v>2.6813779103</x:v>
      </x:c>
      <x:c r="N168" s="46" t="str">
        <x:v>scomberoides lysan</x:v>
      </x:c>
      <x:c r="O168" s="62" t="n">
        <x:v>4.38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Scomberoides lysan</x:v>
      </x:c>
      <x:c r="T168" s="62" t="n">
        <x:f>IF(O168="","",(1/'Metadata'!$B$5)^(O168-1))</x:f>
        <x:v>24973.6134538561</x:v>
      </x:c>
      <x:c r="U168" s="60" t="n">
        <x:f>IF(T168="","",I168*T168)</x:f>
        <x:v>66963.69545554064</x:v>
      </x:c>
    </x:row>
    <x:row r="169" ht="18" customHeight="1">
      <x:c r="A169" s="46" t="str">
        <x:v>LME_031</x:v>
      </x:c>
      <x:c r="B169" s="46" t="str">
        <x:v>Somali Coastal Current</x:v>
      </x:c>
      <x:c r="C169" s="46" t="str">
        <x:v>LME</x:v>
      </x:c>
      <x:c r="D169" s="58" t="n">
        <x:v>2019</x:v>
      </x:c>
      <x:c r="E169" s="46" t="str">
        <x:v>Sphyraena obtusata</x:v>
      </x:c>
      <x:c r="F169" s="46" t="str">
        <x:v>Obtuse barracuda</x:v>
      </x:c>
      <x:c r="G169" s="46" t="str">
        <x:v>Medium reef assoc. fish (30 - 89 cm)</x:v>
      </x:c>
      <x:c r="H169" s="46" t="str">
        <x:v>Perch-likes</x:v>
      </x:c>
      <x:c r="I169" s="60" t="n">
        <x:v>2.5312568548</x:v>
      </x:c>
      <x:c r="J169" s="60" t="n">
        <x:v>2.5312568548</x:v>
      </x:c>
      <x:c r="K169" s="60" t="n">
        <x:v>0</x:v>
      </x:c>
      <x:c r="L169" s="60" t="n">
        <x:v>2.5312568548</x:v>
      </x:c>
      <x:c r="M169" s="60" t="n">
        <x:v>0</x:v>
      </x:c>
      <x:c r="N169" s="46" t="str">
        <x:v>sphyraena obtusata</x:v>
      </x:c>
      <x:c r="O169" s="62" t="n">
        <x:v>4.5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Sphyraena obtusata</x:v>
      </x:c>
      <x:c r="T169" s="62" t="n">
        <x:f>IF(O169="","",(1/'Metadata'!$B$5)^(O169-1))</x:f>
        <x:v>35777.08763999664</x:v>
      </x:c>
      <x:c r="U169" s="60" t="n">
        <x:f>IF(T169="","",I169*T169)</x:f>
        <x:v>90560.99833352184</x:v>
      </x:c>
    </x:row>
    <x:row r="170" ht="18" customHeight="1">
      <x:c r="A170" s="46" t="str">
        <x:v>LME_031</x:v>
      </x:c>
      <x:c r="B170" s="46" t="str">
        <x:v>Somali Coastal Current</x:v>
      </x:c>
      <x:c r="C170" s="46" t="str">
        <x:v>LME</x:v>
      </x:c>
      <x:c r="D170" s="58" t="n">
        <x:v>2019</x:v>
      </x:c>
      <x:c r="E170" s="46" t="str">
        <x:v>Terapon jarbua</x:v>
      </x:c>
      <x:c r="F170" s="46" t="str">
        <x:v>Jarbua terapon</x:v>
      </x:c>
      <x:c r="G170" s="46" t="str">
        <x:v>Medium demersals (30 - 89 cm)</x:v>
      </x:c>
      <x:c r="H170" s="46" t="str">
        <x:v>Perch-likes</x:v>
      </x:c>
      <x:c r="I170" s="60" t="n">
        <x:v>2.4200173765</x:v>
      </x:c>
      <x:c r="J170" s="60" t="n">
        <x:v>0</x:v>
      </x:c>
      <x:c r="K170" s="60" t="n">
        <x:v>2.4200173765</x:v>
      </x:c>
      <x:c r="L170" s="60" t="n">
        <x:v>0</x:v>
      </x:c>
      <x:c r="M170" s="60" t="n">
        <x:v>2.4200173765</x:v>
      </x:c>
      <x:c r="N170" s="46" t="str">
        <x:v>terapon jarbua</x:v>
      </x:c>
      <x:c r="O170" s="62" t="n">
        <x:v>3.93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Terapon jarbua</x:v>
      </x:c>
      <x:c r="T170" s="62" t="n">
        <x:f>IF(O170="","",(1/'Metadata'!$B$5)^(O170-1))</x:f>
        <x:v>6486.611494177253</x:v>
      </x:c>
      <x:c r="U170" s="60" t="n">
        <x:f>IF(T170="","",I170*T170)</x:f>
        <x:v>15697.712530513581</x:v>
      </x:c>
    </x:row>
    <x:row r="171" ht="18" customHeight="1">
      <x:c r="A171" s="46" t="str">
        <x:v>LME_031</x:v>
      </x:c>
      <x:c r="B171" s="46" t="str">
        <x:v>Somali Coastal Current</x:v>
      </x:c>
      <x:c r="C171" s="46" t="str">
        <x:v>LME</x:v>
      </x:c>
      <x:c r="D171" s="58" t="n">
        <x:v>2019</x:v>
      </x:c>
      <x:c r="E171" s="46" t="str">
        <x:v>Equulites berbis</x:v>
      </x:c>
      <x:c r="F171" s="46" t="str">
        <x:v>Berbis ponyfish</x:v>
      </x:c>
      <x:c r="G171" s="46" t="str">
        <x:v>Small demersals (&lt;30 cm)</x:v>
      </x:c>
      <x:c r="H171" s="46" t="str">
        <x:v>Perch-likes</x:v>
      </x:c>
      <x:c r="I171" s="60" t="n">
        <x:v>2.4078546928</x:v>
      </x:c>
      <x:c r="J171" s="60" t="n">
        <x:v>2.4078546928</x:v>
      </x:c>
      <x:c r="K171" s="60" t="n">
        <x:v>0</x:v>
      </x:c>
      <x:c r="L171" s="60" t="n">
        <x:v>2.4078546928</x:v>
      </x:c>
      <x:c r="M171" s="60" t="n">
        <x:v>0</x:v>
      </x:c>
      <x:c r="N171" s="46" t="str">
        <x:v>equulites berbis</x:v>
      </x:c>
      <x:c r="O171" s="62" t="n">
        <x:v>3.31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Equulites berbis</x:v>
      </x:c>
      <x:c r="T171" s="62" t="n">
        <x:f>IF(O171="","",(1/'Metadata'!$B$5)^(O171-1))</x:f>
        <x:v>1012.4633005057666</x:v>
      </x:c>
      <x:c r="U171" s="60" t="n">
        <x:f>IF(T171="","",I171*T171)</x:f>
        <x:v>2437.864509410587</x:v>
      </x:c>
    </x:row>
    <x:row r="172" ht="18" customHeight="1">
      <x:c r="A172" s="46" t="str">
        <x:v>LME_031</x:v>
      </x:c>
      <x:c r="B172" s="46" t="str">
        <x:v>Somali Coastal Current</x:v>
      </x:c>
      <x:c r="C172" s="46" t="str">
        <x:v>LME</x:v>
      </x:c>
      <x:c r="D172" s="58" t="n">
        <x:v>2019</x:v>
      </x:c>
      <x:c r="E172" s="46" t="str">
        <x:v>Atule mate</x:v>
      </x:c>
      <x:c r="F172" s="46" t="str">
        <x:v>Yellowtail scad</x:v>
      </x:c>
      <x:c r="G172" s="46" t="str">
        <x:v>Small pelagics (&lt;30 cm)</x:v>
      </x:c>
      <x:c r="H172" s="46" t="str">
        <x:v>Perch-likes</x:v>
      </x:c>
      <x:c r="I172" s="60" t="n">
        <x:v>2.2292685114</x:v>
      </x:c>
      <x:c r="J172" s="60" t="n">
        <x:v>2.2292685114</x:v>
      </x:c>
      <x:c r="K172" s="60" t="n">
        <x:v>0</x:v>
      </x:c>
      <x:c r="L172" s="60" t="n">
        <x:v>2.2292685114</x:v>
      </x:c>
      <x:c r="M172" s="60" t="n">
        <x:v>0</x:v>
      </x:c>
      <x:c r="N172" s="46" t="str">
        <x:v>atule mate</x:v>
      </x:c>
      <x:c r="O172" s="62" t="n">
        <x:v>4.22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Atule mate</x:v>
      </x:c>
      <x:c r="T172" s="62" t="n">
        <x:f>IF(O172="","",(1/'Metadata'!$B$5)^(O172-1))</x:f>
        <x:v>15463.812886046735</x:v>
      </x:c>
      <x:c r="U172" s="60" t="n">
        <x:f>IF(T172="","",I172*T172)</x:f>
        <x:v>34472.99113304554</x:v>
      </x:c>
    </x:row>
    <x:row r="173" ht="18" customHeight="1">
      <x:c r="A173" s="46" t="str">
        <x:v>LME_031</x:v>
      </x:c>
      <x:c r="B173" s="46" t="str">
        <x:v>Somali Coastal Current</x:v>
      </x:c>
      <x:c r="C173" s="46" t="str">
        <x:v>LME</x:v>
      </x:c>
      <x:c r="D173" s="58" t="n">
        <x:v>2019</x:v>
      </x:c>
      <x:c r="E173" s="46" t="str">
        <x:v>Decapoda</x:v>
      </x:c>
      <x:c r="F173" s="46" t="str">
        <x:v>Crabs, lobsters, shrimps</x:v>
      </x:c>
      <x:c r="G173" s="46" t="str">
        <x:v>Lobsters, crabs</x:v>
      </x:c>
      <x:c r="H173" s="46" t="str">
        <x:v>Crustaceans</x:v>
      </x:c>
      <x:c r="I173" s="60" t="n">
        <x:v>2.0881559663</x:v>
      </x:c>
      <x:c r="J173" s="60" t="n">
        <x:v>2.0881559663</x:v>
      </x:c>
      <x:c r="K173" s="60" t="n">
        <x:v>0</x:v>
      </x:c>
      <x:c r="L173" s="60" t="n">
        <x:v>2.0881559663</x:v>
      </x:c>
      <x:c r="M173" s="60" t="n">
        <x:v>0</x:v>
      </x:c>
      <x:c r="N173" s="46" t="str">
        <x:v>decapoda</x:v>
      </x:c>
      <x:c r="O173" s="62" t="n">
        <x:v>3.43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Decapoda</x:v>
      </x:c>
      <x:c r="T173" s="62" t="n">
        <x:f>IF(O173="","",(1/'Metadata'!$B$5)^(O173-1))</x:f>
        <x:v>1450.450424461182</x:v>
      </x:c>
      <x:c r="U173" s="60" t="n">
        <x:f>IF(T173="","",I173*T173)</x:f>
        <x:v>3028.7667076609846</x:v>
      </x:c>
    </x:row>
    <x:row r="174" ht="18" customHeight="1">
      <x:c r="A174" s="46" t="str">
        <x:v>LME_031</x:v>
      </x:c>
      <x:c r="B174" s="46" t="str">
        <x:v>Somali Coastal Current</x:v>
      </x:c>
      <x:c r="C174" s="46" t="str">
        <x:v>LME</x:v>
      </x:c>
      <x:c r="D174" s="58" t="n">
        <x:v>2019</x:v>
      </x:c>
      <x:c r="E174" s="46" t="str">
        <x:v>Nemipterus japonicus</x:v>
      </x:c>
      <x:c r="F174" s="46" t="str">
        <x:v>Japanese threadfin bream</x:v>
      </x:c>
      <x:c r="G174" s="46" t="str">
        <x:v>Small demersals (&lt;30 cm)</x:v>
      </x:c>
      <x:c r="H174" s="46" t="str">
        <x:v>Perch-likes</x:v>
      </x:c>
      <x:c r="I174" s="60" t="n">
        <x:v>2.0874562187</x:v>
      </x:c>
      <x:c r="J174" s="60" t="n">
        <x:v>0</x:v>
      </x:c>
      <x:c r="K174" s="60" t="n">
        <x:v>2.0874562187</x:v>
      </x:c>
      <x:c r="L174" s="60" t="n">
        <x:v>0</x:v>
      </x:c>
      <x:c r="M174" s="60" t="n">
        <x:v>2.0874562187</x:v>
      </x:c>
      <x:c r="N174" s="46" t="str">
        <x:v>nemipterus japonicus</x:v>
      </x:c>
      <x:c r="O174" s="62" t="n">
        <x:v>3.77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Nemipterus japonicus</x:v>
      </x:c>
      <x:c r="T174" s="62" t="n">
        <x:f>IF(O174="","",(1/'Metadata'!$B$5)^(O174-1))</x:f>
        <x:v>4016.549170818885</x:v>
      </x:c>
      <x:c r="U174" s="60" t="n">
        <x:f>IF(T174="","",I174*T174)</x:f>
        <x:v>8384.37054434021</x:v>
      </x:c>
    </x:row>
    <x:row r="175" ht="18" customHeight="1">
      <x:c r="A175" s="46" t="str">
        <x:v>LME_031</x:v>
      </x:c>
      <x:c r="B175" s="46" t="str">
        <x:v>Somali Coastal Current</x:v>
      </x:c>
      <x:c r="C175" s="46" t="str">
        <x:v>LME</x:v>
      </x:c>
      <x:c r="D175" s="58" t="n">
        <x:v>2019</x:v>
      </x:c>
      <x:c r="E175" s="46" t="str">
        <x:v>Platycephalus indicus</x:v>
      </x:c>
      <x:c r="F175" s="46" t="str">
        <x:v>Bartail flathead</x:v>
      </x:c>
      <x:c r="G175" s="46" t="str">
        <x:v>Medium demersals (30 - 89 cm)</x:v>
      </x:c>
      <x:c r="H175" s="46" t="str">
        <x:v>Scorpionfishes</x:v>
      </x:c>
      <x:c r="I175" s="60" t="n">
        <x:v>2.051642894</x:v>
      </x:c>
      <x:c r="J175" s="60" t="n">
        <x:v>0</x:v>
      </x:c>
      <x:c r="K175" s="60" t="n">
        <x:v>2.051642894</x:v>
      </x:c>
      <x:c r="L175" s="60" t="n">
        <x:v>0</x:v>
      </x:c>
      <x:c r="M175" s="60" t="n">
        <x:v>2.051642894</x:v>
      </x:c>
      <x:c r="N175" s="46" t="str">
        <x:v>platycephalus indicus</x:v>
      </x:c>
      <x:c r="O175" s="62" t="n">
        <x:v>3.6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Platycephalus indicus</x:v>
      </x:c>
      <x:c r="T175" s="62" t="n">
        <x:f>IF(O175="","",(1/'Metadata'!$B$5)^(O175-1))</x:f>
        <x:v>2413.670534618066</x:v>
      </x:c>
      <x:c r="U175" s="60" t="n">
        <x:f>IF(T175="","",I175*T175)</x:f>
        <x:v>4951.990000806336</x:v>
      </x:c>
    </x:row>
    <x:row r="176" ht="18" customHeight="1">
      <x:c r="A176" s="46" t="str">
        <x:v>LME_031</x:v>
      </x:c>
      <x:c r="B176" s="46" t="str">
        <x:v>Somali Coastal Current</x:v>
      </x:c>
      <x:c r="C176" s="46" t="str">
        <x:v>LME</x:v>
      </x:c>
      <x:c r="D176" s="58" t="n">
        <x:v>2019</x:v>
      </x:c>
      <x:c r="E176" s="46" t="str">
        <x:v>Sphyrna</x:v>
      </x:c>
      <x:c r="F176" s="46" t="str">
        <x:v>Hammerhead sharks</x:v>
      </x:c>
      <x:c r="G176" s="46" t="str">
        <x:v>Large sharks (&gt;=90 cm)</x:v>
      </x:c>
      <x:c r="H176" s="46" t="str">
        <x:v>Sharks &amp; rays</x:v>
      </x:c>
      <x:c r="I176" s="60" t="n">
        <x:v>2.0092394015</x:v>
      </x:c>
      <x:c r="J176" s="60" t="n">
        <x:v>2.0092394015</x:v>
      </x:c>
      <x:c r="K176" s="60" t="n">
        <x:v>0</x:v>
      </x:c>
      <x:c r="L176" s="60" t="n">
        <x:v>2.0092394015</x:v>
      </x:c>
      <x:c r="M176" s="60" t="n">
        <x:v>0</x:v>
      </x:c>
      <x:c r="N176" s="46" t="str">
        <x:v>sphyrna</x:v>
      </x:c>
      <x:c r="O176" s="62" t="n">
        <x:v>4.2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Sphyrna</x:v>
      </x:c>
      <x:c r="T176" s="62" t="n">
        <x:f>IF(O176="","",(1/'Metadata'!$B$5)^(O176-1))</x:f>
        <x:v>14564.51362420865</x:v>
      </x:c>
      <x:c r="U176" s="60" t="n">
        <x:f>IF(T176="","",I176*T176)</x:f>
        <x:v>29263.594637443584</x:v>
      </x:c>
    </x:row>
    <x:row r="177" ht="18" customHeight="1">
      <x:c r="A177" s="46" t="str">
        <x:v>LME_031</x:v>
      </x:c>
      <x:c r="B177" s="46" t="str">
        <x:v>Somali Coastal Current</x:v>
      </x:c>
      <x:c r="C177" s="46" t="str">
        <x:v>LME</x:v>
      </x:c>
      <x:c r="D177" s="58" t="n">
        <x:v>2019</x:v>
      </x:c>
      <x:c r="E177" s="46" t="str">
        <x:v>Sphyraena putnamae</x:v>
      </x:c>
      <x:c r="F177" s="46" t="str">
        <x:v>Sawtooth barracuda</x:v>
      </x:c>
      <x:c r="G177" s="46" t="str">
        <x:v>Medium reef assoc. fish (30 - 89 cm)</x:v>
      </x:c>
      <x:c r="H177" s="46" t="str">
        <x:v>Perch-likes</x:v>
      </x:c>
      <x:c r="I177" s="60" t="n">
        <x:v>1.9932075047</x:v>
      </x:c>
      <x:c r="J177" s="60" t="n">
        <x:v>1.9932075047</x:v>
      </x:c>
      <x:c r="K177" s="60" t="n">
        <x:v>0</x:v>
      </x:c>
      <x:c r="L177" s="60" t="n">
        <x:v>1.9932075047</x:v>
      </x:c>
      <x:c r="M177" s="60" t="n">
        <x:v>0</x:v>
      </x:c>
      <x:c r="N177" s="46" t="str">
        <x:v>sphyraena putnamae</x:v>
      </x:c>
      <x:c r="O177" s="62" t="n">
        <x:v>4.5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Sphyraena putnamae</x:v>
      </x:c>
      <x:c r="T177" s="62" t="n">
        <x:f>IF(O177="","",(1/'Metadata'!$B$5)^(O177-1))</x:f>
        <x:v>35777.08763999664</x:v>
      </x:c>
      <x:c r="U177" s="60" t="n">
        <x:f>IF(T177="","",I177*T177)</x:f>
        <x:v>71311.15958035091</x:v>
      </x:c>
    </x:row>
    <x:row r="178" ht="18" customHeight="1">
      <x:c r="A178" s="46" t="str">
        <x:v>LME_031</x:v>
      </x:c>
      <x:c r="B178" s="46" t="str">
        <x:v>Somali Coastal Current</x:v>
      </x:c>
      <x:c r="C178" s="46" t="str">
        <x:v>LME</x:v>
      </x:c>
      <x:c r="D178" s="58" t="n">
        <x:v>2019</x:v>
      </x:c>
      <x:c r="E178" s="46" t="str">
        <x:v>Harpadon nehereus</x:v>
      </x:c>
      <x:c r="F178" s="46" t="str">
        <x:v>Bombay-duck</x:v>
      </x:c>
      <x:c r="G178" s="46" t="str">
        <x:v>Medium benthopelagics (30 - 89 cm)</x:v>
      </x:c>
      <x:c r="H178" s="46" t="str">
        <x:v>Other fishes &amp; inverts</x:v>
      </x:c>
      <x:c r="I178" s="60" t="n">
        <x:v>1.7972779917</x:v>
      </x:c>
      <x:c r="J178" s="60" t="n">
        <x:v>0</x:v>
      </x:c>
      <x:c r="K178" s="60" t="n">
        <x:v>1.7972779917</x:v>
      </x:c>
      <x:c r="L178" s="60" t="n">
        <x:v>0</x:v>
      </x:c>
      <x:c r="M178" s="60" t="n">
        <x:v>1.7972779917</x:v>
      </x:c>
      <x:c r="N178" s="46" t="str">
        <x:v>harpadon nehereus</x:v>
      </x:c>
      <x:c r="O178" s="62" t="n">
        <x:v>4.2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Harpadon nehereus</x:v>
      </x:c>
      <x:c r="T178" s="62" t="n">
        <x:f>IF(O178="","",(1/'Metadata'!$B$5)^(O178-1))</x:f>
        <x:v>14564.51362420865</x:v>
      </x:c>
      <x:c r="U178" s="60" t="n">
        <x:f>IF(T178="","",I178*T178)</x:f>
        <x:v>26176.47979660501</x:v>
      </x:c>
    </x:row>
    <x:row r="179" ht="18" customHeight="1">
      <x:c r="A179" s="46" t="str">
        <x:v>LME_031</x:v>
      </x:c>
      <x:c r="B179" s="46" t="str">
        <x:v>Somali Coastal Current</x:v>
      </x:c>
      <x:c r="C179" s="46" t="str">
        <x:v>LME</x:v>
      </x:c>
      <x:c r="D179" s="58" t="n">
        <x:v>2019</x:v>
      </x:c>
      <x:c r="E179" s="46" t="str">
        <x:v>Tetraodontidae</x:v>
      </x:c>
      <x:c r="F179" s="46" t="str">
        <x:v>Puffers, tobies</x:v>
      </x:c>
      <x:c r="G179" s="46" t="str">
        <x:v>Large reef assoc. fish (&gt;=90 cm)</x:v>
      </x:c>
      <x:c r="H179" s="46" t="str">
        <x:v>Other fishes &amp; inverts</x:v>
      </x:c>
      <x:c r="I179" s="60" t="n">
        <x:v>1.7400736974</x:v>
      </x:c>
      <x:c r="J179" s="60" t="n">
        <x:v>0.3657100917</x:v>
      </x:c>
      <x:c r="K179" s="60" t="n">
        <x:v>1.3743636057</x:v>
      </x:c>
      <x:c r="L179" s="60" t="n">
        <x:v>0.1126155729</x:v>
      </x:c>
      <x:c r="M179" s="60" t="n">
        <x:v>1.6274581245</x:v>
      </x:c>
      <x:c r="N179" s="46" t="str">
        <x:v>tetraodontidae</x:v>
      </x:c>
      <x:c r="O179" s="62" t="n">
        <x:v>3.5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Tetraodontidae</x:v>
      </x:c>
      <x:c r="T179" s="62" t="n">
        <x:f>IF(O179="","",(1/'Metadata'!$B$5)^(O179-1))</x:f>
        <x:v>1788.8543819998317</x:v>
      </x:c>
      <x:c r="U179" s="60" t="n">
        <x:f>IF(T179="","",I179*T179)</x:f>
        <x:v>3112.7384585966392</x:v>
      </x:c>
    </x:row>
    <x:row r="180" ht="18" customHeight="1">
      <x:c r="A180" s="46" t="str">
        <x:v>LME_031</x:v>
      </x:c>
      <x:c r="B180" s="46" t="str">
        <x:v>Somali Coastal Current</x:v>
      </x:c>
      <x:c r="C180" s="46" t="str">
        <x:v>LME</x:v>
      </x:c>
      <x:c r="D180" s="58" t="n">
        <x:v>2019</x:v>
      </x:c>
      <x:c r="E180" s="46" t="str">
        <x:v>Balistidae</x:v>
      </x:c>
      <x:c r="F180" s="46" t="str">
        <x:v>Triggerfishes</x:v>
      </x:c>
      <x:c r="G180" s="46" t="str">
        <x:v>Medium reef assoc. fish (30 - 89 cm)</x:v>
      </x:c>
      <x:c r="H180" s="46" t="str">
        <x:v>Other fishes &amp; inverts</x:v>
      </x:c>
      <x:c r="I180" s="60" t="n">
        <x:v>1.7324371866000001</x:v>
      </x:c>
      <x:c r="J180" s="60" t="n">
        <x:v>1.7324371866000001</x:v>
      </x:c>
      <x:c r="K180" s="60" t="n">
        <x:v>0</x:v>
      </x:c>
      <x:c r="L180" s="60" t="n">
        <x:v>0.722619745</x:v>
      </x:c>
      <x:c r="M180" s="60" t="n">
        <x:v>1.0098174416</x:v>
      </x:c>
      <x:c r="N180" s="46" t="str">
        <x:v>balistidae</x:v>
      </x:c>
      <x:c r="O180" s="62" t="n">
        <x:v>3.25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Balistidae</x:v>
      </x:c>
      <x:c r="T180" s="62" t="n">
        <x:f>IF(O180="","",(1/'Metadata'!$B$5)^(O180-1))</x:f>
        <x:v>845.8970107524513</x:v>
      </x:c>
      <x:c r="U180" s="60" t="n">
        <x:f>IF(T180="","",I180*T180)</x:f>
        <x:v>1465.4634374613267</x:v>
      </x:c>
    </x:row>
    <x:row r="181" ht="18" customHeight="1">
      <x:c r="A181" s="46" t="str">
        <x:v>LME_031</x:v>
      </x:c>
      <x:c r="B181" s="46" t="str">
        <x:v>Somali Coastal Current</x:v>
      </x:c>
      <x:c r="C181" s="46" t="str">
        <x:v>LME</x:v>
      </x:c>
      <x:c r="D181" s="58" t="n">
        <x:v>2019</x:v>
      </x:c>
      <x:c r="E181" s="46" t="str">
        <x:v>Glaucostegus granulatus</x:v>
      </x:c>
      <x:c r="F181" s="46" t="str">
        <x:v>Granulated guitarfish</x:v>
      </x:c>
      <x:c r="G181" s="46" t="str">
        <x:v>Large rays (&gt;=90 cm)</x:v>
      </x:c>
      <x:c r="H181" s="46" t="str">
        <x:v>Sharks &amp; rays</x:v>
      </x:c>
      <x:c r="I181" s="60" t="n">
        <x:v>1.6940287729</x:v>
      </x:c>
      <x:c r="J181" s="60" t="n">
        <x:v>0</x:v>
      </x:c>
      <x:c r="K181" s="60" t="n">
        <x:v>1.6940287729</x:v>
      </x:c>
      <x:c r="L181" s="60" t="n">
        <x:v>0</x:v>
      </x:c>
      <x:c r="M181" s="60" t="n">
        <x:v>1.6940287729</x:v>
      </x:c>
      <x:c r="N181" s="46" t="str">
        <x:v>glaucostegus granulatus</x:v>
      </x:c>
      <x:c r="O181" s="62" t="n">
        <x:v>3.5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Glaucostegus granulatus</x:v>
      </x:c>
      <x:c r="T181" s="62" t="n">
        <x:f>IF(O181="","",(1/'Metadata'!$B$5)^(O181-1))</x:f>
        <x:v>1788.8543819998317</x:v>
      </x:c>
      <x:c r="U181" s="60" t="n">
        <x:f>IF(T181="","",I181*T181)</x:f>
        <x:v>3030.370793635963</x:v>
      </x:c>
    </x:row>
    <x:row r="182" ht="18" customHeight="1">
      <x:c r="A182" s="46" t="str">
        <x:v>LME_031</x:v>
      </x:c>
      <x:c r="B182" s="46" t="str">
        <x:v>Somali Coastal Current</x:v>
      </x:c>
      <x:c r="C182" s="46" t="str">
        <x:v>LME</x:v>
      </x:c>
      <x:c r="D182" s="58" t="n">
        <x:v>2019</x:v>
      </x:c>
      <x:c r="E182" s="46" t="str">
        <x:v>Atropus armatus</x:v>
      </x:c>
      <x:c r="F182" s="46" t="str">
        <x:v>Longfin trevally</x:v>
      </x:c>
      <x:c r="G182" s="46" t="str">
        <x:v>Medium reef assoc. fish (30 - 89 cm)</x:v>
      </x:c>
      <x:c r="H182" s="46" t="str">
        <x:v>Perch-likes</x:v>
      </x:c>
      <x:c r="I182" s="60" t="n">
        <x:v>1.614335072</x:v>
      </x:c>
      <x:c r="J182" s="60" t="n">
        <x:v>1.614335072</x:v>
      </x:c>
      <x:c r="K182" s="60" t="n">
        <x:v>0</x:v>
      </x:c>
      <x:c r="L182" s="60" t="n">
        <x:v>1.614335072</x:v>
      </x:c>
      <x:c r="M182" s="60" t="n">
        <x:v>0</x:v>
      </x:c>
      <x:c r="N182" s="46" t="str">
        <x:v>atropus armatus</x:v>
      </x:c>
      <x:c r="O182" s="62" t="n">
        <x:v>4.15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Atropus armatus</x:v>
      </x:c>
      <x:c r="T182" s="62" t="n">
        <x:f>IF(O182="","",(1/'Metadata'!$B$5)^(O182-1))</x:f>
        <x:v>12538.46830130465</x:v>
      </x:c>
      <x:c r="U182" s="60" t="n">
        <x:f>IF(T182="","",I182*T182)</x:f>
        <x:v>20241.289127956363</x:v>
      </x:c>
    </x:row>
    <x:row r="183" ht="18" customHeight="1">
      <x:c r="A183" s="46" t="str">
        <x:v>LME_031</x:v>
      </x:c>
      <x:c r="B183" s="46" t="str">
        <x:v>Somali Coastal Current</x:v>
      </x:c>
      <x:c r="C183" s="46" t="str">
        <x:v>LME</x:v>
      </x:c>
      <x:c r="D183" s="58" t="n">
        <x:v>2019</x:v>
      </x:c>
      <x:c r="E183" s="46" t="str">
        <x:v>Lactarius lactarius</x:v>
      </x:c>
      <x:c r="F183" s="46" t="str">
        <x:v>False trevally</x:v>
      </x:c>
      <x:c r="G183" s="46" t="str">
        <x:v>Medium pelagics (30 - 89 cm)</x:v>
      </x:c>
      <x:c r="H183" s="46" t="str">
        <x:v>Perch-likes</x:v>
      </x:c>
      <x:c r="I183" s="60" t="n">
        <x:v>1.5940236137</x:v>
      </x:c>
      <x:c r="J183" s="60" t="n">
        <x:v>0</x:v>
      </x:c>
      <x:c r="K183" s="60" t="n">
        <x:v>1.5940236137</x:v>
      </x:c>
      <x:c r="L183" s="60" t="n">
        <x:v>0</x:v>
      </x:c>
      <x:c r="M183" s="60" t="n">
        <x:v>1.5940236137</x:v>
      </x:c>
      <x:c r="N183" s="46" t="str">
        <x:v>lactarius lactarius</x:v>
      </x:c>
      <x:c r="O183" s="62" t="n">
        <x:v>3.97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Lactarius lactarius</x:v>
      </x:c>
      <x:c r="T183" s="62" t="n">
        <x:f>IF(O183="","",(1/'Metadata'!$B$5)^(O183-1))</x:f>
        <x:v>7312.385640086951</x:v>
      </x:c>
      <x:c r="U183" s="60" t="n">
        <x:f>IF(T183="","",I183*T183)</x:f>
        <x:v>11656.115382779388</x:v>
      </x:c>
    </x:row>
    <x:row r="184" ht="18" customHeight="1">
      <x:c r="A184" s="46" t="str">
        <x:v>LME_031</x:v>
      </x:c>
      <x:c r="B184" s="46" t="str">
        <x:v>Somali Coastal Current</x:v>
      </x:c>
      <x:c r="C184" s="46" t="str">
        <x:v>LME</x:v>
      </x:c>
      <x:c r="D184" s="58" t="n">
        <x:v>2019</x:v>
      </x:c>
      <x:c r="E184" s="46" t="str">
        <x:v>Isurus paucus</x:v>
      </x:c>
      <x:c r="F184" s="46" t="str">
        <x:v>Longfin mako</x:v>
      </x:c>
      <x:c r="G184" s="46" t="str">
        <x:v>Large sharks (&gt;=90 cm)</x:v>
      </x:c>
      <x:c r="H184" s="46" t="str">
        <x:v>Sharks &amp; rays</x:v>
      </x:c>
      <x:c r="I184" s="60" t="n">
        <x:v>1.4605020158</x:v>
      </x:c>
      <x:c r="J184" s="60" t="n">
        <x:v>1.4605020158</x:v>
      </x:c>
      <x:c r="K184" s="60" t="n">
        <x:v>0</x:v>
      </x:c>
      <x:c r="L184" s="60" t="n">
        <x:v>1.4605020158</x:v>
      </x:c>
      <x:c r="M184" s="60" t="n">
        <x:v>0</x:v>
      </x:c>
      <x:c r="N184" s="46" t="str">
        <x:v>isurus paucus</x:v>
      </x:c>
      <x:c r="O184" s="62" t="n">
        <x:v>4.51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Isurus paucus</x:v>
      </x:c>
      <x:c r="T184" s="62" t="n">
        <x:f>IF(O184="","",(1/'Metadata'!$B$5)^(O184-1))</x:f>
        <x:v>36865.088835568684</x:v>
      </x:c>
      <x:c r="U184" s="60" t="n">
        <x:f>IF(T184="","",I184*T184)</x:f>
        <x:v>53841.536556994135</x:v>
      </x:c>
    </x:row>
    <x:row r="185" ht="18" customHeight="1">
      <x:c r="A185" s="46" t="str">
        <x:v>LME_031</x:v>
      </x:c>
      <x:c r="B185" s="46" t="str">
        <x:v>Somali Coastal Current</x:v>
      </x:c>
      <x:c r="C185" s="46" t="str">
        <x:v>LME</x:v>
      </x:c>
      <x:c r="D185" s="58" t="n">
        <x:v>2019</x:v>
      </x:c>
      <x:c r="E185" s="46" t="str">
        <x:v>Soleidae</x:v>
      </x:c>
      <x:c r="F185" s="46" t="str">
        <x:v>Soles</x:v>
      </x:c>
      <x:c r="G185" s="46" t="str">
        <x:v>Small to medium flatfishes (&lt;90 cm)</x:v>
      </x:c>
      <x:c r="H185" s="46" t="str">
        <x:v>Flatfishes</x:v>
      </x:c>
      <x:c r="I185" s="60" t="n">
        <x:v>1.3194822042999999</x:v>
      </x:c>
      <x:c r="J185" s="60" t="n">
        <x:v>0</x:v>
      </x:c>
      <x:c r="K185" s="60" t="n">
        <x:v>1.3194822042999999</x:v>
      </x:c>
      <x:c r="L185" s="60" t="n">
        <x:v>0</x:v>
      </x:c>
      <x:c r="M185" s="60" t="n">
        <x:v>1.3194822042999999</x:v>
      </x:c>
      <x:c r="N185" s="46" t="str">
        <x:v>soleidae</x:v>
      </x:c>
      <x:c r="O185" s="62" t="n">
        <x:v>3.15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Soleidae</x:v>
      </x:c>
      <x:c r="T185" s="62" t="n">
        <x:f>IF(O185="","",(1/'Metadata'!$B$5)^(O185-1))</x:f>
        <x:v>626.9234150652317</x:v>
      </x:c>
      <x:c r="U185" s="60" t="n">
        <x:f>IF(T185="","",I185*T185)</x:f>
        <x:v>827.2142896375556</x:v>
      </x:c>
    </x:row>
    <x:row r="186" ht="18" customHeight="1">
      <x:c r="A186" s="46" t="str">
        <x:v>LME_031</x:v>
      </x:c>
      <x:c r="B186" s="46" t="str">
        <x:v>Somali Coastal Current</x:v>
      </x:c>
      <x:c r="C186" s="46" t="str">
        <x:v>LME</x:v>
      </x:c>
      <x:c r="D186" s="58" t="n">
        <x:v>2019</x:v>
      </x:c>
      <x:c r="E186" s="46" t="str">
        <x:v>Saurida tumbil</x:v>
      </x:c>
      <x:c r="F186" s="46" t="str">
        <x:v>Greater lizardfish</x:v>
      </x:c>
      <x:c r="G186" s="46" t="str">
        <x:v>Medium demersals (30 - 89 cm)</x:v>
      </x:c>
      <x:c r="H186" s="46" t="str">
        <x:v>Other fishes &amp; inverts</x:v>
      </x:c>
      <x:c r="I186" s="60" t="n">
        <x:v>1.1786962864000001</x:v>
      </x:c>
      <x:c r="J186" s="60" t="n">
        <x:v>0</x:v>
      </x:c>
      <x:c r="K186" s="60" t="n">
        <x:v>1.1786962864000001</x:v>
      </x:c>
      <x:c r="L186" s="60" t="n">
        <x:v>0</x:v>
      </x:c>
      <x:c r="M186" s="60" t="n">
        <x:v>1.1786962864000001</x:v>
      </x:c>
      <x:c r="N186" s="46" t="str">
        <x:v>saurida tumbil</x:v>
      </x:c>
      <x:c r="O186" s="62" t="n">
        <x:v>4.4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Saurida tumbil</x:v>
      </x:c>
      <x:c r="T186" s="62" t="n">
        <x:f>IF(O186="","",(1/'Metadata'!$B$5)^(O186-1))</x:f>
        <x:v>26515.632138719924</x:v>
      </x:c>
      <x:c r="U186" s="60" t="n">
        <x:f>IF(T186="","",I186*T186)</x:f>
        <x:v>31253.877133457667</x:v>
      </x:c>
    </x:row>
    <x:row r="187" ht="18" customHeight="1">
      <x:c r="A187" s="46" t="str">
        <x:v>LME_031</x:v>
      </x:c>
      <x:c r="B187" s="46" t="str">
        <x:v>Somali Coastal Current</x:v>
      </x:c>
      <x:c r="C187" s="46" t="str">
        <x:v>LME</x:v>
      </x:c>
      <x:c r="D187" s="58" t="n">
        <x:v>2019</x:v>
      </x:c>
      <x:c r="E187" s="46" t="str">
        <x:v>Arothron hispidus</x:v>
      </x:c>
      <x:c r="F187" s="46" t="str">
        <x:v>White-spotted puffer</x:v>
      </x:c>
      <x:c r="G187" s="46" t="str">
        <x:v>Medium reef assoc. fish (30 - 89 cm)</x:v>
      </x:c>
      <x:c r="H187" s="46" t="str">
        <x:v>Other fishes &amp; inverts</x:v>
      </x:c>
      <x:c r="I187" s="60" t="n">
        <x:v>1.1279930387</x:v>
      </x:c>
      <x:c r="J187" s="60" t="n">
        <x:v>0</x:v>
      </x:c>
      <x:c r="K187" s="60" t="n">
        <x:v>1.1279930387</x:v>
      </x:c>
      <x:c r="L187" s="60" t="n">
        <x:v>0</x:v>
      </x:c>
      <x:c r="M187" s="60" t="n">
        <x:v>1.1279930387</x:v>
      </x:c>
      <x:c r="N187" s="46" t="str">
        <x:v>arothron hispidus</x:v>
      </x:c>
      <x:c r="O187" s="62" t="n">
        <x:v>3.24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Arothron hispidus</x:v>
      </x:c>
      <x:c r="T187" s="62" t="n">
        <x:f>IF(O187="","",(1/'Metadata'!$B$5)^(O187-1))</x:f>
        <x:v>820.9320103116679</x:v>
      </x:c>
      <x:c r="U187" s="60" t="n">
        <x:f>IF(T187="","",I187*T187)</x:f>
        <x:v>926.0055928775579</x:v>
      </x:c>
    </x:row>
    <x:row r="188" ht="18" customHeight="1">
      <x:c r="A188" s="46" t="str">
        <x:v>LME_031</x:v>
      </x:c>
      <x:c r="B188" s="46" t="str">
        <x:v>Somali Coastal Current</x:v>
      </x:c>
      <x:c r="C188" s="46" t="str">
        <x:v>LME</x:v>
      </x:c>
      <x:c r="D188" s="58" t="n">
        <x:v>2019</x:v>
      </x:c>
      <x:c r="E188" s="46" t="str">
        <x:v>Sardinella gibbosa</x:v>
      </x:c>
      <x:c r="F188" s="46" t="str">
        <x:v>Goldstripe sardinella</x:v>
      </x:c>
      <x:c r="G188" s="46" t="str">
        <x:v>Small pelagics (&lt;30 cm)</x:v>
      </x:c>
      <x:c r="H188" s="46" t="str">
        <x:v>Herring-likes</x:v>
      </x:c>
      <x:c r="I188" s="60" t="n">
        <x:v>0.8866187887</x:v>
      </x:c>
      <x:c r="J188" s="60" t="n">
        <x:v>0</x:v>
      </x:c>
      <x:c r="K188" s="60" t="n">
        <x:v>0.8866187887</x:v>
      </x:c>
      <x:c r="L188" s="60" t="n">
        <x:v>0</x:v>
      </x:c>
      <x:c r="M188" s="60" t="n">
        <x:v>0.8866187887</x:v>
      </x:c>
      <x:c r="N188" s="46" t="str">
        <x:v>sardinella gibbosa</x:v>
      </x:c>
      <x:c r="O188" s="62" t="n">
        <x:v>2.85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Sardinella gibbosa</x:v>
      </x:c>
      <x:c r="T188" s="62" t="n">
        <x:f>IF(O188="","",(1/'Metadata'!$B$5)^(O188-1))</x:f>
        <x:v>255.21458627183662</x:v>
      </x:c>
      <x:c r="U188" s="60" t="n">
        <x:f>IF(T188="","",I188*T188)</x:f>
        <x:v>226.27804733890744</x:v>
      </x:c>
    </x:row>
    <x:row r="189" ht="18" customHeight="1">
      <x:c r="A189" s="46" t="str">
        <x:v>LME_031</x:v>
      </x:c>
      <x:c r="B189" s="46" t="str">
        <x:v>Somali Coastal Current</x:v>
      </x:c>
      <x:c r="C189" s="46" t="str">
        <x:v>LME</x:v>
      </x:c>
      <x:c r="D189" s="58" t="n">
        <x:v>2019</x:v>
      </x:c>
      <x:c r="E189" s="46" t="str">
        <x:v>Clupeiformes</x:v>
      </x:c>
      <x:c r="F189" s="46" t="str">
        <x:v>Herrings, shads, anchovies</x:v>
      </x:c>
      <x:c r="G189" s="46" t="str">
        <x:v>Small pelagics (&lt;30 cm)</x:v>
      </x:c>
      <x:c r="H189" s="46" t="str">
        <x:v>Other fishes &amp; inverts</x:v>
      </x:c>
      <x:c r="I189" s="60" t="n">
        <x:v>0.8852359904</x:v>
      </x:c>
      <x:c r="J189" s="60" t="n">
        <x:v>0.8852359904</x:v>
      </x:c>
      <x:c r="K189" s="60" t="n">
        <x:v>0</x:v>
      </x:c>
      <x:c r="L189" s="60" t="n">
        <x:v>0.8852359904</x:v>
      </x:c>
      <x:c r="M189" s="60" t="n">
        <x:v>0</x:v>
      </x:c>
      <x:c r="N189" s="46" t="str">
        <x:v>clupeiformes</x:v>
      </x:c>
      <x:c r="O189" s="62" t="n">
        <x:v>3.24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Clupeiformes</x:v>
      </x:c>
      <x:c r="T189" s="62" t="n">
        <x:f>IF(O189="","",(1/'Metadata'!$B$5)^(O189-1))</x:f>
        <x:v>820.9320103116679</x:v>
      </x:c>
      <x:c r="U189" s="60" t="n">
        <x:f>IF(T189="","",I189*T189)</x:f>
        <x:v>726.7185611993124</x:v>
      </x:c>
    </x:row>
    <x:row r="190" ht="18" customHeight="1">
      <x:c r="A190" s="46" t="str">
        <x:v>LME_031</x:v>
      </x:c>
      <x:c r="B190" s="46" t="str">
        <x:v>Somali Coastal Current</x:v>
      </x:c>
      <x:c r="C190" s="46" t="str">
        <x:v>LME</x:v>
      </x:c>
      <x:c r="D190" s="58" t="n">
        <x:v>2019</x:v>
      </x:c>
      <x:c r="E190" s="46" t="str">
        <x:v>Thenus orientalis</x:v>
      </x:c>
      <x:c r="F190" s="46" t="str">
        <x:v>Flathead lobster</x:v>
      </x:c>
      <x:c r="G190" s="46" t="str">
        <x:v>Lobsters, crabs</x:v>
      </x:c>
      <x:c r="H190" s="46" t="str">
        <x:v>Crustaceans</x:v>
      </x:c>
      <x:c r="I190" s="60" t="n">
        <x:v>0.866370702</x:v>
      </x:c>
      <x:c r="J190" s="60" t="n">
        <x:v>0.866370702</x:v>
      </x:c>
      <x:c r="K190" s="60" t="n">
        <x:v>0</x:v>
      </x:c>
      <x:c r="L190" s="60" t="n">
        <x:v>0</x:v>
      </x:c>
      <x:c r="M190" s="60" t="n">
        <x:v>0.866370702</x:v>
      </x:c>
      <x:c r="N190" s="46" t="str">
        <x:v>thenus orientalis</x:v>
      </x:c>
      <x:c r="O190" s="62" t="n">
        <x:v>2.5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Thenus orientalis</x:v>
      </x:c>
      <x:c r="T190" s="62" t="n">
        <x:f>IF(O190="","",(1/'Metadata'!$B$5)^(O190-1))</x:f>
        <x:v>89.44271909999159</x:v>
      </x:c>
      <x:c r="U190" s="60" t="n">
        <x:f>IF(T190="","",I190*T190)</x:f>
        <x:v>77.49055133544853</x:v>
      </x:c>
    </x:row>
    <x:row r="191" ht="18" customHeight="1">
      <x:c r="A191" s="46" t="str">
        <x:v>LME_031</x:v>
      </x:c>
      <x:c r="B191" s="46" t="str">
        <x:v>Somali Coastal Current</x:v>
      </x:c>
      <x:c r="C191" s="46" t="str">
        <x:v>LME</x:v>
      </x:c>
      <x:c r="D191" s="58" t="n">
        <x:v>2019</x:v>
      </x:c>
      <x:c r="E191" s="46" t="str">
        <x:v>Himantura uarnak</x:v>
      </x:c>
      <x:c r="F191" s="46" t="str">
        <x:v>Honeycomb stingray</x:v>
      </x:c>
      <x:c r="G191" s="46" t="str">
        <x:v>Large rays (&gt;=90 cm)</x:v>
      </x:c>
      <x:c r="H191" s="46" t="str">
        <x:v>Sharks &amp; rays</x:v>
      </x:c>
      <x:c r="I191" s="60" t="n">
        <x:v>0.7523040131</x:v>
      </x:c>
      <x:c r="J191" s="60" t="n">
        <x:v>0</x:v>
      </x:c>
      <x:c r="K191" s="60" t="n">
        <x:v>0.7523040131</x:v>
      </x:c>
      <x:c r="L191" s="60" t="n">
        <x:v>0</x:v>
      </x:c>
      <x:c r="M191" s="60" t="n">
        <x:v>0.7523040131</x:v>
      </x:c>
      <x:c r="N191" s="46" t="str">
        <x:v>himantura uarnak</x:v>
      </x:c>
      <x:c r="O191" s="62" t="n">
        <x:v>3.6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Himantura uarnak</x:v>
      </x:c>
      <x:c r="T191" s="62" t="n">
        <x:f>IF(O191="","",(1/'Metadata'!$B$5)^(O191-1))</x:f>
        <x:v>2413.670534618066</x:v>
      </x:c>
      <x:c r="U191" s="60" t="n">
        <x:f>IF(T191="","",I191*T191)</x:f>
        <x:v>1815.8140294943935</x:v>
      </x:c>
    </x:row>
    <x:row r="192" ht="18" customHeight="1">
      <x:c r="A192" s="46" t="str">
        <x:v>LME_031</x:v>
      </x:c>
      <x:c r="B192" s="46" t="str">
        <x:v>Somali Coastal Current</x:v>
      </x:c>
      <x:c r="C192" s="46" t="str">
        <x:v>LME</x:v>
      </x:c>
      <x:c r="D192" s="58" t="n">
        <x:v>2019</x:v>
      </x:c>
      <x:c r="E192" s="46" t="str">
        <x:v>Penaeus latisulcatus</x:v>
      </x:c>
      <x:c r="F192" s="46" t="str">
        <x:v>Western king prawn</x:v>
      </x:c>
      <x:c r="G192" s="46" t="str">
        <x:v>Shrimps</x:v>
      </x:c>
      <x:c r="H192" s="46" t="str">
        <x:v>Crustaceans</x:v>
      </x:c>
      <x:c r="I192" s="60" t="n">
        <x:v>0.6036627527</x:v>
      </x:c>
      <x:c r="J192" s="60" t="n">
        <x:v>0.6036627527</x:v>
      </x:c>
      <x:c r="K192" s="60" t="n">
        <x:v>0</x:v>
      </x:c>
      <x:c r="L192" s="60" t="n">
        <x:v>0.0147526719</x:v>
      </x:c>
      <x:c r="M192" s="60" t="n">
        <x:v>0.5889100808000001</x:v>
      </x:c>
      <x:c r="N192" s="46" t="str">
        <x:v>penaeus latisulcatus</x:v>
      </x:c>
      <x:c r="O192" s="62" t="n">
        <x:v>2.7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Penaeus latisulcatus</x:v>
      </x:c>
      <x:c r="T192" s="62" t="n">
        <x:f>IF(O192="","",(1/'Metadata'!$B$5)^(O192-1))</x:f>
        <x:v>162.83621261476185</x:v>
      </x:c>
      <x:c r="U192" s="60" t="n">
        <x:f>IF(T192="","",I192*T192)</x:f>
        <x:v>98.29815634626961</x:v>
      </x:c>
    </x:row>
    <x:row r="193" ht="18" customHeight="1">
      <x:c r="A193" s="46" t="str">
        <x:v>LME_031</x:v>
      </x:c>
      <x:c r="B193" s="46" t="str">
        <x:v>Somali Coastal Current</x:v>
      </x:c>
      <x:c r="C193" s="46" t="str">
        <x:v>LME</x:v>
      </x:c>
      <x:c r="D193" s="58" t="n">
        <x:v>2019</x:v>
      </x:c>
      <x:c r="E193" s="46" t="str">
        <x:v>Scomberoides</x:v>
      </x:c>
      <x:c r="F193" s="46" t="str">
        <x:v>Queenfishes</x:v>
      </x:c>
      <x:c r="G193" s="46" t="str">
        <x:v>Medium pelagics (30 - 89 cm)</x:v>
      </x:c>
      <x:c r="H193" s="46" t="str">
        <x:v>Perch-likes</x:v>
      </x:c>
      <x:c r="I193" s="60" t="n">
        <x:v>0.5990828511</x:v>
      </x:c>
      <x:c r="J193" s="60" t="n">
        <x:v>0.5990828511</x:v>
      </x:c>
      <x:c r="K193" s="60" t="n">
        <x:v>0</x:v>
      </x:c>
      <x:c r="L193" s="60" t="n">
        <x:v>0.5990828511</x:v>
      </x:c>
      <x:c r="M193" s="60" t="n">
        <x:v>0</x:v>
      </x:c>
      <x:c r="N193" s="46" t="str">
        <x:v>scomberoides</x:v>
      </x:c>
      <x:c r="O193" s="62" t="n">
        <x:v>4.47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Scomberoides</x:v>
      </x:c>
      <x:c r="T193" s="62" t="n">
        <x:f>IF(O193="","",(1/'Metadata'!$B$5)^(O193-1))</x:f>
        <x:v>32701.982737855422</x:v>
      </x:c>
      <x:c r="U193" s="60" t="n">
        <x:f>IF(T193="","",I193*T193)</x:f>
        <x:v>19591.19705521741</x:v>
      </x:c>
    </x:row>
    <x:row r="194" ht="18" customHeight="1">
      <x:c r="A194" s="46" t="str">
        <x:v>LME_031</x:v>
      </x:c>
      <x:c r="B194" s="46" t="str">
        <x:v>Somali Coastal Current</x:v>
      </x:c>
      <x:c r="C194" s="46" t="str">
        <x:v>LME</x:v>
      </x:c>
      <x:c r="D194" s="58" t="n">
        <x:v>2019</x:v>
      </x:c>
      <x:c r="E194" s="46" t="str">
        <x:v>Epinephelus</x:v>
      </x:c>
      <x:c r="F194" s="46" t="str">
        <x:v>Seabasses, hinds</x:v>
      </x:c>
      <x:c r="G194" s="46" t="str">
        <x:v>Medium reef assoc. fish (30 - 89 cm)</x:v>
      </x:c>
      <x:c r="H194" s="46" t="str">
        <x:v>Perch-likes</x:v>
      </x:c>
      <x:c r="I194" s="60" t="n">
        <x:v>0.5200798589</x:v>
      </x:c>
      <x:c r="J194" s="60" t="n">
        <x:v>0.5200798589</x:v>
      </x:c>
      <x:c r="K194" s="60" t="n">
        <x:v>0</x:v>
      </x:c>
      <x:c r="L194" s="60" t="n">
        <x:v>0.5200798589</x:v>
      </x:c>
      <x:c r="M194" s="60" t="n">
        <x:v>0</x:v>
      </x:c>
      <x:c r="N194" s="46" t="str">
        <x:v>epinephelus</x:v>
      </x:c>
      <x:c r="O194" s="62" t="n">
        <x:v>3.84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Epinephelus</x:v>
      </x:c>
      <x:c r="T194" s="62" t="n">
        <x:f>IF(O194="","",(1/'Metadata'!$B$5)^(O194-1))</x:f>
        <x:v>4953.648510535111</x:v>
      </x:c>
      <x:c r="U194" s="60" t="n">
        <x:f>IF(T194="","",I194*T194)</x:f>
        <x:v>2576.292818399296</x:v>
      </x:c>
    </x:row>
    <x:row r="195" ht="18" customHeight="1">
      <x:c r="A195" s="46" t="str">
        <x:v>LME_031</x:v>
      </x:c>
      <x:c r="B195" s="46" t="str">
        <x:v>Somali Coastal Current</x:v>
      </x:c>
      <x:c r="C195" s="46" t="str">
        <x:v>LME</x:v>
      </x:c>
      <x:c r="D195" s="58" t="n">
        <x:v>2019</x:v>
      </x:c>
      <x:c r="E195" s="46" t="str">
        <x:v>Chaetodontidae</x:v>
      </x:c>
      <x:c r="F195" s="46" t="str">
        <x:v>Butterflyfishes</x:v>
      </x:c>
      <x:c r="G195" s="46" t="str">
        <x:v>Small reef assoc. fish (&lt;30 cm)</x:v>
      </x:c>
      <x:c r="H195" s="46" t="str">
        <x:v>Perch-likes</x:v>
      </x:c>
      <x:c r="I195" s="60" t="n">
        <x:v>0.4258630187</x:v>
      </x:c>
      <x:c r="J195" s="60" t="n">
        <x:v>0.4258630187</x:v>
      </x:c>
      <x:c r="K195" s="60" t="n">
        <x:v>0</x:v>
      </x:c>
      <x:c r="L195" s="60" t="n">
        <x:v>0.1806258224</x:v>
      </x:c>
      <x:c r="M195" s="60" t="n">
        <x:v>0.24523719630000002</x:v>
      </x:c>
      <x:c r="N195" s="46" t="str">
        <x:v>chaetodontidae</x:v>
      </x:c>
      <x:c r="O195" s="62" t="n">
        <x:v>3.24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Chaetodontidae</x:v>
      </x:c>
      <x:c r="T195" s="62" t="n">
        <x:f>IF(O195="","",(1/'Metadata'!$B$5)^(O195-1))</x:f>
        <x:v>820.9320103116679</x:v>
      </x:c>
      <x:c r="U195" s="60" t="n">
        <x:f>IF(T195="","",I195*T195)</x:f>
        <x:v>349.60458405878643</x:v>
      </x:c>
    </x:row>
    <x:row r="196" ht="18" customHeight="1">
      <x:c r="A196" s="46" t="str">
        <x:v>LME_031</x:v>
      </x:c>
      <x:c r="B196" s="46" t="str">
        <x:v>Somali Coastal Current</x:v>
      </x:c>
      <x:c r="C196" s="46" t="str">
        <x:v>LME</x:v>
      </x:c>
      <x:c r="D196" s="58" t="n">
        <x:v>2019</x:v>
      </x:c>
      <x:c r="E196" s="46" t="str">
        <x:v>Sphyraena barracuda</x:v>
      </x:c>
      <x:c r="F196" s="46" t="str">
        <x:v>Great barracuda</x:v>
      </x:c>
      <x:c r="G196" s="46" t="str">
        <x:v>Large pelagics (&gt;=90 cm)</x:v>
      </x:c>
      <x:c r="H196" s="46" t="str">
        <x:v>Perch-likes</x:v>
      </x:c>
      <x:c r="I196" s="60" t="n">
        <x:v>0.41950149989999996</x:v>
      </x:c>
      <x:c r="J196" s="60" t="n">
        <x:v>0.36637104429999995</x:v>
      </x:c>
      <x:c r="K196" s="60" t="n">
        <x:v>0.0531304556</x:v>
      </x:c>
      <x:c r="L196" s="60" t="n">
        <x:v>0.36637104429999995</x:v>
      </x:c>
      <x:c r="M196" s="60" t="n">
        <x:v>0.0531304556</x:v>
      </x:c>
      <x:c r="N196" s="46" t="str">
        <x:v>sphyraena barracuda</x:v>
      </x:c>
      <x:c r="O196" s="62" t="n">
        <x:v>4.49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Sphyraena barracuda</x:v>
      </x:c>
      <x:c r="T196" s="62" t="n">
        <x:f>IF(O196="","",(1/'Metadata'!$B$5)^(O196-1))</x:f>
        <x:v>34721.19667768202</x:v>
      </x:c>
      <x:c r="U196" s="60" t="n">
        <x:f>IF(T196="","",I196*T196)</x:f>
        <x:v>14565.594084610502</x:v>
      </x:c>
    </x:row>
    <x:row r="197" ht="18" customHeight="1">
      <x:c r="A197" s="46" t="str">
        <x:v>LME_031</x:v>
      </x:c>
      <x:c r="B197" s="46" t="str">
        <x:v>Somali Coastal Current</x:v>
      </x:c>
      <x:c r="C197" s="46" t="str">
        <x:v>LME</x:v>
      </x:c>
      <x:c r="D197" s="58" t="n">
        <x:v>2019</x:v>
      </x:c>
      <x:c r="E197" s="46" t="str">
        <x:v>Echeneidae</x:v>
      </x:c>
      <x:c r="F197" s="46" t="str">
        <x:v>Remoras</x:v>
      </x:c>
      <x:c r="G197" s="46" t="str">
        <x:v>Large pelagics (&gt;=90 cm)</x:v>
      </x:c>
      <x:c r="H197" s="46" t="str">
        <x:v>Perch-likes</x:v>
      </x:c>
      <x:c r="I197" s="60" t="n">
        <x:v>0.3548167124</x:v>
      </x:c>
      <x:c r="J197" s="60" t="n">
        <x:v>0.3548167124</x:v>
      </x:c>
      <x:c r="K197" s="60" t="n">
        <x:v>0</x:v>
      </x:c>
      <x:c r="L197" s="60" t="n">
        <x:v>0.1109656249</x:v>
      </x:c>
      <x:c r="M197" s="60" t="n">
        <x:v>0.2438510875</x:v>
      </x:c>
      <x:c r="N197" s="46" t="str">
        <x:v>echeneidae</x:v>
      </x:c>
      <x:c r="O197" s="62" t="n">
        <x:v>3.22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Echeneidae</x:v>
      </x:c>
      <x:c r="T197" s="62" t="n">
        <x:f>IF(O197="","",(1/'Metadata'!$B$5)^(O197-1))</x:f>
        <x:v>773.1906443023378</x:v>
      </x:c>
      <x:c r="U197" s="60" t="n">
        <x:f>IF(T197="","",I197*T197)</x:f>
        <x:v>274.3409624697933</x:v>
      </x:c>
    </x:row>
    <x:row r="198" ht="18" customHeight="1">
      <x:c r="A198" s="46" t="str">
        <x:v>LME_031</x:v>
      </x:c>
      <x:c r="B198" s="46" t="str">
        <x:v>Somali Coastal Current</x:v>
      </x:c>
      <x:c r="C198" s="46" t="str">
        <x:v>LME</x:v>
      </x:c>
      <x:c r="D198" s="58" t="n">
        <x:v>2019</x:v>
      </x:c>
      <x:c r="E198" s="46" t="str">
        <x:v>Trachysalambria curvirostris</x:v>
      </x:c>
      <x:c r="F198" s="46" t="str">
        <x:v>Southern rough shrimp</x:v>
      </x:c>
      <x:c r="G198" s="46" t="str">
        <x:v>Shrimps</x:v>
      </x:c>
      <x:c r="H198" s="46" t="str">
        <x:v>Crustaceans</x:v>
      </x:c>
      <x:c r="I198" s="60" t="n">
        <x:v>0.1759435479</x:v>
      </x:c>
      <x:c r="J198" s="60" t="n">
        <x:v>0.1759435479</x:v>
      </x:c>
      <x:c r="K198" s="60" t="n">
        <x:v>0</x:v>
      </x:c>
      <x:c r="L198" s="60" t="n">
        <x:v>0.1759435479</x:v>
      </x:c>
      <x:c r="M198" s="60" t="n">
        <x:v>0</x:v>
      </x:c>
      <x:c r="N198" s="46" t="str">
        <x:v>trachysalambria curvirostris</x:v>
      </x:c>
      <x:c r="O198" s="62" t="n">
        <x:v>2.7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Trachysalambria curvirostris</x:v>
      </x:c>
      <x:c r="T198" s="62" t="n">
        <x:f>IF(O198="","",(1/'Metadata'!$B$5)^(O198-1))</x:f>
        <x:v>162.83621261476185</x:v>
      </x:c>
      <x:c r="U198" s="60" t="n">
        <x:f>IF(T198="","",I198*T198)</x:f>
        <x:v>28.649980974039934</x:v>
      </x:c>
    </x:row>
    <x:row r="199" ht="18" customHeight="1">
      <x:c r="A199" s="46" t="str">
        <x:v>LME_031</x:v>
      </x:c>
      <x:c r="B199" s="46" t="str">
        <x:v>Somali Coastal Current</x:v>
      </x:c>
      <x:c r="C199" s="46" t="str">
        <x:v>LME</x:v>
      </x:c>
      <x:c r="D199" s="58" t="n">
        <x:v>2019</x:v>
      </x:c>
      <x:c r="E199" s="46" t="str">
        <x:v>Carcharhinus longimanus</x:v>
      </x:c>
      <x:c r="F199" s="46" t="str">
        <x:v>Oceanic whitetip shark</x:v>
      </x:c>
      <x:c r="G199" s="46" t="str">
        <x:v>Large sharks (&gt;=90 cm)</x:v>
      </x:c>
      <x:c r="H199" s="46" t="str">
        <x:v>Sharks &amp; rays</x:v>
      </x:c>
      <x:c r="I199" s="60" t="n">
        <x:v>0.1683822069</x:v>
      </x:c>
      <x:c r="J199" s="60" t="n">
        <x:v>0.1683822069</x:v>
      </x:c>
      <x:c r="K199" s="60" t="n">
        <x:v>0</x:v>
      </x:c>
      <x:c r="L199" s="60" t="n">
        <x:v>0.0877058357</x:v>
      </x:c>
      <x:c r="M199" s="60" t="n">
        <x:v>0.0806763712</x:v>
      </x:c>
      <x:c r="N199" s="46" t="str">
        <x:v>carcharhinus longimanus</x:v>
      </x:c>
      <x:c r="O199" s="62" t="n">
        <x:v>4.16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Carcharhinus longimanus</x:v>
      </x:c>
      <x:c r="T199" s="62" t="n">
        <x:f>IF(O199="","",(1/'Metadata'!$B$5)^(O199-1))</x:f>
        <x:v>12919.77011769987</x:v>
      </x:c>
      <x:c r="U199" s="60" t="n">
        <x:f>IF(T199="","",I199*T199)</x:f>
        <x:v>2175.459405058977</x:v>
      </x:c>
    </x:row>
    <x:row r="200" ht="18" customHeight="1">
      <x:c r="A200" s="46" t="str">
        <x:v>LME_031</x:v>
      </x:c>
      <x:c r="B200" s="46" t="str">
        <x:v>Somali Coastal Current</x:v>
      </x:c>
      <x:c r="C200" s="46" t="str">
        <x:v>LME</x:v>
      </x:c>
      <x:c r="D200" s="58" t="n">
        <x:v>2019</x:v>
      </x:c>
      <x:c r="E200" s="46" t="str">
        <x:v>Tetrapturus angustirostris</x:v>
      </x:c>
      <x:c r="F200" s="46" t="str">
        <x:v>Shortbill spearfish</x:v>
      </x:c>
      <x:c r="G200" s="46" t="str">
        <x:v>Large pelagics (&gt;=90 cm)</x:v>
      </x:c>
      <x:c r="H200" s="46" t="str">
        <x:v>Tuna &amp; billfishes</x:v>
      </x:c>
      <x:c r="I200" s="60" t="n">
        <x:v>0.093149286</x:v>
      </x:c>
      <x:c r="J200" s="60" t="n">
        <x:v>0.093149286</x:v>
      </x:c>
      <x:c r="K200" s="60" t="n">
        <x:v>0</x:v>
      </x:c>
      <x:c r="L200" s="60" t="n">
        <x:v>0.0081087555</x:v>
      </x:c>
      <x:c r="M200" s="60" t="n">
        <x:v>0.0850405305</x:v>
      </x:c>
      <x:c r="N200" s="46" t="str">
        <x:v>tetrapturus angustirostris</x:v>
      </x:c>
      <x:c r="O200" s="62" t="n">
        <x:v>4.5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Tetrapturus angustirostris</x:v>
      </x:c>
      <x:c r="T200" s="62" t="n">
        <x:f>IF(O200="","",(1/'Metadata'!$B$5)^(O200-1))</x:f>
        <x:v>35777.08763999664</x:v>
      </x:c>
      <x:c r="U200" s="60" t="n">
        <x:f>IF(T200="","",I200*T200)</x:f>
        <x:v>3332.6101688251115</x:v>
      </x:c>
    </x:row>
    <x:row r="201" ht="18" customHeight="1">
      <x:c r="A201" s="46" t="str">
        <x:v>LME_031</x:v>
      </x:c>
      <x:c r="B201" s="46" t="str">
        <x:v>Somali Coastal Current</x:v>
      </x:c>
      <x:c r="C201" s="46" t="str">
        <x:v>LME</x:v>
      </x:c>
      <x:c r="D201" s="58" t="n">
        <x:v>2019</x:v>
      </x:c>
      <x:c r="E201" s="46" t="str">
        <x:v>Perciformes</x:v>
      </x:c>
      <x:c r="F201" s="46" t="str">
        <x:v>Perch-likes</x:v>
      </x:c>
      <x:c r="G201" s="46" t="str">
        <x:v>Medium demersals (30 - 89 cm)</x:v>
      </x:c>
      <x:c r="H201" s="46" t="str">
        <x:v>Perch-likes</x:v>
      </x:c>
      <x:c r="I201" s="60" t="n">
        <x:v>0.0843506109</x:v>
      </x:c>
      <x:c r="J201" s="60" t="n">
        <x:v>0.0843506109</x:v>
      </x:c>
      <x:c r="K201" s="60" t="n">
        <x:v>0</x:v>
      </x:c>
      <x:c r="L201" s="60" t="n">
        <x:v>0</x:v>
      </x:c>
      <x:c r="M201" s="60" t="n">
        <x:v>0.0843506109</x:v>
      </x:c>
      <x:c r="N201" s="46" t="str">
        <x:v>perciformes</x:v>
      </x:c>
      <x:c r="O201" s="62" t="n">
        <x:v>3.53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Perciformes</x:v>
      </x:c>
      <x:c r="T201" s="62" t="n">
        <x:f>IF(O201="","",(1/'Metadata'!$B$5)^(O201-1))</x:f>
        <x:v>1957.0678791263101</x:v>
      </x:c>
      <x:c r="U201" s="60" t="n">
        <x:f>IF(T201="","",I201*T201)</x:f>
        <x:v>165.07987117707162</x:v>
      </x:c>
    </x:row>
    <x:row r="202" ht="18" customHeight="1">
      <x:c r="A202" s="46" t="str">
        <x:v>LME_031</x:v>
      </x:c>
      <x:c r="B202" s="46" t="str">
        <x:v>Somali Coastal Current</x:v>
      </x:c>
      <x:c r="C202" s="46" t="str">
        <x:v>LME</x:v>
      </x:c>
      <x:c r="D202" s="58" t="n">
        <x:v>2019</x:v>
      </x:c>
      <x:c r="E202" s="46" t="str">
        <x:v>Holothuriidae</x:v>
      </x:c>
      <x:c r="F202" s="46" t="str">
        <x:v>Fleshy sea cucumbers</x:v>
      </x:c>
      <x:c r="G202" s="46" t="str">
        <x:v>Other demersal invertebrates</x:v>
      </x:c>
      <x:c r="H202" s="46" t="str">
        <x:v>Other fishes &amp; inverts</x:v>
      </x:c>
      <x:c r="I202" s="60" t="n">
        <x:v>0.08161808350000001</x:v>
      </x:c>
      <x:c r="J202" s="60" t="n">
        <x:v>0.08161808350000001</x:v>
      </x:c>
      <x:c r="K202" s="60" t="n">
        <x:v>0</x:v>
      </x:c>
      <x:c r="L202" s="60" t="n">
        <x:v>0</x:v>
      </x:c>
      <x:c r="M202" s="60" t="n">
        <x:v>0.08161808350000001</x:v>
      </x:c>
      <x:c r="N202" s="46" t="str">
        <x:v>holothuriidae</x:v>
      </x:c>
      <x:c r="O202" s="62" t="n">
        <x:v>2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Holothuriidae</x:v>
      </x:c>
      <x:c r="T202" s="62" t="n">
        <x:f>IF(O202="","",(1/'Metadata'!$B$5)^(O202-1))</x:f>
        <x:v>20</x:v>
      </x:c>
      <x:c r="U202" s="60" t="n">
        <x:f>IF(T202="","",I202*T202)</x:f>
        <x:v>1.63236167</x:v>
      </x:c>
    </x:row>
    <x:row r="203" ht="18" customHeight="1">
      <x:c r="A203" s="46" t="str">
        <x:v>LME_031</x:v>
      </x:c>
      <x:c r="B203" s="46" t="str">
        <x:v>Somali Coastal Current</x:v>
      </x:c>
      <x:c r="C203" s="46" t="str">
        <x:v>LME</x:v>
      </x:c>
      <x:c r="D203" s="58" t="n">
        <x:v>2019</x:v>
      </x:c>
      <x:c r="E203" s="46" t="str">
        <x:v>Rajiformes</x:v>
      </x:c>
      <x:c r="F203" s="46" t="str">
        <x:v>Skates and rays</x:v>
      </x:c>
      <x:c r="G203" s="46" t="str">
        <x:v>Large rays (&gt;=90 cm)</x:v>
      </x:c>
      <x:c r="H203" s="46" t="str">
        <x:v>Sharks &amp; rays</x:v>
      </x:c>
      <x:c r="I203" s="60" t="n">
        <x:v>0.060568364400000005</x:v>
      </x:c>
      <x:c r="J203" s="60" t="n">
        <x:v>0.060568364400000005</x:v>
      </x:c>
      <x:c r="K203" s="60" t="n">
        <x:v>0</x:v>
      </x:c>
      <x:c r="L203" s="60" t="n">
        <x:v>0.060568364400000005</x:v>
      </x:c>
      <x:c r="M203" s="60" t="n">
        <x:v>0</x:v>
      </x:c>
      <x:c r="N203" s="46" t="str">
        <x:v>rajiformes</x:v>
      </x:c>
      <x:c r="O203" s="62" t="n">
        <x:v>3.61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Rajiformes</x:v>
      </x:c>
      <x:c r="T203" s="62" t="n">
        <x:f>IF(O203="","",(1/'Metadata'!$B$5)^(O203-1))</x:f>
        <x:v>2487.0716021897506</x:v>
      </x:c>
      <x:c r="U203" s="60" t="n">
        <x:f>IF(T203="","",I203*T203)</x:f>
        <x:v>150.63785909032066</x:v>
      </x:c>
    </x:row>
    <x:row r="204" ht="18" customHeight="1">
      <x:c r="A204" s="46" t="str">
        <x:v>LME_031</x:v>
      </x:c>
      <x:c r="B204" s="46" t="str">
        <x:v>Somali Coastal Current</x:v>
      </x:c>
      <x:c r="C204" s="46" t="str">
        <x:v>LME</x:v>
      </x:c>
      <x:c r="D204" s="58" t="n">
        <x:v>2019</x:v>
      </x:c>
      <x:c r="E204" s="46" t="str">
        <x:v>Sardinella sindensis</x:v>
      </x:c>
      <x:c r="F204" s="46" t="str">
        <x:v>Sind sardinella</x:v>
      </x:c>
      <x:c r="G204" s="46" t="str">
        <x:v>Small pelagics (&lt;30 cm)</x:v>
      </x:c>
      <x:c r="H204" s="46" t="str">
        <x:v>Herring-likes</x:v>
      </x:c>
      <x:c r="I204" s="60" t="n">
        <x:v>0.0295561904</x:v>
      </x:c>
      <x:c r="J204" s="60" t="n">
        <x:v>0</x:v>
      </x:c>
      <x:c r="K204" s="60" t="n">
        <x:v>0.0295561904</x:v>
      </x:c>
      <x:c r="L204" s="60" t="n">
        <x:v>0</x:v>
      </x:c>
      <x:c r="M204" s="60" t="n">
        <x:v>0.0295561904</x:v>
      </x:c>
      <x:c r="N204" s="46" t="str">
        <x:v>sardinella sindensis</x:v>
      </x:c>
      <x:c r="O204" s="62" t="n">
        <x:v>2.9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Sardinella sindensis</x:v>
      </x:c>
      <x:c r="T204" s="62" t="n">
        <x:f>IF(O204="","",(1/'Metadata'!$B$5)^(O204-1))</x:f>
        <x:v>296.453779642779</x:v>
      </x:c>
      <x:c r="U204" s="60" t="n">
        <x:f>IF(T204="","",I204*T204)</x:f>
        <x:v>8.76204435592162</x:v>
      </x:c>
    </x:row>
    <x:row r="205" ht="18" customHeight="1">
      <x:c r="A205" s="46" t="str">
        <x:v>LME_031</x:v>
      </x:c>
      <x:c r="B205" s="46" t="str">
        <x:v>Somali Coastal Current</x:v>
      </x:c>
      <x:c r="C205" s="46" t="str">
        <x:v>LME</x:v>
      </x:c>
      <x:c r="D205" s="58" t="n">
        <x:v>2019</x:v>
      </x:c>
      <x:c r="E205" s="46" t="str">
        <x:v>Veneridae</x:v>
      </x:c>
      <x:c r="F205" s="46" t="str">
        <x:v>Venus clams</x:v>
      </x:c>
      <x:c r="G205" s="46" t="str">
        <x:v>Other demersal invertebrates</x:v>
      </x:c>
      <x:c r="H205" s="46" t="str">
        <x:v>Molluscs</x:v>
      </x:c>
      <x:c r="I205" s="60" t="n">
        <x:v>0.007942350300000001</x:v>
      </x:c>
      <x:c r="J205" s="60" t="n">
        <x:v>0.007942350300000001</x:v>
      </x:c>
      <x:c r="K205" s="60" t="n">
        <x:v>0</x:v>
      </x:c>
      <x:c r="L205" s="60" t="n">
        <x:v>0</x:v>
      </x:c>
      <x:c r="M205" s="60" t="n">
        <x:v>0.007942350300000001</x:v>
      </x:c>
      <x:c r="N205" s="46" t="str">
        <x:v>veneridae</x:v>
      </x:c>
      <x:c r="O205" s="62" t="n">
        <x:v>2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Veneridae</x:v>
      </x:c>
      <x:c r="T205" s="62" t="n">
        <x:f>IF(O205="","",(1/'Metadata'!$B$5)^(O205-1))</x:f>
        <x:v>20</x:v>
      </x:c>
      <x:c r="U205" s="60" t="n">
        <x:f>IF(T205="","",I205*T205)</x:f>
        <x:v>0.158847006</x:v>
      </x:c>
    </x:row>
    <x:row r="206" ht="18" customHeight="1">
      <x:c r="A206" s="46" t="str">
        <x:v>LME_031</x:v>
      </x:c>
      <x:c r="B206" s="46" t="str">
        <x:v>Somali Coastal Current</x:v>
      </x:c>
      <x:c r="C206" s="46" t="str">
        <x:v>LME</x:v>
      </x:c>
      <x:c r="D206" s="58" t="n">
        <x:v>2019</x:v>
      </x:c>
      <x:c r="E206" s="46" t="str">
        <x:v>Auxis rochei</x:v>
      </x:c>
      <x:c r="F206" s="46" t="str">
        <x:v>Bullet tuna</x:v>
      </x:c>
      <x:c r="G206" s="46" t="str">
        <x:v>Medium pelagics (30 - 89 cm)</x:v>
      </x:c>
      <x:c r="H206" s="46" t="str">
        <x:v>Tuna &amp; billfishes</x:v>
      </x:c>
      <x:c r="I206" s="60" t="n">
        <x:v>1.397e-7</x:v>
      </x:c>
      <x:c r="J206" s="60" t="n">
        <x:v>1.397e-7</x:v>
      </x:c>
      <x:c r="K206" s="60" t="n">
        <x:v>0</x:v>
      </x:c>
      <x:c r="L206" s="60" t="n">
        <x:v>1.397e-7</x:v>
      </x:c>
      <x:c r="M206" s="60" t="n">
        <x:v>0</x:v>
      </x:c>
      <x:c r="N206" s="46" t="str">
        <x:v>auxis rochei</x:v>
      </x:c>
      <x:c r="O206" s="62" t="n">
        <x:v>4.13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Auxis rochei</x:v>
      </x:c>
      <x:c r="T206" s="62" t="n">
        <x:f>IF(O206="","",(1/'Metadata'!$B$5)^(O206-1))</x:f>
        <x:v>11809.292685236613</x:v>
      </x:c>
      <x:c r="U206" s="60" t="n">
        <x:f>IF(T206="","",I206*T206)</x:f>
        <x:v>0.0016497581881275546</x:v>
      </x:c>
    </x:row>
  </x:sheetData>
  <x:conditionalFormatting sqref="R2:R20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3dc8539c30347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1846.4376834211002</x:v>
      </x:c>
      <x:c r="E2" s="60" t="n">
        <x:v>1846.4376834211002</x:v>
      </x:c>
      <x:c r="F2" s="62" t="n">
        <x:v>0</x:v>
      </x:c>
      <x:c r="G2" s="66" t="n">
        <x:v>1</x:v>
      </x:c>
      <x:c r="H2" s="62" t="n">
        <x:f>IF(E2=0,"",I2/E2)</x:f>
        <x:v>732.9622603032947</x:v>
      </x:c>
      <x:c r="I2" s="60" t="n">
        <x:f>SUMIF('Species'!$H$2:$H$206,A2,'Species'!$U$2:$U$206)</x:f>
        <x:v>1353369.1379495088</x:v>
      </x:c>
      <x:c r="J2" s="62" t="n">
        <x:v>3.2017476134121394</x:v>
      </x:c>
      <x:c r="K2" s="62" t="n">
        <x:f>IF(J2="","",(1/'Metadata'!$B$5)^(J2-1))</x:f>
        <x:v>732.0482182508354</x:v>
      </x:c>
      <x:c r="L2" s="60" t="n">
        <x:f>IF(E2=0,"",E2*K2)</x:f>
        <x:v>1351681.4162596164</x:v>
      </x:c>
      <x:c r="M2" s="60" t="n">
        <x:f>I2-L2</x:f>
        <x:v>1687.721689892467</x:v>
      </x:c>
      <x:c r="N2" s="62" t="n">
        <x:f>IF(L2=0,"",I2/L2)</x:f>
        <x:v>1.0012486090802097</x:v>
      </x:c>
      <x:c r="O2" s="66" t="n">
        <x:f>IF(L2=0,"",M2/L2)</x:f>
        <x:v>0.001248609080209702</x:v>
      </x:c>
    </x:row>
    <x:row r="3" ht="18" customHeight="1">
      <x:c r="A3" s="46" t="str">
        <x:v>Crustaceans</x:v>
      </x:c>
      <x:c r="B3" s="64" t="n">
        <x:v>16</x:v>
      </x:c>
      <x:c r="C3" s="64" t="n">
        <x:v>16</x:v>
      </x:c>
      <x:c r="D3" s="60" t="n">
        <x:v>8195.7265323692</x:v>
      </x:c>
      <x:c r="E3" s="60" t="n">
        <x:v>8195.7265323692</x:v>
      </x:c>
      <x:c r="F3" s="62" t="n">
        <x:v>0</x:v>
      </x:c>
      <x:c r="G3" s="66" t="n">
        <x:v>1</x:v>
      </x:c>
      <x:c r="H3" s="62" t="n">
        <x:f>IF(E3=0,"",I3/E3)</x:f>
        <x:v>324.8045172072806</x:v>
      </x:c>
      <x:c r="I3" s="60" t="n">
        <x:f>SUMIF('Species'!$H$2:$H$206,A3,'Species'!$U$2:$U$206)</x:f>
        <x:v>2662008.999509078</x:v>
      </x:c>
      <x:c r="J3" s="62" t="n">
        <x:v>2.818444807539823</x:v>
      </x:c>
      <x:c r="K3" s="62" t="n">
        <x:f>IF(J3="","",(1/'Metadata'!$B$5)^(J3-1))</x:f>
        <x:v>232.1941319993236</x:v>
      </x:c>
      <x:c r="L3" s="60" t="n">
        <x:f>IF(E3=0,"",E3*K3)</x:f>
        <x:v>1902999.6082872928</x:v>
      </x:c>
      <x:c r="M3" s="60" t="n">
        <x:f>I3-L3</x:f>
        <x:v>759009.3912217852</x:v>
      </x:c>
      <x:c r="N3" s="62" t="n">
        <x:f>IF(L3=0,"",I3/L3)</x:f>
        <x:v>1.398848947691007</x:v>
      </x:c>
      <x:c r="O3" s="66" t="n">
        <x:f>IF(L3=0,"",M3/L3)</x:f>
        <x:v>0.398848947691007</x:v>
      </x:c>
    </x:row>
    <x:row r="4" ht="18" customHeight="1">
      <x:c r="A4" s="46" t="str">
        <x:v>Flatfishes</x:v>
      </x:c>
      <x:c r="B4" s="64" t="n">
        <x:v>3</x:v>
      </x:c>
      <x:c r="C4" s="64" t="n">
        <x:v>3</x:v>
      </x:c>
      <x:c r="D4" s="60" t="n">
        <x:v>691.2461631122</x:v>
      </x:c>
      <x:c r="E4" s="60" t="n">
        <x:v>691.2461631122</x:v>
      </x:c>
      <x:c r="F4" s="62" t="n">
        <x:v>0</x:v>
      </x:c>
      <x:c r="G4" s="66" t="n">
        <x:v>1</x:v>
      </x:c>
      <x:c r="H4" s="62" t="n">
        <x:f>IF(E4=0,"",I4/E4)</x:f>
        <x:v>22852.263428761053</x:v>
      </x:c>
      <x:c r="I4" s="60" t="n">
        <x:f>SUMIF('Species'!$H$2:$H$206,A4,'Species'!$U$2:$U$206)</x:f>
        <x:v>15796539.413560325</x:v>
      </x:c>
      <x:c r="J4" s="62" t="n">
        <x:v>4.288896200183057</x:v>
      </x:c>
      <x:c r="K4" s="62" t="n">
        <x:f>IF(J4="","",(1/'Metadata'!$B$5)^(J4-1))</x:f>
        <x:v>19008.70842416074</x:v>
      </x:c>
      <x:c r="L4" s="60" t="n">
        <x:f>IF(E4=0,"",E4*K4)</x:f>
        <x:v>13139696.763919665</x:v>
      </x:c>
      <x:c r="M4" s="60" t="n">
        <x:f>I4-L4</x:f>
        <x:v>2656842.6496406607</x:v>
      </x:c>
      <x:c r="N4" s="62" t="n">
        <x:f>IF(L4=0,"",I4/L4)</x:f>
        <x:v>1.202199692837364</x:v>
      </x:c>
      <x:c r="O4" s="66" t="n">
        <x:f>IF(L4=0,"",M4/L4)</x:f>
        <x:v>0.20219969283736391</x:v>
      </x:c>
    </x:row>
    <x:row r="5" ht="18" customHeight="1">
      <x:c r="A5" s="46" t="str">
        <x:v>Herring-likes</x:v>
      </x:c>
      <x:c r="B5" s="64" t="n">
        <x:v>10</x:v>
      </x:c>
      <x:c r="C5" s="64" t="n">
        <x:v>10</x:v>
      </x:c>
      <x:c r="D5" s="60" t="n">
        <x:v>12717.2067838525</x:v>
      </x:c>
      <x:c r="E5" s="60" t="n">
        <x:v>12717.2067838525</x:v>
      </x:c>
      <x:c r="F5" s="62" t="n">
        <x:v>0</x:v>
      </x:c>
      <x:c r="G5" s="66" t="n">
        <x:v>1</x:v>
      </x:c>
      <x:c r="H5" s="62" t="n">
        <x:f>IF(E5=0,"",I5/E5)</x:f>
        <x:v>1768.1646424083428</x:v>
      </x:c>
      <x:c r="I5" s="60" t="n">
        <x:f>SUMIF('Species'!$H$2:$H$206,A5,'Species'!$U$2:$U$206)</x:f>
        <x:v>22486115.385403506</x:v>
      </x:c>
      <x:c r="J5" s="62" t="n">
        <x:v>2.957267013450208</x:v>
      </x:c>
      <x:c r="K5" s="62" t="n">
        <x:f>IF(J5="","",(1/'Metadata'!$B$5)^(J5-1))</x:f>
        <x:v>351.93551407176744</x:v>
      </x:c>
      <x:c r="L5" s="60" t="n">
        <x:f>IF(E5=0,"",E5*K5)</x:f>
        <x:v>4475636.7070320975</x:v>
      </x:c>
      <x:c r="M5" s="60" t="n">
        <x:f>I5-L5</x:f>
        <x:v>18010478.678371407</x:v>
      </x:c>
      <x:c r="N5" s="62" t="n">
        <x:f>IF(L5=0,"",I5/L5)</x:f>
        <x:v>5.024115418052908</x:v>
      </x:c>
      <x:c r="O5" s="66" t="n">
        <x:f>IF(L5=0,"",M5/L5)</x:f>
        <x:v>4.024115418052907</x:v>
      </x:c>
    </x:row>
    <x:row r="6" ht="18" customHeight="1">
      <x:c r="A6" s="46" t="str">
        <x:v>Molluscs</x:v>
      </x:c>
      <x:c r="B6" s="64" t="n">
        <x:v>2</x:v>
      </x:c>
      <x:c r="C6" s="64" t="n">
        <x:v>2</x:v>
      </x:c>
      <x:c r="D6" s="60" t="n">
        <x:v>2725.8614490224995</x:v>
      </x:c>
      <x:c r="E6" s="60" t="n">
        <x:v>2725.8614490224995</x:v>
      </x:c>
      <x:c r="F6" s="62" t="n">
        <x:v>0</x:v>
      </x:c>
      <x:c r="G6" s="66" t="n">
        <x:v>1</x:v>
      </x:c>
      <x:c r="H6" s="62" t="n">
        <x:f>IF(E6=0,"",I6/E6)</x:f>
        <x:v>26.98563659934263</x:v>
      </x:c>
      <x:c r="I6" s="60" t="n">
        <x:f>SUMIF('Species'!$H$2:$H$206,A6,'Species'!$U$2:$U$206)</x:f>
        <x:v>73559.1064834787</x:v>
      </x:c>
      <x:c r="J6" s="62" t="n">
        <x:v>2.099999708629714</x:v>
      </x:c>
      <x:c r="K6" s="62" t="n">
        <x:f>IF(J6="","",(1/'Metadata'!$B$5)^(J6-1))</x:f>
        <x:v>26.98563339858215</x:v>
      </x:c>
      <x:c r="L6" s="60" t="n">
        <x:f>IF(E6=0,"",E6*K6)</x:f>
        <x:v>73559.09775864909</x:v>
      </x:c>
      <x:c r="M6" s="60" t="n">
        <x:f>I6-L6</x:f>
        <x:v>0.008724829604034312</x:v>
      </x:c>
      <x:c r="N6" s="62" t="n">
        <x:f>IF(L6=0,"",I6/L6)</x:f>
        <x:v>1.0000001186097964</x:v>
      </x:c>
      <x:c r="O6" s="66" t="n">
        <x:f>IF(L6=0,"",M6/L6)</x:f>
        <x:v>1.1860979633900478e-7</x:v>
      </x:c>
    </x:row>
    <x:row r="7" ht="18" customHeight="1">
      <x:c r="A7" s="46" t="str">
        <x:v>Other fishes &amp; inverts</x:v>
      </x:c>
      <x:c r="B7" s="64" t="n">
        <x:v>39</x:v>
      </x:c>
      <x:c r="C7" s="64" t="n">
        <x:v>39</x:v>
      </x:c>
      <x:c r="D7" s="60" t="n">
        <x:v>48908.4913532825</x:v>
      </x:c>
      <x:c r="E7" s="60" t="n">
        <x:v>48908.4913532825</x:v>
      </x:c>
      <x:c r="F7" s="62" t="n">
        <x:v>0</x:v>
      </x:c>
      <x:c r="G7" s="66" t="n">
        <x:v>1</x:v>
      </x:c>
      <x:c r="H7" s="62" t="n">
        <x:f>IF(E7=0,"",I7/E7)</x:f>
        <x:v>1971.000929389242</x:v>
      </x:c>
      <x:c r="I7" s="60" t="n">
        <x:f>SUMIF('Species'!$H$2:$H$206,A7,'Species'!$U$2:$U$206)</x:f>
        <x:v>96398681.91234551</x:v>
      </x:c>
      <x:c r="J7" s="62" t="n">
        <x:v>3.4446649516565935</x:v>
      </x:c>
      <x:c r="K7" s="62" t="n">
        <x:f>IF(J7="","",(1/'Metadata'!$B$5)^(J7-1))</x:f>
        <x:v>1515.5924440852411</x:v>
      </x:c>
      <x:c r="L7" s="60" t="n">
        <x:f>IF(E7=0,"",E7*K7)</x:f>
        <x:v>74125339.94664331</x:v>
      </x:c>
      <x:c r="M7" s="60" t="n">
        <x:f>I7-L7</x:f>
        <x:v>22273341.965702206</x:v>
      </x:c>
      <x:c r="N7" s="62" t="n">
        <x:f>IF(L7=0,"",I7/L7)</x:f>
        <x:v>1.3004821560580355</x:v>
      </x:c>
      <x:c r="O7" s="66" t="n">
        <x:f>IF(L7=0,"",M7/L7)</x:f>
        <x:v>0.30048215605803547</x:v>
      </x:c>
    </x:row>
    <x:row r="8" ht="18" customHeight="1">
      <x:c r="A8" s="46" t="str">
        <x:v>Perch-likes</x:v>
      </x:c>
      <x:c r="B8" s="64" t="n">
        <x:v>93</x:v>
      </x:c>
      <x:c r="C8" s="64" t="n">
        <x:v>93</x:v>
      </x:c>
      <x:c r="D8" s="60" t="n">
        <x:v>112862.12392606889</x:v>
      </x:c>
      <x:c r="E8" s="60" t="n">
        <x:v>112862.12392606889</x:v>
      </x:c>
      <x:c r="F8" s="62" t="n">
        <x:v>0</x:v>
      </x:c>
      <x:c r="G8" s="66" t="n">
        <x:v>1</x:v>
      </x:c>
      <x:c r="H8" s="62" t="n">
        <x:f>IF(E8=0,"",I8/E8)</x:f>
        <x:v>8330.493302849762</x:v>
      </x:c>
      <x:c r="I8" s="60" t="n">
        <x:f>SUMIF('Species'!$H$2:$H$206,A8,'Species'!$U$2:$U$206)</x:f>
        <x:v>940197167.5115167</x:v>
      </x:c>
      <x:c r="J8" s="62" t="n">
        <x:v>3.671671210373483</x:v>
      </x:c>
      <x:c r="K8" s="62" t="n">
        <x:f>IF(J8="","",(1/'Metadata'!$B$5)^(J8-1))</x:f>
        <x:v>2991.7436867777305</x:v>
      </x:c>
      <x:c r="L8" s="60" t="n">
        <x:f>IF(E8=0,"",E8*K8)</x:f>
        <x:v>337654546.73214245</x:v>
      </x:c>
      <x:c r="M8" s="60" t="n">
        <x:f>I8-L8</x:f>
        <x:v>602542620.7793742</x:v>
      </x:c>
      <x:c r="N8" s="62" t="n">
        <x:f>IF(L8=0,"",I8/L8)</x:f>
        <x:v>2.7844943200405488</x:v>
      </x:c>
      <x:c r="O8" s="66" t="n">
        <x:f>IF(L8=0,"",M8/L8)</x:f>
        <x:v>1.7844943200405488</x:v>
      </x:c>
    </x:row>
    <x:row r="9" ht="18" customHeight="1">
      <x:c r="A9" s="46" t="str">
        <x:v>Scorpionfishes</x:v>
      </x:c>
      <x:c r="B9" s="64" t="n">
        <x:v>2</x:v>
      </x:c>
      <x:c r="C9" s="64" t="n">
        <x:v>2</x:v>
      </x:c>
      <x:c r="D9" s="60" t="n">
        <x:v>119.6725045985</x:v>
      </x:c>
      <x:c r="E9" s="60" t="n">
        <x:v>119.6725045985</x:v>
      </x:c>
      <x:c r="F9" s="62" t="n">
        <x:v>0</x:v>
      </x:c>
      <x:c r="G9" s="66" t="n">
        <x:v>1</x:v>
      </x:c>
      <x:c r="H9" s="62" t="n">
        <x:f>IF(E9=0,"",I9/E9)</x:f>
        <x:v>5868.8081502089835</x:v>
      </x:c>
      <x:c r="I9" s="60" t="n">
        <x:f>SUMIF('Species'!$H$2:$H$206,A9,'Species'!$U$2:$U$206)</x:f>
        <x:v>702334.9703435989</x:v>
      </x:c>
      <x:c r="J9" s="62" t="n">
        <x:v>3.894856856466195</x:v>
      </x:c>
      <x:c r="K9" s="62" t="n">
        <x:f>IF(J9="","",(1/'Metadata'!$B$5)^(J9-1))</x:f>
        <x:v>5838.423625440799</x:v>
      </x:c>
      <x:c r="L9" s="60" t="n">
        <x:f>IF(E9=0,"",E9*K9)</x:f>
        <x:v>698698.7781635551</x:v>
      </x:c>
      <x:c r="M9" s="60" t="n">
        <x:f>I9-L9</x:f>
        <x:v>3636.192180043785</x:v>
      </x:c>
      <x:c r="N9" s="62" t="n">
        <x:f>IF(L9=0,"",I9/L9)</x:f>
        <x:v>1.0052042343477414</x:v>
      </x:c>
      <x:c r="O9" s="66" t="n">
        <x:f>IF(L9=0,"",M9/L9)</x:f>
        <x:v>0.0052042343477414895</x:v>
      </x:c>
    </x:row>
    <x:row r="10" ht="18" customHeight="1">
      <x:c r="A10" s="46" t="str">
        <x:v>Sharks &amp; rays</x:v>
      </x:c>
      <x:c r="B10" s="64" t="n">
        <x:v>20</x:v>
      </x:c>
      <x:c r="C10" s="64" t="n">
        <x:v>20</x:v>
      </x:c>
      <x:c r="D10" s="60" t="n">
        <x:v>32240.654084842794</x:v>
      </x:c>
      <x:c r="E10" s="60" t="n">
        <x:v>32240.654084842794</x:v>
      </x:c>
      <x:c r="F10" s="62" t="n">
        <x:v>0</x:v>
      </x:c>
      <x:c r="G10" s="66" t="n">
        <x:v>1</x:v>
      </x:c>
      <x:c r="H10" s="62" t="n">
        <x:f>IF(E10=0,"",I10/E10)</x:f>
        <x:v>14521.079190873406</x:v>
      </x:c>
      <x:c r="I10" s="60" t="n">
        <x:f>SUMIF('Species'!$H$2:$H$206,A10,'Species'!$U$2:$U$206)</x:f>
        <x:v>468169091.13155836</x:v>
      </x:c>
      <x:c r="J10" s="62" t="n">
        <x:v>4.085776987182173</x:v>
      </x:c>
      <x:c r="K10" s="62" t="n">
        <x:f>IF(J10="","",(1/'Metadata'!$B$5)^(J10-1))</x:f>
        <x:v>10343.997817831474</x:v>
      </x:c>
      <x:c r="L10" s="60" t="n">
        <x:f>IF(E10=0,"",E10*K10)</x:f>
        <x:v>333497255.49907327</x:v>
      </x:c>
      <x:c r="M10" s="60" t="n">
        <x:f>I10-L10</x:f>
        <x:v>134671835.6324851</x:v>
      </x:c>
      <x:c r="N10" s="62" t="n">
        <x:f>IF(L10=0,"",I10/L10)</x:f>
        <x:v>1.4038169232635838</x:v>
      </x:c>
      <x:c r="O10" s="66" t="n">
        <x:f>IF(L10=0,"",M10/L10)</x:f>
        <x:v>0.40381692326358387</x:v>
      </x:c>
    </x:row>
    <x:row r="11" ht="18" customHeight="1">
      <x:c r="A11" s="46" t="str">
        <x:v>Tuna &amp; billfishes</x:v>
      </x:c>
      <x:c r="B11" s="64" t="n">
        <x:v>18</x:v>
      </x:c>
      <x:c r="C11" s="64" t="n">
        <x:v>18</x:v>
      </x:c>
      <x:c r="D11" s="60" t="n">
        <x:v>17071.658151050196</x:v>
      </x:c>
      <x:c r="E11" s="60" t="n">
        <x:v>17071.658151050196</x:v>
      </x:c>
      <x:c r="F11" s="62" t="n">
        <x:v>0</x:v>
      </x:c>
      <x:c r="G11" s="66" t="n">
        <x:v>1</x:v>
      </x:c>
      <x:c r="H11" s="62" t="n">
        <x:f>IF(E11=0,"",I11/E11)</x:f>
        <x:v>30609.39252521183</x:v>
      </x:c>
      <x:c r="I11" s="60" t="n">
        <x:f>SUMIF('Species'!$H$2:$H$206,A11,'Species'!$U$2:$U$206)</x:f>
        <x:v>522553085.4017275</x:v>
      </x:c>
      <x:c r="J11" s="62" t="n">
        <x:v>4.441236641847048</x:v>
      </x:c>
      <x:c r="K11" s="62" t="n">
        <x:f>IF(J11="","",(1/'Metadata'!$B$5)^(J11-1))</x:f>
        <x:v>30002.130323838417</x:v>
      </x:c>
      <x:c r="L11" s="60" t="n">
        <x:f>IF(E11=0,"",E11*K11)</x:f>
        <x:v>512186112.6918264</x:v>
      </x:c>
      <x:c r="M11" s="60" t="n">
        <x:f>I11-L11</x:f>
        <x:v>10366972.709901094</x:v>
      </x:c>
      <x:c r="N11" s="62" t="n">
        <x:f>IF(L11=0,"",I11/L11)</x:f>
        <x:v>1.0202406360754626</x:v>
      </x:c>
      <x:c r="O11" s="66" t="n">
        <x:f>IF(L11=0,"",M11/L11)</x:f>
        <x:v>0.02024063607546252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a291e476ec744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11</x:v>
      </x:c>
      <x:c r="C2" s="64" t="n">
        <x:v>11</x:v>
      </x:c>
      <x:c r="D2" s="60" t="n">
        <x:v>16039.085727525799</x:v>
      </x:c>
      <x:c r="E2" s="60" t="n">
        <x:v>16039.085727525799</x:v>
      </x:c>
      <x:c r="F2" s="62" t="n">
        <x:v>0</x:v>
      </x:c>
      <x:c r="G2" s="66" t="n">
        <x:v>1</x:v>
      </x:c>
      <x:c r="H2" s="62" t="n">
        <x:f>IF(E2=0,"",I2/E2)</x:f>
        <x:v>3153.237519942944</x:v>
      </x:c>
      <x:c r="I2" s="60" t="n">
        <x:f>SUMIF('Species'!$G$2:$G$206,A2,'Species'!$U$2:$U$206)</x:f>
        <x:v>50575046.90161572</x:v>
      </x:c>
      <x:c r="J2" s="62" t="n">
        <x:v>3.6487945410148566</x:v>
      </x:c>
      <x:c r="K2" s="62" t="n">
        <x:f>IF(J2="","",(1/'Metadata'!$B$5)^(J2-1))</x:f>
        <x:v>2793.5802406201556</x:v>
      </x:c>
      <x:c r="L2" s="60" t="n">
        <x:f>IF(E2=0,"",E2*K2)</x:f>
        <x:v>44806472.966028824</x:v>
      </x:c>
      <x:c r="M2" s="60" t="n">
        <x:f>I2-L2</x:f>
        <x:v>5768573.935586892</x:v>
      </x:c>
      <x:c r="N2" s="62" t="n">
        <x:f>IF(L2=0,"",I2/L2)</x:f>
        <x:v>1.1287442093458346</x:v>
      </x:c>
      <x:c r="O2" s="66" t="n">
        <x:f>IF(L2=0,"",M2/L2)</x:f>
        <x:v>0.12874420934583455</x:v>
      </x:c>
    </x:row>
    <x:row r="3" ht="18" customHeight="1">
      <x:c r="A3" s="46" t="str">
        <x:v>Jellyfish</x:v>
      </x:c>
      <x:c r="B3" s="64" t="n">
        <x:v>2</x:v>
      </x:c>
      <x:c r="C3" s="64" t="n">
        <x:v>2</x:v>
      </x:c>
      <x:c r="D3" s="60" t="n">
        <x:v>5413.1997505204</x:v>
      </x:c>
      <x:c r="E3" s="60" t="n">
        <x:v>5413.1997505204</x:v>
      </x:c>
      <x:c r="F3" s="62" t="n">
        <x:v>0</x:v>
      </x:c>
      <x:c r="G3" s="66" t="n">
        <x:v>1</x:v>
      </x:c>
      <x:c r="H3" s="62" t="n">
        <x:f>IF(E3=0,"",I3/E3)</x:f>
        <x:v>1571.2676696233366</x:v>
      </x:c>
      <x:c r="I3" s="60" t="n">
        <x:f>SUMIF('Species'!$G$2:$G$206,A3,'Species'!$U$2:$U$206)</x:f>
        <x:v>8505585.757205816</x:v>
      </x:c>
      <x:c r="J3" s="62" t="n">
        <x:v>3.450014878754479</x:v>
      </x:c>
      <x:c r="K3" s="62" t="n">
        <x:f>IF(J3="","",(1/'Metadata'!$B$5)^(J3-1))</x:f>
        <x:v>1540.0784612481498</x:v>
      </x:c>
      <x:c r="L3" s="60" t="n">
        <x:f>IF(E3=0,"",E3*K3)</x:f>
        <x:v>8336752.342210325</x:v>
      </x:c>
      <x:c r="M3" s="60" t="n">
        <x:f>I3-L3</x:f>
        <x:v>168833.41499549057</x:v>
      </x:c>
      <x:c r="N3" s="62" t="n">
        <x:f>IF(L3=0,"",I3/L3)</x:f>
        <x:v>1.0202517009100367</x:v>
      </x:c>
      <x:c r="O3" s="66" t="n">
        <x:f>IF(L3=0,"",M3/L3)</x:f>
        <x:v>0.020251700910036596</x:v>
      </x:c>
    </x:row>
    <x:row r="4" ht="18" customHeight="1">
      <x:c r="A4" s="46" t="str">
        <x:v>Large benthopelagics (&gt;=90 cm)</x:v>
      </x:c>
      <x:c r="B4" s="64" t="n">
        <x:v>6</x:v>
      </x:c>
      <x:c r="C4" s="64" t="n">
        <x:v>6</x:v>
      </x:c>
      <x:c r="D4" s="60" t="n">
        <x:v>4274.8589613957</x:v>
      </x:c>
      <x:c r="E4" s="60" t="n">
        <x:v>4274.8589613957</x:v>
      </x:c>
      <x:c r="F4" s="62" t="n">
        <x:v>0</x:v>
      </x:c>
      <x:c r="G4" s="66" t="n">
        <x:v>1</x:v>
      </x:c>
      <x:c r="H4" s="62" t="n">
        <x:f>IF(E4=0,"",I4/E4)</x:f>
        <x:v>25405.374549478678</x:v>
      </x:c>
      <x:c r="I4" s="60" t="n">
        <x:f>SUMIF('Species'!$G$2:$G$206,A4,'Species'!$U$2:$U$206)</x:f>
        <x:v>108604393.06045318</x:v>
      </x:c>
      <x:c r="J4" s="62" t="n">
        <x:v>4.382547719385617</x:v>
      </x:c>
      <x:c r="K4" s="62" t="n">
        <x:f>IF(J4="","",(1/'Metadata'!$B$5)^(J4-1))</x:f>
        <x:v>25164.94842663711</x:v>
      </x:c>
      <x:c r="L4" s="60" t="n">
        <x:f>IF(E4=0,"",E4*K4)</x:f>
        <x:v>107576605.29467028</x:v>
      </x:c>
      <x:c r="M4" s="60" t="n">
        <x:f>I4-L4</x:f>
        <x:v>1027787.7657828927</x:v>
      </x:c>
      <x:c r="N4" s="62" t="n">
        <x:f>IF(L4=0,"",I4/L4)</x:f>
        <x:v>1.0095540081690402</x:v>
      </x:c>
      <x:c r="O4" s="66" t="n">
        <x:f>IF(L4=0,"",M4/L4)</x:f>
        <x:v>0.009554008169040196</x:v>
      </x:c>
    </x:row>
    <x:row r="5" ht="18" customHeight="1">
      <x:c r="A5" s="46" t="str">
        <x:v>Large demersals (&gt;=90 cm)</x:v>
      </x:c>
      <x:c r="B5" s="64" t="n">
        <x:v>4</x:v>
      </x:c>
      <x:c r="C5" s="64" t="n">
        <x:v>4</x:v>
      </x:c>
      <x:c r="D5" s="60" t="n">
        <x:v>242.72845543909997</x:v>
      </x:c>
      <x:c r="E5" s="60" t="n">
        <x:v>242.72845543909997</x:v>
      </x:c>
      <x:c r="F5" s="62" t="n">
        <x:v>0</x:v>
      </x:c>
      <x:c r="G5" s="66" t="n">
        <x:v>1</x:v>
      </x:c>
      <x:c r="H5" s="62" t="n">
        <x:f>IF(E5=0,"",I5/E5)</x:f>
        <x:v>5787.809765709537</x:v>
      </x:c>
      <x:c r="I5" s="60" t="n">
        <x:f>SUMIF('Species'!$G$2:$G$206,A5,'Species'!$U$2:$U$206)</x:f>
        <x:v>1404866.124806015</x:v>
      </x:c>
      <x:c r="J5" s="62" t="n">
        <x:v>3.8874735329743006</x:v>
      </x:c>
      <x:c r="K5" s="62" t="n">
        <x:f>IF(J5="","",(1/'Metadata'!$B$5)^(J5-1))</x:f>
        <x:v>5710.70436688168</x:v>
      </x:c>
      <x:c r="L5" s="60" t="n">
        <x:f>IF(E5=0,"",E5*K5)</x:f>
        <x:v>1386150.4504425135</x:v>
      </x:c>
      <x:c r="M5" s="60" t="n">
        <x:f>I5-L5</x:f>
        <x:v>18715.674363501603</x:v>
      </x:c>
      <x:c r="N5" s="62" t="n">
        <x:f>IF(L5=0,"",I5/L5)</x:f>
        <x:v>1.013501906923254</x:v>
      </x:c>
      <x:c r="O5" s="66" t="n">
        <x:f>IF(L5=0,"",M5/L5)</x:f>
        <x:v>0.01350190692325413</x:v>
      </x:c>
    </x:row>
    <x:row r="6" ht="18" customHeight="1">
      <x:c r="A6" s="46" t="str">
        <x:v>Large pelagics (&gt;=90 cm)</x:v>
      </x:c>
      <x:c r="B6" s="64" t="n">
        <x:v>28</x:v>
      </x:c>
      <x:c r="C6" s="64" t="n">
        <x:v>28</x:v>
      </x:c>
      <x:c r="D6" s="60" t="n">
        <x:v>33994.138015954006</x:v>
      </x:c>
      <x:c r="E6" s="60" t="n">
        <x:v>33994.138015954006</x:v>
      </x:c>
      <x:c r="F6" s="62" t="n">
        <x:v>0</x:v>
      </x:c>
      <x:c r="G6" s="66" t="n">
        <x:v>1</x:v>
      </x:c>
      <x:c r="H6" s="62" t="n">
        <x:f>IF(E6=0,"",I6/E6)</x:f>
        <x:v>25311.29785735389</x:v>
      </x:c>
      <x:c r="I6" s="60" t="n">
        <x:f>SUMIF('Species'!$G$2:$G$206,A6,'Species'!$U$2:$U$206)</x:f>
        <x:v>860435752.725809</x:v>
      </x:c>
      <x:c r="J6" s="62" t="n">
        <x:v>4.325007392090405</x:v>
      </x:c>
      <x:c r="K6" s="62" t="n">
        <x:f>IF(J6="","",(1/'Metadata'!$B$5)^(J6-1))</x:f>
        <x:v>21180.40952212721</x:v>
      </x:c>
      <x:c r="L6" s="60" t="n">
        <x:f>IF(E6=0,"",E6*K6)</x:f>
        <x:v>720009764.5296189</x:v>
      </x:c>
      <x:c r="M6" s="60" t="n">
        <x:f>I6-L6</x:f>
        <x:v>140425988.19619012</x:v>
      </x:c>
      <x:c r="N6" s="62" t="n">
        <x:f>IF(L6=0,"",I6/L6)</x:f>
        <x:v>1.1950334497031858</x:v>
      </x:c>
      <x:c r="O6" s="66" t="n">
        <x:f>IF(L6=0,"",M6/L6)</x:f>
        <x:v>0.19503344970318587</x:v>
      </x:c>
    </x:row>
    <x:row r="7" ht="18" customHeight="1">
      <x:c r="A7" s="46" t="str">
        <x:v>Large rays (&gt;=90 cm)</x:v>
      </x:c>
      <x:c r="B7" s="64" t="n">
        <x:v>4</x:v>
      </x:c>
      <x:c r="C7" s="64" t="n">
        <x:v>4</x:v>
      </x:c>
      <x:c r="D7" s="60" t="n">
        <x:v>7595.292970174601</x:v>
      </x:c>
      <x:c r="E7" s="60" t="n">
        <x:v>7595.292970174601</x:v>
      </x:c>
      <x:c r="F7" s="62" t="n">
        <x:v>0</x:v>
      </x:c>
      <x:c r="G7" s="66" t="n">
        <x:v>1</x:v>
      </x:c>
      <x:c r="H7" s="62" t="n">
        <x:f>IF(E7=0,"",I7/E7)</x:f>
        <x:v>3457.3302791648994</x:v>
      </x:c>
      <x:c r="I7" s="60" t="n">
        <x:f>SUMIF('Species'!$G$2:$G$206,A7,'Species'!$U$2:$U$206)</x:f>
        <x:v>26259436.36491295</x:v>
      </x:c>
      <x:c r="J7" s="62" t="n">
        <x:v>3.719938168898351</x:v>
      </x:c>
      <x:c r="K7" s="62" t="n">
        <x:f>IF(J7="","",(1/'Metadata'!$B$5)^(J7-1))</x:f>
        <x:v>3457.1732509230674</x:v>
      </x:c>
      <x:c r="L7" s="60" t="n">
        <x:f>IF(E7=0,"",E7*K7)</x:f>
        <x:v>26258243.689411644</x:v>
      </x:c>
      <x:c r="M7" s="60" t="n">
        <x:f>I7-L7</x:f>
        <x:v>1192.67550130561</x:v>
      </x:c>
      <x:c r="N7" s="62" t="n">
        <x:f>IF(L7=0,"",I7/L7)</x:f>
        <x:v>1.0000454209929428</x:v>
      </x:c>
      <x:c r="O7" s="66" t="n">
        <x:f>IF(L7=0,"",M7/L7)</x:f>
        <x:v>0.000045420992942743675</x:v>
      </x:c>
    </x:row>
    <x:row r="8" ht="18" customHeight="1">
      <x:c r="A8" s="46" t="str">
        <x:v>Large reef assoc. fish (&gt;=90 cm)</x:v>
      </x:c>
      <x:c r="B8" s="64" t="n">
        <x:v>7</x:v>
      </x:c>
      <x:c r="C8" s="64" t="n">
        <x:v>7</x:v>
      </x:c>
      <x:c r="D8" s="60" t="n">
        <x:v>865.5920435004001</x:v>
      </x:c>
      <x:c r="E8" s="60" t="n">
        <x:v>865.5920435004001</x:v>
      </x:c>
      <x:c r="F8" s="62" t="n">
        <x:v>0</x:v>
      </x:c>
      <x:c r="G8" s="66" t="n">
        <x:v>1</x:v>
      </x:c>
      <x:c r="H8" s="62" t="n">
        <x:f>IF(E8=0,"",I8/E8)</x:f>
        <x:v>14358.267406188757</x:v>
      </x:c>
      <x:c r="I8" s="60" t="n">
        <x:f>SUMIF('Species'!$G$2:$G$206,A8,'Species'!$U$2:$U$206)</x:f>
        <x:v>12428402.025248116</x:v>
      </x:c>
      <x:c r="J8" s="62" t="n">
        <x:v>4.146612535806378</x:v>
      </x:c>
      <x:c r="K8" s="62" t="n">
        <x:f>IF(J8="","",(1/'Metadata'!$B$5)^(J8-1))</x:f>
        <x:v>12411.872160986244</x:v>
      </x:c>
      <x:c r="L8" s="60" t="n">
        <x:f>IF(E8=0,"",E8*K8)</x:f>
        <x:v>10743617.78749381</x:v>
      </x:c>
      <x:c r="M8" s="60" t="n">
        <x:f>I8-L8</x:f>
        <x:v>1684784.2377543058</x:v>
      </x:c>
      <x:c r="N8" s="62" t="n">
        <x:f>IF(L8=0,"",I8/L8)</x:f>
        <x:v>1.156817216609799</x:v>
      </x:c>
      <x:c r="O8" s="66" t="n">
        <x:f>IF(L8=0,"",M8/L8)</x:f>
        <x:v>0.15681721660979894</x:v>
      </x:c>
    </x:row>
    <x:row r="9" ht="18" customHeight="1">
      <x:c r="A9" s="46" t="str">
        <x:v>Large sharks (&gt;=90 cm)</x:v>
      </x:c>
      <x:c r="B9" s="64" t="n">
        <x:v>16</x:v>
      </x:c>
      <x:c r="C9" s="64" t="n">
        <x:v>16</x:v>
      </x:c>
      <x:c r="D9" s="60" t="n">
        <x:v>24645.361114668198</x:v>
      </x:c>
      <x:c r="E9" s="60" t="n">
        <x:v>24645.361114668198</x:v>
      </x:c>
      <x:c r="F9" s="62" t="n">
        <x:v>0</x:v>
      </x:c>
      <x:c r="G9" s="66" t="n">
        <x:v>1</x:v>
      </x:c>
      <x:c r="H9" s="62" t="n">
        <x:f>IF(E9=0,"",I9/E9)</x:f>
        <x:v>17930.743749728776</x:v>
      </x:c>
      <x:c r="I9" s="60" t="n">
        <x:f>SUMIF('Species'!$G$2:$G$206,A9,'Species'!$U$2:$U$206)</x:f>
        <x:v>441909654.7666454</x:v>
      </x:c>
      <x:c r="J9" s="62" t="n">
        <x:v>4.198522464588642</x:v>
      </x:c>
      <x:c r="K9" s="62" t="n">
        <x:f>IF(J9="","",(1/'Metadata'!$B$5)^(J9-1))</x:f>
        <x:v>14500.189174715251</x:v>
      </x:c>
      <x:c r="L9" s="60" t="n">
        <x:f>IF(E9=0,"",E9*K9)</x:f>
        <x:v>357362398.44186</x:v>
      </x:c>
      <x:c r="M9" s="60" t="n">
        <x:f>I9-L9</x:f>
        <x:v>84547256.32478535</x:v>
      </x:c>
      <x:c r="N9" s="62" t="n">
        <x:f>IF(L9=0,"",I9/L9)</x:f>
        <x:v>1.2365868840522138</x:v>
      </x:c>
      <x:c r="O9" s="66" t="n">
        <x:f>IF(L9=0,"",M9/L9)</x:f>
        <x:v>0.23658688405221376</x:v>
      </x:c>
    </x:row>
    <x:row r="10" ht="18" customHeight="1">
      <x:c r="A10" s="46" t="str">
        <x:v>Lobsters, crabs</x:v>
      </x:c>
      <x:c r="B10" s="64" t="n">
        <x:v>6</x:v>
      </x:c>
      <x:c r="C10" s="64" t="n">
        <x:v>6</x:v>
      </x:c>
      <x:c r="D10" s="60" t="n">
        <x:v>1437.8212014442001</x:v>
      </x:c>
      <x:c r="E10" s="60" t="n">
        <x:v>1437.8212014442001</x:v>
      </x:c>
      <x:c r="F10" s="62" t="n">
        <x:v>0</x:v>
      </x:c>
      <x:c r="G10" s="66" t="n">
        <x:v>1</x:v>
      </x:c>
      <x:c r="H10" s="62" t="n">
        <x:f>IF(E10=0,"",I10/E10)</x:f>
        <x:v>481.5159859055076</x:v>
      </x:c>
      <x:c r="I10" s="60" t="n">
        <x:f>SUMIF('Species'!$G$2:$G$206,A10,'Species'!$U$2:$U$206)</x:f>
        <x:v>692333.8933692455</x:v>
      </x:c>
      <x:c r="J10" s="62" t="n">
        <x:v>2.952362495034107</x:v>
      </x:c>
      <x:c r="K10" s="62" t="n">
        <x:f>IF(J10="","",(1/'Metadata'!$B$5)^(J10-1))</x:f>
        <x:v>346.80245921734786</x:v>
      </x:c>
      <x:c r="L10" s="60" t="n">
        <x:f>IF(E10=0,"",E10*K10)</x:f>
        <x:v>498639.9285756903</x:v>
      </x:c>
      <x:c r="M10" s="60" t="n">
        <x:f>I10-L10</x:f>
        <x:v>193693.96479355515</x:v>
      </x:c>
      <x:c r="N10" s="62" t="n">
        <x:f>IF(L10=0,"",I10/L10)</x:f>
        <x:v>1.3884445542634751</x:v>
      </x:c>
      <x:c r="O10" s="66" t="n">
        <x:f>IF(L10=0,"",M10/L10)</x:f>
        <x:v>0.38844455426347524</x:v>
      </x:c>
    </x:row>
    <x:row r="11" ht="18" customHeight="1">
      <x:c r="A11" s="46" t="str">
        <x:v>Medium bathydemersals (30 - 89 cm)</x:v>
      </x:c>
      <x:c r="B11" s="64" t="n">
        <x:v>1</x:v>
      </x:c>
      <x:c r="C11" s="64" t="n">
        <x:v>1</x:v>
      </x:c>
      <x:c r="D11" s="60" t="n">
        <x:v>276.4768945364</x:v>
      </x:c>
      <x:c r="E11" s="60" t="n">
        <x:v>276.4768945364</x:v>
      </x:c>
      <x:c r="F11" s="62" t="n">
        <x:v>0</x:v>
      </x:c>
      <x:c r="G11" s="66" t="n">
        <x:v>1</x:v>
      </x:c>
      <x:c r="H11" s="62" t="n">
        <x:f>IF(E11=0,"",I11/E11)</x:f>
        <x:v>23521.270987610445</x:v>
      </x:c>
      <x:c r="I11" s="60" t="n">
        <x:f>SUMIF('Species'!$G$2:$G$206,A11,'Species'!$U$2:$U$206)</x:f>
        <x:v>6503087.9582036575</x:v>
      </x:c>
      <x:c r="J11" s="62" t="n">
        <x:v>4.36</x:v>
      </x:c>
      <x:c r="K11" s="62" t="n">
        <x:f>IF(J11="","",(1/'Metadata'!$B$5)^(J11-1))</x:f>
        <x:v>23521.270987610445</x:v>
      </x:c>
      <x:c r="L11" s="60" t="n">
        <x:f>IF(E11=0,"",E11*K11)</x:f>
        <x:v>6503087.9582036575</x:v>
      </x:c>
      <x:c r="M11" s="60" t="n">
        <x:f>I11-L11</x:f>
        <x:v>0</x:v>
      </x:c>
      <x:c r="N11" s="62" t="n">
        <x:f>IF(L11=0,"",I11/L11)</x:f>
        <x:v>1</x:v>
      </x:c>
      <x:c r="O11" s="66" t="n">
        <x:f>IF(L11=0,"",M11/L11)</x:f>
        <x:v>0</x:v>
      </x:c>
    </x:row>
    <x:row r="12" ht="18" customHeight="1">
      <x:c r="A12" s="46" t="str">
        <x:v>Medium benthopelagics (30 - 89 cm)</x:v>
      </x:c>
      <x:c r="B12" s="64" t="n">
        <x:v>5</x:v>
      </x:c>
      <x:c r="C12" s="64" t="n">
        <x:v>5</x:v>
      </x:c>
      <x:c r="D12" s="60" t="n">
        <x:v>283.36397415100004</x:v>
      </x:c>
      <x:c r="E12" s="60" t="n">
        <x:v>283.36397415100004</x:v>
      </x:c>
      <x:c r="F12" s="62" t="n">
        <x:v>0</x:v>
      </x:c>
      <x:c r="G12" s="66" t="n">
        <x:v>1</x:v>
      </x:c>
      <x:c r="H12" s="62" t="n">
        <x:f>IF(E12=0,"",I12/E12)</x:f>
        <x:v>1271.9887534586635</x:v>
      </x:c>
      <x:c r="I12" s="60" t="n">
        <x:f>SUMIF('Species'!$G$2:$G$206,A12,'Species'!$U$2:$U$206)</x:f>
        <x:v>360435.7882554235</x:v>
      </x:c>
      <x:c r="J12" s="62" t="n">
        <x:v>3.3240980180888138</x:v>
      </x:c>
      <x:c r="K12" s="62" t="n">
        <x:f>IF(J12="","",(1/'Metadata'!$B$5)^(J12-1))</x:f>
        <x:v>1056.1393752459892</x:v>
      </x:c>
      <x:c r="L12" s="60" t="n">
        <x:f>IF(E12=0,"",E12*K12)</x:f>
        <x:v>299271.8506270578</x:v>
      </x:c>
      <x:c r="M12" s="60" t="n">
        <x:f>I12-L12</x:f>
        <x:v>61163.937628365704</x:v>
      </x:c>
      <x:c r="N12" s="62" t="n">
        <x:f>IF(L12=0,"",I12/L12)</x:f>
        <x:v>1.2043758459080272</x:v>
      </x:c>
      <x:c r="O12" s="66" t="n">
        <x:f>IF(L12=0,"",M12/L12)</x:f>
        <x:v>0.20437584590802724</x:v>
      </x:c>
    </x:row>
    <x:row r="13" ht="18" customHeight="1">
      <x:c r="A13" s="46" t="str">
        <x:v>Medium demersals (30 - 89 cm)</x:v>
      </x:c>
      <x:c r="B13" s="64" t="n">
        <x:v>20</x:v>
      </x:c>
      <x:c r="C13" s="64" t="n">
        <x:v>20</x:v>
      </x:c>
      <x:c r="D13" s="60" t="n">
        <x:v>28803.9155835005</x:v>
      </x:c>
      <x:c r="E13" s="60" t="n">
        <x:v>28803.9155835005</x:v>
      </x:c>
      <x:c r="F13" s="62" t="n">
        <x:v>0</x:v>
      </x:c>
      <x:c r="G13" s="66" t="n">
        <x:v>1</x:v>
      </x:c>
      <x:c r="H13" s="62" t="n">
        <x:f>IF(E13=0,"",I13/E13)</x:f>
        <x:v>1878.713427220089</x:v>
      </x:c>
      <x:c r="I13" s="60" t="n">
        <x:f>SUMIF('Species'!$G$2:$G$206,A13,'Species'!$U$2:$U$206)</x:f>
        <x:v>54114302.963236354</x:v>
      </x:c>
      <x:c r="J13" s="62" t="n">
        <x:v>3.41301454227878</x:v>
      </x:c>
      <x:c r="K13" s="62" t="n">
        <x:f>IF(J13="","",(1/'Metadata'!$B$5)^(J13-1))</x:f>
        <x:v>1378.4921569029243</x:v>
      </x:c>
      <x:c r="L13" s="60" t="n">
        <x:f>IF(E13=0,"",E13*K13)</x:f>
        <x:v>39705971.71994936</x:v>
      </x:c>
      <x:c r="M13" s="60" t="n">
        <x:f>I13-L13</x:f>
        <x:v>14408331.243286997</x:v>
      </x:c>
      <x:c r="N13" s="62" t="n">
        <x:f>IF(L13=0,"",I13/L13)</x:f>
        <x:v>1.3628756738384484</x:v>
      </x:c>
      <x:c r="O13" s="66" t="n">
        <x:f>IF(L13=0,"",M13/L13)</x:f>
        <x:v>0.3628756738384484</x:v>
      </x:c>
    </x:row>
    <x:row r="14" ht="18" customHeight="1">
      <x:c r="A14" s="46" t="str">
        <x:v>Medium pelagics (30 - 89 cm)</x:v>
      </x:c>
      <x:c r="B14" s="64" t="n">
        <x:v>13</x:v>
      </x:c>
      <x:c r="C14" s="64" t="n">
        <x:v>13</x:v>
      </x:c>
      <x:c r="D14" s="60" t="n">
        <x:v>35128.1707114871</x:v>
      </x:c>
      <x:c r="E14" s="60" t="n">
        <x:v>35128.1707114871</x:v>
      </x:c>
      <x:c r="F14" s="62" t="n">
        <x:v>0</x:v>
      </x:c>
      <x:c r="G14" s="66" t="n">
        <x:v>1</x:v>
      </x:c>
      <x:c r="H14" s="62" t="n">
        <x:f>IF(E14=0,"",I14/E14)</x:f>
        <x:v>9110.409329052041</x:v>
      </x:c>
      <x:c r="I14" s="60" t="n">
        <x:f>SUMIF('Species'!$G$2:$G$206,A14,'Species'!$U$2:$U$206)</x:f>
        <x:v>320032014.1624648</x:v>
      </x:c>
      <x:c r="J14" s="62" t="n">
        <x:v>3.8077267746274326</x:v>
      </x:c>
      <x:c r="K14" s="62" t="n">
        <x:f>IF(J14="","",(1/'Metadata'!$B$5)^(J14-1))</x:f>
        <x:v>4497.143579370686</x:v>
      </x:c>
      <x:c r="L14" s="60" t="n">
        <x:f>IF(E14=0,"",E14*K14)</x:f>
        <x:v>157976427.37020162</x:v>
      </x:c>
      <x:c r="M14" s="60" t="n">
        <x:f>I14-L14</x:f>
        <x:v>162055586.79226318</x:v>
      </x:c>
      <x:c r="N14" s="62" t="n">
        <x:f>IF(L14=0,"",I14/L14)</x:f>
        <x:v>2.025821317078544</x:v>
      </x:c>
      <x:c r="O14" s="66" t="n">
        <x:f>IF(L14=0,"",M14/L14)</x:f>
        <x:v>1.025821317078544</x:v>
      </x:c>
    </x:row>
    <x:row r="15" ht="18" customHeight="1">
      <x:c r="A15" s="46" t="str">
        <x:v>Medium reef assoc. fish (30 - 89 cm)</x:v>
      </x:c>
      <x:c r="B15" s="64" t="n">
        <x:v>29</x:v>
      </x:c>
      <x:c r="C15" s="64" t="n">
        <x:v>29</x:v>
      </x:c>
      <x:c r="D15" s="60" t="n">
        <x:v>36064.3636948022</x:v>
      </x:c>
      <x:c r="E15" s="60" t="n">
        <x:v>36064.3636948022</x:v>
      </x:c>
      <x:c r="F15" s="62" t="n">
        <x:v>0</x:v>
      </x:c>
      <x:c r="G15" s="66" t="n">
        <x:v>1</x:v>
      </x:c>
      <x:c r="H15" s="62" t="n">
        <x:f>IF(E15=0,"",I15/E15)</x:f>
        <x:v>3335.9105559554096</x:v>
      </x:c>
      <x:c r="I15" s="60" t="n">
        <x:f>SUMIF('Species'!$G$2:$G$206,A15,'Species'!$U$2:$U$206)</x:f>
        <x:v>120307491.54330571</x:v>
      </x:c>
      <x:c r="J15" s="62" t="n">
        <x:v>3.318645286844986</x:v>
      </x:c>
      <x:c r="K15" s="62" t="n">
        <x:f>IF(J15="","",(1/'Metadata'!$B$5)^(J15-1))</x:f>
        <x:v>1039.027560491096</x:v>
      </x:c>
      <x:c r="L15" s="60" t="n">
        <x:f>IF(E15=0,"",E15*K15)</x:f>
        <x:v>37471867.83047398</x:v>
      </x:c>
      <x:c r="M15" s="60" t="n">
        <x:f>I15-L15</x:f>
        <x:v>82835623.71283174</x:v>
      </x:c>
      <x:c r="N15" s="62" t="n">
        <x:f>IF(L15=0,"",I15/L15)</x:f>
        <x:v>3.210608344574318</x:v>
      </x:c>
      <x:c r="O15" s="66" t="n">
        <x:f>IF(L15=0,"",M15/L15)</x:f>
        <x:v>2.210608344574318</x:v>
      </x:c>
    </x:row>
    <x:row r="16" ht="18" customHeight="1">
      <x:c r="A16" s="46" t="str">
        <x:v>Other demersal invertebrates</x:v>
      </x:c>
      <x:c r="B16" s="64" t="n">
        <x:v>4</x:v>
      </x:c>
      <x:c r="C16" s="64" t="n">
        <x:v>4</x:v>
      </x:c>
      <x:c r="D16" s="60" t="n">
        <x:v>2761.9356243023994</x:v>
      </x:c>
      <x:c r="E16" s="60" t="n">
        <x:v>2761.9356243023994</x:v>
      </x:c>
      <x:c r="F16" s="62" t="n">
        <x:v>0</x:v>
      </x:c>
      <x:c r="G16" s="66" t="n">
        <x:v>1</x:v>
      </x:c>
      <x:c r="H16" s="62" t="n">
        <x:f>IF(E16=0,"",I16/E16)</x:f>
        <x:v>27.578850559754017</x:v>
      </x:c>
      <x:c r="I16" s="60" t="n">
        <x:f>SUMIF('Species'!$G$2:$G$206,A16,'Species'!$U$2:$U$206)</x:f>
        <x:v>76171.00983829678</x:v>
      </x:c>
      <x:c r="J16" s="62" t="n">
        <x:v>2.104297199300013</x:v>
      </x:c>
      <x:c r="K16" s="62" t="n">
        <x:f>IF(J16="","",(1/'Metadata'!$B$5)^(J16-1))</x:f>
        <x:v>27.335295962878305</x:v>
      </x:c>
      <x:c r="L16" s="60" t="n">
        <x:f>IF(E16=0,"",E16*K16)</x:f>
        <x:v>75498.32772072316</x:v>
      </x:c>
      <x:c r="M16" s="60" t="n">
        <x:f>I16-L16</x:f>
        <x:v>672.6821175736259</x:v>
      </x:c>
      <x:c r="N16" s="62" t="n">
        <x:f>IF(L16=0,"",I16/L16)</x:f>
        <x:v>1.0089098942702672</x:v>
      </x:c>
      <x:c r="O16" s="66" t="n">
        <x:f>IF(L16=0,"",M16/L16)</x:f>
        <x:v>0.00890989427026719</x:v>
      </x:c>
    </x:row>
    <x:row r="17" ht="18" customHeight="1">
      <x:c r="A17" s="46" t="str">
        <x:v>Shrimps</x:v>
      </x:c>
      <x:c r="B17" s="64" t="n">
        <x:v>10</x:v>
      </x:c>
      <x:c r="C17" s="64" t="n">
        <x:v>10</x:v>
      </x:c>
      <x:c r="D17" s="60" t="n">
        <x:v>6757.905330925001</x:v>
      </x:c>
      <x:c r="E17" s="60" t="n">
        <x:v>6757.905330925001</x:v>
      </x:c>
      <x:c r="F17" s="62" t="n">
        <x:v>0</x:v>
      </x:c>
      <x:c r="G17" s="66" t="n">
        <x:v>1</x:v>
      </x:c>
      <x:c r="H17" s="62" t="n">
        <x:f>IF(E17=0,"",I17/E17)</x:f>
        <x:v>291.46237031855986</x:v>
      </x:c>
      <x:c r="I17" s="60" t="n">
        <x:f>SUMIF('Species'!$G$2:$G$206,A17,'Species'!$U$2:$U$206)</x:f>
        <x:v>1969675.1061398326</x:v>
      </x:c>
      <x:c r="J17" s="62" t="n">
        <x:v>2.7899522967840813</x:v>
      </x:c>
      <x:c r="K17" s="62" t="n">
        <x:f>IF(J17="","",(1/'Metadata'!$B$5)^(J17-1))</x:f>
        <x:v>213.197264940084</x:v>
      </x:c>
      <x:c r="L17" s="60" t="n">
        <x:f>IF(E17=0,"",E17*K17)</x:f>
        <x:v>1440766.9332772235</x:v>
      </x:c>
      <x:c r="M17" s="60" t="n">
        <x:f>I17-L17</x:f>
        <x:v>528908.1728626091</x:v>
      </x:c>
      <x:c r="N17" s="62" t="n">
        <x:f>IF(L17=0,"",I17/L17)</x:f>
        <x:v>1.3671018265664485</x:v>
      </x:c>
      <x:c r="O17" s="66" t="n">
        <x:f>IF(L17=0,"",M17/L17)</x:f>
        <x:v>0.36710182656644846</x:v>
      </x:c>
    </x:row>
    <x:row r="18" ht="18" customHeight="1">
      <x:c r="A18" s="46" t="str">
        <x:v>Small benthopelagics (&lt;30 cm)</x:v>
      </x:c>
      <x:c r="B18" s="64" t="n">
        <x:v>6</x:v>
      </x:c>
      <x:c r="C18" s="64" t="n">
        <x:v>6</x:v>
      </x:c>
      <x:c r="D18" s="60" t="n">
        <x:v>5519.3852067744</x:v>
      </x:c>
      <x:c r="E18" s="60" t="n">
        <x:v>5519.3852067744</x:v>
      </x:c>
      <x:c r="F18" s="62" t="n">
        <x:v>0</x:v>
      </x:c>
      <x:c r="G18" s="66" t="n">
        <x:v>1</x:v>
      </x:c>
      <x:c r="H18" s="62" t="n">
        <x:f>IF(E18=0,"",I18/E18)</x:f>
        <x:v>743.6606339016423</x:v>
      </x:c>
      <x:c r="I18" s="60" t="n">
        <x:f>SUMIF('Species'!$G$2:$G$206,A18,'Species'!$U$2:$U$206)</x:f>
        <x:v>4104549.5016171974</x:v>
      </x:c>
      <x:c r="J18" s="62" t="n">
        <x:v>3.1933956307836553</x:v>
      </x:c>
      <x:c r="K18" s="62" t="n">
        <x:f>IF(J18="","",(1/'Metadata'!$B$5)^(J18-1))</x:f>
        <x:v>713.9593870296216</x:v>
      </x:c>
      <x:c r="L18" s="60" t="n">
        <x:f>IF(E18=0,"",E18*K18)</x:f>
        <x:v>3940616.8790090117</x:v>
      </x:c>
      <x:c r="M18" s="60" t="n">
        <x:f>I18-L18</x:f>
        <x:v>163932.62260818575</x:v>
      </x:c>
      <x:c r="N18" s="62" t="n">
        <x:f>IF(L18=0,"",I18/L18)</x:f>
        <x:v>1.0416007512634446</x:v>
      </x:c>
      <x:c r="O18" s="66" t="n">
        <x:f>IF(L18=0,"",M18/L18)</x:f>
        <x:v>0.04160075126344472</x:v>
      </x:c>
    </x:row>
    <x:row r="19" ht="18" customHeight="1">
      <x:c r="A19" s="46" t="str">
        <x:v>Small demersals (&lt;30 cm)</x:v>
      </x:c>
      <x:c r="B19" s="64" t="n">
        <x:v>7</x:v>
      </x:c>
      <x:c r="C19" s="64" t="n">
        <x:v>7</x:v>
      </x:c>
      <x:c r="D19" s="60" t="n">
        <x:v>10377.687257794001</x:v>
      </x:c>
      <x:c r="E19" s="60" t="n">
        <x:v>10377.687257794001</x:v>
      </x:c>
      <x:c r="F19" s="62" t="n">
        <x:v>0</x:v>
      </x:c>
      <x:c r="G19" s="66" t="n">
        <x:v>1</x:v>
      </x:c>
      <x:c r="H19" s="62" t="n">
        <x:f>IF(E19=0,"",I19/E19)</x:f>
        <x:v>2396.5176423479484</x:v>
      </x:c>
      <x:c r="I19" s="60" t="n">
        <x:f>SUMIF('Species'!$G$2:$G$206,A19,'Species'!$U$2:$U$206)</x:f>
        <x:v>24870310.600072827</x:v>
      </x:c>
      <x:c r="J19" s="62" t="n">
        <x:v>3.503825246947652</x:v>
      </x:c>
      <x:c r="K19" s="62" t="n">
        <x:f>IF(J19="","",(1/'Metadata'!$B$5)^(J19-1))</x:f>
        <x:v>1809.4715125719383</x:v>
      </x:c>
      <x:c r="L19" s="60" t="n">
        <x:f>IF(E19=0,"",E19*K19)</x:f>
        <x:v>18778129.459359042</x:v>
      </x:c>
      <x:c r="M19" s="60" t="n">
        <x:f>I19-L19</x:f>
        <x:v>6092181.140713785</x:v>
      </x:c>
      <x:c r="N19" s="62" t="n">
        <x:f>IF(L19=0,"",I19/L19)</x:f>
        <x:v>1.3244296059359328</x:v>
      </x:c>
      <x:c r="O19" s="66" t="n">
        <x:f>IF(L19=0,"",M19/L19)</x:f>
        <x:v>0.3244296059359328</x:v>
      </x:c>
    </x:row>
    <x:row r="20" ht="18" customHeight="1">
      <x:c r="A20" s="46" t="str">
        <x:v>Small pelagics (&lt;30 cm)</x:v>
      </x:c>
      <x:c r="B20" s="64" t="n">
        <x:v>15</x:v>
      </x:c>
      <x:c r="C20" s="64" t="n">
        <x:v>15</x:v>
      </x:c>
      <x:c r="D20" s="60" t="n">
        <x:v>14514.755821432298</x:v>
      </x:c>
      <x:c r="E20" s="60" t="n">
        <x:v>14514.755821432298</x:v>
      </x:c>
      <x:c r="F20" s="62" t="n">
        <x:v>0</x:v>
      </x:c>
      <x:c r="G20" s="66" t="n">
        <x:v>1</x:v>
      </x:c>
      <x:c r="H20" s="62" t="n">
        <x:f>IF(E20=0,"",I20/E20)</x:f>
        <x:v>420.89263273295086</x:v>
      </x:c>
      <x:c r="I20" s="60" t="n">
        <x:f>SUMIF('Species'!$G$2:$G$206,A20,'Species'!$U$2:$U$206)</x:f>
        <x:v>6109153.791158564</x:v>
      </x:c>
      <x:c r="J20" s="62" t="n">
        <x:v>2.8988790587888915</x:v>
      </x:c>
      <x:c r="K20" s="62" t="n">
        <x:f>IF(J20="","",(1/'Metadata'!$B$5)^(J20-1))</x:f>
        <x:v>295.459945663802</x:v>
      </x:c>
      <x:c r="L20" s="60" t="n">
        <x:f>IF(E20=0,"",E20*K20)</x:f>
        <x:v>4288528.966323741</x:v>
      </x:c>
      <x:c r="M20" s="60" t="n">
        <x:f>I20-L20</x:f>
        <x:v>1820624.8248348236</x:v>
      </x:c>
      <x:c r="N20" s="62" t="n">
        <x:f>IF(L20=0,"",I20/L20)</x:f>
        <x:v>1.4245336429184758</x:v>
      </x:c>
      <x:c r="O20" s="66" t="n">
        <x:f>IF(L20=0,"",M20/L20)</x:f>
        <x:v>0.4245336429184759</x:v>
      </x:c>
    </x:row>
    <x:row r="21" ht="18" customHeight="1">
      <x:c r="A21" s="46" t="str">
        <x:v>Small reef assoc. fish (&lt;30 cm)</x:v>
      </x:c>
      <x:c r="B21" s="64" t="n">
        <x:v>8</x:v>
      </x:c>
      <x:c r="C21" s="64" t="n">
        <x:v>8</x:v>
      </x:c>
      <x:c r="D21" s="60" t="n">
        <x:v>1691.7941281805</x:v>
      </x:c>
      <x:c r="E21" s="60" t="n">
        <x:v>1691.7941281805</x:v>
      </x:c>
      <x:c r="F21" s="62" t="n">
        <x:v>0</x:v>
      </x:c>
      <x:c r="G21" s="66" t="n">
        <x:v>1</x:v>
      </x:c>
      <x:c r="H21" s="62" t="n">
        <x:f>IF(E21=0,"",I21/E21)</x:f>
        <x:v>3152.126741457465</x:v>
      </x:c>
      <x:c r="I21" s="60" t="n">
        <x:f>SUMIF('Species'!$G$2:$G$206,A21,'Species'!$U$2:$U$206)</x:f>
        <x:v>5332749.512478472</x:v>
      </x:c>
      <x:c r="J21" s="62" t="n">
        <x:v>3.0320936684070503</x:v>
      </x:c>
      <x:c r="K21" s="62" t="n">
        <x:f>IF(J21="","",(1/'Metadata'!$B$5)^(J21-1))</x:f>
        <x:v>440.36705071744035</x:v>
      </x:c>
      <x:c r="L21" s="60" t="n">
        <x:f>IF(E21=0,"",E21*K21)</x:f>
        <x:v>745010.39064793</x:v>
      </x:c>
      <x:c r="M21" s="60" t="n">
        <x:f>I21-L21</x:f>
        <x:v>4587739.121830542</x:v>
      </x:c>
      <x:c r="N21" s="62" t="n">
        <x:f>IF(L21=0,"",I21/L21)</x:f>
        <x:v>7.157953203633333</x:v>
      </x:c>
      <x:c r="O21" s="66" t="n">
        <x:f>IF(L21=0,"",M21/L21)</x:f>
        <x:v>6.157953203633333</x:v>
      </x:c>
    </x:row>
    <x:row r="22" ht="18" customHeight="1">
      <x:c r="A22" s="46" t="str">
        <x:v>Small to medium flatfishes (&lt;90 cm)</x:v>
      </x:c>
      <x:c r="B22" s="64" t="n">
        <x:v>3</x:v>
      </x:c>
      <x:c r="C22" s="64" t="n">
        <x:v>3</x:v>
      </x:c>
      <x:c r="D22" s="60" t="n">
        <x:v>691.2461631122</x:v>
      </x:c>
      <x:c r="E22" s="60" t="n">
        <x:v>691.2461631122</x:v>
      </x:c>
      <x:c r="F22" s="62" t="n">
        <x:v>0</x:v>
      </x:c>
      <x:c r="G22" s="66" t="n">
        <x:v>1</x:v>
      </x:c>
      <x:c r="H22" s="62" t="n">
        <x:f>IF(E22=0,"",I22/E22)</x:f>
        <x:v>22852.263428761053</x:v>
      </x:c>
      <x:c r="I22" s="60" t="n">
        <x:f>SUMIF('Species'!$G$2:$G$206,A22,'Species'!$U$2:$U$206)</x:f>
        <x:v>15796539.413560325</x:v>
      </x:c>
      <x:c r="J22" s="62" t="n">
        <x:v>4.288896200183057</x:v>
      </x:c>
      <x:c r="K22" s="62" t="n">
        <x:f>IF(J22="","",(1/'Metadata'!$B$5)^(J22-1))</x:f>
        <x:v>19008.70842416074</x:v>
      </x:c>
      <x:c r="L22" s="60" t="n">
        <x:f>IF(E22=0,"",E22*K22)</x:f>
        <x:v>13139696.763919665</x:v>
      </x:c>
      <x:c r="M22" s="60" t="n">
        <x:f>I22-L22</x:f>
        <x:v>2656842.6496406607</x:v>
      </x:c>
      <x:c r="N22" s="62" t="n">
        <x:f>IF(L22=0,"",I22/L22)</x:f>
        <x:v>1.202199692837364</x:v>
      </x:c>
      <x:c r="O22" s="66" t="n">
        <x:f>IF(L22=0,"",M22/L22)</x:f>
        <x:v>0.20219969283736391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aaa51806b514d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LME_031</x:v>
      </x:c>
      <x:c r="B2" s="46" t="str">
        <x:v>raw_filtered_tonnes</x:v>
      </x:c>
      <x:c r="C2" s="46" t="n">
        <x:v>237379.07863162042</x:v>
      </x:c>
      <x:c r="D2" s="46" t="str">
        <x:v>tonnes</x:v>
      </x:c>
    </x:row>
    <x:row r="3" ht="18" customHeight="1">
      <x:c r="A3" s="46" t="str">
        <x:v>LME_031</x:v>
      </x:c>
      <x:c r="B3" s="46" t="str">
        <x:v>species_catch_tonnes</x:v>
      </x:c>
      <x:c r="C3" s="46" t="n">
        <x:v>237379.07863162042</x:v>
      </x:c>
      <x:c r="D3" s="46" t="str">
        <x:v>tonnes</x:v>
      </x:c>
    </x:row>
    <x:row r="4" ht="18" customHeight="1">
      <x:c r="A4" s="46" t="str">
        <x:v>LME_031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LME_031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LME_031</x:v>
      </x:c>
      <x:c r="B6" s="46" t="str">
        <x:v>matched_catch_tonnes</x:v>
      </x:c>
      <x:c r="C6" s="46" t="n">
        <x:v>237379.07863162042</x:v>
      </x:c>
      <x:c r="D6" s="46" t="str">
        <x:v>tonnes</x:v>
      </x:c>
    </x:row>
    <x:row r="7" ht="18" customHeight="1">
      <x:c r="A7" s="46" t="str">
        <x:v>LME_031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LME_031</x:v>
      </x:c>
      <x:c r="B8" s="46" t="str">
        <x:v>taxa_count</x:v>
      </x:c>
      <x:c r="C8" s="46" t="n">
        <x:v>205</x:v>
      </x:c>
      <x:c r="D8" s="46" t="str">
        <x:v>count</x:v>
      </x:c>
    </x:row>
    <x:row r="9" ht="18" customHeight="1">
      <x:c r="A9" s="46" t="str">
        <x:v>LME_031</x:v>
      </x:c>
      <x:c r="B9" s="46" t="str">
        <x:v>matched_taxa_count</x:v>
      </x:c>
      <x:c r="C9" s="46" t="n">
        <x:v>205</x:v>
      </x:c>
      <x:c r="D9" s="46" t="str">
        <x:v>count</x:v>
      </x:c>
    </x:row>
    <x:row r="10" ht="18" customHeight="1">
      <x:c r="A10" s="46" t="str">
        <x:v>LME_031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LME_031</x:v>
      </x:c>
      <x:c r="B11" s="46" t="str">
        <x:v>species_ppr</x:v>
      </x:c>
      <x:c r="C11" s="46" t="n">
        <x:v>2070391952.970397</x:v>
      </x:c>
      <x:c r="D11" s="46" t="str">
        <x:v>tonnes_primary_production_equivalent</x:v>
      </x:c>
    </x:row>
    <x:row r="12" ht="18" customHeight="1">
      <x:c r="A12" s="46" t="str">
        <x:v>LME_031</x:v>
      </x:c>
      <x:c r="B12" s="46" t="str">
        <x:v>commercial_ppr</x:v>
      </x:c>
      <x:c r="C12" s="46" t="n">
        <x:v>2070391952.970397</x:v>
      </x:c>
      <x:c r="D12" s="46" t="str">
        <x:v>tonnes_primary_production_equivalent</x:v>
      </x:c>
    </x:row>
    <x:row r="13" ht="18" customHeight="1">
      <x:c r="A13" s="46" t="str">
        <x:v>LME_031</x:v>
      </x:c>
      <x:c r="B13" s="46" t="str">
        <x:v>functional_ppr</x:v>
      </x:c>
      <x:c r="C13" s="46" t="n">
        <x:v>2070391952.970397</x:v>
      </x:c>
      <x:c r="D13" s="46" t="str">
        <x:v>tonnes_primary_production_equivalent</x:v>
      </x:c>
    </x:row>
    <x:row r="14" ht="18" customHeight="1">
      <x:c r="A14" s="46" t="str">
        <x:v>LME_031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LME_031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LME_031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0f9a403c7674d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LME_031 - Somali Coastal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