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628686e3c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3bab1c0862d4df0"/>
    <x:sheet xmlns:r="http://schemas.openxmlformats.org/officeDocument/2006/relationships" name="Commercial" sheetId="2" r:id="R9ed06552ecbc4927"/>
    <x:sheet xmlns:r="http://schemas.openxmlformats.org/officeDocument/2006/relationships" name="Functional" sheetId="3" r:id="R3eccb38697a04928"/>
    <x:sheet xmlns:r="http://schemas.openxmlformats.org/officeDocument/2006/relationships" name="Missing TL" sheetId="4" r:id="R0684cca494e74a0e"/>
    <x:sheet xmlns:r="http://schemas.openxmlformats.org/officeDocument/2006/relationships" name="Validation" sheetId="5" r:id="R4ef52a3333934c69"/>
    <x:sheet xmlns:r="http://schemas.openxmlformats.org/officeDocument/2006/relationships" name="Metadata" sheetId="6" r:id="Rf635c2bcdd0a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6288d92e14f3b" /><Relationship Type="http://schemas.openxmlformats.org/officeDocument/2006/relationships/theme" Target="/xl/theme/theme1.xml" Id="Rb0c0e689f5b54e1c" /><Relationship Type="http://schemas.openxmlformats.org/officeDocument/2006/relationships/sharedStrings" Target="/xl/sharedStrings.xml" Id="Rc1e3c49b7a304fce" /><Relationship Type="http://schemas.openxmlformats.org/officeDocument/2006/relationships/worksheet" Target="/xl/worksheets/sheet1.xml" Id="R43bab1c0862d4df0" /><Relationship Type="http://schemas.openxmlformats.org/officeDocument/2006/relationships/worksheet" Target="/xl/worksheets/sheet2.xml" Id="R9ed06552ecbc4927" /><Relationship Type="http://schemas.openxmlformats.org/officeDocument/2006/relationships/worksheet" Target="/xl/worksheets/sheet3.xml" Id="R3eccb38697a04928" /><Relationship Type="http://schemas.openxmlformats.org/officeDocument/2006/relationships/worksheet" Target="/xl/worksheets/sheet4.xml" Id="R0684cca494e74a0e" /><Relationship Type="http://schemas.openxmlformats.org/officeDocument/2006/relationships/worksheet" Target="/xl/worksheets/sheet5.xml" Id="R4ef52a3333934c69" /><Relationship Type="http://schemas.openxmlformats.org/officeDocument/2006/relationships/worksheet" Target="/xl/worksheets/sheet6.xml" Id="Rf635c2bcdd0a4409" /></Relationships>
</file>

<file path=xl/tables/table1.xml><?xml version="1.0" encoding="utf-8"?>
<x:table xmlns:x="http://schemas.openxmlformats.org/spreadsheetml/2006/main" id="1" name="LME051SpeciesTable" displayName="LME051SpeciesTable" ref="A1:U144" headerRowCount="1" totalsRowCount="0" totalsRowShown="0">
  <x:autoFilter ref="A1:U1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1CommercialTable" displayName="LME051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1FunctionalTable" displayName="LME051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1ValidationTable" displayName="LME05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2d3b395fb47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6027f5b471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dd04af628340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86fd8dbe984d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LME_051</x:v>
      </x:c>
      <x:c r="B2" s="46" t="str">
        <x:v>Oyashio Current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347646.4225983118</x:v>
      </x:c>
      <x:c r="J2" s="60" t="n">
        <x:v>232579.0821767523</x:v>
      </x:c>
      <x:c r="K2" s="60" t="n">
        <x:v>115067.3404215595</x:v>
      </x:c>
      <x:c r="L2" s="60" t="n">
        <x:v>181376.8473847465</x:v>
      </x:c>
      <x:c r="M2" s="60" t="n">
        <x:v>166269.57521356532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766981438.009411</x:v>
      </x:c>
    </x:row>
    <x:row r="3" ht="18" customHeight="1">
      <x:c r="A3" s="46" t="str">
        <x:v>LME_051</x:v>
      </x:c>
      <x:c r="B3" s="46" t="str">
        <x:v>Oyashio Current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127613.8660170642</x:v>
      </x:c>
      <x:c r="J3" s="60" t="n">
        <x:v>99209.1638999113</x:v>
      </x:c>
      <x:c r="K3" s="60" t="n">
        <x:v>28404.702117152898</x:v>
      </x:c>
      <x:c r="L3" s="60" t="n">
        <x:v>87141.1205878178</x:v>
      </x:c>
      <x:c r="M3" s="60" t="n">
        <x:v>40472.7454292464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118099009.66121894</x:v>
      </x:c>
    </x:row>
    <x:row r="4" ht="18" customHeight="1">
      <x:c r="A4" s="46" t="str">
        <x:v>LME_051</x:v>
      </x:c>
      <x:c r="B4" s="46" t="str">
        <x:v>Oyashio Current</x:v>
      </x:c>
      <x:c r="C4" s="46" t="str">
        <x:v>LME</x:v>
      </x:c>
      <x:c r="D4" s="58" t="n">
        <x:v>2019</x:v>
      </x:c>
      <x:c r="E4" s="46" t="str">
        <x:v>Clupea pallasii</x:v>
      </x:c>
      <x:c r="F4" s="46" t="str">
        <x:v>Pacific herring</x:v>
      </x:c>
      <x:c r="G4" s="46" t="str">
        <x:v>Medium pelagics (30 - 89 cm)</x:v>
      </x:c>
      <x:c r="H4" s="46" t="str">
        <x:v>Herring-likes</x:v>
      </x:c>
      <x:c r="I4" s="60" t="n">
        <x:v>79800.072022717</x:v>
      </x:c>
      <x:c r="J4" s="60" t="n">
        <x:v>54194.7809465904</x:v>
      </x:c>
      <x:c r="K4" s="60" t="n">
        <x:v>25605.2910761266</x:v>
      </x:c>
      <x:c r="L4" s="60" t="n">
        <x:v>46773.413346995396</x:v>
      </x:c>
      <x:c r="M4" s="60" t="n">
        <x:v>33026.6586757216</x:v>
      </x:c>
      <x:c r="N4" s="46" t="str">
        <x:v>clupea pallasii</x:v>
      </x:c>
      <x:c r="O4" s="62" t="n">
        <x:v>3.16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Clupea pallasii</x:v>
      </x:c>
      <x:c r="T4" s="62" t="n">
        <x:f>IF(O4="","",(1/'Metadata'!$B$5)^(O4-1))</x:f>
        <x:v>645.9885058849935</x:v>
      </x:c>
      <x:c r="U4" s="60" t="n">
        <x:f>IF(T4="","",I4*T4)</x:f>
        <x:v>51549929.29546982</x:v>
      </x:c>
    </x:row>
    <x:row r="5" ht="18" customHeight="1">
      <x:c r="A5" s="46" t="str">
        <x:v>LME_051</x:v>
      </x:c>
      <x:c r="B5" s="46" t="str">
        <x:v>Oyashio Current</x:v>
      </x:c>
      <x:c r="C5" s="46" t="str">
        <x:v>LME</x:v>
      </x:c>
      <x:c r="D5" s="58" t="n">
        <x:v>2019</x:v>
      </x:c>
      <x:c r="E5" s="46" t="str">
        <x:v>Sardinops sagax</x:v>
      </x:c>
      <x:c r="F5" s="46" t="str">
        <x:v>South American pilchard</x:v>
      </x:c>
      <x:c r="G5" s="46" t="str">
        <x:v>Medium pelagics (30 - 89 cm)</x:v>
      </x:c>
      <x:c r="H5" s="46" t="str">
        <x:v>Herring-likes</x:v>
      </x:c>
      <x:c r="I5" s="60" t="n">
        <x:v>78898.9872055276</x:v>
      </x:c>
      <x:c r="J5" s="60" t="n">
        <x:v>78854.48120396951</x:v>
      </x:c>
      <x:c r="K5" s="60" t="n">
        <x:v>44.506001558099996</x:v>
      </x:c>
      <x:c r="L5" s="60" t="n">
        <x:v>78341.76936942051</x:v>
      </x:c>
      <x:c r="M5" s="60" t="n">
        <x:v>557.2178361071001</x:v>
      </x:c>
      <x:c r="N5" s="46" t="str">
        <x:v>sardinops sagax</x:v>
      </x:c>
      <x:c r="O5" s="62" t="n">
        <x:v>2.84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Sardinops sagax</x:v>
      </x:c>
      <x:c r="T5" s="62" t="n">
        <x:f>IF(O5="","",(1/'Metadata'!$B$5)^(O5-1))</x:f>
        <x:v>247.68242552675557</x:v>
      </x:c>
      <x:c r="U5" s="60" t="n">
        <x:f>IF(T5="","",I5*T5)</x:f>
        <x:v>19541892.52266953</x:v>
      </x:c>
    </x:row>
    <x:row r="6" ht="18" customHeight="1">
      <x:c r="A6" s="46" t="str">
        <x:v>LME_051</x:v>
      </x:c>
      <x:c r="B6" s="46" t="str">
        <x:v>Oyashio Current</x:v>
      </x:c>
      <x:c r="C6" s="46" t="str">
        <x:v>LME</x:v>
      </x:c>
      <x:c r="D6" s="58" t="n">
        <x:v>2019</x:v>
      </x:c>
      <x:c r="E6" s="46" t="str">
        <x:v>Scomber japonicus</x:v>
      </x:c>
      <x:c r="F6" s="46" t="str">
        <x:v>Pacific chub mackerel</x:v>
      </x:c>
      <x:c r="G6" s="46" t="str">
        <x:v>Medium pelagics (30 - 89 cm)</x:v>
      </x:c>
      <x:c r="H6" s="46" t="str">
        <x:v>Perch-likes</x:v>
      </x:c>
      <x:c r="I6" s="60" t="n">
        <x:v>43309.811911944504</x:v>
      </x:c>
      <x:c r="J6" s="60" t="n">
        <x:v>43309.811911944504</x:v>
      </x:c>
      <x:c r="K6" s="60" t="n">
        <x:v>0</x:v>
      </x:c>
      <x:c r="L6" s="60" t="n">
        <x:v>42150.513527234805</x:v>
      </x:c>
      <x:c r="M6" s="60" t="n">
        <x:v>1159.2983847097</x:v>
      </x:c>
      <x:c r="N6" s="46" t="str">
        <x:v>scomber japonicus</x:v>
      </x:c>
      <x:c r="O6" s="62" t="n">
        <x:v>3.38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Scomber japonicus</x:v>
      </x:c>
      <x:c r="T6" s="62" t="n">
        <x:f>IF(O6="","",(1/'Metadata'!$B$5)^(O6-1))</x:f>
        <x:v>1248.6806726928048</x:v>
      </x:c>
      <x:c r="U6" s="60" t="n">
        <x:f>IF(T6="","",I6*T6)</x:f>
        <x:v>54080125.07240571</x:v>
      </x:c>
    </x:row>
    <x:row r="7" ht="18" customHeight="1">
      <x:c r="A7" s="46" t="str">
        <x:v>LME_051</x:v>
      </x:c>
      <x:c r="B7" s="46" t="str">
        <x:v>Oyashio Current</x:v>
      </x:c>
      <x:c r="C7" s="46" t="str">
        <x:v>LME</x:v>
      </x:c>
      <x:c r="D7" s="58" t="n">
        <x:v>2019</x:v>
      </x:c>
      <x:c r="E7" s="46" t="str">
        <x:v>Oncorhynchus gorbuscha</x:v>
      </x:c>
      <x:c r="F7" s="46" t="str">
        <x:v>Pink salmon</x:v>
      </x:c>
      <x:c r="G7" s="46" t="str">
        <x:v>Medium demersals (30 - 89 cm)</x:v>
      </x:c>
      <x:c r="H7" s="46" t="str">
        <x:v>Salmon, smelts, etc</x:v>
      </x:c>
      <x:c r="I7" s="60" t="n">
        <x:v>34771.5341172556</x:v>
      </x:c>
      <x:c r="J7" s="60" t="n">
        <x:v>26785.133601286</x:v>
      </x:c>
      <x:c r="K7" s="60" t="n">
        <x:v>7986.4005159696</x:v>
      </x:c>
      <x:c r="L7" s="60" t="n">
        <x:v>18344.1492293951</x:v>
      </x:c>
      <x:c r="M7" s="60" t="n">
        <x:v>16427.3848878605</x:v>
      </x:c>
      <x:c r="N7" s="46" t="str">
        <x:v>oncorhynchus gorbuscha</x:v>
      </x:c>
      <x:c r="O7" s="62" t="n">
        <x:v>4.49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Oncorhynchus gorbuscha</x:v>
      </x:c>
      <x:c r="T7" s="62" t="n">
        <x:f>IF(O7="","",(1/'Metadata'!$B$5)^(O7-1))</x:f>
        <x:v>34721.19667768202</x:v>
      </x:c>
      <x:c r="U7" s="60" t="n">
        <x:f>IF(T7="","",I7*T7)</x:f>
        <x:v>1207309274.8699622</x:v>
      </x:c>
    </x:row>
    <x:row r="8" ht="18" customHeight="1">
      <x:c r="A8" s="46" t="str">
        <x:v>LME_051</x:v>
      </x:c>
      <x:c r="B8" s="46" t="str">
        <x:v>Oyashio Current</x:v>
      </x:c>
      <x:c r="C8" s="46" t="str">
        <x:v>LME</x:v>
      </x:c>
      <x:c r="D8" s="58" t="n">
        <x:v>2019</x:v>
      </x:c>
      <x:c r="E8" s="46" t="str">
        <x:v>Teuthida</x:v>
      </x:c>
      <x:c r="F8" s="46" t="str">
        <x:v>Squids</x:v>
      </x:c>
      <x:c r="G8" s="46" t="str">
        <x:v>Cephalopods</x:v>
      </x:c>
      <x:c r="H8" s="46" t="str">
        <x:v>Other fishes &amp; inverts</x:v>
      </x:c>
      <x:c r="I8" s="60" t="n">
        <x:v>32479.5213800427</x:v>
      </x:c>
      <x:c r="J8" s="60" t="n">
        <x:v>32479.5213800427</x:v>
      </x:c>
      <x:c r="K8" s="60" t="n">
        <x:v>0</x:v>
      </x:c>
      <x:c r="L8" s="60" t="n">
        <x:v>27469.385699703504</x:v>
      </x:c>
      <x:c r="M8" s="60" t="n">
        <x:v>5010.1356803392</x:v>
      </x:c>
      <x:c r="N8" s="46" t="str">
        <x:v>teuthida</x:v>
      </x:c>
      <x:c r="O8" s="62" t="n">
        <x:v>4.13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Teuthida</x:v>
      </x:c>
      <x:c r="T8" s="62" t="n">
        <x:f>IF(O8="","",(1/'Metadata'!$B$5)^(O8-1))</x:f>
        <x:v>11809.292685236613</x:v>
      </x:c>
      <x:c r="U8" s="60" t="n">
        <x:f>IF(T8="","",I8*T8)</x:f>
        <x:v>383560174.25332445</x:v>
      </x:c>
    </x:row>
    <x:row r="9" ht="18" customHeight="1">
      <x:c r="A9" s="46" t="str">
        <x:v>LME_051</x:v>
      </x:c>
      <x:c r="B9" s="46" t="str">
        <x:v>Oyashio Current</x:v>
      </x:c>
      <x:c r="C9" s="46" t="str">
        <x:v>LME</x:v>
      </x:c>
      <x:c r="D9" s="58" t="n">
        <x:v>2019</x:v>
      </x:c>
      <x:c r="E9" s="46" t="str">
        <x:v>Ammodytes personatus</x:v>
      </x:c>
      <x:c r="F9" s="46" t="str">
        <x:v>Pacific sandlance</x:v>
      </x:c>
      <x:c r="G9" s="46" t="str">
        <x:v>Small demersals (&lt;30 cm)</x:v>
      </x:c>
      <x:c r="H9" s="46" t="str">
        <x:v>Perch-likes</x:v>
      </x:c>
      <x:c r="I9" s="60" t="n">
        <x:v>22632.7971187329</x:v>
      </x:c>
      <x:c r="J9" s="60" t="n">
        <x:v>20976.5471581757</x:v>
      </x:c>
      <x:c r="K9" s="60" t="n">
        <x:v>1656.2499605572002</x:v>
      </x:c>
      <x:c r="L9" s="60" t="n">
        <x:v>20976.5471581757</x:v>
      </x:c>
      <x:c r="M9" s="60" t="n">
        <x:v>1656.2499605572002</x:v>
      </x:c>
      <x:c r="N9" s="46" t="str">
        <x:v>ammodytes personatus</x:v>
      </x:c>
      <x:c r="O9" s="62" t="n">
        <x:v>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Ammodytes personatus</x:v>
      </x:c>
      <x:c r="T9" s="62" t="n">
        <x:f>IF(O9="","",(1/'Metadata'!$B$5)^(O9-1))</x:f>
        <x:v>400</x:v>
      </x:c>
      <x:c r="U9" s="60" t="n">
        <x:f>IF(T9="","",I9*T9)</x:f>
        <x:v>9053118.847493159</x:v>
      </x:c>
    </x:row>
    <x:row r="10" ht="18" customHeight="1">
      <x:c r="A10" s="46" t="str">
        <x:v>LME_051</x:v>
      </x:c>
      <x:c r="B10" s="46" t="str">
        <x:v>Oyashio Current</x:v>
      </x:c>
      <x:c r="C10" s="46" t="str">
        <x:v>LME</x:v>
      </x:c>
      <x:c r="D10" s="58" t="n">
        <x:v>2019</x:v>
      </x:c>
      <x:c r="E10" s="46" t="str">
        <x:v>Pectinidae</x:v>
      </x:c>
      <x:c r="F10" s="46" t="str">
        <x:v>Scallops</x:v>
      </x:c>
      <x:c r="G10" s="46" t="str">
        <x:v>Other demersal invertebrates</x:v>
      </x:c>
      <x:c r="H10" s="46" t="str">
        <x:v>Molluscs</x:v>
      </x:c>
      <x:c r="I10" s="60" t="n">
        <x:v>22213.669700403</x:v>
      </x:c>
      <x:c r="J10" s="60" t="n">
        <x:v>17255.5326831165</x:v>
      </x:c>
      <x:c r="K10" s="60" t="n">
        <x:v>4958.1370172865</x:v>
      </x:c>
      <x:c r="L10" s="60" t="n">
        <x:v>17255.5326831165</x:v>
      </x:c>
      <x:c r="M10" s="60" t="n">
        <x:v>4958.1370172865</x:v>
      </x:c>
      <x:c r="N10" s="46" t="str">
        <x:v>pectinidae</x:v>
      </x:c>
      <x:c r="O10" s="62" t="n">
        <x:v>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Pectinidae</x:v>
      </x:c>
      <x:c r="T10" s="62" t="n">
        <x:f>IF(O10="","",(1/'Metadata'!$B$5)^(O10-1))</x:f>
        <x:v>20</x:v>
      </x:c>
      <x:c r="U10" s="60" t="n">
        <x:f>IF(T10="","",I10*T10)</x:f>
        <x:v>444273.39400806</x:v>
      </x:c>
    </x:row>
    <x:row r="11" ht="18" customHeight="1">
      <x:c r="A11" s="46" t="str">
        <x:v>LME_051</x:v>
      </x:c>
      <x:c r="B11" s="46" t="str">
        <x:v>Oyashio Current</x:v>
      </x:c>
      <x:c r="C11" s="46" t="str">
        <x:v>LME</x:v>
      </x:c>
      <x:c r="D11" s="58" t="n">
        <x:v>2019</x:v>
      </x:c>
      <x:c r="E11" s="46" t="str">
        <x:v>Cololabis saira</x:v>
      </x:c>
      <x:c r="F11" s="46" t="str">
        <x:v>Pacific saury</x:v>
      </x:c>
      <x:c r="G11" s="46" t="str">
        <x:v>Medium pelagics (30 - 89 cm)</x:v>
      </x:c>
      <x:c r="H11" s="46" t="str">
        <x:v>Other fishes &amp; inverts</x:v>
      </x:c>
      <x:c r="I11" s="60" t="n">
        <x:v>21017.2847090361</x:v>
      </x:c>
      <x:c r="J11" s="60" t="n">
        <x:v>20382.0012428681</x:v>
      </x:c>
      <x:c r="K11" s="60" t="n">
        <x:v>635.283466168</x:v>
      </x:c>
      <x:c r="L11" s="60" t="n">
        <x:v>17335.948265804902</x:v>
      </x:c>
      <x:c r="M11" s="60" t="n">
        <x:v>3681.3364432312</x:v>
      </x:c>
      <x:c r="N11" s="46" t="str">
        <x:v>cololabis saira</x:v>
      </x:c>
      <x:c r="O11" s="62" t="n">
        <x:v>3.71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Cololabis saira</x:v>
      </x:c>
      <x:c r="T11" s="62" t="n">
        <x:f>IF(O11="","",(1/'Metadata'!$B$5)^(O11-1))</x:f>
        <x:v>3355.7630537706395</x:v>
      </x:c>
      <x:c r="U11" s="60" t="n">
        <x:f>IF(T11="","",I11*T11)</x:f>
        <x:v>70529027.51716195</x:v>
      </x:c>
    </x:row>
    <x:row r="12" ht="18" customHeight="1">
      <x:c r="A12" s="46" t="str">
        <x:v>LME_051</x:v>
      </x:c>
      <x:c r="B12" s="46" t="str">
        <x:v>Oyashio Current</x:v>
      </x:c>
      <x:c r="C12" s="46" t="str">
        <x:v>LME</x:v>
      </x:c>
      <x:c r="D12" s="58" t="n">
        <x:v>2019</x:v>
      </x:c>
      <x:c r="E12" s="46" t="str">
        <x:v>Oncorhynchus keta</x:v>
      </x:c>
      <x:c r="F12" s="46" t="str">
        <x:v>Chum salmon</x:v>
      </x:c>
      <x:c r="G12" s="46" t="str">
        <x:v>Large benthopelagics (&gt;=90 cm)</x:v>
      </x:c>
      <x:c r="H12" s="46" t="str">
        <x:v>Salmon, smelts, etc</x:v>
      </x:c>
      <x:c r="I12" s="60" t="n">
        <x:v>20035.4481953834</x:v>
      </x:c>
      <x:c r="J12" s="60" t="n">
        <x:v>20035.4481953834</x:v>
      </x:c>
      <x:c r="K12" s="60" t="n">
        <x:v>0</x:v>
      </x:c>
      <x:c r="L12" s="60" t="n">
        <x:v>6784.3031368436</x:v>
      </x:c>
      <x:c r="M12" s="60" t="n">
        <x:v>13251.145058539802</x:v>
      </x:c>
      <x:c r="N12" s="46" t="str">
        <x:v>oncorhynchus keta</x:v>
      </x:c>
      <x:c r="O12" s="62" t="n">
        <x:v>3.74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Oncorhynchus keta</x:v>
      </x:c>
      <x:c r="T12" s="62" t="n">
        <x:f>IF(O12="","",(1/'Metadata'!$B$5)^(O12-1))</x:f>
        <x:v>3671.3195599248957</x:v>
      </x:c>
      <x:c r="U12" s="60" t="n">
        <x:f>IF(T12="","",I12*T12)</x:f>
        <x:v>73556532.85157304</x:v>
      </x:c>
    </x:row>
    <x:row r="13" ht="18" customHeight="1">
      <x:c r="A13" s="46" t="str">
        <x:v>LME_051</x:v>
      </x:c>
      <x:c r="B13" s="46" t="str">
        <x:v>Oyashio Current</x:v>
      </x:c>
      <x:c r="C13" s="46" t="str">
        <x:v>LME</x:v>
      </x:c>
      <x:c r="D13" s="58" t="n">
        <x:v>2019</x:v>
      </x:c>
      <x:c r="E13" s="46" t="str">
        <x:v>Pleuronectiformes</x:v>
      </x:c>
      <x:c r="F13" s="46" t="str">
        <x:v>Flatfishes</x:v>
      </x:c>
      <x:c r="G13" s="46" t="str">
        <x:v>Small to medium flatfishes (&lt;90 cm)</x:v>
      </x:c>
      <x:c r="H13" s="46" t="str">
        <x:v>Flatfishes</x:v>
      </x:c>
      <x:c r="I13" s="60" t="n">
        <x:v>20016.3569628796</x:v>
      </x:c>
      <x:c r="J13" s="60" t="n">
        <x:v>18400.7798836059</x:v>
      </x:c>
      <x:c r="K13" s="60" t="n">
        <x:v>1615.5770792737</x:v>
      </x:c>
      <x:c r="L13" s="60" t="n">
        <x:v>14367.7077759498</x:v>
      </x:c>
      <x:c r="M13" s="60" t="n">
        <x:v>5648.6491869298</x:v>
      </x:c>
      <x:c r="N13" s="46" t="str">
        <x:v>pleuronectiformes</x:v>
      </x:c>
      <x:c r="O13" s="62" t="n">
        <x:v>3.57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Pleuronectiformes</x:v>
      </x:c>
      <x:c r="T13" s="62" t="n">
        <x:f>IF(O13="","",(1/'Metadata'!$B$5)^(O13-1))</x:f>
        <x:v>2206.2112196552644</x:v>
      </x:c>
      <x:c r="U13" s="60" t="n">
        <x:f>IF(T13="","",I13*T13)</x:f>
        <x:v>44160311.30812974</x:v>
      </x:c>
    </x:row>
    <x:row r="14" ht="18" customHeight="1">
      <x:c r="A14" s="46" t="str">
        <x:v>LME_051</x:v>
      </x:c>
      <x:c r="B14" s="46" t="str">
        <x:v>Oyashio Current</x:v>
      </x:c>
      <x:c r="C14" s="46" t="str">
        <x:v>LME</x:v>
      </x:c>
      <x:c r="D14" s="58" t="n">
        <x:v>2019</x:v>
      </x:c>
      <x:c r="E14" s="46" t="str">
        <x:v>Scomber</x:v>
      </x:c>
      <x:c r="F14" s="46" t="str">
        <x:v>Chub mackerels</x:v>
      </x:c>
      <x:c r="G14" s="46" t="str">
        <x:v>Medium pelagics (30 - 89 cm)</x:v>
      </x:c>
      <x:c r="H14" s="46" t="str">
        <x:v>Perch-likes</x:v>
      </x:c>
      <x:c r="I14" s="60" t="n">
        <x:v>18577.1388684962</x:v>
      </x:c>
      <x:c r="J14" s="60" t="n">
        <x:v>18079.7141353549</x:v>
      </x:c>
      <x:c r="K14" s="60" t="n">
        <x:v>497.4247331413</x:v>
      </x:c>
      <x:c r="L14" s="60" t="n">
        <x:v>17509.6241421722</x:v>
      </x:c>
      <x:c r="M14" s="60" t="n">
        <x:v>1067.514726324</x:v>
      </x:c>
      <x:c r="N14" s="46" t="str">
        <x:v>scomber</x:v>
      </x:c>
      <x:c r="O14" s="62" t="n">
        <x:v>3.65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Scomber</x:v>
      </x:c>
      <x:c r="T14" s="62" t="n">
        <x:f>IF(O14="","",(1/'Metadata'!$B$5)^(O14-1))</x:f>
        <x:v>2803.6867455443476</x:v>
      </x:c>
      <x:c r="U14" s="60" t="n">
        <x:f>IF(T14="","",I14*T14)</x:f>
        <x:v>52084478.015739515</x:v>
      </x:c>
    </x:row>
    <x:row r="15" ht="18" customHeight="1">
      <x:c r="A15" s="46" t="str">
        <x:v>LME_051</x:v>
      </x:c>
      <x:c r="B15" s="46" t="str">
        <x:v>Oyashio Current</x:v>
      </x:c>
      <x:c r="C15" s="46" t="str">
        <x:v>LME</x:v>
      </x:c>
      <x:c r="D15" s="58" t="n">
        <x:v>2019</x:v>
      </x:c>
      <x:c r="E15" s="46" t="str">
        <x:v>Gadus macrocephalus</x:v>
      </x:c>
      <x:c r="F15" s="46" t="str">
        <x:v>Pacific cod</x:v>
      </x:c>
      <x:c r="G15" s="46" t="str">
        <x:v>Large demersals (&gt;=90 cm)</x:v>
      </x:c>
      <x:c r="H15" s="46" t="str">
        <x:v>Cod-likes</x:v>
      </x:c>
      <x:c r="I15" s="60" t="n">
        <x:v>18332.914668358</x:v>
      </x:c>
      <x:c r="J15" s="60" t="n">
        <x:v>14874.0185049812</x:v>
      </x:c>
      <x:c r="K15" s="60" t="n">
        <x:v>3458.8961633768</x:v>
      </x:c>
      <x:c r="L15" s="60" t="n">
        <x:v>12821.680470375</x:v>
      </x:c>
      <x:c r="M15" s="60" t="n">
        <x:v>5511.234197983</x:v>
      </x:c>
      <x:c r="N15" s="46" t="str">
        <x:v>gadus macrocephalus</x:v>
      </x:c>
      <x:c r="O15" s="62" t="n">
        <x:v>4.16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Gadus macrocephalus</x:v>
      </x:c>
      <x:c r="T15" s="62" t="n">
        <x:f>IF(O15="","",(1/'Metadata'!$B$5)^(O15-1))</x:f>
        <x:v>12919.77011769987</x:v>
      </x:c>
      <x:c r="U15" s="60" t="n">
        <x:f>IF(T15="","",I15*T15)</x:f>
        <x:v>236857043.10259333</x:v>
      </x:c>
    </x:row>
    <x:row r="16" ht="18" customHeight="1">
      <x:c r="A16" s="46" t="str">
        <x:v>LME_051</x:v>
      </x:c>
      <x:c r="B16" s="46" t="str">
        <x:v>Oyashio Current</x:v>
      </x:c>
      <x:c r="C16" s="46" t="str">
        <x:v>LME</x:v>
      </x:c>
      <x:c r="D16" s="58" t="n">
        <x:v>2019</x:v>
      </x:c>
      <x:c r="E16" s="46" t="str">
        <x:v>Oncorhynchus</x:v>
      </x:c>
      <x:c r="F16" s="46" t="str">
        <x:v>Salmons, trouts</x:v>
      </x:c>
      <x:c r="G16" s="46" t="str">
        <x:v>Large benthopelagics (&gt;=90 cm)</x:v>
      </x:c>
      <x:c r="H16" s="46" t="str">
        <x:v>Salmon, smelts, etc</x:v>
      </x:c>
      <x:c r="I16" s="60" t="n">
        <x:v>16102.470178314301</x:v>
      </x:c>
      <x:c r="J16" s="60" t="n">
        <x:v>12206.932514077402</x:v>
      </x:c>
      <x:c r="K16" s="60" t="n">
        <x:v>3895.5376642369</x:v>
      </x:c>
      <x:c r="L16" s="60" t="n">
        <x:v>9190.2425336405</x:v>
      </x:c>
      <x:c r="M16" s="60" t="n">
        <x:v>6912.227644673801</x:v>
      </x:c>
      <x:c r="N16" s="46" t="str">
        <x:v>oncorhynchus</x:v>
      </x:c>
      <x:c r="O16" s="62" t="n">
        <x:v>3.95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Oncorhynchus</x:v>
      </x:c>
      <x:c r="T16" s="62" t="n">
        <x:f>IF(O16="","",(1/'Metadata'!$B$5)^(O16-1))</x:f>
        <x:v>6887.133274653882</x:v>
      </x:c>
      <x:c r="U16" s="60" t="n">
        <x:f>IF(T16="","",I16*T16)</x:f>
        <x:v>110899858.16919024</x:v>
      </x:c>
    </x:row>
    <x:row r="17" ht="18" customHeight="1">
      <x:c r="A17" s="46" t="str">
        <x:v>LME_051</x:v>
      </x:c>
      <x:c r="B17" s="46" t="str">
        <x:v>Oyashio Current</x:v>
      </x:c>
      <x:c r="C17" s="46" t="str">
        <x:v>LME</x:v>
      </x:c>
      <x:c r="D17" s="58" t="n">
        <x:v>2019</x:v>
      </x:c>
      <x:c r="E17" s="46" t="str">
        <x:v>Paralithodes platypus</x:v>
      </x:c>
      <x:c r="F17" s="46" t="str">
        <x:v>Blue king crab</x:v>
      </x:c>
      <x:c r="G17" s="46" t="str">
        <x:v>Lobsters, crabs</x:v>
      </x:c>
      <x:c r="H17" s="46" t="str">
        <x:v>Crustaceans</x:v>
      </x:c>
      <x:c r="I17" s="60" t="n">
        <x:v>13755.903094793699</x:v>
      </x:c>
      <x:c r="J17" s="60" t="n">
        <x:v>13755.903094793699</x:v>
      </x:c>
      <x:c r="K17" s="60" t="n">
        <x:v>0</x:v>
      </x:c>
      <x:c r="L17" s="60" t="n">
        <x:v>6829.3952015786</x:v>
      </x:c>
      <x:c r="M17" s="60" t="n">
        <x:v>6926.5078932151</x:v>
      </x:c>
      <x:c r="N17" s="46" t="str">
        <x:v>paralithodes platypus</x:v>
      </x:c>
      <x:c r="O17" s="62" t="n">
        <x:v>3.79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Paralithodes platypus</x:v>
      </x:c>
      <x:c r="T17" s="62" t="n">
        <x:f>IF(O17="","",(1/'Metadata'!$B$5)^(O17-1))</x:f>
        <x:v>4264.554685980751</x:v>
      </x:c>
      <x:c r="U17" s="60" t="n">
        <x:f>IF(T17="","",I17*T17)</x:f>
        <x:v>58662801.002799585</x:v>
      </x:c>
    </x:row>
    <x:row r="18" ht="18" customHeight="1">
      <x:c r="A18" s="46" t="str">
        <x:v>LME_051</x:v>
      </x:c>
      <x:c r="B18" s="46" t="str">
        <x:v>Oyashio Current</x:v>
      </x:c>
      <x:c r="C18" s="46" t="str">
        <x:v>LME</x:v>
      </x:c>
      <x:c r="D18" s="58" t="n">
        <x:v>2019</x:v>
      </x:c>
      <x:c r="E18" s="46" t="str">
        <x:v>Marine pelagic fishes not identified</x:v>
      </x:c>
      <x:c r="F18" s="46" t="str">
        <x:v>Pelagic fishes</x:v>
      </x:c>
      <x:c r="G18" s="46" t="str">
        <x:v>Medium pelagics (30 - 89 cm)</x:v>
      </x:c>
      <x:c r="H18" s="46" t="str">
        <x:v>Other fishes &amp; inverts</x:v>
      </x:c>
      <x:c r="I18" s="60" t="n">
        <x:v>12502.0685401118</x:v>
      </x:c>
      <x:c r="J18" s="60" t="n">
        <x:v>12275.338948407</x:v>
      </x:c>
      <x:c r="K18" s="60" t="n">
        <x:v>226.72959170480001</x:v>
      </x:c>
      <x:c r="L18" s="60" t="n">
        <x:v>12275.338948407</x:v>
      </x:c>
      <x:c r="M18" s="60" t="n">
        <x:v>226.72959170480001</x:v>
      </x:c>
      <x:c r="N18" s="46" t="str">
        <x:v>marine pelagic fishes not identified</x:v>
      </x:c>
      <x:c r="O18" s="62" t="n">
        <x:v>3.35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Marine pelagic fishes not identified</x:v>
      </x:c>
      <x:c r="T18" s="62" t="n">
        <x:f>IF(O18="","",(1/'Metadata'!$B$5)^(O18-1))</x:f>
        <x:v>1141.3543275066227</x:v>
      </x:c>
      <x:c r="U18" s="60" t="n">
        <x:f>IF(T18="","",I18*T18)</x:f>
        <x:v>14269290.031041007</x:v>
      </x:c>
    </x:row>
    <x:row r="19" ht="18" customHeight="1">
      <x:c r="A19" s="46" t="str">
        <x:v>LME_051</x:v>
      </x:c>
      <x:c r="B19" s="46" t="str">
        <x:v>Oyashio Current</x:v>
      </x:c>
      <x:c r="C19" s="46" t="str">
        <x:v>LME</x:v>
      </x:c>
      <x:c r="D19" s="58" t="n">
        <x:v>2019</x:v>
      </x:c>
      <x:c r="E19" s="46" t="str">
        <x:v>Engraulis japonicus</x:v>
      </x:c>
      <x:c r="F19" s="46" t="str">
        <x:v>Japanese anchovy</x:v>
      </x:c>
      <x:c r="G19" s="46" t="str">
        <x:v>Small pelagics (&lt;30 cm)</x:v>
      </x:c>
      <x:c r="H19" s="46" t="str">
        <x:v>Anchovies</x:v>
      </x:c>
      <x:c r="I19" s="60" t="n">
        <x:v>12229.50159158</x:v>
      </x:c>
      <x:c r="J19" s="60" t="n">
        <x:v>11457.0315298847</x:v>
      </x:c>
      <x:c r="K19" s="60" t="n">
        <x:v>772.4700616953</x:v>
      </x:c>
      <x:c r="L19" s="60" t="n">
        <x:v>11457.0315298847</x:v>
      </x:c>
      <x:c r="M19" s="60" t="n">
        <x:v>772.4700616953</x:v>
      </x:c>
      <x:c r="N19" s="46" t="str">
        <x:v>engraulis japonicus</x:v>
      </x:c>
      <x:c r="O19" s="62" t="n">
        <x:v>3.14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Engraulis japonicus</x:v>
      </x:c>
      <x:c r="T19" s="62" t="n">
        <x:f>IF(O19="","",(1/'Metadata'!$B$5)^(O19-1))</x:f>
        <x:v>608.420993216597</x:v>
      </x:c>
      <x:c r="U19" s="60" t="n">
        <x:f>IF(T19="","",I19*T19)</x:f>
        <x:v>7440685.504893057</x:v>
      </x:c>
    </x:row>
    <x:row r="20" ht="18" customHeight="1">
      <x:c r="A20" s="46" t="str">
        <x:v>LME_051</x:v>
      </x:c>
      <x:c r="B20" s="46" t="str">
        <x:v>Oyashio Current</x:v>
      </x:c>
      <x:c r="C20" s="46" t="str">
        <x:v>LME</x:v>
      </x:c>
      <x:c r="D20" s="58" t="n">
        <x:v>2019</x:v>
      </x:c>
      <x:c r="E20" s="46" t="str">
        <x:v>Miscellaneous marine crustaceans</x:v>
      </x:c>
      <x:c r="F20" s="46" t="str">
        <x:v>Marine crabs, shrimps, lobsters nei</x:v>
      </x:c>
      <x:c r="G20" s="46" t="str">
        <x:v>Shrimps</x:v>
      </x:c>
      <x:c r="H20" s="46" t="str">
        <x:v>Crustaceans</x:v>
      </x:c>
      <x:c r="I20" s="60" t="n">
        <x:v>11886.6806750375</x:v>
      </x:c>
      <x:c r="J20" s="60" t="n">
        <x:v>11886.6806750375</x:v>
      </x:c>
      <x:c r="K20" s="60" t="n">
        <x:v>0</x:v>
      </x:c>
      <x:c r="L20" s="60" t="n">
        <x:v>11490.854792960601</x:v>
      </x:c>
      <x:c r="M20" s="60" t="n">
        <x:v>395.8258820769</x:v>
      </x:c>
      <x:c r="N20" s="46" t="str">
        <x:v>miscellaneous marine crustaceans</x:v>
      </x:c>
      <x:c r="O20" s="62" t="n">
        <x:v>2.7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Miscellaneous marine crustaceans</x:v>
      </x:c>
      <x:c r="T20" s="62" t="n">
        <x:f>IF(O20="","",(1/'Metadata'!$B$5)^(O20-1))</x:f>
        <x:v>162.83621261476185</x:v>
      </x:c>
      <x:c r="U20" s="60" t="n">
        <x:f>IF(T20="","",I20*T20)</x:f>
        <x:v>1935582.0616841873</x:v>
      </x:c>
    </x:row>
    <x:row r="21" ht="18" customHeight="1">
      <x:c r="A21" s="46" t="str">
        <x:v>LME_051</x:v>
      </x:c>
      <x:c r="B21" s="46" t="str">
        <x:v>Oyashio Current</x:v>
      </x:c>
      <x:c r="C21" s="46" t="str">
        <x:v>LME</x:v>
      </x:c>
      <x:c r="D21" s="58" t="n">
        <x:v>2019</x:v>
      </x:c>
      <x:c r="E21" s="46" t="str">
        <x:v>Pleurogrammus azonus</x:v>
      </x:c>
      <x:c r="F21" s="46" t="str">
        <x:v>Okhotsk atka mackerel</x:v>
      </x:c>
      <x:c r="G21" s="46" t="str">
        <x:v>Medium demersals (30 - 89 cm)</x:v>
      </x:c>
      <x:c r="H21" s="46" t="str">
        <x:v>Scorpionfishes</x:v>
      </x:c>
      <x:c r="I21" s="60" t="n">
        <x:v>10604.143182011501</x:v>
      </x:c>
      <x:c r="J21" s="60" t="n">
        <x:v>7575.8270602862</x:v>
      </x:c>
      <x:c r="K21" s="60" t="n">
        <x:v>3028.3161217253</x:v>
      </x:c>
      <x:c r="L21" s="60" t="n">
        <x:v>7575.8270602862</x:v>
      </x:c>
      <x:c r="M21" s="60" t="n">
        <x:v>3028.3161217253</x:v>
      </x:c>
      <x:c r="N21" s="46" t="str">
        <x:v>pleurogrammus azonus</x:v>
      </x:c>
      <x:c r="O21" s="62" t="n">
        <x:v>3.6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Pleurogrammus azonus</x:v>
      </x:c>
      <x:c r="T21" s="62" t="n">
        <x:f>IF(O21="","",(1/'Metadata'!$B$5)^(O21-1))</x:f>
        <x:v>2413.670534618066</x:v>
      </x:c>
      <x:c r="U21" s="60" t="n">
        <x:f>IF(T21="","",I21*T21)</x:f>
        <x:v>25594907.94329222</x:v>
      </x:c>
    </x:row>
    <x:row r="22" ht="18" customHeight="1">
      <x:c r="A22" s="46" t="str">
        <x:v>LME_051</x:v>
      </x:c>
      <x:c r="B22" s="46" t="str">
        <x:v>Oyashio Current</x:v>
      </x:c>
      <x:c r="C22" s="46" t="str">
        <x:v>LME</x:v>
      </x:c>
      <x:c r="D22" s="58" t="n">
        <x:v>2019</x:v>
      </x:c>
      <x:c r="E22" s="46" t="str">
        <x:v>Lutjanidae</x:v>
      </x:c>
      <x:c r="F22" s="46" t="str">
        <x:v>Snappers</x:v>
      </x:c>
      <x:c r="G22" s="46" t="str">
        <x:v>Medium reef assoc. fish (30 - 89 cm)</x:v>
      </x:c>
      <x:c r="H22" s="46" t="str">
        <x:v>Perch-likes</x:v>
      </x:c>
      <x:c r="I22" s="60" t="n">
        <x:v>7036.2081245466</x:v>
      </x:c>
      <x:c r="J22" s="60" t="n">
        <x:v>0.1438245115</x:v>
      </x:c>
      <x:c r="K22" s="60" t="n">
        <x:v>7036.0643000351</x:v>
      </x:c>
      <x:c r="L22" s="60" t="n">
        <x:v>0.0629745525</x:v>
      </x:c>
      <x:c r="M22" s="60" t="n">
        <x:v>7036.1451499941</x:v>
      </x:c>
      <x:c r="N22" s="46" t="str">
        <x:v>lutjanidae</x:v>
      </x:c>
      <x:c r="O22" s="62" t="n">
        <x:v>4.02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Lutjanidae</x:v>
      </x:c>
      <x:c r="T22" s="62" t="n">
        <x:f>IF(O22="","",(1/'Metadata'!$B$5)^(O22-1))</x:f>
        <x:v>8493.967342839818</x:v>
      </x:c>
      <x:c r="U22" s="60" t="n">
        <x:f>IF(T22="","",I22*T22)</x:f>
        <x:v>59765322.02732302</x:v>
      </x:c>
    </x:row>
    <x:row r="23" ht="18" customHeight="1">
      <x:c r="A23" s="46" t="str">
        <x:v>LME_051</x:v>
      </x:c>
      <x:c r="B23" s="46" t="str">
        <x:v>Oyashio Current</x:v>
      </x:c>
      <x:c r="C23" s="46" t="str">
        <x:v>LME</x:v>
      </x:c>
      <x:c r="D23" s="58" t="n">
        <x:v>2019</x:v>
      </x:c>
      <x:c r="E23" s="46" t="str">
        <x:v>Pleuronectidae</x:v>
      </x:c>
      <x:c r="F23" s="46" t="str">
        <x:v>Righteye flounders</x:v>
      </x:c>
      <x:c r="G23" s="46" t="str">
        <x:v>Small to medium flatfishes (&lt;90 cm)</x:v>
      </x:c>
      <x:c r="H23" s="46" t="str">
        <x:v>Flatfishes</x:v>
      </x:c>
      <x:c r="I23" s="60" t="n">
        <x:v>7035.6453254993</x:v>
      </x:c>
      <x:c r="J23" s="60" t="n">
        <x:v>5187.3367622113</x:v>
      </x:c>
      <x:c r="K23" s="60" t="n">
        <x:v>1848.3085632880002</x:v>
      </x:c>
      <x:c r="L23" s="60" t="n">
        <x:v>4228.782406819701</x:v>
      </x:c>
      <x:c r="M23" s="60" t="n">
        <x:v>2806.8629186796</x:v>
      </x:c>
      <x:c r="N23" s="46" t="str">
        <x:v>pleuronectidae</x:v>
      </x:c>
      <x:c r="O23" s="62" t="n">
        <x:v>3.49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Pleuronectidae</x:v>
      </x:c>
      <x:c r="T23" s="62" t="n">
        <x:f>IF(O23="","",(1/'Metadata'!$B$5)^(O23-1))</x:f>
        <x:v>1736.059833884101</x:v>
      </x:c>
      <x:c r="U23" s="60" t="n">
        <x:f>IF(T23="","",I23*T23)</x:f>
        <x:v>12214301.255053766</x:v>
      </x:c>
    </x:row>
    <x:row r="24" ht="18" customHeight="1">
      <x:c r="A24" s="46" t="str">
        <x:v>LME_051</x:v>
      </x:c>
      <x:c r="B24" s="46" t="str">
        <x:v>Oyashio Current</x:v>
      </x:c>
      <x:c r="C24" s="46" t="str">
        <x:v>LME</x:v>
      </x:c>
      <x:c r="D24" s="58" t="n">
        <x:v>2019</x:v>
      </x:c>
      <x:c r="E24" s="46" t="str">
        <x:v>Todarodes pacificus</x:v>
      </x:c>
      <x:c r="F24" s="46" t="str">
        <x:v>Japanese flying squid</x:v>
      </x:c>
      <x:c r="G24" s="46" t="str">
        <x:v>Cephalopods</x:v>
      </x:c>
      <x:c r="H24" s="46" t="str">
        <x:v>Other fishes &amp; inverts</x:v>
      </x:c>
      <x:c r="I24" s="60" t="n">
        <x:v>6839.5006556272</x:v>
      </x:c>
      <x:c r="J24" s="60" t="n">
        <x:v>6156.9164790306</x:v>
      </x:c>
      <x:c r="K24" s="60" t="n">
        <x:v>682.5841765966</x:v>
      </x:c>
      <x:c r="L24" s="60" t="n">
        <x:v>5554.4286545232</x:v>
      </x:c>
      <x:c r="M24" s="60" t="n">
        <x:v>1285.072001104</x:v>
      </x:c>
      <x:c r="N24" s="46" t="str">
        <x:v>todarodes pacificus</x:v>
      </x:c>
      <x:c r="O24" s="62" t="n">
        <x:v>4.28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Todarodes pacificus</x:v>
      </x:c>
      <x:c r="T24" s="62" t="n">
        <x:f>IF(O24="","",(1/'Metadata'!$B$5)^(O24-1))</x:f>
        <x:v>18508.805249333516</x:v>
      </x:c>
      <x:c r="U24" s="60" t="n">
        <x:f>IF(T24="","",I24*T24)</x:f>
        <x:v>126590985.63769275</x:v>
      </x:c>
    </x:row>
    <x:row r="25" ht="18" customHeight="1">
      <x:c r="A25" s="46" t="str">
        <x:v>LME_051</x:v>
      </x:c>
      <x:c r="B25" s="46" t="str">
        <x:v>Oyashio Current</x:v>
      </x:c>
      <x:c r="C25" s="46" t="str">
        <x:v>LME</x:v>
      </x:c>
      <x:c r="D25" s="58" t="n">
        <x:v>2019</x:v>
      </x:c>
      <x:c r="E25" s="46" t="str">
        <x:v>Decapoda</x:v>
      </x:c>
      <x:c r="F25" s="46" t="str">
        <x:v>Crabs, lobsters, shrimps</x:v>
      </x:c>
      <x:c r="G25" s="46" t="str">
        <x:v>Lobsters, crabs</x:v>
      </x:c>
      <x:c r="H25" s="46" t="str">
        <x:v>Crustaceans</x:v>
      </x:c>
      <x:c r="I25" s="60" t="n">
        <x:v>5439.1602891395005</x:v>
      </x:c>
      <x:c r="J25" s="60" t="n">
        <x:v>5074.6971605057</x:v>
      </x:c>
      <x:c r="K25" s="60" t="n">
        <x:v>364.4631286338</x:v>
      </x:c>
      <x:c r="L25" s="60" t="n">
        <x:v>4967.8304481688</x:v>
      </x:c>
      <x:c r="M25" s="60" t="n">
        <x:v>471.3298409707</x:v>
      </x:c>
      <x:c r="N25" s="46" t="str">
        <x:v>decapoda</x:v>
      </x:c>
      <x:c r="O25" s="62" t="n">
        <x:v>3.43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Decapoda</x:v>
      </x:c>
      <x:c r="T25" s="62" t="n">
        <x:f>IF(O25="","",(1/'Metadata'!$B$5)^(O25-1))</x:f>
        <x:v>1450.450424461182</x:v>
      </x:c>
      <x:c r="U25" s="60" t="n">
        <x:f>IF(T25="","",I25*T25)</x:f>
        <x:v>7889232.350094793</x:v>
      </x:c>
    </x:row>
    <x:row r="26" ht="18" customHeight="1">
      <x:c r="A26" s="46" t="str">
        <x:v>LME_051</x:v>
      </x:c>
      <x:c r="B26" s="46" t="str">
        <x:v>Oyashio Current</x:v>
      </x:c>
      <x:c r="C26" s="46" t="str">
        <x:v>LME</x:v>
      </x:c>
      <x:c r="D26" s="58" t="n">
        <x:v>2019</x:v>
      </x:c>
      <x:c r="E26" s="46" t="str">
        <x:v>Seriola</x:v>
      </x:c>
      <x:c r="F26" s="46" t="str">
        <x:v>Amberjacks</x:v>
      </x:c>
      <x:c r="G26" s="46" t="str">
        <x:v>Large benthopelagics (&gt;=90 cm)</x:v>
      </x:c>
      <x:c r="H26" s="46" t="str">
        <x:v>Perch-likes</x:v>
      </x:c>
      <x:c r="I26" s="60" t="n">
        <x:v>5353.7441194223</x:v>
      </x:c>
      <x:c r="J26" s="60" t="n">
        <x:v>5130.3042843385</x:v>
      </x:c>
      <x:c r="K26" s="60" t="n">
        <x:v>223.4398350838</x:v>
      </x:c>
      <x:c r="L26" s="60" t="n">
        <x:v>4837.699210214099</x:v>
      </x:c>
      <x:c r="M26" s="60" t="n">
        <x:v>516.0449092082</x:v>
      </x:c>
      <x:c r="N26" s="46" t="str">
        <x:v>seriola</x:v>
      </x:c>
      <x:c r="O26" s="62" t="n">
        <x:v>4.39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Seriola</x:v>
      </x:c>
      <x:c r="T26" s="62" t="n">
        <x:f>IF(O26="","",(1/'Metadata'!$B$5)^(O26-1))</x:f>
        <x:v>25733.07497204781</x:v>
      </x:c>
      <x:c r="U26" s="60" t="n">
        <x:f>IF(T26="","",I26*T26)</x:f>
        <x:v>137768298.80625412</x:v>
      </x:c>
    </x:row>
    <x:row r="27" ht="18" customHeight="1">
      <x:c r="A27" s="46" t="str">
        <x:v>LME_051</x:v>
      </x:c>
      <x:c r="B27" s="46" t="str">
        <x:v>Oyashio Current</x:v>
      </x:c>
      <x:c r="C27" s="46" t="str">
        <x:v>LME</x:v>
      </x:c>
      <x:c r="D27" s="58" t="n">
        <x:v>2019</x:v>
      </x:c>
      <x:c r="E27" s="46" t="str">
        <x:v>Pleurogrammus monopterygius</x:v>
      </x:c>
      <x:c r="F27" s="46" t="str">
        <x:v>Atka mackerel</x:v>
      </x:c>
      <x:c r="G27" s="46" t="str">
        <x:v>Medium demersals (30 - 89 cm)</x:v>
      </x:c>
      <x:c r="H27" s="46" t="str">
        <x:v>Scorpionfishes</x:v>
      </x:c>
      <x:c r="I27" s="60" t="n">
        <x:v>4929.885724933801</x:v>
      </x:c>
      <x:c r="J27" s="60" t="n">
        <x:v>3925.6694301141</x:v>
      </x:c>
      <x:c r="K27" s="60" t="n">
        <x:v>1004.2162948197</x:v>
      </x:c>
      <x:c r="L27" s="60" t="n">
        <x:v>2945.9029565466003</x:v>
      </x:c>
      <x:c r="M27" s="60" t="n">
        <x:v>1983.9827683872</x:v>
      </x:c>
      <x:c r="N27" s="46" t="str">
        <x:v>pleurogrammus monopterygius</x:v>
      </x:c>
      <x:c r="O27" s="62" t="n">
        <x:v>3.38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Pleurogrammus monopterygius</x:v>
      </x:c>
      <x:c r="T27" s="62" t="n">
        <x:f>IF(O27="","",(1/'Metadata'!$B$5)^(O27-1))</x:f>
        <x:v>1248.6806726928048</x:v>
      </x:c>
      <x:c r="U27" s="60" t="n">
        <x:f>IF(T27="","",I27*T27)</x:f>
        <x:v>6155853.023308994</x:v>
      </x:c>
    </x:row>
    <x:row r="28" ht="18" customHeight="1">
      <x:c r="A28" s="46" t="str">
        <x:v>LME_051</x:v>
      </x:c>
      <x:c r="B28" s="46" t="str">
        <x:v>Oyashio Current</x:v>
      </x:c>
      <x:c r="C28" s="46" t="str">
        <x:v>LME</x:v>
      </x:c>
      <x:c r="D28" s="58" t="n">
        <x:v>2019</x:v>
      </x:c>
      <x:c r="E28" s="46" t="str">
        <x:v>Oncorhynchus kisutch</x:v>
      </x:c>
      <x:c r="F28" s="46" t="str">
        <x:v>Coho salmon</x:v>
      </x:c>
      <x:c r="G28" s="46" t="str">
        <x:v>Large demersals (&gt;=90 cm)</x:v>
      </x:c>
      <x:c r="H28" s="46" t="str">
        <x:v>Salmon, smelts, etc</x:v>
      </x:c>
      <x:c r="I28" s="60" t="n">
        <x:v>4514.6395906316</x:v>
      </x:c>
      <x:c r="J28" s="60" t="n">
        <x:v>4514.6395906316</x:v>
      </x:c>
      <x:c r="K28" s="60" t="n">
        <x:v>0</x:v>
      </x:c>
      <x:c r="L28" s="60" t="n">
        <x:v>794.6297408026</x:v>
      </x:c>
      <x:c r="M28" s="60" t="n">
        <x:v>3720.0098498290004</x:v>
      </x:c>
      <x:c r="N28" s="46" t="str">
        <x:v>oncorhynchus kisutch</x:v>
      </x:c>
      <x:c r="O28" s="62" t="n">
        <x:v>4.22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Oncorhynchus kisutch</x:v>
      </x:c>
      <x:c r="T28" s="62" t="n">
        <x:f>IF(O28="","",(1/'Metadata'!$B$5)^(O28-1))</x:f>
        <x:v>15463.812886046735</x:v>
      </x:c>
      <x:c r="U28" s="60" t="n">
        <x:f>IF(T28="","",I28*T28)</x:f>
        <x:v>69813541.8774657</x:v>
      </x:c>
    </x:row>
    <x:row r="29" ht="18" customHeight="1">
      <x:c r="A29" s="46" t="str">
        <x:v>LME_051</x:v>
      </x:c>
      <x:c r="B29" s="46" t="str">
        <x:v>Oyashio Current</x:v>
      </x:c>
      <x:c r="C29" s="46" t="str">
        <x:v>LME</x:v>
      </x:c>
      <x:c r="D29" s="58" t="n">
        <x:v>2019</x:v>
      </x:c>
      <x:c r="E29" s="46" t="str">
        <x:v>Trachurus japonicus</x:v>
      </x:c>
      <x:c r="F29" s="46" t="str">
        <x:v>Japanese jack mackerel</x:v>
      </x:c>
      <x:c r="G29" s="46" t="str">
        <x:v>Medium demersals (30 - 89 cm)</x:v>
      </x:c>
      <x:c r="H29" s="46" t="str">
        <x:v>Perch-likes</x:v>
      </x:c>
      <x:c r="I29" s="60" t="n">
        <x:v>4504.009343488</x:v>
      </x:c>
      <x:c r="J29" s="60" t="n">
        <x:v>4334.2533699031</x:v>
      </x:c>
      <x:c r="K29" s="60" t="n">
        <x:v>169.7559735849</x:v>
      </x:c>
      <x:c r="L29" s="60" t="n">
        <x:v>4070.8946952991</x:v>
      </x:c>
      <x:c r="M29" s="60" t="n">
        <x:v>433.1146481889</x:v>
      </x:c>
      <x:c r="N29" s="46" t="str">
        <x:v>trachurus japonicus</x:v>
      </x:c>
      <x:c r="O29" s="62" t="n">
        <x:v>3.4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Trachurus japonicus</x:v>
      </x:c>
      <x:c r="T29" s="62" t="n">
        <x:f>IF(O29="","",(1/'Metadata'!$B$5)^(O29-1))</x:f>
        <x:v>1325.7816069359944</x:v>
      </x:c>
      <x:c r="U29" s="60" t="n">
        <x:f>IF(T29="","",I29*T29)</x:f>
        <x:v>5971332.745064254</x:v>
      </x:c>
    </x:row>
    <x:row r="30" ht="18" customHeight="1">
      <x:c r="A30" s="46" t="str">
        <x:v>LME_051</x:v>
      </x:c>
      <x:c r="B30" s="46" t="str">
        <x:v>Oyashio Current</x:v>
      </x:c>
      <x:c r="C30" s="46" t="str">
        <x:v>LME</x:v>
      </x:c>
      <x:c r="D30" s="58" t="n">
        <x:v>2019</x:v>
      </x:c>
      <x:c r="E30" s="46" t="str">
        <x:v>Chionoecetes</x:v>
      </x:c>
      <x:c r="F30" s="46" t="str">
        <x:v>Tanner, snow crabs</x:v>
      </x:c>
      <x:c r="G30" s="46" t="str">
        <x:v>Lobsters, crabs</x:v>
      </x:c>
      <x:c r="H30" s="46" t="str">
        <x:v>Crustaceans</x:v>
      </x:c>
      <x:c r="I30" s="60" t="n">
        <x:v>4460.4309243621</x:v>
      </x:c>
      <x:c r="J30" s="60" t="n">
        <x:v>4460.4309243621</x:v>
      </x:c>
      <x:c r="K30" s="60" t="n">
        <x:v>0</x:v>
      </x:c>
      <x:c r="L30" s="60" t="n">
        <x:v>3162.3431247026997</x:v>
      </x:c>
      <x:c r="M30" s="60" t="n">
        <x:v>1298.0877996594</x:v>
      </x:c>
      <x:c r="N30" s="46" t="str">
        <x:v>chionoecetes</x:v>
      </x:c>
      <x:c r="O30" s="62" t="n">
        <x:v>2.3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Chionoecetes</x:v>
      </x:c>
      <x:c r="T30" s="62" t="n">
        <x:f>IF(O30="","",(1/'Metadata'!$B$5)^(O30-1))</x:f>
        <x:v>49.12912104463159</x:v>
      </x:c>
      <x:c r="U30" s="60" t="n">
        <x:f>IF(T30="","",I30*T30)</x:f>
        <x:v>219137.0507942036</x:v>
      </x:c>
    </x:row>
    <x:row r="31" ht="18" customHeight="1">
      <x:c r="A31" s="46" t="str">
        <x:v>LME_051</x:v>
      </x:c>
      <x:c r="B31" s="46" t="str">
        <x:v>Oyashio Current</x:v>
      </x:c>
      <x:c r="C31" s="46" t="str">
        <x:v>LME</x:v>
      </x:c>
      <x:c r="D31" s="58" t="n">
        <x:v>2019</x:v>
      </x:c>
      <x:c r="E31" s="46" t="str">
        <x:v>Trichiurus lepturus</x:v>
      </x:c>
      <x:c r="F31" s="46" t="str">
        <x:v>Largehead hairtail</x:v>
      </x:c>
      <x:c r="G31" s="46" t="str">
        <x:v>Large benthopelagics (&gt;=90 cm)</x:v>
      </x:c>
      <x:c r="H31" s="46" t="str">
        <x:v>Perch-likes</x:v>
      </x:c>
      <x:c r="I31" s="60" t="n">
        <x:v>4294.8232481178</x:v>
      </x:c>
      <x:c r="J31" s="60" t="n">
        <x:v>4276.3927422556</x:v>
      </x:c>
      <x:c r="K31" s="60" t="n">
        <x:v>18.4305058622</x:v>
      </x:c>
      <x:c r="L31" s="60" t="n">
        <x:v>4237.7888396521</x:v>
      </x:c>
      <x:c r="M31" s="60" t="n">
        <x:v>57.0344084657</x:v>
      </x:c>
      <x:c r="N31" s="46" t="str">
        <x:v>trichiurus lepturus</x:v>
      </x:c>
      <x:c r="O31" s="62" t="n">
        <x:v>4.42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Trichiurus lepturus</x:v>
      </x:c>
      <x:c r="T31" s="62" t="n">
        <x:f>IF(O31="","",(1/'Metadata'!$B$5)^(O31-1))</x:f>
        <x:v>28152.864182630117</x:v>
      </x:c>
      <x:c r="U31" s="60" t="n">
        <x:f>IF(T31="","",I31*T31)</x:f>
        <x:v>120911575.59266275</x:v>
      </x:c>
    </x:row>
    <x:row r="32" ht="18" customHeight="1">
      <x:c r="A32" s="46" t="str">
        <x:v>LME_051</x:v>
      </x:c>
      <x:c r="B32" s="46" t="str">
        <x:v>Oyashio Current</x:v>
      </x:c>
      <x:c r="C32" s="46" t="str">
        <x:v>LME</x:v>
      </x:c>
      <x:c r="D32" s="58" t="n">
        <x:v>2019</x:v>
      </x:c>
      <x:c r="E32" s="46" t="str">
        <x:v>Clupeidae</x:v>
      </x:c>
      <x:c r="F32" s="46" t="str">
        <x:v>Herrings, sardines, menhadens</x:v>
      </x:c>
      <x:c r="G32" s="46" t="str">
        <x:v>Small pelagics (&lt;30 cm)</x:v>
      </x:c>
      <x:c r="H32" s="46" t="str">
        <x:v>Herring-likes</x:v>
      </x:c>
      <x:c r="I32" s="60" t="n">
        <x:v>4279.3766628646</x:v>
      </x:c>
      <x:c r="J32" s="60" t="n">
        <x:v>3492.6685133523</x:v>
      </x:c>
      <x:c r="K32" s="60" t="n">
        <x:v>786.7081495123</x:v>
      </x:c>
      <x:c r="L32" s="60" t="n">
        <x:v>3492.6685133523</x:v>
      </x:c>
      <x:c r="M32" s="60" t="n">
        <x:v>786.7081495123</x:v>
      </x:c>
      <x:c r="N32" s="46" t="str">
        <x:v>clupeidae</x:v>
      </x:c>
      <x:c r="O32" s="62" t="n">
        <x:v>3.16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Clupeidae</x:v>
      </x:c>
      <x:c r="T32" s="62" t="n">
        <x:f>IF(O32="","",(1/'Metadata'!$B$5)^(O32-1))</x:f>
        <x:v>645.9885058849935</x:v>
      </x:c>
      <x:c r="U32" s="60" t="n">
        <x:f>IF(T32="","",I32*T32)</x:f>
        <x:v>2764428.1365630124</x:v>
      </x:c>
    </x:row>
    <x:row r="33" ht="18" customHeight="1">
      <x:c r="A33" s="46" t="str">
        <x:v>LME_051</x:v>
      </x:c>
      <x:c r="B33" s="46" t="str">
        <x:v>Oyashio Current</x:v>
      </x:c>
      <x:c r="C33" s="46" t="str">
        <x:v>LME</x:v>
      </x:c>
      <x:c r="D33" s="58" t="n">
        <x:v>2019</x:v>
      </x:c>
      <x:c r="E33" s="46" t="str">
        <x:v>Holothuroidea</x:v>
      </x:c>
      <x:c r="F33" s="46" t="str">
        <x:v>Sea cucumbers</x:v>
      </x:c>
      <x:c r="G33" s="46" t="str">
        <x:v>Other demersal invertebrates</x:v>
      </x:c>
      <x:c r="H33" s="46" t="str">
        <x:v>Other fishes &amp; inverts</x:v>
      </x:c>
      <x:c r="I33" s="60" t="n">
        <x:v>4167.4379915653</x:v>
      </x:c>
      <x:c r="J33" s="60" t="n">
        <x:v>4110.3175823406</x:v>
      </x:c>
      <x:c r="K33" s="60" t="n">
        <x:v>57.1204092247</x:v>
      </x:c>
      <x:c r="L33" s="60" t="n">
        <x:v>3432.9712958838</x:v>
      </x:c>
      <x:c r="M33" s="60" t="n">
        <x:v>734.4666956815</x:v>
      </x:c>
      <x:c r="N33" s="46" t="str">
        <x:v>holothuroidea</x:v>
      </x:c>
      <x:c r="O33" s="62" t="n">
        <x:v>2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Holothuroidea</x:v>
      </x:c>
      <x:c r="T33" s="62" t="n">
        <x:f>IF(O33="","",(1/'Metadata'!$B$5)^(O33-1))</x:f>
        <x:v>20</x:v>
      </x:c>
      <x:c r="U33" s="60" t="n">
        <x:f>IF(T33="","",I33*T33)</x:f>
        <x:v>83348.759831306</x:v>
      </x:c>
    </x:row>
    <x:row r="34" ht="18" customHeight="1">
      <x:c r="A34" s="46" t="str">
        <x:v>LME_051</x:v>
      </x:c>
      <x:c r="B34" s="46" t="str">
        <x:v>Oyashio Current</x:v>
      </x:c>
      <x:c r="C34" s="46" t="str">
        <x:v>LME</x:v>
      </x:c>
      <x:c r="D34" s="58" t="n">
        <x:v>2019</x:v>
      </x:c>
      <x:c r="E34" s="46" t="str">
        <x:v>Eleginus gracilis</x:v>
      </x:c>
      <x:c r="F34" s="46" t="str">
        <x:v>Saffron cod</x:v>
      </x:c>
      <x:c r="G34" s="46" t="str">
        <x:v>Medium demersals (30 - 89 cm)</x:v>
      </x:c>
      <x:c r="H34" s="46" t="str">
        <x:v>Cod-likes</x:v>
      </x:c>
      <x:c r="I34" s="60" t="n">
        <x:v>3886.7438131215</x:v>
      </x:c>
      <x:c r="J34" s="60" t="n">
        <x:v>3531.3496574544997</x:v>
      </x:c>
      <x:c r="K34" s="60" t="n">
        <x:v>355.394155667</x:v>
      </x:c>
      <x:c r="L34" s="60" t="n">
        <x:v>2692.6068103375997</x:v>
      </x:c>
      <x:c r="M34" s="60" t="n">
        <x:v>1194.1370027839</x:v>
      </x:c>
      <x:c r="N34" s="46" t="str">
        <x:v>eleginus gracilis</x:v>
      </x:c>
      <x:c r="O34" s="62" t="n">
        <x:v>4.1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Eleginus gracilis</x:v>
      </x:c>
      <x:c r="T34" s="62" t="n">
        <x:f>IF(O34="","",(1/'Metadata'!$B$5)^(O34-1))</x:f>
        <x:v>10794.262781388496</x:v>
      </x:c>
      <x:c r="U34" s="60" t="n">
        <x:f>IF(T34="","",I34*T34)</x:f>
        <x:v>41954534.08276941</x:v>
      </x:c>
    </x:row>
    <x:row r="35" ht="18" customHeight="1">
      <x:c r="A35" s="46" t="str">
        <x:v>LME_051</x:v>
      </x:c>
      <x:c r="B35" s="46" t="str">
        <x:v>Oyashio Current</x:v>
      </x:c>
      <x:c r="C35" s="46" t="str">
        <x:v>LME</x:v>
      </x:c>
      <x:c r="D35" s="58" t="n">
        <x:v>2019</x:v>
      </x:c>
      <x:c r="E35" s="46" t="str">
        <x:v>Batoidea</x:v>
      </x:c>
      <x:c r="F35" s="46" t="str">
        <x:v>Batoids, skates, rays, sawfishes</x:v>
      </x:c>
      <x:c r="G35" s="46" t="str">
        <x:v>Large rays (&gt;=90 cm)</x:v>
      </x:c>
      <x:c r="H35" s="46" t="str">
        <x:v>Sharks &amp; rays</x:v>
      </x:c>
      <x:c r="I35" s="60" t="n">
        <x:v>3572.0250857925002</x:v>
      </x:c>
      <x:c r="J35" s="60" t="n">
        <x:v>0</x:v>
      </x:c>
      <x:c r="K35" s="60" t="n">
        <x:v>3572.0250857925002</x:v>
      </x:c>
      <x:c r="L35" s="60" t="n">
        <x:v>0</x:v>
      </x:c>
      <x:c r="M35" s="60" t="n">
        <x:v>3572.0250857925002</x:v>
      </x:c>
      <x:c r="N35" s="46" t="str">
        <x:v>batoidea</x:v>
      </x:c>
      <x:c r="O35" s="62" t="n">
        <x:v>3.72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Batoidea</x:v>
      </x:c>
      <x:c r="T35" s="62" t="n">
        <x:f>IF(O35="","",(1/'Metadata'!$B$5)^(O35-1))</x:f>
        <x:v>3457.8136804537753</x:v>
      </x:c>
      <x:c r="U35" s="60" t="n">
        <x:f>IF(T35="","",I35*T35)</x:f>
        <x:v>12351397.208577378</x:v>
      </x:c>
    </x:row>
    <x:row r="36" ht="18" customHeight="1">
      <x:c r="A36" s="46" t="str">
        <x:v>LME_051</x:v>
      </x:c>
      <x:c r="B36" s="46" t="str">
        <x:v>Oyashio Current</x:v>
      </x:c>
      <x:c r="C36" s="46" t="str">
        <x:v>LME</x:v>
      </x:c>
      <x:c r="D36" s="58" t="n">
        <x:v>2019</x:v>
      </x:c>
      <x:c r="E36" s="46" t="str">
        <x:v>Bivalvia</x:v>
      </x:c>
      <x:c r="F36" s="46" t="str">
        <x:v>Clams</x:v>
      </x:c>
      <x:c r="G36" s="46" t="str">
        <x:v>Other demersal invertebrates</x:v>
      </x:c>
      <x:c r="H36" s="46" t="str">
        <x:v>Molluscs</x:v>
      </x:c>
      <x:c r="I36" s="60" t="n">
        <x:v>3386.8021552094</x:v>
      </x:c>
      <x:c r="J36" s="60" t="n">
        <x:v>2852.3694584411</x:v>
      </x:c>
      <x:c r="K36" s="60" t="n">
        <x:v>534.4326967683</x:v>
      </x:c>
      <x:c r="L36" s="60" t="n">
        <x:v>2852.3694584411</x:v>
      </x:c>
      <x:c r="M36" s="60" t="n">
        <x:v>534.4326967683</x:v>
      </x:c>
      <x:c r="N36" s="46" t="str">
        <x:v>bivalvia</x:v>
      </x:c>
      <x:c r="O36" s="62" t="n">
        <x:v>2.23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Bivalvia</x:v>
      </x:c>
      <x:c r="T36" s="62" t="n">
        <x:f>IF(O36="","",(1/'Metadata'!$B$5)^(O36-1))</x:f>
        <x:v>39.83519015836661</x:v>
      </x:c>
      <x:c r="U36" s="60" t="n">
        <x:f>IF(T36="","",I36*T36)</x:f>
        <x:v>134913.9078815323</x:v>
      </x:c>
    </x:row>
    <x:row r="37" ht="18" customHeight="1">
      <x:c r="A37" s="46" t="str">
        <x:v>LME_051</x:v>
      </x:c>
      <x:c r="B37" s="46" t="str">
        <x:v>Oyashio Current</x:v>
      </x:c>
      <x:c r="C37" s="46" t="str">
        <x:v>LME</x:v>
      </x:c>
      <x:c r="D37" s="58" t="n">
        <x:v>2019</x:v>
      </x:c>
      <x:c r="E37" s="46" t="str">
        <x:v>Brachyura</x:v>
      </x:c>
      <x:c r="F37" s="46" t="str">
        <x:v>Marine crabs</x:v>
      </x:c>
      <x:c r="G37" s="46" t="str">
        <x:v>Lobsters, crabs</x:v>
      </x:c>
      <x:c r="H37" s="46" t="str">
        <x:v>Crustaceans</x:v>
      </x:c>
      <x:c r="I37" s="60" t="n">
        <x:v>3299.0100850496</x:v>
      </x:c>
      <x:c r="J37" s="60" t="n">
        <x:v>3250.2539608077004</x:v>
      </x:c>
      <x:c r="K37" s="60" t="n">
        <x:v>48.7561242419</x:v>
      </x:c>
      <x:c r="L37" s="60" t="n">
        <x:v>3247.9999772768</x:v>
      </x:c>
      <x:c r="M37" s="60" t="n">
        <x:v>51.0101077728</x:v>
      </x:c>
      <x:c r="N37" s="46" t="str">
        <x:v>brachyura</x:v>
      </x:c>
      <x:c r="O37" s="62" t="n">
        <x:v>2.6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Brachyura</x:v>
      </x:c>
      <x:c r="T37" s="62" t="n">
        <x:f>IF(O37="","",(1/'Metadata'!$B$5)^(O37-1))</x:f>
        <x:v>120.6835267309033</x:v>
      </x:c>
      <x:c r="U37" s="60" t="n">
        <x:f>IF(T37="","",I37*T37)</x:f>
        <x:v>398136.171784603</x:v>
      </x:c>
    </x:row>
    <x:row r="38" ht="18" customHeight="1">
      <x:c r="A38" s="46" t="str">
        <x:v>LME_051</x:v>
      </x:c>
      <x:c r="B38" s="46" t="str">
        <x:v>Oyashio Current</x:v>
      </x:c>
      <x:c r="C38" s="46" t="str">
        <x:v>LME</x:v>
      </x:c>
      <x:c r="D38" s="58" t="n">
        <x:v>2019</x:v>
      </x:c>
      <x:c r="E38" s="46" t="str">
        <x:v>Mizuhopecten yessoensis</x:v>
      </x:c>
      <x:c r="F38" s="46" t="str">
        <x:v>Yesso scallop</x:v>
      </x:c>
      <x:c r="G38" s="46" t="str">
        <x:v>Other demersal invertebrates</x:v>
      </x:c>
      <x:c r="H38" s="46" t="str">
        <x:v>Molluscs</x:v>
      </x:c>
      <x:c r="I38" s="60" t="n">
        <x:v>3246.4228307842995</x:v>
      </x:c>
      <x:c r="J38" s="60" t="n">
        <x:v>3246.4228307842995</x:v>
      </x:c>
      <x:c r="K38" s="60" t="n">
        <x:v>0</x:v>
      </x:c>
      <x:c r="L38" s="60" t="n">
        <x:v>2526.316693165</x:v>
      </x:c>
      <x:c r="M38" s="60" t="n">
        <x:v>720.1061376193</x:v>
      </x:c>
      <x:c r="N38" s="46" t="str">
        <x:v>mizuhopecten yessoensis</x:v>
      </x:c>
      <x:c r="O38" s="62" t="n">
        <x:v>2.1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Mizuhopecten yessoensis</x:v>
      </x:c>
      <x:c r="T38" s="62" t="n">
        <x:f>IF(O38="","",(1/'Metadata'!$B$5)^(O38-1))</x:f>
        <x:v>26.985656953471274</x:v>
      </x:c>
      <x:c r="U38" s="60" t="n">
        <x:f>IF(T38="","",I38*T38)</x:f>
        <x:v>87606.85283746223</x:v>
      </x:c>
    </x:row>
    <x:row r="39" ht="18" customHeight="1">
      <x:c r="A39" s="46" t="str">
        <x:v>LME_051</x:v>
      </x:c>
      <x:c r="B39" s="46" t="str">
        <x:v>Oyashio Current</x:v>
      </x:c>
      <x:c r="C39" s="46" t="str">
        <x:v>LME</x:v>
      </x:c>
      <x:c r="D39" s="58" t="n">
        <x:v>2019</x:v>
      </x:c>
      <x:c r="E39" s="46" t="str">
        <x:v>Oncorhynchus nerka</x:v>
      </x:c>
      <x:c r="F39" s="46" t="str">
        <x:v>Sockeye salmon</x:v>
      </x:c>
      <x:c r="G39" s="46" t="str">
        <x:v>Medium pelagics (30 - 89 cm)</x:v>
      </x:c>
      <x:c r="H39" s="46" t="str">
        <x:v>Salmon, smelts, etc</x:v>
      </x:c>
      <x:c r="I39" s="60" t="n">
        <x:v>3170.6348520786</x:v>
      </x:c>
      <x:c r="J39" s="60" t="n">
        <x:v>2742.2887596048</x:v>
      </x:c>
      <x:c r="K39" s="60" t="n">
        <x:v>428.3460924738</x:v>
      </x:c>
      <x:c r="L39" s="60" t="n">
        <x:v>1691.9704419641</x:v>
      </x:c>
      <x:c r="M39" s="60" t="n">
        <x:v>1478.6644101145</x:v>
      </x:c>
      <x:c r="N39" s="46" t="str">
        <x:v>oncorhynchus nerka</x:v>
      </x:c>
      <x:c r="O39" s="62" t="n">
        <x:v>3.54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Oncorhynchus nerka</x:v>
      </x:c>
      <x:c r="T39" s="62" t="n">
        <x:f>IF(O39="","",(1/'Metadata'!$B$5)^(O39-1))</x:f>
        <x:v>2016.5834052007342</x:v>
      </x:c>
      <x:c r="U39" s="60" t="n">
        <x:f>IF(T39="","",I39*T39)</x:f>
        <x:v>6393849.626652789</x:v>
      </x:c>
    </x:row>
    <x:row r="40" ht="18" customHeight="1">
      <x:c r="A40" s="46" t="str">
        <x:v>LME_051</x:v>
      </x:c>
      <x:c r="B40" s="46" t="str">
        <x:v>Oyashio Current</x:v>
      </x:c>
      <x:c r="C40" s="46" t="str">
        <x:v>LME</x:v>
      </x:c>
      <x:c r="D40" s="58" t="n">
        <x:v>2019</x:v>
      </x:c>
      <x:c r="E40" s="46" t="str">
        <x:v>Cephalopoda</x:v>
      </x:c>
      <x:c r="F40" s="46" t="str">
        <x:v>Squids, cuttlefishes, octopuses</x:v>
      </x:c>
      <x:c r="G40" s="46" t="str">
        <x:v>Cephalopods</x:v>
      </x:c>
      <x:c r="H40" s="46" t="str">
        <x:v>Other fishes &amp; inverts</x:v>
      </x:c>
      <x:c r="I40" s="60" t="n">
        <x:v>2930.0678436213</x:v>
      </x:c>
      <x:c r="J40" s="60" t="n">
        <x:v>2675.596320605</x:v>
      </x:c>
      <x:c r="K40" s="60" t="n">
        <x:v>254.4715230163</x:v>
      </x:c>
      <x:c r="L40" s="60" t="n">
        <x:v>1277.3354872352</x:v>
      </x:c>
      <x:c r="M40" s="60" t="n">
        <x:v>1652.7323563860998</x:v>
      </x:c>
      <x:c r="N40" s="46" t="str">
        <x:v>cephalopoda</x:v>
      </x:c>
      <x:c r="O40" s="62" t="n">
        <x:v>3.81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Cephalopoda</x:v>
      </x:c>
      <x:c r="T40" s="62" t="n">
        <x:f>IF(O40="","",(1/'Metadata'!$B$5)^(O40-1))</x:f>
        <x:v>4527.873529309382</x:v>
      </x:c>
      <x:c r="U40" s="60" t="n">
        <x:f>IF(T40="","",I40*T40)</x:f>
        <x:v>13266976.628213508</x:v>
      </x:c>
    </x:row>
    <x:row r="41" ht="18" customHeight="1">
      <x:c r="A41" s="46" t="str">
        <x:v>LME_051</x:v>
      </x:c>
      <x:c r="B41" s="46" t="str">
        <x:v>Oyashio Current</x:v>
      </x:c>
      <x:c r="C41" s="46" t="str">
        <x:v>LME</x:v>
      </x:c>
      <x:c r="D41" s="58" t="n">
        <x:v>2019</x:v>
      </x:c>
      <x:c r="E41" s="46" t="str">
        <x:v>Laemonema longipes</x:v>
      </x:c>
      <x:c r="F41" s="46" t="str">
        <x:v>Longfin codling</x:v>
      </x:c>
      <x:c r="G41" s="46" t="str">
        <x:v>Medium benthopelagics (30 - 89 cm)</x:v>
      </x:c>
      <x:c r="H41" s="46" t="str">
        <x:v>Cod-likes</x:v>
      </x:c>
      <x:c r="I41" s="60" t="n">
        <x:v>2685.6408312664</x:v>
      </x:c>
      <x:c r="J41" s="60" t="n">
        <x:v>2685.6408312664</x:v>
      </x:c>
      <x:c r="K41" s="60" t="n">
        <x:v>0</x:v>
      </x:c>
      <x:c r="L41" s="60" t="n">
        <x:v>1245.7435210989</x:v>
      </x:c>
      <x:c r="M41" s="60" t="n">
        <x:v>1439.8973101674999</x:v>
      </x:c>
      <x:c r="N41" s="46" t="str">
        <x:v>laemonema longipes</x:v>
      </x:c>
      <x:c r="O41" s="62" t="n">
        <x:v>3.24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Laemonema longipes</x:v>
      </x:c>
      <x:c r="T41" s="62" t="n">
        <x:f>IF(O41="","",(1/'Metadata'!$B$5)^(O41-1))</x:f>
        <x:v>820.9320103116679</x:v>
      </x:c>
      <x:c r="U41" s="60" t="n">
        <x:f>IF(T41="","",I41*T41)</x:f>
        <x:v>2204728.5265866243</x:v>
      </x:c>
    </x:row>
    <x:row r="42" ht="18" customHeight="1">
      <x:c r="A42" s="46" t="str">
        <x:v>LME_051</x:v>
      </x:c>
      <x:c r="B42" s="46" t="str">
        <x:v>Oyashio Current</x:v>
      </x:c>
      <x:c r="C42" s="46" t="str">
        <x:v>LME</x:v>
      </x:c>
      <x:c r="D42" s="58" t="n">
        <x:v>2019</x:v>
      </x:c>
      <x:c r="E42" s="46" t="str">
        <x:v>Echinoidea</x:v>
      </x:c>
      <x:c r="F42" s="46" t="str">
        <x:v>Sea urchins, sea hedgehogs</x:v>
      </x:c>
      <x:c r="G42" s="46" t="str">
        <x:v>Other demersal invertebrates</x:v>
      </x:c>
      <x:c r="H42" s="46" t="str">
        <x:v>Other fishes &amp; inverts</x:v>
      </x:c>
      <x:c r="I42" s="60" t="n">
        <x:v>2217.3044103793</x:v>
      </x:c>
      <x:c r="J42" s="60" t="n">
        <x:v>2217.3044103793</x:v>
      </x:c>
      <x:c r="K42" s="60" t="n">
        <x:v>0</x:v>
      </x:c>
      <x:c r="L42" s="60" t="n">
        <x:v>1859.2279632460002</x:v>
      </x:c>
      <x:c r="M42" s="60" t="n">
        <x:v>358.0764471333</x:v>
      </x:c>
      <x:c r="N42" s="46" t="str">
        <x:v>echinoidea</x:v>
      </x:c>
      <x:c r="O42" s="62" t="n">
        <x:v>2.51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Echinoidea</x:v>
      </x:c>
      <x:c r="T42" s="62" t="n">
        <x:f>IF(O42="","",(1/'Metadata'!$B$5)^(O42-1))</x:f>
        <x:v>92.16272208892171</x:v>
      </x:c>
      <x:c r="U42" s="60" t="n">
        <x:f>IF(T42="","",I42*T42)</x:f>
        <x:v>204352.81016032785</x:v>
      </x:c>
    </x:row>
    <x:row r="43" ht="18" customHeight="1">
      <x:c r="A43" s="46" t="str">
        <x:v>LME_051</x:v>
      </x:c>
      <x:c r="B43" s="46" t="str">
        <x:v>Oyashio Current</x:v>
      </x:c>
      <x:c r="C43" s="46" t="str">
        <x:v>LME</x:v>
      </x:c>
      <x:c r="D43" s="58" t="n">
        <x:v>2019</x:v>
      </x:c>
      <x:c r="E43" s="46" t="str">
        <x:v>Chondrichthyes</x:v>
      </x:c>
      <x:c r="F43" s="46" t="str">
        <x:v>Sharks, rays, chimaeras</x:v>
      </x:c>
      <x:c r="G43" s="46" t="str">
        <x:v>Large sharks (&gt;=90 cm)</x:v>
      </x:c>
      <x:c r="H43" s="46" t="str">
        <x:v>Sharks &amp; rays</x:v>
      </x:c>
      <x:c r="I43" s="60" t="n">
        <x:v>2131.5412230853</x:v>
      </x:c>
      <x:c r="J43" s="60" t="n">
        <x:v>1260.8395500189</x:v>
      </x:c>
      <x:c r="K43" s="60" t="n">
        <x:v>870.7016730664</x:v>
      </x:c>
      <x:c r="L43" s="60" t="n">
        <x:v>1260.8395500189</x:v>
      </x:c>
      <x:c r="M43" s="60" t="n">
        <x:v>870.7016730664</x:v>
      </x:c>
      <x:c r="N43" s="46" t="str">
        <x:v>chondrichthyes</x:v>
      </x:c>
      <x:c r="O43" s="62" t="n">
        <x:v>4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Chondrichthyes</x:v>
      </x:c>
      <x:c r="T43" s="62" t="n">
        <x:f>IF(O43="","",(1/'Metadata'!$B$5)^(O43-1))</x:f>
        <x:v>8000</x:v>
      </x:c>
      <x:c r="U43" s="60" t="n">
        <x:f>IF(T43="","",I43*T43)</x:f>
        <x:v>17052329.7846824</x:v>
      </x:c>
    </x:row>
    <x:row r="44" ht="18" customHeight="1">
      <x:c r="A44" s="46" t="str">
        <x:v>LME_051</x:v>
      </x:c>
      <x:c r="B44" s="46" t="str">
        <x:v>Oyashio Current</x:v>
      </x:c>
      <x:c r="C44" s="46" t="str">
        <x:v>LME</x:v>
      </x:c>
      <x:c r="D44" s="58" t="n">
        <x:v>2019</x:v>
      </x:c>
      <x:c r="E44" s="46" t="str">
        <x:v>Octopoda</x:v>
      </x:c>
      <x:c r="F44" s="46" t="str">
        <x:v>Octopuses, argonauts</x:v>
      </x:c>
      <x:c r="G44" s="46" t="str">
        <x:v>Cephalopods</x:v>
      </x:c>
      <x:c r="H44" s="46" t="str">
        <x:v>Other fishes &amp; inverts</x:v>
      </x:c>
      <x:c r="I44" s="60" t="n">
        <x:v>2025.3450176504</x:v>
      </x:c>
      <x:c r="J44" s="60" t="n">
        <x:v>1726.4408233883</x:v>
      </x:c>
      <x:c r="K44" s="60" t="n">
        <x:v>298.90419426209996</x:v>
      </x:c>
      <x:c r="L44" s="60" t="n">
        <x:v>1682.0296250192</x:v>
      </x:c>
      <x:c r="M44" s="60" t="n">
        <x:v>343.3153926312</x:v>
      </x:c>
      <x:c r="N44" s="46" t="str">
        <x:v>octopoda</x:v>
      </x:c>
      <x:c r="O44" s="62" t="n">
        <x:v>3.58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Octopoda</x:v>
      </x:c>
      <x:c r="T44" s="62" t="n">
        <x:f>IF(O44="","",(1/'Metadata'!$B$5)^(O44-1))</x:f>
        <x:v>2273.3033337150473</x:v>
      </x:c>
      <x:c r="U44" s="60" t="n">
        <x:f>IF(T44="","",I44*T44)</x:f>
        <x:v>4604223.580547815</x:v>
      </x:c>
    </x:row>
    <x:row r="45" ht="18" customHeight="1">
      <x:c r="A45" s="46" t="str">
        <x:v>LME_051</x:v>
      </x:c>
      <x:c r="B45" s="46" t="str">
        <x:v>Oyashio Current</x:v>
      </x:c>
      <x:c r="C45" s="46" t="str">
        <x:v>LME</x:v>
      </x:c>
      <x:c r="D45" s="58" t="n">
        <x:v>2019</x:v>
      </x:c>
      <x:c r="E45" s="46" t="str">
        <x:v>Gastropoda</x:v>
      </x:c>
      <x:c r="F45" s="46" t="str">
        <x:v>Sea snails</x:v>
      </x:c>
      <x:c r="G45" s="46" t="str">
        <x:v>Other demersal invertebrates</x:v>
      </x:c>
      <x:c r="H45" s="46" t="str">
        <x:v>Molluscs</x:v>
      </x:c>
      <x:c r="I45" s="60" t="n">
        <x:v>1822.8388523302</x:v>
      </x:c>
      <x:c r="J45" s="60" t="n">
        <x:v>1822.8388523302</x:v>
      </x:c>
      <x:c r="K45" s="60" t="n">
        <x:v>0</x:v>
      </x:c>
      <x:c r="L45" s="60" t="n">
        <x:v>1553.5870689273002</x:v>
      </x:c>
      <x:c r="M45" s="60" t="n">
        <x:v>269.25178340290006</x:v>
      </x:c>
      <x:c r="N45" s="46" t="str">
        <x:v>gastropoda</x:v>
      </x:c>
      <x:c r="O45" s="62" t="n">
        <x:v>3.06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Gastropoda</x:v>
      </x:c>
      <x:c r="T45" s="62" t="n">
        <x:f>IF(O45="","",(1/'Metadata'!$B$5)^(O45-1))</x:f>
        <x:v>478.7643354384948</x:v>
      </x:c>
      <x:c r="U45" s="60" t="n">
        <x:f>IF(T45="","",I45*T45)</x:f>
        <x:v>872710.2317473368</x:v>
      </x:c>
    </x:row>
    <x:row r="46" ht="18" customHeight="1">
      <x:c r="A46" s="46" t="str">
        <x:v>LME_051</x:v>
      </x:c>
      <x:c r="B46" s="46" t="str">
        <x:v>Oyashio Current</x:v>
      </x:c>
      <x:c r="C46" s="46" t="str">
        <x:v>LME</x:v>
      </x:c>
      <x:c r="D46" s="58" t="n">
        <x:v>2019</x:v>
      </x:c>
      <x:c r="E46" s="46" t="str">
        <x:v>Mallotus villosus</x:v>
      </x:c>
      <x:c r="F46" s="46" t="str">
        <x:v>Capelin</x:v>
      </x:c>
      <x:c r="G46" s="46" t="str">
        <x:v>Small pelagics (&lt;30 cm)</x:v>
      </x:c>
      <x:c r="H46" s="46" t="str">
        <x:v>Salmon, smelts, etc</x:v>
      </x:c>
      <x:c r="I46" s="60" t="n">
        <x:v>1680.5916792497999</x:v>
      </x:c>
      <x:c r="J46" s="60" t="n">
        <x:v>760.0097639513</x:v>
      </x:c>
      <x:c r="K46" s="60" t="n">
        <x:v>920.5819152985</x:v>
      </x:c>
      <x:c r="L46" s="60" t="n">
        <x:v>603.4483019158</x:v>
      </x:c>
      <x:c r="M46" s="60" t="n">
        <x:v>1077.143377334</x:v>
      </x:c>
      <x:c r="N46" s="46" t="str">
        <x:v>mallotus villosus</x:v>
      </x:c>
      <x:c r="O46" s="62" t="n">
        <x:v>3.15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Mallotus villosus</x:v>
      </x:c>
      <x:c r="T46" s="62" t="n">
        <x:f>IF(O46="","",(1/'Metadata'!$B$5)^(O46-1))</x:f>
        <x:v>626.9234150652317</x:v>
      </x:c>
      <x:c r="U46" s="60" t="n">
        <x:f>IF(T46="","",I46*T46)</x:f>
        <x:v>1053602.274885497</x:v>
      </x:c>
    </x:row>
    <x:row r="47" ht="18" customHeight="1">
      <x:c r="A47" s="46" t="str">
        <x:v>LME_051</x:v>
      </x:c>
      <x:c r="B47" s="46" t="str">
        <x:v>Oyashio Current</x:v>
      </x:c>
      <x:c r="C47" s="46" t="str">
        <x:v>LME</x:v>
      </x:c>
      <x:c r="D47" s="58" t="n">
        <x:v>2019</x:v>
      </x:c>
      <x:c r="E47" s="46" t="str">
        <x:v>Octopus</x:v>
      </x:c>
      <x:c r="F47" s="46" t="str">
        <x:v>Octopuses, pikas</x:v>
      </x:c>
      <x:c r="G47" s="46" t="str">
        <x:v>Cephalopods</x:v>
      </x:c>
      <x:c r="H47" s="46" t="str">
        <x:v>Other fishes &amp; inverts</x:v>
      </x:c>
      <x:c r="I47" s="60" t="n">
        <x:v>1674.6642619108</x:v>
      </x:c>
      <x:c r="J47" s="60" t="n">
        <x:v>1674.6642619108</x:v>
      </x:c>
      <x:c r="K47" s="60" t="n">
        <x:v>0</x:v>
      </x:c>
      <x:c r="L47" s="60" t="n">
        <x:v>1674.6642619108</x:v>
      </x:c>
      <x:c r="M47" s="60" t="n">
        <x:v>0</x:v>
      </x:c>
      <x:c r="N47" s="46" t="str">
        <x:v>octopus</x:v>
      </x:c>
      <x:c r="O47" s="62" t="n">
        <x:v>3.8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Octopus</x:v>
      </x:c>
      <x:c r="T47" s="62" t="n">
        <x:f>IF(O47="","",(1/'Metadata'!$B$5)^(O47-1))</x:f>
        <x:v>4394.242173224468</x:v>
      </x:c>
      <x:c r="U47" s="60" t="n">
        <x:f>IF(T47="","",I47*T47)</x:f>
        <x:v>7358880.325680264</x:v>
      </x:c>
    </x:row>
    <x:row r="48" ht="18" customHeight="1">
      <x:c r="A48" s="46" t="str">
        <x:v>LME_051</x:v>
      </x:c>
      <x:c r="B48" s="46" t="str">
        <x:v>Oyashio Current</x:v>
      </x:c>
      <x:c r="C48" s="46" t="str">
        <x:v>LME</x:v>
      </x:c>
      <x:c r="D48" s="58" t="n">
        <x:v>2019</x:v>
      </x:c>
      <x:c r="E48" s="46" t="str">
        <x:v>Thunnus alalunga</x:v>
      </x:c>
      <x:c r="F48" s="46" t="str">
        <x:v>Albacore</x:v>
      </x:c>
      <x:c r="G48" s="46" t="str">
        <x:v>Large pelagics (&gt;=90 cm)</x:v>
      </x:c>
      <x:c r="H48" s="46" t="str">
        <x:v>Tuna &amp; billfishes</x:v>
      </x:c>
      <x:c r="I48" s="60" t="n">
        <x:v>1666.0567169357998</x:v>
      </x:c>
      <x:c r="J48" s="60" t="n">
        <x:v>1656.2326289753998</x:v>
      </x:c>
      <x:c r="K48" s="60" t="n">
        <x:v>9.8240879604</x:v>
      </x:c>
      <x:c r="L48" s="60" t="n">
        <x:v>1656.2326289753998</x:v>
      </x:c>
      <x:c r="M48" s="60" t="n">
        <x:v>9.8240879604</x:v>
      </x:c>
      <x:c r="N48" s="46" t="str">
        <x:v>thunnus alalunga</x:v>
      </x:c>
      <x:c r="O48" s="62" t="n">
        <x:v>4.3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Thunnus alalunga</x:v>
      </x:c>
      <x:c r="T48" s="62" t="n">
        <x:f>IF(O48="","",(1/'Metadata'!$B$5)^(O48-1))</x:f>
        <x:v>19651.648417852637</x:v>
      </x:c>
      <x:c r="U48" s="60" t="n">
        <x:f>IF(T48="","",I48*T48)</x:f>
        <x:v>32740760.84542417</x:v>
      </x:c>
    </x:row>
    <x:row r="49" ht="18" customHeight="1">
      <x:c r="A49" s="46" t="str">
        <x:v>LME_051</x:v>
      </x:c>
      <x:c r="B49" s="46" t="str">
        <x:v>Oyashio Current</x:v>
      </x:c>
      <x:c r="C49" s="46" t="str">
        <x:v>LME</x:v>
      </x:c>
      <x:c r="D49" s="58" t="n">
        <x:v>2019</x:v>
      </x:c>
      <x:c r="E49" s="46" t="str">
        <x:v>Mugil cephalus</x:v>
      </x:c>
      <x:c r="F49" s="46" t="str">
        <x:v>Flathead grey mullet</x:v>
      </x:c>
      <x:c r="G49" s="46" t="str">
        <x:v>Large benthopelagics (&gt;=90 cm)</x:v>
      </x:c>
      <x:c r="H49" s="46" t="str">
        <x:v>Perch-likes</x:v>
      </x:c>
      <x:c r="I49" s="60" t="n">
        <x:v>1664.85021985</x:v>
      </x:c>
      <x:c r="J49" s="60" t="n">
        <x:v>1664.85021985</x:v>
      </x:c>
      <x:c r="K49" s="60" t="n">
        <x:v>0</x:v>
      </x:c>
      <x:c r="L49" s="60" t="n">
        <x:v>1655.0390095404</x:v>
      </x:c>
      <x:c r="M49" s="60" t="n">
        <x:v>9.8112103096</x:v>
      </x:c>
      <x:c r="N49" s="46" t="str">
        <x:v>mugil cephalus</x:v>
      </x:c>
      <x:c r="O49" s="62" t="n">
        <x:v>2.14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Mugil cephalus</x:v>
      </x:c>
      <x:c r="T49" s="62" t="n">
        <x:f>IF(O49="","",(1/'Metadata'!$B$5)^(O49-1))</x:f>
        <x:v>30.421049660829848</x:v>
      </x:c>
      <x:c r="U49" s="60" t="n">
        <x:f>IF(T49="","",I49*T49)</x:f>
        <x:v>50646.49121590034</x:v>
      </x:c>
    </x:row>
    <x:row r="50" ht="18" customHeight="1">
      <x:c r="A50" s="46" t="str">
        <x:v>LME_051</x:v>
      </x:c>
      <x:c r="B50" s="46" t="str">
        <x:v>Oyashio Current</x:v>
      </x:c>
      <x:c r="C50" s="46" t="str">
        <x:v>LME</x:v>
      </x:c>
      <x:c r="D50" s="58" t="n">
        <x:v>2019</x:v>
      </x:c>
      <x:c r="E50" s="46" t="str">
        <x:v>Sciaenidae</x:v>
      </x:c>
      <x:c r="F50" s="46" t="str">
        <x:v>Drums, croakers</x:v>
      </x:c>
      <x:c r="G50" s="46" t="str">
        <x:v>Medium demersals (30 - 89 cm)</x:v>
      </x:c>
      <x:c r="H50" s="46" t="str">
        <x:v>Perch-likes</x:v>
      </x:c>
      <x:c r="I50" s="60" t="n">
        <x:v>1631.4723125356</x:v>
      </x:c>
      <x:c r="J50" s="60" t="n">
        <x:v>1631.4723125356</x:v>
      </x:c>
      <x:c r="K50" s="60" t="n">
        <x:v>0</x:v>
      </x:c>
      <x:c r="L50" s="60" t="n">
        <x:v>1630.9885488429</x:v>
      </x:c>
      <x:c r="M50" s="60" t="n">
        <x:v>0.4837636927</x:v>
      </x:c>
      <x:c r="N50" s="46" t="str">
        <x:v>sciaenidae</x:v>
      </x:c>
      <x:c r="O50" s="62" t="n">
        <x:v>3.76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Sciaenidae</x:v>
      </x:c>
      <x:c r="T50" s="62" t="n">
        <x:f>IF(O50="","",(1/'Metadata'!$B$5)^(O50-1))</x:f>
        <x:v>3898.0085558913897</x:v>
      </x:c>
      <x:c r="U50" s="60" t="n">
        <x:f>IF(T50="","",I50*T50)</x:f>
        <x:v>6359493.03296368</x:v>
      </x:c>
    </x:row>
    <x:row r="51" ht="18" customHeight="1">
      <x:c r="A51" s="46" t="str">
        <x:v>LME_051</x:v>
      </x:c>
      <x:c r="B51" s="46" t="str">
        <x:v>Oyashio Current</x:v>
      </x:c>
      <x:c r="C51" s="46" t="str">
        <x:v>LME</x:v>
      </x:c>
      <x:c r="D51" s="58" t="n">
        <x:v>2019</x:v>
      </x:c>
      <x:c r="E51" s="46" t="str">
        <x:v>Arctoscopus japonicus</x:v>
      </x:c>
      <x:c r="F51" s="46" t="str">
        <x:v>Japanese sandfish</x:v>
      </x:c>
      <x:c r="G51" s="46" t="str">
        <x:v>Small bathydemersals (&lt;30 cm)</x:v>
      </x:c>
      <x:c r="H51" s="46" t="str">
        <x:v>Perch-likes</x:v>
      </x:c>
      <x:c r="I51" s="60" t="n">
        <x:v>1511.7817078331</x:v>
      </x:c>
      <x:c r="J51" s="60" t="n">
        <x:v>1147.5794601816</x:v>
      </x:c>
      <x:c r="K51" s="60" t="n">
        <x:v>364.2022476515</x:v>
      </x:c>
      <x:c r="L51" s="60" t="n">
        <x:v>1147.5794601816</x:v>
      </x:c>
      <x:c r="M51" s="60" t="n">
        <x:v>364.2022476515</x:v>
      </x:c>
      <x:c r="N51" s="46" t="str">
        <x:v>arctoscopus japonicus</x:v>
      </x:c>
      <x:c r="O51" s="62" t="n">
        <x:v>3.51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Arctoscopus japonicus</x:v>
      </x:c>
      <x:c r="T51" s="62" t="n">
        <x:f>IF(O51="","",(1/'Metadata'!$B$5)^(O51-1))</x:f>
        <x:v>1843.2544417784343</x:v>
      </x:c>
      <x:c r="U51" s="60" t="n">
        <x:f>IF(T51="","",I51*T51)</x:f>
        <x:v>2786598.3479627487</x:v>
      </x:c>
    </x:row>
    <x:row r="52" ht="18" customHeight="1">
      <x:c r="A52" s="46" t="str">
        <x:v>LME_051</x:v>
      </x:c>
      <x:c r="B52" s="46" t="str">
        <x:v>Oyashio Current</x:v>
      </x:c>
      <x:c r="C52" s="46" t="str">
        <x:v>LME</x:v>
      </x:c>
      <x:c r="D52" s="58" t="n">
        <x:v>2019</x:v>
      </x:c>
      <x:c r="E52" s="46" t="str">
        <x:v>Paralithodes camtschaticus</x:v>
      </x:c>
      <x:c r="F52" s="46" t="str">
        <x:v>Red king crab</x:v>
      </x:c>
      <x:c r="G52" s="46" t="str">
        <x:v>Lobsters, crabs</x:v>
      </x:c>
      <x:c r="H52" s="46" t="str">
        <x:v>Crustaceans</x:v>
      </x:c>
      <x:c r="I52" s="60" t="n">
        <x:v>1441.2053122085001</x:v>
      </x:c>
      <x:c r="J52" s="60" t="n">
        <x:v>1441.2053122085001</x:v>
      </x:c>
      <x:c r="K52" s="60" t="n">
        <x:v>0</x:v>
      </x:c>
      <x:c r="L52" s="60" t="n">
        <x:v>825.9181366534</x:v>
      </x:c>
      <x:c r="M52" s="60" t="n">
        <x:v>615.2871755551</x:v>
      </x:c>
      <x:c r="N52" s="46" t="str">
        <x:v>paralithodes camtschaticus</x:v>
      </x:c>
      <x:c r="O52" s="62" t="n">
        <x:v>3.7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Paralithodes camtschaticus</x:v>
      </x:c>
      <x:c r="T52" s="62" t="n">
        <x:f>IF(O52="","",(1/'Metadata'!$B$5)^(O52-1))</x:f>
        <x:v>3256.724252295237</x:v>
      </x:c>
      <x:c r="U52" s="60" t="n">
        <x:f>IF(T52="","",I52*T52)</x:f>
        <x:v>4693608.292806151</x:v>
      </x:c>
    </x:row>
    <x:row r="53" ht="18" customHeight="1">
      <x:c r="A53" s="46" t="str">
        <x:v>LME_051</x:v>
      </x:c>
      <x:c r="B53" s="46" t="str">
        <x:v>Oyashio Current</x:v>
      </x:c>
      <x:c r="C53" s="46" t="str">
        <x:v>LME</x:v>
      </x:c>
      <x:c r="D53" s="58" t="n">
        <x:v>2019</x:v>
      </x:c>
      <x:c r="E53" s="46" t="str">
        <x:v>Chionoecetes japonicus</x:v>
      </x:c>
      <x:c r="F53" s="46" t="str">
        <x:v>Red snow crab</x:v>
      </x:c>
      <x:c r="G53" s="46" t="str">
        <x:v>Lobsters, crabs</x:v>
      </x:c>
      <x:c r="H53" s="46" t="str">
        <x:v>Crustaceans</x:v>
      </x:c>
      <x:c r="I53" s="60" t="n">
        <x:v>1404.4644471896</x:v>
      </x:c>
      <x:c r="J53" s="60" t="n">
        <x:v>1404.4644471896</x:v>
      </x:c>
      <x:c r="K53" s="60" t="n">
        <x:v>0</x:v>
      </x:c>
      <x:c r="L53" s="60" t="n">
        <x:v>1404.4644471896</x:v>
      </x:c>
      <x:c r="M53" s="60" t="n">
        <x:v>0</x:v>
      </x:c>
      <x:c r="N53" s="46" t="str">
        <x:v>chionoecetes japonicus</x:v>
      </x:c>
      <x:c r="O53" s="62" t="n">
        <x:v>3.74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Chionoecetes japonicus</x:v>
      </x:c>
      <x:c r="T53" s="62" t="n">
        <x:f>IF(O53="","",(1/'Metadata'!$B$5)^(O53-1))</x:f>
        <x:v>3671.3195599248957</x:v>
      </x:c>
      <x:c r="U53" s="60" t="n">
        <x:f>IF(T53="","",I53*T53)</x:f>
        <x:v>5156237.796186284</x:v>
      </x:c>
    </x:row>
    <x:row r="54" ht="18" customHeight="1">
      <x:c r="A54" s="46" t="str">
        <x:v>LME_051</x:v>
      </x:c>
      <x:c r="B54" s="46" t="str">
        <x:v>Oyashio Current</x:v>
      </x:c>
      <x:c r="C54" s="46" t="str">
        <x:v>LME</x:v>
      </x:c>
      <x:c r="D54" s="58" t="n">
        <x:v>2019</x:v>
      </x:c>
      <x:c r="E54" s="46" t="str">
        <x:v>Moridae</x:v>
      </x:c>
      <x:c r="F54" s="46" t="str">
        <x:v>Codlings, moras</x:v>
      </x:c>
      <x:c r="G54" s="46" t="str">
        <x:v>Medium benthopelagics (30 - 89 cm)</x:v>
      </x:c>
      <x:c r="H54" s="46" t="str">
        <x:v>Cod-likes</x:v>
      </x:c>
      <x:c r="I54" s="60" t="n">
        <x:v>1243.983172285</x:v>
      </x:c>
      <x:c r="J54" s="60" t="n">
        <x:v>1243.983172285</x:v>
      </x:c>
      <x:c r="K54" s="60" t="n">
        <x:v>0</x:v>
      </x:c>
      <x:c r="L54" s="60" t="n">
        <x:v>576.5161811482</x:v>
      </x:c>
      <x:c r="M54" s="60" t="n">
        <x:v>667.4669911368</x:v>
      </x:c>
      <x:c r="N54" s="46" t="str">
        <x:v>moridae</x:v>
      </x:c>
      <x:c r="O54" s="62" t="n">
        <x:v>3.87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Moridae</x:v>
      </x:c>
      <x:c r="T54" s="62" t="n">
        <x:f>IF(O54="","",(1/'Metadata'!$B$5)^(O54-1))</x:f>
        <x:v>5419.460903023396</x:v>
      </x:c>
      <x:c r="U54" s="60" t="n">
        <x:f>IF(T54="","",I54*T54)</x:f>
        <x:v>6741718.166217575</x:v>
      </x:c>
    </x:row>
    <x:row r="55" ht="18" customHeight="1">
      <x:c r="A55" s="46" t="str">
        <x:v>LME_051</x:v>
      </x:c>
      <x:c r="B55" s="46" t="str">
        <x:v>Oyashio Current</x:v>
      </x:c>
      <x:c r="C55" s="46" t="str">
        <x:v>LME</x:v>
      </x:c>
      <x:c r="D55" s="58" t="n">
        <x:v>2019</x:v>
      </x:c>
      <x:c r="E55" s="46" t="str">
        <x:v>Katsuwonus pelamis</x:v>
      </x:c>
      <x:c r="F55" s="46" t="str">
        <x:v>Skipjack tuna</x:v>
      </x:c>
      <x:c r="G55" s="46" t="str">
        <x:v>Large pelagics (&gt;=90 cm)</x:v>
      </x:c>
      <x:c r="H55" s="46" t="str">
        <x:v>Tuna &amp; billfishes</x:v>
      </x:c>
      <x:c r="I55" s="60" t="n">
        <x:v>1063.3144163451</x:v>
      </x:c>
      <x:c r="J55" s="60" t="n">
        <x:v>1058.6942336995999</x:v>
      </x:c>
      <x:c r="K55" s="60" t="n">
        <x:v>4.6201826455</x:v>
      </x:c>
      <x:c r="L55" s="60" t="n">
        <x:v>1053.751625593</x:v>
      </x:c>
      <x:c r="M55" s="60" t="n">
        <x:v>9.5627907521</x:v>
      </x:c>
      <x:c r="N55" s="46" t="str">
        <x:v>katsuwonus pelamis</x:v>
      </x:c>
      <x:c r="O55" s="62" t="n">
        <x:v>4.43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Katsuwonus pelamis</x:v>
      </x:c>
      <x:c r="T55" s="62" t="n">
        <x:f>IF(O55="","",(1/'Metadata'!$B$5)^(O55-1))</x:f>
        <x:v>29009.008489223597</x:v>
      </x:c>
      <x:c r="U55" s="60" t="n">
        <x:f>IF(T55="","",I55*T55)</x:f>
        <x:v>30845696.93046884</x:v>
      </x:c>
    </x:row>
    <x:row r="56" ht="18" customHeight="1">
      <x:c r="A56" s="46" t="str">
        <x:v>LME_051</x:v>
      </x:c>
      <x:c r="B56" s="46" t="str">
        <x:v>Oyashio Current</x:v>
      </x:c>
      <x:c r="C56" s="46" t="str">
        <x:v>LME</x:v>
      </x:c>
      <x:c r="D56" s="58" t="n">
        <x:v>2019</x:v>
      </x:c>
      <x:c r="E56" s="46" t="str">
        <x:v>Reinhardtius hippoglossoides</x:v>
      </x:c>
      <x:c r="F56" s="46" t="str">
        <x:v>Greenland halibut</x:v>
      </x:c>
      <x:c r="G56" s="46" t="str">
        <x:v>Small to medium flatfishes (&lt;90 cm)</x:v>
      </x:c>
      <x:c r="H56" s="46" t="str">
        <x:v>Flatfishes</x:v>
      </x:c>
      <x:c r="I56" s="60" t="n">
        <x:v>1033.0639772145998</x:v>
      </x:c>
      <x:c r="J56" s="60" t="n">
        <x:v>899.6058109316</x:v>
      </x:c>
      <x:c r="K56" s="60" t="n">
        <x:v>133.458166283</x:v>
      </x:c>
      <x:c r="L56" s="60" t="n">
        <x:v>625.9321200945</x:v>
      </x:c>
      <x:c r="M56" s="60" t="n">
        <x:v>407.1318571201</x:v>
      </x:c>
      <x:c r="N56" s="46" t="str">
        <x:v>reinhardtius hippoglossoides</x:v>
      </x:c>
      <x:c r="O56" s="62" t="n">
        <x:v>4.38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Reinhardtius hippoglossoides</x:v>
      </x:c>
      <x:c r="T56" s="62" t="n">
        <x:f>IF(O56="","",(1/'Metadata'!$B$5)^(O56-1))</x:f>
        <x:v>24973.6134538561</x:v>
      </x:c>
      <x:c r="U56" s="60" t="n">
        <x:f>IF(T56="","",I56*T56)</x:f>
        <x:v>25799340.44006062</x:v>
      </x:c>
    </x:row>
    <x:row r="57" ht="18" customHeight="1">
      <x:c r="A57" s="46" t="str">
        <x:v>LME_051</x:v>
      </x:c>
      <x:c r="B57" s="46" t="str">
        <x:v>Oyashio Current</x:v>
      </x:c>
      <x:c r="C57" s="46" t="str">
        <x:v>LME</x:v>
      </x:c>
      <x:c r="D57" s="58" t="n">
        <x:v>2019</x:v>
      </x:c>
      <x:c r="E57" s="46" t="str">
        <x:v>Chionoecetes opilio</x:v>
      </x:c>
      <x:c r="F57" s="46" t="str">
        <x:v>Snow crab</x:v>
      </x:c>
      <x:c r="G57" s="46" t="str">
        <x:v>Lobsters, crabs</x:v>
      </x:c>
      <x:c r="H57" s="46" t="str">
        <x:v>Crustaceans</x:v>
      </x:c>
      <x:c r="I57" s="60" t="n">
        <x:v>961.0647222732</x:v>
      </x:c>
      <x:c r="J57" s="60" t="n">
        <x:v>943.8241339761</x:v>
      </x:c>
      <x:c r="K57" s="60" t="n">
        <x:v>17.2405882971</x:v>
      </x:c>
      <x:c r="L57" s="60" t="n">
        <x:v>943.8241339761</x:v>
      </x:c>
      <x:c r="M57" s="60" t="n">
        <x:v>17.2405882971</x:v>
      </x:c>
      <x:c r="N57" s="46" t="str">
        <x:v>chionoecetes opilio</x:v>
      </x:c>
      <x:c r="O57" s="62" t="n">
        <x:v>3.54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Chionoecetes opilio</x:v>
      </x:c>
      <x:c r="T57" s="62" t="n">
        <x:f>IF(O57="","",(1/'Metadata'!$B$5)^(O57-1))</x:f>
        <x:v>2016.5834052007342</x:v>
      </x:c>
      <x:c r="U57" s="60" t="n">
        <x:f>IF(T57="","",I57*T57)</x:f>
        <x:v>1938067.1702599875</x:v>
      </x:c>
    </x:row>
    <x:row r="58" ht="18" customHeight="1">
      <x:c r="A58" s="46" t="str">
        <x:v>LME_051</x:v>
      </x:c>
      <x:c r="B58" s="46" t="str">
        <x:v>Oyashio Current</x:v>
      </x:c>
      <x:c r="C58" s="46" t="str">
        <x:v>LME</x:v>
      </x:c>
      <x:c r="D58" s="58" t="n">
        <x:v>2019</x:v>
      </x:c>
      <x:c r="E58" s="46" t="str">
        <x:v>Sebastes alutus</x:v>
      </x:c>
      <x:c r="F58" s="46" t="str">
        <x:v>Pacific ocean perch</x:v>
      </x:c>
      <x:c r="G58" s="46" t="str">
        <x:v>Medium demersals (30 - 89 cm)</x:v>
      </x:c>
      <x:c r="H58" s="46" t="str">
        <x:v>Scorpionfishes</x:v>
      </x:c>
      <x:c r="I58" s="60" t="n">
        <x:v>944.3224696364</x:v>
      </x:c>
      <x:c r="J58" s="60" t="n">
        <x:v>944.3224696364</x:v>
      </x:c>
      <x:c r="K58" s="60" t="n">
        <x:v>0</x:v>
      </x:c>
      <x:c r="L58" s="60" t="n">
        <x:v>790.4118841054</x:v>
      </x:c>
      <x:c r="M58" s="60" t="n">
        <x:v>153.91058553099998</x:v>
      </x:c>
      <x:c r="N58" s="46" t="str">
        <x:v>sebastes alutus</x:v>
      </x:c>
      <x:c r="O58" s="62" t="n">
        <x:v>3.48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Sebastes alutus</x:v>
      </x:c>
      <x:c r="T58" s="62" t="n">
        <x:f>IF(O58="","",(1/'Metadata'!$B$5)^(O58-1))</x:f>
        <x:v>1684.8234138858888</x:v>
      </x:c>
      <x:c r="U58" s="60" t="n">
        <x:f>IF(T58="","",I58*T58)</x:f>
        <x:v>1591016.6071019531</x:v>
      </x:c>
    </x:row>
    <x:row r="59" ht="18" customHeight="1">
      <x:c r="A59" s="46" t="str">
        <x:v>LME_051</x:v>
      </x:c>
      <x:c r="B59" s="46" t="str">
        <x:v>Oyashio Current</x:v>
      </x:c>
      <x:c r="C59" s="46" t="str">
        <x:v>LME</x:v>
      </x:c>
      <x:c r="D59" s="58" t="n">
        <x:v>2019</x:v>
      </x:c>
      <x:c r="E59" s="46" t="str">
        <x:v>Salmonidae</x:v>
      </x:c>
      <x:c r="F59" s="46" t="str">
        <x:v>Salmonids</x:v>
      </x:c>
      <x:c r="G59" s="46" t="str">
        <x:v>Large benthopelagics (&gt;=90 cm)</x:v>
      </x:c>
      <x:c r="H59" s="46" t="str">
        <x:v>Salmon, smelts, etc</x:v>
      </x:c>
      <x:c r="I59" s="60" t="n">
        <x:v>928.8828960285</x:v>
      </x:c>
      <x:c r="J59" s="60" t="n">
        <x:v>723.7040406064</x:v>
      </x:c>
      <x:c r="K59" s="60" t="n">
        <x:v>205.17885542209999</x:v>
      </x:c>
      <x:c r="L59" s="60" t="n">
        <x:v>723.7040406064</x:v>
      </x:c>
      <x:c r="M59" s="60" t="n">
        <x:v>205.17885542209999</x:v>
      </x:c>
      <x:c r="N59" s="46" t="str">
        <x:v>salmonidae</x:v>
      </x:c>
      <x:c r="O59" s="62" t="n">
        <x:v>3.3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Salmonidae</x:v>
      </x:c>
      <x:c r="T59" s="62" t="n">
        <x:f>IF(O59="","",(1/'Metadata'!$B$5)^(O59-1))</x:f>
        <x:v>982.5824208926318</x:v>
      </x:c>
      <x:c r="U59" s="60" t="n">
        <x:f>IF(T59="","",I59*T59)</x:f>
        <x:v>912704.0047054423</x:v>
      </x:c>
    </x:row>
    <x:row r="60" ht="18" customHeight="1">
      <x:c r="A60" s="46" t="str">
        <x:v>LME_051</x:v>
      </x:c>
      <x:c r="B60" s="46" t="str">
        <x:v>Oyashio Current</x:v>
      </x:c>
      <x:c r="C60" s="46" t="str">
        <x:v>LME</x:v>
      </x:c>
      <x:c r="D60" s="58" t="n">
        <x:v>2019</x:v>
      </x:c>
      <x:c r="E60" s="46" t="str">
        <x:v>Hippoglossus stenolepis</x:v>
      </x:c>
      <x:c r="F60" s="46" t="str">
        <x:v>Pacific halibut</x:v>
      </x:c>
      <x:c r="G60" s="46" t="str">
        <x:v>Large flatfishes (&gt;=90 cm)</x:v>
      </x:c>
      <x:c r="H60" s="46" t="str">
        <x:v>Flatfishes</x:v>
      </x:c>
      <x:c r="I60" s="60" t="n">
        <x:v>869.7077455139</x:v>
      </x:c>
      <x:c r="J60" s="60" t="n">
        <x:v>760.2821787334</x:v>
      </x:c>
      <x:c r="K60" s="60" t="n">
        <x:v>109.4255667805</x:v>
      </x:c>
      <x:c r="L60" s="60" t="n">
        <x:v>579.2573230717</x:v>
      </x:c>
      <x:c r="M60" s="60" t="n">
        <x:v>290.45042244219997</x:v>
      </x:c>
      <x:c r="N60" s="46" t="str">
        <x:v>hippoglossus stenolepis</x:v>
      </x:c>
      <x:c r="O60" s="62" t="n">
        <x:v>4.14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Hippoglossus stenolepis</x:v>
      </x:c>
      <x:c r="T60" s="62" t="n">
        <x:f>IF(O60="","",(1/'Metadata'!$B$5)^(O60-1))</x:f>
        <x:v>12168.419864331923</x:v>
      </x:c>
      <x:c r="U60" s="60" t="n">
        <x:f>IF(T60="","",I60*T60)</x:f>
        <x:v>10582969.006674673</x:v>
      </x:c>
    </x:row>
    <x:row r="61" ht="18" customHeight="1">
      <x:c r="A61" s="46" t="str">
        <x:v>LME_051</x:v>
      </x:c>
      <x:c r="B61" s="46" t="str">
        <x:v>Oyashio Current</x:v>
      </x:c>
      <x:c r="C61" s="46" t="str">
        <x:v>LME</x:v>
      </x:c>
      <x:c r="D61" s="58" t="n">
        <x:v>2019</x:v>
      </x:c>
      <x:c r="E61" s="46" t="str">
        <x:v>Pandalus borealis</x:v>
      </x:c>
      <x:c r="F61" s="46" t="str">
        <x:v>Northern prawn</x:v>
      </x:c>
      <x:c r="G61" s="46" t="str">
        <x:v>Shrimps</x:v>
      </x:c>
      <x:c r="H61" s="46" t="str">
        <x:v>Crustaceans</x:v>
      </x:c>
      <x:c r="I61" s="60" t="n">
        <x:v>774.7579985255</x:v>
      </x:c>
      <x:c r="J61" s="60" t="n">
        <x:v>774.7579985255</x:v>
      </x:c>
      <x:c r="K61" s="60" t="n">
        <x:v>0</x:v>
      </x:c>
      <x:c r="L61" s="60" t="n">
        <x:v>607.4138859545001</x:v>
      </x:c>
      <x:c r="M61" s="60" t="n">
        <x:v>167.344112571</x:v>
      </x:c>
      <x:c r="N61" s="46" t="str">
        <x:v>pandalus borealis</x:v>
      </x:c>
      <x:c r="O61" s="62" t="n">
        <x:v>3.07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Pandalus borealis</x:v>
      </x:c>
      <x:c r="T61" s="62" t="n">
        <x:f>IF(O61="","",(1/'Metadata'!$B$5)^(O61-1))</x:f>
        <x:v>493.32382598718914</x:v>
      </x:c>
      <x:c r="U61" s="60" t="n">
        <x:f>IF(T61="","",I61*T61)</x:f>
        <x:v>382206.58004677674</x:v>
      </x:c>
    </x:row>
    <x:row r="62" ht="18" customHeight="1">
      <x:c r="A62" s="46" t="str">
        <x:v>LME_051</x:v>
      </x:c>
      <x:c r="B62" s="46" t="str">
        <x:v>Oyashio Current</x:v>
      </x:c>
      <x:c r="C62" s="46" t="str">
        <x:v>LME</x:v>
      </x:c>
      <x:c r="D62" s="58" t="n">
        <x:v>2019</x:v>
      </x:c>
      <x:c r="E62" s="46" t="str">
        <x:v>Muraenesox cinereus</x:v>
      </x:c>
      <x:c r="F62" s="46" t="str">
        <x:v>Daggertooth pike conger</x:v>
      </x:c>
      <x:c r="G62" s="46" t="str">
        <x:v>Large demersals (&gt;=90 cm)</x:v>
      </x:c>
      <x:c r="H62" s="46" t="str">
        <x:v>Other fishes &amp; inverts</x:v>
      </x:c>
      <x:c r="I62" s="60" t="n">
        <x:v>706.2588237739</x:v>
      </x:c>
      <x:c r="J62" s="60" t="n">
        <x:v>703.5513464299</x:v>
      </x:c>
      <x:c r="K62" s="60" t="n">
        <x:v>2.707477344</x:v>
      </x:c>
      <x:c r="L62" s="60" t="n">
        <x:v>703.5513464299</x:v>
      </x:c>
      <x:c r="M62" s="60" t="n">
        <x:v>2.707477344</x:v>
      </x:c>
      <x:c r="N62" s="46" t="str">
        <x:v>muraenesox cinereus</x:v>
      </x:c>
      <x:c r="O62" s="62" t="n">
        <x:v>4.38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Muraenesox cinereus</x:v>
      </x:c>
      <x:c r="T62" s="62" t="n">
        <x:f>IF(O62="","",(1/'Metadata'!$B$5)^(O62-1))</x:f>
        <x:v>24973.6134538561</x:v>
      </x:c>
      <x:c r="U62" s="60" t="n">
        <x:f>IF(T62="","",I62*T62)</x:f>
        <x:v>17637834.86330445</x:v>
      </x:c>
    </x:row>
    <x:row r="63" ht="18" customHeight="1">
      <x:c r="A63" s="46" t="str">
        <x:v>LME_051</x:v>
      </x:c>
      <x:c r="B63" s="46" t="str">
        <x:v>Oyashio Current</x:v>
      </x:c>
      <x:c r="C63" s="46" t="str">
        <x:v>LME</x:v>
      </x:c>
      <x:c r="D63" s="58" t="n">
        <x:v>2019</x:v>
      </x:c>
      <x:c r="E63" s="46" t="str">
        <x:v>Scombridae</x:v>
      </x:c>
      <x:c r="F63" s="46" t="str">
        <x:v>Mackerels, tunas, bonitos</x:v>
      </x:c>
      <x:c r="G63" s="46" t="str">
        <x:v>Medium pelagics (30 - 89 cm)</x:v>
      </x:c>
      <x:c r="H63" s="46" t="str">
        <x:v>Perch-likes</x:v>
      </x:c>
      <x:c r="I63" s="60" t="n">
        <x:v>628.1257167879</x:v>
      </x:c>
      <x:c r="J63" s="60" t="n">
        <x:v>552.6580056146</x:v>
      </x:c>
      <x:c r="K63" s="60" t="n">
        <x:v>75.4677111733</x:v>
      </x:c>
      <x:c r="L63" s="60" t="n">
        <x:v>421.8827896014</x:v>
      </x:c>
      <x:c r="M63" s="60" t="n">
        <x:v>206.2429271865</x:v>
      </x:c>
      <x:c r="N63" s="46" t="str">
        <x:v>scombridae</x:v>
      </x:c>
      <x:c r="O63" s="62" t="n">
        <x:v>4.26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Scombridae</x:v>
      </x:c>
      <x:c r="T63" s="62" t="n">
        <x:f>IF(O63="","",(1/'Metadata'!$B$5)^(O63-1))</x:f>
        <x:v>17432.42421569787</x:v>
      </x:c>
      <x:c r="U63" s="60" t="n">
        <x:f>IF(T63="","",I63*T63)</x:f>
        <x:v>10949753.95583597</x:v>
      </x:c>
    </x:row>
    <x:row r="64" ht="18" customHeight="1">
      <x:c r="A64" s="46" t="str">
        <x:v>LME_051</x:v>
      </x:c>
      <x:c r="B64" s="46" t="str">
        <x:v>Oyashio Current</x:v>
      </x:c>
      <x:c r="C64" s="46" t="str">
        <x:v>LME</x:v>
      </x:c>
      <x:c r="D64" s="58" t="n">
        <x:v>2019</x:v>
      </x:c>
      <x:c r="E64" s="46" t="str">
        <x:v>Paralichthys olivaceus</x:v>
      </x:c>
      <x:c r="F64" s="46" t="str">
        <x:v>Bastard halibut</x:v>
      </x:c>
      <x:c r="G64" s="46" t="str">
        <x:v>Large flatfishes (&gt;=90 cm)</x:v>
      </x:c>
      <x:c r="H64" s="46" t="str">
        <x:v>Flatfishes</x:v>
      </x:c>
      <x:c r="I64" s="60" t="n">
        <x:v>532.9490671617</x:v>
      </x:c>
      <x:c r="J64" s="60" t="n">
        <x:v>498.1668615454</x:v>
      </x:c>
      <x:c r="K64" s="60" t="n">
        <x:v>34.782205616300004</x:v>
      </x:c>
      <x:c r="L64" s="60" t="n">
        <x:v>450.8562161479</x:v>
      </x:c>
      <x:c r="M64" s="60" t="n">
        <x:v>82.0928510138</x:v>
      </x:c>
      <x:c r="N64" s="46" t="str">
        <x:v>paralichthys olivaceus</x:v>
      </x:c>
      <x:c r="O64" s="62" t="n">
        <x:v>4.25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Paralichthys olivaceus</x:v>
      </x:c>
      <x:c r="T64" s="62" t="n">
        <x:f>IF(O64="","",(1/'Metadata'!$B$5)^(O64-1))</x:f>
        <x:v>16917.940215049024</x:v>
      </x:c>
      <x:c r="U64" s="60" t="n">
        <x:f>IF(T64="","",I64*T64)</x:f>
        <x:v>9016400.455907788</x:v>
      </x:c>
    </x:row>
    <x:row r="65" ht="18" customHeight="1">
      <x:c r="A65" s="46" t="str">
        <x:v>LME_051</x:v>
      </x:c>
      <x:c r="B65" s="46" t="str">
        <x:v>Oyashio Current</x:v>
      </x:c>
      <x:c r="C65" s="46" t="str">
        <x:v>LME</x:v>
      </x:c>
      <x:c r="D65" s="58" t="n">
        <x:v>2019</x:v>
      </x:c>
      <x:c r="E65" s="46" t="str">
        <x:v>Gadidae</x:v>
      </x:c>
      <x:c r="F65" s="46" t="str">
        <x:v>Cods, haddocks</x:v>
      </x:c>
      <x:c r="G65" s="46" t="str">
        <x:v>Medium demersals (30 - 89 cm)</x:v>
      </x:c>
      <x:c r="H65" s="46" t="str">
        <x:v>Cod-likes</x:v>
      </x:c>
      <x:c r="I65" s="60" t="n">
        <x:v>523.3554830247</x:v>
      </x:c>
      <x:c r="J65" s="60" t="n">
        <x:v>523.3554830247</x:v>
      </x:c>
      <x:c r="K65" s="60" t="n">
        <x:v>0</x:v>
      </x:c>
      <x:c r="L65" s="60" t="n">
        <x:v>0</x:v>
      </x:c>
      <x:c r="M65" s="60" t="n">
        <x:v>523.3554830247</x:v>
      </x:c>
      <x:c r="N65" s="46" t="str">
        <x:v>gadidae</x:v>
      </x:c>
      <x:c r="O65" s="62" t="n">
        <x:v>3.84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Gadidae</x:v>
      </x:c>
      <x:c r="T65" s="62" t="n">
        <x:f>IF(O65="","",(1/'Metadata'!$B$5)^(O65-1))</x:f>
        <x:v>4953.648510535111</x:v>
      </x:c>
      <x:c r="U65" s="60" t="n">
        <x:f>IF(T65="","",I65*T65)</x:f>
        <x:v>2592519.108965689</x:v>
      </x:c>
    </x:row>
    <x:row r="66" ht="18" customHeight="1">
      <x:c r="A66" s="46" t="str">
        <x:v>LME_051</x:v>
      </x:c>
      <x:c r="B66" s="46" t="str">
        <x:v>Oyashio Current</x:v>
      </x:c>
      <x:c r="C66" s="46" t="str">
        <x:v>LME</x:v>
      </x:c>
      <x:c r="D66" s="58" t="n">
        <x:v>2019</x:v>
      </x:c>
      <x:c r="E66" s="46" t="str">
        <x:v>Pandalus hypsinotus</x:v>
      </x:c>
      <x:c r="F66" s="46" t="str">
        <x:v>Coonstriped shrimp</x:v>
      </x:c>
      <x:c r="G66" s="46" t="str">
        <x:v>Shrimps</x:v>
      </x:c>
      <x:c r="H66" s="46" t="str">
        <x:v>Crustaceans</x:v>
      </x:c>
      <x:c r="I66" s="60" t="n">
        <x:v>510.082187969</x:v>
      </x:c>
      <x:c r="J66" s="60" t="n">
        <x:v>510.082187969</x:v>
      </x:c>
      <x:c r="K66" s="60" t="n">
        <x:v>0</x:v>
      </x:c>
      <x:c r="L66" s="60" t="n">
        <x:v>430.01617383300004</x:v>
      </x:c>
      <x:c r="M66" s="60" t="n">
        <x:v>80.066014136</x:v>
      </x:c>
      <x:c r="N66" s="46" t="str">
        <x:v>pandalus hypsinotus</x:v>
      </x:c>
      <x:c r="O66" s="62" t="n">
        <x:v>2.6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Pandalus hypsinotus</x:v>
      </x:c>
      <x:c r="T66" s="62" t="n">
        <x:f>IF(O66="","",(1/'Metadata'!$B$5)^(O66-1))</x:f>
        <x:v>120.6835267309033</x:v>
      </x:c>
      <x:c r="U66" s="60" t="n">
        <x:f>IF(T66="","",I66*T66)</x:f>
        <x:v>61558.517366714455</x:v>
      </x:c>
    </x:row>
    <x:row r="67" ht="18" customHeight="1">
      <x:c r="A67" s="46" t="str">
        <x:v>LME_051</x:v>
      </x:c>
      <x:c r="B67" s="46" t="str">
        <x:v>Oyashio Current</x:v>
      </x:c>
      <x:c r="C67" s="46" t="str">
        <x:v>LME</x:v>
      </x:c>
      <x:c r="D67" s="58" t="n">
        <x:v>2019</x:v>
      </x:c>
      <x:c r="E67" s="46" t="str">
        <x:v>Elasmobranchii</x:v>
      </x:c>
      <x:c r="F67" s="46" t="str">
        <x:v>Sharks, rays, skates</x:v>
      </x:c>
      <x:c r="G67" s="46" t="str">
        <x:v>Large sharks (&gt;=90 cm)</x:v>
      </x:c>
      <x:c r="H67" s="46" t="str">
        <x:v>Sharks &amp; rays</x:v>
      </x:c>
      <x:c r="I67" s="60" t="n">
        <x:v>494.5491252072</x:v>
      </x:c>
      <x:c r="J67" s="60" t="n">
        <x:v>493.62381093330004</x:v>
      </x:c>
      <x:c r="K67" s="60" t="n">
        <x:v>0.9253142739</x:v>
      </x:c>
      <x:c r="L67" s="60" t="n">
        <x:v>360.207617511</x:v>
      </x:c>
      <x:c r="M67" s="60" t="n">
        <x:v>134.34150769619998</x:v>
      </x:c>
      <x:c r="N67" s="46" t="str">
        <x:v>elasmobranchii</x:v>
      </x:c>
      <x:c r="O67" s="62" t="n">
        <x:v>4.05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Elasmobranchii</x:v>
      </x:c>
      <x:c r="T67" s="62" t="n">
        <x:f>IF(O67="","",(1/'Metadata'!$B$5)^(O67-1))</x:f>
        <x:v>9292.690797132333</x:v>
      </x:c>
      <x:c r="U67" s="60" t="n">
        <x:f>IF(T67="","",I67*T67)</x:f>
        <x:v>4595692.104542793</x:v>
      </x:c>
    </x:row>
    <x:row r="68" ht="18" customHeight="1">
      <x:c r="A68" s="46" t="str">
        <x:v>LME_051</x:v>
      </x:c>
      <x:c r="B68" s="46" t="str">
        <x:v>Oyashio Current</x:v>
      </x:c>
      <x:c r="C68" s="46" t="str">
        <x:v>LME</x:v>
      </x:c>
      <x:c r="D68" s="58" t="n">
        <x:v>2019</x:v>
      </x:c>
      <x:c r="E68" s="46" t="str">
        <x:v>Actinopterygii</x:v>
      </x:c>
      <x:c r="F68" s="46" t="str">
        <x:v>Ray-finned fishes</x:v>
      </x:c>
      <x:c r="G68" s="46" t="str">
        <x:v>Medium demersals (30 - 89 cm)</x:v>
      </x:c>
      <x:c r="H68" s="46" t="str">
        <x:v>Other fishes &amp; inverts</x:v>
      </x:c>
      <x:c r="I68" s="60" t="n">
        <x:v>455.90864544529995</x:v>
      </x:c>
      <x:c r="J68" s="60" t="n">
        <x:v>455.90864544529995</x:v>
      </x:c>
      <x:c r="K68" s="60" t="n">
        <x:v>0</x:v>
      </x:c>
      <x:c r="L68" s="60" t="n">
        <x:v>0</x:v>
      </x:c>
      <x:c r="M68" s="60" t="n">
        <x:v>455.90864544529995</x:v>
      </x:c>
      <x:c r="N68" s="46" t="str">
        <x:v>actinopterygii</x:v>
      </x:c>
      <x:c r="O68" s="62" t="n">
        <x:v>3.79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Actinopterygii</x:v>
      </x:c>
      <x:c r="T68" s="62" t="n">
        <x:f>IF(O68="","",(1/'Metadata'!$B$5)^(O68-1))</x:f>
        <x:v>4264.554685980751</x:v>
      </x:c>
      <x:c r="U68" s="60" t="n">
        <x:f>IF(T68="","",I68*T68)</x:f>
        <x:v>1944247.3503128907</x:v>
      </x:c>
    </x:row>
    <x:row r="69" ht="18" customHeight="1">
      <x:c r="A69" s="46" t="str">
        <x:v>LME_051</x:v>
      </x:c>
      <x:c r="B69" s="46" t="str">
        <x:v>Oyashio Current</x:v>
      </x:c>
      <x:c r="C69" s="46" t="str">
        <x:v>LME</x:v>
      </x:c>
      <x:c r="D69" s="58" t="n">
        <x:v>2019</x:v>
      </x:c>
      <x:c r="E69" s="46" t="str">
        <x:v>Mollusca</x:v>
      </x:c>
      <x:c r="F69" s="46" t="str">
        <x:v>Clams, seasnails, squids, octopuses</x:v>
      </x:c>
      <x:c r="G69" s="46" t="str">
        <x:v>Other demersal invertebrates</x:v>
      </x:c>
      <x:c r="H69" s="46" t="str">
        <x:v>Molluscs</x:v>
      </x:c>
      <x:c r="I69" s="60" t="n">
        <x:v>413.2343575558</x:v>
      </x:c>
      <x:c r="J69" s="60" t="n">
        <x:v>413.2343575558</x:v>
      </x:c>
      <x:c r="K69" s="60" t="n">
        <x:v>0</x:v>
      </x:c>
      <x:c r="L69" s="60" t="n">
        <x:v>8.9693619181</x:v>
      </x:c>
      <x:c r="M69" s="60" t="n">
        <x:v>404.2649956377</x:v>
      </x:c>
      <x:c r="N69" s="46" t="str">
        <x:v>mollusca</x:v>
      </x:c>
      <x:c r="O69" s="62" t="n">
        <x:v>2.1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Mollusca</x:v>
      </x:c>
      <x:c r="T69" s="62" t="n">
        <x:f>IF(O69="","",(1/'Metadata'!$B$5)^(O69-1))</x:f>
        <x:v>26.985656953471274</x:v>
      </x:c>
      <x:c r="U69" s="60" t="n">
        <x:f>IF(T69="","",I69*T69)</x:f>
        <x:v>11151.40061438891</x:v>
      </x:c>
    </x:row>
    <x:row r="70" ht="18" customHeight="1">
      <x:c r="A70" s="46" t="str">
        <x:v>LME_051</x:v>
      </x:c>
      <x:c r="B70" s="46" t="str">
        <x:v>Oyashio Current</x:v>
      </x:c>
      <x:c r="C70" s="46" t="str">
        <x:v>LME</x:v>
      </x:c>
      <x:c r="D70" s="58" t="n">
        <x:v>2019</x:v>
      </x:c>
      <x:c r="E70" s="46" t="str">
        <x:v>Penaeus chinensis</x:v>
      </x:c>
      <x:c r="F70" s="46" t="str">
        <x:v>Fleshy prawn</x:v>
      </x:c>
      <x:c r="G70" s="46" t="str">
        <x:v>Shrimps</x:v>
      </x:c>
      <x:c r="H70" s="46" t="str">
        <x:v>Crustaceans</x:v>
      </x:c>
      <x:c r="I70" s="60" t="n">
        <x:v>398.4794679743</x:v>
      </x:c>
      <x:c r="J70" s="60" t="n">
        <x:v>398.4794679743</x:v>
      </x:c>
      <x:c r="K70" s="60" t="n">
        <x:v>0</x:v>
      </x:c>
      <x:c r="L70" s="60" t="n">
        <x:v>398.4794679743</x:v>
      </x:c>
      <x:c r="M70" s="60" t="n">
        <x:v>0</x:v>
      </x:c>
      <x:c r="N70" s="46" t="str">
        <x:v>penaeus chinensis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Penaeus chinensis</x:v>
      </x:c>
      <x:c r="T70" s="62" t="n">
        <x:f>IF(O70="","",(1/'Metadata'!$B$5)^(O70-1))</x:f>
        <x:v>20</x:v>
      </x:c>
      <x:c r="U70" s="60" t="n">
        <x:f>IF(T70="","",I70*T70)</x:f>
        <x:v>7969.589359486</x:v>
      </x:c>
    </x:row>
    <x:row r="71" ht="18" customHeight="1">
      <x:c r="A71" s="46" t="str">
        <x:v>LME_051</x:v>
      </x:c>
      <x:c r="B71" s="46" t="str">
        <x:v>Oyashio Current</x:v>
      </x:c>
      <x:c r="C71" s="46" t="str">
        <x:v>LME</x:v>
      </x:c>
      <x:c r="D71" s="58" t="n">
        <x:v>2019</x:v>
      </x:c>
      <x:c r="E71" s="46" t="str">
        <x:v>Ommastrephidae</x:v>
      </x:c>
      <x:c r="F71" s="46" t="str">
        <x:v>Arrow squids</x:v>
      </x:c>
      <x:c r="G71" s="46" t="str">
        <x:v>Cephalopods</x:v>
      </x:c>
      <x:c r="H71" s="46" t="str">
        <x:v>Other fishes &amp; inverts</x:v>
      </x:c>
      <x:c r="I71" s="60" t="n">
        <x:v>383.1604215288</x:v>
      </x:c>
      <x:c r="J71" s="60" t="n">
        <x:v>0</x:v>
      </x:c>
      <x:c r="K71" s="60" t="n">
        <x:v>383.1604215288</x:v>
      </x:c>
      <x:c r="L71" s="60" t="n">
        <x:v>0</x:v>
      </x:c>
      <x:c r="M71" s="60" t="n">
        <x:v>383.1604215288</x:v>
      </x:c>
      <x:c r="N71" s="46" t="str">
        <x:v>ommastrephidae</x:v>
      </x:c>
      <x:c r="O71" s="62" t="n">
        <x:v>4.09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Ommastrephidae</x:v>
      </x:c>
      <x:c r="T71" s="62" t="n">
        <x:f>IF(O71="","",(1/'Metadata'!$B$5)^(O71-1))</x:f>
        <x:v>10475.691168449957</x:v>
      </x:c>
      <x:c r="U71" s="60" t="n">
        <x:f>IF(T71="","",I71*T71)</x:f>
        <x:v>4013870.2439088128</x:v>
      </x:c>
    </x:row>
    <x:row r="72" ht="18" customHeight="1">
      <x:c r="A72" s="46" t="str">
        <x:v>LME_051</x:v>
      </x:c>
      <x:c r="B72" s="46" t="str">
        <x:v>Oyashio Current</x:v>
      </x:c>
      <x:c r="C72" s="46" t="str">
        <x:v>LME</x:v>
      </x:c>
      <x:c r="D72" s="58" t="n">
        <x:v>2019</x:v>
      </x:c>
      <x:c r="E72" s="46" t="str">
        <x:v>Thunnus orientalis</x:v>
      </x:c>
      <x:c r="F72" s="46" t="str">
        <x:v>Pacific bluefin tuna</x:v>
      </x:c>
      <x:c r="G72" s="46" t="str">
        <x:v>Large pelagics (&gt;=90 cm)</x:v>
      </x:c>
      <x:c r="H72" s="46" t="str">
        <x:v>Tuna &amp; billfishes</x:v>
      </x:c>
      <x:c r="I72" s="60" t="n">
        <x:v>356.6574014747</x:v>
      </x:c>
      <x:c r="J72" s="60" t="n">
        <x:v>351.4444387346</x:v>
      </x:c>
      <x:c r="K72" s="60" t="n">
        <x:v>5.2129627401</x:v>
      </x:c>
      <x:c r="L72" s="60" t="n">
        <x:v>351.4444387346</x:v>
      </x:c>
      <x:c r="M72" s="60" t="n">
        <x:v>5.2129627401</x:v>
      </x:c>
      <x:c r="N72" s="46" t="str">
        <x:v>thunnus orientalis</x:v>
      </x:c>
      <x:c r="O72" s="62" t="n">
        <x:v>4.05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Thunnus orientalis</x:v>
      </x:c>
      <x:c r="T72" s="62" t="n">
        <x:f>IF(O72="","",(1/'Metadata'!$B$5)^(O72-1))</x:f>
        <x:v>9292.690797132333</x:v>
      </x:c>
      <x:c r="U72" s="60" t="n">
        <x:f>IF(T72="","",I72*T72)</x:f>
        <x:v>3314306.9524130765</x:v>
      </x:c>
    </x:row>
    <x:row r="73" ht="18" customHeight="1">
      <x:c r="A73" s="46" t="str">
        <x:v>LME_051</x:v>
      </x:c>
      <x:c r="B73" s="46" t="str">
        <x:v>Oyashio Current</x:v>
      </x:c>
      <x:c r="C73" s="46" t="str">
        <x:v>LME</x:v>
      </x:c>
      <x:c r="D73" s="58" t="n">
        <x:v>2019</x:v>
      </x:c>
      <x:c r="E73" s="46" t="str">
        <x:v>Apostichopus japonicus</x:v>
      </x:c>
      <x:c r="F73" s="46" t="str">
        <x:v>Japanese sea cucumber</x:v>
      </x:c>
      <x:c r="G73" s="46" t="str">
        <x:v>Other demersal invertebrates</x:v>
      </x:c>
      <x:c r="H73" s="46" t="str">
        <x:v>Other fishes &amp; inverts</x:v>
      </x:c>
      <x:c r="I73" s="60" t="n">
        <x:v>335.6378486115</x:v>
      </x:c>
      <x:c r="J73" s="60" t="n">
        <x:v>335.6378486115</x:v>
      </x:c>
      <x:c r="K73" s="60" t="n">
        <x:v>0</x:v>
      </x:c>
      <x:c r="L73" s="60" t="n">
        <x:v>327.8097967353</x:v>
      </x:c>
      <x:c r="M73" s="60" t="n">
        <x:v>7.8280518762</x:v>
      </x:c>
      <x:c r="N73" s="46" t="str">
        <x:v>apostichopus japonicus</x:v>
      </x:c>
      <x:c r="O73" s="62" t="n">
        <x:v>2.3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Apostichopus japonicus</x:v>
      </x:c>
      <x:c r="T73" s="62" t="n">
        <x:f>IF(O73="","",(1/'Metadata'!$B$5)^(O73-1))</x:f>
        <x:v>49.12912104463159</x:v>
      </x:c>
      <x:c r="U73" s="60" t="n">
        <x:f>IF(T73="","",I73*T73)</x:f>
        <x:v>16489.592491594114</x:v>
      </x:c>
    </x:row>
    <x:row r="74" ht="18" customHeight="1">
      <x:c r="A74" s="46" t="str">
        <x:v>LME_051</x:v>
      </x:c>
      <x:c r="B74" s="46" t="str">
        <x:v>Oyashio Current</x:v>
      </x:c>
      <x:c r="C74" s="46" t="str">
        <x:v>LME</x:v>
      </x:c>
      <x:c r="D74" s="58" t="n">
        <x:v>2019</x:v>
      </x:c>
      <x:c r="E74" s="46" t="str">
        <x:v>Tetraodontidae</x:v>
      </x:c>
      <x:c r="F74" s="46" t="str">
        <x:v>Puffers, tobies</x:v>
      </x:c>
      <x:c r="G74" s="46" t="str">
        <x:v>Large reef assoc. fish (&gt;=90 cm)</x:v>
      </x:c>
      <x:c r="H74" s="46" t="str">
        <x:v>Other fishes &amp; inverts</x:v>
      </x:c>
      <x:c r="I74" s="60" t="n">
        <x:v>279.35341626670004</x:v>
      </x:c>
      <x:c r="J74" s="60" t="n">
        <x:v>264.0392659994</x:v>
      </x:c>
      <x:c r="K74" s="60" t="n">
        <x:v>15.3141502673</x:v>
      </x:c>
      <x:c r="L74" s="60" t="n">
        <x:v>245.5373476675</x:v>
      </x:c>
      <x:c r="M74" s="60" t="n">
        <x:v>33.8160685992</x:v>
      </x:c>
      <x:c r="N74" s="46" t="str">
        <x:v>tetraodontidae</x:v>
      </x:c>
      <x:c r="O74" s="62" t="n">
        <x:v>3.5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Tetraodontidae</x:v>
      </x:c>
      <x:c r="T74" s="62" t="n">
        <x:f>IF(O74="","",(1/'Metadata'!$B$5)^(O74-1))</x:f>
        <x:v>1788.8543819998317</x:v>
      </x:c>
      <x:c r="U74" s="60" t="n">
        <x:f>IF(T74="","",I74*T74)</x:f>
        <x:v>499722.58281530946</x:v>
      </x:c>
    </x:row>
    <x:row r="75" ht="18" customHeight="1">
      <x:c r="A75" s="46" t="str">
        <x:v>LME_051</x:v>
      </x:c>
      <x:c r="B75" s="46" t="str">
        <x:v>Oyashio Current</x:v>
      </x:c>
      <x:c r="C75" s="46" t="str">
        <x:v>LME</x:v>
      </x:c>
      <x:c r="D75" s="58" t="n">
        <x:v>2019</x:v>
      </x:c>
      <x:c r="E75" s="46" t="str">
        <x:v>Osmeridae</x:v>
      </x:c>
      <x:c r="F75" s="46" t="str">
        <x:v>Smelts</x:v>
      </x:c>
      <x:c r="G75" s="46" t="str">
        <x:v>Small pelagics (&lt;30 cm)</x:v>
      </x:c>
      <x:c r="H75" s="46" t="str">
        <x:v>Salmon, smelts, etc</x:v>
      </x:c>
      <x:c r="I75" s="60" t="n">
        <x:v>242.59948480810002</x:v>
      </x:c>
      <x:c r="J75" s="60" t="n">
        <x:v>242.59948480810002</x:v>
      </x:c>
      <x:c r="K75" s="60" t="n">
        <x:v>0</x:v>
      </x:c>
      <x:c r="L75" s="60" t="n">
        <x:v>0</x:v>
      </x:c>
      <x:c r="M75" s="60" t="n">
        <x:v>242.59948480810002</x:v>
      </x:c>
      <x:c r="N75" s="46" t="str">
        <x:v>osmeridae</x:v>
      </x:c>
      <x:c r="O75" s="62" t="n">
        <x:v>3.46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Osmeridae</x:v>
      </x:c>
      <x:c r="T75" s="62" t="n">
        <x:f>IF(O75="","",(1/'Metadata'!$B$5)^(O75-1))</x:f>
        <x:v>1586.8423749532276</x:v>
      </x:c>
      <x:c r="U75" s="60" t="n">
        <x:f>IF(T75="","",I75*T75)</x:f>
        <x:v>384967.1426353149</x:v>
      </x:c>
    </x:row>
    <x:row r="76" ht="18" customHeight="1">
      <x:c r="A76" s="46" t="str">
        <x:v>LME_051</x:v>
      </x:c>
      <x:c r="B76" s="46" t="str">
        <x:v>Oyashio Current</x:v>
      </x:c>
      <x:c r="C76" s="46" t="str">
        <x:v>LME</x:v>
      </x:c>
      <x:c r="D76" s="58" t="n">
        <x:v>2019</x:v>
      </x:c>
      <x:c r="E76" s="46" t="str">
        <x:v>Sebastes</x:v>
      </x:c>
      <x:c r="F76" s="46" t="str">
        <x:v>Redfishes</x:v>
      </x:c>
      <x:c r="G76" s="46" t="str">
        <x:v>Large reef assoc. fish (&gt;=90 cm)</x:v>
      </x:c>
      <x:c r="H76" s="46" t="str">
        <x:v>Scorpionfishes</x:v>
      </x:c>
      <x:c r="I76" s="60" t="n">
        <x:v>237.2675830419</x:v>
      </x:c>
      <x:c r="J76" s="60" t="n">
        <x:v>237.2675830419</x:v>
      </x:c>
      <x:c r="K76" s="60" t="n">
        <x:v>0</x:v>
      </x:c>
      <x:c r="L76" s="60" t="n">
        <x:v>0</x:v>
      </x:c>
      <x:c r="M76" s="60" t="n">
        <x:v>237.2675830419</x:v>
      </x:c>
      <x:c r="N76" s="46" t="str">
        <x:v>sebastes</x:v>
      </x:c>
      <x:c r="O76" s="62" t="n">
        <x:v>3.79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Sebastes</x:v>
      </x:c>
      <x:c r="T76" s="62" t="n">
        <x:f>IF(O76="","",(1/'Metadata'!$B$5)^(O76-1))</x:f>
        <x:v>4264.554685980751</x:v>
      </x:c>
      <x:c r="U76" s="60" t="n">
        <x:f>IF(T76="","",I76*T76)</x:f>
        <x:v>1011840.5830926616</x:v>
      </x:c>
    </x:row>
    <x:row r="77" ht="18" customHeight="1">
      <x:c r="A77" s="46" t="str">
        <x:v>LME_051</x:v>
      </x:c>
      <x:c r="B77" s="46" t="str">
        <x:v>Oyashio Current</x:v>
      </x:c>
      <x:c r="C77" s="46" t="str">
        <x:v>LME</x:v>
      </x:c>
      <x:c r="D77" s="58" t="n">
        <x:v>2019</x:v>
      </x:c>
      <x:c r="E77" s="46" t="str">
        <x:v>Oncorhynchus tshawytscha</x:v>
      </x:c>
      <x:c r="F77" s="46" t="str">
        <x:v>Chinook salmon</x:v>
      </x:c>
      <x:c r="G77" s="46" t="str">
        <x:v>Large benthopelagics (&gt;=90 cm)</x:v>
      </x:c>
      <x:c r="H77" s="46" t="str">
        <x:v>Salmon, smelts, etc</x:v>
      </x:c>
      <x:c r="I77" s="60" t="n">
        <x:v>210.7948202622</x:v>
      </x:c>
      <x:c r="J77" s="60" t="n">
        <x:v>210.7948202622</x:v>
      </x:c>
      <x:c r="K77" s="60" t="n">
        <x:v>0</x:v>
      </x:c>
      <x:c r="L77" s="60" t="n">
        <x:v>31.853213907</x:v>
      </x:c>
      <x:c r="M77" s="60" t="n">
        <x:v>178.9416063552</x:v>
      </x:c>
      <x:c r="N77" s="46" t="str">
        <x:v>oncorhynchus tshawytscha</x:v>
      </x:c>
      <x:c r="O77" s="62" t="n">
        <x:v>4.4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Oncorhynchus tshawytscha</x:v>
      </x:c>
      <x:c r="T77" s="62" t="n">
        <x:f>IF(O77="","",(1/'Metadata'!$B$5)^(O77-1))</x:f>
        <x:v>26515.632138719924</x:v>
      </x:c>
      <x:c r="U77" s="60" t="n">
        <x:f>IF(T77="","",I77*T77)</x:f>
        <x:v>5589357.91082008</x:v>
      </x:c>
    </x:row>
    <x:row r="78" ht="18" customHeight="1">
      <x:c r="A78" s="46" t="str">
        <x:v>LME_051</x:v>
      </x:c>
      <x:c r="B78" s="46" t="str">
        <x:v>Oyashio Current</x:v>
      </x:c>
      <x:c r="C78" s="46" t="str">
        <x:v>LME</x:v>
      </x:c>
      <x:c r="D78" s="58" t="n">
        <x:v>2019</x:v>
      </x:c>
      <x:c r="E78" s="46" t="str">
        <x:v>Trachurus</x:v>
      </x:c>
      <x:c r="F78" s="46" t="str">
        <x:v>Jacks, horse mackerels</x:v>
      </x:c>
      <x:c r="G78" s="46" t="str">
        <x:v>Medium pelagics (30 - 89 cm)</x:v>
      </x:c>
      <x:c r="H78" s="46" t="str">
        <x:v>Perch-likes</x:v>
      </x:c>
      <x:c r="I78" s="60" t="n">
        <x:v>197.2638921502</x:v>
      </x:c>
      <x:c r="J78" s="60" t="n">
        <x:v>197.2638921502</x:v>
      </x:c>
      <x:c r="K78" s="60" t="n">
        <x:v>0</x:v>
      </x:c>
      <x:c r="L78" s="60" t="n">
        <x:v>197.2638921502</x:v>
      </x:c>
      <x:c r="M78" s="60" t="n">
        <x:v>0</x:v>
      </x:c>
      <x:c r="N78" s="46" t="str">
        <x:v>trachurus</x:v>
      </x:c>
      <x:c r="O78" s="62" t="n">
        <x:v>3.69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Trachurus</x:v>
      </x:c>
      <x:c r="T78" s="62" t="n">
        <x:f>IF(O78="","",(1/'Metadata'!$B$5)^(O78-1))</x:f>
        <x:v>3160.6083878807954</x:v>
      </x:c>
      <x:c r="U78" s="60" t="n">
        <x:f>IF(T78="","",I78*T78)</x:f>
        <x:v>623473.9121559347</x:v>
      </x:c>
    </x:row>
    <x:row r="79" ht="18" customHeight="1">
      <x:c r="A79" s="46" t="str">
        <x:v>LME_051</x:v>
      </x:c>
      <x:c r="B79" s="46" t="str">
        <x:v>Oyashio Current</x:v>
      </x:c>
      <x:c r="C79" s="46" t="str">
        <x:v>LME</x:v>
      </x:c>
      <x:c r="D79" s="58" t="n">
        <x:v>2019</x:v>
      </x:c>
      <x:c r="E79" s="46" t="str">
        <x:v>Miscellaneous aquatic invertebrates</x:v>
      </x:c>
      <x:c r="F79" s="46" t="str">
        <x:v>Aquatic invertebrates</x:v>
      </x:c>
      <x:c r="G79" s="46" t="str">
        <x:v>Other demersal invertebrates</x:v>
      </x:c>
      <x:c r="H79" s="46" t="str">
        <x:v>Other fishes &amp; inverts</x:v>
      </x:c>
      <x:c r="I79" s="60" t="n">
        <x:v>195.7920947163</x:v>
      </x:c>
      <x:c r="J79" s="60" t="n">
        <x:v>195.7920947163</x:v>
      </x:c>
      <x:c r="K79" s="60" t="n">
        <x:v>0</x:v>
      </x:c>
      <x:c r="L79" s="60" t="n">
        <x:v>195.7895963497</x:v>
      </x:c>
      <x:c r="M79" s="60" t="n">
        <x:v>0.0024983666</x:v>
      </x:c>
      <x:c r="N79" s="46" t="str">
        <x:v>miscellaneous aquatic invertebrates</x:v>
      </x:c>
      <x:c r="O79" s="62" t="n">
        <x:v>2.43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Miscellaneous aquatic invertebrates</x:v>
      </x:c>
      <x:c r="T79" s="62" t="n">
        <x:f>IF(O79="","",(1/'Metadata'!$B$5)^(O79-1))</x:f>
        <x:v>72.52252122305909</x:v>
      </x:c>
      <x:c r="U79" s="60" t="n">
        <x:f>IF(T79="","",I79*T79)</x:f>
        <x:v>14199.336344370062</x:v>
      </x:c>
    </x:row>
    <x:row r="80" ht="18" customHeight="1">
      <x:c r="A80" s="46" t="str">
        <x:v>LME_051</x:v>
      </x:c>
      <x:c r="B80" s="46" t="str">
        <x:v>Oyashio Current</x:v>
      </x:c>
      <x:c r="C80" s="46" t="str">
        <x:v>LME</x:v>
      </x:c>
      <x:c r="D80" s="58" t="n">
        <x:v>2019</x:v>
      </x:c>
      <x:c r="E80" s="46" t="str">
        <x:v>Congridae</x:v>
      </x:c>
      <x:c r="F80" s="46" t="str">
        <x:v>Conger, garden eels</x:v>
      </x:c>
      <x:c r="G80" s="46" t="str">
        <x:v>Large demersals (&gt;=90 cm)</x:v>
      </x:c>
      <x:c r="H80" s="46" t="str">
        <x:v>Other fishes &amp; inverts</x:v>
      </x:c>
      <x:c r="I80" s="60" t="n">
        <x:v>193.4014008644</x:v>
      </x:c>
      <x:c r="J80" s="60" t="n">
        <x:v>127.35043344089999</x:v>
      </x:c>
      <x:c r="K80" s="60" t="n">
        <x:v>66.0509674235</x:v>
      </x:c>
      <x:c r="L80" s="60" t="n">
        <x:v>127.35043344089999</x:v>
      </x:c>
      <x:c r="M80" s="60" t="n">
        <x:v>66.0509674235</x:v>
      </x:c>
      <x:c r="N80" s="46" t="str">
        <x:v>congridae</x:v>
      </x:c>
      <x:c r="O80" s="62" t="n">
        <x:v>4.18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Congridae</x:v>
      </x:c>
      <x:c r="T80" s="62" t="n">
        <x:f>IF(O80="","",(1/'Metadata'!$B$5)^(O80-1))</x:f>
        <x:v>13717.513182092556</x:v>
      </x:c>
      <x:c r="U80" s="60" t="n">
        <x:f>IF(T80="","",I80*T80)</x:f>
        <x:v>2652986.2657925733</x:v>
      </x:c>
    </x:row>
    <x:row r="81" ht="18" customHeight="1">
      <x:c r="A81" s="46" t="str">
        <x:v>LME_051</x:v>
      </x:c>
      <x:c r="B81" s="46" t="str">
        <x:v>Oyashio Current</x:v>
      </x:c>
      <x:c r="C81" s="46" t="str">
        <x:v>LME</x:v>
      </x:c>
      <x:c r="D81" s="58" t="n">
        <x:v>2019</x:v>
      </x:c>
      <x:c r="E81" s="46" t="str">
        <x:v>Scyphozoa</x:v>
      </x:c>
      <x:c r="F81" s="46" t="str">
        <x:v>True jellyfishes</x:v>
      </x:c>
      <x:c r="G81" s="46" t="str">
        <x:v>Jellyfish</x:v>
      </x:c>
      <x:c r="H81" s="46" t="str">
        <x:v>Other fishes &amp; inverts</x:v>
      </x:c>
      <x:c r="I81" s="60" t="n">
        <x:v>178.4277878204</x:v>
      </x:c>
      <x:c r="J81" s="60" t="n">
        <x:v>178.4277878204</x:v>
      </x:c>
      <x:c r="K81" s="60" t="n">
        <x:v>0</x:v>
      </x:c>
      <x:c r="L81" s="60" t="n">
        <x:v>166.9523070494</x:v>
      </x:c>
      <x:c r="M81" s="60" t="n">
        <x:v>11.475480770999999</x:v>
      </x:c>
      <x:c r="N81" s="46" t="str">
        <x:v>scyphozoa</x:v>
      </x:c>
      <x:c r="O81" s="62" t="n">
        <x:v>3.46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Scyphozoa</x:v>
      </x:c>
      <x:c r="T81" s="62" t="n">
        <x:f>IF(O81="","",(1/'Metadata'!$B$5)^(O81-1))</x:f>
        <x:v>1586.8423749532276</x:v>
      </x:c>
      <x:c r="U81" s="60" t="n">
        <x:f>IF(T81="","",I81*T81)</x:f>
        <x:v>283136.7745825741</x:v>
      </x:c>
    </x:row>
    <x:row r="82" ht="18" customHeight="1">
      <x:c r="A82" s="46" t="str">
        <x:v>LME_051</x:v>
      </x:c>
      <x:c r="B82" s="46" t="str">
        <x:v>Oyashio Current</x:v>
      </x:c>
      <x:c r="C82" s="46" t="str">
        <x:v>LME</x:v>
      </x:c>
      <x:c r="D82" s="58" t="n">
        <x:v>2019</x:v>
      </x:c>
      <x:c r="E82" s="46" t="str">
        <x:v>Salvelinus</x:v>
      </x:c>
      <x:c r="F82" s="46" t="str">
        <x:v>Chars</x:v>
      </x:c>
      <x:c r="G82" s="46" t="str">
        <x:v>Large benthopelagics (&gt;=90 cm)</x:v>
      </x:c>
      <x:c r="H82" s="46" t="str">
        <x:v>Salmon, smelts, etc</x:v>
      </x:c>
      <x:c r="I82" s="60" t="n">
        <x:v>165.7938907683</x:v>
      </x:c>
      <x:c r="J82" s="60" t="n">
        <x:v>165.7938907683</x:v>
      </x:c>
      <x:c r="K82" s="60" t="n">
        <x:v>0</x:v>
      </x:c>
      <x:c r="L82" s="60" t="n">
        <x:v>0</x:v>
      </x:c>
      <x:c r="M82" s="60" t="n">
        <x:v>165.7938907683</x:v>
      </x:c>
      <x:c r="N82" s="46" t="str">
        <x:v>salvelinus</x:v>
      </x:c>
      <x:c r="O82" s="62" t="n">
        <x:v>4.1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Salvelinus</x:v>
      </x:c>
      <x:c r="T82" s="62" t="n">
        <x:f>IF(O82="","",(1/'Metadata'!$B$5)^(O82-1))</x:f>
        <x:v>10794.262781388496</x:v>
      </x:c>
      <x:c r="U82" s="60" t="n">
        <x:f>IF(T82="","",I82*T82)</x:f>
        <x:v>1789622.8245018504</x:v>
      </x:c>
    </x:row>
    <x:row r="83" ht="18" customHeight="1">
      <x:c r="A83" s="46" t="str">
        <x:v>LME_051</x:v>
      </x:c>
      <x:c r="B83" s="46" t="str">
        <x:v>Oyashio Current</x:v>
      </x:c>
      <x:c r="C83" s="46" t="str">
        <x:v>LME</x:v>
      </x:c>
      <x:c r="D83" s="58" t="n">
        <x:v>2019</x:v>
      </x:c>
      <x:c r="E83" s="46" t="str">
        <x:v>Atheresthes evermanni</x:v>
      </x:c>
      <x:c r="F83" s="46" t="str">
        <x:v>Kamchatka flounder</x:v>
      </x:c>
      <x:c r="G83" s="46" t="str">
        <x:v>Large flatfishes (&gt;=90 cm)</x:v>
      </x:c>
      <x:c r="H83" s="46" t="str">
        <x:v>Flatfishes</x:v>
      </x:c>
      <x:c r="I83" s="60" t="n">
        <x:v>154.1946533816</x:v>
      </x:c>
      <x:c r="J83" s="60" t="n">
        <x:v>144.71469621810002</x:v>
      </x:c>
      <x:c r="K83" s="60" t="n">
        <x:v>9.4799571635</x:v>
      </x:c>
      <x:c r="L83" s="60" t="n">
        <x:v>126.6078719156</x:v>
      </x:c>
      <x:c r="M83" s="60" t="n">
        <x:v>27.586781466</x:v>
      </x:c>
      <x:c r="N83" s="46" t="str">
        <x:v>atheresthes evermanni</x:v>
      </x:c>
      <x:c r="O83" s="62" t="n">
        <x:v>4.3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Atheresthes evermanni</x:v>
      </x:c>
      <x:c r="T83" s="62" t="n">
        <x:f>IF(O83="","",(1/'Metadata'!$B$5)^(O83-1))</x:f>
        <x:v>19651.648417852637</x:v>
      </x:c>
      <x:c r="U83" s="60" t="n">
        <x:f>IF(T83="","",I83*T83)</x:f>
        <x:v>3030179.1161678554</x:v>
      </x:c>
    </x:row>
    <x:row r="84" ht="18" customHeight="1">
      <x:c r="A84" s="46" t="str">
        <x:v>LME_051</x:v>
      </x:c>
      <x:c r="B84" s="46" t="str">
        <x:v>Oyashio Current</x:v>
      </x:c>
      <x:c r="C84" s="46" t="str">
        <x:v>LME</x:v>
      </x:c>
      <x:c r="D84" s="58" t="n">
        <x:v>2019</x:v>
      </x:c>
      <x:c r="E84" s="46" t="str">
        <x:v>Hexagrammidae</x:v>
      </x:c>
      <x:c r="F84" s="46" t="str">
        <x:v>Greenlings</x:v>
      </x:c>
      <x:c r="G84" s="46" t="str">
        <x:v>Medium demersals (30 - 89 cm)</x:v>
      </x:c>
      <x:c r="H84" s="46" t="str">
        <x:v>Scorpionfishes</x:v>
      </x:c>
      <x:c r="I84" s="60" t="n">
        <x:v>151.1384839704</x:v>
      </x:c>
      <x:c r="J84" s="60" t="n">
        <x:v>151.1384839704</x:v>
      </x:c>
      <x:c r="K84" s="60" t="n">
        <x:v>0</x:v>
      </x:c>
      <x:c r="L84" s="60" t="n">
        <x:v>0</x:v>
      </x:c>
      <x:c r="M84" s="60" t="n">
        <x:v>151.1384839704</x:v>
      </x:c>
      <x:c r="N84" s="46" t="str">
        <x:v>hexagrammidae</x:v>
      </x:c>
      <x:c r="O84" s="62" t="n">
        <x:v>3.72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Hexagrammidae</x:v>
      </x:c>
      <x:c r="T84" s="62" t="n">
        <x:f>IF(O84="","",(1/'Metadata'!$B$5)^(O84-1))</x:f>
        <x:v>3457.8136804537753</x:v>
      </x:c>
      <x:c r="U84" s="60" t="n">
        <x:f>IF(T84="","",I84*T84)</x:f>
        <x:v>522608.7175158927</x:v>
      </x:c>
    </x:row>
    <x:row r="85" ht="18" customHeight="1">
      <x:c r="A85" s="46" t="str">
        <x:v>LME_051</x:v>
      </x:c>
      <x:c r="B85" s="46" t="str">
        <x:v>Oyashio Current</x:v>
      </x:c>
      <x:c r="C85" s="46" t="str">
        <x:v>LME</x:v>
      </x:c>
      <x:c r="D85" s="58" t="n">
        <x:v>2019</x:v>
      </x:c>
      <x:c r="E85" s="46" t="str">
        <x:v>Beryx</x:v>
      </x:c>
      <x:c r="F85" s="46" t="str">
        <x:v>Alfonsinos</x:v>
      </x:c>
      <x:c r="G85" s="46" t="str">
        <x:v>Medium benthopelagics (30 - 89 cm)</x:v>
      </x:c>
      <x:c r="H85" s="46" t="str">
        <x:v>Other fishes &amp; inverts</x:v>
      </x:c>
      <x:c r="I85" s="60" t="n">
        <x:v>142.6725675116</x:v>
      </x:c>
      <x:c r="J85" s="60" t="n">
        <x:v>142.6725675116</x:v>
      </x:c>
      <x:c r="K85" s="60" t="n">
        <x:v>0</x:v>
      </x:c>
      <x:c r="L85" s="60" t="n">
        <x:v>142.6725675116</x:v>
      </x:c>
      <x:c r="M85" s="60" t="n">
        <x:v>0</x:v>
      </x:c>
      <x:c r="N85" s="46" t="str">
        <x:v>beryx</x:v>
      </x:c>
      <x:c r="O85" s="62" t="n">
        <x:v>3.97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Beryx</x:v>
      </x:c>
      <x:c r="T85" s="62" t="n">
        <x:f>IF(O85="","",(1/'Metadata'!$B$5)^(O85-1))</x:f>
        <x:v>7312.385640086951</x:v>
      </x:c>
      <x:c r="U85" s="60" t="n">
        <x:f>IF(T85="","",I85*T85)</x:f>
        <x:v>1043276.8339061599</x:v>
      </x:c>
    </x:row>
    <x:row r="86" ht="18" customHeight="1">
      <x:c r="A86" s="46" t="str">
        <x:v>LME_051</x:v>
      </x:c>
      <x:c r="B86" s="46" t="str">
        <x:v>Oyashio Current</x:v>
      </x:c>
      <x:c r="C86" s="46" t="str">
        <x:v>LME</x:v>
      </x:c>
      <x:c r="D86" s="58" t="n">
        <x:v>2019</x:v>
      </x:c>
      <x:c r="E86" s="46" t="str">
        <x:v>Sebastolobus alascanus</x:v>
      </x:c>
      <x:c r="F86" s="46" t="str">
        <x:v>Shortspine thornyhead</x:v>
      </x:c>
      <x:c r="G86" s="46" t="str">
        <x:v>Medium bathydemersals (30 - 89 cm)</x:v>
      </x:c>
      <x:c r="H86" s="46" t="str">
        <x:v>Scorpionfishes</x:v>
      </x:c>
      <x:c r="I86" s="60" t="n">
        <x:v>138.23338367780002</x:v>
      </x:c>
      <x:c r="J86" s="60" t="n">
        <x:v>138.23338367780002</x:v>
      </x:c>
      <x:c r="K86" s="60" t="n">
        <x:v>0</x:v>
      </x:c>
      <x:c r="L86" s="60" t="n">
        <x:v>121.26117442520001</x:v>
      </x:c>
      <x:c r="M86" s="60" t="n">
        <x:v>16.9722092526</x:v>
      </x:c>
      <x:c r="N86" s="46" t="str">
        <x:v>sebastolobus alascanus</x:v>
      </x:c>
      <x:c r="O86" s="62" t="n">
        <x:v>3.62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Sebastolobus alascanus</x:v>
      </x:c>
      <x:c r="T86" s="62" t="n">
        <x:f>IF(O86="","",(1/'Metadata'!$B$5)^(O86-1))</x:f>
        <x:v>2562.7048371775754</x:v>
      </x:c>
      <x:c r="U86" s="60" t="n">
        <x:f>IF(T86="","",I86*T86)</x:f>
        <x:v>354251.3610105218</x:v>
      </x:c>
    </x:row>
    <x:row r="87" ht="18" customHeight="1">
      <x:c r="A87" s="46" t="str">
        <x:v>LME_051</x:v>
      </x:c>
      <x:c r="B87" s="46" t="str">
        <x:v>Oyashio Current</x:v>
      </x:c>
      <x:c r="C87" s="46" t="str">
        <x:v>LME</x:v>
      </x:c>
      <x:c r="D87" s="58" t="n">
        <x:v>2019</x:v>
      </x:c>
      <x:c r="E87" s="46" t="str">
        <x:v>Mactridae</x:v>
      </x:c>
      <x:c r="F87" s="46" t="str">
        <x:v>Mactra surf clams</x:v>
      </x:c>
      <x:c r="G87" s="46" t="str">
        <x:v>Other demersal invertebrates</x:v>
      </x:c>
      <x:c r="H87" s="46" t="str">
        <x:v>Molluscs</x:v>
      </x:c>
      <x:c r="I87" s="60" t="n">
        <x:v>127.9581571157</x:v>
      </x:c>
      <x:c r="J87" s="60" t="n">
        <x:v>0</x:v>
      </x:c>
      <x:c r="K87" s="60" t="n">
        <x:v>127.9581571157</x:v>
      </x:c>
      <x:c r="L87" s="60" t="n">
        <x:v>0</x:v>
      </x:c>
      <x:c r="M87" s="60" t="n">
        <x:v>127.9581571157</x:v>
      </x:c>
      <x:c r="N87" s="46" t="str">
        <x:v>mactridae</x:v>
      </x:c>
      <x:c r="O87" s="62" t="n">
        <x:v>2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Mactridae</x:v>
      </x:c>
      <x:c r="T87" s="62" t="n">
        <x:f>IF(O87="","",(1/'Metadata'!$B$5)^(O87-1))</x:f>
        <x:v>20</x:v>
      </x:c>
      <x:c r="U87" s="60" t="n">
        <x:f>IF(T87="","",I87*T87)</x:f>
        <x:v>2559.163142314</x:v>
      </x:c>
    </x:row>
    <x:row r="88" ht="18" customHeight="1">
      <x:c r="A88" s="46" t="str">
        <x:v>LME_051</x:v>
      </x:c>
      <x:c r="B88" s="46" t="str">
        <x:v>Oyashio Current</x:v>
      </x:c>
      <x:c r="C88" s="46" t="str">
        <x:v>LME</x:v>
      </x:c>
      <x:c r="D88" s="58" t="n">
        <x:v>2019</x:v>
      </x:c>
      <x:c r="E88" s="46" t="str">
        <x:v>Bathylagidae</x:v>
      </x:c>
      <x:c r="F88" s="46" t="str">
        <x:v>Deepsea smelts</x:v>
      </x:c>
      <x:c r="G88" s="46" t="str">
        <x:v>Small bathypelagics (&lt;30 cm)</x:v>
      </x:c>
      <x:c r="H88" s="46" t="str">
        <x:v>Salmon, smelts, etc</x:v>
      </x:c>
      <x:c r="I88" s="60" t="n">
        <x:v>122.4792590461</x:v>
      </x:c>
      <x:c r="J88" s="60" t="n">
        <x:v>119.7805393319</x:v>
      </x:c>
      <x:c r="K88" s="60" t="n">
        <x:v>2.6987197142</x:v>
      </x:c>
      <x:c r="L88" s="60" t="n">
        <x:v>119.7805393319</x:v>
      </x:c>
      <x:c r="M88" s="60" t="n">
        <x:v>2.6987197142</x:v>
      </x:c>
      <x:c r="N88" s="46" t="str">
        <x:v>bathylagidae</x:v>
      </x:c>
      <x:c r="O88" s="62" t="n">
        <x:v>3.1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Bathylagidae</x:v>
      </x:c>
      <x:c r="T88" s="62" t="n">
        <x:f>IF(O88="","",(1/'Metadata'!$B$5)^(O88-1))</x:f>
        <x:v>539.7131390694254</x:v>
      </x:c>
      <x:c r="U88" s="60" t="n">
        <x:f>IF(T88="","",I88*T88)</x:f>
        <x:v>66103.66537066795</x:v>
      </x:c>
    </x:row>
    <x:row r="89" ht="18" customHeight="1">
      <x:c r="A89" s="46" t="str">
        <x:v>LME_051</x:v>
      </x:c>
      <x:c r="B89" s="46" t="str">
        <x:v>Oyashio Current</x:v>
      </x:c>
      <x:c r="C89" s="46" t="str">
        <x:v>LME</x:v>
      </x:c>
      <x:c r="D89" s="58" t="n">
        <x:v>2019</x:v>
      </x:c>
      <x:c r="E89" s="46" t="str">
        <x:v>Scorpaeniformes</x:v>
      </x:c>
      <x:c r="F89" s="46" t="str">
        <x:v>Scorpionfishes, flatheads</x:v>
      </x:c>
      <x:c r="G89" s="46" t="str">
        <x:v>Medium demersals (30 - 89 cm)</x:v>
      </x:c>
      <x:c r="H89" s="46" t="str">
        <x:v>Scorpionfishes</x:v>
      </x:c>
      <x:c r="I89" s="60" t="n">
        <x:v>122.2462839718</x:v>
      </x:c>
      <x:c r="J89" s="60" t="n">
        <x:v>122.2462839718</x:v>
      </x:c>
      <x:c r="K89" s="60" t="n">
        <x:v>0</x:v>
      </x:c>
      <x:c r="L89" s="60" t="n">
        <x:v>0</x:v>
      </x:c>
      <x:c r="M89" s="60" t="n">
        <x:v>122.2462839718</x:v>
      </x:c>
      <x:c r="N89" s="46" t="str">
        <x:v>scorpaeniformes</x:v>
      </x:c>
      <x:c r="O89" s="62" t="n">
        <x:v>3.78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Scorpaeniformes</x:v>
      </x:c>
      <x:c r="T89" s="62" t="n">
        <x:f>IF(O89="","",(1/'Metadata'!$B$5)^(O89-1))</x:f>
        <x:v>4138.694671981463</x:v>
      </x:c>
      <x:c r="U89" s="60" t="n">
        <x:f>IF(T89="","",I89*T89)</x:f>
        <x:v>505940.0441436216</x:v>
      </x:c>
    </x:row>
    <x:row r="90" ht="18" customHeight="1">
      <x:c r="A90" s="46" t="str">
        <x:v>LME_051</x:v>
      </x:c>
      <x:c r="B90" s="46" t="str">
        <x:v>Oyashio Current</x:v>
      </x:c>
      <x:c r="C90" s="46" t="str">
        <x:v>LME</x:v>
      </x:c>
      <x:c r="D90" s="58" t="n">
        <x:v>2019</x:v>
      </x:c>
      <x:c r="E90" s="46" t="str">
        <x:v>Sparidae</x:v>
      </x:c>
      <x:c r="F90" s="46" t="str">
        <x:v>Porgies, seabreams</x:v>
      </x:c>
      <x:c r="G90" s="46" t="str">
        <x:v>Medium benthopelagics (30 - 89 cm)</x:v>
      </x:c>
      <x:c r="H90" s="46" t="str">
        <x:v>Perch-likes</x:v>
      </x:c>
      <x:c r="I90" s="60" t="n">
        <x:v>120.72838278009999</x:v>
      </x:c>
      <x:c r="J90" s="60" t="n">
        <x:v>118.5111741719</x:v>
      </x:c>
      <x:c r="K90" s="60" t="n">
        <x:v>2.2172086082</x:v>
      </x:c>
      <x:c r="L90" s="60" t="n">
        <x:v>117.59259970289999</x:v>
      </x:c>
      <x:c r="M90" s="60" t="n">
        <x:v>3.1357830772</x:v>
      </x:c>
      <x:c r="N90" s="46" t="str">
        <x:v>sparidae</x:v>
      </x:c>
      <x:c r="O90" s="62" t="n">
        <x:v>3.31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Sparidae</x:v>
      </x:c>
      <x:c r="T90" s="62" t="n">
        <x:f>IF(O90="","",(1/'Metadata'!$B$5)^(O90-1))</x:f>
        <x:v>1012.4633005057666</x:v>
      </x:c>
      <x:c r="U90" s="60" t="n">
        <x:f>IF(T90="","",I90*T90)</x:f>
        <x:v>122233.0568942636</x:v>
      </x:c>
    </x:row>
    <x:row r="91" ht="18" customHeight="1">
      <x:c r="A91" s="46" t="str">
        <x:v>LME_051</x:v>
      </x:c>
      <x:c r="B91" s="46" t="str">
        <x:v>Oyashio Current</x:v>
      </x:c>
      <x:c r="C91" s="46" t="str">
        <x:v>LME</x:v>
      </x:c>
      <x:c r="D91" s="58" t="n">
        <x:v>2019</x:v>
      </x:c>
      <x:c r="E91" s="46" t="str">
        <x:v>Ruvettus pretiosus</x:v>
      </x:c>
      <x:c r="F91" s="46" t="str">
        <x:v>Oilfish</x:v>
      </x:c>
      <x:c r="G91" s="46" t="str">
        <x:v>Large benthopelagics (&gt;=90 cm)</x:v>
      </x:c>
      <x:c r="H91" s="46" t="str">
        <x:v>Perch-likes</x:v>
      </x:c>
      <x:c r="I91" s="60" t="n">
        <x:v>117.2438947366</x:v>
      </x:c>
      <x:c r="J91" s="60" t="n">
        <x:v>117.2438947366</x:v>
      </x:c>
      <x:c r="K91" s="60" t="n">
        <x:v>0</x:v>
      </x:c>
      <x:c r="L91" s="60" t="n">
        <x:v>70.2059002499</x:v>
      </x:c>
      <x:c r="M91" s="60" t="n">
        <x:v>47.0379944867</x:v>
      </x:c>
      <x:c r="N91" s="46" t="str">
        <x:v>ruvettus pretiosus</x:v>
      </x:c>
      <x:c r="O91" s="62" t="n">
        <x:v>4.18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Ruvettus pretiosus</x:v>
      </x:c>
      <x:c r="T91" s="62" t="n">
        <x:f>IF(O91="","",(1/'Metadata'!$B$5)^(O91-1))</x:f>
        <x:v>13717.513182092556</x:v>
      </x:c>
      <x:c r="U91" s="60" t="n">
        <x:f>IF(T91="","",I91*T91)</x:f>
        <x:v>1608294.6715691825</x:v>
      </x:c>
    </x:row>
    <x:row r="92" ht="18" customHeight="1">
      <x:c r="A92" s="46" t="str">
        <x:v>LME_051</x:v>
      </x:c>
      <x:c r="B92" s="46" t="str">
        <x:v>Oyashio Current</x:v>
      </x:c>
      <x:c r="C92" s="46" t="str">
        <x:v>LME</x:v>
      </x:c>
      <x:c r="D92" s="58" t="n">
        <x:v>2019</x:v>
      </x:c>
      <x:c r="E92" s="46" t="str">
        <x:v>Dendrobranchiata</x:v>
      </x:c>
      <x:c r="F92" s="46" t="str">
        <x:v>Shrimps and prawns</x:v>
      </x:c>
      <x:c r="G92" s="46" t="str">
        <x:v>Shrimps</x:v>
      </x:c>
      <x:c r="H92" s="46" t="str">
        <x:v>Crustaceans</x:v>
      </x:c>
      <x:c r="I92" s="60" t="n">
        <x:v>110.68520540619998</x:v>
      </x:c>
      <x:c r="J92" s="60" t="n">
        <x:v>108.55026419699999</x:v>
      </x:c>
      <x:c r="K92" s="60" t="n">
        <x:v>2.1349412092</x:v>
      </x:c>
      <x:c r="L92" s="60" t="n">
        <x:v>79.1196185302</x:v>
      </x:c>
      <x:c r="M92" s="60" t="n">
        <x:v>31.565586876</x:v>
      </x:c>
      <x:c r="N92" s="46" t="str">
        <x:v>dendrobranchiata</x:v>
      </x:c>
      <x:c r="O92" s="62" t="n">
        <x:v>3.24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Dendrobranchiata</x:v>
      </x:c>
      <x:c r="T92" s="62" t="n">
        <x:f>IF(O92="","",(1/'Metadata'!$B$5)^(O92-1))</x:f>
        <x:v>820.9320103116679</x:v>
      </x:c>
      <x:c r="U92" s="60" t="n">
        <x:f>IF(T92="","",I92*T92)</x:f>
        <x:v>90865.02818587165</x:v>
      </x:c>
    </x:row>
    <x:row r="93" ht="18" customHeight="1">
      <x:c r="A93" s="46" t="str">
        <x:v>LME_051</x:v>
      </x:c>
      <x:c r="B93" s="46" t="str">
        <x:v>Oyashio Current</x:v>
      </x:c>
      <x:c r="C93" s="46" t="str">
        <x:v>LME</x:v>
      </x:c>
      <x:c r="D93" s="58" t="n">
        <x:v>2019</x:v>
      </x:c>
      <x:c r="E93" s="46" t="str">
        <x:v>Anoplopoma fimbria</x:v>
      </x:c>
      <x:c r="F93" s="46" t="str">
        <x:v>Sablefish</x:v>
      </x:c>
      <x:c r="G93" s="46" t="str">
        <x:v>Large bathydemersals (&gt;=90 cm)</x:v>
      </x:c>
      <x:c r="H93" s="46" t="str">
        <x:v>Scorpionfishes</x:v>
      </x:c>
      <x:c r="I93" s="60" t="n">
        <x:v>109.7714833729</x:v>
      </x:c>
      <x:c r="J93" s="60" t="n">
        <x:v>109.7714833729</x:v>
      </x:c>
      <x:c r="K93" s="60" t="n">
        <x:v>0</x:v>
      </x:c>
      <x:c r="L93" s="60" t="n">
        <x:v>109.3149476287</x:v>
      </x:c>
      <x:c r="M93" s="60" t="n">
        <x:v>0.4565357442</x:v>
      </x:c>
      <x:c r="N93" s="46" t="str">
        <x:v>anoplopoma fimbria</x:v>
      </x:c>
      <x:c r="O93" s="62" t="n">
        <x:v>3.84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Anoplopoma fimbria</x:v>
      </x:c>
      <x:c r="T93" s="62" t="n">
        <x:f>IF(O93="","",(1/'Metadata'!$B$5)^(O93-1))</x:f>
        <x:v>4953.648510535111</x:v>
      </x:c>
      <x:c r="U93" s="60" t="n">
        <x:f>IF(T93="","",I93*T93)</x:f>
        <x:v>543769.3451093958</x:v>
      </x:c>
    </x:row>
    <x:row r="94" ht="18" customHeight="1">
      <x:c r="A94" s="46" t="str">
        <x:v>LME_051</x:v>
      </x:c>
      <x:c r="B94" s="46" t="str">
        <x:v>Oyashio Current</x:v>
      </x:c>
      <x:c r="C94" s="46" t="str">
        <x:v>LME</x:v>
      </x:c>
      <x:c r="D94" s="58" t="n">
        <x:v>2019</x:v>
      </x:c>
      <x:c r="E94" s="46" t="str">
        <x:v>Ommastrephes bartramii</x:v>
      </x:c>
      <x:c r="F94" s="46" t="str">
        <x:v>Neon flying squid</x:v>
      </x:c>
      <x:c r="G94" s="46" t="str">
        <x:v>Cephalopods</x:v>
      </x:c>
      <x:c r="H94" s="46" t="str">
        <x:v>Other fishes &amp; inverts</x:v>
      </x:c>
      <x:c r="I94" s="60" t="n">
        <x:v>98.7940587766</x:v>
      </x:c>
      <x:c r="J94" s="60" t="n">
        <x:v>98.7940587766</x:v>
      </x:c>
      <x:c r="K94" s="60" t="n">
        <x:v>0</x:v>
      </x:c>
      <x:c r="L94" s="60" t="n">
        <x:v>53.6117952726</x:v>
      </x:c>
      <x:c r="M94" s="60" t="n">
        <x:v>45.182263504</x:v>
      </x:c>
      <x:c r="N94" s="46" t="str">
        <x:v>ommastrephes bartramii</x:v>
      </x:c>
      <x:c r="O94" s="62" t="n">
        <x:v>4.37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Ommastrephes bartramii</x:v>
      </x:c>
      <x:c r="T94" s="62" t="n">
        <x:f>IF(O94="","",(1/'Metadata'!$B$5)^(O94-1))</x:f>
        <x:v>24236.56596112542</x:v>
      </x:c>
      <x:c r="U94" s="60" t="n">
        <x:f>IF(T94="","",I94*T94)</x:f>
        <x:v>2394428.7221063673</x:v>
      </x:c>
    </x:row>
    <x:row r="95" ht="18" customHeight="1">
      <x:c r="A95" s="46" t="str">
        <x:v>LME_051</x:v>
      </x:c>
      <x:c r="B95" s="46" t="str">
        <x:v>Oyashio Current</x:v>
      </x:c>
      <x:c r="C95" s="46" t="str">
        <x:v>LME</x:v>
      </x:c>
      <x:c r="D95" s="58" t="n">
        <x:v>2019</x:v>
      </x:c>
      <x:c r="E95" s="46" t="str">
        <x:v>Erimacrus isenbeckii</x:v>
      </x:c>
      <x:c r="F95" s="46" t="str">
        <x:v>Hair Crab</x:v>
      </x:c>
      <x:c r="G95" s="46" t="str">
        <x:v>Lobsters, crabs</x:v>
      </x:c>
      <x:c r="H95" s="46" t="str">
        <x:v>Crustaceans</x:v>
      </x:c>
      <x:c r="I95" s="60" t="n">
        <x:v>95.5552429959</x:v>
      </x:c>
      <x:c r="J95" s="60" t="n">
        <x:v>95.5552429959</x:v>
      </x:c>
      <x:c r="K95" s="60" t="n">
        <x:v>0</x:v>
      </x:c>
      <x:c r="L95" s="60" t="n">
        <x:v>93.12587241119999</x:v>
      </x:c>
      <x:c r="M95" s="60" t="n">
        <x:v>2.4293705847</x:v>
      </x:c>
      <x:c r="N95" s="46" t="str">
        <x:v>erimacrus isenbeckii</x:v>
      </x:c>
      <x:c r="O95" s="62" t="n">
        <x:v>2.6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Erimacrus isenbeckii</x:v>
      </x:c>
      <x:c r="T95" s="62" t="n">
        <x:f>IF(O95="","",(1/'Metadata'!$B$5)^(O95-1))</x:f>
        <x:v>120.6835267309033</x:v>
      </x:c>
      <x:c r="U95" s="60" t="n">
        <x:f>IF(T95="","",I95*T95)</x:f>
        <x:v>11531.943722373659</x:v>
      </x:c>
    </x:row>
    <x:row r="96" ht="18" customHeight="1">
      <x:c r="A96" s="46" t="str">
        <x:v>LME_051</x:v>
      </x:c>
      <x:c r="B96" s="46" t="str">
        <x:v>Oyashio Current</x:v>
      </x:c>
      <x:c r="C96" s="46" t="str">
        <x:v>LME</x:v>
      </x:c>
      <x:c r="D96" s="58" t="n">
        <x:v>2019</x:v>
      </x:c>
      <x:c r="E96" s="46" t="str">
        <x:v>Squillidae</x:v>
      </x:c>
      <x:c r="F96" s="46" t="str">
        <x:v>Squilla mantis shrimps</x:v>
      </x:c>
      <x:c r="G96" s="46" t="str">
        <x:v>Shrimps</x:v>
      </x:c>
      <x:c r="H96" s="46" t="str">
        <x:v>Crustaceans</x:v>
      </x:c>
      <x:c r="I96" s="60" t="n">
        <x:v>94.6715448054</x:v>
      </x:c>
      <x:c r="J96" s="60" t="n">
        <x:v>94.6715448054</x:v>
      </x:c>
      <x:c r="K96" s="60" t="n">
        <x:v>0</x:v>
      </x:c>
      <x:c r="L96" s="60" t="n">
        <x:v>94.6715448054</x:v>
      </x:c>
      <x:c r="M96" s="60" t="n">
        <x:v>0</x:v>
      </x:c>
      <x:c r="N96" s="46" t="str">
        <x:v>squillidae</x:v>
      </x:c>
      <x:c r="O96" s="62" t="n">
        <x:v>3.5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Squillidae</x:v>
      </x:c>
      <x:c r="T96" s="62" t="n">
        <x:f>IF(O96="","",(1/'Metadata'!$B$5)^(O96-1))</x:f>
        <x:v>1788.8543819998317</x:v>
      </x:c>
      <x:c r="U96" s="60" t="n">
        <x:f>IF(T96="","",I96*T96)</x:f>
        <x:v>169353.6077758332</x:v>
      </x:c>
    </x:row>
    <x:row r="97" ht="18" customHeight="1">
      <x:c r="A97" s="46" t="str">
        <x:v>LME_051</x:v>
      </x:c>
      <x:c r="B97" s="46" t="str">
        <x:v>Oyashio Current</x:v>
      </x:c>
      <x:c r="C97" s="46" t="str">
        <x:v>LME</x:v>
      </x:c>
      <x:c r="D97" s="58" t="n">
        <x:v>2019</x:v>
      </x:c>
      <x:c r="E97" s="46" t="str">
        <x:v>Pandalus goniurus</x:v>
      </x:c>
      <x:c r="F97" s="46" t="str">
        <x:v>Humpy shrimp</x:v>
      </x:c>
      <x:c r="G97" s="46" t="str">
        <x:v>Shrimps</x:v>
      </x:c>
      <x:c r="H97" s="46" t="str">
        <x:v>Crustaceans</x:v>
      </x:c>
      <x:c r="I97" s="60" t="n">
        <x:v>69.96262424689999</x:v>
      </x:c>
      <x:c r="J97" s="60" t="n">
        <x:v>69.96262424689999</x:v>
      </x:c>
      <x:c r="K97" s="60" t="n">
        <x:v>0</x:v>
      </x:c>
      <x:c r="L97" s="60" t="n">
        <x:v>42.5753307117</x:v>
      </x:c>
      <x:c r="M97" s="60" t="n">
        <x:v>27.3872935352</x:v>
      </x:c>
      <x:c r="N97" s="46" t="str">
        <x:v>pandalus goniurus</x:v>
      </x:c>
      <x:c r="O97" s="62" t="n">
        <x:v>2.6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Pandalus goniurus</x:v>
      </x:c>
      <x:c r="T97" s="62" t="n">
        <x:f>IF(O97="","",(1/'Metadata'!$B$5)^(O97-1))</x:f>
        <x:v>120.6835267309033</x:v>
      </x:c>
      <x:c r="U97" s="60" t="n">
        <x:f>IF(T97="","",I97*T97)</x:f>
        <x:v>8443.3362334649</x:v>
      </x:c>
    </x:row>
    <x:row r="98" ht="18" customHeight="1">
      <x:c r="A98" s="46" t="str">
        <x:v>LME_051</x:v>
      </x:c>
      <x:c r="B98" s="46" t="str">
        <x:v>Oyashio Current</x:v>
      </x:c>
      <x:c r="C98" s="46" t="str">
        <x:v>LME</x:v>
      </x:c>
      <x:c r="D98" s="58" t="n">
        <x:v>2019</x:v>
      </x:c>
      <x:c r="E98" s="46" t="str">
        <x:v>Crassostrea</x:v>
      </x:c>
      <x:c r="F98" s="46" t="str">
        <x:v>Cupped oysters</x:v>
      </x:c>
      <x:c r="G98" s="46" t="str">
        <x:v>Other demersal invertebrates</x:v>
      </x:c>
      <x:c r="H98" s="46" t="str">
        <x:v>Molluscs</x:v>
      </x:c>
      <x:c r="I98" s="60" t="n">
        <x:v>49.5592797808</x:v>
      </x:c>
      <x:c r="J98" s="60" t="n">
        <x:v>49.5592797808</x:v>
      </x:c>
      <x:c r="K98" s="60" t="n">
        <x:v>0</x:v>
      </x:c>
      <x:c r="L98" s="60" t="n">
        <x:v>47.1825470027</x:v>
      </x:c>
      <x:c r="M98" s="60" t="n">
        <x:v>2.3767327781</x:v>
      </x:c>
      <x:c r="N98" s="46" t="str">
        <x:v>crassostrea</x:v>
      </x:c>
      <x:c r="O98" s="62" t="n">
        <x:v>2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Crassostrea</x:v>
      </x:c>
      <x:c r="T98" s="62" t="n">
        <x:f>IF(O98="","",(1/'Metadata'!$B$5)^(O98-1))</x:f>
        <x:v>20</x:v>
      </x:c>
      <x:c r="U98" s="60" t="n">
        <x:f>IF(T98="","",I98*T98)</x:f>
        <x:v>991.185595616</x:v>
      </x:c>
    </x:row>
    <x:row r="99" ht="18" customHeight="1">
      <x:c r="A99" s="46" t="str">
        <x:v>LME_051</x:v>
      </x:c>
      <x:c r="B99" s="46" t="str">
        <x:v>Oyashio Current</x:v>
      </x:c>
      <x:c r="C99" s="46" t="str">
        <x:v>LME</x:v>
      </x:c>
      <x:c r="D99" s="58" t="n">
        <x:v>2019</x:v>
      </x:c>
      <x:c r="E99" s="46" t="str">
        <x:v>Sebastidae</x:v>
      </x:c>
      <x:c r="F99" s="46" t="str">
        <x:v>Rockfishes, rockcods, thornyheads</x:v>
      </x:c>
      <x:c r="G99" s="46" t="str">
        <x:v>Medium demersals (30 - 89 cm)</x:v>
      </x:c>
      <x:c r="H99" s="46" t="str">
        <x:v>Scorpionfishes</x:v>
      </x:c>
      <x:c r="I99" s="60" t="n">
        <x:v>48.0540106911</x:v>
      </x:c>
      <x:c r="J99" s="60" t="n">
        <x:v>48.0540106911</x:v>
      </x:c>
      <x:c r="K99" s="60" t="n">
        <x:v>0</x:v>
      </x:c>
      <x:c r="L99" s="60" t="n">
        <x:v>48.0540106911</x:v>
      </x:c>
      <x:c r="M99" s="60" t="n">
        <x:v>0</x:v>
      </x:c>
      <x:c r="N99" s="46" t="str">
        <x:v>sebastidae</x:v>
      </x:c>
      <x:c r="O99" s="62" t="n">
        <x:v>3.74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Sebastidae</x:v>
      </x:c>
      <x:c r="T99" s="62" t="n">
        <x:f>IF(O99="","",(1/'Metadata'!$B$5)^(O99-1))</x:f>
        <x:v>3671.3195599248957</x:v>
      </x:c>
      <x:c r="U99" s="60" t="n">
        <x:f>IF(T99="","",I99*T99)</x:f>
        <x:v>176421.62938307546</x:v>
      </x:c>
    </x:row>
    <x:row r="100" ht="18" customHeight="1">
      <x:c r="A100" s="46" t="str">
        <x:v>LME_051</x:v>
      </x:c>
      <x:c r="B100" s="46" t="str">
        <x:v>Oyashio Current</x:v>
      </x:c>
      <x:c r="C100" s="46" t="str">
        <x:v>LME</x:v>
      </x:c>
      <x:c r="D100" s="58" t="n">
        <x:v>2019</x:v>
      </x:c>
      <x:c r="E100" s="46" t="str">
        <x:v>Corbicula japonica</x:v>
      </x:c>
      <x:c r="F100" s="46" t="str">
        <x:v>Japanese corbicula</x:v>
      </x:c>
      <x:c r="G100" s="46" t="str">
        <x:v>Other demersal invertebrates</x:v>
      </x:c>
      <x:c r="H100" s="46" t="str">
        <x:v>Molluscs</x:v>
      </x:c>
      <x:c r="I100" s="60" t="n">
        <x:v>42.5939948932</x:v>
      </x:c>
      <x:c r="J100" s="60" t="n">
        <x:v>42.5939948932</x:v>
      </x:c>
      <x:c r="K100" s="60" t="n">
        <x:v>0</x:v>
      </x:c>
      <x:c r="L100" s="60" t="n">
        <x:v>0.28235992639999996</x:v>
      </x:c>
      <x:c r="M100" s="60" t="n">
        <x:v>42.3116349668</x:v>
      </x:c>
      <x:c r="N100" s="46" t="str">
        <x:v>corbicula japonica</x:v>
      </x:c>
      <x:c r="O100" s="62" t="n">
        <x:v>2.05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Corbicula japonica</x:v>
      </x:c>
      <x:c r="T100" s="62" t="n">
        <x:f>IF(O100="","",(1/'Metadata'!$B$5)^(O100-1))</x:f>
        <x:v>23.231726992830833</x:v>
      </x:c>
      <x:c r="U100" s="60" t="n">
        <x:f>IF(T100="","",I100*T100)</x:f>
        <x:v>989.532060892853</x:v>
      </x:c>
    </x:row>
    <x:row r="101" ht="18" customHeight="1">
      <x:c r="A101" s="46" t="str">
        <x:v>LME_051</x:v>
      </x:c>
      <x:c r="B101" s="46" t="str">
        <x:v>Oyashio Current</x:v>
      </x:c>
      <x:c r="C101" s="46" t="str">
        <x:v>LME</x:v>
      </x:c>
      <x:c r="D101" s="58" t="n">
        <x:v>2019</x:v>
      </x:c>
      <x:c r="E101" s="46" t="str">
        <x:v>Thunnus albacares</x:v>
      </x:c>
      <x:c r="F101" s="46" t="str">
        <x:v>Yellowfin tuna</x:v>
      </x:c>
      <x:c r="G101" s="46" t="str">
        <x:v>Large pelagics (&gt;=90 cm)</x:v>
      </x:c>
      <x:c r="H101" s="46" t="str">
        <x:v>Tuna &amp; billfishes</x:v>
      </x:c>
      <x:c r="I101" s="60" t="n">
        <x:v>40.7832690177</x:v>
      </x:c>
      <x:c r="J101" s="60" t="n">
        <x:v>40.4962074345</x:v>
      </x:c>
      <x:c r="K101" s="60" t="n">
        <x:v>0.28706158319999997</x:v>
      </x:c>
      <x:c r="L101" s="60" t="n">
        <x:v>40.4962074345</x:v>
      </x:c>
      <x:c r="M101" s="60" t="n">
        <x:v>0.28706158319999997</x:v>
      </x:c>
      <x:c r="N101" s="46" t="str">
        <x:v>thunnus albacares</x:v>
      </x:c>
      <x:c r="O101" s="62" t="n">
        <x:v>4.41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Thunnus albacares</x:v>
      </x:c>
      <x:c r="T101" s="62" t="n">
        <x:f>IF(O101="","",(1/'Metadata'!$B$5)^(O101-1))</x:f>
        <x:v>27321.987305427916</x:v>
      </x:c>
      <x:c r="U101" s="60" t="n">
        <x:f>IF(T101="","",I101*T101)</x:f>
        <x:v>1114279.9583754512</x:v>
      </x:c>
    </x:row>
    <x:row r="102" ht="18" customHeight="1">
      <x:c r="A102" s="46" t="str">
        <x:v>LME_051</x:v>
      </x:c>
      <x:c r="B102" s="46" t="str">
        <x:v>Oyashio Current</x:v>
      </x:c>
      <x:c r="C102" s="46" t="str">
        <x:v>LME</x:v>
      </x:c>
      <x:c r="D102" s="58" t="n">
        <x:v>2019</x:v>
      </x:c>
      <x:c r="E102" s="46" t="str">
        <x:v>Xiphias gladius</x:v>
      </x:c>
      <x:c r="F102" s="46" t="str">
        <x:v>Swordfish</x:v>
      </x:c>
      <x:c r="G102" s="46" t="str">
        <x:v>Large pelagics (&gt;=90 cm)</x:v>
      </x:c>
      <x:c r="H102" s="46" t="str">
        <x:v>Tuna &amp; billfishes</x:v>
      </x:c>
      <x:c r="I102" s="60" t="n">
        <x:v>35.5464430942</x:v>
      </x:c>
      <x:c r="J102" s="60" t="n">
        <x:v>35.5462946035</x:v>
      </x:c>
      <x:c r="K102" s="60" t="n">
        <x:v>0.0001484907</x:v>
      </x:c>
      <x:c r="L102" s="60" t="n">
        <x:v>35.5462946035</x:v>
      </x:c>
      <x:c r="M102" s="60" t="n">
        <x:v>0.0001484907</x:v>
      </x:c>
      <x:c r="N102" s="46" t="str">
        <x:v>xiphias gladius</x:v>
      </x:c>
      <x:c r="O102" s="62" t="n">
        <x:v>4.53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Xiphias gladius</x:v>
      </x:c>
      <x:c r="T102" s="62" t="n">
        <x:f>IF(O102="","",(1/'Metadata'!$B$5)^(O102-1))</x:f>
        <x:v>39141.35758252625</x:v>
      </x:c>
      <x:c r="U102" s="60" t="n">
        <x:f>IF(T102="","",I102*T102)</x:f>
        <x:v>1391336.039937003</x:v>
      </x:c>
    </x:row>
    <x:row r="103" ht="18" customHeight="1">
      <x:c r="A103" s="46" t="str">
        <x:v>LME_051</x:v>
      </x:c>
      <x:c r="B103" s="46" t="str">
        <x:v>Oyashio Current</x:v>
      </x:c>
      <x:c r="C103" s="46" t="str">
        <x:v>LME</x:v>
      </x:c>
      <x:c r="D103" s="58" t="n">
        <x:v>2019</x:v>
      </x:c>
      <x:c r="E103" s="46" t="str">
        <x:v>Auxis</x:v>
      </x:c>
      <x:c r="F103" s="46" t="str">
        <x:v>Bullet and frigate tunas</x:v>
      </x:c>
      <x:c r="G103" s="46" t="str">
        <x:v>Medium pelagics (30 - 89 cm)</x:v>
      </x:c>
      <x:c r="H103" s="46" t="str">
        <x:v>Tuna &amp; billfishes</x:v>
      </x:c>
      <x:c r="I103" s="60" t="n">
        <x:v>30.0031317759</x:v>
      </x:c>
      <x:c r="J103" s="60" t="n">
        <x:v>0</x:v>
      </x:c>
      <x:c r="K103" s="60" t="n">
        <x:v>30.0031317759</x:v>
      </x:c>
      <x:c r="L103" s="60" t="n">
        <x:v>0</x:v>
      </x:c>
      <x:c r="M103" s="60" t="n">
        <x:v>30.0031317759</x:v>
      </x:c>
      <x:c r="N103" s="46" t="str">
        <x:v>auxis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Auxis</x:v>
      </x:c>
      <x:c r="T103" s="62" t="n">
        <x:f>IF(O103="","",(1/'Metadata'!$B$5)^(O103-1))</x:f>
        <x:v>16418.64020623336</x:v>
      </x:c>
      <x:c r="U103" s="60" t="n">
        <x:f>IF(T103="","",I103*T103)</x:f>
        <x:v>492610.6256887094</x:v>
      </x:c>
    </x:row>
    <x:row r="104" ht="18" customHeight="1">
      <x:c r="A104" s="46" t="str">
        <x:v>LME_051</x:v>
      </x:c>
      <x:c r="B104" s="46" t="str">
        <x:v>Oyashio Current</x:v>
      </x:c>
      <x:c r="C104" s="46" t="str">
        <x:v>LME</x:v>
      </x:c>
      <x:c r="D104" s="58" t="n">
        <x:v>2019</x:v>
      </x:c>
      <x:c r="E104" s="46" t="str">
        <x:v>Serranidae</x:v>
      </x:c>
      <x:c r="F104" s="46" t="str">
        <x:v>Basses, groupers, hinds</x:v>
      </x:c>
      <x:c r="G104" s="46" t="str">
        <x:v>Medium reef assoc. fish (30 - 89 cm)</x:v>
      </x:c>
      <x:c r="H104" s="46" t="str">
        <x:v>Perch-likes</x:v>
      </x:c>
      <x:c r="I104" s="60" t="n">
        <x:v>24.5663178339</x:v>
      </x:c>
      <x:c r="J104" s="60" t="n">
        <x:v>24.5663178339</x:v>
      </x:c>
      <x:c r="K104" s="60" t="n">
        <x:v>0</x:v>
      </x:c>
      <x:c r="L104" s="60" t="n">
        <x:v>0</x:v>
      </x:c>
      <x:c r="M104" s="60" t="n">
        <x:v>24.5663178339</x:v>
      </x:c>
      <x:c r="N104" s="46" t="str">
        <x:v>serranidae</x:v>
      </x:c>
      <x:c r="O104" s="62" t="n">
        <x:v>3.98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Serranidae</x:v>
      </x:c>
      <x:c r="T104" s="62" t="n">
        <x:f>IF(O104="","",(1/'Metadata'!$B$5)^(O104-1))</x:f>
        <x:v>7534.759367064222</x:v>
      </x:c>
      <x:c r="U104" s="60" t="n">
        <x:f>IF(T104="","",I104*T104)</x:f>
        <x:v>185101.29341325487</x:v>
      </x:c>
    </x:row>
    <x:row r="105" ht="18" customHeight="1">
      <x:c r="A105" s="46" t="str">
        <x:v>LME_051</x:v>
      </x:c>
      <x:c r="B105" s="46" t="str">
        <x:v>Oyashio Current</x:v>
      </x:c>
      <x:c r="C105" s="46" t="str">
        <x:v>LME</x:v>
      </x:c>
      <x:c r="D105" s="58" t="n">
        <x:v>2019</x:v>
      </x:c>
      <x:c r="E105" s="46" t="str">
        <x:v>Sclerocrangon</x:v>
      </x:c>
      <x:c r="F105" s="46" t="str">
        <x:v>Sculptured shrimps</x:v>
      </x:c>
      <x:c r="G105" s="46" t="str">
        <x:v>Shrimps</x:v>
      </x:c>
      <x:c r="H105" s="46" t="str">
        <x:v>Crustaceans</x:v>
      </x:c>
      <x:c r="I105" s="60" t="n">
        <x:v>23.9106407837</x:v>
      </x:c>
      <x:c r="J105" s="60" t="n">
        <x:v>23.9106407837</x:v>
      </x:c>
      <x:c r="K105" s="60" t="n">
        <x:v>0</x:v>
      </x:c>
      <x:c r="L105" s="60" t="n">
        <x:v>21.9814203782</x:v>
      </x:c>
      <x:c r="M105" s="60" t="n">
        <x:v>1.9292204055000002</x:v>
      </x:c>
      <x:c r="N105" s="46" t="str">
        <x:v>sclerocrangon</x:v>
      </x:c>
      <x:c r="O105" s="62" t="n">
        <x:v>2.2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Sclerocrangon</x:v>
      </x:c>
      <x:c r="T105" s="62" t="n">
        <x:f>IF(O105="","",(1/'Metadata'!$B$5)^(O105-1))</x:f>
        <x:v>36.41128406052162</x:v>
      </x:c>
      <x:c r="U105" s="60" t="n">
        <x:f>IF(T105="","",I105*T105)</x:f>
        <x:v>870.617133644394</x:v>
      </x:c>
    </x:row>
    <x:row r="106" ht="18" customHeight="1">
      <x:c r="A106" s="46" t="str">
        <x:v>LME_051</x:v>
      </x:c>
      <x:c r="B106" s="46" t="str">
        <x:v>Oyashio Current</x:v>
      </x:c>
      <x:c r="C106" s="46" t="str">
        <x:v>LME</x:v>
      </x:c>
      <x:c r="D106" s="58" t="n">
        <x:v>2019</x:v>
      </x:c>
      <x:c r="E106" s="46" t="str">
        <x:v>Synodontidae</x:v>
      </x:c>
      <x:c r="F106" s="46" t="str">
        <x:v>Lizardfishes, sauries</x:v>
      </x:c>
      <x:c r="G106" s="46" t="str">
        <x:v>Medium demersals (30 - 89 cm)</x:v>
      </x:c>
      <x:c r="H106" s="46" t="str">
        <x:v>Other fishes &amp; inverts</x:v>
      </x:c>
      <x:c r="I106" s="60" t="n">
        <x:v>22.391846156</x:v>
      </x:c>
      <x:c r="J106" s="60" t="n">
        <x:v>22.391846156</x:v>
      </x:c>
      <x:c r="K106" s="60" t="n">
        <x:v>0</x:v>
      </x:c>
      <x:c r="L106" s="60" t="n">
        <x:v>22.391846156</x:v>
      </x:c>
      <x:c r="M106" s="60" t="n">
        <x:v>0</x:v>
      </x:c>
      <x:c r="N106" s="46" t="str">
        <x:v>synodontidae</x:v>
      </x:c>
      <x:c r="O106" s="62" t="n">
        <x:v>4.3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Synodontidae</x:v>
      </x:c>
      <x:c r="T106" s="62" t="n">
        <x:f>IF(O106="","",(1/'Metadata'!$B$5)^(O106-1))</x:f>
        <x:v>19651.648417852637</x:v>
      </x:c>
      <x:c r="U106" s="60" t="n">
        <x:f>IF(T106="","",I106*T106)</x:f>
        <x:v>440036.68808435707</x:v>
      </x:c>
    </x:row>
    <x:row r="107" ht="18" customHeight="1">
      <x:c r="A107" s="46" t="str">
        <x:v>LME_051</x:v>
      </x:c>
      <x:c r="B107" s="46" t="str">
        <x:v>Oyashio Current</x:v>
      </x:c>
      <x:c r="C107" s="46" t="str">
        <x:v>LME</x:v>
      </x:c>
      <x:c r="D107" s="58" t="n">
        <x:v>2019</x:v>
      </x:c>
      <x:c r="E107" s="46" t="str">
        <x:v>Haliotidae</x:v>
      </x:c>
      <x:c r="F107" s="46" t="str">
        <x:v>Abalones, ear shells</x:v>
      </x:c>
      <x:c r="G107" s="46" t="str">
        <x:v>Other demersal invertebrates</x:v>
      </x:c>
      <x:c r="H107" s="46" t="str">
        <x:v>Molluscs</x:v>
      </x:c>
      <x:c r="I107" s="60" t="n">
        <x:v>18.4135829272</x:v>
      </x:c>
      <x:c r="J107" s="60" t="n">
        <x:v>18.4135829272</x:v>
      </x:c>
      <x:c r="K107" s="60" t="n">
        <x:v>0</x:v>
      </x:c>
      <x:c r="L107" s="60" t="n">
        <x:v>18.4135829272</x:v>
      </x:c>
      <x:c r="M107" s="60" t="n">
        <x:v>0</x:v>
      </x:c>
      <x:c r="N107" s="46" t="str">
        <x:v>haliotidae</x:v>
      </x:c>
      <x:c r="O107" s="62" t="n">
        <x:v>2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Haliotidae</x:v>
      </x:c>
      <x:c r="T107" s="62" t="n">
        <x:f>IF(O107="","",(1/'Metadata'!$B$5)^(O107-1))</x:f>
        <x:v>20</x:v>
      </x:c>
      <x:c r="U107" s="60" t="n">
        <x:f>IF(T107="","",I107*T107)</x:f>
        <x:v>368.271658544</x:v>
      </x:c>
    </x:row>
    <x:row r="108" ht="18" customHeight="1">
      <x:c r="A108" s="46" t="str">
        <x:v>LME_051</x:v>
      </x:c>
      <x:c r="B108" s="46" t="str">
        <x:v>Oyashio Current</x:v>
      </x:c>
      <x:c r="C108" s="46" t="str">
        <x:v>LME</x:v>
      </x:c>
      <x:c r="D108" s="58" t="n">
        <x:v>2019</x:v>
      </x:c>
      <x:c r="E108" s="46" t="str">
        <x:v>Mytilidae</x:v>
      </x:c>
      <x:c r="F108" s="46" t="str">
        <x:v>Sea mussels</x:v>
      </x:c>
      <x:c r="G108" s="46" t="str">
        <x:v>Other demersal invertebrates</x:v>
      </x:c>
      <x:c r="H108" s="46" t="str">
        <x:v>Molluscs</x:v>
      </x:c>
      <x:c r="I108" s="60" t="n">
        <x:v>17.309418471599997</x:v>
      </x:c>
      <x:c r="J108" s="60" t="n">
        <x:v>17.309418471599997</x:v>
      </x:c>
      <x:c r="K108" s="60" t="n">
        <x:v>0</x:v>
      </x:c>
      <x:c r="L108" s="60" t="n">
        <x:v>16.1756137681</x:v>
      </x:c>
      <x:c r="M108" s="60" t="n">
        <x:v>1.1338047035</x:v>
      </x:c>
      <x:c r="N108" s="46" t="str">
        <x:v>mytilidae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Mytilidae</x:v>
      </x:c>
      <x:c r="T108" s="62" t="n">
        <x:f>IF(O108="","",(1/'Metadata'!$B$5)^(O108-1))</x:f>
        <x:v>20</x:v>
      </x:c>
      <x:c r="U108" s="60" t="n">
        <x:f>IF(T108="","",I108*T108)</x:f>
        <x:v>346.18836943199994</x:v>
      </x:c>
    </x:row>
    <x:row r="109" ht="18" customHeight="1">
      <x:c r="A109" s="46" t="str">
        <x:v>LME_051</x:v>
      </x:c>
      <x:c r="B109" s="46" t="str">
        <x:v>Oyashio Current</x:v>
      </x:c>
      <x:c r="C109" s="46" t="str">
        <x:v>LME</x:v>
      </x:c>
      <x:c r="D109" s="58" t="n">
        <x:v>2019</x:v>
      </x:c>
      <x:c r="E109" s="46" t="str">
        <x:v>Pandalus kessleri</x:v>
      </x:c>
      <x:c r="F109" s="46" t="str">
        <x:v>Grass shrimp</x:v>
      </x:c>
      <x:c r="G109" s="46" t="str">
        <x:v>Shrimps</x:v>
      </x:c>
      <x:c r="H109" s="46" t="str">
        <x:v>Crustaceans</x:v>
      </x:c>
      <x:c r="I109" s="60" t="n">
        <x:v>15.358037576800001</x:v>
      </x:c>
      <x:c r="J109" s="60" t="n">
        <x:v>15.358037576800001</x:v>
      </x:c>
      <x:c r="K109" s="60" t="n">
        <x:v>0</x:v>
      </x:c>
      <x:c r="L109" s="60" t="n">
        <x:v>11.3463074445</x:v>
      </x:c>
      <x:c r="M109" s="60" t="n">
        <x:v>4.0117301323</x:v>
      </x:c>
      <x:c r="N109" s="46" t="str">
        <x:v>pandalus kessleri</x:v>
      </x:c>
      <x:c r="O109" s="62" t="n">
        <x:v>2.6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Pandalus kessleri</x:v>
      </x:c>
      <x:c r="T109" s="62" t="n">
        <x:f>IF(O109="","",(1/'Metadata'!$B$5)^(O109-1))</x:f>
        <x:v>120.6835267309033</x:v>
      </x:c>
      <x:c r="U109" s="60" t="n">
        <x:f>IF(T109="","",I109*T109)</x:f>
        <x:v>1853.4621384339603</x:v>
      </x:c>
    </x:row>
    <x:row r="110" ht="18" customHeight="1">
      <x:c r="A110" s="46" t="str">
        <x:v>LME_051</x:v>
      </x:c>
      <x:c r="B110" s="46" t="str">
        <x:v>Oyashio Current</x:v>
      </x:c>
      <x:c r="C110" s="46" t="str">
        <x:v>LME</x:v>
      </x:c>
      <x:c r="D110" s="58" t="n">
        <x:v>2019</x:v>
      </x:c>
      <x:c r="E110" s="46" t="str">
        <x:v>Clupeiformes</x:v>
      </x:c>
      <x:c r="F110" s="46" t="str">
        <x:v>Herrings, shads, anchovies</x:v>
      </x:c>
      <x:c r="G110" s="46" t="str">
        <x:v>Small pelagics (&lt;30 cm)</x:v>
      </x:c>
      <x:c r="H110" s="46" t="str">
        <x:v>Other fishes &amp; inverts</x:v>
      </x:c>
      <x:c r="I110" s="60" t="n">
        <x:v>10.766138727200001</x:v>
      </x:c>
      <x:c r="J110" s="60" t="n">
        <x:v>10.766138727200001</x:v>
      </x:c>
      <x:c r="K110" s="60" t="n">
        <x:v>0</x:v>
      </x:c>
      <x:c r="L110" s="60" t="n">
        <x:v>2.6741072688000003</x:v>
      </x:c>
      <x:c r="M110" s="60" t="n">
        <x:v>8.092031458400001</x:v>
      </x:c>
      <x:c r="N110" s="46" t="str">
        <x:v>clupeiformes</x:v>
      </x:c>
      <x:c r="O110" s="62" t="n">
        <x:v>3.24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Clupeiformes</x:v>
      </x:c>
      <x:c r="T110" s="62" t="n">
        <x:f>IF(O110="","",(1/'Metadata'!$B$5)^(O110-1))</x:f>
        <x:v>820.9320103116679</x:v>
      </x:c>
      <x:c r="U110" s="60" t="n">
        <x:f>IF(T110="","",I110*T110)</x:f>
        <x:v>8838.267908614598</x:v>
      </x:c>
    </x:row>
    <x:row r="111" ht="18" customHeight="1">
      <x:c r="A111" s="46" t="str">
        <x:v>LME_051</x:v>
      </x:c>
      <x:c r="B111" s="46" t="str">
        <x:v>Oyashio Current</x:v>
      </x:c>
      <x:c r="C111" s="46" t="str">
        <x:v>LME</x:v>
      </x:c>
      <x:c r="D111" s="58" t="n">
        <x:v>2019</x:v>
      </x:c>
      <x:c r="E111" s="46" t="str">
        <x:v>Lycodes</x:v>
      </x:c>
      <x:c r="F111" s="46" t="str">
        <x:v>Eelpouts</x:v>
      </x:c>
      <x:c r="G111" s="46" t="str">
        <x:v>Medium bathydemersals (30 - 89 cm)</x:v>
      </x:c>
      <x:c r="H111" s="46" t="str">
        <x:v>Perch-likes</x:v>
      </x:c>
      <x:c r="I111" s="60" t="n">
        <x:v>10.5379789116</x:v>
      </x:c>
      <x:c r="J111" s="60" t="n">
        <x:v>10.5379789116</x:v>
      </x:c>
      <x:c r="K111" s="60" t="n">
        <x:v>0</x:v>
      </x:c>
      <x:c r="L111" s="60" t="n">
        <x:v>3.4700450489</x:v>
      </x:c>
      <x:c r="M111" s="60" t="n">
        <x:v>7.0679338627</x:v>
      </x:c>
      <x:c r="N111" s="46" t="str">
        <x:v>lycodes</x:v>
      </x:c>
      <x:c r="O111" s="62" t="n">
        <x:v>3.3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Lycodes</x:v>
      </x:c>
      <x:c r="T111" s="62" t="n">
        <x:f>IF(O111="","",(1/'Metadata'!$B$5)^(O111-1))</x:f>
        <x:v>982.5824208926318</x:v>
      </x:c>
      <x:c r="U111" s="60" t="n">
        <x:f>IF(T111="","",I111*T111)</x:f>
        <x:v>10354.43283027543</x:v>
      </x:c>
    </x:row>
    <x:row r="112" ht="18" customHeight="1">
      <x:c r="A112" s="46" t="str">
        <x:v>LME_051</x:v>
      </x:c>
      <x:c r="B112" s="46" t="str">
        <x:v>Oyashio Current</x:v>
      </x:c>
      <x:c r="C112" s="46" t="str">
        <x:v>LME</x:v>
      </x:c>
      <x:c r="D112" s="58" t="n">
        <x:v>2019</x:v>
      </x:c>
      <x:c r="E112" s="46" t="str">
        <x:v>Perciformes</x:v>
      </x:c>
      <x:c r="F112" s="46" t="str">
        <x:v>Perch-likes</x:v>
      </x:c>
      <x:c r="G112" s="46" t="str">
        <x:v>Medium demersals (30 - 89 cm)</x:v>
      </x:c>
      <x:c r="H112" s="46" t="str">
        <x:v>Perch-likes</x:v>
      </x:c>
      <x:c r="I112" s="60" t="n">
        <x:v>9.8316954814</x:v>
      </x:c>
      <x:c r="J112" s="60" t="n">
        <x:v>9.8316954814</x:v>
      </x:c>
      <x:c r="K112" s="60" t="n">
        <x:v>0</x:v>
      </x:c>
      <x:c r="L112" s="60" t="n">
        <x:v>0</x:v>
      </x:c>
      <x:c r="M112" s="60" t="n">
        <x:v>9.8316954814</x:v>
      </x:c>
      <x:c r="N112" s="46" t="str">
        <x:v>perciformes</x:v>
      </x:c>
      <x:c r="O112" s="62" t="n">
        <x:v>3.53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Perciformes</x:v>
      </x:c>
      <x:c r="T112" s="62" t="n">
        <x:f>IF(O112="","",(1/'Metadata'!$B$5)^(O112-1))</x:f>
        <x:v>1957.0678791263101</x:v>
      </x:c>
      <x:c r="U112" s="60" t="n">
        <x:f>IF(T112="","",I112*T112)</x:f>
        <x:v>19241.295423999225</x:v>
      </x:c>
    </x:row>
    <x:row r="113" ht="18" customHeight="1">
      <x:c r="A113" s="46" t="str">
        <x:v>LME_051</x:v>
      </x:c>
      <x:c r="B113" s="46" t="str">
        <x:v>Oyashio Current</x:v>
      </x:c>
      <x:c r="C113" s="46" t="str">
        <x:v>LME</x:v>
      </x:c>
      <x:c r="D113" s="58" t="n">
        <x:v>2019</x:v>
      </x:c>
      <x:c r="E113" s="46" t="str">
        <x:v>Mugilidae</x:v>
      </x:c>
      <x:c r="F113" s="46" t="str">
        <x:v>Mullets, grey mullets</x:v>
      </x:c>
      <x:c r="G113" s="46" t="str">
        <x:v>Medium reef assoc. fish (30 - 89 cm)</x:v>
      </x:c>
      <x:c r="H113" s="46" t="str">
        <x:v>Perch-likes</x:v>
      </x:c>
      <x:c r="I113" s="60" t="n">
        <x:v>8.8307049581</x:v>
      </x:c>
      <x:c r="J113" s="60" t="n">
        <x:v>8.8307049581</x:v>
      </x:c>
      <x:c r="K113" s="60" t="n">
        <x:v>0</x:v>
      </x:c>
      <x:c r="L113" s="60" t="n">
        <x:v>2.2076762395</x:v>
      </x:c>
      <x:c r="M113" s="60" t="n">
        <x:v>6.6230287186</x:v>
      </x:c>
      <x:c r="N113" s="46" t="str">
        <x:v>mugilidae</x:v>
      </x:c>
      <x:c r="O113" s="62" t="n">
        <x:v>2.53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Mugilidae</x:v>
      </x:c>
      <x:c r="T113" s="62" t="n">
        <x:f>IF(O113="","",(1/'Metadata'!$B$5)^(O113-1))</x:f>
        <x:v>97.8533939563155</x:v>
      </x:c>
      <x:c r="U113" s="60" t="n">
        <x:f>IF(T113="","",I113*T113)</x:f>
        <x:v>864.1144511769479</x:v>
      </x:c>
    </x:row>
    <x:row r="114" ht="18" customHeight="1">
      <x:c r="A114" s="46" t="str">
        <x:v>LME_051</x:v>
      </x:c>
      <x:c r="B114" s="46" t="str">
        <x:v>Oyashio Current</x:v>
      </x:c>
      <x:c r="C114" s="46" t="str">
        <x:v>LME</x:v>
      </x:c>
      <x:c r="D114" s="58" t="n">
        <x:v>2019</x:v>
      </x:c>
      <x:c r="E114" s="46" t="str">
        <x:v>Bramidae</x:v>
      </x:c>
      <x:c r="F114" s="46" t="str">
        <x:v>Pomfrets</x:v>
      </x:c>
      <x:c r="G114" s="46" t="str">
        <x:v>Medium pelagics (30 - 89 cm)</x:v>
      </x:c>
      <x:c r="H114" s="46" t="str">
        <x:v>Perch-likes</x:v>
      </x:c>
      <x:c r="I114" s="60" t="n">
        <x:v>7.6495580373</x:v>
      </x:c>
      <x:c r="J114" s="60" t="n">
        <x:v>7.6234485825</x:v>
      </x:c>
      <x:c r="K114" s="60" t="n">
        <x:v>0.0261094548</x:v>
      </x:c>
      <x:c r="L114" s="60" t="n">
        <x:v>0</x:v>
      </x:c>
      <x:c r="M114" s="60" t="n">
        <x:v>7.6495580373</x:v>
      </x:c>
      <x:c r="N114" s="46" t="str">
        <x:v>bramidae</x:v>
      </x:c>
      <x:c r="O114" s="62" t="n">
        <x:v>4.14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Bramidae</x:v>
      </x:c>
      <x:c r="T114" s="62" t="n">
        <x:f>IF(O114="","",(1/'Metadata'!$B$5)^(O114-1))</x:f>
        <x:v>12168.419864331923</x:v>
      </x:c>
      <x:c r="U114" s="60" t="n">
        <x:f>IF(T114="","",I114*T114)</x:f>
        <x:v>93083.03397444125</x:v>
      </x:c>
    </x:row>
    <x:row r="115" ht="18" customHeight="1">
      <x:c r="A115" s="46" t="str">
        <x:v>LME_051</x:v>
      </x:c>
      <x:c r="B115" s="46" t="str">
        <x:v>Oyashio Current</x:v>
      </x:c>
      <x:c r="C115" s="46" t="str">
        <x:v>LME</x:v>
      </x:c>
      <x:c r="D115" s="58" t="n">
        <x:v>2019</x:v>
      </x:c>
      <x:c r="E115" s="46" t="str">
        <x:v>Salvelinus malma</x:v>
      </x:c>
      <x:c r="F115" s="46" t="str">
        <x:v>Dolly varden</x:v>
      </x:c>
      <x:c r="G115" s="46" t="str">
        <x:v>Large benthopelagics (&gt;=90 cm)</x:v>
      </x:c>
      <x:c r="H115" s="46" t="str">
        <x:v>Salmon, smelts, etc</x:v>
      </x:c>
      <x:c r="I115" s="60" t="n">
        <x:v>7.3351589766</x:v>
      </x:c>
      <x:c r="J115" s="60" t="n">
        <x:v>7.3351589766</x:v>
      </x:c>
      <x:c r="K115" s="60" t="n">
        <x:v>0</x:v>
      </x:c>
      <x:c r="L115" s="60" t="n">
        <x:v>0</x:v>
      </x:c>
      <x:c r="M115" s="60" t="n">
        <x:v>7.3351589766</x:v>
      </x:c>
      <x:c r="N115" s="46" t="str">
        <x:v>salvelinus malma</x:v>
      </x:c>
      <x:c r="O115" s="62" t="n">
        <x:v>4.4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Salvelinus malma</x:v>
      </x:c>
      <x:c r="T115" s="62" t="n">
        <x:f>IF(O115="","",(1/'Metadata'!$B$5)^(O115-1))</x:f>
        <x:v>26515.632138719924</x:v>
      </x:c>
      <x:c r="U115" s="60" t="n">
        <x:f>IF(T115="","",I115*T115)</x:f>
        <x:v>194496.3771025549</x:v>
      </x:c>
    </x:row>
    <x:row r="116" ht="18" customHeight="1">
      <x:c r="A116" s="46" t="str">
        <x:v>LME_051</x:v>
      </x:c>
      <x:c r="B116" s="46" t="str">
        <x:v>Oyashio Current</x:v>
      </x:c>
      <x:c r="C116" s="46" t="str">
        <x:v>LME</x:v>
      </x:c>
      <x:c r="D116" s="58" t="n">
        <x:v>2019</x:v>
      </x:c>
      <x:c r="E116" s="46" t="str">
        <x:v>Haemulidae</x:v>
      </x:c>
      <x:c r="F116" s="46" t="str">
        <x:v>Grunts, sweetlips, bonnetmouths</x:v>
      </x:c>
      <x:c r="G116" s="46" t="str">
        <x:v>Medium demersals (30 - 89 cm)</x:v>
      </x:c>
      <x:c r="H116" s="46" t="str">
        <x:v>Perch-likes</x:v>
      </x:c>
      <x:c r="I116" s="60" t="n">
        <x:v>5.4724167424</x:v>
      </x:c>
      <x:c r="J116" s="60" t="n">
        <x:v>5.4724167424</x:v>
      </x:c>
      <x:c r="K116" s="60" t="n">
        <x:v>0</x:v>
      </x:c>
      <x:c r="L116" s="60" t="n">
        <x:v>3.6377601738</x:v>
      </x:c>
      <x:c r="M116" s="60" t="n">
        <x:v>1.8346565686</x:v>
      </x:c>
      <x:c r="N116" s="46" t="str">
        <x:v>haemulidae</x:v>
      </x:c>
      <x:c r="O116" s="62" t="n">
        <x:v>3.36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Haemulidae</x:v>
      </x:c>
      <x:c r="T116" s="62" t="n">
        <x:f>IF(O116="","",(1/'Metadata'!$B$5)^(O116-1))</x:f>
        <x:v>1176.0635493805207</x:v>
      </x:c>
      <x:c r="U116" s="60" t="n">
        <x:f>IF(T116="","",I116*T116)</x:f>
        <x:v>6435.909857756331</x:v>
      </x:c>
    </x:row>
    <x:row r="117" ht="18" customHeight="1">
      <x:c r="A117" s="46" t="str">
        <x:v>LME_051</x:v>
      </x:c>
      <x:c r="B117" s="46" t="str">
        <x:v>Oyashio Current</x:v>
      </x:c>
      <x:c r="C117" s="46" t="str">
        <x:v>LME</x:v>
      </x:c>
      <x:c r="D117" s="58" t="n">
        <x:v>2019</x:v>
      </x:c>
      <x:c r="E117" s="46" t="str">
        <x:v>Lateolabrax japonicus</x:v>
      </x:c>
      <x:c r="F117" s="46" t="str">
        <x:v>Japanese seabass</x:v>
      </x:c>
      <x:c r="G117" s="46" t="str">
        <x:v>Medium reef assoc. fish (30 - 89 cm)</x:v>
      </x:c>
      <x:c r="H117" s="46" t="str">
        <x:v>Perch-likes</x:v>
      </x:c>
      <x:c r="I117" s="60" t="n">
        <x:v>4.741599033</x:v>
      </x:c>
      <x:c r="J117" s="60" t="n">
        <x:v>3.695834582</x:v>
      </x:c>
      <x:c r="K117" s="60" t="n">
        <x:v>1.0457644510000002</x:v>
      </x:c>
      <x:c r="L117" s="60" t="n">
        <x:v>3.3382573254</x:v>
      </x:c>
      <x:c r="M117" s="60" t="n">
        <x:v>1.4033417076</x:v>
      </x:c>
      <x:c r="N117" s="46" t="str">
        <x:v>lateolabrax japonicus</x:v>
      </x:c>
      <x:c r="O117" s="62" t="n">
        <x:v>3.36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Lateolabrax japonicus</x:v>
      </x:c>
      <x:c r="T117" s="62" t="n">
        <x:f>IF(O117="","",(1/'Metadata'!$B$5)^(O117-1))</x:f>
        <x:v>1176.0635493805207</x:v>
      </x:c>
      <x:c r="U117" s="60" t="n">
        <x:f>IF(T117="","",I117*T117)</x:f>
        <x:v>5576.421788489225</x:v>
      </x:c>
    </x:row>
    <x:row r="118" ht="18" customHeight="1">
      <x:c r="A118" s="46" t="str">
        <x:v>LME_051</x:v>
      </x:c>
      <x:c r="B118" s="46" t="str">
        <x:v>Oyashio Current</x:v>
      </x:c>
      <x:c r="C118" s="46" t="str">
        <x:v>LME</x:v>
      </x:c>
      <x:c r="D118" s="58" t="n">
        <x:v>2019</x:v>
      </x:c>
      <x:c r="E118" s="46" t="str">
        <x:v>Kajikia audax</x:v>
      </x:c>
      <x:c r="F118" s="46" t="str">
        <x:v>Striped marlin</x:v>
      </x:c>
      <x:c r="G118" s="46" t="str">
        <x:v>Large pelagics (&gt;=90 cm)</x:v>
      </x:c>
      <x:c r="H118" s="46" t="str">
        <x:v>Tuna &amp; billfishes</x:v>
      </x:c>
      <x:c r="I118" s="60" t="n">
        <x:v>3.8914109963000003</x:v>
      </x:c>
      <x:c r="J118" s="60" t="n">
        <x:v>3.8914109963000003</x:v>
      </x:c>
      <x:c r="K118" s="60" t="n">
        <x:v>0</x:v>
      </x:c>
      <x:c r="L118" s="60" t="n">
        <x:v>3.8914109963000003</x:v>
      </x:c>
      <x:c r="M118" s="60" t="n">
        <x:v>0</x:v>
      </x:c>
      <x:c r="N118" s="46" t="str">
        <x:v>kajikia audax</x:v>
      </x:c>
      <x:c r="O118" s="62" t="n">
        <x:v>4.58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Kajikia audax</x:v>
      </x:c>
      <x:c r="T118" s="62" t="n">
        <x:f>IF(O118="","",(1/'Metadata'!$B$5)^(O118-1))</x:f>
        <x:v>45466.06667430095</x:v>
      </x:c>
      <x:c r="U118" s="60" t="n">
        <x:f>IF(T118="","",I118*T118)</x:f>
        <x:v>176927.1518148837</x:v>
      </x:c>
    </x:row>
    <x:row r="119" ht="18" customHeight="1">
      <x:c r="A119" s="46" t="str">
        <x:v>LME_051</x:v>
      </x:c>
      <x:c r="B119" s="46" t="str">
        <x:v>Oyashio Current</x:v>
      </x:c>
      <x:c r="C119" s="46" t="str">
        <x:v>LME</x:v>
      </x:c>
      <x:c r="D119" s="58" t="n">
        <x:v>2019</x:v>
      </x:c>
      <x:c r="E119" s="46" t="str">
        <x:v>Monacanthidae</x:v>
      </x:c>
      <x:c r="F119" s="46" t="str">
        <x:v>Filefishes</x:v>
      </x:c>
      <x:c r="G119" s="46" t="str">
        <x:v>Medium reef assoc. fish (30 - 89 cm)</x:v>
      </x:c>
      <x:c r="H119" s="46" t="str">
        <x:v>Other fishes &amp; inverts</x:v>
      </x:c>
      <x:c r="I119" s="60" t="n">
        <x:v>3.8534404805999998</x:v>
      </x:c>
      <x:c r="J119" s="60" t="n">
        <x:v>3.8534404805999998</x:v>
      </x:c>
      <x:c r="K119" s="60" t="n">
        <x:v>0</x:v>
      </x:c>
      <x:c r="L119" s="60" t="n">
        <x:v>3.8534404805999998</x:v>
      </x:c>
      <x:c r="M119" s="60" t="n">
        <x:v>0</x:v>
      </x:c>
      <x:c r="N119" s="46" t="str">
        <x:v>monacanthidae</x:v>
      </x:c>
      <x:c r="O119" s="62" t="n">
        <x:v>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Monacanthidae</x:v>
      </x:c>
      <x:c r="T119" s="62" t="n">
        <x:f>IF(O119="","",(1/'Metadata'!$B$5)^(O119-1))</x:f>
        <x:v>400</x:v>
      </x:c>
      <x:c r="U119" s="60" t="n">
        <x:f>IF(T119="","",I119*T119)</x:f>
        <x:v>1541.37619224</x:v>
      </x:c>
    </x:row>
    <x:row r="120" ht="18" customHeight="1">
      <x:c r="A120" s="46" t="str">
        <x:v>LME_051</x:v>
      </x:c>
      <x:c r="B120" s="46" t="str">
        <x:v>Oyashio Current</x:v>
      </x:c>
      <x:c r="C120" s="46" t="str">
        <x:v>LME</x:v>
      </x:c>
      <x:c r="D120" s="58" t="n">
        <x:v>2019</x:v>
      </x:c>
      <x:c r="E120" s="46" t="str">
        <x:v>Epinephelus</x:v>
      </x:c>
      <x:c r="F120" s="46" t="str">
        <x:v>Seabasses, hinds</x:v>
      </x:c>
      <x:c r="G120" s="46" t="str">
        <x:v>Medium reef assoc. fish (30 - 89 cm)</x:v>
      </x:c>
      <x:c r="H120" s="46" t="str">
        <x:v>Perch-likes</x:v>
      </x:c>
      <x:c r="I120" s="60" t="n">
        <x:v>3.5881188842</x:v>
      </x:c>
      <x:c r="J120" s="60" t="n">
        <x:v>3.5881188842</x:v>
      </x:c>
      <x:c r="K120" s="60" t="n">
        <x:v>0</x:v>
      </x:c>
      <x:c r="L120" s="60" t="n">
        <x:v>3.5881188842</x:v>
      </x:c>
      <x:c r="M120" s="60" t="n">
        <x:v>0</x:v>
      </x:c>
      <x:c r="N120" s="46" t="str">
        <x:v>epinephelus</x:v>
      </x:c>
      <x:c r="O120" s="62" t="n">
        <x:v>3.84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Epinephelus</x:v>
      </x:c>
      <x:c r="T120" s="62" t="n">
        <x:f>IF(O120="","",(1/'Metadata'!$B$5)^(O120-1))</x:f>
        <x:v>4953.648510535111</x:v>
      </x:c>
      <x:c r="U120" s="60" t="n">
        <x:f>IF(T120="","",I120*T120)</x:f>
        <x:v>17774.279766340234</x:v>
      </x:c>
    </x:row>
    <x:row r="121" ht="18" customHeight="1">
      <x:c r="A121" s="46" t="str">
        <x:v>LME_051</x:v>
      </x:c>
      <x:c r="B121" s="46" t="str">
        <x:v>Oyashio Current</x:v>
      </x:c>
      <x:c r="C121" s="46" t="str">
        <x:v>LME</x:v>
      </x:c>
      <x:c r="D121" s="58" t="n">
        <x:v>2019</x:v>
      </x:c>
      <x:c r="E121" s="46" t="str">
        <x:v>Carangidae</x:v>
      </x:c>
      <x:c r="F121" s="46" t="str">
        <x:v>Jacks, pompanos</x:v>
      </x:c>
      <x:c r="G121" s="46" t="str">
        <x:v>Medium pelagics (30 - 89 cm)</x:v>
      </x:c>
      <x:c r="H121" s="46" t="str">
        <x:v>Perch-likes</x:v>
      </x:c>
      <x:c r="I121" s="60" t="n">
        <x:v>2.2606332474</x:v>
      </x:c>
      <x:c r="J121" s="60" t="n">
        <x:v>2.2606332474</x:v>
      </x:c>
      <x:c r="K121" s="60" t="n">
        <x:v>0</x:v>
      </x:c>
      <x:c r="L121" s="60" t="n">
        <x:v>0</x:v>
      </x:c>
      <x:c r="M121" s="60" t="n">
        <x:v>2.2606332474</x:v>
      </x:c>
      <x:c r="N121" s="46" t="str">
        <x:v>carangidae</x:v>
      </x:c>
      <x:c r="O121" s="62" t="n">
        <x:v>4.05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Carangidae</x:v>
      </x:c>
      <x:c r="T121" s="62" t="n">
        <x:f>IF(O121="","",(1/'Metadata'!$B$5)^(O121-1))</x:f>
        <x:v>9292.690797132333</x:v>
      </x:c>
      <x:c r="U121" s="60" t="n">
        <x:f>IF(T121="","",I121*T121)</x:f>
        <x:v>21007.36577380536</x:v>
      </x:c>
    </x:row>
    <x:row r="122" ht="18" customHeight="1">
      <x:c r="A122" s="46" t="str">
        <x:v>LME_051</x:v>
      </x:c>
      <x:c r="B122" s="46" t="str">
        <x:v>Oyashio Current</x:v>
      </x:c>
      <x:c r="C122" s="46" t="str">
        <x:v>LME</x:v>
      </x:c>
      <x:c r="D122" s="58" t="n">
        <x:v>2019</x:v>
      </x:c>
      <x:c r="E122" s="46" t="str">
        <x:v>Mola mola</x:v>
      </x:c>
      <x:c r="F122" s="46" t="str">
        <x:v>Ocean sunfish</x:v>
      </x:c>
      <x:c r="G122" s="46" t="str">
        <x:v>Large pelagics (&gt;=90 cm)</x:v>
      </x:c>
      <x:c r="H122" s="46" t="str">
        <x:v>Other fishes &amp; inverts</x:v>
      </x:c>
      <x:c r="I122" s="60" t="n">
        <x:v>2.1524366581</x:v>
      </x:c>
      <x:c r="J122" s="60" t="n">
        <x:v>2.1524366581</x:v>
      </x:c>
      <x:c r="K122" s="60" t="n">
        <x:v>0</x:v>
      </x:c>
      <x:c r="L122" s="60" t="n">
        <x:v>1.8056824934</x:v>
      </x:c>
      <x:c r="M122" s="60" t="n">
        <x:v>0.34675416470000003</x:v>
      </x:c>
      <x:c r="N122" s="46" t="str">
        <x:v>mola mola</x:v>
      </x:c>
      <x:c r="O122" s="62" t="n">
        <x:v>3.68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Mola mola</x:v>
      </x:c>
      <x:c r="T122" s="62" t="n">
        <x:f>IF(O122="","",(1/'Metadata'!$B$5)^(O122-1))</x:f>
        <x:v>3067.3291957408446</x:v>
      </x:c>
      <x:c r="U122" s="60" t="n">
        <x:f>IF(T122="","",I122*T122)</x:f>
        <x:v>6602.231803372984</x:v>
      </x:c>
    </x:row>
    <x:row r="123" ht="18" customHeight="1">
      <x:c r="A123" s="46" t="str">
        <x:v>LME_051</x:v>
      </x:c>
      <x:c r="B123" s="46" t="str">
        <x:v>Oyashio Current</x:v>
      </x:c>
      <x:c r="C123" s="46" t="str">
        <x:v>LME</x:v>
      </x:c>
      <x:c r="D123" s="58" t="n">
        <x:v>2019</x:v>
      </x:c>
      <x:c r="E123" s="46" t="str">
        <x:v>Oncorhynchus masou</x:v>
      </x:c>
      <x:c r="F123" s="46" t="str">
        <x:v>Masu salmon</x:v>
      </x:c>
      <x:c r="G123" s="46" t="str">
        <x:v>Medium benthopelagics (30 - 89 cm)</x:v>
      </x:c>
      <x:c r="H123" s="46" t="str">
        <x:v>Salmon, smelts, etc</x:v>
      </x:c>
      <x:c r="I123" s="60" t="n">
        <x:v>1.302645579</x:v>
      </x:c>
      <x:c r="J123" s="60" t="n">
        <x:v>1.302645579</x:v>
      </x:c>
      <x:c r="K123" s="60" t="n">
        <x:v>0</x:v>
      </x:c>
      <x:c r="L123" s="60" t="n">
        <x:v>0.9329931457999999</x:v>
      </x:c>
      <x:c r="M123" s="60" t="n">
        <x:v>0.36965243319999996</x:v>
      </x:c>
      <x:c r="N123" s="46" t="str">
        <x:v>oncorhynchus masou</x:v>
      </x:c>
      <x:c r="O123" s="62" t="n">
        <x:v>3.6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Oncorhynchus masou</x:v>
      </x:c>
      <x:c r="T123" s="62" t="n">
        <x:f>IF(O123="","",(1/'Metadata'!$B$5)^(O123-1))</x:f>
        <x:v>2413.670534618066</x:v>
      </x:c>
      <x:c r="U123" s="60" t="n">
        <x:f>IF(T123="","",I123*T123)</x:f>
        <x:v>3144.15725108279</x:v>
      </x:c>
    </x:row>
    <x:row r="124" ht="18" customHeight="1">
      <x:c r="A124" s="46" t="str">
        <x:v>LME_051</x:v>
      </x:c>
      <x:c r="B124" s="46" t="str">
        <x:v>Oyashio Current</x:v>
      </x:c>
      <x:c r="C124" s="46" t="str">
        <x:v>LME</x:v>
      </x:c>
      <x:c r="D124" s="58" t="n">
        <x:v>2019</x:v>
      </x:c>
      <x:c r="E124" s="46" t="str">
        <x:v>Loliginidae</x:v>
      </x:c>
      <x:c r="F124" s="46" t="str">
        <x:v>Common pencil squids</x:v>
      </x:c>
      <x:c r="G124" s="46" t="str">
        <x:v>Cephalopods</x:v>
      </x:c>
      <x:c r="H124" s="46" t="str">
        <x:v>Other fishes &amp; inverts</x:v>
      </x:c>
      <x:c r="I124" s="60" t="n">
        <x:v>1.2443965343</x:v>
      </x:c>
      <x:c r="J124" s="60" t="n">
        <x:v>0</x:v>
      </x:c>
      <x:c r="K124" s="60" t="n">
        <x:v>1.2443965343</x:v>
      </x:c>
      <x:c r="L124" s="60" t="n">
        <x:v>0</x:v>
      </x:c>
      <x:c r="M124" s="60" t="n">
        <x:v>1.2443965343</x:v>
      </x:c>
      <x:c r="N124" s="46" t="str">
        <x:v>loliginidae</x:v>
      </x:c>
      <x:c r="O124" s="62" t="n">
        <x:v>3.9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Loliginidae</x:v>
      </x:c>
      <x:c r="T124" s="62" t="n">
        <x:f>IF(O124="","",(1/'Metadata'!$B$5)^(O124-1))</x:f>
        <x:v>5929.07559285558</x:v>
      </x:c>
      <x:c r="U124" s="60" t="n">
        <x:f>IF(T124="","",I124*T124)</x:f>
        <x:v>7378.121119352202</x:v>
      </x:c>
    </x:row>
    <x:row r="125" ht="18" customHeight="1">
      <x:c r="A125" s="46" t="str">
        <x:v>LME_051</x:v>
      </x:c>
      <x:c r="B125" s="46" t="str">
        <x:v>Oyashio Current</x:v>
      </x:c>
      <x:c r="C125" s="46" t="str">
        <x:v>LME</x:v>
      </x:c>
      <x:c r="D125" s="58" t="n">
        <x:v>2019</x:v>
      </x:c>
      <x:c r="E125" s="46" t="str">
        <x:v>Isurus</x:v>
      </x:c>
      <x:c r="F125" s="46" t="str">
        <x:v>Mako sharks</x:v>
      </x:c>
      <x:c r="G125" s="46" t="str">
        <x:v>Large sharks (&gt;=90 cm)</x:v>
      </x:c>
      <x:c r="H125" s="46" t="str">
        <x:v>Sharks &amp; rays</x:v>
      </x:c>
      <x:c r="I125" s="60" t="n">
        <x:v>0.7033036970000001</x:v>
      </x:c>
      <x:c r="J125" s="60" t="n">
        <x:v>0</x:v>
      </x:c>
      <x:c r="K125" s="60" t="n">
        <x:v>0.7033036970000001</x:v>
      </x:c>
      <x:c r="L125" s="60" t="n">
        <x:v>0</x:v>
      </x:c>
      <x:c r="M125" s="60" t="n">
        <x:v>0.7033036970000001</x:v>
      </x:c>
      <x:c r="N125" s="46" t="str">
        <x:v>isurus</x:v>
      </x:c>
      <x:c r="O125" s="62" t="n">
        <x:v>4.5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Isurus</x:v>
      </x:c>
      <x:c r="T125" s="62" t="n">
        <x:f>IF(O125="","",(1/'Metadata'!$B$5)^(O125-1))</x:f>
        <x:v>35777.08763999664</x:v>
      </x:c>
      <x:c r="U125" s="60" t="n">
        <x:f>IF(T125="","",I125*T125)</x:f>
        <x:v>25162.158005102643</x:v>
      </x:c>
    </x:row>
    <x:row r="126" ht="18" customHeight="1">
      <x:c r="A126" s="46" t="str">
        <x:v>LME_051</x:v>
      </x:c>
      <x:c r="B126" s="46" t="str">
        <x:v>Oyashio Current</x:v>
      </x:c>
      <x:c r="C126" s="46" t="str">
        <x:v>LME</x:v>
      </x:c>
      <x:c r="D126" s="58" t="n">
        <x:v>2019</x:v>
      </x:c>
      <x:c r="E126" s="46" t="str">
        <x:v>Magallana gigas</x:v>
      </x:c>
      <x:c r="F126" s="46" t="str">
        <x:v>Pacific cupped oyster</x:v>
      </x:c>
      <x:c r="G126" s="46" t="str">
        <x:v>Other demersal invertebrates</x:v>
      </x:c>
      <x:c r="H126" s="46" t="str">
        <x:v>Molluscs</x:v>
      </x:c>
      <x:c r="I126" s="60" t="n">
        <x:v>0.6854597579</x:v>
      </x:c>
      <x:c r="J126" s="60" t="n">
        <x:v>0.6854597579</x:v>
      </x:c>
      <x:c r="K126" s="60" t="n">
        <x:v>0</x:v>
      </x:c>
      <x:c r="L126" s="60" t="n">
        <x:v>0</x:v>
      </x:c>
      <x:c r="M126" s="60" t="n">
        <x:v>0.6854597579</x:v>
      </x:c>
      <x:c r="N126" s="46" t="str">
        <x:v>magallana gigas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Magallana gigas</x:v>
      </x:c>
      <x:c r="T126" s="62" t="n">
        <x:f>IF(O126="","",(1/'Metadata'!$B$5)^(O126-1))</x:f>
        <x:v>20</x:v>
      </x:c>
      <x:c r="U126" s="60" t="n">
        <x:f>IF(T126="","",I126*T126)</x:f>
        <x:v>13.709195158</x:v>
      </x:c>
    </x:row>
    <x:row r="127" ht="18" customHeight="1">
      <x:c r="A127" s="46" t="str">
        <x:v>LME_051</x:v>
      </x:c>
      <x:c r="B127" s="46" t="str">
        <x:v>Oyashio Current</x:v>
      </x:c>
      <x:c r="C127" s="46" t="str">
        <x:v>LME</x:v>
      </x:c>
      <x:c r="D127" s="58" t="n">
        <x:v>2019</x:v>
      </x:c>
      <x:c r="E127" s="46" t="str">
        <x:v>Decapterus</x:v>
      </x:c>
      <x:c r="F127" s="46" t="str">
        <x:v>Scads</x:v>
      </x:c>
      <x:c r="G127" s="46" t="str">
        <x:v>Medium pelagics (30 - 89 cm)</x:v>
      </x:c>
      <x:c r="H127" s="46" t="str">
        <x:v>Perch-likes</x:v>
      </x:c>
      <x:c r="I127" s="60" t="n">
        <x:v>0.5558796876000001</x:v>
      </x:c>
      <x:c r="J127" s="60" t="n">
        <x:v>0.5558796876000001</x:v>
      </x:c>
      <x:c r="K127" s="60" t="n">
        <x:v>0</x:v>
      </x:c>
      <x:c r="L127" s="60" t="n">
        <x:v>0</x:v>
      </x:c>
      <x:c r="M127" s="60" t="n">
        <x:v>0.5558796876000001</x:v>
      </x:c>
      <x:c r="N127" s="46" t="str">
        <x:v>decapterus</x:v>
      </x:c>
      <x:c r="O127" s="62" t="n">
        <x:v>3.63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Decapterus</x:v>
      </x:c>
      <x:c r="T127" s="62" t="n">
        <x:f>IF(O127="","",(1/'Metadata'!$B$5)^(O127-1))</x:f>
        <x:v>2640.638121038009</x:v>
      </x:c>
      <x:c r="U127" s="60" t="n">
        <x:f>IF(T127="","",I127*T127)</x:f>
        <x:v>1467.8770937872596</x:v>
      </x:c>
    </x:row>
    <x:row r="128" ht="18" customHeight="1">
      <x:c r="A128" s="46" t="str">
        <x:v>LME_051</x:v>
      </x:c>
      <x:c r="B128" s="46" t="str">
        <x:v>Oyashio Current</x:v>
      </x:c>
      <x:c r="C128" s="46" t="str">
        <x:v>LME</x:v>
      </x:c>
      <x:c r="D128" s="58" t="n">
        <x:v>2019</x:v>
      </x:c>
      <x:c r="E128" s="46" t="str">
        <x:v>Metapenaeus</x:v>
      </x:c>
      <x:c r="F128" s="46" t="str">
        <x:v>Indo-Pacific prawns</x:v>
      </x:c>
      <x:c r="G128" s="46" t="str">
        <x:v>Shrimps</x:v>
      </x:c>
      <x:c r="H128" s="46" t="str">
        <x:v>Crustaceans</x:v>
      </x:c>
      <x:c r="I128" s="60" t="n">
        <x:v>0.5300681777</x:v>
      </x:c>
      <x:c r="J128" s="60" t="n">
        <x:v>0.5300681777</x:v>
      </x:c>
      <x:c r="K128" s="60" t="n">
        <x:v>0</x:v>
      </x:c>
      <x:c r="L128" s="60" t="n">
        <x:v>0.0437289269</x:v>
      </x:c>
      <x:c r="M128" s="60" t="n">
        <x:v>0.4863392508</x:v>
      </x:c>
      <x:c r="N128" s="46" t="str">
        <x:v>metapenaeus</x:v>
      </x:c>
      <x:c r="O128" s="62" t="n">
        <x:v>2.7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Metapenaeus</x:v>
      </x:c>
      <x:c r="T128" s="62" t="n">
        <x:f>IF(O128="","",(1/'Metadata'!$B$5)^(O128-1))</x:f>
        <x:v>162.83621261476185</x:v>
      </x:c>
      <x:c r="U128" s="60" t="n">
        <x:f>IF(T128="","",I128*T128)</x:f>
        <x:v>86.31429448427657</x:v>
      </x:c>
    </x:row>
    <x:row r="129" ht="18" customHeight="1">
      <x:c r="A129" s="46" t="str">
        <x:v>LME_051</x:v>
      </x:c>
      <x:c r="B129" s="46" t="str">
        <x:v>Oyashio Current</x:v>
      </x:c>
      <x:c r="C129" s="46" t="str">
        <x:v>LME</x:v>
      </x:c>
      <x:c r="D129" s="58" t="n">
        <x:v>2019</x:v>
      </x:c>
      <x:c r="E129" s="46" t="str">
        <x:v>Seriola dumerili</x:v>
      </x:c>
      <x:c r="F129" s="46" t="str">
        <x:v>Greater amberjack</x:v>
      </x:c>
      <x:c r="G129" s="46" t="str">
        <x:v>Large reef assoc. fish (&gt;=90 cm)</x:v>
      </x:c>
      <x:c r="H129" s="46" t="str">
        <x:v>Perch-likes</x:v>
      </x:c>
      <x:c r="I129" s="60" t="n">
        <x:v>0.43803531949999996</x:v>
      </x:c>
      <x:c r="J129" s="60" t="n">
        <x:v>0.43803531949999996</x:v>
      </x:c>
      <x:c r="K129" s="60" t="n">
        <x:v>0</x:v>
      </x:c>
      <x:c r="L129" s="60" t="n">
        <x:v>0.2303591015</x:v>
      </x:c>
      <x:c r="M129" s="60" t="n">
        <x:v>0.207676218</x:v>
      </x:c>
      <x:c r="N129" s="46" t="str">
        <x:v>seriola dumerili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Seriola dumerili</x:v>
      </x:c>
      <x:c r="T129" s="62" t="n">
        <x:f>IF(O129="","",(1/'Metadata'!$B$5)^(O129-1))</x:f>
        <x:v>35777.08763999664</x:v>
      </x:c>
      <x:c r="U129" s="60" t="n">
        <x:f>IF(T129="","",I129*T129)</x:f>
        <x:v>15671.628015165426</x:v>
      </x:c>
    </x:row>
    <x:row r="130" ht="18" customHeight="1">
      <x:c r="A130" s="46" t="str">
        <x:v>LME_051</x:v>
      </x:c>
      <x:c r="B130" s="46" t="str">
        <x:v>Oyashio Current</x:v>
      </x:c>
      <x:c r="C130" s="46" t="str">
        <x:v>LME</x:v>
      </x:c>
      <x:c r="D130" s="58" t="n">
        <x:v>2019</x:v>
      </x:c>
      <x:c r="E130" s="46" t="str">
        <x:v>Stromateidae</x:v>
      </x:c>
      <x:c r="F130" s="46" t="str">
        <x:v>Butterfishes</x:v>
      </x:c>
      <x:c r="G130" s="46" t="str">
        <x:v>Small benthopelagics (&lt;30 cm)</x:v>
      </x:c>
      <x:c r="H130" s="46" t="str">
        <x:v>Perch-likes</x:v>
      </x:c>
      <x:c r="I130" s="60" t="n">
        <x:v>0.3810612237</x:v>
      </x:c>
      <x:c r="J130" s="60" t="n">
        <x:v>0.3810612237</x:v>
      </x:c>
      <x:c r="K130" s="60" t="n">
        <x:v>0</x:v>
      </x:c>
      <x:c r="L130" s="60" t="n">
        <x:v>0.2633474034</x:v>
      </x:c>
      <x:c r="M130" s="60" t="n">
        <x:v>0.11771382030000001</x:v>
      </x:c>
      <x:c r="N130" s="46" t="str">
        <x:v>stromateidae</x:v>
      </x:c>
      <x:c r="O130" s="62" t="n">
        <x:v>3.62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Stromateidae</x:v>
      </x:c>
      <x:c r="T130" s="62" t="n">
        <x:f>IF(O130="","",(1/'Metadata'!$B$5)^(O130-1))</x:f>
        <x:v>2562.7048371775754</x:v>
      </x:c>
      <x:c r="U130" s="60" t="n">
        <x:f>IF(T130="","",I130*T130)</x:f>
        <x:v>976.5474412367962</x:v>
      </x:c>
    </x:row>
    <x:row r="131" ht="18" customHeight="1">
      <x:c r="A131" s="46" t="str">
        <x:v>LME_051</x:v>
      </x:c>
      <x:c r="B131" s="46" t="str">
        <x:v>Oyashio Current</x:v>
      </x:c>
      <x:c r="C131" s="46" t="str">
        <x:v>LME</x:v>
      </x:c>
      <x:c r="D131" s="58" t="n">
        <x:v>2019</x:v>
      </x:c>
      <x:c r="E131" s="46" t="str">
        <x:v>Istiophoridae</x:v>
      </x:c>
      <x:c r="F131" s="46" t="str">
        <x:v>Billfishes</x:v>
      </x:c>
      <x:c r="G131" s="46" t="str">
        <x:v>Large pelagics (&gt;=90 cm)</x:v>
      </x:c>
      <x:c r="H131" s="46" t="str">
        <x:v>Tuna &amp; billfishes</x:v>
      </x:c>
      <x:c r="I131" s="60" t="n">
        <x:v>0.3657116874</x:v>
      </x:c>
      <x:c r="J131" s="60" t="n">
        <x:v>0.3657116874</x:v>
      </x:c>
      <x:c r="K131" s="60" t="n">
        <x:v>0</x:v>
      </x:c>
      <x:c r="L131" s="60" t="n">
        <x:v>0.3657116874</x:v>
      </x:c>
      <x:c r="M131" s="60" t="n">
        <x:v>0</x:v>
      </x:c>
      <x:c r="N131" s="46" t="str">
        <x:v>istiophoridae</x:v>
      </x:c>
      <x:c r="O131" s="62" t="n">
        <x:v>4.48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Istiophoridae</x:v>
      </x:c>
      <x:c r="T131" s="62" t="n">
        <x:f>IF(O131="","",(1/'Metadata'!$B$5)^(O131-1))</x:f>
        <x:v>33696.468277717824</x:v>
      </x:c>
      <x:c r="U131" s="60" t="n">
        <x:f>IF(T131="","",I131*T131)</x:f>
        <x:v>12323.192273264756</x:v>
      </x:c>
    </x:row>
    <x:row r="132" ht="18" customHeight="1">
      <x:c r="A132" s="46" t="str">
        <x:v>LME_051</x:v>
      </x:c>
      <x:c r="B132" s="46" t="str">
        <x:v>Oyashio Current</x:v>
      </x:c>
      <x:c r="C132" s="46" t="str">
        <x:v>LME</x:v>
      </x:c>
      <x:c r="D132" s="58" t="n">
        <x:v>2019</x:v>
      </x:c>
      <x:c r="E132" s="46" t="str">
        <x:v>Octopodidae</x:v>
      </x:c>
      <x:c r="F132" s="46" t="str">
        <x:v>Octopuses</x:v>
      </x:c>
      <x:c r="G132" s="46" t="str">
        <x:v>Cephalopods</x:v>
      </x:c>
      <x:c r="H132" s="46" t="str">
        <x:v>Other fishes &amp; inverts</x:v>
      </x:c>
      <x:c r="I132" s="60" t="n">
        <x:v>0.2775485332</x:v>
      </x:c>
      <x:c r="J132" s="60" t="n">
        <x:v>0.2759504879</x:v>
      </x:c>
      <x:c r="K132" s="60" t="n">
        <x:v>0.0015980453</x:v>
      </x:c>
      <x:c r="L132" s="60" t="n">
        <x:v>0.2759504879</x:v>
      </x:c>
      <x:c r="M132" s="60" t="n">
        <x:v>0.0015980453</x:v>
      </x:c>
      <x:c r="N132" s="46" t="str">
        <x:v>octopodidae</x:v>
      </x:c>
      <x:c r="O132" s="62" t="n">
        <x:v>3.59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Octopodidae</x:v>
      </x:c>
      <x:c r="T132" s="62" t="n">
        <x:f>IF(O132="","",(1/'Metadata'!$B$5)^(O132-1))</x:f>
        <x:v>2342.4357563948306</x:v>
      </x:c>
      <x:c r="U132" s="60" t="n">
        <x:f>IF(T132="","",I132*T132)</x:f>
        <x:v>650.1396083026177</x:v>
      </x:c>
    </x:row>
    <x:row r="133" ht="18" customHeight="1">
      <x:c r="A133" s="46" t="str">
        <x:v>LME_051</x:v>
      </x:c>
      <x:c r="B133" s="46" t="str">
        <x:v>Oyashio Current</x:v>
      </x:c>
      <x:c r="C133" s="46" t="str">
        <x:v>LME</x:v>
      </x:c>
      <x:c r="D133" s="58" t="n">
        <x:v>2019</x:v>
      </x:c>
      <x:c r="E133" s="46" t="str">
        <x:v>Rachycentron canadum</x:v>
      </x:c>
      <x:c r="F133" s="46" t="str">
        <x:v>Cobia</x:v>
      </x:c>
      <x:c r="G133" s="46" t="str">
        <x:v>Large pelagics (&gt;=90 cm)</x:v>
      </x:c>
      <x:c r="H133" s="46" t="str">
        <x:v>Perch-likes</x:v>
      </x:c>
      <x:c r="I133" s="60" t="n">
        <x:v>0.12213762819999999</x:v>
      </x:c>
      <x:c r="J133" s="60" t="n">
        <x:v>0.0657370957</x:v>
      </x:c>
      <x:c r="K133" s="60" t="n">
        <x:v>0.056400532499999996</x:v>
      </x:c>
      <x:c r="L133" s="60" t="n">
        <x:v>0.0657370957</x:v>
      </x:c>
      <x:c r="M133" s="60" t="n">
        <x:v>0.056400532499999996</x:v>
      </x:c>
      <x:c r="N133" s="46" t="str">
        <x:v>rachycentron canadum</x:v>
      </x:c>
      <x:c r="O133" s="62" t="n">
        <x:v>3.96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Rachycentron canadum</x:v>
      </x:c>
      <x:c r="T133" s="62" t="n">
        <x:f>IF(O133="","",(1/'Metadata'!$B$5)^(O133-1))</x:f>
        <x:v>7096.574839945253</x:v>
      </x:c>
      <x:c r="U133" s="60" t="n">
        <x:f>IF(T133="","",I133*T133)</x:f>
        <x:v>866.7588192947078</x:v>
      </x:c>
    </x:row>
    <x:row r="134" ht="18" customHeight="1">
      <x:c r="A134" s="46" t="str">
        <x:v>LME_051</x:v>
      </x:c>
      <x:c r="B134" s="46" t="str">
        <x:v>Oyashio Current</x:v>
      </x:c>
      <x:c r="C134" s="46" t="str">
        <x:v>LME</x:v>
      </x:c>
      <x:c r="D134" s="58" t="n">
        <x:v>2019</x:v>
      </x:c>
      <x:c r="E134" s="46" t="str">
        <x:v>Anadara</x:v>
      </x:c>
      <x:c r="F134" s="46" t="str">
        <x:v>Arks, blood cockles</x:v>
      </x:c>
      <x:c r="G134" s="46" t="str">
        <x:v>Other demersal invertebrates</x:v>
      </x:c>
      <x:c r="H134" s="46" t="str">
        <x:v>Molluscs</x:v>
      </x:c>
      <x:c r="I134" s="60" t="n">
        <x:v>0.1002797372</x:v>
      </x:c>
      <x:c r="J134" s="60" t="n">
        <x:v>0</x:v>
      </x:c>
      <x:c r="K134" s="60" t="n">
        <x:v>0.1002797372</x:v>
      </x:c>
      <x:c r="L134" s="60" t="n">
        <x:v>0</x:v>
      </x:c>
      <x:c r="M134" s="60" t="n">
        <x:v>0.1002797372</x:v>
      </x:c>
      <x:c r="N134" s="46" t="str">
        <x:v>anadara</x:v>
      </x:c>
      <x:c r="O134" s="62" t="n">
        <x:v>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Anadara</x:v>
      </x:c>
      <x:c r="T134" s="62" t="n">
        <x:f>IF(O134="","",(1/'Metadata'!$B$5)^(O134-1))</x:f>
        <x:v>20</x:v>
      </x:c>
      <x:c r="U134" s="60" t="n">
        <x:f>IF(T134="","",I134*T134)</x:f>
        <x:v>2.0055947439999997</x:v>
      </x:c>
    </x:row>
    <x:row r="135" ht="18" customHeight="1">
      <x:c r="A135" s="46" t="str">
        <x:v>LME_051</x:v>
      </x:c>
      <x:c r="B135" s="46" t="str">
        <x:v>Oyashio Current</x:v>
      </x:c>
      <x:c r="C135" s="46" t="str">
        <x:v>LME</x:v>
      </x:c>
      <x:c r="D135" s="58" t="n">
        <x:v>2019</x:v>
      </x:c>
      <x:c r="E135" s="46" t="str">
        <x:v>Scomberomorus niphonius</x:v>
      </x:c>
      <x:c r="F135" s="46" t="str">
        <x:v>Japanese Spanish mackerel</x:v>
      </x:c>
      <x:c r="G135" s="46" t="str">
        <x:v>Large pelagics (&gt;=90 cm)</x:v>
      </x:c>
      <x:c r="H135" s="46" t="str">
        <x:v>Perch-likes</x:v>
      </x:c>
      <x:c r="I135" s="60" t="n">
        <x:v>0.0702384525</x:v>
      </x:c>
      <x:c r="J135" s="60" t="n">
        <x:v>0.0702384525</x:v>
      </x:c>
      <x:c r="K135" s="60" t="n">
        <x:v>0</x:v>
      </x:c>
      <x:c r="L135" s="60" t="n">
        <x:v>0.0702384525</x:v>
      </x:c>
      <x:c r="M135" s="60" t="n">
        <x:v>0</x:v>
      </x:c>
      <x:c r="N135" s="46" t="str">
        <x:v>scomberomorus niphonius</x:v>
      </x:c>
      <x:c r="O135" s="62" t="n">
        <x:v>4.5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Scomberomorus niphonius</x:v>
      </x:c>
      <x:c r="T135" s="62" t="n">
        <x:f>IF(O135="","",(1/'Metadata'!$B$5)^(O135-1))</x:f>
        <x:v>35777.08763999664</x:v>
      </x:c>
      <x:c r="U135" s="60" t="n">
        <x:f>IF(T135="","",I135*T135)</x:f>
        <x:v>2512.927270790241</x:v>
      </x:c>
    </x:row>
    <x:row r="136" ht="18" customHeight="1">
      <x:c r="A136" s="46" t="str">
        <x:v>LME_051</x:v>
      </x:c>
      <x:c r="B136" s="46" t="str">
        <x:v>Oyashio Current</x:v>
      </x:c>
      <x:c r="C136" s="46" t="str">
        <x:v>LME</x:v>
      </x:c>
      <x:c r="D136" s="58" t="n">
        <x:v>2019</x:v>
      </x:c>
      <x:c r="E136" s="46" t="str">
        <x:v>Scaridae</x:v>
      </x:c>
      <x:c r="F136" s="46" t="str">
        <x:v>Parrotfishes</x:v>
      </x:c>
      <x:c r="G136" s="46" t="str">
        <x:v>Medium reef assoc. fish (30 - 89 cm)</x:v>
      </x:c>
      <x:c r="H136" s="46" t="str">
        <x:v>Perch-likes</x:v>
      </x:c>
      <x:c r="I136" s="60" t="n">
        <x:v>0.06841614010000001</x:v>
      </x:c>
      <x:c r="J136" s="60" t="n">
        <x:v>0.06841614010000001</x:v>
      </x:c>
      <x:c r="K136" s="60" t="n">
        <x:v>0</x:v>
      </x:c>
      <x:c r="L136" s="60" t="n">
        <x:v>0.0265726873</x:v>
      </x:c>
      <x:c r="M136" s="60" t="n">
        <x:v>0.0418434528</x:v>
      </x:c>
      <x:c r="N136" s="46" t="str">
        <x:v>scaridae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Scaridae</x:v>
      </x:c>
      <x:c r="T136" s="62" t="n">
        <x:f>IF(O136="","",(1/'Metadata'!$B$5)^(O136-1))</x:f>
        <x:v>20</x:v>
      </x:c>
      <x:c r="U136" s="60" t="n">
        <x:f>IF(T136="","",I136*T136)</x:f>
        <x:v>1.3683228020000002</x:v>
      </x:c>
    </x:row>
    <x:row r="137" ht="18" customHeight="1">
      <x:c r="A137" s="46" t="str">
        <x:v>LME_051</x:v>
      </x:c>
      <x:c r="B137" s="46" t="str">
        <x:v>Oyashio Current</x:v>
      </x:c>
      <x:c r="C137" s="46" t="str">
        <x:v>LME</x:v>
      </x:c>
      <x:c r="D137" s="58" t="n">
        <x:v>2019</x:v>
      </x:c>
      <x:c r="E137" s="46" t="str">
        <x:v>Saurida</x:v>
      </x:c>
      <x:c r="F137" s="46" t="str">
        <x:v>Lizardfishes</x:v>
      </x:c>
      <x:c r="G137" s="46" t="str">
        <x:v>Medium demersals (30 - 89 cm)</x:v>
      </x:c>
      <x:c r="H137" s="46" t="str">
        <x:v>Other fishes &amp; inverts</x:v>
      </x:c>
      <x:c r="I137" s="60" t="n">
        <x:v>0.0542110345</x:v>
      </x:c>
      <x:c r="J137" s="60" t="n">
        <x:v>0</x:v>
      </x:c>
      <x:c r="K137" s="60" t="n">
        <x:v>0.0542110345</x:v>
      </x:c>
      <x:c r="L137" s="60" t="n">
        <x:v>0</x:v>
      </x:c>
      <x:c r="M137" s="60" t="n">
        <x:v>0.0542110345</x:v>
      </x:c>
      <x:c r="N137" s="46" t="str">
        <x:v>saurida</x:v>
      </x:c>
      <x:c r="O137" s="62" t="n">
        <x:v>4.35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Saurida</x:v>
      </x:c>
      <x:c r="T137" s="62" t="n">
        <x:f>IF(O137="","",(1/'Metadata'!$B$5)^(O137-1))</x:f>
        <x:v>22827.086550132422</x:v>
      </x:c>
      <x:c r="U137" s="60" t="n">
        <x:f>IF(T137="","",I137*T137)</x:f>
        <x:v>1237.4799765037146</x:v>
      </x:c>
    </x:row>
    <x:row r="138" ht="18" customHeight="1">
      <x:c r="A138" s="46" t="str">
        <x:v>LME_051</x:v>
      </x:c>
      <x:c r="B138" s="46" t="str">
        <x:v>Oyashio Current</x:v>
      </x:c>
      <x:c r="C138" s="46" t="str">
        <x:v>LME</x:v>
      </x:c>
      <x:c r="D138" s="58" t="n">
        <x:v>2019</x:v>
      </x:c>
      <x:c r="E138" s="46" t="str">
        <x:v>Chanos chanos</x:v>
      </x:c>
      <x:c r="F138" s="46" t="str">
        <x:v>Milkfish</x:v>
      </x:c>
      <x:c r="G138" s="46" t="str">
        <x:v>Large benthopelagics (&gt;=90 cm)</x:v>
      </x:c>
      <x:c r="H138" s="46" t="str">
        <x:v>Other fishes &amp; inverts</x:v>
      </x:c>
      <x:c r="I138" s="60" t="n">
        <x:v>0.0518613326</x:v>
      </x:c>
      <x:c r="J138" s="60" t="n">
        <x:v>0.0518613326</x:v>
      </x:c>
      <x:c r="K138" s="60" t="n">
        <x:v>0</x:v>
      </x:c>
      <x:c r="L138" s="60" t="n">
        <x:v>0.0303451034</x:v>
      </x:c>
      <x:c r="M138" s="60" t="n">
        <x:v>0.021516229199999997</x:v>
      </x:c>
      <x:c r="N138" s="46" t="str">
        <x:v>chanos chanos</x:v>
      </x:c>
      <x:c r="O138" s="62" t="n">
        <x:v>2.03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Chanos chanos</x:v>
      </x:c>
      <x:c r="T138" s="62" t="n">
        <x:f>IF(O138="","",(1/'Metadata'!$B$5)^(O138-1))</x:f>
        <x:v>21.880684071538855</x:v>
      </x:c>
      <x:c r="U138" s="60" t="n">
        <x:f>IF(T138="","",I138*T138)</x:f>
        <x:v>1.1347614341495986</x:v>
      </x:c>
    </x:row>
    <x:row r="139" ht="18" customHeight="1">
      <x:c r="A139" s="46" t="str">
        <x:v>LME_051</x:v>
      </x:c>
      <x:c r="B139" s="46" t="str">
        <x:v>Oyashio Current</x:v>
      </x:c>
      <x:c r="C139" s="46" t="str">
        <x:v>LME</x:v>
      </x:c>
      <x:c r="D139" s="58" t="n">
        <x:v>2019</x:v>
      </x:c>
      <x:c r="E139" s="46" t="str">
        <x:v>Rhopilema hispidum</x:v>
      </x:c>
      <x:c r="F139" s="46" t="str">
        <x:v>Sand jellyfish</x:v>
      </x:c>
      <x:c r="G139" s="46" t="str">
        <x:v>Jellyfish</x:v>
      </x:c>
      <x:c r="H139" s="46" t="str">
        <x:v>Other fishes &amp; inverts</x:v>
      </x:c>
      <x:c r="I139" s="60" t="n">
        <x:v>0.0188496573</x:v>
      </x:c>
      <x:c r="J139" s="60" t="n">
        <x:v>0.0188496573</x:v>
      </x:c>
      <x:c r="K139" s="60" t="n">
        <x:v>0</x:v>
      </x:c>
      <x:c r="L139" s="60" t="n">
        <x:v>0</x:v>
      </x:c>
      <x:c r="M139" s="60" t="n">
        <x:v>0.0188496573</x:v>
      </x:c>
      <x:c r="N139" s="46" t="str">
        <x:v>rhopilema hispidum</x:v>
      </x:c>
      <x:c r="O139" s="62" t="n">
        <x:v>3.46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Rhopilema hispidum</x:v>
      </x:c>
      <x:c r="T139" s="62" t="n">
        <x:f>IF(O139="","",(1/'Metadata'!$B$5)^(O139-1))</x:f>
        <x:v>1586.8423749532276</x:v>
      </x:c>
      <x:c r="U139" s="60" t="n">
        <x:f>IF(T139="","",I139*T139)</x:f>
        <x:v>29.911434956986444</x:v>
      </x:c>
    </x:row>
    <x:row r="140" ht="18" customHeight="1">
      <x:c r="A140" s="46" t="str">
        <x:v>LME_051</x:v>
      </x:c>
      <x:c r="B140" s="46" t="str">
        <x:v>Oyashio Current</x:v>
      </x:c>
      <x:c r="C140" s="46" t="str">
        <x:v>LME</x:v>
      </x:c>
      <x:c r="D140" s="58" t="n">
        <x:v>2019</x:v>
      </x:c>
      <x:c r="E140" s="46" t="str">
        <x:v>Muraenidae</x:v>
      </x:c>
      <x:c r="F140" s="46" t="str">
        <x:v>Moray eels</x:v>
      </x:c>
      <x:c r="G140" s="46" t="str">
        <x:v>Large reef assoc. fish (&gt;=90 cm)</x:v>
      </x:c>
      <x:c r="H140" s="46" t="str">
        <x:v>Other fishes &amp; inverts</x:v>
      </x:c>
      <x:c r="I140" s="60" t="n">
        <x:v>0.0093456062</x:v>
      </x:c>
      <x:c r="J140" s="60" t="n">
        <x:v>0</x:v>
      </x:c>
      <x:c r="K140" s="60" t="n">
        <x:v>0.0093456062</x:v>
      </x:c>
      <x:c r="L140" s="60" t="n">
        <x:v>0</x:v>
      </x:c>
      <x:c r="M140" s="60" t="n">
        <x:v>0.0093456062</x:v>
      </x:c>
      <x:c r="N140" s="46" t="str">
        <x:v>muraenidae</x:v>
      </x:c>
      <x:c r="O140" s="62" t="n">
        <x:v>4.07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Muraenidae</x:v>
      </x:c>
      <x:c r="T140" s="62" t="n">
        <x:f>IF(O140="","",(1/'Metadata'!$B$5)^(O140-1))</x:f>
        <x:v>9866.476519743796</x:v>
      </x:c>
      <x:c r="U140" s="60" t="n">
        <x:f>IF(T140="","",I140*T140)</x:f>
        <x:v>92.20820413507204</x:v>
      </x:c>
    </x:row>
    <x:row r="141" ht="18" customHeight="1">
      <x:c r="A141" s="46" t="str">
        <x:v>LME_051</x:v>
      </x:c>
      <x:c r="B141" s="46" t="str">
        <x:v>Oyashio Current</x:v>
      </x:c>
      <x:c r="C141" s="46" t="str">
        <x:v>LME</x:v>
      </x:c>
      <x:c r="D141" s="58" t="n">
        <x:v>2019</x:v>
      </x:c>
      <x:c r="E141" s="46" t="str">
        <x:v>Mullidae</x:v>
      </x:c>
      <x:c r="F141" s="46" t="str">
        <x:v>Goatfishes</x:v>
      </x:c>
      <x:c r="G141" s="46" t="str">
        <x:v>Medium reef assoc. fish (30 - 89 cm)</x:v>
      </x:c>
      <x:c r="H141" s="46" t="str">
        <x:v>Perch-likes</x:v>
      </x:c>
      <x:c r="I141" s="60" t="n">
        <x:v>0.0077065253</x:v>
      </x:c>
      <x:c r="J141" s="60" t="n">
        <x:v>0.0077065253</x:v>
      </x:c>
      <x:c r="K141" s="60" t="n">
        <x:v>0</x:v>
      </x:c>
      <x:c r="L141" s="60" t="n">
        <x:v>0.0062536174</x:v>
      </x:c>
      <x:c r="M141" s="60" t="n">
        <x:v>0.0014529079</x:v>
      </x:c>
      <x:c r="N141" s="46" t="str">
        <x:v>mullidae</x:v>
      </x:c>
      <x:c r="O141" s="62" t="n">
        <x:v>3.46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Mullidae</x:v>
      </x:c>
      <x:c r="T141" s="62" t="n">
        <x:f>IF(O141="","",(1/'Metadata'!$B$5)^(O141-1))</x:f>
        <x:v>1586.8423749532276</x:v>
      </x:c>
      <x:c r="U141" s="60" t="n">
        <x:f>IF(T141="","",I141*T141)</x:f>
        <x:v>12.229040909689136</x:v>
      </x:c>
    </x:row>
    <x:row r="142" ht="18" customHeight="1">
      <x:c r="A142" s="46" t="str">
        <x:v>LME_051</x:v>
      </x:c>
      <x:c r="B142" s="46" t="str">
        <x:v>Oyashio Current</x:v>
      </x:c>
      <x:c r="C142" s="46" t="str">
        <x:v>LME</x:v>
      </x:c>
      <x:c r="D142" s="58" t="n">
        <x:v>2019</x:v>
      </x:c>
      <x:c r="E142" s="46" t="str">
        <x:v>Pagrus auratus</x:v>
      </x:c>
      <x:c r="F142" s="46" t="str">
        <x:v>Silver seabream</x:v>
      </x:c>
      <x:c r="G142" s="46" t="str">
        <x:v>Large demersals (&gt;=90 cm)</x:v>
      </x:c>
      <x:c r="H142" s="46" t="str">
        <x:v>Perch-likes</x:v>
      </x:c>
      <x:c r="I142" s="60" t="n">
        <x:v>0.0026448605</x:v>
      </x:c>
      <x:c r="J142" s="60" t="n">
        <x:v>0.0026448605</x:v>
      </x:c>
      <x:c r="K142" s="60" t="n">
        <x:v>0</x:v>
      </x:c>
      <x:c r="L142" s="60" t="n">
        <x:v>0.0025258423</x:v>
      </x:c>
      <x:c r="M142" s="60" t="n">
        <x:v>0.0001190182</x:v>
      </x:c>
      <x:c r="N142" s="46" t="str">
        <x:v>pagrus auratus</x:v>
      </x:c>
      <x:c r="O142" s="62" t="n">
        <x:v>3.59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Pagrus auratus</x:v>
      </x:c>
      <x:c r="T142" s="62" t="n">
        <x:f>IF(O142="","",(1/'Metadata'!$B$5)^(O142-1))</x:f>
        <x:v>2342.4357563948306</x:v>
      </x:c>
      <x:c r="U142" s="60" t="n">
        <x:f>IF(T142="","",I142*T142)</x:f>
        <x:v>6.195415805876309</x:v>
      </x:c>
    </x:row>
    <x:row r="143" ht="18" customHeight="1">
      <x:c r="A143" s="46" t="str">
        <x:v>LME_051</x:v>
      </x:c>
      <x:c r="B143" s="46" t="str">
        <x:v>Oyashio Current</x:v>
      </x:c>
      <x:c r="C143" s="46" t="str">
        <x:v>LME</x:v>
      </x:c>
      <x:c r="D143" s="58" t="n">
        <x:v>2019</x:v>
      </x:c>
      <x:c r="E143" s="46" t="str">
        <x:v>Sphyraena barracuda</x:v>
      </x:c>
      <x:c r="F143" s="46" t="str">
        <x:v>Great barracuda</x:v>
      </x:c>
      <x:c r="G143" s="46" t="str">
        <x:v>Large pelagics (&gt;=90 cm)</x:v>
      </x:c>
      <x:c r="H143" s="46" t="str">
        <x:v>Perch-likes</x:v>
      </x:c>
      <x:c r="I143" s="60" t="n">
        <x:v>0.0014735999</x:v>
      </x:c>
      <x:c r="J143" s="60" t="n">
        <x:v>0</x:v>
      </x:c>
      <x:c r="K143" s="60" t="n">
        <x:v>0.0014735999</x:v>
      </x:c>
      <x:c r="L143" s="60" t="n">
        <x:v>0</x:v>
      </x:c>
      <x:c r="M143" s="60" t="n">
        <x:v>0.0014735999</x:v>
      </x:c>
      <x:c r="N143" s="46" t="str">
        <x:v>sphyraena barracuda</x:v>
      </x:c>
      <x:c r="O143" s="62" t="n">
        <x:v>4.49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Sphyraena barracuda</x:v>
      </x:c>
      <x:c r="T143" s="62" t="n">
        <x:f>IF(O143="","",(1/'Metadata'!$B$5)^(O143-1))</x:f>
        <x:v>34721.19667768202</x:v>
      </x:c>
      <x:c r="U143" s="60" t="n">
        <x:f>IF(T143="","",I143*T143)</x:f>
        <x:v>51.16515195211256</x:v>
      </x:c>
    </x:row>
    <x:row r="144" ht="18" customHeight="1">
      <x:c r="A144" s="46" t="str">
        <x:v>LME_051</x:v>
      </x:c>
      <x:c r="B144" s="46" t="str">
        <x:v>Oyashio Current</x:v>
      </x:c>
      <x:c r="C144" s="46" t="str">
        <x:v>LME</x:v>
      </x:c>
      <x:c r="D144" s="58" t="n">
        <x:v>2019</x:v>
      </x:c>
      <x:c r="E144" s="46" t="str">
        <x:v>Prionace glauca</x:v>
      </x:c>
      <x:c r="F144" s="46" t="str">
        <x:v>Blue shark</x:v>
      </x:c>
      <x:c r="G144" s="46" t="str">
        <x:v>Large sharks (&gt;=90 cm)</x:v>
      </x:c>
      <x:c r="H144" s="46" t="str">
        <x:v>Sharks &amp; rays</x:v>
      </x:c>
      <x:c r="I144" s="60" t="n">
        <x:v>0.0009738025</x:v>
      </x:c>
      <x:c r="J144" s="60" t="n">
        <x:v>0.0009738025</x:v>
      </x:c>
      <x:c r="K144" s="60" t="n">
        <x:v>0</x:v>
      </x:c>
      <x:c r="L144" s="60" t="n">
        <x:v>0.0009738025</x:v>
      </x:c>
      <x:c r="M144" s="60" t="n">
        <x:v>0</x:v>
      </x:c>
      <x:c r="N144" s="46" t="st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Prionace glauca</x:v>
      </x:c>
      <x:c r="T144" s="62" t="n">
        <x:f>IF(O144="","",(1/'Metadata'!$B$5)^(O144-1))</x:f>
        <x:v>22827.086550132422</x:v>
      </x:c>
      <x:c r="U144" s="60" t="n">
        <x:f>IF(T144="","",I144*T144)</x:f>
        <x:v>22.22907395023533</x:v>
      </x:c>
    </x:row>
  </x:sheetData>
  <x:conditionalFormatting sqref="R2:R1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362d3b395fb47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12229.50159158</x:v>
      </x:c>
      <x:c r="E2" s="60" t="n">
        <x:v>12229.50159158</x:v>
      </x:c>
      <x:c r="F2" s="62" t="n">
        <x:v>0</x:v>
      </x:c>
      <x:c r="G2" s="66" t="n">
        <x:v>1</x:v>
      </x:c>
      <x:c r="H2" s="62" t="n">
        <x:f>IF(E2=0,"",I2/E2)</x:f>
        <x:v>608.420993216597</x:v>
      </x:c>
      <x:c r="I2" s="60" t="n">
        <x:f>SUMIF('Species'!$H$2:$H$144,A2,'Species'!$U$2:$U$144)</x:f>
        <x:v>7440685.504893057</x:v>
      </x:c>
      <x:c r="J2" s="62" t="n">
        <x:v>3.1400000000000006</x:v>
      </x:c>
      <x:c r="K2" s="62" t="n">
        <x:f>IF(J2="","",(1/'Metadata'!$B$5)^(J2-1))</x:f>
        <x:v>608.4209932165978</x:v>
      </x:c>
      <x:c r="L2" s="60" t="n">
        <x:f>IF(E2=0,"",E2*K2)</x:f>
        <x:v>7440685.504893067</x:v>
      </x:c>
      <x:c r="M2" s="60" t="n">
        <x:f>I2-L2</x:f>
        <x:v>-1.0244548320770264e-8</x:v>
      </x:c>
      <x:c r="N2" s="62" t="n">
        <x:f>IF(L2=0,"",I2/L2)</x:f>
        <x:v>0.9999999999999987</x:v>
      </x:c>
      <x:c r="O2" s="66" t="n">
        <x:f>IF(L2=0,"",M2/L2)</x:f>
        <x:v>-1.376828561566451e-15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374319.0605663674</x:v>
      </x:c>
      <x:c r="E3" s="60" t="n">
        <x:v>374319.0605663674</x:v>
      </x:c>
      <x:c r="F3" s="62" t="n">
        <x:v>0</x:v>
      </x:c>
      <x:c r="G3" s="66" t="n">
        <x:v>1</x:v>
      </x:c>
      <x:c r="H3" s="62" t="n">
        <x:f>IF(E3=0,"",I3/E3)</x:f>
        <x:v>2824.681114012031</x:v>
      </x:c>
      <x:c r="I3" s="60" t="n">
        <x:f>SUMIF('Species'!$H$2:$H$144,A3,'Species'!$U$2:$U$144)</x:f>
        <x:v>1057331980.9965435</x:v>
      </x:c>
      <x:c r="J3" s="62" t="n">
        <x:v>3.6034063494232687</x:v>
      </x:c>
      <x:c r="K3" s="62" t="n">
        <x:f>IF(J3="","",(1/'Metadata'!$B$5)^(J3-1))</x:f>
        <x:v>2438.42696068523</x:v>
      </x:c>
      <x:c r="L3" s="60" t="n">
        <x:f>IF(E3=0,"",E3*K3)</x:f>
        <x:v>912749689.1833978</x:v>
      </x:c>
      <x:c r="M3" s="60" t="n">
        <x:f>I3-L3</x:f>
        <x:v>144582291.81314576</x:v>
      </x:c>
      <x:c r="N3" s="62" t="n">
        <x:f>IF(L3=0,"",I3/L3)</x:f>
        <x:v>1.1584030030648358</x:v>
      </x:c>
      <x:c r="O3" s="66" t="n">
        <x:f>IF(L3=0,"",M3/L3)</x:f>
        <x:v>0.15840300306483587</x:v>
      </x:c>
    </x:row>
    <x:row r="4" ht="18" customHeight="1">
      <x:c r="A4" s="46" t="str">
        <x:v>Crustaceans</x:v>
      </x:c>
      <x:c r="B4" s="64" t="n">
        <x:v>18</x:v>
      </x:c>
      <x:c r="C4" s="64" t="n">
        <x:v>18</x:v>
      </x:c>
      <x:c r="D4" s="60" t="n">
        <x:v>44741.9125685151</x:v>
      </x:c>
      <x:c r="E4" s="60" t="n">
        <x:v>44741.9125685151</x:v>
      </x:c>
      <x:c r="F4" s="62" t="n">
        <x:v>0</x:v>
      </x:c>
      <x:c r="G4" s="66" t="n">
        <x:v>1</x:v>
      </x:c>
      <x:c r="H4" s="62" t="n">
        <x:f>IF(E4=0,"",I4/E4)</x:f>
        <x:v>1824.4088418810284</x:v>
      </x:c>
      <x:c r="I4" s="60" t="n">
        <x:f>SUMIF('Species'!$H$2:$H$144,A4,'Species'!$U$2:$U$144)</x:f>
        <x:v>81627540.89266686</x:v>
      </x:c>
      <x:c r="J4" s="62" t="n">
        <x:v>3.160905009984291</x:v>
      </x:c>
      <x:c r="K4" s="62" t="n">
        <x:f>IF(J4="","",(1/'Metadata'!$B$5)^(J4-1))</x:f>
        <x:v>647.7422652972617</x:v>
      </x:c>
      <x:c r="L4" s="60" t="n">
        <x:f>IF(E4=0,"",E4*K4)</x:f>
        <x:v>28981227.800861996</x:v>
      </x:c>
      <x:c r="M4" s="60" t="n">
        <x:f>I4-L4</x:f>
        <x:v>52646313.09180486</x:v>
      </x:c>
      <x:c r="N4" s="62" t="n">
        <x:f>IF(L4=0,"",I4/L4)</x:f>
        <x:v>2.81656600105255</x:v>
      </x:c>
      <x:c r="O4" s="66" t="n">
        <x:f>IF(L4=0,"",M4/L4)</x:f>
        <x:v>1.81656600105255</x:v>
      </x:c>
    </x:row>
    <x:row r="5" ht="18" customHeight="1">
      <x:c r="A5" s="46" t="str">
        <x:v>Flatfishes</x:v>
      </x:c>
      <x:c r="B5" s="64" t="n">
        <x:v>6</x:v>
      </x:c>
      <x:c r="C5" s="64" t="n">
        <x:v>6</x:v>
      </x:c>
      <x:c r="D5" s="60" t="n">
        <x:v>29641.917731650698</x:v>
      </x:c>
      <x:c r="E5" s="60" t="n">
        <x:v>29641.917731650698</x:v>
      </x:c>
      <x:c r="F5" s="62" t="n">
        <x:v>0</x:v>
      </x:c>
      <x:c r="G5" s="66" t="n">
        <x:v>1</x:v>
      </x:c>
      <x:c r="H5" s="62" t="n">
        <x:f>IF(E5=0,"",I5/E5)</x:f>
        <x:v>3535.6518606786567</x:v>
      </x:c>
      <x:c r="I5" s="60" t="n">
        <x:f>SUMIF('Species'!$H$2:$H$144,A5,'Species'!$U$2:$U$144)</x:f>
        <x:v>104803501.58199446</x:v>
      </x:c>
      <x:c r="J5" s="62" t="n">
        <x:v>3.6119888849416903</x:v>
      </x:c>
      <x:c r="K5" s="62" t="n">
        <x:f>IF(J5="","",(1/'Metadata'!$B$5)^(J5-1))</x:f>
        <x:v>2501.9342226773374</x:v>
      </x:c>
      <x:c r="L5" s="60" t="n">
        <x:f>IF(E5=0,"",E5*K5)</x:f>
        <x:v>74162128.39860307</x:v>
      </x:c>
      <x:c r="M5" s="60" t="n">
        <x:f>I5-L5</x:f>
        <x:v>30641373.183391392</x:v>
      </x:c>
      <x:c r="N5" s="62" t="n">
        <x:f>IF(L5=0,"",I5/L5)</x:f>
        <x:v>1.4131673921047896</x:v>
      </x:c>
      <x:c r="O5" s="66" t="n">
        <x:f>IF(L5=0,"",M5/L5)</x:f>
        <x:v>0.4131673921047897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162978.4358911092</x:v>
      </x:c>
      <x:c r="E6" s="60" t="n">
        <x:v>162978.4358911092</x:v>
      </x:c>
      <x:c r="F6" s="62" t="n">
        <x:v>0</x:v>
      </x:c>
      <x:c r="G6" s="66" t="n">
        <x:v>1</x:v>
      </x:c>
      <x:c r="H6" s="62" t="n">
        <x:f>IF(E6=0,"",I6/E6)</x:f>
        <x:v>453.1657795761885</x:v>
      </x:c>
      <x:c r="I6" s="60" t="n">
        <x:f>SUMIF('Species'!$H$2:$H$144,A6,'Species'!$U$2:$U$144)</x:f>
        <x:v>73856249.95470236</x:v>
      </x:c>
      <x:c r="J6" s="62" t="n">
        <x:v>3.0050857883883633</x:v>
      </x:c>
      <x:c r="K6" s="62" t="n">
        <x:f>IF(J6="","",(1/'Metadata'!$B$5)^(J6-1))</x:f>
        <x:v>406.1409259072074</x:v>
      </x:c>
      <x:c r="L6" s="60" t="n">
        <x:f>IF(E6=0,"",E6*K6)</x:f>
        <x:v>66192212.85572354</x:v>
      </x:c>
      <x:c r="M6" s="60" t="n">
        <x:f>I6-L6</x:f>
        <x:v>7664037.098978825</x:v>
      </x:c>
      <x:c r="N6" s="62" t="n">
        <x:f>IF(L6=0,"",I6/L6)</x:f>
        <x:v>1.1157845729630436</x:v>
      </x:c>
      <x:c r="O6" s="66" t="n">
        <x:f>IF(L6=0,"",M6/L6)</x:f>
        <x:v>0.11578457296304345</x:v>
      </x:c>
    </x:row>
    <x:row r="7" ht="18" customHeight="1">
      <x:c r="A7" s="46" t="str">
        <x:v>Molluscs</x:v>
      </x:c>
      <x:c r="B7" s="64" t="n">
        <x:v>12</x:v>
      </x:c>
      <x:c r="C7" s="64" t="n">
        <x:v>12</x:v>
      </x:c>
      <x:c r="D7" s="60" t="n">
        <x:v>31339.5880689663</x:v>
      </x:c>
      <x:c r="E7" s="60" t="n">
        <x:v>31339.5880689663</x:v>
      </x:c>
      <x:c r="F7" s="62" t="n">
        <x:v>0</x:v>
      </x:c>
      <x:c r="G7" s="66" t="n">
        <x:v>1</x:v>
      </x:c>
      <x:c r="H7" s="62" t="n">
        <x:f>IF(E7=0,"",I7/E7)</x:f>
        <x:v>49.647297191063615</x:v>
      </x:c>
      <x:c r="I7" s="60" t="n">
        <x:f>SUMIF('Species'!$H$2:$H$144,A7,'Species'!$U$2:$U$144)</x:f>
        <x:v>1555925.8427054812</x:v>
      </x:c>
      <x:c r="J7" s="62" t="n">
        <x:v>2.0982549320996355</x:v>
      </x:c>
      <x:c r="K7" s="62" t="n">
        <x:f>IF(J7="","",(1/'Metadata'!$B$5)^(J7-1))</x:f>
        <x:v>26.844950626887638</x:v>
      </x:c>
      <x:c r="L7" s="60" t="n">
        <x:f>IF(E7=0,"",E7*K7)</x:f>
        <x:v>841309.6943783972</x:v>
      </x:c>
      <x:c r="M7" s="60" t="n">
        <x:f>I7-L7</x:f>
        <x:v>714616.148327084</x:v>
      </x:c>
      <x:c r="N7" s="62" t="n">
        <x:f>IF(L7=0,"",I7/L7)</x:f>
        <x:v>1.8494091451722532</x:v>
      </x:c>
      <x:c r="O7" s="66" t="n">
        <x:f>IF(L7=0,"",M7/L7)</x:f>
        <x:v>0.8494091451722533</x:v>
      </x:c>
    </x:row>
    <x:row r="8" ht="18" customHeight="1">
      <x:c r="A8" s="46" t="str">
        <x:v>Other fishes &amp; inverts</x:v>
      </x:c>
      <x:c r="B8" s="64" t="n">
        <x:v>30</x:v>
      </x:c>
      <x:c r="C8" s="64" t="n">
        <x:v>30</x:v>
      </x:c>
      <x:c r="D8" s="60" t="n">
        <x:v>216477.2879670446</x:v>
      </x:c>
      <x:c r="E8" s="60" t="n">
        <x:v>216477.2879670446</x:v>
      </x:c>
      <x:c r="F8" s="62" t="n">
        <x:v>0</x:v>
      </x:c>
      <x:c r="G8" s="66" t="n">
        <x:v>1</x:v>
      </x:c>
      <x:c r="H8" s="62" t="n">
        <x:f>IF(E8=0,"",I8/E8)</x:f>
        <x:v>3554.797256360125</x:v>
      </x:c>
      <x:c r="I8" s="60" t="n">
        <x:f>SUMIF('Species'!$H$2:$H$144,A8,'Species'!$U$2:$U$144)</x:f>
        <x:v>769532869.3295308</x:v>
      </x:c>
      <x:c r="J8" s="62" t="n">
        <x:v>3.4724941833870764</x:v>
      </x:c>
      <x:c r="K8" s="62" t="n">
        <x:f>IF(J8="","",(1/'Metadata'!$B$5)^(J8-1))</x:f>
        <x:v>1647.3622005771344</x:v>
      </x:c>
      <x:c r="L8" s="60" t="n">
        <x:f>IF(E8=0,"",E8*K8)</x:f>
        <x:v>356616501.4803606</x:v>
      </x:c>
      <x:c r="M8" s="60" t="n">
        <x:f>I8-L8</x:f>
        <x:v>412916367.8491702</x:v>
      </x:c>
      <x:c r="N8" s="62" t="n">
        <x:f>IF(L8=0,"",I8/L8)</x:f>
        <x:v>2.1578722973701487</x:v>
      </x:c>
      <x:c r="O8" s="66" t="n">
        <x:f>IF(L8=0,"",M8/L8)</x:f>
        <x:v>1.1578722973701487</x:v>
      </x:c>
    </x:row>
    <x:row r="9" ht="18" customHeight="1">
      <x:c r="A9" s="46" t="str">
        <x:v>Perch-likes</x:v>
      </x:c>
      <x:c r="B9" s="64" t="n">
        <x:v>32</x:v>
      </x:c>
      <x:c r="C9" s="64" t="n">
        <x:v>32</x:v>
      </x:c>
      <x:c r="D9" s="60" t="n">
        <x:v>111659.1254779884</x:v>
      </x:c>
      <x:c r="E9" s="60" t="n">
        <x:v>111659.1254779884</x:v>
      </x:c>
      <x:c r="F9" s="62" t="n">
        <x:v>0</x:v>
      </x:c>
      <x:c r="G9" s="66" t="n">
        <x:v>1</x:v>
      </x:c>
      <x:c r="H9" s="62" t="n">
        <x:f>IF(E9=0,"",I9/E9)</x:f>
        <x:v>4142.2118204800745</x:v>
      </x:c>
      <x:c r="I9" s="60" t="n">
        <x:f>SUMIF('Species'!$H$2:$H$144,A9,'Species'!$U$2:$U$144)</x:f>
        <x:v>462515749.41939145</x:v>
      </x:c>
      <x:c r="J9" s="62" t="n">
        <x:v>3.472704093279304</x:v>
      </x:c>
      <x:c r="K9" s="62" t="n">
        <x:f>IF(J9="","",(1/'Metadata'!$B$5)^(J9-1))</x:f>
        <x:v>1648.3984434515728</x:v>
      </x:c>
      <x:c r="L9" s="60" t="n">
        <x:f>IF(E9=0,"",E9*K9)</x:f>
        <x:v>184058728.63507995</x:v>
      </x:c>
      <x:c r="M9" s="60" t="n">
        <x:f>I9-L9</x:f>
        <x:v>278457020.78431153</x:v>
      </x:c>
      <x:c r="N9" s="62" t="n">
        <x:f>IF(L9=0,"",I9/L9)</x:f>
        <x:v>2.512870499808723</x:v>
      </x:c>
      <x:c r="O9" s="66" t="n">
        <x:f>IF(L9=0,"",M9/L9)</x:f>
        <x:v>1.512870499808723</x:v>
      </x:c>
    </x:row>
    <x:row r="10" ht="18" customHeight="1">
      <x:c r="A10" s="46" t="str">
        <x:v>Salmon, smelts, etc</x:v>
      </x:c>
      <x:c r="B10" s="64" t="n">
        <x:v>13</x:v>
      </x:c>
      <x:c r="C10" s="64" t="n">
        <x:v>13</x:v>
      </x:c>
      <x:c r="D10" s="60" t="n">
        <x:v>81954.5067683821</x:v>
      </x:c>
      <x:c r="E10" s="60" t="n">
        <x:v>81954.5067683821</x:v>
      </x:c>
      <x:c r="F10" s="62" t="n">
        <x:v>0</x:v>
      </x:c>
      <x:c r="G10" s="66" t="n">
        <x:v>1</x:v>
      </x:c>
      <x:c r="H10" s="62" t="n">
        <x:f>IF(E10=0,"",I10/E10)</x:f>
        <x:v>18033.99366344931</x:v>
      </x:c>
      <x:c r="I10" s="60" t="n">
        <x:f>SUMIF('Species'!$H$2:$H$144,A10,'Species'!$U$2:$U$144)</x:f>
        <x:v>1477967055.7521162</x:v>
      </x:c>
      <x:c r="J10" s="62" t="n">
        <x:v>4.101785673511753</x:v>
      </x:c>
      <x:c r="K10" s="62" t="n">
        <x:f>IF(J10="","",(1/'Metadata'!$B$5)^(J10-1))</x:f>
        <x:v>10852.160328716313</x:v>
      </x:c>
      <x:c r="L10" s="60" t="n">
        <x:f>IF(E10=0,"",E10*K10)</x:f>
        <x:v>889383447.1113487</x:v>
      </x:c>
      <x:c r="M10" s="60" t="n">
        <x:f>I10-L10</x:f>
        <x:v>588583608.6407675</x:v>
      </x:c>
      <x:c r="N10" s="62" t="n">
        <x:f>IF(L10=0,"",I10/L10)</x:f>
        <x:v>1.6617883552391752</x:v>
      </x:c>
      <x:c r="O10" s="66" t="n">
        <x:f>IF(L10=0,"",M10/L10)</x:f>
        <x:v>0.6617883552391752</x:v>
      </x:c>
    </x:row>
    <x:row r="11" ht="18" customHeight="1">
      <x:c r="A11" s="46" t="str">
        <x:v>Scorpionfishes</x:v>
      </x:c>
      <x:c r="B11" s="64" t="n">
        <x:v>9</x:v>
      </x:c>
      <x:c r="C11" s="64" t="n">
        <x:v>9</x:v>
      </x:c>
      <x:c r="D11" s="60" t="n">
        <x:v>17285.062605307605</x:v>
      </x:c>
      <x:c r="E11" s="60" t="n">
        <x:v>17285.062605307605</x:v>
      </x:c>
      <x:c r="F11" s="62" t="n">
        <x:v>0</x:v>
      </x:c>
      <x:c r="G11" s="66" t="n">
        <x:v>1</x:v>
      </x:c>
      <x:c r="H11" s="62" t="n">
        <x:f>IF(E11=0,"",I11/E11)</x:f>
        <x:v>2109.1395551418977</x:v>
      </x:c>
      <x:c r="I11" s="60" t="n">
        <x:f>SUMIF('Species'!$H$2:$H$144,A11,'Species'!$U$2:$U$144)</x:f>
        <x:v>36456609.25395834</x:v>
      </x:c>
      <x:c r="J11" s="62" t="n">
        <x:v>3.537701447470487</x:v>
      </x:c>
      <x:c r="K11" s="62" t="n">
        <x:f>IF(J11="","",(1/'Metadata'!$B$5)^(J11-1))</x:f>
        <x:v>2002.7452169115677</x:v>
      </x:c>
      <x:c r="L11" s="60" t="n">
        <x:f>IF(E11=0,"",E11*K11)</x:f>
        <x:v>34617576.45679681</x:v>
      </x:c>
      <x:c r="M11" s="60" t="n">
        <x:f>I11-L11</x:f>
        <x:v>1839032.797161527</x:v>
      </x:c>
      <x:c r="N11" s="62" t="n">
        <x:f>IF(L11=0,"",I11/L11)</x:f>
        <x:v>1.0531242503199687</x:v>
      </x:c>
      <x:c r="O11" s="66" t="n">
        <x:f>IF(L11=0,"",M11/L11)</x:f>
        <x:v>0.05312425031996865</x:v>
      </x:c>
    </x:row>
    <x:row r="12" ht="18" customHeight="1">
      <x:c r="A12" s="46" t="str">
        <x:v>Sharks &amp; rays</x:v>
      </x:c>
      <x:c r="B12" s="64" t="n">
        <x:v>5</x:v>
      </x:c>
      <x:c r="C12" s="64" t="n">
        <x:v>5</x:v>
      </x:c>
      <x:c r="D12" s="60" t="n">
        <x:v>6198.8197115845</x:v>
      </x:c>
      <x:c r="E12" s="60" t="n">
        <x:v>6198.8197115845</x:v>
      </x:c>
      <x:c r="F12" s="62" t="n">
        <x:v>0</x:v>
      </x:c>
      <x:c r="G12" s="66" t="n">
        <x:v>1</x:v>
      </x:c>
      <x:c r="H12" s="62" t="n">
        <x:f>IF(E12=0,"",I12/E12)</x:f>
        <x:v>5488.884185693552</x:v>
      </x:c>
      <x:c r="I12" s="60" t="n">
        <x:f>SUMIF('Species'!$H$2:$H$144,A12,'Species'!$U$2:$U$144)</x:f>
        <x:v>34024603.484881625</x:v>
      </x:c>
      <x:c r="J12" s="62" t="n">
        <x:v>3.8426978650048658</x:v>
      </x:c>
      <x:c r="K12" s="62" t="n">
        <x:f>IF(J12="","",(1/'Metadata'!$B$5)^(J12-1))</x:f>
        <x:v>4993.846523346398</x:v>
      </x:c>
      <x:c r="L12" s="60" t="n">
        <x:f>IF(E12=0,"",E12*K12)</x:f>
        <x:v>30955954.265547372</x:v>
      </x:c>
      <x:c r="M12" s="60" t="n">
        <x:f>I12-L12</x:f>
        <x:v>3068649.219334252</x:v>
      </x:c>
      <x:c r="N12" s="62" t="n">
        <x:f>IF(L12=0,"",I12/L12)</x:f>
        <x:v>1.0991295307200246</x:v>
      </x:c>
      <x:c r="O12" s="66" t="n">
        <x:f>IF(L12=0,"",M12/L12)</x:f>
        <x:v>0.09912953072002452</x:v>
      </x:c>
    </x:row>
    <x:row r="13" ht="18" customHeight="1">
      <x:c r="A13" s="46" t="str">
        <x:v>Tuna &amp; billfishes</x:v>
      </x:c>
      <x:c r="B13" s="64" t="n">
        <x:v>8</x:v>
      </x:c>
      <x:c r="C13" s="64" t="n">
        <x:v>8</x:v>
      </x:c>
      <x:c r="D13" s="60" t="n">
        <x:v>3196.6185013270997</x:v>
      </x:c>
      <x:c r="E13" s="60" t="n">
        <x:v>3196.6185013270997</x:v>
      </x:c>
      <x:c r="F13" s="62" t="n">
        <x:v>0</x:v>
      </x:c>
      <x:c r="G13" s="66" t="n">
        <x:v>1</x:v>
      </x:c>
      <x:c r="H13" s="62" t="n">
        <x:f>IF(E13=0,"",I13/E13)</x:f>
        <x:v>21925.744866738947</x:v>
      </x:c>
      <x:c r="I13" s="60" t="n">
        <x:f>SUMIF('Species'!$H$2:$H$144,A13,'Species'!$U$2:$U$144)</x:f>
        <x:v>70088241.6963954</x:v>
      </x:c>
      <x:c r="J13" s="62" t="n">
        <x:v>4.319108817805623</x:v>
      </x:c>
      <x:c r="K13" s="62" t="n">
        <x:f>IF(J13="","",(1/'Metadata'!$B$5)^(J13-1))</x:f>
        <x:v>20809.42743217786</x:v>
      </x:c>
      <x:c r="L13" s="60" t="n">
        <x:f>IF(E13=0,"",E13*K13)</x:f>
        <x:v>66519800.73172343</x:v>
      </x:c>
      <x:c r="M13" s="60" t="n">
        <x:f>I13-L13</x:f>
        <x:v>3568440.9646719694</x:v>
      </x:c>
      <x:c r="N13" s="62" t="n">
        <x:f>IF(L13=0,"",I13/L13)</x:f>
        <x:v>1.0536447933610567</x:v>
      </x:c>
      <x:c r="O13" s="66" t="n">
        <x:f>IF(L13=0,"",M13/L13)</x:f>
        <x:v>0.05364479336105667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6027f5b471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46432.575584225306</x:v>
      </x:c>
      <x:c r="E2" s="60" t="n">
        <x:v>46432.575584225306</x:v>
      </x:c>
      <x:c r="F2" s="62" t="n">
        <x:v>0</x:v>
      </x:c>
      <x:c r="G2" s="66" t="n">
        <x:v>1</x:v>
      </x:c>
      <x:c r="H2" s="62" t="n">
        <x:f>IF(E2=0,"",I2/E2)</x:f>
        <x:v>11668.479743696756</x:v>
      </x:c>
      <x:c r="I2" s="60" t="n">
        <x:f>SUMIF('Species'!$G$2:$G$144,A2,'Species'!$U$2:$U$144)</x:f>
        <x:v>541797567.6522015</x:v>
      </x:c>
      <x:c r="J2" s="62" t="n">
        <x:v>4.096180478076859</x:v>
      </x:c>
      <x:c r="K2" s="62" t="n">
        <x:f>IF(J2="","",(1/'Metadata'!$B$5)^(J2-1))</x:f>
        <x:v>10671.455899466946</x:v>
      </x:c>
      <x:c r="L2" s="60" t="n">
        <x:f>IF(E2=0,"",E2*K2)</x:f>
        <x:v>495503182.645726</x:v>
      </x:c>
      <x:c r="M2" s="60" t="n">
        <x:f>I2-L2</x:f>
        <x:v>46294385.00647551</x:v>
      </x:c>
      <x:c r="N2" s="62" t="n">
        <x:f>IF(L2=0,"",I2/L2)</x:f>
        <x:v>1.0934290366396597</x:v>
      </x:c>
      <x:c r="O2" s="66" t="n">
        <x:f>IF(L2=0,"",M2/L2)</x:f>
        <x:v>0.09342903663965965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178.4466374777</x:v>
      </x:c>
      <x:c r="E3" s="60" t="n">
        <x:v>178.4466374777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SUMIF('Species'!$G$2:$G$144,A3,'Species'!$U$2:$U$144)</x:f>
        <x:v>283166.6860175311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283166.6860175311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109.7714833729</x:v>
      </x:c>
      <x:c r="E4" s="60" t="n">
        <x:v>109.7714833729</x:v>
      </x:c>
      <x:c r="F4" s="62" t="n">
        <x:v>0</x:v>
      </x:c>
      <x:c r="G4" s="66" t="n">
        <x:v>1</x:v>
      </x:c>
      <x:c r="H4" s="62" t="n">
        <x:f>IF(E4=0,"",I4/E4)</x:f>
        <x:v>4953.648510535111</x:v>
      </x:c>
      <x:c r="I4" s="60" t="n">
        <x:f>SUMIF('Species'!$G$2:$G$144,A4,'Species'!$U$2:$U$144)</x:f>
        <x:v>543769.3451093958</x:v>
      </x:c>
      <x:c r="J4" s="62" t="n">
        <x:v>3.84</x:v>
      </x:c>
      <x:c r="K4" s="62" t="n">
        <x:f>IF(J4="","",(1/'Metadata'!$B$5)^(J4-1))</x:f>
        <x:v>4953.648510535111</x:v>
      </x:c>
      <x:c r="L4" s="60" t="n">
        <x:f>IF(E4=0,"",E4*K4)</x:f>
        <x:v>543769.3451093958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11</x:v>
      </x:c>
      <x:c r="C5" s="64" t="n">
        <x:v>11</x:v>
      </x:c>
      <x:c r="D5" s="60" t="n">
        <x:v>48881.43848319261</x:v>
      </x:c>
      <x:c r="E5" s="60" t="n">
        <x:v>48881.43848319261</x:v>
      </x:c>
      <x:c r="F5" s="62" t="n">
        <x:v>0</x:v>
      </x:c>
      <x:c r="G5" s="66" t="n">
        <x:v>1</x:v>
      </x:c>
      <x:c r="H5" s="62" t="n">
        <x:f>IF(E5=0,"",I5/E5)</x:f>
        <x:v>9273.077939189798</x:v>
      </x:c>
      <x:c r="I5" s="60" t="n">
        <x:f>SUMIF('Species'!$G$2:$G$144,A5,'Species'!$U$2:$U$144)</x:f>
        <x:v>453281388.8343566</x:v>
      </x:c>
      <x:c r="J5" s="62" t="n">
        <x:v>3.8824797189213722</x:v>
      </x:c>
      <x:c r="K5" s="62" t="n">
        <x:f>IF(J5="","",(1/'Metadata'!$B$5)^(J5-1))</x:f>
        <x:v>5625.907356226896</x:v>
      </x:c>
      <x:c r="L5" s="60" t="n">
        <x:f>IF(E5=0,"",E5*K5)</x:f>
        <x:v>275002444.34554577</x:v>
      </x:c>
      <x:c r="M5" s="60" t="n">
        <x:f>I5-L5</x:f>
        <x:v>178278944.48881084</x:v>
      </x:c>
      <x:c r="N5" s="62" t="n">
        <x:f>IF(L5=0,"",I5/L5)</x:f>
        <x:v>1.6482813086010246</x:v>
      </x:c>
      <x:c r="O5" s="66" t="n">
        <x:f>IF(L5=0,"",M5/L5)</x:f>
        <x:v>0.6482813086010245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23747.2171284884</x:v>
      </x:c>
      <x:c r="E6" s="60" t="n">
        <x:v>23747.2171284884</x:v>
      </x:c>
      <x:c r="F6" s="62" t="n">
        <x:v>0</x:v>
      </x:c>
      <x:c r="G6" s="66" t="n">
        <x:v>1</x:v>
      </x:c>
      <x:c r="H6" s="62" t="n">
        <x:f>IF(E6=0,"",I6/E6)</x:f>
        <x:v>13768.409600817262</x:v>
      </x:c>
      <x:c r="I6" s="60" t="n">
        <x:f>SUMIF('Species'!$G$2:$G$144,A6,'Species'!$U$2:$U$144)</x:f>
        <x:v>326961412.3045718</x:v>
      </x:c>
      <x:c r="J6" s="62" t="n">
        <x:v>4.178112515449189</x:v>
      </x:c>
      <x:c r="K6" s="62" t="n">
        <x:f>IF(J6="","",(1/'Metadata'!$B$5)^(J6-1))</x:f>
        <x:v>13640.167774662325</x:v>
      </x:c>
      <x:c r="L6" s="60" t="n">
        <x:f>IF(E6=0,"",E6*K6)</x:f>
        <x:v>323916025.8139166</x:v>
      </x:c>
      <x:c r="M6" s="60" t="n">
        <x:f>I6-L6</x:f>
        <x:v>3045386.490655184</x:v>
      </x:c>
      <x:c r="N6" s="62" t="n">
        <x:f>IF(L6=0,"",I6/L6)</x:f>
        <x:v>1.009401777769417</x:v>
      </x:c>
      <x:c r="O6" s="66" t="n">
        <x:f>IF(L6=0,"",M6/L6)</x:f>
        <x:v>0.009401777769416997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1556.8514660572</x:v>
      </x:c>
      <x:c r="E7" s="60" t="n">
        <x:v>1556.8514660572</x:v>
      </x:c>
      <x:c r="F7" s="62" t="n">
        <x:v>0</x:v>
      </x:c>
      <x:c r="G7" s="66" t="n">
        <x:v>1</x:v>
      </x:c>
      <x:c r="H7" s="62" t="n">
        <x:f>IF(E7=0,"",I7/E7)</x:f>
        <x:v>14535.457667044318</x:v>
      </x:c>
      <x:c r="I7" s="60" t="n">
        <x:f>SUMIF('Species'!$G$2:$G$144,A7,'Species'!$U$2:$U$144)</x:f>
        <x:v>22629548.578750316</x:v>
      </x:c>
      <x:c r="J7" s="62" t="n">
        <x:v>4.193502561898081</x:v>
      </x:c>
      <x:c r="K7" s="62" t="n">
        <x:f>IF(J7="","",(1/'Metadata'!$B$5)^(J7-1))</x:f>
        <x:v>14283.762625333762</x:v>
      </x:c>
      <x:c r="L7" s="60" t="n">
        <x:f>IF(E7=0,"",E7*K7)</x:f>
        <x:v>22237696.78406391</x:v>
      </x:c>
      <x:c r="M7" s="60" t="n">
        <x:f>I7-L7</x:f>
        <x:v>391851.79468640685</x:v>
      </x:c>
      <x:c r="N7" s="62" t="n">
        <x:f>IF(L7=0,"",I7/L7)</x:f>
        <x:v>1.0176210602424987</x:v>
      </x:c>
      <x:c r="O7" s="66" t="n">
        <x:f>IF(L7=0,"",M7/L7)</x:f>
        <x:v>0.01762106024249857</x:v>
      </x:c>
    </x:row>
    <x:row r="8" ht="18" customHeight="1">
      <x:c r="A8" s="46" t="str">
        <x:v>Large pelagics (&gt;=90 cm)</x:v>
      </x:c>
      <x:c r="B8" s="64" t="n">
        <x:v>11</x:v>
      </x:c>
      <x:c r="C8" s="64" t="n">
        <x:v>11</x:v>
      </x:c>
      <x:c r="D8" s="60" t="n">
        <x:v>3168.9616558898992</x:v>
      </x:c>
      <x:c r="E8" s="60" t="n">
        <x:v>3168.9616558898992</x:v>
      </x:c>
      <x:c r="F8" s="62" t="n">
        <x:v>0</x:v>
      </x:c>
      <x:c r="G8" s="66" t="n">
        <x:v>1</x:v>
      </x:c>
      <x:c r="H8" s="62" t="n">
        <x:f>IF(E8=0,"",I8/E8)</x:f>
        <x:v>21964.81741089594</x:v>
      </x:c>
      <x:c r="I8" s="60" t="n">
        <x:f>SUMIF('Species'!$G$2:$G$144,A8,'Species'!$U$2:$U$144)</x:f>
        <x:v>69605664.15375209</x:v>
      </x:c>
      <x:c r="J8" s="62" t="n">
        <x:v>4.31941395487731</x:v>
      </x:c>
      <x:c r="K8" s="62" t="n">
        <x:f>IF(J8="","",(1/'Metadata'!$B$5)^(J8-1))</x:f>
        <x:v>20828.45821330593</x:v>
      </x:c>
      <x:c r="L8" s="60" t="n">
        <x:f>IF(E8=0,"",E8*K8)</x:f>
        <x:v>66004585.429271534</x:v>
      </x:c>
      <x:c r="M8" s="60" t="n">
        <x:f>I8-L8</x:f>
        <x:v>3601078.7244805545</x:v>
      </x:c>
      <x:c r="N8" s="62" t="n">
        <x:f>IF(L8=0,"",I8/L8)</x:f>
        <x:v>1.0545580083726056</x:v>
      </x:c>
      <x:c r="O8" s="66" t="n">
        <x:f>IF(L8=0,"",M8/L8)</x:f>
        <x:v>0.05455800837260555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3572.0250857925002</x:v>
      </x:c>
      <x:c r="E9" s="60" t="n">
        <x:v>3572.0250857925002</x:v>
      </x:c>
      <x:c r="F9" s="62" t="n">
        <x:v>0</x:v>
      </x:c>
      <x:c r="G9" s="66" t="n">
        <x:v>1</x:v>
      </x:c>
      <x:c r="H9" s="62" t="n">
        <x:f>IF(E9=0,"",I9/E9)</x:f>
        <x:v>3457.8136804537753</x:v>
      </x:c>
      <x:c r="I9" s="60" t="n">
        <x:f>SUMIF('Species'!$G$2:$G$144,A9,'Species'!$U$2:$U$144)</x:f>
        <x:v>12351397.208577378</x:v>
      </x:c>
      <x:c r="J9" s="62" t="n">
        <x:v>3.72</x:v>
      </x:c>
      <x:c r="K9" s="62" t="n">
        <x:f>IF(J9="","",(1/'Metadata'!$B$5)^(J9-1))</x:f>
        <x:v>3457.8136804537753</x:v>
      </x:c>
      <x:c r="L9" s="60" t="n">
        <x:f>IF(E9=0,"",E9*K9)</x:f>
        <x:v>12351397.208577378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reef assoc. fish (&gt;=90 cm)</x:v>
      </x:c>
      <x:c r="B10" s="64" t="n">
        <x:v>4</x:v>
      </x:c>
      <x:c r="C10" s="64" t="n">
        <x:v>4</x:v>
      </x:c>
      <x:c r="D10" s="60" t="n">
        <x:v>517.0683802343001</x:v>
      </x:c>
      <x:c r="E10" s="60" t="n">
        <x:v>517.0683802343001</x:v>
      </x:c>
      <x:c r="F10" s="62" t="n">
        <x:v>0</x:v>
      </x:c>
      <x:c r="G10" s="66" t="n">
        <x:v>1</x:v>
      </x:c>
      <x:c r="H10" s="62" t="n">
        <x:f>IF(E10=0,"",I10/E10)</x:f>
        <x:v>2953.8201532168555</x:v>
      </x:c>
      <x:c r="I10" s="60" t="n">
        <x:f>SUMIF('Species'!$G$2:$G$144,A10,'Species'!$U$2:$U$144)</x:f>
        <x:v>1527327.0021272716</x:v>
      </x:c>
      <x:c r="J10" s="62" t="n">
        <x:v>3.633929986911605</x:v>
      </x:c>
      <x:c r="K10" s="62" t="n">
        <x:f>IF(J10="","",(1/'Metadata'!$B$5)^(J10-1))</x:f>
        <x:v>2671.910578784406</x:v>
      </x:c>
      <x:c r="L10" s="60" t="n">
        <x:f>IF(E10=0,"",E10*K10)</x:f>
        <x:v>1381560.475102944</x:v>
      </x:c>
      <x:c r="M10" s="60" t="n">
        <x:f>I10-L10</x:f>
        <x:v>145766.52702432754</x:v>
      </x:c>
      <x:c r="N10" s="62" t="n">
        <x:f>IF(L10=0,"",I10/L10)</x:f>
        <x:v>1.105508611205359</x:v>
      </x:c>
      <x:c r="O10" s="66" t="n">
        <x:f>IF(L10=0,"",M10/L10)</x:f>
        <x:v>0.10550861120535897</x:v>
      </x:c>
    </x:row>
    <x:row r="11" ht="18" customHeight="1">
      <x:c r="A11" s="46" t="str">
        <x:v>Large sharks (&gt;=90 cm)</x:v>
      </x:c>
      <x:c r="B11" s="64" t="n">
        <x:v>4</x:v>
      </x:c>
      <x:c r="C11" s="64" t="n">
        <x:v>4</x:v>
      </x:c>
      <x:c r="D11" s="60" t="n">
        <x:v>2626.7946257920003</x:v>
      </x:c>
      <x:c r="E11" s="60" t="n">
        <x:v>2626.7946257920003</x:v>
      </x:c>
      <x:c r="F11" s="62" t="n">
        <x:v>0</x:v>
      </x:c>
      <x:c r="G11" s="66" t="n">
        <x:v>1</x:v>
      </x:c>
      <x:c r="H11" s="62" t="n">
        <x:f>IF(E11=0,"",I11/E11)</x:f>
        <x:v>8250.818721608126</x:v>
      </x:c>
      <x:c r="I11" s="60" t="n">
        <x:f>SUMIF('Species'!$G$2:$G$144,A11,'Species'!$U$2:$U$144)</x:f>
        <x:v>21673206.276304245</x:v>
      </x:c>
      <x:c r="J11" s="62" t="n">
        <x:v>4.009547548443066</x:v>
      </x:c>
      <x:c r="K11" s="62" t="n">
        <x:f>IF(J11="","",(1/'Metadata'!$B$5)^(J11-1))</x:f>
        <x:v>8232.118888656229</x:v>
      </x:c>
      <x:c r="L11" s="60" t="n">
        <x:f>IF(E11=0,"",E11*K11)</x:f>
        <x:v>21624085.655602995</x:v>
      </x:c>
      <x:c r="M11" s="60" t="n">
        <x:f>I11-L11</x:f>
        <x:v>49120.62070124969</x:v>
      </x:c>
      <x:c r="N11" s="62" t="n">
        <x:f>IF(L11=0,"",I11/L11)</x:f>
        <x:v>1.0022715698357643</x:v>
      </x:c>
      <x:c r="O11" s="66" t="n">
        <x:f>IF(L11=0,"",M11/L11)</x:f>
        <x:v>0.0022715698357642275</x:v>
      </x:c>
    </x:row>
    <x:row r="12" ht="18" customHeight="1">
      <x:c r="A12" s="46" t="str">
        <x:v>Lobsters, crabs</x:v>
      </x:c>
      <x:c r="B12" s="64" t="n">
        <x:v>8</x:v>
      </x:c>
      <x:c r="C12" s="64" t="n">
        <x:v>8</x:v>
      </x:c>
      <x:c r="D12" s="60" t="n">
        <x:v>30856.7941180121</x:v>
      </x:c>
      <x:c r="E12" s="60" t="n">
        <x:v>30856.7941180121</x:v>
      </x:c>
      <x:c r="F12" s="62" t="n">
        <x:v>0</x:v>
      </x:c>
      <x:c r="G12" s="66" t="n">
        <x:v>1</x:v>
      </x:c>
      <x:c r="H12" s="62" t="n">
        <x:f>IF(E12=0,"",I12/E12)</x:f>
        <x:v>2559.2014347450104</x:v>
      </x:c>
      <x:c r="I12" s="60" t="n">
        <x:f>SUMIF('Species'!$G$2:$G$144,A12,'Species'!$U$2:$U$144)</x:f>
        <x:v>78968751.77844797</x:v>
      </x:c>
      <x:c r="J12" s="62" t="n">
        <x:v>3.3659808892410843</x:v>
      </x:c>
      <x:c r="K12" s="62" t="n">
        <x:f>IF(J12="","",(1/'Metadata'!$B$5)^(J12-1))</x:f>
        <x:v>1197.3251528895996</x:v>
      </x:c>
      <x:c r="L12" s="60" t="n">
        <x:f>IF(E12=0,"",E12*K12)</x:f>
        <x:v>36945615.73503174</x:v>
      </x:c>
      <x:c r="M12" s="60" t="n">
        <x:f>I12-L12</x:f>
        <x:v>42023136.04341623</x:v>
      </x:c>
      <x:c r="N12" s="62" t="n">
        <x:f>IF(L12=0,"",I12/L12)</x:f>
        <x:v>2.1374322827585197</x:v>
      </x:c>
      <x:c r="O12" s="66" t="n">
        <x:f>IF(L12=0,"",M12/L12)</x:f>
        <x:v>1.1374322827585197</x:v>
      </x:c>
    </x:row>
    <x:row r="13" ht="18" customHeight="1">
      <x:c r="A13" s="46" t="str">
        <x:v>Medium bathydemersals (30 - 89 cm)</x:v>
      </x:c>
      <x:c r="B13" s="64" t="n">
        <x:v>2</x:v>
      </x:c>
      <x:c r="C13" s="64" t="n">
        <x:v>2</x:v>
      </x:c>
      <x:c r="D13" s="60" t="n">
        <x:v>148.7713625894</x:v>
      </x:c>
      <x:c r="E13" s="60" t="n">
        <x:v>148.7713625894</x:v>
      </x:c>
      <x:c r="F13" s="62" t="n">
        <x:v>0</x:v>
      </x:c>
      <x:c r="G13" s="66" t="n">
        <x:v>1</x:v>
      </x:c>
      <x:c r="H13" s="62" t="n">
        <x:f>IF(E13=0,"",I13/E13)</x:f>
        <x:v>2450.779420815599</x:v>
      </x:c>
      <x:c r="I13" s="60" t="n">
        <x:f>SUMIF('Species'!$G$2:$G$144,A13,'Species'!$U$2:$U$144)</x:f>
        <x:v>364605.79384079727</x:v>
      </x:c>
      <x:c r="J13" s="62" t="n">
        <x:v>3.5973333174273674</x:v>
      </x:c>
      <x:c r="K13" s="62" t="n">
        <x:f>IF(J13="","",(1/'Metadata'!$B$5)^(J13-1))</x:f>
        <x:v>2394.4653384543376</x:v>
      </x:c>
      <x:c r="L13" s="60" t="n">
        <x:f>IF(E13=0,"",E13*K13)</x:f>
        <x:v>356227.87107494066</x:v>
      </x:c>
      <x:c r="M13" s="60" t="n">
        <x:f>I13-L13</x:f>
        <x:v>8377.922765856609</x:v>
      </x:c>
      <x:c r="N13" s="62" t="n">
        <x:f>IF(L13=0,"",I13/L13)</x:f>
        <x:v>1.0235184370627028</x:v>
      </x:c>
      <x:c r="O13" s="66" t="n">
        <x:f>IF(L13=0,"",M13/L13)</x:f>
        <x:v>0.023518437062702825</x:v>
      </x:c>
    </x:row>
    <x:row r="14" ht="18" customHeight="1">
      <x:c r="A14" s="46" t="str">
        <x:v>Medium benthopelagics (30 - 89 cm)</x:v>
      </x:c>
      <x:c r="B14" s="64" t="n">
        <x:v>6</x:v>
      </x:c>
      <x:c r="C14" s="64" t="n">
        <x:v>6</x:v>
      </x:c>
      <x:c r="D14" s="60" t="n">
        <x:v>351840.7501977339</x:v>
      </x:c>
      <x:c r="E14" s="60" t="n">
        <x:v>351840.7501977339</x:v>
      </x:c>
      <x:c r="F14" s="62" t="n">
        <x:v>0</x:v>
      </x:c>
      <x:c r="G14" s="66" t="n">
        <x:v>1</x:v>
      </x:c>
      <x:c r="H14" s="62" t="n">
        <x:f>IF(E14=0,"",I14/E14)</x:f>
        <x:v>2208.6598505532397</x:v>
      </x:c>
      <x:c r="I14" s="60" t="n">
        <x:f>SUMIF('Species'!$G$2:$G$144,A14,'Species'!$U$2:$U$144)</x:f>
        <x:v>777096538.7502668</x:v>
      </x:c>
      <x:c r="J14" s="62" t="n">
        <x:v>3.568614862560663</x:v>
      </x:c>
      <x:c r="K14" s="62" t="n">
        <x:f>IF(J14="","",(1/'Metadata'!$B$5)^(J14-1))</x:f>
        <x:v>2197.0755115698894</x:v>
      </x:c>
      <x:c r="L14" s="60" t="n">
        <x:f>IF(E14=0,"",E14*K14)</x:f>
        <x:v>773020696.23182</x:v>
      </x:c>
      <x:c r="M14" s="60" t="n">
        <x:f>I14-L14</x:f>
        <x:v>4075842.518446803</x:v>
      </x:c>
      <x:c r="N14" s="62" t="n">
        <x:f>IF(L14=0,"",I14/L14)</x:f>
        <x:v>1.0052726175874915</x:v>
      </x:c>
      <x:c r="O14" s="66" t="n">
        <x:f>IF(L14=0,"",M14/L14)</x:f>
        <x:v>0.00527261758749148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190224.4300565642</x:v>
      </x:c>
      <x:c r="E15" s="60" t="n">
        <x:v>190224.4300565642</x:v>
      </x:c>
      <x:c r="F15" s="62" t="n">
        <x:v>0</x:v>
      </x:c>
      <x:c r="G15" s="66" t="n">
        <x:v>1</x:v>
      </x:c>
      <x:c r="H15" s="62" t="n">
        <x:f>IF(E15=0,"",I15/E15)</x:f>
        <x:v>7460.892955585809</x:v>
      </x:c>
      <x:c r="I15" s="60" t="n">
        <x:f>SUMIF('Species'!$G$2:$G$144,A15,'Species'!$U$2:$U$144)</x:f>
        <x:v>1419244110.1893454</x:v>
      </x:c>
      <x:c r="J15" s="62" t="n">
        <x:v>3.549999850780912</x:v>
      </x:c>
      <x:c r="K15" s="62" t="n">
        <x:f>IF(J15="","",(1/'Metadata'!$B$5)^(J15-1))</x:f>
        <x:v>2077.907902759954</x:v>
      </x:c>
      <x:c r="L15" s="60" t="n">
        <x:f>IF(E15=0,"",E15*K15)</x:f>
        <x:v>395268846.5125429</x:v>
      </x:c>
      <x:c r="M15" s="60" t="n">
        <x:f>I15-L15</x:f>
        <x:v>1023975263.6768024</x:v>
      </x:c>
      <x:c r="N15" s="62" t="n">
        <x:f>IF(L15=0,"",I15/L15)</x:f>
        <x:v>3.5905792290774654</x:v>
      </x:c>
      <x:c r="O15" s="66" t="n">
        <x:f>IF(L15=0,"",M15/L15)</x:f>
        <x:v>2.5905792290774654</x:v>
      </x:c>
    </x:row>
    <x:row r="16" ht="18" customHeight="1">
      <x:c r="A16" s="46" t="str">
        <x:v>Medium pelagics (30 - 89 cm)</x:v>
      </x:c>
      <x:c r="B16" s="64" t="n">
        <x:v>13</x:v>
      </x:c>
      <x:c r="C16" s="64" t="n">
        <x:v>13</x:v>
      </x:c>
      <x:c r="D16" s="60" t="n">
        <x:v>258141.85692159808</x:v>
      </x:c>
      <x:c r="E16" s="60" t="n">
        <x:v>258141.85692159808</x:v>
      </x:c>
      <x:c r="F16" s="62" t="n">
        <x:v>0</x:v>
      </x:c>
      <x:c r="G16" s="66" t="n">
        <x:v>1</x:v>
      </x:c>
      <x:c r="H16" s="62" t="n">
        <x:f>IF(E16=0,"",I16/E16)</x:f>
        <x:v>1087.1154031285014</x:v>
      </x:c>
      <x:c r="I16" s="60" t="n">
        <x:f>SUMIF('Species'!$G$2:$G$144,A16,'Species'!$U$2:$U$144)</x:f>
        <x:v>280629988.85166305</x:v>
      </x:c>
      <x:c r="J16" s="62" t="n">
        <x:v>3.1962617789148013</x:v>
      </x:c>
      <x:c r="K16" s="62" t="n">
        <x:f>IF(J16="","",(1/'Metadata'!$B$5)^(J16-1))</x:f>
        <x:v>720.1159871271775</x:v>
      </x:c>
      <x:c r="L16" s="60" t="n">
        <x:f>IF(E16=0,"",E16*K16)</x:f>
        <x:v>185892078.11593923</x:v>
      </x:c>
      <x:c r="M16" s="60" t="n">
        <x:f>I16-L16</x:f>
        <x:v>94737910.73572382</x:v>
      </x:c>
      <x:c r="N16" s="62" t="n">
        <x:f>IF(L16=0,"",I16/L16)</x:f>
        <x:v>1.5096393116689817</x:v>
      </x:c>
      <x:c r="O16" s="66" t="n">
        <x:f>IF(L16=0,"",M16/L16)</x:f>
        <x:v>0.5096393116689816</x:v>
      </x:c>
    </x:row>
    <x:row r="17" ht="18" customHeight="1">
      <x:c r="A17" s="46" t="str">
        <x:v>Medium reef assoc. fish (30 - 89 cm)</x:v>
      </x:c>
      <x:c r="B17" s="64" t="n">
        <x:v>8</x:v>
      </x:c>
      <x:c r="C17" s="64" t="n">
        <x:v>8</x:v>
      </x:c>
      <x:c r="D17" s="60" t="n">
        <x:v>7081.8644284018</x:v>
      </x:c>
      <x:c r="E17" s="60" t="n">
        <x:v>7081.8644284018</x:v>
      </x:c>
      <x:c r="F17" s="62" t="n">
        <x:v>0</x:v>
      </x:c>
      <x:c r="G17" s="66" t="n">
        <x:v>1</x:v>
      </x:c>
      <x:c r="H17" s="62" t="n">
        <x:f>IF(E17=0,"",I17/E17)</x:f>
        <x:v>8468.98351651069</x:v>
      </x:c>
      <x:c r="I17" s="60" t="n">
        <x:f>SUMIF('Species'!$G$2:$G$144,A17,'Species'!$U$2:$U$144)</x:f>
        <x:v>59976193.110298246</x:v>
      </x:c>
      <x:c r="J17" s="62" t="n">
        <x:v>4.016895062644653</x:v>
      </x:c>
      <x:c r="K17" s="62" t="n">
        <x:f>IF(J17="","",(1/'Metadata'!$B$5)^(J17-1))</x:f>
        <x:v>8415.326495419806</x:v>
      </x:c>
      <x:c r="L17" s="60" t="n">
        <x:f>IF(E17=0,"",E17*K17)</x:f>
        <x:v>59596201.36130071</x:v>
      </x:c>
      <x:c r="M17" s="60" t="n">
        <x:f>I17-L17</x:f>
        <x:v>379991.7489975393</x:v>
      </x:c>
      <x:c r="N17" s="62" t="n">
        <x:f>IF(L17=0,"",I17/L17)</x:f>
        <x:v>1.0063761068712056</x:v>
      </x:c>
      <x:c r="O17" s="66" t="n">
        <x:f>IF(L17=0,"",M17/L17)</x:f>
        <x:v>0.006376106871205555</x:v>
      </x:c>
    </x:row>
    <x:row r="18" ht="18" customHeight="1">
      <x:c r="A18" s="46" t="str">
        <x:v>Other demersal invertebrates</x:v>
      </x:c>
      <x:c r="B18" s="64" t="n">
        <x:v>16</x:v>
      </x:c>
      <x:c r="C18" s="64" t="n">
        <x:v>16</x:v>
      </x:c>
      <x:c r="D18" s="60" t="n">
        <x:v>38255.7604142387</x:v>
      </x:c>
      <x:c r="E18" s="60" t="n">
        <x:v>38255.7604142387</x:v>
      </x:c>
      <x:c r="F18" s="62" t="n">
        <x:v>0</x:v>
      </x:c>
      <x:c r="G18" s="66" t="n">
        <x:v>1</x:v>
      </x:c>
      <x:c r="H18" s="62" t="n">
        <x:f>IF(E18=0,"",I18/E18)</x:f>
        <x:v>48.994355914971266</x:v>
      </x:c>
      <x:c r="I18" s="60" t="n">
        <x:f>SUMIF('Species'!$G$2:$G$144,A18,'Species'!$U$2:$U$144)</x:f>
        <x:v>1874316.3415330793</x:v>
      </x:c>
      <x:c r="J18" s="62" t="n">
        <x:v>2.1148840398089686</x:v>
      </x:c>
      <x:c r="K18" s="62" t="n">
        <x:f>IF(J18="","",(1/'Metadata'!$B$5)^(J18-1))</x:f>
        <x:v>28.216138439102743</x:v>
      </x:c>
      <x:c r="L18" s="60" t="n">
        <x:f>IF(E18=0,"",E18*K18)</x:f>
        <x:v>1079429.8319413057</x:v>
      </x:c>
      <x:c r="M18" s="60" t="n">
        <x:f>I18-L18</x:f>
        <x:v>794886.5095917736</x:v>
      </x:c>
      <x:c r="N18" s="62" t="n">
        <x:f>IF(L18=0,"",I18/L18)</x:f>
        <x:v>1.7363947947984781</x:v>
      </x:c>
      <x:c r="O18" s="66" t="n">
        <x:f>IF(L18=0,"",M18/L18)</x:f>
        <x:v>0.7363947947984782</x:v>
      </x:c>
    </x:row>
    <x:row r="19" ht="18" customHeight="1">
      <x:c r="A19" s="46" t="str">
        <x:v>Shrimps</x:v>
      </x:c>
      <x:c r="B19" s="64" t="n">
        <x:v>10</x:v>
      </x:c>
      <x:c r="C19" s="64" t="n">
        <x:v>10</x:v>
      </x:c>
      <x:c r="D19" s="60" t="n">
        <x:v>13885.118450503</x:v>
      </x:c>
      <x:c r="E19" s="60" t="n">
        <x:v>13885.118450503</x:v>
      </x:c>
      <x:c r="F19" s="62" t="n">
        <x:v>0</x:v>
      </x:c>
      <x:c r="G19" s="66" t="n">
        <x:v>1</x:v>
      </x:c>
      <x:c r="H19" s="62" t="n">
        <x:f>IF(E19=0,"",I19/E19)</x:f>
        <x:v>191.48479890155923</x:v>
      </x:c>
      <x:c r="I19" s="60" t="n">
        <x:f>SUMIF('Species'!$G$2:$G$144,A19,'Species'!$U$2:$U$144)</x:f>
        <x:v>2658789.1142188967</x:v>
      </x:c>
      <x:c r="J19" s="62" t="n">
        <x:v>2.7051664286135333</x:v>
      </x:c>
      <x:c r="K19" s="62" t="n">
        <x:f>IF(J19="","",(1/'Metadata'!$B$5)^(J19-1))</x:f>
        <x:v>165.3760715579348</x:v>
      </x:c>
      <x:c r="L19" s="60" t="n">
        <x:f>IF(E19=0,"",E19*K19)</x:f>
        <x:v>2296266.342460785</x:v>
      </x:c>
      <x:c r="M19" s="60" t="n">
        <x:f>I19-L19</x:f>
        <x:v>362522.77175811166</x:v>
      </x:c>
      <x:c r="N19" s="62" t="n">
        <x:f>IF(L19=0,"",I19/L19)</x:f>
        <x:v>1.157874879344186</x:v>
      </x:c>
      <x:c r="O19" s="66" t="n">
        <x:f>IF(L19=0,"",M19/L19)</x:f>
        <x:v>0.15787487934418598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1511.7817078331</x:v>
      </x:c>
      <x:c r="E20" s="60" t="n">
        <x:v>1511.7817078331</x:v>
      </x:c>
      <x:c r="F20" s="62" t="n">
        <x:v>0</x:v>
      </x:c>
      <x:c r="G20" s="66" t="n">
        <x:v>1</x:v>
      </x:c>
      <x:c r="H20" s="62" t="n">
        <x:f>IF(E20=0,"",I20/E20)</x:f>
        <x:v>1843.2544417784343</x:v>
      </x:c>
      <x:c r="I20" s="60" t="n">
        <x:f>SUMIF('Species'!$G$2:$G$144,A20,'Species'!$U$2:$U$144)</x:f>
        <x:v>2786598.3479627487</x:v>
      </x:c>
      <x:c r="J20" s="62" t="n">
        <x:v>3.51</x:v>
      </x:c>
      <x:c r="K20" s="62" t="n">
        <x:f>IF(J20="","",(1/'Metadata'!$B$5)^(J20-1))</x:f>
        <x:v>1843.2544417784343</x:v>
      </x:c>
      <x:c r="L20" s="60" t="n">
        <x:f>IF(E20=0,"",E20*K20)</x:f>
        <x:v>2786598.3479627487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bathypelagics (&lt;30 cm)</x:v>
      </x:c>
      <x:c r="B21" s="64" t="n">
        <x:v>1</x:v>
      </x:c>
      <x:c r="C21" s="64" t="n">
        <x:v>1</x:v>
      </x:c>
      <x:c r="D21" s="60" t="n">
        <x:v>122.4792590461</x:v>
      </x:c>
      <x:c r="E21" s="60" t="n">
        <x:v>122.4792590461</x:v>
      </x:c>
      <x:c r="F21" s="62" t="n">
        <x:v>0</x:v>
      </x:c>
      <x:c r="G21" s="66" t="n">
        <x:v>1</x:v>
      </x:c>
      <x:c r="H21" s="62" t="n">
        <x:f>IF(E21=0,"",I21/E21)</x:f>
        <x:v>539.7131390694254</x:v>
      </x:c>
      <x:c r="I21" s="60" t="n">
        <x:f>SUMIF('Species'!$G$2:$G$144,A21,'Species'!$U$2:$U$144)</x:f>
        <x:v>66103.66537066795</x:v>
      </x:c>
      <x:c r="J21" s="62" t="n">
        <x:v>3.1</x:v>
      </x:c>
      <x:c r="K21" s="62" t="n">
        <x:f>IF(J21="","",(1/'Metadata'!$B$5)^(J21-1))</x:f>
        <x:v>539.7131390694254</x:v>
      </x:c>
      <x:c r="L21" s="60" t="n">
        <x:f>IF(E21=0,"",E21*K21)</x:f>
        <x:v>66103.66537066795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0.3810612237</x:v>
      </x:c>
      <x:c r="E22" s="60" t="n">
        <x:v>0.3810612237</x:v>
      </x:c>
      <x:c r="F22" s="62" t="n">
        <x:v>0</x:v>
      </x:c>
      <x:c r="G22" s="66" t="n">
        <x:v>1</x:v>
      </x:c>
      <x:c r="H22" s="62" t="n">
        <x:f>IF(E22=0,"",I22/E22)</x:f>
        <x:v>2562.7048371775754</x:v>
      </x:c>
      <x:c r="I22" s="60" t="n">
        <x:f>SUMIF('Species'!$G$2:$G$144,A22,'Species'!$U$2:$U$144)</x:f>
        <x:v>976.5474412367962</x:v>
      </x:c>
      <x:c r="J22" s="62" t="n">
        <x:v>3.6199999999999997</x:v>
      </x:c>
      <x:c r="K22" s="62" t="n">
        <x:f>IF(J22="","",(1/'Metadata'!$B$5)^(J22-1))</x:f>
        <x:v>2562.7048371775722</x:v>
      </x:c>
      <x:c r="L22" s="60" t="n">
        <x:f>IF(E22=0,"",E22*K22)</x:f>
        <x:v>976.547441236795</x:v>
      </x:c>
      <x:c r="M22" s="60" t="n">
        <x:f>I22-L22</x:f>
        <x:v>1.2505552149377763e-12</x:v>
      </x:c>
      <x:c r="N22" s="62" t="n">
        <x:f>IF(L22=0,"",I22/L22)</x:f>
        <x:v>1.0000000000000013</x:v>
      </x:c>
      <x:c r="O22" s="66" t="n">
        <x:f>IF(L22=0,"",M22/L22)</x:f>
        <x:v>1.2805882869898786e-15</x:v>
      </x:c>
    </x:row>
    <x:row r="23" ht="18" customHeight="1">
      <x:c r="A23" s="46" t="str">
        <x:v>Small demersals (&lt;30 cm)</x:v>
      </x:c>
      <x:c r="B23" s="64" t="n">
        <x:v>1</x:v>
      </x:c>
      <x:c r="C23" s="64" t="n">
        <x:v>1</x:v>
      </x:c>
      <x:c r="D23" s="60" t="n">
        <x:v>22632.7971187329</x:v>
      </x:c>
      <x:c r="E23" s="60" t="n">
        <x:v>22632.7971187329</x:v>
      </x:c>
      <x:c r="F23" s="62" t="n">
        <x:v>0</x:v>
      </x:c>
      <x:c r="G23" s="66" t="n">
        <x:v>1</x:v>
      </x:c>
      <x:c r="H23" s="62" t="n">
        <x:f>IF(E23=0,"",I23/E23)</x:f>
        <x:v>399.99999999999994</x:v>
      </x:c>
      <x:c r="I23" s="60" t="n">
        <x:f>SUMIF('Species'!$G$2:$G$144,A23,'Species'!$U$2:$U$144)</x:f>
        <x:v>9053118.847493159</x:v>
      </x:c>
      <x:c r="J23" s="62" t="n">
        <x:v>3</x:v>
      </x:c>
      <x:c r="K23" s="62" t="n">
        <x:f>IF(J23="","",(1/'Metadata'!$B$5)^(J23-1))</x:f>
        <x:v>400</x:v>
      </x:c>
      <x:c r="L23" s="60" t="n">
        <x:f>IF(E23=0,"",E23*K23)</x:f>
        <x:v>9053118.847493159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  <x:row r="24" ht="18" customHeight="1">
      <x:c r="A24" s="46" t="str">
        <x:v>Small pelagics (&lt;30 cm)</x:v>
      </x:c>
      <x:c r="B24" s="64" t="n">
        <x:v>5</x:v>
      </x:c>
      <x:c r="C24" s="64" t="n">
        <x:v>5</x:v>
      </x:c>
      <x:c r="D24" s="60" t="n">
        <x:v>18442.835557229697</x:v>
      </x:c>
      <x:c r="E24" s="60" t="n">
        <x:v>18442.835557229697</x:v>
      </x:c>
      <x:c r="F24" s="62" t="n">
        <x:v>0</x:v>
      </x:c>
      <x:c r="G24" s="66" t="n">
        <x:v>1</x:v>
      </x:c>
      <x:c r="H24" s="62" t="n">
        <x:f>IF(E24=0,"",I24/E24)</x:f>
        <x:v>631.818317239056</x:v>
      </x:c>
      <x:c r="I24" s="60" t="n">
        <x:f>SUMIF('Species'!$G$2:$G$144,A24,'Species'!$U$2:$U$144)</x:f>
        <x:v>11652521.326885495</x:v>
      </x:c>
      <x:c r="J24" s="62" t="n">
        <x:v>3.1498196342150933</x:v>
      </x:c>
      <x:c r="K24" s="62" t="n">
        <x:f>IF(J24="","",(1/'Metadata'!$B$5)^(J24-1))</x:f>
        <x:v>626.5847625390671</x:v>
      </x:c>
      <x:c r="L24" s="60" t="n">
        <x:f>IF(E24=0,"",E24*K24)</x:f>
        <x:v>11555999.738173833</x:v>
      </x:c>
      <x:c r="M24" s="60" t="n">
        <x:f>I24-L24</x:f>
        <x:v>96521.58871166222</x:v>
      </x:c>
      <x:c r="N24" s="62" t="n">
        <x:f>IF(L24=0,"",I24/L24)</x:f>
        <x:v>1.008352508731271</x:v>
      </x:c>
      <x:c r="O24" s="66" t="n">
        <x:f>IF(L24=0,"",M24/L24)</x:f>
        <x:v>0.00835250873127099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28085.066265593498</x:v>
      </x:c>
      <x:c r="E25" s="60" t="n">
        <x:v>28085.066265593498</x:v>
      </x:c>
      <x:c r="F25" s="62" t="n">
        <x:v>0</x:v>
      </x:c>
      <x:c r="G25" s="66" t="n">
        <x:v>1</x:v>
      </x:c>
      <x:c r="H25" s="62" t="n">
        <x:f>IF(E25=0,"",I25/E25)</x:f>
        <x:v>2925.89493028592</x:v>
      </x:c>
      <x:c r="I25" s="60" t="n">
        <x:f>SUMIF('Species'!$G$2:$G$144,A25,'Species'!$U$2:$U$144)</x:f>
        <x:v>82173953.00324413</x:v>
      </x:c>
      <x:c r="J25" s="62" t="n">
        <x:v>3.579753589075183</x:v>
      </x:c>
      <x:c r="K25" s="62" t="n">
        <x:f>IF(J25="","",(1/'Metadata'!$B$5)^(J25-1))</x:f>
        <x:v>2271.625843245168</x:v>
      </x:c>
      <x:c r="L25" s="60" t="n">
        <x:f>IF(E25=0,"",E25*K25)</x:f>
        <x:v>63798762.33817525</x:v>
      </x:c>
      <x:c r="M25" s="60" t="n">
        <x:f>I25-L25</x:f>
        <x:v>18375190.66506888</x:v>
      </x:c>
      <x:c r="N25" s="62" t="n">
        <x:f>IF(L25=0,"",I25/L25)</x:f>
        <x:v>1.2880179801556075</x:v>
      </x:c>
      <x:c r="O25" s="66" t="n">
        <x:f>IF(L25=0,"",M25/L25)</x:f>
        <x:v>0.28801798015560753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3dd04af628340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LME_051</x:v>
      </x:c>
      <x:c r="B2" s="46" t="str">
        <x:v>raw_filtered_tonnes</x:v>
      </x:c>
      <x:c r="C2" s="46" t="n">
        <x:v>1092021.8374498228</x:v>
      </x:c>
      <x:c r="D2" s="46" t="str">
        <x:v>tonnes</x:v>
      </x:c>
    </x:row>
    <x:row r="3" ht="18" customHeight="1">
      <x:c r="A3" s="46" t="str">
        <x:v>LME_051</x:v>
      </x:c>
      <x:c r="B3" s="46" t="str">
        <x:v>species_catch_tonnes</x:v>
      </x:c>
      <x:c r="C3" s="46" t="n">
        <x:v>1092021.8374498228</x:v>
      </x:c>
      <x:c r="D3" s="46" t="str">
        <x:v>tonnes</x:v>
      </x:c>
    </x:row>
    <x:row r="4" ht="18" customHeight="1">
      <x:c r="A4" s="46" t="str">
        <x:v>LME_051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LME_051</x:v>
      </x:c>
      <x:c r="B6" s="46" t="str">
        <x:v>matched_catch_tonnes</x:v>
      </x:c>
      <x:c r="C6" s="46" t="n">
        <x:v>1092021.8374498228</x:v>
      </x:c>
      <x:c r="D6" s="46" t="str">
        <x:v>tonnes</x:v>
      </x:c>
    </x:row>
    <x:row r="7" ht="18" customHeight="1">
      <x:c r="A7" s="46" t="str">
        <x:v>LME_051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LME_051</x:v>
      </x:c>
      <x:c r="B8" s="46" t="str">
        <x:v>taxa_count</x:v>
      </x:c>
      <x:c r="C8" s="46" t="n">
        <x:v>143</x:v>
      </x:c>
      <x:c r="D8" s="46" t="str">
        <x:v>count</x:v>
      </x:c>
    </x:row>
    <x:row r="9" ht="18" customHeight="1">
      <x:c r="A9" s="46" t="str">
        <x:v>LME_051</x:v>
      </x:c>
      <x:c r="B9" s="46" t="str">
        <x:v>matched_taxa_count</x:v>
      </x:c>
      <x:c r="C9" s="46" t="n">
        <x:v>143</x:v>
      </x:c>
      <x:c r="D9" s="46" t="str">
        <x:v>count</x:v>
      </x:c>
    </x:row>
    <x:row r="10" ht="18" customHeight="1">
      <x:c r="A10" s="46" t="str">
        <x:v>LME_051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LME_051</x:v>
      </x:c>
      <x:c r="B11" s="46" t="str">
        <x:v>species_ppr</x:v>
      </x:c>
      <x:c r="C11" s="46" t="n">
        <x:v>4177201013.70978</x:v>
      </x:c>
      <x:c r="D11" s="46" t="str">
        <x:v>tonnes_primary_production_equivalent</x:v>
      </x:c>
    </x:row>
    <x:row r="12" ht="18" customHeight="1">
      <x:c r="A12" s="46" t="str">
        <x:v>LME_051</x:v>
      </x:c>
      <x:c r="B12" s="46" t="str">
        <x:v>commercial_ppr</x:v>
      </x:c>
      <x:c r="C12" s="46" t="n">
        <x:v>4177201013.7097797</x:v>
      </x:c>
      <x:c r="D12" s="46" t="str">
        <x:v>tonnes_primary_production_equivalent</x:v>
      </x:c>
    </x:row>
    <x:row r="13" ht="18" customHeight="1">
      <x:c r="A13" s="46" t="str">
        <x:v>LME_051</x:v>
      </x:c>
      <x:c r="B13" s="46" t="str">
        <x:v>functional_ppr</x:v>
      </x:c>
      <x:c r="C13" s="46" t="n">
        <x:v>4177201013.7097797</x:v>
      </x:c>
      <x:c r="D13" s="46" t="str">
        <x:v>tonnes_primary_production_equivalent</x:v>
      </x:c>
    </x:row>
    <x:row r="14" ht="18" customHeight="1">
      <x:c r="A14" s="46" t="str">
        <x:v>LME_051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LME_051</x:v>
      </x:c>
      <x:c r="B15" s="46" t="str">
        <x:v>functional_ppr_difference</x:v>
      </x:c>
      <x:c r="C15" s="46" t="n">
        <x:v>-4.76837158203125e-7</x:v>
      </x:c>
      <x:c r="D15" s="46" t="str">
        <x:v>tonnes_primary_production_equivalent</x:v>
      </x:c>
    </x:row>
    <x:row r="16" ht="18" customHeight="1">
      <x:c r="A16" s="46" t="str">
        <x:v>LME_051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986fd8dbe984d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LME_051 - Oyashio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