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ccf5bf78d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bdb980a387141dc"/>
    <x:sheet xmlns:r="http://schemas.openxmlformats.org/officeDocument/2006/relationships" name="Commercial" sheetId="2" r:id="Rafc0dbbe41de40a2"/>
    <x:sheet xmlns:r="http://schemas.openxmlformats.org/officeDocument/2006/relationships" name="Functional" sheetId="3" r:id="Rf522961ca9d54aa2"/>
    <x:sheet xmlns:r="http://schemas.openxmlformats.org/officeDocument/2006/relationships" name="Missing TL" sheetId="4" r:id="R731c7778bb294aec"/>
    <x:sheet xmlns:r="http://schemas.openxmlformats.org/officeDocument/2006/relationships" name="Validation" sheetId="5" r:id="R7b421bcb2b89486e"/>
    <x:sheet xmlns:r="http://schemas.openxmlformats.org/officeDocument/2006/relationships" name="Metadata" sheetId="6" r:id="R53ce5fe9c7e7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6bcabc57b48a7" /><Relationship Type="http://schemas.openxmlformats.org/officeDocument/2006/relationships/theme" Target="/xl/theme/theme1.xml" Id="R37b50cef779f4a90" /><Relationship Type="http://schemas.openxmlformats.org/officeDocument/2006/relationships/sharedStrings" Target="/xl/sharedStrings.xml" Id="Rbd4559ea33f043b3" /><Relationship Type="http://schemas.openxmlformats.org/officeDocument/2006/relationships/worksheet" Target="/xl/worksheets/sheet1.xml" Id="R6bdb980a387141dc" /><Relationship Type="http://schemas.openxmlformats.org/officeDocument/2006/relationships/worksheet" Target="/xl/worksheets/sheet2.xml" Id="Rafc0dbbe41de40a2" /><Relationship Type="http://schemas.openxmlformats.org/officeDocument/2006/relationships/worksheet" Target="/xl/worksheets/sheet3.xml" Id="Rf522961ca9d54aa2" /><Relationship Type="http://schemas.openxmlformats.org/officeDocument/2006/relationships/worksheet" Target="/xl/worksheets/sheet4.xml" Id="R731c7778bb294aec" /><Relationship Type="http://schemas.openxmlformats.org/officeDocument/2006/relationships/worksheet" Target="/xl/worksheets/sheet5.xml" Id="R7b421bcb2b89486e" /><Relationship Type="http://schemas.openxmlformats.org/officeDocument/2006/relationships/worksheet" Target="/xl/worksheets/sheet6.xml" Id="R53ce5fe9c7e74f1c" /></Relationships>
</file>

<file path=xl/tables/table1.xml><?xml version="1.0" encoding="utf-8"?>
<x:table xmlns:x="http://schemas.openxmlformats.org/spreadsheetml/2006/main" id="1" name="LME015SpeciesTable" displayName="LME015SpeciesTable" ref="A1:U265" headerRowCount="1" totalsRowCount="0" totalsRowShown="0">
  <x:autoFilter ref="A1:U2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5CommercialTable" displayName="LME01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5FunctionalTable" displayName="LME015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5ValidationTable" displayName="LME01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76275fb87d41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30944e968249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837655ec8b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25a69300a5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LME_015</x:v>
      </x:c>
      <x:c r="B2" s="46" t="str">
        <x:v>South Brazil Shelf</x:v>
      </x:c>
      <x:c r="C2" s="46" t="str">
        <x:v>LME</x:v>
      </x:c>
      <x:c r="D2" s="58" t="n">
        <x:v>2019</x:v>
      </x:c>
      <x:c r="E2" s="46" t="str">
        <x:v>Umbrina canosai</x:v>
      </x:c>
      <x:c r="F2" s="46" t="str">
        <x:v>Argentine croaker</x:v>
      </x:c>
      <x:c r="G2" s="46" t="str">
        <x:v>Medium demersals (30 - 89 cm)</x:v>
      </x:c>
      <x:c r="H2" s="46" t="str">
        <x:v>Perch-likes</x:v>
      </x:c>
      <x:c r="I2" s="60" t="n">
        <x:v>68119.2276874133</x:v>
      </x:c>
      <x:c r="J2" s="60" t="n">
        <x:v>38360.920651379696</x:v>
      </x:c>
      <x:c r="K2" s="60" t="n">
        <x:v>29758.3070360336</x:v>
      </x:c>
      <x:c r="L2" s="60" t="n">
        <x:v>10839.4328372819</x:v>
      </x:c>
      <x:c r="M2" s="60" t="n">
        <x:v>57279.7948501314</x:v>
      </x:c>
      <x:c r="N2" s="46" t="str">
        <x:v>umbrina canosai</x:v>
      </x:c>
      <x:c r="O2" s="62" t="n">
        <x:v>3.85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Umbrina canosai</x:v>
      </x:c>
      <x:c r="T2" s="62" t="n">
        <x:f>IF(O2="","",(1/'Metadata'!$B$5)^(O2-1))</x:f>
        <x:v>5104.291725436732</x:v>
      </x:c>
      <x:c r="U2" s="60" t="n">
        <x:f>IF(T2="","",I2*T2)</x:f>
        <x:v>347700410.2280044</x:v>
      </x:c>
    </x:row>
    <x:row r="3" ht="18" customHeight="1">
      <x:c r="A3" s="46" t="str">
        <x:v>LME_015</x:v>
      </x:c>
      <x:c r="B3" s="46" t="str">
        <x:v>South Brazil Shelf</x:v>
      </x:c>
      <x:c r="C3" s="46" t="str">
        <x:v>LME</x:v>
      </x:c>
      <x:c r="D3" s="58" t="n">
        <x:v>2019</x:v>
      </x:c>
      <x:c r="E3" s="46" t="str">
        <x:v>Micropogonias furnieri</x:v>
      </x:c>
      <x:c r="F3" s="46" t="str">
        <x:v>Whitemouth croaker</x:v>
      </x:c>
      <x:c r="G3" s="46" t="str">
        <x:v>Medium demersals (30 - 89 cm)</x:v>
      </x:c>
      <x:c r="H3" s="46" t="str">
        <x:v>Perch-likes</x:v>
      </x:c>
      <x:c r="I3" s="60" t="n">
        <x:v>23849.8619633675</x:v>
      </x:c>
      <x:c r="J3" s="60" t="n">
        <x:v>12526.695142303899</x:v>
      </x:c>
      <x:c r="K3" s="60" t="n">
        <x:v>11323.1668210636</x:v>
      </x:c>
      <x:c r="L3" s="60" t="n">
        <x:v>11988.7426741294</x:v>
      </x:c>
      <x:c r="M3" s="60" t="n">
        <x:v>11861.1192892381</x:v>
      </x:c>
      <x:c r="N3" s="46" t="str">
        <x:v>micropogonias furnieri</x:v>
      </x:c>
      <x:c r="O3" s="62" t="n">
        <x:v>3.09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Micropogonias furnieri</x:v>
      </x:c>
      <x:c r="T3" s="62" t="n">
        <x:f>IF(O3="","",(1/'Metadata'!$B$5)^(O3-1))</x:f>
        <x:v>523.7845584224979</x:v>
      </x:c>
      <x:c r="U3" s="60" t="n">
        <x:f>IF(T3="","",I3*T3)</x:f>
        <x:v>12492189.416919975</x:v>
      </x:c>
    </x:row>
    <x:row r="4" ht="18" customHeight="1">
      <x:c r="A4" s="46" t="str">
        <x:v>LME_015</x:v>
      </x:c>
      <x:c r="B4" s="46" t="str">
        <x:v>South Brazil Shelf</x:v>
      </x:c>
      <x:c r="C4" s="46" t="str">
        <x:v>LME</x:v>
      </x:c>
      <x:c r="D4" s="58" t="n">
        <x:v>2019</x:v>
      </x:c>
      <x:c r="E4" s="46" t="str">
        <x:v>Sardinella brasiliensis</x:v>
      </x:c>
      <x:c r="F4" s="46" t="str">
        <x:v>Brazilian sardinella</x:v>
      </x:c>
      <x:c r="G4" s="46" t="str">
        <x:v>Small pelagics (&lt;30 cm)</x:v>
      </x:c>
      <x:c r="H4" s="46" t="str">
        <x:v>Herring-likes</x:v>
      </x:c>
      <x:c r="I4" s="60" t="n">
        <x:v>16611.280981588</x:v>
      </x:c>
      <x:c r="J4" s="60" t="n">
        <x:v>16611.280981588</x:v>
      </x:c>
      <x:c r="K4" s="60" t="n">
        <x:v>0</x:v>
      </x:c>
      <x:c r="L4" s="60" t="n">
        <x:v>16014.3196936466</x:v>
      </x:c>
      <x:c r="M4" s="60" t="n">
        <x:v>596.9612879414</x:v>
      </x:c>
      <x:c r="N4" s="46" t="str">
        <x:v>sardinella brasiliensis</x:v>
      </x:c>
      <x:c r="O4" s="62" t="n">
        <x:v>3.1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Sardinella brasiliensis</x:v>
      </x:c>
      <x:c r="T4" s="62" t="n">
        <x:f>IF(O4="","",(1/'Metadata'!$B$5)^(O4-1))</x:f>
        <x:v>539.7131390694254</x:v>
      </x:c>
      <x:c r="U4" s="60" t="n">
        <x:f>IF(T4="","",I4*T4)</x:f>
        <x:v>8965326.602537105</x:v>
      </x:c>
    </x:row>
    <x:row r="5" ht="18" customHeight="1">
      <x:c r="A5" s="46" t="str">
        <x:v>LME_015</x:v>
      </x:c>
      <x:c r="B5" s="46" t="str">
        <x:v>South Brazil Shelf</x:v>
      </x:c>
      <x:c r="C5" s="46" t="str">
        <x:v>LME</x:v>
      </x:c>
      <x:c r="D5" s="58" t="n">
        <x:v>2019</x:v>
      </x:c>
      <x:c r="E5" s="46" t="str">
        <x:v>Katsuwonus pelamis</x:v>
      </x:c>
      <x:c r="F5" s="46" t="str">
        <x:v>Skipjack tuna</x:v>
      </x:c>
      <x:c r="G5" s="46" t="str">
        <x:v>Large pelagics (&gt;=90 cm)</x:v>
      </x:c>
      <x:c r="H5" s="46" t="str">
        <x:v>Tuna &amp; billfishes</x:v>
      </x:c>
      <x:c r="I5" s="60" t="n">
        <x:v>15519.8990706763</x:v>
      </x:c>
      <x:c r="J5" s="60" t="n">
        <x:v>15519.8990706763</x:v>
      </x:c>
      <x:c r="K5" s="60" t="n">
        <x:v>0</x:v>
      </x:c>
      <x:c r="L5" s="60" t="n">
        <x:v>15303.584240840999</x:v>
      </x:c>
      <x:c r="M5" s="60" t="n">
        <x:v>216.3148298353</x:v>
      </x:c>
      <x:c r="N5" s="46" t="str">
        <x:v>katsuwonus pelamis</x:v>
      </x:c>
      <x:c r="O5" s="62" t="n">
        <x:v>4.43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Katsuwonus pelamis</x:v>
      </x:c>
      <x:c r="T5" s="62" t="n">
        <x:f>IF(O5="","",(1/'Metadata'!$B$5)^(O5-1))</x:f>
        <x:v>29009.008489223597</x:v>
      </x:c>
      <x:c r="U5" s="60" t="n">
        <x:f>IF(T5="","",I5*T5)</x:f>
        <x:v>450216883.8931422</x:v>
      </x:c>
    </x:row>
    <x:row r="6" ht="18" customHeight="1">
      <x:c r="A6" s="46" t="str">
        <x:v>LME_015</x:v>
      </x:c>
      <x:c r="B6" s="46" t="str">
        <x:v>South Brazil Shelf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15311.7568563098</x:v>
      </x:c>
      <x:c r="J6" s="60" t="n">
        <x:v>11654.3669289379</x:v>
      </x:c>
      <x:c r="K6" s="60" t="n">
        <x:v>3657.3899273719</x:v>
      </x:c>
      <x:c r="L6" s="60" t="n">
        <x:v>8402.2982587953</x:v>
      </x:c>
      <x:c r="M6" s="60" t="n">
        <x:v>6909.4585975145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14170116.283929246</x:v>
      </x:c>
    </x:row>
    <x:row r="7" ht="18" customHeight="1">
      <x:c r="A7" s="46" t="str">
        <x:v>LME_015</x:v>
      </x:c>
      <x:c r="B7" s="46" t="str">
        <x:v>South Brazil Shelf</x:v>
      </x:c>
      <x:c r="C7" s="46" t="str">
        <x:v>LME</x:v>
      </x:c>
      <x:c r="D7" s="58" t="n">
        <x:v>2019</x:v>
      </x:c>
      <x:c r="E7" s="46" t="str">
        <x:v>Macrodon ancylodon</x:v>
      </x:c>
      <x:c r="F7" s="46" t="str">
        <x:v>King weakfish</x:v>
      </x:c>
      <x:c r="G7" s="46" t="str">
        <x:v>Medium demersals (30 - 89 cm)</x:v>
      </x:c>
      <x:c r="H7" s="46" t="str">
        <x:v>Perch-likes</x:v>
      </x:c>
      <x:c r="I7" s="60" t="n">
        <x:v>10836.366691419</x:v>
      </x:c>
      <x:c r="J7" s="60" t="n">
        <x:v>2855.8999246611</x:v>
      </x:c>
      <x:c r="K7" s="60" t="n">
        <x:v>7980.4667667579</x:v>
      </x:c>
      <x:c r="L7" s="60" t="n">
        <x:v>2797.6929430068</x:v>
      </x:c>
      <x:c r="M7" s="60" t="n">
        <x:v>8038.6737484121995</x:v>
      </x:c>
      <x:c r="N7" s="46" t="str">
        <x:v>macrodon ancylodon</x:v>
      </x:c>
      <x:c r="O7" s="62" t="n">
        <x:v>3.9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Macrodon ancylodon</x:v>
      </x:c>
      <x:c r="T7" s="62" t="n">
        <x:f>IF(O7="","",(1/'Metadata'!$B$5)^(O7-1))</x:f>
        <x:v>5929.07559285558</x:v>
      </x:c>
      <x:c r="U7" s="60" t="n">
        <x:f>IF(T7="","",I7*T7)</x:f>
        <x:v>64249637.26532557</x:v>
      </x:c>
    </x:row>
    <x:row r="8" ht="18" customHeight="1">
      <x:c r="A8" s="46" t="str">
        <x:v>LME_015</x:v>
      </x:c>
      <x:c r="B8" s="46" t="str">
        <x:v>South Brazil Shelf</x:v>
      </x:c>
      <x:c r="C8" s="46" t="str">
        <x:v>LME</x:v>
      </x:c>
      <x:c r="D8" s="58" t="n">
        <x:v>2019</x:v>
      </x:c>
      <x:c r="E8" s="46" t="str">
        <x:v>Mustelus schmitti</x:v>
      </x:c>
      <x:c r="F8" s="46" t="str">
        <x:v>Narrownose smooth-hound</x:v>
      </x:c>
      <x:c r="G8" s="46" t="str">
        <x:v>Small to medium sharks (&lt;90 cm)</x:v>
      </x:c>
      <x:c r="H8" s="46" t="str">
        <x:v>Sharks &amp; rays</x:v>
      </x:c>
      <x:c r="I8" s="60" t="n">
        <x:v>10225.6885757543</x:v>
      </x:c>
      <x:c r="J8" s="60" t="n">
        <x:v>156.6008691633</x:v>
      </x:c>
      <x:c r="K8" s="60" t="n">
        <x:v>10069.087706591</x:v>
      </x:c>
      <x:c r="L8" s="60" t="n">
        <x:v>156.6008691633</x:v>
      </x:c>
      <x:c r="M8" s="60" t="n">
        <x:v>10069.087706591</x:v>
      </x:c>
      <x:c r="N8" s="46" t="str">
        <x:v>mustelus schmitti</x:v>
      </x:c>
      <x:c r="O8" s="62" t="n">
        <x:v>3.59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Mustelus schmitti</x:v>
      </x:c>
      <x:c r="T8" s="62" t="n">
        <x:f>IF(O8="","",(1/'Metadata'!$B$5)^(O8-1))</x:f>
        <x:v>2342.4357563948306</x:v>
      </x:c>
      <x:c r="U8" s="60" t="n">
        <x:f>IF(T8="","",I8*T8)</x:f>
        <x:v>23953018.553605</x:v>
      </x:c>
    </x:row>
    <x:row r="9" ht="18" customHeight="1">
      <x:c r="A9" s="46" t="str">
        <x:v>LME_015</x:v>
      </x:c>
      <x:c r="B9" s="46" t="str">
        <x:v>South Brazil Shelf</x:v>
      </x:c>
      <x:c r="C9" s="46" t="str">
        <x:v>LME</x:v>
      </x:c>
      <x:c r="D9" s="58" t="n">
        <x:v>2019</x:v>
      </x:c>
      <x:c r="E9" s="46" t="str">
        <x:v>Squalus</x:v>
      </x:c>
      <x:c r="F9" s="46" t="str">
        <x:v>Dogfishes</x:v>
      </x:c>
      <x:c r="G9" s="46" t="str">
        <x:v>Large sharks (&gt;=90 cm)</x:v>
      </x:c>
      <x:c r="H9" s="46" t="str">
        <x:v>Sharks &amp; rays</x:v>
      </x:c>
      <x:c r="I9" s="60" t="n">
        <x:v>10169.822249574801</x:v>
      </x:c>
      <x:c r="J9" s="60" t="n">
        <x:v>147.77741639020002</x:v>
      </x:c>
      <x:c r="K9" s="60" t="n">
        <x:v>10022.044833184602</x:v>
      </x:c>
      <x:c r="L9" s="60" t="n">
        <x:v>143.7997236273</x:v>
      </x:c>
      <x:c r="M9" s="60" t="n">
        <x:v>10026.022525947501</x:v>
      </x:c>
      <x:c r="N9" s="46" t="str">
        <x:v>squalus</x:v>
      </x:c>
      <x:c r="O9" s="62" t="n">
        <x:v>4.23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Squalus</x:v>
      </x:c>
      <x:c r="T9" s="62" t="n">
        <x:f>IF(O9="","",(1/'Metadata'!$B$5)^(O9-1))</x:f>
        <x:v>15934.076063346663</x:v>
      </x:c>
      <x:c r="U9" s="60" t="n">
        <x:f>IF(T9="","",I9*T9)</x:f>
        <x:v>162046721.27544016</x:v>
      </x:c>
    </x:row>
    <x:row r="10" ht="18" customHeight="1">
      <x:c r="A10" s="46" t="str">
        <x:v>LME_015</x:v>
      </x:c>
      <x:c r="B10" s="46" t="str">
        <x:v>South Brazil Shelf</x:v>
      </x:c>
      <x:c r="C10" s="46" t="str">
        <x:v>LME</x:v>
      </x:c>
      <x:c r="D10" s="58" t="n">
        <x:v>2019</x:v>
      </x:c>
      <x:c r="E10" s="46" t="str">
        <x:v>Mustelus</x:v>
      </x:c>
      <x:c r="F10" s="46" t="str">
        <x:v>Smoothhounds</x:v>
      </x:c>
      <x:c r="G10" s="46" t="str">
        <x:v>Large sharks (&gt;=90 cm)</x:v>
      </x:c>
      <x:c r="H10" s="46" t="str">
        <x:v>Sharks &amp; rays</x:v>
      </x:c>
      <x:c r="I10" s="60" t="n">
        <x:v>9507.0160241098</x:v>
      </x:c>
      <x:c r="J10" s="60" t="n">
        <x:v>3.2402544031000002</x:v>
      </x:c>
      <x:c r="K10" s="60" t="n">
        <x:v>9503.775769706699</x:v>
      </x:c>
      <x:c r="L10" s="60" t="n">
        <x:v>3.1374974914000004</x:v>
      </x:c>
      <x:c r="M10" s="60" t="n">
        <x:v>9503.8785266184</x:v>
      </x:c>
      <x:c r="N10" s="46" t="str">
        <x:v>mustelus</x:v>
      </x:c>
      <x:c r="O10" s="62" t="n">
        <x:v>3.73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Mustelus</x:v>
      </x:c>
      <x:c r="T10" s="62" t="n">
        <x:f>IF(O10="","",(1/'Metadata'!$B$5)^(O10-1))</x:f>
        <x:v>3562.967723629534</x:v>
      </x:c>
      <x:c r="U10" s="60" t="n">
        <x:f>IF(T10="","",I10*T10)</x:f>
        <x:v>33873191.241932</x:v>
      </x:c>
    </x:row>
    <x:row r="11" ht="18" customHeight="1">
      <x:c r="A11" s="46" t="str">
        <x:v>LME_015</x:v>
      </x:c>
      <x:c r="B11" s="46" t="str">
        <x:v>South Brazil Shelf</x:v>
      </x:c>
      <x:c r="C11" s="46" t="str">
        <x:v>LME</x:v>
      </x:c>
      <x:c r="D11" s="58" t="n">
        <x:v>2019</x:v>
      </x:c>
      <x:c r="E11" s="46" t="str">
        <x:v>Clupeidae</x:v>
      </x:c>
      <x:c r="F11" s="46" t="str">
        <x:v>Herrings, sardines, menhadens</x:v>
      </x:c>
      <x:c r="G11" s="46" t="str">
        <x:v>Small pelagics (&lt;30 cm)</x:v>
      </x:c>
      <x:c r="H11" s="46" t="str">
        <x:v>Herring-likes</x:v>
      </x:c>
      <x:c r="I11" s="60" t="n">
        <x:v>9458.7302737987</x:v>
      </x:c>
      <x:c r="J11" s="60" t="n">
        <x:v>2714.3626600038997</x:v>
      </x:c>
      <x:c r="K11" s="60" t="n">
        <x:v>6744.3676137948</x:v>
      </x:c>
      <x:c r="L11" s="60" t="n">
        <x:v>2614.8929056016</x:v>
      </x:c>
      <x:c r="M11" s="60" t="n">
        <x:v>6843.8373681971</x:v>
      </x:c>
      <x:c r="N11" s="46" t="str">
        <x:v>clupeidae</x:v>
      </x:c>
      <x:c r="O11" s="62" t="n">
        <x:v>3.16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Clupeidae</x:v>
      </x:c>
      <x:c r="T11" s="62" t="n">
        <x:f>IF(O11="","",(1/'Metadata'!$B$5)^(O11-1))</x:f>
        <x:v>645.9885058849935</x:v>
      </x:c>
      <x:c r="U11" s="60" t="n">
        <x:f>IF(T11="","",I11*T11)</x:f>
        <x:v>6110231.037140378</x:v>
      </x:c>
    </x:row>
    <x:row r="12" ht="18" customHeight="1">
      <x:c r="A12" s="46" t="str">
        <x:v>LME_015</x:v>
      </x:c>
      <x:c r="B12" s="46" t="str">
        <x:v>South Brazil Shelf</x:v>
      </x:c>
      <x:c r="C12" s="46" t="str">
        <x:v>LME</x:v>
      </x:c>
      <x:c r="D12" s="58" t="n">
        <x:v>2019</x:v>
      </x:c>
      <x:c r="E12" s="46" t="str">
        <x:v>Cynoscion guatucupa</x:v>
      </x:c>
      <x:c r="F12" s="46" t="str">
        <x:v>Stripped weakfish</x:v>
      </x:c>
      <x:c r="G12" s="46" t="str">
        <x:v>Medium demersals (30 - 89 cm)</x:v>
      </x:c>
      <x:c r="H12" s="46" t="str">
        <x:v>Perch-likes</x:v>
      </x:c>
      <x:c r="I12" s="60" t="n">
        <x:v>7880.9812557868</x:v>
      </x:c>
      <x:c r="J12" s="60" t="n">
        <x:v>2534.6360454623</x:v>
      </x:c>
      <x:c r="K12" s="60" t="n">
        <x:v>5346.3452103245</x:v>
      </x:c>
      <x:c r="L12" s="60" t="n">
        <x:v>2501.2216086117</x:v>
      </x:c>
      <x:c r="M12" s="60" t="n">
        <x:v>5379.7596471751</x:v>
      </x:c>
      <x:c r="N12" s="46" t="str">
        <x:v>cynoscion guatucupa</x:v>
      </x:c>
      <x:c r="O12" s="62" t="n">
        <x:v>3.72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Cynoscion guatucupa</x:v>
      </x:c>
      <x:c r="T12" s="62" t="n">
        <x:f>IF(O12="","",(1/'Metadata'!$B$5)^(O12-1))</x:f>
        <x:v>3457.8136804537753</x:v>
      </x:c>
      <x:c r="U12" s="60" t="n">
        <x:f>IF(T12="","",I12*T12)</x:f>
        <x:v>27250964.80165937</x:v>
      </x:c>
    </x:row>
    <x:row r="13" ht="18" customHeight="1">
      <x:c r="A13" s="46" t="str">
        <x:v>LME_015</x:v>
      </x:c>
      <x:c r="B13" s="46" t="str">
        <x:v>South Brazil Shelf</x:v>
      </x:c>
      <x:c r="C13" s="46" t="str">
        <x:v>LME</x:v>
      </x:c>
      <x:c r="D13" s="58" t="n">
        <x:v>2019</x:v>
      </x:c>
      <x:c r="E13" s="46" t="str">
        <x:v>Batoidea</x:v>
      </x:c>
      <x:c r="F13" s="46" t="str">
        <x:v>Batoids, skates, rays, sawfishes</x:v>
      </x:c>
      <x:c r="G13" s="46" t="str">
        <x:v>Large rays (&gt;=90 cm)</x:v>
      </x:c>
      <x:c r="H13" s="46" t="str">
        <x:v>Sharks &amp; rays</x:v>
      </x:c>
      <x:c r="I13" s="60" t="n">
        <x:v>6576.8151963377</x:v>
      </x:c>
      <x:c r="J13" s="60" t="n">
        <x:v>24.3570558087</x:v>
      </x:c>
      <x:c r="K13" s="60" t="n">
        <x:v>6552.458140529</x:v>
      </x:c>
      <x:c r="L13" s="60" t="n">
        <x:v>24.3570558087</x:v>
      </x:c>
      <x:c r="M13" s="60" t="n">
        <x:v>6552.458140529</x:v>
      </x:c>
      <x:c r="N13" s="46" t="str">
        <x:v>batoidea</x:v>
      </x:c>
      <x:c r="O13" s="62" t="n">
        <x:v>3.72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Batoidea</x:v>
      </x:c>
      <x:c r="T13" s="62" t="n">
        <x:f>IF(O13="","",(1/'Metadata'!$B$5)^(O13-1))</x:f>
        <x:v>3457.8136804537753</x:v>
      </x:c>
      <x:c r="U13" s="60" t="n">
        <x:f>IF(T13="","",I13*T13)</x:f>
        <x:v>22741401.559712783</x:v>
      </x:c>
    </x:row>
    <x:row r="14" ht="18" customHeight="1">
      <x:c r="A14" s="46" t="str">
        <x:v>LME_015</x:v>
      </x:c>
      <x:c r="B14" s="46" t="str">
        <x:v>South Brazil Shelf</x:v>
      </x:c>
      <x:c r="C14" s="46" t="str">
        <x:v>LME</x:v>
      </x:c>
      <x:c r="D14" s="58" t="n">
        <x:v>2019</x:v>
      </x:c>
      <x:c r="E14" s="46" t="str">
        <x:v>Trichiurus lepturus</x:v>
      </x:c>
      <x:c r="F14" s="46" t="str">
        <x:v>Largehead hairtail</x:v>
      </x:c>
      <x:c r="G14" s="46" t="str">
        <x:v>Large benthopelagics (&gt;=90 cm)</x:v>
      </x:c>
      <x:c r="H14" s="46" t="str">
        <x:v>Perch-likes</x:v>
      </x:c>
      <x:c r="I14" s="60" t="n">
        <x:v>6150.2665963407</x:v>
      </x:c>
      <x:c r="J14" s="60" t="n">
        <x:v>864.4504367067</x:v>
      </x:c>
      <x:c r="K14" s="60" t="n">
        <x:v>5285.816159634</x:v>
      </x:c>
      <x:c r="L14" s="60" t="n">
        <x:v>851.4609232212</x:v>
      </x:c>
      <x:c r="M14" s="60" t="n">
        <x:v>5298.8056731195</x:v>
      </x:c>
      <x:c r="N14" s="46" t="str">
        <x:v>trichiurus lepturus</x:v>
      </x:c>
      <x:c r="O14" s="62" t="n">
        <x:v>4.42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Trichiurus lepturus</x:v>
      </x:c>
      <x:c r="T14" s="62" t="n">
        <x:f>IF(O14="","",(1/'Metadata'!$B$5)^(O14-1))</x:f>
        <x:v>28152.864182630117</x:v>
      </x:c>
      <x:c r="U14" s="60" t="n">
        <x:f>IF(T14="","",I14*T14)</x:f>
        <x:v>173147620.17374653</x:v>
      </x:c>
    </x:row>
    <x:row r="15" ht="18" customHeight="1">
      <x:c r="A15" s="46" t="str">
        <x:v>LME_015</x:v>
      </x:c>
      <x:c r="B15" s="46" t="str">
        <x:v>South Brazil Shelf</x:v>
      </x:c>
      <x:c r="C15" s="46" t="str">
        <x:v>LME</x:v>
      </x:c>
      <x:c r="D15" s="58" t="n">
        <x:v>2019</x:v>
      </x:c>
      <x:c r="E15" s="46" t="str">
        <x:v>Cynoscion acoupa</x:v>
      </x:c>
      <x:c r="F15" s="46" t="str">
        <x:v>Acoupa weakfish</x:v>
      </x:c>
      <x:c r="G15" s="46" t="str">
        <x:v>Large demersals (&gt;=90 cm)</x:v>
      </x:c>
      <x:c r="H15" s="46" t="str">
        <x:v>Perch-likes</x:v>
      </x:c>
      <x:c r="I15" s="60" t="n">
        <x:v>5726.3906414618</x:v>
      </x:c>
      <x:c r="J15" s="60" t="n">
        <x:v>5726.3906414618</x:v>
      </x:c>
      <x:c r="K15" s="60" t="n">
        <x:v>0</x:v>
      </x:c>
      <x:c r="L15" s="60" t="n">
        <x:v>5587.801563654901</x:v>
      </x:c>
      <x:c r="M15" s="60" t="n">
        <x:v>138.58907780689998</x:v>
      </x:c>
      <x:c r="N15" s="46" t="str">
        <x:v>cynoscion acoupa</x:v>
      </x:c>
      <x:c r="O15" s="62" t="n">
        <x:v>4.05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Cynoscion acoupa</x:v>
      </x:c>
      <x:c r="T15" s="62" t="n">
        <x:f>IF(O15="","",(1/'Metadata'!$B$5)^(O15-1))</x:f>
        <x:v>9292.690797132333</x:v>
      </x:c>
      <x:c r="U15" s="60" t="n">
        <x:f>IF(T15="","",I15*T15)</x:f>
        <x:v>53213577.614696786</x:v>
      </x:c>
    </x:row>
    <x:row r="16" ht="18" customHeight="1">
      <x:c r="A16" s="46" t="str">
        <x:v>LME_015</x:v>
      </x:c>
      <x:c r="B16" s="46" t="str">
        <x:v>South Brazil Shelf</x:v>
      </x:c>
      <x:c r="C16" s="46" t="str">
        <x:v>LME</x:v>
      </x:c>
      <x:c r="D16" s="58" t="n">
        <x:v>2019</x:v>
      </x:c>
      <x:c r="E16" s="46" t="str">
        <x:v>Urophycis brasiliensis</x:v>
      </x:c>
      <x:c r="F16" s="46" t="str">
        <x:v>Brazilian codling</x:v>
      </x:c>
      <x:c r="G16" s="46" t="str">
        <x:v>Medium demersals (30 - 89 cm)</x:v>
      </x:c>
      <x:c r="H16" s="46" t="str">
        <x:v>Cod-likes</x:v>
      </x:c>
      <x:c r="I16" s="60" t="n">
        <x:v>5413.355085059</x:v>
      </x:c>
      <x:c r="J16" s="60" t="n">
        <x:v>5413.355085059</x:v>
      </x:c>
      <x:c r="K16" s="60" t="n">
        <x:v>0</x:v>
      </x:c>
      <x:c r="L16" s="60" t="n">
        <x:v>5275.6410662459</x:v>
      </x:c>
      <x:c r="M16" s="60" t="n">
        <x:v>137.7140188131</x:v>
      </x:c>
      <x:c r="N16" s="46" t="str">
        <x:v>urophycis brasiliensis</x:v>
      </x:c>
      <x:c r="O16" s="62" t="n">
        <x:v>3.79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Urophycis brasiliensis</x:v>
      </x:c>
      <x:c r="T16" s="62" t="n">
        <x:f>IF(O16="","",(1/'Metadata'!$B$5)^(O16-1))</x:f>
        <x:v>4264.554685980751</x:v>
      </x:c>
      <x:c r="U16" s="60" t="n">
        <x:f>IF(T16="","",I16*T16)</x:f>
        <x:v>23085548.794866085</x:v>
      </x:c>
    </x:row>
    <x:row r="17" ht="18" customHeight="1">
      <x:c r="A17" s="46" t="str">
        <x:v>LME_015</x:v>
      </x:c>
      <x:c r="B17" s="46" t="str">
        <x:v>South Brazil Shelf</x:v>
      </x:c>
      <x:c r="C17" s="46" t="str">
        <x:v>LME</x:v>
      </x:c>
      <x:c r="D17" s="58" t="n">
        <x:v>2019</x:v>
      </x:c>
      <x:c r="E17" s="46" t="str">
        <x:v>Mugil</x:v>
      </x:c>
      <x:c r="F17" s="46" t="str">
        <x:v>Grey mullets</x:v>
      </x:c>
      <x:c r="G17" s="46" t="str">
        <x:v>Medium demersals (30 - 89 cm)</x:v>
      </x:c>
      <x:c r="H17" s="46" t="str">
        <x:v>Perch-likes</x:v>
      </x:c>
      <x:c r="I17" s="60" t="n">
        <x:v>3786.2551222554</x:v>
      </x:c>
      <x:c r="J17" s="60" t="n">
        <x:v>2643.0985691933</x:v>
      </x:c>
      <x:c r="K17" s="60" t="n">
        <x:v>1143.1565530621</x:v>
      </x:c>
      <x:c r="L17" s="60" t="n">
        <x:v>2224.5265235777997</x:v>
      </x:c>
      <x:c r="M17" s="60" t="n">
        <x:v>1561.7285986776</x:v>
      </x:c>
      <x:c r="N17" s="46" t="str">
        <x:v>mugil</x:v>
      </x:c>
      <x:c r="O17" s="62" t="n">
        <x:v>2.26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Mugil</x:v>
      </x:c>
      <x:c r="T17" s="62" t="n">
        <x:f>IF(O17="","",(1/'Metadata'!$B$5)^(O17-1))</x:f>
        <x:v>43.581060539244675</x:v>
      </x:c>
      <x:c r="U17" s="60" t="n">
        <x:f>IF(T17="","",I17*T17)</x:f>
        <x:v>165009.01370003782</x:v>
      </x:c>
    </x:row>
    <x:row r="18" ht="18" customHeight="1">
      <x:c r="A18" s="46" t="str">
        <x:v>LME_015</x:v>
      </x:c>
      <x:c r="B18" s="46" t="str">
        <x:v>South Brazil Shelf</x:v>
      </x:c>
      <x:c r="C18" s="46" t="str">
        <x:v>LME</x:v>
      </x:c>
      <x:c r="D18" s="58" t="n">
        <x:v>2019</x:v>
      </x:c>
      <x:c r="E18" s="46" t="str">
        <x:v>Artemesia longinaris</x:v>
      </x:c>
      <x:c r="F18" s="46" t="str">
        <x:v>Argentine stiletto shrimp</x:v>
      </x:c>
      <x:c r="G18" s="46" t="str">
        <x:v>Shrimps</x:v>
      </x:c>
      <x:c r="H18" s="46" t="str">
        <x:v>Crustaceans</x:v>
      </x:c>
      <x:c r="I18" s="60" t="n">
        <x:v>2829.0368658929</x:v>
      </x:c>
      <x:c r="J18" s="60" t="n">
        <x:v>2829.0368658929</x:v>
      </x:c>
      <x:c r="K18" s="60" t="n">
        <x:v>0</x:v>
      </x:c>
      <x:c r="L18" s="60" t="n">
        <x:v>2761.7242349653</x:v>
      </x:c>
      <x:c r="M18" s="60" t="n">
        <x:v>67.3126309276</x:v>
      </x:c>
      <x:c r="N18" s="46" t="str">
        <x:v>artemesia longinaris</x:v>
      </x:c>
      <x:c r="O18" s="62" t="n">
        <x:v>2.7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Artemesia longinaris</x:v>
      </x:c>
      <x:c r="T18" s="62" t="n">
        <x:f>IF(O18="","",(1/'Metadata'!$B$5)^(O18-1))</x:f>
        <x:v>162.83621261476185</x:v>
      </x:c>
      <x:c r="U18" s="60" t="n">
        <x:f>IF(T18="","",I18*T18)</x:f>
        <x:v>460669.6485895358</x:v>
      </x:c>
    </x:row>
    <x:row r="19" ht="18" customHeight="1">
      <x:c r="A19" s="46" t="str">
        <x:v>LME_015</x:v>
      </x:c>
      <x:c r="B19" s="46" t="str">
        <x:v>South Brazil Shelf</x:v>
      </x:c>
      <x:c r="C19" s="46" t="str">
        <x:v>LME</x:v>
      </x:c>
      <x:c r="D19" s="58" t="n">
        <x:v>2019</x:v>
      </x:c>
      <x:c r="E19" s="46" t="str">
        <x:v>Ariidae</x:v>
      </x:c>
      <x:c r="F19" s="46" t="str">
        <x:v>Sea catfishes, coblers</x:v>
      </x:c>
      <x:c r="G19" s="46" t="str">
        <x:v>Medium demersals (30 - 89 cm)</x:v>
      </x:c>
      <x:c r="H19" s="46" t="str">
        <x:v>Other fishes &amp; inverts</x:v>
      </x:c>
      <x:c r="I19" s="60" t="n">
        <x:v>2753.0108242051</x:v>
      </x:c>
      <x:c r="J19" s="60" t="n">
        <x:v>1348.6528384506</x:v>
      </x:c>
      <x:c r="K19" s="60" t="n">
        <x:v>1404.3579857544999</x:v>
      </x:c>
      <x:c r="L19" s="60" t="n">
        <x:v>1291.3047964694001</x:v>
      </x:c>
      <x:c r="M19" s="60" t="n">
        <x:v>1461.7060277357</x:v>
      </x:c>
      <x:c r="N19" s="46" t="str">
        <x:v>ariidae</x:v>
      </x:c>
      <x:c r="O19" s="62" t="n">
        <x:v>3.48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Ariidae</x:v>
      </x:c>
      <x:c r="T19" s="62" t="n">
        <x:f>IF(O19="","",(1/'Metadata'!$B$5)^(O19-1))</x:f>
        <x:v>1684.8234138858888</x:v>
      </x:c>
      <x:c r="U19" s="60" t="n">
        <x:f>IF(T19="","",I19*T19)</x:f>
        <x:v>4638337.095302042</x:v>
      </x:c>
    </x:row>
    <x:row r="20" ht="18" customHeight="1">
      <x:c r="A20" s="46" t="str">
        <x:v>LME_015</x:v>
      </x:c>
      <x:c r="B20" s="46" t="str">
        <x:v>South Brazil Shelf</x:v>
      </x:c>
      <x:c r="C20" s="46" t="str">
        <x:v>LME</x:v>
      </x:c>
      <x:c r="D20" s="58" t="n">
        <x:v>2019</x:v>
      </x:c>
      <x:c r="E20" s="46" t="str">
        <x:v>Sciaenidae</x:v>
      </x:c>
      <x:c r="F20" s="46" t="str">
        <x:v>Drums, croakers</x:v>
      </x:c>
      <x:c r="G20" s="46" t="str">
        <x:v>Medium demersals (30 - 89 cm)</x:v>
      </x:c>
      <x:c r="H20" s="46" t="str">
        <x:v>Perch-likes</x:v>
      </x:c>
      <x:c r="I20" s="60" t="n">
        <x:v>2379.7505226324997</x:v>
      </x:c>
      <x:c r="J20" s="60" t="n">
        <x:v>764.4055292951999</x:v>
      </x:c>
      <x:c r="K20" s="60" t="n">
        <x:v>1615.3449933373</x:v>
      </x:c>
      <x:c r="L20" s="60" t="n">
        <x:v>66.8557412272</x:v>
      </x:c>
      <x:c r="M20" s="60" t="n">
        <x:v>2312.8947814053</x:v>
      </x:c>
      <x:c r="N20" s="46" t="str">
        <x:v>sciaenidae</x:v>
      </x:c>
      <x:c r="O20" s="62" t="n">
        <x:v>3.76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Sciaenidae</x:v>
      </x:c>
      <x:c r="T20" s="62" t="n">
        <x:f>IF(O20="","",(1/'Metadata'!$B$5)^(O20-1))</x:f>
        <x:v>3898.0085558913897</x:v>
      </x:c>
      <x:c r="U20" s="60" t="n">
        <x:f>IF(T20="","",I20*T20)</x:f>
        <x:v>9276287.89810849</x:v>
      </x:c>
    </x:row>
    <x:row r="21" ht="18" customHeight="1">
      <x:c r="A21" s="46" t="str">
        <x:v>LME_015</x:v>
      </x:c>
      <x:c r="B21" s="46" t="str">
        <x:v>South Brazil Shelf</x:v>
      </x:c>
      <x:c r="C21" s="46" t="str">
        <x:v>LME</x:v>
      </x:c>
      <x:c r="D21" s="58" t="n">
        <x:v>2019</x:v>
      </x:c>
      <x:c r="E21" s="46" t="str">
        <x:v>Penaeus brasiliensis</x:v>
      </x:c>
      <x:c r="F21" s="46" t="str">
        <x:v>Redspotted shrimp</x:v>
      </x:c>
      <x:c r="G21" s="46" t="str">
        <x:v>Shrimps</x:v>
      </x:c>
      <x:c r="H21" s="46" t="str">
        <x:v>Crustaceans</x:v>
      </x:c>
      <x:c r="I21" s="60" t="n">
        <x:v>2280.7407228594</x:v>
      </x:c>
      <x:c r="J21" s="60" t="n">
        <x:v>2280.7407228594</x:v>
      </x:c>
      <x:c r="K21" s="60" t="n">
        <x:v>0</x:v>
      </x:c>
      <x:c r="L21" s="60" t="n">
        <x:v>2280.7407228594</x:v>
      </x:c>
      <x:c r="M21" s="60" t="n">
        <x:v>0</x:v>
      </x:c>
      <x:c r="N21" s="46" t="str">
        <x:v>penaeus brasiliensis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brasiliensis</x:v>
      </x:c>
      <x:c r="T21" s="62" t="n">
        <x:f>IF(O21="","",(1/'Metadata'!$B$5)^(O21-1))</x:f>
        <x:v>162.83621261476185</x:v>
      </x:c>
      <x:c r="U21" s="60" t="n">
        <x:f>IF(T21="","",I21*T21)</x:f>
        <x:v>371387.1812666789</x:v>
      </x:c>
    </x:row>
    <x:row r="22" ht="18" customHeight="1">
      <x:c r="A22" s="46" t="str">
        <x:v>LME_015</x:v>
      </x:c>
      <x:c r="B22" s="46" t="str">
        <x:v>South Brazil Shelf</x:v>
      </x:c>
      <x:c r="C22" s="46" t="str">
        <x:v>LME</x:v>
      </x:c>
      <x:c r="D22" s="58" t="n">
        <x:v>2019</x:v>
      </x:c>
      <x:c r="E22" s="46" t="str">
        <x:v>Cynoscion</x:v>
      </x:c>
      <x:c r="F22" s="46" t="str">
        <x:v>Weakfishes</x:v>
      </x:c>
      <x:c r="G22" s="46" t="str">
        <x:v>Medium demersals (30 - 89 cm)</x:v>
      </x:c>
      <x:c r="H22" s="46" t="str">
        <x:v>Perch-likes</x:v>
      </x:c>
      <x:c r="I22" s="60" t="n">
        <x:v>1857.9937845623</x:v>
      </x:c>
      <x:c r="J22" s="60" t="n">
        <x:v>1857.9937845623</x:v>
      </x:c>
      <x:c r="K22" s="60" t="n">
        <x:v>0</x:v>
      </x:c>
      <x:c r="L22" s="60" t="n">
        <x:v>1497.0493322987</x:v>
      </x:c>
      <x:c r="M22" s="60" t="n">
        <x:v>360.94445226359994</x:v>
      </x:c>
      <x:c r="N22" s="46" t="str">
        <x:v>cynoscion</x:v>
      </x:c>
      <x:c r="O22" s="62" t="n">
        <x:v>4.21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Cynoscion</x:v>
      </x:c>
      <x:c r="T22" s="62" t="n">
        <x:f>IF(O22="","",(1/'Metadata'!$B$5)^(O22-1))</x:f>
        <x:v>15007.428609226863</x:v>
      </x:c>
      <x:c r="U22" s="60" t="n">
        <x:f>IF(T22="","",I22*T22)</x:f>
        <x:v>27883709.078205954</x:v>
      </x:c>
    </x:row>
    <x:row r="23" ht="18" customHeight="1">
      <x:c r="A23" s="46" t="str">
        <x:v>LME_015</x:v>
      </x:c>
      <x:c r="B23" s="46" t="str">
        <x:v>South Brazil Shelf</x:v>
      </x:c>
      <x:c r="C23" s="46" t="str">
        <x:v>LME</x:v>
      </x:c>
      <x:c r="D23" s="58" t="n">
        <x:v>2019</x:v>
      </x:c>
      <x:c r="E23" s="46" t="str">
        <x:v>Merluccius hubbsi</x:v>
      </x:c>
      <x:c r="F23" s="46" t="str">
        <x:v>Argentine hake</x:v>
      </x:c>
      <x:c r="G23" s="46" t="str">
        <x:v>Medium benthopelagics (30 - 89 cm)</x:v>
      </x:c>
      <x:c r="H23" s="46" t="str">
        <x:v>Cod-likes</x:v>
      </x:c>
      <x:c r="I23" s="60" t="n">
        <x:v>1847.8233801899</x:v>
      </x:c>
      <x:c r="J23" s="60" t="n">
        <x:v>1847.8233801899</x:v>
      </x:c>
      <x:c r="K23" s="60" t="n">
        <x:v>0</x:v>
      </x:c>
      <x:c r="L23" s="60" t="n">
        <x:v>1809.5669431978</x:v>
      </x:c>
      <x:c r="M23" s="60" t="n">
        <x:v>38.2564369921</x:v>
      </x:c>
      <x:c r="N23" s="46" t="str">
        <x:v>merluccius hubbsi</x:v>
      </x:c>
      <x:c r="O23" s="62" t="n">
        <x:v>4.23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Merluccius hubbsi</x:v>
      </x:c>
      <x:c r="T23" s="62" t="n">
        <x:f>IF(O23="","",(1/'Metadata'!$B$5)^(O23-1))</x:f>
        <x:v>15934.076063346663</x:v>
      </x:c>
      <x:c r="U23" s="60" t="n">
        <x:f>IF(T23="","",I23*T23)</x:f>
        <x:v>29443358.291576207</x:v>
      </x:c>
    </x:row>
    <x:row r="24" ht="18" customHeight="1">
      <x:c r="A24" s="46" t="str">
        <x:v>LME_015</x:v>
      </x:c>
      <x:c r="B24" s="46" t="str">
        <x:v>South Brazil Shelf</x:v>
      </x:c>
      <x:c r="C24" s="46" t="str">
        <x:v>LME</x:v>
      </x:c>
      <x:c r="D24" s="58" t="n">
        <x:v>2019</x:v>
      </x:c>
      <x:c r="E24" s="46" t="str">
        <x:v>Scombridae</x:v>
      </x:c>
      <x:c r="F24" s="46" t="str">
        <x:v>Mackerels, tunas, bonitos</x:v>
      </x:c>
      <x:c r="G24" s="46" t="str">
        <x:v>Medium pelagics (30 - 89 cm)</x:v>
      </x:c>
      <x:c r="H24" s="46" t="str">
        <x:v>Perch-likes</x:v>
      </x:c>
      <x:c r="I24" s="60" t="n">
        <x:v>1802.4052604052001</x:v>
      </x:c>
      <x:c r="J24" s="60" t="n">
        <x:v>1802.4052604052001</x:v>
      </x:c>
      <x:c r="K24" s="60" t="n">
        <x:v>0</x:v>
      </x:c>
      <x:c r="L24" s="60" t="n">
        <x:v>1721.6737848344</x:v>
      </x:c>
      <x:c r="M24" s="60" t="n">
        <x:v>80.7314755708</x:v>
      </x:c>
      <x:c r="N24" s="46" t="str">
        <x:v>scombridae</x:v>
      </x:c>
      <x:c r="O24" s="62" t="n">
        <x:v>4.26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Scombridae</x:v>
      </x:c>
      <x:c r="T24" s="62" t="n">
        <x:f>IF(O24="","",(1/'Metadata'!$B$5)^(O24-1))</x:f>
        <x:v>17432.42421569787</x:v>
      </x:c>
      <x:c r="U24" s="60" t="n">
        <x:f>IF(T24="","",I24*T24)</x:f>
        <x:v>31420293.107988834</x:v>
      </x:c>
    </x:row>
    <x:row r="25" ht="18" customHeight="1">
      <x:c r="A25" s="46" t="str">
        <x:v>LME_015</x:v>
      </x:c>
      <x:c r="B25" s="46" t="str">
        <x:v>South Brazil Shelf</x:v>
      </x:c>
      <x:c r="C25" s="46" t="str">
        <x:v>LME</x:v>
      </x:c>
      <x:c r="D25" s="58" t="n">
        <x:v>2019</x:v>
      </x:c>
      <x:c r="E25" s="46" t="str">
        <x:v>Mugil liza</x:v>
      </x:c>
      <x:c r="F25" s="46" t="str">
        <x:v>Lebranche mullet</x:v>
      </x:c>
      <x:c r="G25" s="46" t="str">
        <x:v>Medium demersals (30 - 89 cm)</x:v>
      </x:c>
      <x:c r="H25" s="46" t="str">
        <x:v>Perch-likes</x:v>
      </x:c>
      <x:c r="I25" s="60" t="n">
        <x:v>1727.8580694743</x:v>
      </x:c>
      <x:c r="J25" s="60" t="n">
        <x:v>1727.8580694743</x:v>
      </x:c>
      <x:c r="K25" s="60" t="n">
        <x:v>0</x:v>
      </x:c>
      <x:c r="L25" s="60" t="n">
        <x:v>1694.8639486511</x:v>
      </x:c>
      <x:c r="M25" s="60" t="n">
        <x:v>32.9941208232</x:v>
      </x:c>
      <x:c r="N25" s="46" t="str">
        <x:v>mugil liza</x:v>
      </x:c>
      <x:c r="O25" s="62" t="n">
        <x:v>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Mugil liza</x:v>
      </x:c>
      <x:c r="T25" s="62" t="n">
        <x:f>IF(O25="","",(1/'Metadata'!$B$5)^(O25-1))</x:f>
        <x:v>20</x:v>
      </x:c>
      <x:c r="U25" s="60" t="n">
        <x:f>IF(T25="","",I25*T25)</x:f>
        <x:v>34557.161389486</x:v>
      </x:c>
    </x:row>
    <x:row r="26" ht="18" customHeight="1">
      <x:c r="A26" s="46" t="str">
        <x:v>LME_015</x:v>
      </x:c>
      <x:c r="B26" s="46" t="str">
        <x:v>South Brazil Shelf</x:v>
      </x:c>
      <x:c r="C26" s="46" t="str">
        <x:v>LME</x:v>
      </x:c>
      <x:c r="D26" s="58" t="n">
        <x:v>2019</x:v>
      </x:c>
      <x:c r="E26" s="46" t="str">
        <x:v>Xiphias gladius</x:v>
      </x:c>
      <x:c r="F26" s="46" t="str">
        <x:v>Swordfish</x:v>
      </x:c>
      <x:c r="G26" s="46" t="str">
        <x:v>Large pelagics (&gt;=90 cm)</x:v>
      </x:c>
      <x:c r="H26" s="46" t="str">
        <x:v>Tuna &amp; billfishes</x:v>
      </x:c>
      <x:c r="I26" s="60" t="n">
        <x:v>1591.981845279</x:v>
      </x:c>
      <x:c r="J26" s="60" t="n">
        <x:v>1591.981845279</x:v>
      </x:c>
      <x:c r="K26" s="60" t="n">
        <x:v>0</x:v>
      </x:c>
      <x:c r="L26" s="60" t="n">
        <x:v>1584.1606998145</x:v>
      </x:c>
      <x:c r="M26" s="60" t="n">
        <x:v>7.821145464500001</x:v>
      </x:c>
      <x:c r="N26" s="46" t="str">
        <x:v>xiphias gladius</x:v>
      </x:c>
      <x:c r="O26" s="62" t="n">
        <x:v>4.53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Xiphias gladius</x:v>
      </x:c>
      <x:c r="T26" s="62" t="n">
        <x:f>IF(O26="","",(1/'Metadata'!$B$5)^(O26-1))</x:f>
        <x:v>39141.35758252625</x:v>
      </x:c>
      <x:c r="U26" s="60" t="n">
        <x:f>IF(T26="","",I26*T26)</x:f>
        <x:v>62312330.67095532</x:v>
      </x:c>
    </x:row>
    <x:row r="27" ht="18" customHeight="1">
      <x:c r="A27" s="46" t="str">
        <x:v>LME_015</x:v>
      </x:c>
      <x:c r="B27" s="46" t="str">
        <x:v>South Brazil Shelf</x:v>
      </x:c>
      <x:c r="C27" s="46" t="str">
        <x:v>LME</x:v>
      </x:c>
      <x:c r="D27" s="58" t="n">
        <x:v>2019</x:v>
      </x:c>
      <x:c r="E27" s="46" t="str">
        <x:v>Mytilidae</x:v>
      </x:c>
      <x:c r="F27" s="46" t="str">
        <x:v>Sea mussels</x:v>
      </x:c>
      <x:c r="G27" s="46" t="str">
        <x:v>Other demersal invertebrates</x:v>
      </x:c>
      <x:c r="H27" s="46" t="str">
        <x:v>Molluscs</x:v>
      </x:c>
      <x:c r="I27" s="60" t="n">
        <x:v>1591.6398593084</x:v>
      </x:c>
      <x:c r="J27" s="60" t="n">
        <x:v>1591.6398593084</x:v>
      </x:c>
      <x:c r="K27" s="60" t="n">
        <x:v>0</x:v>
      </x:c>
      <x:c r="L27" s="60" t="n">
        <x:v>1575.8761087253</x:v>
      </x:c>
      <x:c r="M27" s="60" t="n">
        <x:v>15.7637505831</x:v>
      </x:c>
      <x:c r="N27" s="46" t="str">
        <x:v>mytilidae</x:v>
      </x:c>
      <x:c r="O27" s="62" t="n">
        <x:v>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Mytilidae</x:v>
      </x:c>
      <x:c r="T27" s="62" t="n">
        <x:f>IF(O27="","",(1/'Metadata'!$B$5)^(O27-1))</x:f>
        <x:v>20</x:v>
      </x:c>
      <x:c r="U27" s="60" t="n">
        <x:f>IF(T27="","",I27*T27)</x:f>
        <x:v>31832.797186167998</x:v>
      </x:c>
    </x:row>
    <x:row r="28" ht="18" customHeight="1">
      <x:c r="A28" s="46" t="str">
        <x:v>LME_015</x:v>
      </x:c>
      <x:c r="B28" s="46" t="str">
        <x:v>South Brazil Shelf</x:v>
      </x:c>
      <x:c r="C28" s="46" t="str">
        <x:v>LME</x:v>
      </x:c>
      <x:c r="D28" s="58" t="n">
        <x:v>2019</x:v>
      </x:c>
      <x:c r="E28" s="46" t="str">
        <x:v>Siluriformes</x:v>
      </x:c>
      <x:c r="F28" s="46" t="str">
        <x:v>Catfishes</x:v>
      </x:c>
      <x:c r="G28" s="46" t="str">
        <x:v>Medium demersals (30 - 89 cm)</x:v>
      </x:c>
      <x:c r="H28" s="46" t="str">
        <x:v>Other fishes &amp; inverts</x:v>
      </x:c>
      <x:c r="I28" s="60" t="n">
        <x:v>1537.0181291233998</x:v>
      </x:c>
      <x:c r="J28" s="60" t="n">
        <x:v>0</x:v>
      </x:c>
      <x:c r="K28" s="60" t="n">
        <x:v>1537.0181291233998</x:v>
      </x:c>
      <x:c r="L28" s="60" t="n">
        <x:v>0</x:v>
      </x:c>
      <x:c r="M28" s="60" t="n">
        <x:v>1537.0181291233998</x:v>
      </x:c>
      <x:c r="N28" s="46" t="str">
        <x:v>siluriformes</x:v>
      </x:c>
      <x:c r="O28" s="62" t="n">
        <x:v>3.48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Siluriformes</x:v>
      </x:c>
      <x:c r="T28" s="62" t="n">
        <x:f>IF(O28="","",(1/'Metadata'!$B$5)^(O28-1))</x:f>
        <x:v>1684.8234138858888</x:v>
      </x:c>
      <x:c r="U28" s="60" t="n">
        <x:f>IF(T28="","",I28*T28)</x:f>
        <x:v>2589604.1315141884</x:v>
      </x:c>
    </x:row>
    <x:row r="29" ht="18" customHeight="1">
      <x:c r="A29" s="46" t="str">
        <x:v>LME_015</x:v>
      </x:c>
      <x:c r="B29" s="46" t="str">
        <x:v>South Brazil Shelf</x:v>
      </x:c>
      <x:c r="C29" s="46" t="str">
        <x:v>LME</x:v>
      </x:c>
      <x:c r="D29" s="58" t="n">
        <x:v>2019</x:v>
      </x:c>
      <x:c r="E29" s="46" t="str">
        <x:v>Bivalvia</x:v>
      </x:c>
      <x:c r="F29" s="46" t="str">
        <x:v>Clams</x:v>
      </x:c>
      <x:c r="G29" s="46" t="str">
        <x:v>Other demersal invertebrates</x:v>
      </x:c>
      <x:c r="H29" s="46" t="str">
        <x:v>Molluscs</x:v>
      </x:c>
      <x:c r="I29" s="60" t="n">
        <x:v>1353.1815534443</x:v>
      </x:c>
      <x:c r="J29" s="60" t="n">
        <x:v>1353.1815534443</x:v>
      </x:c>
      <x:c r="K29" s="60" t="n">
        <x:v>0</x:v>
      </x:c>
      <x:c r="L29" s="60" t="n">
        <x:v>412.06866799010004</x:v>
      </x:c>
      <x:c r="M29" s="60" t="n">
        <x:v>941.1128854542</x:v>
      </x:c>
      <x:c r="N29" s="46" t="str">
        <x:v>bivalvia</x:v>
      </x:c>
      <x:c r="O29" s="62" t="n">
        <x:v>2.23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Bivalvia</x:v>
      </x:c>
      <x:c r="T29" s="62" t="n">
        <x:f>IF(O29="","",(1/'Metadata'!$B$5)^(O29-1))</x:f>
        <x:v>39.83519015836661</x:v>
      </x:c>
      <x:c r="U29" s="60" t="n">
        <x:f>IF(T29="","",I29*T29)</x:f>
        <x:v>53904.24450024762</x:v>
      </x:c>
    </x:row>
    <x:row r="30" ht="18" customHeight="1">
      <x:c r="A30" s="46" t="str">
        <x:v>LME_015</x:v>
      </x:c>
      <x:c r="B30" s="46" t="str">
        <x:v>South Brazil Shelf</x:v>
      </x:c>
      <x:c r="C30" s="46" t="str">
        <x:v>LME</x:v>
      </x:c>
      <x:c r="D30" s="58" t="n">
        <x:v>2019</x:v>
      </x:c>
      <x:c r="E30" s="46" t="str">
        <x:v>Stellifer rastrifer</x:v>
      </x:c>
      <x:c r="F30" s="46" t="str">
        <x:v>Rake stardrum</x:v>
      </x:c>
      <x:c r="G30" s="46" t="str">
        <x:v>Small demersals (&lt;30 cm)</x:v>
      </x:c>
      <x:c r="H30" s="46" t="str">
        <x:v>Perch-likes</x:v>
      </x:c>
      <x:c r="I30" s="60" t="n">
        <x:v>1341.4513464087001</x:v>
      </x:c>
      <x:c r="J30" s="60" t="n">
        <x:v>0.0109573053</x:v>
      </x:c>
      <x:c r="K30" s="60" t="n">
        <x:v>1341.4403891034</x:v>
      </x:c>
      <x:c r="L30" s="60" t="n">
        <x:v>0.0105609992</x:v>
      </x:c>
      <x:c r="M30" s="60" t="n">
        <x:v>1341.4407854095</x:v>
      </x:c>
      <x:c r="N30" s="46" t="str">
        <x:v>stellifer rastrifer</x:v>
      </x:c>
      <x:c r="O30" s="62" t="n">
        <x:v>3.39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Stellifer rastrifer</x:v>
      </x:c>
      <x:c r="T30" s="62" t="n">
        <x:f>IF(O30="","",(1/'Metadata'!$B$5)^(O30-1))</x:f>
        <x:v>1286.6537486023922</x:v>
      </x:c>
      <x:c r="U30" s="60" t="n">
        <x:f>IF(T30="","",I30*T30)</x:f>
        <x:v>1725983.4034244802</x:v>
      </x:c>
    </x:row>
    <x:row r="31" ht="18" customHeight="1">
      <x:c r="A31" s="46" t="str">
        <x:v>LME_015</x:v>
      </x:c>
      <x:c r="B31" s="46" t="str">
        <x:v>South Brazil Shelf</x:v>
      </x:c>
      <x:c r="C31" s="46" t="str">
        <x:v>LME</x:v>
      </x:c>
      <x:c r="D31" s="58" t="n">
        <x:v>2019</x:v>
      </x:c>
      <x:c r="E31" s="46" t="str">
        <x:v>Xiphopenaeus kroyeri</x:v>
      </x:c>
      <x:c r="F31" s="46" t="str">
        <x:v>Atlantic seabob</x:v>
      </x:c>
      <x:c r="G31" s="46" t="str">
        <x:v>Shrimps</x:v>
      </x:c>
      <x:c r="H31" s="46" t="str">
        <x:v>Crustaceans</x:v>
      </x:c>
      <x:c r="I31" s="60" t="n">
        <x:v>1305.3188804587999</x:v>
      </x:c>
      <x:c r="J31" s="60" t="n">
        <x:v>1305.3188804587999</x:v>
      </x:c>
      <x:c r="K31" s="60" t="n">
        <x:v>0</x:v>
      </x:c>
      <x:c r="L31" s="60" t="n">
        <x:v>1283.1056619472</x:v>
      </x:c>
      <x:c r="M31" s="60" t="n">
        <x:v>22.213218511599997</x:v>
      </x:c>
      <x:c r="N31" s="46" t="str">
        <x:v>xiphopenaeus kroyeri</x:v>
      </x:c>
      <x:c r="O31" s="62" t="n">
        <x:v>2.7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Xiphopenaeus kroyeri</x:v>
      </x:c>
      <x:c r="T31" s="62" t="n">
        <x:f>IF(O31="","",(1/'Metadata'!$B$5)^(O31-1))</x:f>
        <x:v>162.83621261476185</x:v>
      </x:c>
      <x:c r="U31" s="60" t="n">
        <x:f>IF(T31="","",I31*T31)</x:f>
        <x:v>212553.18274845203</x:v>
      </x:c>
    </x:row>
    <x:row r="32" ht="18" customHeight="1">
      <x:c r="A32" s="46" t="str">
        <x:v>LME_015</x:v>
      </x:c>
      <x:c r="B32" s="46" t="str">
        <x:v>South Brazil Shelf</x:v>
      </x:c>
      <x:c r="C32" s="46" t="str">
        <x:v>LME</x:v>
      </x:c>
      <x:c r="D32" s="58" t="n">
        <x:v>2019</x:v>
      </x:c>
      <x:c r="E32" s="46" t="str">
        <x:v>Penaeus paulensis</x:v>
      </x:c>
      <x:c r="F32" s="46" t="str">
        <x:v>Sao Paulo shrimp</x:v>
      </x:c>
      <x:c r="G32" s="46" t="str">
        <x:v>Shrimps</x:v>
      </x:c>
      <x:c r="H32" s="46" t="str">
        <x:v>Crustaceans</x:v>
      </x:c>
      <x:c r="I32" s="60" t="n">
        <x:v>1303.1377331484</x:v>
      </x:c>
      <x:c r="J32" s="60" t="n">
        <x:v>1303.1377331484</x:v>
      </x:c>
      <x:c r="K32" s="60" t="n">
        <x:v>0</x:v>
      </x:c>
      <x:c r="L32" s="60" t="n">
        <x:v>906.9363758073999</x:v>
      </x:c>
      <x:c r="M32" s="60" t="n">
        <x:v>396.201357341</x:v>
      </x:c>
      <x:c r="N32" s="46" t="str">
        <x:v>penaeus paulensis</x:v>
      </x:c>
      <x:c r="O32" s="62" t="n">
        <x:v>2.97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Penaeus paulensis</x:v>
      </x:c>
      <x:c r="T32" s="62" t="n">
        <x:f>IF(O32="","",(1/'Metadata'!$B$5)^(O32-1))</x:f>
        <x:v>365.61928200434755</x:v>
      </x:c>
      <x:c r="U32" s="60" t="n">
        <x:f>IF(T32="","",I32*T32)</x:f>
        <x:v>476452.28234649106</x:v>
      </x:c>
    </x:row>
    <x:row r="33" ht="18" customHeight="1">
      <x:c r="A33" s="46" t="str">
        <x:v>LME_015</x:v>
      </x:c>
      <x:c r="B33" s="46" t="str">
        <x:v>South Brazil Shelf</x:v>
      </x:c>
      <x:c r="C33" s="46" t="str">
        <x:v>LME</x:v>
      </x:c>
      <x:c r="D33" s="58" t="n">
        <x:v>2019</x:v>
      </x:c>
      <x:c r="E33" s="46" t="str">
        <x:v>Penaeus schmitti</x:v>
      </x:c>
      <x:c r="F33" s="46" t="str">
        <x:v>Southern white shrimp</x:v>
      </x:c>
      <x:c r="G33" s="46" t="str">
        <x:v>Shrimps</x:v>
      </x:c>
      <x:c r="H33" s="46" t="str">
        <x:v>Crustaceans</x:v>
      </x:c>
      <x:c r="I33" s="60" t="n">
        <x:v>1302.8589806842</x:v>
      </x:c>
      <x:c r="J33" s="60" t="n">
        <x:v>1302.8589806842</x:v>
      </x:c>
      <x:c r="K33" s="60" t="n">
        <x:v>0</x:v>
      </x:c>
      <x:c r="L33" s="60" t="n">
        <x:v>1287.6971273193</x:v>
      </x:c>
      <x:c r="M33" s="60" t="n">
        <x:v>15.1618533649</x:v>
      </x:c>
      <x:c r="N33" s="46" t="str">
        <x:v>penaeus schmitti</x:v>
      </x:c>
      <x:c r="O33" s="62" t="n">
        <x:v>2.7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Penaeus schmitti</x:v>
      </x:c>
      <x:c r="T33" s="62" t="n">
        <x:f>IF(O33="","",(1/'Metadata'!$B$5)^(O33-1))</x:f>
        <x:v>162.83621261476185</x:v>
      </x:c>
      <x:c r="U33" s="60" t="n">
        <x:f>IF(T33="","",I33*T33)</x:f>
        <x:v>212152.6219857443</x:v>
      </x:c>
    </x:row>
    <x:row r="34" ht="18" customHeight="1">
      <x:c r="A34" s="46" t="str">
        <x:v>LME_015</x:v>
      </x:c>
      <x:c r="B34" s="46" t="str">
        <x:v>South Brazil Shelf</x:v>
      </x:c>
      <x:c r="C34" s="46" t="str">
        <x:v>LME</x:v>
      </x:c>
      <x:c r="D34" s="58" t="n">
        <x:v>2019</x:v>
      </x:c>
      <x:c r="E34" s="46" t="str">
        <x:v>Thunnus obesus</x:v>
      </x:c>
      <x:c r="F34" s="46" t="str">
        <x:v>Bigeye tuna</x:v>
      </x:c>
      <x:c r="G34" s="46" t="str">
        <x:v>Large pelagics (&gt;=90 cm)</x:v>
      </x:c>
      <x:c r="H34" s="46" t="str">
        <x:v>Tuna &amp; billfishes</x:v>
      </x:c>
      <x:c r="I34" s="60" t="n">
        <x:v>1264.7674566639</x:v>
      </x:c>
      <x:c r="J34" s="60" t="n">
        <x:v>1264.7674566639</x:v>
      </x:c>
      <x:c r="K34" s="60" t="n">
        <x:v>0</x:v>
      </x:c>
      <x:c r="L34" s="60" t="n">
        <x:v>1264.7674566639</x:v>
      </x:c>
      <x:c r="M34" s="60" t="n">
        <x:v>0</x:v>
      </x:c>
      <x:c r="N34" s="46" t="str">
        <x:v>thunnus obesus</x:v>
      </x:c>
      <x:c r="O34" s="62" t="n">
        <x:v>4.49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Thunnus obesus</x:v>
      </x:c>
      <x:c r="T34" s="62" t="n">
        <x:f>IF(O34="","",(1/'Metadata'!$B$5)^(O34-1))</x:f>
        <x:v>34721.19667768202</x:v>
      </x:c>
      <x:c r="U34" s="60" t="n">
        <x:f>IF(T34="","",I34*T34)</x:f>
        <x:v>43914239.61435894</x:v>
      </x:c>
    </x:row>
    <x:row r="35" ht="18" customHeight="1">
      <x:c r="A35" s="46" t="str">
        <x:v>LME_015</x:v>
      </x:c>
      <x:c r="B35" s="46" t="str">
        <x:v>South Brazil Shelf</x:v>
      </x:c>
      <x:c r="C35" s="46" t="str">
        <x:v>LME</x:v>
      </x:c>
      <x:c r="D35" s="58" t="n">
        <x:v>2019</x:v>
      </x:c>
      <x:c r="E35" s="46" t="str">
        <x:v>Prionace glauca</x:v>
      </x:c>
      <x:c r="F35" s="46" t="str">
        <x:v>Blue shark</x:v>
      </x:c>
      <x:c r="G35" s="46" t="str">
        <x:v>Large sharks (&gt;=90 cm)</x:v>
      </x:c>
      <x:c r="H35" s="46" t="str">
        <x:v>Sharks &amp; rays</x:v>
      </x:c>
      <x:c r="I35" s="60" t="n">
        <x:v>1206.5379261655</x:v>
      </x:c>
      <x:c r="J35" s="60" t="n">
        <x:v>1206.5379261655</x:v>
      </x:c>
      <x:c r="K35" s="60" t="n">
        <x:v>0</x:v>
      </x:c>
      <x:c r="L35" s="60" t="n">
        <x:v>1204.5592248659</x:v>
      </x:c>
      <x:c r="M35" s="60" t="n">
        <x:v>1.9787012996</x:v>
      </x:c>
      <x:c r="N35" s="46" t="str">
        <x:v>prionace glauca</x:v>
      </x:c>
      <x:c r="O35" s="62" t="n">
        <x:v>4.35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Prionace glauca</x:v>
      </x:c>
      <x:c r="T35" s="62" t="n">
        <x:f>IF(O35="","",(1/'Metadata'!$B$5)^(O35-1))</x:f>
        <x:v>22827.086550132422</x:v>
      </x:c>
      <x:c r="U35" s="60" t="n">
        <x:f>IF(T35="","",I35*T35)</x:f>
        <x:v>27541745.66659715</x:v>
      </x:c>
    </x:row>
    <x:row r="36" ht="18" customHeight="1">
      <x:c r="A36" s="46" t="str">
        <x:v>LME_015</x:v>
      </x:c>
      <x:c r="B36" s="46" t="str">
        <x:v>South Brazil Shelf</x:v>
      </x:c>
      <x:c r="C36" s="46" t="str">
        <x:v>LME</x:v>
      </x:c>
      <x:c r="D36" s="58" t="n">
        <x:v>2019</x:v>
      </x:c>
      <x:c r="E36" s="46" t="str">
        <x:v>Rajidae</x:v>
      </x:c>
      <x:c r="F36" s="46" t="str">
        <x:v>Stingrays</x:v>
      </x:c>
      <x:c r="G36" s="46" t="str">
        <x:v>Large rays (&gt;=90 cm)</x:v>
      </x:c>
      <x:c r="H36" s="46" t="str">
        <x:v>Sharks &amp; rays</x:v>
      </x:c>
      <x:c r="I36" s="60" t="n">
        <x:v>1160.8341581688</x:v>
      </x:c>
      <x:c r="J36" s="60" t="n">
        <x:v>1146.0561891057</x:v>
      </x:c>
      <x:c r="K36" s="60" t="n">
        <x:v>14.7779690631</x:v>
      </x:c>
      <x:c r="L36" s="60" t="n">
        <x:v>1114.6684104682001</x:v>
      </x:c>
      <x:c r="M36" s="60" t="n">
        <x:v>46.1657477006</x:v>
      </x:c>
      <x:c r="N36" s="46" t="str">
        <x:v>rajidae</x:v>
      </x:c>
      <x:c r="O36" s="62" t="n">
        <x:v>3.82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Rajidae</x:v>
      </x:c>
      <x:c r="T36" s="62" t="n">
        <x:f>IF(O36="","",(1/'Metadata'!$B$5)^(O36-1))</x:f>
        <x:v>4665.56868948727</x:v>
      </x:c>
      <x:c r="U36" s="60" t="n">
        <x:f>IF(T36="","",I36*T36)</x:f>
        <x:v>5415951.502039666</x:v>
      </x:c>
    </x:row>
    <x:row r="37" ht="18" customHeight="1">
      <x:c r="A37" s="46" t="str">
        <x:v>LME_015</x:v>
      </x:c>
      <x:c r="B37" s="46" t="str">
        <x:v>South Brazil Shelf</x:v>
      </x:c>
      <x:c r="C37" s="46" t="str">
        <x:v>LME</x:v>
      </x:c>
      <x:c r="D37" s="58" t="n">
        <x:v>2019</x:v>
      </x:c>
      <x:c r="E37" s="46" t="str">
        <x:v>Thunnus albacares</x:v>
      </x:c>
      <x:c r="F37" s="46" t="str">
        <x:v>Yellowfin tuna</x:v>
      </x:c>
      <x:c r="G37" s="46" t="str">
        <x:v>Large pelagics (&gt;=90 cm)</x:v>
      </x:c>
      <x:c r="H37" s="46" t="str">
        <x:v>Tuna &amp; billfishes</x:v>
      </x:c>
      <x:c r="I37" s="60" t="n">
        <x:v>1150.2093844149</x:v>
      </x:c>
      <x:c r="J37" s="60" t="n">
        <x:v>1150.2093844149</x:v>
      </x:c>
      <x:c r="K37" s="60" t="n">
        <x:v>0</x:v>
      </x:c>
      <x:c r="L37" s="60" t="n">
        <x:v>1135.0643263637999</x:v>
      </x:c>
      <x:c r="M37" s="60" t="n">
        <x:v>15.1450580511</x:v>
      </x:c>
      <x:c r="N37" s="46" t="str">
        <x:v>thunnus albacares</x:v>
      </x:c>
      <x:c r="O37" s="62" t="n">
        <x:v>4.41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Thunnus albacares</x:v>
      </x:c>
      <x:c r="T37" s="62" t="n">
        <x:f>IF(O37="","",(1/'Metadata'!$B$5)^(O37-1))</x:f>
        <x:v>27321.987305427916</x:v>
      </x:c>
      <x:c r="U37" s="60" t="n">
        <x:f>IF(T37="","",I37*T37)</x:f>
        <x:v>31426006.19956795</x:v>
      </x:c>
    </x:row>
    <x:row r="38" ht="18" customHeight="1">
      <x:c r="A38" s="46" t="str">
        <x:v>LME_015</x:v>
      </x:c>
      <x:c r="B38" s="46" t="str">
        <x:v>South Brazil Shelf</x:v>
      </x:c>
      <x:c r="C38" s="46" t="str">
        <x:v>LME</x:v>
      </x:c>
      <x:c r="D38" s="58" t="n">
        <x:v>2019</x:v>
      </x:c>
      <x:c r="E38" s="46" t="str">
        <x:v>Opisthonema oglinum</x:v>
      </x:c>
      <x:c r="F38" s="46" t="str">
        <x:v>Atlantic thread herring</x:v>
      </x:c>
      <x:c r="G38" s="46" t="str">
        <x:v>Small pelagics (&lt;30 cm)</x:v>
      </x:c>
      <x:c r="H38" s="46" t="str">
        <x:v>Herring-likes</x:v>
      </x:c>
      <x:c r="I38" s="60" t="n">
        <x:v>1146.8345040326</x:v>
      </x:c>
      <x:c r="J38" s="60" t="n">
        <x:v>1146.8345040326</x:v>
      </x:c>
      <x:c r="K38" s="60" t="n">
        <x:v>0</x:v>
      </x:c>
      <x:c r="L38" s="60" t="n">
        <x:v>1123.3838256089</x:v>
      </x:c>
      <x:c r="M38" s="60" t="n">
        <x:v>23.4506784237</x:v>
      </x:c>
      <x:c r="N38" s="46" t="str">
        <x:v>opisthonema oglinum</x:v>
      </x:c>
      <x:c r="O38" s="62" t="n">
        <x:v>4.5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Opisthonema oglinum</x:v>
      </x:c>
      <x:c r="T38" s="62" t="n">
        <x:f>IF(O38="","",(1/'Metadata'!$B$5)^(O38-1))</x:f>
        <x:v>35777.08763999664</x:v>
      </x:c>
      <x:c r="U38" s="60" t="n">
        <x:f>IF(T38="","",I38*T38)</x:f>
        <x:v>41030398.55934641</x:v>
      </x:c>
    </x:row>
    <x:row r="39" ht="18" customHeight="1">
      <x:c r="A39" s="46" t="str">
        <x:v>LME_015</x:v>
      </x:c>
      <x:c r="B39" s="46" t="str">
        <x:v>South Brazil Shelf</x:v>
      </x:c>
      <x:c r="C39" s="46" t="str">
        <x:v>LME</x:v>
      </x:c>
      <x:c r="D39" s="58" t="n">
        <x:v>2019</x:v>
      </x:c>
      <x:c r="E39" s="46" t="str">
        <x:v>Tetraodontidae</x:v>
      </x:c>
      <x:c r="F39" s="46" t="str">
        <x:v>Puffers, tobies</x:v>
      </x:c>
      <x:c r="G39" s="46" t="str">
        <x:v>Large reef assoc. fish (&gt;=90 cm)</x:v>
      </x:c>
      <x:c r="H39" s="46" t="str">
        <x:v>Other fishes &amp; inverts</x:v>
      </x:c>
      <x:c r="I39" s="60" t="n">
        <x:v>1065.9366019913</x:v>
      </x:c>
      <x:c r="J39" s="60" t="n">
        <x:v>5.321299434899999</x:v>
      </x:c>
      <x:c r="K39" s="60" t="n">
        <x:v>1060.6153025564</x:v>
      </x:c>
      <x:c r="L39" s="60" t="n">
        <x:v>5.1041639435</x:v>
      </x:c>
      <x:c r="M39" s="60" t="n">
        <x:v>1060.8324380478</x:v>
      </x:c>
      <x:c r="N39" s="46" t="str">
        <x:v>tetraodontidae</x:v>
      </x:c>
      <x:c r="O39" s="62" t="n">
        <x:v>3.5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Tetraodontidae</x:v>
      </x:c>
      <x:c r="T39" s="62" t="n">
        <x:f>IF(O39="","",(1/'Metadata'!$B$5)^(O39-1))</x:f>
        <x:v>1788.8543819998317</x:v>
      </x:c>
      <x:c r="U39" s="60" t="n">
        <x:f>IF(T39="","",I39*T39)</x:f>
        <x:v>1906805.3614061475</x:v>
      </x:c>
    </x:row>
    <x:row r="40" ht="18" customHeight="1">
      <x:c r="A40" s="46" t="str">
        <x:v>LME_015</x:v>
      </x:c>
      <x:c r="B40" s="46" t="str">
        <x:v>South Brazil Shelf</x:v>
      </x:c>
      <x:c r="C40" s="46" t="str">
        <x:v>LME</x:v>
      </x:c>
      <x:c r="D40" s="58" t="n">
        <x:v>2019</x:v>
      </x:c>
      <x:c r="E40" s="46" t="str">
        <x:v>Rajiformes</x:v>
      </x:c>
      <x:c r="F40" s="46" t="str">
        <x:v>Skates and rays</x:v>
      </x:c>
      <x:c r="G40" s="46" t="str">
        <x:v>Large rays (&gt;=90 cm)</x:v>
      </x:c>
      <x:c r="H40" s="46" t="str">
        <x:v>Sharks &amp; rays</x:v>
      </x:c>
      <x:c r="I40" s="60" t="n">
        <x:v>1039.9383745947</x:v>
      </x:c>
      <x:c r="J40" s="60" t="n">
        <x:v>1039.9383745947</x:v>
      </x:c>
      <x:c r="K40" s="60" t="n">
        <x:v>0</x:v>
      </x:c>
      <x:c r="L40" s="60" t="n">
        <x:v>1018.5108272258001</x:v>
      </x:c>
      <x:c r="M40" s="60" t="n">
        <x:v>21.427547368899997</x:v>
      </x:c>
      <x:c r="N40" s="46" t="str">
        <x:v>rajiformes</x:v>
      </x:c>
      <x:c r="O40" s="62" t="n">
        <x:v>3.61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Rajiformes</x:v>
      </x:c>
      <x:c r="T40" s="62" t="n">
        <x:f>IF(O40="","",(1/'Metadata'!$B$5)^(O40-1))</x:f>
        <x:v>2487.0716021897506</x:v>
      </x:c>
      <x:c r="U40" s="60" t="n">
        <x:f>IF(T40="","",I40*T40)</x:f>
        <x:v>2586401.1994818454</x:v>
      </x:c>
    </x:row>
    <x:row r="41" ht="18" customHeight="1">
      <x:c r="A41" s="46" t="str">
        <x:v>LME_015</x:v>
      </x:c>
      <x:c r="B41" s="46" t="str">
        <x:v>South Brazil Shelf</x:v>
      </x:c>
      <x:c r="C41" s="46" t="str">
        <x:v>LME</x:v>
      </x:c>
      <x:c r="D41" s="58" t="n">
        <x:v>2019</x:v>
      </x:c>
      <x:c r="E41" s="46" t="str">
        <x:v>Brevoortia pectinata</x:v>
      </x:c>
      <x:c r="F41" s="46" t="str">
        <x:v>Argentine menhaden</x:v>
      </x:c>
      <x:c r="G41" s="46" t="str">
        <x:v>Medium pelagics (30 - 89 cm)</x:v>
      </x:c>
      <x:c r="H41" s="46" t="str">
        <x:v>Herring-likes</x:v>
      </x:c>
      <x:c r="I41" s="60" t="n">
        <x:v>1019.6242210958</x:v>
      </x:c>
      <x:c r="J41" s="60" t="n">
        <x:v>1019.6242210958</x:v>
      </x:c>
      <x:c r="K41" s="60" t="n">
        <x:v>0</x:v>
      </x:c>
      <x:c r="L41" s="60" t="n">
        <x:v>1019.6242210958</x:v>
      </x:c>
      <x:c r="M41" s="60" t="n">
        <x:v>0</x:v>
      </x:c>
      <x:c r="N41" s="46" t="str">
        <x:v>brevoortia pectinata</x:v>
      </x:c>
      <x:c r="O41" s="62" t="n">
        <x:v>3.4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Brevoortia pectinata</x:v>
      </x:c>
      <x:c r="T41" s="62" t="n">
        <x:f>IF(O41="","",(1/'Metadata'!$B$5)^(O41-1))</x:f>
        <x:v>1325.7816069359944</x:v>
      </x:c>
      <x:c r="U41" s="60" t="n">
        <x:f>IF(T41="","",I41*T41)</x:f>
        <x:v>1351799.0383152512</x:v>
      </x:c>
    </x:row>
    <x:row r="42" ht="18" customHeight="1">
      <x:c r="A42" s="46" t="str">
        <x:v>LME_015</x:v>
      </x:c>
      <x:c r="B42" s="46" t="str">
        <x:v>South Brazil Shelf</x:v>
      </x:c>
      <x:c r="C42" s="46" t="str">
        <x:v>LME</x:v>
      </x:c>
      <x:c r="D42" s="58" t="n">
        <x:v>2019</x:v>
      </x:c>
      <x:c r="E42" s="46" t="str">
        <x:v>Selene setapinnis</x:v>
      </x:c>
      <x:c r="F42" s="46" t="str">
        <x:v>Atlantic moonfish</x:v>
      </x:c>
      <x:c r="G42" s="46" t="str">
        <x:v>Medium demersals (30 - 89 cm)</x:v>
      </x:c>
      <x:c r="H42" s="46" t="str">
        <x:v>Perch-likes</x:v>
      </x:c>
      <x:c r="I42" s="60" t="n">
        <x:v>925.5066036756</x:v>
      </x:c>
      <x:c r="J42" s="60" t="n">
        <x:v>529.1148151968</x:v>
      </x:c>
      <x:c r="K42" s="60" t="n">
        <x:v>396.3917884788</x:v>
      </x:c>
      <x:c r="L42" s="60" t="n">
        <x:v>512.5110952411</x:v>
      </x:c>
      <x:c r="M42" s="60" t="n">
        <x:v>412.9955084345</x:v>
      </x:c>
      <x:c r="N42" s="46" t="str">
        <x:v>selene setapinnis</x:v>
      </x:c>
      <x:c r="O42" s="62" t="n">
        <x:v>3.72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Selene setapinnis</x:v>
      </x:c>
      <x:c r="T42" s="62" t="n">
        <x:f>IF(O42="","",(1/'Metadata'!$B$5)^(O42-1))</x:f>
        <x:v>3457.8136804537753</x:v>
      </x:c>
      <x:c r="U42" s="60" t="n">
        <x:f>IF(T42="","",I42*T42)</x:f>
        <x:v>3200229.3955398</x:v>
      </x:c>
    </x:row>
    <x:row r="43" ht="18" customHeight="1">
      <x:c r="A43" s="46" t="str">
        <x:v>LME_015</x:v>
      </x:c>
      <x:c r="B43" s="46" t="str">
        <x:v>South Brazil Shelf</x:v>
      </x:c>
      <x:c r="C43" s="46" t="str">
        <x:v>LME</x:v>
      </x:c>
      <x:c r="D43" s="58" t="n">
        <x:v>2019</x:v>
      </x:c>
      <x:c r="E43" s="46" t="str">
        <x:v>Cynoscion jamaicensis</x:v>
      </x:c>
      <x:c r="F43" s="46" t="str">
        <x:v>Jamaica weakfish</x:v>
      </x:c>
      <x:c r="G43" s="46" t="str">
        <x:v>Medium demersals (30 - 89 cm)</x:v>
      </x:c>
      <x:c r="H43" s="46" t="str">
        <x:v>Perch-likes</x:v>
      </x:c>
      <x:c r="I43" s="60" t="n">
        <x:v>918.7854134741999</x:v>
      </x:c>
      <x:c r="J43" s="60" t="n">
        <x:v>918.7854134741999</x:v>
      </x:c>
      <x:c r="K43" s="60" t="n">
        <x:v>0</x:v>
      </x:c>
      <x:c r="L43" s="60" t="n">
        <x:v>911.8798892159999</x:v>
      </x:c>
      <x:c r="M43" s="60" t="n">
        <x:v>6.9055242582</x:v>
      </x:c>
      <x:c r="N43" s="46" t="str">
        <x:v>cynoscion jamaicensis</x:v>
      </x:c>
      <x:c r="O43" s="62" t="n">
        <x:v>3.84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Cynoscion jamaicensis</x:v>
      </x:c>
      <x:c r="T43" s="62" t="n">
        <x:f>IF(O43="","",(1/'Metadata'!$B$5)^(O43-1))</x:f>
        <x:v>4953.648510535111</x:v>
      </x:c>
      <x:c r="U43" s="60" t="n">
        <x:f>IF(T43="","",I43*T43)</x:f>
        <x:v>4551339.994957857</x:v>
      </x:c>
    </x:row>
    <x:row r="44" ht="18" customHeight="1">
      <x:c r="A44" s="46" t="str">
        <x:v>LME_015</x:v>
      </x:c>
      <x:c r="B44" s="46" t="str">
        <x:v>South Brazil Shelf</x:v>
      </x:c>
      <x:c r="C44" s="46" t="str">
        <x:v>LME</x:v>
      </x:c>
      <x:c r="D44" s="58" t="n">
        <x:v>2019</x:v>
      </x:c>
      <x:c r="E44" s="46" t="str">
        <x:v>Scomberomorus brasiliensis</x:v>
      </x:c>
      <x:c r="F44" s="46" t="str">
        <x:v>Serra Spanish mackerel</x:v>
      </x:c>
      <x:c r="G44" s="46" t="str">
        <x:v>Large pelagics (&gt;=90 cm)</x:v>
      </x:c>
      <x:c r="H44" s="46" t="str">
        <x:v>Perch-likes</x:v>
      </x:c>
      <x:c r="I44" s="60" t="n">
        <x:v>880.6855448766</x:v>
      </x:c>
      <x:c r="J44" s="60" t="n">
        <x:v>880.6855448766</x:v>
      </x:c>
      <x:c r="K44" s="60" t="n">
        <x:v>0</x:v>
      </x:c>
      <x:c r="L44" s="60" t="n">
        <x:v>134.2606960494</x:v>
      </x:c>
      <x:c r="M44" s="60" t="n">
        <x:v>746.4248488272</x:v>
      </x:c>
      <x:c r="N44" s="46" t="str">
        <x:v>scomberomorus brasiliensis</x:v>
      </x:c>
      <x:c r="O44" s="62" t="n">
        <x:v>3.31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brasiliensis</x:v>
      </x:c>
      <x:c r="T44" s="62" t="n">
        <x:f>IF(O44="","",(1/'Metadata'!$B$5)^(O44-1))</x:f>
        <x:v>1012.4633005057666</x:v>
      </x:c>
      <x:c r="U44" s="60" t="n">
        <x:f>IF(T44="","",I44*T44)</x:f>
        <x:v>891661.7934734819</x:v>
      </x:c>
    </x:row>
    <x:row r="45" ht="18" customHeight="1">
      <x:c r="A45" s="46" t="str">
        <x:v>LME_015</x:v>
      </x:c>
      <x:c r="B45" s="46" t="str">
        <x:v>South Brazil Shelf</x:v>
      </x:c>
      <x:c r="C45" s="46" t="str">
        <x:v>LME</x:v>
      </x:c>
      <x:c r="D45" s="58" t="n">
        <x:v>2019</x:v>
      </x:c>
      <x:c r="E45" s="46" t="str">
        <x:v>Lophius gastrophysus</x:v>
      </x:c>
      <x:c r="F45" s="46" t="str">
        <x:v>Blackfin goosefish</x:v>
      </x:c>
      <x:c r="G45" s="46" t="str">
        <x:v>Medium bathydemersals (30 - 89 cm)</x:v>
      </x:c>
      <x:c r="H45" s="46" t="str">
        <x:v>Other fishes &amp; inverts</x:v>
      </x:c>
      <x:c r="I45" s="60" t="n">
        <x:v>878.0122261641</x:v>
      </x:c>
      <x:c r="J45" s="60" t="n">
        <x:v>878.0122261641</x:v>
      </x:c>
      <x:c r="K45" s="60" t="n">
        <x:v>0</x:v>
      </x:c>
      <x:c r="L45" s="60" t="n">
        <x:v>860.153331917</x:v>
      </x:c>
      <x:c r="M45" s="60" t="n">
        <x:v>17.8588942471</x:v>
      </x:c>
      <x:c r="N45" s="46" t="str">
        <x:v>lophius gastrophysus</x:v>
      </x:c>
      <x:c r="O45" s="62" t="n">
        <x:v>4.49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Lophius gastrophysus</x:v>
      </x:c>
      <x:c r="T45" s="62" t="n">
        <x:f>IF(O45="","",(1/'Metadata'!$B$5)^(O45-1))</x:f>
        <x:v>34721.19667768202</x:v>
      </x:c>
      <x:c r="U45" s="60" t="n">
        <x:f>IF(T45="","",I45*T45)</x:f>
        <x:v>30485635.190053143</x:v>
      </x:c>
    </x:row>
    <x:row r="46" ht="18" customHeight="1">
      <x:c r="A46" s="46" t="str">
        <x:v>LME_015</x:v>
      </x:c>
      <x:c r="B46" s="46" t="str">
        <x:v>South Brazil Shelf</x:v>
      </x:c>
      <x:c r="C46" s="46" t="str">
        <x:v>LME</x:v>
      </x:c>
      <x:c r="D46" s="58" t="n">
        <x:v>2019</x:v>
      </x:c>
      <x:c r="E46" s="46" t="str">
        <x:v>Isopisthus parvipinnis</x:v>
      </x:c>
      <x:c r="F46" s="46" t="str">
        <x:v>Bigtooth corvina</x:v>
      </x:c>
      <x:c r="G46" s="46" t="str">
        <x:v>Small demersals (&lt;30 cm)</x:v>
      </x:c>
      <x:c r="H46" s="46" t="str">
        <x:v>Perch-likes</x:v>
      </x:c>
      <x:c r="I46" s="60" t="n">
        <x:v>865.9477402057</x:v>
      </x:c>
      <x:c r="J46" s="60" t="n">
        <x:v>72.5043496654</x:v>
      </x:c>
      <x:c r="K46" s="60" t="n">
        <x:v>793.4433905403</x:v>
      </x:c>
      <x:c r="L46" s="60" t="n">
        <x:v>18.7243286887</x:v>
      </x:c>
      <x:c r="M46" s="60" t="n">
        <x:v>847.223411517</x:v>
      </x:c>
      <x:c r="N46" s="46" t="str">
        <x:v>isopisthus parvipinnis</x:v>
      </x:c>
      <x:c r="O46" s="62" t="n">
        <x:v>3.6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Isopisthus parvipinnis</x:v>
      </x:c>
      <x:c r="T46" s="62" t="n">
        <x:f>IF(O46="","",(1/'Metadata'!$B$5)^(O46-1))</x:f>
        <x:v>2413.670534618066</x:v>
      </x:c>
      <x:c r="U46" s="60" t="n">
        <x:f>IF(T46="","",I46*T46)</x:f>
        <x:v>2090112.5450535982</x:v>
      </x:c>
    </x:row>
    <x:row r="47" ht="18" customHeight="1">
      <x:c r="A47" s="46" t="str">
        <x:v>LME_015</x:v>
      </x:c>
      <x:c r="B47" s="46" t="str">
        <x:v>South Brazil Shelf</x:v>
      </x:c>
      <x:c r="C47" s="46" t="str">
        <x:v>LME</x:v>
      </x:c>
      <x:c r="D47" s="58" t="n">
        <x:v>2019</x:v>
      </x:c>
      <x:c r="E47" s="46" t="str">
        <x:v>Menticirrhus</x:v>
      </x:c>
      <x:c r="F47" s="46" t="str">
        <x:v>Kingcroakers</x:v>
      </x:c>
      <x:c r="G47" s="46" t="str">
        <x:v>Medium demersals (30 - 89 cm)</x:v>
      </x:c>
      <x:c r="H47" s="46" t="str">
        <x:v>Perch-likes</x:v>
      </x:c>
      <x:c r="I47" s="60" t="n">
        <x:v>852.1685172944001</x:v>
      </x:c>
      <x:c r="J47" s="60" t="n">
        <x:v>432.7889813771</x:v>
      </x:c>
      <x:c r="K47" s="60" t="n">
        <x:v>419.3795359173</x:v>
      </x:c>
      <x:c r="L47" s="60" t="n">
        <x:v>424.1119171325</x:v>
      </x:c>
      <x:c r="M47" s="60" t="n">
        <x:v>428.0566001619</x:v>
      </x:c>
      <x:c r="N47" s="46" t="str">
        <x:v>menticirrhus</x:v>
      </x:c>
      <x:c r="O47" s="62" t="n">
        <x:v>3.67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Menticirrhus</x:v>
      </x:c>
      <x:c r="T47" s="62" t="n">
        <x:f>IF(O47="","",(1/'Metadata'!$B$5)^(O47-1))</x:f>
        <x:v>2976.8029570258213</x:v>
      </x:c>
      <x:c r="U47" s="60" t="n">
        <x:f>IF(T47="","",I47*T47)</x:f>
        <x:v>2536737.76216628</x:v>
      </x:c>
    </x:row>
    <x:row r="48" ht="18" customHeight="1">
      <x:c r="A48" s="46" t="str">
        <x:v>LME_015</x:v>
      </x:c>
      <x:c r="B48" s="46" t="str">
        <x:v>South Brazil Shelf</x:v>
      </x:c>
      <x:c r="C48" s="46" t="str">
        <x:v>LME</x:v>
      </x:c>
      <x:c r="D48" s="58" t="n">
        <x:v>2019</x:v>
      </x:c>
      <x:c r="E48" s="46" t="str">
        <x:v>Pomatomus saltatrix</x:v>
      </x:c>
      <x:c r="F48" s="46" t="str">
        <x:v>Bluefish</x:v>
      </x:c>
      <x:c r="G48" s="46" t="str">
        <x:v>Large pelagics (&gt;=90 cm)</x:v>
      </x:c>
      <x:c r="H48" s="46" t="str">
        <x:v>Perch-likes</x:v>
      </x:c>
      <x:c r="I48" s="60" t="n">
        <x:v>821.3425241149</x:v>
      </x:c>
      <x:c r="J48" s="60" t="n">
        <x:v>821.3425241149</x:v>
      </x:c>
      <x:c r="K48" s="60" t="n">
        <x:v>0</x:v>
      </x:c>
      <x:c r="L48" s="60" t="n">
        <x:v>807.4432922363001</x:v>
      </x:c>
      <x:c r="M48" s="60" t="n">
        <x:v>13.8992318786</x:v>
      </x:c>
      <x:c r="N48" s="46" t="str">
        <x:v>pomatomus saltatrix</x:v>
      </x:c>
      <x:c r="O48" s="62" t="n">
        <x:v>4.53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Pomatomus saltatrix</x:v>
      </x:c>
      <x:c r="T48" s="62" t="n">
        <x:f>IF(O48="","",(1/'Metadata'!$B$5)^(O48-1))</x:f>
        <x:v>39141.35758252625</x:v>
      </x:c>
      <x:c r="U48" s="60" t="n">
        <x:f>IF(T48="","",I48*T48)</x:f>
        <x:v>32148461.434115995</x:v>
      </x:c>
    </x:row>
    <x:row r="49" ht="18" customHeight="1">
      <x:c r="A49" s="46" t="str">
        <x:v>LME_015</x:v>
      </x:c>
      <x:c r="B49" s="46" t="str">
        <x:v>South Brazil Shelf</x:v>
      </x:c>
      <x:c r="C49" s="46" t="str">
        <x:v>LME</x:v>
      </x:c>
      <x:c r="D49" s="58" t="n">
        <x:v>2019</x:v>
      </x:c>
      <x:c r="E49" s="46" t="str">
        <x:v>Veneridae</x:v>
      </x:c>
      <x:c r="F49" s="46" t="str">
        <x:v>Venus clams</x:v>
      </x:c>
      <x:c r="G49" s="46" t="str">
        <x:v>Other demersal invertebrates</x:v>
      </x:c>
      <x:c r="H49" s="46" t="str">
        <x:v>Molluscs</x:v>
      </x:c>
      <x:c r="I49" s="60" t="n">
        <x:v>814.9179776623</x:v>
      </x:c>
      <x:c r="J49" s="60" t="n">
        <x:v>814.9179776623</x:v>
      </x:c>
      <x:c r="K49" s="60" t="n">
        <x:v>0</x:v>
      </x:c>
      <x:c r="L49" s="60" t="n">
        <x:v>504.25224516680004</x:v>
      </x:c>
      <x:c r="M49" s="60" t="n">
        <x:v>310.66573249550004</x:v>
      </x:c>
      <x:c r="N49" s="46" t="str">
        <x:v>veneridae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Veneridae</x:v>
      </x:c>
      <x:c r="T49" s="62" t="n">
        <x:f>IF(O49="","",(1/'Metadata'!$B$5)^(O49-1))</x:f>
        <x:v>20</x:v>
      </x:c>
      <x:c r="U49" s="60" t="n">
        <x:f>IF(T49="","",I49*T49)</x:f>
        <x:v>16298.359553246</x:v>
      </x:c>
    </x:row>
    <x:row r="50" ht="18" customHeight="1">
      <x:c r="A50" s="46" t="str">
        <x:v>LME_015</x:v>
      </x:c>
      <x:c r="B50" s="46" t="str">
        <x:v>South Brazil Shelf</x:v>
      </x:c>
      <x:c r="C50" s="46" t="str">
        <x:v>LME</x:v>
      </x:c>
      <x:c r="D50" s="58" t="n">
        <x:v>2019</x:v>
      </x:c>
      <x:c r="E50" s="46" t="str">
        <x:v>Pleoticus muelleri</x:v>
      </x:c>
      <x:c r="F50" s="46" t="str">
        <x:v>Argentine red shrimp</x:v>
      </x:c>
      <x:c r="G50" s="46" t="str">
        <x:v>Shrimps</x:v>
      </x:c>
      <x:c r="H50" s="46" t="str">
        <x:v>Crustaceans</x:v>
      </x:c>
      <x:c r="I50" s="60" t="n">
        <x:v>810.3514773642</x:v>
      </x:c>
      <x:c r="J50" s="60" t="n">
        <x:v>810.3514773642</x:v>
      </x:c>
      <x:c r="K50" s="60" t="n">
        <x:v>0</x:v>
      </x:c>
      <x:c r="L50" s="60" t="n">
        <x:v>793.065744708</x:v>
      </x:c>
      <x:c r="M50" s="60" t="n">
        <x:v>17.2857326562</x:v>
      </x:c>
      <x:c r="N50" s="46" t="str">
        <x:v>pleoticus muelleri</x:v>
      </x:c>
      <x:c r="O50" s="62" t="n">
        <x:v>2.2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Pleoticus muelleri</x:v>
      </x:c>
      <x:c r="T50" s="62" t="n">
        <x:f>IF(O50="","",(1/'Metadata'!$B$5)^(O50-1))</x:f>
        <x:v>36.41128406052162</x:v>
      </x:c>
      <x:c r="U50" s="60" t="n">
        <x:f>IF(T50="","",I50*T50)</x:f>
        <x:v>29505.937831171246</x:v>
      </x:c>
    </x:row>
    <x:row r="51" ht="18" customHeight="1">
      <x:c r="A51" s="46" t="str">
        <x:v>LME_015</x:v>
      </x:c>
      <x:c r="B51" s="46" t="str">
        <x:v>South Brazil Shelf</x:v>
      </x:c>
      <x:c r="C51" s="46" t="str">
        <x:v>LME</x:v>
      </x:c>
      <x:c r="D51" s="58" t="n">
        <x:v>2019</x:v>
      </x:c>
      <x:c r="E51" s="46" t="str">
        <x:v>Paralonchurus brasiliensis</x:v>
      </x:c>
      <x:c r="F51" s="46" t="str">
        <x:v>Banded croaker</x:v>
      </x:c>
      <x:c r="G51" s="46" t="str">
        <x:v>Small demersals (&lt;30 cm)</x:v>
      </x:c>
      <x:c r="H51" s="46" t="str">
        <x:v>Perch-likes</x:v>
      </x:c>
      <x:c r="I51" s="60" t="n">
        <x:v>787.0556846992</x:v>
      </x:c>
      <x:c r="J51" s="60" t="n">
        <x:v>2.6593780904</x:v>
      </x:c>
      <x:c r="K51" s="60" t="n">
        <x:v>784.3963066088</x:v>
      </x:c>
      <x:c r="L51" s="60" t="n">
        <x:v>1.1854836205</x:v>
      </x:c>
      <x:c r="M51" s="60" t="n">
        <x:v>785.8702010787</x:v>
      </x:c>
      <x:c r="N51" s="46" t="str">
        <x:v>paralonchurus brasiliensis</x:v>
      </x:c>
      <x:c r="O51" s="62" t="n">
        <x:v>3.42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Paralonchurus brasiliensis</x:v>
      </x:c>
      <x:c r="T51" s="62" t="n">
        <x:f>IF(O51="","",(1/'Metadata'!$B$5)^(O51-1))</x:f>
        <x:v>1407.643209131506</x:v>
      </x:c>
      <x:c r="U51" s="60" t="n">
        <x:f>IF(T51="","",I51*T51)</x:f>
        <x:v>1107893.5897751767</x:v>
      </x:c>
    </x:row>
    <x:row r="52" ht="18" customHeight="1">
      <x:c r="A52" s="46" t="str">
        <x:v>LME_015</x:v>
      </x:c>
      <x:c r="B52" s="46" t="str">
        <x:v>South Brazil Shelf</x:v>
      </x:c>
      <x:c r="C52" s="46" t="str">
        <x:v>LME</x:v>
      </x:c>
      <x:c r="D52" s="58" t="n">
        <x:v>2019</x:v>
      </x:c>
      <x:c r="E52" s="46" t="str">
        <x:v>Thunnus alalunga</x:v>
      </x:c>
      <x:c r="F52" s="46" t="str">
        <x:v>Albacore</x:v>
      </x:c>
      <x:c r="G52" s="46" t="str">
        <x:v>Large pelagics (&gt;=90 cm)</x:v>
      </x:c>
      <x:c r="H52" s="46" t="str">
        <x:v>Tuna &amp; billfishes</x:v>
      </x:c>
      <x:c r="I52" s="60" t="n">
        <x:v>773.675497125</x:v>
      </x:c>
      <x:c r="J52" s="60" t="n">
        <x:v>773.675497125</x:v>
      </x:c>
      <x:c r="K52" s="60" t="n">
        <x:v>0</x:v>
      </x:c>
      <x:c r="L52" s="60" t="n">
        <x:v>773.0831929083</x:v>
      </x:c>
      <x:c r="M52" s="60" t="n">
        <x:v>0.5923042167</x:v>
      </x:c>
      <x:c r="N52" s="46" t="str">
        <x:v>thunnus alalunga</x:v>
      </x:c>
      <x:c r="O52" s="62" t="n">
        <x:v>4.3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Thunnus alalunga</x:v>
      </x:c>
      <x:c r="T52" s="62" t="n">
        <x:f>IF(O52="","",(1/'Metadata'!$B$5)^(O52-1))</x:f>
        <x:v>19651.648417852637</x:v>
      </x:c>
      <x:c r="U52" s="60" t="n">
        <x:f>IF(T52="","",I52*T52)</x:f>
        <x:v>15203998.859007858</x:v>
      </x:c>
    </x:row>
    <x:row r="53" ht="18" customHeight="1">
      <x:c r="A53" s="46" t="str">
        <x:v>LME_015</x:v>
      </x:c>
      <x:c r="B53" s="46" t="str">
        <x:v>South Brazil Shelf</x:v>
      </x:c>
      <x:c r="C53" s="46" t="str">
        <x:v>LME</x:v>
      </x:c>
      <x:c r="D53" s="58" t="n">
        <x:v>2019</x:v>
      </x:c>
      <x:c r="E53" s="46" t="str">
        <x:v>Genyatremus luteus</x:v>
      </x:c>
      <x:c r="F53" s="46" t="str">
        <x:v>Torroto grunt</x:v>
      </x:c>
      <x:c r="G53" s="46" t="str">
        <x:v>Medium demersals (30 - 89 cm)</x:v>
      </x:c>
      <x:c r="H53" s="46" t="str">
        <x:v>Perch-likes</x:v>
      </x:c>
      <x:c r="I53" s="60" t="n">
        <x:v>771.0188956158</x:v>
      </x:c>
      <x:c r="J53" s="60" t="n">
        <x:v>563.5312062439</x:v>
      </x:c>
      <x:c r="K53" s="60" t="n">
        <x:v>207.4876893719</x:v>
      </x:c>
      <x:c r="L53" s="60" t="n">
        <x:v>545.4886912344</x:v>
      </x:c>
      <x:c r="M53" s="60" t="n">
        <x:v>225.5302043814</x:v>
      </x:c>
      <x:c r="N53" s="46" t="str">
        <x:v>genyatremus luteus</x:v>
      </x:c>
      <x:c r="O53" s="62" t="n">
        <x:v>3.5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Genyatremus luteus</x:v>
      </x:c>
      <x:c r="T53" s="62" t="n">
        <x:f>IF(O53="","",(1/'Metadata'!$B$5)^(O53-1))</x:f>
        <x:v>1788.8543819998317</x:v>
      </x:c>
      <x:c r="U53" s="60" t="n">
        <x:f>IF(T53="","",I53*T53)</x:f>
        <x:v>1379240.5300269946</x:v>
      </x:c>
    </x:row>
    <x:row r="54" ht="18" customHeight="1">
      <x:c r="A54" s="46" t="str">
        <x:v>LME_015</x:v>
      </x:c>
      <x:c r="B54" s="46" t="str">
        <x:v>South Brazil Shelf</x:v>
      </x:c>
      <x:c r="C54" s="46" t="str">
        <x:v>LME</x:v>
      </x:c>
      <x:c r="D54" s="58" t="n">
        <x:v>2019</x:v>
      </x:c>
      <x:c r="E54" s="46" t="str">
        <x:v>Illex argentinus</x:v>
      </x:c>
      <x:c r="F54" s="46" t="str">
        <x:v>Argentine shortfin squid</x:v>
      </x:c>
      <x:c r="G54" s="46" t="str">
        <x:v>Cephalopods</x:v>
      </x:c>
      <x:c r="H54" s="46" t="str">
        <x:v>Other fishes &amp; inverts</x:v>
      </x:c>
      <x:c r="I54" s="60" t="n">
        <x:v>720.7013209269</x:v>
      </x:c>
      <x:c r="J54" s="60" t="n">
        <x:v>720.7013209269</x:v>
      </x:c>
      <x:c r="K54" s="60" t="n">
        <x:v>0</x:v>
      </x:c>
      <x:c r="L54" s="60" t="n">
        <x:v>719.0573282493</x:v>
      </x:c>
      <x:c r="M54" s="60" t="n">
        <x:v>1.6439926776</x:v>
      </x:c>
      <x:c r="N54" s="46" t="str">
        <x:v>illex argentinus</x:v>
      </x:c>
      <x:c r="O54" s="62" t="n">
        <x:v>3.82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Illex argentinus</x:v>
      </x:c>
      <x:c r="T54" s="62" t="n">
        <x:f>IF(O54="","",(1/'Metadata'!$B$5)^(O54-1))</x:f>
        <x:v>4665.56868948727</x:v>
      </x:c>
      <x:c r="U54" s="60" t="n">
        <x:f>IF(T54="","",I54*T54)</x:f>
        <x:v>3362481.5173886614</x:v>
      </x:c>
    </x:row>
    <x:row r="55" ht="18" customHeight="1">
      <x:c r="A55" s="46" t="str">
        <x:v>LME_015</x:v>
      </x:c>
      <x:c r="B55" s="46" t="str">
        <x:v>South Brazil Shelf</x:v>
      </x:c>
      <x:c r="C55" s="46" t="str">
        <x:v>LME</x:v>
      </x:c>
      <x:c r="D55" s="58" t="n">
        <x:v>2019</x:v>
      </x:c>
      <x:c r="E55" s="46" t="str">
        <x:v>Cynoglossidae</x:v>
      </x:c>
      <x:c r="F55" s="46" t="str">
        <x:v>Tonguefishes</x:v>
      </x:c>
      <x:c r="G55" s="46" t="str">
        <x:v>Small to medium flatfishes (&lt;90 cm)</x:v>
      </x:c>
      <x:c r="H55" s="46" t="str">
        <x:v>Flatfishes</x:v>
      </x:c>
      <x:c r="I55" s="60" t="n">
        <x:v>719.432145121</x:v>
      </x:c>
      <x:c r="J55" s="60" t="n">
        <x:v>0.016359475000000002</x:v>
      </x:c>
      <x:c r="K55" s="60" t="n">
        <x:v>719.415785646</x:v>
      </x:c>
      <x:c r="L55" s="60" t="n">
        <x:v>0.016359475000000002</x:v>
      </x:c>
      <x:c r="M55" s="60" t="n">
        <x:v>719.415785646</x:v>
      </x:c>
      <x:c r="N55" s="46" t="str">
        <x:v>cynoglossidae</x:v>
      </x:c>
      <x:c r="O55" s="62" t="n">
        <x:v>3.29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Cynoglossidae</x:v>
      </x:c>
      <x:c r="T55" s="62" t="n">
        <x:f>IF(O55="","",(1/'Metadata'!$B$5)^(O55-1))</x:f>
        <x:v>953.5834171618228</x:v>
      </x:c>
      <x:c r="U55" s="60" t="n">
        <x:f>IF(T55="","",I55*T55)</x:f>
        <x:v>686038.5633605436</x:v>
      </x:c>
    </x:row>
    <x:row r="56" ht="18" customHeight="1">
      <x:c r="A56" s="46" t="str">
        <x:v>LME_015</x:v>
      </x:c>
      <x:c r="B56" s="46" t="str">
        <x:v>South Brazil Shelf</x:v>
      </x:c>
      <x:c r="C56" s="46" t="str">
        <x:v>LME</x:v>
      </x:c>
      <x:c r="D56" s="58" t="n">
        <x:v>2019</x:v>
      </x:c>
      <x:c r="E56" s="46" t="str">
        <x:v>Coryphaena hippurus</x:v>
      </x:c>
      <x:c r="F56" s="46" t="str">
        <x:v>Common dolphinfish</x:v>
      </x:c>
      <x:c r="G56" s="46" t="str">
        <x:v>Large pelagics (&gt;=90 cm)</x:v>
      </x:c>
      <x:c r="H56" s="46" t="str">
        <x:v>Perch-likes</x:v>
      </x:c>
      <x:c r="I56" s="60" t="n">
        <x:v>695.9314179506999</x:v>
      </x:c>
      <x:c r="J56" s="60" t="n">
        <x:v>695.9314179506999</x:v>
      </x:c>
      <x:c r="K56" s="60" t="n">
        <x:v>0</x:v>
      </x:c>
      <x:c r="L56" s="60" t="n">
        <x:v>554.3741410988</x:v>
      </x:c>
      <x:c r="M56" s="60" t="n">
        <x:v>141.55727685189999</x:v>
      </x:c>
      <x:c r="N56" s="46" t="str">
        <x:v>coryphaena hippurus</x:v>
      </x:c>
      <x:c r="O56" s="62" t="n">
        <x:v>4.37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Coryphaena hippurus</x:v>
      </x:c>
      <x:c r="T56" s="62" t="n">
        <x:f>IF(O56="","",(1/'Metadata'!$B$5)^(O56-1))</x:f>
        <x:v>24236.56596112542</x:v>
      </x:c>
      <x:c r="U56" s="60" t="n">
        <x:f>IF(T56="","",I56*T56)</x:f>
        <x:v>16866987.71558168</x:v>
      </x:c>
    </x:row>
    <x:row r="57" ht="18" customHeight="1">
      <x:c r="A57" s="46" t="str">
        <x:v>LME_015</x:v>
      </x:c>
      <x:c r="B57" s="46" t="str">
        <x:v>South Brazil Shelf</x:v>
      </x:c>
      <x:c r="C57" s="46" t="str">
        <x:v>LME</x:v>
      </x:c>
      <x:c r="D57" s="58" t="n">
        <x:v>2019</x:v>
      </x:c>
      <x:c r="E57" s="46" t="str">
        <x:v>Porichthys porosissimus</x:v>
      </x:c>
      <x:c r="F57" s="46" t="str">
        <x:v>South American toadfish</x:v>
      </x:c>
      <x:c r="G57" s="46" t="str">
        <x:v>Small demersals (&lt;30 cm)</x:v>
      </x:c>
      <x:c r="H57" s="46" t="str">
        <x:v>Other fishes &amp; inverts</x:v>
      </x:c>
      <x:c r="I57" s="60" t="n">
        <x:v>692.7324790246</x:v>
      </x:c>
      <x:c r="J57" s="60" t="n">
        <x:v>24.940358434</x:v>
      </x:c>
      <x:c r="K57" s="60" t="n">
        <x:v>667.7921205906</x:v>
      </x:c>
      <x:c r="L57" s="60" t="n">
        <x:v>24.4424932448</x:v>
      </x:c>
      <x:c r="M57" s="60" t="n">
        <x:v>668.2899857798</x:v>
      </x:c>
      <x:c r="N57" s="46" t="str">
        <x:v>porichthys porosissimus</x:v>
      </x:c>
      <x:c r="O57" s="62" t="n">
        <x:v>3.73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Porichthys porosissimus</x:v>
      </x:c>
      <x:c r="T57" s="62" t="n">
        <x:f>IF(O57="","",(1/'Metadata'!$B$5)^(O57-1))</x:f>
        <x:v>3562.967723629534</x:v>
      </x:c>
      <x:c r="U57" s="60" t="n">
        <x:f>IF(T57="","",I57*T57)</x:f>
        <x:v>2468183.463874523</x:v>
      </x:c>
    </x:row>
    <x:row r="58" ht="18" customHeight="1">
      <x:c r="A58" s="46" t="str">
        <x:v>LME_015</x:v>
      </x:c>
      <x:c r="B58" s="46" t="str">
        <x:v>South Brazil Shelf</x:v>
      </x:c>
      <x:c r="C58" s="46" t="str">
        <x:v>LME</x:v>
      </x:c>
      <x:c r="D58" s="58" t="n">
        <x:v>2019</x:v>
      </x:c>
      <x:c r="E58" s="46" t="str">
        <x:v>Percophis brasiliensis</x:v>
      </x:c>
      <x:c r="F58" s="46" t="str">
        <x:v>Brazilian flathead</x:v>
      </x:c>
      <x:c r="G58" s="46" t="str">
        <x:v>Medium demersals (30 - 89 cm)</x:v>
      </x:c>
      <x:c r="H58" s="46" t="str">
        <x:v>Perch-likes</x:v>
      </x:c>
      <x:c r="I58" s="60" t="n">
        <x:v>650.4281143063</x:v>
      </x:c>
      <x:c r="J58" s="60" t="n">
        <x:v>650.4281143063</x:v>
      </x:c>
      <x:c r="K58" s="60" t="n">
        <x:v>0</x:v>
      </x:c>
      <x:c r="L58" s="60" t="n">
        <x:v>638.883170286</x:v>
      </x:c>
      <x:c r="M58" s="60" t="n">
        <x:v>11.5449440203</x:v>
      </x:c>
      <x:c r="N58" s="46" t="str">
        <x:v>percophis brasiliensis</x:v>
      </x:c>
      <x:c r="O58" s="62" t="n">
        <x:v>3.48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Percophis brasiliensis</x:v>
      </x:c>
      <x:c r="T58" s="62" t="n">
        <x:f>IF(O58="","",(1/'Metadata'!$B$5)^(O58-1))</x:f>
        <x:v>1684.8234138858888</x:v>
      </x:c>
      <x:c r="U58" s="60" t="n">
        <x:f>IF(T58="","",I58*T58)</x:f>
        <x:v>1095856.5160329016</x:v>
      </x:c>
    </x:row>
    <x:row r="59" ht="18" customHeight="1">
      <x:c r="A59" s="46" t="str">
        <x:v>LME_015</x:v>
      </x:c>
      <x:c r="B59" s="46" t="str">
        <x:v>South Brazil Shelf</x:v>
      </x:c>
      <x:c r="C59" s="46" t="str">
        <x:v>LME</x:v>
      </x:c>
      <x:c r="D59" s="58" t="n">
        <x:v>2019</x:v>
      </x:c>
      <x:c r="E59" s="46" t="str">
        <x:v>Mullus argentinae</x:v>
      </x:c>
      <x:c r="F59" s="46" t="str">
        <x:v>Argentine goatfish</x:v>
      </x:c>
      <x:c r="G59" s="46" t="str">
        <x:v>Small demersals (&lt;30 cm)</x:v>
      </x:c>
      <x:c r="H59" s="46" t="str">
        <x:v>Perch-likes</x:v>
      </x:c>
      <x:c r="I59" s="60" t="n">
        <x:v>605.7695979806</x:v>
      </x:c>
      <x:c r="J59" s="60" t="n">
        <x:v>605.7695979806</x:v>
      </x:c>
      <x:c r="K59" s="60" t="n">
        <x:v>0</x:v>
      </x:c>
      <x:c r="L59" s="60" t="n">
        <x:v>238.5438295408</x:v>
      </x:c>
      <x:c r="M59" s="60" t="n">
        <x:v>367.2257684398</x:v>
      </x:c>
      <x:c r="N59" s="46" t="str">
        <x:v>mullus argentinae</x:v>
      </x:c>
      <x:c r="O59" s="62" t="n">
        <x:v>3.45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Mullus argentinae</x:v>
      </x:c>
      <x:c r="T59" s="62" t="n">
        <x:f>IF(O59="","",(1/'Metadata'!$B$5)^(O59-1))</x:f>
        <x:v>1540.009817222681</x:v>
      </x:c>
      <x:c r="U59" s="60" t="n">
        <x:f>IF(T59="","",I59*T59)</x:f>
        <x:v>932891.1278651608</x:v>
      </x:c>
    </x:row>
    <x:row r="60" ht="18" customHeight="1">
      <x:c r="A60" s="46" t="str">
        <x:v>LME_015</x:v>
      </x:c>
      <x:c r="B60" s="46" t="str">
        <x:v>South Brazil Shelf</x:v>
      </x:c>
      <x:c r="C60" s="46" t="str">
        <x:v>LME</x:v>
      </x:c>
      <x:c r="D60" s="58" t="n">
        <x:v>2019</x:v>
      </x:c>
      <x:c r="E60" s="46" t="str">
        <x:v>Genypterus</x:v>
      </x:c>
      <x:c r="F60" s="46" t="str">
        <x:v>Genypterid cuskeels</x:v>
      </x:c>
      <x:c r="G60" s="46" t="str">
        <x:v>Large bathydemersals (&gt;=90 cm)</x:v>
      </x:c>
      <x:c r="H60" s="46" t="str">
        <x:v>Other fishes &amp; inverts</x:v>
      </x:c>
      <x:c r="I60" s="60" t="n">
        <x:v>596.1823422044</x:v>
      </x:c>
      <x:c r="J60" s="60" t="n">
        <x:v>596.1823422044</x:v>
      </x:c>
      <x:c r="K60" s="60" t="n">
        <x:v>0</x:v>
      </x:c>
      <x:c r="L60" s="60" t="n">
        <x:v>578.1762215951</x:v>
      </x:c>
      <x:c r="M60" s="60" t="n">
        <x:v>18.0061206093</x:v>
      </x:c>
      <x:c r="N60" s="46" t="str">
        <x:v>genypterus</x:v>
      </x:c>
      <x:c r="O60" s="62" t="n">
        <x:v>4.2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Genypterus</x:v>
      </x:c>
      <x:c r="T60" s="62" t="n">
        <x:f>IF(O60="","",(1/'Metadata'!$B$5)^(O60-1))</x:f>
        <x:v>14564.51362420865</x:v>
      </x:c>
      <x:c r="U60" s="60" t="n">
        <x:f>IF(T60="","",I60*T60)</x:f>
        <x:v>8683105.845548607</x:v>
      </x:c>
    </x:row>
    <x:row r="61" ht="18" customHeight="1">
      <x:c r="A61" s="46" t="str">
        <x:v>LME_015</x:v>
      </x:c>
      <x:c r="B61" s="46" t="str">
        <x:v>South Brazil Shelf</x:v>
      </x:c>
      <x:c r="C61" s="46" t="str">
        <x:v>LME</x:v>
      </x:c>
      <x:c r="D61" s="58" t="n">
        <x:v>2019</x:v>
      </x:c>
      <x:c r="E61" s="46" t="str">
        <x:v>Pinguipedidae</x:v>
      </x:c>
      <x:c r="F61" s="46" t="str">
        <x:v>Sandperches</x:v>
      </x:c>
      <x:c r="G61" s="46" t="str">
        <x:v>Medium demersals (30 - 89 cm)</x:v>
      </x:c>
      <x:c r="H61" s="46" t="str">
        <x:v>Perch-likes</x:v>
      </x:c>
      <x:c r="I61" s="60" t="n">
        <x:v>588.7564338299001</x:v>
      </x:c>
      <x:c r="J61" s="60" t="n">
        <x:v>588.7564338299001</x:v>
      </x:c>
      <x:c r="K61" s="60" t="n">
        <x:v>0</x:v>
      </x:c>
      <x:c r="L61" s="60" t="n">
        <x:v>582.8542918121</x:v>
      </x:c>
      <x:c r="M61" s="60" t="n">
        <x:v>5.9021420178</x:v>
      </x:c>
      <x:c r="N61" s="46" t="str">
        <x:v>pinguipedidae</x:v>
      </x:c>
      <x:c r="O61" s="62" t="n">
        <x:v>3.49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Pinguipedidae</x:v>
      </x:c>
      <x:c r="T61" s="62" t="n">
        <x:f>IF(O61="","",(1/'Metadata'!$B$5)^(O61-1))</x:f>
        <x:v>1736.059833884101</x:v>
      </x:c>
      <x:c r="U61" s="60" t="n">
        <x:f>IF(T61="","",I61*T61)</x:f>
        <x:v>1022116.3967129319</x:v>
      </x:c>
    </x:row>
    <x:row r="62" ht="18" customHeight="1">
      <x:c r="A62" s="46" t="str">
        <x:v>LME_015</x:v>
      </x:c>
      <x:c r="B62" s="46" t="str">
        <x:v>South Brazil Shelf</x:v>
      </x:c>
      <x:c r="C62" s="46" t="str">
        <x:v>LME</x:v>
      </x:c>
      <x:c r="D62" s="58" t="n">
        <x:v>2019</x:v>
      </x:c>
      <x:c r="E62" s="46" t="str">
        <x:v>Gerreidae</x:v>
      </x:c>
      <x:c r="F62" s="46" t="str">
        <x:v>Mojarras, silverbellies</x:v>
      </x:c>
      <x:c r="G62" s="46" t="str">
        <x:v>Small benthopelagics (&lt;30 cm)</x:v>
      </x:c>
      <x:c r="H62" s="46" t="str">
        <x:v>Perch-likes</x:v>
      </x:c>
      <x:c r="I62" s="60" t="n">
        <x:v>544.7708304829999</x:v>
      </x:c>
      <x:c r="J62" s="60" t="n">
        <x:v>544.7708304829999</x:v>
      </x:c>
      <x:c r="K62" s="60" t="n">
        <x:v>0</x:v>
      </x:c>
      <x:c r="L62" s="60" t="n">
        <x:v>529.330352058</x:v>
      </x:c>
      <x:c r="M62" s="60" t="n">
        <x:v>15.440478425</x:v>
      </x:c>
      <x:c r="N62" s="46" t="str">
        <x:v>gerreidae</x:v>
      </x:c>
      <x:c r="O62" s="62" t="n">
        <x:v>3.03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Gerreidae</x:v>
      </x:c>
      <x:c r="T62" s="62" t="n">
        <x:f>IF(O62="","",(1/'Metadata'!$B$5)^(O62-1))</x:f>
        <x:v>437.6136814307771</x:v>
      </x:c>
      <x:c r="U62" s="60" t="n">
        <x:f>IF(T62="","",I62*T62)</x:f>
        <x:v>238399.1686637674</x:v>
      </x:c>
    </x:row>
    <x:row r="63" ht="18" customHeight="1">
      <x:c r="A63" s="46" t="str">
        <x:v>LME_015</x:v>
      </x:c>
      <x:c r="B63" s="46" t="str">
        <x:v>South Brazil Shelf</x:v>
      </x:c>
      <x:c r="C63" s="46" t="str">
        <x:v>LME</x:v>
      </x:c>
      <x:c r="D63" s="58" t="n">
        <x:v>2019</x:v>
      </x:c>
      <x:c r="E63" s="46" t="str">
        <x:v>Penaeus subtilis</x:v>
      </x:c>
      <x:c r="F63" s="46" t="str">
        <x:v>Southern brown shrimp</x:v>
      </x:c>
      <x:c r="G63" s="46" t="str">
        <x:v>Shrimps</x:v>
      </x:c>
      <x:c r="H63" s="46" t="str">
        <x:v>Crustaceans</x:v>
      </x:c>
      <x:c r="I63" s="60" t="n">
        <x:v>541.3167503711</x:v>
      </x:c>
      <x:c r="J63" s="60" t="n">
        <x:v>541.3167503711</x:v>
      </x:c>
      <x:c r="K63" s="60" t="n">
        <x:v>0</x:v>
      </x:c>
      <x:c r="L63" s="60" t="n">
        <x:v>528.1324578609</x:v>
      </x:c>
      <x:c r="M63" s="60" t="n">
        <x:v>13.184292510199999</x:v>
      </x:c>
      <x:c r="N63" s="46" t="str">
        <x:v>penaeus subtilis</x:v>
      </x:c>
      <x:c r="O63" s="62" t="n">
        <x:v>2.76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Penaeus subtilis</x:v>
      </x:c>
      <x:c r="T63" s="62" t="n">
        <x:f>IF(O63="","",(1/'Metadata'!$B$5)^(O63-1))</x:f>
        <x:v>194.90042779456948</x:v>
      </x:c>
      <x:c r="U63" s="60" t="n">
        <x:f>IF(T63="","",I63*T63)</x:f>
        <x:v>105502.86621969358</x:v>
      </x:c>
    </x:row>
    <x:row r="64" ht="18" customHeight="1">
      <x:c r="A64" s="46" t="str">
        <x:v>LME_015</x:v>
      </x:c>
      <x:c r="B64" s="46" t="str">
        <x:v>South Brazil Shelf</x:v>
      </x:c>
      <x:c r="C64" s="46" t="str">
        <x:v>LME</x:v>
      </x:c>
      <x:c r="D64" s="58" t="n">
        <x:v>2019</x:v>
      </x:c>
      <x:c r="E64" s="46" t="str">
        <x:v>Serranidae</x:v>
      </x:c>
      <x:c r="F64" s="46" t="str">
        <x:v>Basses, groupers, hinds</x:v>
      </x:c>
      <x:c r="G64" s="46" t="str">
        <x:v>Medium reef assoc. fish (30 - 89 cm)</x:v>
      </x:c>
      <x:c r="H64" s="46" t="str">
        <x:v>Perch-likes</x:v>
      </x:c>
      <x:c r="I64" s="60" t="n">
        <x:v>537.0930862225</x:v>
      </x:c>
      <x:c r="J64" s="60" t="n">
        <x:v>537.0930862225</x:v>
      </x:c>
      <x:c r="K64" s="60" t="n">
        <x:v>0</x:v>
      </x:c>
      <x:c r="L64" s="60" t="n">
        <x:v>525.2805527985</x:v>
      </x:c>
      <x:c r="M64" s="60" t="n">
        <x:v>11.812533424</x:v>
      </x:c>
      <x:c r="N64" s="46" t="str">
        <x:v>serranidae</x:v>
      </x:c>
      <x:c r="O64" s="62" t="n">
        <x:v>3.98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Serranidae</x:v>
      </x:c>
      <x:c r="T64" s="62" t="n">
        <x:f>IF(O64="","",(1/'Metadata'!$B$5)^(O64-1))</x:f>
        <x:v>7534.759367064222</x:v>
      </x:c>
      <x:c r="U64" s="60" t="n">
        <x:f>IF(T64="","",I64*T64)</x:f>
        <x:v>4046867.162400414</x:v>
      </x:c>
    </x:row>
    <x:row r="65" ht="18" customHeight="1">
      <x:c r="A65" s="46" t="str">
        <x:v>LME_015</x:v>
      </x:c>
      <x:c r="B65" s="46" t="str">
        <x:v>South Brazil Shelf</x:v>
      </x:c>
      <x:c r="C65" s="46" t="str">
        <x:v>LME</x:v>
      </x:c>
      <x:c r="D65" s="58" t="n">
        <x:v>2019</x:v>
      </x:c>
      <x:c r="E65" s="46" t="str">
        <x:v>Carangidae</x:v>
      </x:c>
      <x:c r="F65" s="46" t="str">
        <x:v>Jacks, pompanos</x:v>
      </x:c>
      <x:c r="G65" s="46" t="str">
        <x:v>Medium pelagics (30 - 89 cm)</x:v>
      </x:c>
      <x:c r="H65" s="46" t="str">
        <x:v>Perch-likes</x:v>
      </x:c>
      <x:c r="I65" s="60" t="n">
        <x:v>510.6758581957</x:v>
      </x:c>
      <x:c r="J65" s="60" t="n">
        <x:v>458.37175242489997</x:v>
      </x:c>
      <x:c r="K65" s="60" t="n">
        <x:v>52.3041057708</x:v>
      </x:c>
      <x:c r="L65" s="60" t="n">
        <x:v>368.4792525302</x:v>
      </x:c>
      <x:c r="M65" s="60" t="n">
        <x:v>142.19660566550002</x:v>
      </x:c>
      <x:c r="N65" s="46" t="str">
        <x:v>carangidae</x:v>
      </x:c>
      <x:c r="O65" s="62" t="n">
        <x:v>4.05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Carangidae</x:v>
      </x:c>
      <x:c r="T65" s="62" t="n">
        <x:f>IF(O65="","",(1/'Metadata'!$B$5)^(O65-1))</x:f>
        <x:v>9292.690797132333</x:v>
      </x:c>
      <x:c r="U65" s="60" t="n">
        <x:f>IF(T65="","",I65*T65)</x:f>
        <x:v>4745552.847772838</x:v>
      </x:c>
    </x:row>
    <x:row r="66" ht="18" customHeight="1">
      <x:c r="A66" s="46" t="str">
        <x:v>LME_015</x:v>
      </x:c>
      <x:c r="B66" s="46" t="str">
        <x:v>South Brazil Shelf</x:v>
      </x:c>
      <x:c r="C66" s="46" t="str">
        <x:v>LME</x:v>
      </x:c>
      <x:c r="D66" s="58" t="n">
        <x:v>2019</x:v>
      </x:c>
      <x:c r="E66" s="46" t="str">
        <x:v>Lagocephalus laevigatus</x:v>
      </x:c>
      <x:c r="F66" s="46" t="str">
        <x:v>Smooth puffer</x:v>
      </x:c>
      <x:c r="G66" s="46" t="str">
        <x:v>Medium pelagics (30 - 89 cm)</x:v>
      </x:c>
      <x:c r="H66" s="46" t="str">
        <x:v>Other fishes &amp; inverts</x:v>
      </x:c>
      <x:c r="I66" s="60" t="n">
        <x:v>501.9381812047</x:v>
      </x:c>
      <x:c r="J66" s="60" t="n">
        <x:v>501.9381812047</x:v>
      </x:c>
      <x:c r="K66" s="60" t="n">
        <x:v>0</x:v>
      </x:c>
      <x:c r="L66" s="60" t="n">
        <x:v>481.7973485582</x:v>
      </x:c>
      <x:c r="M66" s="60" t="n">
        <x:v>20.1408326465</x:v>
      </x:c>
      <x:c r="N66" s="46" t="str">
        <x:v>lagocephalus laevigatus</x:v>
      </x:c>
      <x:c r="O66" s="62" t="n">
        <x:v>4.02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Lagocephalus laevigatus</x:v>
      </x:c>
      <x:c r="T66" s="62" t="n">
        <x:f>IF(O66="","",(1/'Metadata'!$B$5)^(O66-1))</x:f>
        <x:v>8493.967342839818</x:v>
      </x:c>
      <x:c r="U66" s="60" t="n">
        <x:f>IF(T66="","",I66*T66)</x:f>
        <x:v>4263446.519277137</x:v>
      </x:c>
    </x:row>
    <x:row r="67" ht="18" customHeight="1">
      <x:c r="A67" s="46" t="str">
        <x:v>LME_015</x:v>
      </x:c>
      <x:c r="B67" s="46" t="str">
        <x:v>South Brazil Shelf</x:v>
      </x:c>
      <x:c r="C67" s="46" t="str">
        <x:v>LME</x:v>
      </x:c>
      <x:c r="D67" s="58" t="n">
        <x:v>2019</x:v>
      </x:c>
      <x:c r="E67" s="46" t="str">
        <x:v>Penaeidae</x:v>
      </x:c>
      <x:c r="F67" s="46" t="str">
        <x:v>Commercial shrimps and prawns</x:v>
      </x:c>
      <x:c r="G67" s="46" t="str">
        <x:v>Shrimps</x:v>
      </x:c>
      <x:c r="H67" s="46" t="str">
        <x:v>Crustaceans</x:v>
      </x:c>
      <x:c r="I67" s="60" t="n">
        <x:v>481.47983215</x:v>
      </x:c>
      <x:c r="J67" s="60" t="n">
        <x:v>481.47983215</x:v>
      </x:c>
      <x:c r="K67" s="60" t="n">
        <x:v>0</x:v>
      </x:c>
      <x:c r="L67" s="60" t="n">
        <x:v>261.2310549021</x:v>
      </x:c>
      <x:c r="M67" s="60" t="n">
        <x:v>220.24877724789997</x:v>
      </x:c>
      <x:c r="N67" s="46" t="str">
        <x:v>penaeidae</x:v>
      </x:c>
      <x:c r="O67" s="62" t="n">
        <x:v>3.31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Penaeidae</x:v>
      </x:c>
      <x:c r="T67" s="62" t="n">
        <x:f>IF(O67="","",(1/'Metadata'!$B$5)^(O67-1))</x:f>
        <x:v>1012.4633005057666</x:v>
      </x:c>
      <x:c r="U67" s="60" t="n">
        <x:f>IF(T67="","",I67*T67)</x:f>
        <x:v>487480.6599855515</x:v>
      </x:c>
    </x:row>
    <x:row r="68" ht="18" customHeight="1">
      <x:c r="A68" s="46" t="str">
        <x:v>LME_015</x:v>
      </x:c>
      <x:c r="B68" s="46" t="str">
        <x:v>South Brazil Shelf</x:v>
      </x:c>
      <x:c r="C68" s="46" t="str">
        <x:v>LME</x:v>
      </x:c>
      <x:c r="D68" s="58" t="n">
        <x:v>2019</x:v>
      </x:c>
      <x:c r="E68" s="46" t="str">
        <x:v>Callinectes</x:v>
      </x:c>
      <x:c r="F68" s="46" t="str">
        <x:v>Beautiful swimming crabs</x:v>
      </x:c>
      <x:c r="G68" s="46" t="str">
        <x:v>Lobsters, crabs</x:v>
      </x:c>
      <x:c r="H68" s="46" t="str">
        <x:v>Crustaceans</x:v>
      </x:c>
      <x:c r="I68" s="60" t="n">
        <x:v>473.02799933570003</x:v>
      </x:c>
      <x:c r="J68" s="60" t="n">
        <x:v>473.02799933570003</x:v>
      </x:c>
      <x:c r="K68" s="60" t="n">
        <x:v>0</x:v>
      </x:c>
      <x:c r="L68" s="60" t="n">
        <x:v>463.7485739073</x:v>
      </x:c>
      <x:c r="M68" s="60" t="n">
        <x:v>9.2794254284</x:v>
      </x:c>
      <x:c r="N68" s="46" t="str">
        <x:v>callinectes</x:v>
      </x:c>
      <x:c r="O68" s="62" t="n">
        <x:v>3.63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Callinectes</x:v>
      </x:c>
      <x:c r="T68" s="62" t="n">
        <x:f>IF(O68="","",(1/'Metadata'!$B$5)^(O68-1))</x:f>
        <x:v>2640.638121038009</x:v>
      </x:c>
      <x:c r="U68" s="60" t="n">
        <x:f>IF(T68="","",I68*T68)</x:f>
        <x:v>1249095.7673641916</x:v>
      </x:c>
    </x:row>
    <x:row r="69" ht="18" customHeight="1">
      <x:c r="A69" s="46" t="str">
        <x:v>LME_015</x:v>
      </x:c>
      <x:c r="B69" s="46" t="str">
        <x:v>South Brazil Shelf</x:v>
      </x:c>
      <x:c r="C69" s="46" t="str">
        <x:v>LME</x:v>
      </x:c>
      <x:c r="D69" s="58" t="n">
        <x:v>2019</x:v>
      </x:c>
      <x:c r="E69" s="46" t="str">
        <x:v>Trachurus lathami</x:v>
      </x:c>
      <x:c r="F69" s="46" t="str">
        <x:v>Rough scad</x:v>
      </x:c>
      <x:c r="G69" s="46" t="str">
        <x:v>Medium benthopelagics (30 - 89 cm)</x:v>
      </x:c>
      <x:c r="H69" s="46" t="str">
        <x:v>Perch-likes</x:v>
      </x:c>
      <x:c r="I69" s="60" t="n">
        <x:v>462.0454533524</x:v>
      </x:c>
      <x:c r="J69" s="60" t="n">
        <x:v>462.0454533524</x:v>
      </x:c>
      <x:c r="K69" s="60" t="n">
        <x:v>0</x:v>
      </x:c>
      <x:c r="L69" s="60" t="n">
        <x:v>448.028363056</x:v>
      </x:c>
      <x:c r="M69" s="60" t="n">
        <x:v>14.0170902964</x:v>
      </x:c>
      <x:c r="N69" s="46" t="str">
        <x:v>trachurus lathami</x:v>
      </x:c>
      <x:c r="O69" s="62" t="n">
        <x:v>3.99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Trachurus lathami</x:v>
      </x:c>
      <x:c r="T69" s="62" t="n">
        <x:f>IF(O69="","",(1/'Metadata'!$B$5)^(O69-1))</x:f>
        <x:v>7763.895603143686</x:v>
      </x:c>
      <x:c r="U69" s="60" t="n">
        <x:f>IF(T69="","",I69*T69)</x:f>
        <x:v>3587272.663735229</x:v>
      </x:c>
    </x:row>
    <x:row r="70" ht="18" customHeight="1">
      <x:c r="A70" s="46" t="str">
        <x:v>LME_015</x:v>
      </x:c>
      <x:c r="B70" s="46" t="str">
        <x:v>South Brazil Shelf</x:v>
      </x:c>
      <x:c r="C70" s="46" t="str">
        <x:v>LME</x:v>
      </x:c>
      <x:c r="D70" s="58" t="n">
        <x:v>2019</x:v>
      </x:c>
      <x:c r="E70" s="46" t="str">
        <x:v>Marine finfishes not identified</x:v>
      </x:c>
      <x:c r="F70" s="46" t="str">
        <x:v>Finfishes</x:v>
      </x:c>
      <x:c r="G70" s="46" t="str">
        <x:v>Medium demersals (30 - 89 cm)</x:v>
      </x:c>
      <x:c r="H70" s="46" t="str">
        <x:v>Other fishes &amp; inverts</x:v>
      </x:c>
      <x:c r="I70" s="60" t="n">
        <x:v>437.6953873638</x:v>
      </x:c>
      <x:c r="J70" s="60" t="n">
        <x:v>0</x:v>
      </x:c>
      <x:c r="K70" s="60" t="n">
        <x:v>437.6953873638</x:v>
      </x:c>
      <x:c r="L70" s="60" t="n">
        <x:v>0</x:v>
      </x:c>
      <x:c r="M70" s="60" t="n">
        <x:v>437.6953873638</x:v>
      </x:c>
      <x:c r="N70" s="46" t="str">
        <x:v>marine finfishes not identified</x:v>
      </x:c>
      <x:c r="O70" s="62" t="n">
        <x:v>3.23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Marine finfishes not identified</x:v>
      </x:c>
      <x:c r="T70" s="62" t="n">
        <x:f>IF(O70="","",(1/'Metadata'!$B$5)^(O70-1))</x:f>
        <x:v>796.7038031673321</x:v>
      </x:c>
      <x:c r="U70" s="60" t="n">
        <x:f>IF(T70="","",I70*T70)</x:f>
        <x:v>348713.5797415381</x:v>
      </x:c>
    </x:row>
    <x:row r="71" ht="18" customHeight="1">
      <x:c r="A71" s="46" t="str">
        <x:v>LME_015</x:v>
      </x:c>
      <x:c r="B71" s="46" t="str">
        <x:v>South Brazil Shelf</x:v>
      </x:c>
      <x:c r="C71" s="46" t="str">
        <x:v>LME</x:v>
      </x:c>
      <x:c r="D71" s="58" t="n">
        <x:v>2019</x:v>
      </x:c>
      <x:c r="E71" s="46" t="str">
        <x:v>Engraulidae</x:v>
      </x:c>
      <x:c r="F71" s="46" t="str">
        <x:v>Anchovies, round herrings</x:v>
      </x:c>
      <x:c r="G71" s="46" t="str">
        <x:v>Small pelagics (&lt;30 cm)</x:v>
      </x:c>
      <x:c r="H71" s="46" t="str">
        <x:v>Anchovies</x:v>
      </x:c>
      <x:c r="I71" s="60" t="n">
        <x:v>412.3427655453</x:v>
      </x:c>
      <x:c r="J71" s="60" t="n">
        <x:v>412.3427655453</x:v>
      </x:c>
      <x:c r="K71" s="60" t="n">
        <x:v>0</x:v>
      </x:c>
      <x:c r="L71" s="60" t="n">
        <x:v>277.55108706469997</x:v>
      </x:c>
      <x:c r="M71" s="60" t="n">
        <x:v>134.7916784806</x:v>
      </x:c>
      <x:c r="N71" s="46" t="str">
        <x:v>engraulidae</x:v>
      </x:c>
      <x:c r="O71" s="62" t="n">
        <x:v>3.2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Engraulidae</x:v>
      </x:c>
      <x:c r="T71" s="62" t="n">
        <x:f>IF(O71="","",(1/'Metadata'!$B$5)^(O71-1))</x:f>
        <x:v>728.2256812104325</x:v>
      </x:c>
      <x:c r="U71" s="60" t="n">
        <x:f>IF(T71="","",I71*T71)</x:f>
        <x:v>300278.59133141977</x:v>
      </x:c>
    </x:row>
    <x:row r="72" ht="18" customHeight="1">
      <x:c r="A72" s="46" t="str">
        <x:v>LME_015</x:v>
      </x:c>
      <x:c r="B72" s="46" t="str">
        <x:v>South Brazil Shelf</x:v>
      </x:c>
      <x:c r="C72" s="46" t="str">
        <x:v>LME</x:v>
      </x:c>
      <x:c r="D72" s="58" t="n">
        <x:v>2019</x:v>
      </x:c>
      <x:c r="E72" s="46" t="str">
        <x:v>Balistes capriscus</x:v>
      </x:c>
      <x:c r="F72" s="46" t="str">
        <x:v>Grey triggerfish</x:v>
      </x:c>
      <x:c r="G72" s="46" t="str">
        <x:v>Medium benthopelagics (30 - 89 cm)</x:v>
      </x:c>
      <x:c r="H72" s="46" t="str">
        <x:v>Other fishes &amp; inverts</x:v>
      </x:c>
      <x:c r="I72" s="60" t="n">
        <x:v>399.9632238236</x:v>
      </x:c>
      <x:c r="J72" s="60" t="n">
        <x:v>399.9632238236</x:v>
      </x:c>
      <x:c r="K72" s="60" t="n">
        <x:v>0</x:v>
      </x:c>
      <x:c r="L72" s="60" t="n">
        <x:v>388.36005142790003</x:v>
      </x:c>
      <x:c r="M72" s="60" t="n">
        <x:v>11.6031723957</x:v>
      </x:c>
      <x:c r="N72" s="46" t="str">
        <x:v>balistes capriscus</x:v>
      </x:c>
      <x:c r="O72" s="62" t="n">
        <x:v>4.06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Balistes capriscus</x:v>
      </x:c>
      <x:c r="T72" s="62" t="n">
        <x:f>IF(O72="","",(1/'Metadata'!$B$5)^(O72-1))</x:f>
        <x:v>9575.286708769883</x:v>
      </x:c>
      <x:c r="U72" s="60" t="n">
        <x:f>IF(T72="","",I72*T72)</x:f>
        <x:v>3829762.541074871</x:v>
      </x:c>
    </x:row>
    <x:row r="73" ht="18" customHeight="1">
      <x:c r="A73" s="46" t="str">
        <x:v>LME_015</x:v>
      </x:c>
      <x:c r="B73" s="46" t="str">
        <x:v>South Brazil Shelf</x:v>
      </x:c>
      <x:c r="C73" s="46" t="str">
        <x:v>LME</x:v>
      </x:c>
      <x:c r="D73" s="58" t="n">
        <x:v>2019</x:v>
      </x:c>
      <x:c r="E73" s="46" t="str">
        <x:v>Isurus oxyrinchus</x:v>
      </x:c>
      <x:c r="F73" s="46" t="str">
        <x:v>Shortfin mako</x:v>
      </x:c>
      <x:c r="G73" s="46" t="str">
        <x:v>Large sharks (&gt;=90 cm)</x:v>
      </x:c>
      <x:c r="H73" s="46" t="str">
        <x:v>Sharks &amp; rays</x:v>
      </x:c>
      <x:c r="I73" s="60" t="n">
        <x:v>398.6778701436</x:v>
      </x:c>
      <x:c r="J73" s="60" t="n">
        <x:v>398.6778701436</x:v>
      </x:c>
      <x:c r="K73" s="60" t="n">
        <x:v>0</x:v>
      </x:c>
      <x:c r="L73" s="60" t="n">
        <x:v>398.5851454739</x:v>
      </x:c>
      <x:c r="M73" s="60" t="n">
        <x:v>0.0927246697</x:v>
      </x:c>
      <x:c r="N73" s="46" t="str">
        <x:v>isurus oxyrinchus</x:v>
      </x:c>
      <x:c r="O73" s="62" t="n">
        <x:v>4.5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Isurus oxyrinchus</x:v>
      </x:c>
      <x:c r="T73" s="62" t="n">
        <x:f>IF(O73="","",(1/'Metadata'!$B$5)^(O73-1))</x:f>
        <x:v>35777.08763999664</x:v>
      </x:c>
      <x:c r="U73" s="60" t="n">
        <x:f>IF(T73="","",I73*T73)</x:f>
        <x:v>14263533.100254776</x:v>
      </x:c>
    </x:row>
    <x:row r="74" ht="18" customHeight="1">
      <x:c r="A74" s="46" t="str">
        <x:v>LME_015</x:v>
      </x:c>
      <x:c r="B74" s="46" t="str">
        <x:v>South Brazil Shelf</x:v>
      </x:c>
      <x:c r="C74" s="46" t="str">
        <x:v>LME</x:v>
      </x:c>
      <x:c r="D74" s="58" t="n">
        <x:v>2019</x:v>
      </x:c>
      <x:c r="E74" s="46" t="str">
        <x:v>Cynoscion leiarchus</x:v>
      </x:c>
      <x:c r="F74" s="46" t="str">
        <x:v>Smooth weakfish</x:v>
      </x:c>
      <x:c r="G74" s="46" t="str">
        <x:v>Medium demersals (30 - 89 cm)</x:v>
      </x:c>
      <x:c r="H74" s="46" t="str">
        <x:v>Perch-likes</x:v>
      </x:c>
      <x:c r="I74" s="60" t="n">
        <x:v>384.19457986659995</x:v>
      </x:c>
      <x:c r="J74" s="60" t="n">
        <x:v>384.19457986659995</x:v>
      </x:c>
      <x:c r="K74" s="60" t="n">
        <x:v>0</x:v>
      </x:c>
      <x:c r="L74" s="60" t="n">
        <x:v>246.5878586053</x:v>
      </x:c>
      <x:c r="M74" s="60" t="n">
        <x:v>137.60672126129998</x:v>
      </x:c>
      <x:c r="N74" s="46" t="str">
        <x:v>cynoscion leiarchus</x:v>
      </x:c>
      <x:c r="O74" s="62" t="n">
        <x:v>3.06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Cynoscion leiarchus</x:v>
      </x:c>
      <x:c r="T74" s="62" t="n">
        <x:f>IF(O74="","",(1/'Metadata'!$B$5)^(O74-1))</x:f>
        <x:v>478.7643354384948</x:v>
      </x:c>
      <x:c r="U74" s="60" t="n">
        <x:f>IF(T74="","",I74*T74)</x:f>
        <x:v>183938.66270890445</x:v>
      </x:c>
    </x:row>
    <x:row r="75" ht="18" customHeight="1">
      <x:c r="A75" s="46" t="str">
        <x:v>LME_015</x:v>
      </x:c>
      <x:c r="B75" s="46" t="str">
        <x:v>South Brazil Shelf</x:v>
      </x:c>
      <x:c r="C75" s="46" t="str">
        <x:v>LME</x:v>
      </x:c>
      <x:c r="D75" s="58" t="n">
        <x:v>2019</x:v>
      </x:c>
      <x:c r="E75" s="46" t="str">
        <x:v>Clupeiformes</x:v>
      </x:c>
      <x:c r="F75" s="46" t="str">
        <x:v>Herrings, shads, anchovies</x:v>
      </x:c>
      <x:c r="G75" s="46" t="str">
        <x:v>Small pelagics (&lt;30 cm)</x:v>
      </x:c>
      <x:c r="H75" s="46" t="str">
        <x:v>Other fishes &amp; inverts</x:v>
      </x:c>
      <x:c r="I75" s="60" t="n">
        <x:v>371.13367142370004</x:v>
      </x:c>
      <x:c r="J75" s="60" t="n">
        <x:v>371.13367142370004</x:v>
      </x:c>
      <x:c r="K75" s="60" t="n">
        <x:v>0</x:v>
      </x:c>
      <x:c r="L75" s="60" t="n">
        <x:v>371.13367142370004</x:v>
      </x:c>
      <x:c r="M75" s="60" t="n">
        <x:v>0</x:v>
      </x:c>
      <x:c r="N75" s="46" t="str">
        <x:v>clupeiformes</x:v>
      </x:c>
      <x:c r="O75" s="62" t="n">
        <x:v>3.24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Clupeiformes</x:v>
      </x:c>
      <x:c r="T75" s="62" t="n">
        <x:f>IF(O75="","",(1/'Metadata'!$B$5)^(O75-1))</x:f>
        <x:v>820.9320103116679</x:v>
      </x:c>
      <x:c r="U75" s="60" t="n">
        <x:f>IF(T75="","",I75*T75)</x:f>
        <x:v>304675.5109762081</x:v>
      </x:c>
    </x:row>
    <x:row r="76" ht="18" customHeight="1">
      <x:c r="A76" s="46" t="str">
        <x:v>LME_015</x:v>
      </x:c>
      <x:c r="B76" s="46" t="str">
        <x:v>South Brazil Shelf</x:v>
      </x:c>
      <x:c r="C76" s="46" t="str">
        <x:v>LME</x:v>
      </x:c>
      <x:c r="D76" s="58" t="n">
        <x:v>2019</x:v>
      </x:c>
      <x:c r="E76" s="46" t="str">
        <x:v>Callinectes danae</x:v>
      </x:c>
      <x:c r="F76" s="46" t="str">
        <x:v>Dana's swimming crab</x:v>
      </x:c>
      <x:c r="G76" s="46" t="str">
        <x:v>Lobsters, crabs</x:v>
      </x:c>
      <x:c r="H76" s="46" t="str">
        <x:v>Crustaceans</x:v>
      </x:c>
      <x:c r="I76" s="60" t="n">
        <x:v>337.1904845986</x:v>
      </x:c>
      <x:c r="J76" s="60" t="n">
        <x:v>337.1904845986</x:v>
      </x:c>
      <x:c r="K76" s="60" t="n">
        <x:v>0</x:v>
      </x:c>
      <x:c r="L76" s="60" t="n">
        <x:v>335.0663194657</x:v>
      </x:c>
      <x:c r="M76" s="60" t="n">
        <x:v>2.1241651329</x:v>
      </x:c>
      <x:c r="N76" s="46" t="str">
        <x:v>callinectes danae</x:v>
      </x:c>
      <x:c r="O76" s="62" t="n">
        <x:v>3.63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Callinectes danae</x:v>
      </x:c>
      <x:c r="T76" s="62" t="n">
        <x:f>IF(O76="","",(1/'Metadata'!$B$5)^(O76-1))</x:f>
        <x:v>2640.638121038009</x:v>
      </x:c>
      <x:c r="U76" s="60" t="n">
        <x:f>IF(T76="","",I76*T76)</x:f>
        <x:v>890398.0476823428</x:v>
      </x:c>
    </x:row>
    <x:row r="77" ht="18" customHeight="1">
      <x:c r="A77" s="46" t="str">
        <x:v>LME_015</x:v>
      </x:c>
      <x:c r="B77" s="46" t="str">
        <x:v>South Brazil Shelf</x:v>
      </x:c>
      <x:c r="C77" s="46" t="str">
        <x:v>LME</x:v>
      </x:c>
      <x:c r="D77" s="58" t="n">
        <x:v>2019</x:v>
      </x:c>
      <x:c r="E77" s="46" t="str">
        <x:v>Octopus</x:v>
      </x:c>
      <x:c r="F77" s="46" t="str">
        <x:v>Octopuses, pikas</x:v>
      </x:c>
      <x:c r="G77" s="46" t="str">
        <x:v>Cephalopods</x:v>
      </x:c>
      <x:c r="H77" s="46" t="str">
        <x:v>Other fishes &amp; inverts</x:v>
      </x:c>
      <x:c r="I77" s="60" t="n">
        <x:v>302.3215071637</x:v>
      </x:c>
      <x:c r="J77" s="60" t="n">
        <x:v>302.3215071637</x:v>
      </x:c>
      <x:c r="K77" s="60" t="n">
        <x:v>0</x:v>
      </x:c>
      <x:c r="L77" s="60" t="n">
        <x:v>302.2254617026</x:v>
      </x:c>
      <x:c r="M77" s="60" t="n">
        <x:v>0.0960454611</x:v>
      </x:c>
      <x:c r="N77" s="46" t="str">
        <x:v>octopus</x:v>
      </x:c>
      <x:c r="O77" s="62" t="n">
        <x:v>3.8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Octopus</x:v>
      </x:c>
      <x:c r="T77" s="62" t="n">
        <x:f>IF(O77="","",(1/'Metadata'!$B$5)^(O77-1))</x:f>
        <x:v>4394.242173224468</x:v>
      </x:c>
      <x:c r="U77" s="60" t="n">
        <x:f>IF(T77="","",I77*T77)</x:f>
        <x:v>1328473.916651514</x:v>
      </x:c>
    </x:row>
    <x:row r="78" ht="18" customHeight="1">
      <x:c r="A78" s="46" t="str">
        <x:v>LME_015</x:v>
      </x:c>
      <x:c r="B78" s="46" t="str">
        <x:v>South Brazil Shelf</x:v>
      </x:c>
      <x:c r="C78" s="46" t="str">
        <x:v>LME</x:v>
      </x:c>
      <x:c r="D78" s="58" t="n">
        <x:v>2019</x:v>
      </x:c>
      <x:c r="E78" s="46" t="str">
        <x:v>Pleuronectiformes</x:v>
      </x:c>
      <x:c r="F78" s="46" t="str">
        <x:v>Flatfishes</x:v>
      </x:c>
      <x:c r="G78" s="46" t="str">
        <x:v>Small to medium flatfishes (&lt;90 cm)</x:v>
      </x:c>
      <x:c r="H78" s="46" t="str">
        <x:v>Flatfishes</x:v>
      </x:c>
      <x:c r="I78" s="60" t="n">
        <x:v>280.2549960042</x:v>
      </x:c>
      <x:c r="J78" s="60" t="n">
        <x:v>280.2549960042</x:v>
      </x:c>
      <x:c r="K78" s="60" t="n">
        <x:v>0</x:v>
      </x:c>
      <x:c r="L78" s="60" t="n">
        <x:v>274.01902121349997</x:v>
      </x:c>
      <x:c r="M78" s="60" t="n">
        <x:v>6.235974790699999</x:v>
      </x:c>
      <x:c r="N78" s="46" t="str">
        <x:v>pleuronectiformes</x:v>
      </x:c>
      <x:c r="O78" s="62" t="n">
        <x:v>3.57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Pleuronectiformes</x:v>
      </x:c>
      <x:c r="T78" s="62" t="n">
        <x:f>IF(O78="","",(1/'Metadata'!$B$5)^(O78-1))</x:f>
        <x:v>2206.2112196552644</x:v>
      </x:c>
      <x:c r="U78" s="60" t="n">
        <x:f>IF(T78="","",I78*T78)</x:f>
        <x:v>618301.7165489073</x:v>
      </x:c>
    </x:row>
    <x:row r="79" ht="18" customHeight="1">
      <x:c r="A79" s="46" t="str">
        <x:v>LME_015</x:v>
      </x:c>
      <x:c r="B79" s="46" t="str">
        <x:v>South Brazil Shelf</x:v>
      </x:c>
      <x:c r="C79" s="46" t="str">
        <x:v>LME</x:v>
      </x:c>
      <x:c r="D79" s="58" t="n">
        <x:v>2019</x:v>
      </x:c>
      <x:c r="E79" s="46" t="str">
        <x:v>Bagre bagre</x:v>
      </x:c>
      <x:c r="F79" s="46" t="str">
        <x:v>Coco sea catfish</x:v>
      </x:c>
      <x:c r="G79" s="46" t="str">
        <x:v>Medium demersals (30 - 89 cm)</x:v>
      </x:c>
      <x:c r="H79" s="46" t="str">
        <x:v>Other fishes &amp; inverts</x:v>
      </x:c>
      <x:c r="I79" s="60" t="n">
        <x:v>273.4540224736</x:v>
      </x:c>
      <x:c r="J79" s="60" t="n">
        <x:v>273.4540224736</x:v>
      </x:c>
      <x:c r="K79" s="60" t="n">
        <x:v>0</x:v>
      </x:c>
      <x:c r="L79" s="60" t="n">
        <x:v>268.5555354675</x:v>
      </x:c>
      <x:c r="M79" s="60" t="n">
        <x:v>4.8984870061</x:v>
      </x:c>
      <x:c r="N79" s="46" t="str">
        <x:v>bagre bagre</x:v>
      </x:c>
      <x:c r="O79" s="62" t="n">
        <x:v>4.01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Bagre bagre</x:v>
      </x:c>
      <x:c r="T79" s="62" t="n">
        <x:f>IF(O79="","",(1/'Metadata'!$B$5)^(O79-1))</x:f>
        <x:v>8243.284463290014</x:v>
      </x:c>
      <x:c r="U79" s="60" t="n">
        <x:f>IF(T79="","",I79*T79)</x:f>
        <x:v>2254159.294880785</x:v>
      </x:c>
    </x:row>
    <x:row r="80" ht="18" customHeight="1">
      <x:c r="A80" s="46" t="str">
        <x:v>LME_015</x:v>
      </x:c>
      <x:c r="B80" s="46" t="str">
        <x:v>South Brazil Shelf</x:v>
      </x:c>
      <x:c r="C80" s="46" t="str">
        <x:v>LME</x:v>
      </x:c>
      <x:c r="D80" s="58" t="n">
        <x:v>2019</x:v>
      </x:c>
      <x:c r="E80" s="46" t="str">
        <x:v>Pagrus pagrus</x:v>
      </x:c>
      <x:c r="F80" s="46" t="str">
        <x:v>Red porgy</x:v>
      </x:c>
      <x:c r="G80" s="46" t="str">
        <x:v>Medium benthopelagics (30 - 89 cm)</x:v>
      </x:c>
      <x:c r="H80" s="46" t="str">
        <x:v>Perch-likes</x:v>
      </x:c>
      <x:c r="I80" s="60" t="n">
        <x:v>264.587752275</x:v>
      </x:c>
      <x:c r="J80" s="60" t="n">
        <x:v>264.587752275</x:v>
      </x:c>
      <x:c r="K80" s="60" t="n">
        <x:v>0</x:v>
      </x:c>
      <x:c r="L80" s="60" t="n">
        <x:v>256.9068729975</x:v>
      </x:c>
      <x:c r="M80" s="60" t="n">
        <x:v>7.6808792775</x:v>
      </x:c>
      <x:c r="N80" s="46" t="str">
        <x:v>pagrus pagrus</x:v>
      </x:c>
      <x:c r="O80" s="62" t="n">
        <x:v>3.86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Pagrus pagrus</x:v>
      </x:c>
      <x:c r="T80" s="62" t="n">
        <x:f>IF(O80="","",(1/'Metadata'!$B$5)^(O80-1))</x:f>
        <x:v>5259.51608454905</x:v>
      </x:c>
      <x:c r="U80" s="60" t="n">
        <x:f>IF(T80="","",I80*T80)</x:f>
        <x:v>1391603.5388650422</x:v>
      </x:c>
    </x:row>
    <x:row r="81" ht="18" customHeight="1">
      <x:c r="A81" s="46" t="str">
        <x:v>LME_015</x:v>
      </x:c>
      <x:c r="B81" s="46" t="str">
        <x:v>South Brazil Shelf</x:v>
      </x:c>
      <x:c r="C81" s="46" t="str">
        <x:v>LME</x:v>
      </x:c>
      <x:c r="D81" s="58" t="n">
        <x:v>2019</x:v>
      </x:c>
      <x:c r="E81" s="46" t="str">
        <x:v>Lutjanus</x:v>
      </x:c>
      <x:c r="F81" s="46" t="str">
        <x:v>Snappers</x:v>
      </x:c>
      <x:c r="G81" s="46" t="str">
        <x:v>Medium reef assoc. fish (30 - 89 cm)</x:v>
      </x:c>
      <x:c r="H81" s="46" t="str">
        <x:v>Perch-likes</x:v>
      </x:c>
      <x:c r="I81" s="60" t="n">
        <x:v>241.24909383999997</x:v>
      </x:c>
      <x:c r="J81" s="60" t="n">
        <x:v>241.24909383999997</x:v>
      </x:c>
      <x:c r="K81" s="60" t="n">
        <x:v>0</x:v>
      </x:c>
      <x:c r="L81" s="60" t="n">
        <x:v>236.84901466289998</x:v>
      </x:c>
      <x:c r="M81" s="60" t="n">
        <x:v>4.4000791771</x:v>
      </x:c>
      <x:c r="N81" s="46" t="str">
        <x:v>lutjanus</x:v>
      </x:c>
      <x:c r="O81" s="62" t="n">
        <x:v>4.02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Lutjanus</x:v>
      </x:c>
      <x:c r="T81" s="62" t="n">
        <x:f>IF(O81="","",(1/'Metadata'!$B$5)^(O81-1))</x:f>
        <x:v>8493.967342839818</x:v>
      </x:c>
      <x:c r="U81" s="60" t="n">
        <x:f>IF(T81="","",I81*T81)</x:f>
        <x:v>2049161.9245666584</x:v>
      </x:c>
    </x:row>
    <x:row r="82" ht="18" customHeight="1">
      <x:c r="A82" s="46" t="str">
        <x:v>LME_015</x:v>
      </x:c>
      <x:c r="B82" s="46" t="str">
        <x:v>South Brazil Shelf</x:v>
      </x:c>
      <x:c r="C82" s="46" t="str">
        <x:v>LME</x:v>
      </x:c>
      <x:c r="D82" s="58" t="n">
        <x:v>2019</x:v>
      </x:c>
      <x:c r="E82" s="46" t="str">
        <x:v>Pellona harroweri</x:v>
      </x:c>
      <x:c r="F82" s="46" t="str">
        <x:v>American coastal pellona</x:v>
      </x:c>
      <x:c r="G82" s="46" t="str">
        <x:v>Small pelagics (&lt;30 cm)</x:v>
      </x:c>
      <x:c r="H82" s="46" t="str">
        <x:v>Herring-likes</x:v>
      </x:c>
      <x:c r="I82" s="60" t="n">
        <x:v>210.44654059529998</x:v>
      </x:c>
      <x:c r="J82" s="60" t="n">
        <x:v>0.1029923562</x:v>
      </x:c>
      <x:c r="K82" s="60" t="n">
        <x:v>210.3435482391</x:v>
      </x:c>
      <x:c r="L82" s="60" t="n">
        <x:v>0.10016516859999999</x:v>
      </x:c>
      <x:c r="M82" s="60" t="n">
        <x:v>210.34637542669998</x:v>
      </x:c>
      <x:c r="N82" s="46" t="str">
        <x:v>pellona harroweri</x:v>
      </x:c>
      <x:c r="O82" s="62" t="n">
        <x:v>4.2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Pellona harroweri</x:v>
      </x:c>
      <x:c r="T82" s="62" t="n">
        <x:f>IF(O82="","",(1/'Metadata'!$B$5)^(O82-1))</x:f>
        <x:v>14564.51362420865</x:v>
      </x:c>
      <x:c r="U82" s="60" t="n">
        <x:f>IF(T82="","",I82*T82)</x:f>
        <x:v>3065051.507667825</x:v>
      </x:c>
    </x:row>
    <x:row r="83" ht="18" customHeight="1">
      <x:c r="A83" s="46" t="str">
        <x:v>LME_015</x:v>
      </x:c>
      <x:c r="B83" s="46" t="str">
        <x:v>South Brazil Shelf</x:v>
      </x:c>
      <x:c r="C83" s="46" t="str">
        <x:v>LME</x:v>
      </x:c>
      <x:c r="D83" s="58" t="n">
        <x:v>2019</x:v>
      </x:c>
      <x:c r="E83" s="46" t="str">
        <x:v>Hemiramphus</x:v>
      </x:c>
      <x:c r="F83" s="46" t="str">
        <x:v>Halfbeaks</x:v>
      </x:c>
      <x:c r="G83" s="46" t="str">
        <x:v>Medium pelagics (30 - 89 cm)</x:v>
      </x:c>
      <x:c r="H83" s="46" t="str">
        <x:v>Other fishes &amp; inverts</x:v>
      </x:c>
      <x:c r="I83" s="60" t="n">
        <x:v>206.1490307313</x:v>
      </x:c>
      <x:c r="J83" s="60" t="n">
        <x:v>206.1490307313</x:v>
      </x:c>
      <x:c r="K83" s="60" t="n">
        <x:v>0</x:v>
      </x:c>
      <x:c r="L83" s="60" t="n">
        <x:v>200.3105927092</x:v>
      </x:c>
      <x:c r="M83" s="60" t="n">
        <x:v>5.8384380221</x:v>
      </x:c>
      <x:c r="N83" s="46" t="str">
        <x:v>hemiramphus</x:v>
      </x:c>
      <x:c r="O83" s="62" t="n">
        <x:v>3.05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Hemiramphus</x:v>
      </x:c>
      <x:c r="T83" s="62" t="n">
        <x:f>IF(O83="","",(1/'Metadata'!$B$5)^(O83-1))</x:f>
        <x:v>464.63453985661664</x:v>
      </x:c>
      <x:c r="U83" s="60" t="n">
        <x:f>IF(T83="","",I83*T83)</x:f>
        <x:v>95783.9600357251</x:v>
      </x:c>
    </x:row>
    <x:row r="84" ht="18" customHeight="1">
      <x:c r="A84" s="46" t="str">
        <x:v>LME_015</x:v>
      </x:c>
      <x:c r="B84" s="46" t="str">
        <x:v>South Brazil Shelf</x:v>
      </x:c>
      <x:c r="C84" s="46" t="str">
        <x:v>LME</x:v>
      </x:c>
      <x:c r="D84" s="58" t="n">
        <x:v>2019</x:v>
      </x:c>
      <x:c r="E84" s="46" t="str">
        <x:v>Rhomboplites aurorubens</x:v>
      </x:c>
      <x:c r="F84" s="46" t="str">
        <x:v>Vermilion snapper</x:v>
      </x:c>
      <x:c r="G84" s="46" t="str">
        <x:v>Medium demersals (30 - 89 cm)</x:v>
      </x:c>
      <x:c r="H84" s="46" t="str">
        <x:v>Perch-likes</x:v>
      </x:c>
      <x:c r="I84" s="60" t="n">
        <x:v>201.1573855866</x:v>
      </x:c>
      <x:c r="J84" s="60" t="n">
        <x:v>201.1573855866</x:v>
      </x:c>
      <x:c r="K84" s="60" t="n">
        <x:v>0</x:v>
      </x:c>
      <x:c r="L84" s="60" t="n">
        <x:v>194.7651237922</x:v>
      </x:c>
      <x:c r="M84" s="60" t="n">
        <x:v>6.3922617944</x:v>
      </x:c>
      <x:c r="N84" s="46" t="str">
        <x:v>rhomboplites aurorubens</x:v>
      </x:c>
      <x:c r="O84" s="62" t="n">
        <x:v>4.36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Rhomboplites aurorubens</x:v>
      </x:c>
      <x:c r="T84" s="62" t="n">
        <x:f>IF(O84="","",(1/'Metadata'!$B$5)^(O84-1))</x:f>
        <x:v>23521.270987610445</x:v>
      </x:c>
      <x:c r="U84" s="60" t="n">
        <x:f>IF(T84="","",I84*T84)</x:f>
        <x:v>4731477.377541662</x:v>
      </x:c>
    </x:row>
    <x:row r="85" ht="18" customHeight="1">
      <x:c r="A85" s="46" t="str">
        <x:v>LME_015</x:v>
      </x:c>
      <x:c r="B85" s="46" t="str">
        <x:v>South Brazil Shelf</x:v>
      </x:c>
      <x:c r="C85" s="46" t="str">
        <x:v>LME</x:v>
      </x:c>
      <x:c r="D85" s="58" t="n">
        <x:v>2019</x:v>
      </x:c>
      <x:c r="E85" s="46" t="str">
        <x:v>Squatinidae</x:v>
      </x:c>
      <x:c r="F85" s="46" t="str">
        <x:v>Angel sharks</x:v>
      </x:c>
      <x:c r="G85" s="46" t="str">
        <x:v>Large sharks (&gt;=90 cm)</x:v>
      </x:c>
      <x:c r="H85" s="46" t="str">
        <x:v>Sharks &amp; rays</x:v>
      </x:c>
      <x:c r="I85" s="60" t="n">
        <x:v>193.70562564669999</x:v>
      </x:c>
      <x:c r="J85" s="60" t="n">
        <x:v>193.70562564669999</x:v>
      </x:c>
      <x:c r="K85" s="60" t="n">
        <x:v>0</x:v>
      </x:c>
      <x:c r="L85" s="60" t="n">
        <x:v>154.0741492785</x:v>
      </x:c>
      <x:c r="M85" s="60" t="n">
        <x:v>39.6314763682</x:v>
      </x:c>
      <x:c r="N85" s="46" t="str">
        <x:v>squatinidae</x:v>
      </x:c>
      <x:c r="O85" s="62" t="n">
        <x:v>4.13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Squatinidae</x:v>
      </x:c>
      <x:c r="T85" s="62" t="n">
        <x:f>IF(O85="","",(1/'Metadata'!$B$5)^(O85-1))</x:f>
        <x:v>11809.292685236613</x:v>
      </x:c>
      <x:c r="U85" s="60" t="n">
        <x:f>IF(T85="","",I85*T85)</x:f>
        <x:v>2287526.428038756</x:v>
      </x:c>
    </x:row>
    <x:row r="86" ht="18" customHeight="1">
      <x:c r="A86" s="46" t="str">
        <x:v>LME_015</x:v>
      </x:c>
      <x:c r="B86" s="46" t="str">
        <x:v>South Brazil Shelf</x:v>
      </x:c>
      <x:c r="C86" s="46" t="str">
        <x:v>LME</x:v>
      </x:c>
      <x:c r="D86" s="58" t="n">
        <x:v>2019</x:v>
      </x:c>
      <x:c r="E86" s="46" t="str">
        <x:v>Dasyatidae</x:v>
      </x:c>
      <x:c r="F86" s="46" t="str">
        <x:v>Whiptail stingrays</x:v>
      </x:c>
      <x:c r="G86" s="46" t="str">
        <x:v>Large rays (&gt;=90 cm)</x:v>
      </x:c>
      <x:c r="H86" s="46" t="str">
        <x:v>Sharks &amp; rays</x:v>
      </x:c>
      <x:c r="I86" s="60" t="n">
        <x:v>192.5476955993</x:v>
      </x:c>
      <x:c r="J86" s="60" t="n">
        <x:v>192.5476955993</x:v>
      </x:c>
      <x:c r="K86" s="60" t="n">
        <x:v>0</x:v>
      </x:c>
      <x:c r="L86" s="60" t="n">
        <x:v>192.5023891337</x:v>
      </x:c>
      <x:c r="M86" s="60" t="n">
        <x:v>0.0453064656</x:v>
      </x:c>
      <x:c r="N86" s="46" t="str">
        <x:v>dasyatidae</x:v>
      </x:c>
      <x:c r="O86" s="62" t="n">
        <x:v>3.38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Dasyatidae</x:v>
      </x:c>
      <x:c r="T86" s="62" t="n">
        <x:f>IF(O86="","",(1/'Metadata'!$B$5)^(O86-1))</x:f>
        <x:v>1248.6806726928048</x:v>
      </x:c>
      <x:c r="U86" s="60" t="n">
        <x:f>IF(T86="","",I86*T86)</x:f>
        <x:v>240430.58606638334</x:v>
      </x:c>
    </x:row>
    <x:row r="87" ht="18" customHeight="1">
      <x:c r="A87" s="46" t="str">
        <x:v>LME_015</x:v>
      </x:c>
      <x:c r="B87" s="46" t="str">
        <x:v>South Brazil Shelf</x:v>
      </x:c>
      <x:c r="C87" s="46" t="str">
        <x:v>LME</x:v>
      </x:c>
      <x:c r="D87" s="58" t="n">
        <x:v>2019</x:v>
      </x:c>
      <x:c r="E87" s="46" t="str">
        <x:v>Balistidae</x:v>
      </x:c>
      <x:c r="F87" s="46" t="str">
        <x:v>Triggerfishes</x:v>
      </x:c>
      <x:c r="G87" s="46" t="str">
        <x:v>Medium reef assoc. fish (30 - 89 cm)</x:v>
      </x:c>
      <x:c r="H87" s="46" t="str">
        <x:v>Other fishes &amp; inverts</x:v>
      </x:c>
      <x:c r="I87" s="60" t="n">
        <x:v>188.7974760962</x:v>
      </x:c>
      <x:c r="J87" s="60" t="n">
        <x:v>188.7974760962</x:v>
      </x:c>
      <x:c r="K87" s="60" t="n">
        <x:v>0</x:v>
      </x:c>
      <x:c r="L87" s="60" t="n">
        <x:v>184.67283869969998</x:v>
      </x:c>
      <x:c r="M87" s="60" t="n">
        <x:v>4.124637396500001</x:v>
      </x:c>
      <x:c r="N87" s="46" t="str">
        <x:v>balistidae</x:v>
      </x:c>
      <x:c r="O87" s="62" t="n">
        <x:v>3.25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Balistidae</x:v>
      </x:c>
      <x:c r="T87" s="62" t="n">
        <x:f>IF(O87="","",(1/'Metadata'!$B$5)^(O87-1))</x:f>
        <x:v>845.8970107524513</x:v>
      </x:c>
      <x:c r="U87" s="60" t="n">
        <x:f>IF(T87="","",I87*T87)</x:f>
        <x:v>159703.22066738296</x:v>
      </x:c>
    </x:row>
    <x:row r="88" ht="18" customHeight="1">
      <x:c r="A88" s="46" t="str">
        <x:v>LME_015</x:v>
      </x:c>
      <x:c r="B88" s="46" t="str">
        <x:v>South Brazil Shelf</x:v>
      </x:c>
      <x:c r="C88" s="46" t="str">
        <x:v>LME</x:v>
      </x:c>
      <x:c r="D88" s="58" t="n">
        <x:v>2019</x:v>
      </x:c>
      <x:c r="E88" s="46" t="str">
        <x:v>Ruvettus pretiosus</x:v>
      </x:c>
      <x:c r="F88" s="46" t="str">
        <x:v>Oilfish</x:v>
      </x:c>
      <x:c r="G88" s="46" t="str">
        <x:v>Large benthopelagics (&gt;=90 cm)</x:v>
      </x:c>
      <x:c r="H88" s="46" t="str">
        <x:v>Perch-likes</x:v>
      </x:c>
      <x:c r="I88" s="60" t="n">
        <x:v>174.97273166309998</x:v>
      </x:c>
      <x:c r="J88" s="60" t="n">
        <x:v>174.97273166309998</x:v>
      </x:c>
      <x:c r="K88" s="60" t="n">
        <x:v>0</x:v>
      </x:c>
      <x:c r="L88" s="60" t="n">
        <x:v>174.97273166309998</x:v>
      </x:c>
      <x:c r="M88" s="60" t="n">
        <x:v>0</x:v>
      </x:c>
      <x:c r="N88" s="46" t="str">
        <x:v>ruvettus pretiosus</x:v>
      </x:c>
      <x:c r="O88" s="62" t="n">
        <x:v>4.18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Ruvettus pretiosus</x:v>
      </x:c>
      <x:c r="T88" s="62" t="n">
        <x:f>IF(O88="","",(1/'Metadata'!$B$5)^(O88-1))</x:f>
        <x:v>13717.513182092556</x:v>
      </x:c>
      <x:c r="U88" s="60" t="n">
        <x:f>IF(T88="","",I88*T88)</x:f>
        <x:v>2400190.7530953176</x:v>
      </x:c>
    </x:row>
    <x:row r="89" ht="18" customHeight="1">
      <x:c r="A89" s="46" t="str">
        <x:v>LME_015</x:v>
      </x:c>
      <x:c r="B89" s="46" t="str">
        <x:v>South Brazil Shelf</x:v>
      </x:c>
      <x:c r="C89" s="46" t="str">
        <x:v>LME</x:v>
      </x:c>
      <x:c r="D89" s="58" t="n">
        <x:v>2019</x:v>
      </x:c>
      <x:c r="E89" s="46" t="str">
        <x:v>Calamus</x:v>
      </x:c>
      <x:c r="F89" s="46" t="str">
        <x:v>Porgies</x:v>
      </x:c>
      <x:c r="G89" s="46" t="str">
        <x:v>Medium reef assoc. fish (30 - 89 cm)</x:v>
      </x:c>
      <x:c r="H89" s="46" t="str">
        <x:v>Perch-likes</x:v>
      </x:c>
      <x:c r="I89" s="60" t="n">
        <x:v>171.7607179103</x:v>
      </x:c>
      <x:c r="J89" s="60" t="n">
        <x:v>171.7607179103</x:v>
      </x:c>
      <x:c r="K89" s="60" t="n">
        <x:v>0</x:v>
      </x:c>
      <x:c r="L89" s="60" t="n">
        <x:v>167.5099302098</x:v>
      </x:c>
      <x:c r="M89" s="60" t="n">
        <x:v>4.2507877005</x:v>
      </x:c>
      <x:c r="N89" s="46" t="str">
        <x:v>calamus</x:v>
      </x:c>
      <x:c r="O89" s="62" t="n">
        <x:v>3.51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Calamus</x:v>
      </x:c>
      <x:c r="T89" s="62" t="n">
        <x:f>IF(O89="","",(1/'Metadata'!$B$5)^(O89-1))</x:f>
        <x:v>1843.2544417784343</x:v>
      </x:c>
      <x:c r="U89" s="60" t="n">
        <x:f>IF(T89="","",I89*T89)</x:f>
        <x:v>316598.70621121314</x:v>
      </x:c>
    </x:row>
    <x:row r="90" ht="18" customHeight="1">
      <x:c r="A90" s="46" t="str">
        <x:v>LME_015</x:v>
      </x:c>
      <x:c r="B90" s="46" t="str">
        <x:v>South Brazil Shelf</x:v>
      </x:c>
      <x:c r="C90" s="46" t="str">
        <x:v>LME</x:v>
      </x:c>
      <x:c r="D90" s="58" t="n">
        <x:v>2019</x:v>
      </x:c>
      <x:c r="E90" s="46" t="str">
        <x:v>Gadiformes</x:v>
      </x:c>
      <x:c r="F90" s="46" t="str">
        <x:v>Cods</x:v>
      </x:c>
      <x:c r="G90" s="46" t="str">
        <x:v>Medium benthopelagics (30 - 89 cm)</x:v>
      </x:c>
      <x:c r="H90" s="46" t="str">
        <x:v>Cod-likes</x:v>
      </x:c>
      <x:c r="I90" s="60" t="n">
        <x:v>166.95574981989998</x:v>
      </x:c>
      <x:c r="J90" s="60" t="n">
        <x:v>166.95574981989998</x:v>
      </x:c>
      <x:c r="K90" s="60" t="n">
        <x:v>0</x:v>
      </x:c>
      <x:c r="L90" s="60" t="n">
        <x:v>163.19030470849998</x:v>
      </x:c>
      <x:c r="M90" s="60" t="n">
        <x:v>3.7654451114</x:v>
      </x:c>
      <x:c r="N90" s="46" t="str">
        <x:v>gadiformes</x:v>
      </x:c>
      <x:c r="O90" s="62" t="n">
        <x:v>3.91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Gadiformes</x:v>
      </x:c>
      <x:c r="T90" s="62" t="n">
        <x:f>IF(O90="","",(1/'Metadata'!$B$5)^(O90-1))</x:f>
        <x:v>6109.382089532312</x:v>
      </x:c>
      <x:c r="U90" s="60" t="n">
        <x:f>IF(T90="","",I90*T90)</x:f>
        <x:v>1019996.4676941346</x:v>
      </x:c>
    </x:row>
    <x:row r="91" ht="18" customHeight="1">
      <x:c r="A91" s="46" t="str">
        <x:v>LME_015</x:v>
      </x:c>
      <x:c r="B91" s="46" t="str">
        <x:v>South Brazil Shelf</x:v>
      </x:c>
      <x:c r="C91" s="46" t="str">
        <x:v>LME</x:v>
      </x:c>
      <x:c r="D91" s="58" t="n">
        <x:v>2019</x:v>
      </x:c>
      <x:c r="E91" s="46" t="str">
        <x:v>Megalops atlanticus</x:v>
      </x:c>
      <x:c r="F91" s="46" t="str">
        <x:v>Tarpon</x:v>
      </x:c>
      <x:c r="G91" s="46" t="str">
        <x:v>Large pelagics (&gt;=90 cm)</x:v>
      </x:c>
      <x:c r="H91" s="46" t="str">
        <x:v>Other fishes &amp; inverts</x:v>
      </x:c>
      <x:c r="I91" s="60" t="n">
        <x:v>165.9476225269</x:v>
      </x:c>
      <x:c r="J91" s="60" t="n">
        <x:v>165.9476225269</x:v>
      </x:c>
      <x:c r="K91" s="60" t="n">
        <x:v>0</x:v>
      </x:c>
      <x:c r="L91" s="60" t="n">
        <x:v>163.87373462750003</x:v>
      </x:c>
      <x:c r="M91" s="60" t="n">
        <x:v>2.0738878994</x:v>
      </x:c>
      <x:c r="N91" s="46" t="str">
        <x:v>megalops atlanticus</x:v>
      </x:c>
      <x:c r="O91" s="62" t="n">
        <x:v>4.5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Megalops atlanticus</x:v>
      </x:c>
      <x:c r="T91" s="62" t="n">
        <x:f>IF(O91="","",(1/'Metadata'!$B$5)^(O91-1))</x:f>
        <x:v>35777.08763999664</x:v>
      </x:c>
      <x:c r="U91" s="60" t="n">
        <x:f>IF(T91="","",I91*T91)</x:f>
        <x:v>5937122.634793982</x:v>
      </x:c>
    </x:row>
    <x:row r="92" ht="18" customHeight="1">
      <x:c r="A92" s="46" t="str">
        <x:v>LME_015</x:v>
      </x:c>
      <x:c r="B92" s="46" t="str">
        <x:v>South Brazil Shelf</x:v>
      </x:c>
      <x:c r="C92" s="46" t="str">
        <x:v>LME</x:v>
      </x:c>
      <x:c r="D92" s="58" t="n">
        <x:v>2019</x:v>
      </x:c>
      <x:c r="E92" s="46" t="str">
        <x:v>Rachycentron canadum</x:v>
      </x:c>
      <x:c r="F92" s="46" t="str">
        <x:v>Cobia</x:v>
      </x:c>
      <x:c r="G92" s="46" t="str">
        <x:v>Large pelagics (&gt;=90 cm)</x:v>
      </x:c>
      <x:c r="H92" s="46" t="str">
        <x:v>Perch-likes</x:v>
      </x:c>
      <x:c r="I92" s="60" t="n">
        <x:v>161.3583664788</x:v>
      </x:c>
      <x:c r="J92" s="60" t="n">
        <x:v>161.3583664788</x:v>
      </x:c>
      <x:c r="K92" s="60" t="n">
        <x:v>0</x:v>
      </x:c>
      <x:c r="L92" s="60" t="n">
        <x:v>158.46024324989997</x:v>
      </x:c>
      <x:c r="M92" s="60" t="n">
        <x:v>2.8981232289</x:v>
      </x:c>
      <x:c r="N92" s="46" t="str">
        <x:v>rachycentron canadum</x:v>
      </x:c>
      <x:c r="O92" s="62" t="n">
        <x:v>3.96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Rachycentron canadum</x:v>
      </x:c>
      <x:c r="T92" s="62" t="n">
        <x:f>IF(O92="","",(1/'Metadata'!$B$5)^(O92-1))</x:f>
        <x:v>7096.574839945253</x:v>
      </x:c>
      <x:c r="U92" s="60" t="n">
        <x:f>IF(T92="","",I92*T92)</x:f>
        <x:v>1145091.7237681176</x:v>
      </x:c>
    </x:row>
    <x:row r="93" ht="18" customHeight="1">
      <x:c r="A93" s="46" t="str">
        <x:v>LME_015</x:v>
      </x:c>
      <x:c r="B93" s="46" t="str">
        <x:v>South Brazil Shelf</x:v>
      </x:c>
      <x:c r="C93" s="46" t="str">
        <x:v>LME</x:v>
      </x:c>
      <x:c r="D93" s="58" t="n">
        <x:v>2019</x:v>
      </x:c>
      <x:c r="E93" s="46" t="str">
        <x:v>Perna perna</x:v>
      </x:c>
      <x:c r="F93" s="46" t="str">
        <x:v>South American rock mussel</x:v>
      </x:c>
      <x:c r="G93" s="46" t="str">
        <x:v>Other demersal invertebrates</x:v>
      </x:c>
      <x:c r="H93" s="46" t="str">
        <x:v>Molluscs</x:v>
      </x:c>
      <x:c r="I93" s="60" t="n">
        <x:v>138.9632721469</x:v>
      </x:c>
      <x:c r="J93" s="60" t="n">
        <x:v>138.9632721469</x:v>
      </x:c>
      <x:c r="K93" s="60" t="n">
        <x:v>0</x:v>
      </x:c>
      <x:c r="L93" s="60" t="n">
        <x:v>138.7482237471</x:v>
      </x:c>
      <x:c r="M93" s="60" t="n">
        <x:v>0.2150483998</x:v>
      </x:c>
      <x:c r="N93" s="46" t="str">
        <x:v>perna perna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Perna perna</x:v>
      </x:c>
      <x:c r="T93" s="62" t="n">
        <x:f>IF(O93="","",(1/'Metadata'!$B$5)^(O93-1))</x:f>
        <x:v>20</x:v>
      </x:c>
      <x:c r="U93" s="60" t="n">
        <x:f>IF(T93="","",I93*T93)</x:f>
        <x:v>2779.265442938</x:v>
      </x:c>
    </x:row>
    <x:row r="94" ht="18" customHeight="1">
      <x:c r="A94" s="46" t="str">
        <x:v>LME_015</x:v>
      </x:c>
      <x:c r="B94" s="46" t="str">
        <x:v>South Brazil Shelf</x:v>
      </x:c>
      <x:c r="C94" s="46" t="str">
        <x:v>LME</x:v>
      </x:c>
      <x:c r="D94" s="58" t="n">
        <x:v>2019</x:v>
      </x:c>
      <x:c r="E94" s="46" t="str">
        <x:v>Thunnus atlanticus</x:v>
      </x:c>
      <x:c r="F94" s="46" t="str">
        <x:v>Blackfin tuna</x:v>
      </x:c>
      <x:c r="G94" s="46" t="str">
        <x:v>Large pelagics (&gt;=90 cm)</x:v>
      </x:c>
      <x:c r="H94" s="46" t="str">
        <x:v>Tuna &amp; billfishes</x:v>
      </x:c>
      <x:c r="I94" s="60" t="n">
        <x:v>136.1638177832</x:v>
      </x:c>
      <x:c r="J94" s="60" t="n">
        <x:v>136.1638177832</x:v>
      </x:c>
      <x:c r="K94" s="60" t="n">
        <x:v>0</x:v>
      </x:c>
      <x:c r="L94" s="60" t="n">
        <x:v>136.138398465</x:v>
      </x:c>
      <x:c r="M94" s="60" t="n">
        <x:v>0.0254193182</x:v>
      </x:c>
      <x:c r="N94" s="46" t="str">
        <x:v>thunnus atlanticus</x:v>
      </x:c>
      <x:c r="O94" s="62" t="n">
        <x:v>4.35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Thunnus atlanticus</x:v>
      </x:c>
      <x:c r="T94" s="62" t="n">
        <x:f>IF(O94="","",(1/'Metadata'!$B$5)^(O94-1))</x:f>
        <x:v>22827.086550132422</x:v>
      </x:c>
      <x:c r="U94" s="60" t="n">
        <x:f>IF(T94="","",I94*T94)</x:f>
        <x:v>3108223.2535335664</x:v>
      </x:c>
    </x:row>
    <x:row r="95" ht="18" customHeight="1">
      <x:c r="A95" s="46" t="str">
        <x:v>LME_015</x:v>
      </x:c>
      <x:c r="B95" s="46" t="str">
        <x:v>South Brazil Shelf</x:v>
      </x:c>
      <x:c r="C95" s="46" t="str">
        <x:v>LME</x:v>
      </x:c>
      <x:c r="D95" s="58" t="n">
        <x:v>2019</x:v>
      </x:c>
      <x:c r="E95" s="46" t="str">
        <x:v>Lutjanus synagris</x:v>
      </x:c>
      <x:c r="F95" s="46" t="str">
        <x:v>Lane snapper</x:v>
      </x:c>
      <x:c r="G95" s="46" t="str">
        <x:v>Medium reef assoc. fish (30 - 89 cm)</x:v>
      </x:c>
      <x:c r="H95" s="46" t="str">
        <x:v>Perch-likes</x:v>
      </x:c>
      <x:c r="I95" s="60" t="n">
        <x:v>134.54955707530002</x:v>
      </x:c>
      <x:c r="J95" s="60" t="n">
        <x:v>134.54955707530002</x:v>
      </x:c>
      <x:c r="K95" s="60" t="n">
        <x:v>0</x:v>
      </x:c>
      <x:c r="L95" s="60" t="n">
        <x:v>126.5813805799</x:v>
      </x:c>
      <x:c r="M95" s="60" t="n">
        <x:v>7.9681764954</x:v>
      </x:c>
      <x:c r="N95" s="46" t="str">
        <x:v>lutjanus synagris</x:v>
      </x:c>
      <x:c r="O95" s="62" t="n">
        <x:v>3.82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Lutjanus synagris</x:v>
      </x:c>
      <x:c r="T95" s="62" t="n">
        <x:f>IF(O95="","",(1/'Metadata'!$B$5)^(O95-1))</x:f>
        <x:v>4665.56868948727</x:v>
      </x:c>
      <x:c r="U95" s="60" t="n">
        <x:f>IF(T95="","",I95*T95)</x:f>
        <x:v>627750.2006749001</x:v>
      </x:c>
    </x:row>
    <x:row r="96" ht="18" customHeight="1">
      <x:c r="A96" s="46" t="str">
        <x:v>LME_015</x:v>
      </x:c>
      <x:c r="B96" s="46" t="str">
        <x:v>South Brazil Shelf</x:v>
      </x:c>
      <x:c r="C96" s="46" t="str">
        <x:v>LME</x:v>
      </x:c>
      <x:c r="D96" s="58" t="n">
        <x:v>2019</x:v>
      </x:c>
      <x:c r="E96" s="46" t="str">
        <x:v>Nemadactylus bergi</x:v>
      </x:c>
      <x:c r="F96" s="46" t="str">
        <x:v>Castaneta</x:v>
      </x:c>
      <x:c r="G96" s="46" t="str">
        <x:v>Medium demersals (30 - 89 cm)</x:v>
      </x:c>
      <x:c r="H96" s="46" t="str">
        <x:v>Perch-likes</x:v>
      </x:c>
      <x:c r="I96" s="60" t="n">
        <x:v>133.9374225514</x:v>
      </x:c>
      <x:c r="J96" s="60" t="n">
        <x:v>131.8569560476</x:v>
      </x:c>
      <x:c r="K96" s="60" t="n">
        <x:v>2.0804665038</x:v>
      </x:c>
      <x:c r="L96" s="60" t="n">
        <x:v>129.3568549324</x:v>
      </x:c>
      <x:c r="M96" s="60" t="n">
        <x:v>4.580567619</x:v>
      </x:c>
      <x:c r="N96" s="46" t="str">
        <x:v>nemadactylus bergi</x:v>
      </x:c>
      <x:c r="O96" s="62" t="n">
        <x:v>3.24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Nemadactylus bergi</x:v>
      </x:c>
      <x:c r="T96" s="62" t="n">
        <x:f>IF(O96="","",(1/'Metadata'!$B$5)^(O96-1))</x:f>
        <x:v>820.9320103116679</x:v>
      </x:c>
      <x:c r="U96" s="60" t="n">
        <x:f>IF(T96="","",I96*T96)</x:f>
        <x:v>109953.51755108414</x:v>
      </x:c>
    </x:row>
    <x:row r="97" ht="18" customHeight="1">
      <x:c r="A97" s="46" t="str">
        <x:v>LME_015</x:v>
      </x:c>
      <x:c r="B97" s="46" t="str">
        <x:v>South Brazil Shelf</x:v>
      </x:c>
      <x:c r="C97" s="46" t="str">
        <x:v>LME</x:v>
      </x:c>
      <x:c r="D97" s="58" t="n">
        <x:v>2019</x:v>
      </x:c>
      <x:c r="E97" s="46" t="str">
        <x:v>Cetengraulis edentulus</x:v>
      </x:c>
      <x:c r="F97" s="46" t="str">
        <x:v>Atlantic anchoveta</x:v>
      </x:c>
      <x:c r="G97" s="46" t="str">
        <x:v>Small pelagics (&lt;30 cm)</x:v>
      </x:c>
      <x:c r="H97" s="46" t="str">
        <x:v>Anchovies</x:v>
      </x:c>
      <x:c r="I97" s="60" t="n">
        <x:v>126.98691534219999</x:v>
      </x:c>
      <x:c r="J97" s="60" t="n">
        <x:v>126.98691534219999</x:v>
      </x:c>
      <x:c r="K97" s="60" t="n">
        <x:v>0</x:v>
      </x:c>
      <x:c r="L97" s="60" t="n">
        <x:v>125.9850059103</x:v>
      </x:c>
      <x:c r="M97" s="60" t="n">
        <x:v>1.0019094319</x:v>
      </x:c>
      <x:c r="N97" s="46" t="str">
        <x:v>cetengraulis edentulus</x:v>
      </x:c>
      <x:c r="O97" s="62" t="n">
        <x:v>2.11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Cetengraulis edentulus</x:v>
      </x:c>
      <x:c r="T97" s="62" t="n">
        <x:f>IF(O97="","",(1/'Metadata'!$B$5)^(O97-1))</x:f>
        <x:v>27.80630583702799</x:v>
      </x:c>
      <x:c r="U97" s="60" t="n">
        <x:f>IF(T97="","",I97*T97)</x:f>
        <x:v>3531.0370053059946</x:v>
      </x:c>
    </x:row>
    <x:row r="98" ht="18" customHeight="1">
      <x:c r="A98" s="46" t="str">
        <x:v>LME_015</x:v>
      </x:c>
      <x:c r="B98" s="46" t="str">
        <x:v>South Brazil Shelf</x:v>
      </x:c>
      <x:c r="C98" s="46" t="str">
        <x:v>LME</x:v>
      </x:c>
      <x:c r="D98" s="58" t="n">
        <x:v>2019</x:v>
      </x:c>
      <x:c r="E98" s="46" t="str">
        <x:v>Euthynnus alletteratus</x:v>
      </x:c>
      <x:c r="F98" s="46" t="str">
        <x:v>Little tunny </x:v>
      </x:c>
      <x:c r="G98" s="46" t="str">
        <x:v>Large pelagics (&gt;=90 cm)</x:v>
      </x:c>
      <x:c r="H98" s="46" t="str">
        <x:v>Tuna &amp; billfishes</x:v>
      </x:c>
      <x:c r="I98" s="60" t="n">
        <x:v>126.35076847539999</x:v>
      </x:c>
      <x:c r="J98" s="60" t="n">
        <x:v>126.35076847539999</x:v>
      </x:c>
      <x:c r="K98" s="60" t="n">
        <x:v>0</x:v>
      </x:c>
      <x:c r="L98" s="60" t="n">
        <x:v>0.0050119555</x:v>
      </x:c>
      <x:c r="M98" s="60" t="n">
        <x:v>126.3457565199</x:v>
      </x:c>
      <x:c r="N98" s="46" t="str">
        <x:v>euthynnus alletteratus</x:v>
      </x:c>
      <x:c r="O98" s="62" t="n">
        <x:v>4.49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Euthynnus alletteratus</x:v>
      </x:c>
      <x:c r="T98" s="62" t="n">
        <x:f>IF(O98="","",(1/'Metadata'!$B$5)^(O98-1))</x:f>
        <x:v>34721.19667768202</x:v>
      </x:c>
      <x:c r="U98" s="60" t="n">
        <x:f>IF(T98="","",I98*T98)</x:f>
        <x:v>4387049.882610628</x:v>
      </x:c>
    </x:row>
    <x:row r="99" ht="18" customHeight="1">
      <x:c r="A99" s="46" t="str">
        <x:v>LME_015</x:v>
      </x:c>
      <x:c r="B99" s="46" t="str">
        <x:v>South Brazil Shelf</x:v>
      </x:c>
      <x:c r="C99" s="46" t="str">
        <x:v>LME</x:v>
      </x:c>
      <x:c r="D99" s="58" t="n">
        <x:v>2019</x:v>
      </x:c>
      <x:c r="E99" s="46" t="str">
        <x:v>Conger orbignianus</x:v>
      </x:c>
      <x:c r="F99" s="46" t="str">
        <x:v>Argentine conger</x:v>
      </x:c>
      <x:c r="G99" s="46" t="str">
        <x:v>Large demersals (&gt;=90 cm)</x:v>
      </x:c>
      <x:c r="H99" s="46" t="str">
        <x:v>Other fishes &amp; inverts</x:v>
      </x:c>
      <x:c r="I99" s="60" t="n">
        <x:v>117.8518249383</x:v>
      </x:c>
      <x:c r="J99" s="60" t="n">
        <x:v>117.8518249383</x:v>
      </x:c>
      <x:c r="K99" s="60" t="n">
        <x:v>0</x:v>
      </x:c>
      <x:c r="L99" s="60" t="n">
        <x:v>115.4282244088</x:v>
      </x:c>
      <x:c r="M99" s="60" t="n">
        <x:v>2.4236005295</x:v>
      </x:c>
      <x:c r="N99" s="46" t="str">
        <x:v>conger orbignianus</x:v>
      </x:c>
      <x:c r="O99" s="62" t="n">
        <x:v>3.72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Conger orbignianus</x:v>
      </x:c>
      <x:c r="T99" s="62" t="n">
        <x:f>IF(O99="","",(1/'Metadata'!$B$5)^(O99-1))</x:f>
        <x:v>3457.8136804537753</x:v>
      </x:c>
      <x:c r="U99" s="60" t="n">
        <x:f>IF(T99="","",I99*T99)</x:f>
        <x:v>407509.6525380971</x:v>
      </x:c>
    </x:row>
    <x:row r="100" ht="18" customHeight="1">
      <x:c r="A100" s="46" t="str">
        <x:v>LME_015</x:v>
      </x:c>
      <x:c r="B100" s="46" t="str">
        <x:v>South Brazil Shelf</x:v>
      </x:c>
      <x:c r="C100" s="46" t="str">
        <x:v>LME</x:v>
      </x:c>
      <x:c r="D100" s="58" t="n">
        <x:v>2019</x:v>
      </x:c>
      <x:c r="E100" s="46" t="str">
        <x:v>Conodon nobilis</x:v>
      </x:c>
      <x:c r="F100" s="46" t="str">
        <x:v>Barred grunt</x:v>
      </x:c>
      <x:c r="G100" s="46" t="str">
        <x:v>Small demersals (&lt;30 cm)</x:v>
      </x:c>
      <x:c r="H100" s="46" t="str">
        <x:v>Perch-likes</x:v>
      </x:c>
      <x:c r="I100" s="60" t="n">
        <x:v>117.6947762114</x:v>
      </x:c>
      <x:c r="J100" s="60" t="n">
        <x:v>117.6947762114</x:v>
      </x:c>
      <x:c r="K100" s="60" t="n">
        <x:v>0</x:v>
      </x:c>
      <x:c r="L100" s="60" t="n">
        <x:v>15.541778164</x:v>
      </x:c>
      <x:c r="M100" s="60" t="n">
        <x:v>102.15299804739999</x:v>
      </x:c>
      <x:c r="N100" s="46" t="str">
        <x:v>conodon nobilis</x:v>
      </x:c>
      <x:c r="O100" s="62" t="n">
        <x:v>3.61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Conodon nobilis</x:v>
      </x:c>
      <x:c r="T100" s="62" t="n">
        <x:f>IF(O100="","",(1/'Metadata'!$B$5)^(O100-1))</x:f>
        <x:v>2487.0716021897506</x:v>
      </x:c>
      <x:c r="U100" s="60" t="n">
        <x:f>IF(T100="","",I100*T100)</x:f>
        <x:v>292715.3356414507</x:v>
      </x:c>
    </x:row>
    <x:row r="101" ht="18" customHeight="1">
      <x:c r="A101" s="46" t="str">
        <x:v>LME_015</x:v>
      </x:c>
      <x:c r="B101" s="46" t="str">
        <x:v>South Brazil Shelf</x:v>
      </x:c>
      <x:c r="C101" s="46" t="str">
        <x:v>LME</x:v>
      </x:c>
      <x:c r="D101" s="58" t="n">
        <x:v>2019</x:v>
      </x:c>
      <x:c r="E101" s="46" t="str">
        <x:v>Nebris microps</x:v>
      </x:c>
      <x:c r="F101" s="46" t="str">
        <x:v>Smalleye croaker</x:v>
      </x:c>
      <x:c r="G101" s="46" t="str">
        <x:v>Medium demersals (30 - 89 cm)</x:v>
      </x:c>
      <x:c r="H101" s="46" t="str">
        <x:v>Perch-likes</x:v>
      </x:c>
      <x:c r="I101" s="60" t="n">
        <x:v>111.1021248462</x:v>
      </x:c>
      <x:c r="J101" s="60" t="n">
        <x:v>8.9237100128</x:v>
      </x:c>
      <x:c r="K101" s="60" t="n">
        <x:v>102.17841483340001</x:v>
      </x:c>
      <x:c r="L101" s="60" t="n">
        <x:v>1.5213462344</x:v>
      </x:c>
      <x:c r="M101" s="60" t="n">
        <x:v>109.5807786118</x:v>
      </x:c>
      <x:c r="N101" s="46" t="str">
        <x:v>nebris microps</x:v>
      </x:c>
      <x:c r="O101" s="62" t="n">
        <x:v>3.6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Nebris microps</x:v>
      </x:c>
      <x:c r="T101" s="62" t="n">
        <x:f>IF(O101="","",(1/'Metadata'!$B$5)^(O101-1))</x:f>
        <x:v>2413.670534618066</x:v>
      </x:c>
      <x:c r="U101" s="60" t="n">
        <x:f>IF(T101="","",I101*T101)</x:f>
        <x:v>268163.92507473065</x:v>
      </x:c>
    </x:row>
    <x:row r="102" ht="18" customHeight="1">
      <x:c r="A102" s="46" t="str">
        <x:v>LME_015</x:v>
      </x:c>
      <x:c r="B102" s="46" t="str">
        <x:v>South Brazil Shelf</x:v>
      </x:c>
      <x:c r="C102" s="46" t="str">
        <x:v>LME</x:v>
      </x:c>
      <x:c r="D102" s="58" t="n">
        <x:v>2019</x:v>
      </x:c>
      <x:c r="E102" s="46" t="str">
        <x:v>Auxis thazard</x:v>
      </x:c>
      <x:c r="F102" s="46" t="str">
        <x:v>Frigate tuna</x:v>
      </x:c>
      <x:c r="G102" s="46" t="str">
        <x:v>Medium pelagics (30 - 89 cm)</x:v>
      </x:c>
      <x:c r="H102" s="46" t="str">
        <x:v>Tuna &amp; billfishes</x:v>
      </x:c>
      <x:c r="I102" s="60" t="n">
        <x:v>100.1847871802</x:v>
      </x:c>
      <x:c r="J102" s="60" t="n">
        <x:v>100.1847871802</x:v>
      </x:c>
      <x:c r="K102" s="60" t="n">
        <x:v>0</x:v>
      </x:c>
      <x:c r="L102" s="60" t="n">
        <x:v>99.45297118650001</x:v>
      </x:c>
      <x:c r="M102" s="60" t="n">
        <x:v>0.7318159937000001</x:v>
      </x:c>
      <x:c r="N102" s="46" t="str">
        <x:v>auxis thazard</x:v>
      </x:c>
      <x:c r="O102" s="62" t="n">
        <x:v>4.37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Auxis thazard</x:v>
      </x:c>
      <x:c r="T102" s="62" t="n">
        <x:f>IF(O102="","",(1/'Metadata'!$B$5)^(O102-1))</x:f>
        <x:v>24236.56596112542</x:v>
      </x:c>
      <x:c r="U102" s="60" t="n">
        <x:f>IF(T102="","",I102*T102)</x:f>
        <x:v>2428135.2027942296</x:v>
      </x:c>
    </x:row>
    <x:row r="103" ht="18" customHeight="1">
      <x:c r="A103" s="46" t="str">
        <x:v>LME_015</x:v>
      </x:c>
      <x:c r="B103" s="46" t="str">
        <x:v>South Brazil Shelf</x:v>
      </x:c>
      <x:c r="C103" s="46" t="str">
        <x:v>LME</x:v>
      </x:c>
      <x:c r="D103" s="58" t="n">
        <x:v>2019</x:v>
      </x:c>
      <x:c r="E103" s="46" t="str">
        <x:v>Elasmobranchii</x:v>
      </x:c>
      <x:c r="F103" s="46" t="str">
        <x:v>Sharks, rays, skates</x:v>
      </x:c>
      <x:c r="G103" s="46" t="str">
        <x:v>Large sharks (&gt;=90 cm)</x:v>
      </x:c>
      <x:c r="H103" s="46" t="str">
        <x:v>Sharks &amp; rays</x:v>
      </x:c>
      <x:c r="I103" s="60" t="n">
        <x:v>93.029171023</x:v>
      </x:c>
      <x:c r="J103" s="60" t="n">
        <x:v>58.771384091600005</x:v>
      </x:c>
      <x:c r="K103" s="60" t="n">
        <x:v>34.2577869314</x:v>
      </x:c>
      <x:c r="L103" s="60" t="n">
        <x:v>57.7726986211</x:v>
      </x:c>
      <x:c r="M103" s="60" t="n">
        <x:v>35.2564724019</x:v>
      </x:c>
      <x:c r="N103" s="46" t="str">
        <x:v>elasmobranchii</x:v>
      </x:c>
      <x:c r="O103" s="62" t="n">
        <x:v>4.05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Elasmobranchii</x:v>
      </x:c>
      <x:c r="T103" s="62" t="n">
        <x:f>IF(O103="","",(1/'Metadata'!$B$5)^(O103-1))</x:f>
        <x:v>9292.690797132333</x:v>
      </x:c>
      <x:c r="U103" s="60" t="n">
        <x:f>IF(T103="","",I103*T103)</x:f>
        <x:v>864491.321430282</x:v>
      </x:c>
    </x:row>
    <x:row r="104" ht="18" customHeight="1">
      <x:c r="A104" s="46" t="str">
        <x:v>LME_015</x:v>
      </x:c>
      <x:c r="B104" s="46" t="str">
        <x:v>South Brazil Shelf</x:v>
      </x:c>
      <x:c r="C104" s="46" t="str">
        <x:v>LME</x:v>
      </x:c>
      <x:c r="D104" s="58" t="n">
        <x:v>2019</x:v>
      </x:c>
      <x:c r="E104" s="46" t="str">
        <x:v>Malacanthidae</x:v>
      </x:c>
      <x:c r="F104" s="46" t="str">
        <x:v>Tilefishes</x:v>
      </x:c>
      <x:c r="G104" s="46" t="str">
        <x:v>Medium demersals (30 - 89 cm)</x:v>
      </x:c>
      <x:c r="H104" s="46" t="str">
        <x:v>Perch-likes</x:v>
      </x:c>
      <x:c r="I104" s="60" t="n">
        <x:v>88.546206595</x:v>
      </x:c>
      <x:c r="J104" s="60" t="n">
        <x:v>88.546206595</x:v>
      </x:c>
      <x:c r="K104" s="60" t="n">
        <x:v>0</x:v>
      </x:c>
      <x:c r="L104" s="60" t="n">
        <x:v>86.8573127439</x:v>
      </x:c>
      <x:c r="M104" s="60" t="n">
        <x:v>1.6888938511000002</x:v>
      </x:c>
      <x:c r="N104" s="46" t="str">
        <x:v>malacanthidae</x:v>
      </x:c>
      <x:c r="O104" s="62" t="n">
        <x:v>3.62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Malacanthidae</x:v>
      </x:c>
      <x:c r="T104" s="62" t="n">
        <x:f>IF(O104="","",(1/'Metadata'!$B$5)^(O104-1))</x:f>
        <x:v>2562.7048371775754</x:v>
      </x:c>
      <x:c r="U104" s="60" t="n">
        <x:f>IF(T104="","",I104*T104)</x:f>
        <x:v>226917.79195473142</x:v>
      </x:c>
    </x:row>
    <x:row r="105" ht="18" customHeight="1">
      <x:c r="A105" s="46" t="str">
        <x:v>LME_015</x:v>
      </x:c>
      <x:c r="B105" s="46" t="str">
        <x:v>South Brazil Shelf</x:v>
      </x:c>
      <x:c r="C105" s="46" t="str">
        <x:v>LME</x:v>
      </x:c>
      <x:c r="D105" s="58" t="n">
        <x:v>2019</x:v>
      </x:c>
      <x:c r="E105" s="46" t="str">
        <x:v>Brevoortia aurea</x:v>
      </x:c>
      <x:c r="F105" s="46" t="str">
        <x:v>Brazilian menhaden</x:v>
      </x:c>
      <x:c r="G105" s="46" t="str">
        <x:v>Small pelagics (&lt;30 cm)</x:v>
      </x:c>
      <x:c r="H105" s="46" t="str">
        <x:v>Herring-likes</x:v>
      </x:c>
      <x:c r="I105" s="60" t="n">
        <x:v>88.359993334</x:v>
      </x:c>
      <x:c r="J105" s="60" t="n">
        <x:v>88.359993334</x:v>
      </x:c>
      <x:c r="K105" s="60" t="n">
        <x:v>0</x:v>
      </x:c>
      <x:c r="L105" s="60" t="n">
        <x:v>0</x:v>
      </x:c>
      <x:c r="M105" s="60" t="n">
        <x:v>88.359993334</x:v>
      </x:c>
      <x:c r="N105" s="46" t="str">
        <x:v>brevoortia aurea</x:v>
      </x:c>
      <x:c r="O105" s="62" t="n">
        <x:v>2.75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Brevoortia aurea</x:v>
      </x:c>
      <x:c r="T105" s="62" t="n">
        <x:f>IF(O105="","",(1/'Metadata'!$B$5)^(O105-1))</x:f>
        <x:v>189.14832180063516</x:v>
      </x:c>
      <x:c r="U105" s="60" t="n">
        <x:f>IF(T105="","",I105*T105)</x:f>
        <x:v>16713.144453441408</x:v>
      </x:c>
    </x:row>
    <x:row r="106" ht="18" customHeight="1">
      <x:c r="A106" s="46" t="str">
        <x:v>LME_015</x:v>
      </x:c>
      <x:c r="B106" s="46" t="str">
        <x:v>South Brazil Shelf</x:v>
      </x:c>
      <x:c r="C106" s="46" t="str">
        <x:v>LME</x:v>
      </x:c>
      <x:c r="D106" s="58" t="n">
        <x:v>2019</x:v>
      </x:c>
      <x:c r="E106" s="46" t="str">
        <x:v>Seriola</x:v>
      </x:c>
      <x:c r="F106" s="46" t="str">
        <x:v>Amberjacks</x:v>
      </x:c>
      <x:c r="G106" s="46" t="str">
        <x:v>Large benthopelagics (&gt;=90 cm)</x:v>
      </x:c>
      <x:c r="H106" s="46" t="str">
        <x:v>Perch-likes</x:v>
      </x:c>
      <x:c r="I106" s="60" t="n">
        <x:v>83.5745624795</x:v>
      </x:c>
      <x:c r="J106" s="60" t="n">
        <x:v>83.5745624795</x:v>
      </x:c>
      <x:c r="K106" s="60" t="n">
        <x:v>0</x:v>
      </x:c>
      <x:c r="L106" s="60" t="n">
        <x:v>20.2609020727</x:v>
      </x:c>
      <x:c r="M106" s="60" t="n">
        <x:v>63.3136604068</x:v>
      </x:c>
      <x:c r="N106" s="46" t="str">
        <x:v>seriola</x:v>
      </x:c>
      <x:c r="O106" s="62" t="n">
        <x:v>4.39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Seriola</x:v>
      </x:c>
      <x:c r="T106" s="62" t="n">
        <x:f>IF(O106="","",(1/'Metadata'!$B$5)^(O106-1))</x:f>
        <x:v>25733.07497204781</x:v>
      </x:c>
      <x:c r="U106" s="60" t="n">
        <x:f>IF(T106="","",I106*T106)</x:f>
        <x:v>2150630.4820410674</x:v>
      </x:c>
    </x:row>
    <x:row r="107" ht="18" customHeight="1">
      <x:c r="A107" s="46" t="str">
        <x:v>LME_015</x:v>
      </x:c>
      <x:c r="B107" s="46" t="str">
        <x:v>South Brazil Shelf</x:v>
      </x:c>
      <x:c r="C107" s="46" t="str">
        <x:v>LME</x:v>
      </x:c>
      <x:c r="D107" s="58" t="n">
        <x:v>2019</x:v>
      </x:c>
      <x:c r="E107" s="46" t="str">
        <x:v>Parona signata</x:v>
      </x:c>
      <x:c r="F107" s="46" t="str">
        <x:v>Parona leatherjacket</x:v>
      </x:c>
      <x:c r="G107" s="46" t="str">
        <x:v>Medium demersals (30 - 89 cm)</x:v>
      </x:c>
      <x:c r="H107" s="46" t="str">
        <x:v>Perch-likes</x:v>
      </x:c>
      <x:c r="I107" s="60" t="n">
        <x:v>82.4190143596</x:v>
      </x:c>
      <x:c r="J107" s="60" t="n">
        <x:v>82.4190143596</x:v>
      </x:c>
      <x:c r="K107" s="60" t="n">
        <x:v>0</x:v>
      </x:c>
      <x:c r="L107" s="60" t="n">
        <x:v>51.2000664999</x:v>
      </x:c>
      <x:c r="M107" s="60" t="n">
        <x:v>31.218947859700002</x:v>
      </x:c>
      <x:c r="N107" s="46" t="str">
        <x:v>parona signata</x:v>
      </x:c>
      <x:c r="O107" s="62" t="n">
        <x:v>3.4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Parona signata</x:v>
      </x:c>
      <x:c r="T107" s="62" t="n">
        <x:f>IF(O107="","",(1/'Metadata'!$B$5)^(O107-1))</x:f>
        <x:v>1325.7816069359944</x:v>
      </x:c>
      <x:c r="U107" s="60" t="n">
        <x:f>IF(T107="","",I107*T107)</x:f>
        <x:v>109269.61329975129</x:v>
      </x:c>
    </x:row>
    <x:row r="108" ht="18" customHeight="1">
      <x:c r="A108" s="46" t="str">
        <x:v>LME_015</x:v>
      </x:c>
      <x:c r="B108" s="46" t="str">
        <x:v>South Brazil Shelf</x:v>
      </x:c>
      <x:c r="C108" s="46" t="str">
        <x:v>LME</x:v>
      </x:c>
      <x:c r="D108" s="58" t="n">
        <x:v>2019</x:v>
      </x:c>
      <x:c r="E108" s="46" t="str">
        <x:v>Larimus breviceps</x:v>
      </x:c>
      <x:c r="F108" s="46" t="str">
        <x:v>Shorthead drum</x:v>
      </x:c>
      <x:c r="G108" s="46" t="str">
        <x:v>Small demersals (&lt;30 cm)</x:v>
      </x:c>
      <x:c r="H108" s="46" t="str">
        <x:v>Perch-likes</x:v>
      </x:c>
      <x:c r="I108" s="60" t="n">
        <x:v>80.13344749379999</x:v>
      </x:c>
      <x:c r="J108" s="60" t="n">
        <x:v>80.13344749379999</x:v>
      </x:c>
      <x:c r="K108" s="60" t="n">
        <x:v>0</x:v>
      </x:c>
      <x:c r="L108" s="60" t="n">
        <x:v>78.31928741120001</x:v>
      </x:c>
      <x:c r="M108" s="60" t="n">
        <x:v>1.8141600826</x:v>
      </x:c>
      <x:c r="N108" s="46" t="str">
        <x:v>larimus breviceps</x:v>
      </x:c>
      <x:c r="O108" s="62" t="n">
        <x:v>3.52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Larimus breviceps</x:v>
      </x:c>
      <x:c r="T108" s="62" t="n">
        <x:f>IF(O108="","",(1/'Metadata'!$B$5)^(O108-1))</x:f>
        <x:v>1899.308837725312</x:v>
      </x:c>
      <x:c r="U108" s="60" t="n">
        <x:f>IF(T108="","",I108*T108)</x:f>
        <x:v>152198.16502237157</x:v>
      </x:c>
    </x:row>
    <x:row r="109" ht="18" customHeight="1">
      <x:c r="A109" s="46" t="str">
        <x:v>LME_015</x:v>
      </x:c>
      <x:c r="B109" s="46" t="str">
        <x:v>South Brazil Shelf</x:v>
      </x:c>
      <x:c r="C109" s="46" t="str">
        <x:v>LME</x:v>
      </x:c>
      <x:c r="D109" s="58" t="n">
        <x:v>2019</x:v>
      </x:c>
      <x:c r="E109" s="46" t="str">
        <x:v>Rhinobatos</x:v>
      </x:c>
      <x:c r="F109" s="46" t="str">
        <x:v>Guitarfishes</x:v>
      </x:c>
      <x:c r="G109" s="46" t="str">
        <x:v>Large rays (&gt;=90 cm)</x:v>
      </x:c>
      <x:c r="H109" s="46" t="str">
        <x:v>Sharks &amp; rays</x:v>
      </x:c>
      <x:c r="I109" s="60" t="n">
        <x:v>76.0000227789</x:v>
      </x:c>
      <x:c r="J109" s="60" t="n">
        <x:v>76.0000227789</x:v>
      </x:c>
      <x:c r="K109" s="60" t="n">
        <x:v>0</x:v>
      </x:c>
      <x:c r="L109" s="60" t="n">
        <x:v>75.0418167898</x:v>
      </x:c>
      <x:c r="M109" s="60" t="n">
        <x:v>0.9582059891</x:v>
      </x:c>
      <x:c r="N109" s="46" t="str">
        <x:v>rhinobatos</x:v>
      </x:c>
      <x:c r="O109" s="62" t="n">
        <x:v>3.73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Rhinobatos</x:v>
      </x:c>
      <x:c r="T109" s="62" t="n">
        <x:f>IF(O109="","",(1/'Metadata'!$B$5)^(O109-1))</x:f>
        <x:v>3562.967723629534</x:v>
      </x:c>
      <x:c r="U109" s="60" t="n">
        <x:f>IF(T109="","",I109*T109)</x:f>
        <x:v>270785.6281563301</x:v>
      </x:c>
    </x:row>
    <x:row r="110" ht="18" customHeight="1">
      <x:c r="A110" s="46" t="str">
        <x:v>LME_015</x:v>
      </x:c>
      <x:c r="B110" s="46" t="str">
        <x:v>South Brazil Shelf</x:v>
      </x:c>
      <x:c r="C110" s="46" t="str">
        <x:v>LME</x:v>
      </x:c>
      <x:c r="D110" s="58" t="n">
        <x:v>2019</x:v>
      </x:c>
      <x:c r="E110" s="46" t="str">
        <x:v>Selene vomer</x:v>
      </x:c>
      <x:c r="F110" s="46" t="str">
        <x:v>Lookdown</x:v>
      </x:c>
      <x:c r="G110" s="46" t="str">
        <x:v>Medium demersals (30 - 89 cm)</x:v>
      </x:c>
      <x:c r="H110" s="46" t="str">
        <x:v>Perch-likes</x:v>
      </x:c>
      <x:c r="I110" s="60" t="n">
        <x:v>72.7900664412</x:v>
      </x:c>
      <x:c r="J110" s="60" t="n">
        <x:v>72.7900664412</x:v>
      </x:c>
      <x:c r="K110" s="60" t="n">
        <x:v>0</x:v>
      </x:c>
      <x:c r="L110" s="60" t="n">
        <x:v>15.1907784049</x:v>
      </x:c>
      <x:c r="M110" s="60" t="n">
        <x:v>57.5992880363</x:v>
      </x:c>
      <x:c r="N110" s="46" t="str">
        <x:v>selene vomer</x:v>
      </x:c>
      <x:c r="O110" s="62" t="n">
        <x:v>4.29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Selene vomer</x:v>
      </x:c>
      <x:c r="T110" s="62" t="n">
        <x:f>IF(O110="","",(1/'Metadata'!$B$5)^(O110-1))</x:f>
        <x:v>19071.668343236455</x:v>
      </x:c>
      <x:c r="U110" s="60" t="n">
        <x:f>IF(T110="","",I110*T110)</x:f>
        <x:v>1388228.0058487123</x:v>
      </x:c>
    </x:row>
    <x:row r="111" ht="18" customHeight="1">
      <x:c r="A111" s="46" t="str">
        <x:v>LME_015</x:v>
      </x:c>
      <x:c r="B111" s="46" t="str">
        <x:v>South Brazil Shelf</x:v>
      </x:c>
      <x:c r="C111" s="46" t="str">
        <x:v>LME</x:v>
      </x:c>
      <x:c r="D111" s="58" t="n">
        <x:v>2019</x:v>
      </x:c>
      <x:c r="E111" s="46" t="str">
        <x:v>Crassostrea</x:v>
      </x:c>
      <x:c r="F111" s="46" t="str">
        <x:v>Cupped oysters</x:v>
      </x:c>
      <x:c r="G111" s="46" t="str">
        <x:v>Other demersal invertebrates</x:v>
      </x:c>
      <x:c r="H111" s="46" t="str">
        <x:v>Molluscs</x:v>
      </x:c>
      <x:c r="I111" s="60" t="n">
        <x:v>72.39416367540001</x:v>
      </x:c>
      <x:c r="J111" s="60" t="n">
        <x:v>72.39416367540001</x:v>
      </x:c>
      <x:c r="K111" s="60" t="n">
        <x:v>0</x:v>
      </x:c>
      <x:c r="L111" s="60" t="n">
        <x:v>66.0983159919</x:v>
      </x:c>
      <x:c r="M111" s="60" t="n">
        <x:v>6.2958476835</x:v>
      </x:c>
      <x:c r="N111" s="46" t="str">
        <x:v>crassostrea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Crassostrea</x:v>
      </x:c>
      <x:c r="T111" s="62" t="n">
        <x:f>IF(O111="","",(1/'Metadata'!$B$5)^(O111-1))</x:f>
        <x:v>20</x:v>
      </x:c>
      <x:c r="U111" s="60" t="n">
        <x:f>IF(T111="","",I111*T111)</x:f>
        <x:v>1447.8832735080002</x:v>
      </x:c>
    </x:row>
    <x:row r="112" ht="18" customHeight="1">
      <x:c r="A112" s="46" t="str">
        <x:v>LME_015</x:v>
      </x:c>
      <x:c r="B112" s="46" t="str">
        <x:v>South Brazil Shelf</x:v>
      </x:c>
      <x:c r="C112" s="46" t="str">
        <x:v>LME</x:v>
      </x:c>
      <x:c r="D112" s="58" t="n">
        <x:v>2019</x:v>
      </x:c>
      <x:c r="E112" s="46" t="str">
        <x:v>Chaceon notialis</x:v>
      </x:c>
      <x:c r="F112" s="46" t="str">
        <x:v>Red crab</x:v>
      </x:c>
      <x:c r="G112" s="46" t="str">
        <x:v>Lobsters, crabs</x:v>
      </x:c>
      <x:c r="H112" s="46" t="str">
        <x:v>Crustaceans</x:v>
      </x:c>
      <x:c r="I112" s="60" t="n">
        <x:v>66.6677576467</x:v>
      </x:c>
      <x:c r="J112" s="60" t="n">
        <x:v>66.6677576467</x:v>
      </x:c>
      <x:c r="K112" s="60" t="n">
        <x:v>0</x:v>
      </x:c>
      <x:c r="L112" s="60" t="n">
        <x:v>66.6677576467</x:v>
      </x:c>
      <x:c r="M112" s="60" t="n">
        <x:v>0</x:v>
      </x:c>
      <x:c r="N112" s="46" t="str">
        <x:v>chaceon notialis</x:v>
      </x:c>
      <x:c r="O112" s="62" t="n">
        <x:v>3.57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Chaceon notialis</x:v>
      </x:c>
      <x:c r="T112" s="62" t="n">
        <x:f>IF(O112="","",(1/'Metadata'!$B$5)^(O112-1))</x:f>
        <x:v>2206.2112196552644</x:v>
      </x:c>
      <x:c r="U112" s="60" t="n">
        <x:f>IF(T112="","",I112*T112)</x:f>
        <x:v>147083.15490940757</x:v>
      </x:c>
    </x:row>
    <x:row r="113" ht="18" customHeight="1">
      <x:c r="A113" s="46" t="str">
        <x:v>LME_015</x:v>
      </x:c>
      <x:c r="B113" s="46" t="str">
        <x:v>South Brazil Shelf</x:v>
      </x:c>
      <x:c r="C113" s="46" t="str">
        <x:v>LME</x:v>
      </x:c>
      <x:c r="D113" s="58" t="n">
        <x:v>2019</x:v>
      </x:c>
      <x:c r="E113" s="46" t="str">
        <x:v>Pogonias courbina</x:v>
      </x:c>
      <x:c r="F113" s="46" t="str">
        <x:v>Black drum</x:v>
      </x:c>
      <x:c r="G113" s="46" t="str">
        <x:v>Large demersals (&gt;=90 cm)</x:v>
      </x:c>
      <x:c r="H113" s="46" t="str">
        <x:v>Perch-likes</x:v>
      </x:c>
      <x:c r="I113" s="60" t="n">
        <x:v>63.3432051967</x:v>
      </x:c>
      <x:c r="J113" s="60" t="n">
        <x:v>63.3432051967</x:v>
      </x:c>
      <x:c r="K113" s="60" t="n">
        <x:v>0</x:v>
      </x:c>
      <x:c r="L113" s="60" t="n">
        <x:v>14.3040431954</x:v>
      </x:c>
      <x:c r="M113" s="60" t="n">
        <x:v>49.0391620013</x:v>
      </x:c>
      <x:c r="N113" s="46" t="str">
        <x:v>pogonias courbina</x:v>
      </x:c>
      <x:c r="O113" s="62" t="n">
        <x:v>3.89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Pogonias courbina</x:v>
      </x:c>
      <x:c r="T113" s="62" t="n">
        <x:f>IF(O113="","",(1/'Metadata'!$B$5)^(O113-1))</x:f>
        <x:v>5754.090490759748</x:v>
      </x:c>
      <x:c r="U113" s="60" t="n">
        <x:f>IF(T113="","",I113*T113)</x:f>
        <x:v>364482.5346765749</x:v>
      </x:c>
    </x:row>
    <x:row r="114" ht="18" customHeight="1">
      <x:c r="A114" s="46" t="str">
        <x:v>LME_015</x:v>
      </x:c>
      <x:c r="B114" s="46" t="str">
        <x:v>South Brazil Shelf</x:v>
      </x:c>
      <x:c r="C114" s="46" t="str">
        <x:v>LME</x:v>
      </x:c>
      <x:c r="D114" s="58" t="n">
        <x:v>2019</x:v>
      </x:c>
      <x:c r="E114" s="46" t="str">
        <x:v>Peprilus paru</x:v>
      </x:c>
      <x:c r="F114" s="46" t="str">
        <x:v>American harvestfish</x:v>
      </x:c>
      <x:c r="G114" s="46" t="str">
        <x:v>Small benthopelagics (&lt;30 cm)</x:v>
      </x:c>
      <x:c r="H114" s="46" t="str">
        <x:v>Perch-likes</x:v>
      </x:c>
      <x:c r="I114" s="60" t="n">
        <x:v>60.9873701975</x:v>
      </x:c>
      <x:c r="J114" s="60" t="n">
        <x:v>60.9873701975</x:v>
      </x:c>
      <x:c r="K114" s="60" t="n">
        <x:v>0</x:v>
      </x:c>
      <x:c r="L114" s="60" t="n">
        <x:v>59.7571831154</x:v>
      </x:c>
      <x:c r="M114" s="60" t="n">
        <x:v>1.2301870821</x:v>
      </x:c>
      <x:c r="N114" s="46" t="str">
        <x:v>peprilus paru</x:v>
      </x:c>
      <x:c r="O114" s="62" t="n">
        <x:v>4.5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Peprilus paru</x:v>
      </x:c>
      <x:c r="T114" s="62" t="n">
        <x:f>IF(O114="","",(1/'Metadata'!$B$5)^(O114-1))</x:f>
        <x:v>35777.08763999664</x:v>
      </x:c>
      <x:c r="U114" s="60" t="n">
        <x:f>IF(T114="","",I114*T114)</x:f>
        <x:v>2181950.4884888763</x:v>
      </x:c>
    </x:row>
    <x:row r="115" ht="18" customHeight="1">
      <x:c r="A115" s="46" t="str">
        <x:v>LME_015</x:v>
      </x:c>
      <x:c r="B115" s="46" t="str">
        <x:v>South Brazil Shelf</x:v>
      </x:c>
      <x:c r="C115" s="46" t="str">
        <x:v>LME</x:v>
      </x:c>
      <x:c r="D115" s="58" t="n">
        <x:v>2019</x:v>
      </x:c>
      <x:c r="E115" s="46" t="str">
        <x:v>Marine pelagic fishes not identified</x:v>
      </x:c>
      <x:c r="F115" s="46" t="str">
        <x:v>Pelagic fishes</x:v>
      </x:c>
      <x:c r="G115" s="46" t="str">
        <x:v>Medium pelagics (30 - 89 cm)</x:v>
      </x:c>
      <x:c r="H115" s="46" t="str">
        <x:v>Other fishes &amp; inverts</x:v>
      </x:c>
      <x:c r="I115" s="60" t="n">
        <x:v>60.8768447776</x:v>
      </x:c>
      <x:c r="J115" s="60" t="n">
        <x:v>60.8768447776</x:v>
      </x:c>
      <x:c r="K115" s="60" t="n">
        <x:v>0</x:v>
      </x:c>
      <x:c r="L115" s="60" t="n">
        <x:v>60.8768447776</x:v>
      </x:c>
      <x:c r="M115" s="60" t="n">
        <x:v>0</x:v>
      </x:c>
      <x:c r="N115" s="46" t="str">
        <x:v>marine pelagic fishes not identified</x:v>
      </x:c>
      <x:c r="O115" s="62" t="n">
        <x:v>3.35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Marine pelagic fishes not identified</x:v>
      </x:c>
      <x:c r="T115" s="62" t="n">
        <x:f>IF(O115="","",(1/'Metadata'!$B$5)^(O115-1))</x:f>
        <x:v>1141.3543275066227</x:v>
      </x:c>
      <x:c r="U115" s="60" t="n">
        <x:f>IF(T115="","",I115*T115)</x:f>
        <x:v>69482.0502318627</x:v>
      </x:c>
    </x:row>
    <x:row r="116" ht="18" customHeight="1">
      <x:c r="A116" s="46" t="str">
        <x:v>LME_015</x:v>
      </x:c>
      <x:c r="B116" s="46" t="str">
        <x:v>South Brazil Shelf</x:v>
      </x:c>
      <x:c r="C116" s="46" t="str">
        <x:v>LME</x:v>
      </x:c>
      <x:c r="D116" s="58" t="n">
        <x:v>2019</x:v>
      </x:c>
      <x:c r="E116" s="46" t="str">
        <x:v>Atlantoraja cyclophora</x:v>
      </x:c>
      <x:c r="F116" s="46" t="str">
        <x:v>Eyespot skate</x:v>
      </x:c>
      <x:c r="G116" s="46" t="str">
        <x:v>Small to medium rays (&lt;90 cm)</x:v>
      </x:c>
      <x:c r="H116" s="46" t="str">
        <x:v>Sharks &amp; rays</x:v>
      </x:c>
      <x:c r="I116" s="60" t="n">
        <x:v>59.5829080214</x:v>
      </x:c>
      <x:c r="J116" s="60" t="n">
        <x:v>59.5829080214</x:v>
      </x:c>
      <x:c r="K116" s="60" t="n">
        <x:v>0</x:v>
      </x:c>
      <x:c r="L116" s="60" t="n">
        <x:v>0.0598675756</x:v>
      </x:c>
      <x:c r="M116" s="60" t="n">
        <x:v>59.52304044580001</x:v>
      </x:c>
      <x:c r="N116" s="46" t="str">
        <x:v>atlantoraja cyclophora</x:v>
      </x:c>
      <x:c r="O116" s="62" t="n">
        <x:v>3.5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Atlantoraja cyclophora</x:v>
      </x:c>
      <x:c r="T116" s="62" t="n">
        <x:f>IF(O116="","",(1/'Metadata'!$B$5)^(O116-1))</x:f>
        <x:v>1788.8543819998317</x:v>
      </x:c>
      <x:c r="U116" s="60" t="n">
        <x:f>IF(T116="","",I116*T116)</x:f>
        <x:v>106585.14610637432</x:v>
      </x:c>
    </x:row>
    <x:row r="117" ht="18" customHeight="1">
      <x:c r="A117" s="46" t="str">
        <x:v>LME_015</x:v>
      </x:c>
      <x:c r="B117" s="46" t="str">
        <x:v>South Brazil Shelf</x:v>
      </x:c>
      <x:c r="C117" s="46" t="str">
        <x:v>LME</x:v>
      </x:c>
      <x:c r="D117" s="58" t="n">
        <x:v>2019</x:v>
      </x:c>
      <x:c r="E117" s="46" t="str">
        <x:v>Panulirus</x:v>
      </x:c>
      <x:c r="F117" s="46" t="str">
        <x:v>Spiny lobsters</x:v>
      </x:c>
      <x:c r="G117" s="46" t="str">
        <x:v>Lobsters, crabs</x:v>
      </x:c>
      <x:c r="H117" s="46" t="str">
        <x:v>Crustaceans</x:v>
      </x:c>
      <x:c r="I117" s="60" t="n">
        <x:v>53.3896356114</x:v>
      </x:c>
      <x:c r="J117" s="60" t="n">
        <x:v>53.3896356114</x:v>
      </x:c>
      <x:c r="K117" s="60" t="n">
        <x:v>0</x:v>
      </x:c>
      <x:c r="L117" s="60" t="n">
        <x:v>52.3099591095</x:v>
      </x:c>
      <x:c r="M117" s="60" t="n">
        <x:v>1.0796765019</x:v>
      </x:c>
      <x:c r="N117" s="46" t="str">
        <x:v>panulirus</x:v>
      </x:c>
      <x:c r="O117" s="62" t="n">
        <x:v>2.6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Panulirus</x:v>
      </x:c>
      <x:c r="T117" s="62" t="n">
        <x:f>IF(O117="","",(1/'Metadata'!$B$5)^(O117-1))</x:f>
        <x:v>120.6835267309033</x:v>
      </x:c>
      <x:c r="U117" s="60" t="n">
        <x:f>IF(T117="","",I117*T117)</x:f>
        <x:v>6443.249516461578</x:v>
      </x:c>
    </x:row>
    <x:row r="118" ht="18" customHeight="1">
      <x:c r="A118" s="46" t="str">
        <x:v>LME_015</x:v>
      </x:c>
      <x:c r="B118" s="46" t="str">
        <x:v>South Brazil Shelf</x:v>
      </x:c>
      <x:c r="C118" s="46" t="str">
        <x:v>LME</x:v>
      </x:c>
      <x:c r="D118" s="58" t="n">
        <x:v>2019</x:v>
      </x:c>
      <x:c r="E118" s="46" t="str">
        <x:v>Octopus vulgaris</x:v>
      </x:c>
      <x:c r="F118" s="46" t="str">
        <x:v>Common octopus</x:v>
      </x:c>
      <x:c r="G118" s="46" t="str">
        <x:v>Cephalopods</x:v>
      </x:c>
      <x:c r="H118" s="46" t="str">
        <x:v>Other fishes &amp; inverts</x:v>
      </x:c>
      <x:c r="I118" s="60" t="n">
        <x:v>52.7504782616</x:v>
      </x:c>
      <x:c r="J118" s="60" t="n">
        <x:v>52.7504782616</x:v>
      </x:c>
      <x:c r="K118" s="60" t="n">
        <x:v>0</x:v>
      </x:c>
      <x:c r="L118" s="60" t="n">
        <x:v>43.5395547331</x:v>
      </x:c>
      <x:c r="M118" s="60" t="n">
        <x:v>9.2109235285</x:v>
      </x:c>
      <x:c r="N118" s="46" t="str">
        <x:v>octopus vulgaris</x:v>
      </x:c>
      <x:c r="O118" s="62" t="n">
        <x:v>3.6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Octopus vulgaris</x:v>
      </x:c>
      <x:c r="T118" s="62" t="n">
        <x:f>IF(O118="","",(1/'Metadata'!$B$5)^(O118-1))</x:f>
        <x:v>2413.670534618066</x:v>
      </x:c>
      <x:c r="U118" s="60" t="n">
        <x:f>IF(T118="","",I118*T118)</x:f>
        <x:v>127322.27506703475</x:v>
      </x:c>
    </x:row>
    <x:row r="119" ht="18" customHeight="1">
      <x:c r="A119" s="46" t="str">
        <x:v>LME_015</x:v>
      </x:c>
      <x:c r="B119" s="46" t="str">
        <x:v>South Brazil Shelf</x:v>
      </x:c>
      <x:c r="C119" s="46" t="str">
        <x:v>LME</x:v>
      </x:c>
      <x:c r="D119" s="58" t="n">
        <x:v>2019</x:v>
      </x:c>
      <x:c r="E119" s="46" t="str">
        <x:v>Octopodidae</x:v>
      </x:c>
      <x:c r="F119" s="46" t="str">
        <x:v>Octopuses</x:v>
      </x:c>
      <x:c r="G119" s="46" t="str">
        <x:v>Cephalopods</x:v>
      </x:c>
      <x:c r="H119" s="46" t="str">
        <x:v>Other fishes &amp; inverts</x:v>
      </x:c>
      <x:c r="I119" s="60" t="n">
        <x:v>52.4193910378</x:v>
      </x:c>
      <x:c r="J119" s="60" t="n">
        <x:v>52.4193910378</x:v>
      </x:c>
      <x:c r="K119" s="60" t="n">
        <x:v>0</x:v>
      </x:c>
      <x:c r="L119" s="60" t="n">
        <x:v>50.899959530800004</x:v>
      </x:c>
      <x:c r="M119" s="60" t="n">
        <x:v>1.519431507</x:v>
      </x:c>
      <x:c r="N119" s="46" t="str">
        <x:v>octopodidae</x:v>
      </x:c>
      <x:c r="O119" s="62" t="n">
        <x:v>3.59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Octopodidae</x:v>
      </x:c>
      <x:c r="T119" s="62" t="n">
        <x:f>IF(O119="","",(1/'Metadata'!$B$5)^(O119-1))</x:f>
        <x:v>2342.4357563948306</x:v>
      </x:c>
      <x:c r="U119" s="60" t="n">
        <x:f>IF(T119="","",I119*T119)</x:f>
        <x:v>122789.05589538543</x:v>
      </x:c>
    </x:row>
    <x:row r="120" ht="18" customHeight="1">
      <x:c r="A120" s="46" t="str">
        <x:v>LME_015</x:v>
      </x:c>
      <x:c r="B120" s="46" t="str">
        <x:v>South Brazil Shelf</x:v>
      </x:c>
      <x:c r="C120" s="46" t="str">
        <x:v>LME</x:v>
      </x:c>
      <x:c r="D120" s="58" t="n">
        <x:v>2019</x:v>
      </x:c>
      <x:c r="E120" s="46" t="str">
        <x:v>Sardinella aurita</x:v>
      </x:c>
      <x:c r="F120" s="46" t="str">
        <x:v>Round sardinella</x:v>
      </x:c>
      <x:c r="G120" s="46" t="str">
        <x:v>Small pelagics (&lt;30 cm)</x:v>
      </x:c>
      <x:c r="H120" s="46" t="str">
        <x:v>Herring-likes</x:v>
      </x:c>
      <x:c r="I120" s="60" t="n">
        <x:v>48.3909192455</x:v>
      </x:c>
      <x:c r="J120" s="60" t="n">
        <x:v>48.3909192455</x:v>
      </x:c>
      <x:c r="K120" s="60" t="n">
        <x:v>0</x:v>
      </x:c>
      <x:c r="L120" s="60" t="n">
        <x:v>48.3909192455</x:v>
      </x:c>
      <x:c r="M120" s="60" t="n">
        <x:v>0</x:v>
      </x:c>
      <x:c r="N120" s="46" t="str">
        <x:v>sardinella aurita</x:v>
      </x:c>
      <x:c r="O120" s="62" t="n">
        <x:v>3.4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Sardinella aurita</x:v>
      </x:c>
      <x:c r="T120" s="62" t="n">
        <x:f>IF(O120="","",(1/'Metadata'!$B$5)^(O120-1))</x:f>
        <x:v>1325.7816069359944</x:v>
      </x:c>
      <x:c r="U120" s="60" t="n">
        <x:f>IF(T120="","",I120*T120)</x:f>
        <x:v>64155.79067840893</x:v>
      </x:c>
    </x:row>
    <x:row r="121" ht="18" customHeight="1">
      <x:c r="A121" s="46" t="str">
        <x:v>LME_015</x:v>
      </x:c>
      <x:c r="B121" s="46" t="str">
        <x:v>South Brazil Shelf</x:v>
      </x:c>
      <x:c r="C121" s="46" t="str">
        <x:v>LME</x:v>
      </x:c>
      <x:c r="D121" s="58" t="n">
        <x:v>2019</x:v>
      </x:c>
      <x:c r="E121" s="46" t="str">
        <x:v>Kajikia albida</x:v>
      </x:c>
      <x:c r="F121" s="46" t="str">
        <x:v>Atlantic white marlin</x:v>
      </x:c>
      <x:c r="G121" s="46" t="str">
        <x:v>Large pelagics (&gt;=90 cm)</x:v>
      </x:c>
      <x:c r="H121" s="46" t="str">
        <x:v>Tuna &amp; billfishes</x:v>
      </x:c>
      <x:c r="I121" s="60" t="n">
        <x:v>45.4179303148</x:v>
      </x:c>
      <x:c r="J121" s="60" t="n">
        <x:v>45.4179303148</x:v>
      </x:c>
      <x:c r="K121" s="60" t="n">
        <x:v>0</x:v>
      </x:c>
      <x:c r="L121" s="60" t="n">
        <x:v>45.40758813830001</x:v>
      </x:c>
      <x:c r="M121" s="60" t="n">
        <x:v>0.0103421765</x:v>
      </x:c>
      <x:c r="N121" s="46" t="str">
        <x:v>kajikia albida</x:v>
      </x:c>
      <x:c r="O121" s="62" t="n">
        <x:v>4.49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Kajikia albida</x:v>
      </x:c>
      <x:c r="T121" s="62" t="n">
        <x:f>IF(O121="","",(1/'Metadata'!$B$5)^(O121-1))</x:f>
        <x:v>34721.19667768202</x:v>
      </x:c>
      <x:c r="U121" s="60" t="n">
        <x:f>IF(T121="","",I121*T121)</x:f>
        <x:v>1576964.8911534273</x:v>
      </x:c>
    </x:row>
    <x:row r="122" ht="18" customHeight="1">
      <x:c r="A122" s="46" t="str">
        <x:v>LME_015</x:v>
      </x:c>
      <x:c r="B122" s="46" t="str">
        <x:v>South Brazil Shelf</x:v>
      </x:c>
      <x:c r="C122" s="46" t="str">
        <x:v>LME</x:v>
      </x:c>
      <x:c r="D122" s="58" t="n">
        <x:v>2019</x:v>
      </x:c>
      <x:c r="E122" s="46" t="str">
        <x:v>Mycteroperca</x:v>
      </x:c>
      <x:c r="F122" s="46" t="str">
        <x:v>Scamps, gags</x:v>
      </x:c>
      <x:c r="G122" s="46" t="str">
        <x:v>Medium reef assoc. fish (30 - 89 cm)</x:v>
      </x:c>
      <x:c r="H122" s="46" t="str">
        <x:v>Perch-likes</x:v>
      </x:c>
      <x:c r="I122" s="60" t="n">
        <x:v>45.0944474064</x:v>
      </x:c>
      <x:c r="J122" s="60" t="n">
        <x:v>45.0944474064</x:v>
      </x:c>
      <x:c r="K122" s="60" t="n">
        <x:v>0</x:v>
      </x:c>
      <x:c r="L122" s="60" t="n">
        <x:v>29.0331975917</x:v>
      </x:c>
      <x:c r="M122" s="60" t="n">
        <x:v>16.061249814700002</x:v>
      </x:c>
      <x:c r="N122" s="46" t="str">
        <x:v>mycteroperca</x:v>
      </x:c>
      <x:c r="O122" s="62" t="n">
        <x:v>4.35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Mycteroperca</x:v>
      </x:c>
      <x:c r="T122" s="62" t="n">
        <x:f>IF(O122="","",(1/'Metadata'!$B$5)^(O122-1))</x:f>
        <x:v>22827.086550132422</x:v>
      </x:c>
      <x:c r="U122" s="60" t="n">
        <x:f>IF(T122="","",I122*T122)</x:f>
        <x:v>1029374.8538762874</x:v>
      </x:c>
    </x:row>
    <x:row r="123" ht="18" customHeight="1">
      <x:c r="A123" s="46" t="str">
        <x:v>LME_015</x:v>
      </x:c>
      <x:c r="B123" s="46" t="str">
        <x:v>South Brazil Shelf</x:v>
      </x:c>
      <x:c r="C123" s="46" t="str">
        <x:v>LME</x:v>
      </x:c>
      <x:c r="D123" s="58" t="n">
        <x:v>2019</x:v>
      </x:c>
      <x:c r="E123" s="46" t="str">
        <x:v>Mugilidae</x:v>
      </x:c>
      <x:c r="F123" s="46" t="str">
        <x:v>Mullets, grey mullets</x:v>
      </x:c>
      <x:c r="G123" s="46" t="str">
        <x:v>Medium reef assoc. fish (30 - 89 cm)</x:v>
      </x:c>
      <x:c r="H123" s="46" t="str">
        <x:v>Perch-likes</x:v>
      </x:c>
      <x:c r="I123" s="60" t="n">
        <x:v>44.7663230295</x:v>
      </x:c>
      <x:c r="J123" s="60" t="n">
        <x:v>44.7663230295</x:v>
      </x:c>
      <x:c r="K123" s="60" t="n">
        <x:v>0</x:v>
      </x:c>
      <x:c r="L123" s="60" t="n">
        <x:v>7.8188097386</x:v>
      </x:c>
      <x:c r="M123" s="60" t="n">
        <x:v>36.9475132909</x:v>
      </x:c>
      <x:c r="N123" s="46" t="str">
        <x:v>mugilidae</x:v>
      </x:c>
      <x:c r="O123" s="62" t="n">
        <x:v>2.53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Mugilidae</x:v>
      </x:c>
      <x:c r="T123" s="62" t="n">
        <x:f>IF(O123="","",(1/'Metadata'!$B$5)^(O123-1))</x:f>
        <x:v>97.8533939563155</x:v>
      </x:c>
      <x:c r="U123" s="60" t="n">
        <x:f>IF(T123="","",I123*T123)</x:f>
        <x:v>4380.536643381342</x:v>
      </x:c>
    </x:row>
    <x:row r="124" ht="18" customHeight="1">
      <x:c r="A124" s="46" t="str">
        <x:v>LME_015</x:v>
      </x:c>
      <x:c r="B124" s="46" t="str">
        <x:v>South Brazil Shelf</x:v>
      </x:c>
      <x:c r="C124" s="46" t="str">
        <x:v>LME</x:v>
      </x:c>
      <x:c r="D124" s="58" t="n">
        <x:v>2019</x:v>
      </x:c>
      <x:c r="E124" s="46" t="str">
        <x:v>Cynoscion virescens</x:v>
      </x:c>
      <x:c r="F124" s="46" t="str">
        <x:v>Green weakfish</x:v>
      </x:c>
      <x:c r="G124" s="46" t="str">
        <x:v>Large demersals (&gt;=90 cm)</x:v>
      </x:c>
      <x:c r="H124" s="46" t="str">
        <x:v>Perch-likes</x:v>
      </x:c>
      <x:c r="I124" s="60" t="n">
        <x:v>44.538109105100006</x:v>
      </x:c>
      <x:c r="J124" s="60" t="n">
        <x:v>16.1153180931</x:v>
      </x:c>
      <x:c r="K124" s="60" t="n">
        <x:v>28.422791012</x:v>
      </x:c>
      <x:c r="L124" s="60" t="n">
        <x:v>6.6795529723</x:v>
      </x:c>
      <x:c r="M124" s="60" t="n">
        <x:v>37.858556132800004</x:v>
      </x:c>
      <x:c r="N124" s="46" t="str">
        <x:v>cynoscion virescens</x:v>
      </x:c>
      <x:c r="O124" s="62" t="n">
        <x:v>4.03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Cynoscion virescens</x:v>
      </x:c>
      <x:c r="T124" s="62" t="n">
        <x:f>IF(O124="","",(1/'Metadata'!$B$5)^(O124-1))</x:f>
        <x:v>8752.273628615554</x:v>
      </x:c>
      <x:c r="U124" s="60" t="n">
        <x:f>IF(T124="","",I124*T124)</x:f>
        <x:v>389809.71778896905</x:v>
      </x:c>
    </x:row>
    <x:row r="125" ht="18" customHeight="1">
      <x:c r="A125" s="46" t="str">
        <x:v>LME_015</x:v>
      </x:c>
      <x:c r="B125" s="46" t="str">
        <x:v>South Brazil Shelf</x:v>
      </x:c>
      <x:c r="C125" s="46" t="str">
        <x:v>LME</x:v>
      </x:c>
      <x:c r="D125" s="58" t="n">
        <x:v>2019</x:v>
      </x:c>
      <x:c r="E125" s="46" t="str">
        <x:v>Caranx crysos</x:v>
      </x:c>
      <x:c r="F125" s="46" t="str">
        <x:v>Blue runner</x:v>
      </x:c>
      <x:c r="G125" s="46" t="str">
        <x:v>Medium reef assoc. fish (30 - 89 cm)</x:v>
      </x:c>
      <x:c r="H125" s="46" t="str">
        <x:v>Perch-likes</x:v>
      </x:c>
      <x:c r="I125" s="60" t="n">
        <x:v>44.452569944000004</x:v>
      </x:c>
      <x:c r="J125" s="60" t="n">
        <x:v>44.452569944000004</x:v>
      </x:c>
      <x:c r="K125" s="60" t="n">
        <x:v>0</x:v>
      </x:c>
      <x:c r="L125" s="60" t="n">
        <x:v>43.500846045</x:v>
      </x:c>
      <x:c r="M125" s="60" t="n">
        <x:v>0.951723899</x:v>
      </x:c>
      <x:c r="N125" s="46" t="str">
        <x:v>caranx crysos</x:v>
      </x:c>
      <x:c r="O125" s="62" t="n">
        <x:v>4.13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Caranx crysos</x:v>
      </x:c>
      <x:c r="T125" s="62" t="n">
        <x:f>IF(O125="","",(1/'Metadata'!$B$5)^(O125-1))</x:f>
        <x:v>11809.292685236613</x:v>
      </x:c>
      <x:c r="U125" s="60" t="n">
        <x:f>IF(T125="","",I125*T125)</x:f>
        <x:v>524953.4090796482</x:v>
      </x:c>
    </x:row>
    <x:row r="126" ht="18" customHeight="1">
      <x:c r="A126" s="46" t="str">
        <x:v>LME_015</x:v>
      </x:c>
      <x:c r="B126" s="46" t="str">
        <x:v>South Brazil Shelf</x:v>
      </x:c>
      <x:c r="C126" s="46" t="str">
        <x:v>LME</x:v>
      </x:c>
      <x:c r="D126" s="58" t="n">
        <x:v>2019</x:v>
      </x:c>
      <x:c r="E126" s="46" t="str">
        <x:v>Seriola lalandi</x:v>
      </x:c>
      <x:c r="F126" s="46" t="str">
        <x:v>Yellowtail amberjack</x:v>
      </x:c>
      <x:c r="G126" s="46" t="str">
        <x:v>Large benthopelagics (&gt;=90 cm)</x:v>
      </x:c>
      <x:c r="H126" s="46" t="str">
        <x:v>Perch-likes</x:v>
      </x:c>
      <x:c r="I126" s="60" t="n">
        <x:v>43.5099402514</x:v>
      </x:c>
      <x:c r="J126" s="60" t="n">
        <x:v>43.5099402514</x:v>
      </x:c>
      <x:c r="K126" s="60" t="n">
        <x:v>0</x:v>
      </x:c>
      <x:c r="L126" s="60" t="n">
        <x:v>41.8268636786</x:v>
      </x:c>
      <x:c r="M126" s="60" t="n">
        <x:v>1.6830765728</x:v>
      </x:c>
      <x:c r="N126" s="46" t="str">
        <x:v>seriola lalandi</x:v>
      </x:c>
      <x:c r="O126" s="62" t="n">
        <x:v>4.16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Seriola lalandi</x:v>
      </x:c>
      <x:c r="T126" s="62" t="n">
        <x:f>IF(O126="","",(1/'Metadata'!$B$5)^(O126-1))</x:f>
        <x:v>12919.77011769987</x:v>
      </x:c>
      <x:c r="U126" s="60" t="n">
        <x:f>IF(T126="","",I126*T126)</x:f>
        <x:v>562138.4258829446</x:v>
      </x:c>
    </x:row>
    <x:row r="127" ht="18" customHeight="1">
      <x:c r="A127" s="46" t="str">
        <x:v>LME_015</x:v>
      </x:c>
      <x:c r="B127" s="46" t="str">
        <x:v>South Brazil Shelf</x:v>
      </x:c>
      <x:c r="C127" s="46" t="str">
        <x:v>LME</x:v>
      </x:c>
      <x:c r="D127" s="58" t="n">
        <x:v>2019</x:v>
      </x:c>
      <x:c r="E127" s="46" t="str">
        <x:v>Lepidocybium flavobrunneum</x:v>
      </x:c>
      <x:c r="F127" s="46" t="str">
        <x:v>Escolar</x:v>
      </x:c>
      <x:c r="G127" s="46" t="str">
        <x:v>Large bathypelagics (&gt;=90 cm)</x:v>
      </x:c>
      <x:c r="H127" s="46" t="str">
        <x:v>Perch-likes</x:v>
      </x:c>
      <x:c r="I127" s="60" t="n">
        <x:v>42.134236919500005</x:v>
      </x:c>
      <x:c r="J127" s="60" t="n">
        <x:v>42.134236919500005</x:v>
      </x:c>
      <x:c r="K127" s="60" t="n">
        <x:v>0</x:v>
      </x:c>
      <x:c r="L127" s="60" t="n">
        <x:v>41.914471494400004</x:v>
      </x:c>
      <x:c r="M127" s="60" t="n">
        <x:v>0.21976542510000002</x:v>
      </x:c>
      <x:c r="N127" s="46" t="str">
        <x:v>lepidocybium flavobrunneum</x:v>
      </x:c>
      <x:c r="O127" s="62" t="n">
        <x:v>4.34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Lepidocybium flavobrunneum</x:v>
      </x:c>
      <x:c r="T127" s="62" t="n">
        <x:f>IF(O127="","",(1/'Metadata'!$B$5)^(O127-1))</x:f>
        <x:v>22153.389612394185</x:v>
      </x:c>
      <x:c r="U127" s="60" t="n">
        <x:f>IF(T127="","",I127*T127)</x:f>
        <x:v>933416.1664986069</x:v>
      </x:c>
    </x:row>
    <x:row r="128" ht="18" customHeight="1">
      <x:c r="A128" s="46" t="str">
        <x:v>LME_015</x:v>
      </x:c>
      <x:c r="B128" s="46" t="str">
        <x:v>South Brazil Shelf</x:v>
      </x:c>
      <x:c r="C128" s="46" t="str">
        <x:v>LME</x:v>
      </x:c>
      <x:c r="D128" s="58" t="n">
        <x:v>2019</x:v>
      </x:c>
      <x:c r="E128" s="46" t="str">
        <x:v>Portunidae</x:v>
      </x:c>
      <x:c r="F128" s="46" t="str">
        <x:v>Swimming crabs</x:v>
      </x:c>
      <x:c r="G128" s="46" t="str">
        <x:v>Lobsters, crabs</x:v>
      </x:c>
      <x:c r="H128" s="46" t="str">
        <x:v>Crustaceans</x:v>
      </x:c>
      <x:c r="I128" s="60" t="n">
        <x:v>41.3665151841</x:v>
      </x:c>
      <x:c r="J128" s="60" t="n">
        <x:v>41.3665151841</x:v>
      </x:c>
      <x:c r="K128" s="60" t="n">
        <x:v>0</x:v>
      </x:c>
      <x:c r="L128" s="60" t="n">
        <x:v>41.3665151841</x:v>
      </x:c>
      <x:c r="M128" s="60" t="n">
        <x:v>0</x:v>
      </x:c>
      <x:c r="N128" s="46" t="str">
        <x:v>portunidae</x:v>
      </x:c>
      <x:c r="O128" s="62" t="n">
        <x:v>3.56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Portunidae</x:v>
      </x:c>
      <x:c r="T128" s="62" t="n">
        <x:f>IF(O128="","",(1/'Metadata'!$B$5)^(O128-1))</x:f>
        <x:v>2141.099198485972</x:v>
      </x:c>
      <x:c r="U128" s="60" t="n">
        <x:f>IF(T128="","",I128*T128)</x:f>
        <x:v>88569.8125048343</x:v>
      </x:c>
    </x:row>
    <x:row r="129" ht="18" customHeight="1">
      <x:c r="A129" s="46" t="str">
        <x:v>LME_015</x:v>
      </x:c>
      <x:c r="B129" s="46" t="str">
        <x:v>South Brazil Shelf</x:v>
      </x:c>
      <x:c r="C129" s="46" t="str">
        <x:v>LME</x:v>
      </x:c>
      <x:c r="D129" s="58" t="n">
        <x:v>2019</x:v>
      </x:c>
      <x:c r="E129" s="46" t="str">
        <x:v>Harengula jaguana</x:v>
      </x:c>
      <x:c r="F129" s="46" t="str">
        <x:v>Scaled herring</x:v>
      </x:c>
      <x:c r="G129" s="46" t="str">
        <x:v>Small pelagics (&lt;30 cm)</x:v>
      </x:c>
      <x:c r="H129" s="46" t="str">
        <x:v>Herring-likes</x:v>
      </x:c>
      <x:c r="I129" s="60" t="n">
        <x:v>41.2693678415</x:v>
      </x:c>
      <x:c r="J129" s="60" t="n">
        <x:v>41.2693678415</x:v>
      </x:c>
      <x:c r="K129" s="60" t="n">
        <x:v>0</x:v>
      </x:c>
      <x:c r="L129" s="60" t="n">
        <x:v>41.2693678415</x:v>
      </x:c>
      <x:c r="M129" s="60" t="n">
        <x:v>0</x:v>
      </x:c>
      <x:c r="N129" s="46" t="str">
        <x:v>harengula jaguana</x:v>
      </x:c>
      <x:c r="O129" s="62" t="n">
        <x:v>3.42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Harengula jaguana</x:v>
      </x:c>
      <x:c r="T129" s="62" t="n">
        <x:f>IF(O129="","",(1/'Metadata'!$B$5)^(O129-1))</x:f>
        <x:v>1407.643209131506</x:v>
      </x:c>
      <x:c r="U129" s="60" t="n">
        <x:f>IF(T129="","",I129*T129)</x:f>
        <x:v>58092.54538723763</x:v>
      </x:c>
    </x:row>
    <x:row r="130" ht="18" customHeight="1">
      <x:c r="A130" s="46" t="str">
        <x:v>LME_015</x:v>
      </x:c>
      <x:c r="B130" s="46" t="str">
        <x:v>South Brazil Shelf</x:v>
      </x:c>
      <x:c r="C130" s="46" t="str">
        <x:v>LME</x:v>
      </x:c>
      <x:c r="D130" s="58" t="n">
        <x:v>2019</x:v>
      </x:c>
      <x:c r="E130" s="46" t="str">
        <x:v>Priacanthus arenatus</x:v>
      </x:c>
      <x:c r="F130" s="46" t="str">
        <x:v>Atlantic bigeye</x:v>
      </x:c>
      <x:c r="G130" s="46" t="str">
        <x:v>Medium reef assoc. fish (30 - 89 cm)</x:v>
      </x:c>
      <x:c r="H130" s="46" t="str">
        <x:v>Perch-likes</x:v>
      </x:c>
      <x:c r="I130" s="60" t="n">
        <x:v>40.8109038418</x:v>
      </x:c>
      <x:c r="J130" s="60" t="n">
        <x:v>40.8109038418</x:v>
      </x:c>
      <x:c r="K130" s="60" t="n">
        <x:v>0</x:v>
      </x:c>
      <x:c r="L130" s="60" t="n">
        <x:v>39.9156983603</x:v>
      </x:c>
      <x:c r="M130" s="60" t="n">
        <x:v>0.8952054815000001</x:v>
      </x:c>
      <x:c r="N130" s="46" t="str">
        <x:v>priacanthus arenatus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Priacanthus arenatus</x:v>
      </x:c>
      <x:c r="T130" s="62" t="n">
        <x:f>IF(O130="","",(1/'Metadata'!$B$5)^(O130-1))</x:f>
        <x:v>9018.435152653688</x:v>
      </x:c>
      <x:c r="U130" s="60" t="n">
        <x:f>IF(T130="","",I130*T130)</x:f>
        <x:v>368050.48981845856</x:v>
      </x:c>
    </x:row>
    <x:row r="131" ht="18" customHeight="1">
      <x:c r="A131" s="46" t="str">
        <x:v>LME_015</x:v>
      </x:c>
      <x:c r="B131" s="46" t="str">
        <x:v>South Brazil Shelf</x:v>
      </x:c>
      <x:c r="C131" s="46" t="str">
        <x:v>LME</x:v>
      </x:c>
      <x:c r="D131" s="58" t="n">
        <x:v>2019</x:v>
      </x:c>
      <x:c r="E131" s="46" t="str">
        <x:v>Epinephelus marginatus</x:v>
      </x:c>
      <x:c r="F131" s="46" t="str">
        <x:v>Dusky grouper</x:v>
      </x:c>
      <x:c r="G131" s="46" t="str">
        <x:v>Large reef assoc. fish (&gt;=90 cm)</x:v>
      </x:c>
      <x:c r="H131" s="46" t="str">
        <x:v>Perch-likes</x:v>
      </x:c>
      <x:c r="I131" s="60" t="n">
        <x:v>39.4049632132</x:v>
      </x:c>
      <x:c r="J131" s="60" t="n">
        <x:v>39.4049632132</x:v>
      </x:c>
      <x:c r="K131" s="60" t="n">
        <x:v>0</x:v>
      </x:c>
      <x:c r="L131" s="60" t="n">
        <x:v>32.150187537899996</x:v>
      </x:c>
      <x:c r="M131" s="60" t="n">
        <x:v>7.2547756752999994</x:v>
      </x:c>
      <x:c r="N131" s="46" t="str">
        <x:v>epinephelus marginatus</x:v>
      </x:c>
      <x:c r="O131" s="62" t="n">
        <x:v>4.43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marginatus</x:v>
      </x:c>
      <x:c r="T131" s="62" t="n">
        <x:f>IF(O131="","",(1/'Metadata'!$B$5)^(O131-1))</x:f>
        <x:v>29009.008489223597</x:v>
      </x:c>
      <x:c r="U131" s="60" t="n">
        <x:f>IF(T131="","",I131*T131)</x:f>
        <x:v>1143098.9123692624</x:v>
      </x:c>
    </x:row>
    <x:row r="132" ht="18" customHeight="1">
      <x:c r="A132" s="46" t="str">
        <x:v>LME_015</x:v>
      </x:c>
      <x:c r="B132" s="46" t="str">
        <x:v>South Brazil Shelf</x:v>
      </x:c>
      <x:c r="C132" s="46" t="str">
        <x:v>LME</x:v>
      </x:c>
      <x:c r="D132" s="58" t="n">
        <x:v>2019</x:v>
      </x:c>
      <x:c r="E132" s="46" t="str">
        <x:v>Menticirrhus americanus</x:v>
      </x:c>
      <x:c r="F132" s="46" t="str">
        <x:v>Southern kingcroaker</x:v>
      </x:c>
      <x:c r="G132" s="46" t="str">
        <x:v>Medium demersals (30 - 89 cm)</x:v>
      </x:c>
      <x:c r="H132" s="46" t="str">
        <x:v>Perch-likes</x:v>
      </x:c>
      <x:c r="I132" s="60" t="n">
        <x:v>37.6827646804</x:v>
      </x:c>
      <x:c r="J132" s="60" t="n">
        <x:v>37.6827646804</x:v>
      </x:c>
      <x:c r="K132" s="60" t="n">
        <x:v>0</x:v>
      </x:c>
      <x:c r="L132" s="60" t="n">
        <x:v>36.3967467938</x:v>
      </x:c>
      <x:c r="M132" s="60" t="n">
        <x:v>1.2860178866</x:v>
      </x:c>
      <x:c r="N132" s="46" t="str">
        <x:v>menticirrhus americanus</x:v>
      </x:c>
      <x:c r="O132" s="62" t="n">
        <x:v>3.5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Menticirrhus americanus</x:v>
      </x:c>
      <x:c r="T132" s="62" t="n">
        <x:f>IF(O132="","",(1/'Metadata'!$B$5)^(O132-1))</x:f>
        <x:v>1788.8543819998317</x:v>
      </x:c>
      <x:c r="U132" s="60" t="n">
        <x:f>IF(T132="","",I132*T132)</x:f>
        <x:v>67408.97872440203</x:v>
      </x:c>
    </x:row>
    <x:row r="133" ht="18" customHeight="1">
      <x:c r="A133" s="46" t="str">
        <x:v>LME_015</x:v>
      </x:c>
      <x:c r="B133" s="46" t="str">
        <x:v>South Brazil Shelf</x:v>
      </x:c>
      <x:c r="C133" s="46" t="str">
        <x:v>LME</x:v>
      </x:c>
      <x:c r="D133" s="58" t="n">
        <x:v>2019</x:v>
      </x:c>
      <x:c r="E133" s="46" t="str">
        <x:v>Galeorhinus galeus</x:v>
      </x:c>
      <x:c r="F133" s="46" t="str">
        <x:v>Tope shark</x:v>
      </x:c>
      <x:c r="G133" s="46" t="str">
        <x:v>Large sharks (&gt;=90 cm)</x:v>
      </x:c>
      <x:c r="H133" s="46" t="str">
        <x:v>Sharks &amp; rays</x:v>
      </x:c>
      <x:c r="I133" s="60" t="n">
        <x:v>37.4562939</x:v>
      </x:c>
      <x:c r="J133" s="60" t="n">
        <x:v>37.4562939</x:v>
      </x:c>
      <x:c r="K133" s="60" t="n">
        <x:v>0</x:v>
      </x:c>
      <x:c r="L133" s="60" t="n">
        <x:v>37.3510937294</x:v>
      </x:c>
      <x:c r="M133" s="60" t="n">
        <x:v>0.1052001706</x:v>
      </x:c>
      <x:c r="N133" s="46" t="str">
        <x:v>galeorhinus galeus</x:v>
      </x:c>
      <x:c r="O133" s="62" t="n">
        <x:v>4.34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Galeorhinus galeus</x:v>
      </x:c>
      <x:c r="T133" s="62" t="n">
        <x:f>IF(O133="","",(1/'Metadata'!$B$5)^(O133-1))</x:f>
        <x:v>22153.389612394185</x:v>
      </x:c>
      <x:c r="U133" s="60" t="n">
        <x:f>IF(T133="","",I133*T133)</x:f>
        <x:v>829783.8722030437</x:v>
      </x:c>
    </x:row>
    <x:row r="134" ht="18" customHeight="1">
      <x:c r="A134" s="46" t="str">
        <x:v>LME_015</x:v>
      </x:c>
      <x:c r="B134" s="46" t="str">
        <x:v>South Brazil Shelf</x:v>
      </x:c>
      <x:c r="C134" s="46" t="str">
        <x:v>LME</x:v>
      </x:c>
      <x:c r="D134" s="58" t="n">
        <x:v>2019</x:v>
      </x:c>
      <x:c r="E134" s="46" t="str">
        <x:v>Sparidae</x:v>
      </x:c>
      <x:c r="F134" s="46" t="str">
        <x:v>Porgies, seabreams</x:v>
      </x:c>
      <x:c r="G134" s="46" t="str">
        <x:v>Medium benthopelagics (30 - 89 cm)</x:v>
      </x:c>
      <x:c r="H134" s="46" t="str">
        <x:v>Perch-likes</x:v>
      </x:c>
      <x:c r="I134" s="60" t="n">
        <x:v>34.5005352859</x:v>
      </x:c>
      <x:c r="J134" s="60" t="n">
        <x:v>34.5005352859</x:v>
      </x:c>
      <x:c r="K134" s="60" t="n">
        <x:v>0</x:v>
      </x:c>
      <x:c r="L134" s="60" t="n">
        <x:v>34.4556433803</x:v>
      </x:c>
      <x:c r="M134" s="60" t="n">
        <x:v>0.0448919056</x:v>
      </x:c>
      <x:c r="N134" s="46" t="str">
        <x:v>sparidae</x:v>
      </x:c>
      <x:c r="O134" s="62" t="n">
        <x:v>3.31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Sparidae</x:v>
      </x:c>
      <x:c r="T134" s="62" t="n">
        <x:f>IF(O134="","",(1/'Metadata'!$B$5)^(O134-1))</x:f>
        <x:v>1012.4633005057666</x:v>
      </x:c>
      <x:c r="U134" s="60" t="n">
        <x:f>IF(T134="","",I134*T134)</x:f>
        <x:v>34930.52582477798</x:v>
      </x:c>
    </x:row>
    <x:row r="135" ht="18" customHeight="1">
      <x:c r="A135" s="46" t="str">
        <x:v>LME_015</x:v>
      </x:c>
      <x:c r="B135" s="46" t="str">
        <x:v>South Brazil Shelf</x:v>
      </x:c>
      <x:c r="C135" s="46" t="str">
        <x:v>LME</x:v>
      </x:c>
      <x:c r="D135" s="58" t="n">
        <x:v>2019</x:v>
      </x:c>
      <x:c r="E135" s="46" t="str">
        <x:v>Pristidae</x:v>
      </x:c>
      <x:c r="F135" s="46" t="str">
        <x:v>Sawfishes</x:v>
      </x:c>
      <x:c r="G135" s="46" t="str">
        <x:v>Large rays (&gt;=90 cm)</x:v>
      </x:c>
      <x:c r="H135" s="46" t="str">
        <x:v>Sharks &amp; rays</x:v>
      </x:c>
      <x:c r="I135" s="60" t="n">
        <x:v>34.076981106699996</x:v>
      </x:c>
      <x:c r="J135" s="60" t="n">
        <x:v>34.076981106699996</x:v>
      </x:c>
      <x:c r="K135" s="60" t="n">
        <x:v>0</x:v>
      </x:c>
      <x:c r="L135" s="60" t="n">
        <x:v>33.0583389443</x:v>
      </x:c>
      <x:c r="M135" s="60" t="n">
        <x:v>1.0186421624</x:v>
      </x:c>
      <x:c r="N135" s="46" t="str">
        <x:v>pristidae</x:v>
      </x:c>
      <x:c r="O135" s="62" t="n">
        <x:v>4.24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Pristidae</x:v>
      </x:c>
      <x:c r="T135" s="62" t="n">
        <x:f>IF(O135="","",(1/'Metadata'!$B$5)^(O135-1))</x:f>
        <x:v>16418.64020623336</x:v>
      </x:c>
      <x:c r="U135" s="60" t="n">
        <x:f>IF(T135="","",I135*T135)</x:f>
        <x:v>559497.6921055191</x:v>
      </x:c>
    </x:row>
    <x:row r="136" ht="18" customHeight="1">
      <x:c r="A136" s="46" t="str">
        <x:v>LME_015</x:v>
      </x:c>
      <x:c r="B136" s="46" t="str">
        <x:v>South Brazil Shelf</x:v>
      </x:c>
      <x:c r="C136" s="46" t="str">
        <x:v>LME</x:v>
      </x:c>
      <x:c r="D136" s="58" t="n">
        <x:v>2019</x:v>
      </x:c>
      <x:c r="E136" s="46" t="str">
        <x:v>Anchoviella</x:v>
      </x:c>
      <x:c r="F136" s="46" t="str">
        <x:v>Anchovies</x:v>
      </x:c>
      <x:c r="G136" s="46" t="str">
        <x:v>Small pelagics (&lt;30 cm)</x:v>
      </x:c>
      <x:c r="H136" s="46" t="str">
        <x:v>Anchovies</x:v>
      </x:c>
      <x:c r="I136" s="60" t="n">
        <x:v>33.9114969498</x:v>
      </x:c>
      <x:c r="J136" s="60" t="n">
        <x:v>33.9114969498</x:v>
      </x:c>
      <x:c r="K136" s="60" t="n">
        <x:v>0</x:v>
      </x:c>
      <x:c r="L136" s="60" t="n">
        <x:v>30.8072468521</x:v>
      </x:c>
      <x:c r="M136" s="60" t="n">
        <x:v>3.1042500977</x:v>
      </x:c>
      <x:c r="N136" s="46" t="str">
        <x:v>anchoviella</x:v>
      </x:c>
      <x:c r="O136" s="62" t="n">
        <x:v>3.18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Anchoviella</x:v>
      </x:c>
      <x:c r="T136" s="62" t="n">
        <x:f>IF(O136="","",(1/'Metadata'!$B$5)^(O136-1))</x:f>
        <x:v>685.8756591046288</x:v>
      </x:c>
      <x:c r="U136" s="60" t="n">
        <x:f>IF(T136="","",I136*T136)</x:f>
        <x:v>23259.07032166868</x:v>
      </x:c>
    </x:row>
    <x:row r="137" ht="18" customHeight="1">
      <x:c r="A137" s="46" t="str">
        <x:v>LME_015</x:v>
      </x:c>
      <x:c r="B137" s="46" t="str">
        <x:v>South Brazil Shelf</x:v>
      </x:c>
      <x:c r="C137" s="46" t="str">
        <x:v>LME</x:v>
      </x:c>
      <x:c r="D137" s="58" t="n">
        <x:v>2019</x:v>
      </x:c>
      <x:c r="E137" s="46" t="str">
        <x:v>Anguilliformes</x:v>
      </x:c>
      <x:c r="F137" s="46" t="str">
        <x:v>Eels, morays</x:v>
      </x:c>
      <x:c r="G137" s="46" t="str">
        <x:v>Large demersals (&gt;=90 cm)</x:v>
      </x:c>
      <x:c r="H137" s="46" t="str">
        <x:v>Other fishes &amp; inverts</x:v>
      </x:c>
      <x:c r="I137" s="60" t="n">
        <x:v>33.0555953227</x:v>
      </x:c>
      <x:c r="J137" s="60" t="n">
        <x:v>33.0555953227</x:v>
      </x:c>
      <x:c r="K137" s="60" t="n">
        <x:v>0</x:v>
      </x:c>
      <x:c r="L137" s="60" t="n">
        <x:v>2.1311876656</x:v>
      </x:c>
      <x:c r="M137" s="60" t="n">
        <x:v>30.924407657099998</x:v>
      </x:c>
      <x:c r="N137" s="46" t="str">
        <x:v>anguilliformes</x:v>
      </x:c>
      <x:c r="O137" s="62" t="n">
        <x:v>3.89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Anguilliformes</x:v>
      </x:c>
      <x:c r="T137" s="62" t="n">
        <x:f>IF(O137="","",(1/'Metadata'!$B$5)^(O137-1))</x:f>
        <x:v>5754.090490759748</x:v>
      </x:c>
      <x:c r="U137" s="60" t="n">
        <x:f>IF(T137="","",I137*T137)</x:f>
        <x:v>190204.88671275048</x:v>
      </x:c>
    </x:row>
    <x:row r="138" ht="18" customHeight="1">
      <x:c r="A138" s="46" t="str">
        <x:v>LME_015</x:v>
      </x:c>
      <x:c r="B138" s="46" t="str">
        <x:v>South Brazil Shelf</x:v>
      </x:c>
      <x:c r="C138" s="46" t="str">
        <x:v>LME</x:v>
      </x:c>
      <x:c r="D138" s="58" t="n">
        <x:v>2019</x:v>
      </x:c>
      <x:c r="E138" s="46" t="str">
        <x:v>Sphyrna</x:v>
      </x:c>
      <x:c r="F138" s="46" t="str">
        <x:v>Hammerhead sharks</x:v>
      </x:c>
      <x:c r="G138" s="46" t="str">
        <x:v>Large sharks (&gt;=90 cm)</x:v>
      </x:c>
      <x:c r="H138" s="46" t="str">
        <x:v>Sharks &amp; rays</x:v>
      </x:c>
      <x:c r="I138" s="60" t="n">
        <x:v>31.8963845267</x:v>
      </x:c>
      <x:c r="J138" s="60" t="n">
        <x:v>31.8963845267</x:v>
      </x:c>
      <x:c r="K138" s="60" t="n">
        <x:v>0</x:v>
      </x:c>
      <x:c r="L138" s="60" t="n">
        <x:v>31.4767063721</x:v>
      </x:c>
      <x:c r="M138" s="60" t="n">
        <x:v>0.4196781546</x:v>
      </x:c>
      <x:c r="N138" s="46" t="str">
        <x:v>sphyrna</x:v>
      </x:c>
      <x:c r="O138" s="62" t="n">
        <x:v>4.2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Sphyrna</x:v>
      </x:c>
      <x:c r="T138" s="62" t="n">
        <x:f>IF(O138="","",(1/'Metadata'!$B$5)^(O138-1))</x:f>
        <x:v>14564.51362420865</x:v>
      </x:c>
      <x:c r="U138" s="60" t="n">
        <x:f>IF(T138="","",I138*T138)</x:f>
        <x:v>464555.32700212015</x:v>
      </x:c>
    </x:row>
    <x:row r="139" ht="18" customHeight="1">
      <x:c r="A139" s="46" t="str">
        <x:v>LME_015</x:v>
      </x:c>
      <x:c r="B139" s="46" t="str">
        <x:v>South Brazil Shelf</x:v>
      </x:c>
      <x:c r="C139" s="46" t="str">
        <x:v>LME</x:v>
      </x:c>
      <x:c r="D139" s="58" t="n">
        <x:v>2019</x:v>
      </x:c>
      <x:c r="E139" s="46" t="str">
        <x:v>Cookeolus japonicus</x:v>
      </x:c>
      <x:c r="F139" s="46" t="str">
        <x:v>Longfinned bullseye</x:v>
      </x:c>
      <x:c r="G139" s="46" t="str">
        <x:v>Medium benthopelagics (30 - 89 cm)</x:v>
      </x:c>
      <x:c r="H139" s="46" t="str">
        <x:v>Perch-likes</x:v>
      </x:c>
      <x:c r="I139" s="60" t="n">
        <x:v>26.6948390325</x:v>
      </x:c>
      <x:c r="J139" s="60" t="n">
        <x:v>26.6948390325</x:v>
      </x:c>
      <x:c r="K139" s="60" t="n">
        <x:v>0</x:v>
      </x:c>
      <x:c r="L139" s="60" t="n">
        <x:v>13.855963767499999</x:v>
      </x:c>
      <x:c r="M139" s="60" t="n">
        <x:v>12.838875265</x:v>
      </x:c>
      <x:c r="N139" s="46" t="str">
        <x:v>cookeolus japonicus</x:v>
      </x:c>
      <x:c r="O139" s="62" t="n">
        <x:v>3.5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Cookeolus japonicus</x:v>
      </x:c>
      <x:c r="T139" s="62" t="n">
        <x:f>IF(O139="","",(1/'Metadata'!$B$5)^(O139-1))</x:f>
        <x:v>1788.8543819998317</x:v>
      </x:c>
      <x:c r="U139" s="60" t="n">
        <x:f>IF(T139="","",I139*T139)</x:f>
        <x:v>47753.179780067774</x:v>
      </x:c>
    </x:row>
    <x:row r="140" ht="18" customHeight="1">
      <x:c r="A140" s="46" t="str">
        <x:v>LME_015</x:v>
      </x:c>
      <x:c r="B140" s="46" t="str">
        <x:v>South Brazil Shelf</x:v>
      </x:c>
      <x:c r="C140" s="46" t="str">
        <x:v>LME</x:v>
      </x:c>
      <x:c r="D140" s="58" t="n">
        <x:v>2019</x:v>
      </x:c>
      <x:c r="E140" s="46" t="str">
        <x:v>Decapoda</x:v>
      </x:c>
      <x:c r="F140" s="46" t="str">
        <x:v>Crabs, lobsters, shrimps</x:v>
      </x:c>
      <x:c r="G140" s="46" t="str">
        <x:v>Lobsters, crabs</x:v>
      </x:c>
      <x:c r="H140" s="46" t="str">
        <x:v>Crustaceans</x:v>
      </x:c>
      <x:c r="I140" s="60" t="n">
        <x:v>26.0784561731</x:v>
      </x:c>
      <x:c r="J140" s="60" t="n">
        <x:v>26.0784561731</x:v>
      </x:c>
      <x:c r="K140" s="60" t="n">
        <x:v>0</x:v>
      </x:c>
      <x:c r="L140" s="60" t="n">
        <x:v>0</x:v>
      </x:c>
      <x:c r="M140" s="60" t="n">
        <x:v>26.0784561731</x:v>
      </x:c>
      <x:c r="N140" s="46" t="str">
        <x:v>decapoda</x:v>
      </x:c>
      <x:c r="O140" s="62" t="n">
        <x:v>3.43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Decapoda</x:v>
      </x:c>
      <x:c r="T140" s="62" t="n">
        <x:f>IF(O140="","",(1/'Metadata'!$B$5)^(O140-1))</x:f>
        <x:v>1450.450424461182</x:v>
      </x:c>
      <x:c r="U140" s="60" t="n">
        <x:f>IF(T140="","",I140*T140)</x:f>
        <x:v>37825.507825565226</x:v>
      </x:c>
    </x:row>
    <x:row r="141" ht="18" customHeight="1">
      <x:c r="A141" s="46" t="str">
        <x:v>LME_015</x:v>
      </x:c>
      <x:c r="B141" s="46" t="str">
        <x:v>South Brazil Shelf</x:v>
      </x:c>
      <x:c r="C141" s="46" t="str">
        <x:v>LME</x:v>
      </x:c>
      <x:c r="D141" s="58" t="n">
        <x:v>2019</x:v>
      </x:c>
      <x:c r="E141" s="46" t="str">
        <x:v>Decapterus</x:v>
      </x:c>
      <x:c r="F141" s="46" t="str">
        <x:v>Scads</x:v>
      </x:c>
      <x:c r="G141" s="46" t="str">
        <x:v>Medium pelagics (30 - 89 cm)</x:v>
      </x:c>
      <x:c r="H141" s="46" t="str">
        <x:v>Perch-likes</x:v>
      </x:c>
      <x:c r="I141" s="60" t="n">
        <x:v>25.9677772287</x:v>
      </x:c>
      <x:c r="J141" s="60" t="n">
        <x:v>25.9677772287</x:v>
      </x:c>
      <x:c r="K141" s="60" t="n">
        <x:v>0</x:v>
      </x:c>
      <x:c r="L141" s="60" t="n">
        <x:v>25.139023328100002</x:v>
      </x:c>
      <x:c r="M141" s="60" t="n">
        <x:v>0.8287539006</x:v>
      </x:c>
      <x:c r="N141" s="46" t="str">
        <x:v>decapterus</x:v>
      </x:c>
      <x:c r="O141" s="62" t="n">
        <x:v>3.63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Decapterus</x:v>
      </x:c>
      <x:c r="T141" s="62" t="n">
        <x:f>IF(O141="","",(1/'Metadata'!$B$5)^(O141-1))</x:f>
        <x:v>2640.638121038009</x:v>
      </x:c>
      <x:c r="U141" s="60" t="n">
        <x:f>IF(T141="","",I141*T141)</x:f>
        <x:v>68571.50246872797</x:v>
      </x:c>
    </x:row>
    <x:row r="142" ht="18" customHeight="1">
      <x:c r="A142" s="46" t="str">
        <x:v>LME_015</x:v>
      </x:c>
      <x:c r="B142" s="46" t="str">
        <x:v>South Brazil Shelf</x:v>
      </x:c>
      <x:c r="C142" s="46" t="str">
        <x:v>LME</x:v>
      </x:c>
      <x:c r="D142" s="58" t="n">
        <x:v>2019</x:v>
      </x:c>
      <x:c r="E142" s="46" t="str">
        <x:v>Haemulon</x:v>
      </x:c>
      <x:c r="F142" s="46" t="str">
        <x:v>Grunts</x:v>
      </x:c>
      <x:c r="G142" s="46" t="str">
        <x:v>Small reef assoc. fish (&lt;30 cm)</x:v>
      </x:c>
      <x:c r="H142" s="46" t="str">
        <x:v>Perch-likes</x:v>
      </x:c>
      <x:c r="I142" s="60" t="n">
        <x:v>22.6755841176</x:v>
      </x:c>
      <x:c r="J142" s="60" t="n">
        <x:v>22.6755841176</x:v>
      </x:c>
      <x:c r="K142" s="60" t="n">
        <x:v>0</x:v>
      </x:c>
      <x:c r="L142" s="60" t="n">
        <x:v>22.226453616</x:v>
      </x:c>
      <x:c r="M142" s="60" t="n">
        <x:v>0.4491305016</x:v>
      </x:c>
      <x:c r="N142" s="46" t="str">
        <x:v>haemulon</x:v>
      </x:c>
      <x:c r="O142" s="62" t="n">
        <x:v>3.25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Haemulon</x:v>
      </x:c>
      <x:c r="T142" s="62" t="n">
        <x:f>IF(O142="","",(1/'Metadata'!$B$5)^(O142-1))</x:f>
        <x:v>845.8970107524513</x:v>
      </x:c>
      <x:c r="U142" s="60" t="n">
        <x:f>IF(T142="","",I142*T142)</x:f>
        <x:v>19181.2088221436</x:v>
      </x:c>
    </x:row>
    <x:row r="143" ht="18" customHeight="1">
      <x:c r="A143" s="46" t="str">
        <x:v>LME_015</x:v>
      </x:c>
      <x:c r="B143" s="46" t="str">
        <x:v>South Brazil Shelf</x:v>
      </x:c>
      <x:c r="C143" s="46" t="str">
        <x:v>LME</x:v>
      </x:c>
      <x:c r="D143" s="58" t="n">
        <x:v>2019</x:v>
      </x:c>
      <x:c r="E143" s="46" t="str">
        <x:v>Cephalopholis fulva</x:v>
      </x:c>
      <x:c r="F143" s="46" t="str">
        <x:v>Coney</x:v>
      </x:c>
      <x:c r="G143" s="46" t="str">
        <x:v>Medium reef assoc. fish (30 - 89 cm)</x:v>
      </x:c>
      <x:c r="H143" s="46" t="str">
        <x:v>Perch-likes</x:v>
      </x:c>
      <x:c r="I143" s="60" t="n">
        <x:v>22.0962237347</x:v>
      </x:c>
      <x:c r="J143" s="60" t="n">
        <x:v>22.0962237347</x:v>
      </x:c>
      <x:c r="K143" s="60" t="n">
        <x:v>0</x:v>
      </x:c>
      <x:c r="L143" s="60" t="n">
        <x:v>21.5276538541</x:v>
      </x:c>
      <x:c r="M143" s="60" t="n">
        <x:v>0.5685698806</x:v>
      </x:c>
      <x:c r="N143" s="46" t="str">
        <x:v>cephalopholis fulva</x:v>
      </x:c>
      <x:c r="O143" s="62" t="n">
        <x:v>4.05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Cephalopholis fulva</x:v>
      </x:c>
      <x:c r="T143" s="62" t="n">
        <x:f>IF(O143="","",(1/'Metadata'!$B$5)^(O143-1))</x:f>
        <x:v>9292.690797132333</x:v>
      </x:c>
      <x:c r="U143" s="60" t="n">
        <x:f>IF(T143="","",I143*T143)</x:f>
        <x:v>205333.37495082372</x:v>
      </x:c>
    </x:row>
    <x:row r="144" ht="18" customHeight="1">
      <x:c r="A144" s="46" t="str">
        <x:v>LME_015</x:v>
      </x:c>
      <x:c r="B144" s="46" t="str">
        <x:v>South Brazil Shelf</x:v>
      </x:c>
      <x:c r="C144" s="46" t="str">
        <x:v>LME</x:v>
      </x:c>
      <x:c r="D144" s="58" t="n">
        <x:v>2019</x:v>
      </x:c>
      <x:c r="E144" s="46" t="str">
        <x:v>Monacanthidae</x:v>
      </x:c>
      <x:c r="F144" s="46" t="str">
        <x:v>Filefishes</x:v>
      </x:c>
      <x:c r="G144" s="46" t="str">
        <x:v>Medium reef assoc. fish (30 - 89 cm)</x:v>
      </x:c>
      <x:c r="H144" s="46" t="str">
        <x:v>Other fishes &amp; inverts</x:v>
      </x:c>
      <x:c r="I144" s="60" t="n">
        <x:v>21.8264689537</x:v>
      </x:c>
      <x:c r="J144" s="60" t="n">
        <x:v>21.8264689537</x:v>
      </x:c>
      <x:c r="K144" s="60" t="n">
        <x:v>0</x:v>
      </x:c>
      <x:c r="L144" s="60" t="n">
        <x:v>21.8264689537</x:v>
      </x:c>
      <x:c r="M144" s="60" t="n">
        <x:v>0</x:v>
      </x:c>
      <x:c r="N144" s="46" t="str">
        <x:v>monacanthidae</x:v>
      </x:c>
      <x:c r="O144" s="62" t="n">
        <x:v>3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Monacanthidae</x:v>
      </x:c>
      <x:c r="T144" s="62" t="n">
        <x:f>IF(O144="","",(1/'Metadata'!$B$5)^(O144-1))</x:f>
        <x:v>400</x:v>
      </x:c>
      <x:c r="U144" s="60" t="n">
        <x:f>IF(T144="","",I144*T144)</x:f>
        <x:v>8730.58758148</x:v>
      </x:c>
    </x:row>
    <x:row r="145" ht="18" customHeight="1">
      <x:c r="A145" s="46" t="str">
        <x:v>LME_015</x:v>
      </x:c>
      <x:c r="B145" s="46" t="str">
        <x:v>South Brazil Shelf</x:v>
      </x:c>
      <x:c r="C145" s="46" t="str">
        <x:v>LME</x:v>
      </x:c>
      <x:c r="D145" s="58" t="n">
        <x:v>2019</x:v>
      </x:c>
      <x:c r="E145" s="46" t="str">
        <x:v>Haemulon aurolineatum</x:v>
      </x:c>
      <x:c r="F145" s="46" t="str">
        <x:v>Tomtate grunt</x:v>
      </x:c>
      <x:c r="G145" s="46" t="str">
        <x:v>Small reef assoc. fish (&lt;30 cm)</x:v>
      </x:c>
      <x:c r="H145" s="46" t="str">
        <x:v>Perch-likes</x:v>
      </x:c>
      <x:c r="I145" s="60" t="n">
        <x:v>21.6481020912</x:v>
      </x:c>
      <x:c r="J145" s="60" t="n">
        <x:v>21.6481020912</x:v>
      </x:c>
      <x:c r="K145" s="60" t="n">
        <x:v>0</x:v>
      </x:c>
      <x:c r="L145" s="60" t="n">
        <x:v>21.492925178</x:v>
      </x:c>
      <x:c r="M145" s="60" t="n">
        <x:v>0.1551769132</x:v>
      </x:c>
      <x:c r="N145" s="46" t="str">
        <x:v>haemulon aurolineatum</x:v>
      </x:c>
      <x:c r="O145" s="62" t="n">
        <x:v>4.35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Haemulon aurolineatum</x:v>
      </x:c>
      <x:c r="T145" s="62" t="n">
        <x:f>IF(O145="","",(1/'Metadata'!$B$5)^(O145-1))</x:f>
        <x:v>22827.086550132422</x:v>
      </x:c>
      <x:c r="U145" s="60" t="n">
        <x:f>IF(T145="","",I145*T145)</x:f>
        <x:v>494163.10008192505</x:v>
      </x:c>
    </x:row>
    <x:row r="146" ht="18" customHeight="1">
      <x:c r="A146" s="46" t="str">
        <x:v>LME_015</x:v>
      </x:c>
      <x:c r="B146" s="46" t="str">
        <x:v>South Brazil Shelf</x:v>
      </x:c>
      <x:c r="C146" s="46" t="str">
        <x:v>LME</x:v>
      </x:c>
      <x:c r="D146" s="58" t="n">
        <x:v>2019</x:v>
      </x:c>
      <x:c r="E146" s="46" t="str">
        <x:v>Congridae</x:v>
      </x:c>
      <x:c r="F146" s="46" t="str">
        <x:v>Conger, garden eels</x:v>
      </x:c>
      <x:c r="G146" s="46" t="str">
        <x:v>Large demersals (&gt;=90 cm)</x:v>
      </x:c>
      <x:c r="H146" s="46" t="str">
        <x:v>Other fishes &amp; inverts</x:v>
      </x:c>
      <x:c r="I146" s="60" t="n">
        <x:v>20.1301628716</x:v>
      </x:c>
      <x:c r="J146" s="60" t="n">
        <x:v>20.1301628716</x:v>
      </x:c>
      <x:c r="K146" s="60" t="n">
        <x:v>0</x:v>
      </x:c>
      <x:c r="L146" s="60" t="n">
        <x:v>0</x:v>
      </x:c>
      <x:c r="M146" s="60" t="n">
        <x:v>20.1301628716</x:v>
      </x:c>
      <x:c r="N146" s="46" t="str">
        <x:v>congridae</x:v>
      </x:c>
      <x:c r="O146" s="62" t="n">
        <x:v>4.18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Congridae</x:v>
      </x:c>
      <x:c r="T146" s="62" t="n">
        <x:f>IF(O146="","",(1/'Metadata'!$B$5)^(O146-1))</x:f>
        <x:v>13717.513182092556</x:v>
      </x:c>
      <x:c r="U146" s="60" t="n">
        <x:f>IF(T146="","",I146*T146)</x:f>
        <x:v>276135.77454884315</x:v>
      </x:c>
    </x:row>
    <x:row r="147" ht="18" customHeight="1">
      <x:c r="A147" s="46" t="str">
        <x:v>LME_015</x:v>
      </x:c>
      <x:c r="B147" s="46" t="str">
        <x:v>South Brazil Shelf</x:v>
      </x:c>
      <x:c r="C147" s="46" t="str">
        <x:v>LME</x:v>
      </x:c>
      <x:c r="D147" s="58" t="n">
        <x:v>2019</x:v>
      </x:c>
      <x:c r="E147" s="46" t="str">
        <x:v>Mullidae</x:v>
      </x:c>
      <x:c r="F147" s="46" t="str">
        <x:v>Goatfishes</x:v>
      </x:c>
      <x:c r="G147" s="46" t="str">
        <x:v>Medium reef assoc. fish (30 - 89 cm)</x:v>
      </x:c>
      <x:c r="H147" s="46" t="str">
        <x:v>Perch-likes</x:v>
      </x:c>
      <x:c r="I147" s="60" t="n">
        <x:v>18.8006066827</x:v>
      </x:c>
      <x:c r="J147" s="60" t="n">
        <x:v>18.8006066827</x:v>
      </x:c>
      <x:c r="K147" s="60" t="n">
        <x:v>0</x:v>
      </x:c>
      <x:c r="L147" s="60" t="n">
        <x:v>12.363898242800001</x:v>
      </x:c>
      <x:c r="M147" s="60" t="n">
        <x:v>6.4367084399</x:v>
      </x:c>
      <x:c r="N147" s="46" t="str">
        <x:v>mullidae</x:v>
      </x:c>
      <x:c r="O147" s="62" t="n">
        <x:v>3.46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Mullidae</x:v>
      </x:c>
      <x:c r="T147" s="62" t="n">
        <x:f>IF(O147="","",(1/'Metadata'!$B$5)^(O147-1))</x:f>
        <x:v>1586.8423749532276</x:v>
      </x:c>
      <x:c r="U147" s="60" t="n">
        <x:f>IF(T147="","",I147*T147)</x:f>
        <x:v>29833.59935893719</x:v>
      </x:c>
    </x:row>
    <x:row r="148" ht="18" customHeight="1">
      <x:c r="A148" s="46" t="str">
        <x:v>LME_015</x:v>
      </x:c>
      <x:c r="B148" s="46" t="str">
        <x:v>South Brazil Shelf</x:v>
      </x:c>
      <x:c r="C148" s="46" t="str">
        <x:v>LME</x:v>
      </x:c>
      <x:c r="D148" s="58" t="n">
        <x:v>2019</x:v>
      </x:c>
      <x:c r="E148" s="46" t="str">
        <x:v>Diapterus rhombeus</x:v>
      </x:c>
      <x:c r="F148" s="46" t="str">
        <x:v>Caitipa mojarra</x:v>
      </x:c>
      <x:c r="G148" s="46" t="str">
        <x:v>Medium demersals (30 - 89 cm)</x:v>
      </x:c>
      <x:c r="H148" s="46" t="str">
        <x:v>Perch-likes</x:v>
      </x:c>
      <x:c r="I148" s="60" t="n">
        <x:v>18.5097314155</x:v>
      </x:c>
      <x:c r="J148" s="60" t="n">
        <x:v>18.5097314155</x:v>
      </x:c>
      <x:c r="K148" s="60" t="n">
        <x:v>0</x:v>
      </x:c>
      <x:c r="L148" s="60" t="n">
        <x:v>18.383418887</x:v>
      </x:c>
      <x:c r="M148" s="60" t="n">
        <x:v>0.1263125285</x:v>
      </x:c>
      <x:c r="N148" s="46" t="str">
        <x:v>diapterus rhombeus</x:v>
      </x:c>
      <x:c r="O148" s="62" t="n">
        <x:v>3.01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Diapterus rhombeus</x:v>
      </x:c>
      <x:c r="T148" s="62" t="n">
        <x:f>IF(O148="","",(1/'Metadata'!$B$5)^(O148-1))</x:f>
        <x:v>412.16422316450075</x:v>
      </x:c>
      <x:c r="U148" s="60" t="n">
        <x:f>IF(T148="","",I148*T148)</x:f>
        <x:v>7629.049069853112</x:v>
      </x:c>
    </x:row>
    <x:row r="149" ht="18" customHeight="1">
      <x:c r="A149" s="46" t="str">
        <x:v>LME_015</x:v>
      </x:c>
      <x:c r="B149" s="46" t="str">
        <x:v>South Brazil Shelf</x:v>
      </x:c>
      <x:c r="C149" s="46" t="str">
        <x:v>LME</x:v>
      </x:c>
      <x:c r="D149" s="58" t="n">
        <x:v>2019</x:v>
      </x:c>
      <x:c r="E149" s="46" t="str">
        <x:v>Caranx hippos</x:v>
      </x:c>
      <x:c r="F149" s="46" t="str">
        <x:v>Crevalle jack</x:v>
      </x:c>
      <x:c r="G149" s="46" t="str">
        <x:v>Large reef assoc. fish (&gt;=90 cm)</x:v>
      </x:c>
      <x:c r="H149" s="46" t="str">
        <x:v>Perch-likes</x:v>
      </x:c>
      <x:c r="I149" s="60" t="n">
        <x:v>18.1511861378</x:v>
      </x:c>
      <x:c r="J149" s="60" t="n">
        <x:v>18.1511861378</x:v>
      </x:c>
      <x:c r="K149" s="60" t="n">
        <x:v>0</x:v>
      </x:c>
      <x:c r="L149" s="60" t="n">
        <x:v>17.7187490038</x:v>
      </x:c>
      <x:c r="M149" s="60" t="n">
        <x:v>0.432437134</x:v>
      </x:c>
      <x:c r="N149" s="46" t="str">
        <x:v>caranx hippos</x:v>
      </x:c>
      <x:c r="O149" s="62" t="n">
        <x:v>3.56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Caranx hippos</x:v>
      </x:c>
      <x:c r="T149" s="62" t="n">
        <x:f>IF(O149="","",(1/'Metadata'!$B$5)^(O149-1))</x:f>
        <x:v>2141.099198485972</x:v>
      </x:c>
      <x:c r="U149" s="60" t="n">
        <x:f>IF(T149="","",I149*T149)</x:f>
        <x:v>38863.490091213265</x:v>
      </x:c>
    </x:row>
    <x:row r="150" ht="18" customHeight="1">
      <x:c r="A150" s="46" t="str">
        <x:v>LME_015</x:v>
      </x:c>
      <x:c r="B150" s="46" t="str">
        <x:v>South Brazil Shelf</x:v>
      </x:c>
      <x:c r="C150" s="46" t="str">
        <x:v>LME</x:v>
      </x:c>
      <x:c r="D150" s="58" t="n">
        <x:v>2019</x:v>
      </x:c>
      <x:c r="E150" s="46" t="str">
        <x:v>Coryphaena</x:v>
      </x:c>
      <x:c r="F150" s="46" t="str">
        <x:v>Dolphinfishes</x:v>
      </x:c>
      <x:c r="G150" s="46" t="str">
        <x:v>Large pelagics (&gt;=90 cm)</x:v>
      </x:c>
      <x:c r="H150" s="46" t="str">
        <x:v>Perch-likes</x:v>
      </x:c>
      <x:c r="I150" s="60" t="n">
        <x:v>17.9848918723</x:v>
      </x:c>
      <x:c r="J150" s="60" t="n">
        <x:v>17.9848918723</x:v>
      </x:c>
      <x:c r="K150" s="60" t="n">
        <x:v>0</x:v>
      </x:c>
      <x:c r="L150" s="60" t="n">
        <x:v>1.0927638044999999</x:v>
      </x:c>
      <x:c r="M150" s="60" t="n">
        <x:v>16.8921280678</x:v>
      </x:c>
      <x:c r="N150" s="46" t="str">
        <x:v>coryphaena</x:v>
      </x:c>
      <x:c r="O150" s="62" t="n">
        <x:v>4.49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Coryphaena</x:v>
      </x:c>
      <x:c r="T150" s="62" t="n">
        <x:f>IF(O150="","",(1/'Metadata'!$B$5)^(O150-1))</x:f>
        <x:v>34721.19667768202</x:v>
      </x:c>
      <x:c r="U150" s="60" t="n">
        <x:f>IF(T150="","",I150*T150)</x:f>
        <x:v>624456.9679249731</x:v>
      </x:c>
    </x:row>
    <x:row r="151" ht="18" customHeight="1">
      <x:c r="A151" s="46" t="str">
        <x:v>LME_015</x:v>
      </x:c>
      <x:c r="B151" s="46" t="str">
        <x:v>South Brazil Shelf</x:v>
      </x:c>
      <x:c r="C151" s="46" t="str">
        <x:v>LME</x:v>
      </x:c>
      <x:c r="D151" s="58" t="n">
        <x:v>2019</x:v>
      </x:c>
      <x:c r="E151" s="46" t="str">
        <x:v>Sarda sarda</x:v>
      </x:c>
      <x:c r="F151" s="46" t="str">
        <x:v>Atlantic bonito</x:v>
      </x:c>
      <x:c r="G151" s="46" t="str">
        <x:v>Medium pelagics (30 - 89 cm)</x:v>
      </x:c>
      <x:c r="H151" s="46" t="str">
        <x:v>Tuna &amp; billfishes</x:v>
      </x:c>
      <x:c r="I151" s="60" t="n">
        <x:v>17.9519120438</x:v>
      </x:c>
      <x:c r="J151" s="60" t="n">
        <x:v>17.9519120438</x:v>
      </x:c>
      <x:c r="K151" s="60" t="n">
        <x:v>0</x:v>
      </x:c>
      <x:c r="L151" s="60" t="n">
        <x:v>16.248250174</x:v>
      </x:c>
      <x:c r="M151" s="60" t="n">
        <x:v>1.7036618698000001</x:v>
      </x:c>
      <x:c r="N151" s="46" t="str">
        <x:v>sarda sarda</x:v>
      </x:c>
      <x:c r="O151" s="62" t="n">
        <x:v>4.5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Sarda sarda</x:v>
      </x:c>
      <x:c r="T151" s="62" t="n">
        <x:f>IF(O151="","",(1/'Metadata'!$B$5)^(O151-1))</x:f>
        <x:v>35777.08763999664</x:v>
      </x:c>
      <x:c r="U151" s="60" t="n">
        <x:f>IF(T151="","",I151*T151)</x:f>
        <x:v>642267.1304965437</x:v>
      </x:c>
    </x:row>
    <x:row r="152" ht="18" customHeight="1">
      <x:c r="A152" s="46" t="str">
        <x:v>LME_015</x:v>
      </x:c>
      <x:c r="B152" s="46" t="str">
        <x:v>South Brazil Shelf</x:v>
      </x:c>
      <x:c r="C152" s="46" t="str">
        <x:v>LME</x:v>
      </x:c>
      <x:c r="D152" s="58" t="n">
        <x:v>2019</x:v>
      </x:c>
      <x:c r="E152" s="46" t="str">
        <x:v>Mycteroperca bonaci</x:v>
      </x:c>
      <x:c r="F152" s="46" t="str">
        <x:v>Black grouper</x:v>
      </x:c>
      <x:c r="G152" s="46" t="str">
        <x:v>Large reef assoc. fish (&gt;=90 cm)</x:v>
      </x:c>
      <x:c r="H152" s="46" t="str">
        <x:v>Perch-likes</x:v>
      </x:c>
      <x:c r="I152" s="60" t="n">
        <x:v>17.5276655</x:v>
      </x:c>
      <x:c r="J152" s="60" t="n">
        <x:v>17.5276655</x:v>
      </x:c>
      <x:c r="K152" s="60" t="n">
        <x:v>0</x:v>
      </x:c>
      <x:c r="L152" s="60" t="n">
        <x:v>15.393453349100001</x:v>
      </x:c>
      <x:c r="M152" s="60" t="n">
        <x:v>2.1342121509000003</x:v>
      </x:c>
      <x:c r="N152" s="46" t="str">
        <x:v>mycteroperca bonaci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Mycteroperca bonaci</x:v>
      </x:c>
      <x:c r="T152" s="62" t="n">
        <x:f>IF(O152="","",(1/'Metadata'!$B$5)^(O152-1))</x:f>
        <x:v>19651.648417852637</x:v>
      </x:c>
      <x:c r="U152" s="60" t="n">
        <x:f>IF(T152="","",I152*T152)</x:f>
        <x:v>344447.5199917253</x:v>
      </x:c>
    </x:row>
    <x:row r="153" ht="18" customHeight="1">
      <x:c r="A153" s="46" t="str">
        <x:v>LME_015</x:v>
      </x:c>
      <x:c r="B153" s="46" t="str">
        <x:v>South Brazil Shelf</x:v>
      </x:c>
      <x:c r="C153" s="46" t="str">
        <x:v>LME</x:v>
      </x:c>
      <x:c r="D153" s="58" t="n">
        <x:v>2019</x:v>
      </x:c>
      <x:c r="E153" s="46" t="str">
        <x:v>Panulirus argus</x:v>
      </x:c>
      <x:c r="F153" s="46" t="str">
        <x:v>Caribbean spiny lobster</x:v>
      </x:c>
      <x:c r="G153" s="46" t="str">
        <x:v>Lobsters, crabs</x:v>
      </x:c>
      <x:c r="H153" s="46" t="str">
        <x:v>Crustaceans</x:v>
      </x:c>
      <x:c r="I153" s="60" t="n">
        <x:v>17.512103469800003</x:v>
      </x:c>
      <x:c r="J153" s="60" t="n">
        <x:v>17.512103469800003</x:v>
      </x:c>
      <x:c r="K153" s="60" t="n">
        <x:v>0</x:v>
      </x:c>
      <x:c r="L153" s="60" t="n">
        <x:v>17.313765585200002</x:v>
      </x:c>
      <x:c r="M153" s="60" t="n">
        <x:v>0.1983378846</x:v>
      </x:c>
      <x:c r="N153" s="46" t="str">
        <x:v>panulirus argus</x:v>
      </x:c>
      <x:c r="O153" s="62" t="n">
        <x:v>3.2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Panulirus argus</x:v>
      </x:c>
      <x:c r="T153" s="62" t="n">
        <x:f>IF(O153="","",(1/'Metadata'!$B$5)^(O153-1))</x:f>
        <x:v>728.2256812104325</x:v>
      </x:c>
      <x:c r="U153" s="60" t="n">
        <x:f>IF(T153="","",I153*T153)</x:f>
        <x:v>12752.763478722687</x:v>
      </x:c>
    </x:row>
    <x:row r="154" ht="18" customHeight="1">
      <x:c r="A154" s="46" t="str">
        <x:v>LME_015</x:v>
      </x:c>
      <x:c r="B154" s="46" t="str">
        <x:v>South Brazil Shelf</x:v>
      </x:c>
      <x:c r="C154" s="46" t="str">
        <x:v>LME</x:v>
      </x:c>
      <x:c r="D154" s="58" t="n">
        <x:v>2019</x:v>
      </x:c>
      <x:c r="E154" s="46" t="str">
        <x:v>Acanthocybium solandri</x:v>
      </x:c>
      <x:c r="F154" s="46" t="str">
        <x:v>Wahoo</x:v>
      </x:c>
      <x:c r="G154" s="46" t="str">
        <x:v>Large pelagics (&gt;=90 cm)</x:v>
      </x:c>
      <x:c r="H154" s="46" t="str">
        <x:v>Perch-likes</x:v>
      </x:c>
      <x:c r="I154" s="60" t="n">
        <x:v>17.0262591108</x:v>
      </x:c>
      <x:c r="J154" s="60" t="n">
        <x:v>17.0262591108</x:v>
      </x:c>
      <x:c r="K154" s="60" t="n">
        <x:v>0</x:v>
      </x:c>
      <x:c r="L154" s="60" t="n">
        <x:v>10.5958102392</x:v>
      </x:c>
      <x:c r="M154" s="60" t="n">
        <x:v>6.4304488716</x:v>
      </x:c>
      <x:c r="N154" s="46" t="str">
        <x:v>acanthocybium solandri</x:v>
      </x:c>
      <x:c r="O154" s="62" t="n">
        <x:v>4.26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Acanthocybium solandri</x:v>
      </x:c>
      <x:c r="T154" s="62" t="n">
        <x:f>IF(O154="","",(1/'Metadata'!$B$5)^(O154-1))</x:f>
        <x:v>17432.42421569787</x:v>
      </x:c>
      <x:c r="U154" s="60" t="n">
        <x:f>IF(T154="","",I154*T154)</x:f>
        <x:v>296808.9716258564</x:v>
      </x:c>
    </x:row>
    <x:row r="155" ht="18" customHeight="1">
      <x:c r="A155" s="46" t="str">
        <x:v>LME_015</x:v>
      </x:c>
      <x:c r="B155" s="46" t="str">
        <x:v>South Brazil Shelf</x:v>
      </x:c>
      <x:c r="C155" s="46" t="str">
        <x:v>LME</x:v>
      </x:c>
      <x:c r="D155" s="58" t="n">
        <x:v>2019</x:v>
      </x:c>
      <x:c r="E155" s="46" t="str">
        <x:v>Epinephelus itajara</x:v>
      </x:c>
      <x:c r="F155" s="46" t="str">
        <x:v>Atlantic goliath grouper</x:v>
      </x:c>
      <x:c r="G155" s="46" t="str">
        <x:v>Large reef assoc. fish (&gt;=90 cm)</x:v>
      </x:c>
      <x:c r="H155" s="46" t="str">
        <x:v>Perch-likes</x:v>
      </x:c>
      <x:c r="I155" s="60" t="n">
        <x:v>14.7008677878</x:v>
      </x:c>
      <x:c r="J155" s="60" t="n">
        <x:v>14.7008677878</x:v>
      </x:c>
      <x:c r="K155" s="60" t="n">
        <x:v>0</x:v>
      </x:c>
      <x:c r="L155" s="60" t="n">
        <x:v>14.2717945238</x:v>
      </x:c>
      <x:c r="M155" s="60" t="n">
        <x:v>0.429073264</x:v>
      </x:c>
      <x:c r="N155" s="46" t="str">
        <x:v>epinephelus itajara</x:v>
      </x:c>
      <x:c r="O155" s="62" t="n">
        <x:v>4.09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Epinephelus itajara</x:v>
      </x:c>
      <x:c r="T155" s="62" t="n">
        <x:f>IF(O155="","",(1/'Metadata'!$B$5)^(O155-1))</x:f>
        <x:v>10475.691168449957</x:v>
      </x:c>
      <x:c r="U155" s="60" t="n">
        <x:f>IF(T155="","",I155*T155)</x:f>
        <x:v>154001.75085320693</x:v>
      </x:c>
    </x:row>
    <x:row r="156" ht="18" customHeight="1">
      <x:c r="A156" s="46" t="str">
        <x:v>LME_015</x:v>
      </x:c>
      <x:c r="B156" s="46" t="str">
        <x:v>South Brazil Shelf</x:v>
      </x:c>
      <x:c r="C156" s="46" t="str">
        <x:v>LME</x:v>
      </x:c>
      <x:c r="D156" s="58" t="n">
        <x:v>2019</x:v>
      </x:c>
      <x:c r="E156" s="46" t="str">
        <x:v>Engraulis anchoita</x:v>
      </x:c>
      <x:c r="F156" s="46" t="str">
        <x:v>Argentine anchovy</x:v>
      </x:c>
      <x:c r="G156" s="46" t="str">
        <x:v>Small pelagics (&lt;30 cm)</x:v>
      </x:c>
      <x:c r="H156" s="46" t="str">
        <x:v>Anchovies</x:v>
      </x:c>
      <x:c r="I156" s="60" t="n">
        <x:v>13.8669680187</x:v>
      </x:c>
      <x:c r="J156" s="60" t="n">
        <x:v>13.8669680187</x:v>
      </x:c>
      <x:c r="K156" s="60" t="n">
        <x:v>0</x:v>
      </x:c>
      <x:c r="L156" s="60" t="n">
        <x:v>8.3685457103</x:v>
      </x:c>
      <x:c r="M156" s="60" t="n">
        <x:v>5.4984223083999995</x:v>
      </x:c>
      <x:c r="N156" s="46" t="str">
        <x:v>engraulis anchoita</x:v>
      </x:c>
      <x:c r="O156" s="62" t="n">
        <x:v>2.51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Engraulis anchoita</x:v>
      </x:c>
      <x:c r="T156" s="62" t="n">
        <x:f>IF(O156="","",(1/'Metadata'!$B$5)^(O156-1))</x:f>
        <x:v>92.16272208892171</x:v>
      </x:c>
      <x:c r="U156" s="60" t="n">
        <x:f>IF(T156="","",I156*T156)</x:f>
        <x:v>1278.0175197234134</x:v>
      </x:c>
    </x:row>
    <x:row r="157" ht="18" customHeight="1">
      <x:c r="A157" s="46" t="str">
        <x:v>LME_015</x:v>
      </x:c>
      <x:c r="B157" s="46" t="str">
        <x:v>South Brazil Shelf</x:v>
      </x:c>
      <x:c r="C157" s="46" t="str">
        <x:v>LME</x:v>
      </x:c>
      <x:c r="D157" s="58" t="n">
        <x:v>2019</x:v>
      </x:c>
      <x:c r="E157" s="46" t="str">
        <x:v>Gempylidae</x:v>
      </x:c>
      <x:c r="F157" s="46" t="str">
        <x:v>Snake mackerels</x:v>
      </x:c>
      <x:c r="G157" s="46" t="str">
        <x:v>Large benthopelagics (&gt;=90 cm)</x:v>
      </x:c>
      <x:c r="H157" s="46" t="str">
        <x:v>Perch-likes</x:v>
      </x:c>
      <x:c r="I157" s="60" t="n">
        <x:v>13.022335867199999</x:v>
      </x:c>
      <x:c r="J157" s="60" t="n">
        <x:v>13.022335867199999</x:v>
      </x:c>
      <x:c r="K157" s="60" t="n">
        <x:v>0</x:v>
      </x:c>
      <x:c r="L157" s="60" t="n">
        <x:v>1.5787542239</x:v>
      </x:c>
      <x:c r="M157" s="60" t="n">
        <x:v>11.4435816433</x:v>
      </x:c>
      <x:c r="N157" s="46" t="str">
        <x:v>gempylidae</x:v>
      </x:c>
      <x:c r="O157" s="62" t="n">
        <x:v>4.21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Gempylidae</x:v>
      </x:c>
      <x:c r="T157" s="62" t="n">
        <x:f>IF(O157="","",(1/'Metadata'!$B$5)^(O157-1))</x:f>
        <x:v>15007.428609226863</x:v>
      </x:c>
      <x:c r="U157" s="60" t="n">
        <x:f>IF(T157="","",I157*T157)</x:f>
        <x:v>195431.77585237837</x:v>
      </x:c>
    </x:row>
    <x:row r="158" ht="18" customHeight="1">
      <x:c r="A158" s="46" t="str">
        <x:v>LME_015</x:v>
      </x:c>
      <x:c r="B158" s="46" t="str">
        <x:v>South Brazil Shelf</x:v>
      </x:c>
      <x:c r="C158" s="46" t="str">
        <x:v>LME</x:v>
      </x:c>
      <x:c r="D158" s="58" t="n">
        <x:v>2019</x:v>
      </x:c>
      <x:c r="E158" s="46" t="str">
        <x:v>Istiophorus albicans</x:v>
      </x:c>
      <x:c r="F158" s="46" t="str">
        <x:v>Atlantic sailfish</x:v>
      </x:c>
      <x:c r="G158" s="46" t="str">
        <x:v>Large pelagics (&gt;=90 cm)</x:v>
      </x:c>
      <x:c r="H158" s="46" t="str">
        <x:v>Tuna &amp; billfishes</x:v>
      </x:c>
      <x:c r="I158" s="60" t="n">
        <x:v>12.8066069349</x:v>
      </x:c>
      <x:c r="J158" s="60" t="n">
        <x:v>12.8066069349</x:v>
      </x:c>
      <x:c r="K158" s="60" t="n">
        <x:v>0</x:v>
      </x:c>
      <x:c r="L158" s="60" t="n">
        <x:v>12.8066069349</x:v>
      </x:c>
      <x:c r="M158" s="60" t="n">
        <x:v>0</x:v>
      </x:c>
      <x:c r="N158" s="46" t="str">
        <x:v>istiophorus albicans</x:v>
      </x:c>
      <x:c r="O158" s="62" t="n">
        <x:v>4.5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Istiophorus albicans</x:v>
      </x:c>
      <x:c r="T158" s="62" t="n">
        <x:f>IF(O158="","",(1/'Metadata'!$B$5)^(O158-1))</x:f>
        <x:v>35777.08763999664</x:v>
      </x:c>
      <x:c r="U158" s="60" t="n">
        <x:f>IF(T158="","",I158*T158)</x:f>
        <x:v>458183.098680906</x:v>
      </x:c>
    </x:row>
    <x:row r="159" ht="18" customHeight="1">
      <x:c r="A159" s="46" t="str">
        <x:v>LME_015</x:v>
      </x:c>
      <x:c r="B159" s="46" t="str">
        <x:v>South Brazil Shelf</x:v>
      </x:c>
      <x:c r="C159" s="46" t="str">
        <x:v>LME</x:v>
      </x:c>
      <x:c r="D159" s="58" t="n">
        <x:v>2019</x:v>
      </x:c>
      <x:c r="E159" s="46" t="str">
        <x:v>Macrourus</x:v>
      </x:c>
      <x:c r="F159" s="46" t="str">
        <x:v>Rattails</x:v>
      </x:c>
      <x:c r="G159" s="46" t="str">
        <x:v>Medium benthopelagics (30 - 89 cm)</x:v>
      </x:c>
      <x:c r="H159" s="46" t="str">
        <x:v>Cod-likes</x:v>
      </x:c>
      <x:c r="I159" s="60" t="n">
        <x:v>12.518480630100001</x:v>
      </x:c>
      <x:c r="J159" s="60" t="n">
        <x:v>12.518480630100001</x:v>
      </x:c>
      <x:c r="K159" s="60" t="n">
        <x:v>0</x:v>
      </x:c>
      <x:c r="L159" s="60" t="n">
        <x:v>12.518480630100001</x:v>
      </x:c>
      <x:c r="M159" s="60" t="n">
        <x:v>0</x:v>
      </x:c>
      <x:c r="N159" s="46" t="str">
        <x:v>macrourus</x:v>
      </x:c>
      <x:c r="O159" s="62" t="n">
        <x:v>3.58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Macrourus</x:v>
      </x:c>
      <x:c r="T159" s="62" t="n">
        <x:f>IF(O159="","",(1/'Metadata'!$B$5)^(O159-1))</x:f>
        <x:v>2273.3033337150473</x:v>
      </x:c>
      <x:c r="U159" s="60" t="n">
        <x:f>IF(T159="","",I159*T159)</x:f>
        <x:v>28458.30374945358</x:v>
      </x:c>
    </x:row>
    <x:row r="160" ht="18" customHeight="1">
      <x:c r="A160" s="46" t="str">
        <x:v>LME_015</x:v>
      </x:c>
      <x:c r="B160" s="46" t="str">
        <x:v>South Brazil Shelf</x:v>
      </x:c>
      <x:c r="C160" s="46" t="str">
        <x:v>LME</x:v>
      </x:c>
      <x:c r="D160" s="58" t="n">
        <x:v>2019</x:v>
      </x:c>
      <x:c r="E160" s="46" t="str">
        <x:v>Hexanchus griseus</x:v>
      </x:c>
      <x:c r="F160" s="46" t="str">
        <x:v>Bluntnose sixgill shark</x:v>
      </x:c>
      <x:c r="G160" s="46" t="str">
        <x:v>Large sharks (&gt;=90 cm)</x:v>
      </x:c>
      <x:c r="H160" s="46" t="str">
        <x:v>Sharks &amp; rays</x:v>
      </x:c>
      <x:c r="I160" s="60" t="n">
        <x:v>12.419115636299999</x:v>
      </x:c>
      <x:c r="J160" s="60" t="n">
        <x:v>12.419115636299999</x:v>
      </x:c>
      <x:c r="K160" s="60" t="n">
        <x:v>0</x:v>
      </x:c>
      <x:c r="L160" s="60" t="n">
        <x:v>12.419115636299999</x:v>
      </x:c>
      <x:c r="M160" s="60" t="n">
        <x:v>0</x:v>
      </x:c>
      <x:c r="N160" s="46" t="str">
        <x:v>hexanchus griseus</x:v>
      </x:c>
      <x:c r="O160" s="62" t="n">
        <x:v>4.48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Hexanchus griseus</x:v>
      </x:c>
      <x:c r="T160" s="62" t="n">
        <x:f>IF(O160="","",(1/'Metadata'!$B$5)^(O160-1))</x:f>
        <x:v>33696.468277717824</x:v>
      </x:c>
      <x:c r="U160" s="60" t="n">
        <x:f>IF(T160="","",I160*T160)</x:f>
        <x:v>418480.3360758923</x:v>
      </x:c>
    </x:row>
    <x:row r="161" ht="18" customHeight="1">
      <x:c r="A161" s="46" t="str">
        <x:v>LME_015</x:v>
      </x:c>
      <x:c r="B161" s="46" t="str">
        <x:v>South Brazil Shelf</x:v>
      </x:c>
      <x:c r="C161" s="46" t="str">
        <x:v>LME</x:v>
      </x:c>
      <x:c r="D161" s="58" t="n">
        <x:v>2019</x:v>
      </x:c>
      <x:c r="E161" s="46" t="str">
        <x:v>Gymnothorax</x:v>
      </x:c>
      <x:c r="F161" s="46" t="str">
        <x:v>Morays</x:v>
      </x:c>
      <x:c r="G161" s="46" t="str">
        <x:v>Large reef assoc. fish (&gt;=90 cm)</x:v>
      </x:c>
      <x:c r="H161" s="46" t="str">
        <x:v>Other fishes &amp; inverts</x:v>
      </x:c>
      <x:c r="I161" s="60" t="n">
        <x:v>12.164763880199999</x:v>
      </x:c>
      <x:c r="J161" s="60" t="n">
        <x:v>12.164763880199999</x:v>
      </x:c>
      <x:c r="K161" s="60" t="n">
        <x:v>0</x:v>
      </x:c>
      <x:c r="L161" s="60" t="n">
        <x:v>3.3533368340000003</x:v>
      </x:c>
      <x:c r="M161" s="60" t="n">
        <x:v>8.811427046199999</x:v>
      </x:c>
      <x:c r="N161" s="46" t="str">
        <x:v>gymnothorax</x:v>
      </x:c>
      <x:c r="O161" s="62" t="n">
        <x:v>4.22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Gymnothorax</x:v>
      </x:c>
      <x:c r="T161" s="62" t="n">
        <x:f>IF(O161="","",(1/'Metadata'!$B$5)^(O161-1))</x:f>
        <x:v>15463.812886046735</x:v>
      </x:c>
      <x:c r="U161" s="60" t="n">
        <x:f>IF(T161="","",I161*T161)</x:f>
        <x:v>188113.63244635263</x:v>
      </x:c>
    </x:row>
    <x:row r="162" ht="18" customHeight="1">
      <x:c r="A162" s="46" t="str">
        <x:v>LME_015</x:v>
      </x:c>
      <x:c r="B162" s="46" t="str">
        <x:v>South Brazil Shelf</x:v>
      </x:c>
      <x:c r="C162" s="46" t="str">
        <x:v>LME</x:v>
      </x:c>
      <x:c r="D162" s="58" t="n">
        <x:v>2019</x:v>
      </x:c>
      <x:c r="E162" s="46" t="str">
        <x:v>Diplodus argenteus</x:v>
      </x:c>
      <x:c r="F162" s="46" t="str">
        <x:v>South American silver porgy</x:v>
      </x:c>
      <x:c r="G162" s="46" t="str">
        <x:v>Medium demersals (30 - 89 cm)</x:v>
      </x:c>
      <x:c r="H162" s="46" t="str">
        <x:v>Perch-likes</x:v>
      </x:c>
      <x:c r="I162" s="60" t="n">
        <x:v>11.0737535927</x:v>
      </x:c>
      <x:c r="J162" s="60" t="n">
        <x:v>11.0737535927</x:v>
      </x:c>
      <x:c r="K162" s="60" t="n">
        <x:v>0</x:v>
      </x:c>
      <x:c r="L162" s="60" t="n">
        <x:v>11.036808850699998</x:v>
      </x:c>
      <x:c r="M162" s="60" t="n">
        <x:v>0.036944741999999996</x:v>
      </x:c>
      <x:c r="N162" s="46" t="str">
        <x:v>diplodus argenteus</x:v>
      </x:c>
      <x:c r="O162" s="62" t="n">
        <x:v>3.13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Diplodus argenteus</x:v>
      </x:c>
      <x:c r="T162" s="62" t="n">
        <x:f>IF(O162="","",(1/'Metadata'!$B$5)^(O162-1))</x:f>
        <x:v>590.4646342618306</x:v>
      </x:c>
      <x:c r="U162" s="60" t="n">
        <x:f>IF(T162="","",I162*T162)</x:f>
        <x:v>6538.659865019238</x:v>
      </x:c>
    </x:row>
    <x:row r="163" ht="18" customHeight="1">
      <x:c r="A163" s="46" t="str">
        <x:v>LME_015</x:v>
      </x:c>
      <x:c r="B163" s="46" t="str">
        <x:v>South Brazil Shelf</x:v>
      </x:c>
      <x:c r="C163" s="46" t="str">
        <x:v>LME</x:v>
      </x:c>
      <x:c r="D163" s="58" t="n">
        <x:v>2019</x:v>
      </x:c>
      <x:c r="E163" s="46" t="str">
        <x:v>Haemulidae</x:v>
      </x:c>
      <x:c r="F163" s="46" t="str">
        <x:v>Grunts, sweetlips, bonnetmouths</x:v>
      </x:c>
      <x:c r="G163" s="46" t="str">
        <x:v>Medium demersals (30 - 89 cm)</x:v>
      </x:c>
      <x:c r="H163" s="46" t="str">
        <x:v>Perch-likes</x:v>
      </x:c>
      <x:c r="I163" s="60" t="n">
        <x:v>10.846886879</x:v>
      </x:c>
      <x:c r="J163" s="60" t="n">
        <x:v>10.846886879</x:v>
      </x:c>
      <x:c r="K163" s="60" t="n">
        <x:v>0</x:v>
      </x:c>
      <x:c r="L163" s="60" t="n">
        <x:v>8.5643965525</x:v>
      </x:c>
      <x:c r="M163" s="60" t="n">
        <x:v>2.2824903265</x:v>
      </x:c>
      <x:c r="N163" s="46" t="str">
        <x:v>haemulidae</x:v>
      </x:c>
      <x:c r="O163" s="62" t="n">
        <x:v>3.36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Haemulidae</x:v>
      </x:c>
      <x:c r="T163" s="62" t="n">
        <x:f>IF(O163="","",(1/'Metadata'!$B$5)^(O163-1))</x:f>
        <x:v>1176.0635493805207</x:v>
      </x:c>
      <x:c r="U163" s="60" t="n">
        <x:f>IF(T163="","",I163*T163)</x:f>
        <x:v>12756.62828264574</x:v>
      </x:c>
    </x:row>
    <x:row r="164" ht="18" customHeight="1">
      <x:c r="A164" s="46" t="str">
        <x:v>LME_015</x:v>
      </x:c>
      <x:c r="B164" s="46" t="str">
        <x:v>South Brazil Shelf</x:v>
      </x:c>
      <x:c r="C164" s="46" t="str">
        <x:v>LME</x:v>
      </x:c>
      <x:c r="D164" s="58" t="n">
        <x:v>2019</x:v>
      </x:c>
      <x:c r="E164" s="46" t="str">
        <x:v>Carcharias taurus</x:v>
      </x:c>
      <x:c r="F164" s="46" t="str">
        <x:v>Sand tiger shark</x:v>
      </x:c>
      <x:c r="G164" s="46" t="str">
        <x:v>Large sharks (&gt;=90 cm)</x:v>
      </x:c>
      <x:c r="H164" s="46" t="str">
        <x:v>Sharks &amp; rays</x:v>
      </x:c>
      <x:c r="I164" s="60" t="n">
        <x:v>9.6488494471</x:v>
      </x:c>
      <x:c r="J164" s="60" t="n">
        <x:v>9.6488494471</x:v>
      </x:c>
      <x:c r="K164" s="60" t="n">
        <x:v>0</x:v>
      </x:c>
      <x:c r="L164" s="60" t="n">
        <x:v>9.4343404026</x:v>
      </x:c>
      <x:c r="M164" s="60" t="n">
        <x:v>0.2145090445</x:v>
      </x:c>
      <x:c r="N164" s="46" t="str">
        <x:v>carcharias taurus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Carcharias taurus</x:v>
      </x:c>
      <x:c r="T164" s="62" t="n">
        <x:f>IF(O164="","",(1/'Metadata'!$B$5)^(O164-1))</x:f>
        <x:v>35777.08763999664</x:v>
      </x:c>
      <x:c r="U164" s="60" t="n">
        <x:f>IF(T164="","",I164*T164)</x:f>
        <x:v>345207.7322940298</x:v>
      </x:c>
    </x:row>
    <x:row r="165" ht="18" customHeight="1">
      <x:c r="A165" s="46" t="str">
        <x:v>LME_015</x:v>
      </x:c>
      <x:c r="B165" s="46" t="str">
        <x:v>South Brazil Shelf</x:v>
      </x:c>
      <x:c r="C165" s="46" t="str">
        <x:v>LME</x:v>
      </x:c>
      <x:c r="D165" s="58" t="n">
        <x:v>2019</x:v>
      </x:c>
      <x:c r="E165" s="46" t="str">
        <x:v>Harengula</x:v>
      </x:c>
      <x:c r="F165" s="46" t="str">
        <x:v>False herrings</x:v>
      </x:c>
      <x:c r="G165" s="46" t="str">
        <x:v>Small pelagics (&lt;30 cm)</x:v>
      </x:c>
      <x:c r="H165" s="46" t="str">
        <x:v>Herring-likes</x:v>
      </x:c>
      <x:c r="I165" s="60" t="n">
        <x:v>9.5401181601</x:v>
      </x:c>
      <x:c r="J165" s="60" t="n">
        <x:v>9.5401181601</x:v>
      </x:c>
      <x:c r="K165" s="60" t="n">
        <x:v>0</x:v>
      </x:c>
      <x:c r="L165" s="60" t="n">
        <x:v>9.2144681378</x:v>
      </x:c>
      <x:c r="M165" s="60" t="n">
        <x:v>0.3256500223</x:v>
      </x:c>
      <x:c r="N165" s="46" t="str">
        <x:v>harengula</x:v>
      </x:c>
      <x:c r="O165" s="62" t="n">
        <x:v>3.37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Harengula</x:v>
      </x:c>
      <x:c r="T165" s="62" t="n">
        <x:f>IF(O165="","",(1/'Metadata'!$B$5)^(O165-1))</x:f>
        <x:v>1211.828298056271</x:v>
      </x:c>
      <x:c r="U165" s="60" t="n">
        <x:f>IF(T165="","",I165*T165)</x:f>
        <x:v>11560.985153209707</x:v>
      </x:c>
    </x:row>
    <x:row r="166" ht="18" customHeight="1">
      <x:c r="A166" s="46" t="str">
        <x:v>LME_015</x:v>
      </x:c>
      <x:c r="B166" s="46" t="str">
        <x:v>South Brazil Shelf</x:v>
      </x:c>
      <x:c r="C166" s="46" t="str">
        <x:v>LME</x:v>
      </x:c>
      <x:c r="D166" s="58" t="n">
        <x:v>2019</x:v>
      </x:c>
      <x:c r="E166" s="46" t="str">
        <x:v>Makaira nigricans</x:v>
      </x:c>
      <x:c r="F166" s="46" t="str">
        <x:v>Blue marlin</x:v>
      </x:c>
      <x:c r="G166" s="46" t="str">
        <x:v>Large pelagics (&gt;=90 cm)</x:v>
      </x:c>
      <x:c r="H166" s="46" t="str">
        <x:v>Tuna &amp; billfishes</x:v>
      </x:c>
      <x:c r="I166" s="60" t="n">
        <x:v>9.4383947232</x:v>
      </x:c>
      <x:c r="J166" s="60" t="n">
        <x:v>9.4383947232</x:v>
      </x:c>
      <x:c r="K166" s="60" t="n">
        <x:v>0</x:v>
      </x:c>
      <x:c r="L166" s="60" t="n">
        <x:v>9.4383947232</x:v>
      </x:c>
      <x:c r="M166" s="60" t="n">
        <x:v>0</x:v>
      </x:c>
      <x:c r="N166" s="46" t="str">
        <x:v>makaira nigricans</x:v>
      </x:c>
      <x:c r="O166" s="62" t="n">
        <x:v>4.49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Makaira nigricans</x:v>
      </x:c>
      <x:c r="T166" s="62" t="n">
        <x:f>IF(O166="","",(1/'Metadata'!$B$5)^(O166-1))</x:f>
        <x:v>34721.19667768202</x:v>
      </x:c>
      <x:c r="U166" s="60" t="n">
        <x:f>IF(T166="","",I166*T166)</x:f>
        <x:v>327712.35950582335</x:v>
      </x:c>
    </x:row>
    <x:row r="167" ht="18" customHeight="1">
      <x:c r="A167" s="46" t="str">
        <x:v>LME_015</x:v>
      </x:c>
      <x:c r="B167" s="46" t="str">
        <x:v>South Brazil Shelf</x:v>
      </x:c>
      <x:c r="C167" s="46" t="str">
        <x:v>LME</x:v>
      </x:c>
      <x:c r="D167" s="58" t="n">
        <x:v>2019</x:v>
      </x:c>
      <x:c r="E167" s="46" t="str">
        <x:v>Hemiramphidae</x:v>
      </x:c>
      <x:c r="F167" s="46" t="str">
        <x:v>Halfbeaks, garfishes</x:v>
      </x:c>
      <x:c r="G167" s="46" t="str">
        <x:v>Medium pelagics (30 - 89 cm)</x:v>
      </x:c>
      <x:c r="H167" s="46" t="str">
        <x:v>Other fishes &amp; inverts</x:v>
      </x:c>
      <x:c r="I167" s="60" t="n">
        <x:v>9.2589103518</x:v>
      </x:c>
      <x:c r="J167" s="60" t="n">
        <x:v>9.2589103518</x:v>
      </x:c>
      <x:c r="K167" s="60" t="n">
        <x:v>0</x:v>
      </x:c>
      <x:c r="L167" s="60" t="n">
        <x:v>9.222402330300001</x:v>
      </x:c>
      <x:c r="M167" s="60" t="n">
        <x:v>0.036508021499999994</x:v>
      </x:c>
      <x:c r="N167" s="46" t="str">
        <x:v>hemiramphidae</x:v>
      </x:c>
      <x:c r="O167" s="62" t="n">
        <x:v>2.82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Hemiramphidae</x:v>
      </x:c>
      <x:c r="T167" s="62" t="n">
        <x:f>IF(O167="","",(1/'Metadata'!$B$5)^(O167-1))</x:f>
        <x:v>233.27843447436348</x:v>
      </x:c>
      <x:c r="U167" s="60" t="n">
        <x:f>IF(T167="","",I167*T167)</x:f>
        <x:v>2159.9041118063824</x:v>
      </x:c>
    </x:row>
    <x:row r="168" ht="18" customHeight="1">
      <x:c r="A168" s="46" t="str">
        <x:v>LME_015</x:v>
      </x:c>
      <x:c r="B168" s="46" t="str">
        <x:v>South Brazil Shelf</x:v>
      </x:c>
      <x:c r="C168" s="46" t="str">
        <x:v>LME</x:v>
      </x:c>
      <x:c r="D168" s="58" t="n">
        <x:v>2019</x:v>
      </x:c>
      <x:c r="E168" s="46" t="str">
        <x:v>Carcharhinus falciformis</x:v>
      </x:c>
      <x:c r="F168" s="46" t="str">
        <x:v>Silky shark</x:v>
      </x:c>
      <x:c r="G168" s="46" t="str">
        <x:v>Large sharks (&gt;=90 cm)</x:v>
      </x:c>
      <x:c r="H168" s="46" t="str">
        <x:v>Sharks &amp; rays</x:v>
      </x:c>
      <x:c r="I168" s="60" t="n">
        <x:v>7.8077667257</x:v>
      </x:c>
      <x:c r="J168" s="60" t="n">
        <x:v>7.8077667257</x:v>
      </x:c>
      <x:c r="K168" s="60" t="n">
        <x:v>0</x:v>
      </x:c>
      <x:c r="L168" s="60" t="n">
        <x:v>0</x:v>
      </x:c>
      <x:c r="M168" s="60" t="n">
        <x:v>7.8077667257</x:v>
      </x:c>
      <x:c r="N168" s="46" t="str">
        <x:v>carcharhinus falciformis</x:v>
      </x:c>
      <x:c r="O168" s="62" t="n">
        <x:v>4.51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Carcharhinus falciformis</x:v>
      </x:c>
      <x:c r="T168" s="62" t="n">
        <x:f>IF(O168="","",(1/'Metadata'!$B$5)^(O168-1))</x:f>
        <x:v>36865.088835568684</x:v>
      </x:c>
      <x:c r="U168" s="60" t="n">
        <x:f>IF(T168="","",I168*T168)</x:f>
        <x:v>287834.0139503277</x:v>
      </x:c>
    </x:row>
    <x:row r="169" ht="18" customHeight="1">
      <x:c r="A169" s="46" t="str">
        <x:v>LME_015</x:v>
      </x:c>
      <x:c r="B169" s="46" t="str">
        <x:v>South Brazil Shelf</x:v>
      </x:c>
      <x:c r="C169" s="46" t="str">
        <x:v>LME</x:v>
      </x:c>
      <x:c r="D169" s="58" t="n">
        <x:v>2019</x:v>
      </x:c>
      <x:c r="E169" s="46" t="str">
        <x:v>Caranx</x:v>
      </x:c>
      <x:c r="F169" s="46" t="str">
        <x:v>Jacks</x:v>
      </x:c>
      <x:c r="G169" s="46" t="str">
        <x:v>Medium reef assoc. fish (30 - 89 cm)</x:v>
      </x:c>
      <x:c r="H169" s="46" t="str">
        <x:v>Perch-likes</x:v>
      </x:c>
      <x:c r="I169" s="60" t="n">
        <x:v>6.262244722</x:v>
      </x:c>
      <x:c r="J169" s="60" t="n">
        <x:v>6.262244722</x:v>
      </x:c>
      <x:c r="K169" s="60" t="n">
        <x:v>0</x:v>
      </x:c>
      <x:c r="L169" s="60" t="n">
        <x:v>2.8330000598000002</x:v>
      </x:c>
      <x:c r="M169" s="60" t="n">
        <x:v>3.4292446622</x:v>
      </x:c>
      <x:c r="N169" s="46" t="str">
        <x:v>caranx</x:v>
      </x:c>
      <x:c r="O169" s="62" t="n">
        <x:v>4.12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Caranx</x:v>
      </x:c>
      <x:c r="T169" s="62" t="n">
        <x:f>IF(O169="","",(1/'Metadata'!$B$5)^(O169-1))</x:f>
        <x:v>11460.764444393179</x:v>
      </x:c>
      <x:c r="U169" s="60" t="n">
        <x:f>IF(T169="","",I169*T169)</x:f>
        <x:v>71770.11165198644</x:v>
      </x:c>
    </x:row>
    <x:row r="170" ht="18" customHeight="1">
      <x:c r="A170" s="46" t="str">
        <x:v>LME_015</x:v>
      </x:c>
      <x:c r="B170" s="46" t="str">
        <x:v>South Brazil Shelf</x:v>
      </x:c>
      <x:c r="C170" s="46" t="str">
        <x:v>LME</x:v>
      </x:c>
      <x:c r="D170" s="58" t="n">
        <x:v>2019</x:v>
      </x:c>
      <x:c r="E170" s="46" t="str">
        <x:v>Merluccius</x:v>
      </x:c>
      <x:c r="F170" s="46" t="str">
        <x:v>Hakes</x:v>
      </x:c>
      <x:c r="G170" s="46" t="str">
        <x:v>Medium bathydemersals (30 - 89 cm)</x:v>
      </x:c>
      <x:c r="H170" s="46" t="str">
        <x:v>Cod-likes</x:v>
      </x:c>
      <x:c r="I170" s="60" t="n">
        <x:v>6.0195223086</x:v>
      </x:c>
      <x:c r="J170" s="60" t="n">
        <x:v>6.0195223086</x:v>
      </x:c>
      <x:c r="K170" s="60" t="n">
        <x:v>0</x:v>
      </x:c>
      <x:c r="L170" s="60" t="n">
        <x:v>6.0195223086</x:v>
      </x:c>
      <x:c r="M170" s="60" t="n">
        <x:v>0</x:v>
      </x:c>
      <x:c r="N170" s="46" t="str">
        <x:v>merluccius</x:v>
      </x:c>
      <x:c r="O170" s="62" t="n">
        <x:v>4.27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Merluccius</x:v>
      </x:c>
      <x:c r="T170" s="62" t="n">
        <x:f>IF(O170="","",(1/'Metadata'!$B$5)^(O170-1))</x:f>
        <x:v>17962.55396184286</x:v>
      </x:c>
      <x:c r="U170" s="60" t="n">
        <x:f>IF(T170="","",I170*T170)</x:f>
        <x:v>108125.9942927444</x:v>
      </x:c>
    </x:row>
    <x:row r="171" ht="18" customHeight="1">
      <x:c r="A171" s="46" t="str">
        <x:v>LME_015</x:v>
      </x:c>
      <x:c r="B171" s="46" t="str">
        <x:v>South Brazil Shelf</x:v>
      </x:c>
      <x:c r="C171" s="46" t="str">
        <x:v>LME</x:v>
      </x:c>
      <x:c r="D171" s="58" t="n">
        <x:v>2019</x:v>
      </x:c>
      <x:c r="E171" s="46" t="str">
        <x:v>Elagatis bipinnulata</x:v>
      </x:c>
      <x:c r="F171" s="46" t="str">
        <x:v>Rainbow runner</x:v>
      </x:c>
      <x:c r="G171" s="46" t="str">
        <x:v>Large pelagics (&gt;=90 cm)</x:v>
      </x:c>
      <x:c r="H171" s="46" t="str">
        <x:v>Perch-likes</x:v>
      </x:c>
      <x:c r="I171" s="60" t="n">
        <x:v>5.8444629193</x:v>
      </x:c>
      <x:c r="J171" s="60" t="n">
        <x:v>5.8444629193</x:v>
      </x:c>
      <x:c r="K171" s="60" t="n">
        <x:v>0</x:v>
      </x:c>
      <x:c r="L171" s="60" t="n">
        <x:v>5.762403954</x:v>
      </x:c>
      <x:c r="M171" s="60" t="n">
        <x:v>0.08205896530000001</x:v>
      </x:c>
      <x:c r="N171" s="46" t="str">
        <x:v>elagatis bipinnulata</x:v>
      </x:c>
      <x:c r="O171" s="62" t="n">
        <x:v>4.27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Elagatis bipinnulata</x:v>
      </x:c>
      <x:c r="T171" s="62" t="n">
        <x:f>IF(O171="","",(1/'Metadata'!$B$5)^(O171-1))</x:f>
        <x:v>17962.55396184286</x:v>
      </x:c>
      <x:c r="U171" s="60" t="n">
        <x:f>IF(T171="","",I171*T171)</x:f>
        <x:v>104981.48056591589</x:v>
      </x:c>
    </x:row>
    <x:row r="172" ht="18" customHeight="1">
      <x:c r="A172" s="46" t="str">
        <x:v>LME_015</x:v>
      </x:c>
      <x:c r="B172" s="46" t="str">
        <x:v>South Brazil Shelf</x:v>
      </x:c>
      <x:c r="C172" s="46" t="str">
        <x:v>LME</x:v>
      </x:c>
      <x:c r="D172" s="58" t="n">
        <x:v>2019</x:v>
      </x:c>
      <x:c r="E172" s="46" t="str">
        <x:v>Squatina argentina</x:v>
      </x:c>
      <x:c r="F172" s="46" t="str">
        <x:v>Argentine angelshark</x:v>
      </x:c>
      <x:c r="G172" s="46" t="str">
        <x:v>Large sharks (&gt;=90 cm)</x:v>
      </x:c>
      <x:c r="H172" s="46" t="str">
        <x:v>Sharks &amp; rays</x:v>
      </x:c>
      <x:c r="I172" s="60" t="n">
        <x:v>5.795468639699999</x:v>
      </x:c>
      <x:c r="J172" s="60" t="n">
        <x:v>5.795468639699999</x:v>
      </x:c>
      <x:c r="K172" s="60" t="n">
        <x:v>0</x:v>
      </x:c>
      <x:c r="L172" s="60" t="n">
        <x:v>5.795468639699999</x:v>
      </x:c>
      <x:c r="M172" s="60" t="n">
        <x:v>0</x:v>
      </x:c>
      <x:c r="N172" s="46" t="str">
        <x:v>squatina argentina</x:v>
      </x:c>
      <x:c r="O172" s="62" t="n">
        <x:v>4.11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Squatina argentina</x:v>
      </x:c>
      <x:c r="T172" s="62" t="n">
        <x:f>IF(O172="","",(1/'Metadata'!$B$5)^(O172-1))</x:f>
        <x:v>11122.52233481121</x:v>
      </x:c>
      <x:c r="U172" s="60" t="n">
        <x:f>IF(T172="","",I172*T172)</x:f>
        <x:v>64460.22938576119</x:v>
      </x:c>
    </x:row>
    <x:row r="173" ht="18" customHeight="1">
      <x:c r="A173" s="46" t="str">
        <x:v>LME_015</x:v>
      </x:c>
      <x:c r="B173" s="46" t="str">
        <x:v>South Brazil Shelf</x:v>
      </x:c>
      <x:c r="C173" s="46" t="str">
        <x:v>LME</x:v>
      </x:c>
      <x:c r="D173" s="58" t="n">
        <x:v>2019</x:v>
      </x:c>
      <x:c r="E173" s="46" t="str">
        <x:v>Epinephelus morio</x:v>
      </x:c>
      <x:c r="F173" s="46" t="str">
        <x:v>Red grouper</x:v>
      </x:c>
      <x:c r="G173" s="46" t="str">
        <x:v>Large reef assoc. fish (&gt;=90 cm)</x:v>
      </x:c>
      <x:c r="H173" s="46" t="str">
        <x:v>Perch-likes</x:v>
      </x:c>
      <x:c r="I173" s="60" t="n">
        <x:v>5.7126093007</x:v>
      </x:c>
      <x:c r="J173" s="60" t="n">
        <x:v>5.7126093007</x:v>
      </x:c>
      <x:c r="K173" s="60" t="n">
        <x:v>0</x:v>
      </x:c>
      <x:c r="L173" s="60" t="n">
        <x:v>0</x:v>
      </x:c>
      <x:c r="M173" s="60" t="n">
        <x:v>5.7126093007</x:v>
      </x:c>
      <x:c r="N173" s="46" t="str">
        <x:v>epinephelus morio</x:v>
      </x:c>
      <x:c r="O173" s="62" t="n">
        <x:v>3.5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morio</x:v>
      </x:c>
      <x:c r="T173" s="62" t="n">
        <x:f>IF(O173="","",(1/'Metadata'!$B$5)^(O173-1))</x:f>
        <x:v>1788.8543819998317</x:v>
      </x:c>
      <x:c r="U173" s="60" t="n">
        <x:f>IF(T173="","",I173*T173)</x:f>
        <x:v>10219.026180210189</x:v>
      </x:c>
    </x:row>
    <x:row r="174" ht="18" customHeight="1">
      <x:c r="A174" s="46" t="str">
        <x:v>LME_015</x:v>
      </x:c>
      <x:c r="B174" s="46" t="str">
        <x:v>South Brazil Shelf</x:v>
      </x:c>
      <x:c r="C174" s="46" t="str">
        <x:v>LME</x:v>
      </x:c>
      <x:c r="D174" s="58" t="n">
        <x:v>2019</x:v>
      </x:c>
      <x:c r="E174" s="46" t="str">
        <x:v>Acanthurus</x:v>
      </x:c>
      <x:c r="F174" s="46" t="str">
        <x:v>Surgeonfishes</x:v>
      </x:c>
      <x:c r="G174" s="46" t="str">
        <x:v>Small reef assoc. fish (&lt;30 cm)</x:v>
      </x:c>
      <x:c r="H174" s="46" t="str">
        <x:v>Perch-likes</x:v>
      </x:c>
      <x:c r="I174" s="60" t="n">
        <x:v>5.6262433044</x:v>
      </x:c>
      <x:c r="J174" s="60" t="n">
        <x:v>5.6262433044</x:v>
      </x:c>
      <x:c r="K174" s="60" t="n">
        <x:v>0</x:v>
      </x:c>
      <x:c r="L174" s="60" t="n">
        <x:v>2.1504081236</x:v>
      </x:c>
      <x:c r="M174" s="60" t="n">
        <x:v>3.4758351808</x:v>
      </x:c>
      <x:c r="N174" s="46" t="str">
        <x:v>acanthurus</x:v>
      </x:c>
      <x:c r="O174" s="62" t="n">
        <x:v>2.03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Acanthurus</x:v>
      </x:c>
      <x:c r="T174" s="62" t="n">
        <x:f>IF(O174="","",(1/'Metadata'!$B$5)^(O174-1))</x:f>
        <x:v>21.880684071538855</x:v>
      </x:c>
      <x:c r="U174" s="60" t="n">
        <x:f>IF(T174="","",I174*T174)</x:f>
        <x:v>123.10605225318722</x:v>
      </x:c>
    </x:row>
    <x:row r="175" ht="18" customHeight="1">
      <x:c r="A175" s="46" t="str">
        <x:v>LME_015</x:v>
      </x:c>
      <x:c r="B175" s="46" t="str">
        <x:v>South Brazil Shelf</x:v>
      </x:c>
      <x:c r="C175" s="46" t="str">
        <x:v>LME</x:v>
      </x:c>
      <x:c r="D175" s="58" t="n">
        <x:v>2019</x:v>
      </x:c>
      <x:c r="E175" s="46" t="str">
        <x:v>Priacanthus</x:v>
      </x:c>
      <x:c r="F175" s="46" t="str">
        <x:v>Bigeyes</x:v>
      </x:c>
      <x:c r="G175" s="46" t="str">
        <x:v>Medium reef assoc. fish (30 - 89 cm)</x:v>
      </x:c>
      <x:c r="H175" s="46" t="str">
        <x:v>Perch-likes</x:v>
      </x:c>
      <x:c r="I175" s="60" t="n">
        <x:v>5.5512105913</x:v>
      </x:c>
      <x:c r="J175" s="60" t="n">
        <x:v>5.5512105913</x:v>
      </x:c>
      <x:c r="K175" s="60" t="n">
        <x:v>0</x:v>
      </x:c>
      <x:c r="L175" s="60" t="n">
        <x:v>0</x:v>
      </x:c>
      <x:c r="M175" s="60" t="n">
        <x:v>5.5512105913</x:v>
      </x:c>
      <x:c r="N175" s="46" t="str">
        <x:v>priacanthus</x:v>
      </x:c>
      <x:c r="O175" s="62" t="n">
        <x:v>3.81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Priacanthus</x:v>
      </x:c>
      <x:c r="T175" s="62" t="n">
        <x:f>IF(O175="","",(1/'Metadata'!$B$5)^(O175-1))</x:f>
        <x:v>4527.873529309382</x:v>
      </x:c>
      <x:c r="U175" s="60" t="n">
        <x:f>IF(T175="","",I175*T175)</x:f>
        <x:v>25135.179491969157</x:v>
      </x:c>
    </x:row>
    <x:row r="176" ht="18" customHeight="1">
      <x:c r="A176" s="46" t="str">
        <x:v>LME_015</x:v>
      </x:c>
      <x:c r="B176" s="46" t="str">
        <x:v>South Brazil Shelf</x:v>
      </x:c>
      <x:c r="C176" s="46" t="str">
        <x:v>LME</x:v>
      </x:c>
      <x:c r="D176" s="58" t="n">
        <x:v>2019</x:v>
      </x:c>
      <x:c r="E176" s="46" t="str">
        <x:v>Rhizoprionodon porosus</x:v>
      </x:c>
      <x:c r="F176" s="46" t="str">
        <x:v>Caribbean sharpnose shark</x:v>
      </x:c>
      <x:c r="G176" s="46" t="str">
        <x:v>Large sharks (&gt;=90 cm)</x:v>
      </x:c>
      <x:c r="H176" s="46" t="str">
        <x:v>Sharks &amp; rays</x:v>
      </x:c>
      <x:c r="I176" s="60" t="n">
        <x:v>5.3989871816</x:v>
      </x:c>
      <x:c r="J176" s="60" t="n">
        <x:v>5.3989871816</x:v>
      </x:c>
      <x:c r="K176" s="60" t="n">
        <x:v>0</x:v>
      </x:c>
      <x:c r="L176" s="60" t="n">
        <x:v>0</x:v>
      </x:c>
      <x:c r="M176" s="60" t="n">
        <x:v>5.3989871816</x:v>
      </x:c>
      <x:c r="N176" s="46" t="str">
        <x:v>rhizoprionodon porosus</x:v>
      </x:c>
      <x:c r="O176" s="62" t="n">
        <x:v>3.99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Rhizoprionodon porosus</x:v>
      </x:c>
      <x:c r="T176" s="62" t="n">
        <x:f>IF(O176="","",(1/'Metadata'!$B$5)^(O176-1))</x:f>
        <x:v>7763.895603143686</x:v>
      </x:c>
      <x:c r="U176" s="60" t="n">
        <x:f>IF(T176="","",I176*T176)</x:f>
        <x:v>41917.17284065336</x:v>
      </x:c>
    </x:row>
    <x:row r="177" ht="18" customHeight="1">
      <x:c r="A177" s="46" t="str">
        <x:v>LME_015</x:v>
      </x:c>
      <x:c r="B177" s="46" t="str">
        <x:v>South Brazil Shelf</x:v>
      </x:c>
      <x:c r="C177" s="46" t="str">
        <x:v>LME</x:v>
      </x:c>
      <x:c r="D177" s="58" t="n">
        <x:v>2019</x:v>
      </x:c>
      <x:c r="E177" s="46" t="str">
        <x:v>Holocentrus adscensionis</x:v>
      </x:c>
      <x:c r="F177" s="46" t="str">
        <x:v>Squirrelfish</x:v>
      </x:c>
      <x:c r="G177" s="46" t="str">
        <x:v>Medium reef assoc. fish (30 - 89 cm)</x:v>
      </x:c>
      <x:c r="H177" s="46" t="str">
        <x:v>Other fishes &amp; inverts</x:v>
      </x:c>
      <x:c r="I177" s="60" t="n">
        <x:v>5.3303560303</x:v>
      </x:c>
      <x:c r="J177" s="60" t="n">
        <x:v>5.3303560303</x:v>
      </x:c>
      <x:c r="K177" s="60" t="n">
        <x:v>0</x:v>
      </x:c>
      <x:c r="L177" s="60" t="n">
        <x:v>3.5947445526</x:v>
      </x:c>
      <x:c r="M177" s="60" t="n">
        <x:v>1.7356114777</x:v>
      </x:c>
      <x:c r="N177" s="46" t="str">
        <x:v>holocentrus adscensionis</x:v>
      </x:c>
      <x:c r="O177" s="62" t="n">
        <x:v>3.11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Holocentrus adscensionis</x:v>
      </x:c>
      <x:c r="T177" s="62" t="n">
        <x:f>IF(O177="","",(1/'Metadata'!$B$5)^(O177-1))</x:f>
        <x:v>556.1261167405597</x:v>
      </x:c>
      <x:c r="U177" s="60" t="n">
        <x:f>IF(T177="","",I177*T177)</x:f>
        <x:v>2964.3501999753644</x:v>
      </x:c>
    </x:row>
    <x:row r="178" ht="18" customHeight="1">
      <x:c r="A178" s="46" t="str">
        <x:v>LME_015</x:v>
      </x:c>
      <x:c r="B178" s="46" t="str">
        <x:v>South Brazil Shelf</x:v>
      </x:c>
      <x:c r="C178" s="46" t="str">
        <x:v>LME</x:v>
      </x:c>
      <x:c r="D178" s="58" t="n">
        <x:v>2019</x:v>
      </x:c>
      <x:c r="E178" s="46" t="str">
        <x:v>Lamna nasus</x:v>
      </x:c>
      <x:c r="F178" s="46" t="str">
        <x:v>Porbeagle</x:v>
      </x:c>
      <x:c r="G178" s="46" t="str">
        <x:v>Large sharks (&gt;=90 cm)</x:v>
      </x:c>
      <x:c r="H178" s="46" t="str">
        <x:v>Sharks &amp; rays</x:v>
      </x:c>
      <x:c r="I178" s="60" t="n">
        <x:v>5.3204693908000005</x:v>
      </x:c>
      <x:c r="J178" s="60" t="n">
        <x:v>5.3204693908000005</x:v>
      </x:c>
      <x:c r="K178" s="60" t="n">
        <x:v>0</x:v>
      </x:c>
      <x:c r="L178" s="60" t="n">
        <x:v>5.3204693908000005</x:v>
      </x:c>
      <x:c r="M178" s="60" t="n">
        <x:v>0</x:v>
      </x:c>
      <x:c r="N178" s="46" t="str">
        <x:v>lamna nasus</x:v>
      </x:c>
      <x:c r="O178" s="62" t="n">
        <x:v>4.57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Lamna nasus</x:v>
      </x:c>
      <x:c r="T178" s="62" t="n">
        <x:f>IF(O178="","",(1/'Metadata'!$B$5)^(O178-1))</x:f>
        <x:v>44124.224393105345</x:v>
      </x:c>
      <x:c r="U178" s="60" t="n">
        <x:f>IF(T178="","",I178*T178)</x:f>
        <x:v>234761.5852763077</x:v>
      </x:c>
    </x:row>
    <x:row r="179" ht="18" customHeight="1">
      <x:c r="A179" s="46" t="str">
        <x:v>LME_015</x:v>
      </x:c>
      <x:c r="B179" s="46" t="str">
        <x:v>South Brazil Shelf</x:v>
      </x:c>
      <x:c r="C179" s="46" t="str">
        <x:v>LME</x:v>
      </x:c>
      <x:c r="D179" s="58" t="n">
        <x:v>2019</x:v>
      </x:c>
      <x:c r="E179" s="46" t="str">
        <x:v>Scomberomorus cavalla</x:v>
      </x:c>
      <x:c r="F179" s="46" t="str">
        <x:v>King mackerel</x:v>
      </x:c>
      <x:c r="G179" s="46" t="str">
        <x:v>Large pelagics (&gt;=90 cm)</x:v>
      </x:c>
      <x:c r="H179" s="46" t="str">
        <x:v>Perch-likes</x:v>
      </x:c>
      <x:c r="I179" s="60" t="n">
        <x:v>4.9864879819</x:v>
      </x:c>
      <x:c r="J179" s="60" t="n">
        <x:v>4.9864879819</x:v>
      </x:c>
      <x:c r="K179" s="60" t="n">
        <x:v>0</x:v>
      </x:c>
      <x:c r="L179" s="60" t="n">
        <x:v>4.2453214390000005</x:v>
      </x:c>
      <x:c r="M179" s="60" t="n">
        <x:v>0.7411665429</x:v>
      </x:c>
      <x:c r="N179" s="46" t="str">
        <x:v>scomberomorus cavalla</x:v>
      </x:c>
      <x:c r="O179" s="62" t="n">
        <x:v>4.42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Scomberomorus cavalla</x:v>
      </x:c>
      <x:c r="T179" s="62" t="n">
        <x:f>IF(O179="","",(1/'Metadata'!$B$5)^(O179-1))</x:f>
        <x:v>28152.864182630117</x:v>
      </x:c>
      <x:c r="U179" s="60" t="n">
        <x:f>IF(T179="","",I179*T179)</x:f>
        <x:v>140383.91890274803</x:v>
      </x:c>
    </x:row>
    <x:row r="180" ht="18" customHeight="1">
      <x:c r="A180" s="46" t="str">
        <x:v>LME_015</x:v>
      </x:c>
      <x:c r="B180" s="46" t="str">
        <x:v>South Brazil Shelf</x:v>
      </x:c>
      <x:c r="C180" s="46" t="str">
        <x:v>LME</x:v>
      </x:c>
      <x:c r="D180" s="58" t="n">
        <x:v>2019</x:v>
      </x:c>
      <x:c r="E180" s="46" t="str">
        <x:v>Sphyraena barracuda</x:v>
      </x:c>
      <x:c r="F180" s="46" t="str">
        <x:v>Great barracuda</x:v>
      </x:c>
      <x:c r="G180" s="46" t="str">
        <x:v>Large pelagics (&gt;=90 cm)</x:v>
      </x:c>
      <x:c r="H180" s="46" t="str">
        <x:v>Perch-likes</x:v>
      </x:c>
      <x:c r="I180" s="60" t="n">
        <x:v>4.640181536</x:v>
      </x:c>
      <x:c r="J180" s="60" t="n">
        <x:v>4.640181536</x:v>
      </x:c>
      <x:c r="K180" s="60" t="n">
        <x:v>0</x:v>
      </x:c>
      <x:c r="L180" s="60" t="n">
        <x:v>2.5751230744</x:v>
      </x:c>
      <x:c r="M180" s="60" t="n">
        <x:v>2.0650584616</x:v>
      </x:c>
      <x:c r="N180" s="46" t="str">
        <x:v>sphyraena barracuda</x:v>
      </x:c>
      <x:c r="O180" s="62" t="n">
        <x:v>4.49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Sphyraena barracuda</x:v>
      </x:c>
      <x:c r="T180" s="62" t="n">
        <x:f>IF(O180="","",(1/'Metadata'!$B$5)^(O180-1))</x:f>
        <x:v>34721.19667768202</x:v>
      </x:c>
      <x:c r="U180" s="60" t="n">
        <x:f>IF(T180="","",I180*T180)</x:f>
        <x:v>161112.65573160464</x:v>
      </x:c>
    </x:row>
    <x:row r="181" ht="18" customHeight="1">
      <x:c r="A181" s="46" t="str">
        <x:v>LME_015</x:v>
      </x:c>
      <x:c r="B181" s="46" t="str">
        <x:v>South Brazil Shelf</x:v>
      </x:c>
      <x:c r="C181" s="46" t="str">
        <x:v>LME</x:v>
      </x:c>
      <x:c r="D181" s="58" t="n">
        <x:v>2019</x:v>
      </x:c>
      <x:c r="E181" s="46" t="str">
        <x:v>Archosargus rhomboidalis</x:v>
      </x:c>
      <x:c r="F181" s="46" t="str">
        <x:v>Western Atlantic seabream</x:v>
      </x:c>
      <x:c r="G181" s="46" t="str">
        <x:v>Medium reef assoc. fish (30 - 89 cm)</x:v>
      </x:c>
      <x:c r="H181" s="46" t="str">
        <x:v>Perch-likes</x:v>
      </x:c>
      <x:c r="I181" s="60" t="n">
        <x:v>4.568016119499999</x:v>
      </x:c>
      <x:c r="J181" s="60" t="n">
        <x:v>4.568016119499999</x:v>
      </x:c>
      <x:c r="K181" s="60" t="n">
        <x:v>0</x:v>
      </x:c>
      <x:c r="L181" s="60" t="n">
        <x:v>4.560784035599999</x:v>
      </x:c>
      <x:c r="M181" s="60" t="n">
        <x:v>0.0072320839</x:v>
      </x:c>
      <x:c r="N181" s="46" t="str">
        <x:v>archosargus rhomboidalis</x:v>
      </x:c>
      <x:c r="O181" s="62" t="n">
        <x:v>2.89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Archosargus rhomboidalis</x:v>
      </x:c>
      <x:c r="T181" s="62" t="n">
        <x:f>IF(O181="","",(1/'Metadata'!$B$5)^(O181-1))</x:f>
        <x:v>287.70452453798737</x:v>
      </x:c>
      <x:c r="U181" s="60" t="n">
        <x:f>IF(T181="","",I181*T181)</x:f>
        <x:v>1314.2389057426094</x:v>
      </x:c>
    </x:row>
    <x:row r="182" ht="18" customHeight="1">
      <x:c r="A182" s="46" t="str">
        <x:v>LME_015</x:v>
      </x:c>
      <x:c r="B182" s="46" t="str">
        <x:v>South Brazil Shelf</x:v>
      </x:c>
      <x:c r="C182" s="46" t="str">
        <x:v>LME</x:v>
      </x:c>
      <x:c r="D182" s="58" t="n">
        <x:v>2019</x:v>
      </x:c>
      <x:c r="E182" s="46" t="str">
        <x:v>Kyphosus</x:v>
      </x:c>
      <x:c r="F182" s="46" t="str">
        <x:v>Sea chubs</x:v>
      </x:c>
      <x:c r="G182" s="46" t="str">
        <x:v>Medium reef assoc. fish (30 - 89 cm)</x:v>
      </x:c>
      <x:c r="H182" s="46" t="str">
        <x:v>Perch-likes</x:v>
      </x:c>
      <x:c r="I182" s="60" t="n">
        <x:v>4.3289562511</x:v>
      </x:c>
      <x:c r="J182" s="60" t="n">
        <x:v>4.3289562511</x:v>
      </x:c>
      <x:c r="K182" s="60" t="n">
        <x:v>0</x:v>
      </x:c>
      <x:c r="L182" s="60" t="n">
        <x:v>4.221542632999999</x:v>
      </x:c>
      <x:c r="M182" s="60" t="n">
        <x:v>0.1074136181</x:v>
      </x:c>
      <x:c r="N182" s="46" t="str">
        <x:v>kyphosus</x:v>
      </x:c>
      <x:c r="O182" s="62" t="n">
        <x:v>2.05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Kyphosus</x:v>
      </x:c>
      <x:c r="T182" s="62" t="n">
        <x:f>IF(O182="","",(1/'Metadata'!$B$5)^(O182-1))</x:f>
        <x:v>23.231726992830833</x:v>
      </x:c>
      <x:c r="U182" s="60" t="n">
        <x:f>IF(T182="","",I182*T182)</x:f>
        <x:v>100.56912978946364</x:v>
      </x:c>
    </x:row>
    <x:row r="183" ht="18" customHeight="1">
      <x:c r="A183" s="46" t="str">
        <x:v>LME_015</x:v>
      </x:c>
      <x:c r="B183" s="46" t="str">
        <x:v>South Brazil Shelf</x:v>
      </x:c>
      <x:c r="C183" s="46" t="str">
        <x:v>LME</x:v>
      </x:c>
      <x:c r="D183" s="58" t="n">
        <x:v>2019</x:v>
      </x:c>
      <x:c r="E183" s="46" t="str">
        <x:v>Lutjanidae</x:v>
      </x:c>
      <x:c r="F183" s="46" t="str">
        <x:v>Snappers</x:v>
      </x:c>
      <x:c r="G183" s="46" t="str">
        <x:v>Medium reef assoc. fish (30 - 89 cm)</x:v>
      </x:c>
      <x:c r="H183" s="46" t="str">
        <x:v>Perch-likes</x:v>
      </x:c>
      <x:c r="I183" s="60" t="n">
        <x:v>4.2164761171</x:v>
      </x:c>
      <x:c r="J183" s="60" t="n">
        <x:v>4.2164761171</x:v>
      </x:c>
      <x:c r="K183" s="60" t="n">
        <x:v>0</x:v>
      </x:c>
      <x:c r="L183" s="60" t="n">
        <x:v>0.7980007574000001</x:v>
      </x:c>
      <x:c r="M183" s="60" t="n">
        <x:v>3.4184753597</x:v>
      </x:c>
      <x:c r="N183" s="46" t="str">
        <x:v>lutjanidae</x:v>
      </x:c>
      <x:c r="O183" s="62" t="n">
        <x:v>4.02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Lutjanidae</x:v>
      </x:c>
      <x:c r="T183" s="62" t="n">
        <x:f>IF(O183="","",(1/'Metadata'!$B$5)^(O183-1))</x:f>
        <x:v>8493.967342839818</x:v>
      </x:c>
      <x:c r="U183" s="60" t="n">
        <x:f>IF(T183="","",I183*T183)</x:f>
        <x:v>35814.61044051144</x:v>
      </x:c>
    </x:row>
    <x:row r="184" ht="18" customHeight="1">
      <x:c r="A184" s="46" t="str">
        <x:v>LME_015</x:v>
      </x:c>
      <x:c r="B184" s="46" t="str">
        <x:v>South Brazil Shelf</x:v>
      </x:c>
      <x:c r="C184" s="46" t="str">
        <x:v>LME</x:v>
      </x:c>
      <x:c r="D184" s="58" t="n">
        <x:v>2019</x:v>
      </x:c>
      <x:c r="E184" s="46" t="str">
        <x:v>Aetobatus narinari</x:v>
      </x:c>
      <x:c r="F184" s="46" t="str">
        <x:v>Spotted eagle ray</x:v>
      </x:c>
      <x:c r="G184" s="46" t="str">
        <x:v>Large rays (&gt;=90 cm)</x:v>
      </x:c>
      <x:c r="H184" s="46" t="str">
        <x:v>Sharks &amp; rays</x:v>
      </x:c>
      <x:c r="I184" s="60" t="n">
        <x:v>3.8798994407</x:v>
      </x:c>
      <x:c r="J184" s="60" t="n">
        <x:v>3.8798994407</x:v>
      </x:c>
      <x:c r="K184" s="60" t="n">
        <x:v>0</x:v>
      </x:c>
      <x:c r="L184" s="60" t="n">
        <x:v>1.9133366096</x:v>
      </x:c>
      <x:c r="M184" s="60" t="n">
        <x:v>1.9665628311</x:v>
      </x:c>
      <x:c r="N184" s="46" t="str">
        <x:v>aetobatus narinari</x:v>
      </x:c>
      <x:c r="O184" s="62" t="n">
        <x:v>4.17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Aetobatus narinari</x:v>
      </x:c>
      <x:c r="T184" s="62" t="n">
        <x:f>IF(O184="","",(1/'Metadata'!$B$5)^(O184-1))</x:f>
        <x:v>13312.667535064244</x:v>
      </x:c>
      <x:c r="U184" s="60" t="n">
        <x:f>IF(T184="","",I184*T184)</x:f>
        <x:v>51651.81132352081</x:v>
      </x:c>
    </x:row>
    <x:row r="185" ht="18" customHeight="1">
      <x:c r="A185" s="46" t="str">
        <x:v>LME_015</x:v>
      </x:c>
      <x:c r="B185" s="46" t="str">
        <x:v>South Brazil Shelf</x:v>
      </x:c>
      <x:c r="C185" s="46" t="str">
        <x:v>LME</x:v>
      </x:c>
      <x:c r="D185" s="58" t="n">
        <x:v>2019</x:v>
      </x:c>
      <x:c r="E185" s="46" t="str">
        <x:v>Selar crumenophthalmus</x:v>
      </x:c>
      <x:c r="F185" s="46" t="str">
        <x:v>Bigeye scad</x:v>
      </x:c>
      <x:c r="G185" s="46" t="str">
        <x:v>Medium pelagics (30 - 89 cm)</x:v>
      </x:c>
      <x:c r="H185" s="46" t="str">
        <x:v>Perch-likes</x:v>
      </x:c>
      <x:c r="I185" s="60" t="n">
        <x:v>3.8658502867999998</x:v>
      </x:c>
      <x:c r="J185" s="60" t="n">
        <x:v>3.8658502867999998</x:v>
      </x:c>
      <x:c r="K185" s="60" t="n">
        <x:v>0</x:v>
      </x:c>
      <x:c r="L185" s="60" t="n">
        <x:v>3.7573326369999998</x:v>
      </x:c>
      <x:c r="M185" s="60" t="n">
        <x:v>0.1085176498</x:v>
      </x:c>
      <x:c r="N185" s="46" t="str">
        <x:v>selar crumenophthalmus</x:v>
      </x:c>
      <x:c r="O185" s="62" t="n">
        <x:v>3.81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Selar crumenophthalmus</x:v>
      </x:c>
      <x:c r="T185" s="62" t="n">
        <x:f>IF(O185="","",(1/'Metadata'!$B$5)^(O185-1))</x:f>
        <x:v>4527.873529309382</x:v>
      </x:c>
      <x:c r="U185" s="60" t="n">
        <x:f>IF(T185="","",I185*T185)</x:f>
        <x:v>17504.081181874804</x:v>
      </x:c>
    </x:row>
    <x:row r="186" ht="18" customHeight="1">
      <x:c r="A186" s="46" t="str">
        <x:v>LME_015</x:v>
      </x:c>
      <x:c r="B186" s="46" t="str">
        <x:v>South Brazil Shelf</x:v>
      </x:c>
      <x:c r="C186" s="46" t="str">
        <x:v>LME</x:v>
      </x:c>
      <x:c r="D186" s="58" t="n">
        <x:v>2019</x:v>
      </x:c>
      <x:c r="E186" s="46" t="str">
        <x:v>Alopias</x:v>
      </x:c>
      <x:c r="F186" s="46" t="str">
        <x:v>Thresher sharks</x:v>
      </x:c>
      <x:c r="G186" s="46" t="str">
        <x:v>Large sharks (&gt;=90 cm)</x:v>
      </x:c>
      <x:c r="H186" s="46" t="str">
        <x:v>Sharks &amp; rays</x:v>
      </x:c>
      <x:c r="I186" s="60" t="n">
        <x:v>3.8206275024</x:v>
      </x:c>
      <x:c r="J186" s="60" t="n">
        <x:v>3.8206275024</x:v>
      </x:c>
      <x:c r="K186" s="60" t="n">
        <x:v>0</x:v>
      </x:c>
      <x:c r="L186" s="60" t="n">
        <x:v>3.7275756818</x:v>
      </x:c>
      <x:c r="M186" s="60" t="n">
        <x:v>0.0930518206</x:v>
      </x:c>
      <x:c r="N186" s="46" t="str">
        <x:v>alopias</x:v>
      </x:c>
      <x:c r="O186" s="62" t="n">
        <x:v>4.5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Alopias</x:v>
      </x:c>
      <x:c r="T186" s="62" t="n">
        <x:f>IF(O186="","",(1/'Metadata'!$B$5)^(O186-1))</x:f>
        <x:v>35777.08763999664</x:v>
      </x:c>
      <x:c r="U186" s="60" t="n">
        <x:f>IF(T186="","",I186*T186)</x:f>
        <x:v>136690.92499314624</x:v>
      </x:c>
    </x:row>
    <x:row r="187" ht="18" customHeight="1">
      <x:c r="A187" s="46" t="str">
        <x:v>LME_015</x:v>
      </x:c>
      <x:c r="B187" s="46" t="str">
        <x:v>South Brazil Shelf</x:v>
      </x:c>
      <x:c r="C187" s="46" t="str">
        <x:v>LME</x:v>
      </x:c>
      <x:c r="D187" s="58" t="n">
        <x:v>2019</x:v>
      </x:c>
      <x:c r="E187" s="46" t="str">
        <x:v>Genypterus blacodes</x:v>
      </x:c>
      <x:c r="F187" s="46" t="str">
        <x:v>Pink cusk-eel</x:v>
      </x:c>
      <x:c r="G187" s="46" t="str">
        <x:v>Large bathydemersals (&gt;=90 cm)</x:v>
      </x:c>
      <x:c r="H187" s="46" t="str">
        <x:v>Other fishes &amp; inverts</x:v>
      </x:c>
      <x:c r="I187" s="60" t="n">
        <x:v>3.6679976229</x:v>
      </x:c>
      <x:c r="J187" s="60" t="n">
        <x:v>3.6679976229</x:v>
      </x:c>
      <x:c r="K187" s="60" t="n">
        <x:v>0</x:v>
      </x:c>
      <x:c r="L187" s="60" t="n">
        <x:v>3.6679976229</x:v>
      </x:c>
      <x:c r="M187" s="60" t="n">
        <x:v>0</x:v>
      </x:c>
      <x:c r="N187" s="46" t="str">
        <x:v>genypterus blacodes</x:v>
      </x:c>
      <x:c r="O187" s="62" t="n">
        <x:v>4.22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Genypterus blacodes</x:v>
      </x:c>
      <x:c r="T187" s="62" t="n">
        <x:f>IF(O187="","",(1/'Metadata'!$B$5)^(O187-1))</x:f>
        <x:v>15463.812886046735</x:v>
      </x:c>
      <x:c r="U187" s="60" t="n">
        <x:f>IF(T187="","",I187*T187)</x:f>
        <x:v>56721.22890698982</x:v>
      </x:c>
    </x:row>
    <x:row r="188" ht="18" customHeight="1">
      <x:c r="A188" s="46" t="str">
        <x:v>LME_015</x:v>
      </x:c>
      <x:c r="B188" s="46" t="str">
        <x:v>South Brazil Shelf</x:v>
      </x:c>
      <x:c r="C188" s="46" t="str">
        <x:v>LME</x:v>
      </x:c>
      <x:c r="D188" s="58" t="n">
        <x:v>2019</x:v>
      </x:c>
      <x:c r="E188" s="46" t="str">
        <x:v>Anchoa hepsetus</x:v>
      </x:c>
      <x:c r="F188" s="46" t="str">
        <x:v>Broad-striped anchovy</x:v>
      </x:c>
      <x:c r="G188" s="46" t="str">
        <x:v>Small pelagics (&lt;30 cm)</x:v>
      </x:c>
      <x:c r="H188" s="46" t="str">
        <x:v>Anchovies</x:v>
      </x:c>
      <x:c r="I188" s="60" t="n">
        <x:v>3.6166012215</x:v>
      </x:c>
      <x:c r="J188" s="60" t="n">
        <x:v>3.6166012215</x:v>
      </x:c>
      <x:c r="K188" s="60" t="n">
        <x:v>0</x:v>
      </x:c>
      <x:c r="L188" s="60" t="n">
        <x:v>3.0398926437</x:v>
      </x:c>
      <x:c r="M188" s="60" t="n">
        <x:v>0.5767085778000001</x:v>
      </x:c>
      <x:c r="N188" s="46" t="str">
        <x:v>anchoa hepsetus</x:v>
      </x:c>
      <x:c r="O188" s="62" t="n">
        <x:v>3.34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Anchoa hepsetus</x:v>
      </x:c>
      <x:c r="T188" s="62" t="n">
        <x:f>IF(O188="","",(1/'Metadata'!$B$5)^(O188-1))</x:f>
        <x:v>1107.6694806197092</x:v>
      </x:c>
      <x:c r="U188" s="60" t="n">
        <x:f>IF(T188="","",I188*T188)</x:f>
        <x:v>4005.9987966275107</x:v>
      </x:c>
    </x:row>
    <x:row r="189" ht="18" customHeight="1">
      <x:c r="A189" s="46" t="str">
        <x:v>LME_015</x:v>
      </x:c>
      <x:c r="B189" s="46" t="str">
        <x:v>South Brazil Shelf</x:v>
      </x:c>
      <x:c r="C189" s="46" t="str">
        <x:v>LME</x:v>
      </x:c>
      <x:c r="D189" s="58" t="n">
        <x:v>2019</x:v>
      </x:c>
      <x:c r="E189" s="46" t="str">
        <x:v>Eucinostomus</x:v>
      </x:c>
      <x:c r="F189" s="46" t="str">
        <x:v>Mojarras</x:v>
      </x:c>
      <x:c r="G189" s="46" t="str">
        <x:v>Large reef assoc. fish (&gt;=90 cm)</x:v>
      </x:c>
      <x:c r="H189" s="46" t="str">
        <x:v>Perch-likes</x:v>
      </x:c>
      <x:c r="I189" s="60" t="n">
        <x:v>3.5114247962</x:v>
      </x:c>
      <x:c r="J189" s="60" t="n">
        <x:v>3.5114247962</x:v>
      </x:c>
      <x:c r="K189" s="60" t="n">
        <x:v>0</x:v>
      </x:c>
      <x:c r="L189" s="60" t="n">
        <x:v>3.4411472155</x:v>
      </x:c>
      <x:c r="M189" s="60" t="n">
        <x:v>0.07027758070000001</x:v>
      </x:c>
      <x:c r="N189" s="46" t="str">
        <x:v>eucinostomus</x:v>
      </x:c>
      <x:c r="O189" s="62" t="n">
        <x:v>3.5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Eucinostomus</x:v>
      </x:c>
      <x:c r="T189" s="62" t="n">
        <x:f>IF(O189="","",(1/'Metadata'!$B$5)^(O189-1))</x:f>
        <x:v>1788.8543819998317</x:v>
      </x:c>
      <x:c r="U189" s="60" t="n">
        <x:f>IF(T189="","",I189*T189)</x:f>
        <x:v>6281.427633745237</x:v>
      </x:c>
    </x:row>
    <x:row r="190" ht="18" customHeight="1">
      <x:c r="A190" s="46" t="str">
        <x:v>LME_015</x:v>
      </x:c>
      <x:c r="B190" s="46" t="str">
        <x:v>South Brazil Shelf</x:v>
      </x:c>
      <x:c r="C190" s="46" t="str">
        <x:v>LME</x:v>
      </x:c>
      <x:c r="D190" s="58" t="n">
        <x:v>2019</x:v>
      </x:c>
      <x:c r="E190" s="46" t="str">
        <x:v>Zenopsis conchifer</x:v>
      </x:c>
      <x:c r="F190" s="46" t="str">
        <x:v>Silvery John dory</x:v>
      </x:c>
      <x:c r="G190" s="46" t="str">
        <x:v>Medium benthopelagics (30 - 89 cm)</x:v>
      </x:c>
      <x:c r="H190" s="46" t="str">
        <x:v>Other fishes &amp; inverts</x:v>
      </x:c>
      <x:c r="I190" s="60" t="n">
        <x:v>3.3569124229000002</x:v>
      </x:c>
      <x:c r="J190" s="60" t="n">
        <x:v>3.3569124229000002</x:v>
      </x:c>
      <x:c r="K190" s="60" t="n">
        <x:v>0</x:v>
      </x:c>
      <x:c r="L190" s="60" t="n">
        <x:v>3.2675133338</x:v>
      </x:c>
      <x:c r="M190" s="60" t="n">
        <x:v>0.0893990891</x:v>
      </x:c>
      <x:c r="N190" s="46" t="str">
        <x:v>zenopsis conchifer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Zenopsis conchifer</x:v>
      </x:c>
      <x:c r="T190" s="62" t="n">
        <x:f>IF(O190="","",(1/'Metadata'!$B$5)^(O190-1))</x:f>
        <x:v>35777.08763999664</x:v>
      </x:c>
      <x:c r="U190" s="60" t="n">
        <x:f>IF(T190="","",I190*T190)</x:f>
        <x:v>120100.54995388676</x:v>
      </x:c>
    </x:row>
    <x:row r="191" ht="18" customHeight="1">
      <x:c r="A191" s="46" t="str">
        <x:v>LME_015</x:v>
      </x:c>
      <x:c r="B191" s="46" t="str">
        <x:v>South Brazil Shelf</x:v>
      </x:c>
      <x:c r="C191" s="46" t="str">
        <x:v>LME</x:v>
      </x:c>
      <x:c r="D191" s="58" t="n">
        <x:v>2019</x:v>
      </x:c>
      <x:c r="E191" s="46" t="str">
        <x:v>Dissostichus eleginoides</x:v>
      </x:c>
      <x:c r="F191" s="46" t="str">
        <x:v>Patagonian toothfish</x:v>
      </x:c>
      <x:c r="G191" s="46" t="str">
        <x:v>Large bathydemersals (&gt;=90 cm)</x:v>
      </x:c>
      <x:c r="H191" s="46" t="str">
        <x:v>Perch-likes</x:v>
      </x:c>
      <x:c r="I191" s="60" t="n">
        <x:v>3.3417636516</x:v>
      </x:c>
      <x:c r="J191" s="60" t="n">
        <x:v>3.3417636516</x:v>
      </x:c>
      <x:c r="K191" s="60" t="n">
        <x:v>0</x:v>
      </x:c>
      <x:c r="L191" s="60" t="n">
        <x:v>3.3417636516</x:v>
      </x:c>
      <x:c r="M191" s="60" t="n">
        <x:v>0</x:v>
      </x:c>
      <x:c r="N191" s="46" t="str">
        <x:v>dissostichus eleginoides</x:v>
      </x:c>
      <x:c r="O191" s="62" t="n">
        <x:v>3.96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Dissostichus eleginoides</x:v>
      </x:c>
      <x:c r="T191" s="62" t="n">
        <x:f>IF(O191="","",(1/'Metadata'!$B$5)^(O191-1))</x:f>
        <x:v>7096.574839945253</x:v>
      </x:c>
      <x:c r="U191" s="60" t="n">
        <x:f>IF(T191="","",I191*T191)</x:f>
        <x:v>23715.075850988134</x:v>
      </x:c>
    </x:row>
    <x:row r="192" ht="18" customHeight="1">
      <x:c r="A192" s="46" t="str">
        <x:v>LME_015</x:v>
      </x:c>
      <x:c r="B192" s="46" t="str">
        <x:v>South Brazil Shelf</x:v>
      </x:c>
      <x:c r="C192" s="46" t="str">
        <x:v>LME</x:v>
      </x:c>
      <x:c r="D192" s="58" t="n">
        <x:v>2019</x:v>
      </x:c>
      <x:c r="E192" s="46" t="str">
        <x:v>Polyprion americanus</x:v>
      </x:c>
      <x:c r="F192" s="46" t="str">
        <x:v>Wreckfish</x:v>
      </x:c>
      <x:c r="G192" s="46" t="str">
        <x:v>Large bathydemersals (&gt;=90 cm)</x:v>
      </x:c>
      <x:c r="H192" s="46" t="str">
        <x:v>Perch-likes</x:v>
      </x:c>
      <x:c r="I192" s="60" t="n">
        <x:v>3.2549423961</x:v>
      </x:c>
      <x:c r="J192" s="60" t="n">
        <x:v>3.2549423961</x:v>
      </x:c>
      <x:c r="K192" s="60" t="n">
        <x:v>0</x:v>
      </x:c>
      <x:c r="L192" s="60" t="n">
        <x:v>3.220184133</x:v>
      </x:c>
      <x:c r="M192" s="60" t="n">
        <x:v>0.0347582631</x:v>
      </x:c>
      <x:c r="N192" s="46" t="str">
        <x:v>polyprion americanus</x:v>
      </x:c>
      <x:c r="O192" s="62" t="n">
        <x:v>4.14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Polyprion americanus</x:v>
      </x:c>
      <x:c r="T192" s="62" t="n">
        <x:f>IF(O192="","",(1/'Metadata'!$B$5)^(O192-1))</x:f>
        <x:v>12168.419864331923</x:v>
      </x:c>
      <x:c r="U192" s="60" t="n">
        <x:f>IF(T192="","",I192*T192)</x:f>
        <x:v>39607.50570995939</x:v>
      </x:c>
    </x:row>
    <x:row r="193" ht="18" customHeight="1">
      <x:c r="A193" s="46" t="str">
        <x:v>LME_015</x:v>
      </x:c>
      <x:c r="B193" s="46" t="str">
        <x:v>South Brazil Shelf</x:v>
      </x:c>
      <x:c r="C193" s="46" t="str">
        <x:v>LME</x:v>
      </x:c>
      <x:c r="D193" s="58" t="n">
        <x:v>2019</x:v>
      </x:c>
      <x:c r="E193" s="46" t="str">
        <x:v>Centropomus</x:v>
      </x:c>
      <x:c r="F193" s="46" t="str">
        <x:v>Fat snooks</x:v>
      </x:c>
      <x:c r="G193" s="46" t="str">
        <x:v>Medium benthopelagics (30 - 89 cm)</x:v>
      </x:c>
      <x:c r="H193" s="46" t="str">
        <x:v>Perch-likes</x:v>
      </x:c>
      <x:c r="I193" s="60" t="n">
        <x:v>3.1696999085</x:v>
      </x:c>
      <x:c r="J193" s="60" t="n">
        <x:v>3.1696999085</x:v>
      </x:c>
      <x:c r="K193" s="60" t="n">
        <x:v>0</x:v>
      </x:c>
      <x:c r="L193" s="60" t="n">
        <x:v>3.1095425142</x:v>
      </x:c>
      <x:c r="M193" s="60" t="n">
        <x:v>0.0601573943</x:v>
      </x:c>
      <x:c r="N193" s="46" t="str">
        <x:v>centropomus</x:v>
      </x:c>
      <x:c r="O193" s="62" t="n">
        <x:v>3.92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Centropomus</x:v>
      </x:c>
      <x:c r="T193" s="62" t="n">
        <x:f>IF(O193="","",(1/'Metadata'!$B$5)^(O193-1))</x:f>
        <x:v>6295.1718073679995</x:v>
      </x:c>
      <x:c r="U193" s="60" t="n">
        <x:f>IF(T193="","",I193*T193)</x:f>
        <x:v>19953.805501806128</x:v>
      </x:c>
    </x:row>
    <x:row r="194" ht="18" customHeight="1">
      <x:c r="A194" s="46" t="str">
        <x:v>LME_015</x:v>
      </x:c>
      <x:c r="B194" s="46" t="str">
        <x:v>South Brazil Shelf</x:v>
      </x:c>
      <x:c r="C194" s="46" t="str">
        <x:v>LME</x:v>
      </x:c>
      <x:c r="D194" s="58" t="n">
        <x:v>2019</x:v>
      </x:c>
      <x:c r="E194" s="46" t="str">
        <x:v>Myliobatidae</x:v>
      </x:c>
      <x:c r="F194" s="46" t="str">
        <x:v>Eagle/manta rays</x:v>
      </x:c>
      <x:c r="G194" s="46" t="str">
        <x:v>Large rays (&gt;=90 cm)</x:v>
      </x:c>
      <x:c r="H194" s="46" t="str">
        <x:v>Sharks &amp; rays</x:v>
      </x:c>
      <x:c r="I194" s="60" t="n">
        <x:v>2.6973027233000004</x:v>
      </x:c>
      <x:c r="J194" s="60" t="n">
        <x:v>2.6973027233000004</x:v>
      </x:c>
      <x:c r="K194" s="60" t="n">
        <x:v>0</x:v>
      </x:c>
      <x:c r="L194" s="60" t="n">
        <x:v>2.6708900921</x:v>
      </x:c>
      <x:c r="M194" s="60" t="n">
        <x:v>0.0264126312</x:v>
      </x:c>
      <x:c r="N194" s="46" t="str">
        <x:v>myliobatidae</x:v>
      </x:c>
      <x:c r="O194" s="62" t="n">
        <x:v>3.36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Myliobatidae</x:v>
      </x:c>
      <x:c r="T194" s="62" t="n">
        <x:f>IF(O194="","",(1/'Metadata'!$B$5)^(O194-1))</x:f>
        <x:v>1176.0635493805207</x:v>
      </x:c>
      <x:c r="U194" s="60" t="n">
        <x:f>IF(T194="","",I194*T194)</x:f>
        <x:v>3172.1994145179433</x:v>
      </x:c>
    </x:row>
    <x:row r="195" ht="18" customHeight="1">
      <x:c r="A195" s="46" t="str">
        <x:v>LME_015</x:v>
      </x:c>
      <x:c r="B195" s="46" t="str">
        <x:v>South Brazil Shelf</x:v>
      </x:c>
      <x:c r="C195" s="46" t="str">
        <x:v>LME</x:v>
      </x:c>
      <x:c r="D195" s="58" t="n">
        <x:v>2019</x:v>
      </x:c>
      <x:c r="E195" s="46" t="str">
        <x:v>Pseudobatos percellens</x:v>
      </x:c>
      <x:c r="F195" s="46" t="str">
        <x:v>Chola guitarfish</x:v>
      </x:c>
      <x:c r="G195" s="46" t="str">
        <x:v>Small to medium rays (&lt;90 cm)</x:v>
      </x:c>
      <x:c r="H195" s="46" t="str">
        <x:v>Sharks &amp; rays</x:v>
      </x:c>
      <x:c r="I195" s="60" t="n">
        <x:v>2.6005653338</x:v>
      </x:c>
      <x:c r="J195" s="60" t="n">
        <x:v>2.6005653338</x:v>
      </x:c>
      <x:c r="K195" s="60" t="n">
        <x:v>0</x:v>
      </x:c>
      <x:c r="L195" s="60" t="n">
        <x:v>2.5945965148</x:v>
      </x:c>
      <x:c r="M195" s="60" t="n">
        <x:v>0.005968819</x:v>
      </x:c>
      <x:c r="N195" s="46" t="str">
        <x:v>pseudobatos percellens</x:v>
      </x:c>
      <x:c r="O195" s="62" t="n">
        <x:v>3.58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Pseudobatos percellens</x:v>
      </x:c>
      <x:c r="T195" s="62" t="n">
        <x:f>IF(O195="","",(1/'Metadata'!$B$5)^(O195-1))</x:f>
        <x:v>2273.3033337150473</x:v>
      </x:c>
      <x:c r="U195" s="60" t="n">
        <x:f>IF(T195="","",I195*T195)</x:f>
        <x:v>5911.873842871325</x:v>
      </x:c>
    </x:row>
    <x:row r="196" ht="18" customHeight="1">
      <x:c r="A196" s="46" t="str">
        <x:v>LME_015</x:v>
      </x:c>
      <x:c r="B196" s="46" t="str">
        <x:v>South Brazil Shelf</x:v>
      </x:c>
      <x:c r="C196" s="46" t="str">
        <x:v>LME</x:v>
      </x:c>
      <x:c r="D196" s="58" t="n">
        <x:v>2019</x:v>
      </x:c>
      <x:c r="E196" s="46" t="str">
        <x:v>Chaetodipterus faber</x:v>
      </x:c>
      <x:c r="F196" s="46" t="str">
        <x:v>Atlantic spadefish</x:v>
      </x:c>
      <x:c r="G196" s="46" t="str">
        <x:v>Medium demersals (30 - 89 cm)</x:v>
      </x:c>
      <x:c r="H196" s="46" t="str">
        <x:v>Perch-likes</x:v>
      </x:c>
      <x:c r="I196" s="60" t="n">
        <x:v>2.367130459</x:v>
      </x:c>
      <x:c r="J196" s="60" t="n">
        <x:v>1.2871101397</x:v>
      </x:c>
      <x:c r="K196" s="60" t="n">
        <x:v>1.0800203193</x:v>
      </x:c>
      <x:c r="L196" s="60" t="n">
        <x:v>1.1615262454</x:v>
      </x:c>
      <x:c r="M196" s="60" t="n">
        <x:v>1.2056042136</x:v>
      </x:c>
      <x:c r="N196" s="46" t="str">
        <x:v>chaetodipterus faber</x:v>
      </x:c>
      <x:c r="O196" s="62" t="n">
        <x:v>4.5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Chaetodipterus faber</x:v>
      </x:c>
      <x:c r="T196" s="62" t="n">
        <x:f>IF(O196="","",(1/'Metadata'!$B$5)^(O196-1))</x:f>
        <x:v>35777.08763999664</x:v>
      </x:c>
      <x:c r="U196" s="60" t="n">
        <x:f>IF(T196="","",I196*T196)</x:f>
        <x:v>84689.03388694847</x:v>
      </x:c>
    </x:row>
    <x:row r="197" ht="18" customHeight="1">
      <x:c r="A197" s="46" t="str">
        <x:v>LME_015</x:v>
      </x:c>
      <x:c r="B197" s="46" t="str">
        <x:v>South Brazil Shelf</x:v>
      </x:c>
      <x:c r="C197" s="46" t="str">
        <x:v>LME</x:v>
      </x:c>
      <x:c r="D197" s="58" t="n">
        <x:v>2019</x:v>
      </x:c>
      <x:c r="E197" s="46" t="str">
        <x:v>Nototheniidae</x:v>
      </x:c>
      <x:c r="F197" s="46" t="str">
        <x:v>Cod icefishes</x:v>
      </x:c>
      <x:c r="G197" s="46" t="str">
        <x:v>Large bathydemersals (&gt;=90 cm)</x:v>
      </x:c>
      <x:c r="H197" s="46" t="str">
        <x:v>Perch-likes</x:v>
      </x:c>
      <x:c r="I197" s="60" t="n">
        <x:v>2.3491503134</x:v>
      </x:c>
      <x:c r="J197" s="60" t="n">
        <x:v>2.3491503134</x:v>
      </x:c>
      <x:c r="K197" s="60" t="n">
        <x:v>0</x:v>
      </x:c>
      <x:c r="L197" s="60" t="n">
        <x:v>2.3491503134</x:v>
      </x:c>
      <x:c r="M197" s="60" t="n">
        <x:v>0</x:v>
      </x:c>
      <x:c r="N197" s="46" t="str">
        <x:v>nototheniidae</x:v>
      </x:c>
      <x:c r="O197" s="62" t="n">
        <x:v>3.43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Nototheniidae</x:v>
      </x:c>
      <x:c r="T197" s="62" t="n">
        <x:f>IF(O197="","",(1/'Metadata'!$B$5)^(O197-1))</x:f>
        <x:v>1450.450424461182</x:v>
      </x:c>
      <x:c r="U197" s="60" t="n">
        <x:f>IF(T197="","",I197*T197)</x:f>
        <x:v>3407.3260691941487</x:v>
      </x:c>
    </x:row>
    <x:row r="198" ht="18" customHeight="1">
      <x:c r="A198" s="46" t="str">
        <x:v>LME_015</x:v>
      </x:c>
      <x:c r="B198" s="46" t="str">
        <x:v>South Brazil Shelf</x:v>
      </x:c>
      <x:c r="C198" s="46" t="str">
        <x:v>LME</x:v>
      </x:c>
      <x:c r="D198" s="58" t="n">
        <x:v>2019</x:v>
      </x:c>
      <x:c r="E198" s="46" t="str">
        <x:v>Gobiidae</x:v>
      </x:c>
      <x:c r="F198" s="46" t="str">
        <x:v>Gobies</x:v>
      </x:c>
      <x:c r="G198" s="46" t="str">
        <x:v>Small reef assoc. fish (&lt;30 cm)</x:v>
      </x:c>
      <x:c r="H198" s="46" t="str">
        <x:v>Perch-likes</x:v>
      </x:c>
      <x:c r="I198" s="60" t="n">
        <x:v>2.2860430684</x:v>
      </x:c>
      <x:c r="J198" s="60" t="n">
        <x:v>2.2860430684</x:v>
      </x:c>
      <x:c r="K198" s="60" t="n">
        <x:v>0</x:v>
      </x:c>
      <x:c r="L198" s="60" t="n">
        <x:v>2.2496936278</x:v>
      </x:c>
      <x:c r="M198" s="60" t="n">
        <x:v>0.0363494406</x:v>
      </x:c>
      <x:c r="N198" s="46" t="str">
        <x:v>gobiidae</x:v>
      </x:c>
      <x:c r="O198" s="62" t="n">
        <x:v>3.11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Gobiidae</x:v>
      </x:c>
      <x:c r="T198" s="62" t="n">
        <x:f>IF(O198="","",(1/'Metadata'!$B$5)^(O198-1))</x:f>
        <x:v>556.1261167405597</x:v>
      </x:c>
      <x:c r="U198" s="60" t="n">
        <x:f>IF(T198="","",I198*T198)</x:f>
        <x:v>1271.3282543309658</x:v>
      </x:c>
    </x:row>
    <x:row r="199" ht="18" customHeight="1">
      <x:c r="A199" s="46" t="str">
        <x:v>LME_015</x:v>
      </x:c>
      <x:c r="B199" s="46" t="str">
        <x:v>South Brazil Shelf</x:v>
      </x:c>
      <x:c r="C199" s="46" t="str">
        <x:v>LME</x:v>
      </x:c>
      <x:c r="D199" s="58" t="n">
        <x:v>2019</x:v>
      </x:c>
      <x:c r="E199" s="46" t="str">
        <x:v>Stromateidae</x:v>
      </x:c>
      <x:c r="F199" s="46" t="str">
        <x:v>Butterfishes</x:v>
      </x:c>
      <x:c r="G199" s="46" t="str">
        <x:v>Small benthopelagics (&lt;30 cm)</x:v>
      </x:c>
      <x:c r="H199" s="46" t="str">
        <x:v>Perch-likes</x:v>
      </x:c>
      <x:c r="I199" s="60" t="n">
        <x:v>2.2710334272</x:v>
      </x:c>
      <x:c r="J199" s="60" t="n">
        <x:v>2.2710334272</x:v>
      </x:c>
      <x:c r="K199" s="60" t="n">
        <x:v>0</x:v>
      </x:c>
      <x:c r="L199" s="60" t="n">
        <x:v>2.2710334272</x:v>
      </x:c>
      <x:c r="M199" s="60" t="n">
        <x:v>0</x:v>
      </x:c>
      <x:c r="N199" s="46" t="str">
        <x:v>stromateidae</x:v>
      </x:c>
      <x:c r="O199" s="62" t="n">
        <x:v>3.62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Stromateidae</x:v>
      </x:c>
      <x:c r="T199" s="62" t="n">
        <x:f>IF(O199="","",(1/'Metadata'!$B$5)^(O199-1))</x:f>
        <x:v>2562.7048371775754</x:v>
      </x:c>
      <x:c r="U199" s="60" t="n">
        <x:f>IF(T199="","",I199*T199)</x:f>
        <x:v>5819.988349277407</x:v>
      </x:c>
    </x:row>
    <x:row r="200" ht="18" customHeight="1">
      <x:c r="A200" s="46" t="str">
        <x:v>LME_015</x:v>
      </x:c>
      <x:c r="B200" s="46" t="str">
        <x:v>South Brazil Shelf</x:v>
      </x:c>
      <x:c r="C200" s="46" t="str">
        <x:v>LME</x:v>
      </x:c>
      <x:c r="D200" s="58" t="n">
        <x:v>2019</x:v>
      </x:c>
      <x:c r="E200" s="46" t="str">
        <x:v>Mollusca</x:v>
      </x:c>
      <x:c r="F200" s="46" t="str">
        <x:v>Clams, seasnails, squids, octopuses</x:v>
      </x:c>
      <x:c r="G200" s="46" t="str">
        <x:v>Other demersal invertebrates</x:v>
      </x:c>
      <x:c r="H200" s="46" t="str">
        <x:v>Molluscs</x:v>
      </x:c>
      <x:c r="I200" s="60" t="n">
        <x:v>2.0271936341</x:v>
      </x:c>
      <x:c r="J200" s="60" t="n">
        <x:v>2.0271936341</x:v>
      </x:c>
      <x:c r="K200" s="60" t="n">
        <x:v>0</x:v>
      </x:c>
      <x:c r="L200" s="60" t="n">
        <x:v>1.6761131813</x:v>
      </x:c>
      <x:c r="M200" s="60" t="n">
        <x:v>0.3510804528</x:v>
      </x:c>
      <x:c r="N200" s="46" t="str">
        <x:v>mollusca</x:v>
      </x:c>
      <x:c r="O200" s="62" t="n">
        <x:v>2.1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Mollusca</x:v>
      </x:c>
      <x:c r="T200" s="62" t="n">
        <x:f>IF(O200="","",(1/'Metadata'!$B$5)^(O200-1))</x:f>
        <x:v>26.985656953471274</x:v>
      </x:c>
      <x:c r="U200" s="60" t="n">
        <x:f>IF(T200="","",I200*T200)</x:f>
        <x:v>54.70515198808337</x:v>
      </x:c>
    </x:row>
    <x:row r="201" ht="18" customHeight="1">
      <x:c r="A201" s="46" t="str">
        <x:v>LME_015</x:v>
      </x:c>
      <x:c r="B201" s="46" t="str">
        <x:v>South Brazil Shelf</x:v>
      </x:c>
      <x:c r="C201" s="46" t="str">
        <x:v>LME</x:v>
      </x:c>
      <x:c r="D201" s="58" t="n">
        <x:v>2019</x:v>
      </x:c>
      <x:c r="E201" s="46" t="str">
        <x:v>Pseudocaranx dentex</x:v>
      </x:c>
      <x:c r="F201" s="46" t="str">
        <x:v>White trevally</x:v>
      </x:c>
      <x:c r="G201" s="46" t="str">
        <x:v>Large reef assoc. fish (&gt;=90 cm)</x:v>
      </x:c>
      <x:c r="H201" s="46" t="str">
        <x:v>Perch-likes</x:v>
      </x:c>
      <x:c r="I201" s="60" t="n">
        <x:v>2.0271906997999998</x:v>
      </x:c>
      <x:c r="J201" s="60" t="n">
        <x:v>2.0271906997999998</x:v>
      </x:c>
      <x:c r="K201" s="60" t="n">
        <x:v>0</x:v>
      </x:c>
      <x:c r="L201" s="60" t="n">
        <x:v>2.0271906997999998</x:v>
      </x:c>
      <x:c r="M201" s="60" t="n">
        <x:v>0</x:v>
      </x:c>
      <x:c r="N201" s="46" t="str">
        <x:v>pseudocaranx dentex</x:v>
      </x:c>
      <x:c r="O201" s="62" t="n">
        <x:v>3.92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Pseudocaranx dentex</x:v>
      </x:c>
      <x:c r="T201" s="62" t="n">
        <x:f>IF(O201="","",(1/'Metadata'!$B$5)^(O201-1))</x:f>
        <x:v>6295.1718073679995</x:v>
      </x:c>
      <x:c r="U201" s="60" t="n">
        <x:f>IF(T201="","",I201*T201)</x:f>
        <x:v>12761.513741539564</x:v>
      </x:c>
    </x:row>
    <x:row r="202" ht="18" customHeight="1">
      <x:c r="A202" s="46" t="str">
        <x:v>LME_015</x:v>
      </x:c>
      <x:c r="B202" s="46" t="str">
        <x:v>South Brazil Shelf</x:v>
      </x:c>
      <x:c r="C202" s="46" t="str">
        <x:v>LME</x:v>
      </x:c>
      <x:c r="D202" s="58" t="n">
        <x:v>2019</x:v>
      </x:c>
      <x:c r="E202" s="46" t="str">
        <x:v>Albula vulpes</x:v>
      </x:c>
      <x:c r="F202" s="46" t="str">
        <x:v>Bonefish</x:v>
      </x:c>
      <x:c r="G202" s="46" t="str">
        <x:v>Medium reef assoc. fish (30 - 89 cm)</x:v>
      </x:c>
      <x:c r="H202" s="46" t="str">
        <x:v>Other fishes &amp; inverts</x:v>
      </x:c>
      <x:c r="I202" s="60" t="n">
        <x:v>2.0198067892</x:v>
      </x:c>
      <x:c r="J202" s="60" t="n">
        <x:v>2.0198067892</x:v>
      </x:c>
      <x:c r="K202" s="60" t="n">
        <x:v>0</x:v>
      </x:c>
      <x:c r="L202" s="60" t="n">
        <x:v>1.5140361948</x:v>
      </x:c>
      <x:c r="M202" s="60" t="n">
        <x:v>0.5057705944</x:v>
      </x:c>
      <x:c r="N202" s="46" t="str">
        <x:v>albula vulpes</x:v>
      </x:c>
      <x:c r="O202" s="62" t="n">
        <x:v>3.73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Albula vulpes</x:v>
      </x:c>
      <x:c r="T202" s="62" t="n">
        <x:f>IF(O202="","",(1/'Metadata'!$B$5)^(O202-1))</x:f>
        <x:v>3562.967723629534</x:v>
      </x:c>
      <x:c r="U202" s="60" t="n">
        <x:f>IF(T202="","",I202*T202)</x:f>
        <x:v>7196.506397887401</x:v>
      </x:c>
    </x:row>
    <x:row r="203" ht="18" customHeight="1">
      <x:c r="A203" s="46" t="str">
        <x:v>LME_015</x:v>
      </x:c>
      <x:c r="B203" s="46" t="str">
        <x:v>South Brazil Shelf</x:v>
      </x:c>
      <x:c r="C203" s="46" t="str">
        <x:v>LME</x:v>
      </x:c>
      <x:c r="D203" s="58" t="n">
        <x:v>2019</x:v>
      </x:c>
      <x:c r="E203" s="46" t="str">
        <x:v>Seriola dumerili</x:v>
      </x:c>
      <x:c r="F203" s="46" t="str">
        <x:v>Greater amberjack</x:v>
      </x:c>
      <x:c r="G203" s="46" t="str">
        <x:v>Large reef assoc. fish (&gt;=90 cm)</x:v>
      </x:c>
      <x:c r="H203" s="46" t="str">
        <x:v>Perch-likes</x:v>
      </x:c>
      <x:c r="I203" s="60" t="n">
        <x:v>1.9705851186</x:v>
      </x:c>
      <x:c r="J203" s="60" t="n">
        <x:v>1.9705851186</x:v>
      </x:c>
      <x:c r="K203" s="60" t="n">
        <x:v>0</x:v>
      </x:c>
      <x:c r="L203" s="60" t="n">
        <x:v>1.9547339268000001</x:v>
      </x:c>
      <x:c r="M203" s="60" t="n">
        <x:v>0.0158511918</x:v>
      </x:c>
      <x:c r="N203" s="46" t="str">
        <x:v>seriola dumerili</x:v>
      </x:c>
      <x:c r="O203" s="62" t="n">
        <x:v>4.5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Seriola dumerili</x:v>
      </x:c>
      <x:c r="T203" s="62" t="n">
        <x:f>IF(O203="","",(1/'Metadata'!$B$5)^(O203-1))</x:f>
        <x:v>35777.08763999664</x:v>
      </x:c>
      <x:c r="U203" s="60" t="n">
        <x:f>IF(T203="","",I203*T203)</x:f>
        <x:v>70501.79649022537</x:v>
      </x:c>
    </x:row>
    <x:row r="204" ht="18" customHeight="1">
      <x:c r="A204" s="46" t="str">
        <x:v>LME_015</x:v>
      </x:c>
      <x:c r="B204" s="46" t="str">
        <x:v>South Brazil Shelf</x:v>
      </x:c>
      <x:c r="C204" s="46" t="str">
        <x:v>LME</x:v>
      </x:c>
      <x:c r="D204" s="58" t="n">
        <x:v>2019</x:v>
      </x:c>
      <x:c r="E204" s="46" t="str">
        <x:v>Hyperoglyphe</x:v>
      </x:c>
      <x:c r="F204" s="46" t="str">
        <x:v>Warehous, barrelfishes</x:v>
      </x:c>
      <x:c r="G204" s="46" t="str">
        <x:v>Medium pelagics (30 - 89 cm)</x:v>
      </x:c>
      <x:c r="H204" s="46" t="str">
        <x:v>Perch-likes</x:v>
      </x:c>
      <x:c r="I204" s="60" t="n">
        <x:v>1.8597115456</x:v>
      </x:c>
      <x:c r="J204" s="60" t="n">
        <x:v>1.8597115456</x:v>
      </x:c>
      <x:c r="K204" s="60" t="n">
        <x:v>0</x:v>
      </x:c>
      <x:c r="L204" s="60" t="n">
        <x:v>1.8597115456</x:v>
      </x:c>
      <x:c r="M204" s="60" t="n">
        <x:v>0</x:v>
      </x:c>
      <x:c r="N204" s="46" t="str">
        <x:v>hyperoglyphe</x:v>
      </x:c>
      <x:c r="O204" s="62" t="n">
        <x:v>3.71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Hyperoglyphe</x:v>
      </x:c>
      <x:c r="T204" s="62" t="n">
        <x:f>IF(O204="","",(1/'Metadata'!$B$5)^(O204-1))</x:f>
        <x:v>3355.7630537706395</x:v>
      </x:c>
      <x:c r="U204" s="60" t="n">
        <x:f>IF(T204="","",I204*T204)</x:f>
        <x:v>6240.751295395172</x:v>
      </x:c>
    </x:row>
    <x:row r="205" ht="18" customHeight="1">
      <x:c r="A205" s="46" t="str">
        <x:v>LME_015</x:v>
      </x:c>
      <x:c r="B205" s="46" t="str">
        <x:v>South Brazil Shelf</x:v>
      </x:c>
      <x:c r="C205" s="46" t="str">
        <x:v>LME</x:v>
      </x:c>
      <x:c r="D205" s="58" t="n">
        <x:v>2019</x:v>
      </x:c>
      <x:c r="E205" s="46" t="str">
        <x:v>Dasyatis</x:v>
      </x:c>
      <x:c r="F205" s="46" t="str">
        <x:v>Rough whip stingrays</x:v>
      </x:c>
      <x:c r="G205" s="46" t="str">
        <x:v>Large rays (&gt;=90 cm)</x:v>
      </x:c>
      <x:c r="H205" s="46" t="str">
        <x:v>Sharks &amp; rays</x:v>
      </x:c>
      <x:c r="I205" s="60" t="n">
        <x:v>1.7492887788</x:v>
      </x:c>
      <x:c r="J205" s="60" t="n">
        <x:v>1.7492887788</x:v>
      </x:c>
      <x:c r="K205" s="60" t="n">
        <x:v>0</x:v>
      </x:c>
      <x:c r="L205" s="60" t="n">
        <x:v>1.7220457625</x:v>
      </x:c>
      <x:c r="M205" s="60" t="n">
        <x:v>0.0272430163</x:v>
      </x:c>
      <x:c r="N205" s="46" t="str">
        <x:v>dasyatis</x:v>
      </x:c>
      <x:c r="O205" s="62" t="n">
        <x:v>3.28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Dasyatis</x:v>
      </x:c>
      <x:c r="T205" s="62" t="n">
        <x:f>IF(O205="","",(1/'Metadata'!$B$5)^(O205-1))</x:f>
        <x:v>925.4402624666747</x:v>
      </x:c>
      <x:c r="U205" s="60" t="n">
        <x:f>IF(T205="","",I205*T205)</x:f>
        <x:v>1618.8622665826808</x:v>
      </x:c>
    </x:row>
    <x:row r="206" ht="18" customHeight="1">
      <x:c r="A206" s="46" t="str">
        <x:v>LME_015</x:v>
      </x:c>
      <x:c r="B206" s="46" t="str">
        <x:v>South Brazil Shelf</x:v>
      </x:c>
      <x:c r="C206" s="46" t="str">
        <x:v>LME</x:v>
      </x:c>
      <x:c r="D206" s="58" t="n">
        <x:v>2019</x:v>
      </x:c>
      <x:c r="E206" s="46" t="str">
        <x:v>Seriola rivoliana</x:v>
      </x:c>
      <x:c r="F206" s="46" t="str">
        <x:v>Longfin yellowtail</x:v>
      </x:c>
      <x:c r="G206" s="46" t="str">
        <x:v>Large benthopelagics (&gt;=90 cm)</x:v>
      </x:c>
      <x:c r="H206" s="46" t="str">
        <x:v>Perch-likes</x:v>
      </x:c>
      <x:c r="I206" s="60" t="n">
        <x:v>1.5993461046000002</x:v>
      </x:c>
      <x:c r="J206" s="60" t="n">
        <x:v>1.5993461046000002</x:v>
      </x:c>
      <x:c r="K206" s="60" t="n">
        <x:v>0</x:v>
      </x:c>
      <x:c r="L206" s="60" t="n">
        <x:v>1.5521067327000002</x:v>
      </x:c>
      <x:c r="M206" s="60" t="n">
        <x:v>0.04723937189999999</x:v>
      </x:c>
      <x:c r="N206" s="46" t="str">
        <x:v>seriola rivoliana</x:v>
      </x:c>
      <x:c r="O206" s="62" t="n">
        <x:v>4.45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Seriola rivoliana</x:v>
      </x:c>
      <x:c r="T206" s="62" t="n">
        <x:f>IF(O206="","",(1/'Metadata'!$B$5)^(O206-1))</x:f>
        <x:v>30800.19634445362</x:v>
      </x:c>
      <x:c r="U206" s="60" t="n">
        <x:f>IF(T206="","",I206*T206)</x:f>
        <x:v>49260.17404441706</x:v>
      </x:c>
    </x:row>
    <x:row r="207" ht="18" customHeight="1">
      <x:c r="A207" s="46" t="str">
        <x:v>LME_015</x:v>
      </x:c>
      <x:c r="B207" s="46" t="str">
        <x:v>South Brazil Shelf</x:v>
      </x:c>
      <x:c r="C207" s="46" t="str">
        <x:v>LME</x:v>
      </x:c>
      <x:c r="D207" s="58" t="n">
        <x:v>2019</x:v>
      </x:c>
      <x:c r="E207" s="46" t="str">
        <x:v>Bairdiella ronchus</x:v>
      </x:c>
      <x:c r="F207" s="46" t="str">
        <x:v>Ground croaker</x:v>
      </x:c>
      <x:c r="G207" s="46" t="str">
        <x:v>Small demersals (&lt;30 cm)</x:v>
      </x:c>
      <x:c r="H207" s="46" t="str">
        <x:v>Perch-likes</x:v>
      </x:c>
      <x:c r="I207" s="60" t="n">
        <x:v>1.545877042</x:v>
      </x:c>
      <x:c r="J207" s="60" t="n">
        <x:v>1.545877042</x:v>
      </x:c>
      <x:c r="K207" s="60" t="n">
        <x:v>0</x:v>
      </x:c>
      <x:c r="L207" s="60" t="n">
        <x:v>0.0830375495</x:v>
      </x:c>
      <x:c r="M207" s="60" t="n">
        <x:v>1.4628394925000001</x:v>
      </x:c>
      <x:c r="N207" s="46" t="str">
        <x:v>bairdiella ronchus</x:v>
      </x:c>
      <x:c r="O207" s="62" t="n">
        <x:v>3.53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Bairdiella ronchus</x:v>
      </x:c>
      <x:c r="T207" s="62" t="n">
        <x:f>IF(O207="","",(1/'Metadata'!$B$5)^(O207-1))</x:f>
        <x:v>1957.0678791263101</x:v>
      </x:c>
      <x:c r="U207" s="60" t="n">
        <x:f>IF(T207="","",I207*T207)</x:f>
        <x:v>3025.386303976994</x:v>
      </x:c>
    </x:row>
    <x:row r="208" ht="18" customHeight="1">
      <x:c r="A208" s="46" t="str">
        <x:v>LME_015</x:v>
      </x:c>
      <x:c r="B208" s="46" t="str">
        <x:v>South Brazil Shelf</x:v>
      </x:c>
      <x:c r="C208" s="46" t="str">
        <x:v>LME</x:v>
      </x:c>
      <x:c r="D208" s="58" t="n">
        <x:v>2019</x:v>
      </x:c>
      <x:c r="E208" s="46" t="str">
        <x:v>Stromateus brasiliensis</x:v>
      </x:c>
      <x:c r="F208" s="46" t="str">
        <x:v>Southwest Atlantic butterfish</x:v>
      </x:c>
      <x:c r="G208" s="46" t="str">
        <x:v>Medium benthopelagics (30 - 89 cm)</x:v>
      </x:c>
      <x:c r="H208" s="46" t="str">
        <x:v>Perch-likes</x:v>
      </x:c>
      <x:c r="I208" s="60" t="n">
        <x:v>1.5012033076</x:v>
      </x:c>
      <x:c r="J208" s="60" t="n">
        <x:v>1.5012033076</x:v>
      </x:c>
      <x:c r="K208" s="60" t="n">
        <x:v>0</x:v>
      </x:c>
      <x:c r="L208" s="60" t="n">
        <x:v>1.5012033076</x:v>
      </x:c>
      <x:c r="M208" s="60" t="n">
        <x:v>0</x:v>
      </x:c>
      <x:c r="N208" s="46" t="str">
        <x:v>stromateus brasiliensis</x:v>
      </x:c>
      <x:c r="O208" s="62" t="n">
        <x:v>3.4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Stromateus brasiliensis</x:v>
      </x:c>
      <x:c r="T208" s="62" t="n">
        <x:f>IF(O208="","",(1/'Metadata'!$B$5)^(O208-1))</x:f>
        <x:v>1325.7816069359944</x:v>
      </x:c>
      <x:c r="U208" s="60" t="n">
        <x:f>IF(T208="","",I208*T208)</x:f>
        <x:v>1990.267733487558</x:v>
      </x:c>
    </x:row>
    <x:row r="209" ht="18" customHeight="1">
      <x:c r="A209" s="46" t="str">
        <x:v>LME_015</x:v>
      </x:c>
      <x:c r="B209" s="46" t="str">
        <x:v>South Brazil Shelf</x:v>
      </x:c>
      <x:c r="C209" s="46" t="str">
        <x:v>LME</x:v>
      </x:c>
      <x:c r="D209" s="58" t="n">
        <x:v>2019</x:v>
      </x:c>
      <x:c r="E209" s="46" t="str">
        <x:v>Aluterus</x:v>
      </x:c>
      <x:c r="F209" s="46" t="str">
        <x:v>Aluterid filefishes</x:v>
      </x:c>
      <x:c r="G209" s="46" t="str">
        <x:v>Large reef assoc. fish (&gt;=90 cm)</x:v>
      </x:c>
      <x:c r="H209" s="46" t="str">
        <x:v>Other fishes &amp; inverts</x:v>
      </x:c>
      <x:c r="I209" s="60" t="n">
        <x:v>1.4120314714</x:v>
      </x:c>
      <x:c r="J209" s="60" t="n">
        <x:v>1.4120314714</x:v>
      </x:c>
      <x:c r="K209" s="60" t="n">
        <x:v>0</x:v>
      </x:c>
      <x:c r="L209" s="60" t="n">
        <x:v>1.1780312951</x:v>
      </x:c>
      <x:c r="M209" s="60" t="n">
        <x:v>0.2340001763</x:v>
      </x:c>
      <x:c r="N209" s="46" t="str">
        <x:v>aluterus</x:v>
      </x:c>
      <x:c r="O209" s="62" t="n">
        <x:v>2.81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Aluterus</x:v>
      </x:c>
      <x:c r="T209" s="62" t="n">
        <x:f>IF(O209="","",(1/'Metadata'!$B$5)^(O209-1))</x:f>
        <x:v>226.39367646546913</x:v>
      </x:c>
      <x:c r="U209" s="60" t="n">
        <x:f>IF(T209="","",I209*T209)</x:f>
        <x:v>319.6749960951919</x:v>
      </x:c>
    </x:row>
    <x:row r="210" ht="18" customHeight="1">
      <x:c r="A210" s="46" t="str">
        <x:v>LME_015</x:v>
      </x:c>
      <x:c r="B210" s="46" t="str">
        <x:v>South Brazil Shelf</x:v>
      </x:c>
      <x:c r="C210" s="46" t="str">
        <x:v>LME</x:v>
      </x:c>
      <x:c r="D210" s="58" t="n">
        <x:v>2019</x:v>
      </x:c>
      <x:c r="E210" s="46" t="str">
        <x:v>Perciformes</x:v>
      </x:c>
      <x:c r="F210" s="46" t="str">
        <x:v>Perch-likes</x:v>
      </x:c>
      <x:c r="G210" s="46" t="str">
        <x:v>Medium demersals (30 - 89 cm)</x:v>
      </x:c>
      <x:c r="H210" s="46" t="str">
        <x:v>Perch-likes</x:v>
      </x:c>
      <x:c r="I210" s="60" t="n">
        <x:v>1.2843847186000001</x:v>
      </x:c>
      <x:c r="J210" s="60" t="n">
        <x:v>1.2843847186000001</x:v>
      </x:c>
      <x:c r="K210" s="60" t="n">
        <x:v>0</x:v>
      </x:c>
      <x:c r="L210" s="60" t="n">
        <x:v>1.2746072306</x:v>
      </x:c>
      <x:c r="M210" s="60" t="n">
        <x:v>0.009777488</x:v>
      </x:c>
      <x:c r="N210" s="46" t="str">
        <x:v>perciformes</x:v>
      </x:c>
      <x:c r="O210" s="62" t="n">
        <x:v>3.53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Perciformes</x:v>
      </x:c>
      <x:c r="T210" s="62" t="n">
        <x:f>IF(O210="","",(1/'Metadata'!$B$5)^(O210-1))</x:f>
        <x:v>1957.0678791263101</x:v>
      </x:c>
      <x:c r="U210" s="60" t="n">
        <x:f>IF(T210="","",I210*T210)</x:f>
        <x:v>2513.6280772127448</x:v>
      </x:c>
    </x:row>
    <x:row r="211" ht="18" customHeight="1">
      <x:c r="A211" s="46" t="str">
        <x:v>LME_015</x:v>
      </x:c>
      <x:c r="B211" s="46" t="str">
        <x:v>South Brazil Shelf</x:v>
      </x:c>
      <x:c r="C211" s="46" t="str">
        <x:v>LME</x:v>
      </x:c>
      <x:c r="D211" s="58" t="n">
        <x:v>2019</x:v>
      </x:c>
      <x:c r="E211" s="46" t="str">
        <x:v>Pseudupeneus maculatus</x:v>
      </x:c>
      <x:c r="F211" s="46" t="str">
        <x:v>Spotted goatfish</x:v>
      </x:c>
      <x:c r="G211" s="46" t="str">
        <x:v>Medium reef assoc. fish (30 - 89 cm)</x:v>
      </x:c>
      <x:c r="H211" s="46" t="str">
        <x:v>Perch-likes</x:v>
      </x:c>
      <x:c r="I211" s="60" t="n">
        <x:v>1.206229904</x:v>
      </x:c>
      <x:c r="J211" s="60" t="n">
        <x:v>1.206229904</x:v>
      </x:c>
      <x:c r="K211" s="60" t="n">
        <x:v>0</x:v>
      </x:c>
      <x:c r="L211" s="60" t="n">
        <x:v>1.1978965306</x:v>
      </x:c>
      <x:c r="M211" s="60" t="n">
        <x:v>0.0083333734</x:v>
      </x:c>
      <x:c r="N211" s="46" t="str">
        <x:v>pseudupeneus maculatus</x:v>
      </x:c>
      <x:c r="O211" s="62" t="n">
        <x:v>3.65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Pseudupeneus maculatus</x:v>
      </x:c>
      <x:c r="T211" s="62" t="n">
        <x:f>IF(O211="","",(1/'Metadata'!$B$5)^(O211-1))</x:f>
        <x:v>2803.6867455443476</x:v>
      </x:c>
      <x:c r="U211" s="60" t="n">
        <x:f>IF(T211="","",I211*T211)</x:f>
        <x:v>3381.8907939240307</x:v>
      </x:c>
    </x:row>
    <x:row r="212" ht="18" customHeight="1">
      <x:c r="A212" s="46" t="str">
        <x:v>LME_015</x:v>
      </x:c>
      <x:c r="B212" s="46" t="str">
        <x:v>South Brazil Shelf</x:v>
      </x:c>
      <x:c r="C212" s="46" t="str">
        <x:v>LME</x:v>
      </x:c>
      <x:c r="D212" s="58" t="n">
        <x:v>2019</x:v>
      </x:c>
      <x:c r="E212" s="46" t="str">
        <x:v>Sphyraena guachancho</x:v>
      </x:c>
      <x:c r="F212" s="46" t="str">
        <x:v>Guachanche barracuda</x:v>
      </x:c>
      <x:c r="G212" s="46" t="str">
        <x:v>Large pelagics (&gt;=90 cm)</x:v>
      </x:c>
      <x:c r="H212" s="46" t="str">
        <x:v>Perch-likes</x:v>
      </x:c>
      <x:c r="I212" s="60" t="n">
        <x:v>1.1844345171</x:v>
      </x:c>
      <x:c r="J212" s="60" t="n">
        <x:v>1.1844345171</x:v>
      </x:c>
      <x:c r="K212" s="60" t="n">
        <x:v>0</x:v>
      </x:c>
      <x:c r="L212" s="60" t="n">
        <x:v>1.1480306548</x:v>
      </x:c>
      <x:c r="M212" s="60" t="n">
        <x:v>0.0364038623</x:v>
      </x:c>
      <x:c r="N212" s="46" t="str">
        <x:v>sphyraena guachancho</x:v>
      </x:c>
      <x:c r="O212" s="62" t="n">
        <x:v>4.35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Sphyraena guachancho</x:v>
      </x:c>
      <x:c r="T212" s="62" t="n">
        <x:f>IF(O212="","",(1/'Metadata'!$B$5)^(O212-1))</x:f>
        <x:v>22827.086550132422</x:v>
      </x:c>
      <x:c r="U212" s="60" t="n">
        <x:f>IF(T212="","",I212*T212)</x:f>
        <x:v>27037.189234806</x:v>
      </x:c>
    </x:row>
    <x:row r="213" ht="18" customHeight="1">
      <x:c r="A213" s="46" t="str">
        <x:v>LME_015</x:v>
      </x:c>
      <x:c r="B213" s="46" t="str">
        <x:v>South Brazil Shelf</x:v>
      </x:c>
      <x:c r="C213" s="46" t="str">
        <x:v>LME</x:v>
      </x:c>
      <x:c r="D213" s="58" t="n">
        <x:v>2019</x:v>
      </x:c>
      <x:c r="E213" s="46" t="str">
        <x:v>Alopias vulpinus</x:v>
      </x:c>
      <x:c r="F213" s="46" t="str">
        <x:v>Thresher</x:v>
      </x:c>
      <x:c r="G213" s="46" t="str">
        <x:v>Large sharks (&gt;=90 cm)</x:v>
      </x:c>
      <x:c r="H213" s="46" t="str">
        <x:v>Sharks &amp; rays</x:v>
      </x:c>
      <x:c r="I213" s="60" t="n">
        <x:v>1.0048259924</x:v>
      </x:c>
      <x:c r="J213" s="60" t="n">
        <x:v>1.0048259924</x:v>
      </x:c>
      <x:c r="K213" s="60" t="n">
        <x:v>0</x:v>
      </x:c>
      <x:c r="L213" s="60" t="n">
        <x:v>1.0048259924</x:v>
      </x:c>
      <x:c r="M213" s="60" t="n">
        <x:v>0</x:v>
      </x:c>
      <x:c r="N213" s="46" t="str">
        <x:v>alopias vulpinus</x:v>
      </x:c>
      <x:c r="O213" s="62" t="n">
        <x:v>4.5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Alopias vulpinus</x:v>
      </x:c>
      <x:c r="T213" s="62" t="n">
        <x:f>IF(O213="","",(1/'Metadata'!$B$5)^(O213-1))</x:f>
        <x:v>35777.08763999664</x:v>
      </x:c>
      <x:c r="U213" s="60" t="n">
        <x:f>IF(T213="","",I213*T213)</x:f>
        <x:v>35949.74759304139</x:v>
      </x:c>
    </x:row>
    <x:row r="214" ht="18" customHeight="1">
      <x:c r="A214" s="46" t="str">
        <x:v>LME_015</x:v>
      </x:c>
      <x:c r="B214" s="46" t="str">
        <x:v>South Brazil Shelf</x:v>
      </x:c>
      <x:c r="C214" s="46" t="str">
        <x:v>LME</x:v>
      </x:c>
      <x:c r="D214" s="58" t="n">
        <x:v>2019</x:v>
      </x:c>
      <x:c r="E214" s="46" t="str">
        <x:v>Carcharhinus</x:v>
      </x:c>
      <x:c r="F214" s="46" t="str">
        <x:v>Sharp-nosed sharks</x:v>
      </x:c>
      <x:c r="G214" s="46" t="str">
        <x:v>Large sharks (&gt;=90 cm)</x:v>
      </x:c>
      <x:c r="H214" s="46" t="str">
        <x:v>Sharks &amp; rays</x:v>
      </x:c>
      <x:c r="I214" s="60" t="n">
        <x:v>0.9964266346</x:v>
      </x:c>
      <x:c r="J214" s="60" t="n">
        <x:v>0.9964266346</x:v>
      </x:c>
      <x:c r="K214" s="60" t="n">
        <x:v>0</x:v>
      </x:c>
      <x:c r="L214" s="60" t="n">
        <x:v>0</x:v>
      </x:c>
      <x:c r="M214" s="60" t="n">
        <x:v>0.9964266346</x:v>
      </x:c>
      <x:c r="N214" s="46" t="str">
        <x:v>carcharhinus</x:v>
      </x:c>
      <x:c r="O214" s="62" t="n">
        <x:v>4.26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Carcharhinus</x:v>
      </x:c>
      <x:c r="T214" s="62" t="n">
        <x:f>IF(O214="","",(1/'Metadata'!$B$5)^(O214-1))</x:f>
        <x:v>17432.42421569787</x:v>
      </x:c>
      <x:c r="U214" s="60" t="n">
        <x:f>IF(T214="","",I214*T214)</x:f>
        <x:v>17370.131794167373</x:v>
      </x:c>
    </x:row>
    <x:row r="215" ht="18" customHeight="1">
      <x:c r="A215" s="46" t="str">
        <x:v>LME_015</x:v>
      </x:c>
      <x:c r="B215" s="46" t="str">
        <x:v>South Brazil Shelf</x:v>
      </x:c>
      <x:c r="C215" s="46" t="str">
        <x:v>LME</x:v>
      </x:c>
      <x:c r="D215" s="58" t="n">
        <x:v>2019</x:v>
      </x:c>
      <x:c r="E215" s="46" t="str">
        <x:v>Haemulon plumierii</x:v>
      </x:c>
      <x:c r="F215" s="46" t="str">
        <x:v>White grunt</x:v>
      </x:c>
      <x:c r="G215" s="46" t="str">
        <x:v>Medium reef assoc. fish (30 - 89 cm)</x:v>
      </x:c>
      <x:c r="H215" s="46" t="str">
        <x:v>Perch-likes</x:v>
      </x:c>
      <x:c r="I215" s="60" t="n">
        <x:v>0.9585442459</x:v>
      </x:c>
      <x:c r="J215" s="60" t="n">
        <x:v>0.9585442459</x:v>
      </x:c>
      <x:c r="K215" s="60" t="n">
        <x:v>0</x:v>
      </x:c>
      <x:c r="L215" s="60" t="n">
        <x:v>0.9575554169</x:v>
      </x:c>
      <x:c r="M215" s="60" t="n">
        <x:v>0.000988829</x:v>
      </x:c>
      <x:c r="N215" s="46" t="str">
        <x:v>haemulon plumierii</x:v>
      </x:c>
      <x:c r="O215" s="62" t="n">
        <x:v>3.82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Haemulon plumierii</x:v>
      </x:c>
      <x:c r="T215" s="62" t="n">
        <x:f>IF(O215="","",(1/'Metadata'!$B$5)^(O215-1))</x:f>
        <x:v>4665.56868948727</x:v>
      </x:c>
      <x:c r="U215" s="60" t="n">
        <x:f>IF(T215="","",I215*T215)</x:f>
        <x:v>4472.154021159226</x:v>
      </x:c>
    </x:row>
    <x:row r="216" ht="18" customHeight="1">
      <x:c r="A216" s="46" t="str">
        <x:v>LME_015</x:v>
      </x:c>
      <x:c r="B216" s="46" t="str">
        <x:v>South Brazil Shelf</x:v>
      </x:c>
      <x:c r="C216" s="46" t="str">
        <x:v>LME</x:v>
      </x:c>
      <x:c r="D216" s="58" t="n">
        <x:v>2019</x:v>
      </x:c>
      <x:c r="E216" s="46" t="str">
        <x:v>Lobotes surinamensis</x:v>
      </x:c>
      <x:c r="F216" s="46" t="str">
        <x:v>Tripletail</x:v>
      </x:c>
      <x:c r="G216" s="46" t="str">
        <x:v>Large benthopelagics (&gt;=90 cm)</x:v>
      </x:c>
      <x:c r="H216" s="46" t="str">
        <x:v>Perch-likes</x:v>
      </x:c>
      <x:c r="I216" s="60" t="n">
        <x:v>0.9485809087</x:v>
      </x:c>
      <x:c r="J216" s="60" t="n">
        <x:v>0.9485809087</x:v>
      </x:c>
      <x:c r="K216" s="60" t="n">
        <x:v>0</x:v>
      </x:c>
      <x:c r="L216" s="60" t="n">
        <x:v>0.0738238574</x:v>
      </x:c>
      <x:c r="M216" s="60" t="n">
        <x:v>0.8747570512999999</x:v>
      </x:c>
      <x:c r="N216" s="46" t="str">
        <x:v>lobotes surinamensis</x:v>
      </x:c>
      <x:c r="O216" s="62" t="n">
        <x:v>4.04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Lobotes surinamensis</x:v>
      </x:c>
      <x:c r="T216" s="62" t="n">
        <x:f>IF(O216="","",(1/'Metadata'!$B$5)^(O216-1))</x:f>
        <x:v>9018.435152653688</x:v>
      </x:c>
      <x:c r="U216" s="60" t="n">
        <x:f>IF(T216="","",I216*T216)</x:f>
        <x:v>8554.71541215626</x:v>
      </x:c>
    </x:row>
    <x:row r="217" ht="18" customHeight="1">
      <x:c r="A217" s="46" t="str">
        <x:v>LME_015</x:v>
      </x:c>
      <x:c r="B217" s="46" t="str">
        <x:v>South Brazil Shelf</x:v>
      </x:c>
      <x:c r="C217" s="46" t="str">
        <x:v>LME</x:v>
      </x:c>
      <x:c r="D217" s="58" t="n">
        <x:v>2019</x:v>
      </x:c>
      <x:c r="E217" s="46" t="str">
        <x:v>Scorpaeniformes</x:v>
      </x:c>
      <x:c r="F217" s="46" t="str">
        <x:v>Scorpionfishes, flatheads</x:v>
      </x:c>
      <x:c r="G217" s="46" t="str">
        <x:v>Medium demersals (30 - 89 cm)</x:v>
      </x:c>
      <x:c r="H217" s="46" t="str">
        <x:v>Scorpionfishes</x:v>
      </x:c>
      <x:c r="I217" s="60" t="n">
        <x:v>0.8331538576</x:v>
      </x:c>
      <x:c r="J217" s="60" t="n">
        <x:v>0.8331538576</x:v>
      </x:c>
      <x:c r="K217" s="60" t="n">
        <x:v>0</x:v>
      </x:c>
      <x:c r="L217" s="60" t="n">
        <x:v>0.8130289549</x:v>
      </x:c>
      <x:c r="M217" s="60" t="n">
        <x:v>0.0201249027</x:v>
      </x:c>
      <x:c r="N217" s="46" t="str">
        <x:v>scorpaeniformes</x:v>
      </x:c>
      <x:c r="O217" s="62" t="n">
        <x:v>3.78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Scorpaeniformes</x:v>
      </x:c>
      <x:c r="T217" s="62" t="n">
        <x:f>IF(O217="","",(1/'Metadata'!$B$5)^(O217-1))</x:f>
        <x:v>4138.694671981463</x:v>
      </x:c>
      <x:c r="U217" s="60" t="n">
        <x:f>IF(T217="","",I217*T217)</x:f>
        <x:v>3448.169431389923</x:v>
      </x:c>
    </x:row>
    <x:row r="218" ht="18" customHeight="1">
      <x:c r="A218" s="46" t="str">
        <x:v>LME_015</x:v>
      </x:c>
      <x:c r="B218" s="46" t="str">
        <x:v>South Brazil Shelf</x:v>
      </x:c>
      <x:c r="C218" s="46" t="str">
        <x:v>LME</x:v>
      </x:c>
      <x:c r="D218" s="58" t="n">
        <x:v>2019</x:v>
      </x:c>
      <x:c r="E218" s="46" t="str">
        <x:v>Hypanus guttatus</x:v>
      </x:c>
      <x:c r="F218" s="46" t="str">
        <x:v>Longnose stingray</x:v>
      </x:c>
      <x:c r="G218" s="46" t="str">
        <x:v>Large rays (&gt;=90 cm)</x:v>
      </x:c>
      <x:c r="H218" s="46" t="str">
        <x:v>Sharks &amp; rays</x:v>
      </x:c>
      <x:c r="I218" s="60" t="n">
        <x:v>0.7943281226000001</x:v>
      </x:c>
      <x:c r="J218" s="60" t="n">
        <x:v>0.7943281226000001</x:v>
      </x:c>
      <x:c r="K218" s="60" t="n">
        <x:v>0</x:v>
      </x:c>
      <x:c r="L218" s="60" t="n">
        <x:v>0.7864760111000001</x:v>
      </x:c>
      <x:c r="M218" s="60" t="n">
        <x:v>0.0078521115</x:v>
      </x:c>
      <x:c r="N218" s="46" t="str">
        <x:v>hypanus guttatus</x:v>
      </x:c>
      <x:c r="O218" s="62" t="n">
        <x:v>2.61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Hypanus guttatus</x:v>
      </x:c>
      <x:c r="T218" s="62" t="n">
        <x:f>IF(O218="","",(1/'Metadata'!$B$5)^(O218-1))</x:f>
        <x:v>124.35358010948754</x:v>
      </x:c>
      <x:c r="U218" s="60" t="n">
        <x:f>IF(T218="","",I218*T218)</x:f>
        <x:v>98.77754582695795</x:v>
      </x:c>
    </x:row>
    <x:row r="219" ht="18" customHeight="1">
      <x:c r="A219" s="46" t="str">
        <x:v>LME_015</x:v>
      </x:c>
      <x:c r="B219" s="46" t="str">
        <x:v>South Brazil Shelf</x:v>
      </x:c>
      <x:c r="C219" s="46" t="str">
        <x:v>LME</x:v>
      </x:c>
      <x:c r="D219" s="58" t="n">
        <x:v>2019</x:v>
      </x:c>
      <x:c r="E219" s="46" t="str">
        <x:v>Cephalopoda</x:v>
      </x:c>
      <x:c r="F219" s="46" t="str">
        <x:v>Squids, cuttlefishes, octopuses</x:v>
      </x:c>
      <x:c r="G219" s="46" t="str">
        <x:v>Cephalopods</x:v>
      </x:c>
      <x:c r="H219" s="46" t="str">
        <x:v>Other fishes &amp; inverts</x:v>
      </x:c>
      <x:c r="I219" s="60" t="n">
        <x:v>0.7813704558</x:v>
      </x:c>
      <x:c r="J219" s="60" t="n">
        <x:v>0.7813704558</x:v>
      </x:c>
      <x:c r="K219" s="60" t="n">
        <x:v>0</x:v>
      </x:c>
      <x:c r="L219" s="60" t="n">
        <x:v>0.7813704558</x:v>
      </x:c>
      <x:c r="M219" s="60" t="n">
        <x:v>0</x:v>
      </x:c>
      <x:c r="N219" s="46" t="str">
        <x:v>cephalopoda</x:v>
      </x:c>
      <x:c r="O219" s="62" t="n">
        <x:v>3.81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Cephalopoda</x:v>
      </x:c>
      <x:c r="T219" s="62" t="n">
        <x:f>IF(O219="","",(1/'Metadata'!$B$5)^(O219-1))</x:f>
        <x:v>4527.873529309382</x:v>
      </x:c>
      <x:c r="U219" s="60" t="n">
        <x:f>IF(T219="","",I219*T219)</x:f>
        <x:v>3537.9466034012266</x:v>
      </x:c>
    </x:row>
    <x:row r="220" ht="18" customHeight="1">
      <x:c r="A220" s="46" t="str">
        <x:v>LME_015</x:v>
      </x:c>
      <x:c r="B220" s="46" t="str">
        <x:v>South Brazil Shelf</x:v>
      </x:c>
      <x:c r="C220" s="46" t="str">
        <x:v>LME</x:v>
      </x:c>
      <x:c r="D220" s="58" t="n">
        <x:v>2019</x:v>
      </x:c>
      <x:c r="E220" s="46" t="str">
        <x:v>Hyporthodus niveatus</x:v>
      </x:c>
      <x:c r="F220" s="46" t="str">
        <x:v>Snowy grouper</x:v>
      </x:c>
      <x:c r="G220" s="46" t="str">
        <x:v>Large demersals (&gt;=90 cm)</x:v>
      </x:c>
      <x:c r="H220" s="46" t="str">
        <x:v>Perch-likes</x:v>
      </x:c>
      <x:c r="I220" s="60" t="n">
        <x:v>0.7009279821</x:v>
      </x:c>
      <x:c r="J220" s="60" t="n">
        <x:v>0.7009279821</x:v>
      </x:c>
      <x:c r="K220" s="60" t="n">
        <x:v>0</x:v>
      </x:c>
      <x:c r="L220" s="60" t="n">
        <x:v>0.6799484595999999</x:v>
      </x:c>
      <x:c r="M220" s="60" t="n">
        <x:v>0.020979522499999997</x:v>
      </x:c>
      <x:c r="N220" s="46" t="str">
        <x:v>hyporthodus niveatus</x:v>
      </x:c>
      <x:c r="O220" s="62" t="n">
        <x:v>4.04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Hyporthodus niveatus</x:v>
      </x:c>
      <x:c r="T220" s="62" t="n">
        <x:f>IF(O220="","",(1/'Metadata'!$B$5)^(O220-1))</x:f>
        <x:v>9018.435152653688</x:v>
      </x:c>
      <x:c r="U220" s="60" t="n">
        <x:f>IF(T220="","",I220*T220)</x:f>
        <x:v>6321.273553249255</x:v>
      </x:c>
    </x:row>
    <x:row r="221" ht="18" customHeight="1">
      <x:c r="A221" s="46" t="str">
        <x:v>LME_015</x:v>
      </x:c>
      <x:c r="B221" s="46" t="str">
        <x:v>South Brazil Shelf</x:v>
      </x:c>
      <x:c r="C221" s="46" t="str">
        <x:v>LME</x:v>
      </x:c>
      <x:c r="D221" s="58" t="n">
        <x:v>2019</x:v>
      </x:c>
      <x:c r="E221" s="46" t="str">
        <x:v>Carcharhinidae</x:v>
      </x:c>
      <x:c r="F221" s="46" t="str">
        <x:v>Requiem sharks</x:v>
      </x:c>
      <x:c r="G221" s="46" t="str">
        <x:v>Large sharks (&gt;=90 cm)</x:v>
      </x:c>
      <x:c r="H221" s="46" t="str">
        <x:v>Sharks &amp; rays</x:v>
      </x:c>
      <x:c r="I221" s="60" t="n">
        <x:v>0.6643153974</x:v>
      </x:c>
      <x:c r="J221" s="60" t="n">
        <x:v>0.6643153974</x:v>
      </x:c>
      <x:c r="K221" s="60" t="n">
        <x:v>0</x:v>
      </x:c>
      <x:c r="L221" s="60" t="n">
        <x:v>0</x:v>
      </x:c>
      <x:c r="M221" s="60" t="n">
        <x:v>0.6643153974</x:v>
      </x:c>
      <x:c r="N221" s="46" t="str">
        <x:v>carcharhinidae</x:v>
      </x:c>
      <x:c r="O221" s="62" t="n">
        <x:v>4.24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Carcharhinidae</x:v>
      </x:c>
      <x:c r="T221" s="62" t="n">
        <x:f>IF(O221="","",(1/'Metadata'!$B$5)^(O221-1))</x:f>
        <x:v>16418.64020623336</x:v>
      </x:c>
      <x:c r="U221" s="60" t="n">
        <x:f>IF(T221="","",I221*T221)</x:f>
        <x:v>10907.15549337153</x:v>
      </x:c>
    </x:row>
    <x:row r="222" ht="18" customHeight="1">
      <x:c r="A222" s="46" t="str">
        <x:v>LME_015</x:v>
      </x:c>
      <x:c r="B222" s="46" t="str">
        <x:v>South Brazil Shelf</x:v>
      </x:c>
      <x:c r="C222" s="46" t="str">
        <x:v>LME</x:v>
      </x:c>
      <x:c r="D222" s="58" t="n">
        <x:v>2019</x:v>
      </x:c>
      <x:c r="E222" s="46" t="str">
        <x:v>Epinephelus</x:v>
      </x:c>
      <x:c r="F222" s="46" t="str">
        <x:v>Seabasses, hinds</x:v>
      </x:c>
      <x:c r="G222" s="46" t="str">
        <x:v>Medium reef assoc. fish (30 - 89 cm)</x:v>
      </x:c>
      <x:c r="H222" s="46" t="str">
        <x:v>Perch-likes</x:v>
      </x:c>
      <x:c r="I222" s="60" t="n">
        <x:v>0.628857892</x:v>
      </x:c>
      <x:c r="J222" s="60" t="n">
        <x:v>0.628857892</x:v>
      </x:c>
      <x:c r="K222" s="60" t="n">
        <x:v>0</x:v>
      </x:c>
      <x:c r="L222" s="60" t="n">
        <x:v>0</x:v>
      </x:c>
      <x:c r="M222" s="60" t="n">
        <x:v>0.628857892</x:v>
      </x:c>
      <x:c r="N222" s="46" t="str">
        <x:v>epinephelus</x:v>
      </x:c>
      <x:c r="O222" s="62" t="n">
        <x:v>3.84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Epinephelus</x:v>
      </x:c>
      <x:c r="T222" s="62" t="n">
        <x:f>IF(O222="","",(1/'Metadata'!$B$5)^(O222-1))</x:f>
        <x:v>4953.648510535111</x:v>
      </x:c>
      <x:c r="U222" s="60" t="n">
        <x:f>IF(T222="","",I222*T222)</x:f>
        <x:v>3115.1409600440497</x:v>
      </x:c>
    </x:row>
    <x:row r="223" ht="18" customHeight="1">
      <x:c r="A223" s="46" t="str">
        <x:v>LME_015</x:v>
      </x:c>
      <x:c r="B223" s="46" t="str">
        <x:v>South Brazil Shelf</x:v>
      </x:c>
      <x:c r="C223" s="46" t="str">
        <x:v>LME</x:v>
      </x:c>
      <x:c r="D223" s="58" t="n">
        <x:v>2019</x:v>
      </x:c>
      <x:c r="E223" s="46" t="str">
        <x:v>Sphyrnidae</x:v>
      </x:c>
      <x:c r="F223" s="46" t="str">
        <x:v>Hammer, bonnet, scoophead sharks</x:v>
      </x:c>
      <x:c r="G223" s="46" t="str">
        <x:v>Large sharks (&gt;=90 cm)</x:v>
      </x:c>
      <x:c r="H223" s="46" t="str">
        <x:v>Sharks &amp; rays</x:v>
      </x:c>
      <x:c r="I223" s="60" t="n">
        <x:v>0.55249636</x:v>
      </x:c>
      <x:c r="J223" s="60" t="n">
        <x:v>0.55249636</x:v>
      </x:c>
      <x:c r="K223" s="60" t="n">
        <x:v>0</x:v>
      </x:c>
      <x:c r="L223" s="60" t="n">
        <x:v>0.55249636</x:v>
      </x:c>
      <x:c r="M223" s="60" t="n">
        <x:v>0</x:v>
      </x:c>
      <x:c r="N223" s="46" t="str">
        <x:v>sphyrnidae</x:v>
      </x:c>
      <x:c r="O223" s="62" t="n">
        <x:v>4.19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Sphyrnidae</x:v>
      </x:c>
      <x:c r="T223" s="62" t="n">
        <x:f>IF(O223="","",(1/'Metadata'!$B$5)^(O223-1))</x:f>
        <x:v>14134.67041111498</x:v>
      </x:c>
      <x:c r="U223" s="60" t="n">
        <x:f>IF(T223="","",I223*T223)</x:f>
        <x:v>7809.3539519407295</x:v>
      </x:c>
    </x:row>
    <x:row r="224" ht="18" customHeight="1">
      <x:c r="A224" s="46" t="str">
        <x:v>LME_015</x:v>
      </x:c>
      <x:c r="B224" s="46" t="str">
        <x:v>South Brazil Shelf</x:v>
      </x:c>
      <x:c r="C224" s="46" t="str">
        <x:v>LME</x:v>
      </x:c>
      <x:c r="D224" s="58" t="n">
        <x:v>2019</x:v>
      </x:c>
      <x:c r="E224" s="46" t="str">
        <x:v>Ctenosciaena gracilicirrhus</x:v>
      </x:c>
      <x:c r="F224" s="46" t="str">
        <x:v>Barbel drum</x:v>
      </x:c>
      <x:c r="G224" s="46" t="str">
        <x:v>Small demersals (&lt;30 cm)</x:v>
      </x:c>
      <x:c r="H224" s="46" t="str">
        <x:v>Perch-likes</x:v>
      </x:c>
      <x:c r="I224" s="60" t="n">
        <x:v>0.5253261012</x:v>
      </x:c>
      <x:c r="J224" s="60" t="n">
        <x:v>0.5253261012</x:v>
      </x:c>
      <x:c r="K224" s="60" t="n">
        <x:v>0</x:v>
      </x:c>
      <x:c r="L224" s="60" t="n">
        <x:v>0.5085882797</x:v>
      </x:c>
      <x:c r="M224" s="60" t="n">
        <x:v>0.0167378215</x:v>
      </x:c>
      <x:c r="N224" s="46" t="str">
        <x:v>ctenosciaena gracilicirrhus</x:v>
      </x:c>
      <x:c r="O224" s="62" t="n">
        <x:v>3.87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Ctenosciaena gracilicirrhus</x:v>
      </x:c>
      <x:c r="T224" s="62" t="n">
        <x:f>IF(O224="","",(1/'Metadata'!$B$5)^(O224-1))</x:f>
        <x:v>5419.460903023396</x:v>
      </x:c>
      <x:c r="U224" s="60" t="n">
        <x:f>IF(T224="","",I224*T224)</x:f>
        <x:v>2846.984266791112</x:v>
      </x:c>
    </x:row>
    <x:row r="225" ht="18" customHeight="1">
      <x:c r="A225" s="46" t="str">
        <x:v>LME_015</x:v>
      </x:c>
      <x:c r="B225" s="46" t="str">
        <x:v>South Brazil Shelf</x:v>
      </x:c>
      <x:c r="C225" s="46" t="str">
        <x:v>LME</x:v>
      </x:c>
      <x:c r="D225" s="58" t="n">
        <x:v>2019</x:v>
      </x:c>
      <x:c r="E225" s="46" t="str">
        <x:v>Alectis ciliaris</x:v>
      </x:c>
      <x:c r="F225" s="46" t="str">
        <x:v>African pompano</x:v>
      </x:c>
      <x:c r="G225" s="46" t="str">
        <x:v>Large pelagics (&gt;=90 cm)</x:v>
      </x:c>
      <x:c r="H225" s="46" t="str">
        <x:v>Perch-likes</x:v>
      </x:c>
      <x:c r="I225" s="60" t="n">
        <x:v>0.5091183713</x:v>
      </x:c>
      <x:c r="J225" s="60" t="n">
        <x:v>0.5091183713</x:v>
      </x:c>
      <x:c r="K225" s="60" t="n">
        <x:v>0</x:v>
      </x:c>
      <x:c r="L225" s="60" t="n">
        <x:v>0.11932463039999999</x:v>
      </x:c>
      <x:c r="M225" s="60" t="n">
        <x:v>0.3897937409</x:v>
      </x:c>
      <x:c r="N225" s="46" t="str">
        <x:v>alectis ciliaris</x:v>
      </x:c>
      <x:c r="O225" s="62" t="n">
        <x:v>3.95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Alectis ciliaris</x:v>
      </x:c>
      <x:c r="T225" s="62" t="n">
        <x:f>IF(O225="","",(1/'Metadata'!$B$5)^(O225-1))</x:f>
        <x:v>6887.133274653882</x:v>
      </x:c>
      <x:c r="U225" s="60" t="n">
        <x:f>IF(T225="","",I225*T225)</x:f>
        <x:v>3506.3660757178204</x:v>
      </x:c>
    </x:row>
    <x:row r="226" ht="18" customHeight="1">
      <x:c r="A226" s="46" t="str">
        <x:v>LME_015</x:v>
      </x:c>
      <x:c r="B226" s="46" t="str">
        <x:v>South Brazil Shelf</x:v>
      </x:c>
      <x:c r="C226" s="46" t="str">
        <x:v>LME</x:v>
      </x:c>
      <x:c r="D226" s="58" t="n">
        <x:v>2019</x:v>
      </x:c>
      <x:c r="E226" s="46" t="str">
        <x:v>Caulolatilus chrysops</x:v>
      </x:c>
      <x:c r="F226" s="46" t="str">
        <x:v>Atlantic goldeneye tilefish</x:v>
      </x:c>
      <x:c r="G226" s="46" t="str">
        <x:v>Medium demersals (30 - 89 cm)</x:v>
      </x:c>
      <x:c r="H226" s="46" t="str">
        <x:v>Perch-likes</x:v>
      </x:c>
      <x:c r="I226" s="60" t="n">
        <x:v>0.49340829899999994</x:v>
      </x:c>
      <x:c r="J226" s="60" t="n">
        <x:v>0.49340829899999994</x:v>
      </x:c>
      <x:c r="K226" s="60" t="n">
        <x:v>0</x:v>
      </x:c>
      <x:c r="L226" s="60" t="n">
        <x:v>0.4795251639</x:v>
      </x:c>
      <x:c r="M226" s="60" t="n">
        <x:v>0.013883135100000001</x:v>
      </x:c>
      <x:c r="N226" s="46" t="str">
        <x:v>caulolatilus chrysops</x:v>
      </x:c>
      <x:c r="O226" s="62" t="n">
        <x:v>3.62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Caulolatilus chrysops</x:v>
      </x:c>
      <x:c r="T226" s="62" t="n">
        <x:f>IF(O226="","",(1/'Metadata'!$B$5)^(O226-1))</x:f>
        <x:v>2562.7048371775754</x:v>
      </x:c>
      <x:c r="U226" s="60" t="n">
        <x:f>IF(T226="","",I226*T226)</x:f>
        <x:v>1264.4598345508593</x:v>
      </x:c>
    </x:row>
    <x:row r="227" ht="18" customHeight="1">
      <x:c r="A227" s="46" t="str">
        <x:v>LME_015</x:v>
      </x:c>
      <x:c r="B227" s="46" t="str">
        <x:v>South Brazil Shelf</x:v>
      </x:c>
      <x:c r="C227" s="46" t="str">
        <x:v>LME</x:v>
      </x:c>
      <x:c r="D227" s="58" t="n">
        <x:v>2019</x:v>
      </x:c>
      <x:c r="E227" s="46" t="str">
        <x:v>Scomber</x:v>
      </x:c>
      <x:c r="F227" s="46" t="str">
        <x:v>Chub mackerels</x:v>
      </x:c>
      <x:c r="G227" s="46" t="str">
        <x:v>Medium pelagics (30 - 89 cm)</x:v>
      </x:c>
      <x:c r="H227" s="46" t="str">
        <x:v>Perch-likes</x:v>
      </x:c>
      <x:c r="I227" s="60" t="n">
        <x:v>0.4066922122</x:v>
      </x:c>
      <x:c r="J227" s="60" t="n">
        <x:v>0.4066922122</x:v>
      </x:c>
      <x:c r="K227" s="60" t="n">
        <x:v>0</x:v>
      </x:c>
      <x:c r="L227" s="60" t="n">
        <x:v>0.4066922122</x:v>
      </x:c>
      <x:c r="M227" s="60" t="n">
        <x:v>0</x:v>
      </x:c>
      <x:c r="N227" s="46" t="str">
        <x:v>scomber</x:v>
      </x:c>
      <x:c r="O227" s="62" t="n">
        <x:v>3.65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Scomber</x:v>
      </x:c>
      <x:c r="T227" s="62" t="n">
        <x:f>IF(O227="","",(1/'Metadata'!$B$5)^(O227-1))</x:f>
        <x:v>2803.6867455443476</x:v>
      </x:c>
      <x:c r="U227" s="60" t="n">
        <x:f>IF(T227="","",I227*T227)</x:f>
        <x:v>1140.2375648612492</x:v>
      </x:c>
    </x:row>
    <x:row r="228" ht="18" customHeight="1">
      <x:c r="A228" s="46" t="str">
        <x:v>LME_015</x:v>
      </x:c>
      <x:c r="B228" s="46" t="str">
        <x:v>South Brazil Shelf</x:v>
      </x:c>
      <x:c r="C228" s="46" t="str">
        <x:v>LME</x:v>
      </x:c>
      <x:c r="D228" s="58" t="n">
        <x:v>2019</x:v>
      </x:c>
      <x:c r="E228" s="46" t="str">
        <x:v>Albulidae</x:v>
      </x:c>
      <x:c r="F228" s="46" t="str">
        <x:v>Bonefishes</x:v>
      </x:c>
      <x:c r="G228" s="46" t="str">
        <x:v>Medium reef assoc. fish (30 - 89 cm)</x:v>
      </x:c>
      <x:c r="H228" s="46" t="str">
        <x:v>Other fishes &amp; inverts</x:v>
      </x:c>
      <x:c r="I228" s="60" t="n">
        <x:v>0.3891381492</x:v>
      </x:c>
      <x:c r="J228" s="60" t="n">
        <x:v>0.3891381492</x:v>
      </x:c>
      <x:c r="K228" s="60" t="n">
        <x:v>0</x:v>
      </x:c>
      <x:c r="L228" s="60" t="n">
        <x:v>0.3786217812</x:v>
      </x:c>
      <x:c r="M228" s="60" t="n">
        <x:v>0.010516368</x:v>
      </x:c>
      <x:c r="N228" s="46" t="str">
        <x:v>albulidae</x:v>
      </x:c>
      <x:c r="O228" s="62" t="n">
        <x:v>3.47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Albulidae</x:v>
      </x:c>
      <x:c r="T228" s="62" t="n">
        <x:f>IF(O228="","",(1/'Metadata'!$B$5)^(O228-1))</x:f>
        <x:v>1635.0991368927735</x:v>
      </x:c>
      <x:c r="U228" s="60" t="n">
        <x:f>IF(T228="","",I228*T228)</x:f>
        <x:v>636.2794518889713</x:v>
      </x:c>
    </x:row>
    <x:row r="229" ht="18" customHeight="1">
      <x:c r="A229" s="46" t="str">
        <x:v>LME_015</x:v>
      </x:c>
      <x:c r="B229" s="46" t="str">
        <x:v>South Brazil Shelf</x:v>
      </x:c>
      <x:c r="C229" s="46" t="str">
        <x:v>LME</x:v>
      </x:c>
      <x:c r="D229" s="58" t="n">
        <x:v>2019</x:v>
      </x:c>
      <x:c r="E229" s="46" t="str">
        <x:v>Gymnura micrura</x:v>
      </x:c>
      <x:c r="F229" s="46" t="str">
        <x:v>Smooth butterfly ray</x:v>
      </x:c>
      <x:c r="G229" s="46" t="str">
        <x:v>Small to medium rays (&lt;90 cm)</x:v>
      </x:c>
      <x:c r="H229" s="46" t="str">
        <x:v>Sharks &amp; rays</x:v>
      </x:c>
      <x:c r="I229" s="60" t="n">
        <x:v>0.3739963844</x:v>
      </x:c>
      <x:c r="J229" s="60" t="n">
        <x:v>0.3739963844</x:v>
      </x:c>
      <x:c r="K229" s="60" t="n">
        <x:v>0</x:v>
      </x:c>
      <x:c r="L229" s="60" t="n">
        <x:v>0.3624595919</x:v>
      </x:c>
      <x:c r="M229" s="60" t="n">
        <x:v>0.0115367925</x:v>
      </x:c>
      <x:c r="N229" s="46" t="str">
        <x:v>gymnura micrura</x:v>
      </x:c>
      <x:c r="O229" s="62" t="n">
        <x:v>3.56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Gymnura micrura</x:v>
      </x:c>
      <x:c r="T229" s="62" t="n">
        <x:f>IF(O229="","",(1/'Metadata'!$B$5)^(O229-1))</x:f>
        <x:v>2141.099198485972</x:v>
      </x:c>
      <x:c r="U229" s="60" t="n">
        <x:f>IF(T229="","",I229*T229)</x:f>
        <x:v>800.7633588754915</x:v>
      </x:c>
    </x:row>
    <x:row r="230" ht="18" customHeight="1">
      <x:c r="A230" s="46" t="str">
        <x:v>LME_015</x:v>
      </x:c>
      <x:c r="B230" s="46" t="str">
        <x:v>South Brazil Shelf</x:v>
      </x:c>
      <x:c r="C230" s="46" t="str">
        <x:v>LME</x:v>
      </x:c>
      <x:c r="D230" s="58" t="n">
        <x:v>2019</x:v>
      </x:c>
      <x:c r="E230" s="46" t="str">
        <x:v>Archosargus probatocephalus</x:v>
      </x:c>
      <x:c r="F230" s="46" t="str">
        <x:v>Sheepshead</x:v>
      </x:c>
      <x:c r="G230" s="46" t="str">
        <x:v>Medium demersals (30 - 89 cm)</x:v>
      </x:c>
      <x:c r="H230" s="46" t="str">
        <x:v>Perch-likes</x:v>
      </x:c>
      <x:c r="I230" s="60" t="n">
        <x:v>0.3284244434</x:v>
      </x:c>
      <x:c r="J230" s="60" t="n">
        <x:v>0.3284244434</x:v>
      </x:c>
      <x:c r="K230" s="60" t="n">
        <x:v>0</x:v>
      </x:c>
      <x:c r="L230" s="60" t="n">
        <x:v>0.3260274715</x:v>
      </x:c>
      <x:c r="M230" s="60" t="n">
        <x:v>0.0023969719</x:v>
      </x:c>
      <x:c r="N230" s="46" t="str">
        <x:v>archosargus probatocephalus</x:v>
      </x:c>
      <x:c r="O230" s="62" t="n">
        <x:v>3.53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Archosargus probatocephalus</x:v>
      </x:c>
      <x:c r="T230" s="62" t="n">
        <x:f>IF(O230="","",(1/'Metadata'!$B$5)^(O230-1))</x:f>
        <x:v>1957.0678791263101</x:v>
      </x:c>
      <x:c r="U230" s="60" t="n">
        <x:f>IF(T230="","",I230*T230)</x:f>
        <x:v>642.7489288980769</x:v>
      </x:c>
    </x:row>
    <x:row r="231" ht="18" customHeight="1">
      <x:c r="A231" s="46" t="str">
        <x:v>LME_015</x:v>
      </x:c>
      <x:c r="B231" s="46" t="str">
        <x:v>South Brazil Shelf</x:v>
      </x:c>
      <x:c r="C231" s="46" t="str">
        <x:v>LME</x:v>
      </x:c>
      <x:c r="D231" s="58" t="n">
        <x:v>2019</x:v>
      </x:c>
      <x:c r="E231" s="46" t="str">
        <x:v>Centropomus undecimalis</x:v>
      </x:c>
      <x:c r="F231" s="46" t="str">
        <x:v>Common snook</x:v>
      </x:c>
      <x:c r="G231" s="46" t="str">
        <x:v>Large benthopelagics (&gt;=90 cm)</x:v>
      </x:c>
      <x:c r="H231" s="46" t="str">
        <x:v>Perch-likes</x:v>
      </x:c>
      <x:c r="I231" s="60" t="n">
        <x:v>0.3279921855</x:v>
      </x:c>
      <x:c r="J231" s="60" t="n">
        <x:v>0.3279921855</x:v>
      </x:c>
      <x:c r="K231" s="60" t="n">
        <x:v>0</x:v>
      </x:c>
      <x:c r="L231" s="60" t="n">
        <x:v>0.32659024319999996</x:v>
      </x:c>
      <x:c r="M231" s="60" t="n">
        <x:v>0.0014019423</x:v>
      </x:c>
      <x:c r="N231" s="46" t="str">
        <x:v>centropomus undecimalis</x:v>
      </x:c>
      <x:c r="O231" s="62" t="n">
        <x:v>4.17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Centropomus undecimalis</x:v>
      </x:c>
      <x:c r="T231" s="62" t="n">
        <x:f>IF(O231="","",(1/'Metadata'!$B$5)^(O231-1))</x:f>
        <x:v>13312.667535064244</x:v>
      </x:c>
      <x:c r="U231" s="60" t="n">
        <x:f>IF(T231="","",I231*T231)</x:f>
        <x:v>4366.450919660619</x:v>
      </x:c>
    </x:row>
    <x:row r="232" ht="18" customHeight="1">
      <x:c r="A232" s="46" t="str">
        <x:v>LME_015</x:v>
      </x:c>
      <x:c r="B232" s="46" t="str">
        <x:v>South Brazil Shelf</x:v>
      </x:c>
      <x:c r="C232" s="46" t="str">
        <x:v>LME</x:v>
      </x:c>
      <x:c r="D232" s="58" t="n">
        <x:v>2019</x:v>
      </x:c>
      <x:c r="E232" s="46" t="str">
        <x:v>Ginglymostoma cirratum</x:v>
      </x:c>
      <x:c r="F232" s="46" t="str">
        <x:v>Nurse shark</x:v>
      </x:c>
      <x:c r="G232" s="46" t="str">
        <x:v>Large sharks (&gt;=90 cm)</x:v>
      </x:c>
      <x:c r="H232" s="46" t="str">
        <x:v>Sharks &amp; rays</x:v>
      </x:c>
      <x:c r="I232" s="60" t="n">
        <x:v>0.2614391318</x:v>
      </x:c>
      <x:c r="J232" s="60" t="n">
        <x:v>0.2614391318</x:v>
      </x:c>
      <x:c r="K232" s="60" t="n">
        <x:v>0</x:v>
      </x:c>
      <x:c r="L232" s="60" t="n">
        <x:v>0.25965836119999997</x:v>
      </x:c>
      <x:c r="M232" s="60" t="n">
        <x:v>0.0017807705999999999</x:v>
      </x:c>
      <x:c r="N232" s="46" t="str">
        <x:v>ginglymostoma cirratum</x:v>
      </x:c>
      <x:c r="O232" s="62" t="n">
        <x:v>4.15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Ginglymostoma cirratum</x:v>
      </x:c>
      <x:c r="T232" s="62" t="n">
        <x:f>IF(O232="","",(1/'Metadata'!$B$5)^(O232-1))</x:f>
        <x:v>12538.46830130465</x:v>
      </x:c>
      <x:c r="U232" s="60" t="n">
        <x:f>IF(T232="","",I232*T232)</x:f>
        <x:v>3278.0462667949087</x:v>
      </x:c>
    </x:row>
    <x:row r="233" ht="18" customHeight="1">
      <x:c r="A233" s="46" t="str">
        <x:v>LME_015</x:v>
      </x:c>
      <x:c r="B233" s="46" t="str">
        <x:v>South Brazil Shelf</x:v>
      </x:c>
      <x:c r="C233" s="46" t="str">
        <x:v>LME</x:v>
      </x:c>
      <x:c r="D233" s="58" t="n">
        <x:v>2019</x:v>
      </x:c>
      <x:c r="E233" s="46" t="str">
        <x:v>Sphyrna lewini</x:v>
      </x:c>
      <x:c r="F233" s="46" t="str">
        <x:v>Scalloped hammerhead</x:v>
      </x:c>
      <x:c r="G233" s="46" t="str">
        <x:v>Large sharks (&gt;=90 cm)</x:v>
      </x:c>
      <x:c r="H233" s="46" t="str">
        <x:v>Sharks &amp; rays</x:v>
      </x:c>
      <x:c r="I233" s="60" t="n">
        <x:v>0.2583822295</x:v>
      </x:c>
      <x:c r="J233" s="60" t="n">
        <x:v>0.2583822295</x:v>
      </x:c>
      <x:c r="K233" s="60" t="n">
        <x:v>0</x:v>
      </x:c>
      <x:c r="L233" s="60" t="n">
        <x:v>0</x:v>
      </x:c>
      <x:c r="M233" s="60" t="n">
        <x:v>0.2583822295</x:v>
      </x:c>
      <x:c r="N233" s="46" t="str">
        <x:v>sphyrna lewini</x:v>
      </x:c>
      <x:c r="O233" s="62" t="n">
        <x:v>4.08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Sphyrna lewini</x:v>
      </x:c>
      <x:c r="T233" s="62" t="n">
        <x:f>IF(O233="","",(1/'Metadata'!$B$5)^(O233-1))</x:f>
        <x:v>10166.521575327472</x:v>
      </x:c>
      <x:c r="U233" s="60" t="n">
        <x:f>IF(T233="","",I233*T233)</x:f>
        <x:v>2626.8485108929644</x:v>
      </x:c>
    </x:row>
    <x:row r="234" ht="18" customHeight="1">
      <x:c r="A234" s="46" t="str">
        <x:v>LME_015</x:v>
      </x:c>
      <x:c r="B234" s="46" t="str">
        <x:v>South Brazil Shelf</x:v>
      </x:c>
      <x:c r="C234" s="46" t="str">
        <x:v>LME</x:v>
      </x:c>
      <x:c r="D234" s="58" t="n">
        <x:v>2019</x:v>
      </x:c>
      <x:c r="E234" s="46" t="str">
        <x:v>Caranx latus</x:v>
      </x:c>
      <x:c r="F234" s="46" t="str">
        <x:v>Horse-eye jack</x:v>
      </x:c>
      <x:c r="G234" s="46" t="str">
        <x:v>Large reef assoc. fish (&gt;=90 cm)</x:v>
      </x:c>
      <x:c r="H234" s="46" t="str">
        <x:v>Perch-likes</x:v>
      </x:c>
      <x:c r="I234" s="60" t="n">
        <x:v>0.2551087745</x:v>
      </x:c>
      <x:c r="J234" s="60" t="n">
        <x:v>0.2551087745</x:v>
      </x:c>
      <x:c r="K234" s="60" t="n">
        <x:v>0</x:v>
      </x:c>
      <x:c r="L234" s="60" t="n">
        <x:v>0.2546238165</x:v>
      </x:c>
      <x:c r="M234" s="60" t="n">
        <x:v>0.00048495799999999996</x:v>
      </x:c>
      <x:c r="N234" s="46" t="str">
        <x:v>caranx latus</x:v>
      </x:c>
      <x:c r="O234" s="62" t="n">
        <x:v>4.16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Caranx latus</x:v>
      </x:c>
      <x:c r="T234" s="62" t="n">
        <x:f>IF(O234="","",(1/'Metadata'!$B$5)^(O234-1))</x:f>
        <x:v>12919.77011769987</x:v>
      </x:c>
      <x:c r="U234" s="60" t="n">
        <x:f>IF(T234="","",I234*T234)</x:f>
        <x:v>3295.946721548135</x:v>
      </x:c>
    </x:row>
    <x:row r="235" ht="18" customHeight="1">
      <x:c r="A235" s="46" t="str">
        <x:v>LME_015</x:v>
      </x:c>
      <x:c r="B235" s="46" t="str">
        <x:v>South Brazil Shelf</x:v>
      </x:c>
      <x:c r="C235" s="46" t="str">
        <x:v>LME</x:v>
      </x:c>
      <x:c r="D235" s="58" t="n">
        <x:v>2019</x:v>
      </x:c>
      <x:c r="E235" s="46" t="str">
        <x:v>Trachinotus goodei</x:v>
      </x:c>
      <x:c r="F235" s="46" t="str">
        <x:v>Great pompano</x:v>
      </x:c>
      <x:c r="G235" s="46" t="str">
        <x:v>Medium reef assoc. fish (30 - 89 cm)</x:v>
      </x:c>
      <x:c r="H235" s="46" t="str">
        <x:v>Perch-likes</x:v>
      </x:c>
      <x:c r="I235" s="60" t="n">
        <x:v>0.2041011529</x:v>
      </x:c>
      <x:c r="J235" s="60" t="n">
        <x:v>0.2041011529</x:v>
      </x:c>
      <x:c r="K235" s="60" t="n">
        <x:v>0</x:v>
      </x:c>
      <x:c r="L235" s="60" t="n">
        <x:v>0.2041011529</x:v>
      </x:c>
      <x:c r="M235" s="60" t="n">
        <x:v>0</x:v>
      </x:c>
      <x:c r="N235" s="46" t="str">
        <x:v>trachinotus goodei</x:v>
      </x:c>
      <x:c r="O235" s="62" t="n">
        <x:v>4.34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Trachinotus goodei</x:v>
      </x:c>
      <x:c r="T235" s="62" t="n">
        <x:f>IF(O235="","",(1/'Metadata'!$B$5)^(O235-1))</x:f>
        <x:v>22153.389612394185</x:v>
      </x:c>
      <x:c r="U235" s="60" t="n">
        <x:f>IF(T235="","",I235*T235)</x:f>
        <x:v>4521.5323605325375</x:v>
      </x:c>
    </x:row>
    <x:row r="236" ht="18" customHeight="1">
      <x:c r="A236" s="46" t="str">
        <x:v>LME_015</x:v>
      </x:c>
      <x:c r="B236" s="46" t="str">
        <x:v>South Brazil Shelf</x:v>
      </x:c>
      <x:c r="C236" s="46" t="str">
        <x:v>LME</x:v>
      </x:c>
      <x:c r="D236" s="58" t="n">
        <x:v>2019</x:v>
      </x:c>
      <x:c r="E236" s="46" t="str">
        <x:v>Beryx splendens</x:v>
      </x:c>
      <x:c r="F236" s="46" t="str">
        <x:v>Splendid alfonsino</x:v>
      </x:c>
      <x:c r="G236" s="46" t="str">
        <x:v>Medium benthopelagics (30 - 89 cm)</x:v>
      </x:c>
      <x:c r="H236" s="46" t="str">
        <x:v>Other fishes &amp; inverts</x:v>
      </x:c>
      <x:c r="I236" s="60" t="n">
        <x:v>0.2014561968</x:v>
      </x:c>
      <x:c r="J236" s="60" t="n">
        <x:v>0.2014561968</x:v>
      </x:c>
      <x:c r="K236" s="60" t="n">
        <x:v>0</x:v>
      </x:c>
      <x:c r="L236" s="60" t="n">
        <x:v>0.1954874158</x:v>
      </x:c>
      <x:c r="M236" s="60" t="n">
        <x:v>0.005968781</x:v>
      </x:c>
      <x:c r="N236" s="46" t="str">
        <x:v>beryx splendens</x:v>
      </x:c>
      <x:c r="O236" s="62" t="n">
        <x:v>4.27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Beryx splendens</x:v>
      </x:c>
      <x:c r="T236" s="62" t="n">
        <x:f>IF(O236="","",(1/'Metadata'!$B$5)^(O236-1))</x:f>
        <x:v>17962.55396184286</x:v>
      </x:c>
      <x:c r="U236" s="60" t="n">
        <x:f>IF(T236="","",I236*T236)</x:f>
        <x:v>3618.6678059676346</x:v>
      </x:c>
    </x:row>
    <x:row r="237" ht="18" customHeight="1">
      <x:c r="A237" s="46" t="str">
        <x:v>LME_015</x:v>
      </x:c>
      <x:c r="B237" s="46" t="str">
        <x:v>South Brazil Shelf</x:v>
      </x:c>
      <x:c r="C237" s="46" t="str">
        <x:v>LME</x:v>
      </x:c>
      <x:c r="D237" s="58" t="n">
        <x:v>2019</x:v>
      </x:c>
      <x:c r="E237" s="46" t="str">
        <x:v>Notarius grandicassis</x:v>
      </x:c>
      <x:c r="F237" s="46" t="str">
        <x:v>Thomas sea catfish</x:v>
      </x:c>
      <x:c r="G237" s="46" t="str">
        <x:v>Medium demersals (30 - 89 cm)</x:v>
      </x:c>
      <x:c r="H237" s="46" t="str">
        <x:v>Other fishes &amp; inverts</x:v>
      </x:c>
      <x:c r="I237" s="60" t="n">
        <x:v>0.1609196716</x:v>
      </x:c>
      <x:c r="J237" s="60" t="n">
        <x:v>0.1609196716</x:v>
      </x:c>
      <x:c r="K237" s="60" t="n">
        <x:v>0</x:v>
      </x:c>
      <x:c r="L237" s="60" t="n">
        <x:v>0.15664240299999999</x:v>
      </x:c>
      <x:c r="M237" s="60" t="n">
        <x:v>0.0042772686</x:v>
      </x:c>
      <x:c r="N237" s="46" t="str">
        <x:v>notarius grandicassis</x:v>
      </x:c>
      <x:c r="O237" s="62" t="n">
        <x:v>3.6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Notarius grandicassis</x:v>
      </x:c>
      <x:c r="T237" s="62" t="n">
        <x:f>IF(O237="","",(1/'Metadata'!$B$5)^(O237-1))</x:f>
        <x:v>2413.670534618066</x:v>
      </x:c>
      <x:c r="U237" s="60" t="n">
        <x:f>IF(T237="","",I237*T237)</x:f>
        <x:v>388.4070697813356</x:v>
      </x:c>
    </x:row>
    <x:row r="238" ht="18" customHeight="1">
      <x:c r="A238" s="46" t="str">
        <x:v>LME_015</x:v>
      </x:c>
      <x:c r="B238" s="46" t="str">
        <x:v>South Brazil Shelf</x:v>
      </x:c>
      <x:c r="C238" s="46" t="str">
        <x:v>LME</x:v>
      </x:c>
      <x:c r="D238" s="58" t="n">
        <x:v>2019</x:v>
      </x:c>
      <x:c r="E238" s="46" t="str">
        <x:v>Thyrsitops lepidopoides</x:v>
      </x:c>
      <x:c r="F238" s="46" t="str">
        <x:v>White snake mackerel</x:v>
      </x:c>
      <x:c r="G238" s="46" t="str">
        <x:v>Medium benthopelagics (30 - 89 cm)</x:v>
      </x:c>
      <x:c r="H238" s="46" t="str">
        <x:v>Perch-likes</x:v>
      </x:c>
      <x:c r="I238" s="60" t="n">
        <x:v>0.11233811540000001</x:v>
      </x:c>
      <x:c r="J238" s="60" t="n">
        <x:v>0.11233811540000001</x:v>
      </x:c>
      <x:c r="K238" s="60" t="n">
        <x:v>0</x:v>
      </x:c>
      <x:c r="L238" s="60" t="n">
        <x:v>0.111169534</x:v>
      </x:c>
      <x:c r="M238" s="60" t="n">
        <x:v>0.0011685814</x:v>
      </x:c>
      <x:c r="N238" s="46" t="str">
        <x:v>thyrsitops lepidopoides</x:v>
      </x:c>
      <x:c r="O238" s="62" t="n">
        <x:v>3.86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Thyrsitops lepidopoides</x:v>
      </x:c>
      <x:c r="T238" s="62" t="n">
        <x:f>IF(O238="","",(1/'Metadata'!$B$5)^(O238-1))</x:f>
        <x:v>5259.51608454905</x:v>
      </x:c>
      <x:c r="U238" s="60" t="n">
        <x:f>IF(T238="","",I238*T238)</x:f>
        <x:v>590.8441248542274</x:v>
      </x:c>
    </x:row>
    <x:row r="239" ht="18" customHeight="1">
      <x:c r="A239" s="46" t="str">
        <x:v>LME_015</x:v>
      </x:c>
      <x:c r="B239" s="46" t="str">
        <x:v>South Brazil Shelf</x:v>
      </x:c>
      <x:c r="C239" s="46" t="str">
        <x:v>LME</x:v>
      </x:c>
      <x:c r="D239" s="58" t="n">
        <x:v>2019</x:v>
      </x:c>
      <x:c r="E239" s="46" t="str">
        <x:v>Carcharhiniformes</x:v>
      </x:c>
      <x:c r="F239" s="46" t="str">
        <x:v>Ground sharks</x:v>
      </x:c>
      <x:c r="G239" s="46" t="str">
        <x:v>Large sharks (&gt;=90 cm)</x:v>
      </x:c>
      <x:c r="H239" s="46" t="str">
        <x:v>Sharks &amp; rays</x:v>
      </x:c>
      <x:c r="I239" s="60" t="n">
        <x:v>0.1121670355</x:v>
      </x:c>
      <x:c r="J239" s="60" t="n">
        <x:v>0.1121670355</x:v>
      </x:c>
      <x:c r="K239" s="60" t="n">
        <x:v>0</x:v>
      </x:c>
      <x:c r="L239" s="60" t="n">
        <x:v>0</x:v>
      </x:c>
      <x:c r="M239" s="60" t="n">
        <x:v>0.1121670355</x:v>
      </x:c>
      <x:c r="N239" s="46" t="str">
        <x:v>carcharhiniformes</x:v>
      </x:c>
      <x:c r="O239" s="62" t="n">
        <x:v>4.08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Carcharhiniformes</x:v>
      </x:c>
      <x:c r="T239" s="62" t="n">
        <x:f>IF(O239="","",(1/'Metadata'!$B$5)^(O239-1))</x:f>
        <x:v>10166.521575327472</x:v>
      </x:c>
      <x:c r="U239" s="60" t="n">
        <x:f>IF(T239="","",I239*T239)</x:f>
        <x:v>1140.3485864512725</x:v>
      </x:c>
    </x:row>
    <x:row r="240" ht="18" customHeight="1">
      <x:c r="A240" s="46" t="str">
        <x:v>LME_015</x:v>
      </x:c>
      <x:c r="B240" s="46" t="str">
        <x:v>South Brazil Shelf</x:v>
      </x:c>
      <x:c r="C240" s="46" t="str">
        <x:v>LME</x:v>
      </x:c>
      <x:c r="D240" s="58" t="n">
        <x:v>2019</x:v>
      </x:c>
      <x:c r="E240" s="46" t="str">
        <x:v>Balistes</x:v>
      </x:c>
      <x:c r="F240" s="46" t="str">
        <x:v>Triggerfish</x:v>
      </x:c>
      <x:c r="G240" s="46" t="str">
        <x:v>Medium reef assoc. fish (30 - 89 cm)</x:v>
      </x:c>
      <x:c r="H240" s="46" t="str">
        <x:v>Other fishes &amp; inverts</x:v>
      </x:c>
      <x:c r="I240" s="60" t="n">
        <x:v>0.0865431814</x:v>
      </x:c>
      <x:c r="J240" s="60" t="n">
        <x:v>0.0865431814</x:v>
      </x:c>
      <x:c r="K240" s="60" t="n">
        <x:v>0</x:v>
      </x:c>
      <x:c r="L240" s="60" t="n">
        <x:v>0</x:v>
      </x:c>
      <x:c r="M240" s="60" t="n">
        <x:v>0.0865431814</x:v>
      </x:c>
      <x:c r="N240" s="46" t="str">
        <x:v>balistes</x:v>
      </x:c>
      <x:c r="O240" s="62" t="n">
        <x:v>3.94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Balistes</x:v>
      </x:c>
      <x:c r="T240" s="62" t="n">
        <x:f>IF(O240="","",(1/'Metadata'!$B$5)^(O240-1))</x:f>
        <x:v>6683.872968668722</x:v>
      </x:c>
      <x:c r="U240" s="60" t="n">
        <x:f>IF(T240="","",I240*T240)</x:f>
        <x:v>578.4436307820538</x:v>
      </x:c>
    </x:row>
    <x:row r="241" ht="18" customHeight="1">
      <x:c r="A241" s="46" t="str">
        <x:v>LME_015</x:v>
      </x:c>
      <x:c r="B241" s="46" t="str">
        <x:v>South Brazil Shelf</x:v>
      </x:c>
      <x:c r="C241" s="46" t="str">
        <x:v>LME</x:v>
      </x:c>
      <x:c r="D241" s="58" t="n">
        <x:v>2019</x:v>
      </x:c>
      <x:c r="E241" s="46" t="str">
        <x:v>Gastropoda</x:v>
      </x:c>
      <x:c r="F241" s="46" t="str">
        <x:v>Sea snails</x:v>
      </x:c>
      <x:c r="G241" s="46" t="str">
        <x:v>Other demersal invertebrates</x:v>
      </x:c>
      <x:c r="H241" s="46" t="str">
        <x:v>Molluscs</x:v>
      </x:c>
      <x:c r="I241" s="60" t="n">
        <x:v>0.0792569558</x:v>
      </x:c>
      <x:c r="J241" s="60" t="n">
        <x:v>0.0792569558</x:v>
      </x:c>
      <x:c r="K241" s="60" t="n">
        <x:v>0</x:v>
      </x:c>
      <x:c r="L241" s="60" t="n">
        <x:v>0.0792569558</x:v>
      </x:c>
      <x:c r="M241" s="60" t="n">
        <x:v>0</x:v>
      </x:c>
      <x:c r="N241" s="46" t="str">
        <x:v>gastropoda</x:v>
      </x:c>
      <x:c r="O241" s="62" t="n">
        <x:v>3.06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Gastropoda</x:v>
      </x:c>
      <x:c r="T241" s="62" t="n">
        <x:f>IF(O241="","",(1/'Metadata'!$B$5)^(O241-1))</x:f>
        <x:v>478.7643354384948</x:v>
      </x:c>
      <x:c r="U241" s="60" t="n">
        <x:f>IF(T241="","",I241*T241)</x:f>
        <x:v>37.945403772465156</x:v>
      </x:c>
    </x:row>
    <x:row r="242" ht="18" customHeight="1">
      <x:c r="A242" s="46" t="str">
        <x:v>LME_015</x:v>
      </x:c>
      <x:c r="B242" s="46" t="str">
        <x:v>South Brazil Shelf</x:v>
      </x:c>
      <x:c r="C242" s="46" t="str">
        <x:v>LME</x:v>
      </x:c>
      <x:c r="D242" s="58" t="n">
        <x:v>2019</x:v>
      </x:c>
      <x:c r="E242" s="46" t="str">
        <x:v>Sphyraena</x:v>
      </x:c>
      <x:c r="F242" s="46" t="str">
        <x:v>Barracudas, sennets</x:v>
      </x:c>
      <x:c r="G242" s="46" t="str">
        <x:v>Large pelagics (&gt;=90 cm)</x:v>
      </x:c>
      <x:c r="H242" s="46" t="str">
        <x:v>Perch-likes</x:v>
      </x:c>
      <x:c r="I242" s="60" t="n">
        <x:v>0.056259556700000005</x:v>
      </x:c>
      <x:c r="J242" s="60" t="n">
        <x:v>0.056259556700000005</x:v>
      </x:c>
      <x:c r="K242" s="60" t="n">
        <x:v>0</x:v>
      </x:c>
      <x:c r="L242" s="60" t="n">
        <x:v>0.0547388157</x:v>
      </x:c>
      <x:c r="M242" s="60" t="n">
        <x:v>0.001520741</x:v>
      </x:c>
      <x:c r="N242" s="46" t="str">
        <x:v>sphyraena</x:v>
      </x:c>
      <x:c r="O242" s="62" t="n">
        <x:v>4.4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Sphyraena</x:v>
      </x:c>
      <x:c r="T242" s="62" t="n">
        <x:f>IF(O242="","",(1/'Metadata'!$B$5)^(O242-1))</x:f>
        <x:v>26515.632138719924</x:v>
      </x:c>
      <x:c r="U242" s="60" t="n">
        <x:f>IF(T242="","",I242*T242)</x:f>
        <x:v>1491.757709744656</x:v>
      </x:c>
    </x:row>
    <x:row r="243" ht="18" customHeight="1">
      <x:c r="A243" s="46" t="str">
        <x:v>LME_015</x:v>
      </x:c>
      <x:c r="B243" s="46" t="str">
        <x:v>South Brazil Shelf</x:v>
      </x:c>
      <x:c r="C243" s="46" t="str">
        <x:v>LME</x:v>
      </x:c>
      <x:c r="D243" s="58" t="n">
        <x:v>2019</x:v>
      </x:c>
      <x:c r="E243" s="46" t="str">
        <x:v>Mycteroperca microlepis</x:v>
      </x:c>
      <x:c r="F243" s="46" t="str">
        <x:v>Gag</x:v>
      </x:c>
      <x:c r="G243" s="46" t="str">
        <x:v>Large demersals (&gt;=90 cm)</x:v>
      </x:c>
      <x:c r="H243" s="46" t="str">
        <x:v>Perch-likes</x:v>
      </x:c>
      <x:c r="I243" s="60" t="n">
        <x:v>0.0477059159</x:v>
      </x:c>
      <x:c r="J243" s="60" t="n">
        <x:v>0.0477059159</x:v>
      </x:c>
      <x:c r="K243" s="60" t="n">
        <x:v>0</x:v>
      </x:c>
      <x:c r="L243" s="60" t="n">
        <x:v>0.0477059159</x:v>
      </x:c>
      <x:c r="M243" s="60" t="n">
        <x:v>0</x:v>
      </x:c>
      <x:c r="N243" s="46" t="str">
        <x:v>mycteroperca microlepis</x:v>
      </x:c>
      <x:c r="O243" s="62" t="n">
        <x:v>3.65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Mycteroperca microlepis</x:v>
      </x:c>
      <x:c r="T243" s="62" t="n">
        <x:f>IF(O243="","",(1/'Metadata'!$B$5)^(O243-1))</x:f>
        <x:v>2803.6867455443476</x:v>
      </x:c>
      <x:c r="U243" s="60" t="n">
        <x:f>IF(T243="","",I243*T243)</x:f>
        <x:v>133.75244409288334</x:v>
      </x:c>
    </x:row>
    <x:row r="244" ht="18" customHeight="1">
      <x:c r="A244" s="46" t="str">
        <x:v>LME_015</x:v>
      </x:c>
      <x:c r="B244" s="46" t="str">
        <x:v>South Brazil Shelf</x:v>
      </x:c>
      <x:c r="C244" s="46" t="str">
        <x:v>LME</x:v>
      </x:c>
      <x:c r="D244" s="58" t="n">
        <x:v>2019</x:v>
      </x:c>
      <x:c r="E244" s="46" t="str">
        <x:v>Lutjanus analis</x:v>
      </x:c>
      <x:c r="F244" s="46" t="str">
        <x:v>Mutton snapper</x:v>
      </x:c>
      <x:c r="G244" s="46" t="str">
        <x:v>Medium reef assoc. fish (30 - 89 cm)</x:v>
      </x:c>
      <x:c r="H244" s="46" t="str">
        <x:v>Perch-likes</x:v>
      </x:c>
      <x:c r="I244" s="60" t="n">
        <x:v>0.0460041854</x:v>
      </x:c>
      <x:c r="J244" s="60" t="n">
        <x:v>0.0460041854</x:v>
      </x:c>
      <x:c r="K244" s="60" t="n">
        <x:v>0</x:v>
      </x:c>
      <x:c r="L244" s="60" t="n">
        <x:v>0.044958260199999996</x:v>
      </x:c>
      <x:c r="M244" s="60" t="n">
        <x:v>0.0010459252</x:v>
      </x:c>
      <x:c r="N244" s="46" t="str">
        <x:v>lutjanus analis</x:v>
      </x:c>
      <x:c r="O244" s="62" t="n">
        <x:v>3.91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Lutjanus analis</x:v>
      </x:c>
      <x:c r="T244" s="62" t="n">
        <x:f>IF(O244="","",(1/'Metadata'!$B$5)^(O244-1))</x:f>
        <x:v>6109.382089532312</x:v>
      </x:c>
      <x:c r="U244" s="60" t="n">
        <x:f>IF(T244="","",I244*T244)</x:f>
        <x:v>281.0571463262839</x:v>
      </x:c>
    </x:row>
    <x:row r="245" ht="18" customHeight="1">
      <x:c r="A245" s="46" t="str">
        <x:v>LME_015</x:v>
      </x:c>
      <x:c r="B245" s="46" t="str">
        <x:v>South Brazil Shelf</x:v>
      </x:c>
      <x:c r="C245" s="46" t="str">
        <x:v>LME</x:v>
      </x:c>
      <x:c r="D245" s="58" t="n">
        <x:v>2019</x:v>
      </x:c>
      <x:c r="E245" s="46" t="str">
        <x:v>Notorynchus cepedianus</x:v>
      </x:c>
      <x:c r="F245" s="46" t="str">
        <x:v>Broadnose sevengill shark</x:v>
      </x:c>
      <x:c r="G245" s="46" t="str">
        <x:v>Large sharks (&gt;=90 cm)</x:v>
      </x:c>
      <x:c r="H245" s="46" t="str">
        <x:v>Sharks &amp; rays</x:v>
      </x:c>
      <x:c r="I245" s="60" t="n">
        <x:v>0.0395605916</x:v>
      </x:c>
      <x:c r="J245" s="60" t="n">
        <x:v>0.0395605916</x:v>
      </x:c>
      <x:c r="K245" s="60" t="n">
        <x:v>0</x:v>
      </x:c>
      <x:c r="L245" s="60" t="n">
        <x:v>0.0381633465</x:v>
      </x:c>
      <x:c r="M245" s="60" t="n">
        <x:v>0.0013972451000000001</x:v>
      </x:c>
      <x:c r="N245" s="46" t="str">
        <x:v>notorynchus cepedianus</x:v>
      </x:c>
      <x:c r="O245" s="62" t="n">
        <x:v>4.68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Notorynchus cepedianus</x:v>
      </x:c>
      <x:c r="T245" s="62" t="n">
        <x:f>IF(O245="","",(1/'Metadata'!$B$5)^(O245-1))</x:f>
        <x:v>61346.583914816816</x:v>
      </x:c>
      <x:c r="U245" s="60" t="n">
        <x:f>IF(T245="","",I245*T245)</x:f>
        <x:v>2426.907152309197</x:v>
      </x:c>
    </x:row>
    <x:row r="246" ht="18" customHeight="1">
      <x:c r="A246" s="46" t="str">
        <x:v>LME_015</x:v>
      </x:c>
      <x:c r="B246" s="46" t="str">
        <x:v>South Brazil Shelf</x:v>
      </x:c>
      <x:c r="C246" s="46" t="str">
        <x:v>LME</x:v>
      </x:c>
      <x:c r="D246" s="58" t="n">
        <x:v>2019</x:v>
      </x:c>
      <x:c r="E246" s="46" t="str">
        <x:v>Squatina guggenheim</x:v>
      </x:c>
      <x:c r="F246" s="46" t="str">
        <x:v>Angular angel shark</x:v>
      </x:c>
      <x:c r="G246" s="46" t="str">
        <x:v>Large sharks (&gt;=90 cm)</x:v>
      </x:c>
      <x:c r="H246" s="46" t="str">
        <x:v>Sharks &amp; rays</x:v>
      </x:c>
      <x:c r="I246" s="60" t="n">
        <x:v>0.0388217375</x:v>
      </x:c>
      <x:c r="J246" s="60" t="n">
        <x:v>0</x:v>
      </x:c>
      <x:c r="K246" s="60" t="n">
        <x:v>0.0388217375</x:v>
      </x:c>
      <x:c r="L246" s="60" t="n">
        <x:v>0</x:v>
      </x:c>
      <x:c r="M246" s="60" t="n">
        <x:v>0.0388217375</x:v>
      </x:c>
      <x:c r="N246" s="46" t="str">
        <x:v>squatina guggenheim</x:v>
      </x:c>
      <x:c r="O246" s="62" t="n">
        <x:v>4.39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Squatina guggenheim</x:v>
      </x:c>
      <x:c r="T246" s="62" t="n">
        <x:f>IF(O246="","",(1/'Metadata'!$B$5)^(O246-1))</x:f>
        <x:v>25733.07497204781</x:v>
      </x:c>
      <x:c r="U246" s="60" t="n">
        <x:f>IF(T246="","",I246*T246)</x:f>
        <x:v>999.0026816326599</x:v>
      </x:c>
    </x:row>
    <x:row r="247" ht="18" customHeight="1">
      <x:c r="A247" s="46" t="str">
        <x:v>LME_015</x:v>
      </x:c>
      <x:c r="B247" s="46" t="str">
        <x:v>South Brazil Shelf</x:v>
      </x:c>
      <x:c r="C247" s="46" t="str">
        <x:v>LME</x:v>
      </x:c>
      <x:c r="D247" s="58" t="n">
        <x:v>2019</x:v>
      </x:c>
      <x:c r="E247" s="46" t="str">
        <x:v>Auxis</x:v>
      </x:c>
      <x:c r="F247" s="46" t="str">
        <x:v>Bullet and frigate tunas</x:v>
      </x:c>
      <x:c r="G247" s="46" t="str">
        <x:v>Medium pelagics (30 - 89 cm)</x:v>
      </x:c>
      <x:c r="H247" s="46" t="str">
        <x:v>Tuna &amp; billfishes</x:v>
      </x:c>
      <x:c r="I247" s="60" t="n">
        <x:v>0.0350381231</x:v>
      </x:c>
      <x:c r="J247" s="60" t="n">
        <x:v>0.0350381231</x:v>
      </x:c>
      <x:c r="K247" s="60" t="n">
        <x:v>0</x:v>
      </x:c>
      <x:c r="L247" s="60" t="n">
        <x:v>0.0350381231</x:v>
      </x:c>
      <x:c r="M247" s="60" t="n">
        <x:v>0</x:v>
      </x:c>
      <x:c r="N247" s="46" t="str">
        <x:v>auxis</x:v>
      </x:c>
      <x:c r="O247" s="62" t="n">
        <x:v>4.24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Auxis</x:v>
      </x:c>
      <x:c r="T247" s="62" t="n">
        <x:f>IF(O247="","",(1/'Metadata'!$B$5)^(O247-1))</x:f>
        <x:v>16418.64020623336</x:v>
      </x:c>
      <x:c r="U247" s="60" t="n">
        <x:f>IF(T247="","",I247*T247)</x:f>
        <x:v>575.2783366806137</x:v>
      </x:c>
    </x:row>
    <x:row r="248" ht="18" customHeight="1">
      <x:c r="A248" s="46" t="str">
        <x:v>LME_015</x:v>
      </x:c>
      <x:c r="B248" s="46" t="str">
        <x:v>South Brazil Shelf</x:v>
      </x:c>
      <x:c r="C248" s="46" t="str">
        <x:v>LME</x:v>
      </x:c>
      <x:c r="D248" s="58" t="n">
        <x:v>2019</x:v>
      </x:c>
      <x:c r="E248" s="46" t="str">
        <x:v>Sphyrna tiburo</x:v>
      </x:c>
      <x:c r="F248" s="46" t="str">
        <x:v>Bonnethead</x:v>
      </x:c>
      <x:c r="G248" s="46" t="str">
        <x:v>Large sharks (&gt;=90 cm)</x:v>
      </x:c>
      <x:c r="H248" s="46" t="str">
        <x:v>Sharks &amp; rays</x:v>
      </x:c>
      <x:c r="I248" s="60" t="n">
        <x:v>0.0208808534</x:v>
      </x:c>
      <x:c r="J248" s="60" t="n">
        <x:v>0.0208808534</x:v>
      </x:c>
      <x:c r="K248" s="60" t="n">
        <x:v>0</x:v>
      </x:c>
      <x:c r="L248" s="60" t="n">
        <x:v>0.0208808534</x:v>
      </x:c>
      <x:c r="M248" s="60" t="n">
        <x:v>0</x:v>
      </x:c>
      <x:c r="N248" s="46" t="str">
        <x:v>sphyrna tiburo</x:v>
      </x:c>
      <x:c r="O248" s="62" t="n">
        <x:v>3.88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Sphyrna tiburo</x:v>
      </x:c>
      <x:c r="T248" s="62" t="n">
        <x:f>IF(O248="","",(1/'Metadata'!$B$5)^(O248-1))</x:f>
        <x:v>5584.269732662554</x:v>
      </x:c>
      <x:c r="U248" s="60" t="n">
        <x:f>IF(T248="","",I248*T248)</x:f>
        <x:v>116.60431763378398</x:v>
      </x:c>
    </x:row>
    <x:row r="249" ht="18" customHeight="1">
      <x:c r="A249" s="46" t="str">
        <x:v>LME_015</x:v>
      </x:c>
      <x:c r="B249" s="46" t="str">
        <x:v>South Brazil Shelf</x:v>
      </x:c>
      <x:c r="C249" s="46" t="str">
        <x:v>LME</x:v>
      </x:c>
      <x:c r="D249" s="58" t="n">
        <x:v>2019</x:v>
      </x:c>
      <x:c r="E249" s="46" t="str">
        <x:v>Fistularia tabacaria</x:v>
      </x:c>
      <x:c r="F249" s="46" t="str">
        <x:v>Cornetfish</x:v>
      </x:c>
      <x:c r="G249" s="46" t="str">
        <x:v>Large reef assoc. fish (&gt;=90 cm)</x:v>
      </x:c>
      <x:c r="H249" s="46" t="str">
        <x:v>Other fishes &amp; inverts</x:v>
      </x:c>
      <x:c r="I249" s="60" t="n">
        <x:v>0.019350848599999998</x:v>
      </x:c>
      <x:c r="J249" s="60" t="n">
        <x:v>0.019350848599999998</x:v>
      </x:c>
      <x:c r="K249" s="60" t="n">
        <x:v>0</x:v>
      </x:c>
      <x:c r="L249" s="60" t="n">
        <x:v>0.0192784402</x:v>
      </x:c>
      <x:c r="M249" s="60" t="n">
        <x:v>0.0000724084</x:v>
      </x:c>
      <x:c r="N249" s="46" t="str">
        <x:v>fistularia tabacaria</x:v>
      </x:c>
      <x:c r="O249" s="62" t="n">
        <x:v>3.69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Fistularia tabacaria</x:v>
      </x:c>
      <x:c r="T249" s="62" t="n">
        <x:f>IF(O249="","",(1/'Metadata'!$B$5)^(O249-1))</x:f>
        <x:v>3160.6083878807954</x:v>
      </x:c>
      <x:c r="U249" s="60" t="n">
        <x:f>IF(T249="","",I249*T249)</x:f>
        <x:v>61.16045439777134</x:v>
      </x:c>
    </x:row>
    <x:row r="250" ht="18" customHeight="1">
      <x:c r="A250" s="46" t="str">
        <x:v>LME_015</x:v>
      </x:c>
      <x:c r="B250" s="46" t="str">
        <x:v>South Brazil Shelf</x:v>
      </x:c>
      <x:c r="C250" s="46" t="str">
        <x:v>LME</x:v>
      </x:c>
      <x:c r="D250" s="58" t="n">
        <x:v>2019</x:v>
      </x:c>
      <x:c r="E250" s="46" t="str">
        <x:v>Myripristis jacobus</x:v>
      </x:c>
      <x:c r="F250" s="46" t="str">
        <x:v>Blackbar soldierfish</x:v>
      </x:c>
      <x:c r="G250" s="46" t="str">
        <x:v>Small reef assoc. fish (&lt;30 cm)</x:v>
      </x:c>
      <x:c r="H250" s="46" t="str">
        <x:v>Other fishes &amp; inverts</x:v>
      </x:c>
      <x:c r="I250" s="60" t="n">
        <x:v>0.0181847462</x:v>
      </x:c>
      <x:c r="J250" s="60" t="n">
        <x:v>0.0181847462</x:v>
      </x:c>
      <x:c r="K250" s="60" t="n">
        <x:v>0</x:v>
      </x:c>
      <x:c r="L250" s="60" t="n">
        <x:v>0.0181847462</x:v>
      </x:c>
      <x:c r="M250" s="60" t="n">
        <x:v>0</x:v>
      </x:c>
      <x:c r="N250" s="46" t="str">
        <x:v>myripristis jacobus</x:v>
      </x:c>
      <x:c r="O250" s="62" t="n">
        <x:v>3.39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Myripristis jacobus</x:v>
      </x:c>
      <x:c r="T250" s="62" t="n">
        <x:f>IF(O250="","",(1/'Metadata'!$B$5)^(O250-1))</x:f>
        <x:v>1286.6537486023922</x:v>
      </x:c>
      <x:c r="U250" s="60" t="n">
        <x:f>IF(T250="","",I250*T250)</x:f>
        <x:v>23.397471865613106</x:v>
      </x:c>
    </x:row>
    <x:row r="251" ht="18" customHeight="1">
      <x:c r="A251" s="46" t="str">
        <x:v>LME_015</x:v>
      </x:c>
      <x:c r="B251" s="46" t="str">
        <x:v>South Brazil Shelf</x:v>
      </x:c>
      <x:c r="C251" s="46" t="str">
        <x:v>LME</x:v>
      </x:c>
      <x:c r="D251" s="58" t="n">
        <x:v>2019</x:v>
      </x:c>
      <x:c r="E251" s="46" t="str">
        <x:v>Hyporthodus flavolimbatus</x:v>
      </x:c>
      <x:c r="F251" s="46" t="str">
        <x:v>Yellowedge grouper</x:v>
      </x:c>
      <x:c r="G251" s="46" t="str">
        <x:v>Large demersals (&gt;=90 cm)</x:v>
      </x:c>
      <x:c r="H251" s="46" t="str">
        <x:v>Perch-likes</x:v>
      </x:c>
      <x:c r="I251" s="60" t="n">
        <x:v>0.0166267511</x:v>
      </x:c>
      <x:c r="J251" s="60" t="n">
        <x:v>0.0166267511</x:v>
      </x:c>
      <x:c r="K251" s="60" t="n">
        <x:v>0</x:v>
      </x:c>
      <x:c r="L251" s="60" t="n">
        <x:v>0.0162207525</x:v>
      </x:c>
      <x:c r="M251" s="60" t="n">
        <x:v>0.0004059986</x:v>
      </x:c>
      <x:c r="N251" s="46" t="str">
        <x:v>hyporthodus flavolimbatus</x:v>
      </x:c>
      <x:c r="O251" s="62" t="n">
        <x:v>3.82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Hyporthodus flavolimbatus</x:v>
      </x:c>
      <x:c r="T251" s="62" t="n">
        <x:f>IF(O251="","",(1/'Metadata'!$B$5)^(O251-1))</x:f>
        <x:v>4665.56868948727</x:v>
      </x:c>
      <x:c r="U251" s="60" t="n">
        <x:f>IF(T251="","",I251*T251)</x:f>
        <x:v>77.57324934005803</x:v>
      </x:c>
    </x:row>
    <x:row r="252" ht="18" customHeight="1">
      <x:c r="A252" s="46" t="str">
        <x:v>LME_015</x:v>
      </x:c>
      <x:c r="B252" s="46" t="str">
        <x:v>South Brazil Shelf</x:v>
      </x:c>
      <x:c r="C252" s="46" t="str">
        <x:v>LME</x:v>
      </x:c>
      <x:c r="D252" s="58" t="n">
        <x:v>2019</x:v>
      </x:c>
      <x:c r="E252" s="46" t="str">
        <x:v>Caranx lugubris</x:v>
      </x:c>
      <x:c r="F252" s="46" t="str">
        <x:v>Black jack</x:v>
      </x:c>
      <x:c r="G252" s="46" t="str">
        <x:v>Large benthopelagics (&gt;=90 cm)</x:v>
      </x:c>
      <x:c r="H252" s="46" t="str">
        <x:v>Perch-likes</x:v>
      </x:c>
      <x:c r="I252" s="60" t="n">
        <x:v>0.0141242257</x:v>
      </x:c>
      <x:c r="J252" s="60" t="n">
        <x:v>0.0141242257</x:v>
      </x:c>
      <x:c r="K252" s="60" t="n">
        <x:v>0</x:v>
      </x:c>
      <x:c r="L252" s="60" t="n">
        <x:v>0.0137836912</x:v>
      </x:c>
      <x:c r="M252" s="60" t="n">
        <x:v>0.0003405345</x:v>
      </x:c>
      <x:c r="N252" s="46" t="str">
        <x:v>caranx lugubris</x:v>
      </x:c>
      <x:c r="O252" s="62" t="n">
        <x:v>4.5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Caranx lugubris</x:v>
      </x:c>
      <x:c r="T252" s="62" t="n">
        <x:f>IF(O252="","",(1/'Metadata'!$B$5)^(O252-1))</x:f>
        <x:v>35777.08763999664</x:v>
      </x:c>
      <x:c r="U252" s="60" t="n">
        <x:f>IF(T252="","",I252*T252)</x:f>
        <x:v>505.32366071599284</x:v>
      </x:c>
    </x:row>
    <x:row r="253" ht="18" customHeight="1">
      <x:c r="A253" s="46" t="str">
        <x:v>LME_015</x:v>
      </x:c>
      <x:c r="B253" s="46" t="str">
        <x:v>South Brazil Shelf</x:v>
      </x:c>
      <x:c r="C253" s="46" t="str">
        <x:v>LME</x:v>
      </x:c>
      <x:c r="D253" s="58" t="n">
        <x:v>2019</x:v>
      </x:c>
      <x:c r="E253" s="46" t="str">
        <x:v>Muraenidae</x:v>
      </x:c>
      <x:c r="F253" s="46" t="str">
        <x:v>Moray eels</x:v>
      </x:c>
      <x:c r="G253" s="46" t="str">
        <x:v>Large reef assoc. fish (&gt;=90 cm)</x:v>
      </x:c>
      <x:c r="H253" s="46" t="str">
        <x:v>Other fishes &amp; inverts</x:v>
      </x:c>
      <x:c r="I253" s="60" t="n">
        <x:v>0.0129917985</x:v>
      </x:c>
      <x:c r="J253" s="60" t="n">
        <x:v>0.0129917985</x:v>
      </x:c>
      <x:c r="K253" s="60" t="n">
        <x:v>0</x:v>
      </x:c>
      <x:c r="L253" s="60" t="n">
        <x:v>0.0129917985</x:v>
      </x:c>
      <x:c r="M253" s="60" t="n">
        <x:v>0</x:v>
      </x:c>
      <x:c r="N253" s="46" t="str">
        <x:v>muraenidae</x:v>
      </x:c>
      <x:c r="O253" s="62" t="n">
        <x:v>4.07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Muraenidae</x:v>
      </x:c>
      <x:c r="T253" s="62" t="n">
        <x:f>IF(O253="","",(1/'Metadata'!$B$5)^(O253-1))</x:f>
        <x:v>9866.476519743796</x:v>
      </x:c>
      <x:c r="U253" s="60" t="n">
        <x:f>IF(T253="","",I253*T253)</x:f>
        <x:v>128.18327484949268</x:v>
      </x:c>
    </x:row>
    <x:row r="254" ht="18" customHeight="1">
      <x:c r="A254" s="46" t="str">
        <x:v>LME_015</x:v>
      </x:c>
      <x:c r="B254" s="46" t="str">
        <x:v>South Brazil Shelf</x:v>
      </x:c>
      <x:c r="C254" s="46" t="str">
        <x:v>LME</x:v>
      </x:c>
      <x:c r="D254" s="58" t="n">
        <x:v>2019</x:v>
      </x:c>
      <x:c r="E254" s="46" t="str">
        <x:v>Mulloidichthys martinicus</x:v>
      </x:c>
      <x:c r="F254" s="46" t="str">
        <x:v>Yellow goatfish</x:v>
      </x:c>
      <x:c r="G254" s="46" t="str">
        <x:v>Medium reef assoc. fish (30 - 89 cm)</x:v>
      </x:c>
      <x:c r="H254" s="46" t="str">
        <x:v>Perch-likes</x:v>
      </x:c>
      <x:c r="I254" s="60" t="n">
        <x:v>0.0110264847</x:v>
      </x:c>
      <x:c r="J254" s="60" t="n">
        <x:v>0.0110264847</x:v>
      </x:c>
      <x:c r="K254" s="60" t="n">
        <x:v>0</x:v>
      </x:c>
      <x:c r="L254" s="60" t="n">
        <x:v>0.0106763238</x:v>
      </x:c>
      <x:c r="M254" s="60" t="n">
        <x:v>0.0003501609</x:v>
      </x:c>
      <x:c r="N254" s="46" t="str">
        <x:v>mulloidichthys martinicus</x:v>
      </x:c>
      <x:c r="O254" s="62" t="n">
        <x:v>3.21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Mulloidichthys martinicus</x:v>
      </x:c>
      <x:c r="T254" s="62" t="n">
        <x:f>IF(O254="","",(1/'Metadata'!$B$5)^(O254-1))</x:f>
        <x:v>750.3714304613432</x:v>
      </x:c>
      <x:c r="U254" s="60" t="n">
        <x:f>IF(T254="","",I254*T254)</x:f>
        <x:v>8.273959097299114</x:v>
      </x:c>
    </x:row>
    <x:row r="255" ht="18" customHeight="1">
      <x:c r="A255" s="46" t="str">
        <x:v>LME_015</x:v>
      </x:c>
      <x:c r="B255" s="46" t="str">
        <x:v>South Brazil Shelf</x:v>
      </x:c>
      <x:c r="C255" s="46" t="str">
        <x:v>LME</x:v>
      </x:c>
      <x:c r="D255" s="58" t="n">
        <x:v>2019</x:v>
      </x:c>
      <x:c r="E255" s="46" t="str">
        <x:v>Anchoa spinifer</x:v>
      </x:c>
      <x:c r="F255" s="46" t="str">
        <x:v>Spicule anchovy</x:v>
      </x:c>
      <x:c r="G255" s="46" t="str">
        <x:v>Small pelagics (&lt;30 cm)</x:v>
      </x:c>
      <x:c r="H255" s="46" t="str">
        <x:v>Anchovies</x:v>
      </x:c>
      <x:c r="I255" s="60" t="n">
        <x:v>0.0064003136000000006</x:v>
      </x:c>
      <x:c r="J255" s="60" t="n">
        <x:v>0.0064003136000000006</x:v>
      </x:c>
      <x:c r="K255" s="60" t="n">
        <x:v>0</x:v>
      </x:c>
      <x:c r="L255" s="60" t="n">
        <x:v>0.0064003136000000006</x:v>
      </x:c>
      <x:c r="M255" s="60" t="n">
        <x:v>0</x:v>
      </x:c>
      <x:c r="N255" s="46" t="str">
        <x:v>anchoa spinifer</x:v>
      </x:c>
      <x:c r="O255" s="62" t="n">
        <x:v>4.09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Anchoa spinifer</x:v>
      </x:c>
      <x:c r="T255" s="62" t="n">
        <x:f>IF(O255="","",(1/'Metadata'!$B$5)^(O255-1))</x:f>
        <x:v>10475.691168449957</x:v>
      </x:c>
      <x:c r="U255" s="60" t="n">
        <x:f>IF(T255="","",I255*T255)</x:f>
        <x:v>67.04770865483016</x:v>
      </x:c>
    </x:row>
    <x:row r="256" ht="18" customHeight="1">
      <x:c r="A256" s="46" t="str">
        <x:v>LME_015</x:v>
      </x:c>
      <x:c r="B256" s="46" t="str">
        <x:v>South Brazil Shelf</x:v>
      </x:c>
      <x:c r="C256" s="46" t="str">
        <x:v>LME</x:v>
      </x:c>
      <x:c r="D256" s="58" t="n">
        <x:v>2019</x:v>
      </x:c>
      <x:c r="E256" s="46" t="str">
        <x:v>Epinephelus adscensionis</x:v>
      </x:c>
      <x:c r="F256" s="46" t="str">
        <x:v>Rock hind</x:v>
      </x:c>
      <x:c r="G256" s="46" t="str">
        <x:v>Medium reef assoc. fish (30 - 89 cm)</x:v>
      </x:c>
      <x:c r="H256" s="46" t="str">
        <x:v>Perch-likes</x:v>
      </x:c>
      <x:c r="I256" s="60" t="n">
        <x:v>0.005359330099999999</x:v>
      </x:c>
      <x:c r="J256" s="60" t="n">
        <x:v>0.005359330099999999</x:v>
      </x:c>
      <x:c r="K256" s="60" t="n">
        <x:v>0</x:v>
      </x:c>
      <x:c r="L256" s="60" t="n">
        <x:v>0.0053425736</x:v>
      </x:c>
      <x:c r="M256" s="60" t="n">
        <x:v>0.000016756499999999998</x:v>
      </x:c>
      <x:c r="N256" s="46" t="str">
        <x:v>epinephelus adscensionis</x:v>
      </x:c>
      <x:c r="O256" s="62" t="n">
        <x:v>3.53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Epinephelus adscensionis</x:v>
      </x:c>
      <x:c r="T256" s="62" t="n">
        <x:f>IF(O256="","",(1/'Metadata'!$B$5)^(O256-1))</x:f>
        <x:v>1957.0678791263101</x:v>
      </x:c>
      <x:c r="U256" s="60" t="n">
        <x:f>IF(T256="","",I256*T256)</x:f>
        <x:v>10.488572792344794</x:v>
      </x:c>
    </x:row>
    <x:row r="257" ht="18" customHeight="1">
      <x:c r="A257" s="46" t="str">
        <x:v>LME_015</x:v>
      </x:c>
      <x:c r="B257" s="46" t="str">
        <x:v>South Brazil Shelf</x:v>
      </x:c>
      <x:c r="C257" s="46" t="str">
        <x:v>LME</x:v>
      </x:c>
      <x:c r="D257" s="58" t="n">
        <x:v>2019</x:v>
      </x:c>
      <x:c r="E257" s="46" t="str">
        <x:v>Callinectes sapidus</x:v>
      </x:c>
      <x:c r="F257" s="46" t="str">
        <x:v>Blue crab</x:v>
      </x:c>
      <x:c r="G257" s="46" t="str">
        <x:v>Lobsters, crabs</x:v>
      </x:c>
      <x:c r="H257" s="46" t="str">
        <x:v>Crustaceans</x:v>
      </x:c>
      <x:c r="I257" s="60" t="n">
        <x:v>0.0044364602</x:v>
      </x:c>
      <x:c r="J257" s="60" t="n">
        <x:v>0.0044364602</x:v>
      </x:c>
      <x:c r="K257" s="60" t="n">
        <x:v>0</x:v>
      </x:c>
      <x:c r="L257" s="60" t="n">
        <x:v>0.0044364602</x:v>
      </x:c>
      <x:c r="M257" s="60" t="n">
        <x:v>0</x:v>
      </x:c>
      <x:c r="N257" s="46" t="str">
        <x:v>callinectes sapidus</x:v>
      </x:c>
      <x:c r="O257" s="62" t="n">
        <x:v>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Callinectes sapidus</x:v>
      </x:c>
      <x:c r="T257" s="62" t="n">
        <x:f>IF(O257="","",(1/'Metadata'!$B$5)^(O257-1))</x:f>
        <x:v>8000</x:v>
      </x:c>
      <x:c r="U257" s="60" t="n">
        <x:f>IF(T257="","",I257*T257)</x:f>
        <x:v>35.4916816</x:v>
      </x:c>
    </x:row>
    <x:row r="258" ht="18" customHeight="1">
      <x:c r="A258" s="46" t="str">
        <x:v>LME_015</x:v>
      </x:c>
      <x:c r="B258" s="46" t="str">
        <x:v>South Brazil Shelf</x:v>
      </x:c>
      <x:c r="C258" s="46" t="str">
        <x:v>LME</x:v>
      </x:c>
      <x:c r="D258" s="58" t="n">
        <x:v>2019</x:v>
      </x:c>
      <x:c r="E258" s="46" t="str">
        <x:v>Ephippidae</x:v>
      </x:c>
      <x:c r="F258" s="46" t="str">
        <x:v>Spade-, batfishes, scats</x:v>
      </x:c>
      <x:c r="G258" s="46" t="str">
        <x:v>Medium reef assoc. fish (30 - 89 cm)</x:v>
      </x:c>
      <x:c r="H258" s="46" t="str">
        <x:v>Perch-likes</x:v>
      </x:c>
      <x:c r="I258" s="60" t="n">
        <x:v>0.0038022222</x:v>
      </x:c>
      <x:c r="J258" s="60" t="n">
        <x:v>0.0038022222</x:v>
      </x:c>
      <x:c r="K258" s="60" t="n">
        <x:v>0</x:v>
      </x:c>
      <x:c r="L258" s="60" t="n">
        <x:v>0</x:v>
      </x:c>
      <x:c r="M258" s="60" t="n">
        <x:v>0.0038022222</x:v>
      </x:c>
      <x:c r="N258" s="46" t="str">
        <x:v>ephippidae</x:v>
      </x:c>
      <x:c r="O258" s="62" t="n">
        <x:v>3.57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Ephippidae</x:v>
      </x:c>
      <x:c r="T258" s="62" t="n">
        <x:f>IF(O258="","",(1/'Metadata'!$B$5)^(O258-1))</x:f>
        <x:v>2206.2112196552644</x:v>
      </x:c>
      <x:c r="U258" s="60" t="n">
        <x:f>IF(T258="","",I258*T258)</x:f>
        <x:v>8.388505277262324</x:v>
      </x:c>
    </x:row>
    <x:row r="259" ht="18" customHeight="1">
      <x:c r="A259" s="46" t="str">
        <x:v>LME_015</x:v>
      </x:c>
      <x:c r="B259" s="46" t="str">
        <x:v>South Brazil Shelf</x:v>
      </x:c>
      <x:c r="C259" s="46" t="str">
        <x:v>LME</x:v>
      </x:c>
      <x:c r="D259" s="58" t="n">
        <x:v>2019</x:v>
      </x:c>
      <x:c r="E259" s="46" t="str">
        <x:v>Lampris guttatus</x:v>
      </x:c>
      <x:c r="F259" s="46" t="str">
        <x:v>Opah</x:v>
      </x:c>
      <x:c r="G259" s="46" t="str">
        <x:v>Large bathypelagics (&gt;=90 cm)</x:v>
      </x:c>
      <x:c r="H259" s="46" t="str">
        <x:v>Other fishes &amp; inverts</x:v>
      </x:c>
      <x:c r="I259" s="60" t="n">
        <x:v>0.0031194954</x:v>
      </x:c>
      <x:c r="J259" s="60" t="n">
        <x:v>0.0031194954</x:v>
      </x:c>
      <x:c r="K259" s="60" t="n">
        <x:v>0</x:v>
      </x:c>
      <x:c r="L259" s="60" t="n">
        <x:v>0.0031194954</x:v>
      </x:c>
      <x:c r="M259" s="60" t="n">
        <x:v>0</x:v>
      </x:c>
      <x:c r="N259" s="46" t="str">
        <x:v>lampris guttatus</x:v>
      </x:c>
      <x:c r="O259" s="62" t="n">
        <x:v>4.22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Lampris guttatus</x:v>
      </x:c>
      <x:c r="T259" s="62" t="n">
        <x:f>IF(O259="","",(1/'Metadata'!$B$5)^(O259-1))</x:f>
        <x:v>15463.812886046735</x:v>
      </x:c>
      <x:c r="U259" s="60" t="n">
        <x:f>IF(T259="","",I259*T259)</x:f>
        <x:v>48.23929316448351</x:v>
      </x:c>
    </x:row>
    <x:row r="260" ht="18" customHeight="1">
      <x:c r="A260" s="46" t="str">
        <x:v>LME_015</x:v>
      </x:c>
      <x:c r="B260" s="46" t="str">
        <x:v>South Brazil Shelf</x:v>
      </x:c>
      <x:c r="C260" s="46" t="str">
        <x:v>LME</x:v>
      </x:c>
      <x:c r="D260" s="58" t="n">
        <x:v>2019</x:v>
      </x:c>
      <x:c r="E260" s="46" t="str">
        <x:v>Isurus paucus</x:v>
      </x:c>
      <x:c r="F260" s="46" t="str">
        <x:v>Longfin mako</x:v>
      </x:c>
      <x:c r="G260" s="46" t="str">
        <x:v>Large sharks (&gt;=90 cm)</x:v>
      </x:c>
      <x:c r="H260" s="46" t="str">
        <x:v>Sharks &amp; rays</x:v>
      </x:c>
      <x:c r="I260" s="60" t="n">
        <x:v>0.0011554572</x:v>
      </x:c>
      <x:c r="J260" s="60" t="n">
        <x:v>0.0011554572</x:v>
      </x:c>
      <x:c r="K260" s="60" t="n">
        <x:v>0</x:v>
      </x:c>
      <x:c r="L260" s="60" t="n">
        <x:v>0.0011554572</x:v>
      </x:c>
      <x:c r="M260" s="60" t="n">
        <x:v>0</x:v>
      </x:c>
      <x:c r="N260" s="46" t="str">
        <x:v>isurus paucus</x:v>
      </x:c>
      <x:c r="O260" s="62" t="n">
        <x:v>4.51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Isurus paucus</x:v>
      </x:c>
      <x:c r="T260" s="62" t="n">
        <x:f>IF(O260="","",(1/'Metadata'!$B$5)^(O260-1))</x:f>
        <x:v>36865.088835568684</x:v>
      </x:c>
      <x:c r="U260" s="60" t="n">
        <x:f>IF(T260="","",I260*T260)</x:f>
        <x:v>42.59603232369745</x:v>
      </x:c>
    </x:row>
    <x:row r="261" ht="18" customHeight="1">
      <x:c r="A261" s="46" t="str">
        <x:v>LME_015</x:v>
      </x:c>
      <x:c r="B261" s="46" t="str">
        <x:v>South Brazil Shelf</x:v>
      </x:c>
      <x:c r="C261" s="46" t="str">
        <x:v>LME</x:v>
      </x:c>
      <x:c r="D261" s="58" t="n">
        <x:v>2019</x:v>
      </x:c>
      <x:c r="E261" s="46" t="str">
        <x:v>Uraspis secunda</x:v>
      </x:c>
      <x:c r="F261" s="46" t="str">
        <x:v>Cottonmouth jack</x:v>
      </x:c>
      <x:c r="G261" s="46" t="str">
        <x:v>Medium pelagics (30 - 89 cm)</x:v>
      </x:c>
      <x:c r="H261" s="46" t="str">
        <x:v>Perch-likes</x:v>
      </x:c>
      <x:c r="I261" s="60" t="n">
        <x:v>0.00085145</x:v>
      </x:c>
      <x:c r="J261" s="60" t="n">
        <x:v>0.00085145</x:v>
      </x:c>
      <x:c r="K261" s="60" t="n">
        <x:v>0</x:v>
      </x:c>
      <x:c r="L261" s="60" t="n">
        <x:v>0.00085145</x:v>
      </x:c>
      <x:c r="M261" s="60" t="n">
        <x:v>0</x:v>
      </x:c>
      <x:c r="N261" s="46" t="str">
        <x:v>uraspis secunda</x:v>
      </x:c>
      <x:c r="O261" s="62" t="n">
        <x:v>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Uraspis secunda</x:v>
      </x:c>
      <x:c r="T261" s="62" t="n">
        <x:f>IF(O261="","",(1/'Metadata'!$B$5)^(O261-1))</x:f>
        <x:v>8000</x:v>
      </x:c>
      <x:c r="U261" s="60" t="n">
        <x:f>IF(T261="","",I261*T261)</x:f>
        <x:v>6.8116</x:v>
      </x:c>
    </x:row>
    <x:row r="262" ht="18" customHeight="1">
      <x:c r="A262" s="46" t="str">
        <x:v>LME_015</x:v>
      </x:c>
      <x:c r="B262" s="46" t="str">
        <x:v>South Brazil Shelf</x:v>
      </x:c>
      <x:c r="C262" s="46" t="str">
        <x:v>LME</x:v>
      </x:c>
      <x:c r="D262" s="58" t="n">
        <x:v>2019</x:v>
      </x:c>
      <x:c r="E262" s="46" t="str">
        <x:v>Sphyrna mokarran</x:v>
      </x:c>
      <x:c r="F262" s="46" t="str">
        <x:v>Great hammerhead</x:v>
      </x:c>
      <x:c r="G262" s="46" t="str">
        <x:v>Large sharks (&gt;=90 cm)</x:v>
      </x:c>
      <x:c r="H262" s="46" t="str">
        <x:v>Sharks &amp; rays</x:v>
      </x:c>
      <x:c r="I262" s="60" t="n">
        <x:v>0.0007212122</x:v>
      </x:c>
      <x:c r="J262" s="60" t="n">
        <x:v>0.0007212122</x:v>
      </x:c>
      <x:c r="K262" s="60" t="n">
        <x:v>0</x:v>
      </x:c>
      <x:c r="L262" s="60" t="n">
        <x:v>0.0007212122</x:v>
      </x:c>
      <x:c r="M262" s="60" t="n">
        <x:v>0</x:v>
      </x:c>
      <x:c r="N262" s="46" t="str">
        <x:v>sphyrna mokarran</x:v>
      </x:c>
      <x:c r="O262" s="62" t="n">
        <x:v>4.32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Sphyrna mokarran</x:v>
      </x:c>
      <x:c r="T262" s="62" t="n">
        <x:f>IF(O262="","",(1/'Metadata'!$B$5)^(O262-1))</x:f>
        <x:v>20865.057486776313</x:v>
      </x:c>
      <x:c r="U262" s="60" t="n">
        <x:f>IF(T262="","",I262*T262)</x:f>
        <x:v>15.048134013164416</x:v>
      </x:c>
    </x:row>
    <x:row r="263" ht="18" customHeight="1">
      <x:c r="A263" s="46" t="str">
        <x:v>LME_015</x:v>
      </x:c>
      <x:c r="B263" s="46" t="str">
        <x:v>South Brazil Shelf</x:v>
      </x:c>
      <x:c r="C263" s="46" t="str">
        <x:v>LME</x:v>
      </x:c>
      <x:c r="D263" s="58" t="n">
        <x:v>2019</x:v>
      </x:c>
      <x:c r="E263" s="46" t="str">
        <x:v>Macrouridae</x:v>
      </x:c>
      <x:c r="F263" s="46" t="str">
        <x:v>Grenadiers, rattails</x:v>
      </x:c>
      <x:c r="G263" s="46" t="str">
        <x:v>Medium benthopelagics (30 - 89 cm)</x:v>
      </x:c>
      <x:c r="H263" s="46" t="str">
        <x:v>Cod-likes</x:v>
      </x:c>
      <x:c r="I263" s="60" t="n">
        <x:v>0.0007054016</x:v>
      </x:c>
      <x:c r="J263" s="60" t="n">
        <x:v>0.0007054016</x:v>
      </x:c>
      <x:c r="K263" s="60" t="n">
        <x:v>0</x:v>
      </x:c>
      <x:c r="L263" s="60" t="n">
        <x:v>0.0007054016</x:v>
      </x:c>
      <x:c r="M263" s="60" t="n">
        <x:v>0</x:v>
      </x:c>
      <x:c r="N263" s="46" t="str">
        <x:v>macrouridae</x:v>
      </x:c>
      <x:c r="O263" s="62" t="n">
        <x:v>3.88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Macrouridae</x:v>
      </x:c>
      <x:c r="T263" s="62" t="n">
        <x:f>IF(O263="","",(1/'Metadata'!$B$5)^(O263-1))</x:f>
        <x:v>5584.269732662554</x:v>
      </x:c>
      <x:c r="U263" s="60" t="n">
        <x:f>IF(T263="","",I263*T263)</x:f>
        <x:v>3.939152804251738</x:v>
      </x:c>
    </x:row>
    <x:row r="264" ht="18" customHeight="1">
      <x:c r="A264" s="46" t="str">
        <x:v>LME_015</x:v>
      </x:c>
      <x:c r="B264" s="46" t="str">
        <x:v>South Brazil Shelf</x:v>
      </x:c>
      <x:c r="C264" s="46" t="str">
        <x:v>LME</x:v>
      </x:c>
      <x:c r="D264" s="58" t="n">
        <x:v>2019</x:v>
      </x:c>
      <x:c r="E264" s="46" t="str">
        <x:v>Tetrapturus pfluegeri</x:v>
      </x:c>
      <x:c r="F264" s="46" t="str">
        <x:v>Longbill spearfish</x:v>
      </x:c>
      <x:c r="G264" s="46" t="str">
        <x:v>Large pelagics (&gt;=90 cm)</x:v>
      </x:c>
      <x:c r="H264" s="46" t="str">
        <x:v>Tuna &amp; billfishes</x:v>
      </x:c>
      <x:c r="I264" s="60" t="n">
        <x:v>0.0006695916</x:v>
      </x:c>
      <x:c r="J264" s="60" t="n">
        <x:v>0.0006695916</x:v>
      </x:c>
      <x:c r="K264" s="60" t="n">
        <x:v>0</x:v>
      </x:c>
      <x:c r="L264" s="60" t="n">
        <x:v>0.0006695916</x:v>
      </x:c>
      <x:c r="M264" s="60" t="n">
        <x:v>0</x:v>
      </x:c>
      <x:c r="N264" s="46" t="str">
        <x:v>tetrapturus pfluegeri</x:v>
      </x:c>
      <x:c r="O264" s="62" t="n">
        <x:v>4.4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Tetrapturus pfluegeri</x:v>
      </x:c>
      <x:c r="T264" s="62" t="n">
        <x:f>IF(O264="","",(1/'Metadata'!$B$5)^(O264-1))</x:f>
        <x:v>26515.632138719924</x:v>
      </x:c>
      <x:c r="U264" s="60" t="n">
        <x:f>IF(T264="","",I264*T264)</x:f>
        <x:v>17.754644548776895</x:v>
      </x:c>
    </x:row>
    <x:row r="265" ht="18" customHeight="1">
      <x:c r="A265" s="46" t="str">
        <x:v>LME_015</x:v>
      </x:c>
      <x:c r="B265" s="46" t="str">
        <x:v>South Brazil Shelf</x:v>
      </x:c>
      <x:c r="C265" s="46" t="str">
        <x:v>LME</x:v>
      </x:c>
      <x:c r="D265" s="58" t="n">
        <x:v>2019</x:v>
      </x:c>
      <x:c r="E265" s="46" t="str">
        <x:v>Istiophoridae</x:v>
      </x:c>
      <x:c r="F265" s="46" t="str">
        <x:v>Billfishes</x:v>
      </x:c>
      <x:c r="G265" s="46" t="str">
        <x:v>Large pelagics (&gt;=90 cm)</x:v>
      </x:c>
      <x:c r="H265" s="46" t="str">
        <x:v>Tuna &amp; billfishes</x:v>
      </x:c>
      <x:c r="I265" s="60" t="n">
        <x:v>0.0001522267</x:v>
      </x:c>
      <x:c r="J265" s="60" t="n">
        <x:v>0.0001522267</x:v>
      </x:c>
      <x:c r="K265" s="60" t="n">
        <x:v>0</x:v>
      </x:c>
      <x:c r="L265" s="60" t="n">
        <x:v>0.0001522267</x:v>
      </x:c>
      <x:c r="M265" s="60" t="n">
        <x:v>0</x:v>
      </x:c>
      <x:c r="N265" s="46" t="str">
        <x:v>istiophoridae</x:v>
      </x:c>
      <x:c r="O265" s="62" t="n">
        <x:v>4.48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Istiophoridae</x:v>
      </x:c>
      <x:c r="T265" s="62" t="n">
        <x:f>IF(O265="","",(1/'Metadata'!$B$5)^(O265-1))</x:f>
        <x:v>33696.468277717824</x:v>
      </x:c>
      <x:c r="U265" s="60" t="n">
        <x:f>IF(T265="","",I265*T265)</x:f>
        <x:v>5.129502167571668</x:v>
      </x:c>
    </x:row>
  </x:sheetData>
  <x:conditionalFormatting sqref="R2:R2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176275fb87d41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6</x:v>
      </x:c>
      <x:c r="C2" s="64" t="n">
        <x:v>6</x:v>
      </x:c>
      <x:c r="D2" s="60" t="n">
        <x:v>590.7311473911001</x:v>
      </x:c>
      <x:c r="E2" s="60" t="n">
        <x:v>590.7311473911001</x:v>
      </x:c>
      <x:c r="F2" s="62" t="n">
        <x:v>0</x:v>
      </x:c>
      <x:c r="G2" s="66" t="n">
        <x:v>1</x:v>
      </x:c>
      <x:c r="H2" s="62" t="n">
        <x:f>IF(E2=0,"",I2/E2)</x:f>
        <x:v>562.7259780553234</x:v>
      </x:c>
      <x:c r="I2" s="60" t="n">
        <x:f>SUMIF('Species'!$H$2:$H$265,A2,'Species'!$U$2:$U$265)</x:f>
        <x:v>332419.7626834002</x:v>
      </x:c>
      <x:c r="J2" s="62" t="n">
        <x:v>2.9492088307869455</x:v>
      </x:c>
      <x:c r="K2" s="62" t="n">
        <x:f>IF(J2="","",(1/'Metadata'!$B$5)^(J2-1))</x:f>
        <x:v>343.54145973067494</x:v>
      </x:c>
      <x:c r="L2" s="60" t="n">
        <x:f>IF(E2=0,"",E2*K2)</x:f>
        <x:v>202940.64068311502</x:v>
      </x:c>
      <x:c r="M2" s="60" t="n">
        <x:f>I2-L2</x:f>
        <x:v>129479.12200028516</x:v>
      </x:c>
      <x:c r="N2" s="62" t="n">
        <x:f>IF(L2=0,"",I2/L2)</x:f>
        <x:v>1.6380147493594566</x:v>
      </x:c>
      <x:c r="O2" s="66" t="n">
        <x:f>IF(L2=0,"",M2/L2)</x:f>
        <x:v>0.6380147493594566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7446.672923409101</x:v>
      </x:c>
      <x:c r="E3" s="60" t="n">
        <x:v>7446.672923409101</x:v>
      </x:c>
      <x:c r="F3" s="62" t="n">
        <x:v>0</x:v>
      </x:c>
      <x:c r="G3" s="66" t="n">
        <x:v>1</x:v>
      </x:c>
      <x:c r="H3" s="62" t="n">
        <x:f>IF(E3=0,"",I3/E3)</x:f>
        <x:v>7209.325875260023</x:v>
      </x:c>
      <x:c r="I3" s="60" t="n">
        <x:f>SUMIF('Species'!$H$2:$H$265,A3,'Species'!$U$2:$U$265)</x:f>
        <x:v>53685491.79133143</x:v>
      </x:c>
      <x:c r="J3" s="62" t="n">
        <x:v>3.901907363072741</x:v>
      </x:c>
      <x:c r="K3" s="62" t="n">
        <x:f>IF(J3="","",(1/'Metadata'!$B$5)^(J3-1))</x:f>
        <x:v>5963.051003533286</x:v>
      </x:c>
      <x:c r="L3" s="60" t="n">
        <x:f>IF(E3=0,"",E3*K3)</x:f>
        <x:v>44404890.44891879</x:v>
      </x:c>
      <x:c r="M3" s="60" t="n">
        <x:f>I3-L3</x:f>
        <x:v>9280601.342412643</x:v>
      </x:c>
      <x:c r="N3" s="62" t="n">
        <x:f>IF(L3=0,"",I3/L3)</x:f>
        <x:v>1.2089995324521428</x:v>
      </x:c>
      <x:c r="O3" s="66" t="n">
        <x:f>IF(L3=0,"",M3/L3)</x:f>
        <x:v>0.20899953245214267</x:v>
      </x:c>
    </x:row>
    <x:row r="4" ht="18" customHeight="1">
      <x:c r="A4" s="46" t="str">
        <x:v>Crustaceans</x:v>
      </x:c>
      <x:c r="B4" s="64" t="n">
        <x:v>16</x:v>
      </x:c>
      <x:c r="C4" s="64" t="n">
        <x:v>16</x:v>
      </x:c>
      <x:c r="D4" s="60" t="n">
        <x:v>11869.4786314086</x:v>
      </x:c>
      <x:c r="E4" s="60" t="n">
        <x:v>11869.4786314086</x:v>
      </x:c>
      <x:c r="F4" s="62" t="n">
        <x:v>0</x:v>
      </x:c>
      <x:c r="G4" s="66" t="n">
        <x:v>1</x:v>
      </x:c>
      <x:c r="H4" s="62" t="n">
        <x:f>IF(E4=0,"",I4/E4)</x:f>
        <x:v>403.37982186233944</x:v>
      </x:c>
      <x:c r="I4" s="60" t="n">
        <x:f>SUMIF('Species'!$H$2:$H$265,A4,'Species'!$U$2:$U$265)</x:f>
        <x:v>4787908.175936446</x:v>
      </x:c>
      <x:c r="J4" s="62" t="n">
        <x:v>2.79624623441564</x:v>
      </x:c>
      <x:c r="K4" s="62" t="n">
        <x:f>IF(J4="","",(1/'Metadata'!$B$5)^(J4-1))</x:f>
        <x:v>217.2552252606104</x:v>
      </x:c>
      <x:c r="L4" s="60" t="n">
        <x:f>IF(E4=0,"",E4*K4)</x:f>
        <x:v>2578706.2537926766</x:v>
      </x:c>
      <x:c r="M4" s="60" t="n">
        <x:f>I4-L4</x:f>
        <x:v>2209201.922143769</x:v>
      </x:c>
      <x:c r="N4" s="62" t="n">
        <x:f>IF(L4=0,"",I4/L4)</x:f>
        <x:v>1.8567094134489135</x:v>
      </x:c>
      <x:c r="O4" s="66" t="n">
        <x:f>IF(L4=0,"",M4/L4)</x:f>
        <x:v>0.8567094134489135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999.6871411252</x:v>
      </x:c>
      <x:c r="E5" s="60" t="n">
        <x:v>999.6871411252</x:v>
      </x:c>
      <x:c r="F5" s="62" t="n">
        <x:v>0</x:v>
      </x:c>
      <x:c r="G5" s="66" t="n">
        <x:v>1</x:v>
      </x:c>
      <x:c r="H5" s="62" t="n">
        <x:f>IF(E5=0,"",I5/E5)</x:f>
        <x:v>1304.7484820514426</x:v>
      </x:c>
      <x:c r="I5" s="60" t="n">
        <x:f>SUMIF('Species'!$H$2:$H$265,A5,'Species'!$U$2:$U$265)</x:f>
        <x:v>1304340.279909451</x:v>
      </x:c>
      <x:c r="J5" s="62" t="n">
        <x:v>3.368495957037971</x:v>
      </x:c>
      <x:c r="K5" s="62" t="n">
        <x:f>IF(J5="","",(1/'Metadata'!$B$5)^(J5-1))</x:f>
        <x:v>1206.380433589773</x:v>
      </x:c>
      <x:c r="L5" s="60" t="n">
        <x:f>IF(E5=0,"",E5*K5)</x:f>
        <x:v>1206003.0067647395</x:v>
      </x:c>
      <x:c r="M5" s="60" t="n">
        <x:f>I5-L5</x:f>
        <x:v>98337.27314471151</x:v>
      </x:c>
      <x:c r="N5" s="62" t="n">
        <x:f>IF(L5=0,"",I5/L5)</x:f>
        <x:v>1.0815398241904173</x:v>
      </x:c>
      <x:c r="O5" s="66" t="n">
        <x:f>IF(L5=0,"",M5/L5)</x:f>
        <x:v>0.0815398241904173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28634.4769196915</x:v>
      </x:c>
      <x:c r="E6" s="60" t="n">
        <x:v>28634.4769196915</x:v>
      </x:c>
      <x:c r="F6" s="62" t="n">
        <x:v>0</x:v>
      </x:c>
      <x:c r="G6" s="66" t="n">
        <x:v>1</x:v>
      </x:c>
      <x:c r="H6" s="62" t="n">
        <x:f>IF(E6=0,"",I6/E6)</x:f>
        <x:v>2118.8907826339628</x:v>
      </x:c>
      <x:c r="I6" s="60" t="n">
        <x:f>SUMIF('Species'!$H$2:$H$265,A6,'Species'!$U$2:$U$265)</x:f>
        <x:v>60673329.21067927</x:v>
      </x:c>
      <x:c r="J6" s="62" t="n">
        <x:v>3.1946357043076583</x:v>
      </x:c>
      <x:c r="K6" s="62" t="n">
        <x:f>IF(J6="","",(1/'Metadata'!$B$5)^(J6-1))</x:f>
        <x:v>716.6166276185612</x:v>
      </x:c>
      <x:c r="L6" s="60" t="n">
        <x:f>IF(E6=0,"",E6*K6)</x:f>
        <x:v>20519942.28381085</x:v>
      </x:c>
      <x:c r="M6" s="60" t="n">
        <x:f>I6-L6</x:f>
        <x:v>40153386.926868424</x:v>
      </x:c>
      <x:c r="N6" s="62" t="n">
        <x:f>IF(L6=0,"",I6/L6)</x:f>
        <x:v>2.9567982390743524</x:v>
      </x:c>
      <x:c r="O6" s="66" t="n">
        <x:f>IF(L6=0,"",M6/L6)</x:f>
        <x:v>1.9567982390743528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3973.2032768271997</x:v>
      </x:c>
      <x:c r="E7" s="60" t="n">
        <x:v>3973.2032768271997</x:v>
      </x:c>
      <x:c r="F7" s="62" t="n">
        <x:v>0</x:v>
      </x:c>
      <x:c r="G7" s="66" t="n">
        <x:v>1</x:v>
      </x:c>
      <x:c r="H7" s="62" t="n">
        <x:f>IF(E7=0,"",I7/E7)</x:f>
        <x:v>26.768124634387718</x:v>
      </x:c>
      <x:c r="I7" s="60" t="n">
        <x:f>SUMIF('Species'!$H$2:$H$265,A7,'Species'!$U$2:$U$265)</x:f>
        <x:v>106355.20051186817</x:v>
      </x:c>
      <x:c r="J7" s="62" t="n">
        <x:v>2.0784048706608114</x:v>
      </x:c>
      <x:c r="K7" s="62" t="n">
        <x:f>IF(J7="","",(1/'Metadata'!$B$5)^(J7-1))</x:f>
        <x:v>25.295139812238645</x:v>
      </x:c>
      <x:c r="L7" s="60" t="n">
        <x:f>IF(E7=0,"",E7*K7)</x:f>
        <x:v>100502.73238978874</x:v>
      </x:c>
      <x:c r="M7" s="60" t="n">
        <x:f>I7-L7</x:f>
        <x:v>5852.46812207943</x:v>
      </x:c>
      <x:c r="N7" s="62" t="n">
        <x:f>IF(L7=0,"",I7/L7)</x:f>
        <x:v>1.0582319304452468</x:v>
      </x:c>
      <x:c r="O7" s="66" t="n">
        <x:f>IF(L7=0,"",M7/L7)</x:f>
        <x:v>0.05823193044524679</x:v>
      </x:c>
    </x:row>
    <x:row r="8" ht="18" customHeight="1">
      <x:c r="A8" s="46" t="str">
        <x:v>Other fishes &amp; inverts</x:v>
      </x:c>
      <x:c r="B8" s="64" t="n">
        <x:v>40</x:v>
      </x:c>
      <x:c r="C8" s="64" t="n">
        <x:v>40</x:v>
      </x:c>
      <x:c r="D8" s="60" t="n">
        <x:v>26800.5455220326</x:v>
      </x:c>
      <x:c r="E8" s="60" t="n">
        <x:v>26800.5455220326</x:v>
      </x:c>
      <x:c r="F8" s="62" t="n">
        <x:v>0</x:v>
      </x:c>
      <x:c r="G8" s="66" t="n">
        <x:v>1</x:v>
      </x:c>
      <x:c r="H8" s="62" t="n">
        <x:f>IF(E8=0,"",I8/E8)</x:f>
        <x:v>3298.99556891761</x:v>
      </x:c>
      <x:c r="I8" s="60" t="n">
        <x:f>SUMIF('Species'!$H$2:$H$265,A8,'Species'!$U$2:$U$265)</x:f>
        <x:v>88414880.92176025</x:v>
      </x:c>
      <x:c r="J8" s="62" t="n">
        <x:v>3.4551262173780435</x:v>
      </x:c>
      <x:c r="K8" s="62" t="n">
        <x:f>IF(J8="","",(1/'Metadata'!$B$5)^(J8-1))</x:f>
        <x:v>1563.8419250352829</x:v>
      </x:c>
      <x:c r="L8" s="60" t="n">
        <x:f>IF(E8=0,"",E8*K8)</x:f>
        <x:v>41911816.70117119</x:v>
      </x:c>
      <x:c r="M8" s="60" t="n">
        <x:f>I8-L8</x:f>
        <x:v>46503064.22058906</x:v>
      </x:c>
      <x:c r="N8" s="62" t="n">
        <x:f>IF(L8=0,"",I8/L8)</x:f>
        <x:v>2.1095454189483887</x:v>
      </x:c>
      <x:c r="O8" s="66" t="n">
        <x:f>IF(L8=0,"",M8/L8)</x:f>
        <x:v>1.1095454189483887</x:v>
      </x:c>
    </x:row>
    <x:row r="9" ht="18" customHeight="1">
      <x:c r="A9" s="46" t="str">
        <x:v>Perch-likes</x:v>
      </x:c>
      <x:c r="B9" s="64" t="n">
        <x:v>121</x:v>
      </x:c>
      <x:c r="C9" s="64" t="n">
        <x:v>121</x:v>
      </x:c>
      <x:c r="D9" s="60" t="n">
        <x:v>150297.70461451498</x:v>
      </x:c>
      <x:c r="E9" s="60" t="n">
        <x:v>150297.70461451498</x:v>
      </x:c>
      <x:c r="F9" s="62" t="n">
        <x:v>0</x:v>
      </x:c>
      <x:c r="G9" s="66" t="n">
        <x:v>1</x:v>
      </x:c>
      <x:c r="H9" s="62" t="n">
        <x:f>IF(E9=0,"",I9/E9)</x:f>
        <x:v>5706.491638699112</x:v>
      </x:c>
      <x:c r="I9" s="60" t="n">
        <x:f>SUMIF('Species'!$H$2:$H$265,A9,'Species'!$U$2:$U$265)</x:f>
        <x:v>857672594.6983986</x:v>
      </x:c>
      <x:c r="J9" s="62" t="n">
        <x:v>3.6874578076365006</x:v>
      </x:c>
      <x:c r="K9" s="62" t="n">
        <x:f>IF(J9="","",(1/'Metadata'!$B$5)^(J9-1))</x:f>
        <x:v>3136.6294793199168</x:v>
      </x:c>
      <x:c r="L9" s="60" t="n">
        <x:f>IF(E9=0,"",E9*K9)</x:f>
        <x:v>471428210.96800476</x:v>
      </x:c>
      <x:c r="M9" s="60" t="n">
        <x:f>I9-L9</x:f>
        <x:v>386244383.7303938</x:v>
      </x:c>
      <x:c r="N9" s="62" t="n">
        <x:f>IF(L9=0,"",I9/L9)</x:f>
        <x:v>1.8193068949719848</x:v>
      </x:c>
      <x:c r="O9" s="66" t="n">
        <x:f>IF(L9=0,"",M9/L9)</x:f>
        <x:v>0.819306894971985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0.8331538576</x:v>
      </x:c>
      <x:c r="E10" s="60" t="n">
        <x:v>0.8331538576</x:v>
      </x:c>
      <x:c r="F10" s="62" t="n">
        <x:v>0</x:v>
      </x:c>
      <x:c r="G10" s="66" t="n">
        <x:v>1</x:v>
      </x:c>
      <x:c r="H10" s="62" t="n">
        <x:f>IF(E10=0,"",I10/E10)</x:f>
        <x:v>4138.694671981463</x:v>
      </x:c>
      <x:c r="I10" s="60" t="n">
        <x:f>SUMIF('Species'!$H$2:$H$265,A10,'Species'!$U$2:$U$265)</x:f>
        <x:v>3448.169431389923</x:v>
      </x:c>
      <x:c r="J10" s="62" t="n">
        <x:v>3.78</x:v>
      </x:c>
      <x:c r="K10" s="62" t="n">
        <x:f>IF(J10="","",(1/'Metadata'!$B$5)^(J10-1))</x:f>
        <x:v>4138.694671981463</x:v>
      </x:c>
      <x:c r="L10" s="60" t="n">
        <x:f>IF(E10=0,"",E10*K10)</x:f>
        <x:v>3448.169431389923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41</x:v>
      </x:c>
      <x:c r="C11" s="64" t="n">
        <x:v>41</x:v>
      </x:c>
      <x:c r="D11" s="60" t="n">
        <x:v>41069.883315392195</x:v>
      </x:c>
      <x:c r="E11" s="60" t="n">
        <x:v>41069.883315392195</x:v>
      </x:c>
      <x:c r="F11" s="62" t="n">
        <x:v>0</x:v>
      </x:c>
      <x:c r="G11" s="66" t="n">
        <x:v>1</x:v>
      </x:c>
      <x:c r="H11" s="62" t="n">
        <x:f>IF(E11=0,"",I11/E11)</x:f>
        <x:v>7297.827117539567</x:v>
      </x:c>
      <x:c r="I11" s="60" t="n">
        <x:f>SUMIF('Species'!$H$2:$H$265,A11,'Species'!$U$2:$U$265)</x:f>
        <x:v>299720908.17325497</x:v>
      </x:c>
      <x:c r="J11" s="62" t="n">
        <x:v>3.8453709373209617</x:v>
      </x:c>
      <x:c r="K11" s="62" t="n">
        <x:f>IF(J11="","",(1/'Metadata'!$B$5)^(J11-1))</x:f>
        <x:v>5033.996835979534</x:v>
      </x:c>
      <x:c r="L11" s="60" t="n">
        <x:f>IF(E11=0,"",E11*K11)</x:f>
        <x:v>206745662.66373295</x:v>
      </x:c>
      <x:c r="M11" s="60" t="n">
        <x:f>I11-L11</x:f>
        <x:v>92975245.50952202</x:v>
      </x:c>
      <x:c r="N11" s="62" t="n">
        <x:f>IF(L11=0,"",I11/L11)</x:f>
        <x:v>1.4497083242841429</x:v>
      </x:c>
      <x:c r="O11" s="66" t="n">
        <x:f>IF(L11=0,"",M11/L11)</x:f>
        <x:v>0.44970832428414287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20748.883331556008</x:v>
      </x:c>
      <x:c r="E12" s="60" t="n">
        <x:v>20748.883331556008</x:v>
      </x:c>
      <x:c r="F12" s="62" t="n">
        <x:v>0</x:v>
      </x:c>
      <x:c r="G12" s="66" t="n">
        <x:v>1</x:v>
      </x:c>
      <x:c r="H12" s="62" t="n">
        <x:f>IF(E12=0,"",I12/E12)</x:f>
        <x:v>29688.469657614827</x:v>
      </x:c>
      <x:c r="I12" s="60" t="n">
        <x:f>SUMIF('Species'!$H$2:$H$265,A12,'Species'!$U$2:$U$265)</x:f>
        <x:v>616002593.2182906</x:v>
      </x:c>
      <x:c r="J12" s="62" t="n">
        <x:v>4.435186635225594</x:v>
      </x:c>
      <x:c r="K12" s="62" t="n">
        <x:f>IF(J12="","",(1/'Metadata'!$B$5)^(J12-1))</x:f>
        <x:v>29463.263724515935</x:v>
      </x:c>
      <x:c r="L12" s="60" t="n">
        <x:f>IF(E12=0,"",E12*K12)</x:f>
        <x:v>611329821.5868474</x:v>
      </x:c>
      <x:c r="M12" s="60" t="n">
        <x:f>I12-L12</x:f>
        <x:v>4672771.631443143</x:v>
      </x:c>
      <x:c r="N12" s="62" t="n">
        <x:f>IF(L12=0,"",I12/L12)</x:f>
        <x:v>1.0076436180052757</x:v>
      </x:c>
      <x:c r="O12" s="66" t="n">
        <x:f>IF(L12=0,"",M12/L12)</x:f>
        <x:v>0.007643618005275593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f30944e968249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1128.9740678458002</x:v>
      </x:c>
      <x:c r="E2" s="60" t="n">
        <x:v>1128.9740678458002</x:v>
      </x:c>
      <x:c r="F2" s="62" t="n">
        <x:v>0</x:v>
      </x:c>
      <x:c r="G2" s="66" t="n">
        <x:v>1</x:v>
      </x:c>
      <x:c r="H2" s="62" t="n">
        <x:f>IF(E2=0,"",I2/E2)</x:f>
        <x:v>4379.732761303205</x:v>
      </x:c>
      <x:c r="I2" s="60" t="n">
        <x:f>SUMIF('Species'!$G$2:$G$265,A2,'Species'!$U$2:$U$265)</x:f>
        <x:v>4944604.711605998</x:v>
      </x:c>
      <x:c r="J2" s="62" t="n">
        <x:v>3.793678926867843</x:v>
      </x:c>
      <x:c r="K2" s="62" t="n">
        <x:f>IF(J2="","",(1/'Metadata'!$B$5)^(J2-1))</x:f>
        <x:v>4311.8146335917745</x:v>
      </x:c>
      <x:c r="L2" s="60" t="n">
        <x:f>IF(E2=0,"",E2*K2)</x:f>
        <x:v>4867926.906683154</x:v>
      </x:c>
      <x:c r="M2" s="60" t="n">
        <x:f>I2-L2</x:f>
        <x:v>76677.80492284335</x:v>
      </x:c>
      <x:c r="N2" s="62" t="n">
        <x:f>IF(L2=0,"",I2/L2)</x:f>
        <x:v>1.015751634400585</x:v>
      </x:c>
      <x:c r="O2" s="66" t="n">
        <x:f>IF(L2=0,"",M2/L2)</x:f>
        <x:v>0.015751634400584927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608.7961961883999</x:v>
      </x:c>
      <x:c r="E3" s="60" t="n">
        <x:v>608.7961961883999</x:v>
      </x:c>
      <x:c r="F3" s="62" t="n">
        <x:v>0</x:v>
      </x:c>
      <x:c r="G3" s="66" t="n">
        <x:v>1</x:v>
      </x:c>
      <x:c r="H3" s="62" t="n">
        <x:f>IF(E3=0,"",I3/E3)</x:f>
        <x:v>14465.525634395446</x:v>
      </x:c>
      <x:c r="I3" s="60" t="n">
        <x:f>SUMIF('Species'!$G$2:$G$265,A3,'Species'!$U$2:$U$265)</x:f>
        <x:v>8806556.982085738</x:v>
      </x:c>
      <x:c r="J3" s="62" t="n">
        <x:v>4.195511132253915</x:v>
      </x:c>
      <x:c r="K3" s="62" t="n">
        <x:f>IF(J3="","",(1/'Metadata'!$B$5)^(J3-1))</x:f>
        <x:v>14369.969109146527</x:v>
      </x:c>
      <x:c r="L3" s="60" t="n">
        <x:f>IF(E3=0,"",E3*K3)</x:f>
        <x:v>8748382.532993214</x:v>
      </x:c>
      <x:c r="M3" s="60" t="n">
        <x:f>I3-L3</x:f>
        <x:v>58174.449092524126</x:v>
      </x:c>
      <x:c r="N3" s="62" t="n">
        <x:f>IF(L3=0,"",I3/L3)</x:f>
        <x:v>1.0066497376941541</x:v>
      </x:c>
      <x:c r="O3" s="66" t="n">
        <x:f>IF(L3=0,"",M3/L3)</x:f>
        <x:v>0.00664973769415408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42.137356414900005</x:v>
      </x:c>
      <x:c r="E4" s="60" t="n">
        <x:v>42.137356414900005</x:v>
      </x:c>
      <x:c r="F4" s="62" t="n">
        <x:v>0</x:v>
      </x:c>
      <x:c r="G4" s="66" t="n">
        <x:v>1</x:v>
      </x:c>
      <x:c r="H4" s="62" t="n">
        <x:f>IF(E4=0,"",I4/E4)</x:f>
        <x:v>22152.894372407594</x:v>
      </x:c>
      <x:c r="I4" s="60" t="n">
        <x:f>SUMIF('Species'!$G$2:$G$265,A4,'Species'!$U$2:$U$265)</x:f>
        <x:v>933464.4057917714</x:v>
      </x:c>
      <x:c r="J4" s="62" t="n">
        <x:v>4.339991116209467</x:v>
      </x:c>
      <x:c r="K4" s="62" t="n">
        <x:f>IF(J4="","",(1/'Metadata'!$B$5)^(J4-1))</x:f>
        <x:v>22152.800041935247</x:v>
      </x:c>
      <x:c r="L4" s="60" t="n">
        <x:f>IF(E4=0,"",E4*K4)</x:f>
        <x:v>933460.4309550372</x:v>
      </x:c>
      <x:c r="M4" s="60" t="n">
        <x:f>I4-L4</x:f>
        <x:v>3.974836734123528</x:v>
      </x:c>
      <x:c r="N4" s="62" t="n">
        <x:f>IF(L4=0,"",I4/L4)</x:f>
        <x:v>1.0000042581737825</x:v>
      </x:c>
      <x:c r="O4" s="66" t="n">
        <x:f>IF(L4=0,"",M4/L4)</x:f>
        <x:v>0.00000425817378253175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6468.236210026399</x:v>
      </x:c>
      <x:c r="E5" s="60" t="n">
        <x:v>6468.236210026399</x:v>
      </x:c>
      <x:c r="F5" s="62" t="n">
        <x:v>0</x:v>
      </x:c>
      <x:c r="G5" s="66" t="n">
        <x:v>1</x:v>
      </x:c>
      <x:c r="H5" s="62" t="n">
        <x:f>IF(E5=0,"",I5/E5)</x:f>
        <x:v>27599.285566895924</x:v>
      </x:c>
      <x:c r="I5" s="60" t="n">
        <x:f>SUMIF('Species'!$G$2:$G$265,A5,'Species'!$U$2:$U$265)</x:f>
        <x:v>178518698.2746552</x:v>
      </x:c>
      <x:c r="J5" s="62" t="n">
        <x:v>4.410887575217163</x:v>
      </x:c>
      <x:c r="K5" s="62" t="n">
        <x:f>IF(J5="","",(1/'Metadata'!$B$5)^(J5-1))</x:f>
        <x:v>27394.73143634757</x:v>
      </x:c>
      <x:c r="L5" s="60" t="n">
        <x:f>IF(E5=0,"",E5*K5)</x:f>
        <x:v>177195593.84053186</x:v>
      </x:c>
      <x:c r="M5" s="60" t="n">
        <x:f>I5-L5</x:f>
        <x:v>1323104.4341233373</x:v>
      </x:c>
      <x:c r="N5" s="62" t="n">
        <x:f>IF(L5=0,"",I5/L5)</x:f>
        <x:v>1.0074669149804825</x:v>
      </x:c>
      <x:c r="O5" s="66" t="n">
        <x:f>IF(L5=0,"",M5/L5)</x:f>
        <x:v>0.007466914980482372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6006.0747995453</x:v>
      </x:c>
      <x:c r="E6" s="60" t="n">
        <x:v>6006.0747995453</x:v>
      </x:c>
      <x:c r="F6" s="62" t="n">
        <x:v>0</x:v>
      </x:c>
      <x:c r="G6" s="66" t="n">
        <x:v>1</x:v>
      </x:c>
      <x:c r="H6" s="62" t="n">
        <x:f>IF(E6=0,"",I6/E6)</x:f>
        <x:v>9132.129487358548</x:v>
      </x:c>
      <x:c r="I6" s="60" t="n">
        <x:f>SUMIF('Species'!$G$2:$G$265,A6,'Species'!$U$2:$U$265)</x:f>
        <x:v>54848252.780208714</x:v>
      </x:c>
      <x:c r="J6" s="62" t="n">
        <x:v>4.041239092272968</x:v>
      </x:c>
      <x:c r="K6" s="62" t="n">
        <x:f>IF(J6="","",(1/'Metadata'!$B$5)^(J6-1))</x:f>
        <x:v>9051.97369096821</x:v>
      </x:c>
      <x:c r="L6" s="60" t="n">
        <x:f>IF(E6=0,"",E6*K6)</x:f>
        <x:v>54366831.07147123</x:v>
      </x:c>
      <x:c r="M6" s="60" t="n">
        <x:f>I6-L6</x:f>
        <x:v>481421.7087374851</x:v>
      </x:c>
      <x:c r="N6" s="62" t="n">
        <x:f>IF(L6=0,"",I6/L6)</x:f>
        <x:v>1.0088550628986377</x:v>
      </x:c>
      <x:c r="O6" s="66" t="n">
        <x:f>IF(L6=0,"",M6/L6)</x:f>
        <x:v>0.008855062898637644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23408.2091660222</x:v>
      </x:c>
      <x:c r="E7" s="60" t="n">
        <x:v>23408.2091660222</x:v>
      </x:c>
      <x:c r="F7" s="62" t="n">
        <x:v>0</x:v>
      </x:c>
      <x:c r="G7" s="66" t="n">
        <x:v>1</x:v>
      </x:c>
      <x:c r="H7" s="62" t="n">
        <x:f>IF(E7=0,"",I7/E7)</x:f>
        <x:v>28677.149774898386</x:v>
      </x:c>
      <x:c r="I7" s="60" t="n">
        <x:f>SUMIF('Species'!$G$2:$G$265,A7,'Species'!$U$2:$U$265)</x:f>
        <x:v>671280720.2161678</x:v>
      </x:c>
      <x:c r="J7" s="62" t="n">
        <x:v>4.391522203883495</x:v>
      </x:c>
      <x:c r="K7" s="62" t="n">
        <x:f>IF(J7="","",(1/'Metadata'!$B$5)^(J7-1))</x:f>
        <x:v>25850.68872328428</x:v>
      </x:c>
      <x:c r="L7" s="60" t="n">
        <x:f>IF(E7=0,"",E7*K7)</x:f>
        <x:v>605118328.7203697</x:v>
      </x:c>
      <x:c r="M7" s="60" t="n">
        <x:f>I7-L7</x:f>
        <x:v>66162391.49579811</x:v>
      </x:c>
      <x:c r="N7" s="62" t="n">
        <x:f>IF(L7=0,"",I7/L7)</x:f>
        <x:v>1.1093379399624372</x:v>
      </x:c>
      <x:c r="O7" s="66" t="n">
        <x:f>IF(L7=0,"",M7/L7)</x:f>
        <x:v>0.10933793996243718</x:v>
      </x:c>
    </x:row>
    <x:row r="8" ht="18" customHeight="1">
      <x:c r="A8" s="46" t="str">
        <x:v>Large rays (&gt;=90 cm)</x:v>
      </x:c>
      <x:c r="B8" s="64" t="n">
        <x:v>10</x:v>
      </x:c>
      <x:c r="C8" s="64" t="n">
        <x:v>10</x:v>
      </x:c>
      <x:c r="D8" s="60" t="n">
        <x:v>9089.333247651499</x:v>
      </x:c>
      <x:c r="E8" s="60" t="n">
        <x:v>9089.333247651499</x:v>
      </x:c>
      <x:c r="F8" s="62" t="n">
        <x:v>0</x:v>
      </x:c>
      <x:c r="G8" s="66" t="n">
        <x:v>1</x:v>
      </x:c>
      <x:c r="H8" s="62" t="n">
        <x:f>IF(E8=0,"",I8/E8)</x:f>
        <x:v>3506.4188923150996</x:v>
      </x:c>
      <x:c r="I8" s="60" t="n">
        <x:f>SUMIF('Species'!$G$2:$G$265,A8,'Species'!$U$2:$U$265)</x:f>
        <x:v>31871009.818112977</x:v>
      </x:c>
      <x:c r="J8" s="62" t="n">
        <x:v>3.714920149174662</x:v>
      </x:c>
      <x:c r="K8" s="62" t="n">
        <x:f>IF(J8="","",(1/'Metadata'!$B$5)^(J8-1))</x:f>
        <x:v>3405.591474059089</x:v>
      </x:c>
      <x:c r="L8" s="60" t="n">
        <x:f>IF(E8=0,"",E8*K8)</x:f>
        <x:v>30954555.813083753</x:v>
      </x:c>
      <x:c r="M8" s="60" t="n">
        <x:f>I8-L8</x:f>
        <x:v>916454.0050292239</x:v>
      </x:c>
      <x:c r="N8" s="62" t="n">
        <x:f>IF(L8=0,"",I8/L8)</x:f>
        <x:v>1.029606433720553</x:v>
      </x:c>
      <x:c r="O8" s="66" t="n">
        <x:f>IF(L8=0,"",M8/L8)</x:f>
        <x:v>0.02960643372055304</x:v>
      </x:c>
    </x:row>
    <x:row r="9" ht="18" customHeight="1">
      <x:c r="A9" s="46" t="str">
        <x:v>Large reef assoc. fish (&gt;=90 cm)</x:v>
      </x:c>
      <x:c r="B9" s="64" t="n">
        <x:v>14</x:v>
      </x:c>
      <x:c r="C9" s="64" t="n">
        <x:v>14</x:v>
      </x:c>
      <x:c r="D9" s="60" t="n">
        <x:v>1182.8073413186003</x:v>
      </x:c>
      <x:c r="E9" s="60" t="n">
        <x:v>1182.8073413186003</x:v>
      </x:c>
      <x:c r="F9" s="62" t="n">
        <x:v>0</x:v>
      </x:c>
      <x:c r="G9" s="66" t="n">
        <x:v>1</x:v>
      </x:c>
      <x:c r="H9" s="62" t="n">
        <x:f>IF(E9=0,"",I9/E9)</x:f>
        <x:v>3279.400846740011</x:v>
      </x:c>
      <x:c r="I9" s="60" t="n">
        <x:f>SUMIF('Species'!$G$2:$G$265,A9,'Species'!$U$2:$U$265)</x:f>
        <x:v>3878899.3966505188</x:v>
      </x:c>
      <x:c r="J9" s="62" t="n">
        <x:v>3.560210243995016</x:v>
      </x:c>
      <x:c r="K9" s="62" t="n">
        <x:f>IF(J9="","",(1/'Metadata'!$B$5)^(J9-1))</x:f>
        <x:v>2142.4481618700847</x:v>
      </x:c>
      <x:c r="L9" s="60" t="n">
        <x:f>IF(E9=0,"",E9*K9)</x:f>
        <x:v>2534103.4142544772</x:v>
      </x:c>
      <x:c r="M9" s="60" t="n">
        <x:f>I9-L9</x:f>
        <x:v>1344795.9823960415</x:v>
      </x:c>
      <x:c r="N9" s="62" t="n">
        <x:f>IF(L9=0,"",I9/L9)</x:f>
        <x:v>1.5306792038681163</x:v>
      </x:c>
      <x:c r="O9" s="66" t="n">
        <x:f>IF(L9=0,"",M9/L9)</x:f>
        <x:v>0.5306792038681164</x:v>
      </x:c>
    </x:row>
    <x:row r="10" ht="18" customHeight="1">
      <x:c r="A10" s="46" t="str">
        <x:v>Large sharks (&gt;=90 cm)</x:v>
      </x:c>
      <x:c r="B10" s="64" t="n">
        <x:v>27</x:v>
      </x:c>
      <x:c r="C10" s="64" t="n">
        <x:v>27</x:v>
      </x:c>
      <x:c r="D10" s="60" t="n">
        <x:v>21692.304022246804</x:v>
      </x:c>
      <x:c r="E10" s="60" t="n">
        <x:v>21692.304022246804</x:v>
      </x:c>
      <x:c r="F10" s="62" t="n">
        <x:v>0</x:v>
      </x:c>
      <x:c r="G10" s="66" t="n">
        <x:v>1</x:v>
      </x:c>
      <x:c r="H10" s="62" t="n">
        <x:f>IF(E10=0,"",I10/E10)</x:f>
        <x:v>11238.252136251353</x:v>
      </x:c>
      <x:c r="I10" s="60" t="n">
        <x:f>SUMIF('Species'!$G$2:$G$265,A10,'Species'!$U$2:$U$265)</x:f>
        <x:v>243783582.01822895</x:v>
      </x:c>
      <x:c r="J10" s="62" t="n">
        <x:v>4.021397854759408</x:v>
      </x:c>
      <x:c r="K10" s="62" t="n">
        <x:f>IF(J10="","",(1/'Metadata'!$B$5)^(J10-1))</x:f>
        <x:v>8529.61124782934</x:v>
      </x:c>
      <x:c r="L10" s="60" t="n">
        <x:f>IF(E10=0,"",E10*K10)</x:f>
        <x:v>185026920.37948996</x:v>
      </x:c>
      <x:c r="M10" s="60" t="n">
        <x:f>I10-L10</x:f>
        <x:v>58756661.63873899</x:v>
      </x:c>
      <x:c r="N10" s="62" t="n">
        <x:f>IF(L10=0,"",I10/L10)</x:f>
        <x:v>1.3175573668860139</x:v>
      </x:c>
      <x:c r="O10" s="66" t="n">
        <x:f>IF(L10=0,"",M10/L10)</x:f>
        <x:v>0.317557366886014</x:v>
      </x:c>
    </x:row>
    <x:row r="11" ht="18" customHeight="1">
      <x:c r="A11" s="46" t="str">
        <x:v>Lobsters, crabs</x:v>
      </x:c>
      <x:c r="B11" s="64" t="n">
        <x:v>8</x:v>
      </x:c>
      <x:c r="C11" s="64" t="n">
        <x:v>8</x:v>
      </x:c>
      <x:c r="D11" s="60" t="n">
        <x:v>1015.2373884796</x:v>
      </x:c>
      <x:c r="E11" s="60" t="n">
        <x:v>1015.2373884796</x:v>
      </x:c>
      <x:c r="F11" s="62" t="n">
        <x:v>0</x:v>
      </x:c>
      <x:c r="G11" s="66" t="n">
        <x:v>1</x:v>
      </x:c>
      <x:c r="H11" s="62" t="n">
        <x:f>IF(E11=0,"",I11/E11)</x:f>
        <x:v>2395.699589635433</x:v>
      </x:c>
      <x:c r="I11" s="60" t="n">
        <x:f>SUMIF('Species'!$G$2:$G$265,A11,'Species'!$U$2:$U$265)</x:f>
        <x:v>2432203.794963126</x:v>
      </x:c>
      <x:c r="J11" s="62" t="n">
        <x:v>3.5564888179999388</x:v>
      </x:c>
      <x:c r="K11" s="62" t="n">
        <x:f>IF(J11="","",(1/'Metadata'!$B$5)^(J11-1))</x:f>
        <x:v>2118.6959469987164</x:v>
      </x:c>
      <x:c r="L11" s="60" t="n">
        <x:f>IF(E11=0,"",E11*K11)</x:f>
        <x:v>2150979.34021329</x:v>
      </x:c>
      <x:c r="M11" s="60" t="n">
        <x:f>I11-L11</x:f>
        <x:v>281224.4547498361</x:v>
      </x:c>
      <x:c r="N11" s="62" t="n">
        <x:f>IF(L11=0,"",I11/L11)</x:f>
        <x:v>1.1307425178346668</x:v>
      </x:c>
      <x:c r="O11" s="66" t="n">
        <x:f>IF(L11=0,"",M11/L11)</x:f>
        <x:v>0.13074251783466692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884.0317484727</x:v>
      </x:c>
      <x:c r="E12" s="60" t="n">
        <x:v>884.0317484727</x:v>
      </x:c>
      <x:c r="F12" s="62" t="n">
        <x:v>0</x:v>
      </x:c>
      <x:c r="G12" s="66" t="n">
        <x:v>1</x:v>
      </x:c>
      <x:c r="H12" s="62" t="n">
        <x:f>IF(E12=0,"",I12/E12)</x:f>
        <x:v>34607.08423334488</x:v>
      </x:c>
      <x:c r="I12" s="60" t="n">
        <x:f>SUMIF('Species'!$G$2:$G$265,A12,'Species'!$U$2:$U$265)</x:f>
        <x:v>30593761.184345886</x:v>
      </x:c>
      <x:c r="J12" s="62" t="n">
        <x:v>4.488501982637864</x:v>
      </x:c>
      <x:c r="K12" s="62" t="n">
        <x:f>IF(J12="","",(1/'Metadata'!$B$5)^(J12-1))</x:f>
        <x:v>34565.72889248985</x:v>
      </x:c>
      <x:c r="L12" s="60" t="n">
        <x:f>IF(E12=0,"",E12*K12)</x:f>
        <x:v>30557201.75006113</x:v>
      </x:c>
      <x:c r="M12" s="60" t="n">
        <x:f>I12-L12</x:f>
        <x:v>36559.43428475782</x:v>
      </x:c>
      <x:c r="N12" s="62" t="n">
        <x:f>IF(L12=0,"",I12/L12)</x:f>
        <x:v>1.0011964261185886</x:v>
      </x:c>
      <x:c r="O12" s="66" t="n">
        <x:f>IF(L12=0,"",M12/L12)</x:f>
        <x:v>0.0011964261185887116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3223.4317297621</x:v>
      </x:c>
      <x:c r="E13" s="60" t="n">
        <x:v>3223.4317297621</x:v>
      </x:c>
      <x:c r="F13" s="62" t="n">
        <x:v>0</x:v>
      </x:c>
      <x:c r="G13" s="66" t="n">
        <x:v>1</x:v>
      </x:c>
      <x:c r="H13" s="62" t="n">
        <x:f>IF(E13=0,"",I13/E13)</x:f>
        <x:v>12263.139691030461</x:v>
      </x:c>
      <x:c r="I13" s="60" t="n">
        <x:f>SUMIF('Species'!$G$2:$G$265,A13,'Species'!$U$2:$U$265)</x:f>
        <x:v>39529393.58657259</x:v>
      </x:c>
      <x:c r="J13" s="62" t="n">
        <x:v>4.10872282449673</x:v>
      </x:c>
      <x:c r="K13" s="62" t="n">
        <x:f>IF(J13="","",(1/'Metadata'!$B$5)^(J13-1))</x:f>
        <x:v>11080.048027222767</x:v>
      </x:c>
      <x:c r="L13" s="60" t="n">
        <x:f>IF(E13=0,"",E13*K13)</x:f>
        <x:v>35715778.37823783</x:v>
      </x:c>
      <x:c r="M13" s="60" t="n">
        <x:f>I13-L13</x:f>
        <x:v>3813615.208334759</x:v>
      </x:c>
      <x:c r="N13" s="62" t="n">
        <x:f>IF(L13=0,"",I13/L13)</x:f>
        <x:v>1.1067767631422658</x:v>
      </x:c>
      <x:c r="O13" s="66" t="n">
        <x:f>IF(L13=0,"",M13/L13)</x:f>
        <x:v>0.10677676314226581</x:v>
      </x:c>
    </x:row>
    <x:row r="14" ht="18" customHeight="1">
      <x:c r="A14" s="46" t="str">
        <x:v>Medium demersals (30 - 89 cm)</x:v>
      </x:c>
      <x:c r="B14" s="64" t="n">
        <x:v>37</x:v>
      </x:c>
      <x:c r="C14" s="64" t="n">
        <x:v>37</x:v>
      </x:c>
      <x:c r="D14" s="60" t="n">
        <x:v>152028.97673790538</x:v>
      </x:c>
      <x:c r="E14" s="60" t="n">
        <x:v>152028.97673790538</x:v>
      </x:c>
      <x:c r="F14" s="62" t="n">
        <x:v>0</x:v>
      </x:c>
      <x:c r="G14" s="66" t="n">
        <x:v>1</x:v>
      </x:c>
      <x:c r="H14" s="62" t="n">
        <x:f>IF(E14=0,"",I14/E14)</x:f>
        <x:v>3664.630291214905</x:v>
      </x:c>
      <x:c r="I14" s="60" t="n">
        <x:f>SUMIF('Species'!$G$2:$G$265,A14,'Species'!$U$2:$U$265)</x:f>
        <x:v>557129993.2961342</x:v>
      </x:c>
      <x:c r="J14" s="62" t="n">
        <x:v>3.5893890072029437</x:v>
      </x:c>
      <x:c r="K14" s="62" t="n">
        <x:f>IF(J14="","",(1/'Metadata'!$B$5)^(J14-1))</x:f>
        <x:v>2338.152151777717</x:v>
      </x:c>
      <x:c r="L14" s="60" t="n">
        <x:f>IF(E14=0,"",E14*K14)</x:f>
        <x:v>355466879.0922979</x:v>
      </x:c>
      <x:c r="M14" s="60" t="n">
        <x:f>I14-L14</x:f>
        <x:v>201663114.20383632</x:v>
      </x:c>
      <x:c r="N14" s="62" t="n">
        <x:f>IF(L14=0,"",I14/L14)</x:f>
        <x:v>1.5673189995050818</x:v>
      </x:c>
      <x:c r="O14" s="66" t="n">
        <x:f>IF(L14=0,"",M14/L14)</x:f>
        <x:v>0.5673189995050818</x:v>
      </x:c>
    </x:row>
    <x:row r="15" ht="18" customHeight="1">
      <x:c r="A15" s="46" t="str">
        <x:v>Medium pelagics (30 - 89 cm)</x:v>
      </x:c>
      <x:c r="B15" s="64" t="n">
        <x:v>15</x:v>
      </x:c>
      <x:c r="C15" s="64" t="n">
        <x:v>15</x:v>
      </x:c>
      <x:c r="D15" s="60" t="n">
        <x:v>4261.2009268325</x:v>
      </x:c>
      <x:c r="E15" s="60" t="n">
        <x:v>4261.2009268325</x:v>
      </x:c>
      <x:c r="F15" s="62" t="n">
        <x:v>0</x:v>
      </x:c>
      <x:c r="G15" s="66" t="n">
        <x:v>1</x:v>
      </x:c>
      <x:c r="H15" s="62" t="n">
        <x:f>IF(E15=0,"",I15/E15)</x:f>
        <x:v>10586.911811503294</x:v>
      </x:c>
      <x:c r="I15" s="60" t="n">
        <x:f>SUMIF('Species'!$G$2:$G$265,A15,'Species'!$U$2:$U$265)</x:f>
        <x:v>45112958.42347178</x:v>
      </x:c>
      <x:c r="J15" s="62" t="n">
        <x:v>3.9251654245522567</x:v>
      </x:c>
      <x:c r="K15" s="62" t="n">
        <x:f>IF(J15="","",(1/'Metadata'!$B$5)^(J15-1))</x:f>
        <x:v>6393.342335447978</x:v>
      </x:c>
      <x:c r="L15" s="60" t="n">
        <x:f>IF(E15=0,"",E15*K15)</x:f>
        <x:v>27243316.285368387</x:v>
      </x:c>
      <x:c r="M15" s="60" t="n">
        <x:f>I15-L15</x:f>
        <x:v>17869642.138103392</x:v>
      </x:c>
      <x:c r="N15" s="62" t="n">
        <x:f>IF(L15=0,"",I15/L15)</x:f>
        <x:v>1.655927565899922</x:v>
      </x:c>
      <x:c r="O15" s="66" t="n">
        <x:f>IF(L15=0,"",M15/L15)</x:f>
        <x:v>0.6559275658999221</x:v>
      </x:c>
    </x:row>
    <x:row r="16" ht="18" customHeight="1">
      <x:c r="A16" s="46" t="str">
        <x:v>Medium reef assoc. fish (30 - 89 cm)</x:v>
      </x:c>
      <x:c r="B16" s="64" t="n">
        <x:v>29</x:v>
      </x:c>
      <x:c r="C16" s="64" t="n">
        <x:v>29</x:v>
      </x:c>
      <x:c r="D16" s="60" t="n">
        <x:v>1547.1141481054</x:v>
      </x:c>
      <x:c r="E16" s="60" t="n">
        <x:v>1547.1141481054</x:v>
      </x:c>
      <x:c r="F16" s="62" t="n">
        <x:v>0</x:v>
      </x:c>
      <x:c r="G16" s="66" t="n">
        <x:v>1</x:v>
      </x:c>
      <x:c r="H16" s="62" t="n">
        <x:f>IF(E16=0,"",I16/E16)</x:f>
        <x:v>6161.179052704184</x:v>
      </x:c>
      <x:c r="I16" s="60" t="n">
        <x:f>SUMIF('Species'!$G$2:$G$265,A16,'Species'!$U$2:$U$265)</x:f>
        <x:v>9532047.28144927</x:v>
      </x:c>
      <x:c r="J16" s="62" t="n">
        <x:v>3.7742523048833774</x:v>
      </x:c>
      <x:c r="K16" s="62" t="n">
        <x:f>IF(J16="","",(1/'Metadata'!$B$5)^(J16-1))</x:f>
        <x:v>4068.042338142787</x:v>
      </x:c>
      <x:c r="L16" s="60" t="n">
        <x:f>IF(E16=0,"",E16*K16)</x:f>
        <x:v>6293725.856432478</x:v>
      </x:c>
      <x:c r="M16" s="60" t="n">
        <x:f>I16-L16</x:f>
        <x:v>3238321.4250167916</x:v>
      </x:c>
      <x:c r="N16" s="62" t="n">
        <x:f>IF(L16=0,"",I16/L16)</x:f>
        <x:v>1.5145316937672266</x:v>
      </x:c>
      <x:c r="O16" s="66" t="n">
        <x:f>IF(L16=0,"",M16/L16)</x:f>
        <x:v>0.5145316937672266</x:v>
      </x:c>
    </x:row>
    <x:row r="17" ht="18" customHeight="1">
      <x:c r="A17" s="46" t="str">
        <x:v>Other demersal invertebrates</x:v>
      </x:c>
      <x:c r="B17" s="64" t="n">
        <x:v>7</x:v>
      </x:c>
      <x:c r="C17" s="64" t="n">
        <x:v>7</x:v>
      </x:c>
      <x:c r="D17" s="60" t="n">
        <x:v>3973.2032768271997</x:v>
      </x:c>
      <x:c r="E17" s="60" t="n">
        <x:v>3973.2032768271997</x:v>
      </x:c>
      <x:c r="F17" s="62" t="n">
        <x:v>0</x:v>
      </x:c>
      <x:c r="G17" s="66" t="n">
        <x:v>1</x:v>
      </x:c>
      <x:c r="H17" s="62" t="n">
        <x:f>IF(E17=0,"",I17/E17)</x:f>
        <x:v>26.768124634387718</x:v>
      </x:c>
      <x:c r="I17" s="60" t="n">
        <x:f>SUMIF('Species'!$G$2:$G$265,A17,'Species'!$U$2:$U$265)</x:f>
        <x:v>106355.20051186817</x:v>
      </x:c>
      <x:c r="J17" s="62" t="n">
        <x:v>2.0784048706608114</x:v>
      </x:c>
      <x:c r="K17" s="62" t="n">
        <x:f>IF(J17="","",(1/'Metadata'!$B$5)^(J17-1))</x:f>
        <x:v>25.295139812238645</x:v>
      </x:c>
      <x:c r="L17" s="60" t="n">
        <x:f>IF(E17=0,"",E17*K17)</x:f>
        <x:v>100502.73238978874</x:v>
      </x:c>
      <x:c r="M17" s="60" t="n">
        <x:f>I17-L17</x:f>
        <x:v>5852.46812207943</x:v>
      </x:c>
      <x:c r="N17" s="62" t="n">
        <x:f>IF(L17=0,"",I17/L17)</x:f>
        <x:v>1.0582319304452468</x:v>
      </x:c>
      <x:c r="O17" s="66" t="n">
        <x:f>IF(L17=0,"",M17/L17)</x:f>
        <x:v>0.05823193044524679</x:v>
      </x:c>
    </x:row>
    <x:row r="18" ht="18" customHeight="1">
      <x:c r="A18" s="46" t="str">
        <x:v>Shrimps</x:v>
      </x:c>
      <x:c r="B18" s="64" t="n">
        <x:v>8</x:v>
      </x:c>
      <x:c r="C18" s="64" t="n">
        <x:v>8</x:v>
      </x:c>
      <x:c r="D18" s="60" t="n">
        <x:v>10854.241242929</x:v>
      </x:c>
      <x:c r="E18" s="60" t="n">
        <x:v>10854.241242929</x:v>
      </x:c>
      <x:c r="F18" s="62" t="n">
        <x:v>0</x:v>
      </x:c>
      <x:c r="G18" s="66" t="n">
        <x:v>1</x:v>
      </x:c>
      <x:c r="H18" s="62" t="n">
        <x:f>IF(E18=0,"",I18/E18)</x:f>
        <x:v>217.03077426143844</x:v>
      </x:c>
      <x:c r="I18" s="60" t="n">
        <x:f>SUMIF('Species'!$G$2:$G$265,A18,'Species'!$U$2:$U$265)</x:f>
        <x:v>2355704.3809733186</x:v>
      </x:c>
      <x:c r="J18" s="62" t="n">
        <x:v>2.725137929570111</x:v>
      </x:c>
      <x:c r="K18" s="62" t="n">
        <x:f>IF(J18="","",(1/'Metadata'!$B$5)^(J18-1))</x:f>
        <x:v>175.57237866729756</x:v>
      </x:c>
      <x:c r="L18" s="60" t="n">
        <x:f>IF(E18=0,"",E18*K18)</x:f>
        <x:v>1905704.9536497288</x:v>
      </x:c>
      <x:c r="M18" s="60" t="n">
        <x:f>I18-L18</x:f>
        <x:v>449999.4273235898</x:v>
      </x:c>
      <x:c r="N18" s="62" t="n">
        <x:f>IF(L18=0,"",I18/L18)</x:f>
        <x:v>1.2361327898433434</x:v>
      </x:c>
      <x:c r="O18" s="66" t="n">
        <x:f>IF(L18=0,"",M18/L18)</x:f>
        <x:v>0.23613278984334335</x:v>
      </x:c>
    </x:row>
    <x:row r="19" ht="18" customHeight="1">
      <x:c r="A19" s="46" t="str">
        <x:v>Small benthopelagics (&lt;30 cm)</x:v>
      </x:c>
      <x:c r="B19" s="64" t="n">
        <x:v>3</x:v>
      </x:c>
      <x:c r="C19" s="64" t="n">
        <x:v>3</x:v>
      </x:c>
      <x:c r="D19" s="60" t="n">
        <x:v>608.0292341077</x:v>
      </x:c>
      <x:c r="E19" s="60" t="n">
        <x:v>608.0292341077</x:v>
      </x:c>
      <x:c r="F19" s="62" t="n">
        <x:v>0</x:v>
      </x:c>
      <x:c r="G19" s="66" t="n">
        <x:v>1</x:v>
      </x:c>
      <x:c r="H19" s="62" t="n">
        <x:f>IF(E19=0,"",I19/E19)</x:f>
        <x:v>3990.2187418050603</x:v>
      </x:c>
      <x:c r="I19" s="60" t="n">
        <x:f>SUMIF('Species'!$G$2:$G$265,A19,'Species'!$U$2:$U$265)</x:f>
        <x:v>2426169.645501921</x:v>
      </x:c>
      <x:c r="J19" s="62" t="n">
        <x:v>3.179649620130363</x:v>
      </x:c>
      <x:c r="K19" s="62" t="n">
        <x:f>IF(J19="","",(1/'Metadata'!$B$5)^(J19-1))</x:f>
        <x:v>685.1561113405368</x:v>
      </x:c>
      <x:c r="L19" s="60" t="n">
        <x:f>IF(E19=0,"",E19*K19)</x:f>
        <x:v>416594.94562259654</x:v>
      </x:c>
      <x:c r="M19" s="60" t="n">
        <x:f>I19-L19</x:f>
        <x:v>2009574.6998793245</x:v>
      </x:c>
      <x:c r="N19" s="62" t="n">
        <x:f>IF(L19=0,"",I19/L19)</x:f>
        <x:v>5.823809604497331</x:v>
      </x:c>
      <x:c r="O19" s="66" t="n">
        <x:f>IF(L19=0,"",M19/L19)</x:f>
        <x:v>4.823809604497331</x:v>
      </x:c>
    </x:row>
    <x:row r="20" ht="18" customHeight="1">
      <x:c r="A20" s="46" t="str">
        <x:v>Small demersals (&lt;30 cm)</x:v>
      </x:c>
      <x:c r="B20" s="64" t="n">
        <x:v>9</x:v>
      </x:c>
      <x:c r="C20" s="64" t="n">
        <x:v>9</x:v>
      </x:c>
      <x:c r="D20" s="60" t="n">
        <x:v>4492.856275167201</x:v>
      </x:c>
      <x:c r="E20" s="60" t="n">
        <x:v>4492.856275167201</x:v>
      </x:c>
      <x:c r="F20" s="62" t="n">
        <x:v>0</x:v>
      </x:c>
      <x:c r="G20" s="66" t="n">
        <x:v>1</x:v>
      </x:c>
      <x:c r="H20" s="62" t="n">
        <x:f>IF(E20=0,"",I20/E20)</x:f>
        <x:v>1953.2897256769998</x:v>
      </x:c>
      <x:c r="I20" s="60" t="n">
        <x:f>SUMIF('Species'!$G$2:$G$265,A20,'Species'!$U$2:$U$265)</x:f>
        <x:v>8775850.001227528</x:v>
      </x:c>
      <x:c r="J20" s="62" t="n">
        <x:v>3.504429365530371</x:v>
      </x:c>
      <x:c r="K20" s="62" t="n">
        <x:f>IF(J20="","",(1/'Metadata'!$B$5)^(J20-1))</x:f>
        <x:v>1812.7492185308492</x:v>
      </x:c>
      <x:c r="L20" s="60" t="n">
        <x:f>IF(E20=0,"",E20*K20)</x:f>
        <x:v>8144421.701780765</x:v>
      </x:c>
      <x:c r="M20" s="60" t="n">
        <x:f>I20-L20</x:f>
        <x:v>631428.2994467625</x:v>
      </x:c>
      <x:c r="N20" s="62" t="n">
        <x:f>IF(L20=0,"",I20/L20)</x:f>
        <x:v>1.0775289299311088</x:v>
      </x:c>
      <x:c r="O20" s="66" t="n">
        <x:f>IF(L20=0,"",M20/L20)</x:f>
        <x:v>0.07752892993110876</x:v>
      </x:c>
    </x:row>
    <x:row r="21" ht="18" customHeight="1">
      <x:c r="A21" s="46" t="str">
        <x:v>Small pelagics (&lt;30 cm)</x:v>
      </x:c>
      <x:c r="B21" s="64" t="n">
        <x:v>15</x:v>
      </x:c>
      <x:c r="C21" s="64" t="n">
        <x:v>15</x:v>
      </x:c>
      <x:c r="D21" s="60" t="n">
        <x:v>28576.717517410503</x:v>
      </x:c>
      <x:c r="E21" s="60" t="n">
        <x:v>28576.717517410503</x:v>
      </x:c>
      <x:c r="F21" s="62" t="n">
        <x:v>0</x:v>
      </x:c>
      <x:c r="G21" s="66" t="n">
        <x:v>1</x:v>
      </x:c>
      <x:c r="H21" s="62" t="n">
        <x:f>IF(E21=0,"",I21/E21)</x:f>
        <x:v>2098.163493042668</x:v>
      </x:c>
      <x:c r="I21" s="60" t="n">
        <x:f>SUMIF('Species'!$G$2:$G$265,A21,'Species'!$U$2:$U$265)</x:f>
        <x:v>59958625.44602363</x:v>
      </x:c>
      <x:c r="J21" s="62" t="n">
        <x:v>3.1828240086216777</x:v>
      </x:c>
      <x:c r="K21" s="62" t="n">
        <x:f>IF(J21="","",(1/'Metadata'!$B$5)^(J21-1))</x:f>
        <x:v>691.7027630080273</x:v>
      </x:c>
      <x:c r="L21" s="60" t="n">
        <x:f>IF(E21=0,"",E21*K21)</x:f>
        <x:v>19766594.46449274</x:v>
      </x:c>
      <x:c r="M21" s="60" t="n">
        <x:f>I21-L21</x:f>
        <x:v>40192030.98153089</x:v>
      </x:c>
      <x:c r="N21" s="62" t="n">
        <x:f>IF(L21=0,"",I21/L21)</x:f>
        <x:v>3.033331085621699</x:v>
      </x:c>
      <x:c r="O21" s="66" t="n">
        <x:f>IF(L21=0,"",M21/L21)</x:f>
        <x:v>2.033331085621699</x:v>
      </x:c>
    </x:row>
    <x:row r="22" ht="18" customHeight="1">
      <x:c r="A22" s="46" t="str">
        <x:v>Small reef assoc. fish (&lt;30 cm)</x:v>
      </x:c>
      <x:c r="B22" s="64" t="n">
        <x:v>5</x:v>
      </x:c>
      <x:c r="C22" s="64" t="n">
        <x:v>5</x:v>
      </x:c>
      <x:c r="D22" s="60" t="n">
        <x:v>52.254157327799994</x:v>
      </x:c>
      <x:c r="E22" s="60" t="n">
        <x:v>52.254157327799994</x:v>
      </x:c>
      <x:c r="F22" s="62" t="n">
        <x:v>0</x:v>
      </x:c>
      <x:c r="G22" s="66" t="n">
        <x:v>1</x:v>
      </x:c>
      <x:c r="H22" s="62" t="n">
        <x:f>IF(E22=0,"",I22/E22)</x:f>
        <x:v>9851.12318343056</x:v>
      </x:c>
      <x:c r="I22" s="60" t="n">
        <x:f>SUMIF('Species'!$G$2:$G$265,A22,'Species'!$U$2:$U$265)</x:f>
        <x:v>514762.1406825184</x:v>
      </x:c>
      <x:c r="J22" s="62" t="n">
        <x:v>3.5682788921369872</x:v>
      </x:c>
      <x:c r="K22" s="62" t="n">
        <x:f>IF(J22="","",(1/'Metadata'!$B$5)^(J22-1))</x:f>
        <x:v>2194.865317072985</x:v>
      </x:c>
      <x:c r="L22" s="60" t="n">
        <x:f>IF(E22=0,"",E22*K22)</x:f>
        <x:v>114690.83759166337</x:v>
      </x:c>
      <x:c r="M22" s="60" t="n">
        <x:f>I22-L22</x:f>
        <x:v>400071.3030908551</x:v>
      </x:c>
      <x:c r="N22" s="62" t="n">
        <x:f>IF(L22=0,"",I22/L22)</x:f>
        <x:v>4.488258621976751</x:v>
      </x:c>
      <x:c r="O22" s="66" t="n">
        <x:f>IF(L22=0,"",M22/L22)</x:f>
        <x:v>3.4882586219767515</x:v>
      </x:c>
    </x:row>
    <x:row r="23" ht="18" customHeight="1">
      <x:c r="A23" s="46" t="str">
        <x:v>Small to medium flatfishes (&lt;90 cm)</x:v>
      </x:c>
      <x:c r="B23" s="64" t="n">
        <x:v>2</x:v>
      </x:c>
      <x:c r="C23" s="64" t="n">
        <x:v>2</x:v>
      </x:c>
      <x:c r="D23" s="60" t="n">
        <x:v>999.6871411252</x:v>
      </x:c>
      <x:c r="E23" s="60" t="n">
        <x:v>999.6871411252</x:v>
      </x:c>
      <x:c r="F23" s="62" t="n">
        <x:v>0</x:v>
      </x:c>
      <x:c r="G23" s="66" t="n">
        <x:v>1</x:v>
      </x:c>
      <x:c r="H23" s="62" t="n">
        <x:f>IF(E23=0,"",I23/E23)</x:f>
        <x:v>1304.7484820514426</x:v>
      </x:c>
      <x:c r="I23" s="60" t="n">
        <x:f>SUMIF('Species'!$G$2:$G$265,A23,'Species'!$U$2:$U$265)</x:f>
        <x:v>1304340.279909451</x:v>
      </x:c>
      <x:c r="J23" s="62" t="n">
        <x:v>3.368495957037971</x:v>
      </x:c>
      <x:c r="K23" s="62" t="n">
        <x:f>IF(J23="","",(1/'Metadata'!$B$5)^(J23-1))</x:f>
        <x:v>1206.380433589773</x:v>
      </x:c>
      <x:c r="L23" s="60" t="n">
        <x:f>IF(E23=0,"",E23*K23)</x:f>
        <x:v>1206003.0067647395</x:v>
      </x:c>
      <x:c r="M23" s="60" t="n">
        <x:f>I23-L23</x:f>
        <x:v>98337.27314471151</x:v>
      </x:c>
      <x:c r="N23" s="62" t="n">
        <x:f>IF(L23=0,"",I23/L23)</x:f>
        <x:v>1.0815398241904173</x:v>
      </x:c>
      <x:c r="O23" s="66" t="n">
        <x:f>IF(L23=0,"",M23/L23)</x:f>
        <x:v>0.0815398241904173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62.5574697396</x:v>
      </x:c>
      <x:c r="E24" s="60" t="n">
        <x:v>62.5574697396</x:v>
      </x:c>
      <x:c r="F24" s="62" t="n">
        <x:v>0</x:v>
      </x:c>
      <x:c r="G24" s="66" t="n">
        <x:v>1</x:v>
      </x:c>
      <x:c r="H24" s="62" t="n">
        <x:f>IF(E24=0,"",I24/E24)</x:f>
        <x:v>1811.09919854066</x:v>
      </x:c>
      <x:c r="I24" s="60" t="n">
        <x:f>SUMIF('Species'!$G$2:$G$265,A24,'Species'!$U$2:$U$265)</x:f>
        <x:v>113297.78330812114</x:v>
      </x:c>
      <x:c r="J24" s="62" t="n">
        <x:v>3.5036843723176054</x:v>
      </x:c>
      <x:c r="K24" s="62" t="n">
        <x:f>IF(J24="","",(1/'Metadata'!$B$5)^(J24-1))</x:f>
        <x:v>1808.7080356761116</x:v>
      </x:c>
      <x:c r="L24" s="60" t="n">
        <x:f>IF(E24=0,"",E24*K24)</x:f>
        <x:v>113148.19820957971</x:v>
      </x:c>
      <x:c r="M24" s="60" t="n">
        <x:f>I24-L24</x:f>
        <x:v>149.58509854142903</x:v>
      </x:c>
      <x:c r="N24" s="62" t="n">
        <x:f>IF(L24=0,"",I24/L24)</x:f>
        <x:v>1.0013220281092268</x:v>
      </x:c>
      <x:c r="O24" s="66" t="n">
        <x:f>IF(L24=0,"",M24/L24)</x:f>
        <x:v>0.0013220281092267926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10225.6885757543</x:v>
      </x:c>
      <x:c r="E25" s="60" t="n">
        <x:v>10225.6885757543</x:v>
      </x:c>
      <x:c r="F25" s="62" t="n">
        <x:v>0</x:v>
      </x:c>
      <x:c r="G25" s="66" t="n">
        <x:v>1</x:v>
      </x:c>
      <x:c r="H25" s="62" t="n">
        <x:f>IF(E25=0,"",I25/E25)</x:f>
        <x:v>2342.4357563948306</x:v>
      </x:c>
      <x:c r="I25" s="60" t="n">
        <x:f>SUMIF('Species'!$G$2:$G$265,A25,'Species'!$U$2:$U$265)</x:f>
        <x:v>23953018.553605</x:v>
      </x:c>
      <x:c r="J25" s="62" t="n">
        <x:v>3.5899999999999994</x:v>
      </x:c>
      <x:c r="K25" s="62" t="n">
        <x:f>IF(J25="","",(1/'Metadata'!$B$5)^(J25-1))</x:f>
        <x:v>2342.4357563948274</x:v>
      </x:c>
      <x:c r="L25" s="60" t="n">
        <x:f>IF(E25=0,"",E25*K25)</x:f>
        <x:v>23953018.55360497</x:v>
      </x:c>
      <x:c r="M25" s="60" t="n">
        <x:f>I25-L25</x:f>
        <x:v>2.9802322387695312e-8</x:v>
      </x:c>
      <x:c r="N25" s="62" t="n">
        <x:f>IF(L25=0,"",I25/L25)</x:f>
        <x:v>1.0000000000000013</x:v>
      </x:c>
      <x:c r="O25" s="66" t="n">
        <x:f>IF(L25=0,"",M25/L25)</x:f>
        <x:v>1.2441990274002444e-15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837655ec8b4d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LME_015</x:v>
      </x:c>
      <x:c r="B2" s="46" t="str">
        <x:v>raw_filtered_tonnes</x:v>
      </x:c>
      <x:c r="C2" s="46" t="n">
        <x:v>292432.0999772061</x:v>
      </x:c>
      <x:c r="D2" s="46" t="str">
        <x:v>tonnes</x:v>
      </x:c>
    </x:row>
    <x:row r="3" ht="18" customHeight="1">
      <x:c r="A3" s="46" t="str">
        <x:v>LME_015</x:v>
      </x:c>
      <x:c r="B3" s="46" t="str">
        <x:v>species_catch_tonnes</x:v>
      </x:c>
      <x:c r="C3" s="46" t="n">
        <x:v>292432.0999772061</x:v>
      </x:c>
      <x:c r="D3" s="46" t="str">
        <x:v>tonnes</x:v>
      </x:c>
    </x:row>
    <x:row r="4" ht="18" customHeight="1">
      <x:c r="A4" s="46" t="str">
        <x:v>LME_015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LME_015</x:v>
      </x:c>
      <x:c r="B6" s="46" t="str">
        <x:v>matched_catch_tonnes</x:v>
      </x:c>
      <x:c r="C6" s="46" t="n">
        <x:v>292432.0999772061</x:v>
      </x:c>
      <x:c r="D6" s="46" t="str">
        <x:v>tonnes</x:v>
      </x:c>
    </x:row>
    <x:row r="7" ht="18" customHeight="1">
      <x:c r="A7" s="46" t="str">
        <x:v>LME_015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LME_015</x:v>
      </x:c>
      <x:c r="B8" s="46" t="str">
        <x:v>taxa_count</x:v>
      </x:c>
      <x:c r="C8" s="46" t="n">
        <x:v>264</x:v>
      </x:c>
      <x:c r="D8" s="46" t="str">
        <x:v>count</x:v>
      </x:c>
    </x:row>
    <x:row r="9" ht="18" customHeight="1">
      <x:c r="A9" s="46" t="str">
        <x:v>LME_015</x:v>
      </x:c>
      <x:c r="B9" s="46" t="str">
        <x:v>matched_taxa_count</x:v>
      </x:c>
      <x:c r="C9" s="46" t="n">
        <x:v>264</x:v>
      </x:c>
      <x:c r="D9" s="46" t="str">
        <x:v>count</x:v>
      </x:c>
    </x:row>
    <x:row r="10" ht="18" customHeight="1">
      <x:c r="A10" s="46" t="str">
        <x:v>LME_015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LME_015</x:v>
      </x:c>
      <x:c r="B11" s="46" t="str">
        <x:v>species_ppr</x:v>
      </x:c>
      <x:c r="C11" s="46" t="n">
        <x:v>1982704269.602188</x:v>
      </x:c>
      <x:c r="D11" s="46" t="str">
        <x:v>tonnes_primary_production_equivalent</x:v>
      </x:c>
    </x:row>
    <x:row r="12" ht="18" customHeight="1">
      <x:c r="A12" s="46" t="str">
        <x:v>LME_015</x:v>
      </x:c>
      <x:c r="B12" s="46" t="str">
        <x:v>commercial_ppr</x:v>
      </x:c>
      <x:c r="C12" s="46" t="n">
        <x:v>1982704269.602188</x:v>
      </x:c>
      <x:c r="D12" s="46" t="str">
        <x:v>tonnes_primary_production_equivalent</x:v>
      </x:c>
    </x:row>
    <x:row r="13" ht="18" customHeight="1">
      <x:c r="A13" s="46" t="str">
        <x:v>LME_015</x:v>
      </x:c>
      <x:c r="B13" s="46" t="str">
        <x:v>functional_ppr</x:v>
      </x:c>
      <x:c r="C13" s="46" t="n">
        <x:v>1982704269.602188</x:v>
      </x:c>
      <x:c r="D13" s="46" t="str">
        <x:v>tonnes_primary_production_equivalent</x:v>
      </x:c>
    </x:row>
    <x:row r="14" ht="18" customHeight="1">
      <x:c r="A14" s="46" t="str">
        <x:v>LME_015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825a69300a546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LME_015 - South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