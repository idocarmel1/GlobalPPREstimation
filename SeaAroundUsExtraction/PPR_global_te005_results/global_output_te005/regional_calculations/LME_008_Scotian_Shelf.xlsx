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c9e1f087bc1453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pecies" sheetId="1" r:id="Ra00a245c8f5d4cea"/>
    <x:sheet xmlns:r="http://schemas.openxmlformats.org/officeDocument/2006/relationships" name="Commercial" sheetId="2" r:id="Rcea5346e114849a8"/>
    <x:sheet xmlns:r="http://schemas.openxmlformats.org/officeDocument/2006/relationships" name="Functional" sheetId="3" r:id="R4ac2b9f965544d36"/>
    <x:sheet xmlns:r="http://schemas.openxmlformats.org/officeDocument/2006/relationships" name="Missing TL" sheetId="4" r:id="Re22a71c40e3a4631"/>
    <x:sheet xmlns:r="http://schemas.openxmlformats.org/officeDocument/2006/relationships" name="Validation" sheetId="5" r:id="R361f15d997eb4fcc"/>
    <x:sheet xmlns:r="http://schemas.openxmlformats.org/officeDocument/2006/relationships" name="Metadata" sheetId="6" r:id="R3ed071fc8d2f4c3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6">
    <x:numFmt numFmtId="200" formatCode="0"/>
    <x:numFmt numFmtId="201" formatCode="#,##0.00"/>
    <x:numFmt numFmtId="202" formatCode="0.0000"/>
    <x:numFmt numFmtId="203" formatCode="#,##0"/>
    <x:numFmt numFmtId="204" formatCode="0.00%"/>
    <x:numFmt numFmtId="205" formatCode="0.00"/>
  </x:numFmts>
  <x:fonts count="7">
    <x:font>
      <x:sz val="11"/>
      <x:name val="Carlito"/>
    </x:font>
    <x:font>
      <x:b/>
      <x:sz val="16"/>
      <x:color rgb="FFFFFFFF"/>
      <x:name val="Aptos Display"/>
    </x:font>
    <x:font>
      <x:sz val="10"/>
      <x:name val="Aptos"/>
    </x:font>
    <x:font>
      <x:b/>
      <x:sz val="10"/>
      <x:color rgb="FFFFFFFF"/>
      <x:name val="Aptos"/>
    </x:font>
    <x:font>
      <x:b/>
      <x:sz val="10"/>
      <x:color rgb="FF17324D"/>
      <x:name val="Aptos"/>
    </x:font>
    <x:font>
      <x:sz val="9"/>
      <x:color rgb="FF1D2939"/>
      <x:name val="Aptos"/>
    </x:font>
    <x:font>
      <x:b/>
      <x:sz val="10"/>
      <x:color rgb="FFFFFFFF"/>
      <x:name val="Aptos Display"/>
    </x:font>
  </x:fonts>
  <x:fills count="4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147D92"/>
      </x:patternFill>
    </x:fill>
  </x:fills>
  <x:borders count="22">
    <x:border/>
    <x:border/>
    <x:border>
      <x:right style="thin">
        <x:color rgb="FFD0D5DD"/>
      </x:right>
      <x:bottom style="thin">
        <x:color rgb="FFD0D5DD"/>
      </x:bottom>
    </x:border>
    <x:border>
      <x:left style="thin">
        <x:color rgb="FFD0D5DD"/>
      </x:left>
      <x:right style="thin">
        <x:color rgb="FFD0D5DD"/>
      </x:right>
      <x:bottom style="thin">
        <x:color rgb="FFD0D5DD"/>
      </x:bottom>
    </x:border>
    <x:border>
      <x:left style="thin">
        <x:color rgb="FFD0D5DD"/>
      </x:left>
      <x:bottom style="thin">
        <x:color rgb="FFD0D5DD"/>
      </x:bottom>
    </x:border>
    <x:border>
      <x:right style="thin">
        <x:color rgb="FFD0D5DD"/>
      </x:right>
      <x:top style="thin">
        <x:color rgb="FFD0D5DD"/>
      </x:top>
      <x:bottom style="thin">
        <x:color rgb="FFD0D5DD"/>
      </x:bottom>
    </x:border>
    <x:border>
      <x:left style="thin">
        <x:color rgb="FFD0D5DD"/>
      </x:left>
      <x:right style="thin">
        <x:color rgb="FFD0D5DD"/>
      </x:right>
      <x:top style="thin">
        <x:color rgb="FFD0D5DD"/>
      </x:top>
      <x:bottom style="thin">
        <x:color rgb="FFD0D5DD"/>
      </x:bottom>
    </x:border>
    <x:border>
      <x:left style="thin">
        <x:color rgb="FFD0D5DD"/>
      </x:left>
      <x:top style="thin">
        <x:color rgb="FFD0D5DD"/>
      </x:top>
      <x:bottom style="thin">
        <x:color rgb="FFD0D5DD"/>
      </x:bottom>
    </x:border>
    <x:border>
      <x:right style="thin">
        <x:color rgb="FFD0D5DD"/>
      </x:right>
      <x:top style="thin">
        <x:color rgb="FFD0D5DD"/>
      </x:top>
    </x:border>
    <x:border>
      <x:left style="thin">
        <x:color rgb="FFD0D5DD"/>
      </x:left>
      <x:right style="thin">
        <x:color rgb="FFD0D5DD"/>
      </x:right>
      <x:top style="thin">
        <x:color rgb="FFD0D5DD"/>
      </x:top>
    </x:border>
    <x:border>
      <x:left style="thin">
        <x:color rgb="FFD0D5DD"/>
      </x:left>
      <x:top style="thin">
        <x:color rgb="FFD0D5DD"/>
      </x:top>
    </x:border>
    <x:border>
      <x:right style="thin">
        <x:color rgb="FFD0D5DD"/>
      </x:right>
      <x:bottom style="thin">
        <x:color rgb="FFD0D5DD"/>
      </x:bottom>
    </x:border>
    <x:border>
      <x:left style="thin">
        <x:color rgb="FFD0D5DD"/>
      </x:left>
      <x:right style="thin">
        <x:color rgb="FFD0D5DD"/>
      </x:right>
      <x:bottom style="thin">
        <x:color rgb="FFD0D5DD"/>
      </x:bottom>
    </x:border>
    <x:border>
      <x:left style="thin">
        <x:color rgb="FFD0D5DD"/>
      </x:left>
      <x:bottom style="thin">
        <x:color rgb="FFD0D5DD"/>
      </x:bottom>
    </x:border>
    <x:border>
      <x:right style="thin">
        <x:color rgb="FFD0D5DD"/>
      </x:right>
      <x:top style="thin">
        <x:color rgb="FFD0D5DD"/>
      </x:top>
      <x:bottom style="thin">
        <x:color rgb="FFD0D5DD"/>
      </x:bottom>
    </x:border>
    <x:border>
      <x:left style="thin">
        <x:color rgb="FFD0D5DD"/>
      </x:left>
      <x:right style="thin">
        <x:color rgb="FFD0D5DD"/>
      </x:right>
      <x:top style="thin">
        <x:color rgb="FFD0D5DD"/>
      </x:top>
      <x:bottom style="thin">
        <x:color rgb="FFD0D5DD"/>
      </x:bottom>
    </x:border>
    <x:border>
      <x:left style="thin">
        <x:color rgb="FFD0D5DD"/>
      </x:left>
      <x:top style="thin">
        <x:color rgb="FFD0D5DD"/>
      </x:top>
      <x:bottom style="thin">
        <x:color rgb="FFD0D5DD"/>
      </x:bottom>
    </x:border>
    <x:border>
      <x:right style="thin">
        <x:color rgb="FFD0D5DD"/>
      </x:right>
      <x:top style="thin">
        <x:color rgb="FFD0D5DD"/>
      </x:top>
    </x:border>
    <x:border>
      <x:left style="thin">
        <x:color rgb="FFD0D5DD"/>
      </x:left>
      <x:right style="thin">
        <x:color rgb="FFD0D5DD"/>
      </x:right>
      <x:top style="thin">
        <x:color rgb="FFD0D5DD"/>
      </x:top>
    </x:border>
    <x:border>
      <x:left style="thin">
        <x:color rgb="FFD0D5DD"/>
      </x:left>
      <x:top style="thin">
        <x:color rgb="FFD0D5DD"/>
      </x:top>
    </x:border>
    <x:border>
      <x:bottom style="medium">
        <x:color rgb="FF147D92"/>
      </x:bottom>
    </x:border>
    <x:border>
      <x:bottom style="medium">
        <x:color rgb="FF147D92"/>
      </x:bottom>
    </x:border>
  </x:borders>
  <x:cellStyleXfs count="1">
    <x:xf numFmtId="0" fontId="0" fillId="0" borderId="0"/>
  </x:cellStyleXfs>
  <x:cellXfs count="69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2" fillId="0" borderId="0" xfId="0" applyNumberFormat="1" applyFont="1" applyFill="1" applyBorder="1"/>
    <x:xf numFmtId="0" fontId="2" fillId="0" borderId="1" xfId="0" applyNumberFormat="1" applyFont="1" applyFill="1" applyBorder="1"/>
    <x:xf numFmtId="0" fontId="2" fillId="3" borderId="0" xfId="0" applyNumberFormat="1" applyFont="1" applyFill="1" applyBorder="1"/>
    <x:xf numFmtId="0" fontId="2" fillId="3" borderId="1" xfId="0" applyNumberFormat="1" applyFont="1" applyFill="1" applyBorder="1"/>
    <x:xf numFmtId="0" fontId="3" fillId="3" borderId="0" xfId="0" applyNumberFormat="1" applyFont="1" applyFill="1" applyBorder="1"/>
    <x:xf numFmtId="0" fontId="3" fillId="3" borderId="1" xfId="0" applyNumberFormat="1" applyFont="1" applyFill="1" applyBorder="1"/>
    <x:xf numFmtId="0" fontId="3" fillId="3" borderId="2" xfId="0" applyNumberFormat="1" applyFont="1" applyFill="1" applyBorder="1"/>
    <x:xf numFmtId="0" fontId="3" fillId="3" borderId="3" xfId="0" applyNumberFormat="1" applyFont="1" applyFill="1" applyBorder="1"/>
    <x:xf numFmtId="0" fontId="3" fillId="3" borderId="4" xfId="0" applyNumberFormat="1" applyFont="1" applyFill="1" applyBorder="1"/>
    <x:xf numFmtId="0" fontId="2" fillId="0" borderId="5" xfId="0" applyNumberFormat="1" applyFont="1" applyFill="1" applyBorder="1"/>
    <x:xf numFmtId="0" fontId="2" fillId="0" borderId="6" xfId="0" applyNumberFormat="1" applyFont="1" applyFill="1" applyBorder="1"/>
    <x:xf numFmtId="0" fontId="2" fillId="0" borderId="7" xfId="0" applyNumberFormat="1" applyFont="1" applyFill="1" applyBorder="1"/>
    <x:xf numFmtId="0" fontId="2" fillId="0" borderId="8" xfId="0" applyNumberFormat="1" applyFont="1" applyFill="1" applyBorder="1"/>
    <x:xf numFmtId="0" fontId="2" fillId="0" borderId="9" xfId="0" applyNumberFormat="1" applyFont="1" applyFill="1" applyBorder="1"/>
    <x:xf numFmtId="0" fontId="2" fillId="0" borderId="10" xfId="0" applyNumberFormat="1" applyFont="1" applyFill="1" applyBorder="1"/>
    <x:xf numFmtId="0" fontId="3" fillId="3" borderId="11" xfId="0" applyNumberFormat="1" applyFont="1" applyFill="1" applyBorder="1"/>
    <x:xf numFmtId="0" fontId="3" fillId="3" borderId="12" xfId="0" applyNumberFormat="1" applyFont="1" applyFill="1" applyBorder="1"/>
    <x:xf numFmtId="0" fontId="3" fillId="3" borderId="13" xfId="0" applyNumberFormat="1" applyFont="1" applyFill="1" applyBorder="1"/>
    <x:xf numFmtId="0" fontId="2" fillId="0" borderId="14" xfId="0" applyNumberFormat="1" applyFont="1" applyFill="1" applyBorder="1"/>
    <x:xf numFmtId="0" fontId="2" fillId="0" borderId="15" xfId="0" applyNumberFormat="1" applyFont="1" applyFill="1" applyBorder="1"/>
    <x:xf numFmtId="0" fontId="2" fillId="0" borderId="16" xfId="0" applyNumberFormat="1" applyFont="1" applyFill="1" applyBorder="1"/>
    <x:xf numFmtId="0" fontId="2" fillId="0" borderId="17" xfId="0" applyNumberFormat="1" applyFont="1" applyFill="1" applyBorder="1"/>
    <x:xf numFmtId="0" fontId="2" fillId="0" borderId="18" xfId="0" applyNumberFormat="1" applyFont="1" applyFill="1" applyBorder="1"/>
    <x:xf numFmtId="0" fontId="2" fillId="0" borderId="19" xfId="0" applyNumberFormat="1" applyFont="1" applyFill="1" applyBorder="1"/>
    <x:xf numFmtId="0" fontId="2" fillId="0" borderId="5" xfId="0" applyNumberFormat="1" applyFont="1" applyFill="1" applyBorder="1" applyAlignment="1">
      <x:alignment wrapText="1"/>
    </x:xf>
    <x:xf numFmtId="0" fontId="2" fillId="0" borderId="6" xfId="0" applyNumberFormat="1" applyFont="1" applyFill="1" applyBorder="1" applyAlignment="1">
      <x:alignment wrapText="1"/>
    </x:xf>
    <x:xf numFmtId="0" fontId="2" fillId="0" borderId="7" xfId="0" applyNumberFormat="1" applyFont="1" applyFill="1" applyBorder="1" applyAlignment="1">
      <x:alignment wrapText="1"/>
    </x:xf>
    <x:xf numFmtId="0" fontId="2" fillId="0" borderId="8" xfId="0" applyNumberFormat="1" applyFont="1" applyFill="1" applyBorder="1" applyAlignment="1">
      <x:alignment wrapText="1"/>
    </x:xf>
    <x:xf numFmtId="0" fontId="2" fillId="0" borderId="9" xfId="0" applyNumberFormat="1" applyFont="1" applyFill="1" applyBorder="1" applyAlignment="1">
      <x:alignment wrapText="1"/>
    </x:xf>
    <x:xf numFmtId="0" fontId="2" fillId="0" borderId="10" xfId="0" applyNumberFormat="1" applyFont="1" applyFill="1" applyBorder="1" applyAlignment="1">
      <x:alignment wrapText="1"/>
    </x:xf>
    <x:xf numFmtId="0" fontId="2" fillId="0" borderId="14" xfId="0" applyNumberFormat="1" applyFont="1" applyFill="1" applyBorder="1" applyAlignment="1">
      <x:alignment wrapText="1"/>
    </x:xf>
    <x:xf numFmtId="0" fontId="2" fillId="0" borderId="15" xfId="0" applyNumberFormat="1" applyFont="1" applyFill="1" applyBorder="1" applyAlignment="1">
      <x:alignment wrapText="1"/>
    </x:xf>
    <x:xf numFmtId="0" fontId="2" fillId="0" borderId="16" xfId="0" applyNumberFormat="1" applyFont="1" applyFill="1" applyBorder="1" applyAlignment="1">
      <x:alignment wrapText="1"/>
    </x:xf>
    <x:xf numFmtId="0" fontId="2" fillId="0" borderId="17" xfId="0" applyNumberFormat="1" applyFont="1" applyFill="1" applyBorder="1" applyAlignment="1">
      <x:alignment wrapText="1"/>
    </x:xf>
    <x:xf numFmtId="0" fontId="2" fillId="0" borderId="18" xfId="0" applyNumberFormat="1" applyFont="1" applyFill="1" applyBorder="1" applyAlignment="1">
      <x:alignment wrapText="1"/>
    </x:xf>
    <x:xf numFmtId="0" fontId="2" fillId="0" borderId="19" xfId="0" applyNumberFormat="1" applyFont="1" applyFill="1" applyBorder="1" applyAlignment="1">
      <x:alignment wrapText="1"/>
    </x:xf>
    <x:xf numFmtId="0" fontId="4" fillId="0" borderId="5" xfId="0" applyNumberFormat="1" applyFont="1" applyFill="1" applyBorder="1" applyAlignment="1">
      <x:alignment wrapText="1"/>
    </x:xf>
    <x:xf numFmtId="0" fontId="4" fillId="0" borderId="8" xfId="0" applyNumberFormat="1" applyFont="1" applyFill="1" applyBorder="1" applyAlignment="1">
      <x:alignment wrapText="1"/>
    </x:xf>
    <x:xf numFmtId="0" fontId="4" fillId="0" borderId="14" xfId="0" applyNumberFormat="1" applyFont="1" applyFill="1" applyBorder="1" applyAlignment="1">
      <x:alignment wrapText="1"/>
    </x:xf>
    <x:xf numFmtId="0" fontId="4" fillId="0" borderId="17" xfId="0" applyNumberFormat="1" applyFont="1" applyFill="1" applyBorder="1" applyAlignment="1">
      <x:alignment wrapText="1"/>
    </x:xf>
    <x:xf numFmtId="0" fontId="5" fillId="0" borderId="0" xfId="0" applyNumberFormat="1" applyFont="1" applyFill="1" applyBorder="1"/>
    <x:xf numFmtId="0" fontId="5" fillId="0" borderId="1" xfId="0" applyNumberFormat="1" applyFont="1" applyFill="1" applyBorder="1"/>
    <x:xf numFmtId="0" fontId="5" fillId="2" borderId="0" xfId="0" applyNumberFormat="1" applyFont="1" applyFill="1" applyBorder="1"/>
    <x:xf numFmtId="0" fontId="5" fillId="2" borderId="1" xfId="0" applyNumberFormat="1" applyFont="1" applyFill="1" applyBorder="1"/>
    <x:xf numFmtId="0" fontId="6" fillId="2" borderId="0" xfId="0" applyNumberFormat="1" applyFont="1" applyFill="1" applyBorder="1"/>
    <x:xf numFmtId="0" fontId="6" fillId="2" borderId="1" xfId="0" applyNumberFormat="1" applyFont="1" applyFill="1" applyBorder="1"/>
    <x:xf numFmtId="0" fontId="6" fillId="2" borderId="20" xfId="0" applyNumberFormat="1" applyFont="1" applyFill="1" applyBorder="1"/>
    <x:xf numFmtId="0" fontId="6" fillId="2" borderId="21" xfId="0" applyNumberFormat="1" applyFont="1" applyFill="1" applyBorder="1"/>
    <x:xf numFmtId="0" fontId="6" fillId="2" borderId="20" xfId="0" applyNumberFormat="1" applyFont="1" applyFill="1" applyBorder="1" applyAlignment="1">
      <x:alignment wrapText="1"/>
    </x:xf>
    <x:xf numFmtId="0" fontId="6" fillId="2" borderId="21" xfId="0" applyNumberFormat="1" applyFont="1" applyFill="1" applyBorder="1" applyAlignment="1">
      <x:alignment wrapText="1"/>
    </x:xf>
    <x:xf numFmtId="0" fontId="6" fillId="2" borderId="20" xfId="0" applyNumberFormat="1" applyFont="1" applyFill="1" applyBorder="1" applyAlignment="1">
      <x:alignment vertical="center" wrapText="1"/>
    </x:xf>
    <x:xf numFmtId="0" fontId="6" fillId="2" borderId="21" xfId="0" applyNumberFormat="1" applyFont="1" applyFill="1" applyBorder="1" applyAlignment="1">
      <x:alignment vertical="center" wrapText="1"/>
    </x:xf>
    <x:xf numFmtId="200" fontId="5" fillId="0" borderId="0" xfId="0" applyNumberFormat="1" applyFont="1" applyFill="1" applyBorder="1"/>
    <x:xf numFmtId="200" fontId="5" fillId="0" borderId="1" xfId="0" applyNumberFormat="1" applyFont="1" applyFill="1" applyBorder="1"/>
    <x:xf numFmtId="201" fontId="5" fillId="0" borderId="0" xfId="0" applyNumberFormat="1" applyFont="1" applyFill="1" applyBorder="1"/>
    <x:xf numFmtId="201" fontId="5" fillId="0" borderId="1" xfId="0" applyNumberFormat="1" applyFont="1" applyFill="1" applyBorder="1"/>
    <x:xf numFmtId="202" fontId="5" fillId="0" borderId="0" xfId="0" applyNumberFormat="1" applyFont="1" applyFill="1" applyBorder="1"/>
    <x:xf numFmtId="202" fontId="5" fillId="0" borderId="1" xfId="0" applyNumberFormat="1" applyFont="1" applyFill="1" applyBorder="1"/>
    <x:xf numFmtId="203" fontId="5" fillId="0" borderId="0" xfId="0" applyNumberFormat="1" applyFont="1" applyFill="1" applyBorder="1"/>
    <x:xf numFmtId="203" fontId="5" fillId="0" borderId="1" xfId="0" applyNumberFormat="1" applyFont="1" applyFill="1" applyBorder="1"/>
    <x:xf numFmtId="204" fontId="5" fillId="0" borderId="0" xfId="0" applyNumberFormat="1" applyFont="1" applyFill="1" applyBorder="1"/>
    <x:xf numFmtId="204" fontId="5" fillId="0" borderId="1" xfId="0" applyNumberFormat="1" applyFont="1" applyFill="1" applyBorder="1"/>
    <x:xf numFmtId="205" fontId="2" fillId="0" borderId="6" xfId="0" applyNumberFormat="1" applyFont="1" applyFill="1" applyBorder="1" applyAlignment="1">
      <x:alignment wrapText="1"/>
    </x:xf>
  </x:cellXfs>
  <x:cellStyles count="1">
    <x:cellStyle name="Normal" xfId="0"/>
  </x:cellStyles>
  <x:dxfs count="3">
    <x:dxf>
      <x:font>
        <x:color rgb="FF9A3412"/>
      </x:font>
      <x:fill>
        <x:patternFill patternType="solid">
          <x:bgColor rgb="FFFCEAD8"/>
        </x:patternFill>
      </x:fill>
    </x:dxf>
    <x:dxf>
      <x:font>
        <x:b/>
        <x:color rgb="FFB42318"/>
      </x:font>
      <x:fill>
        <x:patternFill patternType="solid">
          <x:bgColor rgb="FFFEE4E2"/>
        </x:patternFill>
      </x:fill>
    </x:dxf>
    <x:dxf>
      <x:font>
        <x:b/>
        <x:color rgb="FFB42318"/>
      </x:font>
      <x:fill>
        <x:patternFill patternType="solid">
          <x:bgColor rgb="FFFEE4E2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ae8f1b679d745a5" /><Relationship Type="http://schemas.openxmlformats.org/officeDocument/2006/relationships/theme" Target="/xl/theme/theme1.xml" Id="R740dc23fdd3f4e35" /><Relationship Type="http://schemas.openxmlformats.org/officeDocument/2006/relationships/sharedStrings" Target="/xl/sharedStrings.xml" Id="R97b3065c32f24028" /><Relationship Type="http://schemas.openxmlformats.org/officeDocument/2006/relationships/worksheet" Target="/xl/worksheets/sheet1.xml" Id="Ra00a245c8f5d4cea" /><Relationship Type="http://schemas.openxmlformats.org/officeDocument/2006/relationships/worksheet" Target="/xl/worksheets/sheet2.xml" Id="Rcea5346e114849a8" /><Relationship Type="http://schemas.openxmlformats.org/officeDocument/2006/relationships/worksheet" Target="/xl/worksheets/sheet3.xml" Id="R4ac2b9f965544d36" /><Relationship Type="http://schemas.openxmlformats.org/officeDocument/2006/relationships/worksheet" Target="/xl/worksheets/sheet4.xml" Id="Re22a71c40e3a4631" /><Relationship Type="http://schemas.openxmlformats.org/officeDocument/2006/relationships/worksheet" Target="/xl/worksheets/sheet5.xml" Id="R361f15d997eb4fcc" /><Relationship Type="http://schemas.openxmlformats.org/officeDocument/2006/relationships/worksheet" Target="/xl/worksheets/sheet6.xml" Id="R3ed071fc8d2f4c3e" /></Relationships>
</file>

<file path=xl/tables/table1.xml><?xml version="1.0" encoding="utf-8"?>
<x:table xmlns:x="http://schemas.openxmlformats.org/spreadsheetml/2006/main" id="1" name="LME008SpeciesTable" displayName="LME008SpeciesTable" ref="A1:U93" headerRowCount="1" totalsRowCount="0" totalsRowShown="0">
  <x:autoFilter ref="A1:U93"/>
  <x:tableColumns count="21">
    <x:tableColumn id="1" name="unit_id"/>
    <x:tableColumn id="2" name="region_name"/>
    <x:tableColumn id="3" name="region_type"/>
    <x:tableColumn id="4" name="year"/>
    <x:tableColumn id="5" name="taxon"/>
    <x:tableColumn id="6" name="common_name"/>
    <x:tableColumn id="7" name="functional_group"/>
    <x:tableColumn id="8" name="commercial_group"/>
    <x:tableColumn id="9" name="catch_tonnes"/>
    <x:tableColumn id="10" name="landings_tonnes"/>
    <x:tableColumn id="11" name="discards_tonnes"/>
    <x:tableColumn id="12" name="reported_tonnes"/>
    <x:tableColumn id="13" name="unreported_tonnes"/>
    <x:tableColumn id="14" name="taxon_key"/>
    <x:tableColumn id="15" name="tl"/>
    <x:tableColumn id="16" name="match_method"/>
    <x:tableColumn id="17" name="tl_source"/>
    <x:tableColumn id="18" name="match_confidence"/>
    <x:tableColumn id="19" name="reference_taxon"/>
    <x:tableColumn id="20" name="sppr"/>
    <x:tableColumn id="21" name="ppr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LME008CommercialTable" displayName="LME008CommercialTable" ref="A1:O12" headerRowCount="1" totalsRowCount="0" totalsRowShown="0">
  <x:autoFilter ref="A1:O12"/>
  <x:tableColumns count="15">
    <x:tableColumn id="1" name="commercial_group"/>
    <x:tableColumn id="2" name="taxon_count_total"/>
    <x:tableColumn id="3" name="taxon_count_matched"/>
    <x:tableColumn id="4" name="catch_tonnes_total"/>
    <x:tableColumn id="5" name="catch_tonnes_matched"/>
    <x:tableColumn id="6" name="catch_tonnes_missing_tl"/>
    <x:tableColumn id="7" name="catch_coverage_fraction"/>
    <x:tableColumn id="8" name="sppr_correct"/>
    <x:tableColumn id="9" name="ppr_correct"/>
    <x:tableColumn id="10" name="tl_weighted_jensen"/>
    <x:tableColumn id="11" name="sppr_jensen"/>
    <x:tableColumn id="12" name="ppr_jensen"/>
    <x:tableColumn id="13" name="jensen_difference"/>
    <x:tableColumn id="14" name="jensen_ratio_correct_to_error"/>
    <x:tableColumn id="15" name="jensen_percent_difference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LME008FunctionalTable" displayName="LME008FunctionalTable" ref="A1:O22" headerRowCount="1" totalsRowCount="0" totalsRowShown="0">
  <x:autoFilter ref="A1:O22"/>
  <x:tableColumns count="15">
    <x:tableColumn id="1" name="functional_group"/>
    <x:tableColumn id="2" name="taxon_count_total"/>
    <x:tableColumn id="3" name="taxon_count_matched"/>
    <x:tableColumn id="4" name="catch_tonnes_total"/>
    <x:tableColumn id="5" name="catch_tonnes_matched"/>
    <x:tableColumn id="6" name="catch_tonnes_missing_tl"/>
    <x:tableColumn id="7" name="catch_coverage_fraction"/>
    <x:tableColumn id="8" name="sppr_correct"/>
    <x:tableColumn id="9" name="ppr_correct"/>
    <x:tableColumn id="10" name="tl_weighted_jensen"/>
    <x:tableColumn id="11" name="sppr_jensen"/>
    <x:tableColumn id="12" name="ppr_jensen"/>
    <x:tableColumn id="13" name="jensen_difference"/>
    <x:tableColumn id="14" name="jensen_ratio_correct_to_error"/>
    <x:tableColumn id="15" name="jensen_percent_difference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LME008ValidationTable" displayName="LME008ValidationTable" ref="A1:D19" headerRowCount="1" totalsRowCount="0" totalsRowShown="0">
  <x:autoFilter ref="A1:D19"/>
  <x:tableColumns count="4">
    <x:tableColumn id="1" name="unit_id"/>
    <x:tableColumn id="2" name="check"/>
    <x:tableColumn id="3" name="value"/>
    <x:tableColumn id="4" name="unit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c659442ed6f44ed6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b85288f2c58546e0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22b83496e7394d85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44fa5799905940ea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15" hidden="0" customWidth="1"/>
    <x:col min="5" max="5" width="25" hidden="0" customWidth="1"/>
    <x:col min="6" max="6" width="23" hidden="0" customWidth="1"/>
    <x:col min="7" max="7" width="30" hidden="0" customWidth="1"/>
    <x:col min="8" max="8" width="24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22" hidden="0" customWidth="1"/>
    <x:col min="15" max="15" width="15" hidden="0" customWidth="1"/>
    <x:col min="16" max="16" width="22" hidden="0" customWidth="1"/>
    <x:col min="17" max="17" width="40" hidden="0" customWidth="1"/>
    <x:col min="18" max="18" width="22" hidden="0" customWidth="1"/>
    <x:col min="19" max="19" width="25" hidden="0" customWidth="1"/>
    <x:col min="20" max="20" width="18" hidden="0" customWidth="1"/>
    <x:col min="21" max="21" width="18" hidden="0" customWidth="1"/>
  </x:cols>
  <x:sheetData>
    <x:row r="1" ht="32" customHeight="1">
      <x:c r="A1" s="56" t="str">
        <x:v>unit_id</x:v>
      </x:c>
      <x:c r="B1" s="56" t="str">
        <x:v>region_name</x:v>
      </x:c>
      <x:c r="C1" s="56" t="str">
        <x:v>region_type</x:v>
      </x:c>
      <x:c r="D1" s="56" t="str">
        <x:v>year</x:v>
      </x:c>
      <x:c r="E1" s="56" t="str">
        <x:v>taxon</x:v>
      </x:c>
      <x:c r="F1" s="56" t="str">
        <x:v>common_name</x:v>
      </x:c>
      <x:c r="G1" s="56" t="str">
        <x:v>functional_group</x:v>
      </x:c>
      <x:c r="H1" s="56" t="str">
        <x:v>commercial_group</x:v>
      </x:c>
      <x:c r="I1" s="56" t="str">
        <x:v>catch_tonnes</x:v>
      </x:c>
      <x:c r="J1" s="56" t="str">
        <x:v>landings_tonnes</x:v>
      </x:c>
      <x:c r="K1" s="56" t="str">
        <x:v>discards_tonnes</x:v>
      </x:c>
      <x:c r="L1" s="56" t="str">
        <x:v>reported_tonnes</x:v>
      </x:c>
      <x:c r="M1" s="56" t="str">
        <x:v>unreported_tonnes</x:v>
      </x:c>
      <x:c r="N1" s="56" t="str">
        <x:v>taxon_key</x:v>
      </x:c>
      <x:c r="O1" s="56" t="str">
        <x:v>tl</x:v>
      </x:c>
      <x:c r="P1" s="56" t="str">
        <x:v>match_method</x:v>
      </x:c>
      <x:c r="Q1" s="56" t="str">
        <x:v>tl_source</x:v>
      </x:c>
      <x:c r="R1" s="56" t="str">
        <x:v>match_confidence</x:v>
      </x:c>
      <x:c r="S1" s="56" t="str">
        <x:v>reference_taxon</x:v>
      </x:c>
      <x:c r="T1" s="56" t="str">
        <x:v>sppr</x:v>
      </x:c>
      <x:c r="U1" s="56" t="str">
        <x:v>ppr</x:v>
      </x:c>
    </x:row>
    <x:row r="2" ht="18" customHeight="1">
      <x:c r="A2" s="46" t="str">
        <x:v>LME_008</x:v>
      </x:c>
      <x:c r="B2" s="46" t="str">
        <x:v>Scotian Shelf</x:v>
      </x:c>
      <x:c r="C2" s="46" t="str">
        <x:v>LME</x:v>
      </x:c>
      <x:c r="D2" s="58" t="n">
        <x:v>2019</x:v>
      </x:c>
      <x:c r="E2" s="46" t="str">
        <x:v>Homarus americanus</x:v>
      </x:c>
      <x:c r="F2" s="46" t="str">
        <x:v>American lobster</x:v>
      </x:c>
      <x:c r="G2" s="46" t="str">
        <x:v>Lobsters, crabs</x:v>
      </x:c>
      <x:c r="H2" s="46" t="str">
        <x:v>Crustaceans</x:v>
      </x:c>
      <x:c r="I2" s="60" t="n">
        <x:v>38266.880630886604</x:v>
      </x:c>
      <x:c r="J2" s="60" t="n">
        <x:v>38266.880630886604</x:v>
      </x:c>
      <x:c r="K2" s="60" t="n">
        <x:v>0</x:v>
      </x:c>
      <x:c r="L2" s="60" t="n">
        <x:v>30184.3727461697</x:v>
      </x:c>
      <x:c r="M2" s="60" t="n">
        <x:v>8082.507884716901</x:v>
      </x:c>
      <x:c r="N2" s="46" t="str">
        <x:v>homarus americanus</x:v>
      </x:c>
      <x:c r="O2" s="62" t="n">
        <x:v>3.7</x:v>
      </x:c>
      <x:c r="P2" s="46" t="str">
        <x:v>exact_2020_supplement</x:v>
      </x:c>
      <x:c r="Q2" s="62" t="str">
        <x:v>2020 supplement MeanTL</x:v>
      </x:c>
      <x:c r="R2" s="46" t="str">
        <x:v>high</x:v>
      </x:c>
      <x:c r="S2" s="46" t="str">
        <x:v>Homarus americanus</x:v>
      </x:c>
      <x:c r="T2" s="62" t="n">
        <x:f>IF(O2="","",(1/'Metadata'!$B$5)^(O2-1))</x:f>
        <x:v>3256.724252295237</x:v>
      </x:c>
      <x:c r="U2" s="60" t="n">
        <x:f>IF(T2="","",I2*T2)</x:f>
        <x:v>124624678.21029526</x:v>
      </x:c>
    </x:row>
    <x:row r="3" ht="18" customHeight="1">
      <x:c r="A3" s="46" t="str">
        <x:v>LME_008</x:v>
      </x:c>
      <x:c r="B3" s="46" t="str">
        <x:v>Scotian Shelf</x:v>
      </x:c>
      <x:c r="C3" s="46" t="str">
        <x:v>LME</x:v>
      </x:c>
      <x:c r="D3" s="58" t="n">
        <x:v>2019</x:v>
      </x:c>
      <x:c r="E3" s="46" t="str">
        <x:v>Clupea harengus</x:v>
      </x:c>
      <x:c r="F3" s="46" t="str">
        <x:v>Atlantic herring</x:v>
      </x:c>
      <x:c r="G3" s="46" t="str">
        <x:v>Medium pelagics (30 - 89 cm)</x:v>
      </x:c>
      <x:c r="H3" s="46" t="str">
        <x:v>Herring-likes</x:v>
      </x:c>
      <x:c r="I3" s="60" t="n">
        <x:v>38000.6041865206</x:v>
      </x:c>
      <x:c r="J3" s="60" t="n">
        <x:v>37950.1203076714</x:v>
      </x:c>
      <x:c r="K3" s="60" t="n">
        <x:v>50.483878849199996</x:v>
      </x:c>
      <x:c r="L3" s="60" t="n">
        <x:v>34526.853632508</x:v>
      </x:c>
      <x:c r="M3" s="60" t="n">
        <x:v>3473.7505540126</x:v>
      </x:c>
      <x:c r="N3" s="46" t="str">
        <x:v>clupea harengus</x:v>
      </x:c>
      <x:c r="O3" s="62" t="n">
        <x:v>3.38</x:v>
      </x:c>
      <x:c r="P3" s="46" t="str">
        <x:v>exact_2020_supplement</x:v>
      </x:c>
      <x:c r="Q3" s="62" t="str">
        <x:v>2020 supplement MeanTL</x:v>
      </x:c>
      <x:c r="R3" s="46" t="str">
        <x:v>high</x:v>
      </x:c>
      <x:c r="S3" s="46" t="str">
        <x:v>Clupea harengus</x:v>
      </x:c>
      <x:c r="T3" s="62" t="n">
        <x:f>IF(O3="","",(1/'Metadata'!$B$5)^(O3-1))</x:f>
        <x:v>1248.6806726928048</x:v>
      </x:c>
      <x:c r="U3" s="60" t="n">
        <x:f>IF(T3="","",I3*T3)</x:f>
        <x:v>47450619.99835756</x:v>
      </x:c>
    </x:row>
    <x:row r="4" ht="18" customHeight="1">
      <x:c r="A4" s="46" t="str">
        <x:v>LME_008</x:v>
      </x:c>
      <x:c r="B4" s="46" t="str">
        <x:v>Scotian Shelf</x:v>
      </x:c>
      <x:c r="C4" s="46" t="str">
        <x:v>LME</x:v>
      </x:c>
      <x:c r="D4" s="58" t="n">
        <x:v>2019</x:v>
      </x:c>
      <x:c r="E4" s="46" t="str">
        <x:v>Bivalvia</x:v>
      </x:c>
      <x:c r="F4" s="46" t="str">
        <x:v>Clams</x:v>
      </x:c>
      <x:c r="G4" s="46" t="str">
        <x:v>Other demersal invertebrates</x:v>
      </x:c>
      <x:c r="H4" s="46" t="str">
        <x:v>Molluscs</x:v>
      </x:c>
      <x:c r="I4" s="60" t="n">
        <x:v>13126.4958957839</x:v>
      </x:c>
      <x:c r="J4" s="60" t="n">
        <x:v>13126.4958957839</x:v>
      </x:c>
      <x:c r="K4" s="60" t="n">
        <x:v>0</x:v>
      </x:c>
      <x:c r="L4" s="60" t="n">
        <x:v>13124.9929991904</x:v>
      </x:c>
      <x:c r="M4" s="60" t="n">
        <x:v>1.5028965935</x:v>
      </x:c>
      <x:c r="N4" s="46" t="str">
        <x:v>bivalvia</x:v>
      </x:c>
      <x:c r="O4" s="62" t="n">
        <x:v>2.23</x:v>
      </x:c>
      <x:c r="P4" s="46" t="str">
        <x:v>exact_sea_around_us</x:v>
      </x:c>
      <x:c r="Q4" s="62" t="str">
        <x:v>Sea Around Us exploited organisms</x:v>
      </x:c>
      <x:c r="R4" s="46" t="str">
        <x:v>high</x:v>
      </x:c>
      <x:c r="S4" s="46" t="str">
        <x:v>Bivalvia</x:v>
      </x:c>
      <x:c r="T4" s="62" t="n">
        <x:f>IF(O4="","",(1/'Metadata'!$B$5)^(O4-1))</x:f>
        <x:v>39.83519015836661</x:v>
      </x:c>
      <x:c r="U4" s="60" t="n">
        <x:f>IF(T4="","",I4*T4)</x:f>
        <x:v>522896.4601215705</x:v>
      </x:c>
    </x:row>
    <x:row r="5" ht="18" customHeight="1">
      <x:c r="A5" s="46" t="str">
        <x:v>LME_008</x:v>
      </x:c>
      <x:c r="B5" s="46" t="str">
        <x:v>Scotian Shelf</x:v>
      </x:c>
      <x:c r="C5" s="46" t="str">
        <x:v>LME</x:v>
      </x:c>
      <x:c r="D5" s="58" t="n">
        <x:v>2019</x:v>
      </x:c>
      <x:c r="E5" s="46" t="str">
        <x:v>Placopecten magellanicus</x:v>
      </x:c>
      <x:c r="F5" s="46" t="str">
        <x:v>American sea scallop</x:v>
      </x:c>
      <x:c r="G5" s="46" t="str">
        <x:v>Other demersal invertebrates</x:v>
      </x:c>
      <x:c r="H5" s="46" t="str">
        <x:v>Molluscs</x:v>
      </x:c>
      <x:c r="I5" s="60" t="n">
        <x:v>10308.0434516347</x:v>
      </x:c>
      <x:c r="J5" s="60" t="n">
        <x:v>10308.0434516347</x:v>
      </x:c>
      <x:c r="K5" s="60" t="n">
        <x:v>0</x:v>
      </x:c>
      <x:c r="L5" s="60" t="n">
        <x:v>10308.0434516347</x:v>
      </x:c>
      <x:c r="M5" s="60" t="n">
        <x:v>0</x:v>
      </x:c>
      <x:c r="N5" s="46" t="str">
        <x:v>placopecten magellanicus</x:v>
      </x:c>
      <x:c r="O5" s="62" t="n">
        <x:v>2</x:v>
      </x:c>
      <x:c r="P5" s="46" t="str">
        <x:v>exact_sea_around_us</x:v>
      </x:c>
      <x:c r="Q5" s="62" t="str">
        <x:v>Sea Around Us exploited organisms</x:v>
      </x:c>
      <x:c r="R5" s="46" t="str">
        <x:v>high</x:v>
      </x:c>
      <x:c r="S5" s="46" t="str">
        <x:v>Placopecten magellanicus</x:v>
      </x:c>
      <x:c r="T5" s="62" t="n">
        <x:f>IF(O5="","",(1/'Metadata'!$B$5)^(O5-1))</x:f>
        <x:v>20</x:v>
      </x:c>
      <x:c r="U5" s="60" t="n">
        <x:f>IF(T5="","",I5*T5)</x:f>
        <x:v>206160.869032694</x:v>
      </x:c>
    </x:row>
    <x:row r="6" ht="18" customHeight="1">
      <x:c r="A6" s="46" t="str">
        <x:v>LME_008</x:v>
      </x:c>
      <x:c r="B6" s="46" t="str">
        <x:v>Scotian Shelf</x:v>
      </x:c>
      <x:c r="C6" s="46" t="str">
        <x:v>LME</x:v>
      </x:c>
      <x:c r="D6" s="58" t="n">
        <x:v>2019</x:v>
      </x:c>
      <x:c r="E6" s="46" t="str">
        <x:v>Chionoecetes opilio</x:v>
      </x:c>
      <x:c r="F6" s="46" t="str">
        <x:v>Snow crab</x:v>
      </x:c>
      <x:c r="G6" s="46" t="str">
        <x:v>Lobsters, crabs</x:v>
      </x:c>
      <x:c r="H6" s="46" t="str">
        <x:v>Crustaceans</x:v>
      </x:c>
      <x:c r="I6" s="60" t="n">
        <x:v>5088.0633422887</x:v>
      </x:c>
      <x:c r="J6" s="60" t="n">
        <x:v>5088.0633422887</x:v>
      </x:c>
      <x:c r="K6" s="60" t="n">
        <x:v>0</x:v>
      </x:c>
      <x:c r="L6" s="60" t="n">
        <x:v>5088.0633422887</x:v>
      </x:c>
      <x:c r="M6" s="60" t="n">
        <x:v>0</x:v>
      </x:c>
      <x:c r="N6" s="46" t="str">
        <x:v>chionoecetes opilio</x:v>
      </x:c>
      <x:c r="O6" s="62" t="n">
        <x:v>3.54</x:v>
      </x:c>
      <x:c r="P6" s="46" t="str">
        <x:v>exact_2020_supplement</x:v>
      </x:c>
      <x:c r="Q6" s="62" t="str">
        <x:v>2020 supplement MeanTL</x:v>
      </x:c>
      <x:c r="R6" s="46" t="str">
        <x:v>high</x:v>
      </x:c>
      <x:c r="S6" s="46" t="str">
        <x:v>Chionoecetes opilio</x:v>
      </x:c>
      <x:c r="T6" s="62" t="n">
        <x:f>IF(O6="","",(1/'Metadata'!$B$5)^(O6-1))</x:f>
        <x:v>2016.5834052007342</x:v>
      </x:c>
      <x:c r="U6" s="60" t="n">
        <x:f>IF(T6="","",I6*T6)</x:f>
        <x:v>10260504.100669576</x:v>
      </x:c>
    </x:row>
    <x:row r="7" ht="18" customHeight="1">
      <x:c r="A7" s="46" t="str">
        <x:v>LME_008</x:v>
      </x:c>
      <x:c r="B7" s="46" t="str">
        <x:v>Scotian Shelf</x:v>
      </x:c>
      <x:c r="C7" s="46" t="str">
        <x:v>LME</x:v>
      </x:c>
      <x:c r="D7" s="58" t="n">
        <x:v>2019</x:v>
      </x:c>
      <x:c r="E7" s="46" t="str">
        <x:v>Merluccius bilinearis</x:v>
      </x:c>
      <x:c r="F7" s="46" t="str">
        <x:v>Silver hake</x:v>
      </x:c>
      <x:c r="G7" s="46" t="str">
        <x:v>Medium demersals (30 - 89 cm)</x:v>
      </x:c>
      <x:c r="H7" s="46" t="str">
        <x:v>Cod-likes</x:v>
      </x:c>
      <x:c r="I7" s="60" t="n">
        <x:v>5026.7179176182</x:v>
      </x:c>
      <x:c r="J7" s="60" t="n">
        <x:v>4934.1940082415995</x:v>
      </x:c>
      <x:c r="K7" s="60" t="n">
        <x:v>92.5239093766</x:v>
      </x:c>
      <x:c r="L7" s="60" t="n">
        <x:v>4934.1940082415995</x:v>
      </x:c>
      <x:c r="M7" s="60" t="n">
        <x:v>92.5239093766</x:v>
      </x:c>
      <x:c r="N7" s="46" t="str">
        <x:v>merluccius bilinearis</x:v>
      </x:c>
      <x:c r="O7" s="62" t="n">
        <x:v>4.49</x:v>
      </x:c>
      <x:c r="P7" s="46" t="str">
        <x:v>exact_2020_supplement</x:v>
      </x:c>
      <x:c r="Q7" s="62" t="str">
        <x:v>2020 supplement MeanTL</x:v>
      </x:c>
      <x:c r="R7" s="46" t="str">
        <x:v>high</x:v>
      </x:c>
      <x:c r="S7" s="46" t="str">
        <x:v>Merluccius bilinearis</x:v>
      </x:c>
      <x:c r="T7" s="62" t="n">
        <x:f>IF(O7="","",(1/'Metadata'!$B$5)^(O7-1))</x:f>
        <x:v>34721.19667768202</x:v>
      </x:c>
      <x:c r="U7" s="60" t="n">
        <x:f>IF(T7="","",I7*T7)</x:f>
        <x:v>174533661.46084973</x:v>
      </x:c>
    </x:row>
    <x:row r="8" ht="18" customHeight="1">
      <x:c r="A8" s="46" t="str">
        <x:v>LME_008</x:v>
      </x:c>
      <x:c r="B8" s="46" t="str">
        <x:v>Scotian Shelf</x:v>
      </x:c>
      <x:c r="C8" s="46" t="str">
        <x:v>LME</x:v>
      </x:c>
      <x:c r="D8" s="58" t="n">
        <x:v>2019</x:v>
      </x:c>
      <x:c r="E8" s="46" t="str">
        <x:v>Melanogrammus aeglefinus</x:v>
      </x:c>
      <x:c r="F8" s="46" t="str">
        <x:v>Haddock</x:v>
      </x:c>
      <x:c r="G8" s="46" t="str">
        <x:v>Medium demersals (30 - 89 cm)</x:v>
      </x:c>
      <x:c r="H8" s="46" t="str">
        <x:v>Cod-likes</x:v>
      </x:c>
      <x:c r="I8" s="60" t="n">
        <x:v>4712.8444175839</x:v>
      </x:c>
      <x:c r="J8" s="60" t="n">
        <x:v>4696.1776145943</x:v>
      </x:c>
      <x:c r="K8" s="60" t="n">
        <x:v>16.6668029896</x:v>
      </x:c>
      <x:c r="L8" s="60" t="n">
        <x:v>4696.1776145943</x:v>
      </x:c>
      <x:c r="M8" s="60" t="n">
        <x:v>16.6668029896</x:v>
      </x:c>
      <x:c r="N8" s="46" t="str">
        <x:v>melanogrammus aeglefinus</x:v>
      </x:c>
      <x:c r="O8" s="62" t="n">
        <x:v>4.03</x:v>
      </x:c>
      <x:c r="P8" s="46" t="str">
        <x:v>exact_2020_supplement</x:v>
      </x:c>
      <x:c r="Q8" s="62" t="str">
        <x:v>2020 supplement MeanTL</x:v>
      </x:c>
      <x:c r="R8" s="46" t="str">
        <x:v>high</x:v>
      </x:c>
      <x:c r="S8" s="46" t="str">
        <x:v>Melanogrammus aeglefinus</x:v>
      </x:c>
      <x:c r="T8" s="62" t="n">
        <x:f>IF(O8="","",(1/'Metadata'!$B$5)^(O8-1))</x:f>
        <x:v>8752.273628615554</x:v>
      </x:c>
      <x:c r="U8" s="60" t="n">
        <x:f>IF(T8="","",I8*T8)</x:f>
        <x:v>41248103.9117876</x:v>
      </x:c>
    </x:row>
    <x:row r="9" ht="18" customHeight="1">
      <x:c r="A9" s="46" t="str">
        <x:v>LME_008</x:v>
      </x:c>
      <x:c r="B9" s="46" t="str">
        <x:v>Scotian Shelf</x:v>
      </x:c>
      <x:c r="C9" s="46" t="str">
        <x:v>LME</x:v>
      </x:c>
      <x:c r="D9" s="58" t="n">
        <x:v>2019</x:v>
      </x:c>
      <x:c r="E9" s="46" t="str">
        <x:v>Gadus morhua</x:v>
      </x:c>
      <x:c r="F9" s="46" t="str">
        <x:v>Atlantic cod</x:v>
      </x:c>
      <x:c r="G9" s="46" t="str">
        <x:v>Large benthopelagics (&gt;=90 cm)</x:v>
      </x:c>
      <x:c r="H9" s="46" t="str">
        <x:v>Cod-likes</x:v>
      </x:c>
      <x:c r="I9" s="60" t="n">
        <x:v>3692.6062588643</x:v>
      </x:c>
      <x:c r="J9" s="60" t="n">
        <x:v>2845.1289369255</x:v>
      </x:c>
      <x:c r="K9" s="60" t="n">
        <x:v>847.4773219388001</x:v>
      </x:c>
      <x:c r="L9" s="60" t="n">
        <x:v>435.8130258681</x:v>
      </x:c>
      <x:c r="M9" s="60" t="n">
        <x:v>3256.7932329962005</x:v>
      </x:c>
      <x:c r="N9" s="46" t="str">
        <x:v>gadus morhua</x:v>
      </x:c>
      <x:c r="O9" s="62" t="n">
        <x:v>4.09</x:v>
      </x:c>
      <x:c r="P9" s="46" t="str">
        <x:v>exact_2020_supplement</x:v>
      </x:c>
      <x:c r="Q9" s="62" t="str">
        <x:v>2020 supplement MeanTL</x:v>
      </x:c>
      <x:c r="R9" s="46" t="str">
        <x:v>high</x:v>
      </x:c>
      <x:c r="S9" s="46" t="str">
        <x:v>Gadus morhua</x:v>
      </x:c>
      <x:c r="T9" s="62" t="n">
        <x:f>IF(O9="","",(1/'Metadata'!$B$5)^(O9-1))</x:f>
        <x:v>10475.691168449957</x:v>
      </x:c>
      <x:c r="U9" s="60" t="n">
        <x:f>IF(T9="","",I9*T9)</x:f>
        <x:v>38682602.774547786</x:v>
      </x:c>
    </x:row>
    <x:row r="10" ht="18" customHeight="1">
      <x:c r="A10" s="46" t="str">
        <x:v>LME_008</x:v>
      </x:c>
      <x:c r="B10" s="46" t="str">
        <x:v>Scotian Shelf</x:v>
      </x:c>
      <x:c r="C10" s="46" t="str">
        <x:v>LME</x:v>
      </x:c>
      <x:c r="D10" s="58" t="n">
        <x:v>2019</x:v>
      </x:c>
      <x:c r="E10" s="46" t="str">
        <x:v>Hippoglossus hippoglossus</x:v>
      </x:c>
      <x:c r="F10" s="46" t="str">
        <x:v>Atlantic halibut</x:v>
      </x:c>
      <x:c r="G10" s="46" t="str">
        <x:v>Large flatfishes (&gt;=90 cm)</x:v>
      </x:c>
      <x:c r="H10" s="46" t="str">
        <x:v>Flatfishes</x:v>
      </x:c>
      <x:c r="I10" s="60" t="n">
        <x:v>3289.6729950748</x:v>
      </x:c>
      <x:c r="J10" s="60" t="n">
        <x:v>2770.1439616486</x:v>
      </x:c>
      <x:c r="K10" s="60" t="n">
        <x:v>519.5290334262</x:v>
      </x:c>
      <x:c r="L10" s="60" t="n">
        <x:v>2770.1439616486</x:v>
      </x:c>
      <x:c r="M10" s="60" t="n">
        <x:v>519.5290334262</x:v>
      </x:c>
      <x:c r="N10" s="46" t="str">
        <x:v>hippoglossus hippoglossus</x:v>
      </x:c>
      <x:c r="O10" s="62" t="n">
        <x:v>4</x:v>
      </x:c>
      <x:c r="P10" s="46" t="str">
        <x:v>exact_2020_supplement</x:v>
      </x:c>
      <x:c r="Q10" s="62" t="str">
        <x:v>2020 supplement MeanTL</x:v>
      </x:c>
      <x:c r="R10" s="46" t="str">
        <x:v>high</x:v>
      </x:c>
      <x:c r="S10" s="46" t="str">
        <x:v>Hippoglossus hippoglossus</x:v>
      </x:c>
      <x:c r="T10" s="62" t="n">
        <x:f>IF(O10="","",(1/'Metadata'!$B$5)^(O10-1))</x:f>
        <x:v>8000</x:v>
      </x:c>
      <x:c r="U10" s="60" t="n">
        <x:f>IF(T10="","",I10*T10)</x:f>
        <x:v>26317383.960598398</x:v>
      </x:c>
    </x:row>
    <x:row r="11" ht="18" customHeight="1">
      <x:c r="A11" s="46" t="str">
        <x:v>LME_008</x:v>
      </x:c>
      <x:c r="B11" s="46" t="str">
        <x:v>Scotian Shelf</x:v>
      </x:c>
      <x:c r="C11" s="46" t="str">
        <x:v>LME</x:v>
      </x:c>
      <x:c r="D11" s="58" t="n">
        <x:v>2019</x:v>
      </x:c>
      <x:c r="E11" s="46" t="str">
        <x:v>Scomber scombrus</x:v>
      </x:c>
      <x:c r="F11" s="46" t="str">
        <x:v>Atlantic mackerel</x:v>
      </x:c>
      <x:c r="G11" s="46" t="str">
        <x:v>Medium pelagics (30 - 89 cm)</x:v>
      </x:c>
      <x:c r="H11" s="46" t="str">
        <x:v>Perch-likes</x:v>
      </x:c>
      <x:c r="I11" s="60" t="n">
        <x:v>3067.2888166394</x:v>
      </x:c>
      <x:c r="J11" s="60" t="n">
        <x:v>3059.1016639419</x:v>
      </x:c>
      <x:c r="K11" s="60" t="n">
        <x:v>8.1871526975</x:v>
      </x:c>
      <x:c r="L11" s="60" t="n">
        <x:v>2664.1675553069</x:v>
      </x:c>
      <x:c r="M11" s="60" t="n">
        <x:v>403.1212613325</x:v>
      </x:c>
      <x:c r="N11" s="46" t="str">
        <x:v>scomber scombrus</x:v>
      </x:c>
      <x:c r="O11" s="62" t="n">
        <x:v>3.63</x:v>
      </x:c>
      <x:c r="P11" s="46" t="str">
        <x:v>exact_2020_supplement</x:v>
      </x:c>
      <x:c r="Q11" s="62" t="str">
        <x:v>2020 supplement MeanTL</x:v>
      </x:c>
      <x:c r="R11" s="46" t="str">
        <x:v>high</x:v>
      </x:c>
      <x:c r="S11" s="46" t="str">
        <x:v>Scomber scombrus</x:v>
      </x:c>
      <x:c r="T11" s="62" t="n">
        <x:f>IF(O11="","",(1/'Metadata'!$B$5)^(O11-1))</x:f>
        <x:v>2640.638121038009</x:v>
      </x:c>
      <x:c r="U11" s="60" t="n">
        <x:f>IF(T11="","",I11*T11)</x:f>
        <x:v>8099599.777451564</x:v>
      </x:c>
    </x:row>
    <x:row r="12" ht="18" customHeight="1">
      <x:c r="A12" s="46" t="str">
        <x:v>LME_008</x:v>
      </x:c>
      <x:c r="B12" s="46" t="str">
        <x:v>Scotian Shelf</x:v>
      </x:c>
      <x:c r="C12" s="46" t="str">
        <x:v>LME</x:v>
      </x:c>
      <x:c r="D12" s="58" t="n">
        <x:v>2019</x:v>
      </x:c>
      <x:c r="E12" s="46" t="str">
        <x:v>Pleuronectiformes</x:v>
      </x:c>
      <x:c r="F12" s="46" t="str">
        <x:v>Flatfishes</x:v>
      </x:c>
      <x:c r="G12" s="46" t="str">
        <x:v>Small to medium flatfishes (&lt;90 cm)</x:v>
      </x:c>
      <x:c r="H12" s="46" t="str">
        <x:v>Flatfishes</x:v>
      </x:c>
      <x:c r="I12" s="60" t="n">
        <x:v>2871.8537843721</x:v>
      </x:c>
      <x:c r="J12" s="60" t="n">
        <x:v>2871.8537843721</x:v>
      </x:c>
      <x:c r="K12" s="60" t="n">
        <x:v>0</x:v>
      </x:c>
      <x:c r="L12" s="60" t="n">
        <x:v>2871.8537843721</x:v>
      </x:c>
      <x:c r="M12" s="60" t="n">
        <x:v>0</x:v>
      </x:c>
      <x:c r="N12" s="46" t="str">
        <x:v>pleuronectiformes</x:v>
      </x:c>
      <x:c r="O12" s="62" t="n">
        <x:v>3.57</x:v>
      </x:c>
      <x:c r="P12" s="46" t="str">
        <x:v>exact_sea_around_us</x:v>
      </x:c>
      <x:c r="Q12" s="62" t="str">
        <x:v>Sea Around Us exploited organisms</x:v>
      </x:c>
      <x:c r="R12" s="46" t="str">
        <x:v>high</x:v>
      </x:c>
      <x:c r="S12" s="46" t="str">
        <x:v>Pleuronectiformes</x:v>
      </x:c>
      <x:c r="T12" s="62" t="n">
        <x:f>IF(O12="","",(1/'Metadata'!$B$5)^(O12-1))</x:f>
        <x:v>2206.2112196552644</x:v>
      </x:c>
      <x:c r="U12" s="60" t="n">
        <x:f>IF(T12="","",I12*T12)</x:f>
        <x:v>6335916.040291158</x:v>
      </x:c>
    </x:row>
    <x:row r="13" ht="18" customHeight="1">
      <x:c r="A13" s="46" t="str">
        <x:v>LME_008</x:v>
      </x:c>
      <x:c r="B13" s="46" t="str">
        <x:v>Scotian Shelf</x:v>
      </x:c>
      <x:c r="C13" s="46" t="str">
        <x:v>LME</x:v>
      </x:c>
      <x:c r="D13" s="58" t="n">
        <x:v>2019</x:v>
      </x:c>
      <x:c r="E13" s="46" t="str">
        <x:v>Marine fishes not identified</x:v>
      </x:c>
      <x:c r="F13" s="46" t="str">
        <x:v>Marine fishes nei</x:v>
      </x:c>
      <x:c r="G13" s="46" t="str">
        <x:v>Medium demersals (30 - 89 cm)</x:v>
      </x:c>
      <x:c r="H13" s="46" t="str">
        <x:v>Other fishes &amp; inverts</x:v>
      </x:c>
      <x:c r="I13" s="60" t="n">
        <x:v>2745.5217214742</x:v>
      </x:c>
      <x:c r="J13" s="60" t="n">
        <x:v>1764.5537435275</x:v>
      </x:c>
      <x:c r="K13" s="60" t="n">
        <x:v>980.9679779467001</x:v>
      </x:c>
      <x:c r="L13" s="60" t="n">
        <x:v>1066.7859457742</x:v>
      </x:c>
      <x:c r="M13" s="60" t="n">
        <x:v>1678.7357757</x:v>
      </x:c>
      <x:c r="N13" s="46" t="str">
        <x:v>marine fishes not identified</x:v>
      </x:c>
      <x:c r="O13" s="62" t="n">
        <x:v>3.28</x:v>
      </x:c>
      <x:c r="P13" s="46" t="str">
        <x:v>exact_sea_around_us</x:v>
      </x:c>
      <x:c r="Q13" s="62" t="str">
        <x:v>Sea Around Us exploited organisms</x:v>
      </x:c>
      <x:c r="R13" s="46" t="str">
        <x:v>high</x:v>
      </x:c>
      <x:c r="S13" s="46" t="str">
        <x:v>Marine fishes not identified</x:v>
      </x:c>
      <x:c r="T13" s="62" t="n">
        <x:f>IF(O13="","",(1/'Metadata'!$B$5)^(O13-1))</x:f>
        <x:v>925.4402624666747</x:v>
      </x:c>
      <x:c r="U13" s="60" t="n">
        <x:f>IF(T13="","",I13*T13)</x:f>
        <x:v>2540816.3425290403</x:v>
      </x:c>
    </x:row>
    <x:row r="14" ht="18" customHeight="1">
      <x:c r="A14" s="46" t="str">
        <x:v>LME_008</x:v>
      </x:c>
      <x:c r="B14" s="46" t="str">
        <x:v>Scotian Shelf</x:v>
      </x:c>
      <x:c r="C14" s="46" t="str">
        <x:v>LME</x:v>
      </x:c>
      <x:c r="D14" s="58" t="n">
        <x:v>2019</x:v>
      </x:c>
      <x:c r="E14" s="46" t="str">
        <x:v>Pandalus</x:v>
      </x:c>
      <x:c r="F14" s="46" t="str">
        <x:v>Seabed shrimps</x:v>
      </x:c>
      <x:c r="G14" s="46" t="str">
        <x:v>Shrimps</x:v>
      </x:c>
      <x:c r="H14" s="46" t="str">
        <x:v>Crustaceans</x:v>
      </x:c>
      <x:c r="I14" s="60" t="n">
        <x:v>2543.545260297</x:v>
      </x:c>
      <x:c r="J14" s="60" t="n">
        <x:v>2543.545260297</x:v>
      </x:c>
      <x:c r="K14" s="60" t="n">
        <x:v>0</x:v>
      </x:c>
      <x:c r="L14" s="60" t="n">
        <x:v>2543.545260297</x:v>
      </x:c>
      <x:c r="M14" s="60" t="n">
        <x:v>0</x:v>
      </x:c>
      <x:c r="N14" s="46" t="str">
        <x:v>pandalus</x:v>
      </x:c>
      <x:c r="O14" s="62" t="n">
        <x:v>2.6</x:v>
      </x:c>
      <x:c r="P14" s="46" t="str">
        <x:v>exact_sea_around_us</x:v>
      </x:c>
      <x:c r="Q14" s="62" t="str">
        <x:v>Sea Around Us exploited organisms</x:v>
      </x:c>
      <x:c r="R14" s="46" t="str">
        <x:v>high</x:v>
      </x:c>
      <x:c r="S14" s="46" t="str">
        <x:v>Pandalus</x:v>
      </x:c>
      <x:c r="T14" s="62" t="n">
        <x:f>IF(O14="","",(1/'Metadata'!$B$5)^(O14-1))</x:f>
        <x:v>120.6835267309033</x:v>
      </x:c>
      <x:c r="U14" s="60" t="n">
        <x:f>IF(T14="","",I14*T14)</x:f>
        <x:v>306964.01241231535</x:v>
      </x:c>
    </x:row>
    <x:row r="15" ht="18" customHeight="1">
      <x:c r="A15" s="46" t="str">
        <x:v>LME_008</x:v>
      </x:c>
      <x:c r="B15" s="46" t="str">
        <x:v>Scotian Shelf</x:v>
      </x:c>
      <x:c r="C15" s="46" t="str">
        <x:v>LME</x:v>
      </x:c>
      <x:c r="D15" s="58" t="n">
        <x:v>2019</x:v>
      </x:c>
      <x:c r="E15" s="46" t="str">
        <x:v>Marine groundfishes not identified</x:v>
      </x:c>
      <x:c r="F15" s="46" t="str">
        <x:v>Groundfishes</x:v>
      </x:c>
      <x:c r="G15" s="46" t="str">
        <x:v>Medium demersals (30 - 89 cm)</x:v>
      </x:c>
      <x:c r="H15" s="46" t="str">
        <x:v>Other fishes &amp; inverts</x:v>
      </x:c>
      <x:c r="I15" s="60" t="n">
        <x:v>2330.9180925899</x:v>
      </x:c>
      <x:c r="J15" s="60" t="n">
        <x:v>2330.9180925899</x:v>
      </x:c>
      <x:c r="K15" s="60" t="n">
        <x:v>0</x:v>
      </x:c>
      <x:c r="L15" s="60" t="n">
        <x:v>2330.9180925899</x:v>
      </x:c>
      <x:c r="M15" s="60" t="n">
        <x:v>0</x:v>
      </x:c>
      <x:c r="N15" s="46" t="str">
        <x:v>marine groundfishes not identified</x:v>
      </x:c>
      <x:c r="O15" s="62" t="n">
        <x:v>3.22</x:v>
      </x:c>
      <x:c r="P15" s="46" t="str">
        <x:v>exact_sea_around_us</x:v>
      </x:c>
      <x:c r="Q15" s="62" t="str">
        <x:v>Sea Around Us exploited organisms</x:v>
      </x:c>
      <x:c r="R15" s="46" t="str">
        <x:v>high</x:v>
      </x:c>
      <x:c r="S15" s="46" t="str">
        <x:v>Marine groundfishes not identified</x:v>
      </x:c>
      <x:c r="T15" s="62" t="n">
        <x:f>IF(O15="","",(1/'Metadata'!$B$5)^(O15-1))</x:f>
        <x:v>773.1906443023378</x:v>
      </x:c>
      <x:c r="U15" s="60" t="n">
        <x:f>IF(T15="","",I15*T15)</x:f>
        <x:v>1802244.0618255609</x:v>
      </x:c>
    </x:row>
    <x:row r="16" ht="18" customHeight="1">
      <x:c r="A16" s="46" t="str">
        <x:v>LME_008</x:v>
      </x:c>
      <x:c r="B16" s="46" t="str">
        <x:v>Scotian Shelf</x:v>
      </x:c>
      <x:c r="C16" s="46" t="str">
        <x:v>LME</x:v>
      </x:c>
      <x:c r="D16" s="58" t="n">
        <x:v>2019</x:v>
      </x:c>
      <x:c r="E16" s="46" t="str">
        <x:v>Sebastes</x:v>
      </x:c>
      <x:c r="F16" s="46" t="str">
        <x:v>Redfishes</x:v>
      </x:c>
      <x:c r="G16" s="46" t="str">
        <x:v>Large reef assoc. fish (&gt;=90 cm)</x:v>
      </x:c>
      <x:c r="H16" s="46" t="str">
        <x:v>Scorpionfishes</x:v>
      </x:c>
      <x:c r="I16" s="60" t="n">
        <x:v>1985.3664370230001</x:v>
      </x:c>
      <x:c r="J16" s="60" t="n">
        <x:v>1876.959457246</x:v>
      </x:c>
      <x:c r="K16" s="60" t="n">
        <x:v>108.406979777</x:v>
      </x:c>
      <x:c r="L16" s="60" t="n">
        <x:v>1639.6647893527002</x:v>
      </x:c>
      <x:c r="M16" s="60" t="n">
        <x:v>345.7016476703</x:v>
      </x:c>
      <x:c r="N16" s="46" t="str">
        <x:v>sebastes</x:v>
      </x:c>
      <x:c r="O16" s="62" t="n">
        <x:v>3.79</x:v>
      </x:c>
      <x:c r="P16" s="46" t="str">
        <x:v>exact_sea_around_us</x:v>
      </x:c>
      <x:c r="Q16" s="62" t="str">
        <x:v>Sea Around Us exploited organisms</x:v>
      </x:c>
      <x:c r="R16" s="46" t="str">
        <x:v>high</x:v>
      </x:c>
      <x:c r="S16" s="46" t="str">
        <x:v>Sebastes</x:v>
      </x:c>
      <x:c r="T16" s="62" t="n">
        <x:f>IF(O16="","",(1/'Metadata'!$B$5)^(O16-1))</x:f>
        <x:v>4264.554685980751</x:v>
      </x:c>
      <x:c r="U16" s="60" t="n">
        <x:f>IF(T16="","",I16*T16)</x:f>
        <x:v>8466703.742395343</x:v>
      </x:c>
    </x:row>
    <x:row r="17" ht="18" customHeight="1">
      <x:c r="A17" s="46" t="str">
        <x:v>LME_008</x:v>
      </x:c>
      <x:c r="B17" s="46" t="str">
        <x:v>Scotian Shelf</x:v>
      </x:c>
      <x:c r="C17" s="46" t="str">
        <x:v>LME</x:v>
      </x:c>
      <x:c r="D17" s="58" t="n">
        <x:v>2019</x:v>
      </x:c>
      <x:c r="E17" s="46" t="str">
        <x:v>Alosa pseudoharengus</x:v>
      </x:c>
      <x:c r="F17" s="46" t="str">
        <x:v>Alewife</x:v>
      </x:c>
      <x:c r="G17" s="46" t="str">
        <x:v>Medium pelagics (30 - 89 cm)</x:v>
      </x:c>
      <x:c r="H17" s="46" t="str">
        <x:v>Herring-likes</x:v>
      </x:c>
      <x:c r="I17" s="60" t="n">
        <x:v>1256.9372004881</x:v>
      </x:c>
      <x:c r="J17" s="60" t="n">
        <x:v>1256.9372004881</x:v>
      </x:c>
      <x:c r="K17" s="60" t="n">
        <x:v>0</x:v>
      </x:c>
      <x:c r="L17" s="60" t="n">
        <x:v>930.185102167</x:v>
      </x:c>
      <x:c r="M17" s="60" t="n">
        <x:v>326.7520983211</x:v>
      </x:c>
      <x:c r="N17" s="46" t="str">
        <x:v>alosa pseudoharengus</x:v>
      </x:c>
      <x:c r="O17" s="62" t="n">
        <x:v>3.39</x:v>
      </x:c>
      <x:c r="P17" s="46" t="str">
        <x:v>exact_2020_supplement</x:v>
      </x:c>
      <x:c r="Q17" s="62" t="str">
        <x:v>2020 supplement MeanTL</x:v>
      </x:c>
      <x:c r="R17" s="46" t="str">
        <x:v>high</x:v>
      </x:c>
      <x:c r="S17" s="46" t="str">
        <x:v>Alosa pseudoharengus</x:v>
      </x:c>
      <x:c r="T17" s="62" t="n">
        <x:f>IF(O17="","",(1/'Metadata'!$B$5)^(O17-1))</x:f>
        <x:v>1286.6537486023922</x:v>
      </x:c>
      <x:c r="U17" s="60" t="n">
        <x:f>IF(T17="","",I17*T17)</x:f>
        <x:v>1617242.9607658105</x:v>
      </x:c>
    </x:row>
    <x:row r="18" ht="18" customHeight="1">
      <x:c r="A18" s="46" t="str">
        <x:v>LME_008</x:v>
      </x:c>
      <x:c r="B18" s="46" t="str">
        <x:v>Scotian Shelf</x:v>
      </x:c>
      <x:c r="C18" s="46" t="str">
        <x:v>LME</x:v>
      </x:c>
      <x:c r="D18" s="58" t="n">
        <x:v>2019</x:v>
      </x:c>
      <x:c r="E18" s="46" t="str">
        <x:v>Brachyura</x:v>
      </x:c>
      <x:c r="F18" s="46" t="str">
        <x:v>Marine crabs</x:v>
      </x:c>
      <x:c r="G18" s="46" t="str">
        <x:v>Lobsters, crabs</x:v>
      </x:c>
      <x:c r="H18" s="46" t="str">
        <x:v>Crustaceans</x:v>
      </x:c>
      <x:c r="I18" s="60" t="n">
        <x:v>1193.2929924188002</x:v>
      </x:c>
      <x:c r="J18" s="60" t="n">
        <x:v>1192.9748257206002</x:v>
      </x:c>
      <x:c r="K18" s="60" t="n">
        <x:v>0.3181666982</x:v>
      </x:c>
      <x:c r="L18" s="60" t="n">
        <x:v>1192.9748257206002</x:v>
      </x:c>
      <x:c r="M18" s="60" t="n">
        <x:v>0.3181666982</x:v>
      </x:c>
      <x:c r="N18" s="46" t="str">
        <x:v>brachyura</x:v>
      </x:c>
      <x:c r="O18" s="62" t="n">
        <x:v>2.6</x:v>
      </x:c>
      <x:c r="P18" s="46" t="str">
        <x:v>exact_sea_around_us</x:v>
      </x:c>
      <x:c r="Q18" s="62" t="str">
        <x:v>Sea Around Us exploited organisms</x:v>
      </x:c>
      <x:c r="R18" s="46" t="str">
        <x:v>high</x:v>
      </x:c>
      <x:c r="S18" s="46" t="str">
        <x:v>Brachyura</x:v>
      </x:c>
      <x:c r="T18" s="62" t="n">
        <x:f>IF(O18="","",(1/'Metadata'!$B$5)^(O18-1))</x:f>
        <x:v>120.6835267309033</x:v>
      </x:c>
      <x:c r="U18" s="60" t="n">
        <x:f>IF(T18="","",I18*T18)</x:f>
        <x:v>144010.80674837384</x:v>
      </x:c>
    </x:row>
    <x:row r="19" ht="18" customHeight="1">
      <x:c r="A19" s="46" t="str">
        <x:v>LME_008</x:v>
      </x:c>
      <x:c r="B19" s="46" t="str">
        <x:v>Scotian Shelf</x:v>
      </x:c>
      <x:c r="C19" s="46" t="str">
        <x:v>LME</x:v>
      </x:c>
      <x:c r="D19" s="58" t="n">
        <x:v>2019</x:v>
      </x:c>
      <x:c r="E19" s="46" t="str">
        <x:v>Crassostrea virginica</x:v>
      </x:c>
      <x:c r="F19" s="46" t="str">
        <x:v>American cupped oyster</x:v>
      </x:c>
      <x:c r="G19" s="46" t="str">
        <x:v>Other demersal invertebrates</x:v>
      </x:c>
      <x:c r="H19" s="46" t="str">
        <x:v>Molluscs</x:v>
      </x:c>
      <x:c r="I19" s="60" t="n">
        <x:v>725.2977074127</x:v>
      </x:c>
      <x:c r="J19" s="60" t="n">
        <x:v>725.2977074127</x:v>
      </x:c>
      <x:c r="K19" s="60" t="n">
        <x:v>0</x:v>
      </x:c>
      <x:c r="L19" s="60" t="n">
        <x:v>725.2977074127</x:v>
      </x:c>
      <x:c r="M19" s="60" t="n">
        <x:v>0</x:v>
      </x:c>
      <x:c r="N19" s="46" t="str">
        <x:v>crassostrea virginica</x:v>
      </x:c>
      <x:c r="O19" s="62" t="n">
        <x:v>2</x:v>
      </x:c>
      <x:c r="P19" s="46" t="str">
        <x:v>exact_2020_supplement</x:v>
      </x:c>
      <x:c r="Q19" s="62" t="str">
        <x:v>2020 supplement MeanTL</x:v>
      </x:c>
      <x:c r="R19" s="46" t="str">
        <x:v>high</x:v>
      </x:c>
      <x:c r="S19" s="46" t="str">
        <x:v>Crassostrea virginica</x:v>
      </x:c>
      <x:c r="T19" s="62" t="n">
        <x:f>IF(O19="","",(1/'Metadata'!$B$5)^(O19-1))</x:f>
        <x:v>20</x:v>
      </x:c>
      <x:c r="U19" s="60" t="n">
        <x:f>IF(T19="","",I19*T19)</x:f>
        <x:v>14505.954148254</x:v>
      </x:c>
    </x:row>
    <x:row r="20" ht="18" customHeight="1">
      <x:c r="A20" s="46" t="str">
        <x:v>LME_008</x:v>
      </x:c>
      <x:c r="B20" s="46" t="str">
        <x:v>Scotian Shelf</x:v>
      </x:c>
      <x:c r="C20" s="46" t="str">
        <x:v>LME</x:v>
      </x:c>
      <x:c r="D20" s="58" t="n">
        <x:v>2019</x:v>
      </x:c>
      <x:c r="E20" s="46" t="str">
        <x:v>Myxine glutinosa</x:v>
      </x:c>
      <x:c r="F20" s="46" t="str">
        <x:v>Hagfish</x:v>
      </x:c>
      <x:c r="G20" s="46" t="str">
        <x:v>Medium demersals (30 - 89 cm)</x:v>
      </x:c>
      <x:c r="H20" s="46" t="str">
        <x:v>Other fishes &amp; inverts</x:v>
      </x:c>
      <x:c r="I20" s="60" t="n">
        <x:v>637.9668752996</x:v>
      </x:c>
      <x:c r="J20" s="60" t="n">
        <x:v>637.9668752996</x:v>
      </x:c>
      <x:c r="K20" s="60" t="n">
        <x:v>0</x:v>
      </x:c>
      <x:c r="L20" s="60" t="n">
        <x:v>0</x:v>
      </x:c>
      <x:c r="M20" s="60" t="n">
        <x:v>637.9668752996</x:v>
      </x:c>
      <x:c r="N20" s="46" t="str">
        <x:v>myxine glutinosa</x:v>
      </x:c>
      <x:c r="O20" s="62" t="n">
        <x:v>4.54</x:v>
      </x:c>
      <x:c r="P20" s="46" t="str">
        <x:v>exact_2020_supplement</x:v>
      </x:c>
      <x:c r="Q20" s="62" t="str">
        <x:v>2020 supplement MeanTL</x:v>
      </x:c>
      <x:c r="R20" s="46" t="str">
        <x:v>high</x:v>
      </x:c>
      <x:c r="S20" s="46" t="str">
        <x:v>Myxine glutinosa</x:v>
      </x:c>
      <x:c r="T20" s="62" t="n">
        <x:f>IF(O20="","",(1/'Metadata'!$B$5)^(O20-1))</x:f>
        <x:v>40331.66810401469</x:v>
      </x:c>
      <x:c r="U20" s="60" t="n">
        <x:f>IF(T20="","",I20*T20)</x:f>
        <x:v>25730268.275938794</x:v>
      </x:c>
    </x:row>
    <x:row r="21" ht="18" customHeight="1">
      <x:c r="A21" s="46" t="str">
        <x:v>LME_008</x:v>
      </x:c>
      <x:c r="B21" s="46" t="str">
        <x:v>Scotian Shelf</x:v>
      </x:c>
      <x:c r="C21" s="46" t="str">
        <x:v>LME</x:v>
      </x:c>
      <x:c r="D21" s="58" t="n">
        <x:v>2019</x:v>
      </x:c>
      <x:c r="E21" s="46" t="str">
        <x:v>Mallotus villosus</x:v>
      </x:c>
      <x:c r="F21" s="46" t="str">
        <x:v>Capelin</x:v>
      </x:c>
      <x:c r="G21" s="46" t="str">
        <x:v>Small pelagics (&lt;30 cm)</x:v>
      </x:c>
      <x:c r="H21" s="46" t="str">
        <x:v>Salmon, smelts, etc</x:v>
      </x:c>
      <x:c r="I21" s="60" t="n">
        <x:v>513.5983346009</x:v>
      </x:c>
      <x:c r="J21" s="60" t="n">
        <x:v>467.5269982478</x:v>
      </x:c>
      <x:c r="K21" s="60" t="n">
        <x:v>46.0713363531</x:v>
      </x:c>
      <x:c r="L21" s="60" t="n">
        <x:v>83.4672435184</x:v>
      </x:c>
      <x:c r="M21" s="60" t="n">
        <x:v>430.1310910825</x:v>
      </x:c>
      <x:c r="N21" s="46" t="str">
        <x:v>mallotus villosus</x:v>
      </x:c>
      <x:c r="O21" s="62" t="n">
        <x:v>3.15</x:v>
      </x:c>
      <x:c r="P21" s="46" t="str">
        <x:v>exact_2020_supplement</x:v>
      </x:c>
      <x:c r="Q21" s="62" t="str">
        <x:v>2020 supplement MeanTL</x:v>
      </x:c>
      <x:c r="R21" s="46" t="str">
        <x:v>high</x:v>
      </x:c>
      <x:c r="S21" s="46" t="str">
        <x:v>Mallotus villosus</x:v>
      </x:c>
      <x:c r="T21" s="62" t="n">
        <x:f>IF(O21="","",(1/'Metadata'!$B$5)^(O21-1))</x:f>
        <x:v>626.9234150652317</x:v>
      </x:c>
      <x:c r="U21" s="60" t="n">
        <x:f>IF(T21="","",I21*T21)</x:f>
        <x:v>321986.82189981174</x:v>
      </x:c>
    </x:row>
    <x:row r="22" ht="18" customHeight="1">
      <x:c r="A22" s="46" t="str">
        <x:v>LME_008</x:v>
      </x:c>
      <x:c r="B22" s="46" t="str">
        <x:v>Scotian Shelf</x:v>
      </x:c>
      <x:c r="C22" s="46" t="str">
        <x:v>LME</x:v>
      </x:c>
      <x:c r="D22" s="58" t="n">
        <x:v>2019</x:v>
      </x:c>
      <x:c r="E22" s="46" t="str">
        <x:v>Morone saxatilis</x:v>
      </x:c>
      <x:c r="F22" s="46" t="str">
        <x:v>Striped bass</x:v>
      </x:c>
      <x:c r="G22" s="46" t="str">
        <x:v>Large demersals (&gt;=90 cm)</x:v>
      </x:c>
      <x:c r="H22" s="46" t="str">
        <x:v>Perch-likes</x:v>
      </x:c>
      <x:c r="I22" s="60" t="n">
        <x:v>447.17139312079996</x:v>
      </x:c>
      <x:c r="J22" s="60" t="n">
        <x:v>447.17139312079996</x:v>
      </x:c>
      <x:c r="K22" s="60" t="n">
        <x:v>0</x:v>
      </x:c>
      <x:c r="L22" s="60" t="n">
        <x:v>0</x:v>
      </x:c>
      <x:c r="M22" s="60" t="n">
        <x:v>447.17139312079996</x:v>
      </x:c>
      <x:c r="N22" s="46" t="str">
        <x:v>morone saxatilis</x:v>
      </x:c>
      <x:c r="O22" s="62" t="n">
        <x:v>4.65</x:v>
      </x:c>
      <x:c r="P22" s="46" t="str">
        <x:v>exact_2020_supplement</x:v>
      </x:c>
      <x:c r="Q22" s="62" t="str">
        <x:v>2020 supplement MeanTL</x:v>
      </x:c>
      <x:c r="R22" s="46" t="str">
        <x:v>high</x:v>
      </x:c>
      <x:c r="S22" s="46" t="str">
        <x:v>Morone saxatilis</x:v>
      </x:c>
      <x:c r="T22" s="62" t="n">
        <x:f>IF(O22="","",(1/'Metadata'!$B$5)^(O22-1))</x:f>
        <x:v>56073.734910887026</x:v>
      </x:c>
      <x:c r="U22" s="60" t="n">
        <x:f>IF(T22="","",I22*T22)</x:f>
        <x:v>25074570.15758779</x:v>
      </x:c>
    </x:row>
    <x:row r="23" ht="18" customHeight="1">
      <x:c r="A23" s="46" t="str">
        <x:v>LME_008</x:v>
      </x:c>
      <x:c r="B23" s="46" t="str">
        <x:v>Scotian Shelf</x:v>
      </x:c>
      <x:c r="C23" s="46" t="str">
        <x:v>LME</x:v>
      </x:c>
      <x:c r="D23" s="58" t="n">
        <x:v>2019</x:v>
      </x:c>
      <x:c r="E23" s="46" t="str">
        <x:v>Pollachius virens</x:v>
      </x:c>
      <x:c r="F23" s="46" t="str">
        <x:v>Saithe</x:v>
      </x:c>
      <x:c r="G23" s="46" t="str">
        <x:v>Large demersals (&gt;=90 cm)</x:v>
      </x:c>
      <x:c r="H23" s="46" t="str">
        <x:v>Cod-likes</x:v>
      </x:c>
      <x:c r="I23" s="60" t="n">
        <x:v>439.2548627268</x:v>
      </x:c>
      <x:c r="J23" s="60" t="n">
        <x:v>186.4420076205</x:v>
      </x:c>
      <x:c r="K23" s="60" t="n">
        <x:v>252.8128551063</x:v>
      </x:c>
      <x:c r="L23" s="60" t="n">
        <x:v>186.4420076205</x:v>
      </x:c>
      <x:c r="M23" s="60" t="n">
        <x:v>252.8128551063</x:v>
      </x:c>
      <x:c r="N23" s="46" t="str">
        <x:v>pollachius virens</x:v>
      </x:c>
      <x:c r="O23" s="62" t="n">
        <x:v>4.31</x:v>
      </x:c>
      <x:c r="P23" s="46" t="str">
        <x:v>exact_2020_supplement</x:v>
      </x:c>
      <x:c r="Q23" s="62" t="str">
        <x:v>2020 supplement MeanTL</x:v>
      </x:c>
      <x:c r="R23" s="46" t="str">
        <x:v>high</x:v>
      </x:c>
      <x:c r="S23" s="46" t="str">
        <x:v>Pollachius virens</x:v>
      </x:c>
      <x:c r="T23" s="62" t="n">
        <x:f>IF(O23="","",(1/'Metadata'!$B$5)^(O23-1))</x:f>
        <x:v>20249.266010115305</x:v>
      </x:c>
      <x:c r="U23" s="60" t="n">
        <x:f>IF(T23="","",I23*T23)</x:f>
        <x:v>8894588.561591655</x:v>
      </x:c>
    </x:row>
    <x:row r="24" ht="18" customHeight="1">
      <x:c r="A24" s="46" t="str">
        <x:v>LME_008</x:v>
      </x:c>
      <x:c r="B24" s="46" t="str">
        <x:v>Scotian Shelf</x:v>
      </x:c>
      <x:c r="C24" s="46" t="str">
        <x:v>LME</x:v>
      </x:c>
      <x:c r="D24" s="58" t="n">
        <x:v>2019</x:v>
      </x:c>
      <x:c r="E24" s="46" t="str">
        <x:v>Salmo salar</x:v>
      </x:c>
      <x:c r="F24" s="46" t="str">
        <x:v>Atlantic salmon</x:v>
      </x:c>
      <x:c r="G24" s="46" t="str">
        <x:v>Large benthopelagics (&gt;=90 cm)</x:v>
      </x:c>
      <x:c r="H24" s="46" t="str">
        <x:v>Salmon, smelts, etc</x:v>
      </x:c>
      <x:c r="I24" s="60" t="n">
        <x:v>416.8790886435</x:v>
      </x:c>
      <x:c r="J24" s="60" t="n">
        <x:v>416.8790886435</x:v>
      </x:c>
      <x:c r="K24" s="60" t="n">
        <x:v>0</x:v>
      </x:c>
      <x:c r="L24" s="60" t="n">
        <x:v>0</x:v>
      </x:c>
      <x:c r="M24" s="60" t="n">
        <x:v>416.8790886435</x:v>
      </x:c>
      <x:c r="N24" s="46" t="str">
        <x:v>salmo salar</x:v>
      </x:c>
      <x:c r="O24" s="62" t="n">
        <x:v>4.5</x:v>
      </x:c>
      <x:c r="P24" s="46" t="str">
        <x:v>exact_2020_supplement</x:v>
      </x:c>
      <x:c r="Q24" s="62" t="str">
        <x:v>2020 supplement MeanTL</x:v>
      </x:c>
      <x:c r="R24" s="46" t="str">
        <x:v>high</x:v>
      </x:c>
      <x:c r="S24" s="46" t="str">
        <x:v>Salmo salar</x:v>
      </x:c>
      <x:c r="T24" s="62" t="n">
        <x:f>IF(O24="","",(1/'Metadata'!$B$5)^(O24-1))</x:f>
        <x:v>35777.08763999664</x:v>
      </x:c>
      <x:c r="U24" s="60" t="n">
        <x:f>IF(T24="","",I24*T24)</x:f>
        <x:v>14914719.689680425</x:v>
      </x:c>
    </x:row>
    <x:row r="25" ht="18" customHeight="1">
      <x:c r="A25" s="46" t="str">
        <x:v>LME_008</x:v>
      </x:c>
      <x:c r="B25" s="46" t="str">
        <x:v>Scotian Shelf</x:v>
      </x:c>
      <x:c r="C25" s="46" t="str">
        <x:v>LME</x:v>
      </x:c>
      <x:c r="D25" s="58" t="n">
        <x:v>2019</x:v>
      </x:c>
      <x:c r="E25" s="46" t="str">
        <x:v>Thunnus thynnus</x:v>
      </x:c>
      <x:c r="F25" s="46" t="str">
        <x:v>Atlantic bluefin tuna</x:v>
      </x:c>
      <x:c r="G25" s="46" t="str">
        <x:v>Large pelagics (&gt;=90 cm)</x:v>
      </x:c>
      <x:c r="H25" s="46" t="str">
        <x:v>Tuna &amp; billfishes</x:v>
      </x:c>
      <x:c r="I25" s="60" t="n">
        <x:v>386.33514106039996</x:v>
      </x:c>
      <x:c r="J25" s="60" t="n">
        <x:v>386.33514106039996</x:v>
      </x:c>
      <x:c r="K25" s="60" t="n">
        <x:v>0</x:v>
      </x:c>
      <x:c r="L25" s="60" t="n">
        <x:v>386.33514106039996</x:v>
      </x:c>
      <x:c r="M25" s="60" t="n">
        <x:v>0</x:v>
      </x:c>
      <x:c r="N25" s="46" t="str">
        <x:v>thunnus thynnus</x:v>
      </x:c>
      <x:c r="O25" s="62" t="n">
        <x:v>4.45</x:v>
      </x:c>
      <x:c r="P25" s="46" t="str">
        <x:v>exact_2020_supplement</x:v>
      </x:c>
      <x:c r="Q25" s="62" t="str">
        <x:v>2020 supplement MeanTL</x:v>
      </x:c>
      <x:c r="R25" s="46" t="str">
        <x:v>high</x:v>
      </x:c>
      <x:c r="S25" s="46" t="str">
        <x:v>Thunnus thynnus</x:v>
      </x:c>
      <x:c r="T25" s="62" t="n">
        <x:f>IF(O25="","",(1/'Metadata'!$B$5)^(O25-1))</x:f>
        <x:v>30800.19634445362</x:v>
      </x:c>
      <x:c r="U25" s="60" t="n">
        <x:f>IF(T25="","",I25*T25)</x:f>
        <x:v>11899198.199422505</x:v>
      </x:c>
    </x:row>
    <x:row r="26" ht="18" customHeight="1">
      <x:c r="A26" s="46" t="str">
        <x:v>LME_008</x:v>
      </x:c>
      <x:c r="B26" s="46" t="str">
        <x:v>Scotian Shelf</x:v>
      </x:c>
      <x:c r="C26" s="46" t="str">
        <x:v>LME</x:v>
      </x:c>
      <x:c r="D26" s="58" t="n">
        <x:v>2019</x:v>
      </x:c>
      <x:c r="E26" s="46" t="str">
        <x:v>Strongylocentrotus droebachiensis</x:v>
      </x:c>
      <x:c r="F26" s="46" t="str">
        <x:v>Green sea urchin</x:v>
      </x:c>
      <x:c r="G26" s="46" t="str">
        <x:v>Other demersal invertebrates</x:v>
      </x:c>
      <x:c r="H26" s="46" t="str">
        <x:v>Other fishes &amp; inverts</x:v>
      </x:c>
      <x:c r="I26" s="60" t="n">
        <x:v>379.7370126997</x:v>
      </x:c>
      <x:c r="J26" s="60" t="n">
        <x:v>0</x:v>
      </x:c>
      <x:c r="K26" s="60" t="n">
        <x:v>379.7370126997</x:v>
      </x:c>
      <x:c r="L26" s="60" t="n">
        <x:v>0</x:v>
      </x:c>
      <x:c r="M26" s="60" t="n">
        <x:v>379.7370126997</x:v>
      </x:c>
      <x:c r="N26" s="46" t="str">
        <x:v>strongylocentrotus droebachiensis</x:v>
      </x:c>
      <x:c r="O26" s="62" t="n">
        <x:v>2.3</x:v>
      </x:c>
      <x:c r="P26" s="46" t="str">
        <x:v>exact_sea_around_us</x:v>
      </x:c>
      <x:c r="Q26" s="62" t="str">
        <x:v>Sea Around Us exploited organisms</x:v>
      </x:c>
      <x:c r="R26" s="46" t="str">
        <x:v>high</x:v>
      </x:c>
      <x:c r="S26" s="46" t="str">
        <x:v>Strongylocentrotus droebachiensis</x:v>
      </x:c>
      <x:c r="T26" s="62" t="n">
        <x:f>IF(O26="","",(1/'Metadata'!$B$5)^(O26-1))</x:f>
        <x:v>49.12912104463159</x:v>
      </x:c>
      <x:c r="U26" s="60" t="n">
        <x:f>IF(T26="","",I26*T26)</x:f>
        <x:v>18656.145662050363</x:v>
      </x:c>
    </x:row>
    <x:row r="27" ht="18" customHeight="1">
      <x:c r="A27" s="46" t="str">
        <x:v>LME_008</x:v>
      </x:c>
      <x:c r="B27" s="46" t="str">
        <x:v>Scotian Shelf</x:v>
      </x:c>
      <x:c r="C27" s="46" t="str">
        <x:v>LME</x:v>
      </x:c>
      <x:c r="D27" s="58" t="n">
        <x:v>2019</x:v>
      </x:c>
      <x:c r="E27" s="46" t="str">
        <x:v>Rajidae</x:v>
      </x:c>
      <x:c r="F27" s="46" t="str">
        <x:v>Stingrays</x:v>
      </x:c>
      <x:c r="G27" s="46" t="str">
        <x:v>Large rays (&gt;=90 cm)</x:v>
      </x:c>
      <x:c r="H27" s="46" t="str">
        <x:v>Sharks &amp; rays</x:v>
      </x:c>
      <x:c r="I27" s="60" t="n">
        <x:v>362.1165945089</x:v>
      </x:c>
      <x:c r="J27" s="60" t="n">
        <x:v>0</x:v>
      </x:c>
      <x:c r="K27" s="60" t="n">
        <x:v>362.1165945089</x:v>
      </x:c>
      <x:c r="L27" s="60" t="n">
        <x:v>0</x:v>
      </x:c>
      <x:c r="M27" s="60" t="n">
        <x:v>362.1165945089</x:v>
      </x:c>
      <x:c r="N27" s="46" t="str">
        <x:v>rajidae</x:v>
      </x:c>
      <x:c r="O27" s="62" t="n">
        <x:v>3.82</x:v>
      </x:c>
      <x:c r="P27" s="46" t="str">
        <x:v>exact_sea_around_us</x:v>
      </x:c>
      <x:c r="Q27" s="62" t="str">
        <x:v>Sea Around Us exploited organisms</x:v>
      </x:c>
      <x:c r="R27" s="46" t="str">
        <x:v>high</x:v>
      </x:c>
      <x:c r="S27" s="46" t="str">
        <x:v>Rajidae</x:v>
      </x:c>
      <x:c r="T27" s="62" t="n">
        <x:f>IF(O27="","",(1/'Metadata'!$B$5)^(O27-1))</x:f>
        <x:v>4665.56868948727</x:v>
      </x:c>
      <x:c r="U27" s="60" t="n">
        <x:f>IF(T27="","",I27*T27)</x:f>
        <x:v>1689479.8452844815</x:v>
      </x:c>
    </x:row>
    <x:row r="28" ht="18" customHeight="1">
      <x:c r="A28" s="46" t="str">
        <x:v>LME_008</x:v>
      </x:c>
      <x:c r="B28" s="46" t="str">
        <x:v>Scotian Shelf</x:v>
      </x:c>
      <x:c r="C28" s="46" t="str">
        <x:v>LME</x:v>
      </x:c>
      <x:c r="D28" s="58" t="n">
        <x:v>2019</x:v>
      </x:c>
      <x:c r="E28" s="46" t="str">
        <x:v>Pleuronectidae</x:v>
      </x:c>
      <x:c r="F28" s="46" t="str">
        <x:v>Righteye flounders</x:v>
      </x:c>
      <x:c r="G28" s="46" t="str">
        <x:v>Small to medium flatfishes (&lt;90 cm)</x:v>
      </x:c>
      <x:c r="H28" s="46" t="str">
        <x:v>Flatfishes</x:v>
      </x:c>
      <x:c r="I28" s="60" t="n">
        <x:v>347.9831155947</x:v>
      </x:c>
      <x:c r="J28" s="60" t="n">
        <x:v>347.9831155947</x:v>
      </x:c>
      <x:c r="K28" s="60" t="n">
        <x:v>0</x:v>
      </x:c>
      <x:c r="L28" s="60" t="n">
        <x:v>0</x:v>
      </x:c>
      <x:c r="M28" s="60" t="n">
        <x:v>347.9831155947</x:v>
      </x:c>
      <x:c r="N28" s="46" t="str">
        <x:v>pleuronectidae</x:v>
      </x:c>
      <x:c r="O28" s="62" t="n">
        <x:v>3.49</x:v>
      </x:c>
      <x:c r="P28" s="46" t="str">
        <x:v>exact_sea_around_us</x:v>
      </x:c>
      <x:c r="Q28" s="62" t="str">
        <x:v>Sea Around Us exploited organisms</x:v>
      </x:c>
      <x:c r="R28" s="46" t="str">
        <x:v>high</x:v>
      </x:c>
      <x:c r="S28" s="46" t="str">
        <x:v>Pleuronectidae</x:v>
      </x:c>
      <x:c r="T28" s="62" t="n">
        <x:f>IF(O28="","",(1/'Metadata'!$B$5)^(O28-1))</x:f>
        <x:v>1736.059833884101</x:v>
      </x:c>
      <x:c r="U28" s="60" t="n">
        <x:f>IF(T28="","",I28*T28)</x:f>
        <x:v>604119.5098538068</x:v>
      </x:c>
    </x:row>
    <x:row r="29" ht="18" customHeight="1">
      <x:c r="A29" s="46" t="str">
        <x:v>LME_008</x:v>
      </x:c>
      <x:c r="B29" s="46" t="str">
        <x:v>Scotian Shelf</x:v>
      </x:c>
      <x:c r="C29" s="46" t="str">
        <x:v>LME</x:v>
      </x:c>
      <x:c r="D29" s="58" t="n">
        <x:v>2019</x:v>
      </x:c>
      <x:c r="E29" s="46" t="str">
        <x:v>Acipenser oxyrinchus</x:v>
      </x:c>
      <x:c r="F29" s="46" t="str">
        <x:v>Atlantic sturgeon</x:v>
      </x:c>
      <x:c r="G29" s="46" t="str">
        <x:v>Large demersals (&gt;=90 cm)</x:v>
      </x:c>
      <x:c r="H29" s="46" t="str">
        <x:v>Other fishes &amp; inverts</x:v>
      </x:c>
      <x:c r="I29" s="60" t="n">
        <x:v>335.1997947565</x:v>
      </x:c>
      <x:c r="J29" s="60" t="n">
        <x:v>335.1997947565</x:v>
      </x:c>
      <x:c r="K29" s="60" t="n">
        <x:v>0</x:v>
      </x:c>
      <x:c r="L29" s="60" t="n">
        <x:v>0</x:v>
      </x:c>
      <x:c r="M29" s="60" t="n">
        <x:v>335.1997947565</x:v>
      </x:c>
      <x:c r="N29" s="46" t="str">
        <x:v>acipenser oxyrinchus</x:v>
      </x:c>
      <x:c r="O29" s="62" t="n">
        <x:v>3.325</x:v>
      </x:c>
      <x:c r="P29" s="46" t="str">
        <x:v>exact_2020_supplement</x:v>
      </x:c>
      <x:c r="Q29" s="62" t="str">
        <x:v>2020 supplement MeanTL</x:v>
      </x:c>
      <x:c r="R29" s="46" t="str">
        <x:v>high</x:v>
      </x:c>
      <x:c r="S29" s="46" t="str">
        <x:v>Acipenser oxyrinchus</x:v>
      </x:c>
      <x:c r="T29" s="62" t="n">
        <x:f>IF(O29="","",(1/'Metadata'!$B$5)^(O29-1))</x:f>
        <x:v>1058.9970246500886</x:v>
      </x:c>
      <x:c r="U29" s="60" t="n">
        <x:f>IF(T29="","",I29*T29)</x:f>
        <x:v>354975.5853104539</x:v>
      </x:c>
    </x:row>
    <x:row r="30" ht="18" customHeight="1">
      <x:c r="A30" s="46" t="str">
        <x:v>LME_008</x:v>
      </x:c>
      <x:c r="B30" s="46" t="str">
        <x:v>Scotian Shelf</x:v>
      </x:c>
      <x:c r="C30" s="46" t="str">
        <x:v>LME</x:v>
      </x:c>
      <x:c r="D30" s="58" t="n">
        <x:v>2019</x:v>
      </x:c>
      <x:c r="E30" s="46" t="str">
        <x:v>Osmeridae</x:v>
      </x:c>
      <x:c r="F30" s="46" t="str">
        <x:v>Smelts</x:v>
      </x:c>
      <x:c r="G30" s="46" t="str">
        <x:v>Small pelagics (&lt;30 cm)</x:v>
      </x:c>
      <x:c r="H30" s="46" t="str">
        <x:v>Salmon, smelts, etc</x:v>
      </x:c>
      <x:c r="I30" s="60" t="n">
        <x:v>309.14978281189997</x:v>
      </x:c>
      <x:c r="J30" s="60" t="n">
        <x:v>309.14978281189997</x:v>
      </x:c>
      <x:c r="K30" s="60" t="n">
        <x:v>0</x:v>
      </x:c>
      <x:c r="L30" s="60" t="n">
        <x:v>0</x:v>
      </x:c>
      <x:c r="M30" s="60" t="n">
        <x:v>309.14978281189997</x:v>
      </x:c>
      <x:c r="N30" s="46" t="str">
        <x:v>osmeridae</x:v>
      </x:c>
      <x:c r="O30" s="62" t="n">
        <x:v>3.46</x:v>
      </x:c>
      <x:c r="P30" s="46" t="str">
        <x:v>exact_sea_around_us</x:v>
      </x:c>
      <x:c r="Q30" s="62" t="str">
        <x:v>Sea Around Us exploited organisms</x:v>
      </x:c>
      <x:c r="R30" s="46" t="str">
        <x:v>high</x:v>
      </x:c>
      <x:c r="S30" s="46" t="str">
        <x:v>Osmeridae</x:v>
      </x:c>
      <x:c r="T30" s="62" t="n">
        <x:f>IF(O30="","",(1/'Metadata'!$B$5)^(O30-1))</x:f>
        <x:v>1586.8423749532276</x:v>
      </x:c>
      <x:c r="U30" s="60" t="n">
        <x:f>IF(T30="","",I30*T30)</x:f>
        <x:v>490571.9755735098</x:v>
      </x:c>
    </x:row>
    <x:row r="31" ht="18" customHeight="1">
      <x:c r="A31" s="46" t="str">
        <x:v>LME_008</x:v>
      </x:c>
      <x:c r="B31" s="46" t="str">
        <x:v>Scotian Shelf</x:v>
      </x:c>
      <x:c r="C31" s="46" t="str">
        <x:v>LME</x:v>
      </x:c>
      <x:c r="D31" s="58" t="n">
        <x:v>2019</x:v>
      </x:c>
      <x:c r="E31" s="46" t="str">
        <x:v>Scombroidei</x:v>
      </x:c>
      <x:c r="F31" s="46" t="str">
        <x:v>Tunas, bonitos, billfishes</x:v>
      </x:c>
      <x:c r="G31" s="46" t="str">
        <x:v>Large pelagics (&gt;=90 cm)</x:v>
      </x:c>
      <x:c r="H31" s="46" t="str">
        <x:v>Tuna &amp; billfishes</x:v>
      </x:c>
      <x:c r="I31" s="60" t="n">
        <x:v>306.2361243116</x:v>
      </x:c>
      <x:c r="J31" s="60" t="n">
        <x:v>306.2361243116</x:v>
      </x:c>
      <x:c r="K31" s="60" t="n">
        <x:v>0</x:v>
      </x:c>
      <x:c r="L31" s="60" t="n">
        <x:v>295.728394833</x:v>
      </x:c>
      <x:c r="M31" s="60" t="n">
        <x:v>10.5077294786</x:v>
      </x:c>
      <x:c r="N31" s="46" t="str">
        <x:v>scombroidei</x:v>
      </x:c>
      <x:c r="O31" s="62" t="n">
        <x:v>4.2</x:v>
      </x:c>
      <x:c r="P31" s="46" t="str">
        <x:v>exact_sea_around_us</x:v>
      </x:c>
      <x:c r="Q31" s="62" t="str">
        <x:v>Sea Around Us exploited organisms</x:v>
      </x:c>
      <x:c r="R31" s="46" t="str">
        <x:v>high</x:v>
      </x:c>
      <x:c r="S31" s="46" t="str">
        <x:v>Scombroidei</x:v>
      </x:c>
      <x:c r="T31" s="62" t="n">
        <x:f>IF(O31="","",(1/'Metadata'!$B$5)^(O31-1))</x:f>
        <x:v>14564.51362420865</x:v>
      </x:c>
      <x:c r="U31" s="60" t="n">
        <x:f>IF(T31="","",I31*T31)</x:f>
        <x:v>4460180.204761152</x:v>
      </x:c>
    </x:row>
    <x:row r="32" ht="18" customHeight="1">
      <x:c r="A32" s="46" t="str">
        <x:v>LME_008</x:v>
      </x:c>
      <x:c r="B32" s="46" t="str">
        <x:v>Scotian Shelf</x:v>
      </x:c>
      <x:c r="C32" s="46" t="str">
        <x:v>LME</x:v>
      </x:c>
      <x:c r="D32" s="58" t="n">
        <x:v>2019</x:v>
      </x:c>
      <x:c r="E32" s="46" t="str">
        <x:v>Mollusca</x:v>
      </x:c>
      <x:c r="F32" s="46" t="str">
        <x:v>Clams, seasnails, squids, octopuses</x:v>
      </x:c>
      <x:c r="G32" s="46" t="str">
        <x:v>Other demersal invertebrates</x:v>
      </x:c>
      <x:c r="H32" s="46" t="str">
        <x:v>Molluscs</x:v>
      </x:c>
      <x:c r="I32" s="60" t="n">
        <x:v>304.75123544409996</x:v>
      </x:c>
      <x:c r="J32" s="60" t="n">
        <x:v>296.3334816365</x:v>
      </x:c>
      <x:c r="K32" s="60" t="n">
        <x:v>8.4177538076</x:v>
      </x:c>
      <x:c r="L32" s="60" t="n">
        <x:v>0</x:v>
      </x:c>
      <x:c r="M32" s="60" t="n">
        <x:v>304.75123544409996</x:v>
      </x:c>
      <x:c r="N32" s="46" t="str">
        <x:v>mollusca</x:v>
      </x:c>
      <x:c r="O32" s="62" t="n">
        <x:v>2.1</x:v>
      </x:c>
      <x:c r="P32" s="46" t="str">
        <x:v>exact_sea_around_us</x:v>
      </x:c>
      <x:c r="Q32" s="62" t="str">
        <x:v>Sea Around Us exploited organisms</x:v>
      </x:c>
      <x:c r="R32" s="46" t="str">
        <x:v>high</x:v>
      </x:c>
      <x:c r="S32" s="46" t="str">
        <x:v>Mollusca</x:v>
      </x:c>
      <x:c r="T32" s="62" t="n">
        <x:f>IF(O32="","",(1/'Metadata'!$B$5)^(O32-1))</x:f>
        <x:v>26.985656953471274</x:v>
      </x:c>
      <x:c r="U32" s="60" t="n">
        <x:f>IF(T32="","",I32*T32)</x:f>
        <x:v>8223.912295841037</x:v>
      </x:c>
    </x:row>
    <x:row r="33" ht="18" customHeight="1">
      <x:c r="A33" s="46" t="str">
        <x:v>LME_008</x:v>
      </x:c>
      <x:c r="B33" s="46" t="str">
        <x:v>Scotian Shelf</x:v>
      </x:c>
      <x:c r="C33" s="46" t="str">
        <x:v>LME</x:v>
      </x:c>
      <x:c r="D33" s="58" t="n">
        <x:v>2019</x:v>
      </x:c>
      <x:c r="E33" s="46" t="str">
        <x:v>Salmo</x:v>
      </x:c>
      <x:c r="F33" s="46" t="str">
        <x:v>Trouts</x:v>
      </x:c>
      <x:c r="G33" s="46" t="str">
        <x:v>Large benthopelagics (&gt;=90 cm)</x:v>
      </x:c>
      <x:c r="H33" s="46" t="str">
        <x:v>Salmon, smelts, etc</x:v>
      </x:c>
      <x:c r="I33" s="60" t="n">
        <x:v>261.1923725525</x:v>
      </x:c>
      <x:c r="J33" s="60" t="n">
        <x:v>261.1923725525</x:v>
      </x:c>
      <x:c r="K33" s="60" t="n">
        <x:v>0</x:v>
      </x:c>
      <x:c r="L33" s="60" t="n">
        <x:v>0</x:v>
      </x:c>
      <x:c r="M33" s="60" t="n">
        <x:v>261.1923725525</x:v>
      </x:c>
      <x:c r="N33" s="46" t="str">
        <x:v>salmo</x:v>
      </x:c>
      <x:c r="O33" s="62" t="n">
        <x:v>4</x:v>
      </x:c>
      <x:c r="P33" s="46" t="str">
        <x:v>exact_sea_around_us</x:v>
      </x:c>
      <x:c r="Q33" s="62" t="str">
        <x:v>Sea Around Us exploited organisms</x:v>
      </x:c>
      <x:c r="R33" s="46" t="str">
        <x:v>high</x:v>
      </x:c>
      <x:c r="S33" s="46" t="str">
        <x:v>Salmo</x:v>
      </x:c>
      <x:c r="T33" s="62" t="n">
        <x:f>IF(O33="","",(1/'Metadata'!$B$5)^(O33-1))</x:f>
        <x:v>8000</x:v>
      </x:c>
      <x:c r="U33" s="60" t="n">
        <x:f>IF(T33="","",I33*T33)</x:f>
        <x:v>2089538.98042</x:v>
      </x:c>
    </x:row>
    <x:row r="34" ht="18" customHeight="1">
      <x:c r="A34" s="46" t="str">
        <x:v>LME_008</x:v>
      </x:c>
      <x:c r="B34" s="46" t="str">
        <x:v>Scotian Shelf</x:v>
      </x:c>
      <x:c r="C34" s="46" t="str">
        <x:v>LME</x:v>
      </x:c>
      <x:c r="D34" s="58" t="n">
        <x:v>2019</x:v>
      </x:c>
      <x:c r="E34" s="46" t="str">
        <x:v>Scorpaeniformes</x:v>
      </x:c>
      <x:c r="F34" s="46" t="str">
        <x:v>Scorpionfishes, flatheads</x:v>
      </x:c>
      <x:c r="G34" s="46" t="str">
        <x:v>Medium demersals (30 - 89 cm)</x:v>
      </x:c>
      <x:c r="H34" s="46" t="str">
        <x:v>Scorpionfishes</x:v>
      </x:c>
      <x:c r="I34" s="60" t="n">
        <x:v>254.63979365149999</x:v>
      </x:c>
      <x:c r="J34" s="60" t="n">
        <x:v>82.0323899355</x:v>
      </x:c>
      <x:c r="K34" s="60" t="n">
        <x:v>172.607403716</x:v>
      </x:c>
      <x:c r="L34" s="60" t="n">
        <x:v>82.0323899355</x:v>
      </x:c>
      <x:c r="M34" s="60" t="n">
        <x:v>172.607403716</x:v>
      </x:c>
      <x:c r="N34" s="46" t="str">
        <x:v>scorpaeniformes</x:v>
      </x:c>
      <x:c r="O34" s="62" t="n">
        <x:v>3.78</x:v>
      </x:c>
      <x:c r="P34" s="46" t="str">
        <x:v>exact_sea_around_us</x:v>
      </x:c>
      <x:c r="Q34" s="62" t="str">
        <x:v>Sea Around Us exploited organisms</x:v>
      </x:c>
      <x:c r="R34" s="46" t="str">
        <x:v>high</x:v>
      </x:c>
      <x:c r="S34" s="46" t="str">
        <x:v>Scorpaeniformes</x:v>
      </x:c>
      <x:c r="T34" s="62" t="n">
        <x:f>IF(O34="","",(1/'Metadata'!$B$5)^(O34-1))</x:f>
        <x:v>4138.694671981463</x:v>
      </x:c>
      <x:c r="U34" s="60" t="n">
        <x:f>IF(T34="","",I34*T34)</x:f>
        <x:v>1053876.3572599222</x:v>
      </x:c>
    </x:row>
    <x:row r="35" ht="18" customHeight="1">
      <x:c r="A35" s="46" t="str">
        <x:v>LME_008</x:v>
      </x:c>
      <x:c r="B35" s="46" t="str">
        <x:v>Scotian Shelf</x:v>
      </x:c>
      <x:c r="C35" s="46" t="str">
        <x:v>LME</x:v>
      </x:c>
      <x:c r="D35" s="58" t="n">
        <x:v>2019</x:v>
      </x:c>
      <x:c r="E35" s="46" t="str">
        <x:v>Cyclopterus lumpus</x:v>
      </x:c>
      <x:c r="F35" s="46" t="str">
        <x:v>Lumpfish</x:v>
      </x:c>
      <x:c r="G35" s="46" t="str">
        <x:v>Medium benthopelagics (30 - 89 cm)</x:v>
      </x:c>
      <x:c r="H35" s="46" t="str">
        <x:v>Scorpionfishes</x:v>
      </x:c>
      <x:c r="I35" s="60" t="n">
        <x:v>207.0805166509</x:v>
      </x:c>
      <x:c r="J35" s="60" t="n">
        <x:v>0.0343527193</x:v>
      </x:c>
      <x:c r="K35" s="60" t="n">
        <x:v>207.0461639316</x:v>
      </x:c>
      <x:c r="L35" s="60" t="n">
        <x:v>0.0343527193</x:v>
      </x:c>
      <x:c r="M35" s="60" t="n">
        <x:v>207.0461639316</x:v>
      </x:c>
      <x:c r="N35" s="46" t="str">
        <x:v>cyclopterus lumpus</x:v>
      </x:c>
      <x:c r="O35" s="62" t="n">
        <x:v>3.89</x:v>
      </x:c>
      <x:c r="P35" s="46" t="str">
        <x:v>exact_2020_supplement</x:v>
      </x:c>
      <x:c r="Q35" s="62" t="str">
        <x:v>2020 supplement MeanTL</x:v>
      </x:c>
      <x:c r="R35" s="46" t="str">
        <x:v>high</x:v>
      </x:c>
      <x:c r="S35" s="46" t="str">
        <x:v>Cyclopterus lumpus</x:v>
      </x:c>
      <x:c r="T35" s="62" t="n">
        <x:f>IF(O35="","",(1/'Metadata'!$B$5)^(O35-1))</x:f>
        <x:v>5754.090490759748</x:v>
      </x:c>
      <x:c r="U35" s="60" t="n">
        <x:f>IF(T35="","",I35*T35)</x:f>
        <x:v>1191560.0316825593</x:v>
      </x:c>
    </x:row>
    <x:row r="36" ht="18" customHeight="1">
      <x:c r="A36" s="46" t="str">
        <x:v>LME_008</x:v>
      </x:c>
      <x:c r="B36" s="46" t="str">
        <x:v>Scotian Shelf</x:v>
      </x:c>
      <x:c r="C36" s="46" t="str">
        <x:v>LME</x:v>
      </x:c>
      <x:c r="D36" s="58" t="n">
        <x:v>2019</x:v>
      </x:c>
      <x:c r="E36" s="46" t="str">
        <x:v>Urophycis tenuis</x:v>
      </x:c>
      <x:c r="F36" s="46" t="str">
        <x:v>White hake</x:v>
      </x:c>
      <x:c r="G36" s="46" t="str">
        <x:v>Large demersals (&gt;=90 cm)</x:v>
      </x:c>
      <x:c r="H36" s="46" t="str">
        <x:v>Cod-likes</x:v>
      </x:c>
      <x:c r="I36" s="60" t="n">
        <x:v>204.17630569300002</x:v>
      </x:c>
      <x:c r="J36" s="60" t="n">
        <x:v>0</x:v>
      </x:c>
      <x:c r="K36" s="60" t="n">
        <x:v>204.17630569300002</x:v>
      </x:c>
      <x:c r="L36" s="60" t="n">
        <x:v>0</x:v>
      </x:c>
      <x:c r="M36" s="60" t="n">
        <x:v>204.17630569300002</x:v>
      </x:c>
      <x:c r="N36" s="46" t="str">
        <x:v>urophycis tenuis</x:v>
      </x:c>
      <x:c r="O36" s="62" t="n">
        <x:v>4.27</x:v>
      </x:c>
      <x:c r="P36" s="46" t="str">
        <x:v>exact_2020_supplement</x:v>
      </x:c>
      <x:c r="Q36" s="62" t="str">
        <x:v>2020 supplement MeanTL</x:v>
      </x:c>
      <x:c r="R36" s="46" t="str">
        <x:v>high</x:v>
      </x:c>
      <x:c r="S36" s="46" t="str">
        <x:v>Urophycis tenuis</x:v>
      </x:c>
      <x:c r="T36" s="62" t="n">
        <x:f>IF(O36="","",(1/'Metadata'!$B$5)^(O36-1))</x:f>
        <x:v>17962.55396184286</x:v>
      </x:c>
      <x:c r="U36" s="60" t="n">
        <x:f>IF(T36="","",I36*T36)</x:f>
        <x:v>3667527.9087402364</x:v>
      </x:c>
    </x:row>
    <x:row r="37" ht="18" customHeight="1">
      <x:c r="A37" s="46" t="str">
        <x:v>LME_008</x:v>
      </x:c>
      <x:c r="B37" s="46" t="str">
        <x:v>Scotian Shelf</x:v>
      </x:c>
      <x:c r="C37" s="46" t="str">
        <x:v>LME</x:v>
      </x:c>
      <x:c r="D37" s="58" t="n">
        <x:v>2019</x:v>
      </x:c>
      <x:c r="E37" s="46" t="str">
        <x:v>Hippoglossoides platessoides</x:v>
      </x:c>
      <x:c r="F37" s="46" t="str">
        <x:v>American plaice</x:v>
      </x:c>
      <x:c r="G37" s="46" t="str">
        <x:v>Small to medium flatfishes (&lt;90 cm)</x:v>
      </x:c>
      <x:c r="H37" s="46" t="str">
        <x:v>Flatfishes</x:v>
      </x:c>
      <x:c r="I37" s="60" t="n">
        <x:v>180.07949562459999</x:v>
      </x:c>
      <x:c r="J37" s="60" t="n">
        <x:v>0</x:v>
      </x:c>
      <x:c r="K37" s="60" t="n">
        <x:v>180.07949562459999</x:v>
      </x:c>
      <x:c r="L37" s="60" t="n">
        <x:v>0</x:v>
      </x:c>
      <x:c r="M37" s="60" t="n">
        <x:v>180.07949562459999</x:v>
      </x:c>
      <x:c r="N37" s="46" t="str">
        <x:v>hippoglossoides platessoides</x:v>
      </x:c>
      <x:c r="O37" s="62" t="n">
        <x:v>4.08</x:v>
      </x:c>
      <x:c r="P37" s="46" t="str">
        <x:v>exact_2020_supplement</x:v>
      </x:c>
      <x:c r="Q37" s="62" t="str">
        <x:v>2020 supplement MeanTL</x:v>
      </x:c>
      <x:c r="R37" s="46" t="str">
        <x:v>high</x:v>
      </x:c>
      <x:c r="S37" s="46" t="str">
        <x:v>Hippoglossoides platessoides</x:v>
      </x:c>
      <x:c r="T37" s="62" t="n">
        <x:f>IF(O37="","",(1/'Metadata'!$B$5)^(O37-1))</x:f>
        <x:v>10166.521575327472</x:v>
      </x:c>
      <x:c r="U37" s="60" t="n">
        <x:f>IF(T37="","",I37*T37)</x:f>
        <x:v>1830782.0775415848</x:v>
      </x:c>
    </x:row>
    <x:row r="38" ht="18" customHeight="1">
      <x:c r="A38" s="46" t="str">
        <x:v>LME_008</x:v>
      </x:c>
      <x:c r="B38" s="46" t="str">
        <x:v>Scotian Shelf</x:v>
      </x:c>
      <x:c r="C38" s="46" t="str">
        <x:v>LME</x:v>
      </x:c>
      <x:c r="D38" s="58" t="n">
        <x:v>2019</x:v>
      </x:c>
      <x:c r="E38" s="46" t="str">
        <x:v>Elasmobranchii</x:v>
      </x:c>
      <x:c r="F38" s="46" t="str">
        <x:v>Sharks, rays, skates</x:v>
      </x:c>
      <x:c r="G38" s="46" t="str">
        <x:v>Large sharks (&gt;=90 cm)</x:v>
      </x:c>
      <x:c r="H38" s="46" t="str">
        <x:v>Sharks &amp; rays</x:v>
      </x:c>
      <x:c r="I38" s="60" t="n">
        <x:v>144.8452054261</x:v>
      </x:c>
      <x:c r="J38" s="60" t="n">
        <x:v>0.3170414949</x:v>
      </x:c>
      <x:c r="K38" s="60" t="n">
        <x:v>144.52816393120003</x:v>
      </x:c>
      <x:c r="L38" s="60" t="n">
        <x:v>0.3170414949</x:v>
      </x:c>
      <x:c r="M38" s="60" t="n">
        <x:v>144.52816393120003</x:v>
      </x:c>
      <x:c r="N38" s="46" t="str">
        <x:v>elasmobranchii</x:v>
      </x:c>
      <x:c r="O38" s="62" t="n">
        <x:v>4.05</x:v>
      </x:c>
      <x:c r="P38" s="46" t="str">
        <x:v>exact_sea_around_us</x:v>
      </x:c>
      <x:c r="Q38" s="62" t="str">
        <x:v>Sea Around Us exploited organisms</x:v>
      </x:c>
      <x:c r="R38" s="46" t="str">
        <x:v>high</x:v>
      </x:c>
      <x:c r="S38" s="46" t="str">
        <x:v>Elasmobranchii</x:v>
      </x:c>
      <x:c r="T38" s="62" t="n">
        <x:f>IF(O38="","",(1/'Metadata'!$B$5)^(O38-1))</x:f>
        <x:v>9292.690797132333</x:v>
      </x:c>
      <x:c r="U38" s="60" t="n">
        <x:f>IF(T38="","",I38*T38)</x:f>
        <x:v>1346001.7074718617</x:v>
      </x:c>
    </x:row>
    <x:row r="39" ht="18" customHeight="1">
      <x:c r="A39" s="46" t="str">
        <x:v>LME_008</x:v>
      </x:c>
      <x:c r="B39" s="46" t="str">
        <x:v>Scotian Shelf</x:v>
      </x:c>
      <x:c r="C39" s="46" t="str">
        <x:v>LME</x:v>
      </x:c>
      <x:c r="D39" s="58" t="n">
        <x:v>2019</x:v>
      </x:c>
      <x:c r="E39" s="46" t="str">
        <x:v>Lithodidae</x:v>
      </x:c>
      <x:c r="F39" s="46" t="str">
        <x:v>Stone/king crabs</x:v>
      </x:c>
      <x:c r="G39" s="46" t="str">
        <x:v>Lobsters, crabs</x:v>
      </x:c>
      <x:c r="H39" s="46" t="str">
        <x:v>Crustaceans</x:v>
      </x:c>
      <x:c r="I39" s="60" t="n">
        <x:v>116.7375459443</x:v>
      </x:c>
      <x:c r="J39" s="60" t="n">
        <x:v>0</x:v>
      </x:c>
      <x:c r="K39" s="60" t="n">
        <x:v>116.7375459443</x:v>
      </x:c>
      <x:c r="L39" s="60" t="n">
        <x:v>0</x:v>
      </x:c>
      <x:c r="M39" s="60" t="n">
        <x:v>116.7375459443</x:v>
      </x:c>
      <x:c r="N39" s="46" t="str">
        <x:v>lithodidae</x:v>
      </x:c>
      <x:c r="O39" s="62" t="n">
        <x:v>2.82</x:v>
      </x:c>
      <x:c r="P39" s="46" t="str">
        <x:v>exact_sea_around_us</x:v>
      </x:c>
      <x:c r="Q39" s="62" t="str">
        <x:v>Sea Around Us exploited organisms</x:v>
      </x:c>
      <x:c r="R39" s="46" t="str">
        <x:v>high</x:v>
      </x:c>
      <x:c r="S39" s="46" t="str">
        <x:v>Lithodidae</x:v>
      </x:c>
      <x:c r="T39" s="62" t="n">
        <x:f>IF(O39="","",(1/'Metadata'!$B$5)^(O39-1))</x:f>
        <x:v>233.27843447436348</x:v>
      </x:c>
      <x:c r="U39" s="60" t="n">
        <x:f>IF(T39="","",I39*T39)</x:f>
        <x:v>27232.351962265384</x:v>
      </x:c>
    </x:row>
    <x:row r="40" ht="18" customHeight="1">
      <x:c r="A40" s="46" t="str">
        <x:v>LME_008</x:v>
      </x:c>
      <x:c r="B40" s="46" t="str">
        <x:v>Scotian Shelf</x:v>
      </x:c>
      <x:c r="C40" s="46" t="str">
        <x:v>LME</x:v>
      </x:c>
      <x:c r="D40" s="58" t="n">
        <x:v>2019</x:v>
      </x:c>
      <x:c r="E40" s="46" t="str">
        <x:v>Menidia menidia</x:v>
      </x:c>
      <x:c r="F40" s="46" t="str">
        <x:v>Atlantic silverside</x:v>
      </x:c>
      <x:c r="G40" s="46" t="str">
        <x:v>Small pelagics (&lt;30 cm)</x:v>
      </x:c>
      <x:c r="H40" s="46" t="str">
        <x:v>Other fishes &amp; inverts</x:v>
      </x:c>
      <x:c r="I40" s="60" t="n">
        <x:v>108.32488674390001</x:v>
      </x:c>
      <x:c r="J40" s="60" t="n">
        <x:v>108.32488674390001</x:v>
      </x:c>
      <x:c r="K40" s="60" t="n">
        <x:v>0</x:v>
      </x:c>
      <x:c r="L40" s="60" t="n">
        <x:v>108.32488674390001</x:v>
      </x:c>
      <x:c r="M40" s="60" t="n">
        <x:v>0</x:v>
      </x:c>
      <x:c r="N40" s="46" t="str">
        <x:v>menidia menidia</x:v>
      </x:c>
      <x:c r="O40" s="62" t="n">
        <x:v>3.19</x:v>
      </x:c>
      <x:c r="P40" s="46" t="str">
        <x:v>exact_2020_supplement</x:v>
      </x:c>
      <x:c r="Q40" s="62" t="str">
        <x:v>2020 supplement MeanTL</x:v>
      </x:c>
      <x:c r="R40" s="46" t="str">
        <x:v>high</x:v>
      </x:c>
      <x:c r="S40" s="46" t="str">
        <x:v>Menidia menidia</x:v>
      </x:c>
      <x:c r="T40" s="62" t="n">
        <x:f>IF(O40="","",(1/'Metadata'!$B$5)^(O40-1))</x:f>
        <x:v>706.7335205557481</x:v>
      </x:c>
      <x:c r="U40" s="60" t="n">
        <x:f>IF(T40="","",I40*T40)</x:f>
        <x:v>76556.82857231914</x:v>
      </x:c>
    </x:row>
    <x:row r="41" ht="18" customHeight="1">
      <x:c r="A41" s="46" t="str">
        <x:v>LME_008</x:v>
      </x:c>
      <x:c r="B41" s="46" t="str">
        <x:v>Scotian Shelf</x:v>
      </x:c>
      <x:c r="C41" s="46" t="str">
        <x:v>LME</x:v>
      </x:c>
      <x:c r="D41" s="58" t="n">
        <x:v>2019</x:v>
      </x:c>
      <x:c r="E41" s="46" t="str">
        <x:v>Xiphias gladius</x:v>
      </x:c>
      <x:c r="F41" s="46" t="str">
        <x:v>Swordfish</x:v>
      </x:c>
      <x:c r="G41" s="46" t="str">
        <x:v>Large pelagics (&gt;=90 cm)</x:v>
      </x:c>
      <x:c r="H41" s="46" t="str">
        <x:v>Tuna &amp; billfishes</x:v>
      </x:c>
      <x:c r="I41" s="60" t="n">
        <x:v>103.8389130083</x:v>
      </x:c>
      <x:c r="J41" s="60" t="n">
        <x:v>103.8389130083</x:v>
      </x:c>
      <x:c r="K41" s="60" t="n">
        <x:v>0</x:v>
      </x:c>
      <x:c r="L41" s="60" t="n">
        <x:v>103.8389130083</x:v>
      </x:c>
      <x:c r="M41" s="60" t="n">
        <x:v>0</x:v>
      </x:c>
      <x:c r="N41" s="46" t="str">
        <x:v>xiphias gladius</x:v>
      </x:c>
      <x:c r="O41" s="62" t="n">
        <x:v>4.53</x:v>
      </x:c>
      <x:c r="P41" s="46" t="str">
        <x:v>exact_2020_supplement</x:v>
      </x:c>
      <x:c r="Q41" s="62" t="str">
        <x:v>2020 supplement MeanTL</x:v>
      </x:c>
      <x:c r="R41" s="46" t="str">
        <x:v>high</x:v>
      </x:c>
      <x:c r="S41" s="46" t="str">
        <x:v>Xiphias gladius</x:v>
      </x:c>
      <x:c r="T41" s="62" t="n">
        <x:f>IF(O41="","",(1/'Metadata'!$B$5)^(O41-1))</x:f>
        <x:v>39141.35758252625</x:v>
      </x:c>
      <x:c r="U41" s="60" t="n">
        <x:f>IF(T41="","",I41*T41)</x:f>
        <x:v>4064396.025038707</x:v>
      </x:c>
    </x:row>
    <x:row r="42" ht="18" customHeight="1">
      <x:c r="A42" s="46" t="str">
        <x:v>LME_008</x:v>
      </x:c>
      <x:c r="B42" s="46" t="str">
        <x:v>Scotian Shelf</x:v>
      </x:c>
      <x:c r="C42" s="46" t="str">
        <x:v>LME</x:v>
      </x:c>
      <x:c r="D42" s="58" t="n">
        <x:v>2019</x:v>
      </x:c>
      <x:c r="E42" s="46" t="str">
        <x:v>Coryphaenoides</x:v>
      </x:c>
      <x:c r="F42" s="46" t="str">
        <x:v>Grenadiers</x:v>
      </x:c>
      <x:c r="G42" s="46" t="str">
        <x:v>Large bathypelagics (&gt;=90 cm)</x:v>
      </x:c>
      <x:c r="H42" s="46" t="str">
        <x:v>Cod-likes</x:v>
      </x:c>
      <x:c r="I42" s="60" t="n">
        <x:v>103.8183680719</x:v>
      </x:c>
      <x:c r="J42" s="60" t="n">
        <x:v>0</x:v>
      </x:c>
      <x:c r="K42" s="60" t="n">
        <x:v>103.8183680719</x:v>
      </x:c>
      <x:c r="L42" s="60" t="n">
        <x:v>0</x:v>
      </x:c>
      <x:c r="M42" s="60" t="n">
        <x:v>103.8183680719</x:v>
      </x:c>
      <x:c r="N42" s="46" t="str">
        <x:v>coryphaenoides</x:v>
      </x:c>
      <x:c r="O42" s="62" t="n">
        <x:v>3.97</x:v>
      </x:c>
      <x:c r="P42" s="46" t="str">
        <x:v>exact_sea_around_us</x:v>
      </x:c>
      <x:c r="Q42" s="62" t="str">
        <x:v>Sea Around Us exploited organisms</x:v>
      </x:c>
      <x:c r="R42" s="46" t="str">
        <x:v>high</x:v>
      </x:c>
      <x:c r="S42" s="46" t="str">
        <x:v>Coryphaenoides</x:v>
      </x:c>
      <x:c r="T42" s="62" t="n">
        <x:f>IF(O42="","",(1/'Metadata'!$B$5)^(O42-1))</x:f>
        <x:v>7312.385640086951</x:v>
      </x:c>
      <x:c r="U42" s="60" t="n">
        <x:f>IF(T42="","",I42*T42)</x:f>
        <x:v>759159.9438662231</x:v>
      </x:c>
    </x:row>
    <x:row r="43" ht="18" customHeight="1">
      <x:c r="A43" s="46" t="str">
        <x:v>LME_008</x:v>
      </x:c>
      <x:c r="B43" s="46" t="str">
        <x:v>Scotian Shelf</x:v>
      </x:c>
      <x:c r="C43" s="46" t="str">
        <x:v>LME</x:v>
      </x:c>
      <x:c r="D43" s="58" t="n">
        <x:v>2019</x:v>
      </x:c>
      <x:c r="E43" s="46" t="str">
        <x:v>Squalus</x:v>
      </x:c>
      <x:c r="F43" s="46" t="str">
        <x:v>Dogfishes</x:v>
      </x:c>
      <x:c r="G43" s="46" t="str">
        <x:v>Large sharks (&gt;=90 cm)</x:v>
      </x:c>
      <x:c r="H43" s="46" t="str">
        <x:v>Sharks &amp; rays</x:v>
      </x:c>
      <x:c r="I43" s="60" t="n">
        <x:v>101.8135063276</x:v>
      </x:c>
      <x:c r="J43" s="60" t="n">
        <x:v>0</x:v>
      </x:c>
      <x:c r="K43" s="60" t="n">
        <x:v>101.8135063276</x:v>
      </x:c>
      <x:c r="L43" s="60" t="n">
        <x:v>0</x:v>
      </x:c>
      <x:c r="M43" s="60" t="n">
        <x:v>101.8135063276</x:v>
      </x:c>
      <x:c r="N43" s="46" t="str">
        <x:v>squalus</x:v>
      </x:c>
      <x:c r="O43" s="62" t="n">
        <x:v>4.23</x:v>
      </x:c>
      <x:c r="P43" s="46" t="str">
        <x:v>exact_sea_around_us</x:v>
      </x:c>
      <x:c r="Q43" s="62" t="str">
        <x:v>Sea Around Us exploited organisms</x:v>
      </x:c>
      <x:c r="R43" s="46" t="str">
        <x:v>high</x:v>
      </x:c>
      <x:c r="S43" s="46" t="str">
        <x:v>Squalus</x:v>
      </x:c>
      <x:c r="T43" s="62" t="n">
        <x:f>IF(O43="","",(1/'Metadata'!$B$5)^(O43-1))</x:f>
        <x:v>15934.076063346663</x:v>
      </x:c>
      <x:c r="U43" s="60" t="n">
        <x:f>IF(T43="","",I43*T43)</x:f>
        <x:v>1622304.154100005</x:v>
      </x:c>
    </x:row>
    <x:row r="44" ht="18" customHeight="1">
      <x:c r="A44" s="46" t="str">
        <x:v>LME_008</x:v>
      </x:c>
      <x:c r="B44" s="46" t="str">
        <x:v>Scotian Shelf</x:v>
      </x:c>
      <x:c r="C44" s="46" t="str">
        <x:v>LME</x:v>
      </x:c>
      <x:c r="D44" s="58" t="n">
        <x:v>2019</x:v>
      </x:c>
      <x:c r="E44" s="46" t="str">
        <x:v>Busycon</x:v>
      </x:c>
      <x:c r="F44" s="46" t="str">
        <x:v>Whelks</x:v>
      </x:c>
      <x:c r="G44" s="46" t="str">
        <x:v>Other demersal invertebrates</x:v>
      </x:c>
      <x:c r="H44" s="46" t="str">
        <x:v>Molluscs</x:v>
      </x:c>
      <x:c r="I44" s="60" t="n">
        <x:v>99.59433870890001</x:v>
      </x:c>
      <x:c r="J44" s="60" t="n">
        <x:v>99.59433870890001</x:v>
      </x:c>
      <x:c r="K44" s="60" t="n">
        <x:v>0</x:v>
      </x:c>
      <x:c r="L44" s="60" t="n">
        <x:v>99.59433870890001</x:v>
      </x:c>
      <x:c r="M44" s="60" t="n">
        <x:v>0</x:v>
      </x:c>
      <x:c r="N44" s="46" t="str">
        <x:v>busycon</x:v>
      </x:c>
      <x:c r="O44" s="62" t="n">
        <x:v>3</x:v>
      </x:c>
      <x:c r="P44" s="46" t="str">
        <x:v>exact_sea_around_us</x:v>
      </x:c>
      <x:c r="Q44" s="62" t="str">
        <x:v>Sea Around Us exploited organisms</x:v>
      </x:c>
      <x:c r="R44" s="46" t="str">
        <x:v>high</x:v>
      </x:c>
      <x:c r="S44" s="46" t="str">
        <x:v>Busycon</x:v>
      </x:c>
      <x:c r="T44" s="62" t="n">
        <x:f>IF(O44="","",(1/'Metadata'!$B$5)^(O44-1))</x:f>
        <x:v>400</x:v>
      </x:c>
      <x:c r="U44" s="60" t="n">
        <x:f>IF(T44="","",I44*T44)</x:f>
        <x:v>39837.735483560005</x:v>
      </x:c>
    </x:row>
    <x:row r="45" ht="18" customHeight="1">
      <x:c r="A45" s="46" t="str">
        <x:v>LME_008</x:v>
      </x:c>
      <x:c r="B45" s="46" t="str">
        <x:v>Scotian Shelf</x:v>
      </x:c>
      <x:c r="C45" s="46" t="str">
        <x:v>LME</x:v>
      </x:c>
      <x:c r="D45" s="58" t="n">
        <x:v>2019</x:v>
      </x:c>
      <x:c r="E45" s="46" t="str">
        <x:v>Myxinidae</x:v>
      </x:c>
      <x:c r="F45" s="46" t="str">
        <x:v>Hagfishes</x:v>
      </x:c>
      <x:c r="G45" s="46" t="str">
        <x:v>Medium bathydemersals (30 - 89 cm)</x:v>
      </x:c>
      <x:c r="H45" s="46" t="str">
        <x:v>Other fishes &amp; inverts</x:v>
      </x:c>
      <x:c r="I45" s="60" t="n">
        <x:v>94.4049529364</x:v>
      </x:c>
      <x:c r="J45" s="60" t="n">
        <x:v>0</x:v>
      </x:c>
      <x:c r="K45" s="60" t="n">
        <x:v>94.4049529364</x:v>
      </x:c>
      <x:c r="L45" s="60" t="n">
        <x:v>0</x:v>
      </x:c>
      <x:c r="M45" s="60" t="n">
        <x:v>94.4049529364</x:v>
      </x:c>
      <x:c r="N45" s="46" t="str">
        <x:v>myxinidae</x:v>
      </x:c>
      <x:c r="O45" s="62" t="n">
        <x:v>3.45</x:v>
      </x:c>
      <x:c r="P45" s="46" t="str">
        <x:v>exact_sea_around_us</x:v>
      </x:c>
      <x:c r="Q45" s="62" t="str">
        <x:v>Sea Around Us exploited organisms</x:v>
      </x:c>
      <x:c r="R45" s="46" t="str">
        <x:v>high</x:v>
      </x:c>
      <x:c r="S45" s="46" t="str">
        <x:v>Myxinidae</x:v>
      </x:c>
      <x:c r="T45" s="62" t="n">
        <x:f>IF(O45="","",(1/'Metadata'!$B$5)^(O45-1))</x:f>
        <x:v>1540.009817222681</x:v>
      </x:c>
      <x:c r="U45" s="60" t="n">
        <x:f>IF(T45="","",I45*T45)</x:f>
        <x:v>145384.55431650116</x:v>
      </x:c>
    </x:row>
    <x:row r="46" ht="18" customHeight="1">
      <x:c r="A46" s="46" t="str">
        <x:v>LME_008</x:v>
      </x:c>
      <x:c r="B46" s="46" t="str">
        <x:v>Scotian Shelf</x:v>
      </x:c>
      <x:c r="C46" s="46" t="str">
        <x:v>LME</x:v>
      </x:c>
      <x:c r="D46" s="58" t="n">
        <x:v>2019</x:v>
      </x:c>
      <x:c r="E46" s="46" t="str">
        <x:v>Echinoidea</x:v>
      </x:c>
      <x:c r="F46" s="46" t="str">
        <x:v>Sea urchins, sea hedgehogs</x:v>
      </x:c>
      <x:c r="G46" s="46" t="str">
        <x:v>Other demersal invertebrates</x:v>
      </x:c>
      <x:c r="H46" s="46" t="str">
        <x:v>Other fishes &amp; inverts</x:v>
      </x:c>
      <x:c r="I46" s="60" t="n">
        <x:v>87.5083458933</x:v>
      </x:c>
      <x:c r="J46" s="60" t="n">
        <x:v>0</x:v>
      </x:c>
      <x:c r="K46" s="60" t="n">
        <x:v>87.5083458933</x:v>
      </x:c>
      <x:c r="L46" s="60" t="n">
        <x:v>0</x:v>
      </x:c>
      <x:c r="M46" s="60" t="n">
        <x:v>87.5083458933</x:v>
      </x:c>
      <x:c r="N46" s="46" t="str">
        <x:v>echinoidea</x:v>
      </x:c>
      <x:c r="O46" s="62" t="n">
        <x:v>2.51</x:v>
      </x:c>
      <x:c r="P46" s="46" t="str">
        <x:v>exact_sea_around_us</x:v>
      </x:c>
      <x:c r="Q46" s="62" t="str">
        <x:v>Sea Around Us exploited organisms</x:v>
      </x:c>
      <x:c r="R46" s="46" t="str">
        <x:v>high</x:v>
      </x:c>
      <x:c r="S46" s="46" t="str">
        <x:v>Echinoidea</x:v>
      </x:c>
      <x:c r="T46" s="62" t="n">
        <x:f>IF(O46="","",(1/'Metadata'!$B$5)^(O46-1))</x:f>
        <x:v>92.16272208892171</x:v>
      </x:c>
      <x:c r="U46" s="60" t="n">
        <x:f>IF(T46="","",I46*T46)</x:f>
        <x:v>8065.007363025442</x:v>
      </x:c>
    </x:row>
    <x:row r="47" ht="18" customHeight="1">
      <x:c r="A47" s="46" t="str">
        <x:v>LME_008</x:v>
      </x:c>
      <x:c r="B47" s="46" t="str">
        <x:v>Scotian Shelf</x:v>
      </x:c>
      <x:c r="C47" s="46" t="str">
        <x:v>LME</x:v>
      </x:c>
      <x:c r="D47" s="58" t="n">
        <x:v>2019</x:v>
      </x:c>
      <x:c r="E47" s="46" t="str">
        <x:v>Anarhichas</x:v>
      </x:c>
      <x:c r="F47" s="46" t="str">
        <x:v>Wolffishes</x:v>
      </x:c>
      <x:c r="G47" s="46" t="str">
        <x:v>Large demersals (&gt;=90 cm)</x:v>
      </x:c>
      <x:c r="H47" s="46" t="str">
        <x:v>Perch-likes</x:v>
      </x:c>
      <x:c r="I47" s="60" t="n">
        <x:v>78.3709034875</x:v>
      </x:c>
      <x:c r="J47" s="60" t="n">
        <x:v>0</x:v>
      </x:c>
      <x:c r="K47" s="60" t="n">
        <x:v>78.3709034875</x:v>
      </x:c>
      <x:c r="L47" s="60" t="n">
        <x:v>0</x:v>
      </x:c>
      <x:c r="M47" s="60" t="n">
        <x:v>78.3709034875</x:v>
      </x:c>
      <x:c r="N47" s="46" t="str">
        <x:v>anarhichas</x:v>
      </x:c>
      <x:c r="O47" s="62" t="n">
        <x:v>3.35</x:v>
      </x:c>
      <x:c r="P47" s="46" t="str">
        <x:v>exact_sea_around_us</x:v>
      </x:c>
      <x:c r="Q47" s="62" t="str">
        <x:v>Sea Around Us exploited organisms</x:v>
      </x:c>
      <x:c r="R47" s="46" t="str">
        <x:v>high</x:v>
      </x:c>
      <x:c r="S47" s="46" t="str">
        <x:v>Anarhichas</x:v>
      </x:c>
      <x:c r="T47" s="62" t="n">
        <x:f>IF(O47="","",(1/'Metadata'!$B$5)^(O47-1))</x:f>
        <x:v>1141.3543275066227</x:v>
      </x:c>
      <x:c r="U47" s="60" t="n">
        <x:f>IF(T47="","",I47*T47)</x:f>
        <x:v>89448.969846062</x:v>
      </x:c>
    </x:row>
    <x:row r="48" ht="18" customHeight="1">
      <x:c r="A48" s="46" t="str">
        <x:v>LME_008</x:v>
      </x:c>
      <x:c r="B48" s="46" t="str">
        <x:v>Scotian Shelf</x:v>
      </x:c>
      <x:c r="C48" s="46" t="str">
        <x:v>LME</x:v>
      </x:c>
      <x:c r="D48" s="58" t="n">
        <x:v>2019</x:v>
      </x:c>
      <x:c r="E48" s="46" t="str">
        <x:v>Osmerus mordax</x:v>
      </x:c>
      <x:c r="F48" s="46" t="str">
        <x:v>Rainbow smelt</x:v>
      </x:c>
      <x:c r="G48" s="46" t="str">
        <x:v>Small pelagics (&lt;30 cm)</x:v>
      </x:c>
      <x:c r="H48" s="46" t="str">
        <x:v>Salmon, smelts, etc</x:v>
      </x:c>
      <x:c r="I48" s="60" t="n">
        <x:v>72.8289782537</x:v>
      </x:c>
      <x:c r="J48" s="60" t="n">
        <x:v>3.9160215494</x:v>
      </x:c>
      <x:c r="K48" s="60" t="n">
        <x:v>68.9129567043</x:v>
      </x:c>
      <x:c r="L48" s="60" t="n">
        <x:v>3.9160215494</x:v>
      </x:c>
      <x:c r="M48" s="60" t="n">
        <x:v>68.9129567043</x:v>
      </x:c>
      <x:c r="N48" s="46" t="str">
        <x:v>osmerus mordax</x:v>
      </x:c>
      <x:c r="O48" s="62" t="n">
        <x:v>3</x:v>
      </x:c>
      <x:c r="P48" s="46" t="str">
        <x:v>exact_2020_supplement</x:v>
      </x:c>
      <x:c r="Q48" s="62" t="str">
        <x:v>2020 supplement MeanTL</x:v>
      </x:c>
      <x:c r="R48" s="46" t="str">
        <x:v>high</x:v>
      </x:c>
      <x:c r="S48" s="46" t="str">
        <x:v>Osmerus mordax</x:v>
      </x:c>
      <x:c r="T48" s="62" t="n">
        <x:f>IF(O48="","",(1/'Metadata'!$B$5)^(O48-1))</x:f>
        <x:v>400</x:v>
      </x:c>
      <x:c r="U48" s="60" t="n">
        <x:f>IF(T48="","",I48*T48)</x:f>
        <x:v>29131.59130148</x:v>
      </x:c>
    </x:row>
    <x:row r="49" ht="18" customHeight="1">
      <x:c r="A49" s="46" t="str">
        <x:v>LME_008</x:v>
      </x:c>
      <x:c r="B49" s="46" t="str">
        <x:v>Scotian Shelf</x:v>
      </x:c>
      <x:c r="C49" s="46" t="str">
        <x:v>LME</x:v>
      </x:c>
      <x:c r="D49" s="58" t="n">
        <x:v>2019</x:v>
      </x:c>
      <x:c r="E49" s="46" t="str">
        <x:v>Reinhardtius hippoglossoides</x:v>
      </x:c>
      <x:c r="F49" s="46" t="str">
        <x:v>Greenland halibut</x:v>
      </x:c>
      <x:c r="G49" s="46" t="str">
        <x:v>Small to medium flatfishes (&lt;90 cm)</x:v>
      </x:c>
      <x:c r="H49" s="46" t="str">
        <x:v>Flatfishes</x:v>
      </x:c>
      <x:c r="I49" s="60" t="n">
        <x:v>71.1553694786</x:v>
      </x:c>
      <x:c r="J49" s="60" t="n">
        <x:v>31.051695782</x:v>
      </x:c>
      <x:c r="K49" s="60" t="n">
        <x:v>40.1036736966</x:v>
      </x:c>
      <x:c r="L49" s="60" t="n">
        <x:v>28.9133325573</x:v>
      </x:c>
      <x:c r="M49" s="60" t="n">
        <x:v>42.2420369213</x:v>
      </x:c>
      <x:c r="N49" s="46" t="str">
        <x:v>reinhardtius hippoglossoides</x:v>
      </x:c>
      <x:c r="O49" s="62" t="n">
        <x:v>4.38</x:v>
      </x:c>
      <x:c r="P49" s="46" t="str">
        <x:v>exact_2020_supplement</x:v>
      </x:c>
      <x:c r="Q49" s="62" t="str">
        <x:v>2020 supplement MeanTL</x:v>
      </x:c>
      <x:c r="R49" s="46" t="str">
        <x:v>high</x:v>
      </x:c>
      <x:c r="S49" s="46" t="str">
        <x:v>Reinhardtius hippoglossoides</x:v>
      </x:c>
      <x:c r="T49" s="62" t="n">
        <x:f>IF(O49="","",(1/'Metadata'!$B$5)^(O49-1))</x:f>
        <x:v>24973.6134538561</x:v>
      </x:c>
      <x:c r="U49" s="60" t="n">
        <x:f>IF(T49="","",I49*T49)</x:f>
        <x:v>1777006.6925248664</x:v>
      </x:c>
    </x:row>
    <x:row r="50" ht="18" customHeight="1">
      <x:c r="A50" s="46" t="str">
        <x:v>LME_008</x:v>
      </x:c>
      <x:c r="B50" s="46" t="str">
        <x:v>Scotian Shelf</x:v>
      </x:c>
      <x:c r="C50" s="46" t="str">
        <x:v>LME</x:v>
      </x:c>
      <x:c r="D50" s="58" t="n">
        <x:v>2019</x:v>
      </x:c>
      <x:c r="E50" s="46" t="str">
        <x:v>Myoxocephalus</x:v>
      </x:c>
      <x:c r="F50" s="46" t="str">
        <x:v>Grubbies and sculpins</x:v>
      </x:c>
      <x:c r="G50" s="46" t="str">
        <x:v>Large reef assoc. fish (&gt;=90 cm)</x:v>
      </x:c>
      <x:c r="H50" s="46" t="str">
        <x:v>Scorpionfishes</x:v>
      </x:c>
      <x:c r="I50" s="60" t="n">
        <x:v>68.2467480684</x:v>
      </x:c>
      <x:c r="J50" s="60" t="n">
        <x:v>0</x:v>
      </x:c>
      <x:c r="K50" s="60" t="n">
        <x:v>68.2467480684</x:v>
      </x:c>
      <x:c r="L50" s="60" t="n">
        <x:v>0</x:v>
      </x:c>
      <x:c r="M50" s="60" t="n">
        <x:v>68.2467480684</x:v>
      </x:c>
      <x:c r="N50" s="46" t="str">
        <x:v>myoxocephalus</x:v>
      </x:c>
      <x:c r="O50" s="62" t="n">
        <x:v>3.71</x:v>
      </x:c>
      <x:c r="P50" s="46" t="str">
        <x:v>exact_sea_around_us</x:v>
      </x:c>
      <x:c r="Q50" s="62" t="str">
        <x:v>Sea Around Us exploited organisms</x:v>
      </x:c>
      <x:c r="R50" s="46" t="str">
        <x:v>high</x:v>
      </x:c>
      <x:c r="S50" s="46" t="str">
        <x:v>Myoxocephalus</x:v>
      </x:c>
      <x:c r="T50" s="62" t="n">
        <x:f>IF(O50="","",(1/'Metadata'!$B$5)^(O50-1))</x:f>
        <x:v>3355.7630537706395</x:v>
      </x:c>
      <x:c r="U50" s="60" t="n">
        <x:f>IF(T50="","",I50*T50)</x:f>
        <x:v>229019.91570792947</x:v>
      </x:c>
    </x:row>
    <x:row r="51" ht="18" customHeight="1">
      <x:c r="A51" s="46" t="str">
        <x:v>LME_008</x:v>
      </x:c>
      <x:c r="B51" s="46" t="str">
        <x:v>Scotian Shelf</x:v>
      </x:c>
      <x:c r="C51" s="46" t="str">
        <x:v>LME</x:v>
      </x:c>
      <x:c r="D51" s="58" t="n">
        <x:v>2019</x:v>
      </x:c>
      <x:c r="E51" s="46" t="str">
        <x:v>Centroscyllium fabricii</x:v>
      </x:c>
      <x:c r="F51" s="46" t="str">
        <x:v>Black dogfish</x:v>
      </x:c>
      <x:c r="G51" s="46" t="str">
        <x:v>Small to medium sharks (&lt;90 cm)</x:v>
      </x:c>
      <x:c r="H51" s="46" t="str">
        <x:v>Sharks &amp; rays</x:v>
      </x:c>
      <x:c r="I51" s="60" t="n">
        <x:v>62.2727141771</x:v>
      </x:c>
      <x:c r="J51" s="60" t="n">
        <x:v>0</x:v>
      </x:c>
      <x:c r="K51" s="60" t="n">
        <x:v>62.2727141771</x:v>
      </x:c>
      <x:c r="L51" s="60" t="n">
        <x:v>0</x:v>
      </x:c>
      <x:c r="M51" s="60" t="n">
        <x:v>62.2727141771</x:v>
      </x:c>
      <x:c r="N51" s="46" t="str">
        <x:v>centroscyllium fabricii</x:v>
      </x:c>
      <x:c r="O51" s="62" t="n">
        <x:v>3.84</x:v>
      </x:c>
      <x:c r="P51" s="46" t="str">
        <x:v>exact_2020_supplement</x:v>
      </x:c>
      <x:c r="Q51" s="62" t="str">
        <x:v>2020 supplement MeanTL</x:v>
      </x:c>
      <x:c r="R51" s="46" t="str">
        <x:v>high</x:v>
      </x:c>
      <x:c r="S51" s="46" t="str">
        <x:v>Centroscyllium fabricii</x:v>
      </x:c>
      <x:c r="T51" s="62" t="n">
        <x:f>IF(O51="","",(1/'Metadata'!$B$5)^(O51-1))</x:f>
        <x:v>4953.648510535111</x:v>
      </x:c>
      <x:c r="U51" s="60" t="n">
        <x:f>IF(T51="","",I51*T51)</x:f>
        <x:v>308477.1378303701</x:v>
      </x:c>
    </x:row>
    <x:row r="52" ht="18" customHeight="1">
      <x:c r="A52" s="46" t="str">
        <x:v>LME_008</x:v>
      </x:c>
      <x:c r="B52" s="46" t="str">
        <x:v>Scotian Shelf</x:v>
      </x:c>
      <x:c r="C52" s="46" t="str">
        <x:v>LME</x:v>
      </x:c>
      <x:c r="D52" s="58" t="n">
        <x:v>2019</x:v>
      </x:c>
      <x:c r="E52" s="46" t="str">
        <x:v>Chionoecetes</x:v>
      </x:c>
      <x:c r="F52" s="46" t="str">
        <x:v>Tanner, snow crabs</x:v>
      </x:c>
      <x:c r="G52" s="46" t="str">
        <x:v>Lobsters, crabs</x:v>
      </x:c>
      <x:c r="H52" s="46" t="str">
        <x:v>Crustaceans</x:v>
      </x:c>
      <x:c r="I52" s="60" t="n">
        <x:v>59.68803971209999</x:v>
      </x:c>
      <x:c r="J52" s="60" t="n">
        <x:v>0</x:v>
      </x:c>
      <x:c r="K52" s="60" t="n">
        <x:v>59.68803971209999</x:v>
      </x:c>
      <x:c r="L52" s="60" t="n">
        <x:v>0</x:v>
      </x:c>
      <x:c r="M52" s="60" t="n">
        <x:v>59.68803971209999</x:v>
      </x:c>
      <x:c r="N52" s="46" t="str">
        <x:v>chionoecetes</x:v>
      </x:c>
      <x:c r="O52" s="62" t="n">
        <x:v>2.3</x:v>
      </x:c>
      <x:c r="P52" s="46" t="str">
        <x:v>exact_sea_around_us</x:v>
      </x:c>
      <x:c r="Q52" s="62" t="str">
        <x:v>Sea Around Us exploited organisms</x:v>
      </x:c>
      <x:c r="R52" s="46" t="str">
        <x:v>high</x:v>
      </x:c>
      <x:c r="S52" s="46" t="str">
        <x:v>Chionoecetes</x:v>
      </x:c>
      <x:c r="T52" s="62" t="n">
        <x:f>IF(O52="","",(1/'Metadata'!$B$5)^(O52-1))</x:f>
        <x:v>49.12912104463159</x:v>
      </x:c>
      <x:c r="U52" s="60" t="n">
        <x:f>IF(T52="","",I52*T52)</x:f>
        <x:v>2932.420927932538</x:v>
      </x:c>
    </x:row>
    <x:row r="53" ht="18" customHeight="1">
      <x:c r="A53" s="46" t="str">
        <x:v>LME_008</x:v>
      </x:c>
      <x:c r="B53" s="46" t="str">
        <x:v>Scotian Shelf</x:v>
      </x:c>
      <x:c r="C53" s="46" t="str">
        <x:v>LME</x:v>
      </x:c>
      <x:c r="D53" s="58" t="n">
        <x:v>2019</x:v>
      </x:c>
      <x:c r="E53" s="46" t="str">
        <x:v>Ammodytidae</x:v>
      </x:c>
      <x:c r="F53" s="46" t="str">
        <x:v>Sand lances</x:v>
      </x:c>
      <x:c r="G53" s="46" t="str">
        <x:v>Large reef assoc. fish (&gt;=90 cm)</x:v>
      </x:c>
      <x:c r="H53" s="46" t="str">
        <x:v>Perch-likes</x:v>
      </x:c>
      <x:c r="I53" s="60" t="n">
        <x:v>57.740067172</x:v>
      </x:c>
      <x:c r="J53" s="60" t="n">
        <x:v>0</x:v>
      </x:c>
      <x:c r="K53" s="60" t="n">
        <x:v>57.740067172</x:v>
      </x:c>
      <x:c r="L53" s="60" t="n">
        <x:v>0</x:v>
      </x:c>
      <x:c r="M53" s="60" t="n">
        <x:v>57.740067172</x:v>
      </x:c>
      <x:c r="N53" s="46" t="str">
        <x:v>ammodytidae</x:v>
      </x:c>
      <x:c r="O53" s="62" t="n">
        <x:v>3.11</x:v>
      </x:c>
      <x:c r="P53" s="46" t="str">
        <x:v>exact_sea_around_us</x:v>
      </x:c>
      <x:c r="Q53" s="62" t="str">
        <x:v>Sea Around Us exploited organisms</x:v>
      </x:c>
      <x:c r="R53" s="46" t="str">
        <x:v>high</x:v>
      </x:c>
      <x:c r="S53" s="46" t="str">
        <x:v>Ammodytidae</x:v>
      </x:c>
      <x:c r="T53" s="62" t="n">
        <x:f>IF(O53="","",(1/'Metadata'!$B$5)^(O53-1))</x:f>
        <x:v>556.1261167405597</x:v>
      </x:c>
      <x:c r="U53" s="60" t="n">
        <x:f>IF(T53="","",I53*T53)</x:f>
        <x:v>32110.759336703435</x:v>
      </x:c>
    </x:row>
    <x:row r="54" ht="18" customHeight="1">
      <x:c r="A54" s="46" t="str">
        <x:v>LME_008</x:v>
      </x:c>
      <x:c r="B54" s="46" t="str">
        <x:v>Scotian Shelf</x:v>
      </x:c>
      <x:c r="C54" s="46" t="str">
        <x:v>LME</x:v>
      </x:c>
      <x:c r="D54" s="58" t="n">
        <x:v>2019</x:v>
      </x:c>
      <x:c r="E54" s="46" t="str">
        <x:v>Cancer irroratus</x:v>
      </x:c>
      <x:c r="F54" s="46" t="str">
        <x:v>Atlantic rock crab</x:v>
      </x:c>
      <x:c r="G54" s="46" t="str">
        <x:v>Lobsters, crabs</x:v>
      </x:c>
      <x:c r="H54" s="46" t="str">
        <x:v>Crustaceans</x:v>
      </x:c>
      <x:c r="I54" s="60" t="n">
        <x:v>56.7534439101</x:v>
      </x:c>
      <x:c r="J54" s="60" t="n">
        <x:v>0</x:v>
      </x:c>
      <x:c r="K54" s="60" t="n">
        <x:v>56.7534439101</x:v>
      </x:c>
      <x:c r="L54" s="60" t="n">
        <x:v>0</x:v>
      </x:c>
      <x:c r="M54" s="60" t="n">
        <x:v>56.7534439101</x:v>
      </x:c>
      <x:c r="N54" s="46" t="str">
        <x:v>cancer irroratus</x:v>
      </x:c>
      <x:c r="O54" s="62" t="n">
        <x:v>3</x:v>
      </x:c>
      <x:c r="P54" s="46" t="str">
        <x:v>exact_2020_supplement</x:v>
      </x:c>
      <x:c r="Q54" s="62" t="str">
        <x:v>2020 supplement MeanTL</x:v>
      </x:c>
      <x:c r="R54" s="46" t="str">
        <x:v>high</x:v>
      </x:c>
      <x:c r="S54" s="46" t="str">
        <x:v>Cancer irroratus</x:v>
      </x:c>
      <x:c r="T54" s="62" t="n">
        <x:f>IF(O54="","",(1/'Metadata'!$B$5)^(O54-1))</x:f>
        <x:v>400</x:v>
      </x:c>
      <x:c r="U54" s="60" t="n">
        <x:f>IF(T54="","",I54*T54)</x:f>
        <x:v>22701.37756404</x:v>
      </x:c>
    </x:row>
    <x:row r="55" ht="18" customHeight="1">
      <x:c r="A55" s="46" t="str">
        <x:v>LME_008</x:v>
      </x:c>
      <x:c r="B55" s="46" t="str">
        <x:v>Scotian Shelf</x:v>
      </x:c>
      <x:c r="C55" s="46" t="str">
        <x:v>LME</x:v>
      </x:c>
      <x:c r="D55" s="58" t="n">
        <x:v>2019</x:v>
      </x:c>
      <x:c r="E55" s="46" t="str">
        <x:v>Merluccius</x:v>
      </x:c>
      <x:c r="F55" s="46" t="str">
        <x:v>Hakes</x:v>
      </x:c>
      <x:c r="G55" s="46" t="str">
        <x:v>Medium bathydemersals (30 - 89 cm)</x:v>
      </x:c>
      <x:c r="H55" s="46" t="str">
        <x:v>Cod-likes</x:v>
      </x:c>
      <x:c r="I55" s="60" t="n">
        <x:v>55.3750246045</x:v>
      </x:c>
      <x:c r="J55" s="60" t="n">
        <x:v>0</x:v>
      </x:c>
      <x:c r="K55" s="60" t="n">
        <x:v>55.3750246045</x:v>
      </x:c>
      <x:c r="L55" s="60" t="n">
        <x:v>0</x:v>
      </x:c>
      <x:c r="M55" s="60" t="n">
        <x:v>55.3750246045</x:v>
      </x:c>
      <x:c r="N55" s="46" t="str">
        <x:v>merluccius</x:v>
      </x:c>
      <x:c r="O55" s="62" t="n">
        <x:v>4.27</x:v>
      </x:c>
      <x:c r="P55" s="46" t="str">
        <x:v>exact_sea_around_us</x:v>
      </x:c>
      <x:c r="Q55" s="62" t="str">
        <x:v>Sea Around Us exploited organisms</x:v>
      </x:c>
      <x:c r="R55" s="46" t="str">
        <x:v>high</x:v>
      </x:c>
      <x:c r="S55" s="46" t="str">
        <x:v>Merluccius</x:v>
      </x:c>
      <x:c r="T55" s="62" t="n">
        <x:f>IF(O55="","",(1/'Metadata'!$B$5)^(O55-1))</x:f>
        <x:v>17962.55396184286</x:v>
      </x:c>
      <x:c r="U55" s="60" t="n">
        <x:f>IF(T55="","",I55*T55)</x:f>
        <x:v>994676.8675967073</x:v>
      </x:c>
    </x:row>
    <x:row r="56" ht="18" customHeight="1">
      <x:c r="A56" s="46" t="str">
        <x:v>LME_008</x:v>
      </x:c>
      <x:c r="B56" s="46" t="str">
        <x:v>Scotian Shelf</x:v>
      </x:c>
      <x:c r="C56" s="46" t="str">
        <x:v>LME</x:v>
      </x:c>
      <x:c r="D56" s="58" t="n">
        <x:v>2019</x:v>
      </x:c>
      <x:c r="E56" s="46" t="str">
        <x:v>Tautogolabrus adspersus</x:v>
      </x:c>
      <x:c r="F56" s="46" t="str">
        <x:v>Cunner</x:v>
      </x:c>
      <x:c r="G56" s="46" t="str">
        <x:v>Medium reef assoc. fish (30 - 89 cm)</x:v>
      </x:c>
      <x:c r="H56" s="46" t="str">
        <x:v>Perch-likes</x:v>
      </x:c>
      <x:c r="I56" s="60" t="n">
        <x:v>52.1538728215</x:v>
      </x:c>
      <x:c r="J56" s="60" t="n">
        <x:v>0</x:v>
      </x:c>
      <x:c r="K56" s="60" t="n">
        <x:v>52.1538728215</x:v>
      </x:c>
      <x:c r="L56" s="60" t="n">
        <x:v>0</x:v>
      </x:c>
      <x:c r="M56" s="60" t="n">
        <x:v>52.1538728215</x:v>
      </x:c>
      <x:c r="N56" s="46" t="str">
        <x:v>tautogolabrus adspersus</x:v>
      </x:c>
      <x:c r="O56" s="62" t="n">
        <x:v>3.72</x:v>
      </x:c>
      <x:c r="P56" s="46" t="str">
        <x:v>exact_2020_supplement</x:v>
      </x:c>
      <x:c r="Q56" s="62" t="str">
        <x:v>2020 supplement MeanTL</x:v>
      </x:c>
      <x:c r="R56" s="46" t="str">
        <x:v>high</x:v>
      </x:c>
      <x:c r="S56" s="46" t="str">
        <x:v>Tautogolabrus adspersus</x:v>
      </x:c>
      <x:c r="T56" s="62" t="n">
        <x:f>IF(O56="","",(1/'Metadata'!$B$5)^(O56-1))</x:f>
        <x:v>3457.8136804537753</x:v>
      </x:c>
      <x:c r="U56" s="60" t="n">
        <x:f>IF(T56="","",I56*T56)</x:f>
        <x:v>180338.37493082904</x:v>
      </x:c>
    </x:row>
    <x:row r="57" ht="18" customHeight="1">
      <x:c r="A57" s="46" t="str">
        <x:v>LME_008</x:v>
      </x:c>
      <x:c r="B57" s="46" t="str">
        <x:v>Scotian Shelf</x:v>
      </x:c>
      <x:c r="C57" s="46" t="str">
        <x:v>LME</x:v>
      </x:c>
      <x:c r="D57" s="58" t="n">
        <x:v>2019</x:v>
      </x:c>
      <x:c r="E57" s="46" t="str">
        <x:v>Glyptocephalus cynoglossus</x:v>
      </x:c>
      <x:c r="F57" s="46" t="str">
        <x:v>Witch flounder</x:v>
      </x:c>
      <x:c r="G57" s="46" t="str">
        <x:v>Small to medium flatfishes (&lt;90 cm)</x:v>
      </x:c>
      <x:c r="H57" s="46" t="str">
        <x:v>Flatfishes</x:v>
      </x:c>
      <x:c r="I57" s="60" t="n">
        <x:v>50.096693852</x:v>
      </x:c>
      <x:c r="J57" s="60" t="n">
        <x:v>0.2217018746</x:v>
      </x:c>
      <x:c r="K57" s="60" t="n">
        <x:v>49.8749919774</x:v>
      </x:c>
      <x:c r="L57" s="60" t="n">
        <x:v>0.2217018746</x:v>
      </x:c>
      <x:c r="M57" s="60" t="n">
        <x:v>49.8749919774</x:v>
      </x:c>
      <x:c r="N57" s="46" t="str">
        <x:v>glyptocephalus cynoglossus</x:v>
      </x:c>
      <x:c r="O57" s="62" t="n">
        <x:v>3.17</x:v>
      </x:c>
      <x:c r="P57" s="46" t="str">
        <x:v>exact_2020_supplement</x:v>
      </x:c>
      <x:c r="Q57" s="62" t="str">
        <x:v>2020 supplement MeanTL</x:v>
      </x:c>
      <x:c r="R57" s="46" t="str">
        <x:v>high</x:v>
      </x:c>
      <x:c r="S57" s="46" t="str">
        <x:v>Glyptocephalus cynoglossus</x:v>
      </x:c>
      <x:c r="T57" s="62" t="n">
        <x:f>IF(O57="","",(1/'Metadata'!$B$5)^(O57-1))</x:f>
        <x:v>665.6333767532121</x:v>
      </x:c>
      <x:c r="U57" s="60" t="n">
        <x:f>IF(T57="","",I57*T57)</x:f>
        <x:v>33346.03149287864</x:v>
      </x:c>
    </x:row>
    <x:row r="58" ht="18" customHeight="1">
      <x:c r="A58" s="46" t="str">
        <x:v>LME_008</x:v>
      </x:c>
      <x:c r="B58" s="46" t="str">
        <x:v>Scotian Shelf</x:v>
      </x:c>
      <x:c r="C58" s="46" t="str">
        <x:v>LME</x:v>
      </x:c>
      <x:c r="D58" s="58" t="n">
        <x:v>2019</x:v>
      </x:c>
      <x:c r="E58" s="46" t="str">
        <x:v>Miscellaneous marine crustaceans</x:v>
      </x:c>
      <x:c r="F58" s="46" t="str">
        <x:v>Marine crabs, shrimps, lobsters nei</x:v>
      </x:c>
      <x:c r="G58" s="46" t="str">
        <x:v>Shrimps</x:v>
      </x:c>
      <x:c r="H58" s="46" t="str">
        <x:v>Crustaceans</x:v>
      </x:c>
      <x:c r="I58" s="60" t="n">
        <x:v>49.4227629555</x:v>
      </x:c>
      <x:c r="J58" s="60" t="n">
        <x:v>0</x:v>
      </x:c>
      <x:c r="K58" s="60" t="n">
        <x:v>49.4227629555</x:v>
      </x:c>
      <x:c r="L58" s="60" t="n">
        <x:v>0</x:v>
      </x:c>
      <x:c r="M58" s="60" t="n">
        <x:v>49.4227629555</x:v>
      </x:c>
      <x:c r="N58" s="46" t="str">
        <x:v>miscellaneous marine crustaceans</x:v>
      </x:c>
      <x:c r="O58" s="62" t="n">
        <x:v>2.7</x:v>
      </x:c>
      <x:c r="P58" s="46" t="str">
        <x:v>exact_sea_around_us</x:v>
      </x:c>
      <x:c r="Q58" s="62" t="str">
        <x:v>Sea Around Us exploited organisms</x:v>
      </x:c>
      <x:c r="R58" s="46" t="str">
        <x:v>high</x:v>
      </x:c>
      <x:c r="S58" s="46" t="str">
        <x:v>Miscellaneous marine crustaceans</x:v>
      </x:c>
      <x:c r="T58" s="62" t="n">
        <x:f>IF(O58="","",(1/'Metadata'!$B$5)^(O58-1))</x:f>
        <x:v>162.83621261476185</x:v>
      </x:c>
      <x:c r="U58" s="60" t="n">
        <x:f>IF(T58="","",I58*T58)</x:f>
        <x:v>8047.815536630774</x:v>
      </x:c>
    </x:row>
    <x:row r="59" ht="18" customHeight="1">
      <x:c r="A59" s="46" t="str">
        <x:v>LME_008</x:v>
      </x:c>
      <x:c r="B59" s="46" t="str">
        <x:v>Scotian Shelf</x:v>
      </x:c>
      <x:c r="C59" s="46" t="str">
        <x:v>LME</x:v>
      </x:c>
      <x:c r="D59" s="58" t="n">
        <x:v>2019</x:v>
      </x:c>
      <x:c r="E59" s="46" t="str">
        <x:v>Anarhichas denticulatus</x:v>
      </x:c>
      <x:c r="F59" s="46" t="str">
        <x:v>Northern wolffish</x:v>
      </x:c>
      <x:c r="G59" s="46" t="str">
        <x:v>Large benthopelagics (&gt;=90 cm)</x:v>
      </x:c>
      <x:c r="H59" s="46" t="str">
        <x:v>Perch-likes</x:v>
      </x:c>
      <x:c r="I59" s="60" t="n">
        <x:v>47.5207222453</x:v>
      </x:c>
      <x:c r="J59" s="60" t="n">
        <x:v>0</x:v>
      </x:c>
      <x:c r="K59" s="60" t="n">
        <x:v>47.5207222453</x:v>
      </x:c>
      <x:c r="L59" s="60" t="n">
        <x:v>0</x:v>
      </x:c>
      <x:c r="M59" s="60" t="n">
        <x:v>47.5207222453</x:v>
      </x:c>
      <x:c r="N59" s="46" t="str">
        <x:v>anarhichas denticulatus</x:v>
      </x:c>
      <x:c r="O59" s="62" t="n">
        <x:v>3.75</x:v>
      </x:c>
      <x:c r="P59" s="46" t="str">
        <x:v>exact_2020_supplement</x:v>
      </x:c>
      <x:c r="Q59" s="62" t="str">
        <x:v>2020 supplement MeanTL</x:v>
      </x:c>
      <x:c r="R59" s="46" t="str">
        <x:v>high</x:v>
      </x:c>
      <x:c r="S59" s="46" t="str">
        <x:v>Anarhichas denticulatus</x:v>
      </x:c>
      <x:c r="T59" s="62" t="n">
        <x:f>IF(O59="","",(1/'Metadata'!$B$5)^(O59-1))</x:f>
        <x:v>3782.966436012703</x:v>
      </x:c>
      <x:c r="U59" s="60" t="n">
        <x:f>IF(T59="","",I59*T59)</x:f>
        <x:v>179769.29726905213</x:v>
      </x:c>
    </x:row>
    <x:row r="60" ht="18" customHeight="1">
      <x:c r="A60" s="46" t="str">
        <x:v>LME_008</x:v>
      </x:c>
      <x:c r="B60" s="46" t="str">
        <x:v>Scotian Shelf</x:v>
      </x:c>
      <x:c r="C60" s="46" t="str">
        <x:v>LME</x:v>
      </x:c>
      <x:c r="D60" s="58" t="n">
        <x:v>2019</x:v>
      </x:c>
      <x:c r="E60" s="46" t="str">
        <x:v>Teuthida</x:v>
      </x:c>
      <x:c r="F60" s="46" t="str">
        <x:v>Squids</x:v>
      </x:c>
      <x:c r="G60" s="46" t="str">
        <x:v>Cephalopods</x:v>
      </x:c>
      <x:c r="H60" s="46" t="str">
        <x:v>Other fishes &amp; inverts</x:v>
      </x:c>
      <x:c r="I60" s="60" t="n">
        <x:v>44.2861912467</x:v>
      </x:c>
      <x:c r="J60" s="60" t="n">
        <x:v>0.7172123093</x:v>
      </x:c>
      <x:c r="K60" s="60" t="n">
        <x:v>43.568978937400004</x:v>
      </x:c>
      <x:c r="L60" s="60" t="n">
        <x:v>0</x:v>
      </x:c>
      <x:c r="M60" s="60" t="n">
        <x:v>44.2861912467</x:v>
      </x:c>
      <x:c r="N60" s="46" t="str">
        <x:v>teuthida</x:v>
      </x:c>
      <x:c r="O60" s="62" t="n">
        <x:v>4.13</x:v>
      </x:c>
      <x:c r="P60" s="46" t="str">
        <x:v>exact_sea_around_us</x:v>
      </x:c>
      <x:c r="Q60" s="62" t="str">
        <x:v>Sea Around Us exploited organisms</x:v>
      </x:c>
      <x:c r="R60" s="46" t="str">
        <x:v>high</x:v>
      </x:c>
      <x:c r="S60" s="46" t="str">
        <x:v>Teuthida</x:v>
      </x:c>
      <x:c r="T60" s="62" t="n">
        <x:f>IF(O60="","",(1/'Metadata'!$B$5)^(O60-1))</x:f>
        <x:v>11809.292685236613</x:v>
      </x:c>
      <x:c r="U60" s="60" t="n">
        <x:f>IF(T60="","",I60*T60)</x:f>
        <x:v>522988.594346644</x:v>
      </x:c>
    </x:row>
    <x:row r="61" ht="18" customHeight="1">
      <x:c r="A61" s="46" t="str">
        <x:v>LME_008</x:v>
      </x:c>
      <x:c r="B61" s="46" t="str">
        <x:v>Scotian Shelf</x:v>
      </x:c>
      <x:c r="C61" s="46" t="str">
        <x:v>LME</x:v>
      </x:c>
      <x:c r="D61" s="58" t="n">
        <x:v>2019</x:v>
      </x:c>
      <x:c r="E61" s="46" t="str">
        <x:v>Lycodes</x:v>
      </x:c>
      <x:c r="F61" s="46" t="str">
        <x:v>Eelpouts</x:v>
      </x:c>
      <x:c r="G61" s="46" t="str">
        <x:v>Medium bathydemersals (30 - 89 cm)</x:v>
      </x:c>
      <x:c r="H61" s="46" t="str">
        <x:v>Perch-likes</x:v>
      </x:c>
      <x:c r="I61" s="60" t="n">
        <x:v>37.6480791323</x:v>
      </x:c>
      <x:c r="J61" s="60" t="n">
        <x:v>0</x:v>
      </x:c>
      <x:c r="K61" s="60" t="n">
        <x:v>37.6480791323</x:v>
      </x:c>
      <x:c r="L61" s="60" t="n">
        <x:v>0</x:v>
      </x:c>
      <x:c r="M61" s="60" t="n">
        <x:v>37.6480791323</x:v>
      </x:c>
      <x:c r="N61" s="46" t="str">
        <x:v>lycodes</x:v>
      </x:c>
      <x:c r="O61" s="62" t="n">
        <x:v>3.3</x:v>
      </x:c>
      <x:c r="P61" s="46" t="str">
        <x:v>exact_sea_around_us</x:v>
      </x:c>
      <x:c r="Q61" s="62" t="str">
        <x:v>Sea Around Us exploited organisms</x:v>
      </x:c>
      <x:c r="R61" s="46" t="str">
        <x:v>high</x:v>
      </x:c>
      <x:c r="S61" s="46" t="str">
        <x:v>Lycodes</x:v>
      </x:c>
      <x:c r="T61" s="62" t="n">
        <x:f>IF(O61="","",(1/'Metadata'!$B$5)^(O61-1))</x:f>
        <x:v>982.5824208926318</x:v>
      </x:c>
      <x:c r="U61" s="60" t="n">
        <x:f>IF(T61="","",I61*T61)</x:f>
        <x:v>36992.340735772705</x:v>
      </x:c>
    </x:row>
    <x:row r="62" ht="18" customHeight="1">
      <x:c r="A62" s="46" t="str">
        <x:v>LME_008</x:v>
      </x:c>
      <x:c r="B62" s="46" t="str">
        <x:v>Scotian Shelf</x:v>
      </x:c>
      <x:c r="C62" s="46" t="str">
        <x:v>LME</x:v>
      </x:c>
      <x:c r="D62" s="58" t="n">
        <x:v>2019</x:v>
      </x:c>
      <x:c r="E62" s="46" t="str">
        <x:v>Brosme brosme</x:v>
      </x:c>
      <x:c r="F62" s="46" t="str">
        <x:v>Tusk</x:v>
      </x:c>
      <x:c r="G62" s="46" t="str">
        <x:v>Large demersals (&gt;=90 cm)</x:v>
      </x:c>
      <x:c r="H62" s="46" t="str">
        <x:v>Cod-likes</x:v>
      </x:c>
      <x:c r="I62" s="60" t="n">
        <x:v>32.5513263748</x:v>
      </x:c>
      <x:c r="J62" s="60" t="n">
        <x:v>22.7229370946</x:v>
      </x:c>
      <x:c r="K62" s="60" t="n">
        <x:v>9.8283892802</x:v>
      </x:c>
      <x:c r="L62" s="60" t="n">
        <x:v>22.7229370946</x:v>
      </x:c>
      <x:c r="M62" s="60" t="n">
        <x:v>9.8283892802</x:v>
      </x:c>
      <x:c r="N62" s="46" t="str">
        <x:v>brosme brosme</x:v>
      </x:c>
      <x:c r="O62" s="62" t="n">
        <x:v>3.9</x:v>
      </x:c>
      <x:c r="P62" s="46" t="str">
        <x:v>exact_2020_supplement</x:v>
      </x:c>
      <x:c r="Q62" s="62" t="str">
        <x:v>2020 supplement MeanTL</x:v>
      </x:c>
      <x:c r="R62" s="46" t="str">
        <x:v>high</x:v>
      </x:c>
      <x:c r="S62" s="46" t="str">
        <x:v>Brosme brosme</x:v>
      </x:c>
      <x:c r="T62" s="62" t="n">
        <x:f>IF(O62="","",(1/'Metadata'!$B$5)^(O62-1))</x:f>
        <x:v>5929.07559285558</x:v>
      </x:c>
      <x:c r="U62" s="60" t="n">
        <x:f>IF(T62="","",I62*T62)</x:f>
        <x:v>192999.27472390278</x:v>
      </x:c>
    </x:row>
    <x:row r="63" ht="18" customHeight="1">
      <x:c r="A63" s="46" t="str">
        <x:v>LME_008</x:v>
      </x:c>
      <x:c r="B63" s="46" t="str">
        <x:v>Scotian Shelf</x:v>
      </x:c>
      <x:c r="C63" s="46" t="str">
        <x:v>LME</x:v>
      </x:c>
      <x:c r="D63" s="58" t="n">
        <x:v>2019</x:v>
      </x:c>
      <x:c r="E63" s="46" t="str">
        <x:v>Pseudopleuronectes americanus</x:v>
      </x:c>
      <x:c r="F63" s="46" t="str">
        <x:v>Winter flounder</x:v>
      </x:c>
      <x:c r="G63" s="46" t="str">
        <x:v>Small to medium flatfishes (&lt;90 cm)</x:v>
      </x:c>
      <x:c r="H63" s="46" t="str">
        <x:v>Flatfishes</x:v>
      </x:c>
      <x:c r="I63" s="60" t="n">
        <x:v>26.373325734</x:v>
      </x:c>
      <x:c r="J63" s="60" t="n">
        <x:v>0</x:v>
      </x:c>
      <x:c r="K63" s="60" t="n">
        <x:v>26.373325734</x:v>
      </x:c>
      <x:c r="L63" s="60" t="n">
        <x:v>0</x:v>
      </x:c>
      <x:c r="M63" s="60" t="n">
        <x:v>26.373325734</x:v>
      </x:c>
      <x:c r="N63" s="46" t="str">
        <x:v>pseudopleuronectes americanus</x:v>
      </x:c>
      <x:c r="O63" s="62" t="n">
        <x:v>3.62</x:v>
      </x:c>
      <x:c r="P63" s="46" t="str">
        <x:v>exact_2020_supplement</x:v>
      </x:c>
      <x:c r="Q63" s="62" t="str">
        <x:v>2020 supplement MeanTL</x:v>
      </x:c>
      <x:c r="R63" s="46" t="str">
        <x:v>high</x:v>
      </x:c>
      <x:c r="S63" s="46" t="str">
        <x:v>Pseudopleuronectes americanus</x:v>
      </x:c>
      <x:c r="T63" s="62" t="n">
        <x:f>IF(O63="","",(1/'Metadata'!$B$5)^(O63-1))</x:f>
        <x:v>2562.7048371775754</x:v>
      </x:c>
      <x:c r="U63" s="60" t="n">
        <x:f>IF(T63="","",I63*T63)</x:f>
        <x:v>67587.04943098163</x:v>
      </x:c>
    </x:row>
    <x:row r="64" ht="18" customHeight="1">
      <x:c r="A64" s="46" t="str">
        <x:v>LME_008</x:v>
      </x:c>
      <x:c r="B64" s="46" t="str">
        <x:v>Scotian Shelf</x:v>
      </x:c>
      <x:c r="C64" s="46" t="str">
        <x:v>LME</x:v>
      </x:c>
      <x:c r="D64" s="58" t="n">
        <x:v>2019</x:v>
      </x:c>
      <x:c r="E64" s="46" t="str">
        <x:v>Scyphozoa</x:v>
      </x:c>
      <x:c r="F64" s="46" t="str">
        <x:v>True jellyfishes</x:v>
      </x:c>
      <x:c r="G64" s="46" t="str">
        <x:v>Jellyfish</x:v>
      </x:c>
      <x:c r="H64" s="46" t="str">
        <x:v>Other fishes &amp; inverts</x:v>
      </x:c>
      <x:c r="I64" s="60" t="n">
        <x:v>25.3455157838</x:v>
      </x:c>
      <x:c r="J64" s="60" t="n">
        <x:v>0</x:v>
      </x:c>
      <x:c r="K64" s="60" t="n">
        <x:v>25.3455157838</x:v>
      </x:c>
      <x:c r="L64" s="60" t="n">
        <x:v>0</x:v>
      </x:c>
      <x:c r="M64" s="60" t="n">
        <x:v>25.3455157838</x:v>
      </x:c>
      <x:c r="N64" s="46" t="str">
        <x:v>scyphozoa</x:v>
      </x:c>
      <x:c r="O64" s="62" t="n">
        <x:v>3.46</x:v>
      </x:c>
      <x:c r="P64" s="46" t="str">
        <x:v>exact_sea_around_us</x:v>
      </x:c>
      <x:c r="Q64" s="62" t="str">
        <x:v>Sea Around Us exploited organisms</x:v>
      </x:c>
      <x:c r="R64" s="46" t="str">
        <x:v>high</x:v>
      </x:c>
      <x:c r="S64" s="46" t="str">
        <x:v>Scyphozoa</x:v>
      </x:c>
      <x:c r="T64" s="62" t="n">
        <x:f>IF(O64="","",(1/'Metadata'!$B$5)^(O64-1))</x:f>
        <x:v>1586.8423749532276</x:v>
      </x:c>
      <x:c r="U64" s="60" t="n">
        <x:f>IF(T64="","",I64*T64)</x:f>
        <x:v>40219.338460779705</x:v>
      </x:c>
    </x:row>
    <x:row r="65" ht="18" customHeight="1">
      <x:c r="A65" s="46" t="str">
        <x:v>LME_008</x:v>
      </x:c>
      <x:c r="B65" s="46" t="str">
        <x:v>Scotian Shelf</x:v>
      </x:c>
      <x:c r="C65" s="46" t="str">
        <x:v>LME</x:v>
      </x:c>
      <x:c r="D65" s="58" t="n">
        <x:v>2019</x:v>
      </x:c>
      <x:c r="E65" s="46" t="str">
        <x:v>Anguilla rostrata</x:v>
      </x:c>
      <x:c r="F65" s="46" t="str">
        <x:v>American eel</x:v>
      </x:c>
      <x:c r="G65" s="46" t="str">
        <x:v>Large demersals (&gt;=90 cm)</x:v>
      </x:c>
      <x:c r="H65" s="46" t="str">
        <x:v>Other fishes &amp; inverts</x:v>
      </x:c>
      <x:c r="I65" s="60" t="n">
        <x:v>24.971970354699998</x:v>
      </x:c>
      <x:c r="J65" s="60" t="n">
        <x:v>24.971970354699998</x:v>
      </x:c>
      <x:c r="K65" s="60" t="n">
        <x:v>0</x:v>
      </x:c>
      <x:c r="L65" s="60" t="n">
        <x:v>24.971970354699998</x:v>
      </x:c>
      <x:c r="M65" s="60" t="n">
        <x:v>0</x:v>
      </x:c>
      <x:c r="N65" s="46" t="str">
        <x:v>anguilla rostrata</x:v>
      </x:c>
      <x:c r="O65" s="62" t="n">
        <x:v>3.83</x:v>
      </x:c>
      <x:c r="P65" s="46" t="str">
        <x:v>exact_2020_supplement</x:v>
      </x:c>
      <x:c r="Q65" s="62" t="str">
        <x:v>2020 supplement MeanTL</x:v>
      </x:c>
      <x:c r="R65" s="46" t="str">
        <x:v>high</x:v>
      </x:c>
      <x:c r="S65" s="46" t="str">
        <x:v>Anguilla rostrata</x:v>
      </x:c>
      <x:c r="T65" s="62" t="n">
        <x:f>IF(O65="","",(1/'Metadata'!$B$5)^(O65-1))</x:f>
        <x:v>4807.451236307852</x:v>
      </x:c>
      <x:c r="U65" s="60" t="n">
        <x:f>IF(T65="","",I65*T65)</x:f>
        <x:v>120051.52975474554</x:v>
      </x:c>
    </x:row>
    <x:row r="66" ht="18" customHeight="1">
      <x:c r="A66" s="46" t="str">
        <x:v>LME_008</x:v>
      </x:c>
      <x:c r="B66" s="46" t="str">
        <x:v>Scotian Shelf</x:v>
      </x:c>
      <x:c r="C66" s="46" t="str">
        <x:v>LME</x:v>
      </x:c>
      <x:c r="D66" s="58" t="n">
        <x:v>2019</x:v>
      </x:c>
      <x:c r="E66" s="46" t="str">
        <x:v>Cottidae</x:v>
      </x:c>
      <x:c r="F66" s="46" t="str">
        <x:v>Sculpins</x:v>
      </x:c>
      <x:c r="G66" s="46" t="str">
        <x:v>Large reef assoc. fish (&gt;=90 cm)</x:v>
      </x:c>
      <x:c r="H66" s="46" t="str">
        <x:v>Scorpionfishes</x:v>
      </x:c>
      <x:c r="I66" s="60" t="n">
        <x:v>24.182577703200003</x:v>
      </x:c>
      <x:c r="J66" s="60" t="n">
        <x:v>0</x:v>
      </x:c>
      <x:c r="K66" s="60" t="n">
        <x:v>24.182577703200003</x:v>
      </x:c>
      <x:c r="L66" s="60" t="n">
        <x:v>0</x:v>
      </x:c>
      <x:c r="M66" s="60" t="n">
        <x:v>24.182577703200003</x:v>
      </x:c>
      <x:c r="N66" s="46" t="str">
        <x:v>cottidae</x:v>
      </x:c>
      <x:c r="O66" s="62" t="n">
        <x:v>3.81</x:v>
      </x:c>
      <x:c r="P66" s="46" t="str">
        <x:v>exact_sea_around_us</x:v>
      </x:c>
      <x:c r="Q66" s="62" t="str">
        <x:v>Sea Around Us exploited organisms</x:v>
      </x:c>
      <x:c r="R66" s="46" t="str">
        <x:v>high</x:v>
      </x:c>
      <x:c r="S66" s="46" t="str">
        <x:v>Cottidae</x:v>
      </x:c>
      <x:c r="T66" s="62" t="n">
        <x:f>IF(O66="","",(1/'Metadata'!$B$5)^(O66-1))</x:f>
        <x:v>4527.873529309382</x:v>
      </x:c>
      <x:c r="U66" s="60" t="n">
        <x:f>IF(T66="","",I66*T66)</x:f>
        <x:v>109495.65345278657</x:v>
      </x:c>
    </x:row>
    <x:row r="67" ht="18" customHeight="1">
      <x:c r="A67" s="46" t="str">
        <x:v>LME_008</x:v>
      </x:c>
      <x:c r="B67" s="46" t="str">
        <x:v>Scotian Shelf</x:v>
      </x:c>
      <x:c r="C67" s="46" t="str">
        <x:v>LME</x:v>
      </x:c>
      <x:c r="D67" s="58" t="n">
        <x:v>2019</x:v>
      </x:c>
      <x:c r="E67" s="46" t="str">
        <x:v>Isurus oxyrinchus</x:v>
      </x:c>
      <x:c r="F67" s="46" t="str">
        <x:v>Shortfin mako</x:v>
      </x:c>
      <x:c r="G67" s="46" t="str">
        <x:v>Large sharks (&gt;=90 cm)</x:v>
      </x:c>
      <x:c r="H67" s="46" t="str">
        <x:v>Sharks &amp; rays</x:v>
      </x:c>
      <x:c r="I67" s="60" t="n">
        <x:v>23.220530648199997</x:v>
      </x:c>
      <x:c r="J67" s="60" t="n">
        <x:v>0.4920688026</x:v>
      </x:c>
      <x:c r="K67" s="60" t="n">
        <x:v>22.7284618456</x:v>
      </x:c>
      <x:c r="L67" s="60" t="n">
        <x:v>0.4865340538</x:v>
      </x:c>
      <x:c r="M67" s="60" t="n">
        <x:v>22.733996594399997</x:v>
      </x:c>
      <x:c r="N67" s="46" t="str">
        <x:v>isurus oxyrinchus</x:v>
      </x:c>
      <x:c r="O67" s="62" t="n">
        <x:v>4.5</x:v>
      </x:c>
      <x:c r="P67" s="46" t="str">
        <x:v>exact_2020_supplement</x:v>
      </x:c>
      <x:c r="Q67" s="62" t="str">
        <x:v>2020 supplement MeanTL</x:v>
      </x:c>
      <x:c r="R67" s="46" t="str">
        <x:v>high</x:v>
      </x:c>
      <x:c r="S67" s="46" t="str">
        <x:v>Isurus oxyrinchus</x:v>
      </x:c>
      <x:c r="T67" s="62" t="n">
        <x:f>IF(O67="","",(1/'Metadata'!$B$5)^(O67-1))</x:f>
        <x:v>35777.08763999664</x:v>
      </x:c>
      <x:c r="U67" s="60" t="n">
        <x:f>IF(T67="","",I67*T67)</x:f>
        <x:v>830762.9600478791</x:v>
      </x:c>
    </x:row>
    <x:row r="68" ht="18" customHeight="1">
      <x:c r="A68" s="46" t="str">
        <x:v>LME_008</x:v>
      </x:c>
      <x:c r="B68" s="46" t="str">
        <x:v>Scotian Shelf</x:v>
      </x:c>
      <x:c r="C68" s="46" t="str">
        <x:v>LME</x:v>
      </x:c>
      <x:c r="D68" s="58" t="n">
        <x:v>2019</x:v>
      </x:c>
      <x:c r="E68" s="46" t="str">
        <x:v>Octopoda</x:v>
      </x:c>
      <x:c r="F68" s="46" t="str">
        <x:v>Octopuses, argonauts</x:v>
      </x:c>
      <x:c r="G68" s="46" t="str">
        <x:v>Cephalopods</x:v>
      </x:c>
      <x:c r="H68" s="46" t="str">
        <x:v>Other fishes &amp; inverts</x:v>
      </x:c>
      <x:c r="I68" s="60" t="n">
        <x:v>20.369473872</x:v>
      </x:c>
      <x:c r="J68" s="60" t="n">
        <x:v>0</x:v>
      </x:c>
      <x:c r="K68" s="60" t="n">
        <x:v>20.369473872</x:v>
      </x:c>
      <x:c r="L68" s="60" t="n">
        <x:v>0</x:v>
      </x:c>
      <x:c r="M68" s="60" t="n">
        <x:v>20.369473872</x:v>
      </x:c>
      <x:c r="N68" s="46" t="str">
        <x:v>octopoda</x:v>
      </x:c>
      <x:c r="O68" s="62" t="n">
        <x:v>3.58</x:v>
      </x:c>
      <x:c r="P68" s="46" t="str">
        <x:v>exact_sea_around_us</x:v>
      </x:c>
      <x:c r="Q68" s="62" t="str">
        <x:v>Sea Around Us exploited organisms</x:v>
      </x:c>
      <x:c r="R68" s="46" t="str">
        <x:v>high</x:v>
      </x:c>
      <x:c r="S68" s="46" t="str">
        <x:v>Octopoda</x:v>
      </x:c>
      <x:c r="T68" s="62" t="n">
        <x:f>IF(O68="","",(1/'Metadata'!$B$5)^(O68-1))</x:f>
        <x:v>2273.3033337150473</x:v>
      </x:c>
      <x:c r="U68" s="60" t="n">
        <x:f>IF(T68="","",I68*T68)</x:f>
        <x:v>46305.99285923915</x:v>
      </x:c>
    </x:row>
    <x:row r="69" ht="18" customHeight="1">
      <x:c r="A69" s="46" t="str">
        <x:v>LME_008</x:v>
      </x:c>
      <x:c r="B69" s="46" t="str">
        <x:v>Scotian Shelf</x:v>
      </x:c>
      <x:c r="C69" s="46" t="str">
        <x:v>LME</x:v>
      </x:c>
      <x:c r="D69" s="58" t="n">
        <x:v>2019</x:v>
      </x:c>
      <x:c r="E69" s="46" t="str">
        <x:v>Buccinum undatum</x:v>
      </x:c>
      <x:c r="F69" s="46" t="str">
        <x:v>Whelk</x:v>
      </x:c>
      <x:c r="G69" s="46" t="str">
        <x:v>Other demersal invertebrates</x:v>
      </x:c>
      <x:c r="H69" s="46" t="str">
        <x:v>Molluscs</x:v>
      </x:c>
      <x:c r="I69" s="60" t="n">
        <x:v>19.6331180086</x:v>
      </x:c>
      <x:c r="J69" s="60" t="n">
        <x:v>0.025031788200000002</x:v>
      </x:c>
      <x:c r="K69" s="60" t="n">
        <x:v>19.6080862204</x:v>
      </x:c>
      <x:c r="L69" s="60" t="n">
        <x:v>0</x:v>
      </x:c>
      <x:c r="M69" s="60" t="n">
        <x:v>19.6331180086</x:v>
      </x:c>
      <x:c r="N69" s="46" t="str">
        <x:v>buccinum undatum</x:v>
      </x:c>
      <x:c r="O69" s="62" t="n">
        <x:v>3.75</x:v>
      </x:c>
      <x:c r="P69" s="46" t="str">
        <x:v>exact_2020_supplement</x:v>
      </x:c>
      <x:c r="Q69" s="62" t="str">
        <x:v>2020 supplement MeanTL</x:v>
      </x:c>
      <x:c r="R69" s="46" t="str">
        <x:v>high</x:v>
      </x:c>
      <x:c r="S69" s="46" t="str">
        <x:v>Buccinum undatum</x:v>
      </x:c>
      <x:c r="T69" s="62" t="n">
        <x:f>IF(O69="","",(1/'Metadata'!$B$5)^(O69-1))</x:f>
        <x:v>3782.966436012703</x:v>
      </x:c>
      <x:c r="U69" s="60" t="n">
        <x:f>IF(T69="","",I69*T69)</x:f>
        <x:v>74271.42646081035</x:v>
      </x:c>
    </x:row>
    <x:row r="70" ht="18" customHeight="1">
      <x:c r="A70" s="46" t="str">
        <x:v>LME_008</x:v>
      </x:c>
      <x:c r="B70" s="46" t="str">
        <x:v>Scotian Shelf</x:v>
      </x:c>
      <x:c r="C70" s="46" t="str">
        <x:v>LME</x:v>
      </x:c>
      <x:c r="D70" s="58" t="n">
        <x:v>2019</x:v>
      </x:c>
      <x:c r="E70" s="46" t="str">
        <x:v>Enchelyopus cimbrius</x:v>
      </x:c>
      <x:c r="F70" s="46" t="str">
        <x:v>Fourbeard rockling</x:v>
      </x:c>
      <x:c r="G70" s="46" t="str">
        <x:v>Medium demersals (30 - 89 cm)</x:v>
      </x:c>
      <x:c r="H70" s="46" t="str">
        <x:v>Cod-likes</x:v>
      </x:c>
      <x:c r="I70" s="60" t="n">
        <x:v>17.0070282087</x:v>
      </x:c>
      <x:c r="J70" s="60" t="n">
        <x:v>0</x:v>
      </x:c>
      <x:c r="K70" s="60" t="n">
        <x:v>17.0070282087</x:v>
      </x:c>
      <x:c r="L70" s="60" t="n">
        <x:v>0</x:v>
      </x:c>
      <x:c r="M70" s="60" t="n">
        <x:v>17.0070282087</x:v>
      </x:c>
      <x:c r="N70" s="46" t="str">
        <x:v>enchelyopus cimbrius</x:v>
      </x:c>
      <x:c r="O70" s="62" t="n">
        <x:v>3.53</x:v>
      </x:c>
      <x:c r="P70" s="46" t="str">
        <x:v>exact_2020_supplement</x:v>
      </x:c>
      <x:c r="Q70" s="62" t="str">
        <x:v>2020 supplement MeanTL</x:v>
      </x:c>
      <x:c r="R70" s="46" t="str">
        <x:v>high</x:v>
      </x:c>
      <x:c r="S70" s="46" t="str">
        <x:v>Enchelyopus cimbrius</x:v>
      </x:c>
      <x:c r="T70" s="62" t="n">
        <x:f>IF(O70="","",(1/'Metadata'!$B$5)^(O70-1))</x:f>
        <x:v>1957.0678791263101</x:v>
      </x:c>
      <x:c r="U70" s="60" t="n">
        <x:f>IF(T70="","",I70*T70)</x:f>
        <x:v>33283.90862664184</x:v>
      </x:c>
    </x:row>
    <x:row r="71" ht="18" customHeight="1">
      <x:c r="A71" s="46" t="str">
        <x:v>LME_008</x:v>
      </x:c>
      <x:c r="B71" s="46" t="str">
        <x:v>Scotian Shelf</x:v>
      </x:c>
      <x:c r="C71" s="46" t="str">
        <x:v>LME</x:v>
      </x:c>
      <x:c r="D71" s="58" t="n">
        <x:v>2019</x:v>
      </x:c>
      <x:c r="E71" s="46" t="str">
        <x:v>Miscellaneous aquatic invertebrates</x:v>
      </x:c>
      <x:c r="F71" s="46" t="str">
        <x:v>Aquatic invertebrates</x:v>
      </x:c>
      <x:c r="G71" s="46" t="str">
        <x:v>Other demersal invertebrates</x:v>
      </x:c>
      <x:c r="H71" s="46" t="str">
        <x:v>Other fishes &amp; inverts</x:v>
      </x:c>
      <x:c r="I71" s="60" t="n">
        <x:v>16.4550752552</x:v>
      </x:c>
      <x:c r="J71" s="60" t="n">
        <x:v>0</x:v>
      </x:c>
      <x:c r="K71" s="60" t="n">
        <x:v>16.4550752552</x:v>
      </x:c>
      <x:c r="L71" s="60" t="n">
        <x:v>0</x:v>
      </x:c>
      <x:c r="M71" s="60" t="n">
        <x:v>16.4550752552</x:v>
      </x:c>
      <x:c r="N71" s="46" t="str">
        <x:v>miscellaneous aquatic invertebrates</x:v>
      </x:c>
      <x:c r="O71" s="62" t="n">
        <x:v>2.43</x:v>
      </x:c>
      <x:c r="P71" s="46" t="str">
        <x:v>exact_sea_around_us</x:v>
      </x:c>
      <x:c r="Q71" s="62" t="str">
        <x:v>Sea Around Us exploited organisms</x:v>
      </x:c>
      <x:c r="R71" s="46" t="str">
        <x:v>high</x:v>
      </x:c>
      <x:c r="S71" s="46" t="str">
        <x:v>Miscellaneous aquatic invertebrates</x:v>
      </x:c>
      <x:c r="T71" s="62" t="n">
        <x:f>IF(O71="","",(1/'Metadata'!$B$5)^(O71-1))</x:f>
        <x:v>72.52252122305909</x:v>
      </x:c>
      <x:c r="U71" s="60" t="n">
        <x:f>IF(T71="","",I71*T71)</x:f>
        <x:v>1193.3635444222764</x:v>
      </x:c>
    </x:row>
    <x:row r="72" ht="18" customHeight="1">
      <x:c r="A72" s="46" t="str">
        <x:v>LME_008</x:v>
      </x:c>
      <x:c r="B72" s="46" t="str">
        <x:v>Scotian Shelf</x:v>
      </x:c>
      <x:c r="C72" s="46" t="str">
        <x:v>LME</x:v>
      </x:c>
      <x:c r="D72" s="58" t="n">
        <x:v>2019</x:v>
      </x:c>
      <x:c r="E72" s="46" t="str">
        <x:v>Squalus acanthias</x:v>
      </x:c>
      <x:c r="F72" s="46" t="str">
        <x:v>Picked dogfish</x:v>
      </x:c>
      <x:c r="G72" s="46" t="str">
        <x:v>Large sharks (&gt;=90 cm)</x:v>
      </x:c>
      <x:c r="H72" s="46" t="str">
        <x:v>Sharks &amp; rays</x:v>
      </x:c>
      <x:c r="I72" s="60" t="n">
        <x:v>14.518604931099999</x:v>
      </x:c>
      <x:c r="J72" s="60" t="n">
        <x:v>14.518604931099999</x:v>
      </x:c>
      <x:c r="K72" s="60" t="n">
        <x:v>0</x:v>
      </x:c>
      <x:c r="L72" s="60" t="n">
        <x:v>14.518604931099999</x:v>
      </x:c>
      <x:c r="M72" s="60" t="n">
        <x:v>0</x:v>
      </x:c>
      <x:c r="N72" s="46" t="str">
        <x:v>squalus acanthias</x:v>
      </x:c>
      <x:c r="O72" s="62" t="n">
        <x:v>4.37</x:v>
      </x:c>
      <x:c r="P72" s="46" t="str">
        <x:v>exact_2020_supplement</x:v>
      </x:c>
      <x:c r="Q72" s="62" t="str">
        <x:v>2020 supplement MeanTL</x:v>
      </x:c>
      <x:c r="R72" s="46" t="str">
        <x:v>high</x:v>
      </x:c>
      <x:c r="S72" s="46" t="str">
        <x:v>Squalus acanthias</x:v>
      </x:c>
      <x:c r="T72" s="62" t="n">
        <x:f>IF(O72="","",(1/'Metadata'!$B$5)^(O72-1))</x:f>
        <x:v>24236.56596112542</x:v>
      </x:c>
      <x:c r="U72" s="60" t="n">
        <x:f>IF(T72="","",I72*T72)</x:f>
        <x:v>351881.1260761259</x:v>
      </x:c>
    </x:row>
    <x:row r="73" ht="18" customHeight="1">
      <x:c r="A73" s="46" t="str">
        <x:v>LME_008</x:v>
      </x:c>
      <x:c r="B73" s="46" t="str">
        <x:v>Scotian Shelf</x:v>
      </x:c>
      <x:c r="C73" s="46" t="str">
        <x:v>LME</x:v>
      </x:c>
      <x:c r="D73" s="58" t="n">
        <x:v>2019</x:v>
      </x:c>
      <x:c r="E73" s="46" t="str">
        <x:v>Anguilliformes</x:v>
      </x:c>
      <x:c r="F73" s="46" t="str">
        <x:v>Eels, morays</x:v>
      </x:c>
      <x:c r="G73" s="46" t="str">
        <x:v>Large demersals (&gt;=90 cm)</x:v>
      </x:c>
      <x:c r="H73" s="46" t="str">
        <x:v>Other fishes &amp; inverts</x:v>
      </x:c>
      <x:c r="I73" s="60" t="n">
        <x:v>13.5707128192</x:v>
      </x:c>
      <x:c r="J73" s="60" t="n">
        <x:v>13.5707128192</x:v>
      </x:c>
      <x:c r="K73" s="60" t="n">
        <x:v>0</x:v>
      </x:c>
      <x:c r="L73" s="60" t="n">
        <x:v>0</x:v>
      </x:c>
      <x:c r="M73" s="60" t="n">
        <x:v>13.5707128192</x:v>
      </x:c>
      <x:c r="N73" s="46" t="str">
        <x:v>anguilliformes</x:v>
      </x:c>
      <x:c r="O73" s="62" t="n">
        <x:v>3.89</x:v>
      </x:c>
      <x:c r="P73" s="46" t="str">
        <x:v>exact_sea_around_us</x:v>
      </x:c>
      <x:c r="Q73" s="62" t="str">
        <x:v>Sea Around Us exploited organisms</x:v>
      </x:c>
      <x:c r="R73" s="46" t="str">
        <x:v>high</x:v>
      </x:c>
      <x:c r="S73" s="46" t="str">
        <x:v>Anguilliformes</x:v>
      </x:c>
      <x:c r="T73" s="62" t="n">
        <x:f>IF(O73="","",(1/'Metadata'!$B$5)^(O73-1))</x:f>
        <x:v>5754.090490759748</x:v>
      </x:c>
      <x:c r="U73" s="60" t="n">
        <x:f>IF(T73="","",I73*T73)</x:f>
        <x:v>78087.10958579014</x:v>
      </x:c>
    </x:row>
    <x:row r="74" ht="18" customHeight="1">
      <x:c r="A74" s="46" t="str">
        <x:v>LME_008</x:v>
      </x:c>
      <x:c r="B74" s="46" t="str">
        <x:v>Scotian Shelf</x:v>
      </x:c>
      <x:c r="C74" s="46" t="str">
        <x:v>LME</x:v>
      </x:c>
      <x:c r="D74" s="58" t="n">
        <x:v>2019</x:v>
      </x:c>
      <x:c r="E74" s="46" t="str">
        <x:v>Zoarces americanus</x:v>
      </x:c>
      <x:c r="F74" s="46" t="str">
        <x:v>Ocean pout</x:v>
      </x:c>
      <x:c r="G74" s="46" t="str">
        <x:v>Large demersals (&gt;=90 cm)</x:v>
      </x:c>
      <x:c r="H74" s="46" t="str">
        <x:v>Perch-likes</x:v>
      </x:c>
      <x:c r="I74" s="60" t="n">
        <x:v>11.7909182138</x:v>
      </x:c>
      <x:c r="J74" s="60" t="n">
        <x:v>0</x:v>
      </x:c>
      <x:c r="K74" s="60" t="n">
        <x:v>11.7909182138</x:v>
      </x:c>
      <x:c r="L74" s="60" t="n">
        <x:v>0</x:v>
      </x:c>
      <x:c r="M74" s="60" t="n">
        <x:v>11.7909182138</x:v>
      </x:c>
      <x:c r="N74" s="46" t="str">
        <x:v>zoarces americanus</x:v>
      </x:c>
      <x:c r="O74" s="62" t="n">
        <x:v>4.24</x:v>
      </x:c>
      <x:c r="P74" s="46" t="str">
        <x:v>exact_2020_supplement</x:v>
      </x:c>
      <x:c r="Q74" s="62" t="str">
        <x:v>2020 supplement MeanTL</x:v>
      </x:c>
      <x:c r="R74" s="46" t="str">
        <x:v>high</x:v>
      </x:c>
      <x:c r="S74" s="46" t="str">
        <x:v>Zoarces americanus</x:v>
      </x:c>
      <x:c r="T74" s="62" t="n">
        <x:f>IF(O74="","",(1/'Metadata'!$B$5)^(O74-1))</x:f>
        <x:v>16418.64020623336</x:v>
      </x:c>
      <x:c r="U74" s="60" t="n">
        <x:f>IF(T74="","",I74*T74)</x:f>
        <x:v>193590.84385350588</x:v>
      </x:c>
    </x:row>
    <x:row r="75" ht="18" customHeight="1">
      <x:c r="A75" s="46" t="str">
        <x:v>LME_008</x:v>
      </x:c>
      <x:c r="B75" s="46" t="str">
        <x:v>Scotian Shelf</x:v>
      </x:c>
      <x:c r="C75" s="46" t="str">
        <x:v>LME</x:v>
      </x:c>
      <x:c r="D75" s="58" t="n">
        <x:v>2019</x:v>
      </x:c>
      <x:c r="E75" s="46" t="str">
        <x:v>Myzopsetta ferruginea</x:v>
      </x:c>
      <x:c r="F75" s="46" t="str">
        <x:v>Yellowtail flounder</x:v>
      </x:c>
      <x:c r="G75" s="46" t="str">
        <x:v>Small to medium flatfishes (&lt;90 cm)</x:v>
      </x:c>
      <x:c r="H75" s="46" t="str">
        <x:v>Flatfishes</x:v>
      </x:c>
      <x:c r="I75" s="60" t="n">
        <x:v>11.3975764804</x:v>
      </x:c>
      <x:c r="J75" s="60" t="n">
        <x:v>0</x:v>
      </x:c>
      <x:c r="K75" s="60" t="n">
        <x:v>11.3975764804</x:v>
      </x:c>
      <x:c r="L75" s="60" t="n">
        <x:v>0</x:v>
      </x:c>
      <x:c r="M75" s="60" t="n">
        <x:v>11.3975764804</x:v>
      </x:c>
      <x:c r="N75" s="46" t="str">
        <x:v>myzopsetta ferruginea</x:v>
      </x:c>
      <x:c r="O75" s="62" t="n">
        <x:v>3.28</x:v>
      </x:c>
      <x:c r="P75" s="46" t="str">
        <x:v>exact_sea_around_us</x:v>
      </x:c>
      <x:c r="Q75" s="62" t="str">
        <x:v>Sea Around Us exploited organisms</x:v>
      </x:c>
      <x:c r="R75" s="46" t="str">
        <x:v>high</x:v>
      </x:c>
      <x:c r="S75" s="46" t="str">
        <x:v>Myzopsetta ferruginea</x:v>
      </x:c>
      <x:c r="T75" s="62" t="n">
        <x:f>IF(O75="","",(1/'Metadata'!$B$5)^(O75-1))</x:f>
        <x:v>925.4402624666747</x:v>
      </x:c>
      <x:c r="U75" s="60" t="n">
        <x:f>IF(T75="","",I75*T75)</x:f>
        <x:v>10547.776169505374</x:v>
      </x:c>
    </x:row>
    <x:row r="76" ht="18" customHeight="1">
      <x:c r="A76" s="46" t="str">
        <x:v>LME_008</x:v>
      </x:c>
      <x:c r="B76" s="46" t="str">
        <x:v>Scotian Shelf</x:v>
      </x:c>
      <x:c r="C76" s="46" t="str">
        <x:v>LME</x:v>
      </x:c>
      <x:c r="D76" s="58" t="n">
        <x:v>2019</x:v>
      </x:c>
      <x:c r="E76" s="46" t="str">
        <x:v>Anarhichas lupus</x:v>
      </x:c>
      <x:c r="F76" s="46" t="str">
        <x:v>Atlantic wolffish</x:v>
      </x:c>
      <x:c r="G76" s="46" t="str">
        <x:v>Large demersals (&gt;=90 cm)</x:v>
      </x:c>
      <x:c r="H76" s="46" t="str">
        <x:v>Perch-likes</x:v>
      </x:c>
      <x:c r="I76" s="60" t="n">
        <x:v>8.4460189869</x:v>
      </x:c>
      <x:c r="J76" s="60" t="n">
        <x:v>0</x:v>
      </x:c>
      <x:c r="K76" s="60" t="n">
        <x:v>8.4460189869</x:v>
      </x:c>
      <x:c r="L76" s="60" t="n">
        <x:v>0</x:v>
      </x:c>
      <x:c r="M76" s="60" t="n">
        <x:v>8.4460189869</x:v>
      </x:c>
      <x:c r="N76" s="46" t="str">
        <x:v>anarhichas lupus</x:v>
      </x:c>
      <x:c r="O76" s="62" t="n">
        <x:v>3.55</x:v>
      </x:c>
      <x:c r="P76" s="46" t="str">
        <x:v>exact_2020_supplement</x:v>
      </x:c>
      <x:c r="Q76" s="62" t="str">
        <x:v>2020 supplement MeanTL</x:v>
      </x:c>
      <x:c r="R76" s="46" t="str">
        <x:v>high</x:v>
      </x:c>
      <x:c r="S76" s="46" t="str">
        <x:v>Anarhichas lupus</x:v>
      </x:c>
      <x:c r="T76" s="62" t="n">
        <x:f>IF(O76="","",(1/'Metadata'!$B$5)^(O76-1))</x:f>
        <x:v>2077.9088316274606</x:v>
      </x:c>
      <x:c r="U76" s="60" t="n">
        <x:f>IF(T76="","",I76*T76)</x:f>
        <x:v>17550.05744497273</x:v>
      </x:c>
    </x:row>
    <x:row r="77" ht="18" customHeight="1">
      <x:c r="A77" s="46" t="str">
        <x:v>LME_008</x:v>
      </x:c>
      <x:c r="B77" s="46" t="str">
        <x:v>Scotian Shelf</x:v>
      </x:c>
      <x:c r="C77" s="46" t="str">
        <x:v>LME</x:v>
      </x:c>
      <x:c r="D77" s="58" t="n">
        <x:v>2019</x:v>
      </x:c>
      <x:c r="E77" s="46" t="str">
        <x:v>Gadidae</x:v>
      </x:c>
      <x:c r="F77" s="46" t="str">
        <x:v>Cods, haddocks</x:v>
      </x:c>
      <x:c r="G77" s="46" t="str">
        <x:v>Medium demersals (30 - 89 cm)</x:v>
      </x:c>
      <x:c r="H77" s="46" t="str">
        <x:v>Cod-likes</x:v>
      </x:c>
      <x:c r="I77" s="60" t="n">
        <x:v>8.0505468265</x:v>
      </x:c>
      <x:c r="J77" s="60" t="n">
        <x:v>0</x:v>
      </x:c>
      <x:c r="K77" s="60" t="n">
        <x:v>8.0505468265</x:v>
      </x:c>
      <x:c r="L77" s="60" t="n">
        <x:v>0</x:v>
      </x:c>
      <x:c r="M77" s="60" t="n">
        <x:v>8.0505468265</x:v>
      </x:c>
      <x:c r="N77" s="46" t="str">
        <x:v>gadidae</x:v>
      </x:c>
      <x:c r="O77" s="62" t="n">
        <x:v>3.84</x:v>
      </x:c>
      <x:c r="P77" s="46" t="str">
        <x:v>exact_sea_around_us</x:v>
      </x:c>
      <x:c r="Q77" s="62" t="str">
        <x:v>Sea Around Us exploited organisms</x:v>
      </x:c>
      <x:c r="R77" s="46" t="str">
        <x:v>high</x:v>
      </x:c>
      <x:c r="S77" s="46" t="str">
        <x:v>Gadidae</x:v>
      </x:c>
      <x:c r="T77" s="62" t="n">
        <x:f>IF(O77="","",(1/'Metadata'!$B$5)^(O77-1))</x:f>
        <x:v>4953.648510535111</x:v>
      </x:c>
      <x:c r="U77" s="60" t="n">
        <x:f>IF(T77="","",I77*T77)</x:f>
        <x:v>39879.57929608489</x:v>
      </x:c>
    </x:row>
    <x:row r="78" ht="18" customHeight="1">
      <x:c r="A78" s="46" t="str">
        <x:v>LME_008</x:v>
      </x:c>
      <x:c r="B78" s="46" t="str">
        <x:v>Scotian Shelf</x:v>
      </x:c>
      <x:c r="C78" s="46" t="str">
        <x:v>LME</x:v>
      </x:c>
      <x:c r="D78" s="58" t="n">
        <x:v>2019</x:v>
      </x:c>
      <x:c r="E78" s="46" t="str">
        <x:v>Illex illecebrosus</x:v>
      </x:c>
      <x:c r="F78" s="46" t="str">
        <x:v>Northern shortfin squid</x:v>
      </x:c>
      <x:c r="G78" s="46" t="str">
        <x:v>Cephalopods</x:v>
      </x:c>
      <x:c r="H78" s="46" t="str">
        <x:v>Other fishes &amp; inverts</x:v>
      </x:c>
      <x:c r="I78" s="60" t="n">
        <x:v>6.3932125439</x:v>
      </x:c>
      <x:c r="J78" s="60" t="n">
        <x:v>6.3932125439</x:v>
      </x:c>
      <x:c r="K78" s="60" t="n">
        <x:v>0</x:v>
      </x:c>
      <x:c r="L78" s="60" t="n">
        <x:v>6.3932125439</x:v>
      </x:c>
      <x:c r="M78" s="60" t="n">
        <x:v>0</x:v>
      </x:c>
      <x:c r="N78" s="46" t="str">
        <x:v>illex illecebrosus</x:v>
      </x:c>
      <x:c r="O78" s="62" t="n">
        <x:v>3.98</x:v>
      </x:c>
      <x:c r="P78" s="46" t="str">
        <x:v>exact_2020_supplement</x:v>
      </x:c>
      <x:c r="Q78" s="62" t="str">
        <x:v>2020 supplement MeanTL</x:v>
      </x:c>
      <x:c r="R78" s="46" t="str">
        <x:v>high</x:v>
      </x:c>
      <x:c r="S78" s="46" t="str">
        <x:v>Illex illecebrosus</x:v>
      </x:c>
      <x:c r="T78" s="62" t="n">
        <x:f>IF(O78="","",(1/'Metadata'!$B$5)^(O78-1))</x:f>
        <x:v>7534.759367064222</x:v>
      </x:c>
      <x:c r="U78" s="60" t="n">
        <x:f>IF(T78="","",I78*T78)</x:f>
        <x:v>48171.318100783006</x:v>
      </x:c>
    </x:row>
    <x:row r="79" ht="18" customHeight="1">
      <x:c r="A79" s="46" t="str">
        <x:v>LME_008</x:v>
      </x:c>
      <x:c r="B79" s="46" t="str">
        <x:v>Scotian Shelf</x:v>
      </x:c>
      <x:c r="C79" s="46" t="str">
        <x:v>LME</x:v>
      </x:c>
      <x:c r="D79" s="58" t="n">
        <x:v>2019</x:v>
      </x:c>
      <x:c r="E79" s="46" t="str">
        <x:v>Lamna nasus</x:v>
      </x:c>
      <x:c r="F79" s="46" t="str">
        <x:v>Porbeagle</x:v>
      </x:c>
      <x:c r="G79" s="46" t="str">
        <x:v>Large sharks (&gt;=90 cm)</x:v>
      </x:c>
      <x:c r="H79" s="46" t="str">
        <x:v>Sharks &amp; rays</x:v>
      </x:c>
      <x:c r="I79" s="60" t="n">
        <x:v>5.5620228440999995</x:v>
      </x:c>
      <x:c r="J79" s="60" t="n">
        <x:v>0.0548719603</x:v>
      </x:c>
      <x:c r="K79" s="60" t="n">
        <x:v>5.5071508838</x:v>
      </x:c>
      <x:c r="L79" s="60" t="n">
        <x:v>0.0548719603</x:v>
      </x:c>
      <x:c r="M79" s="60" t="n">
        <x:v>5.5071508838</x:v>
      </x:c>
      <x:c r="N79" s="46" t="str">
        <x:v>lamna nasus</x:v>
      </x:c>
      <x:c r="O79" s="62" t="n">
        <x:v>4.57</x:v>
      </x:c>
      <x:c r="P79" s="46" t="str">
        <x:v>exact_2020_supplement</x:v>
      </x:c>
      <x:c r="Q79" s="62" t="str">
        <x:v>2020 supplement MeanTL</x:v>
      </x:c>
      <x:c r="R79" s="46" t="str">
        <x:v>high</x:v>
      </x:c>
      <x:c r="S79" s="46" t="str">
        <x:v>Lamna nasus</x:v>
      </x:c>
      <x:c r="T79" s="62" t="n">
        <x:f>IF(O79="","",(1/'Metadata'!$B$5)^(O79-1))</x:f>
        <x:v>44124.224393105345</x:v>
      </x:c>
      <x:c r="U79" s="60" t="n">
        <x:f>IF(T79="","",I79*T79)</x:f>
        <x:v>245419.94405264637</x:v>
      </x:c>
    </x:row>
    <x:row r="80" ht="18" customHeight="1">
      <x:c r="A80" s="46" t="str">
        <x:v>LME_008</x:v>
      </x:c>
      <x:c r="B80" s="46" t="str">
        <x:v>Scotian Shelf</x:v>
      </x:c>
      <x:c r="C80" s="46" t="str">
        <x:v>LME</x:v>
      </x:c>
      <x:c r="D80" s="58" t="n">
        <x:v>2019</x:v>
      </x:c>
      <x:c r="E80" s="46" t="str">
        <x:v>Thunnus alalunga</x:v>
      </x:c>
      <x:c r="F80" s="46" t="str">
        <x:v>Albacore</x:v>
      </x:c>
      <x:c r="G80" s="46" t="str">
        <x:v>Large pelagics (&gt;=90 cm)</x:v>
      </x:c>
      <x:c r="H80" s="46" t="str">
        <x:v>Tuna &amp; billfishes</x:v>
      </x:c>
      <x:c r="I80" s="60" t="n">
        <x:v>4.8176849667</x:v>
      </x:c>
      <x:c r="J80" s="60" t="n">
        <x:v>4.8176849667</x:v>
      </x:c>
      <x:c r="K80" s="60" t="n">
        <x:v>0</x:v>
      </x:c>
      <x:c r="L80" s="60" t="n">
        <x:v>4.8176849667</x:v>
      </x:c>
      <x:c r="M80" s="60" t="n">
        <x:v>0</x:v>
      </x:c>
      <x:c r="N80" s="46" t="str">
        <x:v>thunnus alalunga</x:v>
      </x:c>
      <x:c r="O80" s="62" t="n">
        <x:v>4.3</x:v>
      </x:c>
      <x:c r="P80" s="46" t="str">
        <x:v>exact_2020_supplement</x:v>
      </x:c>
      <x:c r="Q80" s="62" t="str">
        <x:v>2020 supplement MeanTL</x:v>
      </x:c>
      <x:c r="R80" s="46" t="str">
        <x:v>high</x:v>
      </x:c>
      <x:c r="S80" s="46" t="str">
        <x:v>Thunnus alalunga</x:v>
      </x:c>
      <x:c r="T80" s="62" t="n">
        <x:f>IF(O80="","",(1/'Metadata'!$B$5)^(O80-1))</x:f>
        <x:v>19651.648417852637</x:v>
      </x:c>
      <x:c r="U80" s="60" t="n">
        <x:f>IF(T80="","",I80*T80)</x:f>
        <x:v>94675.45115356249</x:v>
      </x:c>
    </x:row>
    <x:row r="81" ht="18" customHeight="1">
      <x:c r="A81" s="46" t="str">
        <x:v>LME_008</x:v>
      </x:c>
      <x:c r="B81" s="46" t="str">
        <x:v>Scotian Shelf</x:v>
      </x:c>
      <x:c r="C81" s="46" t="str">
        <x:v>LME</x:v>
      </x:c>
      <x:c r="D81" s="58" t="n">
        <x:v>2019</x:v>
      </x:c>
      <x:c r="E81" s="46" t="str">
        <x:v>Strongylocentrotus</x:v>
      </x:c>
      <x:c r="F81" s="46" t="str">
        <x:v>Sickle-arched sea urchins</x:v>
      </x:c>
      <x:c r="G81" s="46" t="str">
        <x:v>Other demersal invertebrates</x:v>
      </x:c>
      <x:c r="H81" s="46" t="str">
        <x:v>Other fishes &amp; inverts</x:v>
      </x:c>
      <x:c r="I81" s="60" t="n">
        <x:v>3.4211624117</x:v>
      </x:c>
      <x:c r="J81" s="60" t="n">
        <x:v>3.4211624117</x:v>
      </x:c>
      <x:c r="K81" s="60" t="n">
        <x:v>0</x:v>
      </x:c>
      <x:c r="L81" s="60" t="n">
        <x:v>3.4211624117</x:v>
      </x:c>
      <x:c r="M81" s="60" t="n">
        <x:v>0</x:v>
      </x:c>
      <x:c r="N81" s="46" t="str">
        <x:v>strongylocentrotus</x:v>
      </x:c>
      <x:c r="O81" s="62" t="n">
        <x:v>2.1</x:v>
      </x:c>
      <x:c r="P81" s="46" t="str">
        <x:v>exact_sea_around_us</x:v>
      </x:c>
      <x:c r="Q81" s="62" t="str">
        <x:v>Sea Around Us exploited organisms</x:v>
      </x:c>
      <x:c r="R81" s="46" t="str">
        <x:v>high</x:v>
      </x:c>
      <x:c r="S81" s="46" t="str">
        <x:v>Strongylocentrotus</x:v>
      </x:c>
      <x:c r="T81" s="62" t="n">
        <x:f>IF(O81="","",(1/'Metadata'!$B$5)^(O81-1))</x:f>
        <x:v>26.985656953471274</x:v>
      </x:c>
      <x:c r="U81" s="60" t="n">
        <x:f>IF(T81="","",I81*T81)</x:f>
        <x:v>92.32231522424667</x:v>
      </x:c>
    </x:row>
    <x:row r="82" ht="18" customHeight="1">
      <x:c r="A82" s="46" t="str">
        <x:v>LME_008</x:v>
      </x:c>
      <x:c r="B82" s="46" t="str">
        <x:v>Scotian Shelf</x:v>
      </x:c>
      <x:c r="C82" s="46" t="str">
        <x:v>LME</x:v>
      </x:c>
      <x:c r="D82" s="58" t="n">
        <x:v>2019</x:v>
      </x:c>
      <x:c r="E82" s="46" t="str">
        <x:v>Salvelinus</x:v>
      </x:c>
      <x:c r="F82" s="46" t="str">
        <x:v>Chars</x:v>
      </x:c>
      <x:c r="G82" s="46" t="str">
        <x:v>Large benthopelagics (&gt;=90 cm)</x:v>
      </x:c>
      <x:c r="H82" s="46" t="str">
        <x:v>Salmon, smelts, etc</x:v>
      </x:c>
      <x:c r="I82" s="60" t="n">
        <x:v>2.9346164929</x:v>
      </x:c>
      <x:c r="J82" s="60" t="n">
        <x:v>2.9346164929</x:v>
      </x:c>
      <x:c r="K82" s="60" t="n">
        <x:v>0</x:v>
      </x:c>
      <x:c r="L82" s="60" t="n">
        <x:v>0</x:v>
      </x:c>
      <x:c r="M82" s="60" t="n">
        <x:v>2.9346164929</x:v>
      </x:c>
      <x:c r="N82" s="46" t="str">
        <x:v>salvelinus</x:v>
      </x:c>
      <x:c r="O82" s="62" t="n">
        <x:v>4.1</x:v>
      </x:c>
      <x:c r="P82" s="46" t="str">
        <x:v>exact_sea_around_us</x:v>
      </x:c>
      <x:c r="Q82" s="62" t="str">
        <x:v>Sea Around Us exploited organisms</x:v>
      </x:c>
      <x:c r="R82" s="46" t="str">
        <x:v>high</x:v>
      </x:c>
      <x:c r="S82" s="46" t="str">
        <x:v>Salvelinus</x:v>
      </x:c>
      <x:c r="T82" s="62" t="n">
        <x:f>IF(O82="","",(1/'Metadata'!$B$5)^(O82-1))</x:f>
        <x:v>10794.262781388496</x:v>
      </x:c>
      <x:c r="U82" s="60" t="n">
        <x:f>IF(T82="","",I82*T82)</x:f>
        <x:v>31677.02158695931</x:v>
      </x:c>
    </x:row>
    <x:row r="83" ht="18" customHeight="1">
      <x:c r="A83" s="46" t="str">
        <x:v>LME_008</x:v>
      </x:c>
      <x:c r="B83" s="46" t="str">
        <x:v>Scotian Shelf</x:v>
      </x:c>
      <x:c r="C83" s="46" t="str">
        <x:v>LME</x:v>
      </x:c>
      <x:c r="D83" s="58" t="n">
        <x:v>2019</x:v>
      </x:c>
      <x:c r="E83" s="46" t="str">
        <x:v>Sebastes norvegicus</x:v>
      </x:c>
      <x:c r="F83" s="46" t="str">
        <x:v>Golden redfish</x:v>
      </x:c>
      <x:c r="G83" s="46" t="str">
        <x:v>Medium benthopelagics (30 - 89 cm)</x:v>
      </x:c>
      <x:c r="H83" s="46" t="str">
        <x:v>Scorpionfishes</x:v>
      </x:c>
      <x:c r="I83" s="60" t="n">
        <x:v>2.2506524426</x:v>
      </x:c>
      <x:c r="J83" s="60" t="n">
        <x:v>0</x:v>
      </x:c>
      <x:c r="K83" s="60" t="n">
        <x:v>2.2506524426</x:v>
      </x:c>
      <x:c r="L83" s="60" t="n">
        <x:v>0</x:v>
      </x:c>
      <x:c r="M83" s="60" t="n">
        <x:v>2.2506524426</x:v>
      </x:c>
      <x:c r="N83" s="46" t="str">
        <x:v>sebastes norvegicus</x:v>
      </x:c>
      <x:c r="O83" s="62" t="n">
        <x:v>4.04</x:v>
      </x:c>
      <x:c r="P83" s="46" t="str">
        <x:v>exact_2020_supplement</x:v>
      </x:c>
      <x:c r="Q83" s="62" t="str">
        <x:v>2020 supplement MeanTL</x:v>
      </x:c>
      <x:c r="R83" s="46" t="str">
        <x:v>high</x:v>
      </x:c>
      <x:c r="S83" s="46" t="str">
        <x:v>Sebastes norvegicus</x:v>
      </x:c>
      <x:c r="T83" s="62" t="n">
        <x:f>IF(O83="","",(1/'Metadata'!$B$5)^(O83-1))</x:f>
        <x:v>9018.435152653688</x:v>
      </x:c>
      <x:c r="U83" s="60" t="n">
        <x:f>IF(T83="","",I83*T83)</x:f>
        <x:v>20297.363104749726</x:v>
      </x:c>
    </x:row>
    <x:row r="84" ht="18" customHeight="1">
      <x:c r="A84" s="46" t="str">
        <x:v>LME_008</x:v>
      </x:c>
      <x:c r="B84" s="46" t="str">
        <x:v>Scotian Shelf</x:v>
      </x:c>
      <x:c r="C84" s="46" t="str">
        <x:v>LME</x:v>
      </x:c>
      <x:c r="D84" s="58" t="n">
        <x:v>2019</x:v>
      </x:c>
      <x:c r="E84" s="46" t="str">
        <x:v>Salvelinus alpinus</x:v>
      </x:c>
      <x:c r="F84" s="46" t="str">
        <x:v>Arctic char</x:v>
      </x:c>
      <x:c r="G84" s="46" t="str">
        <x:v>Medium benthopelagics (30 - 89 cm)</x:v>
      </x:c>
      <x:c r="H84" s="46" t="str">
        <x:v>Salmon, smelts, etc</x:v>
      </x:c>
      <x:c r="I84" s="60" t="n">
        <x:v>1.8186357545</x:v>
      </x:c>
      <x:c r="J84" s="60" t="n">
        <x:v>1.8186357545</x:v>
      </x:c>
      <x:c r="K84" s="60" t="n">
        <x:v>0</x:v>
      </x:c>
      <x:c r="L84" s="60" t="n">
        <x:v>0</x:v>
      </x:c>
      <x:c r="M84" s="60" t="n">
        <x:v>1.8186357545</x:v>
      </x:c>
      <x:c r="N84" s="46" t="str">
        <x:v>salvelinus alpinus</x:v>
      </x:c>
      <x:c r="O84" s="62" t="n">
        <x:v>4.39</x:v>
      </x:c>
      <x:c r="P84" s="46" t="str">
        <x:v>exact_sea_around_us</x:v>
      </x:c>
      <x:c r="Q84" s="62" t="str">
        <x:v>Sea Around Us exploited organisms</x:v>
      </x:c>
      <x:c r="R84" s="46" t="str">
        <x:v>high</x:v>
      </x:c>
      <x:c r="S84" s="46" t="str">
        <x:v>Salvelinus alpinus</x:v>
      </x:c>
      <x:c r="T84" s="62" t="n">
        <x:f>IF(O84="","",(1/'Metadata'!$B$5)^(O84-1))</x:f>
        <x:v>25733.07497204781</x:v>
      </x:c>
      <x:c r="U84" s="60" t="n">
        <x:f>IF(T84="","",I84*T84)</x:f>
        <x:v>46799.090217395235</x:v>
      </x:c>
    </x:row>
    <x:row r="85" ht="18" customHeight="1">
      <x:c r="A85" s="46" t="str">
        <x:v>LME_008</x:v>
      </x:c>
      <x:c r="B85" s="46" t="str">
        <x:v>Scotian Shelf</x:v>
      </x:c>
      <x:c r="C85" s="46" t="str">
        <x:v>LME</x:v>
      </x:c>
      <x:c r="D85" s="58" t="n">
        <x:v>2019</x:v>
      </x:c>
      <x:c r="E85" s="46" t="str">
        <x:v>Prionace glauca</x:v>
      </x:c>
      <x:c r="F85" s="46" t="str">
        <x:v>Blue shark</x:v>
      </x:c>
      <x:c r="G85" s="46" t="str">
        <x:v>Large sharks (&gt;=90 cm)</x:v>
      </x:c>
      <x:c r="H85" s="46" t="str">
        <x:v>Sharks &amp; rays</x:v>
      </x:c>
      <x:c r="I85" s="60" t="n">
        <x:v>1.2882076341</x:v>
      </x:c>
      <x:c r="J85" s="60" t="n">
        <x:v>0.8946982353999999</x:v>
      </x:c>
      <x:c r="K85" s="60" t="n">
        <x:v>0.3935093987</x:v>
      </x:c>
      <x:c r="L85" s="60" t="n">
        <x:v>0.8594962791999999</x:v>
      </x:c>
      <x:c r="M85" s="60" t="n">
        <x:v>0.4287113549</x:v>
      </x:c>
      <x:c r="N85" s="46" t="str">
        <x:v>prionace glauca</x:v>
      </x:c>
      <x:c r="O85" s="62" t="n">
        <x:v>4.35</x:v>
      </x:c>
      <x:c r="P85" s="46" t="str">
        <x:v>exact_2020_supplement</x:v>
      </x:c>
      <x:c r="Q85" s="62" t="str">
        <x:v>2020 supplement MeanTL</x:v>
      </x:c>
      <x:c r="R85" s="46" t="str">
        <x:v>high</x:v>
      </x:c>
      <x:c r="S85" s="46" t="str">
        <x:v>Prionace glauca</x:v>
      </x:c>
      <x:c r="T85" s="62" t="n">
        <x:f>IF(O85="","",(1/'Metadata'!$B$5)^(O85-1))</x:f>
        <x:v>22827.086550132422</x:v>
      </x:c>
      <x:c r="U85" s="60" t="n">
        <x:f>IF(T85="","",I85*T85)</x:f>
        <x:v>29406.027158142017</x:v>
      </x:c>
    </x:row>
    <x:row r="86" ht="18" customHeight="1">
      <x:c r="A86" s="46" t="str">
        <x:v>LME_008</x:v>
      </x:c>
      <x:c r="B86" s="46" t="str">
        <x:v>Scotian Shelf</x:v>
      </x:c>
      <x:c r="C86" s="46" t="str">
        <x:v>LME</x:v>
      </x:c>
      <x:c r="D86" s="58" t="n">
        <x:v>2019</x:v>
      </x:c>
      <x:c r="E86" s="46" t="str">
        <x:v>Morone americana</x:v>
      </x:c>
      <x:c r="F86" s="46" t="str">
        <x:v>White perch</x:v>
      </x:c>
      <x:c r="G86" s="46" t="str">
        <x:v>Medium demersals (30 - 89 cm)</x:v>
      </x:c>
      <x:c r="H86" s="46" t="str">
        <x:v>Perch-likes</x:v>
      </x:c>
      <x:c r="I86" s="60" t="n">
        <x:v>0.9339606405</x:v>
      </x:c>
      <x:c r="J86" s="60" t="n">
        <x:v>0.9339606405</x:v>
      </x:c>
      <x:c r="K86" s="60" t="n">
        <x:v>0</x:v>
      </x:c>
      <x:c r="L86" s="60" t="n">
        <x:v>0</x:v>
      </x:c>
      <x:c r="M86" s="60" t="n">
        <x:v>0.9339606405</x:v>
      </x:c>
      <x:c r="N86" s="46" t="str">
        <x:v>morone americana</x:v>
      </x:c>
      <x:c r="O86" s="62" t="n">
        <x:v>3.14</x:v>
      </x:c>
      <x:c r="P86" s="46" t="str">
        <x:v>exact_2020_supplement</x:v>
      </x:c>
      <x:c r="Q86" s="62" t="str">
        <x:v>2020 supplement MeanTL</x:v>
      </x:c>
      <x:c r="R86" s="46" t="str">
        <x:v>high</x:v>
      </x:c>
      <x:c r="S86" s="46" t="str">
        <x:v>Morone americana</x:v>
      </x:c>
      <x:c r="T86" s="62" t="n">
        <x:f>IF(O86="","",(1/'Metadata'!$B$5)^(O86-1))</x:f>
        <x:v>608.420993216597</x:v>
      </x:c>
      <x:c r="U86" s="60" t="n">
        <x:f>IF(T86="","",I86*T86)</x:f>
        <x:v>568.2412605182192</x:v>
      </x:c>
    </x:row>
    <x:row r="87" ht="18" customHeight="1">
      <x:c r="A87" s="46" t="str">
        <x:v>LME_008</x:v>
      </x:c>
      <x:c r="B87" s="46" t="str">
        <x:v>Scotian Shelf</x:v>
      </x:c>
      <x:c r="C87" s="46" t="str">
        <x:v>LME</x:v>
      </x:c>
      <x:c r="D87" s="58" t="n">
        <x:v>2019</x:v>
      </x:c>
      <x:c r="E87" s="46" t="str">
        <x:v>Thunnus albacares</x:v>
      </x:c>
      <x:c r="F87" s="46" t="str">
        <x:v>Yellowfin tuna</x:v>
      </x:c>
      <x:c r="G87" s="46" t="str">
        <x:v>Large pelagics (&gt;=90 cm)</x:v>
      </x:c>
      <x:c r="H87" s="46" t="str">
        <x:v>Tuna &amp; billfishes</x:v>
      </x:c>
      <x:c r="I87" s="60" t="n">
        <x:v>0.8811735722</x:v>
      </x:c>
      <x:c r="J87" s="60" t="n">
        <x:v>0.8811735722</x:v>
      </x:c>
      <x:c r="K87" s="60" t="n">
        <x:v>0</x:v>
      </x:c>
      <x:c r="L87" s="60" t="n">
        <x:v>0.8811735722</x:v>
      </x:c>
      <x:c r="M87" s="60" t="n">
        <x:v>0</x:v>
      </x:c>
      <x:c r="N87" s="46" t="str">
        <x:v>thunnus albacares</x:v>
      </x:c>
      <x:c r="O87" s="62" t="n">
        <x:v>4.41</x:v>
      </x:c>
      <x:c r="P87" s="46" t="str">
        <x:v>exact_2020_supplement</x:v>
      </x:c>
      <x:c r="Q87" s="62" t="str">
        <x:v>2020 supplement MeanTL</x:v>
      </x:c>
      <x:c r="R87" s="46" t="str">
        <x:v>high</x:v>
      </x:c>
      <x:c r="S87" s="46" t="str">
        <x:v>Thunnus albacares</x:v>
      </x:c>
      <x:c r="T87" s="62" t="n">
        <x:f>IF(O87="","",(1/'Metadata'!$B$5)^(O87-1))</x:f>
        <x:v>27321.987305427916</x:v>
      </x:c>
      <x:c r="U87" s="60" t="n">
        <x:f>IF(T87="","",I87*T87)</x:f>
        <x:v>24075.41315352697</x:v>
      </x:c>
    </x:row>
    <x:row r="88" ht="18" customHeight="1">
      <x:c r="A88" s="46" t="str">
        <x:v>LME_008</x:v>
      </x:c>
      <x:c r="B88" s="46" t="str">
        <x:v>Scotian Shelf</x:v>
      </x:c>
      <x:c r="C88" s="46" t="str">
        <x:v>LME</x:v>
      </x:c>
      <x:c r="D88" s="58" t="n">
        <x:v>2019</x:v>
      </x:c>
      <x:c r="E88" s="46" t="str">
        <x:v>Marine pelagic fishes not identified</x:v>
      </x:c>
      <x:c r="F88" s="46" t="str">
        <x:v>Pelagic fishes</x:v>
      </x:c>
      <x:c r="G88" s="46" t="str">
        <x:v>Medium pelagics (30 - 89 cm)</x:v>
      </x:c>
      <x:c r="H88" s="46" t="str">
        <x:v>Other fishes &amp; inverts</x:v>
      </x:c>
      <x:c r="I88" s="60" t="n">
        <x:v>0.8116393674</x:v>
      </x:c>
      <x:c r="J88" s="60" t="n">
        <x:v>0.8116393674</x:v>
      </x:c>
      <x:c r="K88" s="60" t="n">
        <x:v>0</x:v>
      </x:c>
      <x:c r="L88" s="60" t="n">
        <x:v>0.8116393674</x:v>
      </x:c>
      <x:c r="M88" s="60" t="n">
        <x:v>0</x:v>
      </x:c>
      <x:c r="N88" s="46" t="str">
        <x:v>marine pelagic fishes not identified</x:v>
      </x:c>
      <x:c r="O88" s="62" t="n">
        <x:v>3.35</x:v>
      </x:c>
      <x:c r="P88" s="46" t="str">
        <x:v>exact_sea_around_us</x:v>
      </x:c>
      <x:c r="Q88" s="62" t="str">
        <x:v>Sea Around Us exploited organisms</x:v>
      </x:c>
      <x:c r="R88" s="46" t="str">
        <x:v>high</x:v>
      </x:c>
      <x:c r="S88" s="46" t="str">
        <x:v>Marine pelagic fishes not identified</x:v>
      </x:c>
      <x:c r="T88" s="62" t="n">
        <x:f>IF(O88="","",(1/'Metadata'!$B$5)^(O88-1))</x:f>
        <x:v>1141.3543275066227</x:v>
      </x:c>
      <x:c r="U88" s="60" t="n">
        <x:f>IF(T88="","",I88*T88)</x:f>
        <x:v>926.3681043567276</x:v>
      </x:c>
    </x:row>
    <x:row r="89" ht="18" customHeight="1">
      <x:c r="A89" s="46" t="str">
        <x:v>LME_008</x:v>
      </x:c>
      <x:c r="B89" s="46" t="str">
        <x:v>Scotian Shelf</x:v>
      </x:c>
      <x:c r="C89" s="46" t="str">
        <x:v>LME</x:v>
      </x:c>
      <x:c r="D89" s="58" t="n">
        <x:v>2019</x:v>
      </x:c>
      <x:c r="E89" s="46" t="str">
        <x:v>Scombridae</x:v>
      </x:c>
      <x:c r="F89" s="46" t="str">
        <x:v>Mackerels, tunas, bonitos</x:v>
      </x:c>
      <x:c r="G89" s="46" t="str">
        <x:v>Medium pelagics (30 - 89 cm)</x:v>
      </x:c>
      <x:c r="H89" s="46" t="str">
        <x:v>Perch-likes</x:v>
      </x:c>
      <x:c r="I89" s="60" t="n">
        <x:v>0.5927426759</x:v>
      </x:c>
      <x:c r="J89" s="60" t="n">
        <x:v>0.5927426759</x:v>
      </x:c>
      <x:c r="K89" s="60" t="n">
        <x:v>0</x:v>
      </x:c>
      <x:c r="L89" s="60" t="n">
        <x:v>0</x:v>
      </x:c>
      <x:c r="M89" s="60" t="n">
        <x:v>0.5927426759</x:v>
      </x:c>
      <x:c r="N89" s="46" t="str">
        <x:v>scombridae</x:v>
      </x:c>
      <x:c r="O89" s="62" t="n">
        <x:v>4.26</x:v>
      </x:c>
      <x:c r="P89" s="46" t="str">
        <x:v>exact_sea_around_us</x:v>
      </x:c>
      <x:c r="Q89" s="62" t="str">
        <x:v>Sea Around Us exploited organisms</x:v>
      </x:c>
      <x:c r="R89" s="46" t="str">
        <x:v>high</x:v>
      </x:c>
      <x:c r="S89" s="46" t="str">
        <x:v>Scombridae</x:v>
      </x:c>
      <x:c r="T89" s="62" t="n">
        <x:f>IF(O89="","",(1/'Metadata'!$B$5)^(O89-1))</x:f>
        <x:v>17432.42421569787</x:v>
      </x:c>
      <x:c r="U89" s="60" t="n">
        <x:f>IF(T89="","",I89*T89)</x:f>
        <x:v>10332.941777036713</x:v>
      </x:c>
    </x:row>
    <x:row r="90" ht="18" customHeight="1">
      <x:c r="A90" s="46" t="str">
        <x:v>LME_008</x:v>
      </x:c>
      <x:c r="B90" s="46" t="str">
        <x:v>Scotian Shelf</x:v>
      </x:c>
      <x:c r="C90" s="46" t="str">
        <x:v>LME</x:v>
      </x:c>
      <x:c r="D90" s="58" t="n">
        <x:v>2019</x:v>
      </x:c>
      <x:c r="E90" s="46" t="str">
        <x:v>Clupeidae</x:v>
      </x:c>
      <x:c r="F90" s="46" t="str">
        <x:v>Herrings, sardines, menhadens</x:v>
      </x:c>
      <x:c r="G90" s="46" t="str">
        <x:v>Small pelagics (&lt;30 cm)</x:v>
      </x:c>
      <x:c r="H90" s="46" t="str">
        <x:v>Herring-likes</x:v>
      </x:c>
      <x:c r="I90" s="60" t="n">
        <x:v>0.5501976575</x:v>
      </x:c>
      <x:c r="J90" s="60" t="n">
        <x:v>0.5501976575</x:v>
      </x:c>
      <x:c r="K90" s="60" t="n">
        <x:v>0</x:v>
      </x:c>
      <x:c r="L90" s="60" t="n">
        <x:v>0</x:v>
      </x:c>
      <x:c r="M90" s="60" t="n">
        <x:v>0.5501976575</x:v>
      </x:c>
      <x:c r="N90" s="46" t="str">
        <x:v>clupeidae</x:v>
      </x:c>
      <x:c r="O90" s="62" t="n">
        <x:v>3.16</x:v>
      </x:c>
      <x:c r="P90" s="46" t="str">
        <x:v>exact_sea_around_us</x:v>
      </x:c>
      <x:c r="Q90" s="62" t="str">
        <x:v>Sea Around Us exploited organisms</x:v>
      </x:c>
      <x:c r="R90" s="46" t="str">
        <x:v>high</x:v>
      </x:c>
      <x:c r="S90" s="46" t="str">
        <x:v>Clupeidae</x:v>
      </x:c>
      <x:c r="T90" s="62" t="n">
        <x:f>IF(O90="","",(1/'Metadata'!$B$5)^(O90-1))</x:f>
        <x:v>645.9885058849935</x:v>
      </x:c>
      <x:c r="U90" s="60" t="n">
        <x:f>IF(T90="","",I90*T90)</x:f>
        <x:v>355.42136270984844</x:v>
      </x:c>
    </x:row>
    <x:row r="91" ht="18" customHeight="1">
      <x:c r="A91" s="46" t="str">
        <x:v>LME_008</x:v>
      </x:c>
      <x:c r="B91" s="46" t="str">
        <x:v>Scotian Shelf</x:v>
      </x:c>
      <x:c r="C91" s="46" t="str">
        <x:v>LME</x:v>
      </x:c>
      <x:c r="D91" s="58" t="n">
        <x:v>2019</x:v>
      </x:c>
      <x:c r="E91" s="46" t="str">
        <x:v>Kajikia albida</x:v>
      </x:c>
      <x:c r="F91" s="46" t="str">
        <x:v>Atlantic white marlin</x:v>
      </x:c>
      <x:c r="G91" s="46" t="str">
        <x:v>Large pelagics (&gt;=90 cm)</x:v>
      </x:c>
      <x:c r="H91" s="46" t="str">
        <x:v>Tuna &amp; billfishes</x:v>
      </x:c>
      <x:c r="I91" s="60" t="n">
        <x:v>0.1525327022</x:v>
      </x:c>
      <x:c r="J91" s="60" t="n">
        <x:v>0.1525327022</x:v>
      </x:c>
      <x:c r="K91" s="60" t="n">
        <x:v>0</x:v>
      </x:c>
      <x:c r="L91" s="60" t="n">
        <x:v>0.1525327022</x:v>
      </x:c>
      <x:c r="M91" s="60" t="n">
        <x:v>0</x:v>
      </x:c>
      <x:c r="N91" s="46" t="str">
        <x:v>kajikia albida</x:v>
      </x:c>
      <x:c r="O91" s="62" t="n">
        <x:v>4.49</x:v>
      </x:c>
      <x:c r="P91" s="46" t="str">
        <x:v>exact_2020_supplement</x:v>
      </x:c>
      <x:c r="Q91" s="62" t="str">
        <x:v>2020 supplement MeanTL</x:v>
      </x:c>
      <x:c r="R91" s="46" t="str">
        <x:v>high</x:v>
      </x:c>
      <x:c r="S91" s="46" t="str">
        <x:v>Kajikia albida</x:v>
      </x:c>
      <x:c r="T91" s="62" t="n">
        <x:f>IF(O91="","",(1/'Metadata'!$B$5)^(O91-1))</x:f>
        <x:v>34721.19667768202</x:v>
      </x:c>
      <x:c r="U91" s="60" t="n">
        <x:f>IF(T91="","",I91*T91)</x:f>
        <x:v>5296.117952864501</x:v>
      </x:c>
    </x:row>
    <x:row r="92" ht="18" customHeight="1">
      <x:c r="A92" s="46" t="str">
        <x:v>LME_008</x:v>
      </x:c>
      <x:c r="B92" s="46" t="str">
        <x:v>Scotian Shelf</x:v>
      </x:c>
      <x:c r="C92" s="46" t="str">
        <x:v>LME</x:v>
      </x:c>
      <x:c r="D92" s="58" t="n">
        <x:v>2019</x:v>
      </x:c>
      <x:c r="E92" s="46" t="str">
        <x:v>Sphyraena barracuda</x:v>
      </x:c>
      <x:c r="F92" s="46" t="str">
        <x:v>Great barracuda</x:v>
      </x:c>
      <x:c r="G92" s="46" t="str">
        <x:v>Large pelagics (&gt;=90 cm)</x:v>
      </x:c>
      <x:c r="H92" s="46" t="str">
        <x:v>Perch-likes</x:v>
      </x:c>
      <x:c r="I92" s="60" t="n">
        <x:v>0.0211275612</x:v>
      </x:c>
      <x:c r="J92" s="60" t="n">
        <x:v>0</x:v>
      </x:c>
      <x:c r="K92" s="60" t="n">
        <x:v>0.0211275612</x:v>
      </x:c>
      <x:c r="L92" s="60" t="n">
        <x:v>0</x:v>
      </x:c>
      <x:c r="M92" s="60" t="n">
        <x:v>0.0211275612</x:v>
      </x:c>
      <x:c r="N92" s="46" t="str">
        <x:v>sphyraena barracuda</x:v>
      </x:c>
      <x:c r="O92" s="62" t="n">
        <x:v>4.49</x:v>
      </x:c>
      <x:c r="P92" s="46" t="str">
        <x:v>exact_2020_supplement</x:v>
      </x:c>
      <x:c r="Q92" s="62" t="str">
        <x:v>2020 supplement MeanTL</x:v>
      </x:c>
      <x:c r="R92" s="46" t="str">
        <x:v>high</x:v>
      </x:c>
      <x:c r="S92" s="46" t="str">
        <x:v>Sphyraena barracuda</x:v>
      </x:c>
      <x:c r="T92" s="62" t="n">
        <x:f>IF(O92="","",(1/'Metadata'!$B$5)^(O92-1))</x:f>
        <x:v>34721.19667768202</x:v>
      </x:c>
      <x:c r="U92" s="60" t="n">
        <x:f>IF(T92="","",I92*T92)</x:f>
        <x:v>733.5742077449635</x:v>
      </x:c>
    </x:row>
    <x:row r="93" ht="18" customHeight="1">
      <x:c r="A93" s="46" t="str">
        <x:v>LME_008</x:v>
      </x:c>
      <x:c r="B93" s="46" t="str">
        <x:v>Scotian Shelf</x:v>
      </x:c>
      <x:c r="C93" s="46" t="str">
        <x:v>LME</x:v>
      </x:c>
      <x:c r="D93" s="58" t="n">
        <x:v>2019</x:v>
      </x:c>
      <x:c r="E93" s="46" t="str">
        <x:v>Isurus paucus</x:v>
      </x:c>
      <x:c r="F93" s="46" t="str">
        <x:v>Longfin mako</x:v>
      </x:c>
      <x:c r="G93" s="46" t="str">
        <x:v>Large sharks (&gt;=90 cm)</x:v>
      </x:c>
      <x:c r="H93" s="46" t="str">
        <x:v>Sharks &amp; rays</x:v>
      </x:c>
      <x:c r="I93" s="60" t="n">
        <x:v>0.0022184378999999996</x:v>
      </x:c>
      <x:c r="J93" s="60" t="n">
        <x:v>0.0022184378999999996</x:v>
      </x:c>
      <x:c r="K93" s="60" t="n">
        <x:v>0</x:v>
      </x:c>
      <x:c r="L93" s="60" t="n">
        <x:v>0.0020682898</x:v>
      </x:c>
      <x:c r="M93" s="60" t="n">
        <x:v>0.0001501481</x:v>
      </x:c>
      <x:c r="N93" s="46" t="str">
        <x:v>isurus paucus</x:v>
      </x:c>
      <x:c r="O93" s="62" t="n">
        <x:v>4.51</x:v>
      </x:c>
      <x:c r="P93" s="46" t="str">
        <x:v>exact_2020_supplement</x:v>
      </x:c>
      <x:c r="Q93" s="62" t="str">
        <x:v>2020 supplement MeanTL</x:v>
      </x:c>
      <x:c r="R93" s="46" t="str">
        <x:v>high</x:v>
      </x:c>
      <x:c r="S93" s="46" t="str">
        <x:v>Isurus paucus</x:v>
      </x:c>
      <x:c r="T93" s="62" t="n">
        <x:f>IF(O93="","",(1/'Metadata'!$B$5)^(O93-1))</x:f>
        <x:v>36865.088835568684</x:v>
      </x:c>
      <x:c r="U93" s="60" t="n">
        <x:f>IF(T93="","",I93*T93)</x:f>
        <x:v>81.78291025969243</x:v>
      </x:c>
    </x:row>
  </x:sheetData>
  <x:conditionalFormatting sqref="R2:R93">
    <x:cfRule type="containsText" dxfId="0" priority="1" operator="containsText" text="low"/>
  </x:conditionalFormatting>
  <x:pageMargins left="0.7" right="0.7" top="0.75" bottom="0.75" header="0.3" footer="0.3"/>
  <x:tableParts count="1">
    <x:tablePart xmlns:r="http://schemas.openxmlformats.org/officeDocument/2006/relationships" r:id="Rc659442ed6f44ed6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6" hidden="0" customWidth="1"/>
    <x:col min="2" max="2" width="22" hidden="0" customWidth="1"/>
    <x:col min="3" max="3" width="22" hidden="0" customWidth="1"/>
    <x:col min="4" max="4" width="18" hidden="0" customWidth="1"/>
    <x:col min="5" max="5" width="18" hidden="0" customWidth="1"/>
    <x:col min="6" max="6" width="18" hidden="0" customWidth="1"/>
    <x:col min="7" max="7" width="16" hidden="0" customWidth="1"/>
    <x:col min="8" max="8" width="18" hidden="0" customWidth="1"/>
    <x:col min="9" max="9" width="18" hidden="0" customWidth="1"/>
    <x:col min="10" max="10" width="15" hidden="0" customWidth="1"/>
    <x:col min="11" max="11" width="18" hidden="0" customWidth="1"/>
    <x:col min="12" max="12" width="18" hidden="0" customWidth="1"/>
    <x:col min="13" max="13" width="18" hidden="0" customWidth="1"/>
    <x:col min="14" max="14" width="16" hidden="0" customWidth="1"/>
    <x:col min="15" max="15" width="16" hidden="0" customWidth="1"/>
  </x:cols>
  <x:sheetData>
    <x:row r="1" ht="32" customHeight="1">
      <x:c r="A1" s="56" t="str">
        <x:v>commercial_group</x:v>
      </x:c>
      <x:c r="B1" s="56" t="str">
        <x:v>taxon_count_total</x:v>
      </x:c>
      <x:c r="C1" s="56" t="str">
        <x:v>taxon_count_matched</x:v>
      </x:c>
      <x:c r="D1" s="56" t="str">
        <x:v>catch_tonnes_total</x:v>
      </x:c>
      <x:c r="E1" s="56" t="str">
        <x:v>catch_tonnes_matched</x:v>
      </x:c>
      <x:c r="F1" s="56" t="str">
        <x:v>catch_tonnes_missing_tl</x:v>
      </x:c>
      <x:c r="G1" s="56" t="str">
        <x:v>catch_coverage_fraction</x:v>
      </x:c>
      <x:c r="H1" s="56" t="str">
        <x:v>sppr_correct</x:v>
      </x:c>
      <x:c r="I1" s="56" t="str">
        <x:v>ppr_correct</x:v>
      </x:c>
      <x:c r="J1" s="56" t="str">
        <x:v>tl_weighted_jensen</x:v>
      </x:c>
      <x:c r="K1" s="56" t="str">
        <x:v>sppr_jensen</x:v>
      </x:c>
      <x:c r="L1" s="56" t="str">
        <x:v>ppr_jensen</x:v>
      </x:c>
      <x:c r="M1" s="56" t="str">
        <x:v>jensen_difference</x:v>
      </x:c>
      <x:c r="N1" s="56" t="str">
        <x:v>jensen_ratio_correct_to_error</x:v>
      </x:c>
      <x:c r="O1" s="56" t="str">
        <x:v>jensen_percent_difference</x:v>
      </x:c>
    </x:row>
    <x:row r="2" ht="18" customHeight="1">
      <x:c r="A2" s="46" t="str">
        <x:v>Cod-likes</x:v>
      </x:c>
      <x:c r="B2" s="64" t="n">
        <x:v>10</x:v>
      </x:c>
      <x:c r="C2" s="64" t="n">
        <x:v>10</x:v>
      </x:c>
      <x:c r="D2" s="60" t="n">
        <x:v>14292.4020565726</x:v>
      </x:c>
      <x:c r="E2" s="60" t="n">
        <x:v>14292.4020565726</x:v>
      </x:c>
      <x:c r="F2" s="62" t="n">
        <x:v>0</x:v>
      </x:c>
      <x:c r="G2" s="66" t="n">
        <x:v>1</x:v>
      </x:c>
      <x:c r="H2" s="62" t="n">
        <x:f>IF(E2=0,"",I2/E2)</x:f>
        <x:v>18824.441344896328</x:v>
      </x:c>
      <x:c r="I2" s="60" t="n">
        <x:f>SUMIF('Species'!$H$2:$H$93,A2,'Species'!$U$2:$U$93)</x:f>
        <x:v>269046484.19162655</x:v>
      </x:c>
      <x:c r="J2" s="62" t="n">
        <x:v>4.218816155274312</x:v>
      </x:c>
      <x:c r="K2" s="62" t="n">
        <x:f>IF(J2="","",(1/'Metadata'!$B$5)^(J2-1))</x:f>
        <x:v>15409.067887740752</x:v>
      </x:c>
      <x:c r="L2" s="60" t="n">
        <x:f>IF(E2=0,"",E2*K2)</x:f>
        <x:v>220232593.56861272</x:v>
      </x:c>
      <x:c r="M2" s="60" t="n">
        <x:f>I2-L2</x:f>
        <x:v>48813890.623013824</x:v>
      </x:c>
      <x:c r="N2" s="62" t="n">
        <x:f>IF(L2=0,"",I2/L2)</x:f>
        <x:v>1.2216469861796637</x:v>
      </x:c>
      <x:c r="O2" s="66" t="n">
        <x:f>IF(L2=0,"",M2/L2)</x:f>
        <x:v>0.22164698617966383</x:v>
      </x:c>
    </x:row>
    <x:row r="3" ht="18" customHeight="1">
      <x:c r="A3" s="46" t="str">
        <x:v>Crustaceans</x:v>
      </x:c>
      <x:c r="B3" s="64" t="n">
        <x:v>8</x:v>
      </x:c>
      <x:c r="C3" s="64" t="n">
        <x:v>8</x:v>
      </x:c>
      <x:c r="D3" s="60" t="n">
        <x:v>47374.38401841311</x:v>
      </x:c>
      <x:c r="E3" s="60" t="n">
        <x:v>47374.38401841311</x:v>
      </x:c>
      <x:c r="F3" s="62" t="n">
        <x:v>0</x:v>
      </x:c>
      <x:c r="G3" s="66" t="n">
        <x:v>1</x:v>
      </x:c>
      <x:c r="H3" s="62" t="n">
        <x:f>IF(E3=0,"",I3/E3)</x:f>
        <x:v>2858.022830301947</x:v>
      </x:c>
      <x:c r="I3" s="60" t="n">
        <x:f>SUMIF('Species'!$H$2:$H$93,A3,'Species'!$U$2:$U$93)</x:f>
        <x:v>135397071.09611636</x:v>
      </x:c>
      <x:c r="J3" s="62" t="n">
        <x:v>3.5902348855775528</x:v>
      </x:c>
      <x:c r="K3" s="62" t="n">
        <x:f>IF(J3="","",(1/'Metadata'!$B$5)^(J3-1))</x:f>
        <x:v>2344.0846014400554</x:v>
      </x:c>
      <x:c r="L3" s="60" t="n">
        <x:f>IF(E3=0,"",E3*K3)</x:f>
        <x:v>111049564.08027002</x:v>
      </x:c>
      <x:c r="M3" s="60" t="n">
        <x:f>I3-L3</x:f>
        <x:v>24347507.01584634</x:v>
      </x:c>
      <x:c r="N3" s="62" t="n">
        <x:f>IF(L3=0,"",I3/L3)</x:f>
        <x:v>1.2192490102729914</x:v>
      </x:c>
      <x:c r="O3" s="66" t="n">
        <x:f>IF(L3=0,"",M3/L3)</x:f>
        <x:v>0.21924901027299143</x:v>
      </x:c>
    </x:row>
    <x:row r="4" ht="18" customHeight="1">
      <x:c r="A4" s="46" t="str">
        <x:v>Flatfishes</x:v>
      </x:c>
      <x:c r="B4" s="64" t="n">
        <x:v>8</x:v>
      </x:c>
      <x:c r="C4" s="64" t="n">
        <x:v>8</x:v>
      </x:c>
      <x:c r="D4" s="60" t="n">
        <x:v>6848.612356211201</x:v>
      </x:c>
      <x:c r="E4" s="60" t="n">
        <x:v>6848.612356211201</x:v>
      </x:c>
      <x:c r="F4" s="62" t="n">
        <x:v>0</x:v>
      </x:c>
      <x:c r="G4" s="66" t="n">
        <x:v>1</x:v>
      </x:c>
      <x:c r="H4" s="62" t="n">
        <x:f>IF(E4=0,"",I4/E4)</x:f>
        <x:v>5399.1505453463105</x:v>
      </x:c>
      <x:c r="I4" s="60" t="n">
        <x:f>SUMIF('Species'!$H$2:$H$93,A4,'Species'!$U$2:$U$93)</x:f>
        <x:v>36976689.13790318</x:v>
      </x:c>
      <x:c r="J4" s="62" t="n">
        <x:v>3.791091769177757</x:v>
      </x:c>
      <x:c r="K4" s="62" t="n">
        <x:f>IF(J4="","",(1/'Metadata'!$B$5)^(J4-1))</x:f>
        <x:v>4278.5253780776075</x:v>
      </x:c>
      <x:c r="L4" s="60" t="n">
        <x:f>IF(E4=0,"",E4*K4)</x:f>
        <x:v>29301961.7706655</x:v>
      </x:c>
      <x:c r="M4" s="60" t="n">
        <x:f>I4-L4</x:f>
        <x:v>7674727.367237683</x:v>
      </x:c>
      <x:c r="N4" s="62" t="n">
        <x:f>IF(L4=0,"",I4/L4)</x:f>
        <x:v>1.2619185509593058</x:v>
      </x:c>
      <x:c r="O4" s="66" t="n">
        <x:f>IF(L4=0,"",M4/L4)</x:f>
        <x:v>0.26191855095930583</x:v>
      </x:c>
    </x:row>
    <x:row r="5" ht="18" customHeight="1">
      <x:c r="A5" s="46" t="str">
        <x:v>Herring-likes</x:v>
      </x:c>
      <x:c r="B5" s="64" t="n">
        <x:v>3</x:v>
      </x:c>
      <x:c r="C5" s="64" t="n">
        <x:v>3</x:v>
      </x:c>
      <x:c r="D5" s="60" t="n">
        <x:v>39258.0915846662</x:v>
      </x:c>
      <x:c r="E5" s="60" t="n">
        <x:v>39258.0915846662</x:v>
      </x:c>
      <x:c r="F5" s="62" t="n">
        <x:v>0</x:v>
      </x:c>
      <x:c r="G5" s="66" t="n">
        <x:v>1</x:v>
      </x:c>
      <x:c r="H5" s="62" t="n">
        <x:f>IF(E5=0,"",I5/E5)</x:f>
        <x:v>1249.8880205285275</x:v>
      </x:c>
      <x:c r="I5" s="60" t="n">
        <x:f>SUMIF('Species'!$H$2:$H$93,A5,'Species'!$U$2:$U$93)</x:f>
        <x:v>49068218.38048608</x:v>
      </x:c>
      <x:c r="J5" s="62" t="n">
        <x:v>3.380317089497164</x:v>
      </x:c>
      <x:c r="K5" s="62" t="n">
        <x:f>IF(J5="","",(1/'Metadata'!$B$5)^(J5-1))</x:f>
        <x:v>1249.867377039052</x:v>
      </x:c>
      <x:c r="L5" s="60" t="n">
        <x:f>IF(E5=0,"",E5*K5)</x:f>
        <x:v>49067407.95648562</x:v>
      </x:c>
      <x:c r="M5" s="60" t="n">
        <x:f>I5-L5</x:f>
        <x:v>810.4240004569292</x:v>
      </x:c>
      <x:c r="N5" s="62" t="n">
        <x:f>IF(L5=0,"",I5/L5)</x:f>
        <x:v>1.0000165165439587</x:v>
      </x:c>
      <x:c r="O5" s="66" t="n">
        <x:f>IF(L5=0,"",M5/L5)</x:f>
        <x:v>0.00001651654395878495</x:v>
      </x:c>
    </x:row>
    <x:row r="6" ht="18" customHeight="1">
      <x:c r="A6" s="46" t="str">
        <x:v>Molluscs</x:v>
      </x:c>
      <x:c r="B6" s="64" t="n">
        <x:v>6</x:v>
      </x:c>
      <x:c r="C6" s="64" t="n">
        <x:v>6</x:v>
      </x:c>
      <x:c r="D6" s="60" t="n">
        <x:v>24583.8157469929</x:v>
      </x:c>
      <x:c r="E6" s="60" t="n">
        <x:v>24583.8157469929</x:v>
      </x:c>
      <x:c r="F6" s="62" t="n">
        <x:v>0</x:v>
      </x:c>
      <x:c r="G6" s="66" t="n">
        <x:v>1</x:v>
      </x:c>
      <x:c r="H6" s="62" t="n">
        <x:f>IF(E6=0,"",I6/E6)</x:f>
        <x:v>35.222211492886196</x:v>
      </x:c>
      <x:c r="I6" s="60" t="n">
        <x:f>SUMIF('Species'!$H$2:$H$93,A6,'Species'!$U$2:$U$93)</x:f>
        <x:v>865896.3575427299</x:v>
      </x:c>
      <x:c r="J6" s="62" t="n">
        <x:v>2.1294966374448223</x:v>
      </x:c>
      <x:c r="K6" s="62" t="n">
        <x:f>IF(J6="","",(1/'Metadata'!$B$5)^(J6-1))</x:f>
        <x:v>29.47874601654346</x:v>
      </x:c>
      <x:c r="L6" s="60" t="n">
        <x:f>IF(E6=0,"",E6*K6)</x:f>
        <x:v>724700.0605231053</x:v>
      </x:c>
      <x:c r="M6" s="60" t="n">
        <x:f>I6-L6</x:f>
        <x:v>141196.29701962462</x:v>
      </x:c>
      <x:c r="N6" s="62" t="n">
        <x:f>IF(L6=0,"",I6/L6)</x:f>
        <x:v>1.1948341178800315</x:v>
      </x:c>
      <x:c r="O6" s="66" t="n">
        <x:f>IF(L6=0,"",M6/L6)</x:f>
        <x:v>0.19483411788003144</x:v>
      </x:c>
    </x:row>
    <x:row r="7" ht="18" customHeight="1">
      <x:c r="A7" s="46" t="str">
        <x:v>Other fishes &amp; inverts</x:v>
      </x:c>
      <x:c r="B7" s="64" t="n">
        <x:v>17</x:v>
      </x:c>
      <x:c r="C7" s="64" t="n">
        <x:v>17</x:v>
      </x:c>
      <x:c r="D7" s="60" t="n">
        <x:v>6875.2066360481</x:v>
      </x:c>
      <x:c r="E7" s="60" t="n">
        <x:v>6875.2066360481</x:v>
      </x:c>
      <x:c r="F7" s="62" t="n">
        <x:v>0</x:v>
      </x:c>
      <x:c r="G7" s="66" t="n">
        <x:v>1</x:v>
      </x:c>
      <x:c r="H7" s="62" t="n">
        <x:f>IF(E7=0,"",I7/E7)</x:f>
        <x:v>4586.771628542091</x:v>
      </x:c>
      <x:c r="I7" s="60" t="n">
        <x:f>SUMIF('Species'!$H$2:$H$93,A7,'Species'!$U$2:$U$93)</x:f>
        <x:v>31535002.738589738</x:v>
      </x:c>
      <x:c r="J7" s="62" t="n">
        <x:v>3.3240249117617378</x:v>
      </x:c>
      <x:c r="K7" s="62" t="n">
        <x:f>IF(J7="","",(1/'Metadata'!$B$5)^(J7-1))</x:f>
        <x:v>1055.9080986738593</x:v>
      </x:c>
      <x:c r="L7" s="60" t="n">
        <x:f>IF(E7=0,"",E7*K7)</x:f>
        <x:v>7259586.36705945</x:v>
      </x:c>
      <x:c r="M7" s="60" t="n">
        <x:f>I7-L7</x:f>
        <x:v>24275416.371530287</x:v>
      </x:c>
      <x:c r="N7" s="62" t="n">
        <x:f>IF(L7=0,"",I7/L7)</x:f>
        <x:v>4.343911780109206</x:v>
      </x:c>
      <x:c r="O7" s="66" t="n">
        <x:f>IF(L7=0,"",M7/L7)</x:f>
        <x:v>3.343911780109206</x:v>
      </x:c>
    </x:row>
    <x:row r="8" ht="18" customHeight="1">
      <x:c r="A8" s="46" t="str">
        <x:v>Perch-likes</x:v>
      </x:c>
      <x:c r="B8" s="64" t="n">
        <x:v>12</x:v>
      </x:c>
      <x:c r="C8" s="64" t="n">
        <x:v>12</x:v>
      </x:c>
      <x:c r="D8" s="60" t="n">
        <x:v>3809.6786226971</x:v>
      </x:c>
      <x:c r="E8" s="60" t="n">
        <x:v>3809.6786226971</x:v>
      </x:c>
      <x:c r="F8" s="62" t="n">
        <x:v>0</x:v>
      </x:c>
      <x:c r="G8" s="66" t="n">
        <x:v>1</x:v>
      </x:c>
      <x:c r="H8" s="62" t="n">
        <x:f>IF(E8=0,"",I8/E8)</x:f>
        <x:v>8902.484617374537</x:v>
      </x:c>
      <x:c r="I8" s="60" t="n">
        <x:f>SUMIF('Species'!$H$2:$H$93,A8,'Species'!$U$2:$U$93)</x:f>
        <x:v>33915605.33570155</x:v>
      </x:c>
      <x:c r="J8" s="62" t="n">
        <x:v>3.737245092858726</x:v>
      </x:c>
      <x:c r="K8" s="62" t="n">
        <x:f>IF(J8="","",(1/'Metadata'!$B$5)^(J8-1))</x:f>
        <x:v>3641.144977052021</x:v>
      </x:c>
      <x:c r="L8" s="60" t="n">
        <x:f>IF(E8=0,"",E8*K8)</x:f>
        <x:v>13871592.181216007</x:v>
      </x:c>
      <x:c r="M8" s="60" t="n">
        <x:f>I8-L8</x:f>
        <x:v>20044013.15448554</x:v>
      </x:c>
      <x:c r="N8" s="62" t="n">
        <x:f>IF(L8=0,"",I8/L8)</x:f>
        <x:v>2.4449684573071444</x:v>
      </x:c>
      <x:c r="O8" s="66" t="n">
        <x:f>IF(L8=0,"",M8/L8)</x:f>
        <x:v>1.4449684573071444</x:v>
      </x:c>
    </x:row>
    <x:row r="9" ht="18" customHeight="1">
      <x:c r="A9" s="46" t="str">
        <x:v>Salmon, smelts, etc</x:v>
      </x:c>
      <x:c r="B9" s="64" t="n">
        <x:v>7</x:v>
      </x:c>
      <x:c r="C9" s="64" t="n">
        <x:v>7</x:v>
      </x:c>
      <x:c r="D9" s="60" t="n">
        <x:v>1578.4018091099</x:v>
      </x:c>
      <x:c r="E9" s="60" t="n">
        <x:v>1578.4018091099</x:v>
      </x:c>
      <x:c r="F9" s="62" t="n">
        <x:v>0</x:v>
      </x:c>
      <x:c r="G9" s="66" t="n">
        <x:v>1</x:v>
      </x:c>
      <x:c r="H9" s="62" t="n">
        <x:f>IF(E9=0,"",I9/E9)</x:f>
        <x:v>11356.05969736414</x:v>
      </x:c>
      <x:c r="I9" s="60" t="n">
        <x:f>SUMIF('Species'!$H$2:$H$93,A9,'Species'!$U$2:$U$93)</x:f>
        <x:v>17924425.17067958</x:v>
      </x:c>
      <x:c r="J9" s="62" t="n">
        <x:v>3.7042032207686812</x:v>
      </x:c>
      <x:c r="K9" s="62" t="n">
        <x:f>IF(J9="","",(1/'Metadata'!$B$5)^(J9-1))</x:f>
        <x:v>3297.9912919256044</x:v>
      </x:c>
      <x:c r="L9" s="60" t="n">
        <x:f>IF(E9=0,"",E9*K9)</x:f>
        <x:v>5205555.42160407</x:v>
      </x:c>
      <x:c r="M9" s="60" t="n">
        <x:f>I9-L9</x:f>
        <x:v>12718869.74907551</x:v>
      </x:c>
      <x:c r="N9" s="62" t="n">
        <x:f>IF(L9=0,"",I9/L9)</x:f>
        <x:v>3.443326161948007</x:v>
      </x:c>
      <x:c r="O9" s="66" t="n">
        <x:f>IF(L9=0,"",M9/L9)</x:f>
        <x:v>2.4433261619480064</x:v>
      </x:c>
    </x:row>
    <x:row r="10" ht="18" customHeight="1">
      <x:c r="A10" s="46" t="str">
        <x:v>Scorpionfishes</x:v>
      </x:c>
      <x:c r="B10" s="64" t="n">
        <x:v>6</x:v>
      </x:c>
      <x:c r="C10" s="64" t="n">
        <x:v>6</x:v>
      </x:c>
      <x:c r="D10" s="60" t="n">
        <x:v>2541.7667255396</x:v>
      </x:c>
      <x:c r="E10" s="60" t="n">
        <x:v>2541.7667255396</x:v>
      </x:c>
      <x:c r="F10" s="62" t="n">
        <x:v>0</x:v>
      </x:c>
      <x:c r="G10" s="66" t="n">
        <x:v>1</x:v>
      </x:c>
      <x:c r="H10" s="62" t="n">
        <x:f>IF(E10=0,"",I10/E10)</x:f>
        <x:v>4355.613342626082</x:v>
      </x:c>
      <x:c r="I10" s="60" t="n">
        <x:f>SUMIF('Species'!$H$2:$H$93,A10,'Species'!$U$2:$U$93)</x:f>
        <x:v>11070953.06360329</x:v>
      </x:c>
      <x:c r="J10" s="62" t="n">
        <x:v>3.7954089261652832</x:v>
      </x:c>
      <x:c r="K10" s="62" t="n">
        <x:f>IF(J10="","",(1/'Metadata'!$B$5)^(J10-1))</x:f>
        <x:v>4334.219114366977</x:v>
      </x:c>
      <x:c r="L10" s="60" t="n">
        <x:f>IF(E10=0,"",E10*K10)</x:f>
        <x:v>11016573.926095696</x:v>
      </x:c>
      <x:c r="M10" s="60" t="n">
        <x:f>I10-L10</x:f>
        <x:v>54379.13750759326</x:v>
      </x:c>
      <x:c r="N10" s="62" t="n">
        <x:f>IF(L10=0,"",I10/L10)</x:f>
        <x:v>1.0049361206008687</x:v>
      </x:c>
      <x:c r="O10" s="66" t="n">
        <x:f>IF(L10=0,"",M10/L10)</x:f>
        <x:v>0.004936120600868638</x:v>
      </x:c>
    </x:row>
    <x:row r="11" ht="18" customHeight="1">
      <x:c r="A11" s="46" t="str">
        <x:v>Sharks &amp; rays</x:v>
      </x:c>
      <x:c r="B11" s="64" t="n">
        <x:v>9</x:v>
      </x:c>
      <x:c r="C11" s="64" t="n">
        <x:v>9</x:v>
      </x:c>
      <x:c r="D11" s="60" t="n">
        <x:v>715.6396049350999</x:v>
      </x:c>
      <x:c r="E11" s="60" t="n">
        <x:v>715.6396049350999</x:v>
      </x:c>
      <x:c r="F11" s="62" t="n">
        <x:v>0</x:v>
      </x:c>
      <x:c r="G11" s="66" t="n">
        <x:v>1</x:v>
      </x:c>
      <x:c r="H11" s="62" t="n">
        <x:f>IF(E11=0,"",I11/E11)</x:f>
        <x:v>8976.326408757568</x:v>
      </x:c>
      <x:c r="I11" s="60" t="n">
        <x:f>SUMIF('Species'!$H$2:$H$93,A11,'Species'!$U$2:$U$93)</x:f>
        <x:v>6423814.68493177</x:v>
      </x:c>
      <x:c r="J11" s="62" t="n">
        <x:v>3.966630203046906</x:v>
      </x:c>
      <x:c r="K11" s="62" t="n">
        <x:f>IF(J11="","",(1/'Metadata'!$B$5)^(J11-1))</x:f>
        <x:v>7238.938386776938</x:v>
      </x:c>
      <x:c r="L11" s="60" t="n">
        <x:f>IF(E11=0,"",E11*K11)</x:f>
        <x:v>5180471.007262577</x:v>
      </x:c>
      <x:c r="M11" s="60" t="n">
        <x:f>I11-L11</x:f>
        <x:v>1243343.6776691927</x:v>
      </x:c>
      <x:c r="N11" s="62" t="n">
        <x:f>IF(L11=0,"",I11/L11)</x:f>
        <x:v>1.240005913733738</x:v>
      </x:c>
      <x:c r="O11" s="66" t="n">
        <x:f>IF(L11=0,"",M11/L11)</x:f>
        <x:v>0.24000591373373795</x:v>
      </x:c>
    </x:row>
    <x:row r="12" ht="18" customHeight="1">
      <x:c r="A12" s="46" t="str">
        <x:v>Tuna &amp; billfishes</x:v>
      </x:c>
      <x:c r="B12" s="64" t="n">
        <x:v>6</x:v>
      </x:c>
      <x:c r="C12" s="64" t="n">
        <x:v>6</x:v>
      </x:c>
      <x:c r="D12" s="60" t="n">
        <x:v>802.2615696214</x:v>
      </x:c>
      <x:c r="E12" s="60" t="n">
        <x:v>802.2615696214</x:v>
      </x:c>
      <x:c r="F12" s="62" t="n">
        <x:v>0</x:v>
      </x:c>
      <x:c r="G12" s="66" t="n">
        <x:v>1</x:v>
      </x:c>
      <x:c r="H12" s="62" t="n">
        <x:f>IF(E12=0,"",I12/E12)</x:f>
        <x:v>25612.37156253061</x:v>
      </x:c>
      <x:c r="I12" s="60" t="n">
        <x:f>SUMIF('Species'!$H$2:$H$93,A12,'Species'!$U$2:$U$93)</x:f>
        <x:v>20547821.411482316</x:v>
      </x:c>
      <x:c r="J12" s="62" t="n">
        <x:v>4.363988505706929</x:v>
      </x:c>
      <x:c r="K12" s="62" t="n">
        <x:f>IF(J12="","",(1/'Metadata'!$B$5)^(J12-1))</x:f>
        <x:v>23804.000515265383</x:v>
      </x:c>
      <x:c r="L12" s="60" t="n">
        <x:f>IF(E12=0,"",E12*K12)</x:f>
        <x:v>19097034.81664542</x:v>
      </x:c>
      <x:c r="M12" s="60" t="n">
        <x:f>I12-L12</x:f>
        <x:v>1450786.5948368944</x:v>
      </x:c>
      <x:c r="N12" s="62" t="n">
        <x:f>IF(L12=0,"",I12/L12)</x:f>
        <x:v>1.0759692071971485</x:v>
      </x:c>
      <x:c r="O12" s="66" t="n">
        <x:f>IF(L12=0,"",M12/L12)</x:f>
        <x:v>0.07596920719714848</x:v>
      </x:c>
    </x:row>
  </x:sheetData>
  <x:conditionalFormatting sqref="G2:G12">
    <x:cfRule type="cellIs" dxfId="1" priority="1" operator="lessThan">
      <x:formula>0.9</x:formula>
    </x:cfRule>
  </x:conditionalFormatting>
  <x:conditionalFormatting sqref="O2:O12">
    <x:cfRule type="dataBar" priority="2">
      <x:dataBar>
        <x:cfvo type="min"/>
        <x:cfvo type="max"/>
        <x:color rgb="FFE28A32"/>
      </x:dataBar>
    </x:cfRule>
  </x:conditionalFormatting>
  <x:pageMargins left="0.7" right="0.7" top="0.75" bottom="0.75" header="0.3" footer="0.3"/>
  <x:tableParts count="1">
    <x:tablePart xmlns:r="http://schemas.openxmlformats.org/officeDocument/2006/relationships" r:id="Rb85288f2c58546e0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" hidden="0" customWidth="1"/>
    <x:col min="2" max="2" width="22" hidden="0" customWidth="1"/>
    <x:col min="3" max="3" width="22" hidden="0" customWidth="1"/>
    <x:col min="4" max="4" width="18" hidden="0" customWidth="1"/>
    <x:col min="5" max="5" width="18" hidden="0" customWidth="1"/>
    <x:col min="6" max="6" width="18" hidden="0" customWidth="1"/>
    <x:col min="7" max="7" width="16" hidden="0" customWidth="1"/>
    <x:col min="8" max="8" width="18" hidden="0" customWidth="1"/>
    <x:col min="9" max="9" width="18" hidden="0" customWidth="1"/>
    <x:col min="10" max="10" width="15" hidden="0" customWidth="1"/>
    <x:col min="11" max="11" width="18" hidden="0" customWidth="1"/>
    <x:col min="12" max="12" width="18" hidden="0" customWidth="1"/>
    <x:col min="13" max="13" width="18" hidden="0" customWidth="1"/>
    <x:col min="14" max="14" width="16" hidden="0" customWidth="1"/>
    <x:col min="15" max="15" width="16" hidden="0" customWidth="1"/>
  </x:cols>
  <x:sheetData>
    <x:row r="1" ht="32" customHeight="1">
      <x:c r="A1" s="56" t="str">
        <x:v>functional_group</x:v>
      </x:c>
      <x:c r="B1" s="56" t="str">
        <x:v>taxon_count_total</x:v>
      </x:c>
      <x:c r="C1" s="56" t="str">
        <x:v>taxon_count_matched</x:v>
      </x:c>
      <x:c r="D1" s="56" t="str">
        <x:v>catch_tonnes_total</x:v>
      </x:c>
      <x:c r="E1" s="56" t="str">
        <x:v>catch_tonnes_matched</x:v>
      </x:c>
      <x:c r="F1" s="56" t="str">
        <x:v>catch_tonnes_missing_tl</x:v>
      </x:c>
      <x:c r="G1" s="56" t="str">
        <x:v>catch_coverage_fraction</x:v>
      </x:c>
      <x:c r="H1" s="56" t="str">
        <x:v>sppr_correct</x:v>
      </x:c>
      <x:c r="I1" s="56" t="str">
        <x:v>ppr_correct</x:v>
      </x:c>
      <x:c r="J1" s="56" t="str">
        <x:v>tl_weighted_jensen</x:v>
      </x:c>
      <x:c r="K1" s="56" t="str">
        <x:v>sppr_jensen</x:v>
      </x:c>
      <x:c r="L1" s="56" t="str">
        <x:v>ppr_jensen</x:v>
      </x:c>
      <x:c r="M1" s="56" t="str">
        <x:v>jensen_difference</x:v>
      </x:c>
      <x:c r="N1" s="56" t="str">
        <x:v>jensen_ratio_correct_to_error</x:v>
      </x:c>
      <x:c r="O1" s="56" t="str">
        <x:v>jensen_percent_difference</x:v>
      </x:c>
    </x:row>
    <x:row r="2" ht="18" customHeight="1">
      <x:c r="A2" s="46" t="str">
        <x:v>Cephalopods</x:v>
      </x:c>
      <x:c r="B2" s="64" t="n">
        <x:v>3</x:v>
      </x:c>
      <x:c r="C2" s="64" t="n">
        <x:v>3</x:v>
      </x:c>
      <x:c r="D2" s="60" t="n">
        <x:v>71.0488776626</x:v>
      </x:c>
      <x:c r="E2" s="60" t="n">
        <x:v>71.0488776626</x:v>
      </x:c>
      <x:c r="F2" s="62" t="n">
        <x:v>0</x:v>
      </x:c>
      <x:c r="G2" s="66" t="n">
        <x:v>1</x:v>
      </x:c>
      <x:c r="H2" s="62" t="n">
        <x:f>IF(E2=0,"",I2/E2)</x:f>
        <x:v>8690.720045415988</x:v>
      </x:c>
      <x:c r="I2" s="60" t="n">
        <x:f>SUMIF('Species'!$G$2:$G$93,A2,'Species'!$U$2:$U$93)</x:f>
        <x:v>617465.9053066662</x:v>
      </x:c>
      <x:c r="J2" s="62" t="n">
        <x:v>3.958819357725236</x:v>
      </x:c>
      <x:c r="K2" s="62" t="n">
        <x:f>IF(J2="","",(1/'Metadata'!$B$5)^(J2-1))</x:f>
        <x:v>7071.519383667319</x:v>
      </x:c>
      <x:c r="L2" s="60" t="n">
        <x:f>IF(E2=0,"",E2*K2)</x:f>
        <x:v>502423.51557888393</x:v>
      </x:c>
      <x:c r="M2" s="60" t="n">
        <x:f>I2-L2</x:f>
        <x:v>115042.38972778223</x:v>
      </x:c>
      <x:c r="N2" s="62" t="n">
        <x:f>IF(L2=0,"",I2/L2)</x:f>
        <x:v>1.2289749308314766</x:v>
      </x:c>
      <x:c r="O2" s="66" t="n">
        <x:f>IF(L2=0,"",M2/L2)</x:f>
        <x:v>0.22897493083147655</x:v>
      </x:c>
    </x:row>
    <x:row r="3" ht="18" customHeight="1">
      <x:c r="A3" s="46" t="str">
        <x:v>Jellyfish</x:v>
      </x:c>
      <x:c r="B3" s="64" t="n">
        <x:v>1</x:v>
      </x:c>
      <x:c r="C3" s="64" t="n">
        <x:v>1</x:v>
      </x:c>
      <x:c r="D3" s="60" t="n">
        <x:v>25.3455157838</x:v>
      </x:c>
      <x:c r="E3" s="60" t="n">
        <x:v>25.3455157838</x:v>
      </x:c>
      <x:c r="F3" s="62" t="n">
        <x:v>0</x:v>
      </x:c>
      <x:c r="G3" s="66" t="n">
        <x:v>1</x:v>
      </x:c>
      <x:c r="H3" s="62" t="n">
        <x:f>IF(E3=0,"",I3/E3)</x:f>
        <x:v>1586.8423749532276</x:v>
      </x:c>
      <x:c r="I3" s="60" t="n">
        <x:f>SUMIF('Species'!$G$2:$G$93,A3,'Species'!$U$2:$U$93)</x:f>
        <x:v>40219.338460779705</x:v>
      </x:c>
      <x:c r="J3" s="62" t="n">
        <x:v>3.46</x:v>
      </x:c>
      <x:c r="K3" s="62" t="n">
        <x:f>IF(J3="","",(1/'Metadata'!$B$5)^(J3-1))</x:f>
        <x:v>1586.8423749532276</x:v>
      </x:c>
      <x:c r="L3" s="60" t="n">
        <x:f>IF(E3=0,"",E3*K3)</x:f>
        <x:v>40219.338460779705</x:v>
      </x:c>
      <x:c r="M3" s="60" t="n">
        <x:f>I3-L3</x:f>
        <x:v>0</x:v>
      </x:c>
      <x:c r="N3" s="62" t="n">
        <x:f>IF(L3=0,"",I3/L3)</x:f>
        <x:v>1</x:v>
      </x:c>
      <x:c r="O3" s="66" t="n">
        <x:f>IF(L3=0,"",M3/L3)</x:f>
        <x:v>0</x:v>
      </x:c>
    </x:row>
    <x:row r="4" ht="18" customHeight="1">
      <x:c r="A4" s="46" t="str">
        <x:v>Large bathypelagics (&gt;=90 cm)</x:v>
      </x:c>
      <x:c r="B4" s="64" t="n">
        <x:v>1</x:v>
      </x:c>
      <x:c r="C4" s="64" t="n">
        <x:v>1</x:v>
      </x:c>
      <x:c r="D4" s="60" t="n">
        <x:v>103.8183680719</x:v>
      </x:c>
      <x:c r="E4" s="60" t="n">
        <x:v>103.8183680719</x:v>
      </x:c>
      <x:c r="F4" s="62" t="n">
        <x:v>0</x:v>
      </x:c>
      <x:c r="G4" s="66" t="n">
        <x:v>1</x:v>
      </x:c>
      <x:c r="H4" s="62" t="n">
        <x:f>IF(E4=0,"",I4/E4)</x:f>
        <x:v>7312.385640086951</x:v>
      </x:c>
      <x:c r="I4" s="60" t="n">
        <x:f>SUMIF('Species'!$G$2:$G$93,A4,'Species'!$U$2:$U$93)</x:f>
        <x:v>759159.9438662231</x:v>
      </x:c>
      <x:c r="J4" s="62" t="n">
        <x:v>3.97</x:v>
      </x:c>
      <x:c r="K4" s="62" t="n">
        <x:f>IF(J4="","",(1/'Metadata'!$B$5)^(J4-1))</x:f>
        <x:v>7312.385640086951</x:v>
      </x:c>
      <x:c r="L4" s="60" t="n">
        <x:f>IF(E4=0,"",E4*K4)</x:f>
        <x:v>759159.9438662231</x:v>
      </x:c>
      <x:c r="M4" s="60" t="n">
        <x:f>I4-L4</x:f>
        <x:v>0</x:v>
      </x:c>
      <x:c r="N4" s="62" t="n">
        <x:f>IF(L4=0,"",I4/L4)</x:f>
        <x:v>1</x:v>
      </x:c>
      <x:c r="O4" s="66" t="n">
        <x:f>IF(L4=0,"",M4/L4)</x:f>
        <x:v>0</x:v>
      </x:c>
    </x:row>
    <x:row r="5" ht="18" customHeight="1">
      <x:c r="A5" s="46" t="str">
        <x:v>Large benthopelagics (&gt;=90 cm)</x:v>
      </x:c>
      <x:c r="B5" s="64" t="n">
        <x:v>5</x:v>
      </x:c>
      <x:c r="C5" s="64" t="n">
        <x:v>5</x:v>
      </x:c>
      <x:c r="D5" s="60" t="n">
        <x:v>4421.1330587985</x:v>
      </x:c>
      <x:c r="E5" s="60" t="n">
        <x:v>4421.1330587985</x:v>
      </x:c>
      <x:c r="F5" s="62" t="n">
        <x:v>0</x:v>
      </x:c>
      <x:c r="G5" s="66" t="n">
        <x:v>1</x:v>
      </x:c>
      <x:c r="H5" s="62" t="n">
        <x:f>IF(E5=0,"",I5/E5)</x:f>
        <x:v>12643.434843532013</x:v>
      </x:c>
      <x:c r="I5" s="60" t="n">
        <x:f>SUMIF('Species'!$G$2:$G$93,A5,'Species'!$U$2:$U$93)</x:f>
        <x:v>55898307.76350423</x:v>
      </x:c>
      <x:c r="J5" s="62" t="n">
        <x:v>4.119694969970281</x:v>
      </x:c>
      <x:c r="K5" s="62" t="n">
        <x:f>IF(J5="","",(1/'Metadata'!$B$5)^(J5-1))</x:f>
        <x:v>11450.296515348</x:v>
      </x:c>
      <x:c r="L5" s="60" t="n">
        <x:f>IF(E5=0,"",E5*K5)</x:f>
        <x:v>50623284.457050316</x:v>
      </x:c>
      <x:c r="M5" s="60" t="n">
        <x:f>I5-L5</x:f>
        <x:v>5275023.306453913</x:v>
      </x:c>
      <x:c r="N5" s="62" t="n">
        <x:f>IF(L5=0,"",I5/L5)</x:f>
        <x:v>1.1042015223435242</x:v>
      </x:c>
      <x:c r="O5" s="66" t="n">
        <x:f>IF(L5=0,"",M5/L5)</x:f>
        <x:v>0.10420152234352427</x:v>
      </x:c>
    </x:row>
    <x:row r="6" ht="18" customHeight="1">
      <x:c r="A6" s="46" t="str">
        <x:v>Large demersals (&gt;=90 cm)</x:v>
      </x:c>
      <x:c r="B6" s="64" t="n">
        <x:v>10</x:v>
      </x:c>
      <x:c r="C6" s="64" t="n">
        <x:v>10</x:v>
      </x:c>
      <x:c r="D6" s="60" t="n">
        <x:v>1595.504206534</x:v>
      </x:c>
      <x:c r="E6" s="60" t="n">
        <x:v>1595.504206534</x:v>
      </x:c>
      <x:c r="F6" s="62" t="n">
        <x:v>0</x:v>
      </x:c>
      <x:c r="G6" s="66" t="n">
        <x:v>1</x:v>
      </x:c>
      <x:c r="H6" s="62" t="n">
        <x:f>IF(E6=0,"",I6/E6)</x:f>
        <x:v>24245.244757124852</x:v>
      </x:c>
      <x:c r="I6" s="60" t="n">
        <x:f>SUMIF('Species'!$G$2:$G$93,A6,'Species'!$U$2:$U$93)</x:f>
        <x:v>38683389.99843911</x:v>
      </x:c>
      <x:c r="J6" s="62" t="n">
        <x:v>4.122088698860845</x:v>
      </x:c>
      <x:c r="K6" s="62" t="n">
        <x:f>IF(J6="","",(1/'Metadata'!$B$5)^(J6-1))</x:f>
        <x:v>11532.701366630841</x:v>
      </x:c>
      <x:c r="L6" s="60" t="n">
        <x:f>IF(E6=0,"",E6*K6)</x:f>
        <x:v>18400473.54315992</x:v>
      </x:c>
      <x:c r="M6" s="60" t="n">
        <x:f>I6-L6</x:f>
        <x:v>20282916.45527919</x:v>
      </x:c>
      <x:c r="N6" s="62" t="n">
        <x:f>IF(L6=0,"",I6/L6)</x:f>
        <x:v>2.1023040471053007</x:v>
      </x:c>
      <x:c r="O6" s="66" t="n">
        <x:f>IF(L6=0,"",M6/L6)</x:f>
        <x:v>1.1023040471053005</x:v>
      </x:c>
    </x:row>
    <x:row r="7" ht="18" customHeight="1">
      <x:c r="A7" s="46" t="str">
        <x:v>Large flatfishes (&gt;=90 cm)</x:v>
      </x:c>
      <x:c r="B7" s="64" t="n">
        <x:v>1</x:v>
      </x:c>
      <x:c r="C7" s="64" t="n">
        <x:v>1</x:v>
      </x:c>
      <x:c r="D7" s="60" t="n">
        <x:v>3289.6729950748</x:v>
      </x:c>
      <x:c r="E7" s="60" t="n">
        <x:v>3289.6729950748</x:v>
      </x:c>
      <x:c r="F7" s="62" t="n">
        <x:v>0</x:v>
      </x:c>
      <x:c r="G7" s="66" t="n">
        <x:v>1</x:v>
      </x:c>
      <x:c r="H7" s="62" t="n">
        <x:f>IF(E7=0,"",I7/E7)</x:f>
        <x:v>8000</x:v>
      </x:c>
      <x:c r="I7" s="60" t="n">
        <x:f>SUMIF('Species'!$G$2:$G$93,A7,'Species'!$U$2:$U$93)</x:f>
        <x:v>26317383.960598398</x:v>
      </x:c>
      <x:c r="J7" s="62" t="n">
        <x:v>4</x:v>
      </x:c>
      <x:c r="K7" s="62" t="n">
        <x:f>IF(J7="","",(1/'Metadata'!$B$5)^(J7-1))</x:f>
        <x:v>8000</x:v>
      </x:c>
      <x:c r="L7" s="60" t="n">
        <x:f>IF(E7=0,"",E7*K7)</x:f>
        <x:v>26317383.960598398</x:v>
      </x:c>
      <x:c r="M7" s="60" t="n">
        <x:f>I7-L7</x:f>
        <x:v>0</x:v>
      </x:c>
      <x:c r="N7" s="62" t="n">
        <x:f>IF(L7=0,"",I7/L7)</x:f>
        <x:v>1</x:v>
      </x:c>
      <x:c r="O7" s="66" t="n">
        <x:f>IF(L7=0,"",M7/L7)</x:f>
        <x:v>0</x:v>
      </x:c>
    </x:row>
    <x:row r="8" ht="18" customHeight="1">
      <x:c r="A8" s="46" t="str">
        <x:v>Large pelagics (&gt;=90 cm)</x:v>
      </x:c>
      <x:c r="B8" s="64" t="n">
        <x:v>7</x:v>
      </x:c>
      <x:c r="C8" s="64" t="n">
        <x:v>7</x:v>
      </x:c>
      <x:c r="D8" s="60" t="n">
        <x:v>802.2826971826</x:v>
      </x:c>
      <x:c r="E8" s="60" t="n">
        <x:v>802.2826971826</x:v>
      </x:c>
      <x:c r="F8" s="62" t="n">
        <x:v>0</x:v>
      </x:c>
      <x:c r="G8" s="66" t="n">
        <x:v>1</x:v>
      </x:c>
      <x:c r="H8" s="62" t="n">
        <x:f>IF(E8=0,"",I8/E8)</x:f>
        <x:v>25612.6114371543</x:v>
      </x:c>
      <x:c r="I8" s="60" t="n">
        <x:f>SUMIF('Species'!$G$2:$G$93,A8,'Species'!$U$2:$U$93)</x:f>
        <x:v>20548554.98569006</x:v>
      </x:c>
      <x:c r="J8" s="62" t="n">
        <x:v>4.363991824132674</x:v>
      </x:c>
      <x:c r="K8" s="62" t="n">
        <x:f>IF(J8="","",(1/'Metadata'!$B$5)^(J8-1))</x:f>
        <x:v>23804.237154750605</x:v>
      </x:c>
      <x:c r="L8" s="60" t="n">
        <x:f>IF(E8=0,"",E8*K8)</x:f>
        <x:v>19097727.588887576</x:v>
      </x:c>
      <x:c r="M8" s="60" t="n">
        <x:f>I8-L8</x:f>
        <x:v>1450827.396802485</x:v>
      </x:c>
      <x:c r="N8" s="62" t="n">
        <x:f>IF(L8=0,"",I8/L8)</x:f>
        <x:v>1.0759685878882617</x:v>
      </x:c>
      <x:c r="O8" s="66" t="n">
        <x:f>IF(L8=0,"",M8/L8)</x:f>
        <x:v>0.07596858788826165</x:v>
      </x:c>
    </x:row>
    <x:row r="9" ht="18" customHeight="1">
      <x:c r="A9" s="46" t="str">
        <x:v>Large rays (&gt;=90 cm)</x:v>
      </x:c>
      <x:c r="B9" s="64" t="n">
        <x:v>1</x:v>
      </x:c>
      <x:c r="C9" s="64" t="n">
        <x:v>1</x:v>
      </x:c>
      <x:c r="D9" s="60" t="n">
        <x:v>362.1165945089</x:v>
      </x:c>
      <x:c r="E9" s="60" t="n">
        <x:v>362.1165945089</x:v>
      </x:c>
      <x:c r="F9" s="62" t="n">
        <x:v>0</x:v>
      </x:c>
      <x:c r="G9" s="66" t="n">
        <x:v>1</x:v>
      </x:c>
      <x:c r="H9" s="62" t="n">
        <x:f>IF(E9=0,"",I9/E9)</x:f>
        <x:v>4665.56868948727</x:v>
      </x:c>
      <x:c r="I9" s="60" t="n">
        <x:f>SUMIF('Species'!$G$2:$G$93,A9,'Species'!$U$2:$U$93)</x:f>
        <x:v>1689479.8452844815</x:v>
      </x:c>
      <x:c r="J9" s="62" t="n">
        <x:v>3.8199999999999994</x:v>
      </x:c>
      <x:c r="K9" s="62" t="n">
        <x:f>IF(J9="","",(1/'Metadata'!$B$5)^(J9-1))</x:f>
        <x:v>4665.568689487263</x:v>
      </x:c>
      <x:c r="L9" s="60" t="n">
        <x:f>IF(E9=0,"",E9*K9)</x:f>
        <x:v>1689479.8452844792</x:v>
      </x:c>
      <x:c r="M9" s="60" t="n">
        <x:f>I9-L9</x:f>
        <x:v>2.3283064365386963e-9</x:v>
      </x:c>
      <x:c r="N9" s="62" t="n">
        <x:f>IF(L9=0,"",I9/L9)</x:f>
        <x:v>1.0000000000000013</x:v>
      </x:c>
      <x:c r="O9" s="66" t="n">
        <x:f>IF(L9=0,"",M9/L9)</x:f>
        <x:v>1.3781202794678204e-15</x:v>
      </x:c>
    </x:row>
    <x:row r="10" ht="18" customHeight="1">
      <x:c r="A10" s="46" t="str">
        <x:v>Large reef assoc. fish (&gt;=90 cm)</x:v>
      </x:c>
      <x:c r="B10" s="64" t="n">
        <x:v>4</x:v>
      </x:c>
      <x:c r="C10" s="64" t="n">
        <x:v>4</x:v>
      </x:c>
      <x:c r="D10" s="60" t="n">
        <x:v>2135.5358299666004</x:v>
      </x:c>
      <x:c r="E10" s="60" t="n">
        <x:v>2135.5358299666004</x:v>
      </x:c>
      <x:c r="F10" s="62" t="n">
        <x:v>0</x:v>
      </x:c>
      <x:c r="G10" s="66" t="n">
        <x:v>1</x:v>
      </x:c>
      <x:c r="H10" s="62" t="n">
        <x:f>IF(E10=0,"",I10/E10)</x:f>
        <x:v>4138.226082130861</x:v>
      </x:c>
      <x:c r="I10" s="60" t="n">
        <x:f>SUMIF('Species'!$G$2:$G$93,A10,'Species'!$U$2:$U$93)</x:f>
        <x:v>8837330.07089276</x:v>
      </x:c>
      <x:c r="J10" s="62" t="n">
        <x:v>3.76928419961511</x:v>
      </x:c>
      <x:c r="K10" s="62" t="n">
        <x:f>IF(J10="","",(1/'Metadata'!$B$5)^(J10-1))</x:f>
        <x:v>4007.9455263011782</x:v>
      </x:c>
      <x:c r="L10" s="60" t="n">
        <x:f>IF(E10=0,"",E10*K10)</x:f>
        <x:v>8559111.27597051</x:v>
      </x:c>
      <x:c r="M10" s="60" t="n">
        <x:f>I10-L10</x:f>
        <x:v>278218.79492225125</x:v>
      </x:c>
      <x:c r="N10" s="62" t="n">
        <x:f>IF(L10=0,"",I10/L10)</x:f>
        <x:v>1.0325055704911026</x:v>
      </x:c>
      <x:c r="O10" s="66" t="n">
        <x:f>IF(L10=0,"",M10/L10)</x:f>
        <x:v>0.032505570491102684</x:v>
      </x:c>
    </x:row>
    <x:row r="11" ht="18" customHeight="1">
      <x:c r="A11" s="46" t="str">
        <x:v>Large sharks (&gt;=90 cm)</x:v>
      </x:c>
      <x:c r="B11" s="64" t="n">
        <x:v>7</x:v>
      </x:c>
      <x:c r="C11" s="64" t="n">
        <x:v>7</x:v>
      </x:c>
      <x:c r="D11" s="60" t="n">
        <x:v>291.2502962491</x:v>
      </x:c>
      <x:c r="E11" s="60" t="n">
        <x:v>291.2502962491</x:v>
      </x:c>
      <x:c r="F11" s="62" t="n">
        <x:v>0</x:v>
      </x:c>
      <x:c r="G11" s="66" t="n">
        <x:v>1</x:v>
      </x:c>
      <x:c r="H11" s="62" t="n">
        <x:f>IF(E11=0,"",I11/E11)</x:f>
        <x:v>15196.062489260374</x:v>
      </x:c>
      <x:c r="I11" s="60" t="n">
        <x:f>SUMIF('Species'!$G$2:$G$93,A11,'Species'!$U$2:$U$93)</x:f>
        <x:v>4425857.70181692</x:v>
      </x:c>
      <x:c r="J11" s="62" t="n">
        <x:v>4.176013118722517</x:v>
      </x:c>
      <x:c r="K11" s="62" t="n">
        <x:f>IF(J11="","",(1/'Metadata'!$B$5)^(J11-1))</x:f>
        <x:v>13554.650814890145</x:v>
      </x:c>
      <x:c r="L11" s="60" t="n">
        <x:f>IF(E11=0,"",E11*K11)</x:f>
        <x:v>3947796.0653898595</x:v>
      </x:c>
      <x:c r="M11" s="60" t="n">
        <x:f>I11-L11</x:f>
        <x:v>478061.6364270607</x:v>
      </x:c>
      <x:c r="N11" s="62" t="n">
        <x:f>IF(L11=0,"",I11/L11)</x:f>
        <x:v>1.1210958287886763</x:v>
      </x:c>
      <x:c r="O11" s="66" t="n">
        <x:f>IF(L11=0,"",M11/L11)</x:f>
        <x:v>0.12109582878867638</x:v>
      </x:c>
    </x:row>
    <x:row r="12" ht="18" customHeight="1">
      <x:c r="A12" s="46" t="str">
        <x:v>Lobsters, crabs</x:v>
      </x:c>
      <x:c r="B12" s="64" t="n">
        <x:v>6</x:v>
      </x:c>
      <x:c r="C12" s="64" t="n">
        <x:v>6</x:v>
      </x:c>
      <x:c r="D12" s="60" t="n">
        <x:v>44781.415995160605</x:v>
      </x:c>
      <x:c r="E12" s="60" t="n">
        <x:v>44781.415995160605</x:v>
      </x:c>
      <x:c r="F12" s="62" t="n">
        <x:v>0</x:v>
      </x:c>
      <x:c r="G12" s="66" t="n">
        <x:v>1</x:v>
      </x:c>
      <x:c r="H12" s="62" t="n">
        <x:f>IF(E12=0,"",I12/E12)</x:f>
        <x:v>3016.475836377424</x:v>
      </x:c>
      <x:c r="I12" s="60" t="n">
        <x:f>SUMIF('Species'!$G$2:$G$93,A12,'Species'!$U$2:$U$93)</x:f>
        <x:v>135082059.26816744</x:v>
      </x:c>
      <x:c r="J12" s="62" t="n">
        <x:v>3.647461863790861</x:v>
      </x:c>
      <x:c r="K12" s="62" t="n">
        <x:f>IF(J12="","",(1/'Metadata'!$B$5)^(J12-1))</x:f>
        <x:v>2782.449540409879</x:v>
      </x:c>
      <x:c r="L12" s="60" t="n">
        <x:f>IF(E12=0,"",E12*K12)</x:f>
        <x:v>124602030.35463822</x:v>
      </x:c>
      <x:c r="M12" s="60" t="n">
        <x:f>I12-L12</x:f>
        <x:v>10480028.913529217</x:v>
      </x:c>
      <x:c r="N12" s="62" t="n">
        <x:f>IF(L12=0,"",I12/L12)</x:f>
        <x:v>1.0841080107900434</x:v>
      </x:c>
      <x:c r="O12" s="66" t="n">
        <x:f>IF(L12=0,"",M12/L12)</x:f>
        <x:v>0.08410801079004332</x:v>
      </x:c>
    </x:row>
    <x:row r="13" ht="18" customHeight="1">
      <x:c r="A13" s="46" t="str">
        <x:v>Medium bathydemersals (30 - 89 cm)</x:v>
      </x:c>
      <x:c r="B13" s="64" t="n">
        <x:v>3</x:v>
      </x:c>
      <x:c r="C13" s="64" t="n">
        <x:v>3</x:v>
      </x:c>
      <x:c r="D13" s="60" t="n">
        <x:v>187.4280566732</x:v>
      </x:c>
      <x:c r="E13" s="60" t="n">
        <x:v>187.4280566732</x:v>
      </x:c>
      <x:c r="F13" s="62" t="n">
        <x:v>0</x:v>
      </x:c>
      <x:c r="G13" s="66" t="n">
        <x:v>1</x:v>
      </x:c>
      <x:c r="H13" s="62" t="n">
        <x:f>IF(E13=0,"",I13/E13)</x:f>
        <x:v>6280.029700682939</x:v>
      </x:c>
      <x:c r="I13" s="60" t="n">
        <x:f>SUMIF('Species'!$G$2:$G$93,A13,'Species'!$U$2:$U$93)</x:f>
        <x:v>1177053.762648981</x:v>
      </x:c>
      <x:c r="J13" s="62" t="n">
        <x:v>3.662136373879024</x:v>
      </x:c>
      <x:c r="K13" s="62" t="n">
        <x:f>IF(J13="","",(1/'Metadata'!$B$5)^(J13-1))</x:f>
        <x:v>2907.496997829182</x:v>
      </x:c>
      <x:c r="L13" s="60" t="n">
        <x:f>IF(E13=0,"",E13*K13)</x:f>
        <x:v>544946.5120862868</x:v>
      </x:c>
      <x:c r="M13" s="60" t="n">
        <x:f>I13-L13</x:f>
        <x:v>632107.2505626943</x:v>
      </x:c>
      <x:c r="N13" s="62" t="n">
        <x:f>IF(L13=0,"",I13/L13)</x:f>
        <x:v>2.159943657851335</x:v>
      </x:c>
      <x:c r="O13" s="66" t="n">
        <x:f>IF(L13=0,"",M13/L13)</x:f>
        <x:v>1.1599436578513351</x:v>
      </x:c>
    </x:row>
    <x:row r="14" ht="18" customHeight="1">
      <x:c r="A14" s="46" t="str">
        <x:v>Medium benthopelagics (30 - 89 cm)</x:v>
      </x:c>
      <x:c r="B14" s="64" t="n">
        <x:v>3</x:v>
      </x:c>
      <x:c r="C14" s="64" t="n">
        <x:v>3</x:v>
      </x:c>
      <x:c r="D14" s="60" t="n">
        <x:v>211.149804848</x:v>
      </x:c>
      <x:c r="E14" s="60" t="n">
        <x:v>211.149804848</x:v>
      </x:c>
      <x:c r="F14" s="62" t="n">
        <x:v>0</x:v>
      </x:c>
      <x:c r="G14" s="66" t="n">
        <x:v>1</x:v>
      </x:c>
      <x:c r="H14" s="62" t="n">
        <x:f>IF(E14=0,"",I14/E14)</x:f>
        <x:v>5960.964472170698</x:v>
      </x:c>
      <x:c r="I14" s="60" t="n">
        <x:f>SUMIF('Species'!$G$2:$G$93,A14,'Species'!$U$2:$U$93)</x:f>
        <x:v>1258656.4850047042</x:v>
      </x:c>
      <x:c r="J14" s="62" t="n">
        <x:v>3.895905360625541</x:v>
      </x:c>
      <x:c r="K14" s="62" t="n">
        <x:f>IF(J14="","",(1/'Metadata'!$B$5)^(J14-1))</x:f>
        <x:v>5856.791165911221</x:v>
      </x:c>
      <x:c r="L14" s="60" t="n">
        <x:f>IF(E14=0,"",E14*K14)</x:f>
        <x:v>1236660.3117176446</x:v>
      </x:c>
      <x:c r="M14" s="60" t="n">
        <x:f>I14-L14</x:f>
        <x:v>21996.173287059646</x:v>
      </x:c>
      <x:c r="N14" s="62" t="n">
        <x:f>IF(L14=0,"",I14/L14)</x:f>
        <x:v>1.017786754437448</x:v>
      </x:c>
      <x:c r="O14" s="66" t="n">
        <x:f>IF(L14=0,"",M14/L14)</x:f>
        <x:v>0.017786754437448003</x:v>
      </x:c>
    </x:row>
    <x:row r="15" ht="18" customHeight="1">
      <x:c r="A15" s="46" t="str">
        <x:v>Medium demersals (30 - 89 cm)</x:v>
      </x:c>
      <x:c r="B15" s="64" t="n">
        <x:v>9</x:v>
      </x:c>
      <x:c r="C15" s="64" t="n">
        <x:v>9</x:v>
      </x:c>
      <x:c r="D15" s="60" t="n">
        <x:v>15734.600353893</x:v>
      </x:c>
      <x:c r="E15" s="60" t="n">
        <x:v>15734.600353893</x:v>
      </x:c>
      <x:c r="F15" s="62" t="n">
        <x:v>0</x:v>
      </x:c>
      <x:c r="G15" s="66" t="n">
        <x:v>1</x:v>
      </x:c>
      <x:c r="H15" s="62" t="n">
        <x:f>IF(E15=0,"",I15/E15)</x:f>
        <x:v>15696.789024467742</x:v>
      </x:c>
      <x:c r="I15" s="60" t="n">
        <x:f>SUMIF('Species'!$G$2:$G$93,A15,'Species'!$U$2:$U$93)</x:f>
        <x:v>246982702.1393739</x:v>
      </x:c>
      <x:c r="J15" s="62" t="n">
        <x:v>3.942037429750279</x:v>
      </x:c>
      <x:c r="K15" s="62" t="n">
        <x:f>IF(J15="","",(1/'Metadata'!$B$5)^(J15-1))</x:f>
        <x:v>6724.793369726323</x:v>
      </x:c>
      <x:c r="L15" s="60" t="n">
        <x:f>IF(E15=0,"",E15*K15)</x:f>
        <x:v>105811936.1351531</x:v>
      </x:c>
      <x:c r="M15" s="60" t="n">
        <x:f>I15-L15</x:f>
        <x:v>141170766.00422078</x:v>
      </x:c>
      <x:c r="N15" s="62" t="n">
        <x:f>IF(L15=0,"",I15/L15)</x:f>
        <x:v>2.3341667411123073</x:v>
      </x:c>
      <x:c r="O15" s="66" t="n">
        <x:f>IF(L15=0,"",M15/L15)</x:f>
        <x:v>1.334166741112307</x:v>
      </x:c>
    </x:row>
    <x:row r="16" ht="18" customHeight="1">
      <x:c r="A16" s="46" t="str">
        <x:v>Medium pelagics (30 - 89 cm)</x:v>
      </x:c>
      <x:c r="B16" s="64" t="n">
        <x:v>5</x:v>
      </x:c>
      <x:c r="C16" s="64" t="n">
        <x:v>5</x:v>
      </x:c>
      <x:c r="D16" s="60" t="n">
        <x:v>42326.234585691396</x:v>
      </x:c>
      <x:c r="E16" s="60" t="n">
        <x:v>42326.234585691396</x:v>
      </x:c>
      <x:c r="F16" s="62" t="n">
        <x:v>0</x:v>
      </x:c>
      <x:c r="G16" s="66" t="n">
        <x:v>1</x:v>
      </x:c>
      <x:c r="H16" s="62" t="n">
        <x:f>IF(E16=0,"",I16/E16)</x:f>
        <x:v>1350.9050026809114</x:v>
      </x:c>
      <x:c r="I16" s="60" t="n">
        <x:f>SUMIF('Species'!$G$2:$G$93,A16,'Species'!$U$2:$U$93)</x:f>
        <x:v>57178722.04645632</x:v>
      </x:c>
      <x:c r="J16" s="62" t="n">
        <x:v>3.3984256607792407</x:v>
      </x:c>
      <x:c r="K16" s="62" t="n">
        <x:f>IF(J16="","",(1/'Metadata'!$B$5)^(J16-1))</x:f>
        <x:v>1319.543546558091</x:v>
      </x:c>
      <x:c r="L16" s="60" t="n">
        <x:f>IF(E16=0,"",E16*K16)</x:f>
        <x:v>55851309.69765296</x:v>
      </x:c>
      <x:c r="M16" s="60" t="n">
        <x:f>I16-L16</x:f>
        <x:v>1327412.3488033637</x:v>
      </x:c>
      <x:c r="N16" s="62" t="n">
        <x:f>IF(L16=0,"",I16/L16)</x:f>
        <x:v>1.023766897427996</x:v>
      </x:c>
      <x:c r="O16" s="66" t="n">
        <x:f>IF(L16=0,"",M16/L16)</x:f>
        <x:v>0.023766897427996137</x:v>
      </x:c>
    </x:row>
    <x:row r="17" ht="18" customHeight="1">
      <x:c r="A17" s="46" t="str">
        <x:v>Medium reef assoc. fish (30 - 89 cm)</x:v>
      </x:c>
      <x:c r="B17" s="64" t="n">
        <x:v>1</x:v>
      </x:c>
      <x:c r="C17" s="64" t="n">
        <x:v>1</x:v>
      </x:c>
      <x:c r="D17" s="60" t="n">
        <x:v>52.1538728215</x:v>
      </x:c>
      <x:c r="E17" s="60" t="n">
        <x:v>52.1538728215</x:v>
      </x:c>
      <x:c r="F17" s="62" t="n">
        <x:v>0</x:v>
      </x:c>
      <x:c r="G17" s="66" t="n">
        <x:v>1</x:v>
      </x:c>
      <x:c r="H17" s="62" t="n">
        <x:f>IF(E17=0,"",I17/E17)</x:f>
        <x:v>3457.8136804537753</x:v>
      </x:c>
      <x:c r="I17" s="60" t="n">
        <x:f>SUMIF('Species'!$G$2:$G$93,A17,'Species'!$U$2:$U$93)</x:f>
        <x:v>180338.37493082904</x:v>
      </x:c>
      <x:c r="J17" s="62" t="n">
        <x:v>3.72</x:v>
      </x:c>
      <x:c r="K17" s="62" t="n">
        <x:f>IF(J17="","",(1/'Metadata'!$B$5)^(J17-1))</x:f>
        <x:v>3457.8136804537753</x:v>
      </x:c>
      <x:c r="L17" s="60" t="n">
        <x:f>IF(E17=0,"",E17*K17)</x:f>
        <x:v>180338.37493082904</x:v>
      </x:c>
      <x:c r="M17" s="60" t="n">
        <x:f>I17-L17</x:f>
        <x:v>0</x:v>
      </x:c>
      <x:c r="N17" s="62" t="n">
        <x:f>IF(L17=0,"",I17/L17)</x:f>
        <x:v>1</x:v>
      </x:c>
      <x:c r="O17" s="66" t="n">
        <x:f>IF(L17=0,"",M17/L17)</x:f>
        <x:v>0</x:v>
      </x:c>
    </x:row>
    <x:row r="18" ht="18" customHeight="1">
      <x:c r="A18" s="46" t="str">
        <x:v>Other demersal invertebrates</x:v>
      </x:c>
      <x:c r="B18" s="64" t="n">
        <x:v>10</x:v>
      </x:c>
      <x:c r="C18" s="64" t="n">
        <x:v>10</x:v>
      </x:c>
      <x:c r="D18" s="60" t="n">
        <x:v>25070.937343252797</x:v>
      </x:c>
      <x:c r="E18" s="60" t="n">
        <x:v>25070.937343252797</x:v>
      </x:c>
      <x:c r="F18" s="62" t="n">
        <x:v>0</x:v>
      </x:c>
      <x:c r="G18" s="66" t="n">
        <x:v>1</x:v>
      </x:c>
      <x:c r="H18" s="62" t="n">
        <x:f>IF(E18=0,"",I18/E18)</x:f>
        <x:v>35.654957139766594</x:v>
      </x:c>
      <x:c r="I18" s="60" t="n">
        <x:f>SUMIF('Species'!$G$2:$G$93,A18,'Species'!$U$2:$U$93)</x:f>
        <x:v>893903.1964274523</x:v>
      </x:c>
      <x:c r="J18" s="62" t="n">
        <x:v>2.1336004947783294</x:v>
      </x:c>
      <x:c r="K18" s="62" t="n">
        <x:f>IF(J18="","",(1/'Metadata'!$B$5)^(J18-1))</x:f>
        <x:v>29.84339634897871</x:v>
      </x:c>
      <x:c r="L18" s="60" t="n">
        <x:f>IF(E18=0,"",E18*K18)</x:f>
        <x:v>748201.9199751045</x:v>
      </x:c>
      <x:c r="M18" s="60" t="n">
        <x:f>I18-L18</x:f>
        <x:v>145701.27645234775</x:v>
      </x:c>
      <x:c r="N18" s="62" t="n">
        <x:f>IF(L18=0,"",I18/L18)</x:f>
        <x:v>1.194735234650555</x:v>
      </x:c>
      <x:c r="O18" s="66" t="n">
        <x:f>IF(L18=0,"",M18/L18)</x:f>
        <x:v>0.194735234650555</x:v>
      </x:c>
    </x:row>
    <x:row r="19" ht="18" customHeight="1">
      <x:c r="A19" s="46" t="str">
        <x:v>Shrimps</x:v>
      </x:c>
      <x:c r="B19" s="64" t="n">
        <x:v>2</x:v>
      </x:c>
      <x:c r="C19" s="64" t="n">
        <x:v>2</x:v>
      </x:c>
      <x:c r="D19" s="60" t="n">
        <x:v>2592.9680232524997</x:v>
      </x:c>
      <x:c r="E19" s="60" t="n">
        <x:v>2592.9680232524997</x:v>
      </x:c>
      <x:c r="F19" s="62" t="n">
        <x:v>0</x:v>
      </x:c>
      <x:c r="G19" s="66" t="n">
        <x:v>1</x:v>
      </x:c>
      <x:c r="H19" s="62" t="n">
        <x:f>IF(E19=0,"",I19/E19)</x:f>
        <x:v>121.48696980605636</x:v>
      </x:c>
      <x:c r="I19" s="60" t="n">
        <x:f>SUMIF('Species'!$G$2:$G$93,A19,'Species'!$U$2:$U$93)</x:f>
        <x:v>315011.8279489461</x:v>
      </x:c>
      <x:c r="J19" s="62" t="n">
        <x:v>2.601906030560821</x:v>
      </x:c>
      <x:c r="K19" s="62" t="n">
        <x:f>IF(J19="","",(1/'Metadata'!$B$5)^(J19-1))</x:f>
        <x:v>121.37459562048099</x:v>
      </x:c>
      <x:c r="L19" s="60" t="n">
        <x:f>IF(E19=0,"",E19*K19)</x:f>
        <x:v>314720.4452791101</x:v>
      </x:c>
      <x:c r="M19" s="60" t="n">
        <x:f>I19-L19</x:f>
        <x:v>291.3826698359917</x:v>
      </x:c>
      <x:c r="N19" s="62" t="n">
        <x:f>IF(L19=0,"",I19/L19)</x:f>
        <x:v>1.000925846014159</x:v>
      </x:c>
      <x:c r="O19" s="66" t="n">
        <x:f>IF(L19=0,"",M19/L19)</x:f>
        <x:v>0.0009258460141589426</x:v>
      </x:c>
    </x:row>
    <x:row r="20" ht="18" customHeight="1">
      <x:c r="A20" s="46" t="str">
        <x:v>Small pelagics (&lt;30 cm)</x:v>
      </x:c>
      <x:c r="B20" s="64" t="n">
        <x:v>5</x:v>
      </x:c>
      <x:c r="C20" s="64" t="n">
        <x:v>5</x:v>
      </x:c>
      <x:c r="D20" s="60" t="n">
        <x:v>1004.4521800679</x:v>
      </x:c>
      <x:c r="E20" s="60" t="n">
        <x:v>1004.4521800679</x:v>
      </x:c>
      <x:c r="F20" s="62" t="n">
        <x:v>0</x:v>
      </x:c>
      <x:c r="G20" s="66" t="n">
        <x:v>1</x:v>
      </x:c>
      <x:c r="H20" s="62" t="n">
        <x:f>IF(E20=0,"",I20/E20)</x:f>
        <x:v>914.5309820998485</x:v>
      </x:c>
      <x:c r="I20" s="60" t="n">
        <x:f>SUMIF('Species'!$G$2:$G$93,A20,'Species'!$U$2:$U$93)</x:f>
        <x:v>918602.6387098305</x:v>
      </x:c>
      <x:c r="J20" s="62" t="n">
        <x:v>3.2388549849868733</x:v>
      </x:c>
      <x:c r="K20" s="62" t="n">
        <x:f>IF(J20="","",(1/'Metadata'!$B$5)^(J20-1))</x:f>
        <x:v>818.1209074775714</x:v>
      </x:c>
      <x:c r="L20" s="60" t="n">
        <x:f>IF(E20=0,"",E20*K20)</x:f>
        <x:v>821763.3290749753</x:v>
      </x:c>
      <x:c r="M20" s="60" t="n">
        <x:f>I20-L20</x:f>
        <x:v>96839.30963485513</x:v>
      </x:c>
      <x:c r="N20" s="62" t="n">
        <x:f>IF(L20=0,"",I20/L20)</x:f>
        <x:v>1.1178433086614648</x:v>
      </x:c>
      <x:c r="O20" s="66" t="n">
        <x:f>IF(L20=0,"",M20/L20)</x:f>
        <x:v>0.11784330866146474</x:v>
      </x:c>
    </x:row>
    <x:row r="21" ht="18" customHeight="1">
      <x:c r="A21" s="46" t="str">
        <x:v>Small to medium flatfishes (&lt;90 cm)</x:v>
      </x:c>
      <x:c r="B21" s="64" t="n">
        <x:v>7</x:v>
      </x:c>
      <x:c r="C21" s="64" t="n">
        <x:v>7</x:v>
      </x:c>
      <x:c r="D21" s="60" t="n">
        <x:v>3558.9393611364</x:v>
      </x:c>
      <x:c r="E21" s="60" t="n">
        <x:v>3558.9393611364</x:v>
      </x:c>
      <x:c r="F21" s="62" t="n">
        <x:v>0</x:v>
      </x:c>
      <x:c r="G21" s="66" t="n">
        <x:v>1</x:v>
      </x:c>
      <x:c r="H21" s="62" t="n">
        <x:f>IF(E21=0,"",I21/E21)</x:f>
        <x:v>2995.0791782811307</x:v>
      </x:c>
      <x:c r="I21" s="60" t="n">
        <x:f>SUMIF('Species'!$G$2:$G$93,A21,'Species'!$U$2:$U$93)</x:f>
        <x:v>10659305.17730478</x:v>
      </x:c>
      <x:c r="J21" s="62" t="n">
        <x:v>3.597989359822476</x:v>
      </x:c>
      <x:c r="K21" s="62" t="n">
        <x:f>IF(J21="","",(1/'Metadata'!$B$5)^(J21-1))</x:f>
        <x:v>2399.175874090629</x:v>
      </x:c>
      <x:c r="L21" s="60" t="n">
        <x:f>IF(E21=0,"",E21*K21)</x:f>
        <x:v>8538521.452589966</x:v>
      </x:c>
      <x:c r="M21" s="60" t="n">
        <x:f>I21-L21</x:f>
        <x:v>2120783.7247148138</x:v>
      </x:c>
      <x:c r="N21" s="62" t="n">
        <x:f>IF(L21=0,"",I21/L21)</x:f>
        <x:v>1.2483783330041904</x:v>
      </x:c>
      <x:c r="O21" s="66" t="n">
        <x:f>IF(L21=0,"",M21/L21)</x:f>
        <x:v>0.24837833300419035</x:v>
      </x:c>
    </x:row>
    <x:row r="22" ht="18" customHeight="1">
      <x:c r="A22" s="46" t="str">
        <x:v>Small to medium sharks (&lt;90 cm)</x:v>
      </x:c>
      <x:c r="B22" s="64" t="n">
        <x:v>1</x:v>
      </x:c>
      <x:c r="C22" s="64" t="n">
        <x:v>1</x:v>
      </x:c>
      <x:c r="D22" s="60" t="n">
        <x:v>62.2727141771</x:v>
      </x:c>
      <x:c r="E22" s="60" t="n">
        <x:v>62.2727141771</x:v>
      </x:c>
      <x:c r="F22" s="62" t="n">
        <x:v>0</x:v>
      </x:c>
      <x:c r="G22" s="66" t="n">
        <x:v>1</x:v>
      </x:c>
      <x:c r="H22" s="62" t="n">
        <x:f>IF(E22=0,"",I22/E22)</x:f>
        <x:v>4953.648510535111</x:v>
      </x:c>
      <x:c r="I22" s="60" t="n">
        <x:f>SUMIF('Species'!$G$2:$G$93,A22,'Species'!$U$2:$U$93)</x:f>
        <x:v>308477.1378303701</x:v>
      </x:c>
      <x:c r="J22" s="62" t="n">
        <x:v>3.8399999999999994</x:v>
      </x:c>
      <x:c r="K22" s="62" t="n">
        <x:f>IF(J22="","",(1/'Metadata'!$B$5)^(J22-1))</x:f>
        <x:v>4953.648510535105</x:v>
      </x:c>
      <x:c r="L22" s="60" t="n">
        <x:f>IF(E22=0,"",E22*K22)</x:f>
        <x:v>308477.1378303697</x:v>
      </x:c>
      <x:c r="M22" s="60" t="n">
        <x:f>I22-L22</x:f>
        <x:v>4.0745362639427185e-10</x:v>
      </x:c>
      <x:c r="N22" s="62" t="n">
        <x:f>IF(L22=0,"",I22/L22)</x:f>
        <x:v>1.0000000000000013</x:v>
      </x:c>
      <x:c r="O22" s="66" t="n">
        <x:f>IF(L22=0,"",M22/L22)</x:f>
        <x:v>1.3208551831751269e-15</x:v>
      </x:c>
    </x:row>
  </x:sheetData>
  <x:conditionalFormatting sqref="G2:G22">
    <x:cfRule type="cellIs" dxfId="2" priority="1" operator="lessThan">
      <x:formula>0.9</x:formula>
    </x:cfRule>
  </x:conditionalFormatting>
  <x:conditionalFormatting sqref="O2:O22">
    <x:cfRule type="dataBar" priority="2">
      <x:dataBar>
        <x:cfvo type="min"/>
        <x:cfvo type="max"/>
        <x:color rgb="FFE28A32"/>
      </x:dataBar>
    </x:cfRule>
  </x:conditionalFormatting>
  <x:pageMargins left="0.7" right="0.7" top="0.75" bottom="0.75" header="0.3" footer="0.3"/>
  <x:tableParts count="1">
    <x:tablePart xmlns:r="http://schemas.openxmlformats.org/officeDocument/2006/relationships" r:id="R22b83496e7394d85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15" hidden="0" customWidth="1"/>
    <x:col min="5" max="5" width="25" hidden="0" customWidth="1"/>
    <x:col min="6" max="6" width="22" hidden="0" customWidth="1"/>
    <x:col min="7" max="7" width="22" hidden="0" customWidth="1"/>
    <x:col min="8" max="8" width="22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22" hidden="0" customWidth="1"/>
    <x:col min="15" max="15" width="15" hidden="0" customWidth="1"/>
    <x:col min="16" max="16" width="22" hidden="0" customWidth="1"/>
    <x:col min="17" max="17" width="36" hidden="0" customWidth="1"/>
    <x:col min="18" max="18" width="22" hidden="0" customWidth="1"/>
    <x:col min="19" max="19" width="22" hidden="0" customWidth="1"/>
    <x:col min="20" max="20" width="18" hidden="0" customWidth="1"/>
    <x:col min="21" max="21" width="18" hidden="0" customWidth="1"/>
  </x:cols>
  <x:sheetData>
    <x:row r="1" ht="32" customHeight="1">
      <x:c r="A1" s="56" t="str">
        <x:v>unit_id</x:v>
      </x:c>
      <x:c r="B1" s="56" t="str">
        <x:v>region_name</x:v>
      </x:c>
      <x:c r="C1" s="56" t="str">
        <x:v>region_type</x:v>
      </x:c>
      <x:c r="D1" s="56" t="str">
        <x:v>year</x:v>
      </x:c>
      <x:c r="E1" s="56" t="str">
        <x:v>taxon</x:v>
      </x:c>
      <x:c r="F1" s="56" t="str">
        <x:v>common_name</x:v>
      </x:c>
      <x:c r="G1" s="56" t="str">
        <x:v>functional_group</x:v>
      </x:c>
      <x:c r="H1" s="56" t="str">
        <x:v>commercial_group</x:v>
      </x:c>
      <x:c r="I1" s="56" t="str">
        <x:v>catch_tonnes</x:v>
      </x:c>
      <x:c r="J1" s="56" t="str">
        <x:v>landings_tonnes</x:v>
      </x:c>
      <x:c r="K1" s="56" t="str">
        <x:v>discards_tonnes</x:v>
      </x:c>
      <x:c r="L1" s="56" t="str">
        <x:v>reported_tonnes</x:v>
      </x:c>
      <x:c r="M1" s="56" t="str">
        <x:v>unreported_tonnes</x:v>
      </x:c>
      <x:c r="N1" s="56" t="str">
        <x:v>taxon_key</x:v>
      </x:c>
      <x:c r="O1" s="56" t="str">
        <x:v>tl</x:v>
      </x:c>
      <x:c r="P1" s="56" t="str">
        <x:v>match_method</x:v>
      </x:c>
      <x:c r="Q1" s="56" t="str">
        <x:v>tl_source</x:v>
      </x:c>
      <x:c r="R1" s="56" t="str">
        <x:v>match_confidence</x:v>
      </x:c>
      <x:c r="S1" s="56" t="str">
        <x:v>reference_taxon</x:v>
      </x:c>
      <x:c r="T1" s="56" t="str">
        <x:v>sppr</x:v>
      </x:c>
      <x:c r="U1" s="56" t="str">
        <x:v>ppr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34" hidden="0" customWidth="1"/>
    <x:col min="3" max="3" width="15" hidden="0" customWidth="1"/>
    <x:col min="4" max="4" width="34" hidden="0" customWidth="1"/>
  </x:cols>
  <x:sheetData>
    <x:row r="1" ht="32" customHeight="1">
      <x:c r="A1" s="56" t="str">
        <x:v>unit_id</x:v>
      </x:c>
      <x:c r="B1" s="56" t="str">
        <x:v>check</x:v>
      </x:c>
      <x:c r="C1" s="56" t="str">
        <x:v>value</x:v>
      </x:c>
      <x:c r="D1" s="56" t="str">
        <x:v>unit</x:v>
      </x:c>
    </x:row>
    <x:row r="2" ht="18" customHeight="1">
      <x:c r="A2" s="46" t="str">
        <x:v>LME_008</x:v>
      </x:c>
      <x:c r="B2" s="46" t="str">
        <x:v>raw_filtered_tonnes</x:v>
      </x:c>
      <x:c r="C2" s="46" t="n">
        <x:v>148680.2607308072</x:v>
      </x:c>
      <x:c r="D2" s="46" t="str">
        <x:v>tonnes</x:v>
      </x:c>
    </x:row>
    <x:row r="3" ht="18" customHeight="1">
      <x:c r="A3" s="46" t="str">
        <x:v>LME_008</x:v>
      </x:c>
      <x:c r="B3" s="46" t="str">
        <x:v>species_catch_tonnes</x:v>
      </x:c>
      <x:c r="C3" s="46" t="n">
        <x:v>148680.26073080715</x:v>
      </x:c>
      <x:c r="D3" s="46" t="str">
        <x:v>tonnes</x:v>
      </x:c>
    </x:row>
    <x:row r="4" ht="18" customHeight="1">
      <x:c r="A4" s="46" t="str">
        <x:v>LME_008</x:v>
      </x:c>
      <x:c r="B4" s="46" t="str">
        <x:v>catch_difference_tonnes</x:v>
      </x:c>
      <x:c r="C4" s="46" t="n">
        <x:v>-5.820766091346741e-11</x:v>
      </x:c>
      <x:c r="D4" s="46" t="str">
        <x:v>tonnes</x:v>
      </x:c>
    </x:row>
    <x:row r="5" ht="18" customHeight="1">
      <x:c r="A5" s="46" t="str">
        <x:v>LME_008</x:v>
      </x:c>
      <x:c r="B5" s="46" t="str">
        <x:v>catch_reconciled</x:v>
      </x:c>
      <x:c r="C5" s="46" t="str">
        <x:v>True</x:v>
      </x:c>
      <x:c r="D5" s="46" t="str">
        <x:v>boolean</x:v>
      </x:c>
    </x:row>
    <x:row r="6" ht="18" customHeight="1">
      <x:c r="A6" s="46" t="str">
        <x:v>LME_008</x:v>
      </x:c>
      <x:c r="B6" s="46" t="str">
        <x:v>matched_catch_tonnes</x:v>
      </x:c>
      <x:c r="C6" s="46" t="n">
        <x:v>148680.26073080715</x:v>
      </x:c>
      <x:c r="D6" s="46" t="str">
        <x:v>tonnes</x:v>
      </x:c>
    </x:row>
    <x:row r="7" ht="18" customHeight="1">
      <x:c r="A7" s="46" t="str">
        <x:v>LME_008</x:v>
      </x:c>
      <x:c r="B7" s="46" t="str">
        <x:v>catch_coverage_fraction</x:v>
      </x:c>
      <x:c r="C7" s="46" t="n">
        <x:v>1</x:v>
      </x:c>
      <x:c r="D7" s="46" t="str">
        <x:v>fraction</x:v>
      </x:c>
    </x:row>
    <x:row r="8" ht="18" customHeight="1">
      <x:c r="A8" s="46" t="str">
        <x:v>LME_008</x:v>
      </x:c>
      <x:c r="B8" s="46" t="str">
        <x:v>taxa_count</x:v>
      </x:c>
      <x:c r="C8" s="46" t="n">
        <x:v>92</x:v>
      </x:c>
      <x:c r="D8" s="46" t="str">
        <x:v>count</x:v>
      </x:c>
    </x:row>
    <x:row r="9" ht="18" customHeight="1">
      <x:c r="A9" s="46" t="str">
        <x:v>LME_008</x:v>
      </x:c>
      <x:c r="B9" s="46" t="str">
        <x:v>matched_taxa_count</x:v>
      </x:c>
      <x:c r="C9" s="46" t="n">
        <x:v>92</x:v>
      </x:c>
      <x:c r="D9" s="46" t="str">
        <x:v>count</x:v>
      </x:c>
    </x:row>
    <x:row r="10" ht="18" customHeight="1">
      <x:c r="A10" s="46" t="str">
        <x:v>LME_008</x:v>
      </x:c>
      <x:c r="B10" s="46" t="str">
        <x:v>unmatched_taxa_count</x:v>
      </x:c>
      <x:c r="C10" s="46" t="n">
        <x:v>0</x:v>
      </x:c>
      <x:c r="D10" s="46" t="str">
        <x:v>count</x:v>
      </x:c>
    </x:row>
    <x:row r="11" ht="18" customHeight="1">
      <x:c r="A11" s="46" t="str">
        <x:v>LME_008</x:v>
      </x:c>
      <x:c r="B11" s="46" t="str">
        <x:v>species_ppr</x:v>
      </x:c>
      <x:c r="C11" s="46" t="n">
        <x:v>612771981.5686632</x:v>
      </x:c>
      <x:c r="D11" s="46" t="str">
        <x:v>tonnes_primary_production_equivalent</x:v>
      </x:c>
    </x:row>
    <x:row r="12" ht="18" customHeight="1">
      <x:c r="A12" s="46" t="str">
        <x:v>LME_008</x:v>
      </x:c>
      <x:c r="B12" s="46" t="str">
        <x:v>commercial_ppr</x:v>
      </x:c>
      <x:c r="C12" s="46" t="n">
        <x:v>612771981.5686632</x:v>
      </x:c>
      <x:c r="D12" s="46" t="str">
        <x:v>tonnes_primary_production_equivalent</x:v>
      </x:c>
    </x:row>
    <x:row r="13" ht="18" customHeight="1">
      <x:c r="A13" s="46" t="str">
        <x:v>LME_008</x:v>
      </x:c>
      <x:c r="B13" s="46" t="str">
        <x:v>functional_ppr</x:v>
      </x:c>
      <x:c r="C13" s="46" t="n">
        <x:v>612771981.568663</x:v>
      </x:c>
      <x:c r="D13" s="46" t="str">
        <x:v>tonnes_primary_production_equivalent</x:v>
      </x:c>
    </x:row>
    <x:row r="14" ht="18" customHeight="1">
      <x:c r="A14" s="46" t="str">
        <x:v>LME_008</x:v>
      </x:c>
      <x:c r="B14" s="46" t="str">
        <x:v>commercial_ppr_difference</x:v>
      </x:c>
      <x:c r="C14" s="46" t="n">
        <x:v>0</x:v>
      </x:c>
      <x:c r="D14" s="46" t="str">
        <x:v>tonnes_primary_production_equivalent</x:v>
      </x:c>
    </x:row>
    <x:row r="15" ht="18" customHeight="1">
      <x:c r="A15" s="46" t="str">
        <x:v>LME_008</x:v>
      </x:c>
      <x:c r="B15" s="46" t="str">
        <x:v>functional_ppr_difference</x:v>
      </x:c>
      <x:c r="C15" s="46" t="n">
        <x:v>-2.384185791015625e-7</x:v>
      </x:c>
      <x:c r="D15" s="46" t="str">
        <x:v>tonnes_primary_production_equivalent</x:v>
      </x:c>
    </x:row>
    <x:row r="16" ht="18" customHeight="1">
      <x:c r="A16" s="46" t="str">
        <x:v>LME_008</x:v>
      </x:c>
      <x:c r="B16" s="46" t="str">
        <x:v>commercial_ppr_reconciled</x:v>
      </x:c>
      <x:c r="C16" s="46" t="str">
        <x:v>True</x:v>
      </x:c>
      <x:c r="D16" s="46" t="str">
        <x:v>boolean</x:v>
      </x:c>
    </x:row>
    <x:row r="17" ht="18" customHeight="1">
      <x:c r="A17" s="46" t="str">
        <x:v>LME_008</x:v>
      </x:c>
      <x:c r="B17" s="46" t="str">
        <x:v>functional_ppr_reconciled</x:v>
      </x:c>
      <x:c r="C17" s="46" t="str">
        <x:v>True</x:v>
      </x:c>
      <x:c r="D17" s="46" t="str">
        <x:v>boolean</x:v>
      </x:c>
    </x:row>
    <x:row r="18" ht="18" customHeight="1">
      <x:c r="A18" s="46" t="str">
        <x:v>LME_008</x:v>
      </x:c>
      <x:c r="B18" s="46" t="str">
        <x:v>commercial_jensen_violations</x:v>
      </x:c>
      <x:c r="C18" s="46" t="n">
        <x:v>0</x:v>
      </x:c>
      <x:c r="D18" s="46" t="str">
        <x:v>count</x:v>
      </x:c>
    </x:row>
    <x:row r="19" ht="18" customHeight="1">
      <x:c r="A19" s="46" t="str">
        <x:v>LME_008</x:v>
      </x:c>
      <x:c r="B19" s="46" t="str">
        <x:v>functional_jensen_violations</x:v>
      </x:c>
      <x:c r="C19" s="46" t="n">
        <x:v>0</x:v>
      </x:c>
      <x:c r="D19" s="46" t="str">
        <x:v>count</x:v>
      </x:c>
    </x:row>
  </x:sheetData>
  <x:pageMargins left="0.7" right="0.7" top="0.75" bottom="0.75" header="0.3" footer="0.3"/>
  <x:tableParts count="1">
    <x:tablePart xmlns:r="http://schemas.openxmlformats.org/officeDocument/2006/relationships" r:id="R44fa5799905940ea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1" hidden="0" customWidth="1"/>
    <x:col min="2" max="2" width="28" hidden="0" customWidth="1"/>
    <x:col min="3" max="3" width="68" hidden="0" customWidth="1"/>
  </x:cols>
  <x:sheetData>
    <x:row r="1" ht="30" customHeight="1">
      <x:c r="A1" s="4" t="str">
        <x:v>LME_008 - Scotian Shelf</x:v>
      </x:c>
      <x:c r="B1" s="4"/>
      <x:c r="C1" s="4"/>
    </x:row>
    <x:row r="3">
      <x:c r="A3" s="12" t="str">
        <x:v>Field</x:v>
      </x:c>
      <x:c r="B3" s="13" t="str">
        <x:v>Value</x:v>
      </x:c>
      <x:c r="C3" s="14" t="str">
        <x:v>Notes / source</x:v>
      </x:c>
    </x:row>
    <x:row r="4">
      <x:c r="A4" s="42" t="str">
        <x:v>Unit ID</x:v>
      </x:c>
      <x:c r="B4" s="31" t="str">
        <x:v>LME_008</x:v>
      </x:c>
      <x:c r="C4" s="32" t="str">
        <x:v>Sea Around Us region identifier</x:v>
      </x:c>
    </x:row>
    <x:row r="5">
      <x:c r="A5" s="42" t="str">
        <x:v>Transfer efficiency</x:v>
      </x:c>
      <x:c r="B5" s="68" t="n">
        <x:v>0.05</x:v>
      </x:c>
      <x:c r="C5" s="32" t="str">
        <x:v>Used by every SPPR formula</x:v>
      </x:c>
    </x:row>
    <x:row r="6">
      <x:c r="A6" s="42" t="str">
        <x:v>Year</x:v>
      </x:c>
      <x:c r="B6" s="31" t="n">
        <x:v>2019</x:v>
      </x:c>
      <x:c r="C6" s="32" t="str">
        <x:v>Latest year common to all 84 datasets</x:v>
      </x:c>
    </x:row>
    <x:row r="7">
      <x:c r="A7" s="42" t="str">
        <x:v>Region type</x:v>
      </x:c>
      <x:c r="B7" s="31" t="str">
        <x:v>LME</x:v>
      </x:c>
      <x:c r="C7" s="32" t="str">
        <x:v>Sea Around Us spatial classification</x:v>
      </x:c>
    </x:row>
    <x:row r="8">
      <x:c r="A8" s="42" t="str">
        <x:v>Catch scope</x:v>
      </x:c>
      <x:c r="B8" s="31" t="str">
        <x:v>Landings + Discards</x:v>
      </x:c>
      <x:c r="C8" s="32" t="str">
        <x:v>Reported + unreported; all sectors, gears, entities, and end uses</x:v>
      </x:c>
    </x:row>
    <x:row r="9">
      <x:c r="A9" s="42" t="str">
        <x:v>SPPR formula</x:v>
      </x:c>
      <x:c r="B9" s="31" t="str">
        <x:v>(1 / TE)^(TL - 1)</x:v>
      </x:c>
      <x:c r="C9" s="32" t="str">
        <x:v>TE is the Metadata!B5 value</x:v>
      </x:c>
    </x:row>
    <x:row r="10">
      <x:c r="A10" s="42" t="str">
        <x:v>PPR formula</x:v>
      </x:c>
      <x:c r="B10" s="31" t="str">
        <x:v>Catch tonnes × SPPR</x:v>
      </x:c>
      <x:c r="C10" s="32" t="str">
        <x:v>Unit: tonnes primary-production equivalent</x:v>
      </x:c>
    </x:row>
    <x:row r="11">
      <x:c r="A11" s="42" t="str">
        <x:v>Wet-weight/carbon divisor</x:v>
      </x:c>
      <x:c r="B11" s="31" t="str">
        <x:v>Not applied</x:v>
      </x:c>
      <x:c r="C11" s="32" t="str">
        <x:v>The paper's /9 conversion is intentionally omitted</x:v>
      </x:c>
    </x:row>
    <x:row r="12">
      <x:c r="A12" s="42" t="str">
        <x:v>Primary TL source</x:v>
      </x:c>
      <x:c r="B12" s="31" t="str">
        <x:v>2020 supplement MeanTL</x:v>
      </x:c>
      <x:c r="C12" s="32" t="str">
        <x:v>No SPPR regression from the supplement is used</x:v>
      </x:c>
    </x:row>
    <x:row r="13">
      <x:c r="A13" s="42" t="str">
        <x:v>Secondary TL source</x:v>
      </x:c>
      <x:c r="B13" s="31" t="str">
        <x:v>Sea Around Us exploited organisms</x:v>
      </x:c>
      <x:c r="C13" s="32" t="str">
        <x:v>Exact taxon matches, followed by documented fallbacks</x:v>
      </x:c>
    </x:row>
    <x:row r="14">
      <x:c r="A14" s="42" t="str">
        <x:v>Catch data URL</x:v>
      </x:c>
      <x:c r="B14" s="31" t="str">
        <x:v>https://www.seaaroundus.org/data/</x:v>
      </x:c>
      <x:c r="C14" s="32" t="str">
        <x:v>Frozen archive: raw_data/SAU_downloads/LME_008-catch.zip</x:v>
      </x:c>
    </x:row>
    <x:row r="15">
      <x:c r="A15" s="43" t="str">
        <x:v>Method source</x:v>
      </x:c>
      <x:c r="B15" s="34" t="str">
        <x:v>Pauly &amp; Christensen (1995)</x:v>
      </x:c>
      <x:c r="C15" s="35" t="str">
        <x:v>Nature 374:255-257</x:v>
      </x:c>
    </x:row>
  </x:sheetData>
  <x:mergeCells>
    <x:mergeCell ref="A1:C1"/>
  </x:mergeCells>
  <x:pageMargins left="0.7" right="0.7" top="0.75" bottom="0.75" header="0.3" footer="0.3"/>
</x:worksheet>
</file>