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df21bb0f5147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a45c3f78045b47f1"/>
    <x:sheet xmlns:r="http://schemas.openxmlformats.org/officeDocument/2006/relationships" name="Commercial" sheetId="2" r:id="R8eb3a574e65344e7"/>
    <x:sheet xmlns:r="http://schemas.openxmlformats.org/officeDocument/2006/relationships" name="Functional" sheetId="3" r:id="R11b369512c7a44d3"/>
    <x:sheet xmlns:r="http://schemas.openxmlformats.org/officeDocument/2006/relationships" name="Missing TL" sheetId="4" r:id="R46f4c224fa8c47a7"/>
    <x:sheet xmlns:r="http://schemas.openxmlformats.org/officeDocument/2006/relationships" name="Validation" sheetId="5" r:id="R75b308948f054fff"/>
    <x:sheet xmlns:r="http://schemas.openxmlformats.org/officeDocument/2006/relationships" name="Metadata" sheetId="6" r:id="R76e538fad98142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9b539054954f78" /><Relationship Type="http://schemas.openxmlformats.org/officeDocument/2006/relationships/theme" Target="/xl/theme/theme1.xml" Id="R5a09571a2e194c0e" /><Relationship Type="http://schemas.openxmlformats.org/officeDocument/2006/relationships/sharedStrings" Target="/xl/sharedStrings.xml" Id="Rda81f1668b16497b" /><Relationship Type="http://schemas.openxmlformats.org/officeDocument/2006/relationships/worksheet" Target="/xl/worksheets/sheet1.xml" Id="Ra45c3f78045b47f1" /><Relationship Type="http://schemas.openxmlformats.org/officeDocument/2006/relationships/worksheet" Target="/xl/worksheets/sheet2.xml" Id="R8eb3a574e65344e7" /><Relationship Type="http://schemas.openxmlformats.org/officeDocument/2006/relationships/worksheet" Target="/xl/worksheets/sheet3.xml" Id="R11b369512c7a44d3" /><Relationship Type="http://schemas.openxmlformats.org/officeDocument/2006/relationships/worksheet" Target="/xl/worksheets/sheet4.xml" Id="R46f4c224fa8c47a7" /><Relationship Type="http://schemas.openxmlformats.org/officeDocument/2006/relationships/worksheet" Target="/xl/worksheets/sheet5.xml" Id="R75b308948f054fff" /><Relationship Type="http://schemas.openxmlformats.org/officeDocument/2006/relationships/worksheet" Target="/xl/worksheets/sheet6.xml" Id="R76e538fad9814250" /></Relationships>
</file>

<file path=xl/tables/table1.xml><?xml version="1.0" encoding="utf-8"?>
<x:table xmlns:x="http://schemas.openxmlformats.org/spreadsheetml/2006/main" id="1" name="LME043SpeciesTable" displayName="LME043SpeciesTable" ref="A1:U246" headerRowCount="1" totalsRowCount="0" totalsRowShown="0">
  <x:autoFilter ref="A1:U24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43CommercialTable" displayName="LME043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43FunctionalTable" displayName="LME043FunctionalTable" ref="A1:O25" headerRowCount="1" totalsRowCount="0" totalsRowShown="0">
  <x:autoFilter ref="A1:O2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43ValidationTable" displayName="LME043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77b2d08f474ac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3e658dbe16944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6f84db031cc4e8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0c8f477d8274e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LME_043</x:v>
      </x:c>
      <x:c r="B2" s="46" t="str">
        <x:v>Southwest Australian Shelf</x:v>
      </x:c>
      <x:c r="C2" s="46" t="str">
        <x:v>LME</x:v>
      </x:c>
      <x:c r="D2" s="58" t="n">
        <x:v>2019</x:v>
      </x:c>
      <x:c r="E2" s="46" t="str">
        <x:v>Thunnus maccoyii</x:v>
      </x:c>
      <x:c r="F2" s="46" t="str">
        <x:v>Southern bluefin tuna</x:v>
      </x:c>
      <x:c r="G2" s="46" t="str">
        <x:v>Large pelagics (&gt;=90 cm)</x:v>
      </x:c>
      <x:c r="H2" s="46" t="str">
        <x:v>Tuna &amp; billfishes</x:v>
      </x:c>
      <x:c r="I2" s="60" t="n">
        <x:v>5625.6375845324</x:v>
      </x:c>
      <x:c r="J2" s="60" t="n">
        <x:v>5625.6375845324</x:v>
      </x:c>
      <x:c r="K2" s="60" t="n">
        <x:v>0</x:v>
      </x:c>
      <x:c r="L2" s="60" t="n">
        <x:v>5606.959775994</x:v>
      </x:c>
      <x:c r="M2" s="60" t="n">
        <x:v>18.6778085384</x:v>
      </x:c>
      <x:c r="N2" s="46" t="str">
        <x:v>thunnus maccoyii</x:v>
      </x:c>
      <x:c r="O2" s="62" t="n">
        <x:v>3.93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Thunnus maccoyii</x:v>
      </x:c>
      <x:c r="T2" s="62" t="n">
        <x:f>IF(O2="","",(1/'Metadata'!$B$5)^(O2-1))</x:f>
        <x:v>6486.611494177253</x:v>
      </x:c>
      <x:c r="U2" s="60" t="n">
        <x:f>IF(T2="","",I2*T2)</x:f>
        <x:v>36491325.41790342</x:v>
      </x:c>
    </x:row>
    <x:row r="3" ht="18" customHeight="1">
      <x:c r="A3" s="46" t="str">
        <x:v>LME_043</x:v>
      </x:c>
      <x:c r="B3" s="46" t="str">
        <x:v>Southwest Australian Shelf</x:v>
      </x:c>
      <x:c r="C3" s="46" t="str">
        <x:v>LME</x:v>
      </x:c>
      <x:c r="D3" s="58" t="n">
        <x:v>2019</x:v>
      </x:c>
      <x:c r="E3" s="46" t="str">
        <x:v>Sardinops sagax</x:v>
      </x:c>
      <x:c r="F3" s="46" t="str">
        <x:v>South American pilchard</x:v>
      </x:c>
      <x:c r="G3" s="46" t="str">
        <x:v>Medium pelagics (30 - 89 cm)</x:v>
      </x:c>
      <x:c r="H3" s="46" t="str">
        <x:v>Herring-likes</x:v>
      </x:c>
      <x:c r="I3" s="60" t="n">
        <x:v>4276.1780255966</x:v>
      </x:c>
      <x:c r="J3" s="60" t="n">
        <x:v>4276.1780255966</x:v>
      </x:c>
      <x:c r="K3" s="60" t="n">
        <x:v>0</x:v>
      </x:c>
      <x:c r="L3" s="60" t="n">
        <x:v>3769.2055002791</x:v>
      </x:c>
      <x:c r="M3" s="60" t="n">
        <x:v>506.9725253175</x:v>
      </x:c>
      <x:c r="N3" s="46" t="str">
        <x:v>sardinops sagax</x:v>
      </x:c>
      <x:c r="O3" s="62" t="n">
        <x:v>2.84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Sardinops sagax</x:v>
      </x:c>
      <x:c r="T3" s="62" t="n">
        <x:f>IF(O3="","",(1/'Metadata'!$B$5)^(O3-1))</x:f>
        <x:v>247.68242552675557</x:v>
      </x:c>
      <x:c r="U3" s="60" t="n">
        <x:f>IF(T3="","",I3*T3)</x:f>
        <x:v>1059134.1453639783</x:v>
      </x:c>
    </x:row>
    <x:row r="4" ht="18" customHeight="1">
      <x:c r="A4" s="46" t="str">
        <x:v>LME_043</x:v>
      </x:c>
      <x:c r="B4" s="46" t="str">
        <x:v>Southwest Australian Shelf</x:v>
      </x:c>
      <x:c r="C4" s="46" t="str">
        <x:v>LME</x:v>
      </x:c>
      <x:c r="D4" s="58" t="n">
        <x:v>2019</x:v>
      </x:c>
      <x:c r="E4" s="46" t="str">
        <x:v>Trachurus declivis</x:v>
      </x:c>
      <x:c r="F4" s="46" t="str">
        <x:v>Greenback horse mackerel</x:v>
      </x:c>
      <x:c r="G4" s="46" t="str">
        <x:v>Medium benthopelagics (30 - 89 cm)</x:v>
      </x:c>
      <x:c r="H4" s="46" t="str">
        <x:v>Perch-likes</x:v>
      </x:c>
      <x:c r="I4" s="60" t="n">
        <x:v>3877.3785736038003</x:v>
      </x:c>
      <x:c r="J4" s="60" t="n">
        <x:v>3782.3211252719</x:v>
      </x:c>
      <x:c r="K4" s="60" t="n">
        <x:v>95.0574483319</x:v>
      </x:c>
      <x:c r="L4" s="60" t="n">
        <x:v>3782.3210121827</x:v>
      </x:c>
      <x:c r="M4" s="60" t="n">
        <x:v>95.0575614211</x:v>
      </x:c>
      <x:c r="N4" s="46" t="str">
        <x:v>trachurus declivis</x:v>
      </x:c>
      <x:c r="O4" s="62" t="n">
        <x:v>3.93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Trachurus declivis</x:v>
      </x:c>
      <x:c r="T4" s="62" t="n">
        <x:f>IF(O4="","",(1/'Metadata'!$B$5)^(O4-1))</x:f>
        <x:v>6486.611494177253</x:v>
      </x:c>
      <x:c r="U4" s="60" t="n">
        <x:f>IF(T4="","",I4*T4)</x:f>
        <x:v>25151048.422815014</x:v>
      </x:c>
    </x:row>
    <x:row r="5" ht="18" customHeight="1">
      <x:c r="A5" s="46" t="str">
        <x:v>LME_043</x:v>
      </x:c>
      <x:c r="B5" s="46" t="str">
        <x:v>Southwest Australian Shelf</x:v>
      </x:c>
      <x:c r="C5" s="46" t="str">
        <x:v>LME</x:v>
      </x:c>
      <x:c r="D5" s="58" t="n">
        <x:v>2019</x:v>
      </x:c>
      <x:c r="E5" s="46" t="str">
        <x:v>Marine fishes not identified</x:v>
      </x:c>
      <x:c r="F5" s="46" t="str">
        <x:v>Marine fishes nei</x:v>
      </x:c>
      <x:c r="G5" s="46" t="str">
        <x:v>Medium demersals (30 - 89 cm)</x:v>
      </x:c>
      <x:c r="H5" s="46" t="str">
        <x:v>Other fishes &amp; inverts</x:v>
      </x:c>
      <x:c r="I5" s="60" t="n">
        <x:v>2469.695296188</x:v>
      </x:c>
      <x:c r="J5" s="60" t="n">
        <x:v>2239.2439926613997</x:v>
      </x:c>
      <x:c r="K5" s="60" t="n">
        <x:v>230.45130352660001</x:v>
      </x:c>
      <x:c r="L5" s="60" t="n">
        <x:v>1885.8514397315</x:v>
      </x:c>
      <x:c r="M5" s="60" t="n">
        <x:v>583.8438564565</x:v>
      </x:c>
      <x:c r="N5" s="46" t="str">
        <x:v>marine fishes not identified</x:v>
      </x:c>
      <x:c r="O5" s="62" t="n">
        <x:v>3.28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Marine fishes not identified</x:v>
      </x:c>
      <x:c r="T5" s="62" t="n">
        <x:f>IF(O5="","",(1/'Metadata'!$B$5)^(O5-1))</x:f>
        <x:v>925.4402624666747</x:v>
      </x:c>
      <x:c r="U5" s="60" t="n">
        <x:f>IF(T5="","",I5*T5)</x:f>
        <x:v>2285555.4631169345</x:v>
      </x:c>
    </x:row>
    <x:row r="6" ht="18" customHeight="1">
      <x:c r="A6" s="46" t="str">
        <x:v>LME_043</x:v>
      </x:c>
      <x:c r="B6" s="46" t="str">
        <x:v>Southwest Australian Shelf</x:v>
      </x:c>
      <x:c r="C6" s="46" t="str">
        <x:v>LME</x:v>
      </x:c>
      <x:c r="D6" s="58" t="n">
        <x:v>2019</x:v>
      </x:c>
      <x:c r="E6" s="46" t="str">
        <x:v>Jasus edwardsii</x:v>
      </x:c>
      <x:c r="F6" s="46" t="str">
        <x:v>Red rock lobster</x:v>
      </x:c>
      <x:c r="G6" s="46" t="str">
        <x:v>Lobsters, crabs</x:v>
      </x:c>
      <x:c r="H6" s="46" t="str">
        <x:v>Crustaceans</x:v>
      </x:c>
      <x:c r="I6" s="60" t="n">
        <x:v>1041.6884983875</x:v>
      </x:c>
      <x:c r="J6" s="60" t="n">
        <x:v>1041.6884983875</x:v>
      </x:c>
      <x:c r="K6" s="60" t="n">
        <x:v>0</x:v>
      </x:c>
      <x:c r="L6" s="60" t="n">
        <x:v>1021.5673544537999</x:v>
      </x:c>
      <x:c r="M6" s="60" t="n">
        <x:v>20.1211439337</x:v>
      </x:c>
      <x:c r="N6" s="46" t="str">
        <x:v>jasus edwardsii</x:v>
      </x:c>
      <x:c r="O6" s="62" t="n">
        <x:v>2.6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Jasus edwardsii</x:v>
      </x:c>
      <x:c r="T6" s="62" t="n">
        <x:f>IF(O6="","",(1/'Metadata'!$B$5)^(O6-1))</x:f>
        <x:v>120.6835267309033</x:v>
      </x:c>
      <x:c r="U6" s="60" t="n">
        <x:f>IF(T6="","",I6*T6)</x:f>
        <x:v>125714.64174042236</x:v>
      </x:c>
    </x:row>
    <x:row r="7" ht="18" customHeight="1">
      <x:c r="A7" s="46" t="str">
        <x:v>LME_043</x:v>
      </x:c>
      <x:c r="B7" s="46" t="str">
        <x:v>Southwest Australian Shelf</x:v>
      </x:c>
      <x:c r="C7" s="46" t="str">
        <x:v>LME</x:v>
      </x:c>
      <x:c r="D7" s="58" t="n">
        <x:v>2019</x:v>
      </x:c>
      <x:c r="E7" s="46" t="str">
        <x:v>Perciformes</x:v>
      </x:c>
      <x:c r="F7" s="46" t="str">
        <x:v>Perch-likes</x:v>
      </x:c>
      <x:c r="G7" s="46" t="str">
        <x:v>Medium demersals (30 - 89 cm)</x:v>
      </x:c>
      <x:c r="H7" s="46" t="str">
        <x:v>Perch-likes</x:v>
      </x:c>
      <x:c r="I7" s="60" t="n">
        <x:v>814.609563588</x:v>
      </x:c>
      <x:c r="J7" s="60" t="n">
        <x:v>796.3940594498999</x:v>
      </x:c>
      <x:c r="K7" s="60" t="n">
        <x:v>18.2155041381</x:v>
      </x:c>
      <x:c r="L7" s="60" t="n">
        <x:v>480.19347270229997</x:v>
      </x:c>
      <x:c r="M7" s="60" t="n">
        <x:v>334.41609088570004</x:v>
      </x:c>
      <x:c r="N7" s="46" t="str">
        <x:v>perciformes</x:v>
      </x:c>
      <x:c r="O7" s="62" t="n">
        <x:v>3.53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Perciformes</x:v>
      </x:c>
      <x:c r="T7" s="62" t="n">
        <x:f>IF(O7="","",(1/'Metadata'!$B$5)^(O7-1))</x:f>
        <x:v>1957.0678791263101</x:v>
      </x:c>
      <x:c r="U7" s="60" t="n">
        <x:f>IF(T7="","",I7*T7)</x:f>
        <x:v>1594246.2109271763</x:v>
      </x:c>
    </x:row>
    <x:row r="8" ht="18" customHeight="1">
      <x:c r="A8" s="46" t="str">
        <x:v>LME_043</x:v>
      </x:c>
      <x:c r="B8" s="46" t="str">
        <x:v>Southwest Australian Shelf</x:v>
      </x:c>
      <x:c r="C8" s="46" t="str">
        <x:v>LME</x:v>
      </x:c>
      <x:c r="D8" s="58" t="n">
        <x:v>2019</x:v>
      </x:c>
      <x:c r="E8" s="46" t="str">
        <x:v>Elasmobranchii</x:v>
      </x:c>
      <x:c r="F8" s="46" t="str">
        <x:v>Sharks, rays, skates</x:v>
      </x:c>
      <x:c r="G8" s="46" t="str">
        <x:v>Large sharks (&gt;=90 cm)</x:v>
      </x:c>
      <x:c r="H8" s="46" t="str">
        <x:v>Sharks &amp; rays</x:v>
      </x:c>
      <x:c r="I8" s="60" t="n">
        <x:v>799.7123969643</x:v>
      </x:c>
      <x:c r="J8" s="60" t="n">
        <x:v>799.4455957634</x:v>
      </x:c>
      <x:c r="K8" s="60" t="n">
        <x:v>0.2668012009</x:v>
      </x:c>
      <x:c r="L8" s="60" t="n">
        <x:v>55.5796917992</x:v>
      </x:c>
      <x:c r="M8" s="60" t="n">
        <x:v>744.1327051651</x:v>
      </x:c>
      <x:c r="N8" s="46" t="str">
        <x:v>elasmobranchii</x:v>
      </x:c>
      <x:c r="O8" s="62" t="n">
        <x:v>4.05</x:v>
      </x:c>
      <x:c r="P8" s="46" t="str">
        <x:v>exact_sea_around_us</x:v>
      </x:c>
      <x:c r="Q8" s="62" t="str">
        <x:v>Sea Around Us exploited organisms</x:v>
      </x:c>
      <x:c r="R8" s="46" t="str">
        <x:v>high</x:v>
      </x:c>
      <x:c r="S8" s="46" t="str">
        <x:v>Elasmobranchii</x:v>
      </x:c>
      <x:c r="T8" s="62" t="n">
        <x:f>IF(O8="","",(1/'Metadata'!$B$5)^(O8-1))</x:f>
        <x:v>9292.690797132333</x:v>
      </x:c>
      <x:c r="U8" s="60" t="n">
        <x:f>IF(T8="","",I8*T8)</x:f>
        <x:v>7431480.031622789</x:v>
      </x:c>
    </x:row>
    <x:row r="9" ht="18" customHeight="1">
      <x:c r="A9" s="46" t="str">
        <x:v>LME_043</x:v>
      </x:c>
      <x:c r="B9" s="46" t="str">
        <x:v>Southwest Australian Shelf</x:v>
      </x:c>
      <x:c r="C9" s="46" t="str">
        <x:v>LME</x:v>
      </x:c>
      <x:c r="D9" s="58" t="n">
        <x:v>2019</x:v>
      </x:c>
      <x:c r="E9" s="46" t="str">
        <x:v>Scomber australasicus</x:v>
      </x:c>
      <x:c r="F9" s="46" t="str">
        <x:v>Blue mackerel</x:v>
      </x:c>
      <x:c r="G9" s="46" t="str">
        <x:v>Medium pelagics (30 - 89 cm)</x:v>
      </x:c>
      <x:c r="H9" s="46" t="str">
        <x:v>Perch-likes</x:v>
      </x:c>
      <x:c r="I9" s="60" t="n">
        <x:v>767.0026360558</x:v>
      </x:c>
      <x:c r="J9" s="60" t="n">
        <x:v>767.0026360558</x:v>
      </x:c>
      <x:c r="K9" s="60" t="n">
        <x:v>0</x:v>
      </x:c>
      <x:c r="L9" s="60" t="n">
        <x:v>757.79754025</x:v>
      </x:c>
      <x:c r="M9" s="60" t="n">
        <x:v>9.205095805800001</x:v>
      </x:c>
      <x:c r="N9" s="46" t="str">
        <x:v>scomber australasicus</x:v>
      </x:c>
      <x:c r="O9" s="62" t="n">
        <x:v>4.23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Scomber australasicus</x:v>
      </x:c>
      <x:c r="T9" s="62" t="n">
        <x:f>IF(O9="","",(1/'Metadata'!$B$5)^(O9-1))</x:f>
        <x:v>15934.076063346663</x:v>
      </x:c>
      <x:c r="U9" s="60" t="n">
        <x:f>IF(T9="","",I9*T9)</x:f>
        <x:v>12221478.343700517</x:v>
      </x:c>
    </x:row>
    <x:row r="10" ht="18" customHeight="1">
      <x:c r="A10" s="46" t="str">
        <x:v>LME_043</x:v>
      </x:c>
      <x:c r="B10" s="46" t="str">
        <x:v>Southwest Australian Shelf</x:v>
      </x:c>
      <x:c r="C10" s="46" t="str">
        <x:v>LME</x:v>
      </x:c>
      <x:c r="D10" s="58" t="n">
        <x:v>2019</x:v>
      </x:c>
      <x:c r="E10" s="46" t="str">
        <x:v>Macruronus novaezelandiae</x:v>
      </x:c>
      <x:c r="F10" s="46" t="str">
        <x:v>Blue grenadier</x:v>
      </x:c>
      <x:c r="G10" s="46" t="str">
        <x:v>Large demersals (&gt;=90 cm)</x:v>
      </x:c>
      <x:c r="H10" s="46" t="str">
        <x:v>Cod-likes</x:v>
      </x:c>
      <x:c r="I10" s="60" t="n">
        <x:v>698.9817712918</x:v>
      </x:c>
      <x:c r="J10" s="60" t="n">
        <x:v>621.5359525402</x:v>
      </x:c>
      <x:c r="K10" s="60" t="n">
        <x:v>77.4458187516</x:v>
      </x:c>
      <x:c r="L10" s="60" t="n">
        <x:v>621.5359525402</x:v>
      </x:c>
      <x:c r="M10" s="60" t="n">
        <x:v>77.4458187516</x:v>
      </x:c>
      <x:c r="N10" s="46" t="str">
        <x:v>macruronus novaezelandiae</x:v>
      </x:c>
      <x:c r="O10" s="62" t="n">
        <x:v>4.53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Macruronus novaezelandiae</x:v>
      </x:c>
      <x:c r="T10" s="62" t="n">
        <x:f>IF(O10="","",(1/'Metadata'!$B$5)^(O10-1))</x:f>
        <x:v>39141.35758252625</x:v>
      </x:c>
      <x:c r="U10" s="60" t="n">
        <x:f>IF(T10="","",I10*T10)</x:f>
        <x:v>27359095.453799926</x:v>
      </x:c>
    </x:row>
    <x:row r="11" ht="18" customHeight="1">
      <x:c r="A11" s="46" t="str">
        <x:v>LME_043</x:v>
      </x:c>
      <x:c r="B11" s="46" t="str">
        <x:v>Southwest Australian Shelf</x:v>
      </x:c>
      <x:c r="C11" s="46" t="str">
        <x:v>LME</x:v>
      </x:c>
      <x:c r="D11" s="58" t="n">
        <x:v>2019</x:v>
      </x:c>
      <x:c r="E11" s="46" t="str">
        <x:v>Arripis georgiana</x:v>
      </x:c>
      <x:c r="F11" s="46" t="str">
        <x:v>Ruff</x:v>
      </x:c>
      <x:c r="G11" s="46" t="str">
        <x:v>Medium pelagics (30 - 89 cm)</x:v>
      </x:c>
      <x:c r="H11" s="46" t="str">
        <x:v>Perch-likes</x:v>
      </x:c>
      <x:c r="I11" s="60" t="n">
        <x:v>563.8746632523</x:v>
      </x:c>
      <x:c r="J11" s="60" t="n">
        <x:v>563.8746632523</x:v>
      </x:c>
      <x:c r="K11" s="60" t="n">
        <x:v>0</x:v>
      </x:c>
      <x:c r="L11" s="60" t="n">
        <x:v>340.35279193030004</x:v>
      </x:c>
      <x:c r="M11" s="60" t="n">
        <x:v>223.521871322</x:v>
      </x:c>
      <x:c r="N11" s="46" t="str">
        <x:v>arripis georgiana</x:v>
      </x:c>
      <x:c r="O11" s="62" t="n">
        <x:v>4.31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Arripis georgiana</x:v>
      </x:c>
      <x:c r="T11" s="62" t="n">
        <x:f>IF(O11="","",(1/'Metadata'!$B$5)^(O11-1))</x:f>
        <x:v>20249.266010115305</x:v>
      </x:c>
      <x:c r="U11" s="60" t="n">
        <x:f>IF(T11="","",I11*T11)</x:f>
        <x:v>11418048.052560013</x:v>
      </x:c>
    </x:row>
    <x:row r="12" ht="18" customHeight="1">
      <x:c r="A12" s="46" t="str">
        <x:v>LME_043</x:v>
      </x:c>
      <x:c r="B12" s="46" t="str">
        <x:v>Southwest Australian Shelf</x:v>
      </x:c>
      <x:c r="C12" s="46" t="str">
        <x:v>LME</x:v>
      </x:c>
      <x:c r="D12" s="58" t="n">
        <x:v>2019</x:v>
      </x:c>
      <x:c r="E12" s="46" t="str">
        <x:v>Arripis trutta</x:v>
      </x:c>
      <x:c r="F12" s="46" t="str">
        <x:v>Australian salmon</x:v>
      </x:c>
      <x:c r="G12" s="46" t="str">
        <x:v>Medium pelagics (30 - 89 cm)</x:v>
      </x:c>
      <x:c r="H12" s="46" t="str">
        <x:v>Perch-likes</x:v>
      </x:c>
      <x:c r="I12" s="60" t="n">
        <x:v>542.5626022297</x:v>
      </x:c>
      <x:c r="J12" s="60" t="n">
        <x:v>542.5626022297</x:v>
      </x:c>
      <x:c r="K12" s="60" t="n">
        <x:v>0</x:v>
      </x:c>
      <x:c r="L12" s="60" t="n">
        <x:v>310.6367263258</x:v>
      </x:c>
      <x:c r="M12" s="60" t="n">
        <x:v>231.92587590390002</x:v>
      </x:c>
      <x:c r="N12" s="46" t="str">
        <x:v>arripis trutta</x:v>
      </x:c>
      <x:c r="O12" s="62" t="n">
        <x:v>4.07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Arripis trutta</x:v>
      </x:c>
      <x:c r="T12" s="62" t="n">
        <x:f>IF(O12="","",(1/'Metadata'!$B$5)^(O12-1))</x:f>
        <x:v>9866.476519743796</x:v>
      </x:c>
      <x:c r="U12" s="60" t="n">
        <x:f>IF(T12="","",I12*T12)</x:f>
        <x:v>5353181.175390428</x:v>
      </x:c>
    </x:row>
    <x:row r="13" ht="18" customHeight="1">
      <x:c r="A13" s="46" t="str">
        <x:v>LME_043</x:v>
      </x:c>
      <x:c r="B13" s="46" t="str">
        <x:v>Southwest Australian Shelf</x:v>
      </x:c>
      <x:c r="C13" s="46" t="str">
        <x:v>LME</x:v>
      </x:c>
      <x:c r="D13" s="58" t="n">
        <x:v>2019</x:v>
      </x:c>
      <x:c r="E13" s="46" t="str">
        <x:v>Sparidae</x:v>
      </x:c>
      <x:c r="F13" s="46" t="str">
        <x:v>Porgies, seabreams</x:v>
      </x:c>
      <x:c r="G13" s="46" t="str">
        <x:v>Medium benthopelagics (30 - 89 cm)</x:v>
      </x:c>
      <x:c r="H13" s="46" t="str">
        <x:v>Perch-likes</x:v>
      </x:c>
      <x:c r="I13" s="60" t="n">
        <x:v>482.59801621500003</x:v>
      </x:c>
      <x:c r="J13" s="60" t="n">
        <x:v>482.59801621500003</x:v>
      </x:c>
      <x:c r="K13" s="60" t="n">
        <x:v>0</x:v>
      </x:c>
      <x:c r="L13" s="60" t="n">
        <x:v>121.1052646105</x:v>
      </x:c>
      <x:c r="M13" s="60" t="n">
        <x:v>361.49275160450003</x:v>
      </x:c>
      <x:c r="N13" s="46" t="str">
        <x:v>sparidae</x:v>
      </x:c>
      <x:c r="O13" s="62" t="n">
        <x:v>3.31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Sparidae</x:v>
      </x:c>
      <x:c r="T13" s="62" t="n">
        <x:f>IF(O13="","",(1/'Metadata'!$B$5)^(O13-1))</x:f>
        <x:v>1012.4633005057666</x:v>
      </x:c>
      <x:c r="U13" s="60" t="n">
        <x:f>IF(T13="","",I13*T13)</x:f>
        <x:v>488612.78031457437</x:v>
      </x:c>
    </x:row>
    <x:row r="14" ht="18" customHeight="1">
      <x:c r="A14" s="46" t="str">
        <x:v>LME_043</x:v>
      </x:c>
      <x:c r="B14" s="46" t="str">
        <x:v>Southwest Australian Shelf</x:v>
      </x:c>
      <x:c r="C14" s="46" t="str">
        <x:v>LME</x:v>
      </x:c>
      <x:c r="D14" s="58" t="n">
        <x:v>2019</x:v>
      </x:c>
      <x:c r="E14" s="46" t="str">
        <x:v>Emmelichthys nitidus</x:v>
      </x:c>
      <x:c r="F14" s="46" t="str">
        <x:v>Cape bonnetmouth</x:v>
      </x:c>
      <x:c r="G14" s="46" t="str">
        <x:v>Medium bathydemersals (30 - 89 cm)</x:v>
      </x:c>
      <x:c r="H14" s="46" t="str">
        <x:v>Perch-likes</x:v>
      </x:c>
      <x:c r="I14" s="60" t="n">
        <x:v>475.4336339299</x:v>
      </x:c>
      <x:c r="J14" s="60" t="n">
        <x:v>475.4336339299</x:v>
      </x:c>
      <x:c r="K14" s="60" t="n">
        <x:v>0</x:v>
      </x:c>
      <x:c r="L14" s="60" t="n">
        <x:v>475.4336339299</x:v>
      </x:c>
      <x:c r="M14" s="60" t="n">
        <x:v>0</x:v>
      </x:c>
      <x:c r="N14" s="46" t="str">
        <x:v>emmelichthys nitidus</x:v>
      </x:c>
      <x:c r="O14" s="62" t="n">
        <x:v>3.61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Emmelichthys nitidus</x:v>
      </x:c>
      <x:c r="T14" s="62" t="n">
        <x:f>IF(O14="","",(1/'Metadata'!$B$5)^(O14-1))</x:f>
        <x:v>2487.0716021897506</x:v>
      </x:c>
      <x:c r="U14" s="60" t="n">
        <x:f>IF(T14="","",I14*T14)</x:f>
        <x:v>1182437.4896729318</x:v>
      </x:c>
    </x:row>
    <x:row r="15" ht="18" customHeight="1">
      <x:c r="A15" s="46" t="str">
        <x:v>LME_043</x:v>
      </x:c>
      <x:c r="B15" s="46" t="str">
        <x:v>Southwest Australian Shelf</x:v>
      </x:c>
      <x:c r="C15" s="46" t="str">
        <x:v>LME</x:v>
      </x:c>
      <x:c r="D15" s="58" t="n">
        <x:v>2019</x:v>
      </x:c>
      <x:c r="E15" s="46" t="str">
        <x:v>Thyrsites atun</x:v>
      </x:c>
      <x:c r="F15" s="46" t="str">
        <x:v>Snoek</x:v>
      </x:c>
      <x:c r="G15" s="46" t="str">
        <x:v>Large benthopelagics (&gt;=90 cm)</x:v>
      </x:c>
      <x:c r="H15" s="46" t="str">
        <x:v>Perch-likes</x:v>
      </x:c>
      <x:c r="I15" s="60" t="n">
        <x:v>378.03197812819997</x:v>
      </x:c>
      <x:c r="J15" s="60" t="n">
        <x:v>145.3463170975</x:v>
      </x:c>
      <x:c r="K15" s="60" t="n">
        <x:v>232.6856610307</x:v>
      </x:c>
      <x:c r="L15" s="60" t="n">
        <x:v>9.6029755288</x:v>
      </x:c>
      <x:c r="M15" s="60" t="n">
        <x:v>368.4290025994</x:v>
      </x:c>
      <x:c r="N15" s="46" t="str">
        <x:v>thyrsites atun</x:v>
      </x:c>
      <x:c r="O15" s="62" t="n">
        <x:v>3.63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Thyrsites atun</x:v>
      </x:c>
      <x:c r="T15" s="62" t="n">
        <x:f>IF(O15="","",(1/'Metadata'!$B$5)^(O15-1))</x:f>
        <x:v>2640.638121038009</x:v>
      </x:c>
      <x:c r="U15" s="60" t="n">
        <x:f>IF(T15="","",I15*T15)</x:f>
        <x:v>998245.6524167317</x:v>
      </x:c>
    </x:row>
    <x:row r="16" ht="18" customHeight="1">
      <x:c r="A16" s="46" t="str">
        <x:v>LME_043</x:v>
      </x:c>
      <x:c r="B16" s="46" t="str">
        <x:v>Southwest Australian Shelf</x:v>
      </x:c>
      <x:c r="C16" s="46" t="str">
        <x:v>LME</x:v>
      </x:c>
      <x:c r="D16" s="58" t="n">
        <x:v>2019</x:v>
      </x:c>
      <x:c r="E16" s="46" t="str">
        <x:v>Haliotidae</x:v>
      </x:c>
      <x:c r="F16" s="46" t="str">
        <x:v>Abalones, ear shells</x:v>
      </x:c>
      <x:c r="G16" s="46" t="str">
        <x:v>Other demersal invertebrates</x:v>
      </x:c>
      <x:c r="H16" s="46" t="str">
        <x:v>Molluscs</x:v>
      </x:c>
      <x:c r="I16" s="60" t="n">
        <x:v>369.5966330701</x:v>
      </x:c>
      <x:c r="J16" s="60" t="n">
        <x:v>369.5966330701</x:v>
      </x:c>
      <x:c r="K16" s="60" t="n">
        <x:v>0</x:v>
      </x:c>
      <x:c r="L16" s="60" t="n">
        <x:v>363.01716995289996</x:v>
      </x:c>
      <x:c r="M16" s="60" t="n">
        <x:v>6.5794631172</x:v>
      </x:c>
      <x:c r="N16" s="46" t="str">
        <x:v>haliotidae</x:v>
      </x:c>
      <x:c r="O16" s="62" t="n">
        <x:v>2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Haliotidae</x:v>
      </x:c>
      <x:c r="T16" s="62" t="n">
        <x:f>IF(O16="","",(1/'Metadata'!$B$5)^(O16-1))</x:f>
        <x:v>20</x:v>
      </x:c>
      <x:c r="U16" s="60" t="n">
        <x:f>IF(T16="","",I16*T16)</x:f>
        <x:v>7391.932661401999</x:v>
      </x:c>
    </x:row>
    <x:row r="17" ht="18" customHeight="1">
      <x:c r="A17" s="46" t="str">
        <x:v>LME_043</x:v>
      </x:c>
      <x:c r="B17" s="46" t="str">
        <x:v>Southwest Australian Shelf</x:v>
      </x:c>
      <x:c r="C17" s="46" t="str">
        <x:v>LME</x:v>
      </x:c>
      <x:c r="D17" s="58" t="n">
        <x:v>2019</x:v>
      </x:c>
      <x:c r="E17" s="46" t="str">
        <x:v>Haliotis</x:v>
      </x:c>
      <x:c r="F17" s="46" t="str">
        <x:v>Abalones</x:v>
      </x:c>
      <x:c r="G17" s="46" t="str">
        <x:v>Other demersal invertebrates</x:v>
      </x:c>
      <x:c r="H17" s="46" t="str">
        <x:v>Molluscs</x:v>
      </x:c>
      <x:c r="I17" s="60" t="n">
        <x:v>368.90648653659997</x:v>
      </x:c>
      <x:c r="J17" s="60" t="n">
        <x:v>368.90648653659997</x:v>
      </x:c>
      <x:c r="K17" s="60" t="n">
        <x:v>0</x:v>
      </x:c>
      <x:c r="L17" s="60" t="n">
        <x:v>366.4683518622</x:v>
      </x:c>
      <x:c r="M17" s="60" t="n">
        <x:v>2.4381346744</x:v>
      </x:c>
      <x:c r="N17" s="46" t="str">
        <x:v>haliotis</x:v>
      </x:c>
      <x:c r="O17" s="62" t="n">
        <x:v>2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Haliotis</x:v>
      </x:c>
      <x:c r="T17" s="62" t="n">
        <x:f>IF(O17="","",(1/'Metadata'!$B$5)^(O17-1))</x:f>
        <x:v>20</x:v>
      </x:c>
      <x:c r="U17" s="60" t="n">
        <x:f>IF(T17="","",I17*T17)</x:f>
        <x:v>7378.129730731999</x:v>
      </x:c>
    </x:row>
    <x:row r="18" ht="18" customHeight="1">
      <x:c r="A18" s="46" t="str">
        <x:v>LME_043</x:v>
      </x:c>
      <x:c r="B18" s="46" t="str">
        <x:v>Southwest Australian Shelf</x:v>
      </x:c>
      <x:c r="C18" s="46" t="str">
        <x:v>LME</x:v>
      </x:c>
      <x:c r="D18" s="58" t="n">
        <x:v>2019</x:v>
      </x:c>
      <x:c r="E18" s="46" t="str">
        <x:v>Haliotis rubra</x:v>
      </x:c>
      <x:c r="F18" s="46" t="str">
        <x:v>Blacklip abalone</x:v>
      </x:c>
      <x:c r="G18" s="46" t="str">
        <x:v>Other demersal invertebrates</x:v>
      </x:c>
      <x:c r="H18" s="46" t="str">
        <x:v>Molluscs</x:v>
      </x:c>
      <x:c r="I18" s="60" t="n">
        <x:v>368.0599999642</x:v>
      </x:c>
      <x:c r="J18" s="60" t="n">
        <x:v>368.0599999642</x:v>
      </x:c>
      <x:c r="K18" s="60" t="n">
        <x:v>0</x:v>
      </x:c>
      <x:c r="L18" s="60" t="n">
        <x:v>368.0599999642</x:v>
      </x:c>
      <x:c r="M18" s="60" t="n">
        <x:v>0</x:v>
      </x:c>
      <x:c r="N18" s="46" t="str">
        <x:v>haliotis rubra</x:v>
      </x:c>
      <x:c r="O18" s="62" t="n">
        <x:v>2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Haliotis rubra</x:v>
      </x:c>
      <x:c r="T18" s="62" t="n">
        <x:f>IF(O18="","",(1/'Metadata'!$B$5)^(O18-1))</x:f>
        <x:v>20</x:v>
      </x:c>
      <x:c r="U18" s="60" t="n">
        <x:f>IF(T18="","",I18*T18)</x:f>
        <x:v>7361.199999284</x:v>
      </x:c>
    </x:row>
    <x:row r="19" ht="18" customHeight="1">
      <x:c r="A19" s="46" t="str">
        <x:v>LME_043</x:v>
      </x:c>
      <x:c r="B19" s="46" t="str">
        <x:v>Southwest Australian Shelf</x:v>
      </x:c>
      <x:c r="C19" s="46" t="str">
        <x:v>LME</x:v>
      </x:c>
      <x:c r="D19" s="58" t="n">
        <x:v>2019</x:v>
      </x:c>
      <x:c r="E19" s="46" t="str">
        <x:v>Pagrus auratus</x:v>
      </x:c>
      <x:c r="F19" s="46" t="str">
        <x:v>Silver seabream</x:v>
      </x:c>
      <x:c r="G19" s="46" t="str">
        <x:v>Large demersals (&gt;=90 cm)</x:v>
      </x:c>
      <x:c r="H19" s="46" t="str">
        <x:v>Perch-likes</x:v>
      </x:c>
      <x:c r="I19" s="60" t="n">
        <x:v>366.3922308484</x:v>
      </x:c>
      <x:c r="J19" s="60" t="n">
        <x:v>366.3922308484</x:v>
      </x:c>
      <x:c r="K19" s="60" t="n">
        <x:v>0</x:v>
      </x:c>
      <x:c r="L19" s="60" t="n">
        <x:v>351.2453854248</x:v>
      </x:c>
      <x:c r="M19" s="60" t="n">
        <x:v>15.1468454236</x:v>
      </x:c>
      <x:c r="N19" s="46" t="str">
        <x:v>pagrus auratus</x:v>
      </x:c>
      <x:c r="O19" s="62" t="n">
        <x:v>3.59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Pagrus auratus</x:v>
      </x:c>
      <x:c r="T19" s="62" t="n">
        <x:f>IF(O19="","",(1/'Metadata'!$B$5)^(O19-1))</x:f>
        <x:v>2342.4357563948306</x:v>
      </x:c>
      <x:c r="U19" s="60" t="n">
        <x:f>IF(T19="","",I19*T19)</x:f>
        <x:v>858250.2624045613</x:v>
      </x:c>
    </x:row>
    <x:row r="20" ht="18" customHeight="1">
      <x:c r="A20" s="46" t="str">
        <x:v>LME_043</x:v>
      </x:c>
      <x:c r="B20" s="46" t="str">
        <x:v>Southwest Australian Shelf</x:v>
      </x:c>
      <x:c r="C20" s="46" t="str">
        <x:v>LME</x:v>
      </x:c>
      <x:c r="D20" s="58" t="n">
        <x:v>2019</x:v>
      </x:c>
      <x:c r="E20" s="46" t="str">
        <x:v>Penaeidae</x:v>
      </x:c>
      <x:c r="F20" s="46" t="str">
        <x:v>Commercial shrimps and prawns</x:v>
      </x:c>
      <x:c r="G20" s="46" t="str">
        <x:v>Shrimps</x:v>
      </x:c>
      <x:c r="H20" s="46" t="str">
        <x:v>Crustaceans</x:v>
      </x:c>
      <x:c r="I20" s="60" t="n">
        <x:v>346.4406094033</x:v>
      </x:c>
      <x:c r="J20" s="60" t="n">
        <x:v>345.9612964248</x:v>
      </x:c>
      <x:c r="K20" s="60" t="n">
        <x:v>0.4793129785</x:v>
      </x:c>
      <x:c r="L20" s="60" t="n">
        <x:v>345.44490421480003</x:v>
      </x:c>
      <x:c r="M20" s="60" t="n">
        <x:v>0.9957051885000001</x:v>
      </x:c>
      <x:c r="N20" s="46" t="str">
        <x:v>penaeidae</x:v>
      </x:c>
      <x:c r="O20" s="62" t="n">
        <x:v>3.31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Penaeidae</x:v>
      </x:c>
      <x:c r="T20" s="62" t="n">
        <x:f>IF(O20="","",(1/'Metadata'!$B$5)^(O20-1))</x:f>
        <x:v>1012.4633005057666</x:v>
      </x:c>
      <x:c r="U20" s="60" t="n">
        <x:f>IF(T20="","",I20*T20)</x:f>
        <x:v>350758.40282569424</x:v>
      </x:c>
    </x:row>
    <x:row r="21" ht="18" customHeight="1">
      <x:c r="A21" s="46" t="str">
        <x:v>LME_043</x:v>
      </x:c>
      <x:c r="B21" s="46" t="str">
        <x:v>Southwest Australian Shelf</x:v>
      </x:c>
      <x:c r="C21" s="46" t="str">
        <x:v>LME</x:v>
      </x:c>
      <x:c r="D21" s="58" t="n">
        <x:v>2019</x:v>
      </x:c>
      <x:c r="E21" s="46" t="str">
        <x:v>Genypterus blacodes</x:v>
      </x:c>
      <x:c r="F21" s="46" t="str">
        <x:v>Pink cusk-eel</x:v>
      </x:c>
      <x:c r="G21" s="46" t="str">
        <x:v>Large bathydemersals (&gt;=90 cm)</x:v>
      </x:c>
      <x:c r="H21" s="46" t="str">
        <x:v>Other fishes &amp; inverts</x:v>
      </x:c>
      <x:c r="I21" s="60" t="n">
        <x:v>314.6351035908</x:v>
      </x:c>
      <x:c r="J21" s="60" t="n">
        <x:v>314.3387743405</x:v>
      </x:c>
      <x:c r="K21" s="60" t="n">
        <x:v>0.2963292503</x:v>
      </x:c>
      <x:c r="L21" s="60" t="n">
        <x:v>314.2852113117</x:v>
      </x:c>
      <x:c r="M21" s="60" t="n">
        <x:v>0.34989227910000004</x:v>
      </x:c>
      <x:c r="N21" s="46" t="str">
        <x:v>genypterus blacodes</x:v>
      </x:c>
      <x:c r="O21" s="62" t="n">
        <x:v>4.22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Genypterus blacodes</x:v>
      </x:c>
      <x:c r="T21" s="62" t="n">
        <x:f>IF(O21="","",(1/'Metadata'!$B$5)^(O21-1))</x:f>
        <x:v>15463.812886046735</x:v>
      </x:c>
      <x:c r="U21" s="60" t="n">
        <x:f>IF(T21="","",I21*T21)</x:f>
        <x:v>4865458.369310062</x:v>
      </x:c>
    </x:row>
    <x:row r="22" ht="18" customHeight="1">
      <x:c r="A22" s="46" t="str">
        <x:v>LME_043</x:v>
      </x:c>
      <x:c r="B22" s="46" t="str">
        <x:v>Southwest Australian Shelf</x:v>
      </x:c>
      <x:c r="C22" s="46" t="str">
        <x:v>LME</x:v>
      </x:c>
      <x:c r="D22" s="58" t="n">
        <x:v>2019</x:v>
      </x:c>
      <x:c r="E22" s="46" t="str">
        <x:v>Nototodarus gouldi</x:v>
      </x:c>
      <x:c r="F22" s="46" t="str">
        <x:v>Gould's flying squid</x:v>
      </x:c>
      <x:c r="G22" s="46" t="str">
        <x:v>Cephalopods</x:v>
      </x:c>
      <x:c r="H22" s="46" t="str">
        <x:v>Other fishes &amp; inverts</x:v>
      </x:c>
      <x:c r="I22" s="60" t="n">
        <x:v>276.0274620779</x:v>
      </x:c>
      <x:c r="J22" s="60" t="n">
        <x:v>276.0274620779</x:v>
      </x:c>
      <x:c r="K22" s="60" t="n">
        <x:v>0</x:v>
      </x:c>
      <x:c r="L22" s="60" t="n">
        <x:v>276.0224285941</x:v>
      </x:c>
      <x:c r="M22" s="60" t="n">
        <x:v>0.0050334838</x:v>
      </x:c>
      <x:c r="N22" s="46" t="str">
        <x:v>nototodarus gouldi</x:v>
      </x:c>
      <x:c r="O22" s="62" t="n">
        <x:v>4.07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Nototodarus gouldi</x:v>
      </x:c>
      <x:c r="T22" s="62" t="n">
        <x:f>IF(O22="","",(1/'Metadata'!$B$5)^(O22-1))</x:f>
        <x:v>9866.476519743796</x:v>
      </x:c>
      <x:c r="U22" s="60" t="n">
        <x:f>IF(T22="","",I22*T22)</x:f>
        <x:v>2723418.4733960712</x:v>
      </x:c>
    </x:row>
    <x:row r="23" ht="18" customHeight="1">
      <x:c r="A23" s="46" t="str">
        <x:v>LME_043</x:v>
      </x:c>
      <x:c r="B23" s="46" t="str">
        <x:v>Southwest Australian Shelf</x:v>
      </x:c>
      <x:c r="C23" s="46" t="str">
        <x:v>LME</x:v>
      </x:c>
      <x:c r="D23" s="58" t="n">
        <x:v>2019</x:v>
      </x:c>
      <x:c r="E23" s="46" t="str">
        <x:v>Genypterus</x:v>
      </x:c>
      <x:c r="F23" s="46" t="str">
        <x:v>Genypterid cuskeels</x:v>
      </x:c>
      <x:c r="G23" s="46" t="str">
        <x:v>Large bathydemersals (&gt;=90 cm)</x:v>
      </x:c>
      <x:c r="H23" s="46" t="str">
        <x:v>Other fishes &amp; inverts</x:v>
      </x:c>
      <x:c r="I23" s="60" t="n">
        <x:v>267.8884664214</x:v>
      </x:c>
      <x:c r="J23" s="60" t="n">
        <x:v>267.8884664214</x:v>
      </x:c>
      <x:c r="K23" s="60" t="n">
        <x:v>0</x:v>
      </x:c>
      <x:c r="L23" s="60" t="n">
        <x:v>267.8738226359</x:v>
      </x:c>
      <x:c r="M23" s="60" t="n">
        <x:v>0.0146437855</x:v>
      </x:c>
      <x:c r="N23" s="46" t="str">
        <x:v>genypterus</x:v>
      </x:c>
      <x:c r="O23" s="62" t="n">
        <x:v>4.2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Genypterus</x:v>
      </x:c>
      <x:c r="T23" s="62" t="n">
        <x:f>IF(O23="","",(1/'Metadata'!$B$5)^(O23-1))</x:f>
        <x:v>14564.51362420865</x:v>
      </x:c>
      <x:c r="U23" s="60" t="n">
        <x:f>IF(T23="","",I23*T23)</x:f>
        <x:v>3901665.2189628417</x:v>
      </x:c>
    </x:row>
    <x:row r="24" ht="18" customHeight="1">
      <x:c r="A24" s="46" t="str">
        <x:v>LME_043</x:v>
      </x:c>
      <x:c r="B24" s="46" t="str">
        <x:v>Southwest Australian Shelf</x:v>
      </x:c>
      <x:c r="C24" s="46" t="str">
        <x:v>LME</x:v>
      </x:c>
      <x:c r="D24" s="58" t="n">
        <x:v>2019</x:v>
      </x:c>
      <x:c r="E24" s="46" t="str">
        <x:v>Triglidae</x:v>
      </x:c>
      <x:c r="F24" s="46" t="str">
        <x:v>Searobins, gurnards</x:v>
      </x:c>
      <x:c r="G24" s="46" t="str">
        <x:v>Medium demersals (30 - 89 cm)</x:v>
      </x:c>
      <x:c r="H24" s="46" t="str">
        <x:v>Scorpionfishes</x:v>
      </x:c>
      <x:c r="I24" s="60" t="n">
        <x:v>221.2315133233</x:v>
      </x:c>
      <x:c r="J24" s="60" t="n">
        <x:v>7.7676552557</x:v>
      </x:c>
      <x:c r="K24" s="60" t="n">
        <x:v>213.4638580676</x:v>
      </x:c>
      <x:c r="L24" s="60" t="n">
        <x:v>4.1714271254</x:v>
      </x:c>
      <x:c r="M24" s="60" t="n">
        <x:v>217.0600861979</x:v>
      </x:c>
      <x:c r="N24" s="46" t="str">
        <x:v>triglidae</x:v>
      </x:c>
      <x:c r="O24" s="62" t="n">
        <x:v>3.74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Triglidae</x:v>
      </x:c>
      <x:c r="T24" s="62" t="n">
        <x:f>IF(O24="","",(1/'Metadata'!$B$5)^(O24-1))</x:f>
        <x:v>3671.3195599248957</x:v>
      </x:c>
      <x:c r="U24" s="60" t="n">
        <x:f>IF(T24="","",I24*T24)</x:f>
        <x:v>812211.5821356165</x:v>
      </x:c>
    </x:row>
    <x:row r="25" ht="18" customHeight="1">
      <x:c r="A25" s="46" t="str">
        <x:v>LME_043</x:v>
      </x:c>
      <x:c r="B25" s="46" t="str">
        <x:v>Southwest Australian Shelf</x:v>
      </x:c>
      <x:c r="C25" s="46" t="str">
        <x:v>LME</x:v>
      </x:c>
      <x:c r="D25" s="58" t="n">
        <x:v>2019</x:v>
      </x:c>
      <x:c r="E25" s="46" t="str">
        <x:v>Berycidae</x:v>
      </x:c>
      <x:c r="F25" s="46" t="str">
        <x:v>Alfonsinos, redfishes</x:v>
      </x:c>
      <x:c r="G25" s="46" t="str">
        <x:v>Medium benthopelagics (30 - 89 cm)</x:v>
      </x:c>
      <x:c r="H25" s="46" t="str">
        <x:v>Other fishes &amp; inverts</x:v>
      </x:c>
      <x:c r="I25" s="60" t="n">
        <x:v>193.5169115325</x:v>
      </x:c>
      <x:c r="J25" s="60" t="n">
        <x:v>193.5169115325</x:v>
      </x:c>
      <x:c r="K25" s="60" t="n">
        <x:v>0</x:v>
      </x:c>
      <x:c r="L25" s="60" t="n">
        <x:v>152.0133936429</x:v>
      </x:c>
      <x:c r="M25" s="60" t="n">
        <x:v>41.5035178896</x:v>
      </x:c>
      <x:c r="N25" s="46" t="str">
        <x:v>berycidae</x:v>
      </x:c>
      <x:c r="O25" s="62" t="n">
        <x:v>3.99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Berycidae</x:v>
      </x:c>
      <x:c r="T25" s="62" t="n">
        <x:f>IF(O25="","",(1/'Metadata'!$B$5)^(O25-1))</x:f>
        <x:v>7763.895603143686</x:v>
      </x:c>
      <x:c r="U25" s="60" t="n">
        <x:f>IF(T25="","",I25*T25)</x:f>
        <x:v>1502445.0985811222</x:v>
      </x:c>
    </x:row>
    <x:row r="26" ht="18" customHeight="1">
      <x:c r="A26" s="46" t="str">
        <x:v>LME_043</x:v>
      </x:c>
      <x:c r="B26" s="46" t="str">
        <x:v>Southwest Australian Shelf</x:v>
      </x:c>
      <x:c r="C26" s="46" t="str">
        <x:v>LME</x:v>
      </x:c>
      <x:c r="D26" s="58" t="n">
        <x:v>2019</x:v>
      </x:c>
      <x:c r="E26" s="46" t="str">
        <x:v>Donax</x:v>
      </x:c>
      <x:c r="F26" s="46" t="str">
        <x:v>Bean clams</x:v>
      </x:c>
      <x:c r="G26" s="46" t="str">
        <x:v>Other demersal invertebrates</x:v>
      </x:c>
      <x:c r="H26" s="46" t="str">
        <x:v>Molluscs</x:v>
      </x:c>
      <x:c r="I26" s="60" t="n">
        <x:v>179.9956272197</x:v>
      </x:c>
      <x:c r="J26" s="60" t="n">
        <x:v>179.9956272197</x:v>
      </x:c>
      <x:c r="K26" s="60" t="n">
        <x:v>0</x:v>
      </x:c>
      <x:c r="L26" s="60" t="n">
        <x:v>170.63233449380002</x:v>
      </x:c>
      <x:c r="M26" s="60" t="n">
        <x:v>9.3632927259</x:v>
      </x:c>
      <x:c r="N26" s="46" t="str">
        <x:v>donax</x:v>
      </x:c>
      <x:c r="O26" s="62" t="n">
        <x:v>2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Donax</x:v>
      </x:c>
      <x:c r="T26" s="62" t="n">
        <x:f>IF(O26="","",(1/'Metadata'!$B$5)^(O26-1))</x:f>
        <x:v>20</x:v>
      </x:c>
      <x:c r="U26" s="60" t="n">
        <x:f>IF(T26="","",I26*T26)</x:f>
        <x:v>3599.912544394</x:v>
      </x:c>
    </x:row>
    <x:row r="27" ht="18" customHeight="1">
      <x:c r="A27" s="46" t="str">
        <x:v>LME_043</x:v>
      </x:c>
      <x:c r="B27" s="46" t="str">
        <x:v>Southwest Australian Shelf</x:v>
      </x:c>
      <x:c r="C27" s="46" t="str">
        <x:v>LME</x:v>
      </x:c>
      <x:c r="D27" s="58" t="n">
        <x:v>2019</x:v>
      </x:c>
      <x:c r="E27" s="46" t="str">
        <x:v>Lepidopus caudatus</x:v>
      </x:c>
      <x:c r="F27" s="46" t="str">
        <x:v>Silver scabbardfish</x:v>
      </x:c>
      <x:c r="G27" s="46" t="str">
        <x:v>Large bathydemersals (&gt;=90 cm)</x:v>
      </x:c>
      <x:c r="H27" s="46" t="str">
        <x:v>Perch-likes</x:v>
      </x:c>
      <x:c r="I27" s="60" t="n">
        <x:v>173.91967627969998</x:v>
      </x:c>
      <x:c r="J27" s="60" t="n">
        <x:v>74.1127236808</x:v>
      </x:c>
      <x:c r="K27" s="60" t="n">
        <x:v>99.8069525989</x:v>
      </x:c>
      <x:c r="L27" s="60" t="n">
        <x:v>74.1127236808</x:v>
      </x:c>
      <x:c r="M27" s="60" t="n">
        <x:v>99.8069525989</x:v>
      </x:c>
      <x:c r="N27" s="46" t="str">
        <x:v>lepidopus caudatus</x:v>
      </x:c>
      <x:c r="O27" s="62" t="n">
        <x:v>3.82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Lepidopus caudatus</x:v>
      </x:c>
      <x:c r="T27" s="62" t="n">
        <x:f>IF(O27="","",(1/'Metadata'!$B$5)^(O27-1))</x:f>
        <x:v>4665.56868948727</x:v>
      </x:c>
      <x:c r="U27" s="60" t="n">
        <x:f>IF(T27="","",I27*T27)</x:f>
        <x:v>811434.19613633</x:v>
      </x:c>
    </x:row>
    <x:row r="28" ht="18" customHeight="1">
      <x:c r="A28" s="46" t="str">
        <x:v>LME_043</x:v>
      </x:c>
      <x:c r="B28" s="46" t="str">
        <x:v>Southwest Australian Shelf</x:v>
      </x:c>
      <x:c r="C28" s="46" t="str">
        <x:v>LME</x:v>
      </x:c>
      <x:c r="D28" s="58" t="n">
        <x:v>2019</x:v>
      </x:c>
      <x:c r="E28" s="46" t="str">
        <x:v>Mugilidae</x:v>
      </x:c>
      <x:c r="F28" s="46" t="str">
        <x:v>Mullets, grey mullets</x:v>
      </x:c>
      <x:c r="G28" s="46" t="str">
        <x:v>Medium reef assoc. fish (30 - 89 cm)</x:v>
      </x:c>
      <x:c r="H28" s="46" t="str">
        <x:v>Perch-likes</x:v>
      </x:c>
      <x:c r="I28" s="60" t="n">
        <x:v>172.4089779926</x:v>
      </x:c>
      <x:c r="J28" s="60" t="n">
        <x:v>172.4089779926</x:v>
      </x:c>
      <x:c r="K28" s="60" t="n">
        <x:v>0</x:v>
      </x:c>
      <x:c r="L28" s="60" t="n">
        <x:v>133.6094843763</x:v>
      </x:c>
      <x:c r="M28" s="60" t="n">
        <x:v>38.7994936163</x:v>
      </x:c>
      <x:c r="N28" s="46" t="str">
        <x:v>mugilidae</x:v>
      </x:c>
      <x:c r="O28" s="62" t="n">
        <x:v>2.53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Mugilidae</x:v>
      </x:c>
      <x:c r="T28" s="62" t="n">
        <x:f>IF(O28="","",(1/'Metadata'!$B$5)^(O28-1))</x:f>
        <x:v>97.8533939563155</x:v>
      </x:c>
      <x:c r="U28" s="60" t="n">
        <x:f>IF(T28="","",I28*T28)</x:f>
        <x:v>16870.80364511562</x:v>
      </x:c>
    </x:row>
    <x:row r="29" ht="18" customHeight="1">
      <x:c r="A29" s="46" t="str">
        <x:v>LME_043</x:v>
      </x:c>
      <x:c r="B29" s="46" t="str">
        <x:v>Southwest Australian Shelf</x:v>
      </x:c>
      <x:c r="C29" s="46" t="str">
        <x:v>LME</x:v>
      </x:c>
      <x:c r="D29" s="58" t="n">
        <x:v>2019</x:v>
      </x:c>
      <x:c r="E29" s="46" t="str">
        <x:v>Carangidae</x:v>
      </x:c>
      <x:c r="F29" s="46" t="str">
        <x:v>Jacks, pompanos</x:v>
      </x:c>
      <x:c r="G29" s="46" t="str">
        <x:v>Medium pelagics (30 - 89 cm)</x:v>
      </x:c>
      <x:c r="H29" s="46" t="str">
        <x:v>Perch-likes</x:v>
      </x:c>
      <x:c r="I29" s="60" t="n">
        <x:v>160.48178467629998</x:v>
      </x:c>
      <x:c r="J29" s="60" t="n">
        <x:v>156.0833995664</x:v>
      </x:c>
      <x:c r="K29" s="60" t="n">
        <x:v>4.3983851099</x:v>
      </x:c>
      <x:c r="L29" s="60" t="n">
        <x:v>70.5852566914</x:v>
      </x:c>
      <x:c r="M29" s="60" t="n">
        <x:v>89.89652798489999</x:v>
      </x:c>
      <x:c r="N29" s="46" t="str">
        <x:v>carangidae</x:v>
      </x:c>
      <x:c r="O29" s="62" t="n">
        <x:v>4.05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Carangidae</x:v>
      </x:c>
      <x:c r="T29" s="62" t="n">
        <x:f>IF(O29="","",(1/'Metadata'!$B$5)^(O29-1))</x:f>
        <x:v>9292.690797132333</x:v>
      </x:c>
      <x:c r="U29" s="60" t="n">
        <x:f>IF(T29="","",I29*T29)</x:f>
        <x:v>1491307.6035688254</x:v>
      </x:c>
    </x:row>
    <x:row r="30" ht="18" customHeight="1">
      <x:c r="A30" s="46" t="str">
        <x:v>LME_043</x:v>
      </x:c>
      <x:c r="B30" s="46" t="str">
        <x:v>Southwest Australian Shelf</x:v>
      </x:c>
      <x:c r="C30" s="46" t="str">
        <x:v>LME</x:v>
      </x:c>
      <x:c r="D30" s="58" t="n">
        <x:v>2019</x:v>
      </x:c>
      <x:c r="E30" s="46" t="str">
        <x:v>Hemiramphidae</x:v>
      </x:c>
      <x:c r="F30" s="46" t="str">
        <x:v>Halfbeaks, garfishes</x:v>
      </x:c>
      <x:c r="G30" s="46" t="str">
        <x:v>Medium pelagics (30 - 89 cm)</x:v>
      </x:c>
      <x:c r="H30" s="46" t="str">
        <x:v>Other fishes &amp; inverts</x:v>
      </x:c>
      <x:c r="I30" s="60" t="n">
        <x:v>151.76069386170002</x:v>
      </x:c>
      <x:c r="J30" s="60" t="n">
        <x:v>151.76069386170002</x:v>
      </x:c>
      <x:c r="K30" s="60" t="n">
        <x:v>0</x:v>
      </x:c>
      <x:c r="L30" s="60" t="n">
        <x:v>120.4472714222</x:v>
      </x:c>
      <x:c r="M30" s="60" t="n">
        <x:v>31.3134224395</x:v>
      </x:c>
      <x:c r="N30" s="46" t="str">
        <x:v>hemiramphidae</x:v>
      </x:c>
      <x:c r="O30" s="62" t="n">
        <x:v>2.82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Hemiramphidae</x:v>
      </x:c>
      <x:c r="T30" s="62" t="n">
        <x:f>IF(O30="","",(1/'Metadata'!$B$5)^(O30-1))</x:f>
        <x:v>233.27843447436348</x:v>
      </x:c>
      <x:c r="U30" s="60" t="n">
        <x:f>IF(T30="","",I30*T30)</x:f>
        <x:v>35402.49707880052</x:v>
      </x:c>
    </x:row>
    <x:row r="31" ht="18" customHeight="1">
      <x:c r="A31" s="46" t="str">
        <x:v>LME_043</x:v>
      </x:c>
      <x:c r="B31" s="46" t="str">
        <x:v>Southwest Australian Shelf</x:v>
      </x:c>
      <x:c r="C31" s="46" t="str">
        <x:v>LME</x:v>
      </x:c>
      <x:c r="D31" s="58" t="n">
        <x:v>2019</x:v>
      </x:c>
      <x:c r="E31" s="46" t="str">
        <x:v>Hyperoglyphe antarctica</x:v>
      </x:c>
      <x:c r="F31" s="46" t="str">
        <x:v>Bluenose warehou</x:v>
      </x:c>
      <x:c r="G31" s="46" t="str">
        <x:v>Large benthopelagics (&gt;=90 cm)</x:v>
      </x:c>
      <x:c r="H31" s="46" t="str">
        <x:v>Perch-likes</x:v>
      </x:c>
      <x:c r="I31" s="60" t="n">
        <x:v>144.3497166908</x:v>
      </x:c>
      <x:c r="J31" s="60" t="n">
        <x:v>144.20695917080002</x:v>
      </x:c>
      <x:c r="K31" s="60" t="n">
        <x:v>0.14275752</x:v>
      </x:c>
      <x:c r="L31" s="60" t="n">
        <x:v>143.8698079492</x:v>
      </x:c>
      <x:c r="M31" s="60" t="n">
        <x:v>0.47990874159999997</x:v>
      </x:c>
      <x:c r="N31" s="46" t="str">
        <x:v>hyperoglyphe antarctica</x:v>
      </x:c>
      <x:c r="O31" s="62" t="n">
        <x:v>3.95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Hyperoglyphe antarctica</x:v>
      </x:c>
      <x:c r="T31" s="62" t="n">
        <x:f>IF(O31="","",(1/'Metadata'!$B$5)^(O31-1))</x:f>
        <x:v>6887.133274653882</x:v>
      </x:c>
      <x:c r="U31" s="60" t="n">
        <x:f>IF(T31="","",I31*T31)</x:f>
        <x:v>994155.7370080695</x:v>
      </x:c>
    </x:row>
    <x:row r="32" ht="18" customHeight="1">
      <x:c r="A32" s="46" t="str">
        <x:v>LME_043</x:v>
      </x:c>
      <x:c r="B32" s="46" t="str">
        <x:v>Southwest Australian Shelf</x:v>
      </x:c>
      <x:c r="C32" s="46" t="str">
        <x:v>LME</x:v>
      </x:c>
      <x:c r="D32" s="58" t="n">
        <x:v>2019</x:v>
      </x:c>
      <x:c r="E32" s="46" t="str">
        <x:v>Cephalopoda</x:v>
      </x:c>
      <x:c r="F32" s="46" t="str">
        <x:v>Squids, cuttlefishes, octopuses</x:v>
      </x:c>
      <x:c r="G32" s="46" t="str">
        <x:v>Cephalopods</x:v>
      </x:c>
      <x:c r="H32" s="46" t="str">
        <x:v>Other fishes &amp; inverts</x:v>
      </x:c>
      <x:c r="I32" s="60" t="n">
        <x:v>142.97174647510002</x:v>
      </x:c>
      <x:c r="J32" s="60" t="n">
        <x:v>142.97174647510002</x:v>
      </x:c>
      <x:c r="K32" s="60" t="n">
        <x:v>0</x:v>
      </x:c>
      <x:c r="L32" s="60" t="n">
        <x:v>55.6161285541</x:v>
      </x:c>
      <x:c r="M32" s="60" t="n">
        <x:v>87.355617921</x:v>
      </x:c>
      <x:c r="N32" s="46" t="str">
        <x:v>cephalopoda</x:v>
      </x:c>
      <x:c r="O32" s="62" t="n">
        <x:v>3.81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Cephalopoda</x:v>
      </x:c>
      <x:c r="T32" s="62" t="n">
        <x:f>IF(O32="","",(1/'Metadata'!$B$5)^(O32-1))</x:f>
        <x:v>4527.873529309382</x:v>
      </x:c>
      <x:c r="U32" s="60" t="n">
        <x:f>IF(T32="","",I32*T32)</x:f>
        <x:v>647357.9863037374</x:v>
      </x:c>
    </x:row>
    <x:row r="33" ht="18" customHeight="1">
      <x:c r="A33" s="46" t="str">
        <x:v>LME_043</x:v>
      </x:c>
      <x:c r="B33" s="46" t="str">
        <x:v>Southwest Australian Shelf</x:v>
      </x:c>
      <x:c r="C33" s="46" t="str">
        <x:v>LME</x:v>
      </x:c>
      <x:c r="D33" s="58" t="n">
        <x:v>2019</x:v>
      </x:c>
      <x:c r="E33" s="46" t="str">
        <x:v>Pterygotrigla polyommata</x:v>
      </x:c>
      <x:c r="F33" s="46" t="str">
        <x:v>Latchet</x:v>
      </x:c>
      <x:c r="G33" s="46" t="str">
        <x:v>Medium demersals (30 - 89 cm)</x:v>
      </x:c>
      <x:c r="H33" s="46" t="str">
        <x:v>Scorpionfishes</x:v>
      </x:c>
      <x:c r="I33" s="60" t="n">
        <x:v>140.3599887723</x:v>
      </x:c>
      <x:c r="J33" s="60" t="n">
        <x:v>140.3599887723</x:v>
      </x:c>
      <x:c r="K33" s="60" t="n">
        <x:v>0</x:v>
      </x:c>
      <x:c r="L33" s="60" t="n">
        <x:v>140.3549499803</x:v>
      </x:c>
      <x:c r="M33" s="60" t="n">
        <x:v>0.005038792</x:v>
      </x:c>
      <x:c r="N33" s="46" t="str">
        <x:v>pterygotrigla polyommata</x:v>
      </x:c>
      <x:c r="O33" s="62" t="n">
        <x:v>3.29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Pterygotrigla polyommata</x:v>
      </x:c>
      <x:c r="T33" s="62" t="n">
        <x:f>IF(O33="","",(1/'Metadata'!$B$5)^(O33-1))</x:f>
        <x:v>953.5834171618228</x:v>
      </x:c>
      <x:c r="U33" s="60" t="n">
        <x:f>IF(T33="","",I33*T33)</x:f>
        <x:v>133844.95772628492</x:v>
      </x:c>
    </x:row>
    <x:row r="34" ht="18" customHeight="1">
      <x:c r="A34" s="46" t="str">
        <x:v>LME_043</x:v>
      </x:c>
      <x:c r="B34" s="46" t="str">
        <x:v>Southwest Australian Shelf</x:v>
      </x:c>
      <x:c r="C34" s="46" t="str">
        <x:v>LME</x:v>
      </x:c>
      <x:c r="D34" s="58" t="n">
        <x:v>2019</x:v>
      </x:c>
      <x:c r="E34" s="46" t="str">
        <x:v>Pinna bicolor</x:v>
      </x:c>
      <x:c r="F34" s="46" t="str">
        <x:v>Bicolor pen shell</x:v>
      </x:c>
      <x:c r="G34" s="46" t="str">
        <x:v>Other demersal invertebrates</x:v>
      </x:c>
      <x:c r="H34" s="46" t="str">
        <x:v>Molluscs</x:v>
      </x:c>
      <x:c r="I34" s="60" t="n">
        <x:v>127.7288438594</x:v>
      </x:c>
      <x:c r="J34" s="60" t="n">
        <x:v>127.7288438594</x:v>
      </x:c>
      <x:c r="K34" s="60" t="n">
        <x:v>0</x:v>
      </x:c>
      <x:c r="L34" s="60" t="n">
        <x:v>0</x:v>
      </x:c>
      <x:c r="M34" s="60" t="n">
        <x:v>127.7288438594</x:v>
      </x:c>
      <x:c r="N34" s="46" t="str">
        <x:v>pinna bicolor</x:v>
      </x:c>
      <x:c r="O34" s="62" t="n">
        <x:v>2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Pinna bicolor</x:v>
      </x:c>
      <x:c r="T34" s="62" t="n">
        <x:f>IF(O34="","",(1/'Metadata'!$B$5)^(O34-1))</x:f>
        <x:v>20</x:v>
      </x:c>
      <x:c r="U34" s="60" t="n">
        <x:f>IF(T34="","",I34*T34)</x:f>
        <x:v>2554.5768771880003</x:v>
      </x:c>
    </x:row>
    <x:row r="35" ht="18" customHeight="1">
      <x:c r="A35" s="46" t="str">
        <x:v>LME_043</x:v>
      </x:c>
      <x:c r="B35" s="46" t="str">
        <x:v>Southwest Australian Shelf</x:v>
      </x:c>
      <x:c r="C35" s="46" t="str">
        <x:v>LME</x:v>
      </x:c>
      <x:c r="D35" s="58" t="n">
        <x:v>2019</x:v>
      </x:c>
      <x:c r="E35" s="46" t="str">
        <x:v>Hoplostethus atlanticus</x:v>
      </x:c>
      <x:c r="F35" s="46" t="str">
        <x:v>Orange roughy</x:v>
      </x:c>
      <x:c r="G35" s="46" t="str">
        <x:v>Medium bathypelagics (30 - 89 cm)</x:v>
      </x:c>
      <x:c r="H35" s="46" t="str">
        <x:v>Other fishes &amp; inverts</x:v>
      </x:c>
      <x:c r="I35" s="60" t="n">
        <x:v>116.53872232159999</x:v>
      </x:c>
      <x:c r="J35" s="60" t="n">
        <x:v>114.8404306782</x:v>
      </x:c>
      <x:c r="K35" s="60" t="n">
        <x:v>1.6982916434</x:v>
      </x:c>
      <x:c r="L35" s="60" t="n">
        <x:v>114.8404306782</x:v>
      </x:c>
      <x:c r="M35" s="60" t="n">
        <x:v>1.6982916434</x:v>
      </x:c>
      <x:c r="N35" s="46" t="str">
        <x:v>hoplostethus atlanticus</x:v>
      </x:c>
      <x:c r="O35" s="62" t="n">
        <x:v>4.25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Hoplostethus atlanticus</x:v>
      </x:c>
      <x:c r="T35" s="62" t="n">
        <x:f>IF(O35="","",(1/'Metadata'!$B$5)^(O35-1))</x:f>
        <x:v>16917.940215049024</x:v>
      </x:c>
      <x:c r="U35" s="60" t="n">
        <x:f>IF(T35="","",I35*T35)</x:f>
        <x:v>1971595.1369750279</x:v>
      </x:c>
    </x:row>
    <x:row r="36" ht="18" customHeight="1">
      <x:c r="A36" s="46" t="str">
        <x:v>LME_043</x:v>
      </x:c>
      <x:c r="B36" s="46" t="str">
        <x:v>Southwest Australian Shelf</x:v>
      </x:c>
      <x:c r="C36" s="46" t="str">
        <x:v>LME</x:v>
      </x:c>
      <x:c r="D36" s="58" t="n">
        <x:v>2019</x:v>
      </x:c>
      <x:c r="E36" s="46" t="str">
        <x:v>Lepidorhynchus denticulatus</x:v>
      </x:c>
      <x:c r="F36" s="46" t="str">
        <x:v>Thorntooth grenadier</x:v>
      </x:c>
      <x:c r="G36" s="46" t="str">
        <x:v>Medium bathypelagics (30 - 89 cm)</x:v>
      </x:c>
      <x:c r="H36" s="46" t="str">
        <x:v>Cod-likes</x:v>
      </x:c>
      <x:c r="I36" s="60" t="n">
        <x:v>114.5059738615</x:v>
      </x:c>
      <x:c r="J36" s="60" t="n">
        <x:v>2.0114455616</x:v>
      </x:c>
      <x:c r="K36" s="60" t="n">
        <x:v>112.4945282999</x:v>
      </x:c>
      <x:c r="L36" s="60" t="n">
        <x:v>2.0114455616</x:v>
      </x:c>
      <x:c r="M36" s="60" t="n">
        <x:v>112.4945282999</x:v>
      </x:c>
      <x:c r="N36" s="46" t="str">
        <x:v>lepidorhynchus denticulatus</x:v>
      </x:c>
      <x:c r="O36" s="62" t="n">
        <x:v>3.88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Lepidorhynchus denticulatus</x:v>
      </x:c>
      <x:c r="T36" s="62" t="n">
        <x:f>IF(O36="","",(1/'Metadata'!$B$5)^(O36-1))</x:f>
        <x:v>5584.269732662554</x:v>
      </x:c>
      <x:c r="U36" s="60" t="n">
        <x:f>IF(T36="","",I36*T36)</x:f>
        <x:v>639432.2440438239</x:v>
      </x:c>
    </x:row>
    <x:row r="37" ht="18" customHeight="1">
      <x:c r="A37" s="46" t="str">
        <x:v>LME_043</x:v>
      </x:c>
      <x:c r="B37" s="46" t="str">
        <x:v>Southwest Australian Shelf</x:v>
      </x:c>
      <x:c r="C37" s="46" t="str">
        <x:v>LME</x:v>
      </x:c>
      <x:c r="D37" s="58" t="n">
        <x:v>2019</x:v>
      </x:c>
      <x:c r="E37" s="46" t="str">
        <x:v>Nemadactylus</x:v>
      </x:c>
      <x:c r="F37" s="46" t="str">
        <x:v>Porae</x:v>
      </x:c>
      <x:c r="G37" s="46" t="str">
        <x:v>Medium demersals (30 - 89 cm)</x:v>
      </x:c>
      <x:c r="H37" s="46" t="str">
        <x:v>Perch-likes</x:v>
      </x:c>
      <x:c r="I37" s="60" t="n">
        <x:v>113.0806483361</x:v>
      </x:c>
      <x:c r="J37" s="60" t="n">
        <x:v>113.0806483361</x:v>
      </x:c>
      <x:c r="K37" s="60" t="n">
        <x:v>0</x:v>
      </x:c>
      <x:c r="L37" s="60" t="n">
        <x:v>47.8825280228</x:v>
      </x:c>
      <x:c r="M37" s="60" t="n">
        <x:v>65.1981203133</x:v>
      </x:c>
      <x:c r="N37" s="46" t="str">
        <x:v>nemadactylus</x:v>
      </x:c>
      <x:c r="O37" s="62" t="n">
        <x:v>3.32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Nemadactylus</x:v>
      </x:c>
      <x:c r="T37" s="62" t="n">
        <x:f>IF(O37="","",(1/'Metadata'!$B$5)^(O37-1))</x:f>
        <x:v>1043.2528743388143</x:v>
      </x:c>
      <x:c r="U37" s="60" t="n">
        <x:f>IF(T37="","",I37*T37)</x:f>
        <x:v>117971.71140873298</x:v>
      </x:c>
    </x:row>
    <x:row r="38" ht="18" customHeight="1">
      <x:c r="A38" s="46" t="str">
        <x:v>LME_043</x:v>
      </x:c>
      <x:c r="B38" s="46" t="str">
        <x:v>Southwest Australian Shelf</x:v>
      </x:c>
      <x:c r="C38" s="46" t="str">
        <x:v>LME</x:v>
      </x:c>
      <x:c r="D38" s="58" t="n">
        <x:v>2019</x:v>
      </x:c>
      <x:c r="E38" s="46" t="str">
        <x:v>Nemadactylus macropterus</x:v>
      </x:c>
      <x:c r="F38" s="46" t="str">
        <x:v>Tarakihi</x:v>
      </x:c>
      <x:c r="G38" s="46" t="str">
        <x:v>Medium demersals (30 - 89 cm)</x:v>
      </x:c>
      <x:c r="H38" s="46" t="str">
        <x:v>Perch-likes</x:v>
      </x:c>
      <x:c r="I38" s="60" t="n">
        <x:v>111.35628429820001</x:v>
      </x:c>
      <x:c r="J38" s="60" t="n">
        <x:v>103.0770026822</x:v>
      </x:c>
      <x:c r="K38" s="60" t="n">
        <x:v>8.279281616</x:v>
      </x:c>
      <x:c r="L38" s="60" t="n">
        <x:v>103.0769004684</x:v>
      </x:c>
      <x:c r="M38" s="60" t="n">
        <x:v>8.2793838298</x:v>
      </x:c>
      <x:c r="N38" s="46" t="str">
        <x:v>nemadactylus macropterus</x:v>
      </x:c>
      <x:c r="O38" s="62" t="n">
        <x:v>3.41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Nemadactylus macropterus</x:v>
      </x:c>
      <x:c r="T38" s="62" t="n">
        <x:f>IF(O38="","",(1/'Metadata'!$B$5)^(O38-1))</x:f>
        <x:v>1366.0993652713958</x:v>
      </x:c>
      <x:c r="U38" s="60" t="n">
        <x:f>IF(T38="","",I38*T38)</x:f>
        <x:v>152123.74929875214</x:v>
      </x:c>
    </x:row>
    <x:row r="39" ht="18" customHeight="1">
      <x:c r="A39" s="46" t="str">
        <x:v>LME_043</x:v>
      </x:c>
      <x:c r="B39" s="46" t="str">
        <x:v>Southwest Australian Shelf</x:v>
      </x:c>
      <x:c r="C39" s="46" t="str">
        <x:v>LME</x:v>
      </x:c>
      <x:c r="D39" s="58" t="n">
        <x:v>2019</x:v>
      </x:c>
      <x:c r="E39" s="46" t="str">
        <x:v>Portunus</x:v>
      </x:c>
      <x:c r="F39" s="46" t="str">
        <x:v>Swimmer crabs</x:v>
      </x:c>
      <x:c r="G39" s="46" t="str">
        <x:v>Lobsters, crabs</x:v>
      </x:c>
      <x:c r="H39" s="46" t="str">
        <x:v>Crustaceans</x:v>
      </x:c>
      <x:c r="I39" s="60" t="n">
        <x:v>111.2659881761</x:v>
      </x:c>
      <x:c r="J39" s="60" t="n">
        <x:v>111.2659881761</x:v>
      </x:c>
      <x:c r="K39" s="60" t="n">
        <x:v>0</x:v>
      </x:c>
      <x:c r="L39" s="60" t="n">
        <x:v>111.2659881761</x:v>
      </x:c>
      <x:c r="M39" s="60" t="n">
        <x:v>0</x:v>
      </x:c>
      <x:c r="N39" s="46" t="str">
        <x:v>portunus</x:v>
      </x:c>
      <x:c r="O39" s="62" t="n">
        <x:v>3.26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Portunus</x:v>
      </x:c>
      <x:c r="T39" s="62" t="n">
        <x:f>IF(O39="","",(1/'Metadata'!$B$5)^(O39-1))</x:f>
        <x:v>871.6212107848935</x:v>
      </x:c>
      <x:c r="U39" s="60" t="n">
        <x:f>IF(T39="","",I39*T39)</x:f>
        <x:v>96981.79533322992</x:v>
      </x:c>
    </x:row>
    <x:row r="40" ht="18" customHeight="1">
      <x:c r="A40" s="46" t="str">
        <x:v>LME_043</x:v>
      </x:c>
      <x:c r="B40" s="46" t="str">
        <x:v>Southwest Australian Shelf</x:v>
      </x:c>
      <x:c r="C40" s="46" t="str">
        <x:v>LME</x:v>
      </x:c>
      <x:c r="D40" s="58" t="n">
        <x:v>2019</x:v>
      </x:c>
      <x:c r="E40" s="46" t="str">
        <x:v>Squalidae</x:v>
      </x:c>
      <x:c r="F40" s="46" t="str">
        <x:v>Dogfish sharks</x:v>
      </x:c>
      <x:c r="G40" s="46" t="str">
        <x:v>Large sharks (&gt;=90 cm)</x:v>
      </x:c>
      <x:c r="H40" s="46" t="str">
        <x:v>Sharks &amp; rays</x:v>
      </x:c>
      <x:c r="I40" s="60" t="n">
        <x:v>109.7599778498</x:v>
      </x:c>
      <x:c r="J40" s="60" t="n">
        <x:v>3.4915767891000002</x:v>
      </x:c>
      <x:c r="K40" s="60" t="n">
        <x:v>106.2684010607</x:v>
      </x:c>
      <x:c r="L40" s="60" t="n">
        <x:v>3.4896737179</x:v>
      </x:c>
      <x:c r="M40" s="60" t="n">
        <x:v>106.2703041319</x:v>
      </x:c>
      <x:c r="N40" s="46" t="str">
        <x:v>squalidae</x:v>
      </x:c>
      <x:c r="O40" s="62" t="n">
        <x:v>4.23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Squalidae</x:v>
      </x:c>
      <x:c r="T40" s="62" t="n">
        <x:f>IF(O40="","",(1/'Metadata'!$B$5)^(O40-1))</x:f>
        <x:v>15934.076063346663</x:v>
      </x:c>
      <x:c r="U40" s="60" t="n">
        <x:f>IF(T40="","",I40*T40)</x:f>
        <x:v>1748923.835769958</x:v>
      </x:c>
    </x:row>
    <x:row r="41" ht="18" customHeight="1">
      <x:c r="A41" s="46" t="str">
        <x:v>LME_043</x:v>
      </x:c>
      <x:c r="B41" s="46" t="str">
        <x:v>Southwest Australian Shelf</x:v>
      </x:c>
      <x:c r="C41" s="46" t="str">
        <x:v>LME</x:v>
      </x:c>
      <x:c r="D41" s="58" t="n">
        <x:v>2019</x:v>
      </x:c>
      <x:c r="E41" s="46" t="str">
        <x:v>Portunus armatus</x:v>
      </x:c>
      <x:c r="F41" s="46" t="str">
        <x:v>Blue swimmer crab</x:v>
      </x:c>
      <x:c r="G41" s="46" t="str">
        <x:v>Lobsters, crabs</x:v>
      </x:c>
      <x:c r="H41" s="46" t="str">
        <x:v>Crustaceans</x:v>
      </x:c>
      <x:c r="I41" s="60" t="n">
        <x:v>107.6726607323</x:v>
      </x:c>
      <x:c r="J41" s="60" t="n">
        <x:v>107.6726607323</x:v>
      </x:c>
      <x:c r="K41" s="60" t="n">
        <x:v>0</x:v>
      </x:c>
      <x:c r="L41" s="60" t="n">
        <x:v>0</x:v>
      </x:c>
      <x:c r="M41" s="60" t="n">
        <x:v>107.6726607323</x:v>
      </x:c>
      <x:c r="N41" s="46" t="str">
        <x:v>portunus armatus</x:v>
      </x:c>
      <x:c r="O41" s="62" t="n">
        <x:v>3.26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Portunus armatus</x:v>
      </x:c>
      <x:c r="T41" s="62" t="n">
        <x:f>IF(O41="","",(1/'Metadata'!$B$5)^(O41-1))</x:f>
        <x:v>871.6212107848935</x:v>
      </x:c>
      <x:c r="U41" s="60" t="n">
        <x:f>IF(T41="","",I41*T41)</x:f>
        <x:v>93849.77491591839</x:v>
      </x:c>
    </x:row>
    <x:row r="42" ht="18" customHeight="1">
      <x:c r="A42" s="46" t="str">
        <x:v>LME_043</x:v>
      </x:c>
      <x:c r="B42" s="46" t="str">
        <x:v>Southwest Australian Shelf</x:v>
      </x:c>
      <x:c r="C42" s="46" t="str">
        <x:v>LME</x:v>
      </x:c>
      <x:c r="D42" s="58" t="n">
        <x:v>2019</x:v>
      </x:c>
      <x:c r="E42" s="46" t="str">
        <x:v>Teuthida</x:v>
      </x:c>
      <x:c r="F42" s="46" t="str">
        <x:v>Squids</x:v>
      </x:c>
      <x:c r="G42" s="46" t="str">
        <x:v>Cephalopods</x:v>
      </x:c>
      <x:c r="H42" s="46" t="str">
        <x:v>Other fishes &amp; inverts</x:v>
      </x:c>
      <x:c r="I42" s="60" t="n">
        <x:v>106.0080344031</x:v>
      </x:c>
      <x:c r="J42" s="60" t="n">
        <x:v>106.0080344031</x:v>
      </x:c>
      <x:c r="K42" s="60" t="n">
        <x:v>0</x:v>
      </x:c>
      <x:c r="L42" s="60" t="n">
        <x:v>44.2084351396</x:v>
      </x:c>
      <x:c r="M42" s="60" t="n">
        <x:v>61.7995992635</x:v>
      </x:c>
      <x:c r="N42" s="46" t="str">
        <x:v>teuthida</x:v>
      </x:c>
      <x:c r="O42" s="62" t="n">
        <x:v>4.13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Teuthida</x:v>
      </x:c>
      <x:c r="T42" s="62" t="n">
        <x:f>IF(O42="","",(1/'Metadata'!$B$5)^(O42-1))</x:f>
        <x:v>11809.292685236613</x:v>
      </x:c>
      <x:c r="U42" s="60" t="n">
        <x:f>IF(T42="","",I42*T42)</x:f>
        <x:v>1251879.90525284</x:v>
      </x:c>
    </x:row>
    <x:row r="43" ht="18" customHeight="1">
      <x:c r="A43" s="46" t="str">
        <x:v>LME_043</x:v>
      </x:c>
      <x:c r="B43" s="46" t="str">
        <x:v>Southwest Australian Shelf</x:v>
      </x:c>
      <x:c r="C43" s="46" t="str">
        <x:v>LME</x:v>
      </x:c>
      <x:c r="D43" s="58" t="n">
        <x:v>2019</x:v>
      </x:c>
      <x:c r="E43" s="46" t="str">
        <x:v>Seriolella punctata</x:v>
      </x:c>
      <x:c r="F43" s="46" t="str">
        <x:v>Silver warehou</x:v>
      </x:c>
      <x:c r="G43" s="46" t="str">
        <x:v>Medium benthopelagics (30 - 89 cm)</x:v>
      </x:c>
      <x:c r="H43" s="46" t="str">
        <x:v>Perch-likes</x:v>
      </x:c>
      <x:c r="I43" s="60" t="n">
        <x:v>92.9754292949</x:v>
      </x:c>
      <x:c r="J43" s="60" t="n">
        <x:v>73.0814009755</x:v>
      </x:c>
      <x:c r="K43" s="60" t="n">
        <x:v>19.8940283194</x:v>
      </x:c>
      <x:c r="L43" s="60" t="n">
        <x:v>73.0814009755</x:v>
      </x:c>
      <x:c r="M43" s="60" t="n">
        <x:v>19.8940283194</x:v>
      </x:c>
      <x:c r="N43" s="46" t="str">
        <x:v>seriolella punctata</x:v>
      </x:c>
      <x:c r="O43" s="62" t="n">
        <x:v>3.4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Seriolella punctata</x:v>
      </x:c>
      <x:c r="T43" s="62" t="n">
        <x:f>IF(O43="","",(1/'Metadata'!$B$5)^(O43-1))</x:f>
        <x:v>1325.7816069359944</x:v>
      </x:c>
      <x:c r="U43" s="60" t="n">
        <x:f>IF(T43="","",I43*T43)</x:f>
        <x:v>123265.11405615645</x:v>
      </x:c>
    </x:row>
    <x:row r="44" ht="18" customHeight="1">
      <x:c r="A44" s="46" t="str">
        <x:v>LME_043</x:v>
      </x:c>
      <x:c r="B44" s="46" t="str">
        <x:v>Southwest Australian Shelf</x:v>
      </x:c>
      <x:c r="C44" s="46" t="str">
        <x:v>LME</x:v>
      </x:c>
      <x:c r="D44" s="58" t="n">
        <x:v>2019</x:v>
      </x:c>
      <x:c r="E44" s="46" t="str">
        <x:v>Macrouridae</x:v>
      </x:c>
      <x:c r="F44" s="46" t="str">
        <x:v>Grenadiers, rattails</x:v>
      </x:c>
      <x:c r="G44" s="46" t="str">
        <x:v>Medium benthopelagics (30 - 89 cm)</x:v>
      </x:c>
      <x:c r="H44" s="46" t="str">
        <x:v>Cod-likes</x:v>
      </x:c>
      <x:c r="I44" s="60" t="n">
        <x:v>88.78329596459999</x:v>
      </x:c>
      <x:c r="J44" s="60" t="n">
        <x:v>0.0238886526</x:v>
      </x:c>
      <x:c r="K44" s="60" t="n">
        <x:v>88.759407312</x:v>
      </x:c>
      <x:c r="L44" s="60" t="n">
        <x:v>0.0238886526</x:v>
      </x:c>
      <x:c r="M44" s="60" t="n">
        <x:v>88.759407312</x:v>
      </x:c>
      <x:c r="N44" s="46" t="str">
        <x:v>macrouridae</x:v>
      </x:c>
      <x:c r="O44" s="62" t="n">
        <x:v>3.88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Macrouridae</x:v>
      </x:c>
      <x:c r="T44" s="62" t="n">
        <x:f>IF(O44="","",(1/'Metadata'!$B$5)^(O44-1))</x:f>
        <x:v>5584.269732662554</x:v>
      </x:c>
      <x:c r="U44" s="60" t="n">
        <x:f>IF(T44="","",I44*T44)</x:f>
        <x:v>495789.8724211372</x:v>
      </x:c>
    </x:row>
    <x:row r="45" ht="18" customHeight="1">
      <x:c r="A45" s="46" t="str">
        <x:v>LME_043</x:v>
      </x:c>
      <x:c r="B45" s="46" t="str">
        <x:v>Southwest Australian Shelf</x:v>
      </x:c>
      <x:c r="C45" s="46" t="str">
        <x:v>LME</x:v>
      </x:c>
      <x:c r="D45" s="58" t="n">
        <x:v>2019</x:v>
      </x:c>
      <x:c r="E45" s="46" t="str">
        <x:v>Monacanthidae</x:v>
      </x:c>
      <x:c r="F45" s="46" t="str">
        <x:v>Filefishes</x:v>
      </x:c>
      <x:c r="G45" s="46" t="str">
        <x:v>Medium reef assoc. fish (30 - 89 cm)</x:v>
      </x:c>
      <x:c r="H45" s="46" t="str">
        <x:v>Other fishes &amp; inverts</x:v>
      </x:c>
      <x:c r="I45" s="60" t="n">
        <x:v>88.08305732310001</x:v>
      </x:c>
      <x:c r="J45" s="60" t="n">
        <x:v>55.418873165200004</x:v>
      </x:c>
      <x:c r="K45" s="60" t="n">
        <x:v>32.6641841579</x:v>
      </x:c>
      <x:c r="L45" s="60" t="n">
        <x:v>36.73916073</x:v>
      </x:c>
      <x:c r="M45" s="60" t="n">
        <x:v>51.343896593100006</x:v>
      </x:c>
      <x:c r="N45" s="46" t="str">
        <x:v>monacanthidae</x:v>
      </x:c>
      <x:c r="O45" s="62" t="n">
        <x:v>3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Monacanthidae</x:v>
      </x:c>
      <x:c r="T45" s="62" t="n">
        <x:f>IF(O45="","",(1/'Metadata'!$B$5)^(O45-1))</x:f>
        <x:v>400</x:v>
      </x:c>
      <x:c r="U45" s="60" t="n">
        <x:f>IF(T45="","",I45*T45)</x:f>
        <x:v>35233.22292924</x:v>
      </x:c>
    </x:row>
    <x:row r="46" ht="18" customHeight="1">
      <x:c r="A46" s="46" t="str">
        <x:v>LME_043</x:v>
      </x:c>
      <x:c r="B46" s="46" t="str">
        <x:v>Southwest Australian Shelf</x:v>
      </x:c>
      <x:c r="C46" s="46" t="str">
        <x:v>LME</x:v>
      </x:c>
      <x:c r="D46" s="58" t="n">
        <x:v>2019</x:v>
      </x:c>
      <x:c r="E46" s="46" t="str">
        <x:v>Rexea solandri</x:v>
      </x:c>
      <x:c r="F46" s="46" t="str">
        <x:v>Silver gemfish</x:v>
      </x:c>
      <x:c r="G46" s="46" t="str">
        <x:v>Large benthopelagics (&gt;=90 cm)</x:v>
      </x:c>
      <x:c r="H46" s="46" t="str">
        <x:v>Perch-likes</x:v>
      </x:c>
      <x:c r="I46" s="60" t="n">
        <x:v>87.09468850050001</x:v>
      </x:c>
      <x:c r="J46" s="60" t="n">
        <x:v>87.09468850050001</x:v>
      </x:c>
      <x:c r="K46" s="60" t="n">
        <x:v>0</x:v>
      </x:c>
      <x:c r="L46" s="60" t="n">
        <x:v>87.0946251516</x:v>
      </x:c>
      <x:c r="M46" s="60" t="n">
        <x:v>0.0000633489</x:v>
      </x:c>
      <x:c r="N46" s="46" t="str">
        <x:v>rexea solandri</x:v>
      </x:c>
      <x:c r="O46" s="62" t="n">
        <x:v>4.31</x:v>
      </x:c>
      <x:c r="P46" s="46" t="str">
        <x:v>exact_2020_supplement</x:v>
      </x:c>
      <x:c r="Q46" s="62" t="str">
        <x:v>2020 supplement MeanTL</x:v>
      </x:c>
      <x:c r="R46" s="46" t="str">
        <x:v>high</x:v>
      </x:c>
      <x:c r="S46" s="46" t="str">
        <x:v>Rexea solandri</x:v>
      </x:c>
      <x:c r="T46" s="62" t="n">
        <x:f>IF(O46="","",(1/'Metadata'!$B$5)^(O46-1))</x:f>
        <x:v>20249.266010115305</x:v>
      </x:c>
      <x:c r="U46" s="60" t="n">
        <x:f>IF(T46="","",I46*T46)</x:f>
        <x:v>1763603.5155147552</x:v>
      </x:c>
    </x:row>
    <x:row r="47" ht="18" customHeight="1">
      <x:c r="A47" s="46" t="str">
        <x:v>LME_043</x:v>
      </x:c>
      <x:c r="B47" s="46" t="str">
        <x:v>Southwest Australian Shelf</x:v>
      </x:c>
      <x:c r="C47" s="46" t="str">
        <x:v>LME</x:v>
      </x:c>
      <x:c r="D47" s="58" t="n">
        <x:v>2019</x:v>
      </x:c>
      <x:c r="E47" s="46" t="str">
        <x:v>Serranidae</x:v>
      </x:c>
      <x:c r="F47" s="46" t="str">
        <x:v>Basses, groupers, hinds</x:v>
      </x:c>
      <x:c r="G47" s="46" t="str">
        <x:v>Medium reef assoc. fish (30 - 89 cm)</x:v>
      </x:c>
      <x:c r="H47" s="46" t="str">
        <x:v>Perch-likes</x:v>
      </x:c>
      <x:c r="I47" s="60" t="n">
        <x:v>81.75608259250001</x:v>
      </x:c>
      <x:c r="J47" s="60" t="n">
        <x:v>81.75608259250001</x:v>
      </x:c>
      <x:c r="K47" s="60" t="n">
        <x:v>0</x:v>
      </x:c>
      <x:c r="L47" s="60" t="n">
        <x:v>5.4554275233</x:v>
      </x:c>
      <x:c r="M47" s="60" t="n">
        <x:v>76.3006550692</x:v>
      </x:c>
      <x:c r="N47" s="46" t="str">
        <x:v>serranidae</x:v>
      </x:c>
      <x:c r="O47" s="62" t="n">
        <x:v>3.98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Serranidae</x:v>
      </x:c>
      <x:c r="T47" s="62" t="n">
        <x:f>IF(O47="","",(1/'Metadata'!$B$5)^(O47-1))</x:f>
        <x:v>7534.759367064222</x:v>
      </x:c>
      <x:c r="U47" s="60" t="n">
        <x:f>IF(T47="","",I47*T47)</x:f>
        <x:v>616012.4091283156</x:v>
      </x:c>
    </x:row>
    <x:row r="48" ht="18" customHeight="1">
      <x:c r="A48" s="46" t="str">
        <x:v>LME_043</x:v>
      </x:c>
      <x:c r="B48" s="46" t="str">
        <x:v>Southwest Australian Shelf</x:v>
      </x:c>
      <x:c r="C48" s="46" t="str">
        <x:v>LME</x:v>
      </x:c>
      <x:c r="D48" s="58" t="n">
        <x:v>2019</x:v>
      </x:c>
      <x:c r="E48" s="46" t="str">
        <x:v>Marine finfishes not identified</x:v>
      </x:c>
      <x:c r="F48" s="46" t="str">
        <x:v>Finfishes</x:v>
      </x:c>
      <x:c r="G48" s="46" t="str">
        <x:v>Medium demersals (30 - 89 cm)</x:v>
      </x:c>
      <x:c r="H48" s="46" t="str">
        <x:v>Other fishes &amp; inverts</x:v>
      </x:c>
      <x:c r="I48" s="60" t="n">
        <x:v>75.7684581039</x:v>
      </x:c>
      <x:c r="J48" s="60" t="n">
        <x:v>48.0058416245</x:v>
      </x:c>
      <x:c r="K48" s="60" t="n">
        <x:v>27.7626164794</x:v>
      </x:c>
      <x:c r="L48" s="60" t="n">
        <x:v>47.9889165286</x:v>
      </x:c>
      <x:c r="M48" s="60" t="n">
        <x:v>27.779541575299998</x:v>
      </x:c>
      <x:c r="N48" s="46" t="str">
        <x:v>marine finfishes not identified</x:v>
      </x:c>
      <x:c r="O48" s="62" t="n">
        <x:v>3.23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Marine finfishes not identified</x:v>
      </x:c>
      <x:c r="T48" s="62" t="n">
        <x:f>IF(O48="","",(1/'Metadata'!$B$5)^(O48-1))</x:f>
        <x:v>796.7038031673321</x:v>
      </x:c>
      <x:c r="U48" s="60" t="n">
        <x:f>IF(T48="","",I48*T48)</x:f>
        <x:v>60365.0187315018</x:v>
      </x:c>
    </x:row>
    <x:row r="49" ht="18" customHeight="1">
      <x:c r="A49" s="46" t="str">
        <x:v>LME_043</x:v>
      </x:c>
      <x:c r="B49" s="46" t="str">
        <x:v>Southwest Australian Shelf</x:v>
      </x:c>
      <x:c r="C49" s="46" t="str">
        <x:v>LME</x:v>
      </x:c>
      <x:c r="D49" s="58" t="n">
        <x:v>2019</x:v>
      </x:c>
      <x:c r="E49" s="46" t="str">
        <x:v>Squalus</x:v>
      </x:c>
      <x:c r="F49" s="46" t="str">
        <x:v>Dogfishes</x:v>
      </x:c>
      <x:c r="G49" s="46" t="str">
        <x:v>Large sharks (&gt;=90 cm)</x:v>
      </x:c>
      <x:c r="H49" s="46" t="str">
        <x:v>Sharks &amp; rays</x:v>
      </x:c>
      <x:c r="I49" s="60" t="n">
        <x:v>71.4347950258</x:v>
      </x:c>
      <x:c r="J49" s="60" t="n">
        <x:v>3.0935849148999996</x:v>
      </x:c>
      <x:c r="K49" s="60" t="n">
        <x:v>68.3412101109</x:v>
      </x:c>
      <x:c r="L49" s="60" t="n">
        <x:v>3.0934377579</x:v>
      </x:c>
      <x:c r="M49" s="60" t="n">
        <x:v>68.3413572679</x:v>
      </x:c>
      <x:c r="N49" s="46" t="str">
        <x:v>squalus</x:v>
      </x:c>
      <x:c r="O49" s="62" t="n">
        <x:v>4.23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Squalus</x:v>
      </x:c>
      <x:c r="T49" s="62" t="n">
        <x:f>IF(O49="","",(1/'Metadata'!$B$5)^(O49-1))</x:f>
        <x:v>15934.076063346663</x:v>
      </x:c>
      <x:c r="U49" s="60" t="n">
        <x:f>IF(T49="","",I49*T49)</x:f>
        <x:v>1138247.457510675</x:v>
      </x:c>
    </x:row>
    <x:row r="50" ht="18" customHeight="1">
      <x:c r="A50" s="46" t="str">
        <x:v>LME_043</x:v>
      </x:c>
      <x:c r="B50" s="46" t="str">
        <x:v>Southwest Australian Shelf</x:v>
      </x:c>
      <x:c r="C50" s="46" t="str">
        <x:v>LME</x:v>
      </x:c>
      <x:c r="D50" s="58" t="n">
        <x:v>2019</x:v>
      </x:c>
      <x:c r="E50" s="46" t="str">
        <x:v>Chimaeriformes</x:v>
      </x:c>
      <x:c r="F50" s="46" t="str">
        <x:v>Chimaeras</x:v>
      </x:c>
      <x:c r="G50" s="46" t="str">
        <x:v>Large rays (&gt;=90 cm)</x:v>
      </x:c>
      <x:c r="H50" s="46" t="str">
        <x:v>Sharks &amp; rays</x:v>
      </x:c>
      <x:c r="I50" s="60" t="n">
        <x:v>67.95097637040001</x:v>
      </x:c>
      <x:c r="J50" s="60" t="n">
        <x:v>2.9311035327</x:v>
      </x:c>
      <x:c r="K50" s="60" t="n">
        <x:v>65.0198728377</x:v>
      </x:c>
      <x:c r="L50" s="60" t="n">
        <x:v>2.9311035327</x:v>
      </x:c>
      <x:c r="M50" s="60" t="n">
        <x:v>65.0198728377</x:v>
      </x:c>
      <x:c r="N50" s="46" t="str">
        <x:v>chimaeriformes</x:v>
      </x:c>
      <x:c r="O50" s="62" t="n">
        <x:v>3.37</x:v>
      </x:c>
      <x:c r="P50" s="46" t="str">
        <x:v>exact_sea_around_us</x:v>
      </x:c>
      <x:c r="Q50" s="62" t="str">
        <x:v>Sea Around Us exploited organisms</x:v>
      </x:c>
      <x:c r="R50" s="46" t="str">
        <x:v>high</x:v>
      </x:c>
      <x:c r="S50" s="46" t="str">
        <x:v>Chimaeriformes</x:v>
      </x:c>
      <x:c r="T50" s="62" t="n">
        <x:f>IF(O50="","",(1/'Metadata'!$B$5)^(O50-1))</x:f>
        <x:v>1211.828298056271</x:v>
      </x:c>
      <x:c r="U50" s="60" t="n">
        <x:f>IF(T50="","",I50*T50)</x:f>
        <x:v>82344.91604620374</x:v>
      </x:c>
    </x:row>
    <x:row r="51" ht="18" customHeight="1">
      <x:c r="A51" s="46" t="str">
        <x:v>LME_043</x:v>
      </x:c>
      <x:c r="B51" s="46" t="str">
        <x:v>Southwest Australian Shelf</x:v>
      </x:c>
      <x:c r="C51" s="46" t="str">
        <x:v>LME</x:v>
      </x:c>
      <x:c r="D51" s="58" t="n">
        <x:v>2019</x:v>
      </x:c>
      <x:c r="E51" s="46" t="str">
        <x:v>Decapoda</x:v>
      </x:c>
      <x:c r="F51" s="46" t="str">
        <x:v>Crabs, lobsters, shrimps</x:v>
      </x:c>
      <x:c r="G51" s="46" t="str">
        <x:v>Lobsters, crabs</x:v>
      </x:c>
      <x:c r="H51" s="46" t="str">
        <x:v>Crustaceans</x:v>
      </x:c>
      <x:c r="I51" s="60" t="n">
        <x:v>63.1005543544</x:v>
      </x:c>
      <x:c r="J51" s="60" t="n">
        <x:v>62.8447188556</x:v>
      </x:c>
      <x:c r="K51" s="60" t="n">
        <x:v>0.2558354988</x:v>
      </x:c>
      <x:c r="L51" s="60" t="n">
        <x:v>62.8447188556</x:v>
      </x:c>
      <x:c r="M51" s="60" t="n">
        <x:v>0.2558354988</x:v>
      </x:c>
      <x:c r="N51" s="46" t="str">
        <x:v>decapoda</x:v>
      </x:c>
      <x:c r="O51" s="62" t="n">
        <x:v>3.43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Decapoda</x:v>
      </x:c>
      <x:c r="T51" s="62" t="n">
        <x:f>IF(O51="","",(1/'Metadata'!$B$5)^(O51-1))</x:f>
        <x:v>1450.450424461182</x:v>
      </x:c>
      <x:c r="U51" s="60" t="n">
        <x:f>IF(T51="","",I51*T51)</x:f>
        <x:v>91524.22584707536</x:v>
      </x:c>
    </x:row>
    <x:row r="52" ht="18" customHeight="1">
      <x:c r="A52" s="46" t="str">
        <x:v>LME_043</x:v>
      </x:c>
      <x:c r="B52" s="46" t="str">
        <x:v>Southwest Australian Shelf</x:v>
      </x:c>
      <x:c r="C52" s="46" t="str">
        <x:v>LME</x:v>
      </x:c>
      <x:c r="D52" s="58" t="n">
        <x:v>2019</x:v>
      </x:c>
      <x:c r="E52" s="46" t="str">
        <x:v>Chondrichthyes</x:v>
      </x:c>
      <x:c r="F52" s="46" t="str">
        <x:v>Sharks, rays, chimaeras</x:v>
      </x:c>
      <x:c r="G52" s="46" t="str">
        <x:v>Large sharks (&gt;=90 cm)</x:v>
      </x:c>
      <x:c r="H52" s="46" t="str">
        <x:v>Sharks &amp; rays</x:v>
      </x:c>
      <x:c r="I52" s="60" t="n">
        <x:v>58.0464906212</x:v>
      </x:c>
      <x:c r="J52" s="60" t="n">
        <x:v>58.0464906212</x:v>
      </x:c>
      <x:c r="K52" s="60" t="n">
        <x:v>0</x:v>
      </x:c>
      <x:c r="L52" s="60" t="n">
        <x:v>57.8461358367</x:v>
      </x:c>
      <x:c r="M52" s="60" t="n">
        <x:v>0.2003547845</x:v>
      </x:c>
      <x:c r="N52" s="46" t="str">
        <x:v>chondrichthyes</x:v>
      </x:c>
      <x:c r="O52" s="62" t="n">
        <x:v>4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Chondrichthyes</x:v>
      </x:c>
      <x:c r="T52" s="62" t="n">
        <x:f>IF(O52="","",(1/'Metadata'!$B$5)^(O52-1))</x:f>
        <x:v>8000</x:v>
      </x:c>
      <x:c r="U52" s="60" t="n">
        <x:f>IF(T52="","",I52*T52)</x:f>
        <x:v>464371.9249696</x:v>
      </x:c>
    </x:row>
    <x:row r="53" ht="18" customHeight="1">
      <x:c r="A53" s="46" t="str">
        <x:v>LME_043</x:v>
      </x:c>
      <x:c r="B53" s="46" t="str">
        <x:v>Southwest Australian Shelf</x:v>
      </x:c>
      <x:c r="C53" s="46" t="str">
        <x:v>LME</x:v>
      </x:c>
      <x:c r="D53" s="58" t="n">
        <x:v>2019</x:v>
      </x:c>
      <x:c r="E53" s="46" t="str">
        <x:v>Mugil cephalus</x:v>
      </x:c>
      <x:c r="F53" s="46" t="str">
        <x:v>Flathead grey mullet</x:v>
      </x:c>
      <x:c r="G53" s="46" t="str">
        <x:v>Large benthopelagics (&gt;=90 cm)</x:v>
      </x:c>
      <x:c r="H53" s="46" t="str">
        <x:v>Perch-likes</x:v>
      </x:c>
      <x:c r="I53" s="60" t="n">
        <x:v>57.1333199842</x:v>
      </x:c>
      <x:c r="J53" s="60" t="n">
        <x:v>57.1333199842</x:v>
      </x:c>
      <x:c r="K53" s="60" t="n">
        <x:v>0</x:v>
      </x:c>
      <x:c r="L53" s="60" t="n">
        <x:v>43.2558238787</x:v>
      </x:c>
      <x:c r="M53" s="60" t="n">
        <x:v>13.8774961055</x:v>
      </x:c>
      <x:c r="N53" s="46" t="str">
        <x:v>mugil cephalus</x:v>
      </x:c>
      <x:c r="O53" s="62" t="n">
        <x:v>2.14</x:v>
      </x:c>
      <x:c r="P53" s="46" t="str">
        <x:v>exact_2020_supplement</x:v>
      </x:c>
      <x:c r="Q53" s="62" t="str">
        <x:v>2020 supplement MeanTL</x:v>
      </x:c>
      <x:c r="R53" s="46" t="str">
        <x:v>high</x:v>
      </x:c>
      <x:c r="S53" s="46" t="str">
        <x:v>Mugil cephalus</x:v>
      </x:c>
      <x:c r="T53" s="62" t="n">
        <x:f>IF(O53="","",(1/'Metadata'!$B$5)^(O53-1))</x:f>
        <x:v>30.421049660829848</x:v>
      </x:c>
      <x:c r="U53" s="60" t="n">
        <x:f>IF(T53="","",I53*T53)</x:f>
        <x:v>1738.0555645274305</x:v>
      </x:c>
    </x:row>
    <x:row r="54" ht="18" customHeight="1">
      <x:c r="A54" s="46" t="str">
        <x:v>LME_043</x:v>
      </x:c>
      <x:c r="B54" s="46" t="str">
        <x:v>Southwest Australian Shelf</x:v>
      </x:c>
      <x:c r="C54" s="46" t="str">
        <x:v>LME</x:v>
      </x:c>
      <x:c r="D54" s="58" t="n">
        <x:v>2019</x:v>
      </x:c>
      <x:c r="E54" s="46" t="str">
        <x:v>Chelidonichthys kumu</x:v>
      </x:c>
      <x:c r="F54" s="46" t="str">
        <x:v>Bluefin gurnard</x:v>
      </x:c>
      <x:c r="G54" s="46" t="str">
        <x:v>Medium demersals (30 - 89 cm)</x:v>
      </x:c>
      <x:c r="H54" s="46" t="str">
        <x:v>Scorpionfishes</x:v>
      </x:c>
      <x:c r="I54" s="60" t="n">
        <x:v>54.037841459</x:v>
      </x:c>
      <x:c r="J54" s="60" t="n">
        <x:v>54.037841459</x:v>
      </x:c>
      <x:c r="K54" s="60" t="n">
        <x:v>0</x:v>
      </x:c>
      <x:c r="L54" s="60" t="n">
        <x:v>54.0345594594</x:v>
      </x:c>
      <x:c r="M54" s="60" t="n">
        <x:v>0.0032819996</x:v>
      </x:c>
      <x:c r="N54" s="46" t="str">
        <x:v>chelidonichthys kumu</x:v>
      </x:c>
      <x:c r="O54" s="62" t="n">
        <x:v>3.68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Chelidonichthys kumu</x:v>
      </x:c>
      <x:c r="T54" s="62" t="n">
        <x:f>IF(O54="","",(1/'Metadata'!$B$5)^(O54-1))</x:f>
        <x:v>3067.3291957408446</x:v>
      </x:c>
      <x:c r="U54" s="60" t="n">
        <x:f>IF(T54="","",I54*T54)</x:f>
        <x:v>165751.84878200575</x:v>
      </x:c>
    </x:row>
    <x:row r="55" ht="18" customHeight="1">
      <x:c r="A55" s="46" t="str">
        <x:v>LME_043</x:v>
      </x:c>
      <x:c r="B55" s="46" t="str">
        <x:v>Southwest Australian Shelf</x:v>
      </x:c>
      <x:c r="C55" s="46" t="str">
        <x:v>LME</x:v>
      </x:c>
      <x:c r="D55" s="58" t="n">
        <x:v>2019</x:v>
      </x:c>
      <x:c r="E55" s="46" t="str">
        <x:v>Lutjanus</x:v>
      </x:c>
      <x:c r="F55" s="46" t="str">
        <x:v>Snappers</x:v>
      </x:c>
      <x:c r="G55" s="46" t="str">
        <x:v>Medium reef assoc. fish (30 - 89 cm)</x:v>
      </x:c>
      <x:c r="H55" s="46" t="str">
        <x:v>Perch-likes</x:v>
      </x:c>
      <x:c r="I55" s="60" t="n">
        <x:v>50.1701370614</x:v>
      </x:c>
      <x:c r="J55" s="60" t="n">
        <x:v>50.1701370614</x:v>
      </x:c>
      <x:c r="K55" s="60" t="n">
        <x:v>0</x:v>
      </x:c>
      <x:c r="L55" s="60" t="n">
        <x:v>24.9850711875</x:v>
      </x:c>
      <x:c r="M55" s="60" t="n">
        <x:v>25.185065873899998</x:v>
      </x:c>
      <x:c r="N55" s="46" t="str">
        <x:v>lutjanus</x:v>
      </x:c>
      <x:c r="O55" s="62" t="n">
        <x:v>4.02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Lutjanus</x:v>
      </x:c>
      <x:c r="T55" s="62" t="n">
        <x:f>IF(O55="","",(1/'Metadata'!$B$5)^(O55-1))</x:f>
        <x:v>8493.967342839818</x:v>
      </x:c>
      <x:c r="U55" s="60" t="n">
        <x:f>IF(T55="","",I55*T55)</x:f>
        <x:v>426143.5057853292</x:v>
      </x:c>
    </x:row>
    <x:row r="56" ht="18" customHeight="1">
      <x:c r="A56" s="46" t="str">
        <x:v>LME_043</x:v>
      </x:c>
      <x:c r="B56" s="46" t="str">
        <x:v>Southwest Australian Shelf</x:v>
      </x:c>
      <x:c r="C56" s="46" t="str">
        <x:v>LME</x:v>
      </x:c>
      <x:c r="D56" s="58" t="n">
        <x:v>2019</x:v>
      </x:c>
      <x:c r="E56" s="46" t="str">
        <x:v>Seriola hippos</x:v>
      </x:c>
      <x:c r="F56" s="46" t="str">
        <x:v>Samson fish</x:v>
      </x:c>
      <x:c r="G56" s="46" t="str">
        <x:v>Small pelagics (&lt;30 cm)</x:v>
      </x:c>
      <x:c r="H56" s="46" t="str">
        <x:v>Perch-likes</x:v>
      </x:c>
      <x:c r="I56" s="60" t="n">
        <x:v>49.9622350302</x:v>
      </x:c>
      <x:c r="J56" s="60" t="n">
        <x:v>49.9622350302</x:v>
      </x:c>
      <x:c r="K56" s="60" t="n">
        <x:v>0</x:v>
      </x:c>
      <x:c r="L56" s="60" t="n">
        <x:v>0.216727887</x:v>
      </x:c>
      <x:c r="M56" s="60" t="n">
        <x:v>49.7455071432</x:v>
      </x:c>
      <x:c r="N56" s="46" t="str">
        <x:v>seriola hippos</x:v>
      </x:c>
      <x:c r="O56" s="62" t="n">
        <x:v>4.5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Seriola hippos</x:v>
      </x:c>
      <x:c r="T56" s="62" t="n">
        <x:f>IF(O56="","",(1/'Metadata'!$B$5)^(O56-1))</x:f>
        <x:v>35777.08763999664</x:v>
      </x:c>
      <x:c r="U56" s="60" t="n">
        <x:f>IF(T56="","",I56*T56)</x:f>
        <x:v>1787503.2613655753</x:v>
      </x:c>
    </x:row>
    <x:row r="57" ht="18" customHeight="1">
      <x:c r="A57" s="46" t="str">
        <x:v>LME_043</x:v>
      </x:c>
      <x:c r="B57" s="46" t="str">
        <x:v>Southwest Australian Shelf</x:v>
      </x:c>
      <x:c r="C57" s="46" t="str">
        <x:v>LME</x:v>
      </x:c>
      <x:c r="D57" s="58" t="n">
        <x:v>2019</x:v>
      </x:c>
      <x:c r="E57" s="46" t="str">
        <x:v>Carcharhinus brachyurus</x:v>
      </x:c>
      <x:c r="F57" s="46" t="str">
        <x:v>Copper shark</x:v>
      </x:c>
      <x:c r="G57" s="46" t="str">
        <x:v>Large sharks (&gt;=90 cm)</x:v>
      </x:c>
      <x:c r="H57" s="46" t="str">
        <x:v>Sharks &amp; rays</x:v>
      </x:c>
      <x:c r="I57" s="60" t="n">
        <x:v>49.8534370601</x:v>
      </x:c>
      <x:c r="J57" s="60" t="n">
        <x:v>49.8534370601</x:v>
      </x:c>
      <x:c r="K57" s="60" t="n">
        <x:v>0</x:v>
      </x:c>
      <x:c r="L57" s="60" t="n">
        <x:v>43.7803127889</x:v>
      </x:c>
      <x:c r="M57" s="60" t="n">
        <x:v>6.0731242712</x:v>
      </x:c>
      <x:c r="N57" s="46" t="str">
        <x:v>carcharhinus brachyurus</x:v>
      </x:c>
      <x:c r="O57" s="62" t="n">
        <x:v>4.5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Carcharhinus brachyurus</x:v>
      </x:c>
      <x:c r="T57" s="62" t="n">
        <x:f>IF(O57="","",(1/'Metadata'!$B$5)^(O57-1))</x:f>
        <x:v>35777.08763999664</x:v>
      </x:c>
      <x:c r="U57" s="60" t="n">
        <x:f>IF(T57="","",I57*T57)</x:f>
        <x:v>1783610.7868542538</x:v>
      </x:c>
    </x:row>
    <x:row r="58" ht="18" customHeight="1">
      <x:c r="A58" s="46" t="str">
        <x:v>LME_043</x:v>
      </x:c>
      <x:c r="B58" s="46" t="str">
        <x:v>Southwest Australian Shelf</x:v>
      </x:c>
      <x:c r="C58" s="46" t="str">
        <x:v>LME</x:v>
      </x:c>
      <x:c r="D58" s="58" t="n">
        <x:v>2019</x:v>
      </x:c>
      <x:c r="E58" s="46" t="str">
        <x:v>Trachurus</x:v>
      </x:c>
      <x:c r="F58" s="46" t="str">
        <x:v>Jacks, horse mackerels</x:v>
      </x:c>
      <x:c r="G58" s="46" t="str">
        <x:v>Medium pelagics (30 - 89 cm)</x:v>
      </x:c>
      <x:c r="H58" s="46" t="str">
        <x:v>Perch-likes</x:v>
      </x:c>
      <x:c r="I58" s="60" t="n">
        <x:v>46.813696543</x:v>
      </x:c>
      <x:c r="J58" s="60" t="n">
        <x:v>46.813696543</x:v>
      </x:c>
      <x:c r="K58" s="60" t="n">
        <x:v>0</x:v>
      </x:c>
      <x:c r="L58" s="60" t="n">
        <x:v>43.4233123674</x:v>
      </x:c>
      <x:c r="M58" s="60" t="n">
        <x:v>3.3903841756</x:v>
      </x:c>
      <x:c r="N58" s="46" t="str">
        <x:v>trachurus</x:v>
      </x:c>
      <x:c r="O58" s="62" t="n">
        <x:v>3.69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Trachurus</x:v>
      </x:c>
      <x:c r="T58" s="62" t="n">
        <x:f>IF(O58="","",(1/'Metadata'!$B$5)^(O58-1))</x:f>
        <x:v>3160.6083878807954</x:v>
      </x:c>
      <x:c r="U58" s="60" t="n">
        <x:f>IF(T58="","",I58*T58)</x:f>
        <x:v>147959.76196151198</x:v>
      </x:c>
    </x:row>
    <x:row r="59" ht="18" customHeight="1">
      <x:c r="A59" s="46" t="str">
        <x:v>LME_043</x:v>
      </x:c>
      <x:c r="B59" s="46" t="str">
        <x:v>Southwest Australian Shelf</x:v>
      </x:c>
      <x:c r="C59" s="46" t="str">
        <x:v>LME</x:v>
      </x:c>
      <x:c r="D59" s="58" t="n">
        <x:v>2019</x:v>
      </x:c>
      <x:c r="E59" s="46" t="str">
        <x:v>Polyprion oxygeneios</x:v>
      </x:c>
      <x:c r="F59" s="46" t="str">
        <x:v>Hapuku wreckfish</x:v>
      </x:c>
      <x:c r="G59" s="46" t="str">
        <x:v>Large demersals (&gt;=90 cm)</x:v>
      </x:c>
      <x:c r="H59" s="46" t="str">
        <x:v>Perch-likes</x:v>
      </x:c>
      <x:c r="I59" s="60" t="n">
        <x:v>46.688239506399995</x:v>
      </x:c>
      <x:c r="J59" s="60" t="n">
        <x:v>46.688239506399995</x:v>
      </x:c>
      <x:c r="K59" s="60" t="n">
        <x:v>0</x:v>
      </x:c>
      <x:c r="L59" s="60" t="n">
        <x:v>36.8944223647</x:v>
      </x:c>
      <x:c r="M59" s="60" t="n">
        <x:v>9.7938171417</x:v>
      </x:c>
      <x:c r="N59" s="46" t="str">
        <x:v>polyprion oxygeneios</x:v>
      </x:c>
      <x:c r="O59" s="62" t="n">
        <x:v>4.45</x:v>
      </x:c>
      <x:c r="P59" s="46" t="str">
        <x:v>exact_2020_supplement</x:v>
      </x:c>
      <x:c r="Q59" s="62" t="str">
        <x:v>2020 supplement MeanTL</x:v>
      </x:c>
      <x:c r="R59" s="46" t="str">
        <x:v>high</x:v>
      </x:c>
      <x:c r="S59" s="46" t="str">
        <x:v>Polyprion oxygeneios</x:v>
      </x:c>
      <x:c r="T59" s="62" t="n">
        <x:f>IF(O59="","",(1/'Metadata'!$B$5)^(O59-1))</x:f>
        <x:v>30800.19634445362</x:v>
      </x:c>
      <x:c r="U59" s="60" t="n">
        <x:f>IF(T59="","",I59*T59)</x:f>
        <x:v>1438006.943773996</x:v>
      </x:c>
    </x:row>
    <x:row r="60" ht="18" customHeight="1">
      <x:c r="A60" s="46" t="str">
        <x:v>LME_043</x:v>
      </x:c>
      <x:c r="B60" s="46" t="str">
        <x:v>Southwest Australian Shelf</x:v>
      </x:c>
      <x:c r="C60" s="46" t="str">
        <x:v>LME</x:v>
      </x:c>
      <x:c r="D60" s="58" t="n">
        <x:v>2019</x:v>
      </x:c>
      <x:c r="E60" s="46" t="str">
        <x:v>Mora moro</x:v>
      </x:c>
      <x:c r="F60" s="46" t="str">
        <x:v>Common mora</x:v>
      </x:c>
      <x:c r="G60" s="46" t="str">
        <x:v>Medium bathypelagics (30 - 89 cm)</x:v>
      </x:c>
      <x:c r="H60" s="46" t="str">
        <x:v>Cod-likes</x:v>
      </x:c>
      <x:c r="I60" s="60" t="n">
        <x:v>46.4452096741</x:v>
      </x:c>
      <x:c r="J60" s="60" t="n">
        <x:v>46.4452096741</x:v>
      </x:c>
      <x:c r="K60" s="60" t="n">
        <x:v>0</x:v>
      </x:c>
      <x:c r="L60" s="60" t="n">
        <x:v>46.4452096741</x:v>
      </x:c>
      <x:c r="M60" s="60" t="n">
        <x:v>0</x:v>
      </x:c>
      <x:c r="N60" s="46" t="str">
        <x:v>mora moro</x:v>
      </x:c>
      <x:c r="O60" s="62" t="n">
        <x:v>3.75</x:v>
      </x:c>
      <x:c r="P60" s="46" t="str">
        <x:v>exact_2020_supplement</x:v>
      </x:c>
      <x:c r="Q60" s="62" t="str">
        <x:v>2020 supplement MeanTL</x:v>
      </x:c>
      <x:c r="R60" s="46" t="str">
        <x:v>high</x:v>
      </x:c>
      <x:c r="S60" s="46" t="str">
        <x:v>Mora moro</x:v>
      </x:c>
      <x:c r="T60" s="62" t="n">
        <x:f>IF(O60="","",(1/'Metadata'!$B$5)^(O60-1))</x:f>
        <x:v>3782.966436012703</x:v>
      </x:c>
      <x:c r="U60" s="60" t="n">
        <x:f>IF(T60="","",I60*T60)</x:f>
        <x:v>175700.66931069279</x:v>
      </x:c>
    </x:row>
    <x:row r="61" ht="18" customHeight="1">
      <x:c r="A61" s="46" t="str">
        <x:v>LME_043</x:v>
      </x:c>
      <x:c r="B61" s="46" t="str">
        <x:v>Southwest Australian Shelf</x:v>
      </x:c>
      <x:c r="C61" s="46" t="str">
        <x:v>LME</x:v>
      </x:c>
      <x:c r="D61" s="58" t="n">
        <x:v>2019</x:v>
      </x:c>
      <x:c r="E61" s="46" t="str">
        <x:v>Palinuridae</x:v>
      </x:c>
      <x:c r="F61" s="46" t="str">
        <x:v>Spiny lobsters</x:v>
      </x:c>
      <x:c r="G61" s="46" t="str">
        <x:v>Lobsters, crabs</x:v>
      </x:c>
      <x:c r="H61" s="46" t="str">
        <x:v>Crustaceans</x:v>
      </x:c>
      <x:c r="I61" s="60" t="n">
        <x:v>45.7981966572</x:v>
      </x:c>
      <x:c r="J61" s="60" t="n">
        <x:v>45.7981966572</x:v>
      </x:c>
      <x:c r="K61" s="60" t="n">
        <x:v>0</x:v>
      </x:c>
      <x:c r="L61" s="60" t="n">
        <x:v>1.0146591299</x:v>
      </x:c>
      <x:c r="M61" s="60" t="n">
        <x:v>44.7835375273</x:v>
      </x:c>
      <x:c r="N61" s="46" t="str">
        <x:v>palinuridae</x:v>
      </x:c>
      <x:c r="O61" s="62" t="n">
        <x:v>3.14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Palinuridae</x:v>
      </x:c>
      <x:c r="T61" s="62" t="n">
        <x:f>IF(O61="","",(1/'Metadata'!$B$5)^(O61-1))</x:f>
        <x:v>608.420993216597</x:v>
      </x:c>
      <x:c r="U61" s="60" t="n">
        <x:f>IF(T61="","",I61*T61)</x:f>
        <x:v>27864.58429770266</x:v>
      </x:c>
    </x:row>
    <x:row r="62" ht="18" customHeight="1">
      <x:c r="A62" s="46" t="str">
        <x:v>LME_043</x:v>
      </x:c>
      <x:c r="B62" s="46" t="str">
        <x:v>Southwest Australian Shelf</x:v>
      </x:c>
      <x:c r="C62" s="46" t="str">
        <x:v>LME</x:v>
      </x:c>
      <x:c r="D62" s="58" t="n">
        <x:v>2019</x:v>
      </x:c>
      <x:c r="E62" s="46" t="str">
        <x:v>Galeorhinus galeus</x:v>
      </x:c>
      <x:c r="F62" s="46" t="str">
        <x:v>Tope shark</x:v>
      </x:c>
      <x:c r="G62" s="46" t="str">
        <x:v>Large sharks (&gt;=90 cm)</x:v>
      </x:c>
      <x:c r="H62" s="46" t="str">
        <x:v>Sharks &amp; rays</x:v>
      </x:c>
      <x:c r="I62" s="60" t="n">
        <x:v>41.244059732800004</x:v>
      </x:c>
      <x:c r="J62" s="60" t="n">
        <x:v>41.244059732800004</x:v>
      </x:c>
      <x:c r="K62" s="60" t="n">
        <x:v>0</x:v>
      </x:c>
      <x:c r="L62" s="60" t="n">
        <x:v>41.1460516833</x:v>
      </x:c>
      <x:c r="M62" s="60" t="n">
        <x:v>0.0980080495</x:v>
      </x:c>
      <x:c r="N62" s="46" t="str">
        <x:v>galeorhinus galeus</x:v>
      </x:c>
      <x:c r="O62" s="62" t="n">
        <x:v>4.34</x:v>
      </x:c>
      <x:c r="P62" s="46" t="str">
        <x:v>exact_2020_supplement</x:v>
      </x:c>
      <x:c r="Q62" s="62" t="str">
        <x:v>2020 supplement MeanTL</x:v>
      </x:c>
      <x:c r="R62" s="46" t="str">
        <x:v>high</x:v>
      </x:c>
      <x:c r="S62" s="46" t="str">
        <x:v>Galeorhinus galeus</x:v>
      </x:c>
      <x:c r="T62" s="62" t="n">
        <x:f>IF(O62="","",(1/'Metadata'!$B$5)^(O62-1))</x:f>
        <x:v>22153.389612394185</x:v>
      </x:c>
      <x:c r="U62" s="60" t="n">
        <x:f>IF(T62="","",I62*T62)</x:f>
        <x:v>913695.7244575769</x:v>
      </x:c>
    </x:row>
    <x:row r="63" ht="18" customHeight="1">
      <x:c r="A63" s="46" t="str">
        <x:v>LME_043</x:v>
      </x:c>
      <x:c r="B63" s="46" t="str">
        <x:v>Southwest Australian Shelf</x:v>
      </x:c>
      <x:c r="C63" s="46" t="str">
        <x:v>LME</x:v>
      </x:c>
      <x:c r="D63" s="58" t="n">
        <x:v>2019</x:v>
      </x:c>
      <x:c r="E63" s="46" t="str">
        <x:v>Scorpaeniformes</x:v>
      </x:c>
      <x:c r="F63" s="46" t="str">
        <x:v>Scorpionfishes, flatheads</x:v>
      </x:c>
      <x:c r="G63" s="46" t="str">
        <x:v>Medium demersals (30 - 89 cm)</x:v>
      </x:c>
      <x:c r="H63" s="46" t="str">
        <x:v>Scorpionfishes</x:v>
      </x:c>
      <x:c r="I63" s="60" t="n">
        <x:v>40.9577556183</x:v>
      </x:c>
      <x:c r="J63" s="60" t="n">
        <x:v>38.6196342844</x:v>
      </x:c>
      <x:c r="K63" s="60" t="n">
        <x:v>2.3381213339</x:v>
      </x:c>
      <x:c r="L63" s="60" t="n">
        <x:v>38.1443771563</x:v>
      </x:c>
      <x:c r="M63" s="60" t="n">
        <x:v>2.813378462</x:v>
      </x:c>
      <x:c r="N63" s="46" t="str">
        <x:v>scorpaeniformes</x:v>
      </x:c>
      <x:c r="O63" s="62" t="n">
        <x:v>3.78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Scorpaeniformes</x:v>
      </x:c>
      <x:c r="T63" s="62" t="n">
        <x:f>IF(O63="","",(1/'Metadata'!$B$5)^(O63-1))</x:f>
        <x:v>4138.694671981463</x:v>
      </x:c>
      <x:c r="U63" s="60" t="n">
        <x:f>IF(T63="","",I63*T63)</x:f>
        <x:v>169511.64495377705</x:v>
      </x:c>
    </x:row>
    <x:row r="64" ht="18" customHeight="1">
      <x:c r="A64" s="46" t="str">
        <x:v>LME_043</x:v>
      </x:c>
      <x:c r="B64" s="46" t="str">
        <x:v>Southwest Australian Shelf</x:v>
      </x:c>
      <x:c r="C64" s="46" t="str">
        <x:v>LME</x:v>
      </x:c>
      <x:c r="D64" s="58" t="n">
        <x:v>2019</x:v>
      </x:c>
      <x:c r="E64" s="46" t="str">
        <x:v>Veneridae</x:v>
      </x:c>
      <x:c r="F64" s="46" t="str">
        <x:v>Venus clams</x:v>
      </x:c>
      <x:c r="G64" s="46" t="str">
        <x:v>Other demersal invertebrates</x:v>
      </x:c>
      <x:c r="H64" s="46" t="str">
        <x:v>Molluscs</x:v>
      </x:c>
      <x:c r="I64" s="60" t="n">
        <x:v>39.5421689871</x:v>
      </x:c>
      <x:c r="J64" s="60" t="n">
        <x:v>39.5421689871</x:v>
      </x:c>
      <x:c r="K64" s="60" t="n">
        <x:v>0</x:v>
      </x:c>
      <x:c r="L64" s="60" t="n">
        <x:v>39.5421689871</x:v>
      </x:c>
      <x:c r="M64" s="60" t="n">
        <x:v>0</x:v>
      </x:c>
      <x:c r="N64" s="46" t="str">
        <x:v>veneridae</x:v>
      </x:c>
      <x:c r="O64" s="62" t="n">
        <x:v>2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Veneridae</x:v>
      </x:c>
      <x:c r="T64" s="62" t="n">
        <x:f>IF(O64="","",(1/'Metadata'!$B$5)^(O64-1))</x:f>
        <x:v>20</x:v>
      </x:c>
      <x:c r="U64" s="60" t="n">
        <x:f>IF(T64="","",I64*T64)</x:f>
        <x:v>790.843379742</x:v>
      </x:c>
    </x:row>
    <x:row r="65" ht="18" customHeight="1">
      <x:c r="A65" s="46" t="str">
        <x:v>LME_043</x:v>
      </x:c>
      <x:c r="B65" s="46" t="str">
        <x:v>Southwest Australian Shelf</x:v>
      </x:c>
      <x:c r="C65" s="46" t="str">
        <x:v>LME</x:v>
      </x:c>
      <x:c r="D65" s="58" t="n">
        <x:v>2019</x:v>
      </x:c>
      <x:c r="E65" s="46" t="str">
        <x:v>Oreosomatidae</x:v>
      </x:c>
      <x:c r="F65" s="46" t="str">
        <x:v>Oreos</x:v>
      </x:c>
      <x:c r="G65" s="46" t="str">
        <x:v>Medium bathypelagics (30 - 89 cm)</x:v>
      </x:c>
      <x:c r="H65" s="46" t="str">
        <x:v>Other fishes &amp; inverts</x:v>
      </x:c>
      <x:c r="I65" s="60" t="n">
        <x:v>38.8638140276</x:v>
      </x:c>
      <x:c r="J65" s="60" t="n">
        <x:v>38.8638140276</x:v>
      </x:c>
      <x:c r="K65" s="60" t="n">
        <x:v>0</x:v>
      </x:c>
      <x:c r="L65" s="60" t="n">
        <x:v>38.8638140276</x:v>
      </x:c>
      <x:c r="M65" s="60" t="n">
        <x:v>0</x:v>
      </x:c>
      <x:c r="N65" s="46" t="str">
        <x:v>oreosomatidae</x:v>
      </x:c>
      <x:c r="O65" s="62" t="n">
        <x:v>3.69</x:v>
      </x:c>
      <x:c r="P65" s="46" t="str">
        <x:v>exact_sea_around_us</x:v>
      </x:c>
      <x:c r="Q65" s="62" t="str">
        <x:v>Sea Around Us exploited organisms</x:v>
      </x:c>
      <x:c r="R65" s="46" t="str">
        <x:v>high</x:v>
      </x:c>
      <x:c r="S65" s="46" t="str">
        <x:v>Oreosomatidae</x:v>
      </x:c>
      <x:c r="T65" s="62" t="n">
        <x:f>IF(O65="","",(1/'Metadata'!$B$5)^(O65-1))</x:f>
        <x:v>3160.6083878807954</x:v>
      </x:c>
      <x:c r="U65" s="60" t="n">
        <x:f>IF(T65="","",I65*T65)</x:f>
        <x:v>122833.29660067188</x:v>
      </x:c>
    </x:row>
    <x:row r="66" ht="18" customHeight="1">
      <x:c r="A66" s="46" t="str">
        <x:v>LME_043</x:v>
      </x:c>
      <x:c r="B66" s="46" t="str">
        <x:v>Southwest Australian Shelf</x:v>
      </x:c>
      <x:c r="C66" s="46" t="str">
        <x:v>LME</x:v>
      </x:c>
      <x:c r="D66" s="58" t="n">
        <x:v>2019</x:v>
      </x:c>
      <x:c r="E66" s="46" t="str">
        <x:v>Portunidae</x:v>
      </x:c>
      <x:c r="F66" s="46" t="str">
        <x:v>Swimming crabs</x:v>
      </x:c>
      <x:c r="G66" s="46" t="str">
        <x:v>Lobsters, crabs</x:v>
      </x:c>
      <x:c r="H66" s="46" t="str">
        <x:v>Crustaceans</x:v>
      </x:c>
      <x:c r="I66" s="60" t="n">
        <x:v>35.3326333476</x:v>
      </x:c>
      <x:c r="J66" s="60" t="n">
        <x:v>29.8612241728</x:v>
      </x:c>
      <x:c r="K66" s="60" t="n">
        <x:v>5.4714091748</x:v>
      </x:c>
      <x:c r="L66" s="60" t="n">
        <x:v>27.4095405413</x:v>
      </x:c>
      <x:c r="M66" s="60" t="n">
        <x:v>7.9230928063</x:v>
      </x:c>
      <x:c r="N66" s="46" t="str">
        <x:v>portunidae</x:v>
      </x:c>
      <x:c r="O66" s="62" t="n">
        <x:v>3.56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Portunidae</x:v>
      </x:c>
      <x:c r="T66" s="62" t="n">
        <x:f>IF(O66="","",(1/'Metadata'!$B$5)^(O66-1))</x:f>
        <x:v>2141.099198485972</x:v>
      </x:c>
      <x:c r="U66" s="60" t="n">
        <x:f>IF(T66="","",I66*T66)</x:f>
        <x:v>75650.67294094509</x:v>
      </x:c>
    </x:row>
    <x:row r="67" ht="18" customHeight="1">
      <x:c r="A67" s="46" t="str">
        <x:v>LME_043</x:v>
      </x:c>
      <x:c r="B67" s="46" t="str">
        <x:v>Southwest Australian Shelf</x:v>
      </x:c>
      <x:c r="C67" s="46" t="str">
        <x:v>LME</x:v>
      </x:c>
      <x:c r="D67" s="58" t="n">
        <x:v>2019</x:v>
      </x:c>
      <x:c r="E67" s="46" t="str">
        <x:v>Pinctada maxima</x:v>
      </x:c>
      <x:c r="F67" s="46" t="str">
        <x:v>Silverlip pearl oyster</x:v>
      </x:c>
      <x:c r="G67" s="46" t="str">
        <x:v>Other demersal invertebrates</x:v>
      </x:c>
      <x:c r="H67" s="46" t="str">
        <x:v>Molluscs</x:v>
      </x:c>
      <x:c r="I67" s="60" t="n">
        <x:v>34.1242484534</x:v>
      </x:c>
      <x:c r="J67" s="60" t="n">
        <x:v>34.1242484534</x:v>
      </x:c>
      <x:c r="K67" s="60" t="n">
        <x:v>0</x:v>
      </x:c>
      <x:c r="L67" s="60" t="n">
        <x:v>34.1242484534</x:v>
      </x:c>
      <x:c r="M67" s="60" t="n">
        <x:v>0</x:v>
      </x:c>
      <x:c r="N67" s="46" t="str">
        <x:v>pinctada maxima</x:v>
      </x:c>
      <x:c r="O67" s="62" t="n">
        <x:v>2.05</x:v>
      </x:c>
      <x:c r="P67" s="46" t="str">
        <x:v>exact_sea_around_us</x:v>
      </x:c>
      <x:c r="Q67" s="62" t="str">
        <x:v>Sea Around Us exploited organisms</x:v>
      </x:c>
      <x:c r="R67" s="46" t="str">
        <x:v>high</x:v>
      </x:c>
      <x:c r="S67" s="46" t="str">
        <x:v>Pinctada maxima</x:v>
      </x:c>
      <x:c r="T67" s="62" t="n">
        <x:f>IF(O67="","",(1/'Metadata'!$B$5)^(O67-1))</x:f>
        <x:v>23.231726992830833</x:v>
      </x:c>
      <x:c r="U67" s="60" t="n">
        <x:f>IF(T67="","",I67*T67)</x:f>
        <x:v>792.7652239049186</x:v>
      </x:c>
    </x:row>
    <x:row r="68" ht="18" customHeight="1">
      <x:c r="A68" s="46" t="str">
        <x:v>LME_043</x:v>
      </x:c>
      <x:c r="B68" s="46" t="str">
        <x:v>Southwest Australian Shelf</x:v>
      </x:c>
      <x:c r="C68" s="46" t="str">
        <x:v>LME</x:v>
      </x:c>
      <x:c r="D68" s="58" t="n">
        <x:v>2019</x:v>
      </x:c>
      <x:c r="E68" s="46" t="str">
        <x:v>Ommastrephidae</x:v>
      </x:c>
      <x:c r="F68" s="46" t="str">
        <x:v>Arrow squids</x:v>
      </x:c>
      <x:c r="G68" s="46" t="str">
        <x:v>Cephalopods</x:v>
      </x:c>
      <x:c r="H68" s="46" t="str">
        <x:v>Other fishes &amp; inverts</x:v>
      </x:c>
      <x:c r="I68" s="60" t="n">
        <x:v>33.7601147486</x:v>
      </x:c>
      <x:c r="J68" s="60" t="n">
        <x:v>33.7601147486</x:v>
      </x:c>
      <x:c r="K68" s="60" t="n">
        <x:v>0</x:v>
      </x:c>
      <x:c r="L68" s="60" t="n">
        <x:v>33.7601147486</x:v>
      </x:c>
      <x:c r="M68" s="60" t="n">
        <x:v>0</x:v>
      </x:c>
      <x:c r="N68" s="46" t="str">
        <x:v>ommastrephidae</x:v>
      </x:c>
      <x:c r="O68" s="62" t="n">
        <x:v>4.09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Ommastrephidae</x:v>
      </x:c>
      <x:c r="T68" s="62" t="n">
        <x:f>IF(O68="","",(1/'Metadata'!$B$5)^(O68-1))</x:f>
        <x:v>10475.691168449957</x:v>
      </x:c>
      <x:c r="U68" s="60" t="n">
        <x:f>IF(T68="","",I68*T68)</x:f>
        <x:v>353660.5359177662</x:v>
      </x:c>
    </x:row>
    <x:row r="69" ht="18" customHeight="1">
      <x:c r="A69" s="46" t="str">
        <x:v>LME_043</x:v>
      </x:c>
      <x:c r="B69" s="46" t="str">
        <x:v>Southwest Australian Shelf</x:v>
      </x:c>
      <x:c r="C69" s="46" t="str">
        <x:v>LME</x:v>
      </x:c>
      <x:c r="D69" s="58" t="n">
        <x:v>2019</x:v>
      </x:c>
      <x:c r="E69" s="46" t="str">
        <x:v>Neocyttus rhomboidalis</x:v>
      </x:c>
      <x:c r="F69" s="46" t="str">
        <x:v>Spiky oreo</x:v>
      </x:c>
      <x:c r="G69" s="46" t="str">
        <x:v>Medium bathypelagics (30 - 89 cm)</x:v>
      </x:c>
      <x:c r="H69" s="46" t="str">
        <x:v>Other fishes &amp; inverts</x:v>
      </x:c>
      <x:c r="I69" s="60" t="n">
        <x:v>33.009687502</x:v>
      </x:c>
      <x:c r="J69" s="60" t="n">
        <x:v>33.009687502</x:v>
      </x:c>
      <x:c r="K69" s="60" t="n">
        <x:v>0</x:v>
      </x:c>
      <x:c r="L69" s="60" t="n">
        <x:v>33.009687502</x:v>
      </x:c>
      <x:c r="M69" s="60" t="n">
        <x:v>0</x:v>
      </x:c>
      <x:c r="N69" s="46" t="str">
        <x:v>neocyttus rhomboidalis</x:v>
      </x:c>
      <x:c r="O69" s="62" t="n">
        <x:v>3.58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Neocyttus rhomboidalis</x:v>
      </x:c>
      <x:c r="T69" s="62" t="n">
        <x:f>IF(O69="","",(1/'Metadata'!$B$5)^(O69-1))</x:f>
        <x:v>2273.3033337150473</x:v>
      </x:c>
      <x:c r="U69" s="60" t="n">
        <x:f>IF(T69="","",I69*T69)</x:f>
        <x:v>75041.03264318853</x:v>
      </x:c>
    </x:row>
    <x:row r="70" ht="18" customHeight="1">
      <x:c r="A70" s="46" t="str">
        <x:v>LME_043</x:v>
      </x:c>
      <x:c r="B70" s="46" t="str">
        <x:v>Southwest Australian Shelf</x:v>
      </x:c>
      <x:c r="C70" s="46" t="str">
        <x:v>LME</x:v>
      </x:c>
      <x:c r="D70" s="58" t="n">
        <x:v>2019</x:v>
      </x:c>
      <x:c r="E70" s="46" t="str">
        <x:v>Urolophidae</x:v>
      </x:c>
      <x:c r="F70" s="46" t="str">
        <x:v>Round rays</x:v>
      </x:c>
      <x:c r="G70" s="46" t="str">
        <x:v>Small to medium rays (&lt;90 cm)</x:v>
      </x:c>
      <x:c r="H70" s="46" t="str">
        <x:v>Sharks &amp; rays</x:v>
      </x:c>
      <x:c r="I70" s="60" t="n">
        <x:v>32.2181708923</x:v>
      </x:c>
      <x:c r="J70" s="60" t="n">
        <x:v>0</x:v>
      </x:c>
      <x:c r="K70" s="60" t="n">
        <x:v>32.2181708923</x:v>
      </x:c>
      <x:c r="L70" s="60" t="n">
        <x:v>0</x:v>
      </x:c>
      <x:c r="M70" s="60" t="n">
        <x:v>32.2181708923</x:v>
      </x:c>
      <x:c r="N70" s="46" t="str">
        <x:v>urolophidae</x:v>
      </x:c>
      <x:c r="O70" s="62" t="n">
        <x:v>3.7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Urolophidae</x:v>
      </x:c>
      <x:c r="T70" s="62" t="n">
        <x:f>IF(O70="","",(1/'Metadata'!$B$5)^(O70-1))</x:f>
        <x:v>3256.724252295237</x:v>
      </x:c>
      <x:c r="U70" s="60" t="n">
        <x:f>IF(T70="","",I70*T70)</x:f>
        <x:v>104925.6985095459</x:v>
      </x:c>
    </x:row>
    <x:row r="71" ht="18" customHeight="1">
      <x:c r="A71" s="46" t="str">
        <x:v>LME_043</x:v>
      </x:c>
      <x:c r="B71" s="46" t="str">
        <x:v>Southwest Australian Shelf</x:v>
      </x:c>
      <x:c r="C71" s="46" t="str">
        <x:v>LME</x:v>
      </x:c>
      <x:c r="D71" s="58" t="n">
        <x:v>2019</x:v>
      </x:c>
      <x:c r="E71" s="46" t="str">
        <x:v>Triakidae</x:v>
      </x:c>
      <x:c r="F71" s="46" t="str">
        <x:v>Houndsharks</x:v>
      </x:c>
      <x:c r="G71" s="46" t="str">
        <x:v>Large sharks (&gt;=90 cm)</x:v>
      </x:c>
      <x:c r="H71" s="46" t="str">
        <x:v>Sharks &amp; rays</x:v>
      </x:c>
      <x:c r="I71" s="60" t="n">
        <x:v>31.3536147776</x:v>
      </x:c>
      <x:c r="J71" s="60" t="n">
        <x:v>31.3536147776</x:v>
      </x:c>
      <x:c r="K71" s="60" t="n">
        <x:v>0</x:v>
      </x:c>
      <x:c r="L71" s="60" t="n">
        <x:v>30.061811003499997</x:v>
      </x:c>
      <x:c r="M71" s="60" t="n">
        <x:v>1.2918037741</x:v>
      </x:c>
      <x:c r="N71" s="46" t="str">
        <x:v>triakidae</x:v>
      </x:c>
      <x:c r="O71" s="62" t="n">
        <x:v>3.82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Triakidae</x:v>
      </x:c>
      <x:c r="T71" s="62" t="n">
        <x:f>IF(O71="","",(1/'Metadata'!$B$5)^(O71-1))</x:f>
        <x:v>4665.56868948727</x:v>
      </x:c>
      <x:c r="U71" s="60" t="n">
        <x:f>IF(T71="","",I71*T71)</x:f>
        <x:v>146282.44340861592</x:v>
      </x:c>
    </x:row>
    <x:row r="72" ht="18" customHeight="1">
      <x:c r="A72" s="46" t="str">
        <x:v>LME_043</x:v>
      </x:c>
      <x:c r="B72" s="46" t="str">
        <x:v>Southwest Australian Shelf</x:v>
      </x:c>
      <x:c r="C72" s="46" t="str">
        <x:v>LME</x:v>
      </x:c>
      <x:c r="D72" s="58" t="n">
        <x:v>2019</x:v>
      </x:c>
      <x:c r="E72" s="46" t="str">
        <x:v>Helicolenus percoides</x:v>
      </x:c>
      <x:c r="F72" s="46" t="str">
        <x:v>Red gurnard perch</x:v>
      </x:c>
      <x:c r="G72" s="46" t="str">
        <x:v>Medium demersals (30 - 89 cm)</x:v>
      </x:c>
      <x:c r="H72" s="46" t="str">
        <x:v>Scorpionfishes</x:v>
      </x:c>
      <x:c r="I72" s="60" t="n">
        <x:v>31.0808534158</x:v>
      </x:c>
      <x:c r="J72" s="60" t="n">
        <x:v>31.0808534158</x:v>
      </x:c>
      <x:c r="K72" s="60" t="n">
        <x:v>0</x:v>
      </x:c>
      <x:c r="L72" s="60" t="n">
        <x:v>31.0808534158</x:v>
      </x:c>
      <x:c r="M72" s="60" t="n">
        <x:v>0</x:v>
      </x:c>
      <x:c r="N72" s="46" t="str">
        <x:v>helicolenus percoides</x:v>
      </x:c>
      <x:c r="O72" s="62" t="n">
        <x:v>4.01</x:v>
      </x:c>
      <x:c r="P72" s="46" t="str">
        <x:v>exact_2020_supplement</x:v>
      </x:c>
      <x:c r="Q72" s="62" t="str">
        <x:v>2020 supplement MeanTL</x:v>
      </x:c>
      <x:c r="R72" s="46" t="str">
        <x:v>high</x:v>
      </x:c>
      <x:c r="S72" s="46" t="str">
        <x:v>Helicolenus percoides</x:v>
      </x:c>
      <x:c r="T72" s="62" t="n">
        <x:f>IF(O72="","",(1/'Metadata'!$B$5)^(O72-1))</x:f>
        <x:v>8243.284463290014</x:v>
      </x:c>
      <x:c r="U72" s="60" t="n">
        <x:f>IF(T72="","",I72*T72)</x:f>
        <x:v>256208.31606825851</x:v>
      </x:c>
    </x:row>
    <x:row r="73" ht="18" customHeight="1">
      <x:c r="A73" s="46" t="str">
        <x:v>LME_043</x:v>
      </x:c>
      <x:c r="B73" s="46" t="str">
        <x:v>Southwest Australian Shelf</x:v>
      </x:c>
      <x:c r="C73" s="46" t="str">
        <x:v>LME</x:v>
      </x:c>
      <x:c r="D73" s="58" t="n">
        <x:v>2019</x:v>
      </x:c>
      <x:c r="E73" s="46" t="str">
        <x:v>Seriolella brama</x:v>
      </x:c>
      <x:c r="F73" s="46" t="str">
        <x:v>Common warehou</x:v>
      </x:c>
      <x:c r="G73" s="46" t="str">
        <x:v>Medium benthopelagics (30 - 89 cm)</x:v>
      </x:c>
      <x:c r="H73" s="46" t="str">
        <x:v>Perch-likes</x:v>
      </x:c>
      <x:c r="I73" s="60" t="n">
        <x:v>30.732286628</x:v>
      </x:c>
      <x:c r="J73" s="60" t="n">
        <x:v>14.9774182518</x:v>
      </x:c>
      <x:c r="K73" s="60" t="n">
        <x:v>15.7548683762</x:v>
      </x:c>
      <x:c r="L73" s="60" t="n">
        <x:v>14.9774182518</x:v>
      </x:c>
      <x:c r="M73" s="60" t="n">
        <x:v>15.7548683762</x:v>
      </x:c>
      <x:c r="N73" s="46" t="str">
        <x:v>seriolella brama</x:v>
      </x:c>
      <x:c r="O73" s="62" t="n">
        <x:v>3.28</x:v>
      </x:c>
      <x:c r="P73" s="46" t="str">
        <x:v>exact_2020_supplement</x:v>
      </x:c>
      <x:c r="Q73" s="62" t="str">
        <x:v>2020 supplement MeanTL</x:v>
      </x:c>
      <x:c r="R73" s="46" t="str">
        <x:v>high</x:v>
      </x:c>
      <x:c r="S73" s="46" t="str">
        <x:v>Seriolella brama</x:v>
      </x:c>
      <x:c r="T73" s="62" t="n">
        <x:f>IF(O73="","",(1/'Metadata'!$B$5)^(O73-1))</x:f>
        <x:v>925.4402624666747</x:v>
      </x:c>
      <x:c r="U73" s="60" t="n">
        <x:f>IF(T73="","",I73*T73)</x:f>
        <x:v>28440.895403217397</x:v>
      </x:c>
    </x:row>
    <x:row r="74" ht="18" customHeight="1">
      <x:c r="A74" s="46" t="str">
        <x:v>LME_043</x:v>
      </x:c>
      <x:c r="B74" s="46" t="str">
        <x:v>Southwest Australian Shelf</x:v>
      </x:c>
      <x:c r="C74" s="46" t="str">
        <x:v>LME</x:v>
      </x:c>
      <x:c r="D74" s="58" t="n">
        <x:v>2019</x:v>
      </x:c>
      <x:c r="E74" s="46" t="str">
        <x:v>Squaliformes</x:v>
      </x:c>
      <x:c r="F74" s="46" t="str">
        <x:v>Bramble, sleeper, dogfish sharks</x:v>
      </x:c>
      <x:c r="G74" s="46" t="str">
        <x:v>Large sharks (&gt;=90 cm)</x:v>
      </x:c>
      <x:c r="H74" s="46" t="str">
        <x:v>Sharks &amp; rays</x:v>
      </x:c>
      <x:c r="I74" s="60" t="n">
        <x:v>28.1666095126</x:v>
      </x:c>
      <x:c r="J74" s="60" t="n">
        <x:v>11.787291893899999</x:v>
      </x:c>
      <x:c r="K74" s="60" t="n">
        <x:v>16.3793176187</x:v>
      </x:c>
      <x:c r="L74" s="60" t="n">
        <x:v>11.787234008499999</x:v>
      </x:c>
      <x:c r="M74" s="60" t="n">
        <x:v>16.3793755041</x:v>
      </x:c>
      <x:c r="N74" s="46" t="str">
        <x:v>squaliformes</x:v>
      </x:c>
      <x:c r="O74" s="62" t="n">
        <x:v>4.19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Squaliformes</x:v>
      </x:c>
      <x:c r="T74" s="62" t="n">
        <x:f>IF(O74="","",(1/'Metadata'!$B$5)^(O74-1))</x:f>
        <x:v>14134.67041111498</x:v>
      </x:c>
      <x:c r="U74" s="60" t="n">
        <x:f>IF(T74="","",I74*T74)</x:f>
        <x:v>398125.74205917696</x:v>
      </x:c>
    </x:row>
    <x:row r="75" ht="18" customHeight="1">
      <x:c r="A75" s="46" t="str">
        <x:v>LME_043</x:v>
      </x:c>
      <x:c r="B75" s="46" t="str">
        <x:v>Southwest Australian Shelf</x:v>
      </x:c>
      <x:c r="C75" s="46" t="str">
        <x:v>LME</x:v>
      </x:c>
      <x:c r="D75" s="58" t="n">
        <x:v>2019</x:v>
      </x:c>
      <x:c r="E75" s="46" t="str">
        <x:v>Zeidae</x:v>
      </x:c>
      <x:c r="F75" s="46" t="str">
        <x:v>Dories</x:v>
      </x:c>
      <x:c r="G75" s="46" t="str">
        <x:v>Medium bathydemersals (30 - 89 cm)</x:v>
      </x:c>
      <x:c r="H75" s="46" t="str">
        <x:v>Other fishes &amp; inverts</x:v>
      </x:c>
      <x:c r="I75" s="60" t="n">
        <x:v>27.6517725836</x:v>
      </x:c>
      <x:c r="J75" s="60" t="n">
        <x:v>27.6517725836</x:v>
      </x:c>
      <x:c r="K75" s="60" t="n">
        <x:v>0</x:v>
      </x:c>
      <x:c r="L75" s="60" t="n">
        <x:v>27.549340945700003</x:v>
      </x:c>
      <x:c r="M75" s="60" t="n">
        <x:v>0.1024316379</x:v>
      </x:c>
      <x:c r="N75" s="46" t="str">
        <x:v>zeidae</x:v>
      </x:c>
      <x:c r="O75" s="62" t="n">
        <x:v>4.49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Zeidae</x:v>
      </x:c>
      <x:c r="T75" s="62" t="n">
        <x:f>IF(O75="","",(1/'Metadata'!$B$5)^(O75-1))</x:f>
        <x:v>34721.19667768202</x:v>
      </x:c>
      <x:c r="U75" s="60" t="n">
        <x:f>IF(T75="","",I75*T75)</x:f>
        <x:v>960102.6343617111</x:v>
      </x:c>
    </x:row>
    <x:row r="76" ht="18" customHeight="1">
      <x:c r="A76" s="46" t="str">
        <x:v>LME_043</x:v>
      </x:c>
      <x:c r="B76" s="46" t="str">
        <x:v>Southwest Australian Shelf</x:v>
      </x:c>
      <x:c r="C76" s="46" t="str">
        <x:v>LME</x:v>
      </x:c>
      <x:c r="D76" s="58" t="n">
        <x:v>2019</x:v>
      </x:c>
      <x:c r="E76" s="46" t="str">
        <x:v>Notorynchus cepedianus</x:v>
      </x:c>
      <x:c r="F76" s="46" t="str">
        <x:v>Broadnose sevengill shark</x:v>
      </x:c>
      <x:c r="G76" s="46" t="str">
        <x:v>Large sharks (&gt;=90 cm)</x:v>
      </x:c>
      <x:c r="H76" s="46" t="str">
        <x:v>Sharks &amp; rays</x:v>
      </x:c>
      <x:c r="I76" s="60" t="n">
        <x:v>27.627410648</x:v>
      </x:c>
      <x:c r="J76" s="60" t="n">
        <x:v>27.627410648</x:v>
      </x:c>
      <x:c r="K76" s="60" t="n">
        <x:v>0</x:v>
      </x:c>
      <x:c r="L76" s="60" t="n">
        <x:v>27.627410648</x:v>
      </x:c>
      <x:c r="M76" s="60" t="n">
        <x:v>0</x:v>
      </x:c>
      <x:c r="N76" s="46" t="str">
        <x:v>notorynchus cepedianus</x:v>
      </x:c>
      <x:c r="O76" s="62" t="n">
        <x:v>4.68</x:v>
      </x:c>
      <x:c r="P76" s="46" t="str">
        <x:v>exact_2020_supplement</x:v>
      </x:c>
      <x:c r="Q76" s="62" t="str">
        <x:v>2020 supplement MeanTL</x:v>
      </x:c>
      <x:c r="R76" s="46" t="str">
        <x:v>high</x:v>
      </x:c>
      <x:c r="S76" s="46" t="str">
        <x:v>Notorynchus cepedianus</x:v>
      </x:c>
      <x:c r="T76" s="62" t="n">
        <x:f>IF(O76="","",(1/'Metadata'!$B$5)^(O76-1))</x:f>
        <x:v>61346.583914816816</x:v>
      </x:c>
      <x:c r="U76" s="60" t="n">
        <x:f>IF(T76="","",I76*T76)</x:f>
        <x:v>1694847.2656666357</x:v>
      </x:c>
    </x:row>
    <x:row r="77" ht="18" customHeight="1">
      <x:c r="A77" s="46" t="str">
        <x:v>LME_043</x:v>
      </x:c>
      <x:c r="B77" s="46" t="str">
        <x:v>Southwest Australian Shelf</x:v>
      </x:c>
      <x:c r="C77" s="46" t="str">
        <x:v>LME</x:v>
      </x:c>
      <x:c r="D77" s="58" t="n">
        <x:v>2019</x:v>
      </x:c>
      <x:c r="E77" s="46" t="str">
        <x:v>Sphyraena novaehollandiae</x:v>
      </x:c>
      <x:c r="F77" s="46" t="str">
        <x:v>Australian barracuda</x:v>
      </x:c>
      <x:c r="G77" s="46" t="str">
        <x:v>Medium pelagics (30 - 89 cm)</x:v>
      </x:c>
      <x:c r="H77" s="46" t="str">
        <x:v>Perch-likes</x:v>
      </x:c>
      <x:c r="I77" s="60" t="n">
        <x:v>26.4173455162</x:v>
      </x:c>
      <x:c r="J77" s="60" t="n">
        <x:v>26.4173455162</x:v>
      </x:c>
      <x:c r="K77" s="60" t="n">
        <x:v>0</x:v>
      </x:c>
      <x:c r="L77" s="60" t="n">
        <x:v>25.1482935779</x:v>
      </x:c>
      <x:c r="M77" s="60" t="n">
        <x:v>1.2690519383</x:v>
      </x:c>
      <x:c r="N77" s="46" t="str">
        <x:v>sphyraena novaehollandiae</x:v>
      </x:c>
      <x:c r="O77" s="62" t="n">
        <x:v>4.5</x:v>
      </x:c>
      <x:c r="P77" s="46" t="str">
        <x:v>exact_2020_supplement</x:v>
      </x:c>
      <x:c r="Q77" s="62" t="str">
        <x:v>2020 supplement MeanTL</x:v>
      </x:c>
      <x:c r="R77" s="46" t="str">
        <x:v>high</x:v>
      </x:c>
      <x:c r="S77" s="46" t="str">
        <x:v>Sphyraena novaehollandiae</x:v>
      </x:c>
      <x:c r="T77" s="62" t="n">
        <x:f>IF(O77="","",(1/'Metadata'!$B$5)^(O77-1))</x:f>
        <x:v>35777.08763999664</x:v>
      </x:c>
      <x:c r="U77" s="60" t="n">
        <x:f>IF(T77="","",I77*T77)</x:f>
        <x:v>945135.6857491597</x:v>
      </x:c>
    </x:row>
    <x:row r="78" ht="18" customHeight="1">
      <x:c r="A78" s="46" t="str">
        <x:v>LME_043</x:v>
      </x:c>
      <x:c r="B78" s="46" t="str">
        <x:v>Southwest Australian Shelf</x:v>
      </x:c>
      <x:c r="C78" s="46" t="str">
        <x:v>LME</x:v>
      </x:c>
      <x:c r="D78" s="58" t="n">
        <x:v>2019</x:v>
      </x:c>
      <x:c r="E78" s="46" t="str">
        <x:v>Carcharhinus obscurus</x:v>
      </x:c>
      <x:c r="F78" s="46" t="str">
        <x:v>Dusky shark</x:v>
      </x:c>
      <x:c r="G78" s="46" t="str">
        <x:v>Large sharks (&gt;=90 cm)</x:v>
      </x:c>
      <x:c r="H78" s="46" t="str">
        <x:v>Sharks &amp; rays</x:v>
      </x:c>
      <x:c r="I78" s="60" t="n">
        <x:v>25.793474534</x:v>
      </x:c>
      <x:c r="J78" s="60" t="n">
        <x:v>25.793474534</x:v>
      </x:c>
      <x:c r="K78" s="60" t="n">
        <x:v>0</x:v>
      </x:c>
      <x:c r="L78" s="60" t="n">
        <x:v>25.3366131635</x:v>
      </x:c>
      <x:c r="M78" s="60" t="n">
        <x:v>0.4568613705</x:v>
      </x:c>
      <x:c r="N78" s="46" t="str">
        <x:v>carcharhinus obscurus</x:v>
      </x:c>
      <x:c r="O78" s="62" t="n">
        <x:v>4.28</x:v>
      </x:c>
      <x:c r="P78" s="46" t="str">
        <x:v>exact_2020_supplement</x:v>
      </x:c>
      <x:c r="Q78" s="62" t="str">
        <x:v>2020 supplement MeanTL</x:v>
      </x:c>
      <x:c r="R78" s="46" t="str">
        <x:v>high</x:v>
      </x:c>
      <x:c r="S78" s="46" t="str">
        <x:v>Carcharhinus obscurus</x:v>
      </x:c>
      <x:c r="T78" s="62" t="n">
        <x:f>IF(O78="","",(1/'Metadata'!$B$5)^(O78-1))</x:f>
        <x:v>18508.805249333516</x:v>
      </x:c>
      <x:c r="U78" s="60" t="n">
        <x:f>IF(T78="","",I78*T78)</x:f>
        <x:v>477406.3968534496</x:v>
      </x:c>
    </x:row>
    <x:row r="79" ht="18" customHeight="1">
      <x:c r="A79" s="46" t="str">
        <x:v>LME_043</x:v>
      </x:c>
      <x:c r="B79" s="46" t="str">
        <x:v>Southwest Australian Shelf</x:v>
      </x:c>
      <x:c r="C79" s="46" t="str">
        <x:v>LME</x:v>
      </x:c>
      <x:c r="D79" s="58" t="n">
        <x:v>2019</x:v>
      </x:c>
      <x:c r="E79" s="46" t="str">
        <x:v>Sphyrnidae</x:v>
      </x:c>
      <x:c r="F79" s="46" t="str">
        <x:v>Hammer, bonnet, scoophead sharks</x:v>
      </x:c>
      <x:c r="G79" s="46" t="str">
        <x:v>Large sharks (&gt;=90 cm)</x:v>
      </x:c>
      <x:c r="H79" s="46" t="str">
        <x:v>Sharks &amp; rays</x:v>
      </x:c>
      <x:c r="I79" s="60" t="n">
        <x:v>24.791218739199998</x:v>
      </x:c>
      <x:c r="J79" s="60" t="n">
        <x:v>24.791218739199998</x:v>
      </x:c>
      <x:c r="K79" s="60" t="n">
        <x:v>0</x:v>
      </x:c>
      <x:c r="L79" s="60" t="n">
        <x:v>21.5751190649</x:v>
      </x:c>
      <x:c r="M79" s="60" t="n">
        <x:v>3.2160996743</x:v>
      </x:c>
      <x:c r="N79" s="46" t="str">
        <x:v>sphyrnidae</x:v>
      </x:c>
      <x:c r="O79" s="62" t="n">
        <x:v>4.19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Sphyrnidae</x:v>
      </x:c>
      <x:c r="T79" s="62" t="n">
        <x:f>IF(O79="","",(1/'Metadata'!$B$5)^(O79-1))</x:f>
        <x:v>14134.67041111498</x:v>
      </x:c>
      <x:c r="U79" s="60" t="n">
        <x:f>IF(T79="","",I79*T79)</x:f>
        <x:v>350415.7059684494</x:v>
      </x:c>
    </x:row>
    <x:row r="80" ht="18" customHeight="1">
      <x:c r="A80" s="46" t="str">
        <x:v>LME_043</x:v>
      </x:c>
      <x:c r="B80" s="46" t="str">
        <x:v>Southwest Australian Shelf</x:v>
      </x:c>
      <x:c r="C80" s="46" t="str">
        <x:v>LME</x:v>
      </x:c>
      <x:c r="D80" s="58" t="n">
        <x:v>2019</x:v>
      </x:c>
      <x:c r="E80" s="46" t="str">
        <x:v>Scombridae</x:v>
      </x:c>
      <x:c r="F80" s="46" t="str">
        <x:v>Mackerels, tunas, bonitos</x:v>
      </x:c>
      <x:c r="G80" s="46" t="str">
        <x:v>Medium pelagics (30 - 89 cm)</x:v>
      </x:c>
      <x:c r="H80" s="46" t="str">
        <x:v>Perch-likes</x:v>
      </x:c>
      <x:c r="I80" s="60" t="n">
        <x:v>24.314042858100002</x:v>
      </x:c>
      <x:c r="J80" s="60" t="n">
        <x:v>24.314042858100002</x:v>
      </x:c>
      <x:c r="K80" s="60" t="n">
        <x:v>0</x:v>
      </x:c>
      <x:c r="L80" s="60" t="n">
        <x:v>4.8459407784</x:v>
      </x:c>
      <x:c r="M80" s="60" t="n">
        <x:v>19.468102079700003</x:v>
      </x:c>
      <x:c r="N80" s="46" t="str">
        <x:v>scombridae</x:v>
      </x:c>
      <x:c r="O80" s="62" t="n">
        <x:v>4.26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Scombridae</x:v>
      </x:c>
      <x:c r="T80" s="62" t="n">
        <x:f>IF(O80="","",(1/'Metadata'!$B$5)^(O80-1))</x:f>
        <x:v>17432.42421569787</x:v>
      </x:c>
      <x:c r="U80" s="60" t="n">
        <x:f>IF(T80="","",I80*T80)</x:f>
        <x:v>423852.7095010583</x:v>
      </x:c>
    </x:row>
    <x:row r="81" ht="18" customHeight="1">
      <x:c r="A81" s="46" t="str">
        <x:v>LME_043</x:v>
      </x:c>
      <x:c r="B81" s="46" t="str">
        <x:v>Southwest Australian Shelf</x:v>
      </x:c>
      <x:c r="C81" s="46" t="str">
        <x:v>LME</x:v>
      </x:c>
      <x:c r="D81" s="58" t="n">
        <x:v>2019</x:v>
      </x:c>
      <x:c r="E81" s="46" t="str">
        <x:v>Istiompax indica</x:v>
      </x:c>
      <x:c r="F81" s="46" t="str">
        <x:v>Black marlin</x:v>
      </x:c>
      <x:c r="G81" s="46" t="str">
        <x:v>Large pelagics (&gt;=90 cm)</x:v>
      </x:c>
      <x:c r="H81" s="46" t="str">
        <x:v>Tuna &amp; billfishes</x:v>
      </x:c>
      <x:c r="I81" s="60" t="n">
        <x:v>19.7069102769</x:v>
      </x:c>
      <x:c r="J81" s="60" t="n">
        <x:v>19.7069102769</x:v>
      </x:c>
      <x:c r="K81" s="60" t="n">
        <x:v>0</x:v>
      </x:c>
      <x:c r="L81" s="60" t="n">
        <x:v>0</x:v>
      </x:c>
      <x:c r="M81" s="60" t="n">
        <x:v>19.7069102769</x:v>
      </x:c>
      <x:c r="N81" s="46" t="str">
        <x:v>istiompax indica</x:v>
      </x:c>
      <x:c r="O81" s="62" t="n">
        <x:v>4.5</x:v>
      </x:c>
      <x:c r="P81" s="46" t="str">
        <x:v>exact_2020_supplement</x:v>
      </x:c>
      <x:c r="Q81" s="62" t="str">
        <x:v>2020 supplement MeanTL</x:v>
      </x:c>
      <x:c r="R81" s="46" t="str">
        <x:v>high</x:v>
      </x:c>
      <x:c r="S81" s="46" t="str">
        <x:v>Istiompax indica</x:v>
      </x:c>
      <x:c r="T81" s="62" t="n">
        <x:f>IF(O81="","",(1/'Metadata'!$B$5)^(O81-1))</x:f>
        <x:v>35777.08763999664</x:v>
      </x:c>
      <x:c r="U81" s="60" t="n">
        <x:f>IF(T81="","",I81*T81)</x:f>
        <x:v>705055.8560902016</x:v>
      </x:c>
    </x:row>
    <x:row r="82" ht="18" customHeight="1">
      <x:c r="A82" s="46" t="str">
        <x:v>LME_043</x:v>
      </x:c>
      <x:c r="B82" s="46" t="str">
        <x:v>Southwest Australian Shelf</x:v>
      </x:c>
      <x:c r="C82" s="46" t="str">
        <x:v>LME</x:v>
      </x:c>
      <x:c r="D82" s="58" t="n">
        <x:v>2019</x:v>
      </x:c>
      <x:c r="E82" s="46" t="str">
        <x:v>Pseudocyttus maculatus</x:v>
      </x:c>
      <x:c r="F82" s="46" t="str">
        <x:v>Smooth oreo dory</x:v>
      </x:c>
      <x:c r="G82" s="46" t="str">
        <x:v>Medium benthopelagics (30 - 89 cm)</x:v>
      </x:c>
      <x:c r="H82" s="46" t="str">
        <x:v>Other fishes &amp; inverts</x:v>
      </x:c>
      <x:c r="I82" s="60" t="n">
        <x:v>19.703553537999998</x:v>
      </x:c>
      <x:c r="J82" s="60" t="n">
        <x:v>19.703553537999998</x:v>
      </x:c>
      <x:c r="K82" s="60" t="n">
        <x:v>0</x:v>
      </x:c>
      <x:c r="L82" s="60" t="n">
        <x:v>19.703553537999998</x:v>
      </x:c>
      <x:c r="M82" s="60" t="n">
        <x:v>0</x:v>
      </x:c>
      <x:c r="N82" s="46" t="str">
        <x:v>pseudocyttus maculatus</x:v>
      </x:c>
      <x:c r="O82" s="62" t="n">
        <x:v>3.61</x:v>
      </x:c>
      <x:c r="P82" s="46" t="str">
        <x:v>exact_2020_supplement</x:v>
      </x:c>
      <x:c r="Q82" s="62" t="str">
        <x:v>2020 supplement MeanTL</x:v>
      </x:c>
      <x:c r="R82" s="46" t="str">
        <x:v>high</x:v>
      </x:c>
      <x:c r="S82" s="46" t="str">
        <x:v>Pseudocyttus maculatus</x:v>
      </x:c>
      <x:c r="T82" s="62" t="n">
        <x:f>IF(O82="","",(1/'Metadata'!$B$5)^(O82-1))</x:f>
        <x:v>2487.0716021897506</x:v>
      </x:c>
      <x:c r="U82" s="60" t="n">
        <x:f>IF(T82="","",I82*T82)</x:f>
        <x:v>49004.14846658518</x:v>
      </x:c>
    </x:row>
    <x:row r="83" ht="18" customHeight="1">
      <x:c r="A83" s="46" t="str">
        <x:v>LME_043</x:v>
      </x:c>
      <x:c r="B83" s="46" t="str">
        <x:v>Southwest Australian Shelf</x:v>
      </x:c>
      <x:c r="C83" s="46" t="str">
        <x:v>LME</x:v>
      </x:c>
      <x:c r="D83" s="58" t="n">
        <x:v>2019</x:v>
      </x:c>
      <x:c r="E83" s="46" t="str">
        <x:v>Pristiophorus</x:v>
      </x:c>
      <x:c r="F83" s="46" t="str">
        <x:v>Sawsharks</x:v>
      </x:c>
      <x:c r="G83" s="46" t="str">
        <x:v>Large sharks (&gt;=90 cm)</x:v>
      </x:c>
      <x:c r="H83" s="46" t="str">
        <x:v>Sharks &amp; rays</x:v>
      </x:c>
      <x:c r="I83" s="60" t="n">
        <x:v>19.073052669099997</x:v>
      </x:c>
      <x:c r="J83" s="60" t="n">
        <x:v>19.073052669099997</x:v>
      </x:c>
      <x:c r="K83" s="60" t="n">
        <x:v>0</x:v>
      </x:c>
      <x:c r="L83" s="60" t="n">
        <x:v>19.073052669099997</x:v>
      </x:c>
      <x:c r="M83" s="60" t="n">
        <x:v>0</x:v>
      </x:c>
      <x:c r="N83" s="46" t="str">
        <x:v>pristiophorus</x:v>
      </x:c>
      <x:c r="O83" s="62" t="n">
        <x:v>4.01</x:v>
      </x:c>
      <x:c r="P83" s="46" t="str">
        <x:v>exact_sea_around_us</x:v>
      </x:c>
      <x:c r="Q83" s="62" t="str">
        <x:v>Sea Around Us exploited organisms</x:v>
      </x:c>
      <x:c r="R83" s="46" t="str">
        <x:v>high</x:v>
      </x:c>
      <x:c r="S83" s="46" t="str">
        <x:v>Pristiophorus</x:v>
      </x:c>
      <x:c r="T83" s="62" t="n">
        <x:f>IF(O83="","",(1/'Metadata'!$B$5)^(O83-1))</x:f>
        <x:v>8243.284463290014</x:v>
      </x:c>
      <x:c r="U83" s="60" t="n">
        <x:f>IF(T83="","",I83*T83)</x:f>
        <x:v>157224.59873470414</x:v>
      </x:c>
    </x:row>
    <x:row r="84" ht="18" customHeight="1">
      <x:c r="A84" s="46" t="str">
        <x:v>LME_043</x:v>
      </x:c>
      <x:c r="B84" s="46" t="str">
        <x:v>Southwest Australian Shelf</x:v>
      </x:c>
      <x:c r="C84" s="46" t="str">
        <x:v>LME</x:v>
      </x:c>
      <x:c r="D84" s="58" t="n">
        <x:v>2019</x:v>
      </x:c>
      <x:c r="E84" s="46" t="str">
        <x:v>Pomatomus saltatrix</x:v>
      </x:c>
      <x:c r="F84" s="46" t="str">
        <x:v>Bluefish</x:v>
      </x:c>
      <x:c r="G84" s="46" t="str">
        <x:v>Large pelagics (&gt;=90 cm)</x:v>
      </x:c>
      <x:c r="H84" s="46" t="str">
        <x:v>Perch-likes</x:v>
      </x:c>
      <x:c r="I84" s="60" t="n">
        <x:v>18.7243538032</x:v>
      </x:c>
      <x:c r="J84" s="60" t="n">
        <x:v>18.7243538032</x:v>
      </x:c>
      <x:c r="K84" s="60" t="n">
        <x:v>0</x:v>
      </x:c>
      <x:c r="L84" s="60" t="n">
        <x:v>10.1675990807</x:v>
      </x:c>
      <x:c r="M84" s="60" t="n">
        <x:v>8.5567547225</x:v>
      </x:c>
      <x:c r="N84" s="46" t="str">
        <x:v>pomatomus saltatrix</x:v>
      </x:c>
      <x:c r="O84" s="62" t="n">
        <x:v>4.53</x:v>
      </x:c>
      <x:c r="P84" s="46" t="str">
        <x:v>exact_2020_supplement</x:v>
      </x:c>
      <x:c r="Q84" s="62" t="str">
        <x:v>2020 supplement MeanTL</x:v>
      </x:c>
      <x:c r="R84" s="46" t="str">
        <x:v>high</x:v>
      </x:c>
      <x:c r="S84" s="46" t="str">
        <x:v>Pomatomus saltatrix</x:v>
      </x:c>
      <x:c r="T84" s="62" t="n">
        <x:f>IF(O84="","",(1/'Metadata'!$B$5)^(O84-1))</x:f>
        <x:v>39141.35758252625</x:v>
      </x:c>
      <x:c r="U84" s="60" t="n">
        <x:f>IF(T84="","",I84*T84)</x:f>
        <x:v>732896.6277127865</x:v>
      </x:c>
    </x:row>
    <x:row r="85" ht="18" customHeight="1">
      <x:c r="A85" s="46" t="str">
        <x:v>LME_043</x:v>
      </x:c>
      <x:c r="B85" s="46" t="str">
        <x:v>Southwest Australian Shelf</x:v>
      </x:c>
      <x:c r="C85" s="46" t="str">
        <x:v>LME</x:v>
      </x:c>
      <x:c r="D85" s="58" t="n">
        <x:v>2019</x:v>
      </x:c>
      <x:c r="E85" s="46" t="str">
        <x:v>Prionace glauca</x:v>
      </x:c>
      <x:c r="F85" s="46" t="str">
        <x:v>Blue shark</x:v>
      </x:c>
      <x:c r="G85" s="46" t="str">
        <x:v>Large sharks (&gt;=90 cm)</x:v>
      </x:c>
      <x:c r="H85" s="46" t="str">
        <x:v>Sharks &amp; rays</x:v>
      </x:c>
      <x:c r="I85" s="60" t="n">
        <x:v>18.6245664925</x:v>
      </x:c>
      <x:c r="J85" s="60" t="n">
        <x:v>18.6245664925</x:v>
      </x:c>
      <x:c r="K85" s="60" t="n">
        <x:v>0</x:v>
      </x:c>
      <x:c r="L85" s="60" t="n">
        <x:v>3.3127463708</x:v>
      </x:c>
      <x:c r="M85" s="60" t="n">
        <x:v>15.3118201217</x:v>
      </x:c>
      <x:c r="N85" s="46" t="str">
        <x:v>prionace glauca</x:v>
      </x:c>
      <x:c r="O85" s="62" t="n">
        <x:v>4.35</x:v>
      </x:c>
      <x:c r="P85" s="46" t="str">
        <x:v>exact_2020_supplement</x:v>
      </x:c>
      <x:c r="Q85" s="62" t="str">
        <x:v>2020 supplement MeanTL</x:v>
      </x:c>
      <x:c r="R85" s="46" t="str">
        <x:v>high</x:v>
      </x:c>
      <x:c r="S85" s="46" t="str">
        <x:v>Prionace glauca</x:v>
      </x:c>
      <x:c r="T85" s="62" t="n">
        <x:f>IF(O85="","",(1/'Metadata'!$B$5)^(O85-1))</x:f>
        <x:v>22827.086550132422</x:v>
      </x:c>
      <x:c r="U85" s="60" t="n">
        <x:f>IF(T85="","",I85*T85)</x:f>
        <x:v>425144.5912829938</x:v>
      </x:c>
    </x:row>
    <x:row r="86" ht="18" customHeight="1">
      <x:c r="A86" s="46" t="str">
        <x:v>LME_043</x:v>
      </x:c>
      <x:c r="B86" s="46" t="str">
        <x:v>Southwest Australian Shelf</x:v>
      </x:c>
      <x:c r="C86" s="46" t="str">
        <x:v>LME</x:v>
      </x:c>
      <x:c r="D86" s="58" t="n">
        <x:v>2019</x:v>
      </x:c>
      <x:c r="E86" s="46" t="str">
        <x:v>Engraulidae</x:v>
      </x:c>
      <x:c r="F86" s="46" t="str">
        <x:v>Anchovies, round herrings</x:v>
      </x:c>
      <x:c r="G86" s="46" t="str">
        <x:v>Small pelagics (&lt;30 cm)</x:v>
      </x:c>
      <x:c r="H86" s="46" t="str">
        <x:v>Anchovies</x:v>
      </x:c>
      <x:c r="I86" s="60" t="n">
        <x:v>18.3246204329</x:v>
      </x:c>
      <x:c r="J86" s="60" t="n">
        <x:v>15.2166058699</x:v>
      </x:c>
      <x:c r="K86" s="60" t="n">
        <x:v>3.108014563</x:v>
      </x:c>
      <x:c r="L86" s="60" t="n">
        <x:v>15.2165486102</x:v>
      </x:c>
      <x:c r="M86" s="60" t="n">
        <x:v>3.1080718227</x:v>
      </x:c>
      <x:c r="N86" s="46" t="str">
        <x:v>engraulidae</x:v>
      </x:c>
      <x:c r="O86" s="62" t="n">
        <x:v>3.2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Engraulidae</x:v>
      </x:c>
      <x:c r="T86" s="62" t="n">
        <x:f>IF(O86="","",(1/'Metadata'!$B$5)^(O86-1))</x:f>
        <x:v>728.2256812104325</x:v>
      </x:c>
      <x:c r="U86" s="60" t="n">
        <x:f>IF(T86="","",I86*T86)</x:f>
        <x:v>13344.459197671214</x:v>
      </x:c>
    </x:row>
    <x:row r="87" ht="18" customHeight="1">
      <x:c r="A87" s="46" t="str">
        <x:v>LME_043</x:v>
      </x:c>
      <x:c r="B87" s="46" t="str">
        <x:v>Southwest Australian Shelf</x:v>
      </x:c>
      <x:c r="C87" s="46" t="str">
        <x:v>LME</x:v>
      </x:c>
      <x:c r="D87" s="58" t="n">
        <x:v>2019</x:v>
      </x:c>
      <x:c r="E87" s="46" t="str">
        <x:v>Lampris guttatus</x:v>
      </x:c>
      <x:c r="F87" s="46" t="str">
        <x:v>Opah</x:v>
      </x:c>
      <x:c r="G87" s="46" t="str">
        <x:v>Large bathypelagics (&gt;=90 cm)</x:v>
      </x:c>
      <x:c r="H87" s="46" t="str">
        <x:v>Other fishes &amp; inverts</x:v>
      </x:c>
      <x:c r="I87" s="60" t="n">
        <x:v>18.1818635414</x:v>
      </x:c>
      <x:c r="J87" s="60" t="n">
        <x:v>18.1818635414</x:v>
      </x:c>
      <x:c r="K87" s="60" t="n">
        <x:v>0</x:v>
      </x:c>
      <x:c r="L87" s="60" t="n">
        <x:v>18.1818635414</x:v>
      </x:c>
      <x:c r="M87" s="60" t="n">
        <x:v>0</x:v>
      </x:c>
      <x:c r="N87" s="46" t="str">
        <x:v>lampris guttatus</x:v>
      </x:c>
      <x:c r="O87" s="62" t="n">
        <x:v>4.22</x:v>
      </x:c>
      <x:c r="P87" s="46" t="str">
        <x:v>exact_2020_supplement</x:v>
      </x:c>
      <x:c r="Q87" s="62" t="str">
        <x:v>2020 supplement MeanTL</x:v>
      </x:c>
      <x:c r="R87" s="46" t="str">
        <x:v>high</x:v>
      </x:c>
      <x:c r="S87" s="46" t="str">
        <x:v>Lampris guttatus</x:v>
      </x:c>
      <x:c r="T87" s="62" t="n">
        <x:f>IF(O87="","",(1/'Metadata'!$B$5)^(O87-1))</x:f>
        <x:v>15463.812886046735</x:v>
      </x:c>
      <x:c r="U87" s="60" t="n">
        <x:f>IF(T87="","",I87*T87)</x:f>
        <x:v>281160.9357238446</x:v>
      </x:c>
    </x:row>
    <x:row r="88" ht="18" customHeight="1">
      <x:c r="A88" s="46" t="str">
        <x:v>LME_043</x:v>
      </x:c>
      <x:c r="B88" s="46" t="str">
        <x:v>Southwest Australian Shelf</x:v>
      </x:c>
      <x:c r="C88" s="46" t="str">
        <x:v>LME</x:v>
      </x:c>
      <x:c r="D88" s="58" t="n">
        <x:v>2019</x:v>
      </x:c>
      <x:c r="E88" s="46" t="str">
        <x:v>Seriola lalandi</x:v>
      </x:c>
      <x:c r="F88" s="46" t="str">
        <x:v>Yellowtail amberjack</x:v>
      </x:c>
      <x:c r="G88" s="46" t="str">
        <x:v>Large benthopelagics (&gt;=90 cm)</x:v>
      </x:c>
      <x:c r="H88" s="46" t="str">
        <x:v>Perch-likes</x:v>
      </x:c>
      <x:c r="I88" s="60" t="n">
        <x:v>14.7729590372</x:v>
      </x:c>
      <x:c r="J88" s="60" t="n">
        <x:v>14.7729590372</x:v>
      </x:c>
      <x:c r="K88" s="60" t="n">
        <x:v>0</x:v>
      </x:c>
      <x:c r="L88" s="60" t="n">
        <x:v>3.0702468817</x:v>
      </x:c>
      <x:c r="M88" s="60" t="n">
        <x:v>11.7027121555</x:v>
      </x:c>
      <x:c r="N88" s="46" t="str">
        <x:v>seriola lalandi</x:v>
      </x:c>
      <x:c r="O88" s="62" t="n">
        <x:v>4.16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Seriola lalandi</x:v>
      </x:c>
      <x:c r="T88" s="62" t="n">
        <x:f>IF(O88="","",(1/'Metadata'!$B$5)^(O88-1))</x:f>
        <x:v>12919.77011769987</x:v>
      </x:c>
      <x:c r="U88" s="60" t="n">
        <x:f>IF(T88="","",I88*T88)</x:f>
        <x:v>190863.2347188208</x:v>
      </x:c>
    </x:row>
    <x:row r="89" ht="18" customHeight="1">
      <x:c r="A89" s="46" t="str">
        <x:v>LME_043</x:v>
      </x:c>
      <x:c r="B89" s="46" t="str">
        <x:v>Southwest Australian Shelf</x:v>
      </x:c>
      <x:c r="C89" s="46" t="str">
        <x:v>LME</x:v>
      </x:c>
      <x:c r="D89" s="58" t="n">
        <x:v>2019</x:v>
      </x:c>
      <x:c r="E89" s="46" t="str">
        <x:v>Cyprinus carpio</x:v>
      </x:c>
      <x:c r="F89" s="46" t="str">
        <x:v>Common carp</x:v>
      </x:c>
      <x:c r="G89" s="46" t="str">
        <x:v>Large benthopelagics (&gt;=90 cm)</x:v>
      </x:c>
      <x:c r="H89" s="46" t="str">
        <x:v>Other fishes &amp; inverts</x:v>
      </x:c>
      <x:c r="I89" s="60" t="n">
        <x:v>14.0502273719</x:v>
      </x:c>
      <x:c r="J89" s="60" t="n">
        <x:v>14.0502273719</x:v>
      </x:c>
      <x:c r="K89" s="60" t="n">
        <x:v>0</x:v>
      </x:c>
      <x:c r="L89" s="60" t="n">
        <x:v>14.0502273719</x:v>
      </x:c>
      <x:c r="M89" s="60" t="n">
        <x:v>0</x:v>
      </x:c>
      <x:c r="N89" s="46" t="str">
        <x:v>cyprinus carpio</x:v>
      </x:c>
      <x:c r="O89" s="62" t="n">
        <x:v>3.06</x:v>
      </x:c>
      <x:c r="P89" s="46" t="str">
        <x:v>exact_2020_supplement</x:v>
      </x:c>
      <x:c r="Q89" s="62" t="str">
        <x:v>2020 supplement MeanTL</x:v>
      </x:c>
      <x:c r="R89" s="46" t="str">
        <x:v>high</x:v>
      </x:c>
      <x:c r="S89" s="46" t="str">
        <x:v>Cyprinus carpio</x:v>
      </x:c>
      <x:c r="T89" s="62" t="n">
        <x:f>IF(O89="","",(1/'Metadata'!$B$5)^(O89-1))</x:f>
        <x:v>478.7643354384948</x:v>
      </x:c>
      <x:c r="U89" s="60" t="n">
        <x:f>IF(T89="","",I89*T89)</x:f>
        <x:v>6726.747770467453</x:v>
      </x:c>
    </x:row>
    <x:row r="90" ht="18" customHeight="1">
      <x:c r="A90" s="46" t="str">
        <x:v>LME_043</x:v>
      </x:c>
      <x:c r="B90" s="46" t="str">
        <x:v>Southwest Australian Shelf</x:v>
      </x:c>
      <x:c r="C90" s="46" t="str">
        <x:v>LME</x:v>
      </x:c>
      <x:c r="D90" s="58" t="n">
        <x:v>2019</x:v>
      </x:c>
      <x:c r="E90" s="46" t="str">
        <x:v>Halargyreus johnsonii</x:v>
      </x:c>
      <x:c r="F90" s="46" t="str">
        <x:v>Slender codling</x:v>
      </x:c>
      <x:c r="G90" s="46" t="str">
        <x:v>Medium bathypelagics (30 - 89 cm)</x:v>
      </x:c>
      <x:c r="H90" s="46" t="str">
        <x:v>Cod-likes</x:v>
      </x:c>
      <x:c r="I90" s="60" t="n">
        <x:v>11.5721098126</x:v>
      </x:c>
      <x:c r="J90" s="60" t="n">
        <x:v>0.0087697246</x:v>
      </x:c>
      <x:c r="K90" s="60" t="n">
        <x:v>11.563340088</x:v>
      </x:c>
      <x:c r="L90" s="60" t="n">
        <x:v>0.0087697246</x:v>
      </x:c>
      <x:c r="M90" s="60" t="n">
        <x:v>11.563340088</x:v>
      </x:c>
      <x:c r="N90" s="46" t="str">
        <x:v>halargyreus johnsonii</x:v>
      </x:c>
      <x:c r="O90" s="62" t="n">
        <x:v>3.38</x:v>
      </x:c>
      <x:c r="P90" s="46" t="str">
        <x:v>exact_2020_supplement</x:v>
      </x:c>
      <x:c r="Q90" s="62" t="str">
        <x:v>2020 supplement MeanTL</x:v>
      </x:c>
      <x:c r="R90" s="46" t="str">
        <x:v>high</x:v>
      </x:c>
      <x:c r="S90" s="46" t="str">
        <x:v>Halargyreus johnsonii</x:v>
      </x:c>
      <x:c r="T90" s="62" t="n">
        <x:f>IF(O90="","",(1/'Metadata'!$B$5)^(O90-1))</x:f>
        <x:v>1248.6806726928048</x:v>
      </x:c>
      <x:c r="U90" s="60" t="n">
        <x:f>IF(T90="","",I90*T90)</x:f>
        <x:v>14449.869865272376</x:v>
      </x:c>
    </x:row>
    <x:row r="91" ht="18" customHeight="1">
      <x:c r="A91" s="46" t="str">
        <x:v>LME_043</x:v>
      </x:c>
      <x:c r="B91" s="46" t="str">
        <x:v>Southwest Australian Shelf</x:v>
      </x:c>
      <x:c r="C91" s="46" t="str">
        <x:v>LME</x:v>
      </x:c>
      <x:c r="D91" s="58" t="n">
        <x:v>2019</x:v>
      </x:c>
      <x:c r="E91" s="46" t="str">
        <x:v>Clupeidae</x:v>
      </x:c>
      <x:c r="F91" s="46" t="str">
        <x:v>Herrings, sardines, menhadens</x:v>
      </x:c>
      <x:c r="G91" s="46" t="str">
        <x:v>Small pelagics (&lt;30 cm)</x:v>
      </x:c>
      <x:c r="H91" s="46" t="str">
        <x:v>Herring-likes</x:v>
      </x:c>
      <x:c r="I91" s="60" t="n">
        <x:v>11.1069939709</x:v>
      </x:c>
      <x:c r="J91" s="60" t="n">
        <x:v>9.1521851323</x:v>
      </x:c>
      <x:c r="K91" s="60" t="n">
        <x:v>1.9548088386</x:v>
      </x:c>
      <x:c r="L91" s="60" t="n">
        <x:v>8.4757444594</x:v>
      </x:c>
      <x:c r="M91" s="60" t="n">
        <x:v>2.6312495115</x:v>
      </x:c>
      <x:c r="N91" s="46" t="str">
        <x:v>clupeidae</x:v>
      </x:c>
      <x:c r="O91" s="62" t="n">
        <x:v>3.16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Clupeidae</x:v>
      </x:c>
      <x:c r="T91" s="62" t="n">
        <x:f>IF(O91="","",(1/'Metadata'!$B$5)^(O91-1))</x:f>
        <x:v>645.9885058849935</x:v>
      </x:c>
      <x:c r="U91" s="60" t="n">
        <x:f>IF(T91="","",I91*T91)</x:f>
        <x:v>7174.9904401353215</x:v>
      </x:c>
    </x:row>
    <x:row r="92" ht="18" customHeight="1">
      <x:c r="A92" s="46" t="str">
        <x:v>LME_043</x:v>
      </x:c>
      <x:c r="B92" s="46" t="str">
        <x:v>Southwest Australian Shelf</x:v>
      </x:c>
      <x:c r="C92" s="46" t="str">
        <x:v>LME</x:v>
      </x:c>
      <x:c r="D92" s="58" t="n">
        <x:v>2019</x:v>
      </x:c>
      <x:c r="E92" s="46" t="str">
        <x:v>Centriscidae</x:v>
      </x:c>
      <x:c r="F92" s="46" t="str">
        <x:v>Snipefishes, shrimpfishes</x:v>
      </x:c>
      <x:c r="G92" s="46" t="str">
        <x:v>Small benthopelagics (&lt;30 cm)</x:v>
      </x:c>
      <x:c r="H92" s="46" t="str">
        <x:v>Other fishes &amp; inverts</x:v>
      </x:c>
      <x:c r="I92" s="60" t="n">
        <x:v>10.8051148442</x:v>
      </x:c>
      <x:c r="J92" s="60" t="n">
        <x:v>0</x:v>
      </x:c>
      <x:c r="K92" s="60" t="n">
        <x:v>10.8051148442</x:v>
      </x:c>
      <x:c r="L92" s="60" t="n">
        <x:v>0</x:v>
      </x:c>
      <x:c r="M92" s="60" t="n">
        <x:v>10.8051148442</x:v>
      </x:c>
      <x:c r="N92" s="46" t="str">
        <x:v>centriscidae</x:v>
      </x:c>
      <x:c r="O92" s="62" t="n">
        <x:v>3.15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Centriscidae</x:v>
      </x:c>
      <x:c r="T92" s="62" t="n">
        <x:f>IF(O92="","",(1/'Metadata'!$B$5)^(O92-1))</x:f>
        <x:v>626.9234150652317</x:v>
      </x:c>
      <x:c r="U92" s="60" t="n">
        <x:f>IF(T92="","",I92*T92)</x:f>
        <x:v>6773.979498297893</x:v>
      </x:c>
    </x:row>
    <x:row r="93" ht="18" customHeight="1">
      <x:c r="A93" s="46" t="str">
        <x:v>LME_043</x:v>
      </x:c>
      <x:c r="B93" s="46" t="str">
        <x:v>Southwest Australian Shelf</x:v>
      </x:c>
      <x:c r="C93" s="46" t="str">
        <x:v>LME</x:v>
      </x:c>
      <x:c r="D93" s="58" t="n">
        <x:v>2019</x:v>
      </x:c>
      <x:c r="E93" s="46" t="str">
        <x:v>Xiphias gladius</x:v>
      </x:c>
      <x:c r="F93" s="46" t="str">
        <x:v>Swordfish</x:v>
      </x:c>
      <x:c r="G93" s="46" t="str">
        <x:v>Large pelagics (&gt;=90 cm)</x:v>
      </x:c>
      <x:c r="H93" s="46" t="str">
        <x:v>Tuna &amp; billfishes</x:v>
      </x:c>
      <x:c r="I93" s="60" t="n">
        <x:v>10.6752829978</x:v>
      </x:c>
      <x:c r="J93" s="60" t="n">
        <x:v>10.6752829978</x:v>
      </x:c>
      <x:c r="K93" s="60" t="n">
        <x:v>0</x:v>
      </x:c>
      <x:c r="L93" s="60" t="n">
        <x:v>7.5395619956</x:v>
      </x:c>
      <x:c r="M93" s="60" t="n">
        <x:v>3.1357210022</x:v>
      </x:c>
      <x:c r="N93" s="46" t="str">
        <x:v>xiphias gladius</x:v>
      </x:c>
      <x:c r="O93" s="62" t="n">
        <x:v>4.53</x:v>
      </x:c>
      <x:c r="P93" s="46" t="str">
        <x:v>exact_2020_supplement</x:v>
      </x:c>
      <x:c r="Q93" s="62" t="str">
        <x:v>2020 supplement MeanTL</x:v>
      </x:c>
      <x:c r="R93" s="46" t="str">
        <x:v>high</x:v>
      </x:c>
      <x:c r="S93" s="46" t="str">
        <x:v>Xiphias gladius</x:v>
      </x:c>
      <x:c r="T93" s="62" t="n">
        <x:f>IF(O93="","",(1/'Metadata'!$B$5)^(O93-1))</x:f>
        <x:v>39141.35758252625</x:v>
      </x:c>
      <x:c r="U93" s="60" t="n">
        <x:f>IF(T93="","",I93*T93)</x:f>
        <x:v>417845.0691115526</x:v>
      </x:c>
    </x:row>
    <x:row r="94" ht="18" customHeight="1">
      <x:c r="A94" s="46" t="str">
        <x:v>LME_043</x:v>
      </x:c>
      <x:c r="B94" s="46" t="str">
        <x:v>Southwest Australian Shelf</x:v>
      </x:c>
      <x:c r="C94" s="46" t="str">
        <x:v>LME</x:v>
      </x:c>
      <x:c r="D94" s="58" t="n">
        <x:v>2019</x:v>
      </x:c>
      <x:c r="E94" s="46" t="str">
        <x:v>Kyphosidae</x:v>
      </x:c>
      <x:c r="F94" s="46" t="str">
        <x:v>Sea chubs, knifefishes, niblers</x:v>
      </x:c>
      <x:c r="G94" s="46" t="str">
        <x:v>Medium reef assoc. fish (30 - 89 cm)</x:v>
      </x:c>
      <x:c r="H94" s="46" t="str">
        <x:v>Perch-likes</x:v>
      </x:c>
      <x:c r="I94" s="60" t="n">
        <x:v>9.9959203703</x:v>
      </x:c>
      <x:c r="J94" s="60" t="n">
        <x:v>9.9959203703</x:v>
      </x:c>
      <x:c r="K94" s="60" t="n">
        <x:v>0</x:v>
      </x:c>
      <x:c r="L94" s="60" t="n">
        <x:v>0.7955901826</x:v>
      </x:c>
      <x:c r="M94" s="60" t="n">
        <x:v>9.2003301877</x:v>
      </x:c>
      <x:c r="N94" s="46" t="str">
        <x:v>kyphosidae</x:v>
      </x:c>
      <x:c r="O94" s="62" t="n">
        <x:v>2.19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Kyphosidae</x:v>
      </x:c>
      <x:c r="T94" s="62" t="n">
        <x:f>IF(O94="","",(1/'Metadata'!$B$5)^(O94-1))</x:f>
        <x:v>35.336676027787405</x:v>
      </x:c>
      <x:c r="U94" s="60" t="n">
        <x:f>IF(T94="","",I94*T94)</x:f>
        <x:v>353.2225997248518</x:v>
      </x:c>
    </x:row>
    <x:row r="95" ht="18" customHeight="1">
      <x:c r="A95" s="46" t="str">
        <x:v>LME_043</x:v>
      </x:c>
      <x:c r="B95" s="46" t="str">
        <x:v>Southwest Australian Shelf</x:v>
      </x:c>
      <x:c r="C95" s="46" t="str">
        <x:v>LME</x:v>
      </x:c>
      <x:c r="D95" s="58" t="n">
        <x:v>2019</x:v>
      </x:c>
      <x:c r="E95" s="46" t="str">
        <x:v>Girella tricuspidata</x:v>
      </x:c>
      <x:c r="F95" s="46" t="str">
        <x:v>Parore</x:v>
      </x:c>
      <x:c r="G95" s="46" t="str">
        <x:v>Medium benthopelagics (30 - 89 cm)</x:v>
      </x:c>
      <x:c r="H95" s="46" t="str">
        <x:v>Perch-likes</x:v>
      </x:c>
      <x:c r="I95" s="60" t="n">
        <x:v>9.9328255605</x:v>
      </x:c>
      <x:c r="J95" s="60" t="n">
        <x:v>9.9328255605</x:v>
      </x:c>
      <x:c r="K95" s="60" t="n">
        <x:v>0</x:v>
      </x:c>
      <x:c r="L95" s="60" t="n">
        <x:v>1.9309320563</x:v>
      </x:c>
      <x:c r="M95" s="60" t="n">
        <x:v>8.0018935042</x:v>
      </x:c>
      <x:c r="N95" s="46" t="str">
        <x:v>girella tricuspidata</x:v>
      </x:c>
      <x:c r="O95" s="62" t="n">
        <x:v>2.09</x:v>
      </x:c>
      <x:c r="P95" s="46" t="str">
        <x:v>exact_2020_supplement</x:v>
      </x:c>
      <x:c r="Q95" s="62" t="str">
        <x:v>2020 supplement MeanTL</x:v>
      </x:c>
      <x:c r="R95" s="46" t="str">
        <x:v>high</x:v>
      </x:c>
      <x:c r="S95" s="46" t="str">
        <x:v>Girella tricuspidata</x:v>
      </x:c>
      <x:c r="T95" s="62" t="n">
        <x:f>IF(O95="","",(1/'Metadata'!$B$5)^(O95-1))</x:f>
        <x:v>26.189227921124896</x:v>
      </x:c>
      <x:c r="U95" s="60" t="n">
        <x:f>IF(T95="","",I95*T95)</x:f>
        <x:v>260.13303250470966</x:v>
      </x:c>
    </x:row>
    <x:row r="96" ht="18" customHeight="1">
      <x:c r="A96" s="46" t="str">
        <x:v>LME_043</x:v>
      </x:c>
      <x:c r="B96" s="46" t="str">
        <x:v>Southwest Australian Shelf</x:v>
      </x:c>
      <x:c r="C96" s="46" t="str">
        <x:v>LME</x:v>
      </x:c>
      <x:c r="D96" s="58" t="n">
        <x:v>2019</x:v>
      </x:c>
      <x:c r="E96" s="46" t="str">
        <x:v>Galeocerdo cuvier</x:v>
      </x:c>
      <x:c r="F96" s="46" t="str">
        <x:v>Tiger shark</x:v>
      </x:c>
      <x:c r="G96" s="46" t="str">
        <x:v>Large sharks (&gt;=90 cm)</x:v>
      </x:c>
      <x:c r="H96" s="46" t="str">
        <x:v>Sharks &amp; rays</x:v>
      </x:c>
      <x:c r="I96" s="60" t="n">
        <x:v>9.8839619436</x:v>
      </x:c>
      <x:c r="J96" s="60" t="n">
        <x:v>9.8839619436</x:v>
      </x:c>
      <x:c r="K96" s="60" t="n">
        <x:v>0</x:v>
      </x:c>
      <x:c r="L96" s="60" t="n">
        <x:v>2.6194203484</x:v>
      </x:c>
      <x:c r="M96" s="60" t="n">
        <x:v>7.2645415952</x:v>
      </x:c>
      <x:c r="N96" s="46" t="str">
        <x:v>galeocerdo cuvier</x:v>
      </x:c>
      <x:c r="O96" s="62" t="n">
        <x:v>4.54</x:v>
      </x:c>
      <x:c r="P96" s="46" t="str">
        <x:v>exact_2020_supplement</x:v>
      </x:c>
      <x:c r="Q96" s="62" t="str">
        <x:v>2020 supplement MeanTL</x:v>
      </x:c>
      <x:c r="R96" s="46" t="str">
        <x:v>high</x:v>
      </x:c>
      <x:c r="S96" s="46" t="str">
        <x:v>Galeocerdo cuvier</x:v>
      </x:c>
      <x:c r="T96" s="62" t="n">
        <x:f>IF(O96="","",(1/'Metadata'!$B$5)^(O96-1))</x:f>
        <x:v>40331.66810401469</x:v>
      </x:c>
      <x:c r="U96" s="60" t="n">
        <x:f>IF(T96="","",I96*T96)</x:f>
        <x:v>398636.6726619871</x:v>
      </x:c>
    </x:row>
    <x:row r="97" ht="18" customHeight="1">
      <x:c r="A97" s="46" t="str">
        <x:v>LME_043</x:v>
      </x:c>
      <x:c r="B97" s="46" t="str">
        <x:v>Southwest Australian Shelf</x:v>
      </x:c>
      <x:c r="C97" s="46" t="str">
        <x:v>LME</x:v>
      </x:c>
      <x:c r="D97" s="58" t="n">
        <x:v>2019</x:v>
      </x:c>
      <x:c r="E97" s="46" t="str">
        <x:v>Sillaginidae</x:v>
      </x:c>
      <x:c r="F97" s="46" t="str">
        <x:v>Smelt-whitings</x:v>
      </x:c>
      <x:c r="G97" s="46" t="str">
        <x:v>Medium demersals (30 - 89 cm)</x:v>
      </x:c>
      <x:c r="H97" s="46" t="str">
        <x:v>Perch-likes</x:v>
      </x:c>
      <x:c r="I97" s="60" t="n">
        <x:v>8.9371685081</x:v>
      </x:c>
      <x:c r="J97" s="60" t="n">
        <x:v>8.9371685081</x:v>
      </x:c>
      <x:c r="K97" s="60" t="n">
        <x:v>0</x:v>
      </x:c>
      <x:c r="L97" s="60" t="n">
        <x:v>3.7534650276</x:v>
      </x:c>
      <x:c r="M97" s="60" t="n">
        <x:v>5.183703480499999</x:v>
      </x:c>
      <x:c r="N97" s="46" t="str">
        <x:v>sillaginidae</x:v>
      </x:c>
      <x:c r="O97" s="62" t="n">
        <x:v>3.25</x:v>
      </x:c>
      <x:c r="P97" s="46" t="str">
        <x:v>exact_sea_around_us</x:v>
      </x:c>
      <x:c r="Q97" s="62" t="str">
        <x:v>Sea Around Us exploited organisms</x:v>
      </x:c>
      <x:c r="R97" s="46" t="str">
        <x:v>high</x:v>
      </x:c>
      <x:c r="S97" s="46" t="str">
        <x:v>Sillaginidae</x:v>
      </x:c>
      <x:c r="T97" s="62" t="n">
        <x:f>IF(O97="","",(1/'Metadata'!$B$5)^(O97-1))</x:f>
        <x:v>845.8970107524513</x:v>
      </x:c>
      <x:c r="U97" s="60" t="n">
        <x:f>IF(T97="","",I97*T97)</x:f>
        <x:v>7559.924125592734</x:v>
      </x:c>
    </x:row>
    <x:row r="98" ht="18" customHeight="1">
      <x:c r="A98" s="46" t="str">
        <x:v>LME_043</x:v>
      </x:c>
      <x:c r="B98" s="46" t="str">
        <x:v>Southwest Australian Shelf</x:v>
      </x:c>
      <x:c r="C98" s="46" t="str">
        <x:v>LME</x:v>
      </x:c>
      <x:c r="D98" s="58" t="n">
        <x:v>2019</x:v>
      </x:c>
      <x:c r="E98" s="46" t="str">
        <x:v>Thunnus albacares</x:v>
      </x:c>
      <x:c r="F98" s="46" t="str">
        <x:v>Yellowfin tuna</x:v>
      </x:c>
      <x:c r="G98" s="46" t="str">
        <x:v>Large pelagics (&gt;=90 cm)</x:v>
      </x:c>
      <x:c r="H98" s="46" t="str">
        <x:v>Tuna &amp; billfishes</x:v>
      </x:c>
      <x:c r="I98" s="60" t="n">
        <x:v>8.7197615774</x:v>
      </x:c>
      <x:c r="J98" s="60" t="n">
        <x:v>8.7197615774</x:v>
      </x:c>
      <x:c r="K98" s="60" t="n">
        <x:v>0</x:v>
      </x:c>
      <x:c r="L98" s="60" t="n">
        <x:v>2.7413331937</x:v>
      </x:c>
      <x:c r="M98" s="60" t="n">
        <x:v>5.9784283837</x:v>
      </x:c>
      <x:c r="N98" s="46" t="str">
        <x:v>thunnus albacares</x:v>
      </x:c>
      <x:c r="O98" s="62" t="n">
        <x:v>4.41</x:v>
      </x:c>
      <x:c r="P98" s="46" t="str">
        <x:v>exact_2020_supplement</x:v>
      </x:c>
      <x:c r="Q98" s="62" t="str">
        <x:v>2020 supplement MeanTL</x:v>
      </x:c>
      <x:c r="R98" s="46" t="str">
        <x:v>high</x:v>
      </x:c>
      <x:c r="S98" s="46" t="str">
        <x:v>Thunnus albacares</x:v>
      </x:c>
      <x:c r="T98" s="62" t="n">
        <x:f>IF(O98="","",(1/'Metadata'!$B$5)^(O98-1))</x:f>
        <x:v>27321.987305427916</x:v>
      </x:c>
      <x:c r="U98" s="60" t="n">
        <x:f>IF(T98="","",I98*T98)</x:f>
        <x:v>238241.2151240809</x:v>
      </x:c>
    </x:row>
    <x:row r="99" ht="18" customHeight="1">
      <x:c r="A99" s="46" t="str">
        <x:v>LME_043</x:v>
      </x:c>
      <x:c r="B99" s="46" t="str">
        <x:v>Southwest Australian Shelf</x:v>
      </x:c>
      <x:c r="C99" s="46" t="str">
        <x:v>LME</x:v>
      </x:c>
      <x:c r="D99" s="58" t="n">
        <x:v>2019</x:v>
      </x:c>
      <x:c r="E99" s="46" t="str">
        <x:v>Carcharhinus</x:v>
      </x:c>
      <x:c r="F99" s="46" t="str">
        <x:v>Sharp-nosed sharks</x:v>
      </x:c>
      <x:c r="G99" s="46" t="str">
        <x:v>Large sharks (&gt;=90 cm)</x:v>
      </x:c>
      <x:c r="H99" s="46" t="str">
        <x:v>Sharks &amp; rays</x:v>
      </x:c>
      <x:c r="I99" s="60" t="n">
        <x:v>8.3957781328</x:v>
      </x:c>
      <x:c r="J99" s="60" t="n">
        <x:v>8.3957781328</x:v>
      </x:c>
      <x:c r="K99" s="60" t="n">
        <x:v>0</x:v>
      </x:c>
      <x:c r="L99" s="60" t="n">
        <x:v>6.1852165369</x:v>
      </x:c>
      <x:c r="M99" s="60" t="n">
        <x:v>2.2105615959</x:v>
      </x:c>
      <x:c r="N99" s="46" t="str">
        <x:v>carcharhinus</x:v>
      </x:c>
      <x:c r="O99" s="62" t="n">
        <x:v>4.26</x:v>
      </x:c>
      <x:c r="P99" s="46" t="str">
        <x:v>exact_sea_around_us</x:v>
      </x:c>
      <x:c r="Q99" s="62" t="str">
        <x:v>Sea Around Us exploited organisms</x:v>
      </x:c>
      <x:c r="R99" s="46" t="str">
        <x:v>high</x:v>
      </x:c>
      <x:c r="S99" s="46" t="str">
        <x:v>Carcharhinus</x:v>
      </x:c>
      <x:c r="T99" s="62" t="n">
        <x:f>IF(O99="","",(1/'Metadata'!$B$5)^(O99-1))</x:f>
        <x:v>17432.42421569787</x:v>
      </x:c>
      <x:c r="U99" s="60" t="n">
        <x:f>IF(T99="","",I99*T99)</x:f>
        <x:v>146358.76603184937</x:v>
      </x:c>
    </x:row>
    <x:row r="100" ht="18" customHeight="1">
      <x:c r="A100" s="46" t="str">
        <x:v>LME_043</x:v>
      </x:c>
      <x:c r="B100" s="46" t="str">
        <x:v>Southwest Australian Shelf</x:v>
      </x:c>
      <x:c r="C100" s="46" t="str">
        <x:v>LME</x:v>
      </x:c>
      <x:c r="D100" s="58" t="n">
        <x:v>2019</x:v>
      </x:c>
      <x:c r="E100" s="46" t="str">
        <x:v>Zeus faber</x:v>
      </x:c>
      <x:c r="F100" s="46" t="str">
        <x:v>John dory</x:v>
      </x:c>
      <x:c r="G100" s="46" t="str">
        <x:v>Medium benthopelagics (30 - 89 cm)</x:v>
      </x:c>
      <x:c r="H100" s="46" t="str">
        <x:v>Other fishes &amp; inverts</x:v>
      </x:c>
      <x:c r="I100" s="60" t="n">
        <x:v>7.804112556400001</x:v>
      </x:c>
      <x:c r="J100" s="60" t="n">
        <x:v>7.646024990500001</x:v>
      </x:c>
      <x:c r="K100" s="60" t="n">
        <x:v>0.1580875659</x:v>
      </x:c>
      <x:c r="L100" s="60" t="n">
        <x:v>7.645900738200001</x:v>
      </x:c>
      <x:c r="M100" s="60" t="n">
        <x:v>0.1582118182</x:v>
      </x:c>
      <x:c r="N100" s="46" t="str">
        <x:v>zeus faber</x:v>
      </x:c>
      <x:c r="O100" s="62" t="n">
        <x:v>4.5</x:v>
      </x:c>
      <x:c r="P100" s="46" t="str">
        <x:v>exact_2020_supplement</x:v>
      </x:c>
      <x:c r="Q100" s="62" t="str">
        <x:v>2020 supplement MeanTL</x:v>
      </x:c>
      <x:c r="R100" s="46" t="str">
        <x:v>high</x:v>
      </x:c>
      <x:c r="S100" s="46" t="str">
        <x:v>Zeus faber</x:v>
      </x:c>
      <x:c r="T100" s="62" t="n">
        <x:f>IF(O100="","",(1/'Metadata'!$B$5)^(O100-1))</x:f>
        <x:v>35777.08763999664</x:v>
      </x:c>
      <x:c r="U100" s="60" t="n">
        <x:f>IF(T100="","",I100*T100)</x:f>
        <x:v>279208.41888272105</x:v>
      </x:c>
    </x:row>
    <x:row r="101" ht="18" customHeight="1">
      <x:c r="A101" s="46" t="str">
        <x:v>LME_043</x:v>
      </x:c>
      <x:c r="B101" s="46" t="str">
        <x:v>Southwest Australian Shelf</x:v>
      </x:c>
      <x:c r="C101" s="46" t="str">
        <x:v>LME</x:v>
      </x:c>
      <x:c r="D101" s="58" t="n">
        <x:v>2019</x:v>
      </x:c>
      <x:c r="E101" s="46" t="str">
        <x:v>Portunus pelagicus</x:v>
      </x:c>
      <x:c r="F101" s="46" t="str">
        <x:v>Blue swimming crab</x:v>
      </x:c>
      <x:c r="G101" s="46" t="str">
        <x:v>Lobsters, crabs</x:v>
      </x:c>
      <x:c r="H101" s="46" t="str">
        <x:v>Crustaceans</x:v>
      </x:c>
      <x:c r="I101" s="60" t="n">
        <x:v>7.5736557638</x:v>
      </x:c>
      <x:c r="J101" s="60" t="n">
        <x:v>7.5736557638</x:v>
      </x:c>
      <x:c r="K101" s="60" t="n">
        <x:v>0</x:v>
      </x:c>
      <x:c r="L101" s="60" t="n">
        <x:v>5.0763975190999995</x:v>
      </x:c>
      <x:c r="M101" s="60" t="n">
        <x:v>2.4972582447000002</x:v>
      </x:c>
      <x:c r="N101" s="46" t="str">
        <x:v>portunus pelagicus</x:v>
      </x:c>
      <x:c r="O101" s="62" t="n">
        <x:v>2.48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Portunus pelagicus</x:v>
      </x:c>
      <x:c r="T101" s="62" t="n">
        <x:f>IF(O101="","",(1/'Metadata'!$B$5)^(O101-1))</x:f>
        <x:v>84.24117069429444</x:v>
      </x:c>
      <x:c r="U101" s="60" t="n">
        <x:f>IF(T101="","",I101*T101)</x:f>
        <x:v>638.0136279781027</x:v>
      </x:c>
    </x:row>
    <x:row r="102" ht="18" customHeight="1">
      <x:c r="A102" s="46" t="str">
        <x:v>LME_043</x:v>
      </x:c>
      <x:c r="B102" s="46" t="str">
        <x:v>Southwest Australian Shelf</x:v>
      </x:c>
      <x:c r="C102" s="46" t="str">
        <x:v>LME</x:v>
      </x:c>
      <x:c r="D102" s="58" t="n">
        <x:v>2019</x:v>
      </x:c>
      <x:c r="E102" s="46" t="str">
        <x:v>Sphyrna zygaena</x:v>
      </x:c>
      <x:c r="F102" s="46" t="str">
        <x:v>Smooth hammerhead</x:v>
      </x:c>
      <x:c r="G102" s="46" t="str">
        <x:v>Large sharks (&gt;=90 cm)</x:v>
      </x:c>
      <x:c r="H102" s="46" t="str">
        <x:v>Sharks &amp; rays</x:v>
      </x:c>
      <x:c r="I102" s="60" t="n">
        <x:v>7.3310263551</x:v>
      </x:c>
      <x:c r="J102" s="60" t="n">
        <x:v>7.3310263551</x:v>
      </x:c>
      <x:c r="K102" s="60" t="n">
        <x:v>0</x:v>
      </x:c>
      <x:c r="L102" s="60" t="n">
        <x:v>5.9415347025</x:v>
      </x:c>
      <x:c r="M102" s="60" t="n">
        <x:v>1.3894916526</x:v>
      </x:c>
      <x:c r="N102" s="46" t="str">
        <x:v>sphyrna zygaena</x:v>
      </x:c>
      <x:c r="O102" s="62" t="n">
        <x:v>4.94</x:v>
      </x:c>
      <x:c r="P102" s="46" t="str">
        <x:v>exact_2020_supplement</x:v>
      </x:c>
      <x:c r="Q102" s="62" t="str">
        <x:v>2020 supplement MeanTL</x:v>
      </x:c>
      <x:c r="R102" s="46" t="str">
        <x:v>high</x:v>
      </x:c>
      <x:c r="S102" s="46" t="str">
        <x:v>Sphyrna zygaena</x:v>
      </x:c>
      <x:c r="T102" s="62" t="n">
        <x:f>IF(O102="","",(1/'Metadata'!$B$5)^(O102-1))</x:f>
        <x:v>133677.45937337462</x:v>
      </x:c>
      <x:c r="U102" s="60" t="n">
        <x:f>IF(T102="","",I102*T102)</x:f>
        <x:v>979992.9777490188</x:v>
      </x:c>
    </x:row>
    <x:row r="103" ht="18" customHeight="1">
      <x:c r="A103" s="46" t="str">
        <x:v>LME_043</x:v>
      </x:c>
      <x:c r="B103" s="46" t="str">
        <x:v>Southwest Australian Shelf</x:v>
      </x:c>
      <x:c r="C103" s="46" t="str">
        <x:v>LME</x:v>
      </x:c>
      <x:c r="D103" s="58" t="n">
        <x:v>2019</x:v>
      </x:c>
      <x:c r="E103" s="46" t="str">
        <x:v>Pristidae</x:v>
      </x:c>
      <x:c r="F103" s="46" t="str">
        <x:v>Sawfishes</x:v>
      </x:c>
      <x:c r="G103" s="46" t="str">
        <x:v>Large rays (&gt;=90 cm)</x:v>
      </x:c>
      <x:c r="H103" s="46" t="str">
        <x:v>Sharks &amp; rays</x:v>
      </x:c>
      <x:c r="I103" s="60" t="n">
        <x:v>7.0472938672000005</x:v>
      </x:c>
      <x:c r="J103" s="60" t="n">
        <x:v>7.0472938672000005</x:v>
      </x:c>
      <x:c r="K103" s="60" t="n">
        <x:v>0</x:v>
      </x:c>
      <x:c r="L103" s="60" t="n">
        <x:v>0.039083111999999996</x:v>
      </x:c>
      <x:c r="M103" s="60" t="n">
        <x:v>7.0082107552</x:v>
      </x:c>
      <x:c r="N103" s="46" t="str">
        <x:v>pristidae</x:v>
      </x:c>
      <x:c r="O103" s="62" t="n">
        <x:v>4.24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Pristidae</x:v>
      </x:c>
      <x:c r="T103" s="62" t="n">
        <x:f>IF(O103="","",(1/'Metadata'!$B$5)^(O103-1))</x:f>
        <x:v>16418.64020623336</x:v>
      </x:c>
      <x:c r="U103" s="60" t="n">
        <x:f>IF(T103="","",I103*T103)</x:f>
        <x:v>115706.9824331517</x:v>
      </x:c>
    </x:row>
    <x:row r="104" ht="18" customHeight="1">
      <x:c r="A104" s="46" t="str">
        <x:v>LME_043</x:v>
      </x:c>
      <x:c r="B104" s="46" t="str">
        <x:v>Southwest Australian Shelf</x:v>
      </x:c>
      <x:c r="C104" s="46" t="str">
        <x:v>LME</x:v>
      </x:c>
      <x:c r="D104" s="58" t="n">
        <x:v>2019</x:v>
      </x:c>
      <x:c r="E104" s="46" t="str">
        <x:v>Callorhinchus milii</x:v>
      </x:c>
      <x:c r="F104" s="46" t="str">
        <x:v>Ghost shark</x:v>
      </x:c>
      <x:c r="G104" s="46" t="str">
        <x:v>Large rays (&gt;=90 cm)</x:v>
      </x:c>
      <x:c r="H104" s="46" t="str">
        <x:v>Sharks &amp; rays</x:v>
      </x:c>
      <x:c r="I104" s="60" t="n">
        <x:v>6.7574668957</x:v>
      </x:c>
      <x:c r="J104" s="60" t="n">
        <x:v>6.7574668957</x:v>
      </x:c>
      <x:c r="K104" s="60" t="n">
        <x:v>0</x:v>
      </x:c>
      <x:c r="L104" s="60" t="n">
        <x:v>6.7574668957</x:v>
      </x:c>
      <x:c r="M104" s="60" t="n">
        <x:v>0</x:v>
      </x:c>
      <x:c r="N104" s="46" t="str">
        <x:v>callorhinchus milii</x:v>
      </x:c>
      <x:c r="O104" s="62" t="n">
        <x:v>3.6</x:v>
      </x:c>
      <x:c r="P104" s="46" t="str">
        <x:v>exact_2020_supplement</x:v>
      </x:c>
      <x:c r="Q104" s="62" t="str">
        <x:v>2020 supplement MeanTL</x:v>
      </x:c>
      <x:c r="R104" s="46" t="str">
        <x:v>high</x:v>
      </x:c>
      <x:c r="S104" s="46" t="str">
        <x:v>Callorhinchus milii</x:v>
      </x:c>
      <x:c r="T104" s="62" t="n">
        <x:f>IF(O104="","",(1/'Metadata'!$B$5)^(O104-1))</x:f>
        <x:v>2413.670534618066</x:v>
      </x:c>
      <x:c r="U104" s="60" t="n">
        <x:f>IF(T104="","",I104*T104)</x:f>
        <x:v>16310.298734808104</x:v>
      </x:c>
    </x:row>
    <x:row r="105" ht="18" customHeight="1">
      <x:c r="A105" s="46" t="str">
        <x:v>LME_043</x:v>
      </x:c>
      <x:c r="B105" s="46" t="str">
        <x:v>Southwest Australian Shelf</x:v>
      </x:c>
      <x:c r="C105" s="46" t="str">
        <x:v>LME</x:v>
      </x:c>
      <x:c r="D105" s="58" t="n">
        <x:v>2019</x:v>
      </x:c>
      <x:c r="E105" s="46" t="str">
        <x:v>Sillago</x:v>
      </x:c>
      <x:c r="F105" s="46" t="str">
        <x:v>Smelt-whitings</x:v>
      </x:c>
      <x:c r="G105" s="46" t="str">
        <x:v>Medium demersals (30 - 89 cm)</x:v>
      </x:c>
      <x:c r="H105" s="46" t="str">
        <x:v>Perch-likes</x:v>
      </x:c>
      <x:c r="I105" s="60" t="n">
        <x:v>6.3045249491</x:v>
      </x:c>
      <x:c r="J105" s="60" t="n">
        <x:v>6.235513366</x:v>
      </x:c>
      <x:c r="K105" s="60" t="n">
        <x:v>0.0690115831</x:v>
      </x:c>
      <x:c r="L105" s="60" t="n">
        <x:v>4.998800479</x:v>
      </x:c>
      <x:c r="M105" s="60" t="n">
        <x:v>1.3057244701</x:v>
      </x:c>
      <x:c r="N105" s="46" t="str">
        <x:v>sillago</x:v>
      </x:c>
      <x:c r="O105" s="62" t="n">
        <x:v>3.33</x:v>
      </x:c>
      <x:c r="P105" s="46" t="str">
        <x:v>exact_sea_around_us</x:v>
      </x:c>
      <x:c r="Q105" s="62" t="str">
        <x:v>Sea Around Us exploited organisms</x:v>
      </x:c>
      <x:c r="R105" s="46" t="str">
        <x:v>high</x:v>
      </x:c>
      <x:c r="S105" s="46" t="str">
        <x:v>Sillago</x:v>
      </x:c>
      <x:c r="T105" s="62" t="n">
        <x:f>IF(O105="","",(1/'Metadata'!$B$5)^(O105-1))</x:f>
        <x:v>1074.9787762899762</x:v>
      </x:c>
      <x:c r="U105" s="60" t="n">
        <x:f>IF(T105="","",I105*T105)</x:f>
        <x:v>6777.230514873142</x:v>
      </x:c>
    </x:row>
    <x:row r="106" ht="18" customHeight="1">
      <x:c r="A106" s="46" t="str">
        <x:v>LME_043</x:v>
      </x:c>
      <x:c r="B106" s="46" t="str">
        <x:v>Southwest Australian Shelf</x:v>
      </x:c>
      <x:c r="C106" s="46" t="str">
        <x:v>LME</x:v>
      </x:c>
      <x:c r="D106" s="58" t="n">
        <x:v>2019</x:v>
      </x:c>
      <x:c r="E106" s="46" t="str">
        <x:v>Seriola</x:v>
      </x:c>
      <x:c r="F106" s="46" t="str">
        <x:v>Amberjacks</x:v>
      </x:c>
      <x:c r="G106" s="46" t="str">
        <x:v>Large benthopelagics (&gt;=90 cm)</x:v>
      </x:c>
      <x:c r="H106" s="46" t="str">
        <x:v>Perch-likes</x:v>
      </x:c>
      <x:c r="I106" s="60" t="n">
        <x:v>5.917963910499999</x:v>
      </x:c>
      <x:c r="J106" s="60" t="n">
        <x:v>5.917963910499999</x:v>
      </x:c>
      <x:c r="K106" s="60" t="n">
        <x:v>0</x:v>
      </x:c>
      <x:c r="L106" s="60" t="n">
        <x:v>5.2254888024</x:v>
      </x:c>
      <x:c r="M106" s="60" t="n">
        <x:v>0.6924751081</x:v>
      </x:c>
      <x:c r="N106" s="46" t="str">
        <x:v>seriola</x:v>
      </x:c>
      <x:c r="O106" s="62" t="n">
        <x:v>4.39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Seriola</x:v>
      </x:c>
      <x:c r="T106" s="62" t="n">
        <x:f>IF(O106="","",(1/'Metadata'!$B$5)^(O106-1))</x:f>
        <x:v>25733.07497204781</x:v>
      </x:c>
      <x:c r="U106" s="60" t="n">
        <x:f>IF(T106="","",I106*T106)</x:f>
        <x:v>152287.4089907697</x:v>
      </x:c>
    </x:row>
    <x:row r="107" ht="18" customHeight="1">
      <x:c r="A107" s="46" t="str">
        <x:v>LME_043</x:v>
      </x:c>
      <x:c r="B107" s="46" t="str">
        <x:v>Southwest Australian Shelf</x:v>
      </x:c>
      <x:c r="C107" s="46" t="str">
        <x:v>LME</x:v>
      </x:c>
      <x:c r="D107" s="58" t="n">
        <x:v>2019</x:v>
      </x:c>
      <x:c r="E107" s="46" t="str">
        <x:v>Trachurus novaezelandiae</x:v>
      </x:c>
      <x:c r="F107" s="46" t="str">
        <x:v>Yellowtail horse mackerel</x:v>
      </x:c>
      <x:c r="G107" s="46" t="str">
        <x:v>Medium pelagics (30 - 89 cm)</x:v>
      </x:c>
      <x:c r="H107" s="46" t="str">
        <x:v>Perch-likes</x:v>
      </x:c>
      <x:c r="I107" s="60" t="n">
        <x:v>5.4753051633</x:v>
      </x:c>
      <x:c r="J107" s="60" t="n">
        <x:v>5.4753051633</x:v>
      </x:c>
      <x:c r="K107" s="60" t="n">
        <x:v>0</x:v>
      </x:c>
      <x:c r="L107" s="60" t="n">
        <x:v>5.2227356632</x:v>
      </x:c>
      <x:c r="M107" s="60" t="n">
        <x:v>0.2525695001</x:v>
      </x:c>
      <x:c r="N107" s="46" t="str">
        <x:v>trachurus novaezelandiae</x:v>
      </x:c>
      <x:c r="O107" s="62" t="n">
        <x:v>3.22</x:v>
      </x:c>
      <x:c r="P107" s="46" t="str">
        <x:v>exact_2020_supplement</x:v>
      </x:c>
      <x:c r="Q107" s="62" t="str">
        <x:v>2020 supplement MeanTL</x:v>
      </x:c>
      <x:c r="R107" s="46" t="str">
        <x:v>high</x:v>
      </x:c>
      <x:c r="S107" s="46" t="str">
        <x:v>Trachurus novaezelandiae</x:v>
      </x:c>
      <x:c r="T107" s="62" t="n">
        <x:f>IF(O107="","",(1/'Metadata'!$B$5)^(O107-1))</x:f>
        <x:v>773.1906443023378</x:v>
      </x:c>
      <x:c r="U107" s="60" t="n">
        <x:f>IF(T107="","",I107*T107)</x:f>
        <x:v>4233.454726963843</x:v>
      </x:c>
    </x:row>
    <x:row r="108" ht="18" customHeight="1">
      <x:c r="A108" s="46" t="str">
        <x:v>LME_043</x:v>
      </x:c>
      <x:c r="B108" s="46" t="str">
        <x:v>Southwest Australian Shelf</x:v>
      </x:c>
      <x:c r="C108" s="46" t="str">
        <x:v>LME</x:v>
      </x:c>
      <x:c r="D108" s="58" t="n">
        <x:v>2019</x:v>
      </x:c>
      <x:c r="E108" s="46" t="str">
        <x:v>Scylla</x:v>
      </x:c>
      <x:c r="F108" s="46" t="str">
        <x:v>Mud crabs</x:v>
      </x:c>
      <x:c r="G108" s="46" t="str">
        <x:v>Lobsters, crabs</x:v>
      </x:c>
      <x:c r="H108" s="46" t="str">
        <x:v>Crustaceans</x:v>
      </x:c>
      <x:c r="I108" s="60" t="n">
        <x:v>5.330941188</x:v>
      </x:c>
      <x:c r="J108" s="60" t="n">
        <x:v>5.330941188</x:v>
      </x:c>
      <x:c r="K108" s="60" t="n">
        <x:v>0</x:v>
      </x:c>
      <x:c r="L108" s="60" t="n">
        <x:v>2.5091168818000003</x:v>
      </x:c>
      <x:c r="M108" s="60" t="n">
        <x:v>2.8218243062</x:v>
      </x:c>
      <x:c r="N108" s="46" t="str">
        <x:v>scylla</x:v>
      </x:c>
      <x:c r="O108" s="62" t="n">
        <x:v>3.17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Scylla</x:v>
      </x:c>
      <x:c r="T108" s="62" t="n">
        <x:f>IF(O108="","",(1/'Metadata'!$B$5)^(O108-1))</x:f>
        <x:v>665.6333767532121</x:v>
      </x:c>
      <x:c r="U108" s="60" t="n">
        <x:f>IF(T108="","",I108*T108)</x:f>
        <x:v>3548.45238424122</x:v>
      </x:c>
    </x:row>
    <x:row r="109" ht="18" customHeight="1">
      <x:c r="A109" s="46" t="str">
        <x:v>LME_043</x:v>
      </x:c>
      <x:c r="B109" s="46" t="str">
        <x:v>Southwest Australian Shelf</x:v>
      </x:c>
      <x:c r="C109" s="46" t="str">
        <x:v>LME</x:v>
      </x:c>
      <x:c r="D109" s="58" t="n">
        <x:v>2019</x:v>
      </x:c>
      <x:c r="E109" s="46" t="str">
        <x:v>Pleuronectiformes</x:v>
      </x:c>
      <x:c r="F109" s="46" t="str">
        <x:v>Flatfishes</x:v>
      </x:c>
      <x:c r="G109" s="46" t="str">
        <x:v>Small to medium flatfishes (&lt;90 cm)</x:v>
      </x:c>
      <x:c r="H109" s="46" t="str">
        <x:v>Flatfishes</x:v>
      </x:c>
      <x:c r="I109" s="60" t="n">
        <x:v>4.5057015915</x:v>
      </x:c>
      <x:c r="J109" s="60" t="n">
        <x:v>4.5057015915</x:v>
      </x:c>
      <x:c r="K109" s="60" t="n">
        <x:v>0</x:v>
      </x:c>
      <x:c r="L109" s="60" t="n">
        <x:v>4.4906243714</x:v>
      </x:c>
      <x:c r="M109" s="60" t="n">
        <x:v>0.0150772201</x:v>
      </x:c>
      <x:c r="N109" s="46" t="str">
        <x:v>pleuronectiformes</x:v>
      </x:c>
      <x:c r="O109" s="62" t="n">
        <x:v>3.57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Pleuronectiformes</x:v>
      </x:c>
      <x:c r="T109" s="62" t="n">
        <x:f>IF(O109="","",(1/'Metadata'!$B$5)^(O109-1))</x:f>
        <x:v>2206.2112196552644</x:v>
      </x:c>
      <x:c r="U109" s="60" t="n">
        <x:f>IF(T109="","",I109*T109)</x:f>
        <x:v>9940.52940358588</x:v>
      </x:c>
    </x:row>
    <x:row r="110" ht="18" customHeight="1">
      <x:c r="A110" s="46" t="str">
        <x:v>LME_043</x:v>
      </x:c>
      <x:c r="B110" s="46" t="str">
        <x:v>Southwest Australian Shelf</x:v>
      </x:c>
      <x:c r="C110" s="46" t="str">
        <x:v>LME</x:v>
      </x:c>
      <x:c r="D110" s="58" t="n">
        <x:v>2019</x:v>
      </x:c>
      <x:c r="E110" s="46" t="str">
        <x:v>Lutjanidae</x:v>
      </x:c>
      <x:c r="F110" s="46" t="str">
        <x:v>Snappers</x:v>
      </x:c>
      <x:c r="G110" s="46" t="str">
        <x:v>Medium reef assoc. fish (30 - 89 cm)</x:v>
      </x:c>
      <x:c r="H110" s="46" t="str">
        <x:v>Perch-likes</x:v>
      </x:c>
      <x:c r="I110" s="60" t="n">
        <x:v>4.5043631908999995</x:v>
      </x:c>
      <x:c r="J110" s="60" t="n">
        <x:v>4.5043631908999995</x:v>
      </x:c>
      <x:c r="K110" s="60" t="n">
        <x:v>0</x:v>
      </x:c>
      <x:c r="L110" s="60" t="n">
        <x:v>0.5336059532999999</x:v>
      </x:c>
      <x:c r="M110" s="60" t="n">
        <x:v>3.9707572376</x:v>
      </x:c>
      <x:c r="N110" s="46" t="str">
        <x:v>lutjanidae</x:v>
      </x:c>
      <x:c r="O110" s="62" t="n">
        <x:v>4.02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Lutjanidae</x:v>
      </x:c>
      <x:c r="T110" s="62" t="n">
        <x:f>IF(O110="","",(1/'Metadata'!$B$5)^(O110-1))</x:f>
        <x:v>8493.967342839818</x:v>
      </x:c>
      <x:c r="U110" s="60" t="n">
        <x:f>IF(T110="","",I110*T110)</x:f>
        <x:v>38259.913843794355</x:v>
      </x:c>
    </x:row>
    <x:row r="111" ht="18" customHeight="1">
      <x:c r="A111" s="46" t="str">
        <x:v>LME_043</x:v>
      </x:c>
      <x:c r="B111" s="46" t="str">
        <x:v>Southwest Australian Shelf</x:v>
      </x:c>
      <x:c r="C111" s="46" t="str">
        <x:v>LME</x:v>
      </x:c>
      <x:c r="D111" s="58" t="n">
        <x:v>2019</x:v>
      </x:c>
      <x:c r="E111" s="46" t="str">
        <x:v>Ostreidae</x:v>
      </x:c>
      <x:c r="F111" s="46" t="str">
        <x:v>True oysters</x:v>
      </x:c>
      <x:c r="G111" s="46" t="str">
        <x:v>Other demersal invertebrates</x:v>
      </x:c>
      <x:c r="H111" s="46" t="str">
        <x:v>Molluscs</x:v>
      </x:c>
      <x:c r="I111" s="60" t="n">
        <x:v>4.0561546344999995</x:v>
      </x:c>
      <x:c r="J111" s="60" t="n">
        <x:v>4.0561546344999995</x:v>
      </x:c>
      <x:c r="K111" s="60" t="n">
        <x:v>0</x:v>
      </x:c>
      <x:c r="L111" s="60" t="n">
        <x:v>1.1405701377</x:v>
      </x:c>
      <x:c r="M111" s="60" t="n">
        <x:v>2.9155844968</x:v>
      </x:c>
      <x:c r="N111" s="46" t="str">
        <x:v>ostreidae</x:v>
      </x:c>
      <x:c r="O111" s="62" t="n">
        <x:v>2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Ostreidae</x:v>
      </x:c>
      <x:c r="T111" s="62" t="n">
        <x:f>IF(O111="","",(1/'Metadata'!$B$5)^(O111-1))</x:f>
        <x:v>20</x:v>
      </x:c>
      <x:c r="U111" s="60" t="n">
        <x:f>IF(T111="","",I111*T111)</x:f>
        <x:v>81.12309269</x:v>
      </x:c>
    </x:row>
    <x:row r="112" ht="18" customHeight="1">
      <x:c r="A112" s="46" t="str">
        <x:v>LME_043</x:v>
      </x:c>
      <x:c r="B112" s="46" t="str">
        <x:v>Southwest Australian Shelf</x:v>
      </x:c>
      <x:c r="C112" s="46" t="str">
        <x:v>LME</x:v>
      </x:c>
      <x:c r="D112" s="58" t="n">
        <x:v>2019</x:v>
      </x:c>
      <x:c r="E112" s="46" t="str">
        <x:v>Alopias vulpinus</x:v>
      </x:c>
      <x:c r="F112" s="46" t="str">
        <x:v>Thresher</x:v>
      </x:c>
      <x:c r="G112" s="46" t="str">
        <x:v>Large sharks (&gt;=90 cm)</x:v>
      </x:c>
      <x:c r="H112" s="46" t="str">
        <x:v>Sharks &amp; rays</x:v>
      </x:c>
      <x:c r="I112" s="60" t="n">
        <x:v>3.7578523846</x:v>
      </x:c>
      <x:c r="J112" s="60" t="n">
        <x:v>3.7578523846</x:v>
      </x:c>
      <x:c r="K112" s="60" t="n">
        <x:v>0</x:v>
      </x:c>
      <x:c r="L112" s="60" t="n">
        <x:v>3.5704489045</x:v>
      </x:c>
      <x:c r="M112" s="60" t="n">
        <x:v>0.1874034801</x:v>
      </x:c>
      <x:c r="N112" s="46" t="str">
        <x:v>alopias vulpinus</x:v>
      </x:c>
      <x:c r="O112" s="62" t="n">
        <x:v>4.5</x:v>
      </x:c>
      <x:c r="P112" s="46" t="str">
        <x:v>exact_2020_supplement</x:v>
      </x:c>
      <x:c r="Q112" s="62" t="str">
        <x:v>2020 supplement MeanTL</x:v>
      </x:c>
      <x:c r="R112" s="46" t="str">
        <x:v>high</x:v>
      </x:c>
      <x:c r="S112" s="46" t="str">
        <x:v>Alopias vulpinus</x:v>
      </x:c>
      <x:c r="T112" s="62" t="n">
        <x:f>IF(O112="","",(1/'Metadata'!$B$5)^(O112-1))</x:f>
        <x:v>35777.08763999664</x:v>
      </x:c>
      <x:c r="U112" s="60" t="n">
        <x:f>IF(T112="","",I112*T112)</x:f>
        <x:v>134445.01410200456</x:v>
      </x:c>
    </x:row>
    <x:row r="113" ht="18" customHeight="1">
      <x:c r="A113" s="46" t="str">
        <x:v>LME_043</x:v>
      </x:c>
      <x:c r="B113" s="46" t="str">
        <x:v>Southwest Australian Shelf</x:v>
      </x:c>
      <x:c r="C113" s="46" t="str">
        <x:v>LME</x:v>
      </x:c>
      <x:c r="D113" s="58" t="n">
        <x:v>2019</x:v>
      </x:c>
      <x:c r="E113" s="46" t="str">
        <x:v>Synodontidae</x:v>
      </x:c>
      <x:c r="F113" s="46" t="str">
        <x:v>Lizardfishes, sauries</x:v>
      </x:c>
      <x:c r="G113" s="46" t="str">
        <x:v>Medium demersals (30 - 89 cm)</x:v>
      </x:c>
      <x:c r="H113" s="46" t="str">
        <x:v>Other fishes &amp; inverts</x:v>
      </x:c>
      <x:c r="I113" s="60" t="n">
        <x:v>3.5067497459</x:v>
      </x:c>
      <x:c r="J113" s="60" t="n">
        <x:v>0.0001161554</x:v>
      </x:c>
      <x:c r="K113" s="60" t="n">
        <x:v>3.5066335905</x:v>
      </x:c>
      <x:c r="L113" s="60" t="n">
        <x:v>0</x:v>
      </x:c>
      <x:c r="M113" s="60" t="n">
        <x:v>3.5067497459</x:v>
      </x:c>
      <x:c r="N113" s="46" t="str">
        <x:v>synodontidae</x:v>
      </x:c>
      <x:c r="O113" s="62" t="n">
        <x:v>4.3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Synodontidae</x:v>
      </x:c>
      <x:c r="T113" s="62" t="n">
        <x:f>IF(O113="","",(1/'Metadata'!$B$5)^(O113-1))</x:f>
        <x:v>19651.648417852637</x:v>
      </x:c>
      <x:c r="U113" s="60" t="n">
        <x:f>IF(T113="","",I113*T113)</x:f>
        <x:v>68913.41309582087</x:v>
      </x:c>
    </x:row>
    <x:row r="114" ht="18" customHeight="1">
      <x:c r="A114" s="46" t="str">
        <x:v>LME_043</x:v>
      </x:c>
      <x:c r="B114" s="46" t="str">
        <x:v>Southwest Australian Shelf</x:v>
      </x:c>
      <x:c r="C114" s="46" t="str">
        <x:v>LME</x:v>
      </x:c>
      <x:c r="D114" s="58" t="n">
        <x:v>2019</x:v>
      </x:c>
      <x:c r="E114" s="46" t="str">
        <x:v>Haemulidae</x:v>
      </x:c>
      <x:c r="F114" s="46" t="str">
        <x:v>Grunts, sweetlips, bonnetmouths</x:v>
      </x:c>
      <x:c r="G114" s="46" t="str">
        <x:v>Medium demersals (30 - 89 cm)</x:v>
      </x:c>
      <x:c r="H114" s="46" t="str">
        <x:v>Perch-likes</x:v>
      </x:c>
      <x:c r="I114" s="60" t="n">
        <x:v>3.4959126271</x:v>
      </x:c>
      <x:c r="J114" s="60" t="n">
        <x:v>3.19793372</x:v>
      </x:c>
      <x:c r="K114" s="60" t="n">
        <x:v>0.2979789071</x:v>
      </x:c>
      <x:c r="L114" s="60" t="n">
        <x:v>2.1212119707</x:v>
      </x:c>
      <x:c r="M114" s="60" t="n">
        <x:v>1.3747006564000002</x:v>
      </x:c>
      <x:c r="N114" s="46" t="str">
        <x:v>haemulidae</x:v>
      </x:c>
      <x:c r="O114" s="62" t="n">
        <x:v>3.36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Haemulidae</x:v>
      </x:c>
      <x:c r="T114" s="62" t="n">
        <x:f>IF(O114="","",(1/'Metadata'!$B$5)^(O114-1))</x:f>
        <x:v>1176.0635493805207</x:v>
      </x:c>
      <x:c r="U114" s="60" t="n">
        <x:f>IF(T114="","",I114*T114)</x:f>
        <x:v>4111.415412551407</x:v>
      </x:c>
    </x:row>
    <x:row r="115" ht="18" customHeight="1">
      <x:c r="A115" s="46" t="str">
        <x:v>LME_043</x:v>
      </x:c>
      <x:c r="B115" s="46" t="str">
        <x:v>Southwest Australian Shelf</x:v>
      </x:c>
      <x:c r="C115" s="46" t="str">
        <x:v>LME</x:v>
      </x:c>
      <x:c r="D115" s="58" t="n">
        <x:v>2019</x:v>
      </x:c>
      <x:c r="E115" s="46" t="str">
        <x:v>Thunnus obesus</x:v>
      </x:c>
      <x:c r="F115" s="46" t="str">
        <x:v>Bigeye tuna</x:v>
      </x:c>
      <x:c r="G115" s="46" t="str">
        <x:v>Large pelagics (&gt;=90 cm)</x:v>
      </x:c>
      <x:c r="H115" s="46" t="str">
        <x:v>Tuna &amp; billfishes</x:v>
      </x:c>
      <x:c r="I115" s="60" t="n">
        <x:v>3.2476651084</x:v>
      </x:c>
      <x:c r="J115" s="60" t="n">
        <x:v>3.2476651084</x:v>
      </x:c>
      <x:c r="K115" s="60" t="n">
        <x:v>0</x:v>
      </x:c>
      <x:c r="L115" s="60" t="n">
        <x:v>2.8863959481</x:v>
      </x:c>
      <x:c r="M115" s="60" t="n">
        <x:v>0.3612691603</x:v>
      </x:c>
      <x:c r="N115" s="46" t="str">
        <x:v>thunnus obesus</x:v>
      </x:c>
      <x:c r="O115" s="62" t="n">
        <x:v>4.49</x:v>
      </x:c>
      <x:c r="P115" s="46" t="str">
        <x:v>exact_2020_supplement</x:v>
      </x:c>
      <x:c r="Q115" s="62" t="str">
        <x:v>2020 supplement MeanTL</x:v>
      </x:c>
      <x:c r="R115" s="46" t="str">
        <x:v>high</x:v>
      </x:c>
      <x:c r="S115" s="46" t="str">
        <x:v>Thunnus obesus</x:v>
      </x:c>
      <x:c r="T115" s="62" t="n">
        <x:f>IF(O115="","",(1/'Metadata'!$B$5)^(O115-1))</x:f>
        <x:v>34721.19667768202</x:v>
      </x:c>
      <x:c r="U115" s="60" t="n">
        <x:f>IF(T115="","",I115*T115)</x:f>
        <x:v>112762.8189720019</x:v>
      </x:c>
    </x:row>
    <x:row r="116" ht="18" customHeight="1">
      <x:c r="A116" s="46" t="str">
        <x:v>LME_043</x:v>
      </x:c>
      <x:c r="B116" s="46" t="str">
        <x:v>Southwest Australian Shelf</x:v>
      </x:c>
      <x:c r="C116" s="46" t="str">
        <x:v>LME</x:v>
      </x:c>
      <x:c r="D116" s="58" t="n">
        <x:v>2019</x:v>
      </x:c>
      <x:c r="E116" s="46" t="str">
        <x:v>Carcharhinus brevipinna</x:v>
      </x:c>
      <x:c r="F116" s="46" t="str">
        <x:v>Spinner shark</x:v>
      </x:c>
      <x:c r="G116" s="46" t="str">
        <x:v>Large sharks (&gt;=90 cm)</x:v>
      </x:c>
      <x:c r="H116" s="46" t="str">
        <x:v>Sharks &amp; rays</x:v>
      </x:c>
      <x:c r="I116" s="60" t="n">
        <x:v>3.1961683761999997</x:v>
      </x:c>
      <x:c r="J116" s="60" t="n">
        <x:v>3.1961683761999997</x:v>
      </x:c>
      <x:c r="K116" s="60" t="n">
        <x:v>0</x:v>
      </x:c>
      <x:c r="L116" s="60" t="n">
        <x:v>3.1939535196</x:v>
      </x:c>
      <x:c r="M116" s="60" t="n">
        <x:v>0.0022148566</x:v>
      </x:c>
      <x:c r="N116" s="46" t="str">
        <x:v>carcharhinus brevipinna</x:v>
      </x:c>
      <x:c r="O116" s="62" t="n">
        <x:v>4.2</x:v>
      </x:c>
      <x:c r="P116" s="46" t="str">
        <x:v>exact_2020_supplement</x:v>
      </x:c>
      <x:c r="Q116" s="62" t="str">
        <x:v>2020 supplement MeanTL</x:v>
      </x:c>
      <x:c r="R116" s="46" t="str">
        <x:v>high</x:v>
      </x:c>
      <x:c r="S116" s="46" t="str">
        <x:v>Carcharhinus brevipinna</x:v>
      </x:c>
      <x:c r="T116" s="62" t="n">
        <x:f>IF(O116="","",(1/'Metadata'!$B$5)^(O116-1))</x:f>
        <x:v>14564.51362420865</x:v>
      </x:c>
      <x:c r="U116" s="60" t="n">
        <x:f>IF(T116="","",I116*T116)</x:f>
        <x:v>46550.637860429735</x:v>
      </x:c>
    </x:row>
    <x:row r="117" ht="18" customHeight="1">
      <x:c r="A117" s="46" t="str">
        <x:v>LME_043</x:v>
      </x:c>
      <x:c r="B117" s="46" t="str">
        <x:v>Southwest Australian Shelf</x:v>
      </x:c>
      <x:c r="C117" s="46" t="str">
        <x:v>LME</x:v>
      </x:c>
      <x:c r="D117" s="58" t="n">
        <x:v>2019</x:v>
      </x:c>
      <x:c r="E117" s="46" t="str">
        <x:v>Moridae</x:v>
      </x:c>
      <x:c r="F117" s="46" t="str">
        <x:v>Codlings, moras</x:v>
      </x:c>
      <x:c r="G117" s="46" t="str">
        <x:v>Medium benthopelagics (30 - 89 cm)</x:v>
      </x:c>
      <x:c r="H117" s="46" t="str">
        <x:v>Cod-likes</x:v>
      </x:c>
      <x:c r="I117" s="60" t="n">
        <x:v>3.1960457019999997</x:v>
      </x:c>
      <x:c r="J117" s="60" t="n">
        <x:v>3.1960457019999997</x:v>
      </x:c>
      <x:c r="K117" s="60" t="n">
        <x:v>0</x:v>
      </x:c>
      <x:c r="L117" s="60" t="n">
        <x:v>3.1933162468</x:v>
      </x:c>
      <x:c r="M117" s="60" t="n">
        <x:v>0.0027294552</x:v>
      </x:c>
      <x:c r="N117" s="46" t="str">
        <x:v>moridae</x:v>
      </x:c>
      <x:c r="O117" s="62" t="n">
        <x:v>3.87</x:v>
      </x:c>
      <x:c r="P117" s="46" t="str">
        <x:v>exact_sea_around_us</x:v>
      </x:c>
      <x:c r="Q117" s="62" t="str">
        <x:v>Sea Around Us exploited organisms</x:v>
      </x:c>
      <x:c r="R117" s="46" t="str">
        <x:v>high</x:v>
      </x:c>
      <x:c r="S117" s="46" t="str">
        <x:v>Moridae</x:v>
      </x:c>
      <x:c r="T117" s="62" t="n">
        <x:f>IF(O117="","",(1/'Metadata'!$B$5)^(O117-1))</x:f>
        <x:v>5419.460903023396</x:v>
      </x:c>
      <x:c r="U117" s="60" t="n">
        <x:f>IF(T117="","",I117*T117)</x:f>
        <x:v>17320.84472626496</x:v>
      </x:c>
    </x:row>
    <x:row r="118" ht="18" customHeight="1">
      <x:c r="A118" s="46" t="str">
        <x:v>LME_043</x:v>
      </x:c>
      <x:c r="B118" s="46" t="str">
        <x:v>Southwest Australian Shelf</x:v>
      </x:c>
      <x:c r="C118" s="46" t="str">
        <x:v>LME</x:v>
      </x:c>
      <x:c r="D118" s="58" t="n">
        <x:v>2019</x:v>
      </x:c>
      <x:c r="E118" s="46" t="str">
        <x:v>Sphyrna</x:v>
      </x:c>
      <x:c r="F118" s="46" t="str">
        <x:v>Hammerhead sharks</x:v>
      </x:c>
      <x:c r="G118" s="46" t="str">
        <x:v>Large sharks (&gt;=90 cm)</x:v>
      </x:c>
      <x:c r="H118" s="46" t="str">
        <x:v>Sharks &amp; rays</x:v>
      </x:c>
      <x:c r="I118" s="60" t="n">
        <x:v>3.1954924885000002</x:v>
      </x:c>
      <x:c r="J118" s="60" t="n">
        <x:v>3.1954924885000002</x:v>
      </x:c>
      <x:c r="K118" s="60" t="n">
        <x:v>0</x:v>
      </x:c>
      <x:c r="L118" s="60" t="n">
        <x:v>3.1954924885000002</x:v>
      </x:c>
      <x:c r="M118" s="60" t="n">
        <x:v>0</x:v>
      </x:c>
      <x:c r="N118" s="46" t="str">
        <x:v>sphyrna</x:v>
      </x:c>
      <x:c r="O118" s="62" t="n">
        <x:v>4.2</x:v>
      </x:c>
      <x:c r="P118" s="46" t="str">
        <x:v>exact_sea_around_us</x:v>
      </x:c>
      <x:c r="Q118" s="62" t="str">
        <x:v>Sea Around Us exploited organisms</x:v>
      </x:c>
      <x:c r="R118" s="46" t="str">
        <x:v>high</x:v>
      </x:c>
      <x:c r="S118" s="46" t="str">
        <x:v>Sphyrna</x:v>
      </x:c>
      <x:c r="T118" s="62" t="n">
        <x:f>IF(O118="","",(1/'Metadata'!$B$5)^(O118-1))</x:f>
        <x:v>14564.51362420865</x:v>
      </x:c>
      <x:c r="U118" s="60" t="n">
        <x:f>IF(T118="","",I118*T118)</x:f>
        <x:v>46540.79388481466</x:v>
      </x:c>
    </x:row>
    <x:row r="119" ht="18" customHeight="1">
      <x:c r="A119" s="46" t="str">
        <x:v>LME_043</x:v>
      </x:c>
      <x:c r="B119" s="46" t="str">
        <x:v>Southwest Australian Shelf</x:v>
      </x:c>
      <x:c r="C119" s="46" t="str">
        <x:v>LME</x:v>
      </x:c>
      <x:c r="D119" s="58" t="n">
        <x:v>2019</x:v>
      </x:c>
      <x:c r="E119" s="46" t="str">
        <x:v>Trichiuridae</x:v>
      </x:c>
      <x:c r="F119" s="46" t="str">
        <x:v>Cutlassfishes</x:v>
      </x:c>
      <x:c r="G119" s="46" t="str">
        <x:v>Large benthopelagics (&gt;=90 cm)</x:v>
      </x:c>
      <x:c r="H119" s="46" t="str">
        <x:v>Perch-likes</x:v>
      </x:c>
      <x:c r="I119" s="60" t="n">
        <x:v>3.1475101104</x:v>
      </x:c>
      <x:c r="J119" s="60" t="n">
        <x:v>0</x:v>
      </x:c>
      <x:c r="K119" s="60" t="n">
        <x:v>3.1475101104</x:v>
      </x:c>
      <x:c r="L119" s="60" t="n">
        <x:v>0</x:v>
      </x:c>
      <x:c r="M119" s="60" t="n">
        <x:v>3.1475101104</x:v>
      </x:c>
      <x:c r="N119" s="46" t="str">
        <x:v>trichiuridae</x:v>
      </x:c>
      <x:c r="O119" s="62" t="n">
        <x:v>4.15</x:v>
      </x:c>
      <x:c r="P119" s="46" t="str">
        <x:v>exact_sea_around_us</x:v>
      </x:c>
      <x:c r="Q119" s="62" t="str">
        <x:v>Sea Around Us exploited organisms</x:v>
      </x:c>
      <x:c r="R119" s="46" t="str">
        <x:v>high</x:v>
      </x:c>
      <x:c r="S119" s="46" t="str">
        <x:v>Trichiuridae</x:v>
      </x:c>
      <x:c r="T119" s="62" t="n">
        <x:f>IF(O119="","",(1/'Metadata'!$B$5)^(O119-1))</x:f>
        <x:v>12538.46830130465</x:v>
      </x:c>
      <x:c r="U119" s="60" t="n">
        <x:f>IF(T119="","",I119*T119)</x:f>
        <x:v>39464.9557472863</x:v>
      </x:c>
    </x:row>
    <x:row r="120" ht="18" customHeight="1">
      <x:c r="A120" s="46" t="str">
        <x:v>LME_043</x:v>
      </x:c>
      <x:c r="B120" s="46" t="str">
        <x:v>Southwest Australian Shelf</x:v>
      </x:c>
      <x:c r="C120" s="46" t="str">
        <x:v>LME</x:v>
      </x:c>
      <x:c r="D120" s="58" t="n">
        <x:v>2019</x:v>
      </x:c>
      <x:c r="E120" s="46" t="str">
        <x:v>Carcharhinidae</x:v>
      </x:c>
      <x:c r="F120" s="46" t="str">
        <x:v>Requiem sharks</x:v>
      </x:c>
      <x:c r="G120" s="46" t="str">
        <x:v>Large sharks (&gt;=90 cm)</x:v>
      </x:c>
      <x:c r="H120" s="46" t="str">
        <x:v>Sharks &amp; rays</x:v>
      </x:c>
      <x:c r="I120" s="60" t="n">
        <x:v>3.0728831202</x:v>
      </x:c>
      <x:c r="J120" s="60" t="n">
        <x:v>3.0728831202</x:v>
      </x:c>
      <x:c r="K120" s="60" t="n">
        <x:v>0</x:v>
      </x:c>
      <x:c r="L120" s="60" t="n">
        <x:v>2.7851735363</x:v>
      </x:c>
      <x:c r="M120" s="60" t="n">
        <x:v>0.2877095839</x:v>
      </x:c>
      <x:c r="N120" s="46" t="str">
        <x:v>carcharhinidae</x:v>
      </x:c>
      <x:c r="O120" s="62" t="n">
        <x:v>4.24</x:v>
      </x:c>
      <x:c r="P120" s="46" t="str">
        <x:v>exact_sea_around_us</x:v>
      </x:c>
      <x:c r="Q120" s="62" t="str">
        <x:v>Sea Around Us exploited organisms</x:v>
      </x:c>
      <x:c r="R120" s="46" t="str">
        <x:v>high</x:v>
      </x:c>
      <x:c r="S120" s="46" t="str">
        <x:v>Carcharhinidae</x:v>
      </x:c>
      <x:c r="T120" s="62" t="n">
        <x:f>IF(O120="","",(1/'Metadata'!$B$5)^(O120-1))</x:f>
        <x:v>16418.64020623336</x:v>
      </x:c>
      <x:c r="U120" s="60" t="n">
        <x:f>IF(T120="","",I120*T120)</x:f>
        <x:v>50452.56234637154</x:v>
      </x:c>
    </x:row>
    <x:row r="121" ht="18" customHeight="1">
      <x:c r="A121" s="46" t="str">
        <x:v>LME_043</x:v>
      </x:c>
      <x:c r="B121" s="46" t="str">
        <x:v>Southwest Australian Shelf</x:v>
      </x:c>
      <x:c r="C121" s="46" t="str">
        <x:v>LME</x:v>
      </x:c>
      <x:c r="D121" s="58" t="n">
        <x:v>2019</x:v>
      </x:c>
      <x:c r="E121" s="46" t="str">
        <x:v>Alopias</x:v>
      </x:c>
      <x:c r="F121" s="46" t="str">
        <x:v>Thresher sharks</x:v>
      </x:c>
      <x:c r="G121" s="46" t="str">
        <x:v>Large sharks (&gt;=90 cm)</x:v>
      </x:c>
      <x:c r="H121" s="46" t="str">
        <x:v>Sharks &amp; rays</x:v>
      </x:c>
      <x:c r="I121" s="60" t="n">
        <x:v>2.9766686945</x:v>
      </x:c>
      <x:c r="J121" s="60" t="n">
        <x:v>2.9766686945</x:v>
      </x:c>
      <x:c r="K121" s="60" t="n">
        <x:v>0</x:v>
      </x:c>
      <x:c r="L121" s="60" t="n">
        <x:v>2.9766686945</x:v>
      </x:c>
      <x:c r="M121" s="60" t="n">
        <x:v>0</x:v>
      </x:c>
      <x:c r="N121" s="46" t="str">
        <x:v>alopias</x:v>
      </x:c>
      <x:c r="O121" s="62" t="n">
        <x:v>4.5</x:v>
      </x:c>
      <x:c r="P121" s="46" t="str">
        <x:v>exact_sea_around_us</x:v>
      </x:c>
      <x:c r="Q121" s="62" t="str">
        <x:v>Sea Around Us exploited organisms</x:v>
      </x:c>
      <x:c r="R121" s="46" t="str">
        <x:v>high</x:v>
      </x:c>
      <x:c r="S121" s="46" t="str">
        <x:v>Alopias</x:v>
      </x:c>
      <x:c r="T121" s="62" t="n">
        <x:f>IF(O121="","",(1/'Metadata'!$B$5)^(O121-1))</x:f>
        <x:v>35777.08763999664</x:v>
      </x:c>
      <x:c r="U121" s="60" t="n">
        <x:f>IF(T121="","",I121*T121)</x:f>
        <x:v>106496.53675836086</x:v>
      </x:c>
    </x:row>
    <x:row r="122" ht="18" customHeight="1">
      <x:c r="A122" s="46" t="str">
        <x:v>LME_043</x:v>
      </x:c>
      <x:c r="B122" s="46" t="str">
        <x:v>Southwest Australian Shelf</x:v>
      </x:c>
      <x:c r="C122" s="46" t="str">
        <x:v>LME</x:v>
      </x:c>
      <x:c r="D122" s="58" t="n">
        <x:v>2019</x:v>
      </x:c>
      <x:c r="E122" s="46" t="str">
        <x:v>Scyliorhinidae</x:v>
      </x:c>
      <x:c r="F122" s="46" t="str">
        <x:v>Cat/swellsharks</x:v>
      </x:c>
      <x:c r="G122" s="46" t="str">
        <x:v>Large sharks (&gt;=90 cm)</x:v>
      </x:c>
      <x:c r="H122" s="46" t="str">
        <x:v>Sharks &amp; rays</x:v>
      </x:c>
      <x:c r="I122" s="60" t="n">
        <x:v>2.8060298175000002</x:v>
      </x:c>
      <x:c r="J122" s="60" t="n">
        <x:v>2.8060298175000002</x:v>
      </x:c>
      <x:c r="K122" s="60" t="n">
        <x:v>0</x:v>
      </x:c>
      <x:c r="L122" s="60" t="n">
        <x:v>2.8046659652</x:v>
      </x:c>
      <x:c r="M122" s="60" t="n">
        <x:v>0.0013638523</x:v>
      </x:c>
      <x:c r="N122" s="46" t="str">
        <x:v>scyliorhinidae</x:v>
      </x:c>
      <x:c r="O122" s="62" t="n">
        <x:v>3.97</x:v>
      </x:c>
      <x:c r="P122" s="46" t="str">
        <x:v>exact_sea_around_us</x:v>
      </x:c>
      <x:c r="Q122" s="62" t="str">
        <x:v>Sea Around Us exploited organisms</x:v>
      </x:c>
      <x:c r="R122" s="46" t="str">
        <x:v>high</x:v>
      </x:c>
      <x:c r="S122" s="46" t="str">
        <x:v>Scyliorhinidae</x:v>
      </x:c>
      <x:c r="T122" s="62" t="n">
        <x:f>IF(O122="","",(1/'Metadata'!$B$5)^(O122-1))</x:f>
        <x:v>7312.385640086951</x:v>
      </x:c>
      <x:c r="U122" s="60" t="n">
        <x:f>IF(T122="","",I122*T122)</x:f>
        <x:v>20518.77214314281</x:v>
      </x:c>
    </x:row>
    <x:row r="123" ht="18" customHeight="1">
      <x:c r="A123" s="46" t="str">
        <x:v>LME_043</x:v>
      </x:c>
      <x:c r="B123" s="46" t="str">
        <x:v>Southwest Australian Shelf</x:v>
      </x:c>
      <x:c r="C123" s="46" t="str">
        <x:v>LME</x:v>
      </x:c>
      <x:c r="D123" s="58" t="n">
        <x:v>2019</x:v>
      </x:c>
      <x:c r="E123" s="46" t="str">
        <x:v>Gadiformes</x:v>
      </x:c>
      <x:c r="F123" s="46" t="str">
        <x:v>Cods</x:v>
      </x:c>
      <x:c r="G123" s="46" t="str">
        <x:v>Medium benthopelagics (30 - 89 cm)</x:v>
      </x:c>
      <x:c r="H123" s="46" t="str">
        <x:v>Cod-likes</x:v>
      </x:c>
      <x:c r="I123" s="60" t="n">
        <x:v>2.6522233566</x:v>
      </x:c>
      <x:c r="J123" s="60" t="n">
        <x:v>2.6522233566</x:v>
      </x:c>
      <x:c r="K123" s="60" t="n">
        <x:v>0</x:v>
      </x:c>
      <x:c r="L123" s="60" t="n">
        <x:v>2.6522233566</x:v>
      </x:c>
      <x:c r="M123" s="60" t="n">
        <x:v>0</x:v>
      </x:c>
      <x:c r="N123" s="46" t="str">
        <x:v>gadiformes</x:v>
      </x:c>
      <x:c r="O123" s="62" t="n">
        <x:v>3.91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Gadiformes</x:v>
      </x:c>
      <x:c r="T123" s="62" t="n">
        <x:f>IF(O123="","",(1/'Metadata'!$B$5)^(O123-1))</x:f>
        <x:v>6109.382089532312</x:v>
      </x:c>
      <x:c r="U123" s="60" t="n">
        <x:f>IF(T123="","",I123*T123)</x:f>
        <x:v>16203.445872251312</x:v>
      </x:c>
    </x:row>
    <x:row r="124" ht="18" customHeight="1">
      <x:c r="A124" s="46" t="str">
        <x:v>LME_043</x:v>
      </x:c>
      <x:c r="B124" s="46" t="str">
        <x:v>Southwest Australian Shelf</x:v>
      </x:c>
      <x:c r="C124" s="46" t="str">
        <x:v>LME</x:v>
      </x:c>
      <x:c r="D124" s="58" t="n">
        <x:v>2019</x:v>
      </x:c>
      <x:c r="E124" s="46" t="str">
        <x:v>Gastropoda</x:v>
      </x:c>
      <x:c r="F124" s="46" t="str">
        <x:v>Sea snails</x:v>
      </x:c>
      <x:c r="G124" s="46" t="str">
        <x:v>Other demersal invertebrates</x:v>
      </x:c>
      <x:c r="H124" s="46" t="str">
        <x:v>Molluscs</x:v>
      </x:c>
      <x:c r="I124" s="60" t="n">
        <x:v>2.5392832072</x:v>
      </x:c>
      <x:c r="J124" s="60" t="n">
        <x:v>2.5392832072</x:v>
      </x:c>
      <x:c r="K124" s="60" t="n">
        <x:v>0</x:v>
      </x:c>
      <x:c r="L124" s="60" t="n">
        <x:v>2.5392760044</x:v>
      </x:c>
      <x:c r="M124" s="60" t="n">
        <x:v>0.0000072028</x:v>
      </x:c>
      <x:c r="N124" s="46" t="str">
        <x:v>gastropoda</x:v>
      </x:c>
      <x:c r="O124" s="62" t="n">
        <x:v>3.06</x:v>
      </x:c>
      <x:c r="P124" s="46" t="str">
        <x:v>exact_sea_around_us</x:v>
      </x:c>
      <x:c r="Q124" s="62" t="str">
        <x:v>Sea Around Us exploited organisms</x:v>
      </x:c>
      <x:c r="R124" s="46" t="str">
        <x:v>high</x:v>
      </x:c>
      <x:c r="S124" s="46" t="str">
        <x:v>Gastropoda</x:v>
      </x:c>
      <x:c r="T124" s="62" t="n">
        <x:f>IF(O124="","",(1/'Metadata'!$B$5)^(O124-1))</x:f>
        <x:v>478.7643354384948</x:v>
      </x:c>
      <x:c r="U124" s="60" t="n">
        <x:f>IF(T124="","",I124*T124)</x:f>
        <x:v>1215.7182371852377</x:v>
      </x:c>
    </x:row>
    <x:row r="125" ht="18" customHeight="1">
      <x:c r="A125" s="46" t="str">
        <x:v>LME_043</x:v>
      </x:c>
      <x:c r="B125" s="46" t="str">
        <x:v>Southwest Australian Shelf</x:v>
      </x:c>
      <x:c r="C125" s="46" t="str">
        <x:v>LME</x:v>
      </x:c>
      <x:c r="D125" s="58" t="n">
        <x:v>2019</x:v>
      </x:c>
      <x:c r="E125" s="46" t="str">
        <x:v>Paristiopterus labiosus</x:v>
      </x:c>
      <x:c r="F125" s="46" t="str">
        <x:v>Giant boarfish</x:v>
      </x:c>
      <x:c r="G125" s="46" t="str">
        <x:v>Medium demersals (30 - 89 cm)</x:v>
      </x:c>
      <x:c r="H125" s="46" t="str">
        <x:v>Perch-likes</x:v>
      </x:c>
      <x:c r="I125" s="60" t="n">
        <x:v>2.3232999833</x:v>
      </x:c>
      <x:c r="J125" s="60" t="n">
        <x:v>2.3232999833</x:v>
      </x:c>
      <x:c r="K125" s="60" t="n">
        <x:v>0</x:v>
      </x:c>
      <x:c r="L125" s="60" t="n">
        <x:v>2.3232999833</x:v>
      </x:c>
      <x:c r="M125" s="60" t="n">
        <x:v>0</x:v>
      </x:c>
      <x:c r="N125" s="46" t="str">
        <x:v>paristiopterus labiosus</x:v>
      </x:c>
      <x:c r="O125" s="62" t="n">
        <x:v>3.33</x:v>
      </x:c>
      <x:c r="P125" s="46" t="str">
        <x:v>exact_2020_supplement</x:v>
      </x:c>
      <x:c r="Q125" s="62" t="str">
        <x:v>2020 supplement MeanTL</x:v>
      </x:c>
      <x:c r="R125" s="46" t="str">
        <x:v>high</x:v>
      </x:c>
      <x:c r="S125" s="46" t="str">
        <x:v>Paristiopterus labiosus</x:v>
      </x:c>
      <x:c r="T125" s="62" t="n">
        <x:f>IF(O125="","",(1/'Metadata'!$B$5)^(O125-1))</x:f>
        <x:v>1074.9787762899762</x:v>
      </x:c>
      <x:c r="U125" s="60" t="n">
        <x:f>IF(T125="","",I125*T125)</x:f>
        <x:v>2497.498173002356</x:v>
      </x:c>
    </x:row>
    <x:row r="126" ht="18" customHeight="1">
      <x:c r="A126" s="46" t="str">
        <x:v>LME_043</x:v>
      </x:c>
      <x:c r="B126" s="46" t="str">
        <x:v>Southwest Australian Shelf</x:v>
      </x:c>
      <x:c r="C126" s="46" t="str">
        <x:v>LME</x:v>
      </x:c>
      <x:c r="D126" s="58" t="n">
        <x:v>2019</x:v>
      </x:c>
      <x:c r="E126" s="46" t="str">
        <x:v>Glaucosoma hebraicum</x:v>
      </x:c>
      <x:c r="F126" s="46" t="str">
        <x:v>West Australian dhufish</x:v>
      </x:c>
      <x:c r="G126" s="46" t="str">
        <x:v>Large reef assoc. fish (&gt;=90 cm)</x:v>
      </x:c>
      <x:c r="H126" s="46" t="str">
        <x:v>Perch-likes</x:v>
      </x:c>
      <x:c r="I126" s="60" t="n">
        <x:v>2.2263508422</x:v>
      </x:c>
      <x:c r="J126" s="60" t="n">
        <x:v>2.2263508422</x:v>
      </x:c>
      <x:c r="K126" s="60" t="n">
        <x:v>0</x:v>
      </x:c>
      <x:c r="L126" s="60" t="n">
        <x:v>0</x:v>
      </x:c>
      <x:c r="M126" s="60" t="n">
        <x:v>2.2263508422</x:v>
      </x:c>
      <x:c r="N126" s="46" t="str">
        <x:v>glaucosoma hebraicum</x:v>
      </x:c>
      <x:c r="O126" s="62" t="n">
        <x:v>4.3</x:v>
      </x:c>
      <x:c r="P126" s="46" t="str">
        <x:v>exact_2020_supplement</x:v>
      </x:c>
      <x:c r="Q126" s="62" t="str">
        <x:v>2020 supplement MeanTL</x:v>
      </x:c>
      <x:c r="R126" s="46" t="str">
        <x:v>high</x:v>
      </x:c>
      <x:c r="S126" s="46" t="str">
        <x:v>Glaucosoma hebraicum</x:v>
      </x:c>
      <x:c r="T126" s="62" t="n">
        <x:f>IF(O126="","",(1/'Metadata'!$B$5)^(O126-1))</x:f>
        <x:v>19651.648417852637</x:v>
      </x:c>
      <x:c r="U126" s="60" t="n">
        <x:f>IF(T126="","",I126*T126)</x:f>
        <x:v>43751.46400570452</x:v>
      </x:c>
    </x:row>
    <x:row r="127" ht="18" customHeight="1">
      <x:c r="A127" s="46" t="str">
        <x:v>LME_043</x:v>
      </x:c>
      <x:c r="B127" s="46" t="str">
        <x:v>Southwest Australian Shelf</x:v>
      </x:c>
      <x:c r="C127" s="46" t="str">
        <x:v>LME</x:v>
      </x:c>
      <x:c r="D127" s="58" t="n">
        <x:v>2019</x:v>
      </x:c>
      <x:c r="E127" s="46" t="str">
        <x:v>Katsuwonus pelamis</x:v>
      </x:c>
      <x:c r="F127" s="46" t="str">
        <x:v>Skipjack tuna</x:v>
      </x:c>
      <x:c r="G127" s="46" t="str">
        <x:v>Large pelagics (&gt;=90 cm)</x:v>
      </x:c>
      <x:c r="H127" s="46" t="str">
        <x:v>Tuna &amp; billfishes</x:v>
      </x:c>
      <x:c r="I127" s="60" t="n">
        <x:v>2.2109245443</x:v>
      </x:c>
      <x:c r="J127" s="60" t="n">
        <x:v>2.2109245443</x:v>
      </x:c>
      <x:c r="K127" s="60" t="n">
        <x:v>0</x:v>
      </x:c>
      <x:c r="L127" s="60" t="n">
        <x:v>0.022434778199999998</x:v>
      </x:c>
      <x:c r="M127" s="60" t="n">
        <x:v>2.1884897661</x:v>
      </x:c>
      <x:c r="N127" s="46" t="str">
        <x:v>katsuwonus pelamis</x:v>
      </x:c>
      <x:c r="O127" s="62" t="n">
        <x:v>4.43</x:v>
      </x:c>
      <x:c r="P127" s="46" t="str">
        <x:v>exact_2020_supplement</x:v>
      </x:c>
      <x:c r="Q127" s="62" t="str">
        <x:v>2020 supplement MeanTL</x:v>
      </x:c>
      <x:c r="R127" s="46" t="str">
        <x:v>high</x:v>
      </x:c>
      <x:c r="S127" s="46" t="str">
        <x:v>Katsuwonus pelamis</x:v>
      </x:c>
      <x:c r="T127" s="62" t="n">
        <x:f>IF(O127="","",(1/'Metadata'!$B$5)^(O127-1))</x:f>
        <x:v>29009.008489223597</x:v>
      </x:c>
      <x:c r="U127" s="60" t="n">
        <x:f>IF(T127="","",I127*T127)</x:f>
        <x:v>64136.72887463152</x:v>
      </x:c>
    </x:row>
    <x:row r="128" ht="18" customHeight="1">
      <x:c r="A128" s="46" t="str">
        <x:v>LME_043</x:v>
      </x:c>
      <x:c r="B128" s="46" t="str">
        <x:v>Southwest Australian Shelf</x:v>
      </x:c>
      <x:c r="C128" s="46" t="str">
        <x:v>LME</x:v>
      </x:c>
      <x:c r="D128" s="58" t="n">
        <x:v>2019</x:v>
      </x:c>
      <x:c r="E128" s="46" t="str">
        <x:v>Lethrinus miniatus</x:v>
      </x:c>
      <x:c r="F128" s="46" t="str">
        <x:v>Trumpet emperor</x:v>
      </x:c>
      <x:c r="G128" s="46" t="str">
        <x:v>Medium reef assoc. fish (30 - 89 cm)</x:v>
      </x:c>
      <x:c r="H128" s="46" t="str">
        <x:v>Perch-likes</x:v>
      </x:c>
      <x:c r="I128" s="60" t="n">
        <x:v>2.2031690836</x:v>
      </x:c>
      <x:c r="J128" s="60" t="n">
        <x:v>2.2031690836</x:v>
      </x:c>
      <x:c r="K128" s="60" t="n">
        <x:v>0</x:v>
      </x:c>
      <x:c r="L128" s="60" t="n">
        <x:v>1.0345375380000001</x:v>
      </x:c>
      <x:c r="M128" s="60" t="n">
        <x:v>1.1686315456</x:v>
      </x:c>
      <x:c r="N128" s="46" t="str">
        <x:v>lethrinus miniatus</x:v>
      </x:c>
      <x:c r="O128" s="62" t="n">
        <x:v>4.19</x:v>
      </x:c>
      <x:c r="P128" s="46" t="str">
        <x:v>exact_2020_supplement</x:v>
      </x:c>
      <x:c r="Q128" s="62" t="str">
        <x:v>2020 supplement MeanTL</x:v>
      </x:c>
      <x:c r="R128" s="46" t="str">
        <x:v>high</x:v>
      </x:c>
      <x:c r="S128" s="46" t="str">
        <x:v>Lethrinus miniatus</x:v>
      </x:c>
      <x:c r="T128" s="62" t="n">
        <x:f>IF(O128="","",(1/'Metadata'!$B$5)^(O128-1))</x:f>
        <x:v>14134.67041111498</x:v>
      </x:c>
      <x:c r="U128" s="60" t="n">
        <x:f>IF(T128="","",I128*T128)</x:f>
        <x:v>31141.068856644226</x:v>
      </x:c>
    </x:row>
    <x:row r="129" ht="18" customHeight="1">
      <x:c r="A129" s="46" t="str">
        <x:v>LME_043</x:v>
      </x:c>
      <x:c r="B129" s="46" t="str">
        <x:v>Southwest Australian Shelf</x:v>
      </x:c>
      <x:c r="C129" s="46" t="str">
        <x:v>LME</x:v>
      </x:c>
      <x:c r="D129" s="58" t="n">
        <x:v>2019</x:v>
      </x:c>
      <x:c r="E129" s="46" t="str">
        <x:v>Isurus oxyrinchus</x:v>
      </x:c>
      <x:c r="F129" s="46" t="str">
        <x:v>Shortfin mako</x:v>
      </x:c>
      <x:c r="G129" s="46" t="str">
        <x:v>Large sharks (&gt;=90 cm)</x:v>
      </x:c>
      <x:c r="H129" s="46" t="str">
        <x:v>Sharks &amp; rays</x:v>
      </x:c>
      <x:c r="I129" s="60" t="n">
        <x:v>2.1996066737</x:v>
      </x:c>
      <x:c r="J129" s="60" t="n">
        <x:v>2.1996066737</x:v>
      </x:c>
      <x:c r="K129" s="60" t="n">
        <x:v>0</x:v>
      </x:c>
      <x:c r="L129" s="60" t="n">
        <x:v>2.1041679068</x:v>
      </x:c>
      <x:c r="M129" s="60" t="n">
        <x:v>0.0954387669</x:v>
      </x:c>
      <x:c r="N129" s="46" t="str">
        <x:v>isurus oxyrinchus</x:v>
      </x:c>
      <x:c r="O129" s="62" t="n">
        <x:v>4.5</x:v>
      </x:c>
      <x:c r="P129" s="46" t="str">
        <x:v>exact_2020_supplement</x:v>
      </x:c>
      <x:c r="Q129" s="62" t="str">
        <x:v>2020 supplement MeanTL</x:v>
      </x:c>
      <x:c r="R129" s="46" t="str">
        <x:v>high</x:v>
      </x:c>
      <x:c r="S129" s="46" t="str">
        <x:v>Isurus oxyrinchus</x:v>
      </x:c>
      <x:c r="T129" s="62" t="n">
        <x:f>IF(O129="","",(1/'Metadata'!$B$5)^(O129-1))</x:f>
        <x:v>35777.08763999664</x:v>
      </x:c>
      <x:c r="U129" s="60" t="n">
        <x:f>IF(T129="","",I129*T129)</x:f>
        <x:v>78695.52073848639</x:v>
      </x:c>
    </x:row>
    <x:row r="130" ht="18" customHeight="1">
      <x:c r="A130" s="46" t="str">
        <x:v>LME_043</x:v>
      </x:c>
      <x:c r="B130" s="46" t="str">
        <x:v>Southwest Australian Shelf</x:v>
      </x:c>
      <x:c r="C130" s="46" t="str">
        <x:v>LME</x:v>
      </x:c>
      <x:c r="D130" s="58" t="n">
        <x:v>2019</x:v>
      </x:c>
      <x:c r="E130" s="46" t="str">
        <x:v>Pteriomorphia</x:v>
      </x:c>
      <x:c r="F130" s="46" t="str">
        <x:v>Clams, cockles, arkshells</x:v>
      </x:c>
      <x:c r="G130" s="46" t="str">
        <x:v>Other demersal invertebrates</x:v>
      </x:c>
      <x:c r="H130" s="46" t="str">
        <x:v>Molluscs</x:v>
      </x:c>
      <x:c r="I130" s="60" t="n">
        <x:v>2.1746916904</x:v>
      </x:c>
      <x:c r="J130" s="60" t="n">
        <x:v>2.1746916904</x:v>
      </x:c>
      <x:c r="K130" s="60" t="n">
        <x:v>0</x:v>
      </x:c>
      <x:c r="L130" s="60" t="n">
        <x:v>0</x:v>
      </x:c>
      <x:c r="M130" s="60" t="n">
        <x:v>2.1746916904</x:v>
      </x:c>
      <x:c r="N130" s="46" t="str">
        <x:v>pteriomorphia</x:v>
      </x:c>
      <x:c r="O130" s="62" t="n">
        <x:v>2.27</x:v>
      </x:c>
      <x:c r="P130" s="46" t="str">
        <x:v>exact_sea_around_us</x:v>
      </x:c>
      <x:c r="Q130" s="62" t="str">
        <x:v>Sea Around Us exploited organisms</x:v>
      </x:c>
      <x:c r="R130" s="46" t="str">
        <x:v>high</x:v>
      </x:c>
      <x:c r="S130" s="46" t="str">
        <x:v>Pteriomorphia</x:v>
      </x:c>
      <x:c r="T130" s="62" t="n">
        <x:f>IF(O130="","",(1/'Metadata'!$B$5)^(O130-1))</x:f>
        <x:v>44.90638490460721</x:v>
      </x:c>
      <x:c r="U130" s="60" t="n">
        <x:f>IF(T130="","",I130*T130)</x:f>
        <x:v>97.6575420979533</x:v>
      </x:c>
    </x:row>
    <x:row r="131" ht="18" customHeight="1">
      <x:c r="A131" s="46" t="str">
        <x:v>LME_043</x:v>
      </x:c>
      <x:c r="B131" s="46" t="str">
        <x:v>Southwest Australian Shelf</x:v>
      </x:c>
      <x:c r="C131" s="46" t="str">
        <x:v>LME</x:v>
      </x:c>
      <x:c r="D131" s="58" t="n">
        <x:v>2019</x:v>
      </x:c>
      <x:c r="E131" s="46" t="str">
        <x:v>Lethrinus</x:v>
      </x:c>
      <x:c r="F131" s="46" t="str">
        <x:v>Emperors</x:v>
      </x:c>
      <x:c r="G131" s="46" t="str">
        <x:v>Medium reef assoc. fish (30 - 89 cm)</x:v>
      </x:c>
      <x:c r="H131" s="46" t="str">
        <x:v>Perch-likes</x:v>
      </x:c>
      <x:c r="I131" s="60" t="n">
        <x:v>1.9544228944</x:v>
      </x:c>
      <x:c r="J131" s="60" t="n">
        <x:v>1.9544228944</x:v>
      </x:c>
      <x:c r="K131" s="60" t="n">
        <x:v>0</x:v>
      </x:c>
      <x:c r="L131" s="60" t="n">
        <x:v>1.2311408544</x:v>
      </x:c>
      <x:c r="M131" s="60" t="n">
        <x:v>0.72328204</x:v>
      </x:c>
      <x:c r="N131" s="46" t="str">
        <x:v>lethrinus</x:v>
      </x:c>
      <x:c r="O131" s="62" t="n">
        <x:v>3.75</x:v>
      </x:c>
      <x:c r="P131" s="46" t="str">
        <x:v>exact_sea_around_us</x:v>
      </x:c>
      <x:c r="Q131" s="62" t="str">
        <x:v>Sea Around Us exploited organisms</x:v>
      </x:c>
      <x:c r="R131" s="46" t="str">
        <x:v>high</x:v>
      </x:c>
      <x:c r="S131" s="46" t="str">
        <x:v>Lethrinus</x:v>
      </x:c>
      <x:c r="T131" s="62" t="n">
        <x:f>IF(O131="","",(1/'Metadata'!$B$5)^(O131-1))</x:f>
        <x:v>3782.966436012703</x:v>
      </x:c>
      <x:c r="U131" s="60" t="n">
        <x:f>IF(T131="","",I131*T131)</x:f>
        <x:v>7393.516211289999</x:v>
      </x:c>
    </x:row>
    <x:row r="132" ht="18" customHeight="1">
      <x:c r="A132" s="46" t="str">
        <x:v>LME_043</x:v>
      </x:c>
      <x:c r="B132" s="46" t="str">
        <x:v>Southwest Australian Shelf</x:v>
      </x:c>
      <x:c r="C132" s="46" t="str">
        <x:v>LME</x:v>
      </x:c>
      <x:c r="D132" s="58" t="n">
        <x:v>2019</x:v>
      </x:c>
      <x:c r="E132" s="46" t="str">
        <x:v>Tetrapturus angustirostris</x:v>
      </x:c>
      <x:c r="F132" s="46" t="str">
        <x:v>Shortbill spearfish</x:v>
      </x:c>
      <x:c r="G132" s="46" t="str">
        <x:v>Large pelagics (&gt;=90 cm)</x:v>
      </x:c>
      <x:c r="H132" s="46" t="str">
        <x:v>Tuna &amp; billfishes</x:v>
      </x:c>
      <x:c r="I132" s="60" t="n">
        <x:v>1.8755973429</x:v>
      </x:c>
      <x:c r="J132" s="60" t="n">
        <x:v>1.8755973429</x:v>
      </x:c>
      <x:c r="K132" s="60" t="n">
        <x:v>0</x:v>
      </x:c>
      <x:c r="L132" s="60" t="n">
        <x:v>0.051323801</x:v>
      </x:c>
      <x:c r="M132" s="60" t="n">
        <x:v>1.8242735419</x:v>
      </x:c>
      <x:c r="N132" s="46" t="str">
        <x:v>tetrapturus angustirostris</x:v>
      </x:c>
      <x:c r="O132" s="62" t="n">
        <x:v>4.5</x:v>
      </x:c>
      <x:c r="P132" s="46" t="str">
        <x:v>exact_2020_supplement</x:v>
      </x:c>
      <x:c r="Q132" s="62" t="str">
        <x:v>2020 supplement MeanTL</x:v>
      </x:c>
      <x:c r="R132" s="46" t="str">
        <x:v>high</x:v>
      </x:c>
      <x:c r="S132" s="46" t="str">
        <x:v>Tetrapturus angustirostris</x:v>
      </x:c>
      <x:c r="T132" s="62" t="n">
        <x:f>IF(O132="","",(1/'Metadata'!$B$5)^(O132-1))</x:f>
        <x:v>35777.08763999664</x:v>
      </x:c>
      <x:c r="U132" s="60" t="n">
        <x:f>IF(T132="","",I132*T132)</x:f>
        <x:v>67103.41051427812</x:v>
      </x:c>
    </x:row>
    <x:row r="133" ht="18" customHeight="1">
      <x:c r="A133" s="46" t="str">
        <x:v>LME_043</x:v>
      </x:c>
      <x:c r="B133" s="46" t="str">
        <x:v>Southwest Australian Shelf</x:v>
      </x:c>
      <x:c r="C133" s="46" t="str">
        <x:v>LME</x:v>
      </x:c>
      <x:c r="D133" s="58" t="n">
        <x:v>2019</x:v>
      </x:c>
      <x:c r="E133" s="46" t="str">
        <x:v>Carcharias taurus</x:v>
      </x:c>
      <x:c r="F133" s="46" t="str">
        <x:v>Sand tiger shark</x:v>
      </x:c>
      <x:c r="G133" s="46" t="str">
        <x:v>Large sharks (&gt;=90 cm)</x:v>
      </x:c>
      <x:c r="H133" s="46" t="str">
        <x:v>Sharks &amp; rays</x:v>
      </x:c>
      <x:c r="I133" s="60" t="n">
        <x:v>1.7659701144</x:v>
      </x:c>
      <x:c r="J133" s="60" t="n">
        <x:v>1.7659701144</x:v>
      </x:c>
      <x:c r="K133" s="60" t="n">
        <x:v>0</x:v>
      </x:c>
      <x:c r="L133" s="60" t="n">
        <x:v>0.9247395415</x:v>
      </x:c>
      <x:c r="M133" s="60" t="n">
        <x:v>0.8412305729</x:v>
      </x:c>
      <x:c r="N133" s="46" t="str">
        <x:v>carcharias taurus</x:v>
      </x:c>
      <x:c r="O133" s="62" t="n">
        <x:v>4.5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Carcharias taurus</x:v>
      </x:c>
      <x:c r="T133" s="62" t="n">
        <x:f>IF(O133="","",(1/'Metadata'!$B$5)^(O133-1))</x:f>
        <x:v>35777.08763999664</x:v>
      </x:c>
      <x:c r="U133" s="60" t="n">
        <x:f>IF(T133="","",I133*T133)</x:f>
        <x:v>63181.26755250368</x:v>
      </x:c>
    </x:row>
    <x:row r="134" ht="18" customHeight="1">
      <x:c r="A134" s="46" t="str">
        <x:v>LME_043</x:v>
      </x:c>
      <x:c r="B134" s="46" t="str">
        <x:v>Southwest Australian Shelf</x:v>
      </x:c>
      <x:c r="C134" s="46" t="str">
        <x:v>LME</x:v>
      </x:c>
      <x:c r="D134" s="58" t="n">
        <x:v>2019</x:v>
      </x:c>
      <x:c r="E134" s="46" t="str">
        <x:v>Carangoides</x:v>
      </x:c>
      <x:c r="F134" s="46" t="str">
        <x:v>Trevallies</x:v>
      </x:c>
      <x:c r="G134" s="46" t="str">
        <x:v>Medium reef assoc. fish (30 - 89 cm)</x:v>
      </x:c>
      <x:c r="H134" s="46" t="str">
        <x:v>Perch-likes</x:v>
      </x:c>
      <x:c r="I134" s="60" t="n">
        <x:v>1.7169737935</x:v>
      </x:c>
      <x:c r="J134" s="60" t="n">
        <x:v>1.7169737935</x:v>
      </x:c>
      <x:c r="K134" s="60" t="n">
        <x:v>0</x:v>
      </x:c>
      <x:c r="L134" s="60" t="n">
        <x:v>1.2703789783000001</x:v>
      </x:c>
      <x:c r="M134" s="60" t="n">
        <x:v>0.4465948152</x:v>
      </x:c>
      <x:c r="N134" s="46" t="str">
        <x:v>carangoides</x:v>
      </x:c>
      <x:c r="O134" s="62" t="n">
        <x:v>4.34</x:v>
      </x:c>
      <x:c r="P134" s="46" t="str">
        <x:v>exact_sea_around_us</x:v>
      </x:c>
      <x:c r="Q134" s="62" t="str">
        <x:v>Sea Around Us exploited organisms</x:v>
      </x:c>
      <x:c r="R134" s="46" t="str">
        <x:v>high</x:v>
      </x:c>
      <x:c r="S134" s="46" t="str">
        <x:v>Carangoides</x:v>
      </x:c>
      <x:c r="T134" s="62" t="n">
        <x:f>IF(O134="","",(1/'Metadata'!$B$5)^(O134-1))</x:f>
        <x:v>22153.389612394185</x:v>
      </x:c>
      <x:c r="U134" s="60" t="n">
        <x:f>IF(T134="","",I134*T134)</x:f>
        <x:v>38036.78940167594</x:v>
      </x:c>
    </x:row>
    <x:row r="135" ht="18" customHeight="1">
      <x:c r="A135" s="46" t="str">
        <x:v>LME_043</x:v>
      </x:c>
      <x:c r="B135" s="46" t="str">
        <x:v>Southwest Australian Shelf</x:v>
      </x:c>
      <x:c r="C135" s="46" t="str">
        <x:v>LME</x:v>
      </x:c>
      <x:c r="D135" s="58" t="n">
        <x:v>2019</x:v>
      </x:c>
      <x:c r="E135" s="46" t="str">
        <x:v>Variola louti</x:v>
      </x:c>
      <x:c r="F135" s="46" t="str">
        <x:v>Yellow-edged lyretail</x:v>
      </x:c>
      <x:c r="G135" s="46" t="str">
        <x:v>Medium reef assoc. fish (30 - 89 cm)</x:v>
      </x:c>
      <x:c r="H135" s="46" t="str">
        <x:v>Perch-likes</x:v>
      </x:c>
      <x:c r="I135" s="60" t="n">
        <x:v>1.7142224848</x:v>
      </x:c>
      <x:c r="J135" s="60" t="n">
        <x:v>1.7142224848</x:v>
      </x:c>
      <x:c r="K135" s="60" t="n">
        <x:v>0</x:v>
      </x:c>
      <x:c r="L135" s="60" t="n">
        <x:v>0.42351980640000003</x:v>
      </x:c>
      <x:c r="M135" s="60" t="n">
        <x:v>1.2907026784</x:v>
      </x:c>
      <x:c r="N135" s="46" t="str">
        <x:v>variola louti</x:v>
      </x:c>
      <x:c r="O135" s="62" t="n">
        <x:v>4.33</x:v>
      </x:c>
      <x:c r="P135" s="46" t="str">
        <x:v>exact_2020_supplement</x:v>
      </x:c>
      <x:c r="Q135" s="62" t="str">
        <x:v>2020 supplement MeanTL</x:v>
      </x:c>
      <x:c r="R135" s="46" t="str">
        <x:v>high</x:v>
      </x:c>
      <x:c r="S135" s="46" t="str">
        <x:v>Variola louti</x:v>
      </x:c>
      <x:c r="T135" s="62" t="n">
        <x:f>IF(O135="","",(1/'Metadata'!$B$5)^(O135-1))</x:f>
        <x:v>21499.575525799526</x:v>
      </x:c>
      <x:c r="U135" s="60" t="n">
        <x:f>IF(T135="","",I135*T135)</x:f>
        <x:v>36855.05577998133</x:v>
      </x:c>
    </x:row>
    <x:row r="136" ht="18" customHeight="1">
      <x:c r="A136" s="46" t="str">
        <x:v>LME_043</x:v>
      </x:c>
      <x:c r="B136" s="46" t="str">
        <x:v>Southwest Australian Shelf</x:v>
      </x:c>
      <x:c r="C136" s="46" t="str">
        <x:v>LME</x:v>
      </x:c>
      <x:c r="D136" s="58" t="n">
        <x:v>2019</x:v>
      </x:c>
      <x:c r="E136" s="46" t="str">
        <x:v>Gerres</x:v>
      </x:c>
      <x:c r="F136" s="46" t="str">
        <x:v>Silver biddies</x:v>
      </x:c>
      <x:c r="G136" s="46" t="str">
        <x:v>Small benthopelagics (&lt;30 cm)</x:v>
      </x:c>
      <x:c r="H136" s="46" t="str">
        <x:v>Perch-likes</x:v>
      </x:c>
      <x:c r="I136" s="60" t="n">
        <x:v>1.634383891</x:v>
      </x:c>
      <x:c r="J136" s="60" t="n">
        <x:v>1.634383891</x:v>
      </x:c>
      <x:c r="K136" s="60" t="n">
        <x:v>0</x:v>
      </x:c>
      <x:c r="L136" s="60" t="n">
        <x:v>1.634383891</x:v>
      </x:c>
      <x:c r="M136" s="60" t="n">
        <x:v>0</x:v>
      </x:c>
      <x:c r="N136" s="46" t="str">
        <x:v>gerres</x:v>
      </x:c>
      <x:c r="O136" s="62" t="n">
        <x:v>3.27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Gerres</x:v>
      </x:c>
      <x:c r="T136" s="62" t="n">
        <x:f>IF(O136="","",(1/'Metadata'!$B$5)^(O136-1))</x:f>
        <x:v>898.1276980921442</x:v>
      </x:c>
      <x:c r="U136" s="60" t="n">
        <x:f>IF(T136="","",I136*T136)</x:f>
        <x:v>1467.8854418227118</x:v>
      </x:c>
    </x:row>
    <x:row r="137" ht="18" customHeight="1">
      <x:c r="A137" s="46" t="str">
        <x:v>LME_043</x:v>
      </x:c>
      <x:c r="B137" s="46" t="str">
        <x:v>Southwest Australian Shelf</x:v>
      </x:c>
      <x:c r="C137" s="46" t="str">
        <x:v>LME</x:v>
      </x:c>
      <x:c r="D137" s="58" t="n">
        <x:v>2019</x:v>
      </x:c>
      <x:c r="E137" s="46" t="str">
        <x:v>Mollusca</x:v>
      </x:c>
      <x:c r="F137" s="46" t="str">
        <x:v>Clams, seasnails, squids, octopuses</x:v>
      </x:c>
      <x:c r="G137" s="46" t="str">
        <x:v>Other demersal invertebrates</x:v>
      </x:c>
      <x:c r="H137" s="46" t="str">
        <x:v>Molluscs</x:v>
      </x:c>
      <x:c r="I137" s="60" t="n">
        <x:v>1.6241445228</x:v>
      </x:c>
      <x:c r="J137" s="60" t="n">
        <x:v>1.6241445228</x:v>
      </x:c>
      <x:c r="K137" s="60" t="n">
        <x:v>0</x:v>
      </x:c>
      <x:c r="L137" s="60" t="n">
        <x:v>1.6241445228</x:v>
      </x:c>
      <x:c r="M137" s="60" t="n">
        <x:v>0</x:v>
      </x:c>
      <x:c r="N137" s="46" t="str">
        <x:v>mollusca</x:v>
      </x:c>
      <x:c r="O137" s="62" t="n">
        <x:v>2.1</x:v>
      </x:c>
      <x:c r="P137" s="46" t="str">
        <x:v>exact_sea_around_us</x:v>
      </x:c>
      <x:c r="Q137" s="62" t="str">
        <x:v>Sea Around Us exploited organisms</x:v>
      </x:c>
      <x:c r="R137" s="46" t="str">
        <x:v>high</x:v>
      </x:c>
      <x:c r="S137" s="46" t="str">
        <x:v>Mollusca</x:v>
      </x:c>
      <x:c r="T137" s="62" t="n">
        <x:f>IF(O137="","",(1/'Metadata'!$B$5)^(O137-1))</x:f>
        <x:v>26.985656953471274</x:v>
      </x:c>
      <x:c r="U137" s="60" t="n">
        <x:f>IF(T137="","",I137*T137)</x:f>
        <x:v>43.8286069351401</x:v>
      </x:c>
    </x:row>
    <x:row r="138" ht="18" customHeight="1">
      <x:c r="A138" s="46" t="str">
        <x:v>LME_043</x:v>
      </x:c>
      <x:c r="B138" s="46" t="str">
        <x:v>Southwest Australian Shelf</x:v>
      </x:c>
      <x:c r="C138" s="46" t="str">
        <x:v>LME</x:v>
      </x:c>
      <x:c r="D138" s="58" t="n">
        <x:v>2019</x:v>
      </x:c>
      <x:c r="E138" s="46" t="str">
        <x:v>Chanos chanos</x:v>
      </x:c>
      <x:c r="F138" s="46" t="str">
        <x:v>Milkfish</x:v>
      </x:c>
      <x:c r="G138" s="46" t="str">
        <x:v>Large benthopelagics (&gt;=90 cm)</x:v>
      </x:c>
      <x:c r="H138" s="46" t="str">
        <x:v>Other fishes &amp; inverts</x:v>
      </x:c>
      <x:c r="I138" s="60" t="n">
        <x:v>1.5520440714000001</x:v>
      </x:c>
      <x:c r="J138" s="60" t="n">
        <x:v>1.5520440714000001</x:v>
      </x:c>
      <x:c r="K138" s="60" t="n">
        <x:v>0</x:v>
      </x:c>
      <x:c r="L138" s="60" t="n">
        <x:v>1.4517721536000001</x:v>
      </x:c>
      <x:c r="M138" s="60" t="n">
        <x:v>0.1002719178</x:v>
      </x:c>
      <x:c r="N138" s="46" t="str">
        <x:v>chanos chanos</x:v>
      </x:c>
      <x:c r="O138" s="62" t="n">
        <x:v>2.03</x:v>
      </x:c>
      <x:c r="P138" s="46" t="str">
        <x:v>exact_2020_supplement</x:v>
      </x:c>
      <x:c r="Q138" s="62" t="str">
        <x:v>2020 supplement MeanTL</x:v>
      </x:c>
      <x:c r="R138" s="46" t="str">
        <x:v>high</x:v>
      </x:c>
      <x:c r="S138" s="46" t="str">
        <x:v>Chanos chanos</x:v>
      </x:c>
      <x:c r="T138" s="62" t="n">
        <x:f>IF(O138="","",(1/'Metadata'!$B$5)^(O138-1))</x:f>
        <x:v>21.880684071538855</x:v>
      </x:c>
      <x:c r="U138" s="60" t="n">
        <x:f>IF(T138="","",I138*T138)</x:f>
        <x:v>33.959785991408296</x:v>
      </x:c>
    </x:row>
    <x:row r="139" ht="18" customHeight="1">
      <x:c r="A139" s="46" t="str">
        <x:v>LME_043</x:v>
      </x:c>
      <x:c r="B139" s="46" t="str">
        <x:v>Southwest Australian Shelf</x:v>
      </x:c>
      <x:c r="C139" s="46" t="str">
        <x:v>LME</x:v>
      </x:c>
      <x:c r="D139" s="58" t="n">
        <x:v>2019</x:v>
      </x:c>
      <x:c r="E139" s="46" t="str">
        <x:v>Cetorhinus maximus</x:v>
      </x:c>
      <x:c r="F139" s="46" t="str">
        <x:v>Basking shark</x:v>
      </x:c>
      <x:c r="G139" s="46" t="str">
        <x:v>Large sharks (&gt;=90 cm)</x:v>
      </x:c>
      <x:c r="H139" s="46" t="str">
        <x:v>Sharks &amp; rays</x:v>
      </x:c>
      <x:c r="I139" s="60" t="n">
        <x:v>1.5505253923</x:v>
      </x:c>
      <x:c r="J139" s="60" t="n">
        <x:v>1.5505253923</x:v>
      </x:c>
      <x:c r="K139" s="60" t="n">
        <x:v>0</x:v>
      </x:c>
      <x:c r="L139" s="60" t="n">
        <x:v>1.5505253923</x:v>
      </x:c>
      <x:c r="M139" s="60" t="n">
        <x:v>0</x:v>
      </x:c>
      <x:c r="N139" s="46" t="str">
        <x:v>cetorhinus maximus</x:v>
      </x:c>
      <x:c r="O139" s="62" t="n">
        <x:v>3.2</x:v>
      </x:c>
      <x:c r="P139" s="46" t="str">
        <x:v>exact_2020_supplement</x:v>
      </x:c>
      <x:c r="Q139" s="62" t="str">
        <x:v>2020 supplement MeanTL</x:v>
      </x:c>
      <x:c r="R139" s="46" t="str">
        <x:v>high</x:v>
      </x:c>
      <x:c r="S139" s="46" t="str">
        <x:v>Cetorhinus maximus</x:v>
      </x:c>
      <x:c r="T139" s="62" t="n">
        <x:f>IF(O139="","",(1/'Metadata'!$B$5)^(O139-1))</x:f>
        <x:v>728.2256812104325</x:v>
      </x:c>
      <x:c r="U139" s="60" t="n">
        <x:f>IF(T139="","",I139*T139)</x:f>
        <x:v>1129.1324100417405</x:v>
      </x:c>
    </x:row>
    <x:row r="140" ht="18" customHeight="1">
      <x:c r="A140" s="46" t="str">
        <x:v>LME_043</x:v>
      </x:c>
      <x:c r="B140" s="46" t="str">
        <x:v>Southwest Australian Shelf</x:v>
      </x:c>
      <x:c r="C140" s="46" t="str">
        <x:v>LME</x:v>
      </x:c>
      <x:c r="D140" s="58" t="n">
        <x:v>2019</x:v>
      </x:c>
      <x:c r="E140" s="46" t="str">
        <x:v>Istiophorus platypterus</x:v>
      </x:c>
      <x:c r="F140" s="46" t="str">
        <x:v>Indo-Pacific sailfish</x:v>
      </x:c>
      <x:c r="G140" s="46" t="str">
        <x:v>Large pelagics (&gt;=90 cm)</x:v>
      </x:c>
      <x:c r="H140" s="46" t="str">
        <x:v>Tuna &amp; billfishes</x:v>
      </x:c>
      <x:c r="I140" s="60" t="n">
        <x:v>1.4767375758</x:v>
      </x:c>
      <x:c r="J140" s="60" t="n">
        <x:v>1.4767375758</x:v>
      </x:c>
      <x:c r="K140" s="60" t="n">
        <x:v>0</x:v>
      </x:c>
      <x:c r="L140" s="60" t="n">
        <x:v>0</x:v>
      </x:c>
      <x:c r="M140" s="60" t="n">
        <x:v>1.4767375758</x:v>
      </x:c>
      <x:c r="N140" s="46" t="str">
        <x:v>istiophorus platypterus</x:v>
      </x:c>
      <x:c r="O140" s="62" t="n">
        <x:v>4.5</x:v>
      </x:c>
      <x:c r="P140" s="46" t="str">
        <x:v>exact_2020_supplement</x:v>
      </x:c>
      <x:c r="Q140" s="62" t="str">
        <x:v>2020 supplement MeanTL</x:v>
      </x:c>
      <x:c r="R140" s="46" t="str">
        <x:v>high</x:v>
      </x:c>
      <x:c r="S140" s="46" t="str">
        <x:v>Istiophorus platypterus</x:v>
      </x:c>
      <x:c r="T140" s="62" t="n">
        <x:f>IF(O140="","",(1/'Metadata'!$B$5)^(O140-1))</x:f>
        <x:v>35777.08763999664</x:v>
      </x:c>
      <x:c r="U140" s="60" t="n">
        <x:f>IF(T140="","",I140*T140)</x:f>
        <x:v>52833.36967067278</x:v>
      </x:c>
    </x:row>
    <x:row r="141" ht="18" customHeight="1">
      <x:c r="A141" s="46" t="str">
        <x:v>LME_043</x:v>
      </x:c>
      <x:c r="B141" s="46" t="str">
        <x:v>Southwest Australian Shelf</x:v>
      </x:c>
      <x:c r="C141" s="46" t="str">
        <x:v>LME</x:v>
      </x:c>
      <x:c r="D141" s="58" t="n">
        <x:v>2019</x:v>
      </x:c>
      <x:c r="E141" s="46" t="str">
        <x:v>Protonibea diacanthus</x:v>
      </x:c>
      <x:c r="F141" s="46" t="str">
        <x:v>Blackspotted croaker</x:v>
      </x:c>
      <x:c r="G141" s="46" t="str">
        <x:v>Small pelagics (&lt;30 cm)</x:v>
      </x:c>
      <x:c r="H141" s="46" t="str">
        <x:v>Perch-likes</x:v>
      </x:c>
      <x:c r="I141" s="60" t="n">
        <x:v>1.4367548595</x:v>
      </x:c>
      <x:c r="J141" s="60" t="n">
        <x:v>1.4367548595</x:v>
      </x:c>
      <x:c r="K141" s="60" t="n">
        <x:v>0</x:v>
      </x:c>
      <x:c r="L141" s="60" t="n">
        <x:v>0</x:v>
      </x:c>
      <x:c r="M141" s="60" t="n">
        <x:v>1.4367548595</x:v>
      </x:c>
      <x:c r="N141" s="46" t="str">
        <x:v>protonibea diacanthus</x:v>
      </x:c>
      <x:c r="O141" s="62" t="n">
        <x:v>3.5</x:v>
      </x:c>
      <x:c r="P141" s="46" t="str">
        <x:v>exact_2020_supplement</x:v>
      </x:c>
      <x:c r="Q141" s="62" t="str">
        <x:v>2020 supplement MeanTL</x:v>
      </x:c>
      <x:c r="R141" s="46" t="str">
        <x:v>high</x:v>
      </x:c>
      <x:c r="S141" s="46" t="str">
        <x:v>Protonibea diacanthus</x:v>
      </x:c>
      <x:c r="T141" s="62" t="n">
        <x:f>IF(O141="","",(1/'Metadata'!$B$5)^(O141-1))</x:f>
        <x:v>1788.8543819998317</x:v>
      </x:c>
      <x:c r="U141" s="60" t="n">
        <x:f>IF(T141="","",I141*T141)</x:f>
        <x:v>2570.1452262761272</x:v>
      </x:c>
    </x:row>
    <x:row r="142" ht="18" customHeight="1">
      <x:c r="A142" s="46" t="str">
        <x:v>LME_043</x:v>
      </x:c>
      <x:c r="B142" s="46" t="str">
        <x:v>Southwest Australian Shelf</x:v>
      </x:c>
      <x:c r="C142" s="46" t="str">
        <x:v>LME</x:v>
      </x:c>
      <x:c r="D142" s="58" t="n">
        <x:v>2019</x:v>
      </x:c>
      <x:c r="E142" s="46" t="str">
        <x:v>Centrolophidae</x:v>
      </x:c>
      <x:c r="F142" s="46" t="str">
        <x:v>Medusafishes</x:v>
      </x:c>
      <x:c r="G142" s="46" t="str">
        <x:v>Medium benthopelagics (30 - 89 cm)</x:v>
      </x:c>
      <x:c r="H142" s="46" t="str">
        <x:v>Perch-likes</x:v>
      </x:c>
      <x:c r="I142" s="60" t="n">
        <x:v>1.3618932655</x:v>
      </x:c>
      <x:c r="J142" s="60" t="n">
        <x:v>0.1436104522</x:v>
      </x:c>
      <x:c r="K142" s="60" t="n">
        <x:v>1.2182828133</x:v>
      </x:c>
      <x:c r="L142" s="60" t="n">
        <x:v>0.1436104522</x:v>
      </x:c>
      <x:c r="M142" s="60" t="n">
        <x:v>1.2182828133</x:v>
      </x:c>
      <x:c r="N142" s="46" t="str">
        <x:v>centrolophidae</x:v>
      </x:c>
      <x:c r="O142" s="62" t="n">
        <x:v>3.65</x:v>
      </x:c>
      <x:c r="P142" s="46" t="str">
        <x:v>exact_sea_around_us</x:v>
      </x:c>
      <x:c r="Q142" s="62" t="str">
        <x:v>Sea Around Us exploited organisms</x:v>
      </x:c>
      <x:c r="R142" s="46" t="str">
        <x:v>high</x:v>
      </x:c>
      <x:c r="S142" s="46" t="str">
        <x:v>Centrolophidae</x:v>
      </x:c>
      <x:c r="T142" s="62" t="n">
        <x:f>IF(O142="","",(1/'Metadata'!$B$5)^(O142-1))</x:f>
        <x:v>2803.6867455443476</x:v>
      </x:c>
      <x:c r="U142" s="60" t="n">
        <x:f>IF(T142="","",I142*T142)</x:f>
        <x:v>3818.322097328459</x:v>
      </x:c>
    </x:row>
    <x:row r="143" ht="18" customHeight="1">
      <x:c r="A143" s="46" t="str">
        <x:v>LME_043</x:v>
      </x:c>
      <x:c r="B143" s="46" t="str">
        <x:v>Southwest Australian Shelf</x:v>
      </x:c>
      <x:c r="C143" s="46" t="str">
        <x:v>LME</x:v>
      </x:c>
      <x:c r="D143" s="58" t="n">
        <x:v>2019</x:v>
      </x:c>
      <x:c r="E143" s="46" t="str">
        <x:v>Scaridae</x:v>
      </x:c>
      <x:c r="F143" s="46" t="str">
        <x:v>Parrotfishes</x:v>
      </x:c>
      <x:c r="G143" s="46" t="str">
        <x:v>Medium reef assoc. fish (30 - 89 cm)</x:v>
      </x:c>
      <x:c r="H143" s="46" t="str">
        <x:v>Perch-likes</x:v>
      </x:c>
      <x:c r="I143" s="60" t="n">
        <x:v>1.3409019263</x:v>
      </x:c>
      <x:c r="J143" s="60" t="n">
        <x:v>1.3409019263</x:v>
      </x:c>
      <x:c r="K143" s="60" t="n">
        <x:v>0</x:v>
      </x:c>
      <x:c r="L143" s="60" t="n">
        <x:v>1.3080024773</x:v>
      </x:c>
      <x:c r="M143" s="60" t="n">
        <x:v>0.032899449</x:v>
      </x:c>
      <x:c r="N143" s="46" t="str">
        <x:v>scaridae</x:v>
      </x:c>
      <x:c r="O143" s="62" t="n">
        <x:v>2</x:v>
      </x:c>
      <x:c r="P143" s="46" t="str">
        <x:v>exact_sea_around_us</x:v>
      </x:c>
      <x:c r="Q143" s="62" t="str">
        <x:v>Sea Around Us exploited organisms</x:v>
      </x:c>
      <x:c r="R143" s="46" t="str">
        <x:v>high</x:v>
      </x:c>
      <x:c r="S143" s="46" t="str">
        <x:v>Scaridae</x:v>
      </x:c>
      <x:c r="T143" s="62" t="n">
        <x:f>IF(O143="","",(1/'Metadata'!$B$5)^(O143-1))</x:f>
        <x:v>20</x:v>
      </x:c>
      <x:c r="U143" s="60" t="n">
        <x:f>IF(T143="","",I143*T143)</x:f>
        <x:v>26.818038526</x:v>
      </x:c>
    </x:row>
    <x:row r="144" ht="18" customHeight="1">
      <x:c r="A144" s="46" t="str">
        <x:v>LME_043</x:v>
      </x:c>
      <x:c r="B144" s="46" t="str">
        <x:v>Southwest Australian Shelf</x:v>
      </x:c>
      <x:c r="C144" s="46" t="str">
        <x:v>LME</x:v>
      </x:c>
      <x:c r="D144" s="58" t="n">
        <x:v>2019</x:v>
      </x:c>
      <x:c r="E144" s="46" t="str">
        <x:v>Lobotes surinamensis</x:v>
      </x:c>
      <x:c r="F144" s="46" t="str">
        <x:v>Tripletail</x:v>
      </x:c>
      <x:c r="G144" s="46" t="str">
        <x:v>Large benthopelagics (&gt;=90 cm)</x:v>
      </x:c>
      <x:c r="H144" s="46" t="str">
        <x:v>Perch-likes</x:v>
      </x:c>
      <x:c r="I144" s="60" t="n">
        <x:v>1.3136651418</x:v>
      </x:c>
      <x:c r="J144" s="60" t="n">
        <x:v>1.3136651418</x:v>
      </x:c>
      <x:c r="K144" s="60" t="n">
        <x:v>0</x:v>
      </x:c>
      <x:c r="L144" s="60" t="n">
        <x:v>0.40110393759999996</x:v>
      </x:c>
      <x:c r="M144" s="60" t="n">
        <x:v>0.9125612042</x:v>
      </x:c>
      <x:c r="N144" s="46" t="str">
        <x:v>lobotes surinamensis</x:v>
      </x:c>
      <x:c r="O144" s="62" t="n">
        <x:v>4.04</x:v>
      </x:c>
      <x:c r="P144" s="46" t="str">
        <x:v>exact_2020_supplement</x:v>
      </x:c>
      <x:c r="Q144" s="62" t="str">
        <x:v>2020 supplement MeanTL</x:v>
      </x:c>
      <x:c r="R144" s="46" t="str">
        <x:v>high</x:v>
      </x:c>
      <x:c r="S144" s="46" t="str">
        <x:v>Lobotes surinamensis</x:v>
      </x:c>
      <x:c r="T144" s="62" t="n">
        <x:f>IF(O144="","",(1/'Metadata'!$B$5)^(O144-1))</x:f>
        <x:v>9018.435152653688</x:v>
      </x:c>
      <x:c r="U144" s="60" t="n">
        <x:f>IF(T144="","",I144*T144)</x:f>
        <x:v>11847.203893624912</x:v>
      </x:c>
    </x:row>
    <x:row r="145" ht="18" customHeight="1">
      <x:c r="A145" s="46" t="str">
        <x:v>LME_043</x:v>
      </x:c>
      <x:c r="B145" s="46" t="str">
        <x:v>Southwest Australian Shelf</x:v>
      </x:c>
      <x:c r="C145" s="46" t="str">
        <x:v>LME</x:v>
      </x:c>
      <x:c r="D145" s="58" t="n">
        <x:v>2019</x:v>
      </x:c>
      <x:c r="E145" s="46" t="str">
        <x:v>Portunus sanguinolentus</x:v>
      </x:c>
      <x:c r="F145" s="46" t="str">
        <x:v>Three-spot swimming crab</x:v>
      </x:c>
      <x:c r="G145" s="46" t="str">
        <x:v>Lobsters, crabs</x:v>
      </x:c>
      <x:c r="H145" s="46" t="str">
        <x:v>Crustaceans</x:v>
      </x:c>
      <x:c r="I145" s="60" t="n">
        <x:v>1.2974326014</x:v>
      </x:c>
      <x:c r="J145" s="60" t="n">
        <x:v>1.2974326014</x:v>
      </x:c>
      <x:c r="K145" s="60" t="n">
        <x:v>0</x:v>
      </x:c>
      <x:c r="L145" s="60" t="n">
        <x:v>1.2974326014</x:v>
      </x:c>
      <x:c r="M145" s="60" t="n">
        <x:v>0</x:v>
      </x:c>
      <x:c r="N145" s="46" t="str">
        <x:v>portunus sanguinolentus</x:v>
      </x:c>
      <x:c r="O145" s="62" t="n">
        <x:v>4.23</x:v>
      </x:c>
      <x:c r="P145" s="46" t="str">
        <x:v>exact_2020_supplement</x:v>
      </x:c>
      <x:c r="Q145" s="62" t="str">
        <x:v>2020 supplement MeanTL</x:v>
      </x:c>
      <x:c r="R145" s="46" t="str">
        <x:v>high</x:v>
      </x:c>
      <x:c r="S145" s="46" t="str">
        <x:v>Portunus sanguinolentus</x:v>
      </x:c>
      <x:c r="T145" s="62" t="n">
        <x:f>IF(O145="","",(1/'Metadata'!$B$5)^(O145-1))</x:f>
        <x:v>15934.076063346663</x:v>
      </x:c>
      <x:c r="U145" s="60" t="n">
        <x:f>IF(T145="","",I145*T145)</x:f>
        <x:v>20673.389757773333</x:v>
      </x:c>
    </x:row>
    <x:row r="146" ht="18" customHeight="1">
      <x:c r="A146" s="46" t="str">
        <x:v>LME_043</x:v>
      </x:c>
      <x:c r="B146" s="46" t="str">
        <x:v>Southwest Australian Shelf</x:v>
      </x:c>
      <x:c r="C146" s="46" t="str">
        <x:v>LME</x:v>
      </x:c>
      <x:c r="D146" s="58" t="n">
        <x:v>2019</x:v>
      </x:c>
      <x:c r="E146" s="46" t="str">
        <x:v>Clupeiformes</x:v>
      </x:c>
      <x:c r="F146" s="46" t="str">
        <x:v>Herrings, shads, anchovies</x:v>
      </x:c>
      <x:c r="G146" s="46" t="str">
        <x:v>Small pelagics (&lt;30 cm)</x:v>
      </x:c>
      <x:c r="H146" s="46" t="str">
        <x:v>Other fishes &amp; inverts</x:v>
      </x:c>
      <x:c r="I146" s="60" t="n">
        <x:v>1.1954237362</x:v>
      </x:c>
      <x:c r="J146" s="60" t="n">
        <x:v>1.1954237362</x:v>
      </x:c>
      <x:c r="K146" s="60" t="n">
        <x:v>0</x:v>
      </x:c>
      <x:c r="L146" s="60" t="n">
        <x:v>1.1941851784</x:v>
      </x:c>
      <x:c r="M146" s="60" t="n">
        <x:v>0.0012385578</x:v>
      </x:c>
      <x:c r="N146" s="46" t="str">
        <x:v>clupeiformes</x:v>
      </x:c>
      <x:c r="O146" s="62" t="n">
        <x:v>3.24</x:v>
      </x:c>
      <x:c r="P146" s="46" t="str">
        <x:v>exact_sea_around_us</x:v>
      </x:c>
      <x:c r="Q146" s="62" t="str">
        <x:v>Sea Around Us exploited organisms</x:v>
      </x:c>
      <x:c r="R146" s="46" t="str">
        <x:v>high</x:v>
      </x:c>
      <x:c r="S146" s="46" t="str">
        <x:v>Clupeiformes</x:v>
      </x:c>
      <x:c r="T146" s="62" t="n">
        <x:f>IF(O146="","",(1/'Metadata'!$B$5)^(O146-1))</x:f>
        <x:v>820.9320103116679</x:v>
      </x:c>
      <x:c r="U146" s="60" t="n">
        <x:f>IF(T146="","",I146*T146)</x:f>
        <x:v>981.361610932951</x:v>
      </x:c>
    </x:row>
    <x:row r="147" ht="18" customHeight="1">
      <x:c r="A147" s="46" t="str">
        <x:v>LME_043</x:v>
      </x:c>
      <x:c r="B147" s="46" t="str">
        <x:v>Southwest Australian Shelf</x:v>
      </x:c>
      <x:c r="C147" s="46" t="str">
        <x:v>LME</x:v>
      </x:c>
      <x:c r="D147" s="58" t="n">
        <x:v>2019</x:v>
      </x:c>
      <x:c r="E147" s="46" t="str">
        <x:v>Sphyrna lewini</x:v>
      </x:c>
      <x:c r="F147" s="46" t="str">
        <x:v>Scalloped hammerhead</x:v>
      </x:c>
      <x:c r="G147" s="46" t="str">
        <x:v>Large sharks (&gt;=90 cm)</x:v>
      </x:c>
      <x:c r="H147" s="46" t="str">
        <x:v>Sharks &amp; rays</x:v>
      </x:c>
      <x:c r="I147" s="60" t="n">
        <x:v>1.1316795633</x:v>
      </x:c>
      <x:c r="J147" s="60" t="n">
        <x:v>1.1316795633</x:v>
      </x:c>
      <x:c r="K147" s="60" t="n">
        <x:v>0</x:v>
      </x:c>
      <x:c r="L147" s="60" t="n">
        <x:v>0.0053324340000000005</x:v>
      </x:c>
      <x:c r="M147" s="60" t="n">
        <x:v>1.1263471293</x:v>
      </x:c>
      <x:c r="N147" s="46" t="str">
        <x:v>sphyrna lewini</x:v>
      </x:c>
      <x:c r="O147" s="62" t="n">
        <x:v>4.08</x:v>
      </x:c>
      <x:c r="P147" s="46" t="str">
        <x:v>exact_2020_supplement</x:v>
      </x:c>
      <x:c r="Q147" s="62" t="str">
        <x:v>2020 supplement MeanTL</x:v>
      </x:c>
      <x:c r="R147" s="46" t="str">
        <x:v>high</x:v>
      </x:c>
      <x:c r="S147" s="46" t="str">
        <x:v>Sphyrna lewini</x:v>
      </x:c>
      <x:c r="T147" s="62" t="n">
        <x:f>IF(O147="","",(1/'Metadata'!$B$5)^(O147-1))</x:f>
        <x:v>10166.521575327472</x:v>
      </x:c>
      <x:c r="U147" s="60" t="n">
        <x:f>IF(T147="","",I147*T147)</x:f>
        <x:v>11505.244696646621</x:v>
      </x:c>
    </x:row>
    <x:row r="148" ht="18" customHeight="1">
      <x:c r="A148" s="46" t="str">
        <x:v>LME_043</x:v>
      </x:c>
      <x:c r="B148" s="46" t="str">
        <x:v>Southwest Australian Shelf</x:v>
      </x:c>
      <x:c r="C148" s="46" t="str">
        <x:v>LME</x:v>
      </x:c>
      <x:c r="D148" s="58" t="n">
        <x:v>2019</x:v>
      </x:c>
      <x:c r="E148" s="46" t="str">
        <x:v>Pentaceros decacanthus</x:v>
      </x:c>
      <x:c r="F148" s="46" t="str">
        <x:v>Bigspined boarfish</x:v>
      </x:c>
      <x:c r="G148" s="46" t="str">
        <x:v>Medium bathydemersals (30 - 89 cm)</x:v>
      </x:c>
      <x:c r="H148" s="46" t="str">
        <x:v>Perch-likes</x:v>
      </x:c>
      <x:c r="I148" s="60" t="n">
        <x:v>1.1251332101</x:v>
      </x:c>
      <x:c r="J148" s="60" t="n">
        <x:v>1.1251332101</x:v>
      </x:c>
      <x:c r="K148" s="60" t="n">
        <x:v>0</x:v>
      </x:c>
      <x:c r="L148" s="60" t="n">
        <x:v>1.1251332101</x:v>
      </x:c>
      <x:c r="M148" s="60" t="n">
        <x:v>0</x:v>
      </x:c>
      <x:c r="N148" s="46" t="str">
        <x:v>pentaceros decacanthus</x:v>
      </x:c>
      <x:c r="O148" s="62" t="n">
        <x:v>3.33</x:v>
      </x:c>
      <x:c r="P148" s="46" t="str">
        <x:v>exact_sea_around_us</x:v>
      </x:c>
      <x:c r="Q148" s="62" t="str">
        <x:v>Sea Around Us exploited organisms</x:v>
      </x:c>
      <x:c r="R148" s="46" t="str">
        <x:v>high</x:v>
      </x:c>
      <x:c r="S148" s="46" t="str">
        <x:v>Pentaceros decacanthus</x:v>
      </x:c>
      <x:c r="T148" s="62" t="n">
        <x:f>IF(O148="","",(1/'Metadata'!$B$5)^(O148-1))</x:f>
        <x:v>1074.9787762899762</x:v>
      </x:c>
      <x:c r="U148" s="60" t="n">
        <x:f>IF(T148="","",I148*T148)</x:f>
        <x:v>1209.4943213565107</x:v>
      </x:c>
    </x:row>
    <x:row r="149" ht="18" customHeight="1">
      <x:c r="A149" s="46" t="str">
        <x:v>LME_043</x:v>
      </x:c>
      <x:c r="B149" s="46" t="str">
        <x:v>Southwest Australian Shelf</x:v>
      </x:c>
      <x:c r="C149" s="46" t="str">
        <x:v>LME</x:v>
      </x:c>
      <x:c r="D149" s="58" t="n">
        <x:v>2019</x:v>
      </x:c>
      <x:c r="E149" s="46" t="str">
        <x:v>Bivalvia</x:v>
      </x:c>
      <x:c r="F149" s="46" t="str">
        <x:v>Clams</x:v>
      </x:c>
      <x:c r="G149" s="46" t="str">
        <x:v>Other demersal invertebrates</x:v>
      </x:c>
      <x:c r="H149" s="46" t="str">
        <x:v>Molluscs</x:v>
      </x:c>
      <x:c r="I149" s="60" t="n">
        <x:v>1.0895458292</x:v>
      </x:c>
      <x:c r="J149" s="60" t="n">
        <x:v>1.0895458292</x:v>
      </x:c>
      <x:c r="K149" s="60" t="n">
        <x:v>0</x:v>
      </x:c>
      <x:c r="L149" s="60" t="n">
        <x:v>1.0895458292</x:v>
      </x:c>
      <x:c r="M149" s="60" t="n">
        <x:v>0</x:v>
      </x:c>
      <x:c r="N149" s="46" t="str">
        <x:v>bivalvia</x:v>
      </x:c>
      <x:c r="O149" s="62" t="n">
        <x:v>2.23</x:v>
      </x:c>
      <x:c r="P149" s="46" t="str">
        <x:v>exact_sea_around_us</x:v>
      </x:c>
      <x:c r="Q149" s="62" t="str">
        <x:v>Sea Around Us exploited organisms</x:v>
      </x:c>
      <x:c r="R149" s="46" t="str">
        <x:v>high</x:v>
      </x:c>
      <x:c r="S149" s="46" t="str">
        <x:v>Bivalvia</x:v>
      </x:c>
      <x:c r="T149" s="62" t="n">
        <x:f>IF(O149="","",(1/'Metadata'!$B$5)^(O149-1))</x:f>
        <x:v>39.83519015836661</x:v>
      </x:c>
      <x:c r="U149" s="60" t="n">
        <x:f>IF(T149="","",I149*T149)</x:f>
        <x:v>43.40226529243722</x:v>
      </x:c>
    </x:row>
    <x:row r="150" ht="18" customHeight="1">
      <x:c r="A150" s="46" t="str">
        <x:v>LME_043</x:v>
      </x:c>
      <x:c r="B150" s="46" t="str">
        <x:v>Southwest Australian Shelf</x:v>
      </x:c>
      <x:c r="C150" s="46" t="str">
        <x:v>LME</x:v>
      </x:c>
      <x:c r="D150" s="58" t="n">
        <x:v>2019</x:v>
      </x:c>
      <x:c r="E150" s="46" t="str">
        <x:v>Gempylidae</x:v>
      </x:c>
      <x:c r="F150" s="46" t="str">
        <x:v>Snake mackerels</x:v>
      </x:c>
      <x:c r="G150" s="46" t="str">
        <x:v>Large benthopelagics (&gt;=90 cm)</x:v>
      </x:c>
      <x:c r="H150" s="46" t="str">
        <x:v>Perch-likes</x:v>
      </x:c>
      <x:c r="I150" s="60" t="n">
        <x:v>1.0487886941</x:v>
      </x:c>
      <x:c r="J150" s="60" t="n">
        <x:v>0</x:v>
      </x:c>
      <x:c r="K150" s="60" t="n">
        <x:v>1.0487886941</x:v>
      </x:c>
      <x:c r="L150" s="60" t="n">
        <x:v>0</x:v>
      </x:c>
      <x:c r="M150" s="60" t="n">
        <x:v>1.0487886941</x:v>
      </x:c>
      <x:c r="N150" s="46" t="str">
        <x:v>gempylidae</x:v>
      </x:c>
      <x:c r="O150" s="62" t="n">
        <x:v>4.21</x:v>
      </x:c>
      <x:c r="P150" s="46" t="str">
        <x:v>exact_sea_around_us</x:v>
      </x:c>
      <x:c r="Q150" s="62" t="str">
        <x:v>Sea Around Us exploited organisms</x:v>
      </x:c>
      <x:c r="R150" s="46" t="str">
        <x:v>high</x:v>
      </x:c>
      <x:c r="S150" s="46" t="str">
        <x:v>Gempylidae</x:v>
      </x:c>
      <x:c r="T150" s="62" t="n">
        <x:f>IF(O150="","",(1/'Metadata'!$B$5)^(O150-1))</x:f>
        <x:v>15007.428609226863</x:v>
      </x:c>
      <x:c r="U150" s="60" t="n">
        <x:f>IF(T150="","",I150*T150)</x:f>
        <x:v>15739.62145287002</x:v>
      </x:c>
    </x:row>
    <x:row r="151" ht="18" customHeight="1">
      <x:c r="A151" s="46" t="str">
        <x:v>LME_043</x:v>
      </x:c>
      <x:c r="B151" s="46" t="str">
        <x:v>Southwest Australian Shelf</x:v>
      </x:c>
      <x:c r="C151" s="46" t="str">
        <x:v>LME</x:v>
      </x:c>
      <x:c r="D151" s="58" t="n">
        <x:v>2019</x:v>
      </x:c>
      <x:c r="E151" s="46" t="str">
        <x:v>Myliobatidae</x:v>
      </x:c>
      <x:c r="F151" s="46" t="str">
        <x:v>Eagle/manta rays</x:v>
      </x:c>
      <x:c r="G151" s="46" t="str">
        <x:v>Large rays (&gt;=90 cm)</x:v>
      </x:c>
      <x:c r="H151" s="46" t="str">
        <x:v>Sharks &amp; rays</x:v>
      </x:c>
      <x:c r="I151" s="60" t="n">
        <x:v>0.9842920122</x:v>
      </x:c>
      <x:c r="J151" s="60" t="n">
        <x:v>0.9842920122</x:v>
      </x:c>
      <x:c r="K151" s="60" t="n">
        <x:v>0</x:v>
      </x:c>
      <x:c r="L151" s="60" t="n">
        <x:v>0.9842728976999999</x:v>
      </x:c>
      <x:c r="M151" s="60" t="n">
        <x:v>0.0000191145</x:v>
      </x:c>
      <x:c r="N151" s="46" t="str">
        <x:v>myliobatidae</x:v>
      </x:c>
      <x:c r="O151" s="62" t="n">
        <x:v>3.36</x:v>
      </x:c>
      <x:c r="P151" s="46" t="str">
        <x:v>exact_sea_around_us</x:v>
      </x:c>
      <x:c r="Q151" s="62" t="str">
        <x:v>Sea Around Us exploited organisms</x:v>
      </x:c>
      <x:c r="R151" s="46" t="str">
        <x:v>high</x:v>
      </x:c>
      <x:c r="S151" s="46" t="str">
        <x:v>Myliobatidae</x:v>
      </x:c>
      <x:c r="T151" s="62" t="n">
        <x:f>IF(O151="","",(1/'Metadata'!$B$5)^(O151-1))</x:f>
        <x:v>1176.0635493805207</x:v>
      </x:c>
      <x:c r="U151" s="60" t="n">
        <x:f>IF(T151="","",I151*T151)</x:f>
        <x:v>1157.5899574948266</x:v>
      </x:c>
    </x:row>
    <x:row r="152" ht="18" customHeight="1">
      <x:c r="A152" s="46" t="str">
        <x:v>LME_043</x:v>
      </x:c>
      <x:c r="B152" s="46" t="str">
        <x:v>Southwest Australian Shelf</x:v>
      </x:c>
      <x:c r="C152" s="46" t="str">
        <x:v>LME</x:v>
      </x:c>
      <x:c r="D152" s="58" t="n">
        <x:v>2019</x:v>
      </x:c>
      <x:c r="E152" s="46" t="str">
        <x:v>Thunnus alalunga</x:v>
      </x:c>
      <x:c r="F152" s="46" t="str">
        <x:v>Albacore</x:v>
      </x:c>
      <x:c r="G152" s="46" t="str">
        <x:v>Large pelagics (&gt;=90 cm)</x:v>
      </x:c>
      <x:c r="H152" s="46" t="str">
        <x:v>Tuna &amp; billfishes</x:v>
      </x:c>
      <x:c r="I152" s="60" t="n">
        <x:v>0.9831465002</x:v>
      </x:c>
      <x:c r="J152" s="60" t="n">
        <x:v>0.9831465002</x:v>
      </x:c>
      <x:c r="K152" s="60" t="n">
        <x:v>0</x:v>
      </x:c>
      <x:c r="L152" s="60" t="n">
        <x:v>0.9819385597</x:v>
      </x:c>
      <x:c r="M152" s="60" t="n">
        <x:v>0.0012079405</x:v>
      </x:c>
      <x:c r="N152" s="46" t="str">
        <x:v>thunnus alalunga</x:v>
      </x:c>
      <x:c r="O152" s="62" t="n">
        <x:v>4.3</x:v>
      </x:c>
      <x:c r="P152" s="46" t="str">
        <x:v>exact_2020_supplement</x:v>
      </x:c>
      <x:c r="Q152" s="62" t="str">
        <x:v>2020 supplement MeanTL</x:v>
      </x:c>
      <x:c r="R152" s="46" t="str">
        <x:v>high</x:v>
      </x:c>
      <x:c r="S152" s="46" t="str">
        <x:v>Thunnus alalunga</x:v>
      </x:c>
      <x:c r="T152" s="62" t="n">
        <x:f>IF(O152="","",(1/'Metadata'!$B$5)^(O152-1))</x:f>
        <x:v>19651.648417852637</x:v>
      </x:c>
      <x:c r="U152" s="60" t="n">
        <x:f>IF(T152="","",I152*T152)</x:f>
        <x:v>19320.449365172688</x:v>
      </x:c>
    </x:row>
    <x:row r="153" ht="18" customHeight="1">
      <x:c r="A153" s="46" t="str">
        <x:v>LME_043</x:v>
      </x:c>
      <x:c r="B153" s="46" t="str">
        <x:v>Southwest Australian Shelf</x:v>
      </x:c>
      <x:c r="C153" s="46" t="str">
        <x:v>LME</x:v>
      </x:c>
      <x:c r="D153" s="58" t="n">
        <x:v>2019</x:v>
      </x:c>
      <x:c r="E153" s="46" t="str">
        <x:v>Latris lineata</x:v>
      </x:c>
      <x:c r="F153" s="46" t="str">
        <x:v>Striped trumpeter</x:v>
      </x:c>
      <x:c r="G153" s="46" t="str">
        <x:v>Small pelagics (&lt;30 cm)</x:v>
      </x:c>
      <x:c r="H153" s="46" t="str">
        <x:v>Perch-likes</x:v>
      </x:c>
      <x:c r="I153" s="60" t="n">
        <x:v>0.8456468747000001</x:v>
      </x:c>
      <x:c r="J153" s="60" t="n">
        <x:v>0.8456468747000001</x:v>
      </x:c>
      <x:c r="K153" s="60" t="n">
        <x:v>0</x:v>
      </x:c>
      <x:c r="L153" s="60" t="n">
        <x:v>0.8456468747000001</x:v>
      </x:c>
      <x:c r="M153" s="60" t="n">
        <x:v>0</x:v>
      </x:c>
      <x:c r="N153" s="46" t="str">
        <x:v>latris lineata</x:v>
      </x:c>
      <x:c r="O153" s="62" t="n">
        <x:v>3.7</x:v>
      </x:c>
      <x:c r="P153" s="46" t="str">
        <x:v>exact_sea_around_us</x:v>
      </x:c>
      <x:c r="Q153" s="62" t="str">
        <x:v>Sea Around Us exploited organisms</x:v>
      </x:c>
      <x:c r="R153" s="46" t="str">
        <x:v>high</x:v>
      </x:c>
      <x:c r="S153" s="46" t="str">
        <x:v>Latris lineata</x:v>
      </x:c>
      <x:c r="T153" s="62" t="n">
        <x:f>IF(O153="","",(1/'Metadata'!$B$5)^(O153-1))</x:f>
        <x:v>3256.724252295237</x:v>
      </x:c>
      <x:c r="U153" s="60" t="n">
        <x:f>IF(T153="","",I153*T153)</x:f>
        <x:v>2754.0386857131616</x:v>
      </x:c>
    </x:row>
    <x:row r="154" ht="18" customHeight="1">
      <x:c r="A154" s="46" t="str">
        <x:v>LME_043</x:v>
      </x:c>
      <x:c r="B154" s="46" t="str">
        <x:v>Southwest Australian Shelf</x:v>
      </x:c>
      <x:c r="C154" s="46" t="str">
        <x:v>LME</x:v>
      </x:c>
      <x:c r="D154" s="58" t="n">
        <x:v>2019</x:v>
      </x:c>
      <x:c r="E154" s="46" t="str">
        <x:v>Squalus mitsukurii</x:v>
      </x:c>
      <x:c r="F154" s="46" t="str">
        <x:v>Shortspine spurdog</x:v>
      </x:c>
      <x:c r="G154" s="46" t="str">
        <x:v>Small to medium sharks (&lt;90 cm)</x:v>
      </x:c>
      <x:c r="H154" s="46" t="str">
        <x:v>Sharks &amp; rays</x:v>
      </x:c>
      <x:c r="I154" s="60" t="n">
        <x:v>0.8400833773999999</x:v>
      </x:c>
      <x:c r="J154" s="60" t="n">
        <x:v>0.8400833773999999</x:v>
      </x:c>
      <x:c r="K154" s="60" t="n">
        <x:v>0</x:v>
      </x:c>
      <x:c r="L154" s="60" t="n">
        <x:v>0.8400833773999999</x:v>
      </x:c>
      <x:c r="M154" s="60" t="n">
        <x:v>0</x:v>
      </x:c>
      <x:c r="N154" s="46" t="str">
        <x:v>squalus mitsukurii</x:v>
      </x:c>
      <x:c r="O154" s="62" t="n">
        <x:v>4.37</x:v>
      </x:c>
      <x:c r="P154" s="46" t="str">
        <x:v>exact_2020_supplement</x:v>
      </x:c>
      <x:c r="Q154" s="62" t="str">
        <x:v>2020 supplement MeanTL</x:v>
      </x:c>
      <x:c r="R154" s="46" t="str">
        <x:v>high</x:v>
      </x:c>
      <x:c r="S154" s="46" t="str">
        <x:v>Squalus mitsukurii</x:v>
      </x:c>
      <x:c r="T154" s="62" t="n">
        <x:f>IF(O154="","",(1/'Metadata'!$B$5)^(O154-1))</x:f>
        <x:v>24236.56596112542</x:v>
      </x:c>
      <x:c r="U154" s="60" t="n">
        <x:f>IF(T154="","",I154*T154)</x:f>
        <x:v>20360.736189200117</x:v>
      </x:c>
    </x:row>
    <x:row r="155" ht="18" customHeight="1">
      <x:c r="A155" s="46" t="str">
        <x:v>LME_043</x:v>
      </x:c>
      <x:c r="B155" s="46" t="str">
        <x:v>Southwest Australian Shelf</x:v>
      </x:c>
      <x:c r="C155" s="46" t="str">
        <x:v>LME</x:v>
      </x:c>
      <x:c r="D155" s="58" t="n">
        <x:v>2019</x:v>
      </x:c>
      <x:c r="E155" s="46" t="str">
        <x:v>Pseudocaranx dentex</x:v>
      </x:c>
      <x:c r="F155" s="46" t="str">
        <x:v>White trevally</x:v>
      </x:c>
      <x:c r="G155" s="46" t="str">
        <x:v>Large reef assoc. fish (&gt;=90 cm)</x:v>
      </x:c>
      <x:c r="H155" s="46" t="str">
        <x:v>Perch-likes</x:v>
      </x:c>
      <x:c r="I155" s="60" t="n">
        <x:v>0.7976093959000001</x:v>
      </x:c>
      <x:c r="J155" s="60" t="n">
        <x:v>0.7691114615000001</x:v>
      </x:c>
      <x:c r="K155" s="60" t="n">
        <x:v>0.0284979344</x:v>
      </x:c>
      <x:c r="L155" s="60" t="n">
        <x:v>0.7691114615000001</x:v>
      </x:c>
      <x:c r="M155" s="60" t="n">
        <x:v>0.0284979344</x:v>
      </x:c>
      <x:c r="N155" s="46" t="str">
        <x:v>pseudocaranx dentex</x:v>
      </x:c>
      <x:c r="O155" s="62" t="n">
        <x:v>3.92</x:v>
      </x:c>
      <x:c r="P155" s="46" t="str">
        <x:v>exact_2020_supplement</x:v>
      </x:c>
      <x:c r="Q155" s="62" t="str">
        <x:v>2020 supplement MeanTL</x:v>
      </x:c>
      <x:c r="R155" s="46" t="str">
        <x:v>high</x:v>
      </x:c>
      <x:c r="S155" s="46" t="str">
        <x:v>Pseudocaranx dentex</x:v>
      </x:c>
      <x:c r="T155" s="62" t="n">
        <x:f>IF(O155="","",(1/'Metadata'!$B$5)^(O155-1))</x:f>
        <x:v>6295.1718073679995</x:v>
      </x:c>
      <x:c r="U155" s="60" t="n">
        <x:f>IF(T155="","",I155*T155)</x:f>
        <x:v>5021.088182361502</x:v>
      </x:c>
    </x:row>
    <x:row r="156" ht="18" customHeight="1">
      <x:c r="A156" s="46" t="str">
        <x:v>LME_043</x:v>
      </x:c>
      <x:c r="B156" s="46" t="str">
        <x:v>Southwest Australian Shelf</x:v>
      </x:c>
      <x:c r="C156" s="46" t="str">
        <x:v>LME</x:v>
      </x:c>
      <x:c r="D156" s="58" t="n">
        <x:v>2019</x:v>
      </x:c>
      <x:c r="E156" s="46" t="str">
        <x:v>Plagiogeneion rubiginosum</x:v>
      </x:c>
      <x:c r="F156" s="46" t="str">
        <x:v>Rubyfish</x:v>
      </x:c>
      <x:c r="G156" s="46" t="str">
        <x:v>Medium bathydemersals (30 - 89 cm)</x:v>
      </x:c>
      <x:c r="H156" s="46" t="str">
        <x:v>Perch-likes</x:v>
      </x:c>
      <x:c r="I156" s="60" t="n">
        <x:v>0.710849818</x:v>
      </x:c>
      <x:c r="J156" s="60" t="n">
        <x:v>0.710849818</x:v>
      </x:c>
      <x:c r="K156" s="60" t="n">
        <x:v>0</x:v>
      </x:c>
      <x:c r="L156" s="60" t="n">
        <x:v>0.710849818</x:v>
      </x:c>
      <x:c r="M156" s="60" t="n">
        <x:v>0</x:v>
      </x:c>
      <x:c r="N156" s="46" t="str">
        <x:v>plagiogeneion rubiginosum</x:v>
      </x:c>
      <x:c r="O156" s="62" t="n">
        <x:v>3.4</x:v>
      </x:c>
      <x:c r="P156" s="46" t="str">
        <x:v>exact_2020_supplement</x:v>
      </x:c>
      <x:c r="Q156" s="62" t="str">
        <x:v>2020 supplement MeanTL</x:v>
      </x:c>
      <x:c r="R156" s="46" t="str">
        <x:v>high</x:v>
      </x:c>
      <x:c r="S156" s="46" t="str">
        <x:v>Plagiogeneion rubiginosum</x:v>
      </x:c>
      <x:c r="T156" s="62" t="n">
        <x:f>IF(O156="","",(1/'Metadata'!$B$5)^(O156-1))</x:f>
        <x:v>1325.7816069359944</x:v>
      </x:c>
      <x:c r="U156" s="60" t="n">
        <x:f>IF(T156="","",I156*T156)</x:f>
        <x:v>942.4316139981992</x:v>
      </x:c>
    </x:row>
    <x:row r="157" ht="18" customHeight="1">
      <x:c r="A157" s="46" t="str">
        <x:v>LME_043</x:v>
      </x:c>
      <x:c r="B157" s="46" t="str">
        <x:v>Southwest Australian Shelf</x:v>
      </x:c>
      <x:c r="C157" s="46" t="str">
        <x:v>LME</x:v>
      </x:c>
      <x:c r="D157" s="58" t="n">
        <x:v>2019</x:v>
      </x:c>
      <x:c r="E157" s="46" t="str">
        <x:v>Beryx splendens</x:v>
      </x:c>
      <x:c r="F157" s="46" t="str">
        <x:v>Splendid alfonsino</x:v>
      </x:c>
      <x:c r="G157" s="46" t="str">
        <x:v>Medium benthopelagics (30 - 89 cm)</x:v>
      </x:c>
      <x:c r="H157" s="46" t="str">
        <x:v>Other fishes &amp; inverts</x:v>
      </x:c>
      <x:c r="I157" s="60" t="n">
        <x:v>0.707815877</x:v>
      </x:c>
      <x:c r="J157" s="60" t="n">
        <x:v>0.707815877</x:v>
      </x:c>
      <x:c r="K157" s="60" t="n">
        <x:v>0</x:v>
      </x:c>
      <x:c r="L157" s="60" t="n">
        <x:v>0.707815877</x:v>
      </x:c>
      <x:c r="M157" s="60" t="n">
        <x:v>0</x:v>
      </x:c>
      <x:c r="N157" s="46" t="str">
        <x:v>beryx splendens</x:v>
      </x:c>
      <x:c r="O157" s="62" t="n">
        <x:v>4.27</x:v>
      </x:c>
      <x:c r="P157" s="46" t="str">
        <x:v>exact_2020_supplement</x:v>
      </x:c>
      <x:c r="Q157" s="62" t="str">
        <x:v>2020 supplement MeanTL</x:v>
      </x:c>
      <x:c r="R157" s="46" t="str">
        <x:v>high</x:v>
      </x:c>
      <x:c r="S157" s="46" t="str">
        <x:v>Beryx splendens</x:v>
      </x:c>
      <x:c r="T157" s="62" t="n">
        <x:f>IF(O157="","",(1/'Metadata'!$B$5)^(O157-1))</x:f>
        <x:v>17962.55396184286</x:v>
      </x:c>
      <x:c r="U157" s="60" t="n">
        <x:f>IF(T157="","",I157*T157)</x:f>
        <x:v>12714.180885661628</x:v>
      </x:c>
    </x:row>
    <x:row r="158" ht="18" customHeight="1">
      <x:c r="A158" s="46" t="str">
        <x:v>LME_043</x:v>
      </x:c>
      <x:c r="B158" s="46" t="str">
        <x:v>Southwest Australian Shelf</x:v>
      </x:c>
      <x:c r="C158" s="46" t="str">
        <x:v>LME</x:v>
      </x:c>
      <x:c r="D158" s="58" t="n">
        <x:v>2019</x:v>
      </x:c>
      <x:c r="E158" s="46" t="str">
        <x:v>Dalatias licha</x:v>
      </x:c>
      <x:c r="F158" s="46" t="str">
        <x:v>Kitefin shark</x:v>
      </x:c>
      <x:c r="G158" s="46" t="str">
        <x:v>Large sharks (&gt;=90 cm)</x:v>
      </x:c>
      <x:c r="H158" s="46" t="str">
        <x:v>Sharks &amp; rays</x:v>
      </x:c>
      <x:c r="I158" s="60" t="n">
        <x:v>0.6924259429999999</x:v>
      </x:c>
      <x:c r="J158" s="60" t="n">
        <x:v>0.6924259429999999</x:v>
      </x:c>
      <x:c r="K158" s="60" t="n">
        <x:v>0</x:v>
      </x:c>
      <x:c r="L158" s="60" t="n">
        <x:v>0.6924259429999999</x:v>
      </x:c>
      <x:c r="M158" s="60" t="n">
        <x:v>0</x:v>
      </x:c>
      <x:c r="N158" s="46" t="str">
        <x:v>dalatias licha</x:v>
      </x:c>
      <x:c r="O158" s="62" t="n">
        <x:v>4.23</x:v>
      </x:c>
      <x:c r="P158" s="46" t="str">
        <x:v>exact_2020_supplement</x:v>
      </x:c>
      <x:c r="Q158" s="62" t="str">
        <x:v>2020 supplement MeanTL</x:v>
      </x:c>
      <x:c r="R158" s="46" t="str">
        <x:v>high</x:v>
      </x:c>
      <x:c r="S158" s="46" t="str">
        <x:v>Dalatias licha</x:v>
      </x:c>
      <x:c r="T158" s="62" t="n">
        <x:f>IF(O158="","",(1/'Metadata'!$B$5)^(O158-1))</x:f>
        <x:v>15934.076063346663</x:v>
      </x:c>
      <x:c r="U158" s="60" t="n">
        <x:f>IF(T158="","",I158*T158)</x:f>
        <x:v>11033.16764399654</x:v>
      </x:c>
    </x:row>
    <x:row r="159" ht="18" customHeight="1">
      <x:c r="A159" s="46" t="str">
        <x:v>LME_043</x:v>
      </x:c>
      <x:c r="B159" s="46" t="str">
        <x:v>Southwest Australian Shelf</x:v>
      </x:c>
      <x:c r="C159" s="46" t="str">
        <x:v>LME</x:v>
      </x:c>
      <x:c r="D159" s="58" t="n">
        <x:v>2019</x:v>
      </x:c>
      <x:c r="E159" s="46" t="str">
        <x:v>Bothidae</x:v>
      </x:c>
      <x:c r="F159" s="46" t="str">
        <x:v>Lefteye flounders</x:v>
      </x:c>
      <x:c r="G159" s="46" t="str">
        <x:v>Small to medium flatfishes (&lt;90 cm)</x:v>
      </x:c>
      <x:c r="H159" s="46" t="str">
        <x:v>Flatfishes</x:v>
      </x:c>
      <x:c r="I159" s="60" t="n">
        <x:v>0.6513955513</x:v>
      </x:c>
      <x:c r="J159" s="60" t="n">
        <x:v>0.4956653056</x:v>
      </x:c>
      <x:c r="K159" s="60" t="n">
        <x:v>0.1557302457</x:v>
      </x:c>
      <x:c r="L159" s="60" t="n">
        <x:v>0</x:v>
      </x:c>
      <x:c r="M159" s="60" t="n">
        <x:v>0.6513955513</x:v>
      </x:c>
      <x:c r="N159" s="46" t="str">
        <x:v>bothidae</x:v>
      </x:c>
      <x:c r="O159" s="62" t="n">
        <x:v>3.77</x:v>
      </x:c>
      <x:c r="P159" s="46" t="str">
        <x:v>exact_sea_around_us</x:v>
      </x:c>
      <x:c r="Q159" s="62" t="str">
        <x:v>Sea Around Us exploited organisms</x:v>
      </x:c>
      <x:c r="R159" s="46" t="str">
        <x:v>high</x:v>
      </x:c>
      <x:c r="S159" s="46" t="str">
        <x:v>Bothidae</x:v>
      </x:c>
      <x:c r="T159" s="62" t="n">
        <x:f>IF(O159="","",(1/'Metadata'!$B$5)^(O159-1))</x:f>
        <x:v>4016.549170818885</x:v>
      </x:c>
      <x:c r="U159" s="60" t="n">
        <x:f>IF(T159="","",I159*T159)</x:f>
        <x:v>2616.3622614491255</x:v>
      </x:c>
    </x:row>
    <x:row r="160" ht="18" customHeight="1">
      <x:c r="A160" s="46" t="str">
        <x:v>LME_043</x:v>
      </x:c>
      <x:c r="B160" s="46" t="str">
        <x:v>Southwest Australian Shelf</x:v>
      </x:c>
      <x:c r="C160" s="46" t="str">
        <x:v>LME</x:v>
      </x:c>
      <x:c r="D160" s="58" t="n">
        <x:v>2019</x:v>
      </x:c>
      <x:c r="E160" s="46" t="str">
        <x:v>Congridae</x:v>
      </x:c>
      <x:c r="F160" s="46" t="str">
        <x:v>Conger, garden eels</x:v>
      </x:c>
      <x:c r="G160" s="46" t="str">
        <x:v>Large demersals (&gt;=90 cm)</x:v>
      </x:c>
      <x:c r="H160" s="46" t="str">
        <x:v>Other fishes &amp; inverts</x:v>
      </x:c>
      <x:c r="I160" s="60" t="n">
        <x:v>0.641419882</x:v>
      </x:c>
      <x:c r="J160" s="60" t="n">
        <x:v>0.020828109499999997</x:v>
      </x:c>
      <x:c r="K160" s="60" t="n">
        <x:v>0.6205917725</x:v>
      </x:c>
      <x:c r="L160" s="60" t="n">
        <x:v>0.020828109499999997</x:v>
      </x:c>
      <x:c r="M160" s="60" t="n">
        <x:v>0.6205917725</x:v>
      </x:c>
      <x:c r="N160" s="46" t="str">
        <x:v>congridae</x:v>
      </x:c>
      <x:c r="O160" s="62" t="n">
        <x:v>4.18</x:v>
      </x:c>
      <x:c r="P160" s="46" t="str">
        <x:v>exact_sea_around_us</x:v>
      </x:c>
      <x:c r="Q160" s="62" t="str">
        <x:v>Sea Around Us exploited organisms</x:v>
      </x:c>
      <x:c r="R160" s="46" t="str">
        <x:v>high</x:v>
      </x:c>
      <x:c r="S160" s="46" t="str">
        <x:v>Congridae</x:v>
      </x:c>
      <x:c r="T160" s="62" t="n">
        <x:f>IF(O160="","",(1/'Metadata'!$B$5)^(O160-1))</x:f>
        <x:v>13717.513182092556</x:v>
      </x:c>
      <x:c r="U160" s="60" t="n">
        <x:f>IF(T160="","",I160*T160)</x:f>
        <x:v>8798.685686591252</x:v>
      </x:c>
    </x:row>
    <x:row r="161" ht="18" customHeight="1">
      <x:c r="A161" s="46" t="str">
        <x:v>LME_043</x:v>
      </x:c>
      <x:c r="B161" s="46" t="str">
        <x:v>Southwest Australian Shelf</x:v>
      </x:c>
      <x:c r="C161" s="46" t="str">
        <x:v>LME</x:v>
      </x:c>
      <x:c r="D161" s="58" t="n">
        <x:v>2019</x:v>
      </x:c>
      <x:c r="E161" s="46" t="str">
        <x:v>Deania calceus</x:v>
      </x:c>
      <x:c r="F161" s="46" t="str">
        <x:v>Birdbeak dogfish</x:v>
      </x:c>
      <x:c r="G161" s="46" t="str">
        <x:v>Large sharks (&gt;=90 cm)</x:v>
      </x:c>
      <x:c r="H161" s="46" t="str">
        <x:v>Sharks &amp; rays</x:v>
      </x:c>
      <x:c r="I161" s="60" t="n">
        <x:v>0.5510467655</x:v>
      </x:c>
      <x:c r="J161" s="60" t="n">
        <x:v>0.5510467655</x:v>
      </x:c>
      <x:c r="K161" s="60" t="n">
        <x:v>0</x:v>
      </x:c>
      <x:c r="L161" s="60" t="n">
        <x:v>0.5510467655</x:v>
      </x:c>
      <x:c r="M161" s="60" t="n">
        <x:v>0</x:v>
      </x:c>
      <x:c r="N161" s="46" t="str">
        <x:v>deania calceus</x:v>
      </x:c>
      <x:c r="O161" s="62" t="n">
        <x:v>4.33</x:v>
      </x:c>
      <x:c r="P161" s="46" t="str">
        <x:v>exact_sea_around_us</x:v>
      </x:c>
      <x:c r="Q161" s="62" t="str">
        <x:v>Sea Around Us exploited organisms</x:v>
      </x:c>
      <x:c r="R161" s="46" t="str">
        <x:v>high</x:v>
      </x:c>
      <x:c r="S161" s="46" t="str">
        <x:v>Deania calceus</x:v>
      </x:c>
      <x:c r="T161" s="62" t="n">
        <x:f>IF(O161="","",(1/'Metadata'!$B$5)^(O161-1))</x:f>
        <x:v>21499.575525799526</x:v>
      </x:c>
      <x:c r="U161" s="60" t="n">
        <x:f>IF(T161="","",I161*T161)</x:f>
        <x:v>11847.27155311479</x:v>
      </x:c>
    </x:row>
    <x:row r="162" ht="18" customHeight="1">
      <x:c r="A162" s="46" t="str">
        <x:v>LME_043</x:v>
      </x:c>
      <x:c r="B162" s="46" t="str">
        <x:v>Southwest Australian Shelf</x:v>
      </x:c>
      <x:c r="C162" s="46" t="str">
        <x:v>LME</x:v>
      </x:c>
      <x:c r="D162" s="58" t="n">
        <x:v>2019</x:v>
      </x:c>
      <x:c r="E162" s="46" t="str">
        <x:v>Lethrinidae</x:v>
      </x:c>
      <x:c r="F162" s="46" t="str">
        <x:v>Emperors, scavengers</x:v>
      </x:c>
      <x:c r="G162" s="46" t="str">
        <x:v>Medium reef assoc. fish (30 - 89 cm)</x:v>
      </x:c>
      <x:c r="H162" s="46" t="str">
        <x:v>Perch-likes</x:v>
      </x:c>
      <x:c r="I162" s="60" t="n">
        <x:v>0.5364670589</x:v>
      </x:c>
      <x:c r="J162" s="60" t="n">
        <x:v>0.5364670589</x:v>
      </x:c>
      <x:c r="K162" s="60" t="n">
        <x:v>0</x:v>
      </x:c>
      <x:c r="L162" s="60" t="n">
        <x:v>0.3204545787</x:v>
      </x:c>
      <x:c r="M162" s="60" t="n">
        <x:v>0.21601248020000002</x:v>
      </x:c>
      <x:c r="N162" s="46" t="str">
        <x:v>lethrinidae</x:v>
      </x:c>
      <x:c r="O162" s="62" t="n">
        <x:v>3.59</x:v>
      </x:c>
      <x:c r="P162" s="46" t="str">
        <x:v>exact_sea_around_us</x:v>
      </x:c>
      <x:c r="Q162" s="62" t="str">
        <x:v>Sea Around Us exploited organisms</x:v>
      </x:c>
      <x:c r="R162" s="46" t="str">
        <x:v>high</x:v>
      </x:c>
      <x:c r="S162" s="46" t="str">
        <x:v>Lethrinidae</x:v>
      </x:c>
      <x:c r="T162" s="62" t="n">
        <x:f>IF(O162="","",(1/'Metadata'!$B$5)^(O162-1))</x:f>
        <x:v>2342.4357563948306</x:v>
      </x:c>
      <x:c r="U162" s="60" t="n">
        <x:f>IF(T162="","",I162*T162)</x:f>
        <x:v>1256.6396208953317</x:v>
      </x:c>
    </x:row>
    <x:row r="163" ht="18" customHeight="1">
      <x:c r="A163" s="46" t="str">
        <x:v>LME_043</x:v>
      </x:c>
      <x:c r="B163" s="46" t="str">
        <x:v>Southwest Australian Shelf</x:v>
      </x:c>
      <x:c r="C163" s="46" t="str">
        <x:v>LME</x:v>
      </x:c>
      <x:c r="D163" s="58" t="n">
        <x:v>2019</x:v>
      </x:c>
      <x:c r="E163" s="46" t="str">
        <x:v>Hemiramphus</x:v>
      </x:c>
      <x:c r="F163" s="46" t="str">
        <x:v>Halfbeaks</x:v>
      </x:c>
      <x:c r="G163" s="46" t="str">
        <x:v>Medium pelagics (30 - 89 cm)</x:v>
      </x:c>
      <x:c r="H163" s="46" t="str">
        <x:v>Other fishes &amp; inverts</x:v>
      </x:c>
      <x:c r="I163" s="60" t="n">
        <x:v>0.4985593134</x:v>
      </x:c>
      <x:c r="J163" s="60" t="n">
        <x:v>0.4985593134</x:v>
      </x:c>
      <x:c r="K163" s="60" t="n">
        <x:v>0</x:v>
      </x:c>
      <x:c r="L163" s="60" t="n">
        <x:v>0</x:v>
      </x:c>
      <x:c r="M163" s="60" t="n">
        <x:v>0.4985593134</x:v>
      </x:c>
      <x:c r="N163" s="46" t="str">
        <x:v>hemiramphus</x:v>
      </x:c>
      <x:c r="O163" s="62" t="n">
        <x:v>3.05</x:v>
      </x:c>
      <x:c r="P163" s="46" t="str">
        <x:v>exact_sea_around_us</x:v>
      </x:c>
      <x:c r="Q163" s="62" t="str">
        <x:v>Sea Around Us exploited organisms</x:v>
      </x:c>
      <x:c r="R163" s="46" t="str">
        <x:v>high</x:v>
      </x:c>
      <x:c r="S163" s="46" t="str">
        <x:v>Hemiramphus</x:v>
      </x:c>
      <x:c r="T163" s="62" t="n">
        <x:f>IF(O163="","",(1/'Metadata'!$B$5)^(O163-1))</x:f>
        <x:v>464.63453985661664</x:v>
      </x:c>
      <x:c r="U163" s="60" t="n">
        <x:f>IF(T163="","",I163*T163)</x:f>
        <x:v>231.6478771728397</x:v>
      </x:c>
    </x:row>
    <x:row r="164" ht="18" customHeight="1">
      <x:c r="A164" s="46" t="str">
        <x:v>LME_043</x:v>
      </x:c>
      <x:c r="B164" s="46" t="str">
        <x:v>Southwest Australian Shelf</x:v>
      </x:c>
      <x:c r="C164" s="46" t="str">
        <x:v>LME</x:v>
      </x:c>
      <x:c r="D164" s="58" t="n">
        <x:v>2019</x:v>
      </x:c>
      <x:c r="E164" s="46" t="str">
        <x:v>Holothuriidae</x:v>
      </x:c>
      <x:c r="F164" s="46" t="str">
        <x:v>Fleshy sea cucumbers</x:v>
      </x:c>
      <x:c r="G164" s="46" t="str">
        <x:v>Other demersal invertebrates</x:v>
      </x:c>
      <x:c r="H164" s="46" t="str">
        <x:v>Other fishes &amp; inverts</x:v>
      </x:c>
      <x:c r="I164" s="60" t="n">
        <x:v>0.466756302</x:v>
      </x:c>
      <x:c r="J164" s="60" t="n">
        <x:v>0.466756302</x:v>
      </x:c>
      <x:c r="K164" s="60" t="n">
        <x:v>0</x:v>
      </x:c>
      <x:c r="L164" s="60" t="n">
        <x:v>0.466756302</x:v>
      </x:c>
      <x:c r="M164" s="60" t="n">
        <x:v>0</x:v>
      </x:c>
      <x:c r="N164" s="46" t="str">
        <x:v>holothuriidae</x:v>
      </x:c>
      <x:c r="O164" s="62" t="n">
        <x:v>2</x:v>
      </x:c>
      <x:c r="P164" s="46" t="str">
        <x:v>exact_sea_around_us</x:v>
      </x:c>
      <x:c r="Q164" s="62" t="str">
        <x:v>Sea Around Us exploited organisms</x:v>
      </x:c>
      <x:c r="R164" s="46" t="str">
        <x:v>high</x:v>
      </x:c>
      <x:c r="S164" s="46" t="str">
        <x:v>Holothuriidae</x:v>
      </x:c>
      <x:c r="T164" s="62" t="n">
        <x:f>IF(O164="","",(1/'Metadata'!$B$5)^(O164-1))</x:f>
        <x:v>20</x:v>
      </x:c>
      <x:c r="U164" s="60" t="n">
        <x:f>IF(T164="","",I164*T164)</x:f>
        <x:v>9.33512604</x:v>
      </x:c>
    </x:row>
    <x:row r="165" ht="18" customHeight="1">
      <x:c r="A165" s="46" t="str">
        <x:v>LME_043</x:v>
      </x:c>
      <x:c r="B165" s="46" t="str">
        <x:v>Southwest Australian Shelf</x:v>
      </x:c>
      <x:c r="C165" s="46" t="str">
        <x:v>LME</x:v>
      </x:c>
      <x:c r="D165" s="58" t="n">
        <x:v>2019</x:v>
      </x:c>
      <x:c r="E165" s="46" t="str">
        <x:v>Caranx ignobilis</x:v>
      </x:c>
      <x:c r="F165" s="46" t="str">
        <x:v>Giant trevally</x:v>
      </x:c>
      <x:c r="G165" s="46" t="str">
        <x:v>Large reef assoc. fish (&gt;=90 cm)</x:v>
      </x:c>
      <x:c r="H165" s="46" t="str">
        <x:v>Perch-likes</x:v>
      </x:c>
      <x:c r="I165" s="60" t="n">
        <x:v>0.4622238884</x:v>
      </x:c>
      <x:c r="J165" s="60" t="n">
        <x:v>0.4622238884</x:v>
      </x:c>
      <x:c r="K165" s="60" t="n">
        <x:v>0</x:v>
      </x:c>
      <x:c r="L165" s="60" t="n">
        <x:v>0.2111303396</x:v>
      </x:c>
      <x:c r="M165" s="60" t="n">
        <x:v>0.2510935488</x:v>
      </x:c>
      <x:c r="N165" s="46" t="str">
        <x:v>caranx ignobilis</x:v>
      </x:c>
      <x:c r="O165" s="62" t="n">
        <x:v>4.22</x:v>
      </x:c>
      <x:c r="P165" s="46" t="str">
        <x:v>exact_2020_supplement</x:v>
      </x:c>
      <x:c r="Q165" s="62" t="str">
        <x:v>2020 supplement MeanTL</x:v>
      </x:c>
      <x:c r="R165" s="46" t="str">
        <x:v>high</x:v>
      </x:c>
      <x:c r="S165" s="46" t="str">
        <x:v>Caranx ignobilis</x:v>
      </x:c>
      <x:c r="T165" s="62" t="n">
        <x:f>IF(O165="","",(1/'Metadata'!$B$5)^(O165-1))</x:f>
        <x:v>15463.812886046735</x:v>
      </x:c>
      <x:c r="U165" s="60" t="n">
        <x:f>IF(T165="","",I165*T165)</x:f>
        <x:v>7147.743721678548</x:v>
      </x:c>
    </x:row>
    <x:row r="166" ht="18" customHeight="1">
      <x:c r="A166" s="46" t="str">
        <x:v>LME_043</x:v>
      </x:c>
      <x:c r="B166" s="46" t="str">
        <x:v>Southwest Australian Shelf</x:v>
      </x:c>
      <x:c r="C166" s="46" t="str">
        <x:v>LME</x:v>
      </x:c>
      <x:c r="D166" s="58" t="n">
        <x:v>2019</x:v>
      </x:c>
      <x:c r="E166" s="46" t="str">
        <x:v>Anguilliformes</x:v>
      </x:c>
      <x:c r="F166" s="46" t="str">
        <x:v>Eels, morays</x:v>
      </x:c>
      <x:c r="G166" s="46" t="str">
        <x:v>Large demersals (&gt;=90 cm)</x:v>
      </x:c>
      <x:c r="H166" s="46" t="str">
        <x:v>Other fishes &amp; inverts</x:v>
      </x:c>
      <x:c r="I166" s="60" t="n">
        <x:v>0.3540960731</x:v>
      </x:c>
      <x:c r="J166" s="60" t="n">
        <x:v>0.3540960731</x:v>
      </x:c>
      <x:c r="K166" s="60" t="n">
        <x:v>0</x:v>
      </x:c>
      <x:c r="L166" s="60" t="n">
        <x:v>0.3511024944</x:v>
      </x:c>
      <x:c r="M166" s="60" t="n">
        <x:v>0.0029935787</x:v>
      </x:c>
      <x:c r="N166" s="46" t="str">
        <x:v>anguilliformes</x:v>
      </x:c>
      <x:c r="O166" s="62" t="n">
        <x:v>3.89</x:v>
      </x:c>
      <x:c r="P166" s="46" t="str">
        <x:v>exact_sea_around_us</x:v>
      </x:c>
      <x:c r="Q166" s="62" t="str">
        <x:v>Sea Around Us exploited organisms</x:v>
      </x:c>
      <x:c r="R166" s="46" t="str">
        <x:v>high</x:v>
      </x:c>
      <x:c r="S166" s="46" t="str">
        <x:v>Anguilliformes</x:v>
      </x:c>
      <x:c r="T166" s="62" t="n">
        <x:f>IF(O166="","",(1/'Metadata'!$B$5)^(O166-1))</x:f>
        <x:v>5754.090490759748</x:v>
      </x:c>
      <x:c r="U166" s="60" t="n">
        <x:f>IF(T166="","",I166*T166)</x:f>
        <x:v>2037.5008470400787</x:v>
      </x:c>
    </x:row>
    <x:row r="167" ht="18" customHeight="1">
      <x:c r="A167" s="46" t="str">
        <x:v>LME_043</x:v>
      </x:c>
      <x:c r="B167" s="46" t="str">
        <x:v>Southwest Australian Shelf</x:v>
      </x:c>
      <x:c r="C167" s="46" t="str">
        <x:v>LME</x:v>
      </x:c>
      <x:c r="D167" s="58" t="n">
        <x:v>2019</x:v>
      </x:c>
      <x:c r="E167" s="46" t="str">
        <x:v>Istiophoridae</x:v>
      </x:c>
      <x:c r="F167" s="46" t="str">
        <x:v>Billfishes</x:v>
      </x:c>
      <x:c r="G167" s="46" t="str">
        <x:v>Large pelagics (&gt;=90 cm)</x:v>
      </x:c>
      <x:c r="H167" s="46" t="str">
        <x:v>Tuna &amp; billfishes</x:v>
      </x:c>
      <x:c r="I167" s="60" t="n">
        <x:v>0.3283570619</x:v>
      </x:c>
      <x:c r="J167" s="60" t="n">
        <x:v>0.3283570619</x:v>
      </x:c>
      <x:c r="K167" s="60" t="n">
        <x:v>0</x:v>
      </x:c>
      <x:c r="L167" s="60" t="n">
        <x:v>0</x:v>
      </x:c>
      <x:c r="M167" s="60" t="n">
        <x:v>0.3283570619</x:v>
      </x:c>
      <x:c r="N167" s="46" t="str">
        <x:v>istiophoridae</x:v>
      </x:c>
      <x:c r="O167" s="62" t="n">
        <x:v>4.48</x:v>
      </x:c>
      <x:c r="P167" s="46" t="str">
        <x:v>exact_sea_around_us</x:v>
      </x:c>
      <x:c r="Q167" s="62" t="str">
        <x:v>Sea Around Us exploited organisms</x:v>
      </x:c>
      <x:c r="R167" s="46" t="str">
        <x:v>high</x:v>
      </x:c>
      <x:c r="S167" s="46" t="str">
        <x:v>Istiophoridae</x:v>
      </x:c>
      <x:c r="T167" s="62" t="n">
        <x:f>IF(O167="","",(1/'Metadata'!$B$5)^(O167-1))</x:f>
        <x:v>33696.468277717824</x:v>
      </x:c>
      <x:c r="U167" s="60" t="n">
        <x:f>IF(T167="","",I167*T167)</x:f>
        <x:v>11064.47332007798</x:v>
      </x:c>
    </x:row>
    <x:row r="168" ht="18" customHeight="1">
      <x:c r="A168" s="46" t="str">
        <x:v>LME_043</x:v>
      </x:c>
      <x:c r="B168" s="46" t="str">
        <x:v>Southwest Australian Shelf</x:v>
      </x:c>
      <x:c r="C168" s="46" t="str">
        <x:v>LME</x:v>
      </x:c>
      <x:c r="D168" s="58" t="n">
        <x:v>2019</x:v>
      </x:c>
      <x:c r="E168" s="46" t="str">
        <x:v>Argyrosomus japonicus</x:v>
      </x:c>
      <x:c r="F168" s="46" t="str">
        <x:v>Japanese meagre</x:v>
      </x:c>
      <x:c r="G168" s="46" t="str">
        <x:v>Large benthopelagics (&gt;=90 cm)</x:v>
      </x:c>
      <x:c r="H168" s="46" t="str">
        <x:v>Perch-likes</x:v>
      </x:c>
      <x:c r="I168" s="60" t="n">
        <x:v>0.31834745179999996</x:v>
      </x:c>
      <x:c r="J168" s="60" t="n">
        <x:v>0.31834745179999996</x:v>
      </x:c>
      <x:c r="K168" s="60" t="n">
        <x:v>0</x:v>
      </x:c>
      <x:c r="L168" s="60" t="n">
        <x:v>0.0132126271</x:v>
      </x:c>
      <x:c r="M168" s="60" t="n">
        <x:v>0.3051348247</x:v>
      </x:c>
      <x:c r="N168" s="46" t="str">
        <x:v>argyrosomus japonicus</x:v>
      </x:c>
      <x:c r="O168" s="62" t="n">
        <x:v>4.48</x:v>
      </x:c>
      <x:c r="P168" s="46" t="str">
        <x:v>exact_2020_supplement</x:v>
      </x:c>
      <x:c r="Q168" s="62" t="str">
        <x:v>2020 supplement MeanTL</x:v>
      </x:c>
      <x:c r="R168" s="46" t="str">
        <x:v>high</x:v>
      </x:c>
      <x:c r="S168" s="46" t="str">
        <x:v>Argyrosomus japonicus</x:v>
      </x:c>
      <x:c r="T168" s="62" t="n">
        <x:f>IF(O168="","",(1/'Metadata'!$B$5)^(O168-1))</x:f>
        <x:v>33696.468277717824</x:v>
      </x:c>
      <x:c r="U168" s="60" t="n">
        <x:f>IF(T168="","",I168*T168)</x:f>
        <x:v>10727.184810871002</x:v>
      </x:c>
    </x:row>
    <x:row r="169" ht="18" customHeight="1">
      <x:c r="A169" s="46" t="str">
        <x:v>LME_043</x:v>
      </x:c>
      <x:c r="B169" s="46" t="str">
        <x:v>Southwest Australian Shelf</x:v>
      </x:c>
      <x:c r="C169" s="46" t="str">
        <x:v>LME</x:v>
      </x:c>
      <x:c r="D169" s="58" t="n">
        <x:v>2019</x:v>
      </x:c>
      <x:c r="E169" s="46" t="str">
        <x:v>Carcharhiniformes</x:v>
      </x:c>
      <x:c r="F169" s="46" t="str">
        <x:v>Ground sharks</x:v>
      </x:c>
      <x:c r="G169" s="46" t="str">
        <x:v>Large sharks (&gt;=90 cm)</x:v>
      </x:c>
      <x:c r="H169" s="46" t="str">
        <x:v>Sharks &amp; rays</x:v>
      </x:c>
      <x:c r="I169" s="60" t="n">
        <x:v>0.29971412389999996</x:v>
      </x:c>
      <x:c r="J169" s="60" t="n">
        <x:v>0.29971412389999996</x:v>
      </x:c>
      <x:c r="K169" s="60" t="n">
        <x:v>0</x:v>
      </x:c>
      <x:c r="L169" s="60" t="n">
        <x:v>0.1741336995</x:v>
      </x:c>
      <x:c r="M169" s="60" t="n">
        <x:v>0.1255804244</x:v>
      </x:c>
      <x:c r="N169" s="46" t="str">
        <x:v>carcharhiniformes</x:v>
      </x:c>
      <x:c r="O169" s="62" t="n">
        <x:v>4.08</x:v>
      </x:c>
      <x:c r="P169" s="46" t="str">
        <x:v>exact_sea_around_us</x:v>
      </x:c>
      <x:c r="Q169" s="62" t="str">
        <x:v>Sea Around Us exploited organisms</x:v>
      </x:c>
      <x:c r="R169" s="46" t="str">
        <x:v>high</x:v>
      </x:c>
      <x:c r="S169" s="46" t="str">
        <x:v>Carcharhiniformes</x:v>
      </x:c>
      <x:c r="T169" s="62" t="n">
        <x:f>IF(O169="","",(1/'Metadata'!$B$5)^(O169-1))</x:f>
        <x:v>10166.521575327472</x:v>
      </x:c>
      <x:c r="U169" s="60" t="n">
        <x:f>IF(T169="","",I169*T169)</x:f>
        <x:v>3047.0501070597206</x:v>
      </x:c>
    </x:row>
    <x:row r="170" ht="18" customHeight="1">
      <x:c r="A170" s="46" t="str">
        <x:v>LME_043</x:v>
      </x:c>
      <x:c r="B170" s="46" t="str">
        <x:v>Southwest Australian Shelf</x:v>
      </x:c>
      <x:c r="C170" s="46" t="str">
        <x:v>LME</x:v>
      </x:c>
      <x:c r="D170" s="58" t="n">
        <x:v>2019</x:v>
      </x:c>
      <x:c r="E170" s="46" t="str">
        <x:v>Plectorhinchus</x:v>
      </x:c>
      <x:c r="F170" s="46" t="str">
        <x:v>Sweetlips</x:v>
      </x:c>
      <x:c r="G170" s="46" t="str">
        <x:v>Medium reef assoc. fish (30 - 89 cm)</x:v>
      </x:c>
      <x:c r="H170" s="46" t="str">
        <x:v>Perch-likes</x:v>
      </x:c>
      <x:c r="I170" s="60" t="n">
        <x:v>0.2797146902</x:v>
      </x:c>
      <x:c r="J170" s="60" t="n">
        <x:v>0.2797146902</x:v>
      </x:c>
      <x:c r="K170" s="60" t="n">
        <x:v>0</x:v>
      </x:c>
      <x:c r="L170" s="60" t="n">
        <x:v>0.2512130583</x:v>
      </x:c>
      <x:c r="M170" s="60" t="n">
        <x:v>0.0285016319</x:v>
      </x:c>
      <x:c r="N170" s="46" t="str">
        <x:v>plectorhinchus</x:v>
      </x:c>
      <x:c r="O170" s="62" t="n">
        <x:v>3.43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Plectorhinchus</x:v>
      </x:c>
      <x:c r="T170" s="62" t="n">
        <x:f>IF(O170="","",(1/'Metadata'!$B$5)^(O170-1))</x:f>
        <x:v>1450.450424461182</x:v>
      </x:c>
      <x:c r="U170" s="60" t="n">
        <x:f>IF(T170="","",I170*T170)</x:f>
        <x:v>405.712291128618</x:v>
      </x:c>
    </x:row>
    <x:row r="171" ht="18" customHeight="1">
      <x:c r="A171" s="46" t="str">
        <x:v>LME_043</x:v>
      </x:c>
      <x:c r="B171" s="46" t="str">
        <x:v>Southwest Australian Shelf</x:v>
      </x:c>
      <x:c r="C171" s="46" t="str">
        <x:v>LME</x:v>
      </x:c>
      <x:c r="D171" s="58" t="n">
        <x:v>2019</x:v>
      </x:c>
      <x:c r="E171" s="46" t="str">
        <x:v>Pentaceros richardsoni</x:v>
      </x:c>
      <x:c r="F171" s="46" t="str">
        <x:v>Pelagic armourhead</x:v>
      </x:c>
      <x:c r="G171" s="46" t="str">
        <x:v>Medium pelagics (30 - 89 cm)</x:v>
      </x:c>
      <x:c r="H171" s="46" t="str">
        <x:v>Perch-likes</x:v>
      </x:c>
      <x:c r="I171" s="60" t="n">
        <x:v>0.2493314226</x:v>
      </x:c>
      <x:c r="J171" s="60" t="n">
        <x:v>0.2493314226</x:v>
      </x:c>
      <x:c r="K171" s="60" t="n">
        <x:v>0</x:v>
      </x:c>
      <x:c r="L171" s="60" t="n">
        <x:v>0.2493314226</x:v>
      </x:c>
      <x:c r="M171" s="60" t="n">
        <x:v>0</x:v>
      </x:c>
      <x:c r="N171" s="46" t="str">
        <x:v>pentaceros richardsoni</x:v>
      </x:c>
      <x:c r="O171" s="62" t="n">
        <x:v>3.5</x:v>
      </x:c>
      <x:c r="P171" s="46" t="str">
        <x:v>exact_2020_supplement</x:v>
      </x:c>
      <x:c r="Q171" s="62" t="str">
        <x:v>2020 supplement MeanTL</x:v>
      </x:c>
      <x:c r="R171" s="46" t="str">
        <x:v>high</x:v>
      </x:c>
      <x:c r="S171" s="46" t="str">
        <x:v>Pentaceros richardsoni</x:v>
      </x:c>
      <x:c r="T171" s="62" t="n">
        <x:f>IF(O171="","",(1/'Metadata'!$B$5)^(O171-1))</x:f>
        <x:v>1788.8543819998317</x:v>
      </x:c>
      <x:c r="U171" s="60" t="n">
        <x:f>IF(T171="","",I171*T171)</x:f>
        <x:v>446.01760788826186</x:v>
      </x:c>
    </x:row>
    <x:row r="172" ht="18" customHeight="1">
      <x:c r="A172" s="46" t="str">
        <x:v>LME_043</x:v>
      </x:c>
      <x:c r="B172" s="46" t="str">
        <x:v>Southwest Australian Shelf</x:v>
      </x:c>
      <x:c r="C172" s="46" t="str">
        <x:v>LME</x:v>
      </x:c>
      <x:c r="D172" s="58" t="n">
        <x:v>2019</x:v>
      </x:c>
      <x:c r="E172" s="46" t="str">
        <x:v>Ruvettus pretiosus</x:v>
      </x:c>
      <x:c r="F172" s="46" t="str">
        <x:v>Oilfish</x:v>
      </x:c>
      <x:c r="G172" s="46" t="str">
        <x:v>Large benthopelagics (&gt;=90 cm)</x:v>
      </x:c>
      <x:c r="H172" s="46" t="str">
        <x:v>Perch-likes</x:v>
      </x:c>
      <x:c r="I172" s="60" t="n">
        <x:v>0.2374451195</x:v>
      </x:c>
      <x:c r="J172" s="60" t="n">
        <x:v>0.2374451195</x:v>
      </x:c>
      <x:c r="K172" s="60" t="n">
        <x:v>0</x:v>
      </x:c>
      <x:c r="L172" s="60" t="n">
        <x:v>0.017232695699999998</x:v>
      </x:c>
      <x:c r="M172" s="60" t="n">
        <x:v>0.2202124238</x:v>
      </x:c>
      <x:c r="N172" s="46" t="str">
        <x:v>ruvettus pretiosus</x:v>
      </x:c>
      <x:c r="O172" s="62" t="n">
        <x:v>4.18</x:v>
      </x:c>
      <x:c r="P172" s="46" t="str">
        <x:v>exact_2020_supplement</x:v>
      </x:c>
      <x:c r="Q172" s="62" t="str">
        <x:v>2020 supplement MeanTL</x:v>
      </x:c>
      <x:c r="R172" s="46" t="str">
        <x:v>high</x:v>
      </x:c>
      <x:c r="S172" s="46" t="str">
        <x:v>Ruvettus pretiosus</x:v>
      </x:c>
      <x:c r="T172" s="62" t="n">
        <x:f>IF(O172="","",(1/'Metadata'!$B$5)^(O172-1))</x:f>
        <x:v>13717.513182092556</x:v>
      </x:c>
      <x:c r="U172" s="60" t="n">
        <x:f>IF(T172="","",I172*T172)</x:f>
        <x:v>3257.156556764792</x:v>
      </x:c>
    </x:row>
    <x:row r="173" ht="18" customHeight="1">
      <x:c r="A173" s="46" t="str">
        <x:v>LME_043</x:v>
      </x:c>
      <x:c r="B173" s="46" t="str">
        <x:v>Southwest Australian Shelf</x:v>
      </x:c>
      <x:c r="C173" s="46" t="str">
        <x:v>LME</x:v>
      </x:c>
      <x:c r="D173" s="58" t="n">
        <x:v>2019</x:v>
      </x:c>
      <x:c r="E173" s="46" t="str">
        <x:v>Scombroidei</x:v>
      </x:c>
      <x:c r="F173" s="46" t="str">
        <x:v>Tunas, bonitos, billfishes</x:v>
      </x:c>
      <x:c r="G173" s="46" t="str">
        <x:v>Large pelagics (&gt;=90 cm)</x:v>
      </x:c>
      <x:c r="H173" s="46" t="str">
        <x:v>Tuna &amp; billfishes</x:v>
      </x:c>
      <x:c r="I173" s="60" t="n">
        <x:v>0.2348975709</x:v>
      </x:c>
      <x:c r="J173" s="60" t="n">
        <x:v>0.2348975709</x:v>
      </x:c>
      <x:c r="K173" s="60" t="n">
        <x:v>0</x:v>
      </x:c>
      <x:c r="L173" s="60" t="n">
        <x:v>0.2348975709</x:v>
      </x:c>
      <x:c r="M173" s="60" t="n">
        <x:v>0</x:v>
      </x:c>
      <x:c r="N173" s="46" t="str">
        <x:v>scombroidei</x:v>
      </x:c>
      <x:c r="O173" s="62" t="n">
        <x:v>4.2</x:v>
      </x:c>
      <x:c r="P173" s="46" t="str">
        <x:v>exact_sea_around_us</x:v>
      </x:c>
      <x:c r="Q173" s="62" t="str">
        <x:v>Sea Around Us exploited organisms</x:v>
      </x:c>
      <x:c r="R173" s="46" t="str">
        <x:v>high</x:v>
      </x:c>
      <x:c r="S173" s="46" t="str">
        <x:v>Scombroidei</x:v>
      </x:c>
      <x:c r="T173" s="62" t="n">
        <x:f>IF(O173="","",(1/'Metadata'!$B$5)^(O173-1))</x:f>
        <x:v>14564.51362420865</x:v>
      </x:c>
      <x:c r="U173" s="60" t="n">
        <x:f>IF(T173="","",I173*T173)</x:f>
        <x:v>3421.168871666567</x:v>
      </x:c>
    </x:row>
    <x:row r="174" ht="18" customHeight="1">
      <x:c r="A174" s="46" t="str">
        <x:v>LME_043</x:v>
      </x:c>
      <x:c r="B174" s="46" t="str">
        <x:v>Southwest Australian Shelf</x:v>
      </x:c>
      <x:c r="C174" s="46" t="str">
        <x:v>LME</x:v>
      </x:c>
      <x:c r="D174" s="58" t="n">
        <x:v>2019</x:v>
      </x:c>
      <x:c r="E174" s="46" t="str">
        <x:v>Coryphaena</x:v>
      </x:c>
      <x:c r="F174" s="46" t="str">
        <x:v>Dolphinfishes</x:v>
      </x:c>
      <x:c r="G174" s="46" t="str">
        <x:v>Large pelagics (&gt;=90 cm)</x:v>
      </x:c>
      <x:c r="H174" s="46" t="str">
        <x:v>Perch-likes</x:v>
      </x:c>
      <x:c r="I174" s="60" t="n">
        <x:v>0.2059849458</x:v>
      </x:c>
      <x:c r="J174" s="60" t="n">
        <x:v>0.2059849458</x:v>
      </x:c>
      <x:c r="K174" s="60" t="n">
        <x:v>0</x:v>
      </x:c>
      <x:c r="L174" s="60" t="n">
        <x:v>0.0021279559000000003</x:v>
      </x:c>
      <x:c r="M174" s="60" t="n">
        <x:v>0.2038569899</x:v>
      </x:c>
      <x:c r="N174" s="46" t="str">
        <x:v>coryphaena</x:v>
      </x:c>
      <x:c r="O174" s="62" t="n">
        <x:v>4.49</x:v>
      </x:c>
      <x:c r="P174" s="46" t="str">
        <x:v>exact_sea_around_us</x:v>
      </x:c>
      <x:c r="Q174" s="62" t="str">
        <x:v>Sea Around Us exploited organisms</x:v>
      </x:c>
      <x:c r="R174" s="46" t="str">
        <x:v>high</x:v>
      </x:c>
      <x:c r="S174" s="46" t="str">
        <x:v>Coryphaena</x:v>
      </x:c>
      <x:c r="T174" s="62" t="n">
        <x:f>IF(O174="","",(1/'Metadata'!$B$5)^(O174-1))</x:f>
        <x:v>34721.19667768202</x:v>
      </x:c>
      <x:c r="U174" s="60" t="n">
        <x:f>IF(T174="","",I174*T174)</x:f>
        <x:v>7152.043815763472</x:v>
      </x:c>
    </x:row>
    <x:row r="175" ht="18" customHeight="1">
      <x:c r="A175" s="46" t="str">
        <x:v>LME_043</x:v>
      </x:c>
      <x:c r="B175" s="46" t="str">
        <x:v>Southwest Australian Shelf</x:v>
      </x:c>
      <x:c r="C175" s="46" t="str">
        <x:v>LME</x:v>
      </x:c>
      <x:c r="D175" s="58" t="n">
        <x:v>2019</x:v>
      </x:c>
      <x:c r="E175" s="46" t="str">
        <x:v>Heptranchias perlo</x:v>
      </x:c>
      <x:c r="F175" s="46" t="str">
        <x:v>Sharpnose sevengill shark</x:v>
      </x:c>
      <x:c r="G175" s="46" t="str">
        <x:v>Large sharks (&gt;=90 cm)</x:v>
      </x:c>
      <x:c r="H175" s="46" t="str">
        <x:v>Sharks &amp; rays</x:v>
      </x:c>
      <x:c r="I175" s="60" t="n">
        <x:v>0.1710356167</x:v>
      </x:c>
      <x:c r="J175" s="60" t="n">
        <x:v>0.1710356167</x:v>
      </x:c>
      <x:c r="K175" s="60" t="n">
        <x:v>0</x:v>
      </x:c>
      <x:c r="L175" s="60" t="n">
        <x:v>0.1710356167</x:v>
      </x:c>
      <x:c r="M175" s="60" t="n">
        <x:v>0</x:v>
      </x:c>
      <x:c r="N175" s="46" t="str">
        <x:v>heptranchias perlo</x:v>
      </x:c>
      <x:c r="O175" s="62" t="n">
        <x:v>4.16</x:v>
      </x:c>
      <x:c r="P175" s="46" t="str">
        <x:v>exact_2020_supplement</x:v>
      </x:c>
      <x:c r="Q175" s="62" t="str">
        <x:v>2020 supplement MeanTL</x:v>
      </x:c>
      <x:c r="R175" s="46" t="str">
        <x:v>high</x:v>
      </x:c>
      <x:c r="S175" s="46" t="str">
        <x:v>Heptranchias perlo</x:v>
      </x:c>
      <x:c r="T175" s="62" t="n">
        <x:f>IF(O175="","",(1/'Metadata'!$B$5)^(O175-1))</x:f>
        <x:v>12919.77011769987</x:v>
      </x:c>
      <x:c r="U175" s="60" t="n">
        <x:f>IF(T175="","",I175*T175)</x:f>
        <x:v>2209.740849703029</x:v>
      </x:c>
    </x:row>
    <x:row r="176" ht="18" customHeight="1">
      <x:c r="A176" s="46" t="str">
        <x:v>LME_043</x:v>
      </x:c>
      <x:c r="B176" s="46" t="str">
        <x:v>Southwest Australian Shelf</x:v>
      </x:c>
      <x:c r="C176" s="46" t="str">
        <x:v>LME</x:v>
      </x:c>
      <x:c r="D176" s="58" t="n">
        <x:v>2019</x:v>
      </x:c>
      <x:c r="E176" s="46" t="str">
        <x:v>Rachycentron canadum</x:v>
      </x:c>
      <x:c r="F176" s="46" t="str">
        <x:v>Cobia</x:v>
      </x:c>
      <x:c r="G176" s="46" t="str">
        <x:v>Large pelagics (&gt;=90 cm)</x:v>
      </x:c>
      <x:c r="H176" s="46" t="str">
        <x:v>Perch-likes</x:v>
      </x:c>
      <x:c r="I176" s="60" t="n">
        <x:v>0.1525781699</x:v>
      </x:c>
      <x:c r="J176" s="60" t="n">
        <x:v>0.1525781699</x:v>
      </x:c>
      <x:c r="K176" s="60" t="n">
        <x:v>0</x:v>
      </x:c>
      <x:c r="L176" s="60" t="n">
        <x:v>0.0133745436</x:v>
      </x:c>
      <x:c r="M176" s="60" t="n">
        <x:v>0.1392036263</x:v>
      </x:c>
      <x:c r="N176" s="46" t="str">
        <x:v>rachycentron canadum</x:v>
      </x:c>
      <x:c r="O176" s="62" t="n">
        <x:v>3.96</x:v>
      </x:c>
      <x:c r="P176" s="46" t="str">
        <x:v>exact_2020_supplement</x:v>
      </x:c>
      <x:c r="Q176" s="62" t="str">
        <x:v>2020 supplement MeanTL</x:v>
      </x:c>
      <x:c r="R176" s="46" t="str">
        <x:v>high</x:v>
      </x:c>
      <x:c r="S176" s="46" t="str">
        <x:v>Rachycentron canadum</x:v>
      </x:c>
      <x:c r="T176" s="62" t="n">
        <x:f>IF(O176="","",(1/'Metadata'!$B$5)^(O176-1))</x:f>
        <x:v>7096.574839945253</x:v>
      </x:c>
      <x:c r="U176" s="60" t="n">
        <x:f>IF(T176="","",I176*T176)</x:f>
        <x:v>1082.7824016372322</x:v>
      </x:c>
    </x:row>
    <x:row r="177" ht="18" customHeight="1">
      <x:c r="A177" s="46" t="str">
        <x:v>LME_043</x:v>
      </x:c>
      <x:c r="B177" s="46" t="str">
        <x:v>Southwest Australian Shelf</x:v>
      </x:c>
      <x:c r="C177" s="46" t="str">
        <x:v>LME</x:v>
      </x:c>
      <x:c r="D177" s="58" t="n">
        <x:v>2019</x:v>
      </x:c>
      <x:c r="E177" s="46" t="str">
        <x:v>Brama brama</x:v>
      </x:c>
      <x:c r="F177" s="46" t="str">
        <x:v>Atlantic pomfret</x:v>
      </x:c>
      <x:c r="G177" s="46" t="str">
        <x:v>Medium bathypelagics (30 - 89 cm)</x:v>
      </x:c>
      <x:c r="H177" s="46" t="str">
        <x:v>Perch-likes</x:v>
      </x:c>
      <x:c r="I177" s="60" t="n">
        <x:v>0.147685775</x:v>
      </x:c>
      <x:c r="J177" s="60" t="n">
        <x:v>0.147685775</x:v>
      </x:c>
      <x:c r="K177" s="60" t="n">
        <x:v>0</x:v>
      </x:c>
      <x:c r="L177" s="60" t="n">
        <x:v>0.147685775</x:v>
      </x:c>
      <x:c r="M177" s="60" t="n">
        <x:v>0</x:v>
      </x:c>
      <x:c r="N177" s="46" t="str">
        <x:v>brama brama</x:v>
      </x:c>
      <x:c r="O177" s="62" t="n">
        <x:v>4.08</x:v>
      </x:c>
      <x:c r="P177" s="46" t="str">
        <x:v>exact_2020_supplement</x:v>
      </x:c>
      <x:c r="Q177" s="62" t="str">
        <x:v>2020 supplement MeanTL</x:v>
      </x:c>
      <x:c r="R177" s="46" t="str">
        <x:v>high</x:v>
      </x:c>
      <x:c r="S177" s="46" t="str">
        <x:v>Brama brama</x:v>
      </x:c>
      <x:c r="T177" s="62" t="n">
        <x:f>IF(O177="","",(1/'Metadata'!$B$5)^(O177-1))</x:f>
        <x:v>10166.521575327472</x:v>
      </x:c>
      <x:c r="U177" s="60" t="n">
        <x:f>IF(T177="","",I177*T177)</x:f>
        <x:v>1501.4506179064583</x:v>
      </x:c>
    </x:row>
    <x:row r="178" ht="18" customHeight="1">
      <x:c r="A178" s="46" t="str">
        <x:v>LME_043</x:v>
      </x:c>
      <x:c r="B178" s="46" t="str">
        <x:v>Southwest Australian Shelf</x:v>
      </x:c>
      <x:c r="C178" s="46" t="str">
        <x:v>LME</x:v>
      </x:c>
      <x:c r="D178" s="58" t="n">
        <x:v>2019</x:v>
      </x:c>
      <x:c r="E178" s="46" t="str">
        <x:v>Myctophidae</x:v>
      </x:c>
      <x:c r="F178" s="46" t="str">
        <x:v>Lanternfishes</x:v>
      </x:c>
      <x:c r="G178" s="46" t="str">
        <x:v>Small pelagics (&lt;30 cm)</x:v>
      </x:c>
      <x:c r="H178" s="46" t="str">
        <x:v>Other fishes &amp; inverts</x:v>
      </x:c>
      <x:c r="I178" s="60" t="n">
        <x:v>0.1284170516</x:v>
      </x:c>
      <x:c r="J178" s="60" t="n">
        <x:v>0.1284170516</x:v>
      </x:c>
      <x:c r="K178" s="60" t="n">
        <x:v>0</x:v>
      </x:c>
      <x:c r="L178" s="60" t="n">
        <x:v>0.1284170516</x:v>
      </x:c>
      <x:c r="M178" s="60" t="n">
        <x:v>0</x:v>
      </x:c>
      <x:c r="N178" s="46" t="str">
        <x:v>myctophidae</x:v>
      </x:c>
      <x:c r="O178" s="62" t="n">
        <x:v>3.3</x:v>
      </x:c>
      <x:c r="P178" s="46" t="str">
        <x:v>exact_sea_around_us</x:v>
      </x:c>
      <x:c r="Q178" s="62" t="str">
        <x:v>Sea Around Us exploited organisms</x:v>
      </x:c>
      <x:c r="R178" s="46" t="str">
        <x:v>high</x:v>
      </x:c>
      <x:c r="S178" s="46" t="str">
        <x:v>Myctophidae</x:v>
      </x:c>
      <x:c r="T178" s="62" t="n">
        <x:f>IF(O178="","",(1/'Metadata'!$B$5)^(O178-1))</x:f>
        <x:v>982.5824208926318</x:v>
      </x:c>
      <x:c r="U178" s="60" t="n">
        <x:f>IF(T178="","",I178*T178)</x:f>
        <x:v>126.18033744502202</x:v>
      </x:c>
    </x:row>
    <x:row r="179" ht="18" customHeight="1">
      <x:c r="A179" s="46" t="str">
        <x:v>LME_043</x:v>
      </x:c>
      <x:c r="B179" s="46" t="str">
        <x:v>Southwest Australian Shelf</x:v>
      </x:c>
      <x:c r="C179" s="46" t="str">
        <x:v>LME</x:v>
      </x:c>
      <x:c r="D179" s="58" t="n">
        <x:v>2019</x:v>
      </x:c>
      <x:c r="E179" s="46" t="str">
        <x:v>Beryx decadactylus</x:v>
      </x:c>
      <x:c r="F179" s="46" t="str">
        <x:v>Alfonsino</x:v>
      </x:c>
      <x:c r="G179" s="46" t="str">
        <x:v>Medium bathydemersals (30 - 89 cm)</x:v>
      </x:c>
      <x:c r="H179" s="46" t="str">
        <x:v>Other fishes &amp; inverts</x:v>
      </x:c>
      <x:c r="I179" s="60" t="n">
        <x:v>0.118978318</x:v>
      </x:c>
      <x:c r="J179" s="60" t="n">
        <x:v>0.118978318</x:v>
      </x:c>
      <x:c r="K179" s="60" t="n">
        <x:v>0</x:v>
      </x:c>
      <x:c r="L179" s="60" t="n">
        <x:v>0.118978318</x:v>
      </x:c>
      <x:c r="M179" s="60" t="n">
        <x:v>0</x:v>
      </x:c>
      <x:c r="N179" s="46" t="str">
        <x:v>beryx decadactylus</x:v>
      </x:c>
      <x:c r="O179" s="62" t="n">
        <x:v>4.13</x:v>
      </x:c>
      <x:c r="P179" s="46" t="str">
        <x:v>exact_2020_supplement</x:v>
      </x:c>
      <x:c r="Q179" s="62" t="str">
        <x:v>2020 supplement MeanTL</x:v>
      </x:c>
      <x:c r="R179" s="46" t="str">
        <x:v>high</x:v>
      </x:c>
      <x:c r="S179" s="46" t="str">
        <x:v>Beryx decadactylus</x:v>
      </x:c>
      <x:c r="T179" s="62" t="n">
        <x:f>IF(O179="","",(1/'Metadata'!$B$5)^(O179-1))</x:f>
        <x:v>11809.292685236613</x:v>
      </x:c>
      <x:c r="U179" s="60" t="n">
        <x:f>IF(T179="","",I179*T179)</x:f>
        <x:v>1405.0497804591555</x:v>
      </x:c>
    </x:row>
    <x:row r="180" ht="18" customHeight="1">
      <x:c r="A180" s="46" t="str">
        <x:v>LME_043</x:v>
      </x:c>
      <x:c r="B180" s="46" t="str">
        <x:v>Southwest Australian Shelf</x:v>
      </x:c>
      <x:c r="C180" s="46" t="str">
        <x:v>LME</x:v>
      </x:c>
      <x:c r="D180" s="58" t="n">
        <x:v>2019</x:v>
      </x:c>
      <x:c r="E180" s="46" t="str">
        <x:v>Carcharhinus longimanus</x:v>
      </x:c>
      <x:c r="F180" s="46" t="str">
        <x:v>Oceanic whitetip shark</x:v>
      </x:c>
      <x:c r="G180" s="46" t="str">
        <x:v>Large sharks (&gt;=90 cm)</x:v>
      </x:c>
      <x:c r="H180" s="46" t="str">
        <x:v>Sharks &amp; rays</x:v>
      </x:c>
      <x:c r="I180" s="60" t="n">
        <x:v>0.0916803558</x:v>
      </x:c>
      <x:c r="J180" s="60" t="n">
        <x:v>0.0916803558</x:v>
      </x:c>
      <x:c r="K180" s="60" t="n">
        <x:v>0</x:v>
      </x:c>
      <x:c r="L180" s="60" t="n">
        <x:v>0.0910590035</x:v>
      </x:c>
      <x:c r="M180" s="60" t="n">
        <x:v>0.0006213523</x:v>
      </x:c>
      <x:c r="N180" s="46" t="str">
        <x:v>carcharhinus longimanus</x:v>
      </x:c>
      <x:c r="O180" s="62" t="n">
        <x:v>4.16</x:v>
      </x:c>
      <x:c r="P180" s="46" t="str">
        <x:v>exact_2020_supplement</x:v>
      </x:c>
      <x:c r="Q180" s="62" t="str">
        <x:v>2020 supplement MeanTL</x:v>
      </x:c>
      <x:c r="R180" s="46" t="str">
        <x:v>high</x:v>
      </x:c>
      <x:c r="S180" s="46" t="str">
        <x:v>Carcharhinus longimanus</x:v>
      </x:c>
      <x:c r="T180" s="62" t="n">
        <x:f>IF(O180="","",(1/'Metadata'!$B$5)^(O180-1))</x:f>
        <x:v>12919.77011769987</x:v>
      </x:c>
      <x:c r="U180" s="60" t="n">
        <x:f>IF(T180="","",I180*T180)</x:f>
        <x:v>1184.489121244932</x:v>
      </x:c>
    </x:row>
    <x:row r="181" ht="18" customHeight="1">
      <x:c r="A181" s="46" t="str">
        <x:v>LME_043</x:v>
      </x:c>
      <x:c r="B181" s="46" t="str">
        <x:v>Southwest Australian Shelf</x:v>
      </x:c>
      <x:c r="C181" s="46" t="str">
        <x:v>LME</x:v>
      </x:c>
      <x:c r="D181" s="58" t="n">
        <x:v>2019</x:v>
      </x:c>
      <x:c r="E181" s="46" t="str">
        <x:v>Squatina australis</x:v>
      </x:c>
      <x:c r="F181" s="46" t="str">
        <x:v>Australian angelshark</x:v>
      </x:c>
      <x:c r="G181" s="46" t="str">
        <x:v>Large sharks (&gt;=90 cm)</x:v>
      </x:c>
      <x:c r="H181" s="46" t="str">
        <x:v>Sharks &amp; rays</x:v>
      </x:c>
      <x:c r="I181" s="60" t="n">
        <x:v>0.0888717435</x:v>
      </x:c>
      <x:c r="J181" s="60" t="n">
        <x:v>0.0888717435</x:v>
      </x:c>
      <x:c r="K181" s="60" t="n">
        <x:v>0</x:v>
      </x:c>
      <x:c r="L181" s="60" t="n">
        <x:v>0</x:v>
      </x:c>
      <x:c r="M181" s="60" t="n">
        <x:v>0.0888717435</x:v>
      </x:c>
      <x:c r="N181" s="46" t="str">
        <x:v>squatina australis</x:v>
      </x:c>
      <x:c r="O181" s="62" t="n">
        <x:v>3.99</x:v>
      </x:c>
      <x:c r="P181" s="46" t="str">
        <x:v>exact_2020_supplement</x:v>
      </x:c>
      <x:c r="Q181" s="62" t="str">
        <x:v>2020 supplement MeanTL</x:v>
      </x:c>
      <x:c r="R181" s="46" t="str">
        <x:v>high</x:v>
      </x:c>
      <x:c r="S181" s="46" t="str">
        <x:v>Squatina australis</x:v>
      </x:c>
      <x:c r="T181" s="62" t="n">
        <x:f>IF(O181="","",(1/'Metadata'!$B$5)^(O181-1))</x:f>
        <x:v>7763.895603143686</x:v>
      </x:c>
      <x:c r="U181" s="60" t="n">
        <x:f>IF(T181="","",I181*T181)</x:f>
        <x:v>689.9909386033635</x:v>
      </x:c>
    </x:row>
    <x:row r="182" ht="18" customHeight="1">
      <x:c r="A182" s="46" t="str">
        <x:v>LME_043</x:v>
      </x:c>
      <x:c r="B182" s="46" t="str">
        <x:v>Southwest Australian Shelf</x:v>
      </x:c>
      <x:c r="C182" s="46" t="str">
        <x:v>LME</x:v>
      </x:c>
      <x:c r="D182" s="58" t="n">
        <x:v>2019</x:v>
      </x:c>
      <x:c r="E182" s="46" t="str">
        <x:v>Etmopterus</x:v>
      </x:c>
      <x:c r="F182" s="46" t="str">
        <x:v>Lanternsharks</x:v>
      </x:c>
      <x:c r="G182" s="46" t="str">
        <x:v>Small to medium sharks (&lt;90 cm)</x:v>
      </x:c>
      <x:c r="H182" s="46" t="str">
        <x:v>Sharks &amp; rays</x:v>
      </x:c>
      <x:c r="I182" s="60" t="n">
        <x:v>0.08728817959999999</x:v>
      </x:c>
      <x:c r="J182" s="60" t="n">
        <x:v>0.08728817959999999</x:v>
      </x:c>
      <x:c r="K182" s="60" t="n">
        <x:v>0</x:v>
      </x:c>
      <x:c r="L182" s="60" t="n">
        <x:v>0.08728817959999999</x:v>
      </x:c>
      <x:c r="M182" s="60" t="n">
        <x:v>0</x:v>
      </x:c>
      <x:c r="N182" s="46" t="str">
        <x:v>etmopterus</x:v>
      </x:c>
      <x:c r="O182" s="62" t="n">
        <x:v>4.02</x:v>
      </x:c>
      <x:c r="P182" s="46" t="str">
        <x:v>exact_sea_around_us</x:v>
      </x:c>
      <x:c r="Q182" s="62" t="str">
        <x:v>Sea Around Us exploited organisms</x:v>
      </x:c>
      <x:c r="R182" s="46" t="str">
        <x:v>high</x:v>
      </x:c>
      <x:c r="S182" s="46" t="str">
        <x:v>Etmopterus</x:v>
      </x:c>
      <x:c r="T182" s="62" t="n">
        <x:f>IF(O182="","",(1/'Metadata'!$B$5)^(O182-1))</x:f>
        <x:v>8493.967342839818</x:v>
      </x:c>
      <x:c r="U182" s="60" t="n">
        <x:f>IF(T182="","",I182*T182)</x:f>
        <x:v>741.4229469383367</x:v>
      </x:c>
    </x:row>
    <x:row r="183" ht="18" customHeight="1">
      <x:c r="A183" s="46" t="str">
        <x:v>LME_043</x:v>
      </x:c>
      <x:c r="B183" s="46" t="str">
        <x:v>Southwest Australian Shelf</x:v>
      </x:c>
      <x:c r="C183" s="46" t="str">
        <x:v>LME</x:v>
      </x:c>
      <x:c r="D183" s="58" t="n">
        <x:v>2019</x:v>
      </x:c>
      <x:c r="E183" s="46" t="str">
        <x:v>Peristediidae</x:v>
      </x:c>
      <x:c r="F183" s="46" t="str">
        <x:v>Armored searobins, gurnards</x:v>
      </x:c>
      <x:c r="G183" s="46" t="str">
        <x:v>Medium bathydemersals (30 - 89 cm)</x:v>
      </x:c>
      <x:c r="H183" s="46" t="str">
        <x:v>Scorpionfishes</x:v>
      </x:c>
      <x:c r="I183" s="60" t="n">
        <x:v>0.0709870697</x:v>
      </x:c>
      <x:c r="J183" s="60" t="n">
        <x:v>0.0709870697</x:v>
      </x:c>
      <x:c r="K183" s="60" t="n">
        <x:v>0</x:v>
      </x:c>
      <x:c r="L183" s="60" t="n">
        <x:v>0.0709870697</x:v>
      </x:c>
      <x:c r="M183" s="60" t="n">
        <x:v>0</x:v>
      </x:c>
      <x:c r="N183" s="46" t="str">
        <x:v>peristediidae</x:v>
      </x:c>
      <x:c r="O183" s="62" t="n">
        <x:v>3.47</x:v>
      </x:c>
      <x:c r="P183" s="46" t="str">
        <x:v>exact_sea_around_us</x:v>
      </x:c>
      <x:c r="Q183" s="62" t="str">
        <x:v>Sea Around Us exploited organisms</x:v>
      </x:c>
      <x:c r="R183" s="46" t="str">
        <x:v>high</x:v>
      </x:c>
      <x:c r="S183" s="46" t="str">
        <x:v>Peristediidae</x:v>
      </x:c>
      <x:c r="T183" s="62" t="n">
        <x:f>IF(O183="","",(1/'Metadata'!$B$5)^(O183-1))</x:f>
        <x:v>1635.0991368927735</x:v>
      </x:c>
      <x:c r="U183" s="60" t="n">
        <x:f>IF(T183="","",I183*T183)</x:f>
        <x:v>116.07089639701715</x:v>
      </x:c>
    </x:row>
    <x:row r="184" ht="18" customHeight="1">
      <x:c r="A184" s="46" t="str">
        <x:v>LME_043</x:v>
      </x:c>
      <x:c r="B184" s="46" t="str">
        <x:v>Southwest Australian Shelf</x:v>
      </x:c>
      <x:c r="C184" s="46" t="str">
        <x:v>LME</x:v>
      </x:c>
      <x:c r="D184" s="58" t="n">
        <x:v>2019</x:v>
      </x:c>
      <x:c r="E184" s="46" t="str">
        <x:v>Kajikia audax</x:v>
      </x:c>
      <x:c r="F184" s="46" t="str">
        <x:v>Striped marlin</x:v>
      </x:c>
      <x:c r="G184" s="46" t="str">
        <x:v>Large pelagics (&gt;=90 cm)</x:v>
      </x:c>
      <x:c r="H184" s="46" t="str">
        <x:v>Tuna &amp; billfishes</x:v>
      </x:c>
      <x:c r="I184" s="60" t="n">
        <x:v>0.0631468204</x:v>
      </x:c>
      <x:c r="J184" s="60" t="n">
        <x:v>0.0631468204</x:v>
      </x:c>
      <x:c r="K184" s="60" t="n">
        <x:v>0</x:v>
      </x:c>
      <x:c r="L184" s="60" t="n">
        <x:v>0.0612339517</x:v>
      </x:c>
      <x:c r="M184" s="60" t="n">
        <x:v>0.0019128687</x:v>
      </x:c>
      <x:c r="N184" s="46" t="str">
        <x:v>kajikia audax</x:v>
      </x:c>
      <x:c r="O184" s="62" t="n">
        <x:v>4.58</x:v>
      </x:c>
      <x:c r="P184" s="46" t="str">
        <x:v>exact_2020_supplement</x:v>
      </x:c>
      <x:c r="Q184" s="62" t="str">
        <x:v>2020 supplement MeanTL</x:v>
      </x:c>
      <x:c r="R184" s="46" t="str">
        <x:v>high</x:v>
      </x:c>
      <x:c r="S184" s="46" t="str">
        <x:v>Kajikia audax</x:v>
      </x:c>
      <x:c r="T184" s="62" t="n">
        <x:f>IF(O184="","",(1/'Metadata'!$B$5)^(O184-1))</x:f>
        <x:v>45466.06667430095</x:v>
      </x:c>
      <x:c r="U184" s="60" t="n">
        <x:f>IF(T184="","",I184*T184)</x:f>
        <x:v>2871.0375465765073</x:v>
      </x:c>
    </x:row>
    <x:row r="185" ht="18" customHeight="1">
      <x:c r="A185" s="46" t="str">
        <x:v>LME_043</x:v>
      </x:c>
      <x:c r="B185" s="46" t="str">
        <x:v>Southwest Australian Shelf</x:v>
      </x:c>
      <x:c r="C185" s="46" t="str">
        <x:v>LME</x:v>
      </x:c>
      <x:c r="D185" s="58" t="n">
        <x:v>2019</x:v>
      </x:c>
      <x:c r="E185" s="46" t="str">
        <x:v>Mullidae</x:v>
      </x:c>
      <x:c r="F185" s="46" t="str">
        <x:v>Goatfishes</x:v>
      </x:c>
      <x:c r="G185" s="46" t="str">
        <x:v>Medium reef assoc. fish (30 - 89 cm)</x:v>
      </x:c>
      <x:c r="H185" s="46" t="str">
        <x:v>Perch-likes</x:v>
      </x:c>
      <x:c r="I185" s="60" t="n">
        <x:v>0.0629387899</x:v>
      </x:c>
      <x:c r="J185" s="60" t="n">
        <x:v>0.0600717589</x:v>
      </x:c>
      <x:c r="K185" s="60" t="n">
        <x:v>0.002867031</x:v>
      </x:c>
      <x:c r="L185" s="60" t="n">
        <x:v>0.0247104353</x:v>
      </x:c>
      <x:c r="M185" s="60" t="n">
        <x:v>0.0382283546</x:v>
      </x:c>
      <x:c r="N185" s="46" t="str">
        <x:v>mullidae</x:v>
      </x:c>
      <x:c r="O185" s="62" t="n">
        <x:v>3.46</x:v>
      </x:c>
      <x:c r="P185" s="46" t="str">
        <x:v>exact_sea_around_us</x:v>
      </x:c>
      <x:c r="Q185" s="62" t="str">
        <x:v>Sea Around Us exploited organisms</x:v>
      </x:c>
      <x:c r="R185" s="46" t="str">
        <x:v>high</x:v>
      </x:c>
      <x:c r="S185" s="46" t="str">
        <x:v>Mullidae</x:v>
      </x:c>
      <x:c r="T185" s="62" t="n">
        <x:f>IF(O185="","",(1/'Metadata'!$B$5)^(O185-1))</x:f>
        <x:v>1586.8423749532276</x:v>
      </x:c>
      <x:c r="U185" s="60" t="n">
        <x:f>IF(T185="","",I185*T185)</x:f>
        <x:v>99.87393884159822</x:v>
      </x:c>
    </x:row>
    <x:row r="186" ht="18" customHeight="1">
      <x:c r="A186" s="46" t="str">
        <x:v>LME_043</x:v>
      </x:c>
      <x:c r="B186" s="46" t="str">
        <x:v>Southwest Australian Shelf</x:v>
      </x:c>
      <x:c r="C186" s="46" t="str">
        <x:v>LME</x:v>
      </x:c>
      <x:c r="D186" s="58" t="n">
        <x:v>2019</x:v>
      </x:c>
      <x:c r="E186" s="46" t="str">
        <x:v>Lamna nasus</x:v>
      </x:c>
      <x:c r="F186" s="46" t="str">
        <x:v>Porbeagle</x:v>
      </x:c>
      <x:c r="G186" s="46" t="str">
        <x:v>Large sharks (&gt;=90 cm)</x:v>
      </x:c>
      <x:c r="H186" s="46" t="str">
        <x:v>Sharks &amp; rays</x:v>
      </x:c>
      <x:c r="I186" s="60" t="n">
        <x:v>0.0535685254</x:v>
      </x:c>
      <x:c r="J186" s="60" t="n">
        <x:v>0.0535685254</x:v>
      </x:c>
      <x:c r="K186" s="60" t="n">
        <x:v>0</x:v>
      </x:c>
      <x:c r="L186" s="60" t="n">
        <x:v>0.0535685254</x:v>
      </x:c>
      <x:c r="M186" s="60" t="n">
        <x:v>0</x:v>
      </x:c>
      <x:c r="N186" s="46" t="str">
        <x:v>lamna nasus</x:v>
      </x:c>
      <x:c r="O186" s="62" t="n">
        <x:v>4.57</x:v>
      </x:c>
      <x:c r="P186" s="46" t="str">
        <x:v>exact_2020_supplement</x:v>
      </x:c>
      <x:c r="Q186" s="62" t="str">
        <x:v>2020 supplement MeanTL</x:v>
      </x:c>
      <x:c r="R186" s="46" t="str">
        <x:v>high</x:v>
      </x:c>
      <x:c r="S186" s="46" t="str">
        <x:v>Lamna nasus</x:v>
      </x:c>
      <x:c r="T186" s="62" t="n">
        <x:f>IF(O186="","",(1/'Metadata'!$B$5)^(O186-1))</x:f>
        <x:v>44124.224393105345</x:v>
      </x:c>
      <x:c r="U186" s="60" t="n">
        <x:f>IF(T186="","",I186*T186)</x:f>
        <x:v>2363.6696351573632</x:v>
      </x:c>
    </x:row>
    <x:row r="187" ht="18" customHeight="1">
      <x:c r="A187" s="46" t="str">
        <x:v>LME_043</x:v>
      </x:c>
      <x:c r="B187" s="46" t="str">
        <x:v>Southwest Australian Shelf</x:v>
      </x:c>
      <x:c r="C187" s="46" t="str">
        <x:v>LME</x:v>
      </x:c>
      <x:c r="D187" s="58" t="n">
        <x:v>2019</x:v>
      </x:c>
      <x:c r="E187" s="46" t="str">
        <x:v>Auxis thazard</x:v>
      </x:c>
      <x:c r="F187" s="46" t="str">
        <x:v>Frigate tuna</x:v>
      </x:c>
      <x:c r="G187" s="46" t="str">
        <x:v>Medium pelagics (30 - 89 cm)</x:v>
      </x:c>
      <x:c r="H187" s="46" t="str">
        <x:v>Tuna &amp; billfishes</x:v>
      </x:c>
      <x:c r="I187" s="60" t="n">
        <x:v>0.0520204406</x:v>
      </x:c>
      <x:c r="J187" s="60" t="n">
        <x:v>0.0520204406</x:v>
      </x:c>
      <x:c r="K187" s="60" t="n">
        <x:v>0</x:v>
      </x:c>
      <x:c r="L187" s="60" t="n">
        <x:v>0.051813502600000005</x:v>
      </x:c>
      <x:c r="M187" s="60" t="n">
        <x:v>0.000206938</x:v>
      </x:c>
      <x:c r="N187" s="46" t="str">
        <x:v>auxis thazard</x:v>
      </x:c>
      <x:c r="O187" s="62" t="n">
        <x:v>4.37</x:v>
      </x:c>
      <x:c r="P187" s="46" t="str">
        <x:v>exact_2020_supplement</x:v>
      </x:c>
      <x:c r="Q187" s="62" t="str">
        <x:v>2020 supplement MeanTL</x:v>
      </x:c>
      <x:c r="R187" s="46" t="str">
        <x:v>high</x:v>
      </x:c>
      <x:c r="S187" s="46" t="str">
        <x:v>Auxis thazard</x:v>
      </x:c>
      <x:c r="T187" s="62" t="n">
        <x:f>IF(O187="","",(1/'Metadata'!$B$5)^(O187-1))</x:f>
        <x:v>24236.56596112542</x:v>
      </x:c>
      <x:c r="U187" s="60" t="n">
        <x:f>IF(T187="","",I187*T187)</x:f>
        <x:v>1260.796839928707</x:v>
      </x:c>
    </x:row>
    <x:row r="188" ht="18" customHeight="1">
      <x:c r="A188" s="46" t="str">
        <x:v>LME_043</x:v>
      </x:c>
      <x:c r="B188" s="46" t="str">
        <x:v>Southwest Australian Shelf</x:v>
      </x:c>
      <x:c r="C188" s="46" t="str">
        <x:v>LME</x:v>
      </x:c>
      <x:c r="D188" s="58" t="n">
        <x:v>2019</x:v>
      </x:c>
      <x:c r="E188" s="46" t="str">
        <x:v>Pristiophorus cirratus</x:v>
      </x:c>
      <x:c r="F188" s="46" t="str">
        <x:v>Common sawshark</x:v>
      </x:c>
      <x:c r="G188" s="46" t="str">
        <x:v>Large sharks (&gt;=90 cm)</x:v>
      </x:c>
      <x:c r="H188" s="46" t="str">
        <x:v>Sharks &amp; rays</x:v>
      </x:c>
      <x:c r="I188" s="60" t="n">
        <x:v>0.0478711229</x:v>
      </x:c>
      <x:c r="J188" s="60" t="n">
        <x:v>0.0478711229</x:v>
      </x:c>
      <x:c r="K188" s="60" t="n">
        <x:v>0</x:v>
      </x:c>
      <x:c r="L188" s="60" t="n">
        <x:v>0</x:v>
      </x:c>
      <x:c r="M188" s="60" t="n">
        <x:v>0.0478711229</x:v>
      </x:c>
      <x:c r="N188" s="46" t="str">
        <x:v>pristiophorus cirratus</x:v>
      </x:c>
      <x:c r="O188" s="62" t="n">
        <x:v>4.17</x:v>
      </x:c>
      <x:c r="P188" s="46" t="str">
        <x:v>exact_2020_supplement</x:v>
      </x:c>
      <x:c r="Q188" s="62" t="str">
        <x:v>2020 supplement MeanTL</x:v>
      </x:c>
      <x:c r="R188" s="46" t="str">
        <x:v>high</x:v>
      </x:c>
      <x:c r="S188" s="46" t="str">
        <x:v>Pristiophorus cirratus</x:v>
      </x:c>
      <x:c r="T188" s="62" t="n">
        <x:f>IF(O188="","",(1/'Metadata'!$B$5)^(O188-1))</x:f>
        <x:v>13312.667535064244</x:v>
      </x:c>
      <x:c r="U188" s="60" t="n">
        <x:f>IF(T188="","",I188*T188)</x:f>
        <x:v>637.2923436979005</x:v>
      </x:c>
    </x:row>
    <x:row r="189" ht="18" customHeight="1">
      <x:c r="A189" s="46" t="str">
        <x:v>LME_043</x:v>
      </x:c>
      <x:c r="B189" s="46" t="str">
        <x:v>Southwest Australian Shelf</x:v>
      </x:c>
      <x:c r="C189" s="46" t="str">
        <x:v>LME</x:v>
      </x:c>
      <x:c r="D189" s="58" t="n">
        <x:v>2019</x:v>
      </x:c>
      <x:c r="E189" s="46" t="str">
        <x:v>Scomberomorus</x:v>
      </x:c>
      <x:c r="F189" s="46" t="str">
        <x:v>Spanish mackerels</x:v>
      </x:c>
      <x:c r="G189" s="46" t="str">
        <x:v>Large pelagics (&gt;=90 cm)</x:v>
      </x:c>
      <x:c r="H189" s="46" t="str">
        <x:v>Perch-likes</x:v>
      </x:c>
      <x:c r="I189" s="60" t="n">
        <x:v>0.0471943352</x:v>
      </x:c>
      <x:c r="J189" s="60" t="n">
        <x:v>0.0471943352</x:v>
      </x:c>
      <x:c r="K189" s="60" t="n">
        <x:v>0</x:v>
      </x:c>
      <x:c r="L189" s="60" t="n">
        <x:v>0.0017307762000000001</x:v>
      </x:c>
      <x:c r="M189" s="60" t="n">
        <x:v>0.045463559</x:v>
      </x:c>
      <x:c r="N189" s="46" t="str">
        <x:v>scomberomorus</x:v>
      </x:c>
      <x:c r="O189" s="62" t="n">
        <x:v>4.35</x:v>
      </x:c>
      <x:c r="P189" s="46" t="str">
        <x:v>exact_sea_around_us</x:v>
      </x:c>
      <x:c r="Q189" s="62" t="str">
        <x:v>Sea Around Us exploited organisms</x:v>
      </x:c>
      <x:c r="R189" s="46" t="str">
        <x:v>high</x:v>
      </x:c>
      <x:c r="S189" s="46" t="str">
        <x:v>Scomberomorus</x:v>
      </x:c>
      <x:c r="T189" s="62" t="n">
        <x:f>IF(O189="","",(1/'Metadata'!$B$5)^(O189-1))</x:f>
        <x:v>22827.086550132422</x:v>
      </x:c>
      <x:c r="U189" s="60" t="n">
        <x:f>IF(T189="","",I189*T189)</x:f>
        <x:v>1077.3091742863612</x:v>
      </x:c>
    </x:row>
    <x:row r="190" ht="18" customHeight="1">
      <x:c r="A190" s="46" t="str">
        <x:v>LME_043</x:v>
      </x:c>
      <x:c r="B190" s="46" t="str">
        <x:v>Southwest Australian Shelf</x:v>
      </x:c>
      <x:c r="C190" s="46" t="str">
        <x:v>LME</x:v>
      </x:c>
      <x:c r="D190" s="58" t="n">
        <x:v>2019</x:v>
      </x:c>
      <x:c r="E190" s="46" t="str">
        <x:v>Pseudorhombus arsius</x:v>
      </x:c>
      <x:c r="F190" s="46" t="str">
        <x:v>Largetooth flounder</x:v>
      </x:c>
      <x:c r="G190" s="46" t="str">
        <x:v>Small to medium flatfishes (&lt;90 cm)</x:v>
      </x:c>
      <x:c r="H190" s="46" t="str">
        <x:v>Flatfishes</x:v>
      </x:c>
      <x:c r="I190" s="60" t="n">
        <x:v>0.0442540582</x:v>
      </x:c>
      <x:c r="J190" s="60" t="n">
        <x:v>0.0442540582</x:v>
      </x:c>
      <x:c r="K190" s="60" t="n">
        <x:v>0</x:v>
      </x:c>
      <x:c r="L190" s="60" t="n">
        <x:v>0</x:v>
      </x:c>
      <x:c r="M190" s="60" t="n">
        <x:v>0.0442540582</x:v>
      </x:c>
      <x:c r="N190" s="46" t="str">
        <x:v>pseudorhombus arsius</x:v>
      </x:c>
      <x:c r="O190" s="62" t="n">
        <x:v>4.16</x:v>
      </x:c>
      <x:c r="P190" s="46" t="str">
        <x:v>exact_2020_supplement</x:v>
      </x:c>
      <x:c r="Q190" s="62" t="str">
        <x:v>2020 supplement MeanTL</x:v>
      </x:c>
      <x:c r="R190" s="46" t="str">
        <x:v>high</x:v>
      </x:c>
      <x:c r="S190" s="46" t="str">
        <x:v>Pseudorhombus arsius</x:v>
      </x:c>
      <x:c r="T190" s="62" t="n">
        <x:f>IF(O190="","",(1/'Metadata'!$B$5)^(O190-1))</x:f>
        <x:v>12919.77011769987</x:v>
      </x:c>
      <x:c r="U190" s="60" t="n">
        <x:f>IF(T190="","",I190*T190)</x:f>
        <x:v>571.7522587193109</x:v>
      </x:c>
    </x:row>
    <x:row r="191" ht="18" customHeight="1">
      <x:c r="A191" s="46" t="str">
        <x:v>LME_043</x:v>
      </x:c>
      <x:c r="B191" s="46" t="str">
        <x:v>Southwest Australian Shelf</x:v>
      </x:c>
      <x:c r="C191" s="46" t="str">
        <x:v>LME</x:v>
      </x:c>
      <x:c r="D191" s="58" t="n">
        <x:v>2019</x:v>
      </x:c>
      <x:c r="E191" s="46" t="str">
        <x:v>Scomberomorus commerson</x:v>
      </x:c>
      <x:c r="F191" s="46" t="str">
        <x:v>Narrow-barred Spanish mackerel</x:v>
      </x:c>
      <x:c r="G191" s="46" t="str">
        <x:v>Large pelagics (&gt;=90 cm)</x:v>
      </x:c>
      <x:c r="H191" s="46" t="str">
        <x:v>Perch-likes</x:v>
      </x:c>
      <x:c r="I191" s="60" t="n">
        <x:v>0.0431586761</x:v>
      </x:c>
      <x:c r="J191" s="60" t="n">
        <x:v>0.0431586761</x:v>
      </x:c>
      <x:c r="K191" s="60" t="n">
        <x:v>0</x:v>
      </x:c>
      <x:c r="L191" s="60" t="n">
        <x:v>0.0431586761</x:v>
      </x:c>
      <x:c r="M191" s="60" t="n">
        <x:v>0</x:v>
      </x:c>
      <x:c r="N191" s="46" t="str">
        <x:v>scomberomorus commerson</x:v>
      </x:c>
      <x:c r="O191" s="62" t="n">
        <x:v>4.5</x:v>
      </x:c>
      <x:c r="P191" s="46" t="str">
        <x:v>exact_2020_supplement</x:v>
      </x:c>
      <x:c r="Q191" s="62" t="str">
        <x:v>2020 supplement MeanTL</x:v>
      </x:c>
      <x:c r="R191" s="46" t="str">
        <x:v>high</x:v>
      </x:c>
      <x:c r="S191" s="46" t="str">
        <x:v>Scomberomorus commerson</x:v>
      </x:c>
      <x:c r="T191" s="62" t="n">
        <x:f>IF(O191="","",(1/'Metadata'!$B$5)^(O191-1))</x:f>
        <x:v>35777.08763999664</x:v>
      </x:c>
      <x:c r="U191" s="60" t="n">
        <x:f>IF(T191="","",I191*T191)</x:f>
        <x:v>1544.0917372559284</x:v>
      </x:c>
    </x:row>
    <x:row r="192" ht="18" customHeight="1">
      <x:c r="A192" s="46" t="str">
        <x:v>LME_043</x:v>
      </x:c>
      <x:c r="B192" s="46" t="str">
        <x:v>Southwest Australian Shelf</x:v>
      </x:c>
      <x:c r="C192" s="46" t="str">
        <x:v>LME</x:v>
      </x:c>
      <x:c r="D192" s="58" t="n">
        <x:v>2019</x:v>
      </x:c>
      <x:c r="E192" s="46" t="str">
        <x:v>Pseudophycis bachus</x:v>
      </x:c>
      <x:c r="F192" s="46" t="str">
        <x:v>Red codling</x:v>
      </x:c>
      <x:c r="G192" s="46" t="str">
        <x:v>Medium demersals (30 - 89 cm)</x:v>
      </x:c>
      <x:c r="H192" s="46" t="str">
        <x:v>Cod-likes</x:v>
      </x:c>
      <x:c r="I192" s="60" t="n">
        <x:v>0.037512824400000006</x:v>
      </x:c>
      <x:c r="J192" s="60" t="n">
        <x:v>0.037512824400000006</x:v>
      </x:c>
      <x:c r="K192" s="60" t="n">
        <x:v>0</x:v>
      </x:c>
      <x:c r="L192" s="60" t="n">
        <x:v>0.037512824400000006</x:v>
      </x:c>
      <x:c r="M192" s="60" t="n">
        <x:v>0</x:v>
      </x:c>
      <x:c r="N192" s="46" t="str">
        <x:v>pseudophycis bachus</x:v>
      </x:c>
      <x:c r="O192" s="62" t="n">
        <x:v>4.5</x:v>
      </x:c>
      <x:c r="P192" s="46" t="str">
        <x:v>exact_2020_supplement</x:v>
      </x:c>
      <x:c r="Q192" s="62" t="str">
        <x:v>2020 supplement MeanTL</x:v>
      </x:c>
      <x:c r="R192" s="46" t="str">
        <x:v>high</x:v>
      </x:c>
      <x:c r="S192" s="46" t="str">
        <x:v>Pseudophycis bachus</x:v>
      </x:c>
      <x:c r="T192" s="62" t="n">
        <x:f>IF(O192="","",(1/'Metadata'!$B$5)^(O192-1))</x:f>
        <x:v>35777.08763999664</x:v>
      </x:c>
      <x:c r="U192" s="60" t="n">
        <x:f>IF(T192="","",I192*T192)</x:f>
        <x:v>1342.0996061826045</x:v>
      </x:c>
    </x:row>
    <x:row r="193" ht="18" customHeight="1">
      <x:c r="A193" s="46" t="str">
        <x:v>LME_043</x:v>
      </x:c>
      <x:c r="B193" s="46" t="str">
        <x:v>Southwest Australian Shelf</x:v>
      </x:c>
      <x:c r="C193" s="46" t="str">
        <x:v>LME</x:v>
      </x:c>
      <x:c r="D193" s="58" t="n">
        <x:v>2019</x:v>
      </x:c>
      <x:c r="E193" s="46" t="str">
        <x:v>Charybdis</x:v>
      </x:c>
      <x:c r="F193" s="46" t="str">
        <x:v>Whirlpool swimming crabs</x:v>
      </x:c>
      <x:c r="G193" s="46" t="str">
        <x:v>Lobsters, crabs</x:v>
      </x:c>
      <x:c r="H193" s="46" t="str">
        <x:v>Crustaceans</x:v>
      </x:c>
      <x:c r="I193" s="60" t="n">
        <x:v>0.030742584200000003</x:v>
      </x:c>
      <x:c r="J193" s="60" t="n">
        <x:v>0.030742584200000003</x:v>
      </x:c>
      <x:c r="K193" s="60" t="n">
        <x:v>0</x:v>
      </x:c>
      <x:c r="L193" s="60" t="n">
        <x:v>0.030742584200000003</x:v>
      </x:c>
      <x:c r="M193" s="60" t="n">
        <x:v>0</x:v>
      </x:c>
      <x:c r="N193" s="46" t="str">
        <x:v>charybdis</x:v>
      </x:c>
      <x:c r="O193" s="62" t="n">
        <x:v>2.7</x:v>
      </x:c>
      <x:c r="P193" s="46" t="str">
        <x:v>exact_sea_around_us</x:v>
      </x:c>
      <x:c r="Q193" s="62" t="str">
        <x:v>Sea Around Us exploited organisms</x:v>
      </x:c>
      <x:c r="R193" s="46" t="str">
        <x:v>high</x:v>
      </x:c>
      <x:c r="S193" s="46" t="str">
        <x:v>Charybdis</x:v>
      </x:c>
      <x:c r="T193" s="62" t="n">
        <x:f>IF(O193="","",(1/'Metadata'!$B$5)^(O193-1))</x:f>
        <x:v>162.83621261476185</x:v>
      </x:c>
      <x:c r="U193" s="60" t="n">
        <x:f>IF(T193="","",I193*T193)</x:f>
        <x:v>5.006005977118419</x:v>
      </x:c>
    </x:row>
    <x:row r="194" ht="18" customHeight="1">
      <x:c r="A194" s="46" t="str">
        <x:v>LME_043</x:v>
      </x:c>
      <x:c r="B194" s="46" t="str">
        <x:v>Southwest Australian Shelf</x:v>
      </x:c>
      <x:c r="C194" s="46" t="str">
        <x:v>LME</x:v>
      </x:c>
      <x:c r="D194" s="58" t="n">
        <x:v>2019</x:v>
      </x:c>
      <x:c r="E194" s="46" t="str">
        <x:v>Sarda orientalis</x:v>
      </x:c>
      <x:c r="F194" s="46" t="str">
        <x:v>Striped bonito</x:v>
      </x:c>
      <x:c r="G194" s="46" t="str">
        <x:v>Large pelagics (&gt;=90 cm)</x:v>
      </x:c>
      <x:c r="H194" s="46" t="str">
        <x:v>Tuna &amp; billfishes</x:v>
      </x:c>
      <x:c r="I194" s="60" t="n">
        <x:v>0.0247599173</x:v>
      </x:c>
      <x:c r="J194" s="60" t="n">
        <x:v>0.0247599173</x:v>
      </x:c>
      <x:c r="K194" s="60" t="n">
        <x:v>0</x:v>
      </x:c>
      <x:c r="L194" s="60" t="n">
        <x:v>0</x:v>
      </x:c>
      <x:c r="M194" s="60" t="n">
        <x:v>0.0247599173</x:v>
      </x:c>
      <x:c r="N194" s="46" t="str">
        <x:v>sarda orientalis</x:v>
      </x:c>
      <x:c r="O194" s="62" t="n">
        <x:v>4.21</x:v>
      </x:c>
      <x:c r="P194" s="46" t="str">
        <x:v>exact_2020_supplement</x:v>
      </x:c>
      <x:c r="Q194" s="62" t="str">
        <x:v>2020 supplement MeanTL</x:v>
      </x:c>
      <x:c r="R194" s="46" t="str">
        <x:v>high</x:v>
      </x:c>
      <x:c r="S194" s="46" t="str">
        <x:v>Sarda orientalis</x:v>
      </x:c>
      <x:c r="T194" s="62" t="n">
        <x:f>IF(O194="","",(1/'Metadata'!$B$5)^(O194-1))</x:f>
        <x:v>15007.428609226863</x:v>
      </x:c>
      <x:c r="U194" s="60" t="n">
        <x:f>IF(T194="","",I194*T194)</x:f>
        <x:v>371.58269125011117</x:v>
      </x:c>
    </x:row>
    <x:row r="195" ht="18" customHeight="1">
      <x:c r="A195" s="46" t="str">
        <x:v>LME_043</x:v>
      </x:c>
      <x:c r="B195" s="46" t="str">
        <x:v>Southwest Australian Shelf</x:v>
      </x:c>
      <x:c r="C195" s="46" t="str">
        <x:v>LME</x:v>
      </x:c>
      <x:c r="D195" s="58" t="n">
        <x:v>2019</x:v>
      </x:c>
      <x:c r="E195" s="46" t="str">
        <x:v>Marine pelagic fishes not identified</x:v>
      </x:c>
      <x:c r="F195" s="46" t="str">
        <x:v>Pelagic fishes</x:v>
      </x:c>
      <x:c r="G195" s="46" t="str">
        <x:v>Medium pelagics (30 - 89 cm)</x:v>
      </x:c>
      <x:c r="H195" s="46" t="str">
        <x:v>Other fishes &amp; inverts</x:v>
      </x:c>
      <x:c r="I195" s="60" t="n">
        <x:v>0.0236974732</x:v>
      </x:c>
      <x:c r="J195" s="60" t="n">
        <x:v>0.0236974732</x:v>
      </x:c>
      <x:c r="K195" s="60" t="n">
        <x:v>0</x:v>
      </x:c>
      <x:c r="L195" s="60" t="n">
        <x:v>0.0236974732</x:v>
      </x:c>
      <x:c r="M195" s="60" t="n">
        <x:v>0</x:v>
      </x:c>
      <x:c r="N195" s="46" t="str">
        <x:v>marine pelagic fishes not identified</x:v>
      </x:c>
      <x:c r="O195" s="62" t="n">
        <x:v>3.35</x:v>
      </x:c>
      <x:c r="P195" s="46" t="str">
        <x:v>exact_sea_around_us</x:v>
      </x:c>
      <x:c r="Q195" s="62" t="str">
        <x:v>Sea Around Us exploited organisms</x:v>
      </x:c>
      <x:c r="R195" s="46" t="str">
        <x:v>high</x:v>
      </x:c>
      <x:c r="S195" s="46" t="str">
        <x:v>Marine pelagic fishes not identified</x:v>
      </x:c>
      <x:c r="T195" s="62" t="n">
        <x:f>IF(O195="","",(1/'Metadata'!$B$5)^(O195-1))</x:f>
        <x:v>1141.3543275066227</x:v>
      </x:c>
      <x:c r="U195" s="60" t="n">
        <x:f>IF(T195="","",I195*T195)</x:f>
        <x:v>27.047213587792214</x:v>
      </x:c>
    </x:row>
    <x:row r="196" ht="18" customHeight="1">
      <x:c r="A196" s="46" t="str">
        <x:v>LME_043</x:v>
      </x:c>
      <x:c r="B196" s="46" t="str">
        <x:v>Southwest Australian Shelf</x:v>
      </x:c>
      <x:c r="C196" s="46" t="str">
        <x:v>LME</x:v>
      </x:c>
      <x:c r="D196" s="58" t="n">
        <x:v>2019</x:v>
      </x:c>
      <x:c r="E196" s="46" t="str">
        <x:v>Isurus</x:v>
      </x:c>
      <x:c r="F196" s="46" t="str">
        <x:v>Mako sharks</x:v>
      </x:c>
      <x:c r="G196" s="46" t="str">
        <x:v>Large sharks (&gt;=90 cm)</x:v>
      </x:c>
      <x:c r="H196" s="46" t="str">
        <x:v>Sharks &amp; rays</x:v>
      </x:c>
      <x:c r="I196" s="60" t="n">
        <x:v>0.0218931771</x:v>
      </x:c>
      <x:c r="J196" s="60" t="n">
        <x:v>0.0218931771</x:v>
      </x:c>
      <x:c r="K196" s="60" t="n">
        <x:v>0</x:v>
      </x:c>
      <x:c r="L196" s="60" t="n">
        <x:v>0.0218931771</x:v>
      </x:c>
      <x:c r="M196" s="60" t="n">
        <x:v>0</x:v>
      </x:c>
      <x:c r="N196" s="46" t="str">
        <x:v>isurus</x:v>
      </x:c>
      <x:c r="O196" s="62" t="n">
        <x:v>4.5</x:v>
      </x:c>
      <x:c r="P196" s="46" t="str">
        <x:v>exact_sea_around_us</x:v>
      </x:c>
      <x:c r="Q196" s="62" t="str">
        <x:v>Sea Around Us exploited organisms</x:v>
      </x:c>
      <x:c r="R196" s="46" t="str">
        <x:v>high</x:v>
      </x:c>
      <x:c r="S196" s="46" t="str">
        <x:v>Isurus</x:v>
      </x:c>
      <x:c r="T196" s="62" t="n">
        <x:f>IF(O196="","",(1/'Metadata'!$B$5)^(O196-1))</x:f>
        <x:v>35777.08763999664</x:v>
      </x:c>
      <x:c r="U196" s="60" t="n">
        <x:f>IF(T196="","",I196*T196)</x:f>
        <x:v>783.2741158246674</x:v>
      </x:c>
    </x:row>
    <x:row r="197" ht="18" customHeight="1">
      <x:c r="A197" s="46" t="str">
        <x:v>LME_043</x:v>
      </x:c>
      <x:c r="B197" s="46" t="str">
        <x:v>Southwest Australian Shelf</x:v>
      </x:c>
      <x:c r="C197" s="46" t="str">
        <x:v>LME</x:v>
      </x:c>
      <x:c r="D197" s="58" t="n">
        <x:v>2019</x:v>
      </x:c>
      <x:c r="E197" s="46" t="str">
        <x:v>Platycaranx chrysophrys</x:v>
      </x:c>
      <x:c r="F197" s="46" t="str">
        <x:v>Longnose trevally</x:v>
      </x:c>
      <x:c r="G197" s="46" t="str">
        <x:v>Small pelagics (&lt;30 cm)</x:v>
      </x:c>
      <x:c r="H197" s="46" t="str">
        <x:v>Perch-likes</x:v>
      </x:c>
      <x:c r="I197" s="60" t="n">
        <x:v>0.0186241374</x:v>
      </x:c>
      <x:c r="J197" s="60" t="n">
        <x:v>0.0186241374</x:v>
      </x:c>
      <x:c r="K197" s="60" t="n">
        <x:v>0</x:v>
      </x:c>
      <x:c r="L197" s="60" t="n">
        <x:v>0</x:v>
      </x:c>
      <x:c r="M197" s="60" t="n">
        <x:v>0.0186241374</x:v>
      </x:c>
      <x:c r="N197" s="46" t="str">
        <x:v>platycaranx chrysophrys</x:v>
      </x:c>
      <x:c r="O197" s="62" t="n">
        <x:v>4.3</x:v>
      </x:c>
      <x:c r="P197" s="46" t="str">
        <x:v>exact_sea_around_us</x:v>
      </x:c>
      <x:c r="Q197" s="62" t="str">
        <x:v>Sea Around Us exploited organisms</x:v>
      </x:c>
      <x:c r="R197" s="46" t="str">
        <x:v>high</x:v>
      </x:c>
      <x:c r="S197" s="46" t="str">
        <x:v>Platycaranx chrysophrys</x:v>
      </x:c>
      <x:c r="T197" s="62" t="n">
        <x:f>IF(O197="","",(1/'Metadata'!$B$5)^(O197-1))</x:f>
        <x:v>19651.648417852637</x:v>
      </x:c>
      <x:c r="U197" s="60" t="n">
        <x:f>IF(T197="","",I197*T197)</x:f>
        <x:v>365.99500027058014</x:v>
      </x:c>
    </x:row>
    <x:row r="198" ht="18" customHeight="1">
      <x:c r="A198" s="46" t="str">
        <x:v>LME_043</x:v>
      </x:c>
      <x:c r="B198" s="46" t="str">
        <x:v>Southwest Australian Shelf</x:v>
      </x:c>
      <x:c r="C198" s="46" t="str">
        <x:v>LME</x:v>
      </x:c>
      <x:c r="D198" s="58" t="n">
        <x:v>2019</x:v>
      </x:c>
      <x:c r="E198" s="46" t="str">
        <x:v>Trachichthyidae</x:v>
      </x:c>
      <x:c r="F198" s="46" t="str">
        <x:v>Slimeheads</x:v>
      </x:c>
      <x:c r="G198" s="46" t="str">
        <x:v>Medium bathypelagics (30 - 89 cm)</x:v>
      </x:c>
      <x:c r="H198" s="46" t="str">
        <x:v>Other fishes &amp; inverts</x:v>
      </x:c>
      <x:c r="I198" s="60" t="n">
        <x:v>0.015347315</x:v>
      </x:c>
      <x:c r="J198" s="60" t="n">
        <x:v>0.015347315</x:v>
      </x:c>
      <x:c r="K198" s="60" t="n">
        <x:v>0</x:v>
      </x:c>
      <x:c r="L198" s="60" t="n">
        <x:v>0.015347315</x:v>
      </x:c>
      <x:c r="M198" s="60" t="n">
        <x:v>0</x:v>
      </x:c>
      <x:c r="N198" s="46" t="str">
        <x:v>trachichthyidae</x:v>
      </x:c>
      <x:c r="O198" s="62" t="n">
        <x:v>3.72</x:v>
      </x:c>
      <x:c r="P198" s="46" t="str">
        <x:v>exact_sea_around_us</x:v>
      </x:c>
      <x:c r="Q198" s="62" t="str">
        <x:v>Sea Around Us exploited organisms</x:v>
      </x:c>
      <x:c r="R198" s="46" t="str">
        <x:v>high</x:v>
      </x:c>
      <x:c r="S198" s="46" t="str">
        <x:v>Trachichthyidae</x:v>
      </x:c>
      <x:c r="T198" s="62" t="n">
        <x:f>IF(O198="","",(1/'Metadata'!$B$5)^(O198-1))</x:f>
        <x:v>3457.8136804537753</x:v>
      </x:c>
      <x:c r="U198" s="60" t="n">
        <x:f>IF(T198="","",I198*T198)</x:f>
        <x:v>53.068155765233435</x:v>
      </x:c>
    </x:row>
    <x:row r="199" ht="18" customHeight="1">
      <x:c r="A199" s="46" t="str">
        <x:v>LME_043</x:v>
      </x:c>
      <x:c r="B199" s="46" t="str">
        <x:v>Southwest Australian Shelf</x:v>
      </x:c>
      <x:c r="C199" s="46" t="str">
        <x:v>LME</x:v>
      </x:c>
      <x:c r="D199" s="58" t="n">
        <x:v>2019</x:v>
      </x:c>
      <x:c r="E199" s="46" t="str">
        <x:v>Scorpaenidae</x:v>
      </x:c>
      <x:c r="F199" s="46" t="str">
        <x:v>Scorpionfishes, rockfishes</x:v>
      </x:c>
      <x:c r="G199" s="46" t="str">
        <x:v>Large reef assoc. fish (&gt;=90 cm)</x:v>
      </x:c>
      <x:c r="H199" s="46" t="str">
        <x:v>Scorpionfishes</x:v>
      </x:c>
      <x:c r="I199" s="60" t="n">
        <x:v>0.0138118311</x:v>
      </x:c>
      <x:c r="J199" s="60" t="n">
        <x:v>0.0138118311</x:v>
      </x:c>
      <x:c r="K199" s="60" t="n">
        <x:v>0</x:v>
      </x:c>
      <x:c r="L199" s="60" t="n">
        <x:v>0.0132722505</x:v>
      </x:c>
      <x:c r="M199" s="60" t="n">
        <x:v>0.0005395806</x:v>
      </x:c>
      <x:c r="N199" s="46" t="str">
        <x:v>scorpaenidae</x:v>
      </x:c>
      <x:c r="O199" s="62" t="n">
        <x:v>3.92</x:v>
      </x:c>
      <x:c r="P199" s="46" t="str">
        <x:v>exact_sea_around_us</x:v>
      </x:c>
      <x:c r="Q199" s="62" t="str">
        <x:v>Sea Around Us exploited organisms</x:v>
      </x:c>
      <x:c r="R199" s="46" t="str">
        <x:v>high</x:v>
      </x:c>
      <x:c r="S199" s="46" t="str">
        <x:v>Scorpaenidae</x:v>
      </x:c>
      <x:c r="T199" s="62" t="n">
        <x:f>IF(O199="","",(1/'Metadata'!$B$5)^(O199-1))</x:f>
        <x:v>6295.1718073679995</x:v>
      </x:c>
      <x:c r="U199" s="60" t="n">
        <x:f>IF(T199="","",I199*T199)</x:f>
        <x:v>86.94784974884854</x:v>
      </x:c>
    </x:row>
    <x:row r="200" ht="18" customHeight="1">
      <x:c r="A200" s="46" t="str">
        <x:v>LME_043</x:v>
      </x:c>
      <x:c r="B200" s="46" t="str">
        <x:v>Southwest Australian Shelf</x:v>
      </x:c>
      <x:c r="C200" s="46" t="str">
        <x:v>LME</x:v>
      </x:c>
      <x:c r="D200" s="58" t="n">
        <x:v>2019</x:v>
      </x:c>
      <x:c r="E200" s="46" t="str">
        <x:v>Lampris</x:v>
      </x:c>
      <x:c r="F200" s="46" t="str">
        <x:v>Opahs</x:v>
      </x:c>
      <x:c r="G200" s="46" t="str">
        <x:v>Large pelagics (&gt;=90 cm)</x:v>
      </x:c>
      <x:c r="H200" s="46" t="str">
        <x:v>Other fishes &amp; inverts</x:v>
      </x:c>
      <x:c r="I200" s="60" t="n">
        <x:v>0.011567392000000001</x:v>
      </x:c>
      <x:c r="J200" s="60" t="n">
        <x:v>0.011567392000000001</x:v>
      </x:c>
      <x:c r="K200" s="60" t="n">
        <x:v>0</x:v>
      </x:c>
      <x:c r="L200" s="60" t="n">
        <x:v>0.011567392000000001</x:v>
      </x:c>
      <x:c r="M200" s="60" t="n">
        <x:v>0</x:v>
      </x:c>
      <x:c r="N200" s="46" t="str">
        <x:v>lampris</x:v>
      </x:c>
      <x:c r="O200" s="62" t="n">
        <x:v>4.22</x:v>
      </x:c>
      <x:c r="P200" s="46" t="str">
        <x:v>exact_sea_around_us</x:v>
      </x:c>
      <x:c r="Q200" s="62" t="str">
        <x:v>Sea Around Us exploited organisms</x:v>
      </x:c>
      <x:c r="R200" s="46" t="str">
        <x:v>high</x:v>
      </x:c>
      <x:c r="S200" s="46" t="str">
        <x:v>Lampris</x:v>
      </x:c>
      <x:c r="T200" s="62" t="n">
        <x:f>IF(O200="","",(1/'Metadata'!$B$5)^(O200-1))</x:f>
        <x:v>15463.812886046735</x:v>
      </x:c>
      <x:c r="U200" s="60" t="n">
        <x:f>IF(T200="","",I200*T200)</x:f>
        <x:v>178.87598546755393</x:v>
      </x:c>
    </x:row>
    <x:row r="201" ht="18" customHeight="1">
      <x:c r="A201" s="46" t="str">
        <x:v>LME_043</x:v>
      </x:c>
      <x:c r="B201" s="46" t="str">
        <x:v>Southwest Australian Shelf</x:v>
      </x:c>
      <x:c r="C201" s="46" t="str">
        <x:v>LME</x:v>
      </x:c>
      <x:c r="D201" s="58" t="n">
        <x:v>2019</x:v>
      </x:c>
      <x:c r="E201" s="46" t="str">
        <x:v>Odontaspis ferox</x:v>
      </x:c>
      <x:c r="F201" s="46" t="str">
        <x:v>Smalltooth sand tiger</x:v>
      </x:c>
      <x:c r="G201" s="46" t="str">
        <x:v>Large sharks (&gt;=90 cm)</x:v>
      </x:c>
      <x:c r="H201" s="46" t="str">
        <x:v>Sharks &amp; rays</x:v>
      </x:c>
      <x:c r="I201" s="60" t="n">
        <x:v>0.011120146700000002</x:v>
      </x:c>
      <x:c r="J201" s="60" t="n">
        <x:v>0.011120146700000002</x:v>
      </x:c>
      <x:c r="K201" s="60" t="n">
        <x:v>0</x:v>
      </x:c>
      <x:c r="L201" s="60" t="n">
        <x:v>0.011120146700000002</x:v>
      </x:c>
      <x:c r="M201" s="60" t="n">
        <x:v>0</x:v>
      </x:c>
      <x:c r="N201" s="46" t="str">
        <x:v>odontaspis ferox</x:v>
      </x:c>
      <x:c r="O201" s="62" t="n">
        <x:v>4.16</x:v>
      </x:c>
      <x:c r="P201" s="46" t="str">
        <x:v>exact_2020_supplement</x:v>
      </x:c>
      <x:c r="Q201" s="62" t="str">
        <x:v>2020 supplement MeanTL</x:v>
      </x:c>
      <x:c r="R201" s="46" t="str">
        <x:v>high</x:v>
      </x:c>
      <x:c r="S201" s="46" t="str">
        <x:v>Odontaspis ferox</x:v>
      </x:c>
      <x:c r="T201" s="62" t="n">
        <x:f>IF(O201="","",(1/'Metadata'!$B$5)^(O201-1))</x:f>
        <x:v>12919.77011769987</x:v>
      </x:c>
      <x:c r="U201" s="60" t="n">
        <x:f>IF(T201="","",I201*T201)</x:f>
        <x:v>143.66973903909886</x:v>
      </x:c>
    </x:row>
    <x:row r="202" ht="18" customHeight="1">
      <x:c r="A202" s="46" t="str">
        <x:v>LME_043</x:v>
      </x:c>
      <x:c r="B202" s="46" t="str">
        <x:v>Southwest Australian Shelf</x:v>
      </x:c>
      <x:c r="C202" s="46" t="str">
        <x:v>LME</x:v>
      </x:c>
      <x:c r="D202" s="58" t="n">
        <x:v>2019</x:v>
      </x:c>
      <x:c r="E202" s="46" t="str">
        <x:v>Rhynchobatus australiae</x:v>
      </x:c>
      <x:c r="F202" s="46" t="str">
        <x:v>Whitespotted wedgefish</x:v>
      </x:c>
      <x:c r="G202" s="46" t="str">
        <x:v>Large rays (&gt;=90 cm)</x:v>
      </x:c>
      <x:c r="H202" s="46" t="str">
        <x:v>Sharks &amp; rays</x:v>
      </x:c>
      <x:c r="I202" s="60" t="n">
        <x:v>0.0104670684</x:v>
      </x:c>
      <x:c r="J202" s="60" t="n">
        <x:v>0.0104670684</x:v>
      </x:c>
      <x:c r="K202" s="60" t="n">
        <x:v>0</x:v>
      </x:c>
      <x:c r="L202" s="60" t="n">
        <x:v>0</x:v>
      </x:c>
      <x:c r="M202" s="60" t="n">
        <x:v>0.0104670684</x:v>
      </x:c>
      <x:c r="N202" s="46" t="str">
        <x:v>rhynchobatus australiae</x:v>
      </x:c>
      <x:c r="O202" s="62" t="n">
        <x:v>3.54</x:v>
      </x:c>
      <x:c r="P202" s="46" t="str">
        <x:v>exact_2020_supplement</x:v>
      </x:c>
      <x:c r="Q202" s="62" t="str">
        <x:v>2020 supplement MeanTL</x:v>
      </x:c>
      <x:c r="R202" s="46" t="str">
        <x:v>high</x:v>
      </x:c>
      <x:c r="S202" s="46" t="str">
        <x:v>Rhynchobatus australiae</x:v>
      </x:c>
      <x:c r="T202" s="62" t="n">
        <x:f>IF(O202="","",(1/'Metadata'!$B$5)^(O202-1))</x:f>
        <x:v>2016.5834052007342</x:v>
      </x:c>
      <x:c r="U202" s="60" t="n">
        <x:f>IF(T202="","",I202*T202)</x:f>
        <x:v>21.107716436541</x:v>
      </x:c>
    </x:row>
    <x:row r="203" ht="18" customHeight="1">
      <x:c r="A203" s="46" t="str">
        <x:v>LME_043</x:v>
      </x:c>
      <x:c r="B203" s="46" t="str">
        <x:v>Southwest Australian Shelf</x:v>
      </x:c>
      <x:c r="C203" s="46" t="str">
        <x:v>LME</x:v>
      </x:c>
      <x:c r="D203" s="58" t="n">
        <x:v>2019</x:v>
      </x:c>
      <x:c r="E203" s="46" t="str">
        <x:v>Mola</x:v>
      </x:c>
      <x:c r="F203" s="46" t="str">
        <x:v>Sunfishes</x:v>
      </x:c>
      <x:c r="G203" s="46" t="str">
        <x:v>Large pelagics (&gt;=90 cm)</x:v>
      </x:c>
      <x:c r="H203" s="46" t="str">
        <x:v>Other fishes &amp; inverts</x:v>
      </x:c>
      <x:c r="I203" s="60" t="n">
        <x:v>0.0093585297</x:v>
      </x:c>
      <x:c r="J203" s="60" t="n">
        <x:v>0.0093585297</x:v>
      </x:c>
      <x:c r="K203" s="60" t="n">
        <x:v>0</x:v>
      </x:c>
      <x:c r="L203" s="60" t="n">
        <x:v>0.0093585297</x:v>
      </x:c>
      <x:c r="M203" s="60" t="n">
        <x:v>0</x:v>
      </x:c>
      <x:c r="N203" s="46" t="str">
        <x:v>mola</x:v>
      </x:c>
      <x:c r="O203" s="62" t="n">
        <x:v>3.68</x:v>
      </x:c>
      <x:c r="P203" s="46" t="str">
        <x:v>exact_sea_around_us</x:v>
      </x:c>
      <x:c r="Q203" s="62" t="str">
        <x:v>Sea Around Us exploited organisms</x:v>
      </x:c>
      <x:c r="R203" s="46" t="str">
        <x:v>high</x:v>
      </x:c>
      <x:c r="S203" s="46" t="str">
        <x:v>Mola</x:v>
      </x:c>
      <x:c r="T203" s="62" t="n">
        <x:f>IF(O203="","",(1/'Metadata'!$B$5)^(O203-1))</x:f>
        <x:v>3067.3291957408446</x:v>
      </x:c>
      <x:c r="U203" s="60" t="n">
        <x:f>IF(T203="","",I203*T203)</x:f>
        <x:v>28.705691378017807</x:v>
      </x:c>
    </x:row>
    <x:row r="204" ht="18" customHeight="1">
      <x:c r="A204" s="46" t="str">
        <x:v>LME_043</x:v>
      </x:c>
      <x:c r="B204" s="46" t="str">
        <x:v>Southwest Australian Shelf</x:v>
      </x:c>
      <x:c r="C204" s="46" t="str">
        <x:v>LME</x:v>
      </x:c>
      <x:c r="D204" s="58" t="n">
        <x:v>2019</x:v>
      </x:c>
      <x:c r="E204" s="46" t="str">
        <x:v>Diastobranchus capensis</x:v>
      </x:c>
      <x:c r="F204" s="46" t="str">
        <x:v>Basketwork eel</x:v>
      </x:c>
      <x:c r="G204" s="46" t="str">
        <x:v>Large bathydemersals (&gt;=90 cm)</x:v>
      </x:c>
      <x:c r="H204" s="46" t="str">
        <x:v>Other fishes &amp; inverts</x:v>
      </x:c>
      <x:c r="I204" s="60" t="n">
        <x:v>0.009133236400000001</x:v>
      </x:c>
      <x:c r="J204" s="60" t="n">
        <x:v>0.009133236400000001</x:v>
      </x:c>
      <x:c r="K204" s="60" t="n">
        <x:v>0</x:v>
      </x:c>
      <x:c r="L204" s="60" t="n">
        <x:v>0.009133236400000001</x:v>
      </x:c>
      <x:c r="M204" s="60" t="n">
        <x:v>0</x:v>
      </x:c>
      <x:c r="N204" s="46" t="str">
        <x:v>diastobranchus capensis</x:v>
      </x:c>
      <x:c r="O204" s="62" t="n">
        <x:v>3.99</x:v>
      </x:c>
      <x:c r="P204" s="46" t="str">
        <x:v>exact_sea_around_us</x:v>
      </x:c>
      <x:c r="Q204" s="62" t="str">
        <x:v>Sea Around Us exploited organisms</x:v>
      </x:c>
      <x:c r="R204" s="46" t="str">
        <x:v>high</x:v>
      </x:c>
      <x:c r="S204" s="46" t="str">
        <x:v>Diastobranchus capensis</x:v>
      </x:c>
      <x:c r="T204" s="62" t="n">
        <x:f>IF(O204="","",(1/'Metadata'!$B$5)^(O204-1))</x:f>
        <x:v>7763.895603143686</x:v>
      </x:c>
      <x:c r="U204" s="60" t="n">
        <x:f>IF(T204="","",I204*T204)</x:f>
        <x:v>70.90949392843187</x:v>
      </x:c>
    </x:row>
    <x:row r="205" ht="18" customHeight="1">
      <x:c r="A205" s="46" t="str">
        <x:v>LME_043</x:v>
      </x:c>
      <x:c r="B205" s="46" t="str">
        <x:v>Southwest Australian Shelf</x:v>
      </x:c>
      <x:c r="C205" s="46" t="str">
        <x:v>LME</x:v>
      </x:c>
      <x:c r="D205" s="58" t="n">
        <x:v>2019</x:v>
      </x:c>
      <x:c r="E205" s="46" t="str">
        <x:v>Caranx</x:v>
      </x:c>
      <x:c r="F205" s="46" t="str">
        <x:v>Jacks</x:v>
      </x:c>
      <x:c r="G205" s="46" t="str">
        <x:v>Medium reef assoc. fish (30 - 89 cm)</x:v>
      </x:c>
      <x:c r="H205" s="46" t="str">
        <x:v>Perch-likes</x:v>
      </x:c>
      <x:c r="I205" s="60" t="n">
        <x:v>0.0084132546</x:v>
      </x:c>
      <x:c r="J205" s="60" t="n">
        <x:v>0.0084132546</x:v>
      </x:c>
      <x:c r="K205" s="60" t="n">
        <x:v>0</x:v>
      </x:c>
      <x:c r="L205" s="60" t="n">
        <x:v>0.0041774768000000006</x:v>
      </x:c>
      <x:c r="M205" s="60" t="n">
        <x:v>0.0042357778</x:v>
      </x:c>
      <x:c r="N205" s="46" t="str">
        <x:v>caranx</x:v>
      </x:c>
      <x:c r="O205" s="62" t="n">
        <x:v>4.12</x:v>
      </x:c>
      <x:c r="P205" s="46" t="str">
        <x:v>exact_sea_around_us</x:v>
      </x:c>
      <x:c r="Q205" s="62" t="str">
        <x:v>Sea Around Us exploited organisms</x:v>
      </x:c>
      <x:c r="R205" s="46" t="str">
        <x:v>high</x:v>
      </x:c>
      <x:c r="S205" s="46" t="str">
        <x:v>Caranx</x:v>
      </x:c>
      <x:c r="T205" s="62" t="n">
        <x:f>IF(O205="","",(1/'Metadata'!$B$5)^(O205-1))</x:f>
        <x:v>11460.764444393179</x:v>
      </x:c>
      <x:c r="U205" s="60" t="n">
        <x:f>IF(T205="","",I205*T205)</x:f>
        <x:v>96.42232918130735</x:v>
      </x:c>
    </x:row>
    <x:row r="206" ht="18" customHeight="1">
      <x:c r="A206" s="46" t="str">
        <x:v>LME_043</x:v>
      </x:c>
      <x:c r="B206" s="46" t="str">
        <x:v>Southwest Australian Shelf</x:v>
      </x:c>
      <x:c r="C206" s="46" t="str">
        <x:v>LME</x:v>
      </x:c>
      <x:c r="D206" s="58" t="n">
        <x:v>2019</x:v>
      </x:c>
      <x:c r="E206" s="46" t="str">
        <x:v>Naucrates ductor</x:v>
      </x:c>
      <x:c r="F206" s="46" t="str">
        <x:v>Pilotfish</x:v>
      </x:c>
      <x:c r="G206" s="46" t="str">
        <x:v>Medium pelagics (30 - 89 cm)</x:v>
      </x:c>
      <x:c r="H206" s="46" t="str">
        <x:v>Perch-likes</x:v>
      </x:c>
      <x:c r="I206" s="60" t="n">
        <x:v>0.0082868966</x:v>
      </x:c>
      <x:c r="J206" s="60" t="n">
        <x:v>0.0082868966</x:v>
      </x:c>
      <x:c r="K206" s="60" t="n">
        <x:v>0</x:v>
      </x:c>
      <x:c r="L206" s="60" t="n">
        <x:v>0</x:v>
      </x:c>
      <x:c r="M206" s="60" t="n">
        <x:v>0.0082868966</x:v>
      </x:c>
      <x:c r="N206" s="46" t="str">
        <x:v>naucrates ductor</x:v>
      </x:c>
      <x:c r="O206" s="62" t="n">
        <x:v>3.98</x:v>
      </x:c>
      <x:c r="P206" s="46" t="str">
        <x:v>exact_2020_supplement</x:v>
      </x:c>
      <x:c r="Q206" s="62" t="str">
        <x:v>2020 supplement MeanTL</x:v>
      </x:c>
      <x:c r="R206" s="46" t="str">
        <x:v>high</x:v>
      </x:c>
      <x:c r="S206" s="46" t="str">
        <x:v>Naucrates ductor</x:v>
      </x:c>
      <x:c r="T206" s="62" t="n">
        <x:f>IF(O206="","",(1/'Metadata'!$B$5)^(O206-1))</x:f>
        <x:v>7534.759367064222</x:v>
      </x:c>
      <x:c r="U206" s="60" t="n">
        <x:f>IF(T206="","",I206*T206)</x:f>
        <x:v>62.439771780742646</x:v>
      </x:c>
    </x:row>
    <x:row r="207" ht="18" customHeight="1">
      <x:c r="A207" s="46" t="str">
        <x:v>LME_043</x:v>
      </x:c>
      <x:c r="B207" s="46" t="str">
        <x:v>Southwest Australian Shelf</x:v>
      </x:c>
      <x:c r="C207" s="46" t="str">
        <x:v>LME</x:v>
      </x:c>
      <x:c r="D207" s="58" t="n">
        <x:v>2019</x:v>
      </x:c>
      <x:c r="E207" s="46" t="str">
        <x:v>Bramidae</x:v>
      </x:c>
      <x:c r="F207" s="46" t="str">
        <x:v>Pomfrets</x:v>
      </x:c>
      <x:c r="G207" s="46" t="str">
        <x:v>Medium pelagics (30 - 89 cm)</x:v>
      </x:c>
      <x:c r="H207" s="46" t="str">
        <x:v>Perch-likes</x:v>
      </x:c>
      <x:c r="I207" s="60" t="n">
        <x:v>0.0060889768</x:v>
      </x:c>
      <x:c r="J207" s="60" t="n">
        <x:v>0.0060889768</x:v>
      </x:c>
      <x:c r="K207" s="60" t="n">
        <x:v>0</x:v>
      </x:c>
      <x:c r="L207" s="60" t="n">
        <x:v>0.0060889768</x:v>
      </x:c>
      <x:c r="M207" s="60" t="n">
        <x:v>0</x:v>
      </x:c>
      <x:c r="N207" s="46" t="str">
        <x:v>bramidae</x:v>
      </x:c>
      <x:c r="O207" s="62" t="n">
        <x:v>4.14</x:v>
      </x:c>
      <x:c r="P207" s="46" t="str">
        <x:v>exact_sea_around_us</x:v>
      </x:c>
      <x:c r="Q207" s="62" t="str">
        <x:v>Sea Around Us exploited organisms</x:v>
      </x:c>
      <x:c r="R207" s="46" t="str">
        <x:v>high</x:v>
      </x:c>
      <x:c r="S207" s="46" t="str">
        <x:v>Bramidae</x:v>
      </x:c>
      <x:c r="T207" s="62" t="n">
        <x:f>IF(O207="","",(1/'Metadata'!$B$5)^(O207-1))</x:f>
        <x:v>12168.419864331923</x:v>
      </x:c>
      <x:c r="U207" s="60" t="n">
        <x:f>IF(T207="","",I207*T207)</x:f>
        <x:v>74.09322624657622</x:v>
      </x:c>
    </x:row>
    <x:row r="208" ht="18" customHeight="1">
      <x:c r="A208" s="46" t="str">
        <x:v>LME_043</x:v>
      </x:c>
      <x:c r="B208" s="46" t="str">
        <x:v>Southwest Australian Shelf</x:v>
      </x:c>
      <x:c r="C208" s="46" t="str">
        <x:v>LME</x:v>
      </x:c>
      <x:c r="D208" s="58" t="n">
        <x:v>2019</x:v>
      </x:c>
      <x:c r="E208" s="46" t="str">
        <x:v>Squalus acanthias</x:v>
      </x:c>
      <x:c r="F208" s="46" t="str">
        <x:v>Picked dogfish</x:v>
      </x:c>
      <x:c r="G208" s="46" t="str">
        <x:v>Large sharks (&gt;=90 cm)</x:v>
      </x:c>
      <x:c r="H208" s="46" t="str">
        <x:v>Sharks &amp; rays</x:v>
      </x:c>
      <x:c r="I208" s="60" t="n">
        <x:v>0.0053999805</x:v>
      </x:c>
      <x:c r="J208" s="60" t="n">
        <x:v>0.0053999805</x:v>
      </x:c>
      <x:c r="K208" s="60" t="n">
        <x:v>0</x:v>
      </x:c>
      <x:c r="L208" s="60" t="n">
        <x:v>0.0053999805</x:v>
      </x:c>
      <x:c r="M208" s="60" t="n">
        <x:v>0</x:v>
      </x:c>
      <x:c r="N208" s="46" t="str">
        <x:v>squalus acanthias</x:v>
      </x:c>
      <x:c r="O208" s="62" t="n">
        <x:v>4.37</x:v>
      </x:c>
      <x:c r="P208" s="46" t="str">
        <x:v>exact_2020_supplement</x:v>
      </x:c>
      <x:c r="Q208" s="62" t="str">
        <x:v>2020 supplement MeanTL</x:v>
      </x:c>
      <x:c r="R208" s="46" t="str">
        <x:v>high</x:v>
      </x:c>
      <x:c r="S208" s="46" t="str">
        <x:v>Squalus acanthias</x:v>
      </x:c>
      <x:c r="T208" s="62" t="n">
        <x:f>IF(O208="","",(1/'Metadata'!$B$5)^(O208-1))</x:f>
        <x:v>24236.56596112542</x:v>
      </x:c>
      <x:c r="U208" s="60" t="n">
        <x:f>IF(T208="","",I208*T208)</x:f>
        <x:v>130.87698357704102</x:v>
      </x:c>
    </x:row>
    <x:row r="209" ht="18" customHeight="1">
      <x:c r="A209" s="46" t="str">
        <x:v>LME_043</x:v>
      </x:c>
      <x:c r="B209" s="46" t="str">
        <x:v>Southwest Australian Shelf</x:v>
      </x:c>
      <x:c r="C209" s="46" t="str">
        <x:v>LME</x:v>
      </x:c>
      <x:c r="D209" s="58" t="n">
        <x:v>2019</x:v>
      </x:c>
      <x:c r="E209" s="46" t="str">
        <x:v>Parupeneus</x:v>
      </x:c>
      <x:c r="F209" s="46" t="str">
        <x:v>Parupeneid goatfishes</x:v>
      </x:c>
      <x:c r="G209" s="46" t="str">
        <x:v>Medium reef assoc. fish (30 - 89 cm)</x:v>
      </x:c>
      <x:c r="H209" s="46" t="str">
        <x:v>Perch-likes</x:v>
      </x:c>
      <x:c r="I209" s="60" t="n">
        <x:v>0.005315152199999999</x:v>
      </x:c>
      <x:c r="J209" s="60" t="n">
        <x:v>0.005315152199999999</x:v>
      </x:c>
      <x:c r="K209" s="60" t="n">
        <x:v>0</x:v>
      </x:c>
      <x:c r="L209" s="60" t="n">
        <x:v>0.0053051083999999995</x:v>
      </x:c>
      <x:c r="M209" s="60" t="n">
        <x:v>0.0000100438</x:v>
      </x:c>
      <x:c r="N209" s="46" t="str">
        <x:v>parupeneus</x:v>
      </x:c>
      <x:c r="O209" s="62" t="n">
        <x:v>3.51</x:v>
      </x:c>
      <x:c r="P209" s="46" t="str">
        <x:v>exact_sea_around_us</x:v>
      </x:c>
      <x:c r="Q209" s="62" t="str">
        <x:v>Sea Around Us exploited organisms</x:v>
      </x:c>
      <x:c r="R209" s="46" t="str">
        <x:v>high</x:v>
      </x:c>
      <x:c r="S209" s="46" t="str">
        <x:v>Parupeneus</x:v>
      </x:c>
      <x:c r="T209" s="62" t="n">
        <x:f>IF(O209="","",(1/'Metadata'!$B$5)^(O209-1))</x:f>
        <x:v>1843.2544417784343</x:v>
      </x:c>
      <x:c r="U209" s="60" t="n">
        <x:f>IF(T209="","",I209*T209)</x:f>
        <x:v>9.797177901378415</x:v>
      </x:c>
    </x:row>
    <x:row r="210" ht="18" customHeight="1">
      <x:c r="A210" s="46" t="str">
        <x:v>LME_043</x:v>
      </x:c>
      <x:c r="B210" s="46" t="str">
        <x:v>Southwest Australian Shelf</x:v>
      </x:c>
      <x:c r="C210" s="46" t="str">
        <x:v>LME</x:v>
      </x:c>
      <x:c r="D210" s="58" t="n">
        <x:v>2019</x:v>
      </x:c>
      <x:c r="E210" s="46" t="str">
        <x:v>Trichiurus lepturus</x:v>
      </x:c>
      <x:c r="F210" s="46" t="str">
        <x:v>Largehead hairtail</x:v>
      </x:c>
      <x:c r="G210" s="46" t="str">
        <x:v>Large benthopelagics (&gt;=90 cm)</x:v>
      </x:c>
      <x:c r="H210" s="46" t="str">
        <x:v>Perch-likes</x:v>
      </x:c>
      <x:c r="I210" s="60" t="n">
        <x:v>0.0052539116</x:v>
      </x:c>
      <x:c r="J210" s="60" t="n">
        <x:v>0.0052539116</x:v>
      </x:c>
      <x:c r="K210" s="60" t="n">
        <x:v>0</x:v>
      </x:c>
      <x:c r="L210" s="60" t="n">
        <x:v>0</x:v>
      </x:c>
      <x:c r="M210" s="60" t="n">
        <x:v>0.0052539116</x:v>
      </x:c>
      <x:c r="N210" s="46" t="str">
        <x:v>trichiurus lepturus</x:v>
      </x:c>
      <x:c r="O210" s="62" t="n">
        <x:v>4.42</x:v>
      </x:c>
      <x:c r="P210" s="46" t="str">
        <x:v>exact_2020_supplement</x:v>
      </x:c>
      <x:c r="Q210" s="62" t="str">
        <x:v>2020 supplement MeanTL</x:v>
      </x:c>
      <x:c r="R210" s="46" t="str">
        <x:v>high</x:v>
      </x:c>
      <x:c r="S210" s="46" t="str">
        <x:v>Trichiurus lepturus</x:v>
      </x:c>
      <x:c r="T210" s="62" t="n">
        <x:f>IF(O210="","",(1/'Metadata'!$B$5)^(O210-1))</x:f>
        <x:v>28152.864182630117</x:v>
      </x:c>
      <x:c r="U210" s="60" t="n">
        <x:f>IF(T210="","",I210*T210)</x:f>
        <x:v>147.9126597023449</x:v>
      </x:c>
    </x:row>
    <x:row r="211" ht="18" customHeight="1">
      <x:c r="A211" s="46" t="str">
        <x:v>LME_043</x:v>
      </x:c>
      <x:c r="B211" s="46" t="str">
        <x:v>Southwest Australian Shelf</x:v>
      </x:c>
      <x:c r="C211" s="46" t="str">
        <x:v>LME</x:v>
      </x:c>
      <x:c r="D211" s="58" t="n">
        <x:v>2019</x:v>
      </x:c>
      <x:c r="E211" s="46" t="str">
        <x:v>Soleidae</x:v>
      </x:c>
      <x:c r="F211" s="46" t="str">
        <x:v>Soles</x:v>
      </x:c>
      <x:c r="G211" s="46" t="str">
        <x:v>Small to medium flatfishes (&lt;90 cm)</x:v>
      </x:c>
      <x:c r="H211" s="46" t="str">
        <x:v>Flatfishes</x:v>
      </x:c>
      <x:c r="I211" s="60" t="n">
        <x:v>0.0052365292</x:v>
      </x:c>
      <x:c r="J211" s="60" t="n">
        <x:v>0.0052365292</x:v>
      </x:c>
      <x:c r="K211" s="60" t="n">
        <x:v>0</x:v>
      </x:c>
      <x:c r="L211" s="60" t="n">
        <x:v>0.0052362106</x:v>
      </x:c>
      <x:c r="M211" s="60" t="n">
        <x:v>3.186e-7</x:v>
      </x:c>
      <x:c r="N211" s="46" t="str">
        <x:v>soleidae</x:v>
      </x:c>
      <x:c r="O211" s="62" t="n">
        <x:v>3.15</x:v>
      </x:c>
      <x:c r="P211" s="46" t="str">
        <x:v>exact_sea_around_us</x:v>
      </x:c>
      <x:c r="Q211" s="62" t="str">
        <x:v>Sea Around Us exploited organisms</x:v>
      </x:c>
      <x:c r="R211" s="46" t="str">
        <x:v>high</x:v>
      </x:c>
      <x:c r="S211" s="46" t="str">
        <x:v>Soleidae</x:v>
      </x:c>
      <x:c r="T211" s="62" t="n">
        <x:f>IF(O211="","",(1/'Metadata'!$B$5)^(O211-1))</x:f>
        <x:v>626.9234150652317</x:v>
      </x:c>
      <x:c r="U211" s="60" t="n">
        <x:f>IF(T211="","",I211*T211)</x:f>
        <x:v>3.282902769152806</x:v>
      </x:c>
    </x:row>
    <x:row r="212" ht="18" customHeight="1">
      <x:c r="A212" s="46" t="str">
        <x:v>LME_043</x:v>
      </x:c>
      <x:c r="B212" s="46" t="str">
        <x:v>Southwest Australian Shelf</x:v>
      </x:c>
      <x:c r="C212" s="46" t="str">
        <x:v>LME</x:v>
      </x:c>
      <x:c r="D212" s="58" t="n">
        <x:v>2019</x:v>
      </x:c>
      <x:c r="E212" s="46" t="str">
        <x:v>Cookeolus japonicus</x:v>
      </x:c>
      <x:c r="F212" s="46" t="str">
        <x:v>Longfinned bullseye</x:v>
      </x:c>
      <x:c r="G212" s="46" t="str">
        <x:v>Medium benthopelagics (30 - 89 cm)</x:v>
      </x:c>
      <x:c r="H212" s="46" t="str">
        <x:v>Perch-likes</x:v>
      </x:c>
      <x:c r="I212" s="60" t="n">
        <x:v>0.0040061232</x:v>
      </x:c>
      <x:c r="J212" s="60" t="n">
        <x:v>0.0040061232</x:v>
      </x:c>
      <x:c r="K212" s="60" t="n">
        <x:v>0</x:v>
      </x:c>
      <x:c r="L212" s="60" t="n">
        <x:v>0</x:v>
      </x:c>
      <x:c r="M212" s="60" t="n">
        <x:v>0.0040061232</x:v>
      </x:c>
      <x:c r="N212" s="46" t="str">
        <x:v>cookeolus japonicus</x:v>
      </x:c>
      <x:c r="O212" s="62" t="n">
        <x:v>3.5</x:v>
      </x:c>
      <x:c r="P212" s="46" t="str">
        <x:v>exact_2020_supplement</x:v>
      </x:c>
      <x:c r="Q212" s="62" t="str">
        <x:v>2020 supplement MeanTL</x:v>
      </x:c>
      <x:c r="R212" s="46" t="str">
        <x:v>high</x:v>
      </x:c>
      <x:c r="S212" s="46" t="str">
        <x:v>Cookeolus japonicus</x:v>
      </x:c>
      <x:c r="T212" s="62" t="n">
        <x:f>IF(O212="","",(1/'Metadata'!$B$5)^(O212-1))</x:f>
        <x:v>1788.8543819998317</x:v>
      </x:c>
      <x:c r="U212" s="60" t="n">
        <x:f>IF(T212="","",I212*T212)</x:f>
        <x:v>7.166371041151189</x:v>
      </x:c>
    </x:row>
    <x:row r="213" ht="18" customHeight="1">
      <x:c r="A213" s="46" t="str">
        <x:v>LME_043</x:v>
      </x:c>
      <x:c r="B213" s="46" t="str">
        <x:v>Southwest Australian Shelf</x:v>
      </x:c>
      <x:c r="C213" s="46" t="str">
        <x:v>LME</x:v>
      </x:c>
      <x:c r="D213" s="58" t="n">
        <x:v>2019</x:v>
      </x:c>
      <x:c r="E213" s="46" t="str">
        <x:v>Priacanthidae</x:v>
      </x:c>
      <x:c r="F213" s="46" t="str">
        <x:v>Bigeyes, catalufas</x:v>
      </x:c>
      <x:c r="G213" s="46" t="str">
        <x:v>Medium reef assoc. fish (30 - 89 cm)</x:v>
      </x:c>
      <x:c r="H213" s="46" t="str">
        <x:v>Perch-likes</x:v>
      </x:c>
      <x:c r="I213" s="60" t="n">
        <x:v>0.0036039127</x:v>
      </x:c>
      <x:c r="J213" s="60" t="n">
        <x:v>0.0036039127</x:v>
      </x:c>
      <x:c r="K213" s="60" t="n">
        <x:v>0</x:v>
      </x:c>
      <x:c r="L213" s="60" t="n">
        <x:v>0.0036039127</x:v>
      </x:c>
      <x:c r="M213" s="60" t="n">
        <x:v>0</x:v>
      </x:c>
      <x:c r="N213" s="46" t="str">
        <x:v>priacanthidae</x:v>
      </x:c>
      <x:c r="O213" s="62" t="n">
        <x:v>3.79</x:v>
      </x:c>
      <x:c r="P213" s="46" t="str">
        <x:v>exact_sea_around_us</x:v>
      </x:c>
      <x:c r="Q213" s="62" t="str">
        <x:v>Sea Around Us exploited organisms</x:v>
      </x:c>
      <x:c r="R213" s="46" t="str">
        <x:v>high</x:v>
      </x:c>
      <x:c r="S213" s="46" t="str">
        <x:v>Priacanthidae</x:v>
      </x:c>
      <x:c r="T213" s="62" t="n">
        <x:f>IF(O213="","",(1/'Metadata'!$B$5)^(O213-1))</x:f>
        <x:v>4264.554685980751</x:v>
      </x:c>
      <x:c r="U213" s="60" t="n">
        <x:f>IF(T213="","",I213*T213)</x:f>
        <x:v>15.369082792650541</x:v>
      </x:c>
    </x:row>
    <x:row r="214" ht="18" customHeight="1">
      <x:c r="A214" s="46" t="str">
        <x:v>LME_043</x:v>
      </x:c>
      <x:c r="B214" s="46" t="str">
        <x:v>Southwest Australian Shelf</x:v>
      </x:c>
      <x:c r="C214" s="46" t="str">
        <x:v>LME</x:v>
      </x:c>
      <x:c r="D214" s="58" t="n">
        <x:v>2019</x:v>
      </x:c>
      <x:c r="E214" s="46" t="str">
        <x:v>Scarus ghobban</x:v>
      </x:c>
      <x:c r="F214" s="46" t="str">
        <x:v>Blue-barred parrotfish</x:v>
      </x:c>
      <x:c r="G214" s="46" t="str">
        <x:v>Medium reef assoc. fish (30 - 89 cm)</x:v>
      </x:c>
      <x:c r="H214" s="46" t="str">
        <x:v>Perch-likes</x:v>
      </x:c>
      <x:c r="I214" s="60" t="n">
        <x:v>0.0028597056</x:v>
      </x:c>
      <x:c r="J214" s="60" t="n">
        <x:v>0.0028597056</x:v>
      </x:c>
      <x:c r="K214" s="60" t="n">
        <x:v>0</x:v>
      </x:c>
      <x:c r="L214" s="60" t="n">
        <x:v>0</x:v>
      </x:c>
      <x:c r="M214" s="60" t="n">
        <x:v>0.0028597056</x:v>
      </x:c>
      <x:c r="N214" s="46" t="str">
        <x:v>scarus ghobban</x:v>
      </x:c>
      <x:c r="O214" s="62" t="n">
        <x:v>2</x:v>
      </x:c>
      <x:c r="P214" s="46" t="str">
        <x:v>exact_2020_supplement</x:v>
      </x:c>
      <x:c r="Q214" s="62" t="str">
        <x:v>2020 supplement MeanTL</x:v>
      </x:c>
      <x:c r="R214" s="46" t="str">
        <x:v>high</x:v>
      </x:c>
      <x:c r="S214" s="46" t="str">
        <x:v>Scarus ghobban</x:v>
      </x:c>
      <x:c r="T214" s="62" t="n">
        <x:f>IF(O214="","",(1/'Metadata'!$B$5)^(O214-1))</x:f>
        <x:v>20</x:v>
      </x:c>
      <x:c r="U214" s="60" t="n">
        <x:f>IF(T214="","",I214*T214)</x:f>
        <x:v>0.057194112</x:v>
      </x:c>
    </x:row>
    <x:row r="215" ht="18" customHeight="1">
      <x:c r="A215" s="46" t="str">
        <x:v>LME_043</x:v>
      </x:c>
      <x:c r="B215" s="46" t="str">
        <x:v>Southwest Australian Shelf</x:v>
      </x:c>
      <x:c r="C215" s="46" t="str">
        <x:v>LME</x:v>
      </x:c>
      <x:c r="D215" s="58" t="n">
        <x:v>2019</x:v>
      </x:c>
      <x:c r="E215" s="46" t="str">
        <x:v>Decapterus macarellus</x:v>
      </x:c>
      <x:c r="F215" s="46" t="str">
        <x:v>Mackerel scad</x:v>
      </x:c>
      <x:c r="G215" s="46" t="str">
        <x:v>Medium pelagics (30 - 89 cm)</x:v>
      </x:c>
      <x:c r="H215" s="46" t="str">
        <x:v>Perch-likes</x:v>
      </x:c>
      <x:c r="I215" s="60" t="n">
        <x:v>0.0024541369</x:v>
      </x:c>
      <x:c r="J215" s="60" t="n">
        <x:v>0.0024541369</x:v>
      </x:c>
      <x:c r="K215" s="60" t="n">
        <x:v>0</x:v>
      </x:c>
      <x:c r="L215" s="60" t="n">
        <x:v>0</x:v>
      </x:c>
      <x:c r="M215" s="60" t="n">
        <x:v>0.0024541369</x:v>
      </x:c>
      <x:c r="N215" s="46" t="str">
        <x:v>decapterus macarellus</x:v>
      </x:c>
      <x:c r="O215" s="62" t="n">
        <x:v>3.96</x:v>
      </x:c>
      <x:c r="P215" s="46" t="str">
        <x:v>exact_2020_supplement</x:v>
      </x:c>
      <x:c r="Q215" s="62" t="str">
        <x:v>2020 supplement MeanTL</x:v>
      </x:c>
      <x:c r="R215" s="46" t="str">
        <x:v>high</x:v>
      </x:c>
      <x:c r="S215" s="46" t="str">
        <x:v>Decapterus macarellus</x:v>
      </x:c>
      <x:c r="T215" s="62" t="n">
        <x:f>IF(O215="","",(1/'Metadata'!$B$5)^(O215-1))</x:f>
        <x:v>7096.574839945253</x:v>
      </x:c>
      <x:c r="U215" s="60" t="n">
        <x:f>IF(T215="","",I215*T215)</x:f>
        <x:v>17.415966178321238</x:v>
      </x:c>
    </x:row>
    <x:row r="216" ht="18" customHeight="1">
      <x:c r="A216" s="46" t="str">
        <x:v>LME_043</x:v>
      </x:c>
      <x:c r="B216" s="46" t="str">
        <x:v>Southwest Australian Shelf</x:v>
      </x:c>
      <x:c r="C216" s="46" t="str">
        <x:v>LME</x:v>
      </x:c>
      <x:c r="D216" s="58" t="n">
        <x:v>2019</x:v>
      </x:c>
      <x:c r="E216" s="46" t="str">
        <x:v>Ablennes hians</x:v>
      </x:c>
      <x:c r="F216" s="46" t="str">
        <x:v>Flat needlefish</x:v>
      </x:c>
      <x:c r="G216" s="46" t="str">
        <x:v>Large pelagics (&gt;=90 cm)</x:v>
      </x:c>
      <x:c r="H216" s="46" t="str">
        <x:v>Other fishes &amp; inverts</x:v>
      </x:c>
      <x:c r="I216" s="60" t="n">
        <x:v>0.0021484771</x:v>
      </x:c>
      <x:c r="J216" s="60" t="n">
        <x:v>0.0021484771</x:v>
      </x:c>
      <x:c r="K216" s="60" t="n">
        <x:v>0</x:v>
      </x:c>
      <x:c r="L216" s="60" t="n">
        <x:v>0</x:v>
      </x:c>
      <x:c r="M216" s="60" t="n">
        <x:v>0.0021484771</x:v>
      </x:c>
      <x:c r="N216" s="46" t="str">
        <x:v>ablennes hians</x:v>
      </x:c>
      <x:c r="O216" s="62" t="n">
        <x:v>4.5</x:v>
      </x:c>
      <x:c r="P216" s="46" t="str">
        <x:v>exact_2020_supplement</x:v>
      </x:c>
      <x:c r="Q216" s="62" t="str">
        <x:v>2020 supplement MeanTL</x:v>
      </x:c>
      <x:c r="R216" s="46" t="str">
        <x:v>high</x:v>
      </x:c>
      <x:c r="S216" s="46" t="str">
        <x:v>Ablennes hians</x:v>
      </x:c>
      <x:c r="T216" s="62" t="n">
        <x:f>IF(O216="","",(1/'Metadata'!$B$5)^(O216-1))</x:f>
        <x:v>35777.08763999664</x:v>
      </x:c>
      <x:c r="U216" s="60" t="n">
        <x:f>IF(T216="","",I216*T216)</x:f>
        <x:v>76.8662534992258</x:v>
      </x:c>
    </x:row>
    <x:row r="217" ht="18" customHeight="1">
      <x:c r="A217" s="46" t="str">
        <x:v>LME_043</x:v>
      </x:c>
      <x:c r="B217" s="46" t="str">
        <x:v>Southwest Australian Shelf</x:v>
      </x:c>
      <x:c r="C217" s="46" t="str">
        <x:v>LME</x:v>
      </x:c>
      <x:c r="D217" s="58" t="n">
        <x:v>2019</x:v>
      </x:c>
      <x:c r="E217" s="46" t="str">
        <x:v>Echinodermata</x:v>
      </x:c>
      <x:c r="F217" s="46" t="str">
        <x:v>Sea urchins, stars, cucumbers</x:v>
      </x:c>
      <x:c r="G217" s="46" t="str">
        <x:v>Other demersal invertebrates</x:v>
      </x:c>
      <x:c r="H217" s="46" t="str">
        <x:v>Other fishes &amp; inverts</x:v>
      </x:c>
      <x:c r="I217" s="60" t="n">
        <x:v>0.0021312553</x:v>
      </x:c>
      <x:c r="J217" s="60" t="n">
        <x:v>0.0021312553</x:v>
      </x:c>
      <x:c r="K217" s="60" t="n">
        <x:v>0</x:v>
      </x:c>
      <x:c r="L217" s="60" t="n">
        <x:v>0</x:v>
      </x:c>
      <x:c r="M217" s="60" t="n">
        <x:v>0.0021312553</x:v>
      </x:c>
      <x:c r="N217" s="46" t="str">
        <x:v>echinodermata</x:v>
      </x:c>
      <x:c r="O217" s="62" t="n">
        <x:v>2.3</x:v>
      </x:c>
      <x:c r="P217" s="46" t="str">
        <x:v>exact_sea_around_us</x:v>
      </x:c>
      <x:c r="Q217" s="62" t="str">
        <x:v>Sea Around Us exploited organisms</x:v>
      </x:c>
      <x:c r="R217" s="46" t="str">
        <x:v>high</x:v>
      </x:c>
      <x:c r="S217" s="46" t="str">
        <x:v>Echinodermata</x:v>
      </x:c>
      <x:c r="T217" s="62" t="n">
        <x:f>IF(O217="","",(1/'Metadata'!$B$5)^(O217-1))</x:f>
        <x:v>49.12912104463159</x:v>
      </x:c>
      <x:c r="U217" s="60" t="n">
        <x:f>IF(T217="","",I217*T217)</x:f>
        <x:v>0.1047066996107126</x:v>
      </x:c>
    </x:row>
    <x:row r="218" ht="18" customHeight="1">
      <x:c r="A218" s="46" t="str">
        <x:v>LME_043</x:v>
      </x:c>
      <x:c r="B218" s="46" t="str">
        <x:v>Southwest Australian Shelf</x:v>
      </x:c>
      <x:c r="C218" s="46" t="str">
        <x:v>LME</x:v>
      </x:c>
      <x:c r="D218" s="58" t="n">
        <x:v>2019</x:v>
      </x:c>
      <x:c r="E218" s="46" t="str">
        <x:v>Aldrichetta forsteri</x:v>
      </x:c>
      <x:c r="F218" s="46" t="str">
        <x:v>Yellow-eye mullet</x:v>
      </x:c>
      <x:c r="G218" s="46" t="str">
        <x:v>Small pelagics (&lt;30 cm)</x:v>
      </x:c>
      <x:c r="H218" s="46" t="str">
        <x:v>Other fishes &amp; inverts</x:v>
      </x:c>
      <x:c r="I218" s="60" t="n">
        <x:v>0.0020828469</x:v>
      </x:c>
      <x:c r="J218" s="60" t="n">
        <x:v>0.0020828469</x:v>
      </x:c>
      <x:c r="K218" s="60" t="n">
        <x:v>0</x:v>
      </x:c>
      <x:c r="L218" s="60" t="n">
        <x:v>0</x:v>
      </x:c>
      <x:c r="M218" s="60" t="n">
        <x:v>0.0020828469</x:v>
      </x:c>
      <x:c r="N218" s="46" t="str">
        <x:v>aldrichetta forsteri</x:v>
      </x:c>
      <x:c r="O218" s="62" t="n">
        <x:v>2.51</x:v>
      </x:c>
      <x:c r="P218" s="46" t="str">
        <x:v>exact_2020_supplement</x:v>
      </x:c>
      <x:c r="Q218" s="62" t="str">
        <x:v>2020 supplement MeanTL</x:v>
      </x:c>
      <x:c r="R218" s="46" t="str">
        <x:v>high</x:v>
      </x:c>
      <x:c r="S218" s="46" t="str">
        <x:v>Aldrichetta forsteri</x:v>
      </x:c>
      <x:c r="T218" s="62" t="n">
        <x:f>IF(O218="","",(1/'Metadata'!$B$5)^(O218-1))</x:f>
        <x:v>92.16272208892171</x:v>
      </x:c>
      <x:c r="U218" s="60" t="n">
        <x:f>IF(T218="","",I218*T218)</x:f>
        <x:v>0.1919608399984721</x:v>
      </x:c>
    </x:row>
    <x:row r="219" ht="18" customHeight="1">
      <x:c r="A219" s="46" t="str">
        <x:v>LME_043</x:v>
      </x:c>
      <x:c r="B219" s="46" t="str">
        <x:v>Southwest Australian Shelf</x:v>
      </x:c>
      <x:c r="C219" s="46" t="str">
        <x:v>LME</x:v>
      </x:c>
      <x:c r="D219" s="58" t="n">
        <x:v>2019</x:v>
      </x:c>
      <x:c r="E219" s="46" t="str">
        <x:v>Auxis rochei</x:v>
      </x:c>
      <x:c r="F219" s="46" t="str">
        <x:v>Bullet tuna</x:v>
      </x:c>
      <x:c r="G219" s="46" t="str">
        <x:v>Medium pelagics (30 - 89 cm)</x:v>
      </x:c>
      <x:c r="H219" s="46" t="str">
        <x:v>Tuna &amp; billfishes</x:v>
      </x:c>
      <x:c r="I219" s="60" t="n">
        <x:v>0.0020017704</x:v>
      </x:c>
      <x:c r="J219" s="60" t="n">
        <x:v>0.0020017704</x:v>
      </x:c>
      <x:c r="K219" s="60" t="n">
        <x:v>0</x:v>
      </x:c>
      <x:c r="L219" s="60" t="n">
        <x:v>0</x:v>
      </x:c>
      <x:c r="M219" s="60" t="n">
        <x:v>0.0020017704</x:v>
      </x:c>
      <x:c r="N219" s="46" t="str">
        <x:v>auxis rochei</x:v>
      </x:c>
      <x:c r="O219" s="62" t="n">
        <x:v>4.13</x:v>
      </x:c>
      <x:c r="P219" s="46" t="str">
        <x:v>exact_2020_supplement</x:v>
      </x:c>
      <x:c r="Q219" s="62" t="str">
        <x:v>2020 supplement MeanTL</x:v>
      </x:c>
      <x:c r="R219" s="46" t="str">
        <x:v>high</x:v>
      </x:c>
      <x:c r="S219" s="46" t="str">
        <x:v>Auxis rochei</x:v>
      </x:c>
      <x:c r="T219" s="62" t="n">
        <x:f>IF(O219="","",(1/'Metadata'!$B$5)^(O219-1))</x:f>
        <x:v>11809.292685236613</x:v>
      </x:c>
      <x:c r="U219" s="60" t="n">
        <x:f>IF(T219="","",I219*T219)</x:f>
        <x:v>23.63949254224317</x:v>
      </x:c>
    </x:row>
    <x:row r="220" ht="18" customHeight="1">
      <x:c r="A220" s="46" t="str">
        <x:v>LME_043</x:v>
      </x:c>
      <x:c r="B220" s="46" t="str">
        <x:v>Southwest Australian Shelf</x:v>
      </x:c>
      <x:c r="C220" s="46" t="str">
        <x:v>LME</x:v>
      </x:c>
      <x:c r="D220" s="58" t="n">
        <x:v>2019</x:v>
      </x:c>
      <x:c r="E220" s="46" t="str">
        <x:v>Holocentridae</x:v>
      </x:c>
      <x:c r="F220" s="46" t="str">
        <x:v>Squirrel-, soldierfishes</x:v>
      </x:c>
      <x:c r="G220" s="46" t="str">
        <x:v>Small reef assoc. fish (&lt;30 cm)</x:v>
      </x:c>
      <x:c r="H220" s="46" t="str">
        <x:v>Other fishes &amp; inverts</x:v>
      </x:c>
      <x:c r="I220" s="60" t="n">
        <x:v>0.0017330845</x:v>
      </x:c>
      <x:c r="J220" s="60" t="n">
        <x:v>0.0017330845</x:v>
      </x:c>
      <x:c r="K220" s="60" t="n">
        <x:v>0</x:v>
      </x:c>
      <x:c r="L220" s="60" t="n">
        <x:v>0</x:v>
      </x:c>
      <x:c r="M220" s="60" t="n">
        <x:v>0.0017330845</x:v>
      </x:c>
      <x:c r="N220" s="46" t="str">
        <x:v>holocentridae</x:v>
      </x:c>
      <x:c r="O220" s="62" t="n">
        <x:v>3.49</x:v>
      </x:c>
      <x:c r="P220" s="46" t="str">
        <x:v>exact_sea_around_us</x:v>
      </x:c>
      <x:c r="Q220" s="62" t="str">
        <x:v>Sea Around Us exploited organisms</x:v>
      </x:c>
      <x:c r="R220" s="46" t="str">
        <x:v>high</x:v>
      </x:c>
      <x:c r="S220" s="46" t="str">
        <x:v>Holocentridae</x:v>
      </x:c>
      <x:c r="T220" s="62" t="n">
        <x:f>IF(O220="","",(1/'Metadata'!$B$5)^(O220-1))</x:f>
        <x:v>1736.059833884101</x:v>
      </x:c>
      <x:c r="U220" s="60" t="n">
        <x:f>IF(T220="","",I220*T220)</x:f>
        <x:v>3.0087383891771102</x:v>
      </x:c>
    </x:row>
    <x:row r="221" ht="18" customHeight="1">
      <x:c r="A221" s="46" t="str">
        <x:v>LME_043</x:v>
      </x:c>
      <x:c r="B221" s="46" t="str">
        <x:v>Southwest Australian Shelf</x:v>
      </x:c>
      <x:c r="C221" s="46" t="str">
        <x:v>LME</x:v>
      </x:c>
      <x:c r="D221" s="58" t="n">
        <x:v>2019</x:v>
      </x:c>
      <x:c r="E221" s="46" t="str">
        <x:v>Decapterus</x:v>
      </x:c>
      <x:c r="F221" s="46" t="str">
        <x:v>Scads</x:v>
      </x:c>
      <x:c r="G221" s="46" t="str">
        <x:v>Medium pelagics (30 - 89 cm)</x:v>
      </x:c>
      <x:c r="H221" s="46" t="str">
        <x:v>Perch-likes</x:v>
      </x:c>
      <x:c r="I221" s="60" t="n">
        <x:v>0.0017251067</x:v>
      </x:c>
      <x:c r="J221" s="60" t="n">
        <x:v>0.0017251067</x:v>
      </x:c>
      <x:c r="K221" s="60" t="n">
        <x:v>0</x:v>
      </x:c>
      <x:c r="L221" s="60" t="n">
        <x:v>0</x:v>
      </x:c>
      <x:c r="M221" s="60" t="n">
        <x:v>0.0017251067</x:v>
      </x:c>
      <x:c r="N221" s="46" t="str">
        <x:v>decapterus</x:v>
      </x:c>
      <x:c r="O221" s="62" t="n">
        <x:v>3.63</x:v>
      </x:c>
      <x:c r="P221" s="46" t="str">
        <x:v>exact_sea_around_us</x:v>
      </x:c>
      <x:c r="Q221" s="62" t="str">
        <x:v>Sea Around Us exploited organisms</x:v>
      </x:c>
      <x:c r="R221" s="46" t="str">
        <x:v>high</x:v>
      </x:c>
      <x:c r="S221" s="46" t="str">
        <x:v>Decapterus</x:v>
      </x:c>
      <x:c r="T221" s="62" t="n">
        <x:f>IF(O221="","",(1/'Metadata'!$B$5)^(O221-1))</x:f>
        <x:v>2640.638121038009</x:v>
      </x:c>
      <x:c r="U221" s="60" t="n">
        <x:f>IF(T221="","",I221*T221)</x:f>
        <x:v>4.55538251487808</x:v>
      </x:c>
    </x:row>
    <x:row r="222" ht="18" customHeight="1">
      <x:c r="A222" s="46" t="str">
        <x:v>LME_043</x:v>
      </x:c>
      <x:c r="B222" s="46" t="str">
        <x:v>Southwest Australian Shelf</x:v>
      </x:c>
      <x:c r="C222" s="46" t="str">
        <x:v>LME</x:v>
      </x:c>
      <x:c r="D222" s="58" t="n">
        <x:v>2019</x:v>
      </x:c>
      <x:c r="E222" s="46" t="str">
        <x:v>Decapterus muroadsi</x:v>
      </x:c>
      <x:c r="F222" s="46" t="str">
        <x:v>Amberstripe scad</x:v>
      </x:c>
      <x:c r="G222" s="46" t="str">
        <x:v>Medium pelagics (30 - 89 cm)</x:v>
      </x:c>
      <x:c r="H222" s="46" t="str">
        <x:v>Perch-likes</x:v>
      </x:c>
      <x:c r="I222" s="60" t="n">
        <x:v>0.0015931802</x:v>
      </x:c>
      <x:c r="J222" s="60" t="n">
        <x:v>0.0015931802</x:v>
      </x:c>
      <x:c r="K222" s="60" t="n">
        <x:v>0</x:v>
      </x:c>
      <x:c r="L222" s="60" t="n">
        <x:v>0</x:v>
      </x:c>
      <x:c r="M222" s="60" t="n">
        <x:v>0.0015931802</x:v>
      </x:c>
      <x:c r="N222" s="46" t="str">
        <x:v>decapterus muroadsi</x:v>
      </x:c>
      <x:c r="O222" s="62" t="n">
        <x:v>3.4</x:v>
      </x:c>
      <x:c r="P222" s="46" t="str">
        <x:v>exact_2020_supplement</x:v>
      </x:c>
      <x:c r="Q222" s="62" t="str">
        <x:v>2020 supplement MeanTL</x:v>
      </x:c>
      <x:c r="R222" s="46" t="str">
        <x:v>high</x:v>
      </x:c>
      <x:c r="S222" s="46" t="str">
        <x:v>Decapterus muroadsi</x:v>
      </x:c>
      <x:c r="T222" s="62" t="n">
        <x:f>IF(O222="","",(1/'Metadata'!$B$5)^(O222-1))</x:f>
        <x:v>1325.7816069359944</x:v>
      </x:c>
      <x:c r="U222" s="60" t="n">
        <x:f>IF(T222="","",I222*T222)</x:f>
        <x:v>2.1122090056946092</x:v>
      </x:c>
    </x:row>
    <x:row r="223" ht="18" customHeight="1">
      <x:c r="A223" s="46" t="str">
        <x:v>LME_043</x:v>
      </x:c>
      <x:c r="B223" s="46" t="str">
        <x:v>Southwest Australian Shelf</x:v>
      </x:c>
      <x:c r="C223" s="46" t="str">
        <x:v>LME</x:v>
      </x:c>
      <x:c r="D223" s="58" t="n">
        <x:v>2019</x:v>
      </x:c>
      <x:c r="E223" s="46" t="str">
        <x:v>Gerreidae</x:v>
      </x:c>
      <x:c r="F223" s="46" t="str">
        <x:v>Mojarras, silverbellies</x:v>
      </x:c>
      <x:c r="G223" s="46" t="str">
        <x:v>Small benthopelagics (&lt;30 cm)</x:v>
      </x:c>
      <x:c r="H223" s="46" t="str">
        <x:v>Perch-likes</x:v>
      </x:c>
      <x:c r="I223" s="60" t="n">
        <x:v>0.0012382423</x:v>
      </x:c>
      <x:c r="J223" s="60" t="n">
        <x:v>0.0012382423</x:v>
      </x:c>
      <x:c r="K223" s="60" t="n">
        <x:v>0</x:v>
      </x:c>
      <x:c r="L223" s="60" t="n">
        <x:v>0.0012382423</x:v>
      </x:c>
      <x:c r="M223" s="60" t="n">
        <x:v>0</x:v>
      </x:c>
      <x:c r="N223" s="46" t="str">
        <x:v>gerreidae</x:v>
      </x:c>
      <x:c r="O223" s="62" t="n">
        <x:v>3.03</x:v>
      </x:c>
      <x:c r="P223" s="46" t="str">
        <x:v>exact_sea_around_us</x:v>
      </x:c>
      <x:c r="Q223" s="62" t="str">
        <x:v>Sea Around Us exploited organisms</x:v>
      </x:c>
      <x:c r="R223" s="46" t="str">
        <x:v>high</x:v>
      </x:c>
      <x:c r="S223" s="46" t="str">
        <x:v>Gerreidae</x:v>
      </x:c>
      <x:c r="T223" s="62" t="n">
        <x:f>IF(O223="","",(1/'Metadata'!$B$5)^(O223-1))</x:f>
        <x:v>437.6136814307771</x:v>
      </x:c>
      <x:c r="U223" s="60" t="n">
        <x:f>IF(T223="","",I223*T223)</x:f>
        <x:v>0.5418717714063127</x:v>
      </x:c>
    </x:row>
    <x:row r="224" ht="18" customHeight="1">
      <x:c r="A224" s="46" t="str">
        <x:v>LME_043</x:v>
      </x:c>
      <x:c r="B224" s="46" t="str">
        <x:v>Southwest Australian Shelf</x:v>
      </x:c>
      <x:c r="C224" s="46" t="str">
        <x:v>LME</x:v>
      </x:c>
      <x:c r="D224" s="58" t="n">
        <x:v>2019</x:v>
      </x:c>
      <x:c r="E224" s="46" t="str">
        <x:v>Cephalopholis</x:v>
      </x:c>
      <x:c r="F224" s="46" t="str">
        <x:v>Hinds</x:v>
      </x:c>
      <x:c r="G224" s="46" t="str">
        <x:v>Medium reef assoc. fish (30 - 89 cm)</x:v>
      </x:c>
      <x:c r="H224" s="46" t="str">
        <x:v>Perch-likes</x:v>
      </x:c>
      <x:c r="I224" s="60" t="n">
        <x:v>0.0009554828</x:v>
      </x:c>
      <x:c r="J224" s="60" t="n">
        <x:v>0.0009554828</x:v>
      </x:c>
      <x:c r="K224" s="60" t="n">
        <x:v>0</x:v>
      </x:c>
      <x:c r="L224" s="60" t="n">
        <x:v>0</x:v>
      </x:c>
      <x:c r="M224" s="60" t="n">
        <x:v>0.0009554828</x:v>
      </x:c>
      <x:c r="N224" s="46" t="str">
        <x:v>cephalopholis</x:v>
      </x:c>
      <x:c r="O224" s="62" t="n">
        <x:v>4.13</x:v>
      </x:c>
      <x:c r="P224" s="46" t="str">
        <x:v>exact_sea_around_us</x:v>
      </x:c>
      <x:c r="Q224" s="62" t="str">
        <x:v>Sea Around Us exploited organisms</x:v>
      </x:c>
      <x:c r="R224" s="46" t="str">
        <x:v>high</x:v>
      </x:c>
      <x:c r="S224" s="46" t="str">
        <x:v>Cephalopholis</x:v>
      </x:c>
      <x:c r="T224" s="62" t="n">
        <x:f>IF(O224="","",(1/'Metadata'!$B$5)^(O224-1))</x:f>
        <x:v>11809.292685236613</x:v>
      </x:c>
      <x:c r="U224" s="60" t="n">
        <x:f>IF(T224="","",I224*T224)</x:f>
        <x:v>11.283576040909397</x:v>
      </x:c>
    </x:row>
    <x:row r="225" ht="18" customHeight="1">
      <x:c r="A225" s="46" t="str">
        <x:v>LME_043</x:v>
      </x:c>
      <x:c r="B225" s="46" t="str">
        <x:v>Southwest Australian Shelf</x:v>
      </x:c>
      <x:c r="C225" s="46" t="str">
        <x:v>LME</x:v>
      </x:c>
      <x:c r="D225" s="58" t="n">
        <x:v>2019</x:v>
      </x:c>
      <x:c r="E225" s="46" t="str">
        <x:v>Sphyraena barracuda</x:v>
      </x:c>
      <x:c r="F225" s="46" t="str">
        <x:v>Great barracuda</x:v>
      </x:c>
      <x:c r="G225" s="46" t="str">
        <x:v>Large pelagics (&gt;=90 cm)</x:v>
      </x:c>
      <x:c r="H225" s="46" t="str">
        <x:v>Perch-likes</x:v>
      </x:c>
      <x:c r="I225" s="60" t="n">
        <x:v>0.0008372047</x:v>
      </x:c>
      <x:c r="J225" s="60" t="n">
        <x:v>0.0008372047</x:v>
      </x:c>
      <x:c r="K225" s="60" t="n">
        <x:v>0</x:v>
      </x:c>
      <x:c r="L225" s="60" t="n">
        <x:v>0</x:v>
      </x:c>
      <x:c r="M225" s="60" t="n">
        <x:v>0.0008372047</x:v>
      </x:c>
      <x:c r="N225" s="46" t="str">
        <x:v>sphyraena barracuda</x:v>
      </x:c>
      <x:c r="O225" s="62" t="n">
        <x:v>4.49</x:v>
      </x:c>
      <x:c r="P225" s="46" t="str">
        <x:v>exact_2020_supplement</x:v>
      </x:c>
      <x:c r="Q225" s="62" t="str">
        <x:v>2020 supplement MeanTL</x:v>
      </x:c>
      <x:c r="R225" s="46" t="str">
        <x:v>high</x:v>
      </x:c>
      <x:c r="S225" s="46" t="str">
        <x:v>Sphyraena barracuda</x:v>
      </x:c>
      <x:c r="T225" s="62" t="n">
        <x:f>IF(O225="","",(1/'Metadata'!$B$5)^(O225-1))</x:f>
        <x:v>34721.19667768202</x:v>
      </x:c>
      <x:c r="U225" s="60" t="n">
        <x:f>IF(T225="","",I225*T225)</x:f>
        <x:v>29.06874904817977</x:v>
      </x:c>
    </x:row>
    <x:row r="226" ht="18" customHeight="1">
      <x:c r="A226" s="46" t="str">
        <x:v>LME_043</x:v>
      </x:c>
      <x:c r="B226" s="46" t="str">
        <x:v>Southwest Australian Shelf</x:v>
      </x:c>
      <x:c r="C226" s="46" t="str">
        <x:v>LME</x:v>
      </x:c>
      <x:c r="D226" s="58" t="n">
        <x:v>2019</x:v>
      </x:c>
      <x:c r="E226" s="46" t="str">
        <x:v>Tetraodontidae</x:v>
      </x:c>
      <x:c r="F226" s="46" t="str">
        <x:v>Puffers, tobies</x:v>
      </x:c>
      <x:c r="G226" s="46" t="str">
        <x:v>Large reef assoc. fish (&gt;=90 cm)</x:v>
      </x:c>
      <x:c r="H226" s="46" t="str">
        <x:v>Other fishes &amp; inverts</x:v>
      </x:c>
      <x:c r="I226" s="60" t="n">
        <x:v>0.0006057589</x:v>
      </x:c>
      <x:c r="J226" s="60" t="n">
        <x:v>0.0000965616</x:v>
      </x:c>
      <x:c r="K226" s="60" t="n">
        <x:v>0.0005091973</x:v>
      </x:c>
      <x:c r="L226" s="60" t="n">
        <x:v>0</x:v>
      </x:c>
      <x:c r="M226" s="60" t="n">
        <x:v>0.0006057589</x:v>
      </x:c>
      <x:c r="N226" s="46" t="str">
        <x:v>tetraodontidae</x:v>
      </x:c>
      <x:c r="O226" s="62" t="n">
        <x:v>3.5</x:v>
      </x:c>
      <x:c r="P226" s="46" t="str">
        <x:v>exact_sea_around_us</x:v>
      </x:c>
      <x:c r="Q226" s="62" t="str">
        <x:v>Sea Around Us exploited organisms</x:v>
      </x:c>
      <x:c r="R226" s="46" t="str">
        <x:v>high</x:v>
      </x:c>
      <x:c r="S226" s="46" t="str">
        <x:v>Tetraodontidae</x:v>
      </x:c>
      <x:c r="T226" s="62" t="n">
        <x:f>IF(O226="","",(1/'Metadata'!$B$5)^(O226-1))</x:f>
        <x:v>1788.8543819998317</x:v>
      </x:c>
      <x:c r="U226" s="60" t="n">
        <x:f>IF(T226="","",I226*T226)</x:f>
        <x:v>1.0836144627003979</x:v>
      </x:c>
    </x:row>
    <x:row r="227" ht="18" customHeight="1">
      <x:c r="A227" s="46" t="str">
        <x:v>LME_043</x:v>
      </x:c>
      <x:c r="B227" s="46" t="str">
        <x:v>Southwest Australian Shelf</x:v>
      </x:c>
      <x:c r="C227" s="46" t="str">
        <x:v>LME</x:v>
      </x:c>
      <x:c r="D227" s="58" t="n">
        <x:v>2019</x:v>
      </x:c>
      <x:c r="E227" s="46" t="str">
        <x:v>Cephalopholis sonnerati</x:v>
      </x:c>
      <x:c r="F227" s="46" t="str">
        <x:v>Tomato hind</x:v>
      </x:c>
      <x:c r="G227" s="46" t="str">
        <x:v>Medium reef assoc. fish (30 - 89 cm)</x:v>
      </x:c>
      <x:c r="H227" s="46" t="str">
        <x:v>Perch-likes</x:v>
      </x:c>
      <x:c r="I227" s="60" t="n">
        <x:v>0.0004398055</x:v>
      </x:c>
      <x:c r="J227" s="60" t="n">
        <x:v>0.0004398055</x:v>
      </x:c>
      <x:c r="K227" s="60" t="n">
        <x:v>0</x:v>
      </x:c>
      <x:c r="L227" s="60" t="n">
        <x:v>0.00008351450000000001</x:v>
      </x:c>
      <x:c r="M227" s="60" t="n">
        <x:v>0.000356291</x:v>
      </x:c>
      <x:c r="N227" s="46" t="str">
        <x:v>cephalopholis sonnerati</x:v>
      </x:c>
      <x:c r="O227" s="62" t="n">
        <x:v>3.81</x:v>
      </x:c>
      <x:c r="P227" s="46" t="str">
        <x:v>exact_2020_supplement</x:v>
      </x:c>
      <x:c r="Q227" s="62" t="str">
        <x:v>2020 supplement MeanTL</x:v>
      </x:c>
      <x:c r="R227" s="46" t="str">
        <x:v>high</x:v>
      </x:c>
      <x:c r="S227" s="46" t="str">
        <x:v>Cephalopholis sonnerati</x:v>
      </x:c>
      <x:c r="T227" s="62" t="n">
        <x:f>IF(O227="","",(1/'Metadata'!$B$5)^(O227-1))</x:f>
        <x:v>4527.873529309382</x:v>
      </x:c>
      <x:c r="U227" s="60" t="n">
        <x:f>IF(T227="","",I227*T227)</x:f>
        <x:v>1.9913836814946775</x:v>
      </x:c>
    </x:row>
    <x:row r="228" ht="18" customHeight="1">
      <x:c r="A228" s="46" t="str">
        <x:v>LME_043</x:v>
      </x:c>
      <x:c r="B228" s="46" t="str">
        <x:v>Southwest Australian Shelf</x:v>
      </x:c>
      <x:c r="C228" s="46" t="str">
        <x:v>LME</x:v>
      </x:c>
      <x:c r="D228" s="58" t="n">
        <x:v>2019</x:v>
      </x:c>
      <x:c r="E228" s="46" t="str">
        <x:v>Lamniformes</x:v>
      </x:c>
      <x:c r="F228" s="46" t="str">
        <x:v>Mackerel sharks</x:v>
      </x:c>
      <x:c r="G228" s="46" t="str">
        <x:v>Large sharks (&gt;=90 cm)</x:v>
      </x:c>
      <x:c r="H228" s="46" t="str">
        <x:v>Sharks &amp; rays</x:v>
      </x:c>
      <x:c r="I228" s="60" t="n">
        <x:v>0.0003390415</x:v>
      </x:c>
      <x:c r="J228" s="60" t="n">
        <x:v>0.0003390415</x:v>
      </x:c>
      <x:c r="K228" s="60" t="n">
        <x:v>0</x:v>
      </x:c>
      <x:c r="L228" s="60" t="n">
        <x:v>0.0003390415</x:v>
      </x:c>
      <x:c r="M228" s="60" t="n">
        <x:v>0</x:v>
      </x:c>
      <x:c r="N228" s="46" t="str">
        <x:v>lamniformes</x:v>
      </x:c>
      <x:c r="O228" s="62" t="n">
        <x:v>4.34</x:v>
      </x:c>
      <x:c r="P228" s="46" t="str">
        <x:v>exact_sea_around_us</x:v>
      </x:c>
      <x:c r="Q228" s="62" t="str">
        <x:v>Sea Around Us exploited organisms</x:v>
      </x:c>
      <x:c r="R228" s="46" t="str">
        <x:v>high</x:v>
      </x:c>
      <x:c r="S228" s="46" t="str">
        <x:v>Lamniformes</x:v>
      </x:c>
      <x:c r="T228" s="62" t="n">
        <x:f>IF(O228="","",(1/'Metadata'!$B$5)^(O228-1))</x:f>
        <x:v>22153.389612394185</x:v>
      </x:c>
      <x:c r="U228" s="60" t="n">
        <x:f>IF(T228="","",I228*T228)</x:f>
        <x:v>7.510918444270543</x:v>
      </x:c>
    </x:row>
    <x:row r="229" ht="18" customHeight="1">
      <x:c r="A229" s="46" t="str">
        <x:v>LME_043</x:v>
      </x:c>
      <x:c r="B229" s="46" t="str">
        <x:v>Southwest Australian Shelf</x:v>
      </x:c>
      <x:c r="C229" s="46" t="str">
        <x:v>LME</x:v>
      </x:c>
      <x:c r="D229" s="58" t="n">
        <x:v>2019</x:v>
      </x:c>
      <x:c r="E229" s="46" t="str">
        <x:v>Scyris indica</x:v>
      </x:c>
      <x:c r="F229" s="46" t="str">
        <x:v>Indian threadfish</x:v>
      </x:c>
      <x:c r="G229" s="46" t="str">
        <x:v>Large reef assoc. fish (&gt;=90 cm)</x:v>
      </x:c>
      <x:c r="H229" s="46" t="str">
        <x:v>Perch-likes</x:v>
      </x:c>
      <x:c r="I229" s="60" t="n">
        <x:v>0.0003373515</x:v>
      </x:c>
      <x:c r="J229" s="60" t="n">
        <x:v>0.0003373515</x:v>
      </x:c>
      <x:c r="K229" s="60" t="n">
        <x:v>0</x:v>
      </x:c>
      <x:c r="L229" s="60" t="n">
        <x:v>0</x:v>
      </x:c>
      <x:c r="M229" s="60" t="n">
        <x:v>0.0003373515</x:v>
      </x:c>
      <x:c r="N229" s="46" t="str">
        <x:v>scyris indica</x:v>
      </x:c>
      <x:c r="O229" s="62" t="n">
        <x:v>4.09</x:v>
      </x:c>
      <x:c r="P229" s="46" t="str">
        <x:v>exact_sea_around_us</x:v>
      </x:c>
      <x:c r="Q229" s="62" t="str">
        <x:v>Sea Around Us exploited organisms</x:v>
      </x:c>
      <x:c r="R229" s="46" t="str">
        <x:v>high</x:v>
      </x:c>
      <x:c r="S229" s="46" t="str">
        <x:v>Scyris indica</x:v>
      </x:c>
      <x:c r="T229" s="62" t="n">
        <x:f>IF(O229="","",(1/'Metadata'!$B$5)^(O229-1))</x:f>
        <x:v>10475.691168449957</x:v>
      </x:c>
      <x:c r="U229" s="60" t="n">
        <x:f>IF(T229="","",I229*T229)</x:f>
        <x:v>3.533990129213346</x:v>
      </x:c>
    </x:row>
    <x:row r="230" ht="18" customHeight="1">
      <x:c r="A230" s="46" t="str">
        <x:v>LME_043</x:v>
      </x:c>
      <x:c r="B230" s="46" t="str">
        <x:v>Southwest Australian Shelf</x:v>
      </x:c>
      <x:c r="C230" s="46" t="str">
        <x:v>LME</x:v>
      </x:c>
      <x:c r="D230" s="58" t="n">
        <x:v>2019</x:v>
      </x:c>
      <x:c r="E230" s="46" t="str">
        <x:v>Rhombosolea</x:v>
      </x:c>
      <x:c r="F230" s="46" t="str">
        <x:v>Rhombosolid flounders</x:v>
      </x:c>
      <x:c r="G230" s="46" t="str">
        <x:v>Small to medium flatfishes (&lt;90 cm)</x:v>
      </x:c>
      <x:c r="H230" s="46" t="str">
        <x:v>Flatfishes</x:v>
      </x:c>
      <x:c r="I230" s="60" t="n">
        <x:v>0.0002893004</x:v>
      </x:c>
      <x:c r="J230" s="60" t="n">
        <x:v>0.0002893004</x:v>
      </x:c>
      <x:c r="K230" s="60" t="n">
        <x:v>0</x:v>
      </x:c>
      <x:c r="L230" s="60" t="n">
        <x:v>0.0002893004</x:v>
      </x:c>
      <x:c r="M230" s="60" t="n">
        <x:v>0</x:v>
      </x:c>
      <x:c r="N230" s="46" t="str">
        <x:v>rhombosolea</x:v>
      </x:c>
      <x:c r="O230" s="62" t="n">
        <x:v>3.1</x:v>
      </x:c>
      <x:c r="P230" s="46" t="str">
        <x:v>exact_sea_around_us</x:v>
      </x:c>
      <x:c r="Q230" s="62" t="str">
        <x:v>Sea Around Us exploited organisms</x:v>
      </x:c>
      <x:c r="R230" s="46" t="str">
        <x:v>high</x:v>
      </x:c>
      <x:c r="S230" s="46" t="str">
        <x:v>Rhombosolea</x:v>
      </x:c>
      <x:c r="T230" s="62" t="n">
        <x:f>IF(O230="","",(1/'Metadata'!$B$5)^(O230-1))</x:f>
        <x:v>539.7131390694254</x:v>
      </x:c>
      <x:c r="U230" s="60" t="n">
        <x:f>IF(T230="","",I230*T230)</x:f>
        <x:v>0.15613922701804042</x:v>
      </x:c>
    </x:row>
    <x:row r="231" ht="18" customHeight="1">
      <x:c r="A231" s="46" t="str">
        <x:v>LME_043</x:v>
      </x:c>
      <x:c r="B231" s="46" t="str">
        <x:v>Southwest Australian Shelf</x:v>
      </x:c>
      <x:c r="C231" s="46" t="str">
        <x:v>LME</x:v>
      </x:c>
      <x:c r="D231" s="58" t="n">
        <x:v>2019</x:v>
      </x:c>
      <x:c r="E231" s="46" t="str">
        <x:v>Pinctada</x:v>
      </x:c>
      <x:c r="F231" s="46" t="str">
        <x:v>Mother of pearl oysters</x:v>
      </x:c>
      <x:c r="G231" s="46" t="str">
        <x:v>Other demersal invertebrates</x:v>
      </x:c>
      <x:c r="H231" s="46" t="str">
        <x:v>Molluscs</x:v>
      </x:c>
      <x:c r="I231" s="60" t="n">
        <x:v>0.00024402659999999999</x:v>
      </x:c>
      <x:c r="J231" s="60" t="n">
        <x:v>0.00024402659999999999</x:v>
      </x:c>
      <x:c r="K231" s="60" t="n">
        <x:v>0</x:v>
      </x:c>
      <x:c r="L231" s="60" t="n">
        <x:v>0.00024402659999999999</x:v>
      </x:c>
      <x:c r="M231" s="60" t="n">
        <x:v>0</x:v>
      </x:c>
      <x:c r="N231" s="46" t="str">
        <x:v>pinctada</x:v>
      </x:c>
      <x:c r="O231" s="62" t="n">
        <x:v>2.1</x:v>
      </x:c>
      <x:c r="P231" s="46" t="str">
        <x:v>exact_sea_around_us</x:v>
      </x:c>
      <x:c r="Q231" s="62" t="str">
        <x:v>Sea Around Us exploited organisms</x:v>
      </x:c>
      <x:c r="R231" s="46" t="str">
        <x:v>high</x:v>
      </x:c>
      <x:c r="S231" s="46" t="str">
        <x:v>Pinctada</x:v>
      </x:c>
      <x:c r="T231" s="62" t="n">
        <x:f>IF(O231="","",(1/'Metadata'!$B$5)^(O231-1))</x:f>
        <x:v>26.985656953471274</x:v>
      </x:c>
      <x:c r="U231" s="60" t="n">
        <x:f>IF(T231="","",I231*T231)</x:f>
        <x:v>0.006585218115121953</x:v>
      </x:c>
    </x:row>
    <x:row r="232" ht="18" customHeight="1">
      <x:c r="A232" s="46" t="str">
        <x:v>LME_043</x:v>
      </x:c>
      <x:c r="B232" s="46" t="str">
        <x:v>Southwest Australian Shelf</x:v>
      </x:c>
      <x:c r="C232" s="46" t="str">
        <x:v>LME</x:v>
      </x:c>
      <x:c r="D232" s="58" t="n">
        <x:v>2019</x:v>
      </x:c>
      <x:c r="E232" s="46" t="str">
        <x:v>Sphyraena obtusata</x:v>
      </x:c>
      <x:c r="F232" s="46" t="str">
        <x:v>Obtuse barracuda</x:v>
      </x:c>
      <x:c r="G232" s="46" t="str">
        <x:v>Medium reef assoc. fish (30 - 89 cm)</x:v>
      </x:c>
      <x:c r="H232" s="46" t="str">
        <x:v>Perch-likes</x:v>
      </x:c>
      <x:c r="I232" s="60" t="n">
        <x:v>0.0001757142</x:v>
      </x:c>
      <x:c r="J232" s="60" t="n">
        <x:v>0.0001757142</x:v>
      </x:c>
      <x:c r="K232" s="60" t="n">
        <x:v>0</x:v>
      </x:c>
      <x:c r="L232" s="60" t="n">
        <x:v>0</x:v>
      </x:c>
      <x:c r="M232" s="60" t="n">
        <x:v>0.0001757142</x:v>
      </x:c>
      <x:c r="N232" s="46" t="str">
        <x:v>sphyraena obtusata</x:v>
      </x:c>
      <x:c r="O232" s="62" t="n">
        <x:v>4.5</x:v>
      </x:c>
      <x:c r="P232" s="46" t="str">
        <x:v>exact_2020_supplement</x:v>
      </x:c>
      <x:c r="Q232" s="62" t="str">
        <x:v>2020 supplement MeanTL</x:v>
      </x:c>
      <x:c r="R232" s="46" t="str">
        <x:v>high</x:v>
      </x:c>
      <x:c r="S232" s="46" t="str">
        <x:v>Sphyraena obtusata</x:v>
      </x:c>
      <x:c r="T232" s="62" t="n">
        <x:f>IF(O232="","",(1/'Metadata'!$B$5)^(O232-1))</x:f>
        <x:v>35777.08763999664</x:v>
      </x:c>
      <x:c r="U232" s="60" t="n">
        <x:f>IF(T232="","",I232*T232)</x:f>
        <x:v>6.286542332991897</x:v>
      </x:c>
    </x:row>
    <x:row r="233" ht="18" customHeight="1">
      <x:c r="A233" s="46" t="str">
        <x:v>LME_043</x:v>
      </x:c>
      <x:c r="B233" s="46" t="str">
        <x:v>Southwest Australian Shelf</x:v>
      </x:c>
      <x:c r="C233" s="46" t="str">
        <x:v>LME</x:v>
      </x:c>
      <x:c r="D233" s="58" t="n">
        <x:v>2019</x:v>
      </x:c>
      <x:c r="E233" s="46" t="str">
        <x:v>Thunnus</x:v>
      </x:c>
      <x:c r="F233" s="46" t="str">
        <x:v>Tunas</x:v>
      </x:c>
      <x:c r="G233" s="46" t="str">
        <x:v>Large pelagics (&gt;=90 cm)</x:v>
      </x:c>
      <x:c r="H233" s="46" t="str">
        <x:v>Tuna &amp; billfishes</x:v>
      </x:c>
      <x:c r="I233" s="60" t="n">
        <x:v>0.0001530308</x:v>
      </x:c>
      <x:c r="J233" s="60" t="n">
        <x:v>0.0001530308</x:v>
      </x:c>
      <x:c r="K233" s="60" t="n">
        <x:v>0</x:v>
      </x:c>
      <x:c r="L233" s="60" t="n">
        <x:v>0.0001530308</x:v>
      </x:c>
      <x:c r="M233" s="60" t="n">
        <x:v>0</x:v>
      </x:c>
      <x:c r="N233" s="46" t="str">
        <x:v>thunnus</x:v>
      </x:c>
      <x:c r="O233" s="62" t="n">
        <x:v>4.34</x:v>
      </x:c>
      <x:c r="P233" s="46" t="str">
        <x:v>exact_sea_around_us</x:v>
      </x:c>
      <x:c r="Q233" s="62" t="str">
        <x:v>Sea Around Us exploited organisms</x:v>
      </x:c>
      <x:c r="R233" s="46" t="str">
        <x:v>high</x:v>
      </x:c>
      <x:c r="S233" s="46" t="str">
        <x:v>Thunnus</x:v>
      </x:c>
      <x:c r="T233" s="62" t="n">
        <x:f>IF(O233="","",(1/'Metadata'!$B$5)^(O233-1))</x:f>
        <x:v>22153.389612394185</x:v>
      </x:c>
      <x:c r="U233" s="60" t="n">
        <x:f>IF(T233="","",I233*T233)</x:f>
        <x:v>3.3901509350963717</x:v>
      </x:c>
    </x:row>
    <x:row r="234" ht="18" customHeight="1">
      <x:c r="A234" s="46" t="str">
        <x:v>LME_043</x:v>
      </x:c>
      <x:c r="B234" s="46" t="str">
        <x:v>Southwest Australian Shelf</x:v>
      </x:c>
      <x:c r="C234" s="46" t="str">
        <x:v>LME</x:v>
      </x:c>
      <x:c r="D234" s="58" t="n">
        <x:v>2019</x:v>
      </x:c>
      <x:c r="E234" s="46" t="str">
        <x:v>Panulirus</x:v>
      </x:c>
      <x:c r="F234" s="46" t="str">
        <x:v>Spiny lobsters</x:v>
      </x:c>
      <x:c r="G234" s="46" t="str">
        <x:v>Lobsters, crabs</x:v>
      </x:c>
      <x:c r="H234" s="46" t="str">
        <x:v>Crustaceans</x:v>
      </x:c>
      <x:c r="I234" s="60" t="n">
        <x:v>0.0001461546</x:v>
      </x:c>
      <x:c r="J234" s="60" t="n">
        <x:v>0.0001461546</x:v>
      </x:c>
      <x:c r="K234" s="60" t="n">
        <x:v>0</x:v>
      </x:c>
      <x:c r="L234" s="60" t="n">
        <x:v>0</x:v>
      </x:c>
      <x:c r="M234" s="60" t="n">
        <x:v>0.0001461546</x:v>
      </x:c>
      <x:c r="N234" s="46" t="str">
        <x:v>panulirus</x:v>
      </x:c>
      <x:c r="O234" s="62" t="n">
        <x:v>2.6</x:v>
      </x:c>
      <x:c r="P234" s="46" t="str">
        <x:v>exact_sea_around_us</x:v>
      </x:c>
      <x:c r="Q234" s="62" t="str">
        <x:v>Sea Around Us exploited organisms</x:v>
      </x:c>
      <x:c r="R234" s="46" t="str">
        <x:v>high</x:v>
      </x:c>
      <x:c r="S234" s="46" t="str">
        <x:v>Panulirus</x:v>
      </x:c>
      <x:c r="T234" s="62" t="n">
        <x:f>IF(O234="","",(1/'Metadata'!$B$5)^(O234-1))</x:f>
        <x:v>120.6835267309033</x:v>
      </x:c>
      <x:c r="U234" s="60" t="n">
        <x:f>IF(T234="","",I234*T234)</x:f>
        <x:v>0.01763845257594448</x:v>
      </x:c>
    </x:row>
    <x:row r="235" ht="18" customHeight="1">
      <x:c r="A235" s="46" t="str">
        <x:v>LME_043</x:v>
      </x:c>
      <x:c r="B235" s="46" t="str">
        <x:v>Southwest Australian Shelf</x:v>
      </x:c>
      <x:c r="C235" s="46" t="str">
        <x:v>LME</x:v>
      </x:c>
      <x:c r="D235" s="58" t="n">
        <x:v>2019</x:v>
      </x:c>
      <x:c r="E235" s="46" t="str">
        <x:v>Elops hawaiensis</x:v>
      </x:c>
      <x:c r="F235" s="46" t="str">
        <x:v>Hawaiian ladyfish</x:v>
      </x:c>
      <x:c r="G235" s="46" t="str">
        <x:v>Large pelagics (&gt;=90 cm)</x:v>
      </x:c>
      <x:c r="H235" s="46" t="str">
        <x:v>Other fishes &amp; inverts</x:v>
      </x:c>
      <x:c r="I235" s="60" t="n">
        <x:v>0.0000972063</x:v>
      </x:c>
      <x:c r="J235" s="60" t="n">
        <x:v>0.0000972063</x:v>
      </x:c>
      <x:c r="K235" s="60" t="n">
        <x:v>0</x:v>
      </x:c>
      <x:c r="L235" s="60" t="n">
        <x:v>0</x:v>
      </x:c>
      <x:c r="M235" s="60" t="n">
        <x:v>0.0000972063</x:v>
      </x:c>
      <x:c r="N235" s="46" t="str">
        <x:v>elops hawaiensis</x:v>
      </x:c>
      <x:c r="O235" s="62" t="n">
        <x:v>4.03</x:v>
      </x:c>
      <x:c r="P235" s="46" t="str">
        <x:v>exact_2020_supplement</x:v>
      </x:c>
      <x:c r="Q235" s="62" t="str">
        <x:v>2020 supplement MeanTL</x:v>
      </x:c>
      <x:c r="R235" s="46" t="str">
        <x:v>high</x:v>
      </x:c>
      <x:c r="S235" s="46" t="str">
        <x:v>Elops hawaiensis</x:v>
      </x:c>
      <x:c r="T235" s="62" t="n">
        <x:f>IF(O235="","",(1/'Metadata'!$B$5)^(O235-1))</x:f>
        <x:v>8752.273628615554</x:v>
      </x:c>
      <x:c r="U235" s="60" t="n">
        <x:f>IF(T235="","",I235*T235)</x:f>
        <x:v>0.8507761360252921</x:v>
      </x:c>
    </x:row>
    <x:row r="236" ht="18" customHeight="1">
      <x:c r="A236" s="46" t="str">
        <x:v>LME_043</x:v>
      </x:c>
      <x:c r="B236" s="46" t="str">
        <x:v>Southwest Australian Shelf</x:v>
      </x:c>
      <x:c r="C236" s="46" t="str">
        <x:v>LME</x:v>
      </x:c>
      <x:c r="D236" s="58" t="n">
        <x:v>2019</x:v>
      </x:c>
      <x:c r="E236" s="46" t="str">
        <x:v>Gephyroberyx darwinii</x:v>
      </x:c>
      <x:c r="F236" s="46" t="str">
        <x:v>Darwin's slimehead</x:v>
      </x:c>
      <x:c r="G236" s="46" t="str">
        <x:v>Medium benthopelagics (30 - 89 cm)</x:v>
      </x:c>
      <x:c r="H236" s="46" t="str">
        <x:v>Other fishes &amp; inverts</x:v>
      </x:c>
      <x:c r="I236" s="60" t="n">
        <x:v>0.0000486059</x:v>
      </x:c>
      <x:c r="J236" s="60" t="n">
        <x:v>0.0000486059</x:v>
      </x:c>
      <x:c r="K236" s="60" t="n">
        <x:v>0</x:v>
      </x:c>
      <x:c r="L236" s="60" t="n">
        <x:v>0.0000486059</x:v>
      </x:c>
      <x:c r="M236" s="60" t="n">
        <x:v>0</x:v>
      </x:c>
      <x:c r="N236" s="46" t="str">
        <x:v>gephyroberyx darwinii</x:v>
      </x:c>
      <x:c r="O236" s="62" t="n">
        <x:v>3.94</x:v>
      </x:c>
      <x:c r="P236" s="46" t="str">
        <x:v>exact_2020_supplement</x:v>
      </x:c>
      <x:c r="Q236" s="62" t="str">
        <x:v>2020 supplement MeanTL</x:v>
      </x:c>
      <x:c r="R236" s="46" t="str">
        <x:v>high</x:v>
      </x:c>
      <x:c r="S236" s="46" t="str">
        <x:v>Gephyroberyx darwinii</x:v>
      </x:c>
      <x:c r="T236" s="62" t="n">
        <x:f>IF(O236="","",(1/'Metadata'!$B$5)^(O236-1))</x:f>
        <x:v>6683.872968668722</x:v>
      </x:c>
      <x:c r="U236" s="60" t="n">
        <x:f>IF(T236="","",I236*T236)</x:f>
        <x:v>0.3248756611278151</x:v>
      </x:c>
    </x:row>
    <x:row r="237" ht="18" customHeight="1">
      <x:c r="A237" s="46" t="str">
        <x:v>LME_043</x:v>
      </x:c>
      <x:c r="B237" s="46" t="str">
        <x:v>Southwest Australian Shelf</x:v>
      </x:c>
      <x:c r="C237" s="46" t="str">
        <x:v>LME</x:v>
      </x:c>
      <x:c r="D237" s="58" t="n">
        <x:v>2019</x:v>
      </x:c>
      <x:c r="E237" s="46" t="str">
        <x:v>Sargocentron</x:v>
      </x:c>
      <x:c r="F237" s="46" t="str">
        <x:v>Squirrelfishes</x:v>
      </x:c>
      <x:c r="G237" s="46" t="str">
        <x:v>Small reef assoc. fish (&lt;30 cm)</x:v>
      </x:c>
      <x:c r="H237" s="46" t="str">
        <x:v>Other fishes &amp; inverts</x:v>
      </x:c>
      <x:c r="I237" s="60" t="n">
        <x:v>0.0000460548</x:v>
      </x:c>
      <x:c r="J237" s="60" t="n">
        <x:v>0.0000460548</x:v>
      </x:c>
      <x:c r="K237" s="60" t="n">
        <x:v>0</x:v>
      </x:c>
      <x:c r="L237" s="60" t="n">
        <x:v>0</x:v>
      </x:c>
      <x:c r="M237" s="60" t="n">
        <x:v>0.0000460548</x:v>
      </x:c>
      <x:c r="N237" s="46" t="str">
        <x:v>sargocentron</x:v>
      </x:c>
      <x:c r="O237" s="62" t="n">
        <x:v>3.49</x:v>
      </x:c>
      <x:c r="P237" s="46" t="str">
        <x:v>exact_sea_around_us</x:v>
      </x:c>
      <x:c r="Q237" s="62" t="str">
        <x:v>Sea Around Us exploited organisms</x:v>
      </x:c>
      <x:c r="R237" s="46" t="str">
        <x:v>high</x:v>
      </x:c>
      <x:c r="S237" s="46" t="str">
        <x:v>Sargocentron</x:v>
      </x:c>
      <x:c r="T237" s="62" t="n">
        <x:f>IF(O237="","",(1/'Metadata'!$B$5)^(O237-1))</x:f>
        <x:v>1736.059833884101</x:v>
      </x:c>
      <x:c r="U237" s="60" t="n">
        <x:f>IF(T237="","",I237*T237)</x:f>
        <x:v>0.07995388843756548</x:v>
      </x:c>
    </x:row>
    <x:row r="238" ht="18" customHeight="1">
      <x:c r="A238" s="46" t="str">
        <x:v>LME_043</x:v>
      </x:c>
      <x:c r="B238" s="46" t="str">
        <x:v>Southwest Australian Shelf</x:v>
      </x:c>
      <x:c r="C238" s="46" t="str">
        <x:v>LME</x:v>
      </x:c>
      <x:c r="D238" s="58" t="n">
        <x:v>2019</x:v>
      </x:c>
      <x:c r="E238" s="46" t="str">
        <x:v>Echeneidae</x:v>
      </x:c>
      <x:c r="F238" s="46" t="str">
        <x:v>Remoras</x:v>
      </x:c>
      <x:c r="G238" s="46" t="str">
        <x:v>Large pelagics (&gt;=90 cm)</x:v>
      </x:c>
      <x:c r="H238" s="46" t="str">
        <x:v>Perch-likes</x:v>
      </x:c>
      <x:c r="I238" s="60" t="n">
        <x:v>0.0000338112</x:v>
      </x:c>
      <x:c r="J238" s="60" t="n">
        <x:v>0.0000338112</x:v>
      </x:c>
      <x:c r="K238" s="60" t="n">
        <x:v>0</x:v>
      </x:c>
      <x:c r="L238" s="60" t="n">
        <x:v>0</x:v>
      </x:c>
      <x:c r="M238" s="60" t="n">
        <x:v>0.0000338112</x:v>
      </x:c>
      <x:c r="N238" s="46" t="str">
        <x:v>echeneidae</x:v>
      </x:c>
      <x:c r="O238" s="62" t="n">
        <x:v>3.22</x:v>
      </x:c>
      <x:c r="P238" s="46" t="str">
        <x:v>exact_sea_around_us</x:v>
      </x:c>
      <x:c r="Q238" s="62" t="str">
        <x:v>Sea Around Us exploited organisms</x:v>
      </x:c>
      <x:c r="R238" s="46" t="str">
        <x:v>high</x:v>
      </x:c>
      <x:c r="S238" s="46" t="str">
        <x:v>Echeneidae</x:v>
      </x:c>
      <x:c r="T238" s="62" t="n">
        <x:f>IF(O238="","",(1/'Metadata'!$B$5)^(O238-1))</x:f>
        <x:v>773.1906443023378</x:v>
      </x:c>
      <x:c r="U238" s="60" t="n">
        <x:f>IF(T238="","",I238*T238)</x:f>
        <x:v>0.026142503512635203</x:v>
      </x:c>
    </x:row>
    <x:row r="239" ht="18" customHeight="1">
      <x:c r="A239" s="46" t="str">
        <x:v>LME_043</x:v>
      </x:c>
      <x:c r="B239" s="46" t="str">
        <x:v>Southwest Australian Shelf</x:v>
      </x:c>
      <x:c r="C239" s="46" t="str">
        <x:v>LME</x:v>
      </x:c>
      <x:c r="D239" s="58" t="n">
        <x:v>2019</x:v>
      </x:c>
      <x:c r="E239" s="46" t="str">
        <x:v>Sillago sihama</x:v>
      </x:c>
      <x:c r="F239" s="46" t="str">
        <x:v>Silver sillago</x:v>
      </x:c>
      <x:c r="G239" s="46" t="str">
        <x:v>Medium demersals (30 - 89 cm)</x:v>
      </x:c>
      <x:c r="H239" s="46" t="str">
        <x:v>Perch-likes</x:v>
      </x:c>
      <x:c r="I239" s="60" t="n">
        <x:v>0.0000208407</x:v>
      </x:c>
      <x:c r="J239" s="60" t="n">
        <x:v>0.0000208407</x:v>
      </x:c>
      <x:c r="K239" s="60" t="n">
        <x:v>0</x:v>
      </x:c>
      <x:c r="L239" s="60" t="n">
        <x:v>0</x:v>
      </x:c>
      <x:c r="M239" s="60" t="n">
        <x:v>0.0000208407</x:v>
      </x:c>
      <x:c r="N239" s="46" t="str">
        <x:v>sillago sihama</x:v>
      </x:c>
      <x:c r="O239" s="62" t="n">
        <x:v>3.33</x:v>
      </x:c>
      <x:c r="P239" s="46" t="str">
        <x:v>exact_2020_supplement</x:v>
      </x:c>
      <x:c r="Q239" s="62" t="str">
        <x:v>2020 supplement MeanTL</x:v>
      </x:c>
      <x:c r="R239" s="46" t="str">
        <x:v>high</x:v>
      </x:c>
      <x:c r="S239" s="46" t="str">
        <x:v>Sillago sihama</x:v>
      </x:c>
      <x:c r="T239" s="62" t="n">
        <x:f>IF(O239="","",(1/'Metadata'!$B$5)^(O239-1))</x:f>
        <x:v>1074.9787762899762</x:v>
      </x:c>
      <x:c r="U239" s="60" t="n">
        <x:f>IF(T239="","",I239*T239)</x:f>
        <x:v>0.022403310183026506</x:v>
      </x:c>
    </x:row>
    <x:row r="240" ht="18" customHeight="1">
      <x:c r="A240" s="46" t="str">
        <x:v>LME_043</x:v>
      </x:c>
      <x:c r="B240" s="46" t="str">
        <x:v>Southwest Australian Shelf</x:v>
      </x:c>
      <x:c r="C240" s="46" t="str">
        <x:v>LME</x:v>
      </x:c>
      <x:c r="D240" s="58" t="n">
        <x:v>2019</x:v>
      </x:c>
      <x:c r="E240" s="46" t="str">
        <x:v>Lutjanus kasmira</x:v>
      </x:c>
      <x:c r="F240" s="46" t="str">
        <x:v>Common bluestripe snapper</x:v>
      </x:c>
      <x:c r="G240" s="46" t="str">
        <x:v>Medium reef assoc. fish (30 - 89 cm)</x:v>
      </x:c>
      <x:c r="H240" s="46" t="str">
        <x:v>Perch-likes</x:v>
      </x:c>
      <x:c r="I240" s="60" t="n">
        <x:v>0.0000041614</x:v>
      </x:c>
      <x:c r="J240" s="60" t="n">
        <x:v>0.0000041614</x:v>
      </x:c>
      <x:c r="K240" s="60" t="n">
        <x:v>0</x:v>
      </x:c>
      <x:c r="L240" s="60" t="n">
        <x:v>0</x:v>
      </x:c>
      <x:c r="M240" s="60" t="n">
        <x:v>0.0000041614</x:v>
      </x:c>
      <x:c r="N240" s="46" t="str">
        <x:v>lutjanus kasmira</x:v>
      </x:c>
      <x:c r="O240" s="62" t="n">
        <x:v>3.87</x:v>
      </x:c>
      <x:c r="P240" s="46" t="str">
        <x:v>exact_2020_supplement</x:v>
      </x:c>
      <x:c r="Q240" s="62" t="str">
        <x:v>2020 supplement MeanTL</x:v>
      </x:c>
      <x:c r="R240" s="46" t="str">
        <x:v>high</x:v>
      </x:c>
      <x:c r="S240" s="46" t="str">
        <x:v>Lutjanus kasmira</x:v>
      </x:c>
      <x:c r="T240" s="62" t="n">
        <x:f>IF(O240="","",(1/'Metadata'!$B$5)^(O240-1))</x:f>
        <x:v>5419.460903023396</x:v>
      </x:c>
      <x:c r="U240" s="60" t="n">
        <x:f>IF(T240="","",I240*T240)</x:f>
        <x:v>0.022552544601841557</x:v>
      </x:c>
    </x:row>
    <x:row r="241" ht="18" customHeight="1">
      <x:c r="A241" s="46" t="str">
        <x:v>LME_043</x:v>
      </x:c>
      <x:c r="B241" s="46" t="str">
        <x:v>Southwest Australian Shelf</x:v>
      </x:c>
      <x:c r="C241" s="46" t="str">
        <x:v>LME</x:v>
      </x:c>
      <x:c r="D241" s="58" t="n">
        <x:v>2019</x:v>
      </x:c>
      <x:c r="E241" s="46" t="str">
        <x:v>Sardinella lemuru</x:v>
      </x:c>
      <x:c r="F241" s="46" t="str">
        <x:v>Bali sardinella</x:v>
      </x:c>
      <x:c r="G241" s="46" t="str">
        <x:v>Small pelagics (&lt;30 cm)</x:v>
      </x:c>
      <x:c r="H241" s="46" t="str">
        <x:v>Herring-likes</x:v>
      </x:c>
      <x:c r="I241" s="60" t="n">
        <x:v>0.000003974100000000001</x:v>
      </x:c>
      <x:c r="J241" s="60" t="n">
        <x:v>0.000003974100000000001</x:v>
      </x:c>
      <x:c r="K241" s="60" t="n">
        <x:v>0</x:v>
      </x:c>
      <x:c r="L241" s="60" t="n">
        <x:v>0.000003974100000000001</x:v>
      </x:c>
      <x:c r="M241" s="60" t="n">
        <x:v>0</x:v>
      </x:c>
      <x:c r="N241" s="46" t="str">
        <x:v>sardinella lemuru</x:v>
      </x:c>
      <x:c r="O241" s="62" t="n">
        <x:v>2.48</x:v>
      </x:c>
      <x:c r="P241" s="46" t="str">
        <x:v>exact_2020_supplement</x:v>
      </x:c>
      <x:c r="Q241" s="62" t="str">
        <x:v>2020 supplement MeanTL</x:v>
      </x:c>
      <x:c r="R241" s="46" t="str">
        <x:v>high</x:v>
      </x:c>
      <x:c r="S241" s="46" t="str">
        <x:v>Sardinella lemuru</x:v>
      </x:c>
      <x:c r="T241" s="62" t="n">
        <x:f>IF(O241="","",(1/'Metadata'!$B$5)^(O241-1))</x:f>
        <x:v>84.24117069429444</x:v>
      </x:c>
      <x:c r="U241" s="60" t="n">
        <x:f>IF(T241="","",I241*T241)</x:f>
        <x:v>0.0003347828364561956</x:v>
      </x:c>
    </x:row>
    <x:row r="242" ht="18" customHeight="1">
      <x:c r="A242" s="46" t="str">
        <x:v>LME_043</x:v>
      </x:c>
      <x:c r="B242" s="46" t="str">
        <x:v>Southwest Australian Shelf</x:v>
      </x:c>
      <x:c r="C242" s="46" t="str">
        <x:v>LME</x:v>
      </x:c>
      <x:c r="D242" s="58" t="n">
        <x:v>2019</x:v>
      </x:c>
      <x:c r="E242" s="46" t="str">
        <x:v>Centrophorus granulosus</x:v>
      </x:c>
      <x:c r="F242" s="46" t="str">
        <x:v>Gulper shark</x:v>
      </x:c>
      <x:c r="G242" s="46" t="str">
        <x:v>Large sharks (&gt;=90 cm)</x:v>
      </x:c>
      <x:c r="H242" s="46" t="str">
        <x:v>Sharks &amp; rays</x:v>
      </x:c>
      <x:c r="I242" s="60" t="n">
        <x:v>0.0000031927999999999997</x:v>
      </x:c>
      <x:c r="J242" s="60" t="n">
        <x:v>0.0000031927999999999997</x:v>
      </x:c>
      <x:c r="K242" s="60" t="n">
        <x:v>0</x:v>
      </x:c>
      <x:c r="L242" s="60" t="n">
        <x:v>0.0000031927999999999997</x:v>
      </x:c>
      <x:c r="M242" s="60" t="n">
        <x:v>0</x:v>
      </x:c>
      <x:c r="N242" s="46" t="str">
        <x:v>centrophorus granulosus</x:v>
      </x:c>
      <x:c r="O242" s="62" t="n">
        <x:v>4.11</x:v>
      </x:c>
      <x:c r="P242" s="46" t="str">
        <x:v>exact_2020_supplement</x:v>
      </x:c>
      <x:c r="Q242" s="62" t="str">
        <x:v>2020 supplement MeanTL</x:v>
      </x:c>
      <x:c r="R242" s="46" t="str">
        <x:v>high</x:v>
      </x:c>
      <x:c r="S242" s="46" t="str">
        <x:v>Centrophorus granulosus</x:v>
      </x:c>
      <x:c r="T242" s="62" t="n">
        <x:f>IF(O242="","",(1/'Metadata'!$B$5)^(O242-1))</x:f>
        <x:v>11122.52233481121</x:v>
      </x:c>
      <x:c r="U242" s="60" t="n">
        <x:f>IF(T242="","",I242*T242)</x:f>
        <x:v>0.03551198931058523</x:v>
      </x:c>
    </x:row>
    <x:row r="243" ht="18" customHeight="1">
      <x:c r="A243" s="46" t="str">
        <x:v>LME_043</x:v>
      </x:c>
      <x:c r="B243" s="46" t="str">
        <x:v>Southwest Australian Shelf</x:v>
      </x:c>
      <x:c r="C243" s="46" t="str">
        <x:v>LME</x:v>
      </x:c>
      <x:c r="D243" s="58" t="n">
        <x:v>2019</x:v>
      </x:c>
      <x:c r="E243" s="46" t="str">
        <x:v>Lutjanus fulvus</x:v>
      </x:c>
      <x:c r="F243" s="46" t="str">
        <x:v>Blacktail snapper</x:v>
      </x:c>
      <x:c r="G243" s="46" t="str">
        <x:v>Medium reef assoc. fish (30 - 89 cm)</x:v>
      </x:c>
      <x:c r="H243" s="46" t="str">
        <x:v>Perch-likes</x:v>
      </x:c>
      <x:c r="I243" s="60" t="n">
        <x:v>0.0000023013</x:v>
      </x:c>
      <x:c r="J243" s="60" t="n">
        <x:v>0.0000023013</x:v>
      </x:c>
      <x:c r="K243" s="60" t="n">
        <x:v>0</x:v>
      </x:c>
      <x:c r="L243" s="60" t="n">
        <x:v>0</x:v>
      </x:c>
      <x:c r="M243" s="60" t="n">
        <x:v>0.0000023013</x:v>
      </x:c>
      <x:c r="N243" s="46" t="str">
        <x:v>lutjanus fulvus</x:v>
      </x:c>
      <x:c r="O243" s="62" t="n">
        <x:v>3.61</x:v>
      </x:c>
      <x:c r="P243" s="46" t="str">
        <x:v>exact_2020_supplement</x:v>
      </x:c>
      <x:c r="Q243" s="62" t="str">
        <x:v>2020 supplement MeanTL</x:v>
      </x:c>
      <x:c r="R243" s="46" t="str">
        <x:v>high</x:v>
      </x:c>
      <x:c r="S243" s="46" t="str">
        <x:v>Lutjanus fulvus</x:v>
      </x:c>
      <x:c r="T243" s="62" t="n">
        <x:f>IF(O243="","",(1/'Metadata'!$B$5)^(O243-1))</x:f>
        <x:v>2487.0716021897506</x:v>
      </x:c>
      <x:c r="U243" s="60" t="n">
        <x:f>IF(T243="","",I243*T243)</x:f>
        <x:v>0.005723497878119273</x:v>
      </x:c>
    </x:row>
    <x:row r="244" ht="18" customHeight="1">
      <x:c r="A244" s="46" t="str">
        <x:v>LME_043</x:v>
      </x:c>
      <x:c r="B244" s="46" t="str">
        <x:v>Southwest Australian Shelf</x:v>
      </x:c>
      <x:c r="C244" s="46" t="str">
        <x:v>LME</x:v>
      </x:c>
      <x:c r="D244" s="58" t="n">
        <x:v>2019</x:v>
      </x:c>
      <x:c r="E244" s="46" t="str">
        <x:v>Acanthurus</x:v>
      </x:c>
      <x:c r="F244" s="46" t="str">
        <x:v>Surgeonfishes</x:v>
      </x:c>
      <x:c r="G244" s="46" t="str">
        <x:v>Small reef assoc. fish (&lt;30 cm)</x:v>
      </x:c>
      <x:c r="H244" s="46" t="str">
        <x:v>Perch-likes</x:v>
      </x:c>
      <x:c r="I244" s="60" t="n">
        <x:v>0.0000013076</x:v>
      </x:c>
      <x:c r="J244" s="60" t="n">
        <x:v>0.0000013076</x:v>
      </x:c>
      <x:c r="K244" s="60" t="n">
        <x:v>0</x:v>
      </x:c>
      <x:c r="L244" s="60" t="n">
        <x:v>0</x:v>
      </x:c>
      <x:c r="M244" s="60" t="n">
        <x:v>0.0000013076</x:v>
      </x:c>
      <x:c r="N244" s="46" t="str">
        <x:v>acanthurus</x:v>
      </x:c>
      <x:c r="O244" s="62" t="n">
        <x:v>2.03</x:v>
      </x:c>
      <x:c r="P244" s="46" t="str">
        <x:v>exact_sea_around_us</x:v>
      </x:c>
      <x:c r="Q244" s="62" t="str">
        <x:v>Sea Around Us exploited organisms</x:v>
      </x:c>
      <x:c r="R244" s="46" t="str">
        <x:v>high</x:v>
      </x:c>
      <x:c r="S244" s="46" t="str">
        <x:v>Acanthurus</x:v>
      </x:c>
      <x:c r="T244" s="62" t="n">
        <x:f>IF(O244="","",(1/'Metadata'!$B$5)^(O244-1))</x:f>
        <x:v>21.880684071538855</x:v>
      </x:c>
      <x:c r="U244" s="60" t="n">
        <x:f>IF(T244="","",I244*T244)</x:f>
        <x:v>0.000028611182491944205</x:v>
      </x:c>
    </x:row>
    <x:row r="245" ht="18" customHeight="1">
      <x:c r="A245" s="46" t="str">
        <x:v>LME_043</x:v>
      </x:c>
      <x:c r="B245" s="46" t="str">
        <x:v>Southwest Australian Shelf</x:v>
      </x:c>
      <x:c r="C245" s="46" t="str">
        <x:v>LME</x:v>
      </x:c>
      <x:c r="D245" s="58" t="n">
        <x:v>2019</x:v>
      </x:c>
      <x:c r="E245" s="46" t="str">
        <x:v>Terapon theraps</x:v>
      </x:c>
      <x:c r="F245" s="46" t="str">
        <x:v>Largescaled terapon</x:v>
      </x:c>
      <x:c r="G245" s="46" t="str">
        <x:v>Small pelagics (&lt;30 cm)</x:v>
      </x:c>
      <x:c r="H245" s="46" t="str">
        <x:v>Perch-likes</x:v>
      </x:c>
      <x:c r="I245" s="60" t="n">
        <x:v>7.311e-7</x:v>
      </x:c>
      <x:c r="J245" s="60" t="n">
        <x:v>7.311e-7</x:v>
      </x:c>
      <x:c r="K245" s="60" t="n">
        <x:v>0</x:v>
      </x:c>
      <x:c r="L245" s="60" t="n">
        <x:v>0</x:v>
      </x:c>
      <x:c r="M245" s="60" t="n">
        <x:v>7.311e-7</x:v>
      </x:c>
      <x:c r="N245" s="46" t="str">
        <x:v>terapon theraps</x:v>
      </x:c>
      <x:c r="O245" s="62" t="n">
        <x:v>3.49</x:v>
      </x:c>
      <x:c r="P245" s="46" t="str">
        <x:v>exact_2020_supplement</x:v>
      </x:c>
      <x:c r="Q245" s="62" t="str">
        <x:v>2020 supplement MeanTL</x:v>
      </x:c>
      <x:c r="R245" s="46" t="str">
        <x:v>high</x:v>
      </x:c>
      <x:c r="S245" s="46" t="str">
        <x:v>Terapon theraps</x:v>
      </x:c>
      <x:c r="T245" s="62" t="n">
        <x:f>IF(O245="","",(1/'Metadata'!$B$5)^(O245-1))</x:f>
        <x:v>1736.059833884101</x:v>
      </x:c>
      <x:c r="U245" s="60" t="n">
        <x:f>IF(T245="","",I245*T245)</x:f>
        <x:v>0.0012692333445526662</x:v>
      </x:c>
    </x:row>
    <x:row r="246" ht="18" customHeight="1">
      <x:c r="A246" s="46" t="str">
        <x:v>LME_043</x:v>
      </x:c>
      <x:c r="B246" s="46" t="str">
        <x:v>Southwest Australian Shelf</x:v>
      </x:c>
      <x:c r="C246" s="46" t="str">
        <x:v>LME</x:v>
      </x:c>
      <x:c r="D246" s="58" t="n">
        <x:v>2019</x:v>
      </x:c>
      <x:c r="E246" s="46" t="str">
        <x:v>Scarus</x:v>
      </x:c>
      <x:c r="F246" s="46" t="str">
        <x:v>Parrots</x:v>
      </x:c>
      <x:c r="G246" s="46" t="str">
        <x:v>Medium reef assoc. fish (30 - 89 cm)</x:v>
      </x:c>
      <x:c r="H246" s="46" t="str">
        <x:v>Perch-likes</x:v>
      </x:c>
      <x:c r="I246" s="60" t="n">
        <x:v>6.8e-9</x:v>
      </x:c>
      <x:c r="J246" s="60" t="n">
        <x:v>6.8e-9</x:v>
      </x:c>
      <x:c r="K246" s="60" t="n">
        <x:v>0</x:v>
      </x:c>
      <x:c r="L246" s="60" t="n">
        <x:v>0</x:v>
      </x:c>
      <x:c r="M246" s="60" t="n">
        <x:v>6.8e-9</x:v>
      </x:c>
      <x:c r="N246" s="46" t="str">
        <x:v>scarus</x:v>
      </x:c>
      <x:c r="O246" s="62" t="n">
        <x:v>2</x:v>
      </x:c>
      <x:c r="P246" s="46" t="str">
        <x:v>exact_sea_around_us</x:v>
      </x:c>
      <x:c r="Q246" s="62" t="str">
        <x:v>Sea Around Us exploited organisms</x:v>
      </x:c>
      <x:c r="R246" s="46" t="str">
        <x:v>high</x:v>
      </x:c>
      <x:c r="S246" s="46" t="str">
        <x:v>Scarus</x:v>
      </x:c>
      <x:c r="T246" s="62" t="n">
        <x:f>IF(O246="","",(1/'Metadata'!$B$5)^(O246-1))</x:f>
        <x:v>20</x:v>
      </x:c>
      <x:c r="U246" s="60" t="n">
        <x:f>IF(T246="","",I246*T246)</x:f>
        <x:v>1.36e-7</x:v>
      </x:c>
    </x:row>
  </x:sheetData>
  <x:conditionalFormatting sqref="R2:R24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6d77b2d08f474ac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1</x:v>
      </x:c>
      <x:c r="C2" s="64" t="n">
        <x:v>1</x:v>
      </x:c>
      <x:c r="D2" s="60" t="n">
        <x:v>18.3246204329</x:v>
      </x:c>
      <x:c r="E2" s="60" t="n">
        <x:v>18.3246204329</x:v>
      </x:c>
      <x:c r="F2" s="62" t="n">
        <x:v>0</x:v>
      </x:c>
      <x:c r="G2" s="66" t="n">
        <x:v>1</x:v>
      </x:c>
      <x:c r="H2" s="62" t="n">
        <x:f>IF(E2=0,"",I2/E2)</x:f>
        <x:v>728.2256812104325</x:v>
      </x:c>
      <x:c r="I2" s="60" t="n">
        <x:f>SUMIF('Species'!$H$2:$H$246,A2,'Species'!$U$2:$U$246)</x:f>
        <x:v>13344.459197671214</x:v>
      </x:c>
      <x:c r="J2" s="62" t="n">
        <x:v>3.2</x:v>
      </x:c>
      <x:c r="K2" s="62" t="n">
        <x:f>IF(J2="","",(1/'Metadata'!$B$5)^(J2-1))</x:f>
        <x:v>728.2256812104325</x:v>
      </x:c>
      <x:c r="L2" s="60" t="n">
        <x:f>IF(E2=0,"",E2*K2)</x:f>
        <x:v>13344.459197671214</x:v>
      </x:c>
      <x:c r="M2" s="60" t="n">
        <x:f>I2-L2</x:f>
        <x:v>0</x:v>
      </x:c>
      <x:c r="N2" s="62" t="n">
        <x:f>IF(L2=0,"",I2/L2)</x:f>
        <x:v>1</x:v>
      </x:c>
      <x:c r="O2" s="66" t="n">
        <x:f>IF(L2=0,"",M2/L2)</x:f>
        <x:v>0</x:v>
      </x:c>
    </x:row>
    <x:row r="3" ht="18" customHeight="1">
      <x:c r="A3" s="46" t="str">
        <x:v>Cod-likes</x:v>
      </x:c>
      <x:c r="B3" s="64" t="n">
        <x:v>8</x:v>
      </x:c>
      <x:c r="C3" s="64" t="n">
        <x:v>8</x:v>
      </x:c>
      <x:c r="D3" s="60" t="n">
        <x:v>966.1741424876</x:v>
      </x:c>
      <x:c r="E3" s="60" t="n">
        <x:v>966.1741424876</x:v>
      </x:c>
      <x:c r="F3" s="62" t="n">
        <x:v>0</x:v>
      </x:c>
      <x:c r="G3" s="66" t="n">
        <x:v>1</x:v>
      </x:c>
      <x:c r="H3" s="62" t="n">
        <x:f>IF(E3=0,"",I3/E3)</x:f>
        <x:v>29724.801396259823</x:v>
      </x:c>
      <x:c r="I3" s="60" t="n">
        <x:f>SUMIF('Species'!$H$2:$H$246,A3,'Species'!$U$2:$U$246)</x:f>
        <x:v>28719334.49964555</x:v>
      </x:c>
      <x:c r="J3" s="62" t="n">
        <x:v>4.338080033306443</x:v>
      </x:c>
      <x:c r="K3" s="62" t="n">
        <x:f>IF(J3="","",(1/'Metadata'!$B$5)^(J3-1))</x:f>
        <x:v>22026.335563322646</x:v>
      </x:c>
      <x:c r="L3" s="60" t="n">
        <x:f>IF(E3=0,"",E3*K3)</x:f>
        <x:v>21281275.875037383</x:v>
      </x:c>
      <x:c r="M3" s="60" t="n">
        <x:f>I3-L3</x:f>
        <x:v>7438058.6246081665</x:v>
      </x:c>
      <x:c r="N3" s="62" t="n">
        <x:f>IF(L3=0,"",I3/L3)</x:f>
        <x:v>1.3495118745832761</x:v>
      </x:c>
      <x:c r="O3" s="66" t="n">
        <x:f>IF(L3=0,"",M3/L3)</x:f>
        <x:v>0.34951187458327615</x:v>
      </x:c>
    </x:row>
    <x:row r="4" ht="18" customHeight="1">
      <x:c r="A4" s="46" t="str">
        <x:v>Crustaceans</x:v>
      </x:c>
      <x:c r="B4" s="64" t="n">
        <x:v>12</x:v>
      </x:c>
      <x:c r="C4" s="64" t="n">
        <x:v>12</x:v>
      </x:c>
      <x:c r="D4" s="60" t="n">
        <x:v>1765.5320593504</x:v>
      </x:c>
      <x:c r="E4" s="60" t="n">
        <x:v>1765.5320593504</x:v>
      </x:c>
      <x:c r="F4" s="62" t="n">
        <x:v>0</x:v>
      </x:c>
      <x:c r="G4" s="66" t="n">
        <x:v>1</x:v>
      </x:c>
      <x:c r="H4" s="62" t="n">
        <x:f>IF(E4=0,"",I4/E4)</x:f>
        <x:v>502.5164921909406</x:v>
      </x:c>
      <x:c r="I4" s="60" t="n">
        <x:f>SUMIF('Species'!$H$2:$H$246,A4,'Species'!$U$2:$U$246)</x:f>
        <x:v>887208.9773154105</x:v>
      </x:c>
      <x:c r="J4" s="62" t="n">
        <x:v>2.8864540690634133</x:v>
      </x:c>
      <x:c r="K4" s="62" t="n">
        <x:f>IF(J4="","",(1/'Metadata'!$B$5)^(J4-1))</x:f>
        <x:v>284.6645123602012</x:v>
      </x:c>
      <x:c r="L4" s="60" t="n">
        <x:f>IF(E4=0,"",E4*K4)</x:f>
        <x:v>502584.3227312834</x:v>
      </x:c>
      <x:c r="M4" s="60" t="n">
        <x:f>I4-L4</x:f>
        <x:v>384624.6545841271</x:v>
      </x:c>
      <x:c r="N4" s="62" t="n">
        <x:f>IF(L4=0,"",I4/L4)</x:f>
        <x:v>1.765293776960437</x:v>
      </x:c>
      <x:c r="O4" s="66" t="n">
        <x:f>IF(L4=0,"",M4/L4)</x:f>
        <x:v>0.7652937769604371</x:v>
      </x:c>
    </x:row>
    <x:row r="5" ht="18" customHeight="1">
      <x:c r="A5" s="46" t="str">
        <x:v>Flatfishes</x:v>
      </x:c>
      <x:c r="B5" s="64" t="n">
        <x:v>5</x:v>
      </x:c>
      <x:c r="C5" s="64" t="n">
        <x:v>5</x:v>
      </x:c>
      <x:c r="D5" s="60" t="n">
        <x:v>5.206877030600001</x:v>
      </x:c>
      <x:c r="E5" s="60" t="n">
        <x:v>5.206877030600001</x:v>
      </x:c>
      <x:c r="F5" s="62" t="n">
        <x:v>0</x:v>
      </x:c>
      <x:c r="G5" s="66" t="n">
        <x:v>1</x:v>
      </x:c>
      <x:c r="H5" s="62" t="n">
        <x:f>IF(E5=0,"",I5/E5)</x:f>
        <x:v>2522.0651243682714</x:v>
      </x:c>
      <x:c r="I5" s="60" t="n">
        <x:f>SUMIF('Species'!$H$2:$H$246,A5,'Species'!$U$2:$U$246)</x:f>
        <x:v>13132.082965750487</x:v>
      </x:c>
      <x:c r="J5" s="62" t="n">
        <x:v>3.599586581407751</x:v>
      </x:c>
      <x:c r="K5" s="62" t="n">
        <x:f>IF(J5="","",(1/'Metadata'!$B$5)^(J5-1))</x:f>
        <x:v>2410.6830747255353</x:v>
      </x:c>
      <x:c r="L5" s="60" t="n">
        <x:f>IF(E5=0,"",E5*K5)</x:f>
        <x:v>12552.130329844576</x:v>
      </x:c>
      <x:c r="M5" s="60" t="n">
        <x:f>I5-L5</x:f>
        <x:v>579.9526359059109</x:v>
      </x:c>
      <x:c r="N5" s="62" t="n">
        <x:f>IF(L5=0,"",I5/L5)</x:f>
        <x:v>1.0462035224831108</x:v>
      </x:c>
      <x:c r="O5" s="66" t="n">
        <x:f>IF(L5=0,"",M5/L5)</x:f>
        <x:v>0.046203522483110805</x:v>
      </x:c>
    </x:row>
    <x:row r="6" ht="18" customHeight="1">
      <x:c r="A6" s="46" t="str">
        <x:v>Herring-likes</x:v>
      </x:c>
      <x:c r="B6" s="64" t="n">
        <x:v>3</x:v>
      </x:c>
      <x:c r="C6" s="64" t="n">
        <x:v>3</x:v>
      </x:c>
      <x:c r="D6" s="60" t="n">
        <x:v>4287.285023541599</x:v>
      </x:c>
      <x:c r="E6" s="60" t="n">
        <x:v>4287.285023541599</x:v>
      </x:c>
      <x:c r="F6" s="62" t="n">
        <x:v>0</x:v>
      </x:c>
      <x:c r="G6" s="66" t="n">
        <x:v>1</x:v>
      </x:c>
      <x:c r="H6" s="62" t="n">
        <x:f>IF(E6=0,"",I6/E6)</x:f>
        <x:v>248.71430993828585</x:v>
      </x:c>
      <x:c r="I6" s="60" t="n">
        <x:f>SUMIF('Species'!$H$2:$H$246,A6,'Species'!$U$2:$U$246)</x:f>
        <x:v>1066309.1361388965</x:v>
      </x:c>
      <x:c r="J6" s="62" t="n">
        <x:v>2.8408290180430034</x:v>
      </x:c>
      <x:c r="K6" s="62" t="n">
        <x:f>IF(J6="","",(1/'Metadata'!$B$5)^(J6-1))</x:f>
        <x:v>248.29831328694613</x:v>
      </x:c>
      <x:c r="L6" s="60" t="n">
        <x:f>IF(E6=0,"",E6*K6)</x:f>
        <x:v>1064525.6399257642</x:v>
      </x:c>
      <x:c r="M6" s="60" t="n">
        <x:f>I6-L6</x:f>
        <x:v>1783.4962131322827</x:v>
      </x:c>
      <x:c r="N6" s="62" t="n">
        <x:f>IF(L6=0,"",I6/L6)</x:f>
        <x:v>1.0016753905648121</x:v>
      </x:c>
      <x:c r="O6" s="66" t="n">
        <x:f>IF(L6=0,"",M6/L6)</x:f>
        <x:v>0.0016753905648121887</x:v>
      </x:c>
    </x:row>
    <x:row r="7" ht="18" customHeight="1">
      <x:c r="A7" s="46" t="str">
        <x:v>Molluscs</x:v>
      </x:c>
      <x:c r="B7" s="64" t="n">
        <x:v>13</x:v>
      </x:c>
      <x:c r="C7" s="64" t="n">
        <x:v>13</x:v>
      </x:c>
      <x:c r="D7" s="60" t="n">
        <x:v>1499.4380720012002</x:v>
      </x:c>
      <x:c r="E7" s="60" t="n">
        <x:v>1499.4380720012002</x:v>
      </x:c>
      <x:c r="F7" s="62" t="n">
        <x:v>0</x:v>
      </x:c>
      <x:c r="G7" s="66" t="n">
        <x:v>1</x:v>
      </x:c>
      <x:c r="H7" s="62" t="n">
        <x:f>IF(E7=0,"",I7/E7)</x:f>
        <x:v>20.90856390235815</x:v>
      </x:c>
      <x:c r="I7" s="60" t="n">
        <x:f>SUMIF('Species'!$H$2:$H$246,A7,'Species'!$U$2:$U$246)</x:f>
        <x:v>31351.096746065796</x:v>
      </x:c>
      <x:c r="J7" s="62" t="n">
        <x:v>2.0036000511626075</x:v>
      </x:c>
      <x:c r="K7" s="62" t="n">
        <x:f>IF(J7="","",(1/'Metadata'!$B$5)^(J7-1))</x:f>
        <x:v>20.216863098542536</x:v>
      </x:c>
      <x:c r="L7" s="60" t="n">
        <x:f>IF(E7=0,"",E7*K7)</x:f>
        <x:v>30313.93422639083</x:v>
      </x:c>
      <x:c r="M7" s="60" t="n">
        <x:f>I7-L7</x:f>
        <x:v>1037.1625196749665</x:v>
      </x:c>
      <x:c r="N7" s="62" t="n">
        <x:f>IF(L7=0,"",I7/L7)</x:f>
        <x:v>1.0342140519250724</x:v>
      </x:c>
      <x:c r="O7" s="66" t="n">
        <x:f>IF(L7=0,"",M7/L7)</x:f>
        <x:v>0.03421405192507244</x:v>
      </x:c>
    </x:row>
    <x:row r="8" ht="18" customHeight="1">
      <x:c r="A8" s="46" t="str">
        <x:v>Other fishes &amp; inverts</x:v>
      </x:c>
      <x:c r="B8" s="64" t="n">
        <x:v>43</x:v>
      </x:c>
      <x:c r="C8" s="64" t="n">
        <x:v>43</x:v>
      </x:c>
      <x:c r="D8" s="60" t="n">
        <x:v>4415.972470619399</x:v>
      </x:c>
      <x:c r="E8" s="60" t="n">
        <x:v>4415.972470619399</x:v>
      </x:c>
      <x:c r="F8" s="62" t="n">
        <x:v>0</x:v>
      </x:c>
      <x:c r="G8" s="66" t="n">
        <x:v>1</x:v>
      </x:c>
      <x:c r="H8" s="62" t="n">
        <x:f>IF(E8=0,"",I8/E8)</x:f>
        <x:v>4871.085745228646</x:v>
      </x:c>
      <x:c r="I8" s="60" t="n">
        <x:f>SUMIF('Species'!$H$2:$H$246,A8,'Species'!$U$2:$U$246)</x:f>
        <x:v>21510580.552956283</x:v>
      </x:c>
      <x:c r="J8" s="62" t="n">
        <x:v>3.5508575319060625</x:v>
      </x:c>
      <x:c r="K8" s="62" t="n">
        <x:f>IF(J8="","",(1/'Metadata'!$B$5)^(J8-1))</x:f>
        <x:v>2083.2537088277645</x:v>
      </x:c>
      <x:c r="L8" s="60" t="n">
        <x:f>IF(E8=0,"",E8*K8)</x:f>
        <x:v>9199591.02749917</x:v>
      </x:c>
      <x:c r="M8" s="60" t="n">
        <x:f>I8-L8</x:f>
        <x:v>12310989.525457114</x:v>
      </x:c>
      <x:c r="N8" s="62" t="n">
        <x:f>IF(L8=0,"",I8/L8)</x:f>
        <x:v>2.3382105235610404</x:v>
      </x:c>
      <x:c r="O8" s="66" t="n">
        <x:f>IF(L8=0,"",M8/L8)</x:f>
        <x:v>1.3382105235610406</x:v>
      </x:c>
    </x:row>
    <x:row r="9" ht="18" customHeight="1">
      <x:c r="A9" s="46" t="str">
        <x:v>Perch-likes</x:v>
      </x:c>
      <x:c r="B9" s="64" t="n">
        <x:v>90</x:v>
      </x:c>
      <x:c r="C9" s="64" t="n">
        <x:v>90</x:v>
      </x:c>
      <x:c r="D9" s="60" t="n">
        <x:v>9855.316704808398</x:v>
      </x:c>
      <x:c r="E9" s="60" t="n">
        <x:v>9855.316704808398</x:v>
      </x:c>
      <x:c r="F9" s="62" t="n">
        <x:v>0</x:v>
      </x:c>
      <x:c r="G9" s="66" t="n">
        <x:v>1</x:v>
      </x:c>
      <x:c r="H9" s="62" t="n">
        <x:f>IF(E9=0,"",I9/E9)</x:f>
        <x:v>7302.633724968351</x:v>
      </x:c>
      <x:c r="I9" s="60" t="n">
        <x:f>SUMIF('Species'!$H$2:$H$246,A9,'Species'!$U$2:$U$246)</x:f>
        <x:v>71969768.13877776</x:v>
      </x:c>
      <x:c r="J9" s="62" t="n">
        <x:v>3.832325916194215</x:v>
      </x:c>
      <x:c r="K9" s="62" t="n">
        <x:f>IF(J9="","",(1/'Metadata'!$B$5)^(J9-1))</x:f>
        <x:v>4841.065675517108</x:v>
      </x:c>
      <x:c r="L9" s="60" t="n">
        <x:f>IF(E9=0,"",E9*K9)</x:f>
        <x:v>47710235.4209983</x:v>
      </x:c>
      <x:c r="M9" s="60" t="n">
        <x:f>I9-L9</x:f>
        <x:v>24259532.717779465</x:v>
      </x:c>
      <x:c r="N9" s="62" t="n">
        <x:f>IF(L9=0,"",I9/L9)</x:f>
        <x:v>1.5084764831636595</x:v>
      </x:c>
      <x:c r="O9" s="66" t="n">
        <x:f>IF(L9=0,"",M9/L9)</x:f>
        <x:v>0.5084764831636593</x:v>
      </x:c>
    </x:row>
    <x:row r="10" ht="18" customHeight="1">
      <x:c r="A10" s="46" t="str">
        <x:v>Scorpionfishes</x:v>
      </x:c>
      <x:c r="B10" s="64" t="n">
        <x:v>7</x:v>
      </x:c>
      <x:c r="C10" s="64" t="n">
        <x:v>7</x:v>
      </x:c>
      <x:c r="D10" s="60" t="n">
        <x:v>487.75275148949993</x:v>
      </x:c>
      <x:c r="E10" s="60" t="n">
        <x:v>487.75275148949993</x:v>
      </x:c>
      <x:c r="F10" s="62" t="n">
        <x:v>0</x:v>
      </x:c>
      <x:c r="G10" s="66" t="n">
        <x:v>1</x:v>
      </x:c>
      <x:c r="H10" s="62" t="n">
        <x:f>IF(E10=0,"",I10/E10)</x:f>
        <x:v>3152.686199547133</x:v>
      </x:c>
      <x:c r="I10" s="60" t="n">
        <x:f>SUMIF('Species'!$H$2:$H$246,A10,'Species'!$U$2:$U$246)</x:f>
        <x:v>1537731.3684120888</x:v>
      </x:c>
      <x:c r="J10" s="62" t="n">
        <x:v>3.6243864950118856</x:v>
      </x:c>
      <x:c r="K10" s="62" t="n">
        <x:f>IF(J10="","",(1/'Metadata'!$B$5)^(J10-1))</x:f>
        <x:v>2596.6029743036397</x:v>
      </x:c>
      <x:c r="L10" s="60" t="n">
        <x:f>IF(E10=0,"",E10*K10)</x:f>
        <x:v>1266500.2452424197</x:v>
      </x:c>
      <x:c r="M10" s="60" t="n">
        <x:f>I10-L10</x:f>
        <x:v>271231.1231696692</x:v>
      </x:c>
      <x:c r="N10" s="62" t="n">
        <x:f>IF(L10=0,"",I10/L10)</x:f>
        <x:v>1.2141579712981052</x:v>
      </x:c>
      <x:c r="O10" s="66" t="n">
        <x:f>IF(L10=0,"",M10/L10)</x:f>
        <x:v>0.2141579712981051</x:v>
      </x:c>
    </x:row>
    <x:row r="11" ht="18" customHeight="1">
      <x:c r="A11" s="46" t="str">
        <x:v>Sharks &amp; rays</x:v>
      </x:c>
      <x:c r="B11" s="64" t="n">
        <x:v>47</x:v>
      </x:c>
      <x:c r="C11" s="64" t="n">
        <x:v>47</x:v>
      </x:c>
      <x:c r="D11" s="60" t="n">
        <x:v>1474.6757560822</x:v>
      </x:c>
      <x:c r="E11" s="60" t="n">
        <x:v>1474.6757560822</x:v>
      </x:c>
      <x:c r="F11" s="62" t="n">
        <x:v>0</x:v>
      </x:c>
      <x:c r="G11" s="66" t="n">
        <x:v>1</x:v>
      </x:c>
      <x:c r="H11" s="62" t="n">
        <x:f>IF(E11=0,"",I11/E11)</x:f>
        <x:v>13284.226797173844</x:v>
      </x:c>
      <x:c r="I11" s="60" t="n">
        <x:f>SUMIF('Species'!$H$2:$H$246,A11,'Species'!$U$2:$U$246)</x:f>
        <x:v>19589927.19608976</x:v>
      </x:c>
      <x:c r="J11" s="62" t="n">
        <x:v>4.084724493849844</x:v>
      </x:c>
      <x:c r="K11" s="62" t="n">
        <x:f>IF(J11="","",(1/'Metadata'!$B$5)^(J11-1))</x:f>
        <x:v>10311.434676899535</x:v>
      </x:c>
      <x:c r="L11" s="60" t="n">
        <x:f>IF(E11=0,"",E11*K11)</x:f>
        <x:v>15206022.728449037</x:v>
      </x:c>
      <x:c r="M11" s="60" t="n">
        <x:f>I11-L11</x:f>
        <x:v>4383904.467640722</x:v>
      </x:c>
      <x:c r="N11" s="62" t="n">
        <x:f>IF(L11=0,"",I11/L11)</x:f>
        <x:v>1.28830053367202</x:v>
      </x:c>
      <x:c r="O11" s="66" t="n">
        <x:f>IF(L11=0,"",M11/L11)</x:f>
        <x:v>0.28830053367201997</x:v>
      </x:c>
    </x:row>
    <x:row r="12" ht="18" customHeight="1">
      <x:c r="A12" s="46" t="str">
        <x:v>Tuna &amp; billfishes</x:v>
      </x:c>
      <x:c r="B12" s="64" t="n">
        <x:v>16</x:v>
      </x:c>
      <x:c r="C12" s="64" t="n">
        <x:v>16</x:v>
      </x:c>
      <x:c r="D12" s="60" t="n">
        <x:v>5675.238947068399</x:v>
      </x:c>
      <x:c r="E12" s="60" t="n">
        <x:v>5675.238947068399</x:v>
      </x:c>
      <x:c r="F12" s="62" t="n">
        <x:v>0</x:v>
      </x:c>
      <x:c r="G12" s="66" t="n">
        <x:v>1</x:v>
      </x:c>
      <x:c r="H12" s="62" t="n">
        <x:f>IF(E12=0,"",I12/E12)</x:f>
        <x:v>6728.816316054004</x:v>
      </x:c>
      <x:c r="I12" s="60" t="n">
        <x:f>SUMIF('Species'!$H$2:$H$246,A12,'Species'!$U$2:$U$246)</x:f>
        <x:v>38187640.42453899</x:v>
      </x:c>
      <x:c r="J12" s="62" t="n">
        <x:v>3.9348170118190784</x:v>
      </x:c>
      <x:c r="K12" s="62" t="n">
        <x:f>IF(J12="","",(1/'Metadata'!$B$5)^(J12-1))</x:f>
        <x:v>6580.895039320153</x:v>
      </x:c>
      <x:c r="L12" s="60" t="n">
        <x:f>IF(E12=0,"",E12*K12)</x:f>
        <x:v>37348151.833718956</x:v>
      </x:c>
      <x:c r="M12" s="60" t="n">
        <x:f>I12-L12</x:f>
        <x:v>839488.5908200368</x:v>
      </x:c>
      <x:c r="N12" s="62" t="n">
        <x:f>IF(L12=0,"",I12/L12)</x:f>
        <x:v>1.0224773797257116</x:v>
      </x:c>
      <x:c r="O12" s="66" t="n">
        <x:f>IF(L12=0,"",M12/L12)</x:f>
        <x:v>0.022477379725711705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73e658dbe16944b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4</x:v>
      </x:c>
      <x:c r="C2" s="64" t="n">
        <x:v>4</x:v>
      </x:c>
      <x:c r="D2" s="60" t="n">
        <x:v>558.7673577047001</x:v>
      </x:c>
      <x:c r="E2" s="60" t="n">
        <x:v>558.7673577047001</x:v>
      </x:c>
      <x:c r="F2" s="62" t="n">
        <x:v>0</x:v>
      </x:c>
      <x:c r="G2" s="66" t="n">
        <x:v>1</x:v>
      </x:c>
      <x:c r="H2" s="62" t="n">
        <x:f>IF(E2=0,"",I2/E2)</x:f>
        <x:v>8905.88333812499</x:v>
      </x:c>
      <x:c r="I2" s="60" t="n">
        <x:f>SUMIF('Species'!$G$2:$G$246,A2,'Species'!$U$2:$U$246)</x:f>
        <x:v>4976316.900870414</x:v>
      </x:c>
      <x:c r="J2" s="62" t="n">
        <x:v>4.016065264355878</x:v>
      </x:c>
      <x:c r="K2" s="62" t="n">
        <x:f>IF(J2="","",(1/'Metadata'!$B$5)^(J2-1))</x:f>
        <x:v>8394.433206065329</x:v>
      </x:c>
      <x:c r="L2" s="60" t="n">
        <x:f>IF(E2=0,"",E2*K2)</x:f>
        <x:v>4690535.261981718</x:v>
      </x:c>
      <x:c r="M2" s="60" t="n">
        <x:f>I2-L2</x:f>
        <x:v>285781.6388886962</x:v>
      </x:c>
      <x:c r="N2" s="62" t="n">
        <x:f>IF(L2=0,"",I2/L2)</x:f>
        <x:v>1.0609272978299613</x:v>
      </x:c>
      <x:c r="O2" s="66" t="n">
        <x:f>IF(L2=0,"",M2/L2)</x:f>
        <x:v>0.06092729782996141</x:v>
      </x:c>
    </x:row>
    <x:row r="3" ht="18" customHeight="1">
      <x:c r="A3" s="46" t="str">
        <x:v>Large bathydemersals (&gt;=90 cm)</x:v>
      </x:c>
      <x:c r="B3" s="64" t="n">
        <x:v>4</x:v>
      </x:c>
      <x:c r="C3" s="64" t="n">
        <x:v>4</x:v>
      </x:c>
      <x:c r="D3" s="60" t="n">
        <x:v>756.4523795283</x:v>
      </x:c>
      <x:c r="E3" s="60" t="n">
        <x:v>756.4523795283</x:v>
      </x:c>
      <x:c r="F3" s="62" t="n">
        <x:v>0</x:v>
      </x:c>
      <x:c r="G3" s="66" t="n">
        <x:v>1</x:v>
      </x:c>
      <x:c r="H3" s="62" t="n">
        <x:f>IF(E3=0,"",I3/E3)</x:f>
        <x:v>12662.56667719929</x:v>
      </x:c>
      <x:c r="I3" s="60" t="n">
        <x:f>SUMIF('Species'!$G$2:$G$246,A3,'Species'!$U$2:$U$246)</x:f>
        <x:v>9578628.693903161</x:v>
      </x:c>
      <x:c r="J3" s="62" t="n">
        <x:v>4.120948503154419</x:v>
      </x:c>
      <x:c r="K3" s="62" t="n">
        <x:f>IF(J3="","",(1/'Metadata'!$B$5)^(J3-1))</x:f>
        <x:v>11493.376075857423</x:v>
      </x:c>
      <x:c r="L3" s="60" t="n">
        <x:f>IF(E3=0,"",E3*K3)</x:f>
        <x:v>8694191.681395981</x:v>
      </x:c>
      <x:c r="M3" s="60" t="n">
        <x:f>I3-L3</x:f>
        <x:v>884437.0125071798</x:v>
      </x:c>
      <x:c r="N3" s="62" t="n">
        <x:f>IF(L3=0,"",I3/L3)</x:f>
        <x:v>1.1017273422208664</x:v>
      </x:c>
      <x:c r="O3" s="66" t="n">
        <x:f>IF(L3=0,"",M3/L3)</x:f>
        <x:v>0.1017273422208665</x:v>
      </x:c>
    </x:row>
    <x:row r="4" ht="18" customHeight="1">
      <x:c r="A4" s="46" t="str">
        <x:v>Large bathypelagics (&gt;=90 cm)</x:v>
      </x:c>
      <x:c r="B4" s="64" t="n">
        <x:v>1</x:v>
      </x:c>
      <x:c r="C4" s="64" t="n">
        <x:v>1</x:v>
      </x:c>
      <x:c r="D4" s="60" t="n">
        <x:v>18.1818635414</x:v>
      </x:c>
      <x:c r="E4" s="60" t="n">
        <x:v>18.1818635414</x:v>
      </x:c>
      <x:c r="F4" s="62" t="n">
        <x:v>0</x:v>
      </x:c>
      <x:c r="G4" s="66" t="n">
        <x:v>1</x:v>
      </x:c>
      <x:c r="H4" s="62" t="n">
        <x:f>IF(E4=0,"",I4/E4)</x:f>
        <x:v>15463.812886046735</x:v>
      </x:c>
      <x:c r="I4" s="60" t="n">
        <x:f>SUMIF('Species'!$G$2:$G$246,A4,'Species'!$U$2:$U$246)</x:f>
        <x:v>281160.9357238446</x:v>
      </x:c>
      <x:c r="J4" s="62" t="n">
        <x:v>4.22</x:v>
      </x:c>
      <x:c r="K4" s="62" t="n">
        <x:f>IF(J4="","",(1/'Metadata'!$B$5)^(J4-1))</x:f>
        <x:v>15463.812886046735</x:v>
      </x:c>
      <x:c r="L4" s="60" t="n">
        <x:f>IF(E4=0,"",E4*K4)</x:f>
        <x:v>281160.9357238446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Large benthopelagics (&gt;=90 cm)</x:v>
      </x:c>
      <x:c r="B5" s="64" t="n">
        <x:v>14</x:v>
      </x:c>
      <x:c r="C5" s="64" t="n">
        <x:v>14</x:v>
      </x:c>
      <x:c r="D5" s="60" t="n">
        <x:v>708.9739081239</x:v>
      </x:c>
      <x:c r="E5" s="60" t="n">
        <x:v>708.9739081239</x:v>
      </x:c>
      <x:c r="F5" s="62" t="n">
        <x:v>0</x:v>
      </x:c>
      <x:c r="G5" s="66" t="n">
        <x:v>1</x:v>
      </x:c>
      <x:c r="H5" s="62" t="n">
        <x:f>IF(E5=0,"",I5/E5)</x:f>
        <x:v>5908.311009605183</x:v>
      </x:c>
      <x:c r="I5" s="60" t="n">
        <x:f>SUMIF('Species'!$G$2:$G$246,A5,'Species'!$U$2:$U$246)</x:f>
        <x:v>4188838.346891252</x:v>
      </x:c>
      <x:c r="J5" s="62" t="n">
        <x:v>3.6657023260636428</x:v>
      </x:c>
      <x:c r="K5" s="62" t="n">
        <x:f>IF(J5="","",(1/'Metadata'!$B$5)^(J5-1))</x:f>
        <x:v>2938.7232281756246</x:v>
      </x:c>
      <x:c r="L5" s="60" t="n">
        <x:f>IF(E5=0,"",E5*K5)</x:f>
        <x:v>2083478.091974156</x:v>
      </x:c>
      <x:c r="M5" s="60" t="n">
        <x:f>I5-L5</x:f>
        <x:v>2105360.254917096</x:v>
      </x:c>
      <x:c r="N5" s="62" t="n">
        <x:f>IF(L5=0,"",I5/L5)</x:f>
        <x:v>2.0105027084408675</x:v>
      </x:c>
      <x:c r="O5" s="66" t="n">
        <x:f>IF(L5=0,"",M5/L5)</x:f>
        <x:v>1.0105027084408678</x:v>
      </x:c>
    </x:row>
    <x:row r="6" ht="18" customHeight="1">
      <x:c r="A6" s="46" t="str">
        <x:v>Large demersals (&gt;=90 cm)</x:v>
      </x:c>
      <x:c r="B6" s="64" t="n">
        <x:v>5</x:v>
      </x:c>
      <x:c r="C6" s="64" t="n">
        <x:v>5</x:v>
      </x:c>
      <x:c r="D6" s="60" t="n">
        <x:v>1113.0577576017</x:v>
      </x:c>
      <x:c r="E6" s="60" t="n">
        <x:v>1113.0577576017</x:v>
      </x:c>
      <x:c r="F6" s="62" t="n">
        <x:v>0</x:v>
      </x:c>
      <x:c r="G6" s="66" t="n">
        <x:v>1</x:v>
      </x:c>
      <x:c r="H6" s="62" t="n">
        <x:f>IF(E6=0,"",I6/E6)</x:f>
        <x:v>26652.87460952045</x:v>
      </x:c>
      <x:c r="I6" s="60" t="n">
        <x:f>SUMIF('Species'!$G$2:$G$246,A6,'Species'!$U$2:$U$246)</x:f>
        <x:v>29666188.846512116</x:v>
      </x:c>
      <x:c r="J6" s="62" t="n">
        <x:v>4.216813310250308</x:v>
      </x:c>
      <x:c r="K6" s="62" t="n">
        <x:f>IF(J6="","",(1/'Metadata'!$B$5)^(J6-1))</x:f>
        <x:v>15316.890481549222</x:v>
      </x:c>
      <x:c r="L6" s="60" t="n">
        <x:f>IF(E6=0,"",E6*K6)</x:f>
        <x:v>17048583.772824</x:v>
      </x:c>
      <x:c r="M6" s="60" t="n">
        <x:f>I6-L6</x:f>
        <x:v>12617605.073688116</x:v>
      </x:c>
      <x:c r="N6" s="62" t="n">
        <x:f>IF(L6=0,"",I6/L6)</x:f>
        <x:v>1.74009696299824</x:v>
      </x:c>
      <x:c r="O6" s="66" t="n">
        <x:f>IF(L6=0,"",M6/L6)</x:f>
        <x:v>0.7400969629982398</x:v>
      </x:c>
    </x:row>
    <x:row r="7" ht="18" customHeight="1">
      <x:c r="A7" s="46" t="str">
        <x:v>Large pelagics (&gt;=90 cm)</x:v>
      </x:c>
      <x:c r="B7" s="64" t="n">
        <x:v>25</x:v>
      </x:c>
      <x:c r="C7" s="64" t="n">
        <x:v>25</x:v>
      </x:c>
      <x:c r="D7" s="60" t="n">
        <x:v>5694.3822374086</x:v>
      </x:c>
      <x:c r="E7" s="60" t="n">
        <x:v>5694.3822374086</x:v>
      </x:c>
      <x:c r="F7" s="62" t="n">
        <x:v>0</x:v>
      </x:c>
      <x:c r="G7" s="66" t="n">
        <x:v>1</x:v>
      </x:c>
      <x:c r="H7" s="62" t="n">
        <x:f>IF(E7=0,"",I7/E7)</x:f>
        <x:v>6836.636813893043</x:v>
      </x:c>
      <x:c r="I7" s="60" t="n">
        <x:f>SUMIF('Species'!$G$2:$G$246,A7,'Species'!$U$2:$U$246)</x:f>
        <x:v>38930423.23664627</x:v>
      </x:c>
      <x:c r="J7" s="62" t="n">
        <x:v>3.936798992318635</x:v>
      </x:c>
      <x:c r="K7" s="62" t="n">
        <x:f>IF(J7="","",(1/'Metadata'!$B$5)^(J7-1))</x:f>
        <x:v>6620.0852217860665</x:v>
      </x:c>
      <x:c r="L7" s="60" t="n">
        <x:f>IF(E7=0,"",E7*K7)</x:f>
        <x:v>37697295.69706975</x:v>
      </x:c>
      <x:c r="M7" s="60" t="n">
        <x:f>I7-L7</x:f>
        <x:v>1233127.539576523</x:v>
      </x:c>
      <x:c r="N7" s="62" t="n">
        <x:f>IF(L7=0,"",I7/L7)</x:f>
        <x:v>1.0327112997570373</x:v>
      </x:c>
      <x:c r="O7" s="66" t="n">
        <x:f>IF(L7=0,"",M7/L7)</x:f>
        <x:v>0.032711299757037356</x:v>
      </x:c>
    </x:row>
    <x:row r="8" ht="18" customHeight="1">
      <x:c r="A8" s="46" t="str">
        <x:v>Large rays (&gt;=90 cm)</x:v>
      </x:c>
      <x:c r="B8" s="64" t="n">
        <x:v>5</x:v>
      </x:c>
      <x:c r="C8" s="64" t="n">
        <x:v>5</x:v>
      </x:c>
      <x:c r="D8" s="60" t="n">
        <x:v>82.75049621390002</x:v>
      </x:c>
      <x:c r="E8" s="60" t="n">
        <x:v>82.75049621390002</x:v>
      </x:c>
      <x:c r="F8" s="62" t="n">
        <x:v>0</x:v>
      </x:c>
      <x:c r="G8" s="66" t="n">
        <x:v>1</x:v>
      </x:c>
      <x:c r="H8" s="62" t="n">
        <x:f>IF(E8=0,"",I8/E8)</x:f>
        <x:v>2604.7081860506037</x:v>
      </x:c>
      <x:c r="I8" s="60" t="n">
        <x:f>SUMIF('Species'!$G$2:$G$246,A8,'Species'!$U$2:$U$246)</x:f>
        <x:v>215540.8948880949</x:v>
      </x:c>
      <x:c r="J8" s="62" t="n">
        <x:v>3.4627764772810075</x:v>
      </x:c>
      <x:c r="K8" s="62" t="n">
        <x:f>IF(J8="","",(1/'Metadata'!$B$5)^(J8-1))</x:f>
        <x:v>1600.0961105864415</x:v>
      </x:c>
      <x:c r="L8" s="60" t="n">
        <x:f>IF(E8=0,"",E8*K8)</x:f>
        <x:v>132408.7471409595</x:v>
      </x:c>
      <x:c r="M8" s="60" t="n">
        <x:f>I8-L8</x:f>
        <x:v>83132.1477471354</x:v>
      </x:c>
      <x:c r="N8" s="62" t="n">
        <x:f>IF(L8=0,"",I8/L8)</x:f>
        <x:v>1.6278448330806627</x:v>
      </x:c>
      <x:c r="O8" s="66" t="n">
        <x:f>IF(L8=0,"",M8/L8)</x:f>
        <x:v>0.6278448330806629</x:v>
      </x:c>
    </x:row>
    <x:row r="9" ht="18" customHeight="1">
      <x:c r="A9" s="46" t="str">
        <x:v>Large reef assoc. fish (&gt;=90 cm)</x:v>
      </x:c>
      <x:c r="B9" s="64" t="n">
        <x:v>6</x:v>
      </x:c>
      <x:c r="C9" s="64" t="n">
        <x:v>6</x:v>
      </x:c>
      <x:c r="D9" s="60" t="n">
        <x:v>3.5009390679999997</x:v>
      </x:c>
      <x:c r="E9" s="60" t="n">
        <x:v>3.5009390679999997</x:v>
      </x:c>
      <x:c r="F9" s="62" t="n">
        <x:v>0</x:v>
      </x:c>
      <x:c r="G9" s="66" t="n">
        <x:v>1</x:v>
      </x:c>
      <x:c r="H9" s="62" t="n">
        <x:f>IF(E9=0,"",I9/E9)</x:f>
        <x:v>15999.096321343155</x:v>
      </x:c>
      <x:c r="I9" s="60" t="n">
        <x:f>SUMIF('Species'!$G$2:$G$246,A9,'Species'!$U$2:$U$246)</x:f>
        <x:v>56011.86136408533</x:v>
      </x:c>
      <x:c r="J9" s="62" t="n">
        <x:v>4.201205527560184</x:v>
      </x:c>
      <x:c r="K9" s="62" t="n">
        <x:f>IF(J9="","",(1/'Metadata'!$B$5)^(J9-1))</x:f>
        <x:v>14617.207552673513</x:v>
      </x:c>
      <x:c r="L9" s="60" t="n">
        <x:f>IF(E9=0,"",E9*K9)</x:f>
        <x:v>51173.95298621937</x:v>
      </x:c>
      <x:c r="M9" s="60" t="n">
        <x:f>I9-L9</x:f>
        <x:v>4837.908377865962</x:v>
      </x:c>
      <x:c r="N9" s="62" t="n">
        <x:f>IF(L9=0,"",I9/L9)</x:f>
        <x:v>1.0945384926423167</x:v>
      </x:c>
      <x:c r="O9" s="66" t="n">
        <x:f>IF(L9=0,"",M9/L9)</x:f>
        <x:v>0.09453849264231674</x:v>
      </x:c>
    </x:row>
    <x:row r="10" ht="18" customHeight="1">
      <x:c r="A10" s="46" t="str">
        <x:v>Large sharks (&gt;=90 cm)</x:v>
      </x:c>
      <x:c r="B10" s="64" t="n">
        <x:v>39</x:v>
      </x:c>
      <x:c r="C10" s="64" t="n">
        <x:v>39</x:v>
      </x:c>
      <x:c r="D10" s="60" t="n">
        <x:v>1358.7797174190002</x:v>
      </x:c>
      <x:c r="E10" s="60" t="n">
        <x:v>1358.7797174190002</x:v>
      </x:c>
      <x:c r="F10" s="62" t="n">
        <x:v>0</x:v>
      </x:c>
      <x:c r="G10" s="66" t="n">
        <x:v>1</x:v>
      </x:c>
      <x:c r="H10" s="62" t="n">
        <x:f>IF(E10=0,"",I10/E10)</x:f>
        <x:v>14165.915340654486</x:v>
      </x:c>
      <x:c r="I10" s="60" t="n">
        <x:f>SUMIF('Species'!$G$2:$G$246,A10,'Species'!$U$2:$U$246)</x:f>
        <x:v>19248358.443555985</x:v>
      </x:c>
      <x:c r="J10" s="62" t="n">
        <x:v>4.131551525587584</x:v>
      </x:c>
      <x:c r="K10" s="62" t="n">
        <x:f>IF(J10="","",(1/'Metadata'!$B$5)^(J10-1))</x:f>
        <x:v>11864.309508298713</x:v>
      </x:c>
      <x:c r="L10" s="60" t="n">
        <x:f>IF(E10=0,"",E10*K10)</x:f>
        <x:v>16120983.121057684</x:v>
      </x:c>
      <x:c r="M10" s="60" t="n">
        <x:f>I10-L10</x:f>
        <x:v>3127375.322498301</x:v>
      </x:c>
      <x:c r="N10" s="62" t="n">
        <x:f>IF(L10=0,"",I10/L10)</x:f>
        <x:v>1.1939940820614863</x:v>
      </x:c>
      <x:c r="O10" s="66" t="n">
        <x:f>IF(L10=0,"",M10/L10)</x:f>
        <x:v>0.19399408206148638</x:v>
      </x:c>
    </x:row>
    <x:row r="11" ht="18" customHeight="1">
      <x:c r="A11" s="46" t="str">
        <x:v>Lobsters, crabs</x:v>
      </x:c>
      <x:c r="B11" s="64" t="n">
        <x:v>11</x:v>
      </x:c>
      <x:c r="C11" s="64" t="n">
        <x:v>11</x:v>
      </x:c>
      <x:c r="D11" s="60" t="n">
        <x:v>1419.0914499471</x:v>
      </x:c>
      <x:c r="E11" s="60" t="n">
        <x:v>1419.0914499471</x:v>
      </x:c>
      <x:c r="F11" s="62" t="n">
        <x:v>0</x:v>
      </x:c>
      <x:c r="G11" s="66" t="n">
        <x:v>1</x:v>
      </x:c>
      <x:c r="H11" s="62" t="n">
        <x:f>IF(E11=0,"",I11/E11)</x:f>
        <x:v>378.023963508281</x:v>
      </x:c>
      <x:c r="I11" s="60" t="n">
        <x:f>SUMIF('Species'!$G$2:$G$246,A11,'Species'!$U$2:$U$246)</x:f>
        <x:v>536450.5744897161</x:v>
      </x:c>
      <x:c r="J11" s="62" t="n">
        <x:v>2.7830544534646937</x:v>
      </x:c>
      <x:c r="K11" s="62" t="n">
        <x:f>IF(J11="","",(1/'Metadata'!$B$5)^(J11-1))</x:f>
        <x:v>208.8369432743123</x:v>
      </x:c>
      <x:c r="L11" s="60" t="n">
        <x:f>IF(E11=0,"",E11*K11)</x:f>
        <x:v>296358.7206336641</x:v>
      </x:c>
      <x:c r="M11" s="60" t="n">
        <x:f>I11-L11</x:f>
        <x:v>240091.85385605198</x:v>
      </x:c>
      <x:c r="N11" s="62" t="n">
        <x:f>IF(L11=0,"",I11/L11)</x:f>
        <x:v>1.8101393248786328</x:v>
      </x:c>
      <x:c r="O11" s="66" t="n">
        <x:f>IF(L11=0,"",M11/L11)</x:f>
        <x:v>0.8101393248786328</x:v>
      </x:c>
    </x:row>
    <x:row r="12" ht="18" customHeight="1">
      <x:c r="A12" s="46" t="str">
        <x:v>Medium bathydemersals (30 - 89 cm)</x:v>
      </x:c>
      <x:c r="B12" s="64" t="n">
        <x:v>6</x:v>
      </x:c>
      <x:c r="C12" s="64" t="n">
        <x:v>6</x:v>
      </x:c>
      <x:c r="D12" s="60" t="n">
        <x:v>505.1113549293</x:v>
      </x:c>
      <x:c r="E12" s="60" t="n">
        <x:v>505.1113549293</x:v>
      </x:c>
      <x:c r="F12" s="62" t="n">
        <x:v>0</x:v>
      </x:c>
      <x:c r="G12" s="66" t="n">
        <x:v>1</x:v>
      </x:c>
      <x:c r="H12" s="62" t="n">
        <x:f>IF(E12=0,"",I12/E12)</x:f>
        <x:v>4248.990147820489</x:v>
      </x:c>
      <x:c r="I12" s="60" t="n">
        <x:f>SUMIF('Species'!$G$2:$G$246,A12,'Species'!$U$2:$U$246)</x:f>
        <x:v>2146213.1706468537</x:v>
      </x:c>
      <x:c r="J12" s="62" t="n">
        <x:v>3.6573582199551034</x:v>
      </x:c>
      <x:c r="K12" s="62" t="n">
        <x:f>IF(J12="","",(1/'Metadata'!$B$5)^(J12-1))</x:f>
        <x:v>2866.175328686396</x:v>
      </x:c>
      <x:c r="L12" s="60" t="n">
        <x:f>IF(E12=0,"",E12*K12)</x:f>
        <x:v>1447737.7037377171</x:v>
      </x:c>
      <x:c r="M12" s="60" t="n">
        <x:f>I12-L12</x:f>
        <x:v>698475.4669091366</x:v>
      </x:c>
      <x:c r="N12" s="62" t="n">
        <x:f>IF(L12=0,"",I12/L12)</x:f>
        <x:v>1.482459954662946</x:v>
      </x:c>
      <x:c r="O12" s="66" t="n">
        <x:f>IF(L12=0,"",M12/L12)</x:f>
        <x:v>0.48245995466294606</x:v>
      </x:c>
    </x:row>
    <x:row r="13" ht="18" customHeight="1">
      <x:c r="A13" s="46" t="str">
        <x:v>Medium bathypelagics (30 - 89 cm)</x:v>
      </x:c>
      <x:c r="B13" s="64" t="n">
        <x:v>8</x:v>
      </x:c>
      <x:c r="C13" s="64" t="n">
        <x:v>8</x:v>
      </x:c>
      <x:c r="D13" s="60" t="n">
        <x:v>361.09855028939995</x:v>
      </x:c>
      <x:c r="E13" s="60" t="n">
        <x:v>361.09855028939995</x:v>
      </x:c>
      <x:c r="F13" s="62" t="n">
        <x:v>0</x:v>
      </x:c>
      <x:c r="G13" s="66" t="n">
        <x:v>1</x:v>
      </x:c>
      <x:c r="H13" s="62" t="n">
        <x:f>IF(E13=0,"",I13/E13)</x:f>
        <x:v>8309.661630620043</x:v>
      </x:c>
      <x:c r="I13" s="60" t="n">
        <x:f>SUMIF('Species'!$G$2:$G$246,A13,'Species'!$U$2:$U$246)</x:f>
        <x:v>3000606.768212349</x:v>
      </x:c>
      <x:c r="J13" s="62" t="n">
        <x:v>3.9188687402720577</x:v>
      </x:c>
      <x:c r="K13" s="62" t="n">
        <x:f>IF(J13="","",(1/'Metadata'!$B$5)^(J13-1))</x:f>
        <x:v>6273.873886026669</x:v>
      </x:c>
      <x:c r="L13" s="60" t="n">
        <x:f>IF(E13=0,"",E13*K13)</x:f>
        <x:v>2265486.7649427545</x:v>
      </x:c>
      <x:c r="M13" s="60" t="n">
        <x:f>I13-L13</x:f>
        <x:v>735120.0032695946</x:v>
      </x:c>
      <x:c r="N13" s="62" t="n">
        <x:f>IF(L13=0,"",I13/L13)</x:f>
        <x:v>1.3244865583172674</x:v>
      </x:c>
      <x:c r="O13" s="66" t="n">
        <x:f>IF(L13=0,"",M13/L13)</x:f>
        <x:v>0.3244865583172674</x:v>
      </x:c>
    </x:row>
    <x:row r="14" ht="18" customHeight="1">
      <x:c r="A14" s="46" t="str">
        <x:v>Medium benthopelagics (30 - 89 cm)</x:v>
      </x:c>
      <x:c r="B14" s="64" t="n">
        <x:v>15</x:v>
      </x:c>
      <x:c r="C14" s="64" t="n">
        <x:v>15</x:v>
      </x:c>
      <x:c r="D14" s="60" t="n">
        <x:v>4811.347037823901</x:v>
      </x:c>
      <x:c r="E14" s="60" t="n">
        <x:v>4811.347037823901</x:v>
      </x:c>
      <x:c r="F14" s="62" t="n">
        <x:v>0</x:v>
      </x:c>
      <x:c r="G14" s="66" t="n">
        <x:v>1</x:v>
      </x:c>
      <x:c r="H14" s="62" t="n">
        <x:f>IF(E14=0,"",I14/E14)</x:f>
        <x:v>5854.522433605466</x:v>
      </x:c>
      <x:c r="I14" s="60" t="n">
        <x:f>SUMIF('Species'!$G$2:$G$246,A14,'Species'!$U$2:$U$246)</x:f>
        <x:v>28168139.168801233</x:v>
      </x:c>
      <x:c r="J14" s="62" t="n">
        <x:v>3.8506433717894044</x:v>
      </x:c>
      <x:c r="K14" s="62" t="n">
        <x:f>IF(J14="","",(1/'Metadata'!$B$5)^(J14-1))</x:f>
        <x:v>5114.139068995521</x:v>
      </x:c>
      <x:c r="L14" s="60" t="n">
        <x:f>IF(E14=0,"",E14*K14)</x:f>
        <x:v>24605897.86063108</x:v>
      </x:c>
      <x:c r="M14" s="60" t="n">
        <x:f>I14-L14</x:f>
        <x:v>3562241.3081701547</x:v>
      </x:c>
      <x:c r="N14" s="62" t="n">
        <x:f>IF(L14=0,"",I14/L14)</x:f>
        <x:v>1.144771848129536</x:v>
      </x:c>
      <x:c r="O14" s="66" t="n">
        <x:f>IF(L14=0,"",M14/L14)</x:f>
        <x:v>0.1447718481295359</x:v>
      </x:c>
    </x:row>
    <x:row r="15" ht="18" customHeight="1">
      <x:c r="A15" s="46" t="str">
        <x:v>Medium demersals (30 - 89 cm)</x:v>
      </x:c>
      <x:c r="B15" s="64" t="n">
        <x:v>17</x:v>
      </x:c>
      <x:c r="C15" s="64" t="n">
        <x:v>17</x:v>
      </x:c>
      <x:c r="D15" s="60" t="n">
        <x:v>4096.7833925815</x:v>
      </x:c>
      <x:c r="E15" s="60" t="n">
        <x:v>4096.7833925815</x:v>
      </x:c>
      <x:c r="F15" s="62" t="n">
        <x:v>0</x:v>
      </x:c>
      <x:c r="G15" s="66" t="n">
        <x:v>1</x:v>
      </x:c>
      <x:c r="H15" s="62" t="n">
        <x:f>IF(E15=0,"",I15/E15)</x:f>
        <x:v>1425.2625894387495</x:v>
      </x:c>
      <x:c r="I15" s="60" t="n">
        <x:f>SUMIF('Species'!$G$2:$G$246,A15,'Species'!$U$2:$U$246)</x:f>
        <x:v>5838992.106480374</x:v>
      </x:c>
      <x:c r="J15" s="62" t="n">
        <x:v>3.375411987273899</x:v>
      </x:c>
      <x:c r="K15" s="62" t="n">
        <x:f>IF(J15="","",(1/'Metadata'!$B$5)^(J15-1))</x:f>
        <x:v>1231.635639587301</x:v>
      </x:c>
      <x:c r="L15" s="60" t="n">
        <x:f>IF(E15=0,"",E15*K15)</x:f>
        <x:v>5045744.433972749</x:v>
      </x:c>
      <x:c r="M15" s="60" t="n">
        <x:f>I15-L15</x:f>
        <x:v>793247.6725076251</x:v>
      </x:c>
      <x:c r="N15" s="62" t="n">
        <x:f>IF(L15=0,"",I15/L15)</x:f>
        <x:v>1.1572112267848382</x:v>
      </x:c>
      <x:c r="O15" s="66" t="n">
        <x:f>IF(L15=0,"",M15/L15)</x:f>
        <x:v>0.15721122678483823</x:v>
      </x:c>
    </x:row>
    <x:row r="16" ht="18" customHeight="1">
      <x:c r="A16" s="46" t="str">
        <x:v>Medium pelagics (30 - 89 cm)</x:v>
      </x:c>
      <x:c r="B16" s="64" t="n">
        <x:v>20</x:v>
      </x:c>
      <x:c r="C16" s="64" t="n">
        <x:v>20</x:v>
      </x:c>
      <x:c r="D16" s="60" t="n">
        <x:v>6565.7265544704005</x:v>
      </x:c>
      <x:c r="E16" s="60" t="n">
        <x:v>6565.7265544704005</x:v>
      </x:c>
      <x:c r="F16" s="62" t="n">
        <x:v>0</x:v>
      </x:c>
      <x:c r="G16" s="66" t="n">
        <x:v>1</x:v>
      </x:c>
      <x:c r="H16" s="62" t="n">
        <x:f>IF(E16=0,"",I16/E16)</x:f>
        <x:v>5041.617697686489</x:v>
      </x:c>
      <x:c r="I16" s="60" t="n">
        <x:f>SUMIF('Species'!$G$2:$G$246,A16,'Species'!$U$2:$U$246)</x:f>
        <x:v>33101883.195188105</x:v>
      </x:c>
      <x:c r="J16" s="62" t="n">
        <x:v>3.277752930442804</x:v>
      </x:c>
      <x:c r="K16" s="62" t="n">
        <x:f>IF(J16="","",(1/'Metadata'!$B$5)^(J16-1))</x:f>
        <x:v>919.2314724532096</x:v>
      </x:c>
      <x:c r="L16" s="60" t="n">
        <x:f>IF(E16=0,"",E16*K16)</x:f>
        <x:v>6035422.488390964</x:v>
      </x:c>
      <x:c r="M16" s="60" t="n">
        <x:f>I16-L16</x:f>
        <x:v>27066460.70679714</x:v>
      </x:c>
      <x:c r="N16" s="62" t="n">
        <x:f>IF(L16=0,"",I16/L16)</x:f>
        <x:v>5.484600830987231</x:v>
      </x:c>
      <x:c r="O16" s="66" t="n">
        <x:f>IF(L16=0,"",M16/L16)</x:f>
        <x:v>4.484600830987231</x:v>
      </x:c>
    </x:row>
    <x:row r="17" ht="18" customHeight="1">
      <x:c r="A17" s="46" t="str">
        <x:v>Medium reef assoc. fish (30 - 89 cm)</x:v>
      </x:c>
      <x:c r="B17" s="64" t="n">
        <x:v>24</x:v>
      </x:c>
      <x:c r="C17" s="64" t="n">
        <x:v>24</x:v>
      </x:c>
      <x:c r="D17" s="60" t="n">
        <x:v>416.7491187495</x:v>
      </x:c>
      <x:c r="E17" s="60" t="n">
        <x:v>416.7491187495</x:v>
      </x:c>
      <x:c r="F17" s="62" t="n">
        <x:v>0</x:v>
      </x:c>
      <x:c r="G17" s="66" t="n">
        <x:v>1</x:v>
      </x:c>
      <x:c r="H17" s="62" t="n">
        <x:f>IF(E17=0,"",I17/E17)</x:f>
        <x:v>2995.1587933243154</x:v>
      </x:c>
      <x:c r="I17" s="60" t="n">
        <x:f>SUMIF('Species'!$G$2:$G$246,A17,'Species'!$U$2:$U$246)</x:f>
        <x:v>1248229.7876327243</x:v>
      </x:c>
      <x:c r="J17" s="62" t="n">
        <x:v>3.1309347783557433</x:v>
      </x:c>
      <x:c r="K17" s="62" t="n">
        <x:f>IF(J17="","",(1/'Metadata'!$B$5)^(J17-1))</x:f>
        <x:v>592.1204567104023</x:v>
      </x:c>
      <x:c r="L17" s="60" t="n">
        <x:f>IF(E17=0,"",E17*K17)</x:f>
        <x:v>246765.67852761163</x:v>
      </x:c>
      <x:c r="M17" s="60" t="n">
        <x:f>I17-L17</x:f>
        <x:v>1001464.1091051126</x:v>
      </x:c>
      <x:c r="N17" s="62" t="n">
        <x:f>IF(L17=0,"",I17/L17)</x:f>
        <x:v>5.05836060784707</x:v>
      </x:c>
      <x:c r="O17" s="66" t="n">
        <x:f>IF(L17=0,"",M17/L17)</x:f>
        <x:v>4.05836060784707</x:v>
      </x:c>
    </x:row>
    <x:row r="18" ht="18" customHeight="1">
      <x:c r="A18" s="46" t="str">
        <x:v>Other demersal invertebrates</x:v>
      </x:c>
      <x:c r="B18" s="64" t="n">
        <x:v>15</x:v>
      </x:c>
      <x:c r="C18" s="64" t="n">
        <x:v>15</x:v>
      </x:c>
      <x:c r="D18" s="60" t="n">
        <x:v>1499.9069595585001</x:v>
      </x:c>
      <x:c r="E18" s="60" t="n">
        <x:v>1499.9069595585001</x:v>
      </x:c>
      <x:c r="F18" s="62" t="n">
        <x:v>0</x:v>
      </x:c>
      <x:c r="G18" s="66" t="n">
        <x:v>1</x:v>
      </x:c>
      <x:c r="H18" s="62" t="n">
        <x:f>IF(E18=0,"",I18/E18)</x:f>
        <x:v>20.90832126549798</x:v>
      </x:c>
      <x:c r="I18" s="60" t="n">
        <x:f>SUMIF('Species'!$G$2:$G$246,A18,'Species'!$U$2:$U$246)</x:f>
        <x:v>31360.536578805408</x:v>
      </x:c>
      <x:c r="J18" s="62" t="n">
        <x:v>2.003599352024172</x:v>
      </x:c>
      <x:c r="K18" s="62" t="n">
        <x:f>IF(J18="","",(1/'Metadata'!$B$5)^(J18-1))</x:f>
        <x:v>20.216820755750454</x:v>
      </x:c>
      <x:c r="L18" s="60" t="n">
        <x:f>IF(E18=0,"",E18*K18)</x:f>
        <x:v>30323.350151696843</x:v>
      </x:c>
      <x:c r="M18" s="60" t="n">
        <x:f>I18-L18</x:f>
        <x:v>1037.186427108565</x:v>
      </x:c>
      <x:c r="N18" s="62" t="n">
        <x:f>IF(L18=0,"",I18/L18)</x:f>
        <x:v>1.0342042162861258</x:v>
      </x:c>
      <x:c r="O18" s="66" t="n">
        <x:f>IF(L18=0,"",M18/L18)</x:f>
        <x:v>0.03420421628612583</x:v>
      </x:c>
    </x:row>
    <x:row r="19" ht="18" customHeight="1">
      <x:c r="A19" s="46" t="str">
        <x:v>Shrimps</x:v>
      </x:c>
      <x:c r="B19" s="64" t="n">
        <x:v>1</x:v>
      </x:c>
      <x:c r="C19" s="64" t="n">
        <x:v>1</x:v>
      </x:c>
      <x:c r="D19" s="60" t="n">
        <x:v>346.4406094033</x:v>
      </x:c>
      <x:c r="E19" s="60" t="n">
        <x:v>346.4406094033</x:v>
      </x:c>
      <x:c r="F19" s="62" t="n">
        <x:v>0</x:v>
      </x:c>
      <x:c r="G19" s="66" t="n">
        <x:v>1</x:v>
      </x:c>
      <x:c r="H19" s="62" t="n">
        <x:f>IF(E19=0,"",I19/E19)</x:f>
        <x:v>1012.4633005057666</x:v>
      </x:c>
      <x:c r="I19" s="60" t="n">
        <x:f>SUMIF('Species'!$G$2:$G$246,A19,'Species'!$U$2:$U$246)</x:f>
        <x:v>350758.40282569424</x:v>
      </x:c>
      <x:c r="J19" s="62" t="n">
        <x:v>3.31</x:v>
      </x:c>
      <x:c r="K19" s="62" t="n">
        <x:f>IF(J19="","",(1/'Metadata'!$B$5)^(J19-1))</x:f>
        <x:v>1012.4633005057666</x:v>
      </x:c>
      <x:c r="L19" s="60" t="n">
        <x:f>IF(E19=0,"",E19*K19)</x:f>
        <x:v>350758.40282569424</x:v>
      </x:c>
      <x:c r="M19" s="60" t="n">
        <x:f>I19-L19</x:f>
        <x:v>0</x:v>
      </x:c>
      <x:c r="N19" s="62" t="n">
        <x:f>IF(L19=0,"",I19/L19)</x:f>
        <x:v>1</x:v>
      </x:c>
      <x:c r="O19" s="66" t="n">
        <x:f>IF(L19=0,"",M19/L19)</x:f>
        <x:v>0</x:v>
      </x:c>
    </x:row>
    <x:row r="20" ht="18" customHeight="1">
      <x:c r="A20" s="46" t="str">
        <x:v>Small benthopelagics (&lt;30 cm)</x:v>
      </x:c>
      <x:c r="B20" s="64" t="n">
        <x:v>3</x:v>
      </x:c>
      <x:c r="C20" s="64" t="n">
        <x:v>3</x:v>
      </x:c>
      <x:c r="D20" s="60" t="n">
        <x:v>12.4407369775</x:v>
      </x:c>
      <x:c r="E20" s="60" t="n">
        <x:v>12.4407369775</x:v>
      </x:c>
      <x:c r="F20" s="62" t="n">
        <x:v>0</x:v>
      </x:c>
      <x:c r="G20" s="66" t="n">
        <x:v>1</x:v>
      </x:c>
      <x:c r="H20" s="62" t="n">
        <x:f>IF(E20=0,"",I20/E20)</x:f>
        <x:v>662.5336446545745</x:v>
      </x:c>
      <x:c r="I20" s="60" t="n">
        <x:f>SUMIF('Species'!$G$2:$G$246,A20,'Species'!$U$2:$U$246)</x:f>
        <x:v>8242.40681189201</x:v>
      </x:c>
      <x:c r="J20" s="62" t="n">
        <x:v>3.1657528833057436</x:v>
      </x:c>
      <x:c r="K20" s="62" t="n">
        <x:f>IF(J20="","",(1/'Metadata'!$B$5)^(J20-1))</x:f>
        <x:v>657.2180225760176</x:v>
      </x:c>
      <x:c r="L20" s="60" t="n">
        <x:f>IF(E20=0,"",E20*K20)</x:f>
        <x:v>8176.276555740892</x:v>
      </x:c>
      <x:c r="M20" s="60" t="n">
        <x:f>I20-L20</x:f>
        <x:v>66.13025615111746</x:v>
      </x:c>
      <x:c r="N20" s="62" t="n">
        <x:f>IF(L20=0,"",I20/L20)</x:f>
        <x:v>1.0080880649890303</x:v>
      </x:c>
      <x:c r="O20" s="66" t="n">
        <x:f>IF(L20=0,"",M20/L20)</x:f>
        <x:v>0.008088064989030338</x:v>
      </x:c>
    </x:row>
    <x:row r="21" ht="18" customHeight="1">
      <x:c r="A21" s="46" t="str">
        <x:v>Small pelagics (&lt;30 cm)</x:v>
      </x:c>
      <x:c r="B21" s="64" t="n">
        <x:v>11</x:v>
      </x:c>
      <x:c r="C21" s="64" t="n">
        <x:v>11</x:v>
      </x:c>
      <x:c r="D21" s="60" t="n">
        <x:v>83.0208036455</x:v>
      </x:c>
      <x:c r="E21" s="60" t="n">
        <x:v>83.0208036455</x:v>
      </x:c>
      <x:c r="F21" s="62" t="n">
        <x:v>0</x:v>
      </x:c>
      <x:c r="G21" s="66" t="n">
        <x:v>1</x:v>
      </x:c>
      <x:c r="H21" s="62" t="n">
        <x:f>IF(E21=0,"",I21/E21)</x:f>
        <x:v>21859.82965400077</x:v>
      </x:c>
      <x:c r="I21" s="60" t="n">
        <x:f>SUMIF('Species'!$G$2:$G$246,A21,'Species'!$U$2:$U$246)</x:f>
        <x:v>1814820.625428876</x:v>
      </x:c>
      <x:c r="J21" s="62" t="n">
        <x:v>3.988238347428056</x:v>
      </x:c>
      <x:c r="K21" s="62" t="n">
        <x:f>IF(J21="","",(1/'Metadata'!$B$5)^(J21-1))</x:f>
        <x:v>7723.030041699036</x:v>
      </x:c>
      <x:c r="L21" s="60" t="n">
        <x:f>IF(E21=0,"",E21*K21)</x:f>
        <x:v>641172.1606401933</x:v>
      </x:c>
      <x:c r="M21" s="60" t="n">
        <x:f>I21-L21</x:f>
        <x:v>1173648.4647886828</x:v>
      </x:c>
      <x:c r="N21" s="62" t="n">
        <x:f>IF(L21=0,"",I21/L21)</x:f>
        <x:v>2.8304732127122083</x:v>
      </x:c>
      <x:c r="O21" s="66" t="n">
        <x:f>IF(L21=0,"",M21/L21)</x:f>
        <x:v>1.8304732127122085</x:v>
      </x:c>
    </x:row>
    <x:row r="22" ht="18" customHeight="1">
      <x:c r="A22" s="46" t="str">
        <x:v>Small reef assoc. fish (&lt;30 cm)</x:v>
      </x:c>
      <x:c r="B22" s="64" t="n">
        <x:v>3</x:v>
      </x:c>
      <x:c r="C22" s="64" t="n">
        <x:v>3</x:v>
      </x:c>
      <x:c r="D22" s="60" t="n">
        <x:v>0.0017804469</x:v>
      </x:c>
      <x:c r="E22" s="60" t="n">
        <x:v>0.0017804469</x:v>
      </x:c>
      <x:c r="F22" s="62" t="n">
        <x:v>0</x:v>
      </x:c>
      <x:c r="G22" s="66" t="n">
        <x:v>1</x:v>
      </x:c>
      <x:c r="H22" s="62" t="n">
        <x:f>IF(E22=0,"",I22/E22)</x:f>
        <x:v>1734.8009024010587</x:v>
      </x:c>
      <x:c r="I22" s="60" t="n">
        <x:f>SUMIF('Species'!$G$2:$G$246,A22,'Species'!$U$2:$U$246)</x:f>
        <x:v>3.0887208887971678</x:v>
      </x:c>
      <x:c r="J22" s="62" t="n">
        <x:v>3.4889277433660055</x:v>
      </x:c>
      <x:c r="K22" s="62" t="n">
        <x:f>IF(J22="","",(1/'Metadata'!$B$5)^(J22-1))</x:f>
        <x:v>1730.492220156808</x:v>
      </x:c>
      <x:c r="L22" s="60" t="n">
        <x:f>IF(E22=0,"",E22*K22)</x:f>
        <x:v>3.081049508852306</x:v>
      </x:c>
      <x:c r="M22" s="60" t="n">
        <x:f>I22-L22</x:f>
        <x:v>0.007671379944861556</x:v>
      </x:c>
      <x:c r="N22" s="62" t="n">
        <x:f>IF(L22=0,"",I22/L22)</x:f>
        <x:v>1.0024898593556582</x:v>
      </x:c>
      <x:c r="O22" s="66" t="n">
        <x:f>IF(L22=0,"",M22/L22)</x:f>
        <x:v>0.0024898593556580504</x:v>
      </x:c>
    </x:row>
    <x:row r="23" ht="18" customHeight="1">
      <x:c r="A23" s="46" t="str">
        <x:v>Small to medium flatfishes (&lt;90 cm)</x:v>
      </x:c>
      <x:c r="B23" s="64" t="n">
        <x:v>5</x:v>
      </x:c>
      <x:c r="C23" s="64" t="n">
        <x:v>5</x:v>
      </x:c>
      <x:c r="D23" s="60" t="n">
        <x:v>5.206877030600001</x:v>
      </x:c>
      <x:c r="E23" s="60" t="n">
        <x:v>5.206877030600001</x:v>
      </x:c>
      <x:c r="F23" s="62" t="n">
        <x:v>0</x:v>
      </x:c>
      <x:c r="G23" s="66" t="n">
        <x:v>1</x:v>
      </x:c>
      <x:c r="H23" s="62" t="n">
        <x:f>IF(E23=0,"",I23/E23)</x:f>
        <x:v>2522.0651243682714</x:v>
      </x:c>
      <x:c r="I23" s="60" t="n">
        <x:f>SUMIF('Species'!$G$2:$G$246,A23,'Species'!$U$2:$U$246)</x:f>
        <x:v>13132.082965750487</x:v>
      </x:c>
      <x:c r="J23" s="62" t="n">
        <x:v>3.599586581407751</x:v>
      </x:c>
      <x:c r="K23" s="62" t="n">
        <x:f>IF(J23="","",(1/'Metadata'!$B$5)^(J23-1))</x:f>
        <x:v>2410.6830747255353</x:v>
      </x:c>
      <x:c r="L23" s="60" t="n">
        <x:f>IF(E23=0,"",E23*K23)</x:f>
        <x:v>12552.130329844576</x:v>
      </x:c>
      <x:c r="M23" s="60" t="n">
        <x:f>I23-L23</x:f>
        <x:v>579.9526359059109</x:v>
      </x:c>
      <x:c r="N23" s="62" t="n">
        <x:f>IF(L23=0,"",I23/L23)</x:f>
        <x:v>1.0462035224831108</x:v>
      </x:c>
      <x:c r="O23" s="66" t="n">
        <x:f>IF(L23=0,"",M23/L23)</x:f>
        <x:v>0.046203522483110805</x:v>
      </x:c>
    </x:row>
    <x:row r="24" ht="18" customHeight="1">
      <x:c r="A24" s="46" t="str">
        <x:v>Small to medium rays (&lt;90 cm)</x:v>
      </x:c>
      <x:c r="B24" s="64" t="n">
        <x:v>1</x:v>
      </x:c>
      <x:c r="C24" s="64" t="n">
        <x:v>1</x:v>
      </x:c>
      <x:c r="D24" s="60" t="n">
        <x:v>32.2181708923</x:v>
      </x:c>
      <x:c r="E24" s="60" t="n">
        <x:v>32.2181708923</x:v>
      </x:c>
      <x:c r="F24" s="62" t="n">
        <x:v>0</x:v>
      </x:c>
      <x:c r="G24" s="66" t="n">
        <x:v>1</x:v>
      </x:c>
      <x:c r="H24" s="62" t="n">
        <x:f>IF(E24=0,"",I24/E24)</x:f>
        <x:v>3256.724252295237</x:v>
      </x:c>
      <x:c r="I24" s="60" t="n">
        <x:f>SUMIF('Species'!$G$2:$G$246,A24,'Species'!$U$2:$U$246)</x:f>
        <x:v>104925.6985095459</x:v>
      </x:c>
      <x:c r="J24" s="62" t="n">
        <x:v>3.7</x:v>
      </x:c>
      <x:c r="K24" s="62" t="n">
        <x:f>IF(J24="","",(1/'Metadata'!$B$5)^(J24-1))</x:f>
        <x:v>3256.724252295237</x:v>
      </x:c>
      <x:c r="L24" s="60" t="n">
        <x:f>IF(E24=0,"",E24*K24)</x:f>
        <x:v>104925.6985095459</x:v>
      </x:c>
      <x:c r="M24" s="60" t="n">
        <x:f>I24-L24</x:f>
        <x:v>0</x:v>
      </x:c>
      <x:c r="N24" s="62" t="n">
        <x:f>IF(L24=0,"",I24/L24)</x:f>
        <x:v>1</x:v>
      </x:c>
      <x:c r="O24" s="66" t="n">
        <x:f>IF(L24=0,"",M24/L24)</x:f>
        <x:v>0</x:v>
      </x:c>
    </x:row>
    <x:row r="25" ht="18" customHeight="1">
      <x:c r="A25" s="46" t="str">
        <x:v>Small to medium sharks (&lt;90 cm)</x:v>
      </x:c>
      <x:c r="B25" s="64" t="n">
        <x:v>2</x:v>
      </x:c>
      <x:c r="C25" s="64" t="n">
        <x:v>2</x:v>
      </x:c>
      <x:c r="D25" s="60" t="n">
        <x:v>0.927371557</x:v>
      </x:c>
      <x:c r="E25" s="60" t="n">
        <x:v>0.927371557</x:v>
      </x:c>
      <x:c r="F25" s="62" t="n">
        <x:v>0</x:v>
      </x:c>
      <x:c r="G25" s="66" t="n">
        <x:v>1</x:v>
      </x:c>
      <x:c r="H25" s="62" t="n">
        <x:f>IF(E25=0,"",I25/E25)</x:f>
        <x:v>22754.80520925493</x:v>
      </x:c>
      <x:c r="I25" s="60" t="n">
        <x:f>SUMIF('Species'!$G$2:$G$246,A25,'Species'!$U$2:$U$246)</x:f>
        <x:v>21102.159136138453</x:v>
      </x:c>
      <x:c r="J25" s="62" t="n">
        <x:v>4.337056502186857</x:v>
      </x:c>
      <x:c r="K25" s="62" t="n">
        <x:f>IF(J25="","",(1/'Metadata'!$B$5)^(J25-1))</x:f>
        <x:v>21958.901295139825</x:v>
      </x:c>
      <x:c r="L25" s="60" t="n">
        <x:f>IF(E25=0,"",E25*K25)</x:f>
        <x:v>20364.060484083137</x:v>
      </x:c>
      <x:c r="M25" s="60" t="n">
        <x:f>I25-L25</x:f>
        <x:v>738.098652055316</x:v>
      </x:c>
      <x:c r="N25" s="62" t="n">
        <x:f>IF(L25=0,"",I25/L25)</x:f>
        <x:v>1.0362451610587302</x:v>
      </x:c>
      <x:c r="O25" s="66" t="n">
        <x:f>IF(L25=0,"",M25/L25)</x:f>
        <x:v>0.03624516105873017</x:v>
      </x:c>
    </x:row>
  </x:sheetData>
  <x:conditionalFormatting sqref="G2:G25">
    <x:cfRule type="cellIs" dxfId="2" priority="1" operator="lessThan">
      <x:formula>0.9</x:formula>
    </x:cfRule>
  </x:conditionalFormatting>
  <x:conditionalFormatting sqref="O2:O2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76f84db031cc4e8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LME_043</x:v>
      </x:c>
      <x:c r="B2" s="46" t="str">
        <x:v>raw_filtered_tonnes</x:v>
      </x:c>
      <x:c r="C2" s="46" t="n">
        <x:v>30450.9174249122</x:v>
      </x:c>
      <x:c r="D2" s="46" t="str">
        <x:v>tonnes</x:v>
      </x:c>
    </x:row>
    <x:row r="3" ht="18" customHeight="1">
      <x:c r="A3" s="46" t="str">
        <x:v>LME_043</x:v>
      </x:c>
      <x:c r="B3" s="46" t="str">
        <x:v>species_catch_tonnes</x:v>
      </x:c>
      <x:c r="C3" s="46" t="n">
        <x:v>30450.9174249122</x:v>
      </x:c>
      <x:c r="D3" s="46" t="str">
        <x:v>tonnes</x:v>
      </x:c>
    </x:row>
    <x:row r="4" ht="18" customHeight="1">
      <x:c r="A4" s="46" t="str">
        <x:v>LME_043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LME_043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LME_043</x:v>
      </x:c>
      <x:c r="B6" s="46" t="str">
        <x:v>matched_catch_tonnes</x:v>
      </x:c>
      <x:c r="C6" s="46" t="n">
        <x:v>30450.9174249122</x:v>
      </x:c>
      <x:c r="D6" s="46" t="str">
        <x:v>tonnes</x:v>
      </x:c>
    </x:row>
    <x:row r="7" ht="18" customHeight="1">
      <x:c r="A7" s="46" t="str">
        <x:v>LME_043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LME_043</x:v>
      </x:c>
      <x:c r="B8" s="46" t="str">
        <x:v>taxa_count</x:v>
      </x:c>
      <x:c r="C8" s="46" t="n">
        <x:v>245</x:v>
      </x:c>
      <x:c r="D8" s="46" t="str">
        <x:v>count</x:v>
      </x:c>
    </x:row>
    <x:row r="9" ht="18" customHeight="1">
      <x:c r="A9" s="46" t="str">
        <x:v>LME_043</x:v>
      </x:c>
      <x:c r="B9" s="46" t="str">
        <x:v>matched_taxa_count</x:v>
      </x:c>
      <x:c r="C9" s="46" t="n">
        <x:v>245</x:v>
      </x:c>
      <x:c r="D9" s="46" t="str">
        <x:v>count</x:v>
      </x:c>
    </x:row>
    <x:row r="10" ht="18" customHeight="1">
      <x:c r="A10" s="46" t="str">
        <x:v>LME_043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LME_043</x:v>
      </x:c>
      <x:c r="B11" s="46" t="str">
        <x:v>species_ppr</x:v>
      </x:c>
      <x:c r="C11" s="46" t="n">
        <x:v>183526327.9327842</x:v>
      </x:c>
      <x:c r="D11" s="46" t="str">
        <x:v>tonnes_primary_production_equivalent</x:v>
      </x:c>
    </x:row>
    <x:row r="12" ht="18" customHeight="1">
      <x:c r="A12" s="46" t="str">
        <x:v>LME_043</x:v>
      </x:c>
      <x:c r="B12" s="46" t="str">
        <x:v>commercial_ppr</x:v>
      </x:c>
      <x:c r="C12" s="46" t="n">
        <x:v>183526327.93278417</x:v>
      </x:c>
      <x:c r="D12" s="46" t="str">
        <x:v>tonnes_primary_production_equivalent</x:v>
      </x:c>
    </x:row>
    <x:row r="13" ht="18" customHeight="1">
      <x:c r="A13" s="46" t="str">
        <x:v>LME_043</x:v>
      </x:c>
      <x:c r="B13" s="46" t="str">
        <x:v>functional_ppr</x:v>
      </x:c>
      <x:c r="C13" s="46" t="n">
        <x:v>183526327.9327842</x:v>
      </x:c>
      <x:c r="D13" s="46" t="str">
        <x:v>tonnes_primary_production_equivalent</x:v>
      </x:c>
    </x:row>
    <x:row r="14" ht="18" customHeight="1">
      <x:c r="A14" s="46" t="str">
        <x:v>LME_043</x:v>
      </x:c>
      <x:c r="B14" s="46" t="str">
        <x:v>commercial_ppr_difference</x:v>
      </x:c>
      <x:c r="C14" s="46" t="n">
        <x:v>-2.9802322387695312e-8</x:v>
      </x:c>
      <x:c r="D14" s="46" t="str">
        <x:v>tonnes_primary_production_equivalent</x:v>
      </x:c>
    </x:row>
    <x:row r="15" ht="18" customHeight="1">
      <x:c r="A15" s="46" t="str">
        <x:v>LME_043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LME_043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LME_043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LME_043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LME_043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a0c8f477d8274ec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LME_043 - Southwest Australian Shelf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LME_043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raw_data/SAU_downloads/LME_043-catch.zip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