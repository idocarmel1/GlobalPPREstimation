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526f9e408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86419c3e9c040ab"/>
    <x:sheet xmlns:r="http://schemas.openxmlformats.org/officeDocument/2006/relationships" name="Commercial" sheetId="2" r:id="R5165563911a049a9"/>
    <x:sheet xmlns:r="http://schemas.openxmlformats.org/officeDocument/2006/relationships" name="Functional" sheetId="3" r:id="Rf285b30673a64000"/>
    <x:sheet xmlns:r="http://schemas.openxmlformats.org/officeDocument/2006/relationships" name="Missing TL" sheetId="4" r:id="R434bd831afa64b1c"/>
    <x:sheet xmlns:r="http://schemas.openxmlformats.org/officeDocument/2006/relationships" name="Validation" sheetId="5" r:id="R91aa861f4a314346"/>
    <x:sheet xmlns:r="http://schemas.openxmlformats.org/officeDocument/2006/relationships" name="Metadata" sheetId="6" r:id="R1e1c038c7ecb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824f6ba674596" /><Relationship Type="http://schemas.openxmlformats.org/officeDocument/2006/relationships/theme" Target="/xl/theme/theme1.xml" Id="Rc830610485634ff1" /><Relationship Type="http://schemas.openxmlformats.org/officeDocument/2006/relationships/sharedStrings" Target="/xl/sharedStrings.xml" Id="R58d168acd2d9488e" /><Relationship Type="http://schemas.openxmlformats.org/officeDocument/2006/relationships/worksheet" Target="/xl/worksheets/sheet1.xml" Id="Re86419c3e9c040ab" /><Relationship Type="http://schemas.openxmlformats.org/officeDocument/2006/relationships/worksheet" Target="/xl/worksheets/sheet2.xml" Id="R5165563911a049a9" /><Relationship Type="http://schemas.openxmlformats.org/officeDocument/2006/relationships/worksheet" Target="/xl/worksheets/sheet3.xml" Id="Rf285b30673a64000" /><Relationship Type="http://schemas.openxmlformats.org/officeDocument/2006/relationships/worksheet" Target="/xl/worksheets/sheet4.xml" Id="R434bd831afa64b1c" /><Relationship Type="http://schemas.openxmlformats.org/officeDocument/2006/relationships/worksheet" Target="/xl/worksheets/sheet5.xml" Id="R91aa861f4a314346" /><Relationship Type="http://schemas.openxmlformats.org/officeDocument/2006/relationships/worksheet" Target="/xl/worksheets/sheet6.xml" Id="R1e1c038c7ecb48eb" /></Relationships>
</file>

<file path=xl/tables/table1.xml><?xml version="1.0" encoding="utf-8"?>
<x:table xmlns:x="http://schemas.openxmlformats.org/spreadsheetml/2006/main" id="1" name="LME019SpeciesTable" displayName="LME019SpeciesTable" ref="A1:U65" headerRowCount="1" totalsRowCount="0" totalsRowShown="0">
  <x:autoFilter ref="A1:U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9CommercialTable" displayName="LME019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9FunctionalTable" displayName="LME019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9ValidationTable" displayName="LME01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b178e1e7d94c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5f46eeb75444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07ab335c1f4f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aa4ab7e1f2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LME_019</x:v>
      </x:c>
      <x:c r="B2" s="46" t="str">
        <x:v>Greenland Sea</x:v>
      </x:c>
      <x:c r="C2" s="46" t="str">
        <x:v>LME</x:v>
      </x:c>
      <x:c r="D2" s="58" t="n">
        <x:v>2019</x:v>
      </x:c>
      <x:c r="E2" s="46" t="str">
        <x:v>Gadus morhua</x:v>
      </x:c>
      <x:c r="F2" s="46" t="str">
        <x:v>Atlantic cod</x:v>
      </x:c>
      <x:c r="G2" s="46" t="str">
        <x:v>Large benthopelagics (&gt;=90 cm)</x:v>
      </x:c>
      <x:c r="H2" s="46" t="str">
        <x:v>Cod-likes</x:v>
      </x:c>
      <x:c r="I2" s="60" t="n">
        <x:v>35664.8241626968</x:v>
      </x:c>
      <x:c r="J2" s="60" t="n">
        <x:v>32931.8139634021</x:v>
      </x:c>
      <x:c r="K2" s="60" t="n">
        <x:v>2733.0101992946998</x:v>
      </x:c>
      <x:c r="L2" s="60" t="n">
        <x:v>32814.1611192375</x:v>
      </x:c>
      <x:c r="M2" s="60" t="n">
        <x:v>2850.6630434593</x:v>
      </x:c>
      <x:c r="N2" s="46" t="str">
        <x:v>gadus morhua</x:v>
      </x:c>
      <x:c r="O2" s="62" t="n">
        <x:v>4.09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Gadus morhua</x:v>
      </x:c>
      <x:c r="T2" s="62" t="n">
        <x:f>IF(O2="","",(1/'Metadata'!$B$5)^(O2-1))</x:f>
        <x:v>10475.691168449957</x:v>
      </x:c>
      <x:c r="U2" s="60" t="n">
        <x:f>IF(T2="","",I2*T2)</x:f>
        <x:v>373613683.5054835</x:v>
      </x:c>
    </x:row>
    <x:row r="3" ht="18" customHeight="1">
      <x:c r="A3" s="46" t="str">
        <x:v>LME_019</x:v>
      </x:c>
      <x:c r="B3" s="46" t="str">
        <x:v>Greenland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32873.2410165229</x:v>
      </x:c>
      <x:c r="J3" s="60" t="n">
        <x:v>32395.3719795672</x:v>
      </x:c>
      <x:c r="K3" s="60" t="n">
        <x:v>477.8690369557</x:v>
      </x:c>
      <x:c r="L3" s="60" t="n">
        <x:v>32372.283413229</x:v>
      </x:c>
      <x:c r="M3" s="60" t="n">
        <x:v>500.9576032939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30422220.79446121</x:v>
      </x:c>
    </x:row>
    <x:row r="4" ht="18" customHeight="1">
      <x:c r="A4" s="46" t="str">
        <x:v>LME_019</x:v>
      </x:c>
      <x:c r="B4" s="46" t="str">
        <x:v>Greenland Sea</x:v>
      </x:c>
      <x:c r="C4" s="46" t="str">
        <x:v>LME</x:v>
      </x:c>
      <x:c r="D4" s="58" t="n">
        <x:v>2019</x:v>
      </x:c>
      <x:c r="E4" s="46" t="str">
        <x:v>Reinhardtius hippoglossoides</x:v>
      </x:c>
      <x:c r="F4" s="46" t="str">
        <x:v>Greenland halibut</x:v>
      </x:c>
      <x:c r="G4" s="46" t="str">
        <x:v>Small to medium flatfishes (&lt;90 cm)</x:v>
      </x:c>
      <x:c r="H4" s="46" t="str">
        <x:v>Flatfishes</x:v>
      </x:c>
      <x:c r="I4" s="60" t="n">
        <x:v>7174.1142948135</x:v>
      </x:c>
      <x:c r="J4" s="60" t="n">
        <x:v>7165.240237411001</x:v>
      </x:c>
      <x:c r="K4" s="60" t="n">
        <x:v>8.8740574025</x:v>
      </x:c>
      <x:c r="L4" s="60" t="n">
        <x:v>7142.0964922210005</x:v>
      </x:c>
      <x:c r="M4" s="60" t="n">
        <x:v>32.017802592500004</x:v>
      </x:c>
      <x:c r="N4" s="46" t="str">
        <x:v>reinhardtius hippoglossoides</x:v>
      </x:c>
      <x:c r="O4" s="62" t="n">
        <x:v>4.38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Reinhardtius hippoglossoides</x:v>
      </x:c>
      <x:c r="T4" s="62" t="n">
        <x:f>IF(O4="","",(1/'Metadata'!$B$5)^(O4-1))</x:f>
        <x:v>24973.6134538561</x:v>
      </x:c>
      <x:c r="U4" s="60" t="n">
        <x:f>IF(T4="","",I4*T4)</x:f>
        <x:v>179163557.27245578</x:v>
      </x:c>
    </x:row>
    <x:row r="5" ht="18" customHeight="1">
      <x:c r="A5" s="46" t="str">
        <x:v>LME_019</x:v>
      </x:c>
      <x:c r="B5" s="46" t="str">
        <x:v>Greenland Sea</x:v>
      </x:c>
      <x:c r="C5" s="46" t="str">
        <x:v>LME</x:v>
      </x:c>
      <x:c r="D5" s="58" t="n">
        <x:v>2019</x:v>
      </x:c>
      <x:c r="E5" s="46" t="str">
        <x:v>Sebastes norvegicus</x:v>
      </x:c>
      <x:c r="F5" s="46" t="str">
        <x:v>Golden redfish</x:v>
      </x:c>
      <x:c r="G5" s="46" t="str">
        <x:v>Medium benthopelagics (30 - 89 cm)</x:v>
      </x:c>
      <x:c r="H5" s="46" t="str">
        <x:v>Scorpionfishes</x:v>
      </x:c>
      <x:c r="I5" s="60" t="n">
        <x:v>5308.096414566699</x:v>
      </x:c>
      <x:c r="J5" s="60" t="n">
        <x:v>5119.497032761999</x:v>
      </x:c>
      <x:c r="K5" s="60" t="n">
        <x:v>188.5993818047</x:v>
      </x:c>
      <x:c r="L5" s="60" t="n">
        <x:v>5119.497032761999</x:v>
      </x:c>
      <x:c r="M5" s="60" t="n">
        <x:v>188.5993818047</x:v>
      </x:c>
      <x:c r="N5" s="46" t="str">
        <x:v>sebastes norvegicus</x:v>
      </x:c>
      <x:c r="O5" s="62" t="n">
        <x:v>4.04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Sebastes norvegicus</x:v>
      </x:c>
      <x:c r="T5" s="62" t="n">
        <x:f>IF(O5="","",(1/'Metadata'!$B$5)^(O5-1))</x:f>
        <x:v>9018.435152653688</x:v>
      </x:c>
      <x:c r="U5" s="60" t="n">
        <x:f>IF(T5="","",I5*T5)</x:f>
        <x:v>47870723.29880333</x:v>
      </x:c>
    </x:row>
    <x:row r="6" ht="18" customHeight="1">
      <x:c r="A6" s="46" t="str">
        <x:v>LME_019</x:v>
      </x:c>
      <x:c r="B6" s="46" t="str">
        <x:v>Greenland Sea</x:v>
      </x:c>
      <x:c r="C6" s="46" t="str">
        <x:v>LME</x:v>
      </x:c>
      <x:c r="D6" s="58" t="n">
        <x:v>2019</x:v>
      </x:c>
      <x:c r="E6" s="46" t="str">
        <x:v>Sebastes mentella</x:v>
      </x:c>
      <x:c r="F6" s="46" t="str">
        <x:v>Beaked redfish</x:v>
      </x:c>
      <x:c r="G6" s="46" t="str">
        <x:v>Medium bathypelagics (30 - 89 cm)</x:v>
      </x:c>
      <x:c r="H6" s="46" t="str">
        <x:v>Scorpionfishes</x:v>
      </x:c>
      <x:c r="I6" s="60" t="n">
        <x:v>3016.3923402471</x:v>
      </x:c>
      <x:c r="J6" s="60" t="n">
        <x:v>2828.5941826932003</x:v>
      </x:c>
      <x:c r="K6" s="60" t="n">
        <x:v>187.7981575539</x:v>
      </x:c>
      <x:c r="L6" s="60" t="n">
        <x:v>2828.5941826932003</x:v>
      </x:c>
      <x:c r="M6" s="60" t="n">
        <x:v>187.7981575539</x:v>
      </x:c>
      <x:c r="N6" s="46" t="str">
        <x:v>sebastes mentella</x:v>
      </x:c>
      <x:c r="O6" s="62" t="n">
        <x:v>3.65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Sebastes mentella</x:v>
      </x:c>
      <x:c r="T6" s="62" t="n">
        <x:f>IF(O6="","",(1/'Metadata'!$B$5)^(O6-1))</x:f>
        <x:v>2803.6867455443476</x:v>
      </x:c>
      <x:c r="U6" s="60" t="n">
        <x:f>IF(T6="","",I6*T6)</x:f>
        <x:v>8457019.22371229</x:v>
      </x:c>
    </x:row>
    <x:row r="7" ht="18" customHeight="1">
      <x:c r="A7" s="46" t="str">
        <x:v>LME_019</x:v>
      </x:c>
      <x:c r="B7" s="46" t="str">
        <x:v>Greenland Sea</x:v>
      </x:c>
      <x:c r="C7" s="46" t="str">
        <x:v>LME</x:v>
      </x:c>
      <x:c r="D7" s="58" t="n">
        <x:v>2019</x:v>
      </x:c>
      <x:c r="E7" s="46" t="str">
        <x:v>Pandalus borealis</x:v>
      </x:c>
      <x:c r="F7" s="46" t="str">
        <x:v>Northern prawn</x:v>
      </x:c>
      <x:c r="G7" s="46" t="str">
        <x:v>Shrimps</x:v>
      </x:c>
      <x:c r="H7" s="46" t="str">
        <x:v>Crustaceans</x:v>
      </x:c>
      <x:c r="I7" s="60" t="n">
        <x:v>955.2559528649999</x:v>
      </x:c>
      <x:c r="J7" s="60" t="n">
        <x:v>930.5854882069</x:v>
      </x:c>
      <x:c r="K7" s="60" t="n">
        <x:v>24.6704646581</x:v>
      </x:c>
      <x:c r="L7" s="60" t="n">
        <x:v>930.5854882069</x:v>
      </x:c>
      <x:c r="M7" s="60" t="n">
        <x:v>24.6704646581</x:v>
      </x:c>
      <x:c r="N7" s="46" t="str">
        <x:v>pandalus borealis</x:v>
      </x:c>
      <x:c r="O7" s="62" t="n">
        <x:v>3.07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Pandalus borealis</x:v>
      </x:c>
      <x:c r="T7" s="62" t="n">
        <x:f>IF(O7="","",(1/'Metadata'!$B$5)^(O7-1))</x:f>
        <x:v>493.32382598718914</x:v>
      </x:c>
      <x:c r="U7" s="60" t="n">
        <x:f>IF(T7="","",I7*T7)</x:f>
        <x:v>471250.52146439976</x:v>
      </x:c>
    </x:row>
    <x:row r="8" ht="18" customHeight="1">
      <x:c r="A8" s="46" t="str">
        <x:v>LME_019</x:v>
      </x:c>
      <x:c r="B8" s="46" t="str">
        <x:v>Greenland Sea</x:v>
      </x:c>
      <x:c r="C8" s="46" t="str">
        <x:v>LME</x:v>
      </x:c>
      <x:c r="D8" s="58" t="n">
        <x:v>2019</x:v>
      </x:c>
      <x:c r="E8" s="46" t="str">
        <x:v>Melanogrammus aeglefinus</x:v>
      </x:c>
      <x:c r="F8" s="46" t="str">
        <x:v>Haddock</x:v>
      </x:c>
      <x:c r="G8" s="46" t="str">
        <x:v>Medium demersals (30 - 89 cm)</x:v>
      </x:c>
      <x:c r="H8" s="46" t="str">
        <x:v>Cod-likes</x:v>
      </x:c>
      <x:c r="I8" s="60" t="n">
        <x:v>495.0276677995</x:v>
      </x:c>
      <x:c r="J8" s="60" t="n">
        <x:v>494.69109057260005</x:v>
      </x:c>
      <x:c r="K8" s="60" t="n">
        <x:v>0.3365772269</x:v>
      </x:c>
      <x:c r="L8" s="60" t="n">
        <x:v>494.5590515411</x:v>
      </x:c>
      <x:c r="M8" s="60" t="n">
        <x:v>0.4686162584</x:v>
      </x:c>
      <x:c r="N8" s="46" t="str">
        <x:v>melanogrammus aeglefinus</x:v>
      </x:c>
      <x:c r="O8" s="62" t="n">
        <x:v>4.03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Melanogrammus aeglefinus</x:v>
      </x:c>
      <x:c r="T8" s="62" t="n">
        <x:f>IF(O8="","",(1/'Metadata'!$B$5)^(O8-1))</x:f>
        <x:v>8752.273628615554</x:v>
      </x:c>
      <x:c r="U8" s="60" t="n">
        <x:f>IF(T8="","",I8*T8)</x:f>
        <x:v>4332617.602316625</x:v>
      </x:c>
    </x:row>
    <x:row r="9" ht="18" customHeight="1">
      <x:c r="A9" s="46" t="str">
        <x:v>LME_019</x:v>
      </x:c>
      <x:c r="B9" s="46" t="str">
        <x:v>Greenland Sea</x:v>
      </x:c>
      <x:c r="C9" s="46" t="str">
        <x:v>LME</x:v>
      </x:c>
      <x:c r="D9" s="58" t="n">
        <x:v>2019</x:v>
      </x:c>
      <x:c r="E9" s="46" t="str">
        <x:v>Pleuronectes platessa</x:v>
      </x:c>
      <x:c r="F9" s="46" t="str">
        <x:v>European plaice</x:v>
      </x:c>
      <x:c r="G9" s="46" t="str">
        <x:v>Large flatfishes (&gt;=90 cm)</x:v>
      </x:c>
      <x:c r="H9" s="46" t="str">
        <x:v>Flatfishes</x:v>
      </x:c>
      <x:c r="I9" s="60" t="n">
        <x:v>261.6448301612</x:v>
      </x:c>
      <x:c r="J9" s="60" t="n">
        <x:v>256.8553265215</x:v>
      </x:c>
      <x:c r="K9" s="60" t="n">
        <x:v>4.7895036397</x:v>
      </x:c>
      <x:c r="L9" s="60" t="n">
        <x:v>252.08235836010002</x:v>
      </x:c>
      <x:c r="M9" s="60" t="n">
        <x:v>9.562471801100001</x:v>
      </x:c>
      <x:c r="N9" s="46" t="str">
        <x:v>pleuronectes platessa</x:v>
      </x:c>
      <x:c r="O9" s="62" t="n">
        <x:v>3.26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Pleuronectes platessa</x:v>
      </x:c>
      <x:c r="T9" s="62" t="n">
        <x:f>IF(O9="","",(1/'Metadata'!$B$5)^(O9-1))</x:f>
        <x:v>871.6212107848935</x:v>
      </x:c>
      <x:c r="U9" s="60" t="n">
        <x:f>IF(T9="","",I9*T9)</x:f>
        <x:v>228055.18366071297</x:v>
      </x:c>
    </x:row>
    <x:row r="10" ht="18" customHeight="1">
      <x:c r="A10" s="46" t="str">
        <x:v>LME_019</x:v>
      </x:c>
      <x:c r="B10" s="46" t="str">
        <x:v>Greenland Sea</x:v>
      </x:c>
      <x:c r="C10" s="46" t="str">
        <x:v>LME</x:v>
      </x:c>
      <x:c r="D10" s="58" t="n">
        <x:v>2019</x:v>
      </x:c>
      <x:c r="E10" s="46" t="str">
        <x:v>Clupea harengus</x:v>
      </x:c>
      <x:c r="F10" s="46" t="str">
        <x:v>Atlantic herring</x:v>
      </x:c>
      <x:c r="G10" s="46" t="str">
        <x:v>Medium pelagics (30 - 89 cm)</x:v>
      </x:c>
      <x:c r="H10" s="46" t="str">
        <x:v>Herring-likes</x:v>
      </x:c>
      <x:c r="I10" s="60" t="n">
        <x:v>171.4682063955</x:v>
      </x:c>
      <x:c r="J10" s="60" t="n">
        <x:v>171.4648956199</x:v>
      </x:c>
      <x:c r="K10" s="60" t="n">
        <x:v>0.0033107756</x:v>
      </x:c>
      <x:c r="L10" s="60" t="n">
        <x:v>171.4648956199</x:v>
      </x:c>
      <x:c r="M10" s="60" t="n">
        <x:v>0.0033107756</x:v>
      </x:c>
      <x:c r="N10" s="46" t="str">
        <x:v>clupea harengus</x:v>
      </x:c>
      <x:c r="O10" s="62" t="n">
        <x:v>3.38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Clupea harengus</x:v>
      </x:c>
      <x:c r="T10" s="62" t="n">
        <x:f>IF(O10="","",(1/'Metadata'!$B$5)^(O10-1))</x:f>
        <x:v>1248.6806726928048</x:v>
      </x:c>
      <x:c r="U10" s="60" t="n">
        <x:f>IF(T10="","",I10*T10)</x:f>
        <x:v>214109.03530736166</x:v>
      </x:c>
    </x:row>
    <x:row r="11" ht="18" customHeight="1">
      <x:c r="A11" s="46" t="str">
        <x:v>LME_019</x:v>
      </x:c>
      <x:c r="B11" s="46" t="str">
        <x:v>Greenland Sea</x:v>
      </x:c>
      <x:c r="C11" s="46" t="str">
        <x:v>LME</x:v>
      </x:c>
      <x:c r="D11" s="58" t="n">
        <x:v>2019</x:v>
      </x:c>
      <x:c r="E11" s="46" t="str">
        <x:v>Perciformes</x:v>
      </x:c>
      <x:c r="F11" s="46" t="str">
        <x:v>Perch-likes</x:v>
      </x:c>
      <x:c r="G11" s="46" t="str">
        <x:v>Medium demersals (30 - 89 cm)</x:v>
      </x:c>
      <x:c r="H11" s="46" t="str">
        <x:v>Perch-likes</x:v>
      </x:c>
      <x:c r="I11" s="60" t="n">
        <x:v>134.6444490137</x:v>
      </x:c>
      <x:c r="J11" s="60" t="n">
        <x:v>134.6444490137</x:v>
      </x:c>
      <x:c r="K11" s="60" t="n">
        <x:v>0</x:v>
      </x:c>
      <x:c r="L11" s="60" t="n">
        <x:v>134.6444490137</x:v>
      </x:c>
      <x:c r="M11" s="60" t="n">
        <x:v>0</x:v>
      </x:c>
      <x:c r="N11" s="46" t="str">
        <x:v>perciformes</x:v>
      </x:c>
      <x:c r="O11" s="62" t="n">
        <x:v>3.53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Perciformes</x:v>
      </x:c>
      <x:c r="T11" s="62" t="n">
        <x:f>IF(O11="","",(1/'Metadata'!$B$5)^(O11-1))</x:f>
        <x:v>1957.0678791263101</x:v>
      </x:c>
      <x:c r="U11" s="60" t="n">
        <x:f>IF(T11="","",I11*T11)</x:f>
        <x:v>263508.32626737247</x:v>
      </x:c>
    </x:row>
    <x:row r="12" ht="18" customHeight="1">
      <x:c r="A12" s="46" t="str">
        <x:v>LME_019</x:v>
      </x:c>
      <x:c r="B12" s="46" t="str">
        <x:v>Greenland Sea</x:v>
      </x:c>
      <x:c r="C12" s="46" t="str">
        <x:v>LME</x:v>
      </x:c>
      <x:c r="D12" s="58" t="n">
        <x:v>2019</x:v>
      </x:c>
      <x:c r="E12" s="46" t="str">
        <x:v>Micromesistius poutassou</x:v>
      </x:c>
      <x:c r="F12" s="46" t="str">
        <x:v>Blue whiting</x:v>
      </x:c>
      <x:c r="G12" s="46" t="str">
        <x:v>Medium benthopelagics (30 - 89 cm)</x:v>
      </x:c>
      <x:c r="H12" s="46" t="str">
        <x:v>Cod-likes</x:v>
      </x:c>
      <x:c r="I12" s="60" t="n">
        <x:v>107.6291198957</x:v>
      </x:c>
      <x:c r="J12" s="60" t="n">
        <x:v>104.5498094052</x:v>
      </x:c>
      <x:c r="K12" s="60" t="n">
        <x:v>3.0793104904999997</x:v>
      </x:c>
      <x:c r="L12" s="60" t="n">
        <x:v>104.5498094052</x:v>
      </x:c>
      <x:c r="M12" s="60" t="n">
        <x:v>3.0793104904999997</x:v>
      </x:c>
      <x:c r="N12" s="46" t="str">
        <x:v>micromesistius poutassou</x:v>
      </x:c>
      <x:c r="O12" s="62" t="n">
        <x:v>4.13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Micromesistius poutassou</x:v>
      </x:c>
      <x:c r="T12" s="62" t="n">
        <x:f>IF(O12="","",(1/'Metadata'!$B$5)^(O12-1))</x:f>
        <x:v>11809.292685236613</x:v>
      </x:c>
      <x:c r="U12" s="60" t="n">
        <x:f>IF(T12="","",I12*T12)</x:f>
        <x:v>1271023.7783027445</x:v>
      </x:c>
    </x:row>
    <x:row r="13" ht="18" customHeight="1">
      <x:c r="A13" s="46" t="str">
        <x:v>LME_019</x:v>
      </x:c>
      <x:c r="B13" s="46" t="str">
        <x:v>Greenland Sea</x:v>
      </x:c>
      <x:c r="C13" s="46" t="str">
        <x:v>LME</x:v>
      </x:c>
      <x:c r="D13" s="58" t="n">
        <x:v>2019</x:v>
      </x:c>
      <x:c r="E13" s="46" t="str">
        <x:v>Brosme brosme</x:v>
      </x:c>
      <x:c r="F13" s="46" t="str">
        <x:v>Tusk</x:v>
      </x:c>
      <x:c r="G13" s="46" t="str">
        <x:v>Large demersals (&gt;=90 cm)</x:v>
      </x:c>
      <x:c r="H13" s="46" t="str">
        <x:v>Cod-likes</x:v>
      </x:c>
      <x:c r="I13" s="60" t="n">
        <x:v>105.850831181</x:v>
      </x:c>
      <x:c r="J13" s="60" t="n">
        <x:v>103.3457247062</x:v>
      </x:c>
      <x:c r="K13" s="60" t="n">
        <x:v>2.5051064748000003</x:v>
      </x:c>
      <x:c r="L13" s="60" t="n">
        <x:v>103.3457247062</x:v>
      </x:c>
      <x:c r="M13" s="60" t="n">
        <x:v>2.5051064748000003</x:v>
      </x:c>
      <x:c r="N13" s="46" t="str">
        <x:v>brosme brosme</x:v>
      </x:c>
      <x:c r="O13" s="62" t="n">
        <x:v>3.9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Brosme brosme</x:v>
      </x:c>
      <x:c r="T13" s="62" t="n">
        <x:f>IF(O13="","",(1/'Metadata'!$B$5)^(O13-1))</x:f>
        <x:v>5929.07559285558</x:v>
      </x:c>
      <x:c r="U13" s="60" t="n">
        <x:f>IF(T13="","",I13*T13)</x:f>
        <x:v>627597.5796387435</x:v>
      </x:c>
    </x:row>
    <x:row r="14" ht="18" customHeight="1">
      <x:c r="A14" s="46" t="str">
        <x:v>LME_019</x:v>
      </x:c>
      <x:c r="B14" s="46" t="str">
        <x:v>Greenland Sea</x:v>
      </x:c>
      <x:c r="C14" s="46" t="str">
        <x:v>LME</x:v>
      </x:c>
      <x:c r="D14" s="58" t="n">
        <x:v>2019</x:v>
      </x:c>
      <x:c r="E14" s="46" t="str">
        <x:v>Elasmobranchii</x:v>
      </x:c>
      <x:c r="F14" s="46" t="str">
        <x:v>Sharks, rays, skates</x:v>
      </x:c>
      <x:c r="G14" s="46" t="str">
        <x:v>Large sharks (&gt;=90 cm)</x:v>
      </x:c>
      <x:c r="H14" s="46" t="str">
        <x:v>Sharks &amp; rays</x:v>
      </x:c>
      <x:c r="I14" s="60" t="n">
        <x:v>103.5279945743</x:v>
      </x:c>
      <x:c r="J14" s="60" t="n">
        <x:v>0.0407658413</x:v>
      </x:c>
      <x:c r="K14" s="60" t="n">
        <x:v>103.487228733</x:v>
      </x:c>
      <x:c r="L14" s="60" t="n">
        <x:v>0.0407658413</x:v>
      </x:c>
      <x:c r="M14" s="60" t="n">
        <x:v>103.487228733</x:v>
      </x:c>
      <x:c r="N14" s="46" t="str">
        <x:v>elasmobranchii</x:v>
      </x:c>
      <x:c r="O14" s="62" t="n">
        <x:v>4.05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Elasmobranchii</x:v>
      </x:c>
      <x:c r="T14" s="62" t="n">
        <x:f>IF(O14="","",(1/'Metadata'!$B$5)^(O14-1))</x:f>
        <x:v>9292.690797132333</x:v>
      </x:c>
      <x:c r="U14" s="60" t="n">
        <x:f>IF(T14="","",I14*T14)</x:f>
        <x:v>962053.6424261637</x:v>
      </x:c>
    </x:row>
    <x:row r="15" ht="18" customHeight="1">
      <x:c r="A15" s="46" t="str">
        <x:v>LME_019</x:v>
      </x:c>
      <x:c r="B15" s="46" t="str">
        <x:v>Greenland Sea</x:v>
      </x:c>
      <x:c r="C15" s="46" t="str">
        <x:v>LME</x:v>
      </x:c>
      <x:c r="D15" s="58" t="n">
        <x:v>2019</x:v>
      </x:c>
      <x:c r="E15" s="46" t="str">
        <x:v>Anarhichas denticulatus</x:v>
      </x:c>
      <x:c r="F15" s="46" t="str">
        <x:v>Northern wolffish</x:v>
      </x:c>
      <x:c r="G15" s="46" t="str">
        <x:v>Large benthopelagics (&gt;=90 cm)</x:v>
      </x:c>
      <x:c r="H15" s="46" t="str">
        <x:v>Perch-likes</x:v>
      </x:c>
      <x:c r="I15" s="60" t="n">
        <x:v>97.4363906322</x:v>
      </x:c>
      <x:c r="J15" s="60" t="n">
        <x:v>97.41123599160001</x:v>
      </x:c>
      <x:c r="K15" s="60" t="n">
        <x:v>0.0251546406</x:v>
      </x:c>
      <x:c r="L15" s="60" t="n">
        <x:v>97.41123599160001</x:v>
      </x:c>
      <x:c r="M15" s="60" t="n">
        <x:v>0.0251546406</x:v>
      </x:c>
      <x:c r="N15" s="46" t="str">
        <x:v>anarhichas denticulatus</x:v>
      </x:c>
      <x:c r="O15" s="62" t="n">
        <x:v>3.75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Anarhichas denticulatus</x:v>
      </x:c>
      <x:c r="T15" s="62" t="n">
        <x:f>IF(O15="","",(1/'Metadata'!$B$5)^(O15-1))</x:f>
        <x:v>3782.966436012703</x:v>
      </x:c>
      <x:c r="U15" s="60" t="n">
        <x:f>IF(T15="","",I15*T15)</x:f>
        <x:v>368598.59540783515</x:v>
      </x:c>
    </x:row>
    <x:row r="16" ht="18" customHeight="1">
      <x:c r="A16" s="46" t="str">
        <x:v>LME_019</x:v>
      </x:c>
      <x:c r="B16" s="46" t="str">
        <x:v>Greenland Sea</x:v>
      </x:c>
      <x:c r="C16" s="46" t="str">
        <x:v>LME</x:v>
      </x:c>
      <x:c r="D16" s="58" t="n">
        <x:v>2019</x:v>
      </x:c>
      <x:c r="E16" s="46" t="str">
        <x:v>Sebastes</x:v>
      </x:c>
      <x:c r="F16" s="46" t="str">
        <x:v>Redfishes</x:v>
      </x:c>
      <x:c r="G16" s="46" t="str">
        <x:v>Large reef assoc. fish (&gt;=90 cm)</x:v>
      </x:c>
      <x:c r="H16" s="46" t="str">
        <x:v>Scorpionfishes</x:v>
      </x:c>
      <x:c r="I16" s="60" t="n">
        <x:v>94.7742200645</x:v>
      </x:c>
      <x:c r="J16" s="60" t="n">
        <x:v>94.14665843360001</x:v>
      </x:c>
      <x:c r="K16" s="60" t="n">
        <x:v>0.6275616309</x:v>
      </x:c>
      <x:c r="L16" s="60" t="n">
        <x:v>89.21521999330001</x:v>
      </x:c>
      <x:c r="M16" s="60" t="n">
        <x:v>5.5590000712</x:v>
      </x:c>
      <x:c r="N16" s="46" t="str">
        <x:v>sebastes</x:v>
      </x:c>
      <x:c r="O16" s="62" t="n">
        <x:v>3.79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Sebastes</x:v>
      </x:c>
      <x:c r="T16" s="62" t="n">
        <x:f>IF(O16="","",(1/'Metadata'!$B$5)^(O16-1))</x:f>
        <x:v>4264.554685980751</x:v>
      </x:c>
      <x:c r="U16" s="60" t="n">
        <x:f>IF(T16="","",I16*T16)</x:f>
        <x:v>404169.8442862344</x:v>
      </x:c>
    </x:row>
    <x:row r="17" ht="18" customHeight="1">
      <x:c r="A17" s="46" t="str">
        <x:v>LME_019</x:v>
      </x:c>
      <x:c r="B17" s="46" t="str">
        <x:v>Greenland Sea</x:v>
      </x:c>
      <x:c r="C17" s="46" t="str">
        <x:v>LME</x:v>
      </x:c>
      <x:c r="D17" s="58" t="n">
        <x:v>2019</x:v>
      </x:c>
      <x:c r="E17" s="46" t="str">
        <x:v>Squaliformes</x:v>
      </x:c>
      <x:c r="F17" s="46" t="str">
        <x:v>Bramble, sleeper, dogfish sharks</x:v>
      </x:c>
      <x:c r="G17" s="46" t="str">
        <x:v>Large sharks (&gt;=90 cm)</x:v>
      </x:c>
      <x:c r="H17" s="46" t="str">
        <x:v>Sharks &amp; rays</x:v>
      </x:c>
      <x:c r="I17" s="60" t="n">
        <x:v>88.4639759877</x:v>
      </x:c>
      <x:c r="J17" s="60" t="n">
        <x:v>0</x:v>
      </x:c>
      <x:c r="K17" s="60" t="n">
        <x:v>88.4639759877</x:v>
      </x:c>
      <x:c r="L17" s="60" t="n">
        <x:v>0</x:v>
      </x:c>
      <x:c r="M17" s="60" t="n">
        <x:v>88.4639759877</x:v>
      </x:c>
      <x:c r="N17" s="46" t="str">
        <x:v>squaliformes</x:v>
      </x:c>
      <x:c r="O17" s="62" t="n">
        <x:v>4.19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Squaliformes</x:v>
      </x:c>
      <x:c r="T17" s="62" t="n">
        <x:f>IF(O17="","",(1/'Metadata'!$B$5)^(O17-1))</x:f>
        <x:v>14134.67041111498</x:v>
      </x:c>
      <x:c r="U17" s="60" t="n">
        <x:f>IF(T17="","",I17*T17)</x:f>
        <x:v>1250409.143842929</x:v>
      </x:c>
    </x:row>
    <x:row r="18" ht="18" customHeight="1">
      <x:c r="A18" s="46" t="str">
        <x:v>LME_019</x:v>
      </x:c>
      <x:c r="B18" s="46" t="str">
        <x:v>Greenland Sea</x:v>
      </x:c>
      <x:c r="C18" s="46" t="str">
        <x:v>LME</x:v>
      </x:c>
      <x:c r="D18" s="58" t="n">
        <x:v>2019</x:v>
      </x:c>
      <x:c r="E18" s="46" t="str">
        <x:v>Coryphaenoides rupestris</x:v>
      </x:c>
      <x:c r="F18" s="46" t="str">
        <x:v>Roundnose grenadier</x:v>
      </x:c>
      <x:c r="G18" s="46" t="str">
        <x:v>Large bathypelagics (&gt;=90 cm)</x:v>
      </x:c>
      <x:c r="H18" s="46" t="str">
        <x:v>Cod-likes</x:v>
      </x:c>
      <x:c r="I18" s="60" t="n">
        <x:v>59.4047536078</x:v>
      </x:c>
      <x:c r="J18" s="60" t="n">
        <x:v>59.4045998094</x:v>
      </x:c>
      <x:c r="K18" s="60" t="n">
        <x:v>0.0001537984</x:v>
      </x:c>
      <x:c r="L18" s="60" t="n">
        <x:v>59.4045998094</x:v>
      </x:c>
      <x:c r="M18" s="60" t="n">
        <x:v>0.0001537984</x:v>
      </x:c>
      <x:c r="N18" s="46" t="str">
        <x:v>coryphaenoides rupestris</x:v>
      </x:c>
      <x:c r="O18" s="62" t="n">
        <x:v>3.54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Coryphaenoides rupestris</x:v>
      </x:c>
      <x:c r="T18" s="62" t="n">
        <x:f>IF(O18="","",(1/'Metadata'!$B$5)^(O18-1))</x:f>
        <x:v>2016.5834052007342</x:v>
      </x:c>
      <x:c r="U18" s="60" t="n">
        <x:f>IF(T18="","",I18*T18)</x:f>
        <x:v>119794.64031552791</x:v>
      </x:c>
    </x:row>
    <x:row r="19" ht="18" customHeight="1">
      <x:c r="A19" s="46" t="str">
        <x:v>LME_019</x:v>
      </x:c>
      <x:c r="B19" s="46" t="str">
        <x:v>Greenland Sea</x:v>
      </x:c>
      <x:c r="C19" s="46" t="str">
        <x:v>LME</x:v>
      </x:c>
      <x:c r="D19" s="58" t="n">
        <x:v>2019</x:v>
      </x:c>
      <x:c r="E19" s="46" t="str">
        <x:v>Somniosus microcephalus</x:v>
      </x:c>
      <x:c r="F19" s="46" t="str">
        <x:v>Greenland shark</x:v>
      </x:c>
      <x:c r="G19" s="46" t="str">
        <x:v>Large sharks (&gt;=90 cm)</x:v>
      </x:c>
      <x:c r="H19" s="46" t="str">
        <x:v>Sharks &amp; rays</x:v>
      </x:c>
      <x:c r="I19" s="60" t="n">
        <x:v>38.7559565674</x:v>
      </x:c>
      <x:c r="J19" s="60" t="n">
        <x:v>38.7559565674</x:v>
      </x:c>
      <x:c r="K19" s="60" t="n">
        <x:v>0</x:v>
      </x:c>
      <x:c r="L19" s="60" t="n">
        <x:v>38.7559565674</x:v>
      </x:c>
      <x:c r="M19" s="60" t="n">
        <x:v>0</x:v>
      </x:c>
      <x:c r="N19" s="46" t="str">
        <x:v>somniosus microcephalus</x:v>
      </x:c>
      <x:c r="O19" s="62" t="n">
        <x:v>4.22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Somniosus microcephalus</x:v>
      </x:c>
      <x:c r="T19" s="62" t="n">
        <x:f>IF(O19="","",(1/'Metadata'!$B$5)^(O19-1))</x:f>
        <x:v>15463.812886046735</x:v>
      </x:c>
      <x:c r="U19" s="60" t="n">
        <x:f>IF(T19="","",I19*T19)</x:f>
        <x:v>599314.8605780277</x:v>
      </x:c>
    </x:row>
    <x:row r="20" ht="18" customHeight="1">
      <x:c r="A20" s="46" t="str">
        <x:v>LME_019</x:v>
      </x:c>
      <x:c r="B20" s="46" t="str">
        <x:v>Greenland Sea</x:v>
      </x:c>
      <x:c r="C20" s="46" t="str">
        <x:v>LME</x:v>
      </x:c>
      <x:c r="D20" s="58" t="n">
        <x:v>2019</x:v>
      </x:c>
      <x:c r="E20" s="46" t="str">
        <x:v>Marine finfishes not identified</x:v>
      </x:c>
      <x:c r="F20" s="46" t="str">
        <x:v>Finfishes</x:v>
      </x:c>
      <x:c r="G20" s="46" t="str">
        <x:v>Medium demersals (30 - 89 cm)</x:v>
      </x:c>
      <x:c r="H20" s="46" t="str">
        <x:v>Other fishes &amp; inverts</x:v>
      </x:c>
      <x:c r="I20" s="60" t="n">
        <x:v>35.6270304682</x:v>
      </x:c>
      <x:c r="J20" s="60" t="n">
        <x:v>24.0244565354</x:v>
      </x:c>
      <x:c r="K20" s="60" t="n">
        <x:v>11.6025739328</x:v>
      </x:c>
      <x:c r="L20" s="60" t="n">
        <x:v>24.0244565354</x:v>
      </x:c>
      <x:c r="M20" s="60" t="n">
        <x:v>11.6025739328</x:v>
      </x:c>
      <x:c r="N20" s="46" t="str">
        <x:v>marine finfishes not identified</x:v>
      </x:c>
      <x:c r="O20" s="62" t="n">
        <x:v>3.23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Marine finfishes not identified</x:v>
      </x:c>
      <x:c r="T20" s="62" t="n">
        <x:f>IF(O20="","",(1/'Metadata'!$B$5)^(O20-1))</x:f>
        <x:v>796.7038031673321</x:v>
      </x:c>
      <x:c r="U20" s="60" t="n">
        <x:f>IF(T20="","",I20*T20)</x:f>
        <x:v>28384.190669573356</x:v>
      </x:c>
    </x:row>
    <x:row r="21" ht="18" customHeight="1">
      <x:c r="A21" s="46" t="str">
        <x:v>LME_019</x:v>
      </x:c>
      <x:c r="B21" s="46" t="str">
        <x:v>Greenland Sea</x:v>
      </x:c>
      <x:c r="C21" s="46" t="str">
        <x:v>LME</x:v>
      </x:c>
      <x:c r="D21" s="58" t="n">
        <x:v>2019</x:v>
      </x:c>
      <x:c r="E21" s="46" t="str">
        <x:v>Salmo salar</x:v>
      </x:c>
      <x:c r="F21" s="46" t="str">
        <x:v>Atlantic salmon</x:v>
      </x:c>
      <x:c r="G21" s="46" t="str">
        <x:v>Large benthopelagics (&gt;=90 cm)</x:v>
      </x:c>
      <x:c r="H21" s="46" t="str">
        <x:v>Salmon, smelts, etc</x:v>
      </x:c>
      <x:c r="I21" s="60" t="n">
        <x:v>28.6987572264</x:v>
      </x:c>
      <x:c r="J21" s="60" t="n">
        <x:v>28.6987572264</x:v>
      </x:c>
      <x:c r="K21" s="60" t="n">
        <x:v>0</x:v>
      </x:c>
      <x:c r="L21" s="60" t="n">
        <x:v>0</x:v>
      </x:c>
      <x:c r="M21" s="60" t="n">
        <x:v>28.6987572264</x:v>
      </x:c>
      <x:c r="N21" s="46" t="str">
        <x:v>salmo salar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Salmo salar</x:v>
      </x:c>
      <x:c r="T21" s="62" t="n">
        <x:f>IF(O21="","",(1/'Metadata'!$B$5)^(O21-1))</x:f>
        <x:v>35777.08763999664</x:v>
      </x:c>
      <x:c r="U21" s="60" t="n">
        <x:f>IF(T21="","",I21*T21)</x:f>
        <x:v>1026757.9524478996</x:v>
      </x:c>
    </x:row>
    <x:row r="22" ht="18" customHeight="1">
      <x:c r="A22" s="46" t="str">
        <x:v>LME_019</x:v>
      </x:c>
      <x:c r="B22" s="46" t="str">
        <x:v>Greenland Sea</x:v>
      </x:c>
      <x:c r="C22" s="46" t="str">
        <x:v>LME</x:v>
      </x:c>
      <x:c r="D22" s="58" t="n">
        <x:v>2019</x:v>
      </x:c>
      <x:c r="E22" s="46" t="str">
        <x:v>Molva dypterygia</x:v>
      </x:c>
      <x:c r="F22" s="46" t="str">
        <x:v>Blue ling</x:v>
      </x:c>
      <x:c r="G22" s="46" t="str">
        <x:v>Large demersals (&gt;=90 cm)</x:v>
      </x:c>
      <x:c r="H22" s="46" t="str">
        <x:v>Cod-likes</x:v>
      </x:c>
      <x:c r="I22" s="60" t="n">
        <x:v>27.127886586600003</x:v>
      </x:c>
      <x:c r="J22" s="60" t="n">
        <x:v>27.124764274100002</x:v>
      </x:c>
      <x:c r="K22" s="60" t="n">
        <x:v>0.0031223125</x:v>
      </x:c>
      <x:c r="L22" s="60" t="n">
        <x:v>27.1000793828</x:v>
      </x:c>
      <x:c r="M22" s="60" t="n">
        <x:v>0.027807203800000003</x:v>
      </x:c>
      <x:c r="N22" s="46" t="str">
        <x:v>molva dypterygia</x:v>
      </x:c>
      <x:c r="O22" s="62" t="n">
        <x:v>4.49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Molva dypterygia</x:v>
      </x:c>
      <x:c r="T22" s="62" t="n">
        <x:f>IF(O22="","",(1/'Metadata'!$B$5)^(O22-1))</x:f>
        <x:v>34721.19667768202</x:v>
      </x:c>
      <x:c r="U22" s="60" t="n">
        <x:f>IF(T22="","",I22*T22)</x:f>
        <x:v>941912.6856231906</x:v>
      </x:c>
    </x:row>
    <x:row r="23" ht="18" customHeight="1">
      <x:c r="A23" s="46" t="str">
        <x:v>LME_019</x:v>
      </x:c>
      <x:c r="B23" s="46" t="str">
        <x:v>Greenland Sea</x:v>
      </x:c>
      <x:c r="C23" s="46" t="str">
        <x:v>LME</x:v>
      </x:c>
      <x:c r="D23" s="58" t="n">
        <x:v>2019</x:v>
      </x:c>
      <x:c r="E23" s="46" t="str">
        <x:v>Anarhichadidae</x:v>
      </x:c>
      <x:c r="F23" s="46" t="str">
        <x:v>Wolffishes, wolfeels</x:v>
      </x:c>
      <x:c r="G23" s="46" t="str">
        <x:v>Large demersals (&gt;=90 cm)</x:v>
      </x:c>
      <x:c r="H23" s="46" t="str">
        <x:v>Perch-likes</x:v>
      </x:c>
      <x:c r="I23" s="60" t="n">
        <x:v>24.8891755556</x:v>
      </x:c>
      <x:c r="J23" s="60" t="n">
        <x:v>24.8891755556</x:v>
      </x:c>
      <x:c r="K23" s="60" t="n">
        <x:v>0</x:v>
      </x:c>
      <x:c r="L23" s="60" t="n">
        <x:v>19.8666732031</x:v>
      </x:c>
      <x:c r="M23" s="60" t="n">
        <x:v>5.0225023525</x:v>
      </x:c>
      <x:c r="N23" s="46" t="str">
        <x:v>anarhichadidae</x:v>
      </x:c>
      <x:c r="O23" s="62" t="n">
        <x:v>3.47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Anarhichadidae</x:v>
      </x:c>
      <x:c r="T23" s="62" t="n">
        <x:f>IF(O23="","",(1/'Metadata'!$B$5)^(O23-1))</x:f>
        <x:v>1635.0991368927735</x:v>
      </x:c>
      <x:c r="U23" s="60" t="n">
        <x:f>IF(T23="","",I23*T23)</x:f>
        <x:v>40696.269468934275</x:v>
      </x:c>
    </x:row>
    <x:row r="24" ht="18" customHeight="1">
      <x:c r="A24" s="46" t="str">
        <x:v>LME_019</x:v>
      </x:c>
      <x:c r="B24" s="46" t="str">
        <x:v>Greenland Sea</x:v>
      </x:c>
      <x:c r="C24" s="46" t="str">
        <x:v>LME</x:v>
      </x:c>
      <x:c r="D24" s="58" t="n">
        <x:v>2019</x:v>
      </x:c>
      <x:c r="E24" s="46" t="str">
        <x:v>Chondrichthyes</x:v>
      </x:c>
      <x:c r="F24" s="46" t="str">
        <x:v>Sharks, rays, chimaeras</x:v>
      </x:c>
      <x:c r="G24" s="46" t="str">
        <x:v>Large sharks (&gt;=90 cm)</x:v>
      </x:c>
      <x:c r="H24" s="46" t="str">
        <x:v>Sharks &amp; rays</x:v>
      </x:c>
      <x:c r="I24" s="60" t="n">
        <x:v>22.628285619899998</x:v>
      </x:c>
      <x:c r="J24" s="60" t="n">
        <x:v>22.628285619899998</x:v>
      </x:c>
      <x:c r="K24" s="60" t="n">
        <x:v>0</x:v>
      </x:c>
      <x:c r="L24" s="60" t="n">
        <x:v>22.628285619899998</x:v>
      </x:c>
      <x:c r="M24" s="60" t="n">
        <x:v>0</x:v>
      </x:c>
      <x:c r="N24" s="46" t="str">
        <x:v>chondrichthyes</x:v>
      </x:c>
      <x:c r="O24" s="62" t="n">
        <x:v>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Chondrichthyes</x:v>
      </x:c>
      <x:c r="T24" s="62" t="n">
        <x:f>IF(O24="","",(1/'Metadata'!$B$5)^(O24-1))</x:f>
        <x:v>8000</x:v>
      </x:c>
      <x:c r="U24" s="60" t="n">
        <x:f>IF(T24="","",I24*T24)</x:f>
        <x:v>181026.28495919998</x:v>
      </x:c>
    </x:row>
    <x:row r="25" ht="18" customHeight="1">
      <x:c r="A25" s="46" t="str">
        <x:v>LME_019</x:v>
      </x:c>
      <x:c r="B25" s="46" t="str">
        <x:v>Greenland Sea</x:v>
      </x:c>
      <x:c r="C25" s="46" t="str">
        <x:v>LME</x:v>
      </x:c>
      <x:c r="D25" s="58" t="n">
        <x:v>2019</x:v>
      </x:c>
      <x:c r="E25" s="46" t="str">
        <x:v>Anarhichas minor</x:v>
      </x:c>
      <x:c r="F25" s="46" t="str">
        <x:v>Spotted wolffish</x:v>
      </x:c>
      <x:c r="G25" s="46" t="str">
        <x:v>Large demersals (&gt;=90 cm)</x:v>
      </x:c>
      <x:c r="H25" s="46" t="str">
        <x:v>Perch-likes</x:v>
      </x:c>
      <x:c r="I25" s="60" t="n">
        <x:v>21.9702996416</x:v>
      </x:c>
      <x:c r="J25" s="60" t="n">
        <x:v>21.9702996416</x:v>
      </x:c>
      <x:c r="K25" s="60" t="n">
        <x:v>0</x:v>
      </x:c>
      <x:c r="L25" s="60" t="n">
        <x:v>21.9702996416</x:v>
      </x:c>
      <x:c r="M25" s="60" t="n">
        <x:v>0</x:v>
      </x:c>
      <x:c r="N25" s="46" t="str">
        <x:v>anarhichas minor</x:v>
      </x:c>
      <x:c r="O25" s="62" t="n">
        <x:v>3.45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Anarhichas minor</x:v>
      </x:c>
      <x:c r="T25" s="62" t="n">
        <x:f>IF(O25="","",(1/'Metadata'!$B$5)^(O25-1))</x:f>
        <x:v>1540.009817222681</x:v>
      </x:c>
      <x:c r="U25" s="60" t="n">
        <x:f>IF(T25="","",I25*T25)</x:f>
        <x:v>33834.47713538795</x:v>
      </x:c>
    </x:row>
    <x:row r="26" ht="18" customHeight="1">
      <x:c r="A26" s="46" t="str">
        <x:v>LME_019</x:v>
      </x:c>
      <x:c r="B26" s="46" t="str">
        <x:v>Greenland Sea</x:v>
      </x:c>
      <x:c r="C26" s="46" t="str">
        <x:v>LME</x:v>
      </x:c>
      <x:c r="D26" s="58" t="n">
        <x:v>2019</x:v>
      </x:c>
      <x:c r="E26" s="46" t="str">
        <x:v>Miscellaneous marine crustaceans</x:v>
      </x:c>
      <x:c r="F26" s="46" t="str">
        <x:v>Marine crabs, shrimps, lobsters nei</x:v>
      </x:c>
      <x:c r="G26" s="46" t="str">
        <x:v>Shrimps</x:v>
      </x:c>
      <x:c r="H26" s="46" t="str">
        <x:v>Crustaceans</x:v>
      </x:c>
      <x:c r="I26" s="60" t="n">
        <x:v>21.6407408437</x:v>
      </x:c>
      <x:c r="J26" s="60" t="n">
        <x:v>0.0656423692</x:v>
      </x:c>
      <x:c r="K26" s="60" t="n">
        <x:v>21.575098474500003</x:v>
      </x:c>
      <x:c r="L26" s="60" t="n">
        <x:v>0.0656423692</x:v>
      </x:c>
      <x:c r="M26" s="60" t="n">
        <x:v>21.575098474500003</x:v>
      </x:c>
      <x:c r="N26" s="46" t="str">
        <x:v>miscellaneous marine crustaceans</x:v>
      </x:c>
      <x:c r="O26" s="62" t="n">
        <x:v>2.7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Miscellaneous marine crustaceans</x:v>
      </x:c>
      <x:c r="T26" s="62" t="n">
        <x:f>IF(O26="","",(1/'Metadata'!$B$5)^(O26-1))</x:f>
        <x:v>162.83621261476185</x:v>
      </x:c>
      <x:c r="U26" s="60" t="n">
        <x:f>IF(T26="","",I26*T26)</x:f>
        <x:v>3523.8962771656943</x:v>
      </x:c>
    </x:row>
    <x:row r="27" ht="18" customHeight="1">
      <x:c r="A27" s="46" t="str">
        <x:v>LME_019</x:v>
      </x:c>
      <x:c r="B27" s="46" t="str">
        <x:v>Greenland Sea</x:v>
      </x:c>
      <x:c r="C27" s="46" t="str">
        <x:v>LME</x:v>
      </x:c>
      <x:c r="D27" s="58" t="n">
        <x:v>2019</x:v>
      </x:c>
      <x:c r="E27" s="46" t="str">
        <x:v>Anarhichas</x:v>
      </x:c>
      <x:c r="F27" s="46" t="str">
        <x:v>Wolffishes</x:v>
      </x:c>
      <x:c r="G27" s="46" t="str">
        <x:v>Large demersals (&gt;=90 cm)</x:v>
      </x:c>
      <x:c r="H27" s="46" t="str">
        <x:v>Perch-likes</x:v>
      </x:c>
      <x:c r="I27" s="60" t="n">
        <x:v>20.5382274445</x:v>
      </x:c>
      <x:c r="J27" s="60" t="n">
        <x:v>20.5382274445</x:v>
      </x:c>
      <x:c r="K27" s="60" t="n">
        <x:v>0</x:v>
      </x:c>
      <x:c r="L27" s="60" t="n">
        <x:v>20.5382274445</x:v>
      </x:c>
      <x:c r="M27" s="60" t="n">
        <x:v>0</x:v>
      </x:c>
      <x:c r="N27" s="46" t="str">
        <x:v>anarhichas</x:v>
      </x:c>
      <x:c r="O27" s="62" t="n">
        <x:v>3.35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Anarhichas</x:v>
      </x:c>
      <x:c r="T27" s="62" t="n">
        <x:f>IF(O27="","",(1/'Metadata'!$B$5)^(O27-1))</x:f>
        <x:v>1141.3543275066227</x:v>
      </x:c>
      <x:c r="U27" s="60" t="n">
        <x:f>IF(T27="","",I27*T27)</x:f>
        <x:v>23441.39477309536</x:v>
      </x:c>
    </x:row>
    <x:row r="28" ht="18" customHeight="1">
      <x:c r="A28" s="46" t="str">
        <x:v>LME_019</x:v>
      </x:c>
      <x:c r="B28" s="46" t="str">
        <x:v>Greenland Sea</x:v>
      </x:c>
      <x:c r="C28" s="46" t="str">
        <x:v>LME</x:v>
      </x:c>
      <x:c r="D28" s="58" t="n">
        <x:v>2019</x:v>
      </x:c>
      <x:c r="E28" s="46" t="str">
        <x:v>Cephalopoda</x:v>
      </x:c>
      <x:c r="F28" s="46" t="str">
        <x:v>Squids, cuttlefishes, octopuses</x:v>
      </x:c>
      <x:c r="G28" s="46" t="str">
        <x:v>Cephalopods</x:v>
      </x:c>
      <x:c r="H28" s="46" t="str">
        <x:v>Other fishes &amp; inverts</x:v>
      </x:c>
      <x:c r="I28" s="60" t="n">
        <x:v>19.6936668453</x:v>
      </x:c>
      <x:c r="J28" s="60" t="n">
        <x:v>0</x:v>
      </x:c>
      <x:c r="K28" s="60" t="n">
        <x:v>19.6936668453</x:v>
      </x:c>
      <x:c r="L28" s="60" t="n">
        <x:v>0</x:v>
      </x:c>
      <x:c r="M28" s="60" t="n">
        <x:v>19.6936668453</x:v>
      </x:c>
      <x:c r="N28" s="46" t="str">
        <x:v>cephalopoda</x:v>
      </x:c>
      <x:c r="O28" s="62" t="n">
        <x:v>3.81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Cephalopoda</x:v>
      </x:c>
      <x:c r="T28" s="62" t="n">
        <x:f>IF(O28="","",(1/'Metadata'!$B$5)^(O28-1))</x:f>
        <x:v>4527.873529309382</x:v>
      </x:c>
      <x:c r="U28" s="60" t="n">
        <x:f>IF(T28="","",I28*T28)</x:f>
        <x:v>89170.43280387169</x:v>
      </x:c>
    </x:row>
    <x:row r="29" ht="18" customHeight="1">
      <x:c r="A29" s="46" t="str">
        <x:v>LME_019</x:v>
      </x:c>
      <x:c r="B29" s="46" t="str">
        <x:v>Greenland Sea</x:v>
      </x:c>
      <x:c r="C29" s="46" t="str">
        <x:v>LME</x:v>
      </x:c>
      <x:c r="D29" s="58" t="n">
        <x:v>2019</x:v>
      </x:c>
      <x:c r="E29" s="46" t="str">
        <x:v>Gadiformes</x:v>
      </x:c>
      <x:c r="F29" s="46" t="str">
        <x:v>Cods</x:v>
      </x:c>
      <x:c r="G29" s="46" t="str">
        <x:v>Medium benthopelagics (30 - 89 cm)</x:v>
      </x:c>
      <x:c r="H29" s="46" t="str">
        <x:v>Cod-likes</x:v>
      </x:c>
      <x:c r="I29" s="60" t="n">
        <x:v>19.444692238</x:v>
      </x:c>
      <x:c r="J29" s="60" t="n">
        <x:v>8.5992558702</x:v>
      </x:c>
      <x:c r="K29" s="60" t="n">
        <x:v>10.8454363678</x:v>
      </x:c>
      <x:c r="L29" s="60" t="n">
        <x:v>8.5992558702</x:v>
      </x:c>
      <x:c r="M29" s="60" t="n">
        <x:v>10.8454363678</x:v>
      </x:c>
      <x:c r="N29" s="46" t="str">
        <x:v>gadiformes</x:v>
      </x:c>
      <x:c r="O29" s="62" t="n">
        <x:v>3.91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Gadiformes</x:v>
      </x:c>
      <x:c r="T29" s="62" t="n">
        <x:f>IF(O29="","",(1/'Metadata'!$B$5)^(O29-1))</x:f>
        <x:v>6109.382089532312</x:v>
      </x:c>
      <x:c r="U29" s="60" t="n">
        <x:f>IF(T29="","",I29*T29)</x:f>
        <x:v>118795.05449530517</x:v>
      </x:c>
    </x:row>
    <x:row r="30" ht="18" customHeight="1">
      <x:c r="A30" s="46" t="str">
        <x:v>LME_019</x:v>
      </x:c>
      <x:c r="B30" s="46" t="str">
        <x:v>Greenland Sea</x:v>
      </x:c>
      <x:c r="C30" s="46" t="str">
        <x:v>LME</x:v>
      </x:c>
      <x:c r="D30" s="58" t="n">
        <x:v>2019</x:v>
      </x:c>
      <x:c r="E30" s="46" t="str">
        <x:v>Brachyura</x:v>
      </x:c>
      <x:c r="F30" s="46" t="str">
        <x:v>Marine crabs</x:v>
      </x:c>
      <x:c r="G30" s="46" t="str">
        <x:v>Lobsters, crabs</x:v>
      </x:c>
      <x:c r="H30" s="46" t="str">
        <x:v>Crustaceans</x:v>
      </x:c>
      <x:c r="I30" s="60" t="n">
        <x:v>14.6554642644</x:v>
      </x:c>
      <x:c r="J30" s="60" t="n">
        <x:v>14.6554642644</x:v>
      </x:c>
      <x:c r="K30" s="60" t="n">
        <x:v>0</x:v>
      </x:c>
      <x:c r="L30" s="60" t="n">
        <x:v>14.6554642644</x:v>
      </x:c>
      <x:c r="M30" s="60" t="n">
        <x:v>0</x:v>
      </x:c>
      <x:c r="N30" s="46" t="str">
        <x:v>brachyura</x:v>
      </x:c>
      <x:c r="O30" s="62" t="n">
        <x:v>2.6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Brachyura</x:v>
      </x:c>
      <x:c r="T30" s="62" t="n">
        <x:f>IF(O30="","",(1/'Metadata'!$B$5)^(O30-1))</x:f>
        <x:v>120.6835267309033</x:v>
      </x:c>
      <x:c r="U30" s="60" t="n">
        <x:f>IF(T30="","",I30*T30)</x:f>
        <x:v>1768.6731133065155</x:v>
      </x:c>
    </x:row>
    <x:row r="31" ht="18" customHeight="1">
      <x:c r="A31" s="46" t="str">
        <x:v>LME_019</x:v>
      </x:c>
      <x:c r="B31" s="46" t="str">
        <x:v>Greenland Sea</x:v>
      </x:c>
      <x:c r="C31" s="46" t="str">
        <x:v>LME</x:v>
      </x:c>
      <x:c r="D31" s="58" t="n">
        <x:v>2019</x:v>
      </x:c>
      <x:c r="E31" s="46" t="str">
        <x:v>Echinoidea</x:v>
      </x:c>
      <x:c r="F31" s="46" t="str">
        <x:v>Sea urchins, sea hedgehogs</x:v>
      </x:c>
      <x:c r="G31" s="46" t="str">
        <x:v>Other demersal invertebrates</x:v>
      </x:c>
      <x:c r="H31" s="46" t="str">
        <x:v>Other fishes &amp; inverts</x:v>
      </x:c>
      <x:c r="I31" s="60" t="n">
        <x:v>13.125023022899999</x:v>
      </x:c>
      <x:c r="J31" s="60" t="n">
        <x:v>11.7541959303</x:v>
      </x:c>
      <x:c r="K31" s="60" t="n">
        <x:v>1.3708270926</x:v>
      </x:c>
      <x:c r="L31" s="60" t="n">
        <x:v>11.7541959303</x:v>
      </x:c>
      <x:c r="M31" s="60" t="n">
        <x:v>1.3708270926</x:v>
      </x:c>
      <x:c r="N31" s="46" t="str">
        <x:v>echinoidea</x:v>
      </x:c>
      <x:c r="O31" s="62" t="n">
        <x:v>2.51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Echinoidea</x:v>
      </x:c>
      <x:c r="T31" s="62" t="n">
        <x:f>IF(O31="","",(1/'Metadata'!$B$5)^(O31-1))</x:f>
        <x:v>92.16272208892171</x:v>
      </x:c>
      <x:c r="U31" s="60" t="n">
        <x:f>IF(T31="","",I31*T31)</x:f>
        <x:v>1209.6378492702318</x:v>
      </x:c>
    </x:row>
    <x:row r="32" ht="18" customHeight="1">
      <x:c r="A32" s="46" t="str">
        <x:v>LME_019</x:v>
      </x:c>
      <x:c r="B32" s="46" t="str">
        <x:v>Greenland Sea</x:v>
      </x:c>
      <x:c r="C32" s="46" t="str">
        <x:v>LME</x:v>
      </x:c>
      <x:c r="D32" s="58" t="n">
        <x:v>2019</x:v>
      </x:c>
      <x:c r="E32" s="46" t="str">
        <x:v>Gadidae</x:v>
      </x:c>
      <x:c r="F32" s="46" t="str">
        <x:v>Cods, haddocks</x:v>
      </x:c>
      <x:c r="G32" s="46" t="str">
        <x:v>Medium demersals (30 - 89 cm)</x:v>
      </x:c>
      <x:c r="H32" s="46" t="str">
        <x:v>Cod-likes</x:v>
      </x:c>
      <x:c r="I32" s="60" t="n">
        <x:v>12.553102795200001</x:v>
      </x:c>
      <x:c r="J32" s="60" t="n">
        <x:v>0</x:v>
      </x:c>
      <x:c r="K32" s="60" t="n">
        <x:v>12.553102795200001</x:v>
      </x:c>
      <x:c r="L32" s="60" t="n">
        <x:v>0</x:v>
      </x:c>
      <x:c r="M32" s="60" t="n">
        <x:v>12.553102795200001</x:v>
      </x:c>
      <x:c r="N32" s="46" t="str">
        <x:v>gadidae</x:v>
      </x:c>
      <x:c r="O32" s="62" t="n">
        <x:v>3.84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Gadidae</x:v>
      </x:c>
      <x:c r="T32" s="62" t="n">
        <x:f>IF(O32="","",(1/'Metadata'!$B$5)^(O32-1))</x:f>
        <x:v>4953.648510535111</x:v>
      </x:c>
      <x:c r="U32" s="60" t="n">
        <x:f>IF(T32="","",I32*T32)</x:f>
        <x:v>62183.65896403663</x:v>
      </x:c>
    </x:row>
    <x:row r="33" ht="18" customHeight="1">
      <x:c r="A33" s="46" t="str">
        <x:v>LME_019</x:v>
      </x:c>
      <x:c r="B33" s="46" t="str">
        <x:v>Greenland Sea</x:v>
      </x:c>
      <x:c r="C33" s="46" t="str">
        <x:v>LME</x:v>
      </x:c>
      <x:c r="D33" s="58" t="n">
        <x:v>2019</x:v>
      </x:c>
      <x:c r="E33" s="46" t="str">
        <x:v>Cyclopterus lumpus</x:v>
      </x:c>
      <x:c r="F33" s="46" t="str">
        <x:v>Lumpfish</x:v>
      </x:c>
      <x:c r="G33" s="46" t="str">
        <x:v>Medium benthopelagics (30 - 89 cm)</x:v>
      </x:c>
      <x:c r="H33" s="46" t="str">
        <x:v>Scorpionfishes</x:v>
      </x:c>
      <x:c r="I33" s="60" t="n">
        <x:v>11.1321160492</x:v>
      </x:c>
      <x:c r="J33" s="60" t="n">
        <x:v>10.0656216736</x:v>
      </x:c>
      <x:c r="K33" s="60" t="n">
        <x:v>1.0664943756</x:v>
      </x:c>
      <x:c r="L33" s="60" t="n">
        <x:v>6.4276161608</x:v>
      </x:c>
      <x:c r="M33" s="60" t="n">
        <x:v>4.7044998884</x:v>
      </x:c>
      <x:c r="N33" s="46" t="str">
        <x:v>cyclopterus lumpus</x:v>
      </x:c>
      <x:c r="O33" s="62" t="n">
        <x:v>3.89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Cyclopterus lumpus</x:v>
      </x:c>
      <x:c r="T33" s="62" t="n">
        <x:f>IF(O33="","",(1/'Metadata'!$B$5)^(O33-1))</x:f>
        <x:v>5754.090490759748</x:v>
      </x:c>
      <x:c r="U33" s="60" t="n">
        <x:f>IF(T33="","",I33*T33)</x:f>
        <x:v>64055.20310073569</x:v>
      </x:c>
    </x:row>
    <x:row r="34" ht="18" customHeight="1">
      <x:c r="A34" s="46" t="str">
        <x:v>LME_019</x:v>
      </x:c>
      <x:c r="B34" s="46" t="str">
        <x:v>Greenland Sea</x:v>
      </x:c>
      <x:c r="C34" s="46" t="str">
        <x:v>LME</x:v>
      </x:c>
      <x:c r="D34" s="58" t="n">
        <x:v>2019</x:v>
      </x:c>
      <x:c r="E34" s="46" t="str">
        <x:v>Buccinum undatum</x:v>
      </x:c>
      <x:c r="F34" s="46" t="str">
        <x:v>Whelk</x:v>
      </x:c>
      <x:c r="G34" s="46" t="str">
        <x:v>Other demersal invertebrates</x:v>
      </x:c>
      <x:c r="H34" s="46" t="str">
        <x:v>Molluscs</x:v>
      </x:c>
      <x:c r="I34" s="60" t="n">
        <x:v>9.8088695832</x:v>
      </x:c>
      <x:c r="J34" s="60" t="n">
        <x:v>9.530092659100001</x:v>
      </x:c>
      <x:c r="K34" s="60" t="n">
        <x:v>0.2787769241</x:v>
      </x:c>
      <x:c r="L34" s="60" t="n">
        <x:v>9.530092659100001</x:v>
      </x:c>
      <x:c r="M34" s="60" t="n">
        <x:v>0.2787769241</x:v>
      </x:c>
      <x:c r="N34" s="46" t="str">
        <x:v>buccinum undatum</x:v>
      </x:c>
      <x:c r="O34" s="62" t="n">
        <x:v>3.75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Buccinum undatum</x:v>
      </x:c>
      <x:c r="T34" s="62" t="n">
        <x:f>IF(O34="","",(1/'Metadata'!$B$5)^(O34-1))</x:f>
        <x:v>3782.966436012703</x:v>
      </x:c>
      <x:c r="U34" s="60" t="n">
        <x:f>IF(T34="","",I34*T34)</x:f>
        <x:v>37106.624408471514</x:v>
      </x:c>
    </x:row>
    <x:row r="35" ht="18" customHeight="1">
      <x:c r="A35" s="46" t="str">
        <x:v>LME_019</x:v>
      </x:c>
      <x:c r="B35" s="46" t="str">
        <x:v>Greenland Sea</x:v>
      </x:c>
      <x:c r="C35" s="46" t="str">
        <x:v>LME</x:v>
      </x:c>
      <x:c r="D35" s="58" t="n">
        <x:v>2019</x:v>
      </x:c>
      <x:c r="E35" s="46" t="str">
        <x:v>Hippoglossus hippoglossus</x:v>
      </x:c>
      <x:c r="F35" s="46" t="str">
        <x:v>Atlantic halibut</x:v>
      </x:c>
      <x:c r="G35" s="46" t="str">
        <x:v>Large flatfishes (&gt;=90 cm)</x:v>
      </x:c>
      <x:c r="H35" s="46" t="str">
        <x:v>Flatfishes</x:v>
      </x:c>
      <x:c r="I35" s="60" t="n">
        <x:v>8.5655922742</x:v>
      </x:c>
      <x:c r="J35" s="60" t="n">
        <x:v>8.5641708711</x:v>
      </x:c>
      <x:c r="K35" s="60" t="n">
        <x:v>0.0014214031</x:v>
      </x:c>
      <x:c r="L35" s="60" t="n">
        <x:v>8.4564882676</x:v>
      </x:c>
      <x:c r="M35" s="60" t="n">
        <x:v>0.1091040066</x:v>
      </x:c>
      <x:c r="N35" s="46" t="str">
        <x:v>hippoglossus hippoglossus</x:v>
      </x:c>
      <x:c r="O35" s="62" t="n">
        <x:v>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Hippoglossus hippoglossus</x:v>
      </x:c>
      <x:c r="T35" s="62" t="n">
        <x:f>IF(O35="","",(1/'Metadata'!$B$5)^(O35-1))</x:f>
        <x:v>8000</x:v>
      </x:c>
      <x:c r="U35" s="60" t="n">
        <x:f>IF(T35="","",I35*T35)</x:f>
        <x:v>68524.7381936</x:v>
      </x:c>
    </x:row>
    <x:row r="36" ht="18" customHeight="1">
      <x:c r="A36" s="46" t="str">
        <x:v>LME_019</x:v>
      </x:c>
      <x:c r="B36" s="46" t="str">
        <x:v>Greenland Sea</x:v>
      </x:c>
      <x:c r="C36" s="46" t="str">
        <x:v>LME</x:v>
      </x:c>
      <x:c r="D36" s="58" t="n">
        <x:v>2019</x:v>
      </x:c>
      <x:c r="E36" s="46" t="str">
        <x:v>Mallotus villosus</x:v>
      </x:c>
      <x:c r="F36" s="46" t="str">
        <x:v>Capelin</x:v>
      </x:c>
      <x:c r="G36" s="46" t="str">
        <x:v>Small pelagics (&lt;30 cm)</x:v>
      </x:c>
      <x:c r="H36" s="46" t="str">
        <x:v>Salmon, smelts, etc</x:v>
      </x:c>
      <x:c r="I36" s="60" t="n">
        <x:v>6.0536360525</x:v>
      </x:c>
      <x:c r="J36" s="60" t="n">
        <x:v>6.0269653141</x:v>
      </x:c>
      <x:c r="K36" s="60" t="n">
        <x:v>0.0266707384</x:v>
      </x:c>
      <x:c r="L36" s="60" t="n">
        <x:v>1.1846868574</x:v>
      </x:c>
      <x:c r="M36" s="60" t="n">
        <x:v>4.8689491951</x:v>
      </x:c>
      <x:c r="N36" s="46" t="str">
        <x:v>mallotus villosus</x:v>
      </x:c>
      <x:c r="O36" s="62" t="n">
        <x:v>3.15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Mallotus villosus</x:v>
      </x:c>
      <x:c r="T36" s="62" t="n">
        <x:f>IF(O36="","",(1/'Metadata'!$B$5)^(O36-1))</x:f>
        <x:v>626.9234150652317</x:v>
      </x:c>
      <x:c r="U36" s="60" t="n">
        <x:f>IF(T36="","",I36*T36)</x:f>
        <x:v>3795.166187595308</x:v>
      </x:c>
    </x:row>
    <x:row r="37" ht="18" customHeight="1">
      <x:c r="A37" s="46" t="str">
        <x:v>LME_019</x:v>
      </x:c>
      <x:c r="B37" s="46" t="str">
        <x:v>Greenland Sea</x:v>
      </x:c>
      <x:c r="C37" s="46" t="str">
        <x:v>LME</x:v>
      </x:c>
      <x:c r="D37" s="58" t="n">
        <x:v>2019</x:v>
      </x:c>
      <x:c r="E37" s="46" t="str">
        <x:v>Bivalvia</x:v>
      </x:c>
      <x:c r="F37" s="46" t="str">
        <x:v>Clams</x:v>
      </x:c>
      <x:c r="G37" s="46" t="str">
        <x:v>Other demersal invertebrates</x:v>
      </x:c>
      <x:c r="H37" s="46" t="str">
        <x:v>Molluscs</x:v>
      </x:c>
      <x:c r="I37" s="60" t="n">
        <x:v>5.0580042256</x:v>
      </x:c>
      <x:c r="J37" s="60" t="n">
        <x:v>0.0067382392</x:v>
      </x:c>
      <x:c r="K37" s="60" t="n">
        <x:v>5.0512659864</x:v>
      </x:c>
      <x:c r="L37" s="60" t="n">
        <x:v>0.0067382392</x:v>
      </x:c>
      <x:c r="M37" s="60" t="n">
        <x:v>5.0512659864</x:v>
      </x:c>
      <x:c r="N37" s="46" t="str">
        <x:v>bivalvia</x:v>
      </x:c>
      <x:c r="O37" s="62" t="n">
        <x:v>2.23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Bivalvia</x:v>
      </x:c>
      <x:c r="T37" s="62" t="n">
        <x:f>IF(O37="","",(1/'Metadata'!$B$5)^(O37-1))</x:f>
        <x:v>39.83519015836661</x:v>
      </x:c>
      <x:c r="U37" s="60" t="n">
        <x:f>IF(T37="","",I37*T37)</x:f>
        <x:v>201.48656014859785</x:v>
      </x:c>
    </x:row>
    <x:row r="38" ht="18" customHeight="1">
      <x:c r="A38" s="46" t="str">
        <x:v>LME_019</x:v>
      </x:c>
      <x:c r="B38" s="46" t="str">
        <x:v>Greenland Sea</x:v>
      </x:c>
      <x:c r="C38" s="46" t="str">
        <x:v>LME</x:v>
      </x:c>
      <x:c r="D38" s="58" t="n">
        <x:v>2019</x:v>
      </x:c>
      <x:c r="E38" s="46" t="str">
        <x:v>Anarhichas lupus</x:v>
      </x:c>
      <x:c r="F38" s="46" t="str">
        <x:v>Atlantic wolffish</x:v>
      </x:c>
      <x:c r="G38" s="46" t="str">
        <x:v>Large demersals (&gt;=90 cm)</x:v>
      </x:c>
      <x:c r="H38" s="46" t="str">
        <x:v>Perch-likes</x:v>
      </x:c>
      <x:c r="I38" s="60" t="n">
        <x:v>4.5130480224</x:v>
      </x:c>
      <x:c r="J38" s="60" t="n">
        <x:v>4.5130480224</x:v>
      </x:c>
      <x:c r="K38" s="60" t="n">
        <x:v>0</x:v>
      </x:c>
      <x:c r="L38" s="60" t="n">
        <x:v>4.5130480224</x:v>
      </x:c>
      <x:c r="M38" s="60" t="n">
        <x:v>0</x:v>
      </x:c>
      <x:c r="N38" s="46" t="str">
        <x:v>anarhichas lupus</x:v>
      </x:c>
      <x:c r="O38" s="62" t="n">
        <x:v>3.55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Anarhichas lupus</x:v>
      </x:c>
      <x:c r="T38" s="62" t="n">
        <x:f>IF(O38="","",(1/'Metadata'!$B$5)^(O38-1))</x:f>
        <x:v>2077.9088316274606</x:v>
      </x:c>
      <x:c r="U38" s="60" t="n">
        <x:f>IF(T38="","",I38*T38)</x:f>
        <x:v>9377.702343303805</x:v>
      </x:c>
    </x:row>
    <x:row r="39" ht="18" customHeight="1">
      <x:c r="A39" s="46" t="str">
        <x:v>LME_019</x:v>
      </x:c>
      <x:c r="B39" s="46" t="str">
        <x:v>Greenland Sea</x:v>
      </x:c>
      <x:c r="C39" s="46" t="str">
        <x:v>LME</x:v>
      </x:c>
      <x:c r="D39" s="58" t="n">
        <x:v>2019</x:v>
      </x:c>
      <x:c r="E39" s="46" t="str">
        <x:v>Rajidae</x:v>
      </x:c>
      <x:c r="F39" s="46" t="str">
        <x:v>Stingrays</x:v>
      </x:c>
      <x:c r="G39" s="46" t="str">
        <x:v>Large rays (&gt;=90 cm)</x:v>
      </x:c>
      <x:c r="H39" s="46" t="str">
        <x:v>Sharks &amp; rays</x:v>
      </x:c>
      <x:c r="I39" s="60" t="n">
        <x:v>2.6749408600999995</x:v>
      </x:c>
      <x:c r="J39" s="60" t="n">
        <x:v>2.6749408600999995</x:v>
      </x:c>
      <x:c r="K39" s="60" t="n">
        <x:v>0</x:v>
      </x:c>
      <x:c r="L39" s="60" t="n">
        <x:v>2.6749408600999995</x:v>
      </x:c>
      <x:c r="M39" s="60" t="n">
        <x:v>0</x:v>
      </x:c>
      <x:c r="N39" s="46" t="str">
        <x:v>rajidae</x:v>
      </x:c>
      <x:c r="O39" s="62" t="n">
        <x:v>3.82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Rajidae</x:v>
      </x:c>
      <x:c r="T39" s="62" t="n">
        <x:f>IF(O39="","",(1/'Metadata'!$B$5)^(O39-1))</x:f>
        <x:v>4665.56868948727</x:v>
      </x:c>
      <x:c r="U39" s="60" t="n">
        <x:f>IF(T39="","",I39*T39)</x:f>
        <x:v>12480.120323112706</x:v>
      </x:c>
    </x:row>
    <x:row r="40" ht="18" customHeight="1">
      <x:c r="A40" s="46" t="str">
        <x:v>LME_019</x:v>
      </x:c>
      <x:c r="B40" s="46" t="str">
        <x:v>Greenland Sea</x:v>
      </x:c>
      <x:c r="C40" s="46" t="str">
        <x:v>LME</x:v>
      </x:c>
      <x:c r="D40" s="58" t="n">
        <x:v>2019</x:v>
      </x:c>
      <x:c r="E40" s="46" t="str">
        <x:v>Sebastidae</x:v>
      </x:c>
      <x:c r="F40" s="46" t="str">
        <x:v>Rockfishes, rockcods, thornyheads</x:v>
      </x:c>
      <x:c r="G40" s="46" t="str">
        <x:v>Medium demersals (30 - 89 cm)</x:v>
      </x:c>
      <x:c r="H40" s="46" t="str">
        <x:v>Scorpionfishes</x:v>
      </x:c>
      <x:c r="I40" s="60" t="n">
        <x:v>2.4067710595</x:v>
      </x:c>
      <x:c r="J40" s="60" t="n">
        <x:v>0</x:v>
      </x:c>
      <x:c r="K40" s="60" t="n">
        <x:v>2.4067710595</x:v>
      </x:c>
      <x:c r="L40" s="60" t="n">
        <x:v>0</x:v>
      </x:c>
      <x:c r="M40" s="60" t="n">
        <x:v>2.4067710595</x:v>
      </x:c>
      <x:c r="N40" s="46" t="str">
        <x:v>sebastidae</x:v>
      </x:c>
      <x:c r="O40" s="62" t="n">
        <x:v>3.74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Sebastidae</x:v>
      </x:c>
      <x:c r="T40" s="62" t="n">
        <x:f>IF(O40="","",(1/'Metadata'!$B$5)^(O40-1))</x:f>
        <x:v>3671.3195599248957</x:v>
      </x:c>
      <x:c r="U40" s="60" t="n">
        <x:f>IF(T40="","",I40*T40)</x:f>
        <x:v>8836.025667003514</x:v>
      </x:c>
    </x:row>
    <x:row r="41" ht="18" customHeight="1">
      <x:c r="A41" s="46" t="str">
        <x:v>LME_019</x:v>
      </x:c>
      <x:c r="B41" s="46" t="str">
        <x:v>Greenland Sea</x:v>
      </x:c>
      <x:c r="C41" s="46" t="str">
        <x:v>LME</x:v>
      </x:c>
      <x:c r="D41" s="58" t="n">
        <x:v>2019</x:v>
      </x:c>
      <x:c r="E41" s="46" t="str">
        <x:v>Hippoglossoides platessoides</x:v>
      </x:c>
      <x:c r="F41" s="46" t="str">
        <x:v>American plaice</x:v>
      </x:c>
      <x:c r="G41" s="46" t="str">
        <x:v>Small to medium flatfishes (&lt;90 cm)</x:v>
      </x:c>
      <x:c r="H41" s="46" t="str">
        <x:v>Flatfishes</x:v>
      </x:c>
      <x:c r="I41" s="60" t="n">
        <x:v>1.9422287041</x:v>
      </x:c>
      <x:c r="J41" s="60" t="n">
        <x:v>1.9422287041</x:v>
      </x:c>
      <x:c r="K41" s="60" t="n">
        <x:v>0</x:v>
      </x:c>
      <x:c r="L41" s="60" t="n">
        <x:v>1.9422287041</x:v>
      </x:c>
      <x:c r="M41" s="60" t="n">
        <x:v>0</x:v>
      </x:c>
      <x:c r="N41" s="46" t="str">
        <x:v>hippoglossoides platessoides</x:v>
      </x:c>
      <x:c r="O41" s="62" t="n">
        <x:v>4.08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Hippoglossoides platessoides</x:v>
      </x:c>
      <x:c r="T41" s="62" t="n">
        <x:f>IF(O41="","",(1/'Metadata'!$B$5)^(O41-1))</x:f>
        <x:v>10166.521575327472</x:v>
      </x:c>
      <x:c r="U41" s="60" t="n">
        <x:f>IF(T41="","",I41*T41)</x:f>
        <x:v>19745.710024452965</x:v>
      </x:c>
    </x:row>
    <x:row r="42" ht="18" customHeight="1">
      <x:c r="A42" s="46" t="str">
        <x:v>LME_019</x:v>
      </x:c>
      <x:c r="B42" s="46" t="str">
        <x:v>Greenland Sea</x:v>
      </x:c>
      <x:c r="C42" s="46" t="str">
        <x:v>LME</x:v>
      </x:c>
      <x:c r="D42" s="58" t="n">
        <x:v>2019</x:v>
      </x:c>
      <x:c r="E42" s="46" t="str">
        <x:v>Squalidae</x:v>
      </x:c>
      <x:c r="F42" s="46" t="str">
        <x:v>Dogfish sharks</x:v>
      </x:c>
      <x:c r="G42" s="46" t="str">
        <x:v>Large sharks (&gt;=90 cm)</x:v>
      </x:c>
      <x:c r="H42" s="46" t="str">
        <x:v>Sharks &amp; rays</x:v>
      </x:c>
      <x:c r="I42" s="60" t="n">
        <x:v>1.9391477769999999</x:v>
      </x:c>
      <x:c r="J42" s="60" t="n">
        <x:v>1.9391477769999999</x:v>
      </x:c>
      <x:c r="K42" s="60" t="n">
        <x:v>0</x:v>
      </x:c>
      <x:c r="L42" s="60" t="n">
        <x:v>1.9391477769999999</x:v>
      </x:c>
      <x:c r="M42" s="60" t="n">
        <x:v>0</x:v>
      </x:c>
      <x:c r="N42" s="46" t="str">
        <x:v>squalidae</x:v>
      </x:c>
      <x:c r="O42" s="62" t="n">
        <x:v>4.23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Squalidae</x:v>
      </x:c>
      <x:c r="T42" s="62" t="n">
        <x:f>IF(O42="","",(1/'Metadata'!$B$5)^(O42-1))</x:f>
        <x:v>15934.076063346663</x:v>
      </x:c>
      <x:c r="U42" s="60" t="n">
        <x:f>IF(T42="","",I42*T42)</x:f>
        <x:v>30898.52817678759</x:v>
      </x:c>
    </x:row>
    <x:row r="43" ht="18" customHeight="1">
      <x:c r="A43" s="46" t="str">
        <x:v>LME_019</x:v>
      </x:c>
      <x:c r="B43" s="46" t="str">
        <x:v>Greenland Sea</x:v>
      </x:c>
      <x:c r="C43" s="46" t="str">
        <x:v>LME</x:v>
      </x:c>
      <x:c r="D43" s="58" t="n">
        <x:v>2019</x:v>
      </x:c>
      <x:c r="E43" s="46" t="str">
        <x:v>Argentina silus</x:v>
      </x:c>
      <x:c r="F43" s="46" t="str">
        <x:v>Greater argentine</x:v>
      </x:c>
      <x:c r="G43" s="46" t="str">
        <x:v>Medium bathydemersals (30 - 89 cm)</x:v>
      </x:c>
      <x:c r="H43" s="46" t="str">
        <x:v>Salmon, smelts, etc</x:v>
      </x:c>
      <x:c r="I43" s="60" t="n">
        <x:v>1.4292086992000002</x:v>
      </x:c>
      <x:c r="J43" s="60" t="n">
        <x:v>1.3938117331000002</x:v>
      </x:c>
      <x:c r="K43" s="60" t="n">
        <x:v>0.0353969661</x:v>
      </x:c>
      <x:c r="L43" s="60" t="n">
        <x:v>1.3938117331000002</x:v>
      </x:c>
      <x:c r="M43" s="60" t="n">
        <x:v>0.0353969661</x:v>
      </x:c>
      <x:c r="N43" s="46" t="str">
        <x:v>argentina silus</x:v>
      </x:c>
      <x:c r="O43" s="62" t="n">
        <x:v>3.32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Argentina silus</x:v>
      </x:c>
      <x:c r="T43" s="62" t="n">
        <x:f>IF(O43="","",(1/'Metadata'!$B$5)^(O43-1))</x:f>
        <x:v>1043.2528743388143</x:v>
      </x:c>
      <x:c r="U43" s="60" t="n">
        <x:f>IF(T43="","",I43*T43)</x:f>
        <x:v>1491.026083470438</x:v>
      </x:c>
    </x:row>
    <x:row r="44" ht="18" customHeight="1">
      <x:c r="A44" s="46" t="str">
        <x:v>LME_019</x:v>
      </x:c>
      <x:c r="B44" s="46" t="str">
        <x:v>Greenland Sea</x:v>
      </x:c>
      <x:c r="C44" s="46" t="str">
        <x:v>LME</x:v>
      </x:c>
      <x:c r="D44" s="58" t="n">
        <x:v>2019</x:v>
      </x:c>
      <x:c r="E44" s="46" t="str">
        <x:v>Macrourus berglax</x:v>
      </x:c>
      <x:c r="F44" s="46" t="str">
        <x:v>Roughhead grenadier</x:v>
      </x:c>
      <x:c r="G44" s="46" t="str">
        <x:v>Large benthopelagics (&gt;=90 cm)</x:v>
      </x:c>
      <x:c r="H44" s="46" t="str">
        <x:v>Cod-likes</x:v>
      </x:c>
      <x:c r="I44" s="60" t="n">
        <x:v>1.2616029252</x:v>
      </x:c>
      <x:c r="J44" s="60" t="n">
        <x:v>1.2613063205</x:v>
      </x:c>
      <x:c r="K44" s="60" t="n">
        <x:v>0.0002966047</x:v>
      </x:c>
      <x:c r="L44" s="60" t="n">
        <x:v>1.2613063205</x:v>
      </x:c>
      <x:c r="M44" s="60" t="n">
        <x:v>0.0002966047</x:v>
      </x:c>
      <x:c r="N44" s="46" t="str">
        <x:v>macrourus berglax</x:v>
      </x:c>
      <x:c r="O44" s="62" t="n">
        <x:v>4.48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Macrourus berglax</x:v>
      </x:c>
      <x:c r="T44" s="62" t="n">
        <x:f>IF(O44="","",(1/'Metadata'!$B$5)^(O44-1))</x:f>
        <x:v>33696.468277717824</x:v>
      </x:c>
      <x:c r="U44" s="60" t="n">
        <x:f>IF(T44="","",I44*T44)</x:f>
        <x:v>42511.562948077815</x:v>
      </x:c>
    </x:row>
    <x:row r="45" ht="18" customHeight="1">
      <x:c r="A45" s="46" t="str">
        <x:v>LME_019</x:v>
      </x:c>
      <x:c r="B45" s="46" t="str">
        <x:v>Greenland Sea</x:v>
      </x:c>
      <x:c r="C45" s="46" t="str">
        <x:v>LME</x:v>
      </x:c>
      <x:c r="D45" s="58" t="n">
        <x:v>2019</x:v>
      </x:c>
      <x:c r="E45" s="46" t="str">
        <x:v>Merlucciidae</x:v>
      </x:c>
      <x:c r="F45" s="46" t="str">
        <x:v>Merluccid hakes</x:v>
      </x:c>
      <x:c r="G45" s="46" t="str">
        <x:v>Large bathydemersals (&gt;=90 cm)</x:v>
      </x:c>
      <x:c r="H45" s="46" t="str">
        <x:v>Cod-likes</x:v>
      </x:c>
      <x:c r="I45" s="60" t="n">
        <x:v>0.8882822246000001</x:v>
      </x:c>
      <x:c r="J45" s="60" t="n">
        <x:v>0</x:v>
      </x:c>
      <x:c r="K45" s="60" t="n">
        <x:v>0.8882822246000001</x:v>
      </x:c>
      <x:c r="L45" s="60" t="n">
        <x:v>0</x:v>
      </x:c>
      <x:c r="M45" s="60" t="n">
        <x:v>0.8882822246000001</x:v>
      </x:c>
      <x:c r="N45" s="46" t="str">
        <x:v>merlucciidae</x:v>
      </x:c>
      <x:c r="O45" s="62" t="n">
        <x:v>4.35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Merlucciidae</x:v>
      </x:c>
      <x:c r="T45" s="62" t="n">
        <x:f>IF(O45="","",(1/'Metadata'!$B$5)^(O45-1))</x:f>
        <x:v>22827.086550132422</x:v>
      </x:c>
      <x:c r="U45" s="60" t="n">
        <x:f>IF(T45="","",I45*T45)</x:f>
        <x:v>20276.895221888368</x:v>
      </x:c>
    </x:row>
    <x:row r="46" ht="18" customHeight="1">
      <x:c r="A46" s="46" t="str">
        <x:v>LME_019</x:v>
      </x:c>
      <x:c r="B46" s="46" t="str">
        <x:v>Greenland Sea</x:v>
      </x:c>
      <x:c r="C46" s="46" t="str">
        <x:v>LME</x:v>
      </x:c>
      <x:c r="D46" s="58" t="n">
        <x:v>2019</x:v>
      </x:c>
      <x:c r="E46" s="46" t="str">
        <x:v>Mollusca</x:v>
      </x:c>
      <x:c r="F46" s="46" t="str">
        <x:v>Clams, seasnails, squids, octopuses</x:v>
      </x:c>
      <x:c r="G46" s="46" t="str">
        <x:v>Other demersal invertebrates</x:v>
      </x:c>
      <x:c r="H46" s="46" t="str">
        <x:v>Molluscs</x:v>
      </x:c>
      <x:c r="I46" s="60" t="n">
        <x:v>0.6597593676</x:v>
      </x:c>
      <x:c r="J46" s="60" t="n">
        <x:v>0.0846674021</x:v>
      </x:c>
      <x:c r="K46" s="60" t="n">
        <x:v>0.5750919655</x:v>
      </x:c>
      <x:c r="L46" s="60" t="n">
        <x:v>0.0846674021</x:v>
      </x:c>
      <x:c r="M46" s="60" t="n">
        <x:v>0.5750919655</x:v>
      </x:c>
      <x:c r="N46" s="46" t="str">
        <x:v>mollusca</x:v>
      </x:c>
      <x:c r="O46" s="62" t="n">
        <x:v>2.1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Mollusca</x:v>
      </x:c>
      <x:c r="T46" s="62" t="n">
        <x:f>IF(O46="","",(1/'Metadata'!$B$5)^(O46-1))</x:f>
        <x:v>26.985656953471274</x:v>
      </x:c>
      <x:c r="U46" s="60" t="n">
        <x:f>IF(T46="","",I46*T46)</x:f>
        <x:v>17.80403996589275</x:v>
      </x:c>
    </x:row>
    <x:row r="47" ht="18" customHeight="1">
      <x:c r="A47" s="46" t="str">
        <x:v>LME_019</x:v>
      </x:c>
      <x:c r="B47" s="46" t="str">
        <x:v>Greenland Sea</x:v>
      </x:c>
      <x:c r="C47" s="46" t="str">
        <x:v>LME</x:v>
      </x:c>
      <x:c r="D47" s="58" t="n">
        <x:v>2019</x:v>
      </x:c>
      <x:c r="E47" s="46" t="str">
        <x:v>Lophiidae</x:v>
      </x:c>
      <x:c r="F47" s="46" t="str">
        <x:v>Goosefishes</x:v>
      </x:c>
      <x:c r="G47" s="46" t="str">
        <x:v>Medium bathydemersals (30 - 89 cm)</x:v>
      </x:c>
      <x:c r="H47" s="46" t="str">
        <x:v>Other fishes &amp; inverts</x:v>
      </x:c>
      <x:c r="I47" s="60" t="n">
        <x:v>0.427270731</x:v>
      </x:c>
      <x:c r="J47" s="60" t="n">
        <x:v>0.427270731</x:v>
      </x:c>
      <x:c r="K47" s="60" t="n">
        <x:v>0</x:v>
      </x:c>
      <x:c r="L47" s="60" t="n">
        <x:v>0.427270731</x:v>
      </x:c>
      <x:c r="M47" s="60" t="n">
        <x:v>0</x:v>
      </x:c>
      <x:c r="N47" s="46" t="str">
        <x:v>lophiidae</x:v>
      </x:c>
      <x:c r="O47" s="62" t="n">
        <x:v>4.46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Lophiidae</x:v>
      </x:c>
      <x:c r="T47" s="62" t="n">
        <x:f>IF(O47="","",(1/'Metadata'!$B$5)^(O47-1))</x:f>
        <x:v>31736.84749906455</x:v>
      </x:c>
      <x:c r="U47" s="60" t="n">
        <x:f>IF(T47="","",I47*T47)</x:f>
        <x:v>13560.226030560832</x:v>
      </x:c>
    </x:row>
    <x:row r="48" ht="18" customHeight="1">
      <x:c r="A48" s="46" t="str">
        <x:v>LME_019</x:v>
      </x:c>
      <x:c r="B48" s="46" t="str">
        <x:v>Greenland Sea</x:v>
      </x:c>
      <x:c r="C48" s="46" t="str">
        <x:v>LME</x:v>
      </x:c>
      <x:c r="D48" s="58" t="n">
        <x:v>2019</x:v>
      </x:c>
      <x:c r="E48" s="46" t="str">
        <x:v>Rajiformes</x:v>
      </x:c>
      <x:c r="F48" s="46" t="str">
        <x:v>Skates and rays</x:v>
      </x:c>
      <x:c r="G48" s="46" t="str">
        <x:v>Large rays (&gt;=90 cm)</x:v>
      </x:c>
      <x:c r="H48" s="46" t="str">
        <x:v>Sharks &amp; rays</x:v>
      </x:c>
      <x:c r="I48" s="60" t="n">
        <x:v>0.3240776408</x:v>
      </x:c>
      <x:c r="J48" s="60" t="n">
        <x:v>0.3240776408</x:v>
      </x:c>
      <x:c r="K48" s="60" t="n">
        <x:v>0</x:v>
      </x:c>
      <x:c r="L48" s="60" t="n">
        <x:v>0.3240776408</x:v>
      </x:c>
      <x:c r="M48" s="60" t="n">
        <x:v>0</x:v>
      </x:c>
      <x:c r="N48" s="46" t="str">
        <x:v>rajiformes</x:v>
      </x:c>
      <x:c r="O48" s="62" t="n">
        <x:v>3.61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Rajiformes</x:v>
      </x:c>
      <x:c r="T48" s="62" t="n">
        <x:f>IF(O48="","",(1/'Metadata'!$B$5)^(O48-1))</x:f>
        <x:v>2487.0716021897506</x:v>
      </x:c>
      <x:c r="U48" s="60" t="n">
        <x:f>IF(T48="","",I48*T48)</x:f>
        <x:v>806.0042973383305</x:v>
      </x:c>
    </x:row>
    <x:row r="49" ht="18" customHeight="1">
      <x:c r="A49" s="46" t="str">
        <x:v>LME_019</x:v>
      </x:c>
      <x:c r="B49" s="46" t="str">
        <x:v>Greenland Sea</x:v>
      </x:c>
      <x:c r="C49" s="46" t="str">
        <x:v>LME</x:v>
      </x:c>
      <x:c r="D49" s="58" t="n">
        <x:v>2019</x:v>
      </x:c>
      <x:c r="E49" s="46" t="str">
        <x:v>Aphanopus carbo</x:v>
      </x:c>
      <x:c r="F49" s="46" t="str">
        <x:v>Black scabbardfish</x:v>
      </x:c>
      <x:c r="G49" s="46" t="str">
        <x:v>Large benthopelagics (&gt;=90 cm)</x:v>
      </x:c>
      <x:c r="H49" s="46" t="str">
        <x:v>Perch-likes</x:v>
      </x:c>
      <x:c r="I49" s="60" t="n">
        <x:v>0.31447652910000007</x:v>
      </x:c>
      <x:c r="J49" s="60" t="n">
        <x:v>0.29192304710000005</x:v>
      </x:c>
      <x:c r="K49" s="60" t="n">
        <x:v>0.022553482</x:v>
      </x:c>
      <x:c r="L49" s="60" t="n">
        <x:v>0.29192304710000005</x:v>
      </x:c>
      <x:c r="M49" s="60" t="n">
        <x:v>0.022553482</x:v>
      </x:c>
      <x:c r="N49" s="46" t="str">
        <x:v>aphanopus carbo</x:v>
      </x:c>
      <x:c r="O49" s="62" t="n">
        <x:v>4.48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Aphanopus carbo</x:v>
      </x:c>
      <x:c r="T49" s="62" t="n">
        <x:f>IF(O49="","",(1/'Metadata'!$B$5)^(O49-1))</x:f>
        <x:v>33696.468277717824</x:v>
      </x:c>
      <x:c r="U49" s="60" t="n">
        <x:f>IF(T49="","",I49*T49)</x:f>
        <x:v>10596.74838690496</x:v>
      </x:c>
    </x:row>
    <x:row r="50" ht="18" customHeight="1">
      <x:c r="A50" s="46" t="str">
        <x:v>LME_019</x:v>
      </x:c>
      <x:c r="B50" s="46" t="str">
        <x:v>Greenland Sea</x:v>
      </x:c>
      <x:c r="C50" s="46" t="str">
        <x:v>LME</x:v>
      </x:c>
      <x:c r="D50" s="58" t="n">
        <x:v>2019</x:v>
      </x:c>
      <x:c r="E50" s="46" t="str">
        <x:v>Pleuronectidae</x:v>
      </x:c>
      <x:c r="F50" s="46" t="str">
        <x:v>Righteye flounders</x:v>
      </x:c>
      <x:c r="G50" s="46" t="str">
        <x:v>Small to medium flatfishes (&lt;90 cm)</x:v>
      </x:c>
      <x:c r="H50" s="46" t="str">
        <x:v>Flatfishes</x:v>
      </x:c>
      <x:c r="I50" s="60" t="n">
        <x:v>0.2917606964</x:v>
      </x:c>
      <x:c r="J50" s="60" t="n">
        <x:v>0.0000595172</x:v>
      </x:c>
      <x:c r="K50" s="60" t="n">
        <x:v>0.2917011792</x:v>
      </x:c>
      <x:c r="L50" s="60" t="n">
        <x:v>0.0000595172</x:v>
      </x:c>
      <x:c r="M50" s="60" t="n">
        <x:v>0.2917011792</x:v>
      </x:c>
      <x:c r="N50" s="46" t="str">
        <x:v>pleuronectidae</x:v>
      </x:c>
      <x:c r="O50" s="62" t="n">
        <x:v>3.49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Pleuronectidae</x:v>
      </x:c>
      <x:c r="T50" s="62" t="n">
        <x:f>IF(O50="","",(1/'Metadata'!$B$5)^(O50-1))</x:f>
        <x:v>1736.059833884101</x:v>
      </x:c>
      <x:c r="U50" s="60" t="n">
        <x:f>IF(T50="","",I50*T50)</x:f>
        <x:v>506.51402612609365</x:v>
      </x:c>
    </x:row>
    <x:row r="51" ht="18" customHeight="1">
      <x:c r="A51" s="46" t="str">
        <x:v>LME_019</x:v>
      </x:c>
      <x:c r="B51" s="46" t="str">
        <x:v>Greenland Sea</x:v>
      </x:c>
      <x:c r="C51" s="46" t="str">
        <x:v>LME</x:v>
      </x:c>
      <x:c r="D51" s="58" t="n">
        <x:v>2019</x:v>
      </x:c>
      <x:c r="E51" s="46" t="str">
        <x:v>Clupeidae</x:v>
      </x:c>
      <x:c r="F51" s="46" t="str">
        <x:v>Herrings, sardines, menhadens</x:v>
      </x:c>
      <x:c r="G51" s="46" t="str">
        <x:v>Small pelagics (&lt;30 cm)</x:v>
      </x:c>
      <x:c r="H51" s="46" t="str">
        <x:v>Herring-likes</x:v>
      </x:c>
      <x:c r="I51" s="60" t="n">
        <x:v>0.20257858680000002</x:v>
      </x:c>
      <x:c r="J51" s="60" t="n">
        <x:v>0.0057799645</x:v>
      </x:c>
      <x:c r="K51" s="60" t="n">
        <x:v>0.1967986223</x:v>
      </x:c>
      <x:c r="L51" s="60" t="n">
        <x:v>0.0057799645</x:v>
      </x:c>
      <x:c r="M51" s="60" t="n">
        <x:v>0.1967986223</x:v>
      </x:c>
      <x:c r="N51" s="46" t="str">
        <x:v>clupeidae</x:v>
      </x:c>
      <x:c r="O51" s="62" t="n">
        <x:v>3.16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Clupeidae</x:v>
      </x:c>
      <x:c r="T51" s="62" t="n">
        <x:f>IF(O51="","",(1/'Metadata'!$B$5)^(O51-1))</x:f>
        <x:v>645.9885058849935</x:v>
      </x:c>
      <x:c r="U51" s="60" t="n">
        <x:f>IF(T51="","",I51*T51)</x:f>
        <x:v>130.8634386112255</x:v>
      </x:c>
    </x:row>
    <x:row r="52" ht="18" customHeight="1">
      <x:c r="A52" s="46" t="str">
        <x:v>LME_019</x:v>
      </x:c>
      <x:c r="B52" s="46" t="str">
        <x:v>Greenland Sea</x:v>
      </x:c>
      <x:c r="C52" s="46" t="str">
        <x:v>LME</x:v>
      </x:c>
      <x:c r="D52" s="58" t="n">
        <x:v>2019</x:v>
      </x:c>
      <x:c r="E52" s="46" t="str">
        <x:v>Platichthys flesus</x:v>
      </x:c>
      <x:c r="F52" s="46" t="str">
        <x:v>European flounder</x:v>
      </x:c>
      <x:c r="G52" s="46" t="str">
        <x:v>Small to medium flatfishes (&lt;90 cm)</x:v>
      </x:c>
      <x:c r="H52" s="46" t="str">
        <x:v>Flatfishes</x:v>
      </x:c>
      <x:c r="I52" s="60" t="n">
        <x:v>0.19795898069999998</x:v>
      </x:c>
      <x:c r="J52" s="60" t="n">
        <x:v>0.19795898069999998</x:v>
      </x:c>
      <x:c r="K52" s="60" t="n">
        <x:v>0</x:v>
      </x:c>
      <x:c r="L52" s="60" t="n">
        <x:v>0.19795898069999998</x:v>
      </x:c>
      <x:c r="M52" s="60" t="n">
        <x:v>0</x:v>
      </x:c>
      <x:c r="N52" s="46" t="str">
        <x:v>platichthys flesus</x:v>
      </x:c>
      <x:c r="O52" s="62" t="n">
        <x:v>3.32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Platichthys flesus</x:v>
      </x:c>
      <x:c r="T52" s="62" t="n">
        <x:f>IF(O52="","",(1/'Metadata'!$B$5)^(O52-1))</x:f>
        <x:v>1043.2528743388143</x:v>
      </x:c>
      <x:c r="U52" s="60" t="n">
        <x:f>IF(T52="","",I52*T52)</x:f>
        <x:v>206.52127561645685</x:v>
      </x:c>
    </x:row>
    <x:row r="53" ht="18" customHeight="1">
      <x:c r="A53" s="46" t="str">
        <x:v>LME_019</x:v>
      </x:c>
      <x:c r="B53" s="46" t="str">
        <x:v>Greenland Sea</x:v>
      </x:c>
      <x:c r="C53" s="46" t="str">
        <x:v>LME</x:v>
      </x:c>
      <x:c r="D53" s="58" t="n">
        <x:v>2019</x:v>
      </x:c>
      <x:c r="E53" s="46" t="str">
        <x:v>Macrouridae</x:v>
      </x:c>
      <x:c r="F53" s="46" t="str">
        <x:v>Grenadiers, rattails</x:v>
      </x:c>
      <x:c r="G53" s="46" t="str">
        <x:v>Medium benthopelagics (30 - 89 cm)</x:v>
      </x:c>
      <x:c r="H53" s="46" t="str">
        <x:v>Cod-likes</x:v>
      </x:c>
      <x:c r="I53" s="60" t="n">
        <x:v>0.1683665114</x:v>
      </x:c>
      <x:c r="J53" s="60" t="n">
        <x:v>0</x:v>
      </x:c>
      <x:c r="K53" s="60" t="n">
        <x:v>0.1683665114</x:v>
      </x:c>
      <x:c r="L53" s="60" t="n">
        <x:v>0</x:v>
      </x:c>
      <x:c r="M53" s="60" t="n">
        <x:v>0.1683665114</x:v>
      </x:c>
      <x:c r="N53" s="46" t="str">
        <x:v>macrouridae</x:v>
      </x:c>
      <x:c r="O53" s="62" t="n">
        <x:v>3.88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Macrouridae</x:v>
      </x:c>
      <x:c r="T53" s="62" t="n">
        <x:f>IF(O53="","",(1/'Metadata'!$B$5)^(O53-1))</x:f>
        <x:v>5584.269732662554</x:v>
      </x:c>
      <x:c r="U53" s="60" t="n">
        <x:f>IF(T53="","",I53*T53)</x:f>
        <x:v>940.2040136050049</x:v>
      </x:c>
    </x:row>
    <x:row r="54" ht="18" customHeight="1">
      <x:c r="A54" s="46" t="str">
        <x:v>LME_019</x:v>
      </x:c>
      <x:c r="B54" s="46" t="str">
        <x:v>Greenland Sea</x:v>
      </x:c>
      <x:c r="C54" s="46" t="str">
        <x:v>LME</x:v>
      </x:c>
      <x:c r="D54" s="58" t="n">
        <x:v>2019</x:v>
      </x:c>
      <x:c r="E54" s="46" t="str">
        <x:v>Salvelinus alpinus</x:v>
      </x:c>
      <x:c r="F54" s="46" t="str">
        <x:v>Arctic char</x:v>
      </x:c>
      <x:c r="G54" s="46" t="str">
        <x:v>Medium benthopelagics (30 - 89 cm)</x:v>
      </x:c>
      <x:c r="H54" s="46" t="str">
        <x:v>Salmon, smelts, etc</x:v>
      </x:c>
      <x:c r="I54" s="60" t="n">
        <x:v>0.1531191814</x:v>
      </x:c>
      <x:c r="J54" s="60" t="n">
        <x:v>0.1531191814</x:v>
      </x:c>
      <x:c r="K54" s="60" t="n">
        <x:v>0</x:v>
      </x:c>
      <x:c r="L54" s="60" t="n">
        <x:v>0</x:v>
      </x:c>
      <x:c r="M54" s="60" t="n">
        <x:v>0.1531191814</x:v>
      </x:c>
      <x:c r="N54" s="46" t="str">
        <x:v>salvelinus alpinus</x:v>
      </x:c>
      <x:c r="O54" s="62" t="n">
        <x:v>4.39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Salvelinus alpinus</x:v>
      </x:c>
      <x:c r="T54" s="62" t="n">
        <x:f>IF(O54="","",(1/'Metadata'!$B$5)^(O54-1))</x:f>
        <x:v>25733.07497204781</x:v>
      </x:c>
      <x:c r="U54" s="60" t="n">
        <x:f>IF(T54="","",I54*T54)</x:f>
        <x:v>3940.2273746247884</x:v>
      </x:c>
    </x:row>
    <x:row r="55" ht="18" customHeight="1">
      <x:c r="A55" s="46" t="str">
        <x:v>LME_019</x:v>
      </x:c>
      <x:c r="B55" s="46" t="str">
        <x:v>Greenland Sea</x:v>
      </x:c>
      <x:c r="C55" s="46" t="str">
        <x:v>LME</x:v>
      </x:c>
      <x:c r="D55" s="58" t="n">
        <x:v>2019</x:v>
      </x:c>
      <x:c r="E55" s="46" t="str">
        <x:v>Alepocephalus bairdii</x:v>
      </x:c>
      <x:c r="F55" s="46" t="str">
        <x:v>Baird's slickhead</x:v>
      </x:c>
      <x:c r="G55" s="46" t="str">
        <x:v>Large bathydemersals (&gt;=90 cm)</x:v>
      </x:c>
      <x:c r="H55" s="46" t="str">
        <x:v>Salmon, smelts, etc</x:v>
      </x:c>
      <x:c r="I55" s="60" t="n">
        <x:v>0.1001014708</x:v>
      </x:c>
      <x:c r="J55" s="60" t="n">
        <x:v>0.1001014708</x:v>
      </x:c>
      <x:c r="K55" s="60" t="n">
        <x:v>0</x:v>
      </x:c>
      <x:c r="L55" s="60" t="n">
        <x:v>0.1001014708</x:v>
      </x:c>
      <x:c r="M55" s="60" t="n">
        <x:v>0</x:v>
      </x:c>
      <x:c r="N55" s="46" t="str">
        <x:v>alepocephalus bairdii</x:v>
      </x:c>
      <x:c r="O55" s="62" t="n">
        <x:v>3.69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Alepocephalus bairdii</x:v>
      </x:c>
      <x:c r="T55" s="62" t="n">
        <x:f>IF(O55="","",(1/'Metadata'!$B$5)^(O55-1))</x:f>
        <x:v>3160.6083878807954</x:v>
      </x:c>
      <x:c r="U55" s="60" t="n">
        <x:f>IF(T55="","",I55*T55)</x:f>
        <x:v>316.3815482496845</x:v>
      </x:c>
    </x:row>
    <x:row r="56" ht="18" customHeight="1">
      <x:c r="A56" s="46" t="str">
        <x:v>LME_019</x:v>
      </x:c>
      <x:c r="B56" s="46" t="str">
        <x:v>Greenland Sea</x:v>
      </x:c>
      <x:c r="C56" s="46" t="str">
        <x:v>LME</x:v>
      </x:c>
      <x:c r="D56" s="58" t="n">
        <x:v>2019</x:v>
      </x:c>
      <x:c r="E56" s="46" t="str">
        <x:v>Gastropoda</x:v>
      </x:c>
      <x:c r="F56" s="46" t="str">
        <x:v>Sea snails</x:v>
      </x:c>
      <x:c r="G56" s="46" t="str">
        <x:v>Other demersal invertebrates</x:v>
      </x:c>
      <x:c r="H56" s="46" t="str">
        <x:v>Molluscs</x:v>
      </x:c>
      <x:c r="I56" s="60" t="n">
        <x:v>0.0881887505</x:v>
      </x:c>
      <x:c r="J56" s="60" t="n">
        <x:v>0</x:v>
      </x:c>
      <x:c r="K56" s="60" t="n">
        <x:v>0.0881887505</x:v>
      </x:c>
      <x:c r="L56" s="60" t="n">
        <x:v>0</x:v>
      </x:c>
      <x:c r="M56" s="60" t="n">
        <x:v>0.0881887505</x:v>
      </x:c>
      <x:c r="N56" s="46" t="str">
        <x:v>gastropoda</x:v>
      </x:c>
      <x:c r="O56" s="62" t="n">
        <x:v>3.06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Gastropoda</x:v>
      </x:c>
      <x:c r="T56" s="62" t="n">
        <x:f>IF(O56="","",(1/'Metadata'!$B$5)^(O56-1))</x:f>
        <x:v>478.7643354384948</x:v>
      </x:c>
      <x:c r="U56" s="60" t="n">
        <x:f>IF(T56="","",I56*T56)</x:f>
        <x:v>42.22162852628372</x:v>
      </x:c>
    </x:row>
    <x:row r="57" ht="18" customHeight="1">
      <x:c r="A57" s="46" t="str">
        <x:v>LME_019</x:v>
      </x:c>
      <x:c r="B57" s="46" t="str">
        <x:v>Greenland Sea</x:v>
      </x:c>
      <x:c r="C57" s="46" t="str">
        <x:v>LME</x:v>
      </x:c>
      <x:c r="D57" s="58" t="n">
        <x:v>2019</x:v>
      </x:c>
      <x:c r="E57" s="46" t="str">
        <x:v>Clupeiformes</x:v>
      </x:c>
      <x:c r="F57" s="46" t="str">
        <x:v>Herrings, shads, anchovies</x:v>
      </x:c>
      <x:c r="G57" s="46" t="str">
        <x:v>Small pelagics (&lt;30 cm)</x:v>
      </x:c>
      <x:c r="H57" s="46" t="str">
        <x:v>Other fishes &amp; inverts</x:v>
      </x:c>
      <x:c r="I57" s="60" t="n">
        <x:v>0.0438233537</x:v>
      </x:c>
      <x:c r="J57" s="60" t="n">
        <x:v>0.0438233537</x:v>
      </x:c>
      <x:c r="K57" s="60" t="n">
        <x:v>0</x:v>
      </x:c>
      <x:c r="L57" s="60" t="n">
        <x:v>0.0438233537</x:v>
      </x:c>
      <x:c r="M57" s="60" t="n">
        <x:v>0</x:v>
      </x:c>
      <x:c r="N57" s="46" t="str">
        <x:v>clupeiformes</x:v>
      </x:c>
      <x:c r="O57" s="62" t="n">
        <x:v>3.24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Clupeiformes</x:v>
      </x:c>
      <x:c r="T57" s="62" t="n">
        <x:f>IF(O57="","",(1/'Metadata'!$B$5)^(O57-1))</x:f>
        <x:v>820.9320103116679</x:v>
      </x:c>
      <x:c r="U57" s="60" t="n">
        <x:f>IF(T57="","",I57*T57)</x:f>
        <x:v>35.97599385154027</x:v>
      </x:c>
    </x:row>
    <x:row r="58" ht="18" customHeight="1">
      <x:c r="A58" s="46" t="str">
        <x:v>LME_019</x:v>
      </x:c>
      <x:c r="B58" s="46" t="str">
        <x:v>Greenland Sea</x:v>
      </x:c>
      <x:c r="C58" s="46" t="str">
        <x:v>LME</x:v>
      </x:c>
      <x:c r="D58" s="58" t="n">
        <x:v>2019</x:v>
      </x:c>
      <x:c r="E58" s="46" t="str">
        <x:v>Lamnidae</x:v>
      </x:c>
      <x:c r="F58" s="46" t="str">
        <x:v>Mackerel/white sharks</x:v>
      </x:c>
      <x:c r="G58" s="46" t="str">
        <x:v>Large sharks (&gt;=90 cm)</x:v>
      </x:c>
      <x:c r="H58" s="46" t="str">
        <x:v>Sharks &amp; rays</x:v>
      </x:c>
      <x:c r="I58" s="60" t="n">
        <x:v>0.017540601</x:v>
      </x:c>
      <x:c r="J58" s="60" t="n">
        <x:v>0.017540601</x:v>
      </x:c>
      <x:c r="K58" s="60" t="n">
        <x:v>0</x:v>
      </x:c>
      <x:c r="L58" s="60" t="n">
        <x:v>0.017540601</x:v>
      </x:c>
      <x:c r="M58" s="60" t="n">
        <x:v>0</x:v>
      </x:c>
      <x:c r="N58" s="46" t="str">
        <x:v>lamnidae</x:v>
      </x:c>
      <x:c r="O58" s="62" t="n">
        <x:v>4.5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Lamnidae</x:v>
      </x:c>
      <x:c r="T58" s="62" t="n">
        <x:f>IF(O58="","",(1/'Metadata'!$B$5)^(O58-1))</x:f>
        <x:v>35777.08763999664</x:v>
      </x:c>
      <x:c r="U58" s="60" t="n">
        <x:f>IF(T58="","",I58*T58)</x:f>
        <x:v>627.5516192352126</x:v>
      </x:c>
    </x:row>
    <x:row r="59" ht="18" customHeight="1">
      <x:c r="A59" s="46" t="str">
        <x:v>LME_019</x:v>
      </x:c>
      <x:c r="B59" s="46" t="str">
        <x:v>Greenland Sea</x:v>
      </x:c>
      <x:c r="C59" s="46" t="str">
        <x:v>LME</x:v>
      </x:c>
      <x:c r="D59" s="58" t="n">
        <x:v>2019</x:v>
      </x:c>
      <x:c r="E59" s="46" t="str">
        <x:v>Pleuronectiformes</x:v>
      </x:c>
      <x:c r="F59" s="46" t="str">
        <x:v>Flatfishes</x:v>
      </x:c>
      <x:c r="G59" s="46" t="str">
        <x:v>Small to medium flatfishes (&lt;90 cm)</x:v>
      </x:c>
      <x:c r="H59" s="46" t="str">
        <x:v>Flatfishes</x:v>
      </x:c>
      <x:c r="I59" s="60" t="n">
        <x:v>0.0035191375999999996</x:v>
      </x:c>
      <x:c r="J59" s="60" t="n">
        <x:v>0.0035191375999999996</x:v>
      </x:c>
      <x:c r="K59" s="60" t="n">
        <x:v>0</x:v>
      </x:c>
      <x:c r="L59" s="60" t="n">
        <x:v>0.0035191375999999996</x:v>
      </x:c>
      <x:c r="M59" s="60" t="n">
        <x:v>0</x:v>
      </x:c>
      <x:c r="N59" s="46" t="str">
        <x:v>pleuronectiformes</x:v>
      </x:c>
      <x:c r="O59" s="62" t="n">
        <x:v>3.57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Pleuronectiformes</x:v>
      </x:c>
      <x:c r="T59" s="62" t="n">
        <x:f>IF(O59="","",(1/'Metadata'!$B$5)^(O59-1))</x:f>
        <x:v>2206.2112196552644</x:v>
      </x:c>
      <x:c r="U59" s="60" t="n">
        <x:f>IF(T59="","",I59*T59)</x:f>
        <x:v>7.763960856630699</x:v>
      </x:c>
    </x:row>
    <x:row r="60" ht="18" customHeight="1">
      <x:c r="A60" s="46" t="str">
        <x:v>LME_019</x:v>
      </x:c>
      <x:c r="B60" s="46" t="str">
        <x:v>Greenland Sea</x:v>
      </x:c>
      <x:c r="C60" s="46" t="str">
        <x:v>LME</x:v>
      </x:c>
      <x:c r="D60" s="58" t="n">
        <x:v>2019</x:v>
      </x:c>
      <x:c r="E60" s="46" t="str">
        <x:v>Dendrobranchiata</x:v>
      </x:c>
      <x:c r="F60" s="46" t="str">
        <x:v>Shrimps and prawns</x:v>
      </x:c>
      <x:c r="G60" s="46" t="str">
        <x:v>Shrimps</x:v>
      </x:c>
      <x:c r="H60" s="46" t="str">
        <x:v>Crustaceans</x:v>
      </x:c>
      <x:c r="I60" s="60" t="n">
        <x:v>0.0032707876</x:v>
      </x:c>
      <x:c r="J60" s="60" t="n">
        <x:v>0.0032707876</x:v>
      </x:c>
      <x:c r="K60" s="60" t="n">
        <x:v>0</x:v>
      </x:c>
      <x:c r="L60" s="60" t="n">
        <x:v>0.0032707876</x:v>
      </x:c>
      <x:c r="M60" s="60" t="n">
        <x:v>0</x:v>
      </x:c>
      <x:c r="N60" s="46" t="str">
        <x:v>dendrobranchiata</x:v>
      </x:c>
      <x:c r="O60" s="62" t="n">
        <x:v>3.24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Dendrobranchiata</x:v>
      </x:c>
      <x:c r="T60" s="62" t="n">
        <x:f>IF(O60="","",(1/'Metadata'!$B$5)^(O60-1))</x:f>
        <x:v>820.9320103116679</x:v>
      </x:c>
      <x:c r="U60" s="60" t="n">
        <x:f>IF(T60="","",I60*T60)</x:f>
        <x:v>2.6850942397704753</x:v>
      </x:c>
    </x:row>
    <x:row r="61" ht="18" customHeight="1">
      <x:c r="A61" s="46" t="str">
        <x:v>LME_019</x:v>
      </x:c>
      <x:c r="B61" s="46" t="str">
        <x:v>Greenland Sea</x:v>
      </x:c>
      <x:c r="C61" s="46" t="str">
        <x:v>LME</x:v>
      </x:c>
      <x:c r="D61" s="58" t="n">
        <x:v>2019</x:v>
      </x:c>
      <x:c r="E61" s="46" t="str">
        <x:v>Osteichthyes</x:v>
      </x:c>
      <x:c r="F61" s="46" t="str">
        <x:v>Bony fishes</x:v>
      </x:c>
      <x:c r="G61" s="46" t="str">
        <x:v>Medium demersals (30 - 89 cm)</x:v>
      </x:c>
      <x:c r="H61" s="46" t="str">
        <x:v>Other fishes &amp; inverts</x:v>
      </x:c>
      <x:c r="I61" s="60" t="n">
        <x:v>0.0026986463</x:v>
      </x:c>
      <x:c r="J61" s="60" t="n">
        <x:v>0.0026986463</x:v>
      </x:c>
      <x:c r="K61" s="60" t="n">
        <x:v>0</x:v>
      </x:c>
      <x:c r="L61" s="60" t="n">
        <x:v>0.0026986463</x:v>
      </x:c>
      <x:c r="M61" s="60" t="n">
        <x:v>0</x:v>
      </x:c>
      <x:c r="N61" s="46" t="str">
        <x:v>osteichthyes</x:v>
      </x:c>
      <x:c r="O61" s="62" t="n">
        <x:v>3.79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Osteichthyes</x:v>
      </x:c>
      <x:c r="T61" s="62" t="n">
        <x:f>IF(O61="","",(1/'Metadata'!$B$5)^(O61-1))</x:f>
        <x:v>4264.554685980751</x:v>
      </x:c>
      <x:c r="U61" s="60" t="n">
        <x:f>IF(T61="","",I61*T61)</x:f>
        <x:v>11.508524724469614</x:v>
      </x:c>
    </x:row>
    <x:row r="62" ht="18" customHeight="1">
      <x:c r="A62" s="46" t="str">
        <x:v>LME_019</x:v>
      </x:c>
      <x:c r="B62" s="46" t="str">
        <x:v>Greenland Sea</x:v>
      </x:c>
      <x:c r="C62" s="46" t="str">
        <x:v>LME</x:v>
      </x:c>
      <x:c r="D62" s="58" t="n">
        <x:v>2019</x:v>
      </x:c>
      <x:c r="E62" s="46" t="str">
        <x:v>Rajella lintea</x:v>
      </x:c>
      <x:c r="F62" s="46" t="str">
        <x:v>Sailray</x:v>
      </x:c>
      <x:c r="G62" s="46" t="str">
        <x:v>Large rays (&gt;=90 cm)</x:v>
      </x:c>
      <x:c r="H62" s="46" t="str">
        <x:v>Sharks &amp; rays</x:v>
      </x:c>
      <x:c r="I62" s="60" t="n">
        <x:v>0.002278616</x:v>
      </x:c>
      <x:c r="J62" s="60" t="n">
        <x:v>0.0022604265</x:v>
      </x:c>
      <x:c r="K62" s="60" t="n">
        <x:v>0.0000181895</x:v>
      </x:c>
      <x:c r="L62" s="60" t="n">
        <x:v>0.0022604265</x:v>
      </x:c>
      <x:c r="M62" s="60" t="n">
        <x:v>0.0000181895</x:v>
      </x:c>
      <x:c r="N62" s="46" t="str">
        <x:v>rajella lintea</x:v>
      </x:c>
      <x:c r="O62" s="62" t="n">
        <x:v>3.62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Rajella lintea</x:v>
      </x:c>
      <x:c r="T62" s="62" t="n">
        <x:f>IF(O62="","",(1/'Metadata'!$B$5)^(O62-1))</x:f>
        <x:v>2562.7048371775754</x:v>
      </x:c>
      <x:c r="U62" s="60" t="n">
        <x:f>IF(T62="","",I62*T62)</x:f>
        <x:v>5.839420245270218</x:v>
      </x:c>
    </x:row>
    <x:row r="63" ht="18" customHeight="1">
      <x:c r="A63" s="46" t="str">
        <x:v>LME_019</x:v>
      </x:c>
      <x:c r="B63" s="46" t="str">
        <x:v>Greenland Sea</x:v>
      </x:c>
      <x:c r="C63" s="46" t="str">
        <x:v>LME</x:v>
      </x:c>
      <x:c r="D63" s="58" t="n">
        <x:v>2019</x:v>
      </x:c>
      <x:c r="E63" s="46" t="str">
        <x:v>Maurolicus muelleri</x:v>
      </x:c>
      <x:c r="F63" s="46" t="str">
        <x:v>Silvery lightfish</x:v>
      </x:c>
      <x:c r="G63" s="46" t="str">
        <x:v>Small bathypelagics (&lt;30 cm)</x:v>
      </x:c>
      <x:c r="H63" s="46" t="str">
        <x:v>Other fishes &amp; inverts</x:v>
      </x:c>
      <x:c r="I63" s="60" t="n">
        <x:v>0.0022309099</x:v>
      </x:c>
      <x:c r="J63" s="60" t="n">
        <x:v>0</x:v>
      </x:c>
      <x:c r="K63" s="60" t="n">
        <x:v>0.0022309099</x:v>
      </x:c>
      <x:c r="L63" s="60" t="n">
        <x:v>0</x:v>
      </x:c>
      <x:c r="M63" s="60" t="n">
        <x:v>0.0022309099</x:v>
      </x:c>
      <x:c r="N63" s="46" t="str">
        <x:v>maurolicus muelleri</x:v>
      </x:c>
      <x:c r="O63" s="62" t="n">
        <x:v>3.01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Maurolicus muelleri</x:v>
      </x:c>
      <x:c r="T63" s="62" t="n">
        <x:f>IF(O63="","",(1/'Metadata'!$B$5)^(O63-1))</x:f>
        <x:v>412.16422316450075</x:v>
      </x:c>
      <x:c r="U63" s="60" t="n">
        <x:f>IF(T63="","",I63*T63)</x:f>
        <x:v>0.919501245883494</x:v>
      </x:c>
    </x:row>
    <x:row r="64" ht="18" customHeight="1">
      <x:c r="A64" s="46" t="str">
        <x:v>LME_019</x:v>
      </x:c>
      <x:c r="B64" s="46" t="str">
        <x:v>Greenland Sea</x:v>
      </x:c>
      <x:c r="C64" s="46" t="str">
        <x:v>LME</x:v>
      </x:c>
      <x:c r="D64" s="58" t="n">
        <x:v>2019</x:v>
      </x:c>
      <x:c r="E64" s="46" t="str">
        <x:v>Carangidae</x:v>
      </x:c>
      <x:c r="F64" s="46" t="str">
        <x:v>Jacks, pompanos</x:v>
      </x:c>
      <x:c r="G64" s="46" t="str">
        <x:v>Medium pelagics (30 - 89 cm)</x:v>
      </x:c>
      <x:c r="H64" s="46" t="str">
        <x:v>Perch-likes</x:v>
      </x:c>
      <x:c r="I64" s="60" t="n">
        <x:v>0.0018128188</x:v>
      </x:c>
      <x:c r="J64" s="60" t="n">
        <x:v>0</x:v>
      </x:c>
      <x:c r="K64" s="60" t="n">
        <x:v>0.0018128188</x:v>
      </x:c>
      <x:c r="L64" s="60" t="n">
        <x:v>0</x:v>
      </x:c>
      <x:c r="M64" s="60" t="n">
        <x:v>0.0018128188</x:v>
      </x:c>
      <x:c r="N64" s="46" t="str">
        <x:v>carangidae</x:v>
      </x:c>
      <x:c r="O64" s="62" t="n">
        <x:v>4.05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Carangidae</x:v>
      </x:c>
      <x:c r="T64" s="62" t="n">
        <x:f>IF(O64="","",(1/'Metadata'!$B$5)^(O64-1))</x:f>
        <x:v>9292.690797132333</x:v>
      </x:c>
      <x:c r="U64" s="60" t="n">
        <x:f>IF(T64="","",I64*T64)</x:f>
        <x:v>16.84596457962848</x:v>
      </x:c>
    </x:row>
    <x:row r="65" ht="18" customHeight="1">
      <x:c r="A65" s="46" t="str">
        <x:v>LME_019</x:v>
      </x:c>
      <x:c r="B65" s="46" t="str">
        <x:v>Greenland Sea</x:v>
      </x:c>
      <x:c r="C65" s="46" t="str">
        <x:v>LME</x:v>
      </x:c>
      <x:c r="D65" s="58" t="n">
        <x:v>2019</x:v>
      </x:c>
      <x:c r="E65" s="46" t="str">
        <x:v>Triglidae</x:v>
      </x:c>
      <x:c r="F65" s="46" t="str">
        <x:v>Searobins, gurnards</x:v>
      </x:c>
      <x:c r="G65" s="46" t="str">
        <x:v>Medium demersals (30 - 89 cm)</x:v>
      </x:c>
      <x:c r="H65" s="46" t="str">
        <x:v>Scorpionfishes</x:v>
      </x:c>
      <x:c r="I65" s="60" t="n">
        <x:v>0.0003618012</x:v>
      </x:c>
      <x:c r="J65" s="60" t="n">
        <x:v>0.00017193419999999998</x:v>
      </x:c>
      <x:c r="K65" s="60" t="n">
        <x:v>0.000189867</x:v>
      </x:c>
      <x:c r="L65" s="60" t="n">
        <x:v>0.00017193419999999998</x:v>
      </x:c>
      <x:c r="M65" s="60" t="n">
        <x:v>0.000189867</x:v>
      </x:c>
      <x:c r="N65" s="46" t="str">
        <x:v>triglidae</x:v>
      </x:c>
      <x:c r="O65" s="62" t="n">
        <x:v>3.74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Triglidae</x:v>
      </x:c>
      <x:c r="T65" s="62" t="n">
        <x:f>IF(O65="","",(1/'Metadata'!$B$5)^(O65-1))</x:f>
        <x:v>3671.3195599248957</x:v>
      </x:c>
      <x:c r="U65" s="60" t="n">
        <x:f>IF(T65="","",I65*T65)</x:f>
        <x:v>1.328287822364299</x:v>
      </x:c>
    </x:row>
  </x:sheetData>
  <x:conditionalFormatting sqref="R2:R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2b178e1e7d94c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11</x:v>
      </x:c>
      <x:c r="C2" s="64" t="n">
        <x:v>11</x:v>
      </x:c>
      <x:c r="D2" s="60" t="n">
        <x:v>36494.180468461804</x:v>
      </x:c>
      <x:c r="E2" s="60" t="n">
        <x:v>36494.180468461804</x:v>
      </x:c>
      <x:c r="F2" s="62" t="n">
        <x:v>0</x:v>
      </x:c>
      <x:c r="G2" s="66" t="n">
        <x:v>1</x:v>
      </x:c>
      <x:c r="H2" s="62" t="n">
        <x:f>IF(E2=0,"",I2/E2)</x:f>
        <x:v>10444.167598083573</x:v>
      </x:c>
      <x:c r="I2" s="60" t="n">
        <x:f>SUMIF('Species'!$H$2:$H$65,A2,'Species'!$U$2:$U$65)</x:f>
        <x:v>381151337.1673232</x:v>
      </x:c>
      <x:c r="J2" s="62" t="n">
        <x:v>4.087992000070825</x:v>
      </x:c>
      <x:c r="K2" s="62" t="n">
        <x:f>IF(J2="","",(1/'Metadata'!$B$5)^(J2-1))</x:f>
        <x:v>10412.864533570088</x:v>
      </x:c>
      <x:c r="L2" s="60" t="n">
        <x:f>IF(E2=0,"",E2*K2)</x:f>
        <x:v>380008957.4817521</x:v>
      </x:c>
      <x:c r="M2" s="60" t="n">
        <x:f>I2-L2</x:f>
        <x:v>1142379.6855710745</x:v>
      </x:c>
      <x:c r="N2" s="62" t="n">
        <x:f>IF(L2=0,"",I2/L2)</x:f>
        <x:v>1.0030061914675417</x:v>
      </x:c>
      <x:c r="O2" s="66" t="n">
        <x:f>IF(L2=0,"",M2/L2)</x:f>
        <x:v>0.0030061914675417385</x:v>
      </x:c>
    </x:row>
    <x:row r="3" ht="18" customHeight="1">
      <x:c r="A3" s="46" t="str">
        <x:v>Crustaceans</x:v>
      </x:c>
      <x:c r="B3" s="64" t="n">
        <x:v>4</x:v>
      </x:c>
      <x:c r="C3" s="64" t="n">
        <x:v>4</x:v>
      </x:c>
      <x:c r="D3" s="60" t="n">
        <x:v>991.5554287606999</x:v>
      </x:c>
      <x:c r="E3" s="60" t="n">
        <x:v>991.5554287606999</x:v>
      </x:c>
      <x:c r="F3" s="62" t="n">
        <x:v>0</x:v>
      </x:c>
      <x:c r="G3" s="66" t="n">
        <x:v>1</x:v>
      </x:c>
      <x:c r="H3" s="62" t="n">
        <x:f>IF(E3=0,"",I3/E3)</x:f>
        <x:v>480.60427297011995</x:v>
      </x:c>
      <x:c r="I3" s="60" t="n">
        <x:f>SUMIF('Species'!$H$2:$H$65,A3,'Species'!$U$2:$U$65)</x:f>
        <x:v>476545.77594911173</x:v>
      </x:c>
      <x:c r="J3" s="62" t="n">
        <x:v>3.0549785641321523</x:v>
      </x:c>
      <x:c r="K3" s="62" t="n">
        <x:f>IF(J3="","",(1/'Metadata'!$B$5)^(J3-1))</x:f>
        <x:v>471.6162409429196</x:v>
      </x:c>
      <x:c r="L3" s="60" t="n">
        <x:f>IF(E3=0,"",E3*K3)</x:f>
        <x:v>467633.6439986662</x:v>
      </x:c>
      <x:c r="M3" s="60" t="n">
        <x:f>I3-L3</x:f>
        <x:v>8912.131950445531</x:v>
      </x:c>
      <x:c r="N3" s="62" t="n">
        <x:f>IF(L3=0,"",I3/L3)</x:f>
        <x:v>1.019057935768349</x:v>
      </x:c>
      <x:c r="O3" s="66" t="n">
        <x:f>IF(L3=0,"",M3/L3)</x:f>
        <x:v>0.01905793576834893</x:v>
      </x:c>
    </x:row>
    <x:row r="4" ht="18" customHeight="1">
      <x:c r="A4" s="46" t="str">
        <x:v>Flatfishes</x:v>
      </x:c>
      <x:c r="B4" s="64" t="n">
        <x:v>7</x:v>
      </x:c>
      <x:c r="C4" s="64" t="n">
        <x:v>7</x:v>
      </x:c>
      <x:c r="D4" s="60" t="n">
        <x:v>7446.7601847677</x:v>
      </x:c>
      <x:c r="E4" s="60" t="n">
        <x:v>7446.7601847677</x:v>
      </x:c>
      <x:c r="F4" s="62" t="n">
        <x:v>0</x:v>
      </x:c>
      <x:c r="G4" s="66" t="n">
        <x:v>1</x:v>
      </x:c>
      <x:c r="H4" s="62" t="n">
        <x:f>IF(E4=0,"",I4/E4)</x:f>
        <x:v>24101.837477017667</x:v>
      </x:c>
      <x:c r="I4" s="60" t="n">
        <x:f>SUMIF('Species'!$H$2:$H$65,A4,'Species'!$U$2:$U$65)</x:f>
        <x:v>179480603.70359716</x:v>
      </x:c>
      <x:c r="J4" s="62" t="n">
        <x:v>4.340069594008816</x:v>
      </x:c>
      <x:c r="K4" s="62" t="n">
        <x:f>IF(J4="","",(1/'Metadata'!$B$5)^(J4-1))</x:f>
        <x:v>22158.00874372508</x:v>
      </x:c>
      <x:c r="L4" s="60" t="n">
        <x:f>IF(E4=0,"",E4*K4)</x:f>
        <x:v>165005377.28650647</x:v>
      </x:c>
      <x:c r="M4" s="60" t="n">
        <x:f>I4-L4</x:f>
        <x:v>14475226.417090684</x:v>
      </x:c>
      <x:c r="N4" s="62" t="n">
        <x:f>IF(L4=0,"",I4/L4)</x:f>
        <x:v>1.0877257860024567</x:v>
      </x:c>
      <x:c r="O4" s="66" t="n">
        <x:f>IF(L4=0,"",M4/L4)</x:f>
        <x:v>0.08772578600245663</x:v>
      </x:c>
    </x:row>
    <x:row r="5" ht="18" customHeight="1">
      <x:c r="A5" s="46" t="str">
        <x:v>Herring-likes</x:v>
      </x:c>
      <x:c r="B5" s="64" t="n">
        <x:v>2</x:v>
      </x:c>
      <x:c r="C5" s="64" t="n">
        <x:v>2</x:v>
      </x:c>
      <x:c r="D5" s="60" t="n">
        <x:v>171.6707849823</x:v>
      </x:c>
      <x:c r="E5" s="60" t="n">
        <x:v>171.6707849823</x:v>
      </x:c>
      <x:c r="F5" s="62" t="n">
        <x:v>0</x:v>
      </x:c>
      <x:c r="G5" s="66" t="n">
        <x:v>1</x:v>
      </x:c>
      <x:c r="H5" s="62" t="n">
        <x:f>IF(E5=0,"",I5/E5)</x:f>
        <x:v>1247.969471148291</x:v>
      </x:c>
      <x:c r="I5" s="60" t="n">
        <x:f>SUMIF('Species'!$H$2:$H$65,A5,'Species'!$U$2:$U$65)</x:f>
        <x:v>214239.8987459729</x:v>
      </x:c>
      <x:c r="J5" s="62" t="n">
        <x:v>3.3797403909517825</x:v>
      </x:c>
      <x:c r="K5" s="62" t="n">
        <x:f>IF(J5="","",(1/'Metadata'!$B$5)^(J5-1))</x:f>
        <x:v>1247.7099272862758</x:v>
      </x:c>
      <x:c r="L5" s="60" t="n">
        <x:f>IF(E5=0,"",E5*K5)</x:f>
        <x:v>214195.34264744344</x:v>
      </x:c>
      <x:c r="M5" s="60" t="n">
        <x:f>I5-L5</x:f>
        <x:v>44.55609852945781</x:v>
      </x:c>
      <x:c r="N5" s="62" t="n">
        <x:f>IF(L5=0,"",I5/L5)</x:f>
        <x:v>1.0002080161873679</x:v>
      </x:c>
      <x:c r="O5" s="66" t="n">
        <x:f>IF(L5=0,"",M5/L5)</x:f>
        <x:v>0.00020801618736778646</x:v>
      </x:c>
    </x:row>
    <x:row r="6" ht="18" customHeight="1">
      <x:c r="A6" s="46" t="str">
        <x:v>Molluscs</x:v>
      </x:c>
      <x:c r="B6" s="64" t="n">
        <x:v>4</x:v>
      </x:c>
      <x:c r="C6" s="64" t="n">
        <x:v>4</x:v>
      </x:c>
      <x:c r="D6" s="60" t="n">
        <x:v>15.614821926900001</x:v>
      </x:c>
      <x:c r="E6" s="60" t="n">
        <x:v>15.614821926900001</x:v>
      </x:c>
      <x:c r="F6" s="62" t="n">
        <x:v>0</x:v>
      </x:c>
      <x:c r="G6" s="66" t="n">
        <x:v>1</x:v>
      </x:c>
      <x:c r="H6" s="62" t="n">
        <x:f>IF(E6=0,"",I6/E6)</x:f>
        <x:v>2393.119614943374</x:v>
      </x:c>
      <x:c r="I6" s="60" t="n">
        <x:f>SUMIF('Species'!$H$2:$H$65,A6,'Species'!$U$2:$U$65)</x:f>
        <x:v>37368.136637112286</x:v>
      </x:c>
      <x:c r="J6" s="62" t="n">
        <x:v>3.1840236693911805</x:v>
      </x:c>
      <x:c r="K6" s="62" t="n">
        <x:f>IF(J6="","",(1/'Metadata'!$B$5)^(J6-1))</x:f>
        <x:v>694.1931199381883</x:v>
      </x:c>
      <x:c r="L6" s="60" t="n">
        <x:f>IF(E6=0,"",E6*K6)</x:f>
        <x:v>10839.701950713945</x:v>
      </x:c>
      <x:c r="M6" s="60" t="n">
        <x:f>I6-L6</x:f>
        <x:v>26528.43468639834</x:v>
      </x:c>
      <x:c r="N6" s="62" t="n">
        <x:f>IF(L6=0,"",I6/L6)</x:f>
        <x:v>3.4473398629425485</x:v>
      </x:c>
      <x:c r="O6" s="66" t="n">
        <x:f>IF(L6=0,"",M6/L6)</x:f>
        <x:v>2.4473398629425485</x:v>
      </x:c>
    </x:row>
    <x:row r="7" ht="18" customHeight="1">
      <x:c r="A7" s="46" t="str">
        <x:v>Other fishes &amp; inverts</x:v>
      </x:c>
      <x:c r="B7" s="64" t="n">
        <x:v>8</x:v>
      </x:c>
      <x:c r="C7" s="64" t="n">
        <x:v>8</x:v>
      </x:c>
      <x:c r="D7" s="60" t="n">
        <x:v>32942.1627605002</x:v>
      </x:c>
      <x:c r="E7" s="60" t="n">
        <x:v>32942.1627605002</x:v>
      </x:c>
      <x:c r="F7" s="62" t="n">
        <x:v>0</x:v>
      </x:c>
      <x:c r="G7" s="66" t="n">
        <x:v>1</x:v>
      </x:c>
      <x:c r="H7" s="62" t="n">
        <x:f>IF(E7=0,"",I7/E7)</x:f>
        <x:v>927.5223945669791</x:v>
      </x:c>
      <x:c r="I7" s="60" t="n">
        <x:f>SUMIF('Species'!$H$2:$H$65,A7,'Species'!$U$2:$U$65)</x:f>
        <x:v>30554593.68583431</x:v>
      </x:c>
      <x:c r="J7" s="62" t="n">
        <x:v>3.2799712594665524</x:v>
      </x:c>
      <x:c r="K7" s="62" t="n">
        <x:f>IF(J7="","",(1/'Metadata'!$B$5)^(J7-1))</x:f>
        <x:v>925.3605864677634</x:v>
      </x:c>
      <x:c r="L7" s="60" t="n">
        <x:f>IF(E7=0,"",E7*K7)</x:f>
        <x:v>30483379.05157298</x:v>
      </x:c>
      <x:c r="M7" s="60" t="n">
        <x:f>I7-L7</x:f>
        <x:v>71214.63426133245</x:v>
      </x:c>
      <x:c r="N7" s="62" t="n">
        <x:f>IF(L7=0,"",I7/L7)</x:f>
        <x:v>1.0023361791401422</x:v>
      </x:c>
      <x:c r="O7" s="66" t="n">
        <x:f>IF(L7=0,"",M7/L7)</x:f>
        <x:v>0.002336179140142198</x:v>
      </x:c>
    </x:row>
    <x:row r="8" ht="18" customHeight="1">
      <x:c r="A8" s="46" t="str">
        <x:v>Perch-likes</x:v>
      </x:c>
      <x:c r="B8" s="64" t="n">
        <x:v>8</x:v>
      </x:c>
      <x:c r="C8" s="64" t="n">
        <x:v>8</x:v>
      </x:c>
      <x:c r="D8" s="60" t="n">
        <x:v>304.30787965790006</x:v>
      </x:c>
      <x:c r="E8" s="60" t="n">
        <x:v>304.30787965790006</x:v>
      </x:c>
      <x:c r="F8" s="62" t="n">
        <x:v>0</x:v>
      </x:c>
      <x:c r="G8" s="66" t="n">
        <x:v>1</x:v>
      </x:c>
      <x:c r="H8" s="62" t="n">
        <x:f>IF(E8=0,"",I8/E8)</x:f>
        <x:v>2464.840412908911</x:v>
      </x:c>
      <x:c r="I8" s="60" t="n">
        <x:f>SUMIF('Species'!$H$2:$H$65,A8,'Species'!$U$2:$U$65)</x:f>
        <x:v>750070.3597474135</x:v>
      </x:c>
      <x:c r="J8" s="62" t="n">
        <x:v>3.5788916252842506</x:v>
      </x:c>
      <x:c r="K8" s="62" t="n">
        <x:f>IF(J8="","",(1/'Metadata'!$B$5)^(J8-1))</x:f>
        <x:v>2265.767588920674</x:v>
      </x:c>
      <x:c r="L8" s="60" t="n">
        <x:f>IF(E8=0,"",E8*K8)</x:f>
        <x:v>689490.9307820428</x:v>
      </x:c>
      <x:c r="M8" s="60" t="n">
        <x:f>I8-L8</x:f>
        <x:v>60579.42896537075</x:v>
      </x:c>
      <x:c r="N8" s="62" t="n">
        <x:f>IF(L8=0,"",I8/L8)</x:f>
        <x:v>1.0878610961519968</x:v>
      </x:c>
      <x:c r="O8" s="66" t="n">
        <x:f>IF(L8=0,"",M8/L8)</x:f>
        <x:v>0.08786109615199668</x:v>
      </x:c>
    </x:row>
    <x:row r="9" ht="18" customHeight="1">
      <x:c r="A9" s="46" t="str">
        <x:v>Salmon, smelts, etc</x:v>
      </x:c>
      <x:c r="B9" s="64" t="n">
        <x:v>5</x:v>
      </x:c>
      <x:c r="C9" s="64" t="n">
        <x:v>5</x:v>
      </x:c>
      <x:c r="D9" s="60" t="n">
        <x:v>36.434822630300005</x:v>
      </x:c>
      <x:c r="E9" s="60" t="n">
        <x:v>36.434822630300005</x:v>
      </x:c>
      <x:c r="F9" s="62" t="n">
        <x:v>0</x:v>
      </x:c>
      <x:c r="G9" s="66" t="n">
        <x:v>1</x:v>
      </x:c>
      <x:c r="H9" s="62" t="n">
        <x:f>IF(E9=0,"",I9/E9)</x:f>
        <x:v>28442.590874040077</x:v>
      </x:c>
      <x:c r="I9" s="60" t="n">
        <x:f>SUMIF('Species'!$H$2:$H$65,A9,'Species'!$U$2:$U$65)</x:f>
        <x:v>1036300.7536418398</x:v>
      </x:c>
      <x:c r="J9" s="62" t="n">
        <x:v>4.226722966699646</x:v>
      </x:c>
      <x:c r="K9" s="62" t="n">
        <x:f>IF(J9="","",(1/'Metadata'!$B$5)^(J9-1))</x:f>
        <x:v>15778.414738148273</x:v>
      </x:c>
      <x:c r="L9" s="60" t="n">
        <x:f>IF(E9=0,"",E9*K9)</x:f>
        <x:v>574883.7423717438</x:v>
      </x:c>
      <x:c r="M9" s="60" t="n">
        <x:f>I9-L9</x:f>
        <x:v>461417.01127009606</x:v>
      </x:c>
      <x:c r="N9" s="62" t="n">
        <x:f>IF(L9=0,"",I9/L9)</x:f>
        <x:v>1.8026266482445152</x:v>
      </x:c>
      <x:c r="O9" s="66" t="n">
        <x:f>IF(L9=0,"",M9/L9)</x:f>
        <x:v>0.8026266482445151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8432.802223788201</x:v>
      </x:c>
      <x:c r="E10" s="60" t="n">
        <x:v>8432.802223788201</x:v>
      </x:c>
      <x:c r="F10" s="62" t="n">
        <x:v>0</x:v>
      </x:c>
      <x:c r="G10" s="66" t="n">
        <x:v>1</x:v>
      </x:c>
      <x:c r="H10" s="62" t="n">
        <x:f>IF(E10=0,"",I10/E10)</x:f>
        <x:v>6736.171846129155</x:v>
      </x:c>
      <x:c r="I10" s="60" t="n">
        <x:f>SUMIF('Species'!$H$2:$H$65,A10,'Species'!$U$2:$U$65)</x:f>
        <x:v>56804804.92385741</x:v>
      </x:c>
      <x:c r="J10" s="62" t="n">
        <x:v>3.8974046333511767</x:v>
      </x:c>
      <x:c r="K10" s="62" t="n">
        <x:f>IF(J10="","",(1/'Metadata'!$B$5)^(J10-1))</x:f>
        <x:v>5883.155635709009</x:v>
      </x:c>
      <x:c r="L10" s="60" t="n">
        <x:f>IF(E10=0,"",E10*K10)</x:f>
        <x:v>49611487.92769902</x:v>
      </x:c>
      <x:c r="M10" s="60" t="n">
        <x:f>I10-L10</x:f>
        <x:v>7193316.996158391</x:v>
      </x:c>
      <x:c r="N10" s="62" t="n">
        <x:f>IF(L10=0,"",I10/L10)</x:f>
        <x:v>1.1449929703104555</x:v>
      </x:c>
      <x:c r="O10" s="66" t="n">
        <x:f>IF(L10=0,"",M10/L10)</x:f>
        <x:v>0.1449929703104556</x:v>
      </x:c>
    </x:row>
    <x:row r="11" ht="18" customHeight="1">
      <x:c r="A11" s="46" t="str">
        <x:v>Sharks &amp; rays</x:v>
      </x:c>
      <x:c r="B11" s="64" t="n">
        <x:v>9</x:v>
      </x:c>
      <x:c r="C11" s="64" t="n">
        <x:v>9</x:v>
      </x:c>
      <x:c r="D11" s="60" t="n">
        <x:v>258.3341982442</x:v>
      </x:c>
      <x:c r="E11" s="60" t="n">
        <x:v>258.3341982442</x:v>
      </x:c>
      <x:c r="F11" s="62" t="n">
        <x:v>0</x:v>
      </x:c>
      <x:c r="G11" s="66" t="n">
        <x:v>1</x:v>
      </x:c>
      <x:c r="H11" s="62" t="n">
        <x:f>IF(E11=0,"",I11/E11)</x:f>
        <x:v>11758.497311964926</x:v>
      </x:c>
      <x:c r="I11" s="60" t="n">
        <x:f>SUMIF('Species'!$H$2:$H$65,A11,'Species'!$U$2:$U$65)</x:f>
        <x:v>3037621.97564304</x:v>
      </x:c>
      <x:c r="J11" s="62" t="n">
        <x:v>4.117510165506271</x:v>
      </x:c>
      <x:c r="K11" s="62" t="n">
        <x:f>IF(J11="","",(1/'Metadata'!$B$5)^(J11-1))</x:f>
        <x:v>11375.598023591703</x:v>
      </x:c>
      <x:c r="L11" s="60" t="n">
        <x:f>IF(E11=0,"",E11*K11)</x:f>
        <x:v>2938705.994972869</x:v>
      </x:c>
      <x:c r="M11" s="60" t="n">
        <x:f>I11-L11</x:f>
        <x:v>98915.98067017132</x:v>
      </x:c>
      <x:c r="N11" s="62" t="n">
        <x:f>IF(L11=0,"",I11/L11)</x:f>
        <x:v>1.0336597062922874</x:v>
      </x:c>
      <x:c r="O11" s="66" t="n">
        <x:f>IF(L11=0,"",M11/L11)</x:f>
        <x:v>0.03365970629228752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35f46eeb75444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19.6936668453</x:v>
      </x:c>
      <x:c r="E2" s="60" t="n">
        <x:v>19.6936668453</x:v>
      </x:c>
      <x:c r="F2" s="62" t="n">
        <x:v>0</x:v>
      </x:c>
      <x:c r="G2" s="66" t="n">
        <x:v>1</x:v>
      </x:c>
      <x:c r="H2" s="62" t="n">
        <x:f>IF(E2=0,"",I2/E2)</x:f>
        <x:v>4527.873529309382</x:v>
      </x:c>
      <x:c r="I2" s="60" t="n">
        <x:f>SUMIF('Species'!$G$2:$G$65,A2,'Species'!$U$2:$U$65)</x:f>
        <x:v>89170.43280387169</x:v>
      </x:c>
      <x:c r="J2" s="62" t="n">
        <x:v>3.81</x:v>
      </x:c>
      <x:c r="K2" s="62" t="n">
        <x:f>IF(J2="","",(1/'Metadata'!$B$5)^(J2-1))</x:f>
        <x:v>4527.873529309382</x:v>
      </x:c>
      <x:c r="L2" s="60" t="n">
        <x:f>IF(E2=0,"",E2*K2)</x:f>
        <x:v>89170.43280387169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0.9883836954</x:v>
      </x:c>
      <x:c r="E3" s="60" t="n">
        <x:v>0.9883836954</x:v>
      </x:c>
      <x:c r="F3" s="62" t="n">
        <x:v>0</x:v>
      </x:c>
      <x:c r="G3" s="66" t="n">
        <x:v>1</x:v>
      </x:c>
      <x:c r="H3" s="62" t="n">
        <x:f>IF(E3=0,"",I3/E3)</x:f>
        <x:v>20835.306031433396</x:v>
      </x:c>
      <x:c r="I3" s="60" t="n">
        <x:f>SUMIF('Species'!$G$2:$G$65,A3,'Species'!$U$2:$U$65)</x:f>
        <x:v>20593.27677013805</x:v>
      </x:c>
      <x:c r="J3" s="62" t="n">
        <x:v>4.283156555459707</x:v>
      </x:c>
      <x:c r="K3" s="62" t="n">
        <x:f>IF(J3="","",(1/'Metadata'!$B$5)^(J3-1))</x:f>
        <x:v>18684.658261975525</x:v>
      </x:c>
      <x:c r="L3" s="60" t="n">
        <x:f>IF(E3=0,"",E3*K3)</x:f>
        <x:v>18467.61158025751</x:v>
      </x:c>
      <x:c r="M3" s="60" t="n">
        <x:f>I3-L3</x:f>
        <x:v>2125.6651898805394</x:v>
      </x:c>
      <x:c r="N3" s="62" t="n">
        <x:f>IF(L3=0,"",I3/L3)</x:f>
        <x:v>1.115102333652769</x:v>
      </x:c>
      <x:c r="O3" s="66" t="n">
        <x:f>IF(L3=0,"",M3/L3)</x:f>
        <x:v>0.11510233365276894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59.4047536078</x:v>
      </x:c>
      <x:c r="E4" s="60" t="n">
        <x:v>59.4047536078</x:v>
      </x:c>
      <x:c r="F4" s="62" t="n">
        <x:v>0</x:v>
      </x:c>
      <x:c r="G4" s="66" t="n">
        <x:v>1</x:v>
      </x:c>
      <x:c r="H4" s="62" t="n">
        <x:f>IF(E4=0,"",I4/E4)</x:f>
        <x:v>2016.5834052007342</x:v>
      </x:c>
      <x:c r="I4" s="60" t="n">
        <x:f>SUMIF('Species'!$G$2:$G$65,A4,'Species'!$U$2:$U$65)</x:f>
        <x:v>119794.64031552791</x:v>
      </x:c>
      <x:c r="J4" s="62" t="n">
        <x:v>3.54</x:v>
      </x:c>
      <x:c r="K4" s="62" t="n">
        <x:f>IF(J4="","",(1/'Metadata'!$B$5)^(J4-1))</x:f>
        <x:v>2016.5834052007342</x:v>
      </x:c>
      <x:c r="L4" s="60" t="n">
        <x:f>IF(E4=0,"",E4*K4)</x:f>
        <x:v>119794.64031552791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35792.5353900097</x:v>
      </x:c>
      <x:c r="E5" s="60" t="n">
        <x:v>35792.5353900097</x:v>
      </x:c>
      <x:c r="F5" s="62" t="n">
        <x:v>0</x:v>
      </x:c>
      <x:c r="G5" s="66" t="n">
        <x:v>1</x:v>
      </x:c>
      <x:c r="H5" s="62" t="n">
        <x:f>IF(E5=0,"",I5/E5)</x:f>
        <x:v>10478.78123965927</x:v>
      </x:c>
      <x:c r="I5" s="60" t="n">
        <x:f>SUMIF('Species'!$G$2:$G$65,A5,'Species'!$U$2:$U$65)</x:f>
        <x:v>375062148.3646742</x:v>
      </x:c>
      <x:c r="J5" s="62" t="n">
        <x:v>4.089420348093844</x:v>
      </x:c>
      <x:c r="K5" s="62" t="n">
        <x:f>IF(J5="","",(1/'Metadata'!$B$5)^(J5-1))</x:f>
        <x:v>10457.516105009774</x:v>
      </x:c>
      <x:c r="L5" s="60" t="n">
        <x:f>IF(E5=0,"",E5*K5)</x:f>
        <x:v>374301015.28015876</x:v>
      </x:c>
      <x:c r="M5" s="60" t="n">
        <x:f>I5-L5</x:f>
        <x:v>761133.0845154524</x:v>
      </x:c>
      <x:c r="N5" s="62" t="n">
        <x:f>IF(L5=0,"",I5/L5)</x:f>
        <x:v>1.002033478546527</x:v>
      </x:c>
      <x:c r="O5" s="66" t="n">
        <x:f>IF(L5=0,"",M5/L5)</x:f>
        <x:v>0.0020334785465269327</x:v>
      </x:c>
    </x:row>
    <x:row r="6" ht="18" customHeight="1">
      <x:c r="A6" s="46" t="str">
        <x:v>Large demersals (&gt;=90 cm)</x:v>
      </x:c>
      <x:c r="B6" s="64" t="n">
        <x:v>6</x:v>
      </x:c>
      <x:c r="C6" s="64" t="n">
        <x:v>6</x:v>
      </x:c>
      <x:c r="D6" s="60" t="n">
        <x:v>204.8894684317</x:v>
      </x:c>
      <x:c r="E6" s="60" t="n">
        <x:v>204.8894684317</x:v>
      </x:c>
      <x:c r="F6" s="62" t="n">
        <x:v>0</x:v>
      </x:c>
      <x:c r="G6" s="66" t="n">
        <x:v>1</x:v>
      </x:c>
      <x:c r="H6" s="62" t="n">
        <x:f>IF(E6=0,"",I6/E6)</x:f>
        <x:v>8184.218163178248</x:v>
      </x:c>
      <x:c r="I6" s="60" t="n">
        <x:f>SUMIF('Species'!$G$2:$G$65,A6,'Species'!$U$2:$U$65)</x:f>
        <x:v>1676860.1089826555</x:v>
      </x:c>
      <x:c r="J6" s="62" t="n">
        <x:v>3.8147876204790436</x:v>
      </x:c>
      <x:c r="K6" s="62" t="n">
        <x:f>IF(J6="","",(1/'Metadata'!$B$5)^(J6-1))</x:f>
        <x:v>4593.282172932742</x:v>
      </x:c>
      <x:c r="L6" s="60" t="n">
        <x:f>IF(E6=0,"",E6*K6)</x:f>
        <x:v>941115.1427689934</x:v>
      </x:c>
      <x:c r="M6" s="60" t="n">
        <x:f>I6-L6</x:f>
        <x:v>735744.9662136621</x:v>
      </x:c>
      <x:c r="N6" s="62" t="n">
        <x:f>IF(L6=0,"",I6/L6)</x:f>
        <x:v>1.7817799680163666</x:v>
      </x:c>
      <x:c r="O6" s="66" t="n">
        <x:f>IF(L6=0,"",M6/L6)</x:f>
        <x:v>0.7817799680163667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270.2104224354</x:v>
      </x:c>
      <x:c r="E7" s="60" t="n">
        <x:v>270.2104224354</x:v>
      </x:c>
      <x:c r="F7" s="62" t="n">
        <x:v>0</x:v>
      </x:c>
      <x:c r="G7" s="66" t="n">
        <x:v>1</x:v>
      </x:c>
      <x:c r="H7" s="62" t="n">
        <x:f>IF(E7=0,"",I7/E7)</x:f>
        <x:v>1097.5887576106256</x:v>
      </x:c>
      <x:c r="I7" s="60" t="n">
        <x:f>SUMIF('Species'!$G$2:$G$65,A7,'Species'!$U$2:$U$65)</x:f>
        <x:v>296579.921854313</x:v>
      </x:c>
      <x:c r="J7" s="62" t="n">
        <x:v>3.283457786068275</x:v>
      </x:c>
      <x:c r="K7" s="62" t="n">
        <x:f>IF(J7="","",(1/'Metadata'!$B$5)^(J7-1))</x:f>
        <x:v>935.0763512286829</x:v>
      </x:c>
      <x:c r="L7" s="60" t="n">
        <x:f>IF(E7=0,"",E7*K7)</x:f>
        <x:v>252667.3758748549</x:v>
      </x:c>
      <x:c r="M7" s="60" t="n">
        <x:f>I7-L7</x:f>
        <x:v>43912.54597945811</x:v>
      </x:c>
      <x:c r="N7" s="62" t="n">
        <x:f>IF(L7=0,"",I7/L7)</x:f>
        <x:v>1.1737958682928966</x:v>
      </x:c>
      <x:c r="O7" s="66" t="n">
        <x:f>IF(L7=0,"",M7/L7)</x:f>
        <x:v>0.17379586829289673</x:v>
      </x:c>
    </x:row>
    <x:row r="8" ht="18" customHeight="1">
      <x:c r="A8" s="46" t="str">
        <x:v>Large rays (&gt;=90 cm)</x:v>
      </x:c>
      <x:c r="B8" s="64" t="n">
        <x:v>3</x:v>
      </x:c>
      <x:c r="C8" s="64" t="n">
        <x:v>3</x:v>
      </x:c>
      <x:c r="D8" s="60" t="n">
        <x:v>3.0012971168999996</x:v>
      </x:c>
      <x:c r="E8" s="60" t="n">
        <x:v>3.0012971168999996</x:v>
      </x:c>
      <x:c r="F8" s="62" t="n">
        <x:v>0</x:v>
      </x:c>
      <x:c r="G8" s="66" t="n">
        <x:v>1</x:v>
      </x:c>
      <x:c r="H8" s="62" t="n">
        <x:f>IF(E8=0,"",I8/E8)</x:f>
        <x:v>4428.7398158118385</x:v>
      </x:c>
      <x:c r="I8" s="60" t="n">
        <x:f>SUMIF('Species'!$G$2:$G$65,A8,'Species'!$U$2:$U$65)</x:f>
        <x:v>13291.964040696306</x:v>
      </x:c>
      <x:c r="J8" s="62" t="n">
        <x:v>3.7971725273775077</x:v>
      </x:c>
      <x:c r="K8" s="62" t="n">
        <x:f>IF(J8="","",(1/'Metadata'!$B$5)^(J8-1))</x:f>
        <x:v>4357.178592061886</x:v>
      </x:c>
      <x:c r="L8" s="60" t="n">
        <x:f>IF(E8=0,"",E8*K8)</x:f>
        <x:v>13077.187546173738</x:v>
      </x:c>
      <x:c r="M8" s="60" t="n">
        <x:f>I8-L8</x:f>
        <x:v>214.7764945225681</x:v>
      </x:c>
      <x:c r="N8" s="62" t="n">
        <x:f>IF(L8=0,"",I8/L8)</x:f>
        <x:v>1.016423752719323</x:v>
      </x:c>
      <x:c r="O8" s="66" t="n">
        <x:f>IF(L8=0,"",M8/L8)</x:f>
        <x:v>0.016423752719323025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94.7742200645</x:v>
      </x:c>
      <x:c r="E9" s="60" t="n">
        <x:v>94.7742200645</x:v>
      </x:c>
      <x:c r="F9" s="62" t="n">
        <x:v>0</x:v>
      </x:c>
      <x:c r="G9" s="66" t="n">
        <x:v>1</x:v>
      </x:c>
      <x:c r="H9" s="62" t="n">
        <x:f>IF(E9=0,"",I9/E9)</x:f>
        <x:v>4264.554685980751</x:v>
      </x:c>
      <x:c r="I9" s="60" t="n">
        <x:f>SUMIF('Species'!$G$2:$G$65,A9,'Species'!$U$2:$U$65)</x:f>
        <x:v>404169.8442862344</x:v>
      </x:c>
      <x:c r="J9" s="62" t="n">
        <x:v>3.7899999999999996</x:v>
      </x:c>
      <x:c r="K9" s="62" t="n">
        <x:f>IF(J9="","",(1/'Metadata'!$B$5)^(J9-1))</x:f>
        <x:v>4264.554685980745</x:v>
      </x:c>
      <x:c r="L9" s="60" t="n">
        <x:f>IF(E9=0,"",E9*K9)</x:f>
        <x:v>404169.84428623377</x:v>
      </x:c>
      <x:c r="M9" s="60" t="n">
        <x:f>I9-L9</x:f>
        <x:v>6.402842700481415e-10</x:v>
      </x:c>
      <x:c r="N9" s="62" t="n">
        <x:f>IF(L9=0,"",I9/L9)</x:f>
        <x:v>1.0000000000000016</x:v>
      </x:c>
      <x:c r="O9" s="66" t="n">
        <x:f>IF(L9=0,"",M9/L9)</x:f>
        <x:v>1.5841960480225512e-15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255.3329011273</x:v>
      </x:c>
      <x:c r="E10" s="60" t="n">
        <x:v>255.3329011273</x:v>
      </x:c>
      <x:c r="F10" s="62" t="n">
        <x:v>0</x:v>
      </x:c>
      <x:c r="G10" s="66" t="n">
        <x:v>1</x:v>
      </x:c>
      <x:c r="H10" s="62" t="n">
        <x:f>IF(E10=0,"",I10/E10)</x:f>
        <x:v>11844.654559791803</x:v>
      </x:c>
      <x:c r="I10" s="60" t="n">
        <x:f>SUMIF('Species'!$G$2:$G$65,A10,'Species'!$U$2:$U$65)</x:f>
        <x:v>3024330.0116023435</x:v>
      </x:c>
      <x:c r="J10" s="62" t="n">
        <x:v>4.121275557375105</x:v>
      </x:c>
      <x:c r="K10" s="62" t="n">
        <x:f>IF(J10="","",(1/'Metadata'!$B$5)^(J10-1))</x:f>
        <x:v>11504.642423419056</x:v>
      </x:c>
      <x:c r="L10" s="60" t="n">
        <x:f>IF(E10=0,"",E10*K10)</x:f>
        <x:v>2937513.726403799</x:v>
      </x:c>
      <x:c r="M10" s="60" t="n">
        <x:f>I10-L10</x:f>
        <x:v>86816.28519854462</x:v>
      </x:c>
      <x:c r="N10" s="62" t="n">
        <x:f>IF(L10=0,"",I10/L10)</x:f>
        <x:v>1.0295543419655193</x:v>
      </x:c>
      <x:c r="O10" s="66" t="n">
        <x:f>IF(L10=0,"",M10/L10)</x:f>
        <x:v>0.029554341965519246</x:v>
      </x:c>
    </x:row>
    <x:row r="11" ht="18" customHeight="1">
      <x:c r="A11" s="46" t="str">
        <x:v>Lobsters, crabs</x:v>
      </x:c>
      <x:c r="B11" s="64" t="n">
        <x:v>1</x:v>
      </x:c>
      <x:c r="C11" s="64" t="n">
        <x:v>1</x:v>
      </x:c>
      <x:c r="D11" s="60" t="n">
        <x:v>14.6554642644</x:v>
      </x:c>
      <x:c r="E11" s="60" t="n">
        <x:v>14.6554642644</x:v>
      </x:c>
      <x:c r="F11" s="62" t="n">
        <x:v>0</x:v>
      </x:c>
      <x:c r="G11" s="66" t="n">
        <x:v>1</x:v>
      </x:c>
      <x:c r="H11" s="62" t="n">
        <x:f>IF(E11=0,"",I11/E11)</x:f>
        <x:v>120.6835267309033</x:v>
      </x:c>
      <x:c r="I11" s="60" t="n">
        <x:f>SUMIF('Species'!$G$2:$G$65,A11,'Species'!$U$2:$U$65)</x:f>
        <x:v>1768.6731133065155</x:v>
      </x:c>
      <x:c r="J11" s="62" t="n">
        <x:v>2.6</x:v>
      </x:c>
      <x:c r="K11" s="62" t="n">
        <x:f>IF(J11="","",(1/'Metadata'!$B$5)^(J11-1))</x:f>
        <x:v>120.6835267309033</x:v>
      </x:c>
      <x:c r="L11" s="60" t="n">
        <x:f>IF(E11=0,"",E11*K11)</x:f>
        <x:v>1768.6731133065155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1.8564794302000003</x:v>
      </x:c>
      <x:c r="E12" s="60" t="n">
        <x:v>1.8564794302000003</x:v>
      </x:c>
      <x:c r="F12" s="62" t="n">
        <x:v>0</x:v>
      </x:c>
      <x:c r="G12" s="66" t="n">
        <x:v>1</x:v>
      </x:c>
      <x:c r="H12" s="62" t="n">
        <x:f>IF(E12=0,"",I12/E12)</x:f>
        <x:v>8107.416580645758</x:v>
      </x:c>
      <x:c r="I12" s="60" t="n">
        <x:f>SUMIF('Species'!$G$2:$G$65,A12,'Species'!$U$2:$U$65)</x:f>
        <x:v>15051.252114031271</x:v>
      </x:c>
      <x:c r="J12" s="62" t="n">
        <x:v>3.582372222076021</x:v>
      </x:c>
      <x:c r="K12" s="62" t="n">
        <x:f>IF(J12="","",(1/'Metadata'!$B$5)^(J12-1))</x:f>
        <x:v>2289.516200342546</x:v>
      </x:c>
      <x:c r="L12" s="60" t="n">
        <x:f>IF(E12=0,"",E12*K12)</x:f>
        <x:v>4250.4397310456</x:v>
      </x:c>
      <x:c r="M12" s="60" t="n">
        <x:f>I12-L12</x:f>
        <x:v>10800.81238298567</x:v>
      </x:c>
      <x:c r="N12" s="62" t="n">
        <x:f>IF(L12=0,"",I12/L12)</x:f>
        <x:v>3.5411047012608017</x:v>
      </x:c>
      <x:c r="O12" s="66" t="n">
        <x:f>IF(L12=0,"",M12/L12)</x:f>
        <x:v>2.5411047012608017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3016.3923402471</x:v>
      </x:c>
      <x:c r="E13" s="60" t="n">
        <x:v>3016.3923402471</x:v>
      </x:c>
      <x:c r="F13" s="62" t="n">
        <x:v>0</x:v>
      </x:c>
      <x:c r="G13" s="66" t="n">
        <x:v>1</x:v>
      </x:c>
      <x:c r="H13" s="62" t="n">
        <x:f>IF(E13=0,"",I13/E13)</x:f>
        <x:v>2803.6867455443476</x:v>
      </x:c>
      <x:c r="I13" s="60" t="n">
        <x:f>SUMIF('Species'!$G$2:$G$65,A13,'Species'!$U$2:$U$65)</x:f>
        <x:v>8457019.22371229</x:v>
      </x:c>
      <x:c r="J13" s="62" t="n">
        <x:v>3.65</x:v>
      </x:c>
      <x:c r="K13" s="62" t="n">
        <x:f>IF(J13="","",(1/'Metadata'!$B$5)^(J13-1))</x:f>
        <x:v>2803.6867455443476</x:v>
      </x:c>
      <x:c r="L13" s="60" t="n">
        <x:f>IF(E13=0,"",E13*K13)</x:f>
        <x:v>8457019.22371229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6</x:v>
      </x:c>
      <x:c r="C14" s="64" t="n">
        <x:v>6</x:v>
      </x:c>
      <x:c r="D14" s="60" t="n">
        <x:v>5446.623828442399</x:v>
      </x:c>
      <x:c r="E14" s="60" t="n">
        <x:v>5446.623828442399</x:v>
      </x:c>
      <x:c r="F14" s="62" t="n">
        <x:v>0</x:v>
      </x:c>
      <x:c r="G14" s="66" t="n">
        <x:v>1</x:v>
      </x:c>
      <x:c r="H14" s="62" t="n">
        <x:f>IF(E14=0,"",I14/E14)</x:f>
        <x:v>9056.890896061272</x:v>
      </x:c>
      <x:c r="I14" s="60" t="n">
        <x:f>SUMIF('Species'!$G$2:$G$65,A14,'Species'!$U$2:$U$65)</x:f>
        <x:v>49329477.76609035</x:v>
      </x:c>
      <x:c r="J14" s="62" t="n">
        <x:v>4.041012672554171</x:v>
      </x:c>
      <x:c r="K14" s="62" t="n">
        <x:f>IF(J14="","",(1/'Metadata'!$B$5)^(J14-1))</x:f>
        <x:v>9045.835883704789</x:v>
      </x:c>
      <x:c r="L14" s="60" t="n">
        <x:f>IF(E14=0,"",E14*K14)</x:f>
        <x:v>49269265.27236581</x:v>
      </x:c>
      <x:c r="M14" s="60" t="n">
        <x:f>I14-L14</x:f>
        <x:v>60212.493724539876</x:v>
      </x:c>
      <x:c r="N14" s="62" t="n">
        <x:f>IF(L14=0,"",I14/L14)</x:f>
        <x:v>1.0012221106483257</x:v>
      </x:c>
      <x:c r="O14" s="66" t="n">
        <x:f>IF(L14=0,"",M14/L14)</x:f>
        <x:v>0.0012221106483256594</x:v>
      </x:c>
    </x:row>
    <x:row r="15" ht="18" customHeight="1">
      <x:c r="A15" s="46" t="str">
        <x:v>Medium demersals (30 - 89 cm)</x:v>
      </x:c>
      <x:c r="B15" s="64" t="n">
        <x:v>8</x:v>
      </x:c>
      <x:c r="C15" s="64" t="n">
        <x:v>8</x:v>
      </x:c>
      <x:c r="D15" s="60" t="n">
        <x:v>33553.5030981065</x:v>
      </x:c>
      <x:c r="E15" s="60" t="n">
        <x:v>33553.5030981065</x:v>
      </x:c>
      <x:c r="F15" s="62" t="n">
        <x:v>0</x:v>
      </x:c>
      <x:c r="G15" s="66" t="n">
        <x:v>1</x:v>
      </x:c>
      <x:c r="H15" s="62" t="n">
        <x:f>IF(E15=0,"",I15/E15)</x:f>
        <x:v>1046.6198814615022</x:v>
      </x:c>
      <x:c r="I15" s="60" t="n">
        <x:f>SUMIF('Species'!$G$2:$G$65,A15,'Species'!$U$2:$U$65)</x:f>
        <x:v>35117763.43515837</x:v>
      </x:c>
      <x:c r="J15" s="62" t="n">
        <x:v>3.2922577039234304</x:v>
      </x:c>
      <x:c r="K15" s="62" t="n">
        <x:f>IF(J15="","",(1/'Metadata'!$B$5)^(J15-1))</x:f>
        <x:v>960.0548161098786</x:v>
      </x:c>
      <x:c r="L15" s="60" t="n">
        <x:f>IF(E15=0,"",E15*K15)</x:f>
        <x:v>32213202.246694878</x:v>
      </x:c>
      <x:c r="M15" s="60" t="n">
        <x:f>I15-L15</x:f>
        <x:v>2904561.188463494</x:v>
      </x:c>
      <x:c r="N15" s="62" t="n">
        <x:f>IF(L15=0,"",I15/L15)</x:f>
        <x:v>1.0901667945403195</x:v>
      </x:c>
      <x:c r="O15" s="66" t="n">
        <x:f>IF(L15=0,"",M15/L15)</x:f>
        <x:v>0.09016679454031946</x:v>
      </x:c>
    </x:row>
    <x:row r="16" ht="18" customHeight="1">
      <x:c r="A16" s="46" t="str">
        <x:v>Medium pelagics (30 - 89 cm)</x:v>
      </x:c>
      <x:c r="B16" s="64" t="n">
        <x:v>2</x:v>
      </x:c>
      <x:c r="C16" s="64" t="n">
        <x:v>2</x:v>
      </x:c>
      <x:c r="D16" s="60" t="n">
        <x:v>171.4700192143</x:v>
      </x:c>
      <x:c r="E16" s="60" t="n">
        <x:v>171.4700192143</x:v>
      </x:c>
      <x:c r="F16" s="62" t="n">
        <x:v>0</x:v>
      </x:c>
      <x:c r="G16" s="66" t="n">
        <x:v>1</x:v>
      </x:c>
      <x:c r="H16" s="62" t="n">
        <x:f>IF(E16=0,"",I16/E16)</x:f>
        <x:v>1248.7657157390925</x:v>
      </x:c>
      <x:c r="I16" s="60" t="n">
        <x:f>SUMIF('Species'!$G$2:$G$65,A16,'Species'!$U$2:$U$65)</x:f>
        <x:v>214125.8812719413</x:v>
      </x:c>
      <x:c r="J16" s="62" t="n">
        <x:v>3.3800070833875306</x:v>
      </x:c>
      <x:c r="K16" s="62" t="n">
        <x:f>IF(J16="","",(1/'Metadata'!$B$5)^(J16-1))</x:f>
        <x:v>1248.7071698936918</x:v>
      </x:c>
      <x:c r="L16" s="60" t="n">
        <x:f>IF(E16=0,"",E16*K16)</x:f>
        <x:v>214115.84241470552</x:v>
      </x:c>
      <x:c r="M16" s="60" t="n">
        <x:f>I16-L16</x:f>
        <x:v>10.038857235776959</x:v>
      </x:c>
      <x:c r="N16" s="62" t="n">
        <x:f>IF(L16=0,"",I16/L16)</x:f>
        <x:v>1.000046885167966</x:v>
      </x:c>
      <x:c r="O16" s="66" t="n">
        <x:f>IF(L16=0,"",M16/L16)</x:f>
        <x:v>0.000046885167965915484</x:v>
      </x:c>
    </x:row>
    <x:row r="17" ht="18" customHeight="1">
      <x:c r="A17" s="46" t="str">
        <x:v>Other demersal invertebrates</x:v>
      </x:c>
      <x:c r="B17" s="64" t="n">
        <x:v>5</x:v>
      </x:c>
      <x:c r="C17" s="64" t="n">
        <x:v>5</x:v>
      </x:c>
      <x:c r="D17" s="60" t="n">
        <x:v>28.7398449498</x:v>
      </x:c>
      <x:c r="E17" s="60" t="n">
        <x:v>28.7398449498</x:v>
      </x:c>
      <x:c r="F17" s="62" t="n">
        <x:v>0</x:v>
      </x:c>
      <x:c r="G17" s="66" t="n">
        <x:v>1</x:v>
      </x:c>
      <x:c r="H17" s="62" t="n">
        <x:f>IF(E17=0,"",I17/E17)</x:f>
        <x:v>1342.3097638058407</x:v>
      </x:c>
      <x:c r="I17" s="60" t="n">
        <x:f>SUMIF('Species'!$G$2:$G$65,A17,'Species'!$U$2:$U$65)</x:f>
        <x:v>38577.77448638252</x:v>
      </x:c>
      <x:c r="J17" s="62" t="n">
        <x:v>2.876207945465351</x:v>
      </x:c>
      <x:c r="K17" s="62" t="n">
        <x:f>IF(J17="","",(1/'Metadata'!$B$5)^(J17-1))</x:f>
        <x:v>276.0595750704297</x:v>
      </x:c>
      <x:c r="L17" s="60" t="n">
        <x:f>IF(E17=0,"",E17*K17)</x:f>
        <x:v>7933.909384431822</x:v>
      </x:c>
      <x:c r="M17" s="60" t="n">
        <x:f>I17-L17</x:f>
        <x:v>30643.865101950698</x:v>
      </x:c>
      <x:c r="N17" s="62" t="n">
        <x:f>IF(L17=0,"",I17/L17)</x:f>
        <x:v>4.86239161769116</x:v>
      </x:c>
      <x:c r="O17" s="66" t="n">
        <x:f>IF(L17=0,"",M17/L17)</x:f>
        <x:v>3.8623916176911597</x:v>
      </x:c>
    </x:row>
    <x:row r="18" ht="18" customHeight="1">
      <x:c r="A18" s="46" t="str">
        <x:v>Shrimps</x:v>
      </x:c>
      <x:c r="B18" s="64" t="n">
        <x:v>3</x:v>
      </x:c>
      <x:c r="C18" s="64" t="n">
        <x:v>3</x:v>
      </x:c>
      <x:c r="D18" s="60" t="n">
        <x:v>976.8999644962998</x:v>
      </x:c>
      <x:c r="E18" s="60" t="n">
        <x:v>976.8999644962998</x:v>
      </x:c>
      <x:c r="F18" s="62" t="n">
        <x:v>0</x:v>
      </x:c>
      <x:c r="G18" s="66" t="n">
        <x:v>1</x:v>
      </x:c>
      <x:c r="H18" s="62" t="n">
        <x:f>IF(E18=0,"",I18/E18)</x:f>
        <x:v>486.003808056852</x:v>
      </x:c>
      <x:c r="I18" s="60" t="n">
        <x:f>SUMIF('Species'!$G$2:$G$65,A18,'Species'!$U$2:$U$65)</x:f>
        <x:v>474777.1028358052</x:v>
      </x:c>
      <x:c r="J18" s="62" t="n">
        <x:v>3.061804157672986</x:v>
      </x:c>
      <x:c r="K18" s="62" t="n">
        <x:f>IF(J18="","",(1/'Metadata'!$B$5)^(J18-1))</x:f>
        <x:v>481.3589535132674</x:v>
      </x:c>
      <x:c r="L18" s="60" t="n">
        <x:f>IF(E18=0,"",E18*K18)</x:f>
        <x:v>470239.54459708696</x:v>
      </x:c>
      <x:c r="M18" s="60" t="n">
        <x:f>I18-L18</x:f>
        <x:v>4537.558238718251</x:v>
      </x:c>
      <x:c r="N18" s="62" t="n">
        <x:f>IF(L18=0,"",I18/L18)</x:f>
        <x:v>1.0096494611966464</x:v>
      </x:c>
      <x:c r="O18" s="66" t="n">
        <x:f>IF(L18=0,"",M18/L18)</x:f>
        <x:v>0.00964946119664637</x:v>
      </x:c>
    </x:row>
    <x:row r="19" ht="18" customHeight="1">
      <x:c r="A19" s="46" t="str">
        <x:v>Small bathypelagics (&lt;30 cm)</x:v>
      </x:c>
      <x:c r="B19" s="64" t="n">
        <x:v>1</x:v>
      </x:c>
      <x:c r="C19" s="64" t="n">
        <x:v>1</x:v>
      </x:c>
      <x:c r="D19" s="60" t="n">
        <x:v>0.0022309099</x:v>
      </x:c>
      <x:c r="E19" s="60" t="n">
        <x:v>0.0022309099</x:v>
      </x:c>
      <x:c r="F19" s="62" t="n">
        <x:v>0</x:v>
      </x:c>
      <x:c r="G19" s="66" t="n">
        <x:v>1</x:v>
      </x:c>
      <x:c r="H19" s="62" t="n">
        <x:f>IF(E19=0,"",I19/E19)</x:f>
        <x:v>412.16422316450075</x:v>
      </x:c>
      <x:c r="I19" s="60" t="n">
        <x:f>SUMIF('Species'!$G$2:$G$65,A19,'Species'!$U$2:$U$65)</x:f>
        <x:v>0.919501245883494</x:v>
      </x:c>
      <x:c r="J19" s="62" t="n">
        <x:v>3.01</x:v>
      </x:c>
      <x:c r="K19" s="62" t="n">
        <x:f>IF(J19="","",(1/'Metadata'!$B$5)^(J19-1))</x:f>
        <x:v>412.16422316450075</x:v>
      </x:c>
      <x:c r="L19" s="60" t="n">
        <x:f>IF(E19=0,"",E19*K19)</x:f>
        <x:v>0.919501245883494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pelagics (&lt;30 cm)</x:v>
      </x:c>
      <x:c r="B20" s="64" t="n">
        <x:v>3</x:v>
      </x:c>
      <x:c r="C20" s="64" t="n">
        <x:v>3</x:v>
      </x:c>
      <x:c r="D20" s="60" t="n">
        <x:v>6.300037992999999</x:v>
      </x:c>
      <x:c r="E20" s="60" t="n">
        <x:v>6.300037992999999</x:v>
      </x:c>
      <x:c r="F20" s="62" t="n">
        <x:v>0</x:v>
      </x:c>
      <x:c r="G20" s="66" t="n">
        <x:v>1</x:v>
      </x:c>
      <x:c r="H20" s="62" t="n">
        <x:f>IF(E20=0,"",I20/E20)</x:f>
        <x:v>628.8859883797965</x:v>
      </x:c>
      <x:c r="I20" s="60" t="n">
        <x:f>SUMIF('Species'!$G$2:$G$65,A20,'Species'!$U$2:$U$65)</x:f>
        <x:v>3962.005620058074</x:v>
      </x:c>
      <x:c r="J20" s="62" t="n">
        <x:v>3.150947595507779</x:v>
      </x:c>
      <x:c r="K20" s="62" t="n">
        <x:f>IF(J20="","",(1/'Metadata'!$B$5)^(J20-1))</x:f>
        <x:v>628.705617583447</x:v>
      </x:c>
      <x:c r="L20" s="60" t="n">
        <x:f>IF(E20=0,"",E20*K20)</x:f>
        <x:v>3960.8692771882443</x:v>
      </x:c>
      <x:c r="M20" s="60" t="n">
        <x:f>I20-L20</x:f>
        <x:v>1.1363428698296048</x:v>
      </x:c>
      <x:c r="N20" s="62" t="n">
        <x:f>IF(L20=0,"",I20/L20)</x:f>
        <x:v>1.0002868922931576</x:v>
      </x:c>
      <x:c r="O20" s="66" t="n">
        <x:f>IF(L20=0,"",M20/L20)</x:f>
        <x:v>0.00028689229315749493</x:v>
      </x:c>
    </x:row>
    <x:row r="21" ht="18" customHeight="1">
      <x:c r="A21" s="46" t="str">
        <x:v>Small to medium flatfishes (&lt;90 cm)</x:v>
      </x:c>
      <x:c r="B21" s="64" t="n">
        <x:v>5</x:v>
      </x:c>
      <x:c r="C21" s="64" t="n">
        <x:v>5</x:v>
      </x:c>
      <x:c r="D21" s="60" t="n">
        <x:v>7176.5497623323</x:v>
      </x:c>
      <x:c r="E21" s="60" t="n">
        <x:v>7176.5497623323</x:v>
      </x:c>
      <x:c r="F21" s="62" t="n">
        <x:v>0</x:v>
      </x:c>
      <x:c r="G21" s="66" t="n">
        <x:v>1</x:v>
      </x:c>
      <x:c r="H21" s="62" t="n">
        <x:f>IF(E21=0,"",I21/E21)</x:f>
        <x:v>24967.990150675134</x:v>
      </x:c>
      <x:c r="I21" s="60" t="n">
        <x:f>SUMIF('Species'!$G$2:$G$65,A21,'Species'!$U$2:$U$65)</x:f>
        <x:v>179184023.78174284</x:v>
      </x:c>
      <x:c r="J21" s="62" t="n">
        <x:v>4.379852990268728</x:v>
      </x:c>
      <x:c r="K21" s="62" t="n">
        <x:f>IF(J21="","",(1/'Metadata'!$B$5)^(J21-1))</x:f>
        <x:v>24962.61745113338</x:v>
      </x:c>
      <x:c r="L21" s="60" t="n">
        <x:f>IF(E21=0,"",E21*K21)</x:f>
        <x:v>179145466.33612338</x:v>
      </x:c>
      <x:c r="M21" s="60" t="n">
        <x:f>I21-L21</x:f>
        <x:v>38557.44561946392</x:v>
      </x:c>
      <x:c r="N21" s="62" t="n">
        <x:f>IF(L21=0,"",I21/L21)</x:f>
        <x:v>1.0002152298152336</x:v>
      </x:c>
      <x:c r="O21" s="66" t="n">
        <x:f>IF(L21=0,"",M21/L21)</x:f>
        <x:v>0.0002152298152336166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e07ab335c1f4f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LME_019</x:v>
      </x:c>
      <x:c r="B2" s="46" t="str">
        <x:v>raw_filtered_tonnes</x:v>
      </x:c>
      <x:c r="C2" s="46" t="n">
        <x:v>87093.82357372019</x:v>
      </x:c>
      <x:c r="D2" s="46" t="str">
        <x:v>tonnes</x:v>
      </x:c>
    </x:row>
    <x:row r="3" ht="18" customHeight="1">
      <x:c r="A3" s="46" t="str">
        <x:v>LME_019</x:v>
      </x:c>
      <x:c r="B3" s="46" t="str">
        <x:v>species_catch_tonnes</x:v>
      </x:c>
      <x:c r="C3" s="46" t="n">
        <x:v>87093.8235737202</x:v>
      </x:c>
      <x:c r="D3" s="46" t="str">
        <x:v>tonnes</x:v>
      </x:c>
    </x:row>
    <x:row r="4" ht="18" customHeight="1">
      <x:c r="A4" s="46" t="str">
        <x:v>LME_019</x:v>
      </x:c>
      <x:c r="B4" s="46" t="str">
        <x:v>catch_difference_tonnes</x:v>
      </x:c>
      <x:c r="C4" s="46" t="n">
        <x:v>1.4551915228366852e-11</x:v>
      </x:c>
      <x:c r="D4" s="46" t="str">
        <x:v>tonnes</x:v>
      </x:c>
    </x:row>
    <x:row r="5" ht="18" customHeight="1">
      <x:c r="A5" s="46" t="str">
        <x:v>LME_019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LME_019</x:v>
      </x:c>
      <x:c r="B6" s="46" t="str">
        <x:v>matched_catch_tonnes</x:v>
      </x:c>
      <x:c r="C6" s="46" t="n">
        <x:v>87093.8235737202</x:v>
      </x:c>
      <x:c r="D6" s="46" t="str">
        <x:v>tonnes</x:v>
      </x:c>
    </x:row>
    <x:row r="7" ht="18" customHeight="1">
      <x:c r="A7" s="46" t="str">
        <x:v>LME_019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LME_019</x:v>
      </x:c>
      <x:c r="B8" s="46" t="str">
        <x:v>taxa_count</x:v>
      </x:c>
      <x:c r="C8" s="46" t="n">
        <x:v>64</x:v>
      </x:c>
      <x:c r="D8" s="46" t="str">
        <x:v>count</x:v>
      </x:c>
    </x:row>
    <x:row r="9" ht="18" customHeight="1">
      <x:c r="A9" s="46" t="str">
        <x:v>LME_019</x:v>
      </x:c>
      <x:c r="B9" s="46" t="str">
        <x:v>matched_taxa_count</x:v>
      </x:c>
      <x:c r="C9" s="46" t="n">
        <x:v>64</x:v>
      </x:c>
      <x:c r="D9" s="46" t="str">
        <x:v>count</x:v>
      </x:c>
    </x:row>
    <x:row r="10" ht="18" customHeight="1">
      <x:c r="A10" s="46" t="str">
        <x:v>LME_019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LME_019</x:v>
      </x:c>
      <x:c r="B11" s="46" t="str">
        <x:v>species_ppr</x:v>
      </x:c>
      <x:c r="C11" s="46" t="n">
        <x:v>653543486.3809766</x:v>
      </x:c>
      <x:c r="D11" s="46" t="str">
        <x:v>tonnes_primary_production_equivalent</x:v>
      </x:c>
    </x:row>
    <x:row r="12" ht="18" customHeight="1">
      <x:c r="A12" s="46" t="str">
        <x:v>LME_019</x:v>
      </x:c>
      <x:c r="B12" s="46" t="str">
        <x:v>commercial_ppr</x:v>
      </x:c>
      <x:c r="C12" s="46" t="n">
        <x:v>653543486.3809766</x:v>
      </x:c>
      <x:c r="D12" s="46" t="str">
        <x:v>tonnes_primary_production_equivalent</x:v>
      </x:c>
    </x:row>
    <x:row r="13" ht="18" customHeight="1">
      <x:c r="A13" s="46" t="str">
        <x:v>LME_019</x:v>
      </x:c>
      <x:c r="B13" s="46" t="str">
        <x:v>functional_ppr</x:v>
      </x:c>
      <x:c r="C13" s="46" t="n">
        <x:v>653543486.3809766</x:v>
      </x:c>
      <x:c r="D13" s="46" t="str">
        <x:v>tonnes_primary_production_equivalent</x:v>
      </x:c>
    </x:row>
    <x:row r="14" ht="18" customHeight="1">
      <x:c r="A14" s="46" t="str">
        <x:v>LME_019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LME_019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4aa4ab7e1f240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LME_019 - Greenland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