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2a4e1870c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91dce16deda49e5"/>
    <x:sheet xmlns:r="http://schemas.openxmlformats.org/officeDocument/2006/relationships" name="Commercial" sheetId="2" r:id="R1ae81b9bbcfc4fa0"/>
    <x:sheet xmlns:r="http://schemas.openxmlformats.org/officeDocument/2006/relationships" name="Functional" sheetId="3" r:id="R148c1e37197d4545"/>
    <x:sheet xmlns:r="http://schemas.openxmlformats.org/officeDocument/2006/relationships" name="Missing TL" sheetId="4" r:id="Ra1685e35a3074ff4"/>
    <x:sheet xmlns:r="http://schemas.openxmlformats.org/officeDocument/2006/relationships" name="Validation" sheetId="5" r:id="R937af93174ff422a"/>
    <x:sheet xmlns:r="http://schemas.openxmlformats.org/officeDocument/2006/relationships" name="Metadata" sheetId="6" r:id="R20e9d6e34084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2c5de96094c6c" /><Relationship Type="http://schemas.openxmlformats.org/officeDocument/2006/relationships/theme" Target="/xl/theme/theme1.xml" Id="R0812eb82dc1e4e4c" /><Relationship Type="http://schemas.openxmlformats.org/officeDocument/2006/relationships/sharedStrings" Target="/xl/sharedStrings.xml" Id="R9c23f7ee20f64589" /><Relationship Type="http://schemas.openxmlformats.org/officeDocument/2006/relationships/worksheet" Target="/xl/worksheets/sheet1.xml" Id="R091dce16deda49e5" /><Relationship Type="http://schemas.openxmlformats.org/officeDocument/2006/relationships/worksheet" Target="/xl/worksheets/sheet2.xml" Id="R1ae81b9bbcfc4fa0" /><Relationship Type="http://schemas.openxmlformats.org/officeDocument/2006/relationships/worksheet" Target="/xl/worksheets/sheet3.xml" Id="R148c1e37197d4545" /><Relationship Type="http://schemas.openxmlformats.org/officeDocument/2006/relationships/worksheet" Target="/xl/worksheets/sheet4.xml" Id="Ra1685e35a3074ff4" /><Relationship Type="http://schemas.openxmlformats.org/officeDocument/2006/relationships/worksheet" Target="/xl/worksheets/sheet5.xml" Id="R937af93174ff422a" /><Relationship Type="http://schemas.openxmlformats.org/officeDocument/2006/relationships/worksheet" Target="/xl/worksheets/sheet6.xml" Id="R20e9d6e340844952" /></Relationships>
</file>

<file path=xl/tables/table1.xml><?xml version="1.0" encoding="utf-8"?>
<x:table xmlns:x="http://schemas.openxmlformats.org/spreadsheetml/2006/main" id="1" name="LME014SpeciesTable" displayName="LME014SpeciesTable" ref="A1:U196" headerRowCount="1" totalsRowCount="0" totalsRowShown="0">
  <x:autoFilter ref="A1:U19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4CommercialTable" displayName="LME01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4FunctionalTable" displayName="LME014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4ValidationTable" displayName="LME01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d6bbcf1d3245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7fae820f2c43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5a26a5f0e443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d00c8702c749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LME_014</x:v>
      </x:c>
      <x:c r="B2" s="46" t="str">
        <x:v>Patagonian Shelf</x:v>
      </x:c>
      <x:c r="C2" s="46" t="str">
        <x:v>LME</x:v>
      </x:c>
      <x:c r="D2" s="58" t="n">
        <x:v>2019</x:v>
      </x:c>
      <x:c r="E2" s="46" t="str">
        <x:v>Merluccius hubbsi</x:v>
      </x:c>
      <x:c r="F2" s="46" t="str">
        <x:v>Argentine hake</x:v>
      </x:c>
      <x:c r="G2" s="46" t="str">
        <x:v>Medium benthopelagics (30 - 89 cm)</x:v>
      </x:c>
      <x:c r="H2" s="46" t="str">
        <x:v>Cod-likes</x:v>
      </x:c>
      <x:c r="I2" s="60" t="n">
        <x:v>586920.0176996635</x:v>
      </x:c>
      <x:c r="J2" s="60" t="n">
        <x:v>536577.3716567381</x:v>
      </x:c>
      <x:c r="K2" s="60" t="n">
        <x:v>50342.64604292539</x:v>
      </x:c>
      <x:c r="L2" s="60" t="n">
        <x:v>460295.3933189424</x:v>
      </x:c>
      <x:c r="M2" s="60" t="n">
        <x:v>126624.6243807211</x:v>
      </x:c>
      <x:c r="N2" s="46" t="str">
        <x:v>merluccius hubbsi</x:v>
      </x:c>
      <x:c r="O2" s="62" t="n">
        <x:v>4.23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Merluccius hubbsi</x:v>
      </x:c>
      <x:c r="T2" s="62" t="n">
        <x:f>IF(O2="","",(1/'Metadata'!$B$5)^(O2-1))</x:f>
        <x:v>15934.076063346663</x:v>
      </x:c>
      <x:c r="U2" s="60" t="n">
        <x:f>IF(T2="","",I2*T2)</x:f>
        <x:v>9352028205.127209</x:v>
      </x:c>
    </x:row>
    <x:row r="3" ht="18" customHeight="1">
      <x:c r="A3" s="46" t="str">
        <x:v>LME_014</x:v>
      </x:c>
      <x:c r="B3" s="46" t="str">
        <x:v>Patagonian Shelf</x:v>
      </x:c>
      <x:c r="C3" s="46" t="str">
        <x:v>LME</x:v>
      </x:c>
      <x:c r="D3" s="58" t="n">
        <x:v>2019</x:v>
      </x:c>
      <x:c r="E3" s="46" t="str">
        <x:v>Pleoticus muelleri</x:v>
      </x:c>
      <x:c r="F3" s="46" t="str">
        <x:v>Argentine red shrimp</x:v>
      </x:c>
      <x:c r="G3" s="46" t="str">
        <x:v>Shrimps</x:v>
      </x:c>
      <x:c r="H3" s="46" t="str">
        <x:v>Crustaceans</x:v>
      </x:c>
      <x:c r="I3" s="60" t="n">
        <x:v>282223.1234064727</x:v>
      </x:c>
      <x:c r="J3" s="60" t="n">
        <x:v>279677.8335439579</x:v>
      </x:c>
      <x:c r="K3" s="60" t="n">
        <x:v>2545.2898625148</x:v>
      </x:c>
      <x:c r="L3" s="60" t="n">
        <x:v>214501.6196586462</x:v>
      </x:c>
      <x:c r="M3" s="60" t="n">
        <x:v>67721.5037478265</x:v>
      </x:c>
      <x:c r="N3" s="46" t="str">
        <x:v>pleoticus muelleri</x:v>
      </x:c>
      <x:c r="O3" s="62" t="n">
        <x:v>2.2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Pleoticus muelleri</x:v>
      </x:c>
      <x:c r="T3" s="62" t="n">
        <x:f>IF(O3="","",(1/'Metadata'!$B$5)^(O3-1))</x:f>
        <x:v>36.41128406052162</x:v>
      </x:c>
      <x:c r="U3" s="60" t="n">
        <x:f>IF(T3="","",I3*T3)</x:f>
        <x:v>10276106.314800726</x:v>
      </x:c>
    </x:row>
    <x:row r="4" ht="18" customHeight="1">
      <x:c r="A4" s="46" t="str">
        <x:v>LME_014</x:v>
      </x:c>
      <x:c r="B4" s="46" t="str">
        <x:v>Patagonian Shelf</x:v>
      </x:c>
      <x:c r="C4" s="46" t="str">
        <x:v>LME</x:v>
      </x:c>
      <x:c r="D4" s="58" t="n">
        <x:v>2019</x:v>
      </x:c>
      <x:c r="E4" s="46" t="str">
        <x:v>Illex argentinus</x:v>
      </x:c>
      <x:c r="F4" s="46" t="str">
        <x:v>Argentine shortfin squid</x:v>
      </x:c>
      <x:c r="G4" s="46" t="str">
        <x:v>Cephalopods</x:v>
      </x:c>
      <x:c r="H4" s="46" t="str">
        <x:v>Other fishes &amp; inverts</x:v>
      </x:c>
      <x:c r="I4" s="60" t="n">
        <x:v>247601.8656425628</x:v>
      </x:c>
      <x:c r="J4" s="60" t="n">
        <x:v>246580.874519068</x:v>
      </x:c>
      <x:c r="K4" s="60" t="n">
        <x:v>1020.9911234948</x:v>
      </x:c>
      <x:c r="L4" s="60" t="n">
        <x:v>210153.7398359427</x:v>
      </x:c>
      <x:c r="M4" s="60" t="n">
        <x:v>37448.125806620104</x:v>
      </x:c>
      <x:c r="N4" s="46" t="str">
        <x:v>illex argentinus</x:v>
      </x:c>
      <x:c r="O4" s="62" t="n">
        <x:v>3.82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Illex argentinus</x:v>
      </x:c>
      <x:c r="T4" s="62" t="n">
        <x:f>IF(O4="","",(1/'Metadata'!$B$5)^(O4-1))</x:f>
        <x:v>4665.56868948727</x:v>
      </x:c>
      <x:c r="U4" s="60" t="n">
        <x:f>IF(T4="","",I4*T4)</x:f>
        <x:v>1155203511.8005748</x:v>
      </x:c>
    </x:row>
    <x:row r="5" ht="18" customHeight="1">
      <x:c r="A5" s="46" t="str">
        <x:v>LME_014</x:v>
      </x:c>
      <x:c r="B5" s="46" t="str">
        <x:v>Patagonian Shelf</x:v>
      </x:c>
      <x:c r="C5" s="46" t="str">
        <x:v>LME</x:v>
      </x:c>
      <x:c r="D5" s="58" t="n">
        <x:v>2019</x:v>
      </x:c>
      <x:c r="E5" s="46" t="str">
        <x:v>Micromesistius australis</x:v>
      </x:c>
      <x:c r="F5" s="46" t="str">
        <x:v>Southern blue whiting</x:v>
      </x:c>
      <x:c r="G5" s="46" t="str">
        <x:v>Medium benthopelagics (30 - 89 cm)</x:v>
      </x:c>
      <x:c r="H5" s="46" t="str">
        <x:v>Cod-likes</x:v>
      </x:c>
      <x:c r="I5" s="60" t="n">
        <x:v>90555.0226119382</x:v>
      </x:c>
      <x:c r="J5" s="60" t="n">
        <x:v>85906.02144668059</x:v>
      </x:c>
      <x:c r="K5" s="60" t="n">
        <x:v>4649.0011652576</x:v>
      </x:c>
      <x:c r="L5" s="60" t="n">
        <x:v>9375.372676683599</x:v>
      </x:c>
      <x:c r="M5" s="60" t="n">
        <x:v>81179.64993525461</x:v>
      </x:c>
      <x:c r="N5" s="46" t="str">
        <x:v>micromesistius australis</x:v>
      </x:c>
      <x:c r="O5" s="62" t="n">
        <x:v>3.76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Micromesistius australis</x:v>
      </x:c>
      <x:c r="T5" s="62" t="n">
        <x:f>IF(O5="","",(1/'Metadata'!$B$5)^(O5-1))</x:f>
        <x:v>3898.0085558913897</x:v>
      </x:c>
      <x:c r="U5" s="60" t="n">
        <x:f>IF(T5="","",I5*T5)</x:f>
        <x:v>352984252.92027336</x:v>
      </x:c>
    </x:row>
    <x:row r="6" ht="18" customHeight="1">
      <x:c r="A6" s="46" t="str">
        <x:v>LME_014</x:v>
      </x:c>
      <x:c r="B6" s="46" t="str">
        <x:v>Patagonian Shelf</x:v>
      </x:c>
      <x:c r="C6" s="46" t="str">
        <x:v>LME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82624.92583591651</x:v>
      </x:c>
      <x:c r="J6" s="60" t="n">
        <x:v>71942.77126727511</x:v>
      </x:c>
      <x:c r="K6" s="60" t="n">
        <x:v>10682.154568641401</x:v>
      </x:c>
      <x:c r="L6" s="60" t="n">
        <x:v>23756.3119903154</x:v>
      </x:c>
      <x:c r="M6" s="60" t="n">
        <x:v>58868.6138456011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925.4402624666747</x:v>
      </x:c>
      <x:c r="U6" s="60" t="n">
        <x:f>IF(T6="","",I6*T6)</x:f>
        <x:v>76464433.0518801</x:v>
      </x:c>
    </x:row>
    <x:row r="7" ht="18" customHeight="1">
      <x:c r="A7" s="46" t="str">
        <x:v>LME_014</x:v>
      </x:c>
      <x:c r="B7" s="46" t="str">
        <x:v>Patagonian Shelf</x:v>
      </x:c>
      <x:c r="C7" s="46" t="str">
        <x:v>LME</x:v>
      </x:c>
      <x:c r="D7" s="58" t="n">
        <x:v>2019</x:v>
      </x:c>
      <x:c r="E7" s="46" t="str">
        <x:v>Micropogonias furnieri</x:v>
      </x:c>
      <x:c r="F7" s="46" t="str">
        <x:v>Whitemouth croaker</x:v>
      </x:c>
      <x:c r="G7" s="46" t="str">
        <x:v>Medium demersals (30 - 89 cm)</x:v>
      </x:c>
      <x:c r="H7" s="46" t="str">
        <x:v>Perch-likes</x:v>
      </x:c>
      <x:c r="I7" s="60" t="n">
        <x:v>65021.9741614442</x:v>
      </x:c>
      <x:c r="J7" s="60" t="n">
        <x:v>64183.2633843715</x:v>
      </x:c>
      <x:c r="K7" s="60" t="n">
        <x:v>838.7107770726999</x:v>
      </x:c>
      <x:c r="L7" s="60" t="n">
        <x:v>51687.0664620581</x:v>
      </x:c>
      <x:c r="M7" s="60" t="n">
        <x:v>13334.9076993861</x:v>
      </x:c>
      <x:c r="N7" s="46" t="str">
        <x:v>micropogonias furnieri</x:v>
      </x:c>
      <x:c r="O7" s="62" t="n">
        <x:v>3.09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Micropogonias furnieri</x:v>
      </x:c>
      <x:c r="T7" s="62" t="n">
        <x:f>IF(O7="","",(1/'Metadata'!$B$5)^(O7-1))</x:f>
        <x:v>523.7845584224979</x:v>
      </x:c>
      <x:c r="U7" s="60" t="n">
        <x:f>IF(T7="","",I7*T7)</x:f>
        <x:v>34057506.02391112</x:v>
      </x:c>
    </x:row>
    <x:row r="8" ht="18" customHeight="1">
      <x:c r="A8" s="46" t="str">
        <x:v>LME_014</x:v>
      </x:c>
      <x:c r="B8" s="46" t="str">
        <x:v>Patagonian Shelf</x:v>
      </x:c>
      <x:c r="C8" s="46" t="str">
        <x:v>LME</x:v>
      </x:c>
      <x:c r="D8" s="58" t="n">
        <x:v>2019</x:v>
      </x:c>
      <x:c r="E8" s="46" t="str">
        <x:v>Macruronus magellanicus</x:v>
      </x:c>
      <x:c r="F8" s="46" t="str">
        <x:v>Patagonian grenadier</x:v>
      </x:c>
      <x:c r="G8" s="46" t="str">
        <x:v>Large benthopelagics (&gt;=90 cm)</x:v>
      </x:c>
      <x:c r="H8" s="46" t="str">
        <x:v>Cod-likes</x:v>
      </x:c>
      <x:c r="I8" s="60" t="n">
        <x:v>54322.6048198126</x:v>
      </x:c>
      <x:c r="J8" s="60" t="n">
        <x:v>40228.6450824752</x:v>
      </x:c>
      <x:c r="K8" s="60" t="n">
        <x:v>14093.9597373374</x:v>
      </x:c>
      <x:c r="L8" s="60" t="n">
        <x:v>36944.333375270704</x:v>
      </x:c>
      <x:c r="M8" s="60" t="n">
        <x:v>17378.2714445419</x:v>
      </x:c>
      <x:c r="N8" s="46" t="str">
        <x:v>macruronus magellanicus</x:v>
      </x:c>
      <x:c r="O8" s="62" t="n">
        <x:v>3.93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Macruronus magellanicus</x:v>
      </x:c>
      <x:c r="T8" s="62" t="n">
        <x:f>IF(O8="","",(1/'Metadata'!$B$5)^(O8-1))</x:f>
        <x:v>6486.611494177253</x:v>
      </x:c>
      <x:c r="U8" s="60" t="n">
        <x:f>IF(T8="","",I8*T8)</x:f>
        <x:v>352369632.81784505</x:v>
      </x:c>
    </x:row>
    <x:row r="9" ht="18" customHeight="1">
      <x:c r="A9" s="46" t="str">
        <x:v>LME_014</x:v>
      </x:c>
      <x:c r="B9" s="46" t="str">
        <x:v>Patagonian Shelf</x:v>
      </x:c>
      <x:c r="C9" s="46" t="str">
        <x:v>LME</x:v>
      </x:c>
      <x:c r="D9" s="58" t="n">
        <x:v>2019</x:v>
      </x:c>
      <x:c r="E9" s="46" t="str">
        <x:v>Rajiformes</x:v>
      </x:c>
      <x:c r="F9" s="46" t="str">
        <x:v>Skates and rays</x:v>
      </x:c>
      <x:c r="G9" s="46" t="str">
        <x:v>Large rays (&gt;=90 cm)</x:v>
      </x:c>
      <x:c r="H9" s="46" t="str">
        <x:v>Sharks &amp; rays</x:v>
      </x:c>
      <x:c r="I9" s="60" t="n">
        <x:v>42839.8374705529</x:v>
      </x:c>
      <x:c r="J9" s="60" t="n">
        <x:v>42839.8374705529</x:v>
      </x:c>
      <x:c r="K9" s="60" t="n">
        <x:v>0</x:v>
      </x:c>
      <x:c r="L9" s="60" t="n">
        <x:v>13363.6865451012</x:v>
      </x:c>
      <x:c r="M9" s="60" t="n">
        <x:v>29476.1509254517</x:v>
      </x:c>
      <x:c r="N9" s="46" t="str">
        <x:v>rajiformes</x:v>
      </x:c>
      <x:c r="O9" s="62" t="n">
        <x:v>3.61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Rajiformes</x:v>
      </x:c>
      <x:c r="T9" s="62" t="n">
        <x:f>IF(O9="","",(1/'Metadata'!$B$5)^(O9-1))</x:f>
        <x:v>2487.0716021897506</x:v>
      </x:c>
      <x:c r="U9" s="60" t="n">
        <x:f>IF(T9="","",I9*T9)</x:f>
        <x:v>106545743.2154365</x:v>
      </x:c>
    </x:row>
    <x:row r="10" ht="18" customHeight="1">
      <x:c r="A10" s="46" t="str">
        <x:v>LME_014</x:v>
      </x:c>
      <x:c r="B10" s="46" t="str">
        <x:v>Patagonian Shelf</x:v>
      </x:c>
      <x:c r="C10" s="46" t="str">
        <x:v>LME</x:v>
      </x:c>
      <x:c r="D10" s="58" t="n">
        <x:v>2019</x:v>
      </x:c>
      <x:c r="E10" s="46" t="str">
        <x:v>Zygochlamys patagonica</x:v>
      </x:c>
      <x:c r="F10" s="46" t="str">
        <x:v>Patagonean scallop</x:v>
      </x:c>
      <x:c r="G10" s="46" t="str">
        <x:v>Other demersal invertebrates</x:v>
      </x:c>
      <x:c r="H10" s="46" t="str">
        <x:v>Molluscs</x:v>
      </x:c>
      <x:c r="I10" s="60" t="n">
        <x:v>23595.4349445948</x:v>
      </x:c>
      <x:c r="J10" s="60" t="n">
        <x:v>22170.5028681154</x:v>
      </x:c>
      <x:c r="K10" s="60" t="n">
        <x:v>1424.9320764794</x:v>
      </x:c>
      <x:c r="L10" s="60" t="n">
        <x:v>22170.5028681154</x:v>
      </x:c>
      <x:c r="M10" s="60" t="n">
        <x:v>1424.9320764794</x:v>
      </x:c>
      <x:c r="N10" s="46" t="str">
        <x:v>zygochlamys patagonica</x:v>
      </x:c>
      <x:c r="O10" s="62" t="n">
        <x:v>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Zygochlamys patagonica</x:v>
      </x:c>
      <x:c r="T10" s="62" t="n">
        <x:f>IF(O10="","",(1/'Metadata'!$B$5)^(O10-1))</x:f>
        <x:v>20</x:v>
      </x:c>
      <x:c r="U10" s="60" t="n">
        <x:f>IF(T10="","",I10*T10)</x:f>
        <x:v>471908.698891896</x:v>
      </x:c>
    </x:row>
    <x:row r="11" ht="18" customHeight="1">
      <x:c r="A11" s="46" t="str">
        <x:v>LME_014</x:v>
      </x:c>
      <x:c r="B11" s="46" t="str">
        <x:v>Patagonian Shelf</x:v>
      </x:c>
      <x:c r="C11" s="46" t="str">
        <x:v>LME</x:v>
      </x:c>
      <x:c r="D11" s="58" t="n">
        <x:v>2019</x:v>
      </x:c>
      <x:c r="E11" s="46" t="str">
        <x:v>Doryteuthis gahi</x:v>
      </x:c>
      <x:c r="F11" s="46" t="str">
        <x:v>Patagonian squid</x:v>
      </x:c>
      <x:c r="G11" s="46" t="str">
        <x:v>Cephalopods</x:v>
      </x:c>
      <x:c r="H11" s="46" t="str">
        <x:v>Other fishes &amp; inverts</x:v>
      </x:c>
      <x:c r="I11" s="60" t="n">
        <x:v>18783.467960552498</x:v>
      </x:c>
      <x:c r="J11" s="60" t="n">
        <x:v>18783.467960552498</x:v>
      </x:c>
      <x:c r="K11" s="60" t="n">
        <x:v>0</x:v>
      </x:c>
      <x:c r="L11" s="60" t="n">
        <x:v>18780.112692161798</x:v>
      </x:c>
      <x:c r="M11" s="60" t="n">
        <x:v>3.3552683907</x:v>
      </x:c>
      <x:c r="N11" s="46" t="str">
        <x:v>doryteuthis gahi</x:v>
      </x:c>
      <x:c r="O11" s="62" t="n">
        <x:v>3.2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Doryteuthis gahi</x:v>
      </x:c>
      <x:c r="T11" s="62" t="n">
        <x:f>IF(O11="","",(1/'Metadata'!$B$5)^(O11-1))</x:f>
        <x:v>728.2256812104325</x:v>
      </x:c>
      <x:c r="U11" s="60" t="n">
        <x:f>IF(T11="","",I11*T11)</x:f>
        <x:v>13678603.751067678</x:v>
      </x:c>
    </x:row>
    <x:row r="12" ht="18" customHeight="1">
      <x:c r="A12" s="46" t="str">
        <x:v>LME_014</x:v>
      </x:c>
      <x:c r="B12" s="46" t="str">
        <x:v>Patagonian Shelf</x:v>
      </x:c>
      <x:c r="C12" s="46" t="str">
        <x:v>LME</x:v>
      </x:c>
      <x:c r="D12" s="58" t="n">
        <x:v>2019</x:v>
      </x:c>
      <x:c r="E12" s="46" t="str">
        <x:v>Cynoscion guatucupa</x:v>
      </x:c>
      <x:c r="F12" s="46" t="str">
        <x:v>Stripped weakfish</x:v>
      </x:c>
      <x:c r="G12" s="46" t="str">
        <x:v>Medium demersals (30 - 89 cm)</x:v>
      </x:c>
      <x:c r="H12" s="46" t="str">
        <x:v>Perch-likes</x:v>
      </x:c>
      <x:c r="I12" s="60" t="n">
        <x:v>17984.0550033715</x:v>
      </x:c>
      <x:c r="J12" s="60" t="n">
        <x:v>17264.5812984213</x:v>
      </x:c>
      <x:c r="K12" s="60" t="n">
        <x:v>719.4737049502</x:v>
      </x:c>
      <x:c r="L12" s="60" t="n">
        <x:v>15799.9218480286</x:v>
      </x:c>
      <x:c r="M12" s="60" t="n">
        <x:v>2184.1331553429</x:v>
      </x:c>
      <x:c r="N12" s="46" t="str">
        <x:v>cynoscion guatucupa</x:v>
      </x:c>
      <x:c r="O12" s="62" t="n">
        <x:v>3.72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Cynoscion guatucupa</x:v>
      </x:c>
      <x:c r="T12" s="62" t="n">
        <x:f>IF(O12="","",(1/'Metadata'!$B$5)^(O12-1))</x:f>
        <x:v>3457.8136804537753</x:v>
      </x:c>
      <x:c r="U12" s="60" t="n">
        <x:f>IF(T12="","",I12*T12)</x:f>
        <x:v>62185511.42069114</x:v>
      </x:c>
    </x:row>
    <x:row r="13" ht="18" customHeight="1">
      <x:c r="A13" s="46" t="str">
        <x:v>LME_014</x:v>
      </x:c>
      <x:c r="B13" s="46" t="str">
        <x:v>Patagonian Shelf</x:v>
      </x:c>
      <x:c r="C13" s="46" t="str">
        <x:v>LME</x:v>
      </x:c>
      <x:c r="D13" s="58" t="n">
        <x:v>2019</x:v>
      </x:c>
      <x:c r="E13" s="46" t="str">
        <x:v>Percophis brasiliensis</x:v>
      </x:c>
      <x:c r="F13" s="46" t="str">
        <x:v>Brazilian flathead</x:v>
      </x:c>
      <x:c r="G13" s="46" t="str">
        <x:v>Medium demersals (30 - 89 cm)</x:v>
      </x:c>
      <x:c r="H13" s="46" t="str">
        <x:v>Perch-likes</x:v>
      </x:c>
      <x:c r="I13" s="60" t="n">
        <x:v>8617.3878846951</x:v>
      </x:c>
      <x:c r="J13" s="60" t="n">
        <x:v>7861.7074652173</x:v>
      </x:c>
      <x:c r="K13" s="60" t="n">
        <x:v>755.6804194778</x:v>
      </x:c>
      <x:c r="L13" s="60" t="n">
        <x:v>7861.7033048862995</x:v>
      </x:c>
      <x:c r="M13" s="60" t="n">
        <x:v>755.6845798088</x:v>
      </x:c>
      <x:c r="N13" s="46" t="str">
        <x:v>percophis brasiliensis</x:v>
      </x:c>
      <x:c r="O13" s="62" t="n">
        <x:v>3.48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Percophis brasiliensis</x:v>
      </x:c>
      <x:c r="T13" s="62" t="n">
        <x:f>IF(O13="","",(1/'Metadata'!$B$5)^(O13-1))</x:f>
        <x:v>1684.8234138858888</x:v>
      </x:c>
      <x:c r="U13" s="60" t="n">
        <x:f>IF(T13="","",I13*T13)</x:f>
        <x:v>14518776.874670895</x:v>
      </x:c>
    </x:row>
    <x:row r="14" ht="18" customHeight="1">
      <x:c r="A14" s="46" t="str">
        <x:v>LME_014</x:v>
      </x:c>
      <x:c r="B14" s="46" t="str">
        <x:v>Patagonian Shelf</x:v>
      </x:c>
      <x:c r="C14" s="46" t="str">
        <x:v>LME</x:v>
      </x:c>
      <x:c r="D14" s="58" t="n">
        <x:v>2019</x:v>
      </x:c>
      <x:c r="E14" s="46" t="str">
        <x:v>Genypterus blacodes</x:v>
      </x:c>
      <x:c r="F14" s="46" t="str">
        <x:v>Pink cusk-eel</x:v>
      </x:c>
      <x:c r="G14" s="46" t="str">
        <x:v>Large bathydemersals (&gt;=90 cm)</x:v>
      </x:c>
      <x:c r="H14" s="46" t="str">
        <x:v>Other fishes &amp; inverts</x:v>
      </x:c>
      <x:c r="I14" s="60" t="n">
        <x:v>7499.306943657601</x:v>
      </x:c>
      <x:c r="J14" s="60" t="n">
        <x:v>6214.6730454097005</x:v>
      </x:c>
      <x:c r="K14" s="60" t="n">
        <x:v>1284.6338982479</x:v>
      </x:c>
      <x:c r="L14" s="60" t="n">
        <x:v>6214.6730454097005</x:v>
      </x:c>
      <x:c r="M14" s="60" t="n">
        <x:v>1284.6338982479</x:v>
      </x:c>
      <x:c r="N14" s="46" t="str">
        <x:v>genypterus blacodes</x:v>
      </x:c>
      <x:c r="O14" s="62" t="n">
        <x:v>4.22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Genypterus blacodes</x:v>
      </x:c>
      <x:c r="T14" s="62" t="n">
        <x:f>IF(O14="","",(1/'Metadata'!$B$5)^(O14-1))</x:f>
        <x:v>15463.812886046735</x:v>
      </x:c>
      <x:c r="U14" s="60" t="n">
        <x:f>IF(T14="","",I14*T14)</x:f>
        <x:v>115967879.35175216</x:v>
      </x:c>
    </x:row>
    <x:row r="15" ht="18" customHeight="1">
      <x:c r="A15" s="46" t="str">
        <x:v>LME_014</x:v>
      </x:c>
      <x:c r="B15" s="46" t="str">
        <x:v>Patagonian Shelf</x:v>
      </x:c>
      <x:c r="C15" s="46" t="str">
        <x:v>LME</x:v>
      </x:c>
      <x:c r="D15" s="58" t="n">
        <x:v>2019</x:v>
      </x:c>
      <x:c r="E15" s="46" t="str">
        <x:v>Engraulis anchoita</x:v>
      </x:c>
      <x:c r="F15" s="46" t="str">
        <x:v>Argentine anchovy</x:v>
      </x:c>
      <x:c r="G15" s="46" t="str">
        <x:v>Small pelagics (&lt;30 cm)</x:v>
      </x:c>
      <x:c r="H15" s="46" t="str">
        <x:v>Anchovies</x:v>
      </x:c>
      <x:c r="I15" s="60" t="n">
        <x:v>6894.1002555534</x:v>
      </x:c>
      <x:c r="J15" s="60" t="n">
        <x:v>5923.1409003813</x:v>
      </x:c>
      <x:c r="K15" s="60" t="n">
        <x:v>970.9593551721</x:v>
      </x:c>
      <x:c r="L15" s="60" t="n">
        <x:v>5413.3978604354</x:v>
      </x:c>
      <x:c r="M15" s="60" t="n">
        <x:v>1480.702395118</x:v>
      </x:c>
      <x:c r="N15" s="46" t="str">
        <x:v>engraulis anchoita</x:v>
      </x:c>
      <x:c r="O15" s="62" t="n">
        <x:v>2.51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Engraulis anchoita</x:v>
      </x:c>
      <x:c r="T15" s="62" t="n">
        <x:f>IF(O15="","",(1/'Metadata'!$B$5)^(O15-1))</x:f>
        <x:v>92.16272208892171</x:v>
      </x:c>
      <x:c r="U15" s="60" t="n">
        <x:f>IF(T15="","",I15*T15)</x:f>
        <x:v>635379.0459057321</x:v>
      </x:c>
    </x:row>
    <x:row r="16" ht="18" customHeight="1">
      <x:c r="A16" s="46" t="str">
        <x:v>LME_014</x:v>
      </x:c>
      <x:c r="B16" s="46" t="str">
        <x:v>Patagonian Shelf</x:v>
      </x:c>
      <x:c r="C16" s="46" t="str">
        <x:v>LME</x:v>
      </x:c>
      <x:c r="D16" s="58" t="n">
        <x:v>2019</x:v>
      </x:c>
      <x:c r="E16" s="46" t="str">
        <x:v>Pomatomus saltatrix</x:v>
      </x:c>
      <x:c r="F16" s="46" t="str">
        <x:v>Bluefish</x:v>
      </x:c>
      <x:c r="G16" s="46" t="str">
        <x:v>Large pelagics (&gt;=90 cm)</x:v>
      </x:c>
      <x:c r="H16" s="46" t="str">
        <x:v>Perch-likes</x:v>
      </x:c>
      <x:c r="I16" s="60" t="n">
        <x:v>5582.6538559076</x:v>
      </x:c>
      <x:c r="J16" s="60" t="n">
        <x:v>5582.6538559076</x:v>
      </x:c>
      <x:c r="K16" s="60" t="n">
        <x:v>0</x:v>
      </x:c>
      <x:c r="L16" s="60" t="n">
        <x:v>1921.0837973257</x:v>
      </x:c>
      <x:c r="M16" s="60" t="n">
        <x:v>3661.5700585819</x:v>
      </x:c>
      <x:c r="N16" s="46" t="str">
        <x:v>pomatomus saltatrix</x:v>
      </x:c>
      <x:c r="O16" s="62" t="n">
        <x:v>4.53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Pomatomus saltatrix</x:v>
      </x:c>
      <x:c r="T16" s="62" t="n">
        <x:f>IF(O16="","",(1/'Metadata'!$B$5)^(O16-1))</x:f>
        <x:v>39141.35758252625</x:v>
      </x:c>
      <x:c r="U16" s="60" t="n">
        <x:f>IF(T16="","",I16*T16)</x:f>
        <x:v>218512650.83354834</x:v>
      </x:c>
    </x:row>
    <x:row r="17" ht="18" customHeight="1">
      <x:c r="A17" s="46" t="str">
        <x:v>LME_014</x:v>
      </x:c>
      <x:c r="B17" s="46" t="str">
        <x:v>Patagonian Shelf</x:v>
      </x:c>
      <x:c r="C17" s="46" t="str">
        <x:v>LME</x:v>
      </x:c>
      <x:c r="D17" s="58" t="n">
        <x:v>2019</x:v>
      </x:c>
      <x:c r="E17" s="46" t="str">
        <x:v>Pagrus pagrus</x:v>
      </x:c>
      <x:c r="F17" s="46" t="str">
        <x:v>Red porgy</x:v>
      </x:c>
      <x:c r="G17" s="46" t="str">
        <x:v>Medium benthopelagics (30 - 89 cm)</x:v>
      </x:c>
      <x:c r="H17" s="46" t="str">
        <x:v>Perch-likes</x:v>
      </x:c>
      <x:c r="I17" s="60" t="n">
        <x:v>5295.4259083836</x:v>
      </x:c>
      <x:c r="J17" s="60" t="n">
        <x:v>5237.361732655199</x:v>
      </x:c>
      <x:c r="K17" s="60" t="n">
        <x:v>58.0641757284</x:v>
      </x:c>
      <x:c r="L17" s="60" t="n">
        <x:v>5236.3650712834</x:v>
      </x:c>
      <x:c r="M17" s="60" t="n">
        <x:v>59.060837100200004</x:v>
      </x:c>
      <x:c r="N17" s="46" t="str">
        <x:v>pagrus pagrus</x:v>
      </x:c>
      <x:c r="O17" s="62" t="n">
        <x:v>3.86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Pagrus pagrus</x:v>
      </x:c>
      <x:c r="T17" s="62" t="n">
        <x:f>IF(O17="","",(1/'Metadata'!$B$5)^(O17-1))</x:f>
        <x:v>5259.51608454905</x:v>
      </x:c>
      <x:c r="U17" s="60" t="n">
        <x:f>IF(T17="","",I17*T17)</x:f>
        <x:v>27851377.739681307</x:v>
      </x:c>
    </x:row>
    <x:row r="18" ht="18" customHeight="1">
      <x:c r="A18" s="46" t="str">
        <x:v>LME_014</x:v>
      </x:c>
      <x:c r="B18" s="46" t="str">
        <x:v>Patagonian Shelf</x:v>
      </x:c>
      <x:c r="C18" s="46" t="str">
        <x:v>LME</x:v>
      </x:c>
      <x:c r="D18" s="58" t="n">
        <x:v>2019</x:v>
      </x:c>
      <x:c r="E18" s="46" t="str">
        <x:v>Brevoortia pectinata</x:v>
      </x:c>
      <x:c r="F18" s="46" t="str">
        <x:v>Argentine menhaden</x:v>
      </x:c>
      <x:c r="G18" s="46" t="str">
        <x:v>Medium pelagics (30 - 89 cm)</x:v>
      </x:c>
      <x:c r="H18" s="46" t="str">
        <x:v>Herring-likes</x:v>
      </x:c>
      <x:c r="I18" s="60" t="n">
        <x:v>3081.8679096434</x:v>
      </x:c>
      <x:c r="J18" s="60" t="n">
        <x:v>3081.8679096434</x:v>
      </x:c>
      <x:c r="K18" s="60" t="n">
        <x:v>0</x:v>
      </x:c>
      <x:c r="L18" s="60" t="n">
        <x:v>3081.8679096434</x:v>
      </x:c>
      <x:c r="M18" s="60" t="n">
        <x:v>0</x:v>
      </x:c>
      <x:c r="N18" s="46" t="str">
        <x:v>brevoortia pectinata</x:v>
      </x:c>
      <x:c r="O18" s="62" t="n">
        <x:v>3.4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Brevoortia pectinata</x:v>
      </x:c>
      <x:c r="T18" s="62" t="n">
        <x:f>IF(O18="","",(1/'Metadata'!$B$5)^(O18-1))</x:f>
        <x:v>1325.7816069359944</x:v>
      </x:c>
      <x:c r="U18" s="60" t="n">
        <x:f>IF(T18="","",I18*T18)</x:f>
        <x:v>4085883.7896115007</x:v>
      </x:c>
    </x:row>
    <x:row r="19" ht="18" customHeight="1">
      <x:c r="A19" s="46" t="str">
        <x:v>LME_014</x:v>
      </x:c>
      <x:c r="B19" s="46" t="str">
        <x:v>Patagonian Shelf</x:v>
      </x:c>
      <x:c r="C19" s="46" t="str">
        <x:v>LME</x:v>
      </x:c>
      <x:c r="D19" s="58" t="n">
        <x:v>2019</x:v>
      </x:c>
      <x:c r="E19" s="46" t="str">
        <x:v>Mustelus schmitti</x:v>
      </x:c>
      <x:c r="F19" s="46" t="str">
        <x:v>Narrownose smooth-hound</x:v>
      </x:c>
      <x:c r="G19" s="46" t="str">
        <x:v>Small to medium sharks (&lt;90 cm)</x:v>
      </x:c>
      <x:c r="H19" s="46" t="str">
        <x:v>Sharks &amp; rays</x:v>
      </x:c>
      <x:c r="I19" s="60" t="n">
        <x:v>3060.2053885812998</x:v>
      </x:c>
      <x:c r="J19" s="60" t="n">
        <x:v>3057.6882439663</x:v>
      </x:c>
      <x:c r="K19" s="60" t="n">
        <x:v>2.517144615</x:v>
      </x:c>
      <x:c r="L19" s="60" t="n">
        <x:v>3057.6882439663</x:v>
      </x:c>
      <x:c r="M19" s="60" t="n">
        <x:v>2.517144615</x:v>
      </x:c>
      <x:c r="N19" s="46" t="str">
        <x:v>mustelus schmitti</x:v>
      </x:c>
      <x:c r="O19" s="62" t="n">
        <x:v>3.59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Mustelus schmitti</x:v>
      </x:c>
      <x:c r="T19" s="62" t="n">
        <x:f>IF(O19="","",(1/'Metadata'!$B$5)^(O19-1))</x:f>
        <x:v>2342.4357563948306</x:v>
      </x:c>
      <x:c r="U19" s="60" t="n">
        <x:f>IF(T19="","",I19*T19)</x:f>
        <x:v>7168334.524124973</x:v>
      </x:c>
    </x:row>
    <x:row r="20" ht="18" customHeight="1">
      <x:c r="A20" s="46" t="str">
        <x:v>LME_014</x:v>
      </x:c>
      <x:c r="B20" s="46" t="str">
        <x:v>Patagonian Shelf</x:v>
      </x:c>
      <x:c r="C20" s="46" t="str">
        <x:v>LME</x:v>
      </x:c>
      <x:c r="D20" s="58" t="n">
        <x:v>2019</x:v>
      </x:c>
      <x:c r="E20" s="46" t="str">
        <x:v>Brevoortia aurea</x:v>
      </x:c>
      <x:c r="F20" s="46" t="str">
        <x:v>Brazilian menhaden</x:v>
      </x:c>
      <x:c r="G20" s="46" t="str">
        <x:v>Small pelagics (&lt;30 cm)</x:v>
      </x:c>
      <x:c r="H20" s="46" t="str">
        <x:v>Herring-likes</x:v>
      </x:c>
      <x:c r="I20" s="60" t="n">
        <x:v>2855.9244150079003</x:v>
      </x:c>
      <x:c r="J20" s="60" t="n">
        <x:v>2853.0011158372</x:v>
      </x:c>
      <x:c r="K20" s="60" t="n">
        <x:v>2.9232991707</x:v>
      </x:c>
      <x:c r="L20" s="60" t="n">
        <x:v>151.3299271029</x:v>
      </x:c>
      <x:c r="M20" s="60" t="n">
        <x:v>2704.5944879050003</x:v>
      </x:c>
      <x:c r="N20" s="46" t="str">
        <x:v>brevoortia aurea</x:v>
      </x:c>
      <x:c r="O20" s="62" t="n">
        <x:v>2.75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Brevoortia aurea</x:v>
      </x:c>
      <x:c r="T20" s="62" t="n">
        <x:f>IF(O20="","",(1/'Metadata'!$B$5)^(O20-1))</x:f>
        <x:v>189.14832180063516</x:v>
      </x:c>
      <x:c r="U20" s="60" t="n">
        <x:f>IF(T20="","",I20*T20)</x:f>
        <x:v>540193.310288205</x:v>
      </x:c>
    </x:row>
    <x:row r="21" ht="18" customHeight="1">
      <x:c r="A21" s="46" t="str">
        <x:v>LME_014</x:v>
      </x:c>
      <x:c r="B21" s="46" t="str">
        <x:v>Patagonian Shelf</x:v>
      </x:c>
      <x:c r="C21" s="46" t="str">
        <x:v>LME</x:v>
      </x:c>
      <x:c r="D21" s="58" t="n">
        <x:v>2019</x:v>
      </x:c>
      <x:c r="E21" s="46" t="str">
        <x:v>Squatina argentina</x:v>
      </x:c>
      <x:c r="F21" s="46" t="str">
        <x:v>Argentine angelshark</x:v>
      </x:c>
      <x:c r="G21" s="46" t="str">
        <x:v>Large sharks (&gt;=90 cm)</x:v>
      </x:c>
      <x:c r="H21" s="46" t="str">
        <x:v>Sharks &amp; rays</x:v>
      </x:c>
      <x:c r="I21" s="60" t="n">
        <x:v>2431.955113815</x:v>
      </x:c>
      <x:c r="J21" s="60" t="n">
        <x:v>2044.8250923082</x:v>
      </x:c>
      <x:c r="K21" s="60" t="n">
        <x:v>387.1300215068</x:v>
      </x:c>
      <x:c r="L21" s="60" t="n">
        <x:v>2044.8250923082</x:v>
      </x:c>
      <x:c r="M21" s="60" t="n">
        <x:v>387.1300215068</x:v>
      </x:c>
      <x:c r="N21" s="46" t="str">
        <x:v>squatina argentina</x:v>
      </x:c>
      <x:c r="O21" s="62" t="n">
        <x:v>4.11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Squatina argentina</x:v>
      </x:c>
      <x:c r="T21" s="62" t="n">
        <x:f>IF(O21="","",(1/'Metadata'!$B$5)^(O21-1))</x:f>
        <x:v>11122.52233481121</x:v>
      </x:c>
      <x:c r="U21" s="60" t="n">
        <x:f>IF(T21="","",I21*T21)</x:f>
        <x:v>27049475.070665676</x:v>
      </x:c>
    </x:row>
    <x:row r="22" ht="18" customHeight="1">
      <x:c r="A22" s="46" t="str">
        <x:v>LME_014</x:v>
      </x:c>
      <x:c r="B22" s="46" t="str">
        <x:v>Patagonian Shelf</x:v>
      </x:c>
      <x:c r="C22" s="46" t="str">
        <x:v>LME</x:v>
      </x:c>
      <x:c r="D22" s="58" t="n">
        <x:v>2019</x:v>
      </x:c>
      <x:c r="E22" s="46" t="str">
        <x:v>Urophycis brasiliensis</x:v>
      </x:c>
      <x:c r="F22" s="46" t="str">
        <x:v>Brazilian codling</x:v>
      </x:c>
      <x:c r="G22" s="46" t="str">
        <x:v>Medium demersals (30 - 89 cm)</x:v>
      </x:c>
      <x:c r="H22" s="46" t="str">
        <x:v>Cod-likes</x:v>
      </x:c>
      <x:c r="I22" s="60" t="n">
        <x:v>2398.2811536823997</x:v>
      </x:c>
      <x:c r="J22" s="60" t="n">
        <x:v>2391.4504039388</x:v>
      </x:c>
      <x:c r="K22" s="60" t="n">
        <x:v>6.8307497436</x:v>
      </x:c>
      <x:c r="L22" s="60" t="n">
        <x:v>1009.2932744519999</x:v>
      </x:c>
      <x:c r="M22" s="60" t="n">
        <x:v>1388.9878792304</x:v>
      </x:c>
      <x:c r="N22" s="46" t="str">
        <x:v>urophycis brasiliensis</x:v>
      </x:c>
      <x:c r="O22" s="62" t="n">
        <x:v>3.79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Urophycis brasiliensis</x:v>
      </x:c>
      <x:c r="T22" s="62" t="n">
        <x:f>IF(O22="","",(1/'Metadata'!$B$5)^(O22-1))</x:f>
        <x:v>4264.554685980751</x:v>
      </x:c>
      <x:c r="U22" s="60" t="n">
        <x:f>IF(T22="","",I22*T22)</x:f>
        <x:v>10227601.1322356</x:v>
      </x:c>
    </x:row>
    <x:row r="23" ht="18" customHeight="1">
      <x:c r="A23" s="46" t="str">
        <x:v>LME_014</x:v>
      </x:c>
      <x:c r="B23" s="46" t="str">
        <x:v>Patagonian Shelf</x:v>
      </x:c>
      <x:c r="C23" s="46" t="str">
        <x:v>LME</x:v>
      </x:c>
      <x:c r="D23" s="58" t="n">
        <x:v>2019</x:v>
      </x:c>
      <x:c r="E23" s="46" t="str">
        <x:v>Lithodes</x:v>
      </x:c>
      <x:c r="F23" s="46" t="str">
        <x:v>King crabs</x:v>
      </x:c>
      <x:c r="G23" s="46" t="str">
        <x:v>Lobsters, crabs</x:v>
      </x:c>
      <x:c r="H23" s="46" t="str">
        <x:v>Crustaceans</x:v>
      </x:c>
      <x:c r="I23" s="60" t="n">
        <x:v>2294.880899065</x:v>
      </x:c>
      <x:c r="J23" s="60" t="n">
        <x:v>2281.7885720677</x:v>
      </x:c>
      <x:c r="K23" s="60" t="n">
        <x:v>13.0923269973</x:v>
      </x:c>
      <x:c r="L23" s="60" t="n">
        <x:v>2281.7885720677</x:v>
      </x:c>
      <x:c r="M23" s="60" t="n">
        <x:v>13.0923269973</x:v>
      </x:c>
      <x:c r="N23" s="46" t="str">
        <x:v>lithodes</x:v>
      </x:c>
      <x:c r="O23" s="62" t="n">
        <x:v>2.3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Lithodes</x:v>
      </x:c>
      <x:c r="T23" s="62" t="n">
        <x:f>IF(O23="","",(1/'Metadata'!$B$5)^(O23-1))</x:f>
        <x:v>49.12912104463159</x:v>
      </x:c>
      <x:c r="U23" s="60" t="n">
        <x:f>IF(T23="","",I23*T23)</x:f>
        <x:v>112745.48147317735</x:v>
      </x:c>
    </x:row>
    <x:row r="24" ht="18" customHeight="1">
      <x:c r="A24" s="46" t="str">
        <x:v>LME_014</x:v>
      </x:c>
      <x:c r="B24" s="46" t="str">
        <x:v>Patagonian Shelf</x:v>
      </x:c>
      <x:c r="C24" s="46" t="str">
        <x:v>LME</x:v>
      </x:c>
      <x:c r="D24" s="58" t="n">
        <x:v>2019</x:v>
      </x:c>
      <x:c r="E24" s="46" t="str">
        <x:v>Parona signata</x:v>
      </x:c>
      <x:c r="F24" s="46" t="str">
        <x:v>Parona leatherjacket</x:v>
      </x:c>
      <x:c r="G24" s="46" t="str">
        <x:v>Medium demersals (30 - 89 cm)</x:v>
      </x:c>
      <x:c r="H24" s="46" t="str">
        <x:v>Perch-likes</x:v>
      </x:c>
      <x:c r="I24" s="60" t="n">
        <x:v>2168.487985738</x:v>
      </x:c>
      <x:c r="J24" s="60" t="n">
        <x:v>2168.487985738</x:v>
      </x:c>
      <x:c r="K24" s="60" t="n">
        <x:v>0</x:v>
      </x:c>
      <x:c r="L24" s="60" t="n">
        <x:v>428.39018238439996</x:v>
      </x:c>
      <x:c r="M24" s="60" t="n">
        <x:v>1740.0978033536</x:v>
      </x:c>
      <x:c r="N24" s="46" t="str">
        <x:v>parona signata</x:v>
      </x:c>
      <x:c r="O24" s="62" t="n">
        <x:v>3.4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Parona signata</x:v>
      </x:c>
      <x:c r="T24" s="62" t="n">
        <x:f>IF(O24="","",(1/'Metadata'!$B$5)^(O24-1))</x:f>
        <x:v>1325.7816069359944</x:v>
      </x:c>
      <x:c r="U24" s="60" t="n">
        <x:f>IF(T24="","",I24*T24)</x:f>
        <x:v>2874941.4863531236</x:v>
      </x:c>
    </x:row>
    <x:row r="25" ht="18" customHeight="1">
      <x:c r="A25" s="46" t="str">
        <x:v>LME_014</x:v>
      </x:c>
      <x:c r="B25" s="46" t="str">
        <x:v>Patagonian Shelf</x:v>
      </x:c>
      <x:c r="C25" s="46" t="str">
        <x:v>LME</x:v>
      </x:c>
      <x:c r="D25" s="58" t="n">
        <x:v>2019</x:v>
      </x:c>
      <x:c r="E25" s="46" t="str">
        <x:v>Salilota australis</x:v>
      </x:c>
      <x:c r="F25" s="46" t="str">
        <x:v>Tadpole codling</x:v>
      </x:c>
      <x:c r="G25" s="46" t="str">
        <x:v>Medium demersals (30 - 89 cm)</x:v>
      </x:c>
      <x:c r="H25" s="46" t="str">
        <x:v>Cod-likes</x:v>
      </x:c>
      <x:c r="I25" s="60" t="n">
        <x:v>2114.5380825399</x:v>
      </x:c>
      <x:c r="J25" s="60" t="n">
        <x:v>1912.3914215953</x:v>
      </x:c>
      <x:c r="K25" s="60" t="n">
        <x:v>202.1466609446</x:v>
      </x:c>
      <x:c r="L25" s="60" t="n">
        <x:v>1912.3914215953</x:v>
      </x:c>
      <x:c r="M25" s="60" t="n">
        <x:v>202.1466609446</x:v>
      </x:c>
      <x:c r="N25" s="46" t="str">
        <x:v>salilota australis</x:v>
      </x:c>
      <x:c r="O25" s="62" t="n">
        <x:v>4.41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Salilota australis</x:v>
      </x:c>
      <x:c r="T25" s="62" t="n">
        <x:f>IF(O25="","",(1/'Metadata'!$B$5)^(O25-1))</x:f>
        <x:v>27321.987305427916</x:v>
      </x:c>
      <x:c r="U25" s="60" t="n">
        <x:f>IF(T25="","",I25*T25)</x:f>
        <x:v>57773382.64799904</x:v>
      </x:c>
    </x:row>
    <x:row r="26" ht="18" customHeight="1">
      <x:c r="A26" s="46" t="str">
        <x:v>LME_014</x:v>
      </x:c>
      <x:c r="B26" s="46" t="str">
        <x:v>Patagonian Shelf</x:v>
      </x:c>
      <x:c r="C26" s="46" t="str">
        <x:v>LME</x:v>
      </x:c>
      <x:c r="D26" s="58" t="n">
        <x:v>2019</x:v>
      </x:c>
      <x:c r="E26" s="46" t="str">
        <x:v>Macrodon ancylodon</x:v>
      </x:c>
      <x:c r="F26" s="46" t="str">
        <x:v>King weakfish</x:v>
      </x:c>
      <x:c r="G26" s="46" t="str">
        <x:v>Medium demersals (30 - 89 cm)</x:v>
      </x:c>
      <x:c r="H26" s="46" t="str">
        <x:v>Perch-likes</x:v>
      </x:c>
      <x:c r="I26" s="60" t="n">
        <x:v>1948.6947130366</x:v>
      </x:c>
      <x:c r="J26" s="60" t="n">
        <x:v>1947.0853893002</x:v>
      </x:c>
      <x:c r="K26" s="60" t="n">
        <x:v>1.6093237364000001</x:v>
      </x:c>
      <x:c r="L26" s="60" t="n">
        <x:v>1815.1398320803</x:v>
      </x:c>
      <x:c r="M26" s="60" t="n">
        <x:v>133.5548809563</x:v>
      </x:c>
      <x:c r="N26" s="46" t="str">
        <x:v>macrodon ancylodon</x:v>
      </x:c>
      <x:c r="O26" s="62" t="n">
        <x:v>3.9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Macrodon ancylodon</x:v>
      </x:c>
      <x:c r="T26" s="62" t="n">
        <x:f>IF(O26="","",(1/'Metadata'!$B$5)^(O26-1))</x:f>
        <x:v>5929.07559285558</x:v>
      </x:c>
      <x:c r="U26" s="60" t="n">
        <x:f>IF(T26="","",I26*T26)</x:f>
        <x:v>11553958.260992013</x:v>
      </x:c>
    </x:row>
    <x:row r="27" ht="18" customHeight="1">
      <x:c r="A27" s="46" t="str">
        <x:v>LME_014</x:v>
      </x:c>
      <x:c r="B27" s="46" t="str">
        <x:v>Patagonian Shelf</x:v>
      </x:c>
      <x:c r="C27" s="46" t="str">
        <x:v>LME</x:v>
      </x:c>
      <x:c r="D27" s="58" t="n">
        <x:v>2019</x:v>
      </x:c>
      <x:c r="E27" s="46" t="str">
        <x:v>Merluccius australis</x:v>
      </x:c>
      <x:c r="F27" s="46" t="str">
        <x:v>Southern hake</x:v>
      </x:c>
      <x:c r="G27" s="46" t="str">
        <x:v>Large benthopelagics (&gt;=90 cm)</x:v>
      </x:c>
      <x:c r="H27" s="46" t="str">
        <x:v>Cod-likes</x:v>
      </x:c>
      <x:c r="I27" s="60" t="n">
        <x:v>1746.6526568901</x:v>
      </x:c>
      <x:c r="J27" s="60" t="n">
        <x:v>1150.4758542872</x:v>
      </x:c>
      <x:c r="K27" s="60" t="n">
        <x:v>596.1768026029</x:v>
      </x:c>
      <x:c r="L27" s="60" t="n">
        <x:v>1150.4758542872</x:v>
      </x:c>
      <x:c r="M27" s="60" t="n">
        <x:v>596.1768026029</x:v>
      </x:c>
      <x:c r="N27" s="46" t="str">
        <x:v>merluccius australis</x:v>
      </x:c>
      <x:c r="O27" s="62" t="n">
        <x:v>4.45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Merluccius australis</x:v>
      </x:c>
      <x:c r="T27" s="62" t="n">
        <x:f>IF(O27="","",(1/'Metadata'!$B$5)^(O27-1))</x:f>
        <x:v>30800.19634445362</x:v>
      </x:c>
      <x:c r="U27" s="60" t="n">
        <x:f>IF(T27="","",I27*T27)</x:f>
        <x:v>53797244.77777666</x:v>
      </x:c>
    </x:row>
    <x:row r="28" ht="18" customHeight="1">
      <x:c r="A28" s="46" t="str">
        <x:v>LME_014</x:v>
      </x:c>
      <x:c r="B28" s="46" t="str">
        <x:v>Patagonian Shelf</x:v>
      </x:c>
      <x:c r="C28" s="46" t="str">
        <x:v>LME</x:v>
      </x:c>
      <x:c r="D28" s="58" t="n">
        <x:v>2019</x:v>
      </x:c>
      <x:c r="E28" s="46" t="str">
        <x:v>Merluccius</x:v>
      </x:c>
      <x:c r="F28" s="46" t="str">
        <x:v>Hakes</x:v>
      </x:c>
      <x:c r="G28" s="46" t="str">
        <x:v>Medium bathydemersals (30 - 89 cm)</x:v>
      </x:c>
      <x:c r="H28" s="46" t="str">
        <x:v>Cod-likes</x:v>
      </x:c>
      <x:c r="I28" s="60" t="n">
        <x:v>1672.7602867789</x:v>
      </x:c>
      <x:c r="J28" s="60" t="n">
        <x:v>1672.7602867789</x:v>
      </x:c>
      <x:c r="K28" s="60" t="n">
        <x:v>0</x:v>
      </x:c>
      <x:c r="L28" s="60" t="n">
        <x:v>1672.7602867789</x:v>
      </x:c>
      <x:c r="M28" s="60" t="n">
        <x:v>0</x:v>
      </x:c>
      <x:c r="N28" s="46" t="str">
        <x:v>merluccius</x:v>
      </x:c>
      <x:c r="O28" s="62" t="n">
        <x:v>4.27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Merluccius</x:v>
      </x:c>
      <x:c r="T28" s="62" t="n">
        <x:f>IF(O28="","",(1/'Metadata'!$B$5)^(O28-1))</x:f>
        <x:v>17962.55396184286</x:v>
      </x:c>
      <x:c r="U28" s="60" t="n">
        <x:f>IF(T28="","",I28*T28)</x:f>
        <x:v>30047046.91649373</x:v>
      </x:c>
    </x:row>
    <x:row r="29" ht="18" customHeight="1">
      <x:c r="A29" s="46" t="str">
        <x:v>LME_014</x:v>
      </x:c>
      <x:c r="B29" s="46" t="str">
        <x:v>Patagonian Shelf</x:v>
      </x:c>
      <x:c r="C29" s="46" t="str">
        <x:v>LME</x:v>
      </x:c>
      <x:c r="D29" s="58" t="n">
        <x:v>2019</x:v>
      </x:c>
      <x:c r="E29" s="46" t="str">
        <x:v>Loliginidae</x:v>
      </x:c>
      <x:c r="F29" s="46" t="str">
        <x:v>Common pencil squids</x:v>
      </x:c>
      <x:c r="G29" s="46" t="str">
        <x:v>Cephalopods</x:v>
      </x:c>
      <x:c r="H29" s="46" t="str">
        <x:v>Other fishes &amp; inverts</x:v>
      </x:c>
      <x:c r="I29" s="60" t="n">
        <x:v>1645.5125488936</x:v>
      </x:c>
      <x:c r="J29" s="60" t="n">
        <x:v>1645.5125488936</x:v>
      </x:c>
      <x:c r="K29" s="60" t="n">
        <x:v>0</x:v>
      </x:c>
      <x:c r="L29" s="60" t="n">
        <x:v>1645.5125488936</x:v>
      </x:c>
      <x:c r="M29" s="60" t="n">
        <x:v>0</x:v>
      </x:c>
      <x:c r="N29" s="46" t="str">
        <x:v>loliginidae</x:v>
      </x:c>
      <x:c r="O29" s="62" t="n">
        <x:v>3.9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Loliginidae</x:v>
      </x:c>
      <x:c r="T29" s="62" t="n">
        <x:f>IF(O29="","",(1/'Metadata'!$B$5)^(O29-1))</x:f>
        <x:v>5929.07559285558</x:v>
      </x:c>
      <x:c r="U29" s="60" t="n">
        <x:f>IF(T29="","",I29*T29)</x:f>
        <x:v>9756368.291382618</x:v>
      </x:c>
    </x:row>
    <x:row r="30" ht="18" customHeight="1">
      <x:c r="A30" s="46" t="str">
        <x:v>LME_014</x:v>
      </x:c>
      <x:c r="B30" s="46" t="str">
        <x:v>Patagonian Shelf</x:v>
      </x:c>
      <x:c r="C30" s="46" t="str">
        <x:v>LME</x:v>
      </x:c>
      <x:c r="D30" s="58" t="n">
        <x:v>2019</x:v>
      </x:c>
      <x:c r="E30" s="46" t="str">
        <x:v>Patagonotothen ramsayi</x:v>
      </x:c>
      <x:c r="F30" s="46" t="str">
        <x:v>Longtail southern cod</x:v>
      </x:c>
      <x:c r="G30" s="46" t="str">
        <x:v>Medium benthopelagics (30 - 89 cm)</x:v>
      </x:c>
      <x:c r="H30" s="46" t="str">
        <x:v>Perch-likes</x:v>
      </x:c>
      <x:c r="I30" s="60" t="n">
        <x:v>1197.765826429</x:v>
      </x:c>
      <x:c r="J30" s="60" t="n">
        <x:v>1197.765826429</x:v>
      </x:c>
      <x:c r="K30" s="60" t="n">
        <x:v>0</x:v>
      </x:c>
      <x:c r="L30" s="60" t="n">
        <x:v>1197.765826429</x:v>
      </x:c>
      <x:c r="M30" s="60" t="n">
        <x:v>0</x:v>
      </x:c>
      <x:c r="N30" s="46" t="str">
        <x:v>patagonotothen ramsayi</x:v>
      </x:c>
      <x:c r="O30" s="62" t="n">
        <x:v>3.49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Patagonotothen ramsayi</x:v>
      </x:c>
      <x:c r="T30" s="62" t="n">
        <x:f>IF(O30="","",(1/'Metadata'!$B$5)^(O30-1))</x:f>
        <x:v>1736.059833884101</x:v>
      </x:c>
      <x:c r="U30" s="60" t="n">
        <x:f>IF(T30="","",I30*T30)</x:f>
        <x:v>2079393.1416623828</x:v>
      </x:c>
    </x:row>
    <x:row r="31" ht="18" customHeight="1">
      <x:c r="A31" s="46" t="str">
        <x:v>LME_014</x:v>
      </x:c>
      <x:c r="B31" s="46" t="str">
        <x:v>Patagonian Shelf</x:v>
      </x:c>
      <x:c r="C31" s="46" t="str">
        <x:v>LME</x:v>
      </x:c>
      <x:c r="D31" s="58" t="n">
        <x:v>2019</x:v>
      </x:c>
      <x:c r="E31" s="46" t="str">
        <x:v>Seriolella porosa</x:v>
      </x:c>
      <x:c r="F31" s="46" t="str">
        <x:v>Choicy ruff</x:v>
      </x:c>
      <x:c r="G31" s="46" t="str">
        <x:v>Medium benthopelagics (30 - 89 cm)</x:v>
      </x:c>
      <x:c r="H31" s="46" t="str">
        <x:v>Perch-likes</x:v>
      </x:c>
      <x:c r="I31" s="60" t="n">
        <x:v>1194.77</x:v>
      </x:c>
      <x:c r="J31" s="60" t="n">
        <x:v>1194.77</x:v>
      </x:c>
      <x:c r="K31" s="60" t="n">
        <x:v>0</x:v>
      </x:c>
      <x:c r="L31" s="60" t="n">
        <x:v>1194.77</x:v>
      </x:c>
      <x:c r="M31" s="60" t="n">
        <x:v>0</x:v>
      </x:c>
      <x:c r="N31" s="46" t="str">
        <x:v>seriolella porosa</x:v>
      </x:c>
      <x:c r="O31" s="62" t="n">
        <x:v>3.4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Seriolella porosa</x:v>
      </x:c>
      <x:c r="T31" s="62" t="n">
        <x:f>IF(O31="","",(1/'Metadata'!$B$5)^(O31-1))</x:f>
        <x:v>1325.7816069359944</x:v>
      </x:c>
      <x:c r="U31" s="60" t="n">
        <x:f>IF(T31="","",I31*T31)</x:f>
        <x:v>1584004.0905189181</x:v>
      </x:c>
    </x:row>
    <x:row r="32" ht="18" customHeight="1">
      <x:c r="A32" s="46" t="str">
        <x:v>LME_014</x:v>
      </x:c>
      <x:c r="B32" s="46" t="str">
        <x:v>Patagonian Shelf</x:v>
      </x:c>
      <x:c r="C32" s="46" t="str">
        <x:v>LME</x:v>
      </x:c>
      <x:c r="D32" s="58" t="n">
        <x:v>2019</x:v>
      </x:c>
      <x:c r="E32" s="46" t="str">
        <x:v>Umbrina canosai</x:v>
      </x:c>
      <x:c r="F32" s="46" t="str">
        <x:v>Argentine croaker</x:v>
      </x:c>
      <x:c r="G32" s="46" t="str">
        <x:v>Medium demersals (30 - 89 cm)</x:v>
      </x:c>
      <x:c r="H32" s="46" t="str">
        <x:v>Perch-likes</x:v>
      </x:c>
      <x:c r="I32" s="60" t="n">
        <x:v>1171.5008500715</x:v>
      </x:c>
      <x:c r="J32" s="60" t="n">
        <x:v>945.7416147959</x:v>
      </x:c>
      <x:c r="K32" s="60" t="n">
        <x:v>225.7592352756</x:v>
      </x:c>
      <x:c r="L32" s="60" t="n">
        <x:v>659.7824956715</x:v>
      </x:c>
      <x:c r="M32" s="60" t="n">
        <x:v>511.7183544</x:v>
      </x:c>
      <x:c r="N32" s="46" t="str">
        <x:v>umbrina canosai</x:v>
      </x:c>
      <x:c r="O32" s="62" t="n">
        <x:v>3.85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Umbrina canosai</x:v>
      </x:c>
      <x:c r="T32" s="62" t="n">
        <x:f>IF(O32="","",(1/'Metadata'!$B$5)^(O32-1))</x:f>
        <x:v>5104.291725436732</x:v>
      </x:c>
      <x:c r="U32" s="60" t="n">
        <x:f>IF(T32="","",I32*T32)</x:f>
        <x:v>5979682.095362055</x:v>
      </x:c>
    </x:row>
    <x:row r="33" ht="18" customHeight="1">
      <x:c r="A33" s="46" t="str">
        <x:v>LME_014</x:v>
      </x:c>
      <x:c r="B33" s="46" t="str">
        <x:v>Patagonian Shelf</x:v>
      </x:c>
      <x:c r="C33" s="46" t="str">
        <x:v>LME</x:v>
      </x:c>
      <x:c r="D33" s="58" t="n">
        <x:v>2019</x:v>
      </x:c>
      <x:c r="E33" s="46" t="str">
        <x:v>Acanthistius brasilianus</x:v>
      </x:c>
      <x:c r="F33" s="46" t="str">
        <x:v>Argentine seabass</x:v>
      </x:c>
      <x:c r="G33" s="46" t="str">
        <x:v>Medium benthopelagics (30 - 89 cm)</x:v>
      </x:c>
      <x:c r="H33" s="46" t="str">
        <x:v>Perch-likes</x:v>
      </x:c>
      <x:c r="I33" s="60" t="n">
        <x:v>1038.5955837466001</x:v>
      </x:c>
      <x:c r="J33" s="60" t="n">
        <x:v>991.3187616195</x:v>
      </x:c>
      <x:c r="K33" s="60" t="n">
        <x:v>47.2768221271</x:v>
      </x:c>
      <x:c r="L33" s="60" t="n">
        <x:v>991.3187616195</x:v>
      </x:c>
      <x:c r="M33" s="60" t="n">
        <x:v>47.2768221271</x:v>
      </x:c>
      <x:c r="N33" s="46" t="str">
        <x:v>acanthistius brasilianus</x:v>
      </x:c>
      <x:c r="O33" s="62" t="n">
        <x:v>4.01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Acanthistius brasilianus</x:v>
      </x:c>
      <x:c r="T33" s="62" t="n">
        <x:f>IF(O33="","",(1/'Metadata'!$B$5)^(O33-1))</x:f>
        <x:v>8243.284463290014</x:v>
      </x:c>
      <x:c r="U33" s="60" t="n">
        <x:f>IF(T33="","",I33*T33)</x:f>
        <x:v>8561438.839139972</x:v>
      </x:c>
    </x:row>
    <x:row r="34" ht="18" customHeight="1">
      <x:c r="A34" s="46" t="str">
        <x:v>LME_014</x:v>
      </x:c>
      <x:c r="B34" s="46" t="str">
        <x:v>Patagonian Shelf</x:v>
      </x:c>
      <x:c r="C34" s="46" t="str">
        <x:v>LME</x:v>
      </x:c>
      <x:c r="D34" s="58" t="n">
        <x:v>2019</x:v>
      </x:c>
      <x:c r="E34" s="46" t="str">
        <x:v>Stromateus brasiliensis</x:v>
      </x:c>
      <x:c r="F34" s="46" t="str">
        <x:v>Southwest Atlantic butterfish</x:v>
      </x:c>
      <x:c r="G34" s="46" t="str">
        <x:v>Medium benthopelagics (30 - 89 cm)</x:v>
      </x:c>
      <x:c r="H34" s="46" t="str">
        <x:v>Perch-likes</x:v>
      </x:c>
      <x:c r="I34" s="60" t="n">
        <x:v>978.1090592349</x:v>
      </x:c>
      <x:c r="J34" s="60" t="n">
        <x:v>955.1562003731</x:v>
      </x:c>
      <x:c r="K34" s="60" t="n">
        <x:v>22.9528588618</x:v>
      </x:c>
      <x:c r="L34" s="60" t="n">
        <x:v>955.1562003731</x:v>
      </x:c>
      <x:c r="M34" s="60" t="n">
        <x:v>22.9528588618</x:v>
      </x:c>
      <x:c r="N34" s="46" t="str">
        <x:v>stromateus brasiliensis</x:v>
      </x:c>
      <x:c r="O34" s="62" t="n">
        <x:v>3.4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Stromateus brasiliensis</x:v>
      </x:c>
      <x:c r="T34" s="62" t="n">
        <x:f>IF(O34="","",(1/'Metadata'!$B$5)^(O34-1))</x:f>
        <x:v>1325.7816069359944</x:v>
      </x:c>
      <x:c r="U34" s="60" t="n">
        <x:f>IF(T34="","",I34*T34)</x:f>
        <x:v>1296759.0003110995</x:v>
      </x:c>
    </x:row>
    <x:row r="35" ht="18" customHeight="1">
      <x:c r="A35" s="46" t="str">
        <x:v>LME_014</x:v>
      </x:c>
      <x:c r="B35" s="46" t="str">
        <x:v>Patagonian Shelf</x:v>
      </x:c>
      <x:c r="C35" s="46" t="str">
        <x:v>LME</x:v>
      </x:c>
      <x:c r="D35" s="58" t="n">
        <x:v>2019</x:v>
      </x:c>
      <x:c r="E35" s="46" t="str">
        <x:v>Pogonias courbina</x:v>
      </x:c>
      <x:c r="F35" s="46" t="str">
        <x:v>Black drum</x:v>
      </x:c>
      <x:c r="G35" s="46" t="str">
        <x:v>Large demersals (&gt;=90 cm)</x:v>
      </x:c>
      <x:c r="H35" s="46" t="str">
        <x:v>Perch-likes</x:v>
      </x:c>
      <x:c r="I35" s="60" t="n">
        <x:v>965.8190807814001</x:v>
      </x:c>
      <x:c r="J35" s="60" t="n">
        <x:v>960.6005135274</x:v>
      </x:c>
      <x:c r="K35" s="60" t="n">
        <x:v>5.218567254</x:v>
      </x:c>
      <x:c r="L35" s="60" t="n">
        <x:v>880.6576136138001</x:v>
      </x:c>
      <x:c r="M35" s="60" t="n">
        <x:v>85.1614671676</x:v>
      </x:c>
      <x:c r="N35" s="46" t="str">
        <x:v>pogonias courbina</x:v>
      </x:c>
      <x:c r="O35" s="62" t="n">
        <x:v>3.89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Pogonias courbina</x:v>
      </x:c>
      <x:c r="T35" s="62" t="n">
        <x:f>IF(O35="","",(1/'Metadata'!$B$5)^(O35-1))</x:f>
        <x:v>5754.090490759748</x:v>
      </x:c>
      <x:c r="U35" s="60" t="n">
        <x:f>IF(T35="","",I35*T35)</x:f>
        <x:v>5557410.388518575</x:v>
      </x:c>
    </x:row>
    <x:row r="36" ht="18" customHeight="1">
      <x:c r="A36" s="46" t="str">
        <x:v>LME_014</x:v>
      </x:c>
      <x:c r="B36" s="46" t="str">
        <x:v>Patagonian Shelf</x:v>
      </x:c>
      <x:c r="C36" s="46" t="str">
        <x:v>LME</x:v>
      </x:c>
      <x:c r="D36" s="58" t="n">
        <x:v>2019</x:v>
      </x:c>
      <x:c r="E36" s="46" t="str">
        <x:v>Chondrichthyes</x:v>
      </x:c>
      <x:c r="F36" s="46" t="str">
        <x:v>Sharks, rays, chimaeras</x:v>
      </x:c>
      <x:c r="G36" s="46" t="str">
        <x:v>Large sharks (&gt;=90 cm)</x:v>
      </x:c>
      <x:c r="H36" s="46" t="str">
        <x:v>Sharks &amp; rays</x:v>
      </x:c>
      <x:c r="I36" s="60" t="n">
        <x:v>824.8570747910001</x:v>
      </x:c>
      <x:c r="J36" s="60" t="n">
        <x:v>824.8570747910001</x:v>
      </x:c>
      <x:c r="K36" s="60" t="n">
        <x:v>0</x:v>
      </x:c>
      <x:c r="L36" s="60" t="n">
        <x:v>288.4453613559</x:v>
      </x:c>
      <x:c r="M36" s="60" t="n">
        <x:v>536.4117134351</x:v>
      </x:c>
      <x:c r="N36" s="46" t="str">
        <x:v>chondrichthyes</x:v>
      </x:c>
      <x:c r="O36" s="62" t="n">
        <x:v>4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Chondrichthyes</x:v>
      </x:c>
      <x:c r="T36" s="62" t="n">
        <x:f>IF(O36="","",(1/'Metadata'!$B$5)^(O36-1))</x:f>
        <x:v>8000</x:v>
      </x:c>
      <x:c r="U36" s="60" t="n">
        <x:f>IF(T36="","",I36*T36)</x:f>
        <x:v>6598856.598328001</x:v>
      </x:c>
    </x:row>
    <x:row r="37" ht="18" customHeight="1">
      <x:c r="A37" s="46" t="str">
        <x:v>LME_014</x:v>
      </x:c>
      <x:c r="B37" s="46" t="str">
        <x:v>Patagonian Shelf</x:v>
      </x:c>
      <x:c r="C37" s="46" t="str">
        <x:v>LME</x:v>
      </x:c>
      <x:c r="D37" s="58" t="n">
        <x:v>2019</x:v>
      </x:c>
      <x:c r="E37" s="46" t="str">
        <x:v>Chaceon notialis</x:v>
      </x:c>
      <x:c r="F37" s="46" t="str">
        <x:v>Red crab</x:v>
      </x:c>
      <x:c r="G37" s="46" t="str">
        <x:v>Lobsters, crabs</x:v>
      </x:c>
      <x:c r="H37" s="46" t="str">
        <x:v>Crustaceans</x:v>
      </x:c>
      <x:c r="I37" s="60" t="n">
        <x:v>824.1337081519999</x:v>
      </x:c>
      <x:c r="J37" s="60" t="n">
        <x:v>824.1337081519999</x:v>
      </x:c>
      <x:c r="K37" s="60" t="n">
        <x:v>0</x:v>
      </x:c>
      <x:c r="L37" s="60" t="n">
        <x:v>824.1337081519999</x:v>
      </x:c>
      <x:c r="M37" s="60" t="n">
        <x:v>0</x:v>
      </x:c>
      <x:c r="N37" s="46" t="str">
        <x:v>chaceon notialis</x:v>
      </x:c>
      <x:c r="O37" s="62" t="n">
        <x:v>3.57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Chaceon notialis</x:v>
      </x:c>
      <x:c r="T37" s="62" t="n">
        <x:f>IF(O37="","",(1/'Metadata'!$B$5)^(O37-1))</x:f>
        <x:v>2206.2112196552644</x:v>
      </x:c>
      <x:c r="U37" s="60" t="n">
        <x:f>IF(T37="","",I37*T37)</x:f>
        <x:v>1818213.0334210396</x:v>
      </x:c>
    </x:row>
    <x:row r="38" ht="18" customHeight="1">
      <x:c r="A38" s="46" t="str">
        <x:v>LME_014</x:v>
      </x:c>
      <x:c r="B38" s="46" t="str">
        <x:v>Patagonian Shelf</x:v>
      </x:c>
      <x:c r="C38" s="46" t="str">
        <x:v>LME</x:v>
      </x:c>
      <x:c r="D38" s="58" t="n">
        <x:v>2019</x:v>
      </x:c>
      <x:c r="E38" s="46" t="str">
        <x:v>Nototheniidae</x:v>
      </x:c>
      <x:c r="F38" s="46" t="str">
        <x:v>Cod icefishes</x:v>
      </x:c>
      <x:c r="G38" s="46" t="str">
        <x:v>Large bathydemersals (&gt;=90 cm)</x:v>
      </x:c>
      <x:c r="H38" s="46" t="str">
        <x:v>Perch-likes</x:v>
      </x:c>
      <x:c r="I38" s="60" t="n">
        <x:v>713.9735220765</x:v>
      </x:c>
      <x:c r="J38" s="60" t="n">
        <x:v>213.51173612</x:v>
      </x:c>
      <x:c r="K38" s="60" t="n">
        <x:v>500.4617859565</x:v>
      </x:c>
      <x:c r="L38" s="60" t="n">
        <x:v>213.51173612</x:v>
      </x:c>
      <x:c r="M38" s="60" t="n">
        <x:v>500.4617859565</x:v>
      </x:c>
      <x:c r="N38" s="46" t="str">
        <x:v>nototheniidae</x:v>
      </x:c>
      <x:c r="O38" s="62" t="n">
        <x:v>3.43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Nototheniidae</x:v>
      </x:c>
      <x:c r="T38" s="62" t="n">
        <x:f>IF(O38="","",(1/'Metadata'!$B$5)^(O38-1))</x:f>
        <x:v>1450.450424461182</x:v>
      </x:c>
      <x:c r="U38" s="60" t="n">
        <x:f>IF(T38="","",I38*T38)</x:f>
        <x:v>1035583.1981499045</x:v>
      </x:c>
    </x:row>
    <x:row r="39" ht="18" customHeight="1">
      <x:c r="A39" s="46" t="str">
        <x:v>LME_014</x:v>
      </x:c>
      <x:c r="B39" s="46" t="str">
        <x:v>Patagonian Shelf</x:v>
      </x:c>
      <x:c r="C39" s="46" t="str">
        <x:v>LME</x:v>
      </x:c>
      <x:c r="D39" s="58" t="n">
        <x:v>2019</x:v>
      </x:c>
      <x:c r="E39" s="46" t="str">
        <x:v>Nemadactylus bergi</x:v>
      </x:c>
      <x:c r="F39" s="46" t="str">
        <x:v>Castaneta</x:v>
      </x:c>
      <x:c r="G39" s="46" t="str">
        <x:v>Medium demersals (30 - 89 cm)</x:v>
      </x:c>
      <x:c r="H39" s="46" t="str">
        <x:v>Perch-likes</x:v>
      </x:c>
      <x:c r="I39" s="60" t="n">
        <x:v>618.3379613768</x:v>
      </x:c>
      <x:c r="J39" s="60" t="n">
        <x:v>474.58774481560005</x:v>
      </x:c>
      <x:c r="K39" s="60" t="n">
        <x:v>143.7502165612</x:v>
      </x:c>
      <x:c r="L39" s="60" t="n">
        <x:v>474.58326382120003</x:v>
      </x:c>
      <x:c r="M39" s="60" t="n">
        <x:v>143.7546975556</x:v>
      </x:c>
      <x:c r="N39" s="46" t="str">
        <x:v>nemadactylus bergi</x:v>
      </x:c>
      <x:c r="O39" s="62" t="n">
        <x:v>3.24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Nemadactylus bergi</x:v>
      </x:c>
      <x:c r="T39" s="62" t="n">
        <x:f>IF(O39="","",(1/'Metadata'!$B$5)^(O39-1))</x:f>
        <x:v>820.9320103116679</x:v>
      </x:c>
      <x:c r="U39" s="60" t="n">
        <x:f>IF(T39="","",I39*T39)</x:f>
        <x:v>507613.4256850749</x:v>
      </x:c>
    </x:row>
    <x:row r="40" ht="18" customHeight="1">
      <x:c r="A40" s="46" t="str">
        <x:v>LME_014</x:v>
      </x:c>
      <x:c r="B40" s="46" t="str">
        <x:v>Patagonian Shelf</x:v>
      </x:c>
      <x:c r="C40" s="46" t="str">
        <x:v>LME</x:v>
      </x:c>
      <x:c r="D40" s="58" t="n">
        <x:v>2019</x:v>
      </x:c>
      <x:c r="E40" s="46" t="str">
        <x:v>Pseudopercis semifasciata</x:v>
      </x:c>
      <x:c r="F40" s="46" t="str">
        <x:v>Argentinian sandperch</x:v>
      </x:c>
      <x:c r="G40" s="46" t="str">
        <x:v>Medium demersals (30 - 89 cm)</x:v>
      </x:c>
      <x:c r="H40" s="46" t="str">
        <x:v>Perch-likes</x:v>
      </x:c>
      <x:c r="I40" s="60" t="n">
        <x:v>616.7017079147</x:v>
      </x:c>
      <x:c r="J40" s="60" t="n">
        <x:v>616.7017079147</x:v>
      </x:c>
      <x:c r="K40" s="60" t="n">
        <x:v>0</x:v>
      </x:c>
      <x:c r="L40" s="60" t="n">
        <x:v>616.7017079147</x:v>
      </x:c>
      <x:c r="M40" s="60" t="n">
        <x:v>0</x:v>
      </x:c>
      <x:c r="N40" s="46" t="str">
        <x:v>pseudopercis semifasciata</x:v>
      </x:c>
      <x:c r="O40" s="62" t="n">
        <x:v>3.88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Pseudopercis semifasciata</x:v>
      </x:c>
      <x:c r="T40" s="62" t="n">
        <x:f>IF(O40="","",(1/'Metadata'!$B$5)^(O40-1))</x:f>
        <x:v>5584.269732662554</x:v>
      </x:c>
      <x:c r="U40" s="60" t="n">
        <x:f>IF(T40="","",I40*T40)</x:f>
        <x:v>3443828.681589362</x:v>
      </x:c>
    </x:row>
    <x:row r="41" ht="18" customHeight="1">
      <x:c r="A41" s="46" t="str">
        <x:v>LME_014</x:v>
      </x:c>
      <x:c r="B41" s="46" t="str">
        <x:v>Patagonian Shelf</x:v>
      </x:c>
      <x:c r="C41" s="46" t="str">
        <x:v>LME</x:v>
      </x:c>
      <x:c r="D41" s="58" t="n">
        <x:v>2019</x:v>
      </x:c>
      <x:c r="E41" s="46" t="str">
        <x:v>Dissostichus eleginoides</x:v>
      </x:c>
      <x:c r="F41" s="46" t="str">
        <x:v>Patagonian toothfish</x:v>
      </x:c>
      <x:c r="G41" s="46" t="str">
        <x:v>Large bathydemersals (&gt;=90 cm)</x:v>
      </x:c>
      <x:c r="H41" s="46" t="str">
        <x:v>Perch-likes</x:v>
      </x:c>
      <x:c r="I41" s="60" t="n">
        <x:v>566.8625847171</x:v>
      </x:c>
      <x:c r="J41" s="60" t="n">
        <x:v>539.6351292735</x:v>
      </x:c>
      <x:c r="K41" s="60" t="n">
        <x:v>27.2274554436</x:v>
      </x:c>
      <x:c r="L41" s="60" t="n">
        <x:v>539.6351292735</x:v>
      </x:c>
      <x:c r="M41" s="60" t="n">
        <x:v>27.2274554436</x:v>
      </x:c>
      <x:c r="N41" s="46" t="str">
        <x:v>dissostichus eleginoides</x:v>
      </x:c>
      <x:c r="O41" s="62" t="n">
        <x:v>3.96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Dissostichus eleginoides</x:v>
      </x:c>
      <x:c r="T41" s="62" t="n">
        <x:f>IF(O41="","",(1/'Metadata'!$B$5)^(O41-1))</x:f>
        <x:v>7096.574839945253</x:v>
      </x:c>
      <x:c r="U41" s="60" t="n">
        <x:f>IF(T41="","",I41*T41)</x:f>
        <x:v>4022782.756409707</x:v>
      </x:c>
    </x:row>
    <x:row r="42" ht="18" customHeight="1">
      <x:c r="A42" s="46" t="str">
        <x:v>LME_014</x:v>
      </x:c>
      <x:c r="B42" s="46" t="str">
        <x:v>Patagonian Shelf</x:v>
      </x:c>
      <x:c r="C42" s="46" t="str">
        <x:v>LME</x:v>
      </x:c>
      <x:c r="D42" s="58" t="n">
        <x:v>2019</x:v>
      </x:c>
      <x:c r="E42" s="46" t="str">
        <x:v>Macrourus carinatus</x:v>
      </x:c>
      <x:c r="F42" s="46" t="str">
        <x:v>Ridge scaled rattail</x:v>
      </x:c>
      <x:c r="G42" s="46" t="str">
        <x:v>Medium benthopelagics (30 - 89 cm)</x:v>
      </x:c>
      <x:c r="H42" s="46" t="str">
        <x:v>Cod-likes</x:v>
      </x:c>
      <x:c r="I42" s="60" t="n">
        <x:v>520.8101877775</x:v>
      </x:c>
      <x:c r="J42" s="60" t="n">
        <x:v>520.8101877775</x:v>
      </x:c>
      <x:c r="K42" s="60" t="n">
        <x:v>0</x:v>
      </x:c>
      <x:c r="L42" s="60" t="n">
        <x:v>520.8101877775</x:v>
      </x:c>
      <x:c r="M42" s="60" t="n">
        <x:v>0</x:v>
      </x:c>
      <x:c r="N42" s="46" t="str">
        <x:v>macrourus carinatus</x:v>
      </x:c>
      <x:c r="O42" s="62" t="n">
        <x:v>3.8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Macrourus carinatus</x:v>
      </x:c>
      <x:c r="T42" s="62" t="n">
        <x:f>IF(O42="","",(1/'Metadata'!$B$5)^(O42-1))</x:f>
        <x:v>4394.242173224468</x:v>
      </x:c>
      <x:c r="U42" s="60" t="n">
        <x:f>IF(T42="","",I42*T42)</x:f>
        <x:v>2288566.0913768453</x:v>
      </x:c>
    </x:row>
    <x:row r="43" ht="18" customHeight="1">
      <x:c r="A43" s="46" t="str">
        <x:v>LME_014</x:v>
      </x:c>
      <x:c r="B43" s="46" t="str">
        <x:v>Patagonian Shelf</x:v>
      </x:c>
      <x:c r="C43" s="46" t="str">
        <x:v>LME</x:v>
      </x:c>
      <x:c r="D43" s="58" t="n">
        <x:v>2019</x:v>
      </x:c>
      <x:c r="E43" s="46" t="str">
        <x:v>Prionace glauca</x:v>
      </x:c>
      <x:c r="F43" s="46" t="str">
        <x:v>Blue shark</x:v>
      </x:c>
      <x:c r="G43" s="46" t="str">
        <x:v>Large sharks (&gt;=90 cm)</x:v>
      </x:c>
      <x:c r="H43" s="46" t="str">
        <x:v>Sharks &amp; rays</x:v>
      </x:c>
      <x:c r="I43" s="60" t="n">
        <x:v>469.5580432483</x:v>
      </x:c>
      <x:c r="J43" s="60" t="n">
        <x:v>468.918764283</x:v>
      </x:c>
      <x:c r="K43" s="60" t="n">
        <x:v>0.6392789653</x:v>
      </x:c>
      <x:c r="L43" s="60" t="n">
        <x:v>468.91876287639997</x:v>
      </x:c>
      <x:c r="M43" s="60" t="n">
        <x:v>0.6392803719</x:v>
      </x:c>
      <x:c r="N43" s="46" t="str">
        <x:v>prionace glauca</x:v>
      </x:c>
      <x:c r="O43" s="62" t="n">
        <x:v>4.35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Prionace glauca</x:v>
      </x:c>
      <x:c r="T43" s="62" t="n">
        <x:f>IF(O43="","",(1/'Metadata'!$B$5)^(O43-1))</x:f>
        <x:v>22827.086550132422</x:v>
      </x:c>
      <x:c r="U43" s="60" t="n">
        <x:f>IF(T43="","",I43*T43)</x:f>
        <x:v>10718642.093539767</x:v>
      </x:c>
    </x:row>
    <x:row r="44" ht="18" customHeight="1">
      <x:c r="A44" s="46" t="str">
        <x:v>LME_014</x:v>
      </x:c>
      <x:c r="B44" s="46" t="str">
        <x:v>Patagonian Shelf</x:v>
      </x:c>
      <x:c r="C44" s="46" t="str">
        <x:v>LME</x:v>
      </x:c>
      <x:c r="D44" s="58" t="n">
        <x:v>2019</x:v>
      </x:c>
      <x:c r="E44" s="46" t="str">
        <x:v>Squatinidae</x:v>
      </x:c>
      <x:c r="F44" s="46" t="str">
        <x:v>Angel sharks</x:v>
      </x:c>
      <x:c r="G44" s="46" t="str">
        <x:v>Large sharks (&gt;=90 cm)</x:v>
      </x:c>
      <x:c r="H44" s="46" t="str">
        <x:v>Sharks &amp; rays</x:v>
      </x:c>
      <x:c r="I44" s="60" t="n">
        <x:v>447.4049492761</x:v>
      </x:c>
      <x:c r="J44" s="60" t="n">
        <x:v>447.4049492761</x:v>
      </x:c>
      <x:c r="K44" s="60" t="n">
        <x:v>0</x:v>
      </x:c>
      <x:c r="L44" s="60" t="n">
        <x:v>32.9346524478</x:v>
      </x:c>
      <x:c r="M44" s="60" t="n">
        <x:v>414.47029682830004</x:v>
      </x:c>
      <x:c r="N44" s="46" t="str">
        <x:v>squatinidae</x:v>
      </x:c>
      <x:c r="O44" s="62" t="n">
        <x:v>4.13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Squatinidae</x:v>
      </x:c>
      <x:c r="T44" s="62" t="n">
        <x:f>IF(O44="","",(1/'Metadata'!$B$5)^(O44-1))</x:f>
        <x:v>11809.292685236613</x:v>
      </x:c>
      <x:c r="U44" s="60" t="n">
        <x:f>IF(T44="","",I44*T44)</x:f>
        <x:v>5283535.994824906</x:v>
      </x:c>
    </x:row>
    <x:row r="45" ht="18" customHeight="1">
      <x:c r="A45" s="46" t="str">
        <x:v>LME_014</x:v>
      </x:c>
      <x:c r="B45" s="46" t="str">
        <x:v>Patagonian Shelf</x:v>
      </x:c>
      <x:c r="C45" s="46" t="str">
        <x:v>LME</x:v>
      </x:c>
      <x:c r="D45" s="58" t="n">
        <x:v>2019</x:v>
      </x:c>
      <x:c r="E45" s="46" t="str">
        <x:v>Rajidae</x:v>
      </x:c>
      <x:c r="F45" s="46" t="str">
        <x:v>Stingrays</x:v>
      </x:c>
      <x:c r="G45" s="46" t="str">
        <x:v>Large rays (&gt;=90 cm)</x:v>
      </x:c>
      <x:c r="H45" s="46" t="str">
        <x:v>Sharks &amp; rays</x:v>
      </x:c>
      <x:c r="I45" s="60" t="n">
        <x:v>371.5277631075</x:v>
      </x:c>
      <x:c r="J45" s="60" t="n">
        <x:v>3.8861175678</x:v>
      </x:c>
      <x:c r="K45" s="60" t="n">
        <x:v>367.6416455397</x:v>
      </x:c>
      <x:c r="L45" s="60" t="n">
        <x:v>0.4884204599</x:v>
      </x:c>
      <x:c r="M45" s="60" t="n">
        <x:v>371.0393426476</x:v>
      </x:c>
      <x:c r="N45" s="46" t="str">
        <x:v>rajidae</x:v>
      </x:c>
      <x:c r="O45" s="62" t="n">
        <x:v>3.82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Rajidae</x:v>
      </x:c>
      <x:c r="T45" s="62" t="n">
        <x:f>IF(O45="","",(1/'Metadata'!$B$5)^(O45-1))</x:f>
        <x:v>4665.56868948727</x:v>
      </x:c>
      <x:c r="U45" s="60" t="n">
        <x:f>IF(T45="","",I45*T45)</x:f>
        <x:v>1733388.2988295956</x:v>
      </x:c>
    </x:row>
    <x:row r="46" ht="18" customHeight="1">
      <x:c r="A46" s="46" t="str">
        <x:v>LME_014</x:v>
      </x:c>
      <x:c r="B46" s="46" t="str">
        <x:v>Patagonian Shelf</x:v>
      </x:c>
      <x:c r="C46" s="46" t="str">
        <x:v>LME</x:v>
      </x:c>
      <x:c r="D46" s="58" t="n">
        <x:v>2019</x:v>
      </x:c>
      <x:c r="E46" s="46" t="str">
        <x:v>Macrourus</x:v>
      </x:c>
      <x:c r="F46" s="46" t="str">
        <x:v>Rattails</x:v>
      </x:c>
      <x:c r="G46" s="46" t="str">
        <x:v>Medium benthopelagics (30 - 89 cm)</x:v>
      </x:c>
      <x:c r="H46" s="46" t="str">
        <x:v>Cod-likes</x:v>
      </x:c>
      <x:c r="I46" s="60" t="n">
        <x:v>331.98878994010005</x:v>
      </x:c>
      <x:c r="J46" s="60" t="n">
        <x:v>331.98878994010005</x:v>
      </x:c>
      <x:c r="K46" s="60" t="n">
        <x:v>0</x:v>
      </x:c>
      <x:c r="L46" s="60" t="n">
        <x:v>331.98878994010005</x:v>
      </x:c>
      <x:c r="M46" s="60" t="n">
        <x:v>0</x:v>
      </x:c>
      <x:c r="N46" s="46" t="str">
        <x:v>macrourus</x:v>
      </x:c>
      <x:c r="O46" s="62" t="n">
        <x:v>3.58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Macrourus</x:v>
      </x:c>
      <x:c r="T46" s="62" t="n">
        <x:f>IF(O46="","",(1/'Metadata'!$B$5)^(O46-1))</x:f>
        <x:v>2273.3033337150473</x:v>
      </x:c>
      <x:c r="U46" s="60" t="n">
        <x:f>IF(T46="","",I46*T46)</x:f>
        <x:v>754711.222926854</x:v>
      </x:c>
    </x:row>
    <x:row r="47" ht="18" customHeight="1">
      <x:c r="A47" s="46" t="str">
        <x:v>LME_014</x:v>
      </x:c>
      <x:c r="B47" s="46" t="str">
        <x:v>Patagonian Shelf</x:v>
      </x:c>
      <x:c r="C47" s="46" t="str">
        <x:v>LME</x:v>
      </x:c>
      <x:c r="D47" s="58" t="n">
        <x:v>2019</x:v>
      </x:c>
      <x:c r="E47" s="46" t="str">
        <x:v>Stromateidae</x:v>
      </x:c>
      <x:c r="F47" s="46" t="str">
        <x:v>Butterfishes</x:v>
      </x:c>
      <x:c r="G47" s="46" t="str">
        <x:v>Small benthopelagics (&lt;30 cm)</x:v>
      </x:c>
      <x:c r="H47" s="46" t="str">
        <x:v>Perch-likes</x:v>
      </x:c>
      <x:c r="I47" s="60" t="n">
        <x:v>328.5254113679</x:v>
      </x:c>
      <x:c r="J47" s="60" t="n">
        <x:v>328.5254113679</x:v>
      </x:c>
      <x:c r="K47" s="60" t="n">
        <x:v>0</x:v>
      </x:c>
      <x:c r="L47" s="60" t="n">
        <x:v>328.5254113679</x:v>
      </x:c>
      <x:c r="M47" s="60" t="n">
        <x:v>0</x:v>
      </x:c>
      <x:c r="N47" s="46" t="str">
        <x:v>stromateidae</x:v>
      </x:c>
      <x:c r="O47" s="62" t="n">
        <x:v>3.62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Stromateidae</x:v>
      </x:c>
      <x:c r="T47" s="62" t="n">
        <x:f>IF(O47="","",(1/'Metadata'!$B$5)^(O47-1))</x:f>
        <x:v>2562.7048371775754</x:v>
      </x:c>
      <x:c r="U47" s="60" t="n">
        <x:f>IF(T47="","",I47*T47)</x:f>
        <x:v>841913.6608482702</x:v>
      </x:c>
    </x:row>
    <x:row r="48" ht="18" customHeight="1">
      <x:c r="A48" s="46" t="str">
        <x:v>LME_014</x:v>
      </x:c>
      <x:c r="B48" s="46" t="str">
        <x:v>Patagonian Shelf</x:v>
      </x:c>
      <x:c r="C48" s="46" t="str">
        <x:v>LME</x:v>
      </x:c>
      <x:c r="D48" s="58" t="n">
        <x:v>2019</x:v>
      </x:c>
      <x:c r="E48" s="46" t="str">
        <x:v>Peprilus paru</x:v>
      </x:c>
      <x:c r="F48" s="46" t="str">
        <x:v>American harvestfish</x:v>
      </x:c>
      <x:c r="G48" s="46" t="str">
        <x:v>Small benthopelagics (&lt;30 cm)</x:v>
      </x:c>
      <x:c r="H48" s="46" t="str">
        <x:v>Perch-likes</x:v>
      </x:c>
      <x:c r="I48" s="60" t="n">
        <x:v>284.019894744</x:v>
      </x:c>
      <x:c r="J48" s="60" t="n">
        <x:v>284.019894744</x:v>
      </x:c>
      <x:c r="K48" s="60" t="n">
        <x:v>0</x:v>
      </x:c>
      <x:c r="L48" s="60" t="n">
        <x:v>284.0195179213</x:v>
      </x:c>
      <x:c r="M48" s="60" t="n">
        <x:v>0.00037682270000000004</x:v>
      </x:c>
      <x:c r="N48" s="46" t="str">
        <x:v>peprilus paru</x:v>
      </x:c>
      <x:c r="O48" s="62" t="n">
        <x:v>4.5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Peprilus paru</x:v>
      </x:c>
      <x:c r="T48" s="62" t="n">
        <x:f>IF(O48="","",(1/'Metadata'!$B$5)^(O48-1))</x:f>
        <x:v>35777.08763999664</x:v>
      </x:c>
      <x:c r="U48" s="60" t="n">
        <x:f>IF(T48="","",I48*T48)</x:f>
        <x:v>10161404.665758708</x:v>
      </x:c>
    </x:row>
    <x:row r="49" ht="18" customHeight="1">
      <x:c r="A49" s="46" t="str">
        <x:v>LME_014</x:v>
      </x:c>
      <x:c r="B49" s="46" t="str">
        <x:v>Patagonian Shelf</x:v>
      </x:c>
      <x:c r="C49" s="46" t="str">
        <x:v>LME</x:v>
      </x:c>
      <x:c r="D49" s="58" t="n">
        <x:v>2019</x:v>
      </x:c>
      <x:c r="E49" s="46" t="str">
        <x:v>Mugilidae</x:v>
      </x:c>
      <x:c r="F49" s="46" t="str">
        <x:v>Mullets, grey mullets</x:v>
      </x:c>
      <x:c r="G49" s="46" t="str">
        <x:v>Medium reef assoc. fish (30 - 89 cm)</x:v>
      </x:c>
      <x:c r="H49" s="46" t="str">
        <x:v>Perch-likes</x:v>
      </x:c>
      <x:c r="I49" s="60" t="n">
        <x:v>270.6705115328</x:v>
      </x:c>
      <x:c r="J49" s="60" t="n">
        <x:v>270.6705115328</x:v>
      </x:c>
      <x:c r="K49" s="60" t="n">
        <x:v>0</x:v>
      </x:c>
      <x:c r="L49" s="60" t="n">
        <x:v>270.6636356454</x:v>
      </x:c>
      <x:c r="M49" s="60" t="n">
        <x:v>0.0068758874</x:v>
      </x:c>
      <x:c r="N49" s="46" t="str">
        <x:v>mugilidae</x:v>
      </x:c>
      <x:c r="O49" s="62" t="n">
        <x:v>2.53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Mugilidae</x:v>
      </x:c>
      <x:c r="T49" s="62" t="n">
        <x:f>IF(O49="","",(1/'Metadata'!$B$5)^(O49-1))</x:f>
        <x:v>97.8533939563155</x:v>
      </x:c>
      <x:c r="U49" s="60" t="n">
        <x:f>IF(T49="","",I49*T49)</x:f>
        <x:v>26486.028197376516</x:v>
      </x:c>
    </x:row>
    <x:row r="50" ht="18" customHeight="1">
      <x:c r="A50" s="46" t="str">
        <x:v>LME_014</x:v>
      </x:c>
      <x:c r="B50" s="46" t="str">
        <x:v>Patagonian Shelf</x:v>
      </x:c>
      <x:c r="C50" s="46" t="str">
        <x:v>LME</x:v>
      </x:c>
      <x:c r="D50" s="58" t="n">
        <x:v>2019</x:v>
      </x:c>
      <x:c r="E50" s="46" t="str">
        <x:v>Katsuwonus pelamis</x:v>
      </x:c>
      <x:c r="F50" s="46" t="str">
        <x:v>Skipjack tuna</x:v>
      </x:c>
      <x:c r="G50" s="46" t="str">
        <x:v>Large pelagics (&gt;=90 cm)</x:v>
      </x:c>
      <x:c r="H50" s="46" t="str">
        <x:v>Tuna &amp; billfishes</x:v>
      </x:c>
      <x:c r="I50" s="60" t="n">
        <x:v>266.0816761661</x:v>
      </x:c>
      <x:c r="J50" s="60" t="n">
        <x:v>266.0816761661</x:v>
      </x:c>
      <x:c r="K50" s="60" t="n">
        <x:v>0</x:v>
      </x:c>
      <x:c r="L50" s="60" t="n">
        <x:v>266.0722091185</x:v>
      </x:c>
      <x:c r="M50" s="60" t="n">
        <x:v>0.0094670476</x:v>
      </x:c>
      <x:c r="N50" s="46" t="str">
        <x:v>katsuwonus pelamis</x:v>
      </x:c>
      <x:c r="O50" s="62" t="n">
        <x:v>4.43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Katsuwonus pelamis</x:v>
      </x:c>
      <x:c r="T50" s="62" t="n">
        <x:f>IF(O50="","",(1/'Metadata'!$B$5)^(O50-1))</x:f>
        <x:v>29009.008489223597</x:v>
      </x:c>
      <x:c r="U50" s="60" t="n">
        <x:f>IF(T50="","",I50*T50)</x:f>
        <x:v>7718765.6027292395</x:v>
      </x:c>
    </x:row>
    <x:row r="51" ht="18" customHeight="1">
      <x:c r="A51" s="46" t="str">
        <x:v>LME_014</x:v>
      </x:c>
      <x:c r="B51" s="46" t="str">
        <x:v>Patagonian Shelf</x:v>
      </x:c>
      <x:c r="C51" s="46" t="str">
        <x:v>LME</x:v>
      </x:c>
      <x:c r="D51" s="58" t="n">
        <x:v>2019</x:v>
      </x:c>
      <x:c r="E51" s="46" t="str">
        <x:v>Zearaja chilensis</x:v>
      </x:c>
      <x:c r="F51" s="46" t="str">
        <x:v>Yellownose skate</x:v>
      </x:c>
      <x:c r="G51" s="46" t="str">
        <x:v>Small to medium rays (&lt;90 cm)</x:v>
      </x:c>
      <x:c r="H51" s="46" t="str">
        <x:v>Sharks &amp; rays</x:v>
      </x:c>
      <x:c r="I51" s="60" t="n">
        <x:v>252.055691294</x:v>
      </x:c>
      <x:c r="J51" s="60" t="n">
        <x:v>252.055691294</x:v>
      </x:c>
      <x:c r="K51" s="60" t="n">
        <x:v>0</x:v>
      </x:c>
      <x:c r="L51" s="60" t="n">
        <x:v>252.055691294</x:v>
      </x:c>
      <x:c r="M51" s="60" t="n">
        <x:v>0</x:v>
      </x:c>
      <x:c r="N51" s="46" t="str">
        <x:v>zearaja chilensis</x:v>
      </x:c>
      <x:c r="O51" s="62" t="n">
        <x:v>4.46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Zearaja chilensis</x:v>
      </x:c>
      <x:c r="T51" s="62" t="n">
        <x:f>IF(O51="","",(1/'Metadata'!$B$5)^(O51-1))</x:f>
        <x:v>31736.84749906455</x:v>
      </x:c>
      <x:c r="U51" s="60" t="n">
        <x:f>IF(T51="","",I51*T51)</x:f>
        <x:v>7999453.035868971</x:v>
      </x:c>
    </x:row>
    <x:row r="52" ht="18" customHeight="1">
      <x:c r="A52" s="46" t="str">
        <x:v>LME_014</x:v>
      </x:c>
      <x:c r="B52" s="46" t="str">
        <x:v>Patagonian Shelf</x:v>
      </x:c>
      <x:c r="C52" s="46" t="str">
        <x:v>LME</x:v>
      </x:c>
      <x:c r="D52" s="58" t="n">
        <x:v>2019</x:v>
      </x:c>
      <x:c r="E52" s="46" t="str">
        <x:v>Trichiurus lepturus</x:v>
      </x:c>
      <x:c r="F52" s="46" t="str">
        <x:v>Largehead hairtail</x:v>
      </x:c>
      <x:c r="G52" s="46" t="str">
        <x:v>Large benthopelagics (&gt;=90 cm)</x:v>
      </x:c>
      <x:c r="H52" s="46" t="str">
        <x:v>Perch-likes</x:v>
      </x:c>
      <x:c r="I52" s="60" t="n">
        <x:v>219.8673218133</x:v>
      </x:c>
      <x:c r="J52" s="60" t="n">
        <x:v>197.9296401802</x:v>
      </x:c>
      <x:c r="K52" s="60" t="n">
        <x:v>21.937681633100002</x:v>
      </x:c>
      <x:c r="L52" s="60" t="n">
        <x:v>197.9272182747</x:v>
      </x:c>
      <x:c r="M52" s="60" t="n">
        <x:v>21.9401035386</x:v>
      </x:c>
      <x:c r="N52" s="46" t="str">
        <x:v>trichiurus lepturus</x:v>
      </x:c>
      <x:c r="O52" s="62" t="n">
        <x:v>4.42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Trichiurus lepturus</x:v>
      </x:c>
      <x:c r="T52" s="62" t="n">
        <x:f>IF(O52="","",(1/'Metadata'!$B$5)^(O52-1))</x:f>
        <x:v>28152.864182630117</x:v>
      </x:c>
      <x:c r="U52" s="60" t="n">
        <x:f>IF(T52="","",I52*T52)</x:f>
        <x:v>6189894.849208463</x:v>
      </x:c>
    </x:row>
    <x:row r="53" ht="18" customHeight="1">
      <x:c r="A53" s="46" t="str">
        <x:v>LME_014</x:v>
      </x:c>
      <x:c r="B53" s="46" t="str">
        <x:v>Patagonian Shelf</x:v>
      </x:c>
      <x:c r="C53" s="46" t="str">
        <x:v>LME</x:v>
      </x:c>
      <x:c r="D53" s="58" t="n">
        <x:v>2019</x:v>
      </x:c>
      <x:c r="E53" s="46" t="str">
        <x:v>Macrouridae</x:v>
      </x:c>
      <x:c r="F53" s="46" t="str">
        <x:v>Grenadiers, rattails</x:v>
      </x:c>
      <x:c r="G53" s="46" t="str">
        <x:v>Medium benthopelagics (30 - 89 cm)</x:v>
      </x:c>
      <x:c r="H53" s="46" t="str">
        <x:v>Cod-likes</x:v>
      </x:c>
      <x:c r="I53" s="60" t="n">
        <x:v>154.0796885014</x:v>
      </x:c>
      <x:c r="J53" s="60" t="n">
        <x:v>6.005e-7</x:v>
      </x:c>
      <x:c r="K53" s="60" t="n">
        <x:v>154.0796879009</x:v>
      </x:c>
      <x:c r="L53" s="60" t="n">
        <x:v>6.005e-7</x:v>
      </x:c>
      <x:c r="M53" s="60" t="n">
        <x:v>154.0796879009</x:v>
      </x:c>
      <x:c r="N53" s="46" t="str">
        <x:v>macrouridae</x:v>
      </x:c>
      <x:c r="O53" s="62" t="n">
        <x:v>3.88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Macrouridae</x:v>
      </x:c>
      <x:c r="T53" s="62" t="n">
        <x:f>IF(O53="","",(1/'Metadata'!$B$5)^(O53-1))</x:f>
        <x:v>5584.269732662554</x:v>
      </x:c>
      <x:c r="U53" s="60" t="n">
        <x:f>IF(T53="","",I53*T53)</x:f>
        <x:v>860422.5409164425</x:v>
      </x:c>
    </x:row>
    <x:row r="54" ht="18" customHeight="1">
      <x:c r="A54" s="46" t="str">
        <x:v>LME_014</x:v>
      </x:c>
      <x:c r="B54" s="46" t="str">
        <x:v>Patagonian Shelf</x:v>
      </x:c>
      <x:c r="C54" s="46" t="str">
        <x:v>LME</x:v>
      </x:c>
      <x:c r="D54" s="58" t="n">
        <x:v>2019</x:v>
      </x:c>
      <x:c r="E54" s="46" t="str">
        <x:v>Artemesia longinaris</x:v>
      </x:c>
      <x:c r="F54" s="46" t="str">
        <x:v>Argentine stiletto shrimp</x:v>
      </x:c>
      <x:c r="G54" s="46" t="str">
        <x:v>Shrimps</x:v>
      </x:c>
      <x:c r="H54" s="46" t="str">
        <x:v>Crustaceans</x:v>
      </x:c>
      <x:c r="I54" s="60" t="n">
        <x:v>126.3244080801</x:v>
      </x:c>
      <x:c r="J54" s="60" t="n">
        <x:v>86.2897223647</x:v>
      </x:c>
      <x:c r="K54" s="60" t="n">
        <x:v>40.0346857154</x:v>
      </x:c>
      <x:c r="L54" s="60" t="n">
        <x:v>86.25024247639999</x:v>
      </x:c>
      <x:c r="M54" s="60" t="n">
        <x:v>40.0741656037</x:v>
      </x:c>
      <x:c r="N54" s="46" t="str">
        <x:v>artemesia longinaris</x:v>
      </x:c>
      <x:c r="O54" s="62" t="n">
        <x:v>2.7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Artemesia longinaris</x:v>
      </x:c>
      <x:c r="T54" s="62" t="n">
        <x:f>IF(O54="","",(1/'Metadata'!$B$5)^(O54-1))</x:f>
        <x:v>162.83621261476185</x:v>
      </x:c>
      <x:c r="U54" s="60" t="n">
        <x:f>IF(T54="","",I54*T54)</x:f>
        <x:v>20570.188172565104</x:v>
      </x:c>
    </x:row>
    <x:row r="55" ht="18" customHeight="1">
      <x:c r="A55" s="46" t="str">
        <x:v>LME_014</x:v>
      </x:c>
      <x:c r="B55" s="46" t="str">
        <x:v>Patagonian Shelf</x:v>
      </x:c>
      <x:c r="C55" s="46" t="str">
        <x:v>LME</x:v>
      </x:c>
      <x:c r="D55" s="58" t="n">
        <x:v>2019</x:v>
      </x:c>
      <x:c r="E55" s="46" t="str">
        <x:v>Lepidocybium flavobrunneum</x:v>
      </x:c>
      <x:c r="F55" s="46" t="str">
        <x:v>Escolar</x:v>
      </x:c>
      <x:c r="G55" s="46" t="str">
        <x:v>Large bathypelagics (&gt;=90 cm)</x:v>
      </x:c>
      <x:c r="H55" s="46" t="str">
        <x:v>Perch-likes</x:v>
      </x:c>
      <x:c r="I55" s="60" t="n">
        <x:v>111.7017548512</x:v>
      </x:c>
      <x:c r="J55" s="60" t="n">
        <x:v>111.7017548512</x:v>
      </x:c>
      <x:c r="K55" s="60" t="n">
        <x:v>0</x:v>
      </x:c>
      <x:c r="L55" s="60" t="n">
        <x:v>111.7017548512</x:v>
      </x:c>
      <x:c r="M55" s="60" t="n">
        <x:v>0</x:v>
      </x:c>
      <x:c r="N55" s="46" t="str">
        <x:v>lepidocybium flavobrunneum</x:v>
      </x:c>
      <x:c r="O55" s="62" t="n">
        <x:v>4.34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Lepidocybium flavobrunneum</x:v>
      </x:c>
      <x:c r="T55" s="62" t="n">
        <x:f>IF(O55="","",(1/'Metadata'!$B$5)^(O55-1))</x:f>
        <x:v>22153.389612394185</x:v>
      </x:c>
      <x:c r="U55" s="60" t="n">
        <x:f>IF(T55="","",I55*T55)</x:f>
        <x:v>2474572.495606776</x:v>
      </x:c>
    </x:row>
    <x:row r="56" ht="18" customHeight="1">
      <x:c r="A56" s="46" t="str">
        <x:v>LME_014</x:v>
      </x:c>
      <x:c r="B56" s="46" t="str">
        <x:v>Patagonian Shelf</x:v>
      </x:c>
      <x:c r="C56" s="46" t="str">
        <x:v>LME</x:v>
      </x:c>
      <x:c r="D56" s="58" t="n">
        <x:v>2019</x:v>
      </x:c>
      <x:c r="E56" s="46" t="str">
        <x:v>Galeorhinus galeus</x:v>
      </x:c>
      <x:c r="F56" s="46" t="str">
        <x:v>Tope shark</x:v>
      </x:c>
      <x:c r="G56" s="46" t="str">
        <x:v>Large sharks (&gt;=90 cm)</x:v>
      </x:c>
      <x:c r="H56" s="46" t="str">
        <x:v>Sharks &amp; rays</x:v>
      </x:c>
      <x:c r="I56" s="60" t="n">
        <x:v>110.1311751278</x:v>
      </x:c>
      <x:c r="J56" s="60" t="n">
        <x:v>57.780864290699995</x:v>
      </x:c>
      <x:c r="K56" s="60" t="n">
        <x:v>52.3503108371</x:v>
      </x:c>
      <x:c r="L56" s="60" t="n">
        <x:v>14.6589413672</x:v>
      </x:c>
      <x:c r="M56" s="60" t="n">
        <x:v>95.47223376059999</x:v>
      </x:c>
      <x:c r="N56" s="46" t="str">
        <x:v>galeorhinus galeus</x:v>
      </x:c>
      <x:c r="O56" s="62" t="n">
        <x:v>4.34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Galeorhinus galeus</x:v>
      </x:c>
      <x:c r="T56" s="62" t="n">
        <x:f>IF(O56="","",(1/'Metadata'!$B$5)^(O56-1))</x:f>
        <x:v>22153.389612394185</x:v>
      </x:c>
      <x:c r="U56" s="60" t="n">
        <x:f>IF(T56="","",I56*T56)</x:f>
        <x:v>2439778.8310769694</x:v>
      </x:c>
    </x:row>
    <x:row r="57" ht="18" customHeight="1">
      <x:c r="A57" s="46" t="str">
        <x:v>LME_014</x:v>
      </x:c>
      <x:c r="B57" s="46" t="str">
        <x:v>Patagonian Shelf</x:v>
      </x:c>
      <x:c r="C57" s="46" t="str">
        <x:v>LME</x:v>
      </x:c>
      <x:c r="D57" s="58" t="n">
        <x:v>2019</x:v>
      </x:c>
      <x:c r="E57" s="46" t="str">
        <x:v>Gempylidae</x:v>
      </x:c>
      <x:c r="F57" s="46" t="str">
        <x:v>Snake mackerels</x:v>
      </x:c>
      <x:c r="G57" s="46" t="str">
        <x:v>Large benthopelagics (&gt;=90 cm)</x:v>
      </x:c>
      <x:c r="H57" s="46" t="str">
        <x:v>Perch-likes</x:v>
      </x:c>
      <x:c r="I57" s="60" t="n">
        <x:v>101.88082363919999</x:v>
      </x:c>
      <x:c r="J57" s="60" t="n">
        <x:v>101.88082363919999</x:v>
      </x:c>
      <x:c r="K57" s="60" t="n">
        <x:v>0</x:v>
      </x:c>
      <x:c r="L57" s="60" t="n">
        <x:v>101.8775556641</x:v>
      </x:c>
      <x:c r="M57" s="60" t="n">
        <x:v>0.0032679751</x:v>
      </x:c>
      <x:c r="N57" s="46" t="str">
        <x:v>gempylidae</x:v>
      </x:c>
      <x:c r="O57" s="62" t="n">
        <x:v>4.21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Gempylidae</x:v>
      </x:c>
      <x:c r="T57" s="62" t="n">
        <x:f>IF(O57="","",(1/'Metadata'!$B$5)^(O57-1))</x:f>
        <x:v>15007.428609226863</x:v>
      </x:c>
      <x:c r="U57" s="60" t="n">
        <x:f>IF(T57="","",I57*T57)</x:f>
        <x:v>1528969.1874145265</x:v>
      </x:c>
    </x:row>
    <x:row r="58" ht="18" customHeight="1">
      <x:c r="A58" s="46" t="str">
        <x:v>LME_014</x:v>
      </x:c>
      <x:c r="B58" s="46" t="str">
        <x:v>Patagonian Shelf</x:v>
      </x:c>
      <x:c r="C58" s="46" t="str">
        <x:v>LME</x:v>
      </x:c>
      <x:c r="D58" s="58" t="n">
        <x:v>2019</x:v>
      </x:c>
      <x:c r="E58" s="46" t="str">
        <x:v>Teuthida</x:v>
      </x:c>
      <x:c r="F58" s="46" t="str">
        <x:v>Squids</x:v>
      </x:c>
      <x:c r="G58" s="46" t="str">
        <x:v>Cephalopods</x:v>
      </x:c>
      <x:c r="H58" s="46" t="str">
        <x:v>Other fishes &amp; inverts</x:v>
      </x:c>
      <x:c r="I58" s="60" t="n">
        <x:v>101.58923288189999</x:v>
      </x:c>
      <x:c r="J58" s="60" t="n">
        <x:v>101.58923288189999</x:v>
      </x:c>
      <x:c r="K58" s="60" t="n">
        <x:v>0</x:v>
      </x:c>
      <x:c r="L58" s="60" t="n">
        <x:v>101.58923288189999</x:v>
      </x:c>
      <x:c r="M58" s="60" t="n">
        <x:v>0</x:v>
      </x:c>
      <x:c r="N58" s="46" t="str">
        <x:v>teuthida</x:v>
      </x:c>
      <x:c r="O58" s="62" t="n">
        <x:v>4.13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Teuthida</x:v>
      </x:c>
      <x:c r="T58" s="62" t="n">
        <x:f>IF(O58="","",(1/'Metadata'!$B$5)^(O58-1))</x:f>
        <x:v>11809.292685236613</x:v>
      </x:c>
      <x:c r="U58" s="60" t="n">
        <x:f>IF(T58="","",I58*T58)</x:f>
        <x:v>1199696.9847710202</x:v>
      </x:c>
    </x:row>
    <x:row r="59" ht="18" customHeight="1">
      <x:c r="A59" s="46" t="str">
        <x:v>LME_014</x:v>
      </x:c>
      <x:c r="B59" s="46" t="str">
        <x:v>Patagonian Shelf</x:v>
      </x:c>
      <x:c r="C59" s="46" t="str">
        <x:v>LME</x:v>
      </x:c>
      <x:c r="D59" s="58" t="n">
        <x:v>2019</x:v>
      </x:c>
      <x:c r="E59" s="46" t="str">
        <x:v>Mugil</x:v>
      </x:c>
      <x:c r="F59" s="46" t="str">
        <x:v>Grey mullets</x:v>
      </x:c>
      <x:c r="G59" s="46" t="str">
        <x:v>Medium demersals (30 - 89 cm)</x:v>
      </x:c>
      <x:c r="H59" s="46" t="str">
        <x:v>Perch-likes</x:v>
      </x:c>
      <x:c r="I59" s="60" t="n">
        <x:v>95.68212208470001</x:v>
      </x:c>
      <x:c r="J59" s="60" t="n">
        <x:v>95.4763045193</x:v>
      </x:c>
      <x:c r="K59" s="60" t="n">
        <x:v>0.2058175654</x:v>
      </x:c>
      <x:c r="L59" s="60" t="n">
        <x:v>7.9736795550999995</x:v>
      </x:c>
      <x:c r="M59" s="60" t="n">
        <x:v>87.7084425296</x:v>
      </x:c>
      <x:c r="N59" s="46" t="str">
        <x:v>mugil</x:v>
      </x:c>
      <x:c r="O59" s="62" t="n">
        <x:v>2.26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Mugil</x:v>
      </x:c>
      <x:c r="T59" s="62" t="n">
        <x:f>IF(O59="","",(1/'Metadata'!$B$5)^(O59-1))</x:f>
        <x:v>43.581060539244675</x:v>
      </x:c>
      <x:c r="U59" s="60" t="n">
        <x:f>IF(T59="","",I59*T59)</x:f>
        <x:v>4169.928355096711</x:v>
      </x:c>
    </x:row>
    <x:row r="60" ht="18" customHeight="1">
      <x:c r="A60" s="46" t="str">
        <x:v>LME_014</x:v>
      </x:c>
      <x:c r="B60" s="46" t="str">
        <x:v>Patagonian Shelf</x:v>
      </x:c>
      <x:c r="C60" s="46" t="str">
        <x:v>LME</x:v>
      </x:c>
      <x:c r="D60" s="58" t="n">
        <x:v>2019</x:v>
      </x:c>
      <x:c r="E60" s="46" t="str">
        <x:v>Thunnus alalunga</x:v>
      </x:c>
      <x:c r="F60" s="46" t="str">
        <x:v>Albacore</x:v>
      </x:c>
      <x:c r="G60" s="46" t="str">
        <x:v>Large pelagics (&gt;=90 cm)</x:v>
      </x:c>
      <x:c r="H60" s="46" t="str">
        <x:v>Tuna &amp; billfishes</x:v>
      </x:c>
      <x:c r="I60" s="60" t="n">
        <x:v>87.1382594055</x:v>
      </x:c>
      <x:c r="J60" s="60" t="n">
        <x:v>87.1382594055</x:v>
      </x:c>
      <x:c r="K60" s="60" t="n">
        <x:v>0</x:v>
      </x:c>
      <x:c r="L60" s="60" t="n">
        <x:v>87.1382205012</x:v>
      </x:c>
      <x:c r="M60" s="60" t="n">
        <x:v>0.0000389043</x:v>
      </x:c>
      <x:c r="N60" s="46" t="str">
        <x:v>thunnus alalunga</x:v>
      </x:c>
      <x:c r="O60" s="62" t="n">
        <x:v>4.3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Thunnus alalunga</x:v>
      </x:c>
      <x:c r="T60" s="62" t="n">
        <x:f>IF(O60="","",(1/'Metadata'!$B$5)^(O60-1))</x:f>
        <x:v>19651.648417852637</x:v>
      </x:c>
      <x:c r="U60" s="60" t="n">
        <x:f>IF(T60="","",I60*T60)</x:f>
        <x:v>1712410.4375805266</x:v>
      </x:c>
    </x:row>
    <x:row r="61" ht="18" customHeight="1">
      <x:c r="A61" s="46" t="str">
        <x:v>LME_014</x:v>
      </x:c>
      <x:c r="B61" s="46" t="str">
        <x:v>Patagonian Shelf</x:v>
      </x:c>
      <x:c r="C61" s="46" t="str">
        <x:v>LME</x:v>
      </x:c>
      <x:c r="D61" s="58" t="n">
        <x:v>2019</x:v>
      </x:c>
      <x:c r="E61" s="46" t="str">
        <x:v>Mytilus platensis</x:v>
      </x:c>
      <x:c r="F61" s="46" t="str">
        <x:v>River Plata mussel</x:v>
      </x:c>
      <x:c r="G61" s="46" t="str">
        <x:v>Other demersal invertebrates</x:v>
      </x:c>
      <x:c r="H61" s="46" t="str">
        <x:v>Molluscs</x:v>
      </x:c>
      <x:c r="I61" s="60" t="n">
        <x:v>76.6311416067</x:v>
      </x:c>
      <x:c r="J61" s="60" t="n">
        <x:v>76.6311416067</x:v>
      </x:c>
      <x:c r="K61" s="60" t="n">
        <x:v>0</x:v>
      </x:c>
      <x:c r="L61" s="60" t="n">
        <x:v>76.6311416067</x:v>
      </x:c>
      <x:c r="M61" s="60" t="n">
        <x:v>0</x:v>
      </x:c>
      <x:c r="N61" s="46" t="str">
        <x:v>mytilus platensis</x:v>
      </x:c>
      <x:c r="O61" s="62" t="n">
        <x:v>2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Mytilus platensis</x:v>
      </x:c>
      <x:c r="T61" s="62" t="n">
        <x:f>IF(O61="","",(1/'Metadata'!$B$5)^(O61-1))</x:f>
        <x:v>20</x:v>
      </x:c>
      <x:c r="U61" s="60" t="n">
        <x:f>IF(T61="","",I61*T61)</x:f>
        <x:v>1532.622832134</x:v>
      </x:c>
    </x:row>
    <x:row r="62" ht="18" customHeight="1">
      <x:c r="A62" s="46" t="str">
        <x:v>LME_014</x:v>
      </x:c>
      <x:c r="B62" s="46" t="str">
        <x:v>Patagonian Shelf</x:v>
      </x:c>
      <x:c r="C62" s="46" t="str">
        <x:v>LME</x:v>
      </x:c>
      <x:c r="D62" s="58" t="n">
        <x:v>2019</x:v>
      </x:c>
      <x:c r="E62" s="46" t="str">
        <x:v>Sympterygia bonapartii</x:v>
      </x:c>
      <x:c r="F62" s="46" t="str">
        <x:v>Smallnose fanskate</x:v>
      </x:c>
      <x:c r="G62" s="46" t="str">
        <x:v>Small to medium rays (&lt;90 cm)</x:v>
      </x:c>
      <x:c r="H62" s="46" t="str">
        <x:v>Sharks &amp; rays</x:v>
      </x:c>
      <x:c r="I62" s="60" t="n">
        <x:v>69.4932507507</x:v>
      </x:c>
      <x:c r="J62" s="60" t="n">
        <x:v>69.4932507507</x:v>
      </x:c>
      <x:c r="K62" s="60" t="n">
        <x:v>0</x:v>
      </x:c>
      <x:c r="L62" s="60" t="n">
        <x:v>69.4932507507</x:v>
      </x:c>
      <x:c r="M62" s="60" t="n">
        <x:v>0</x:v>
      </x:c>
      <x:c r="N62" s="46" t="str">
        <x:v>sympterygia bonapartii</x:v>
      </x:c>
      <x:c r="O62" s="62" t="n">
        <x:v>3.9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Sympterygia bonapartii</x:v>
      </x:c>
      <x:c r="T62" s="62" t="n">
        <x:f>IF(O62="","",(1/'Metadata'!$B$5)^(O62-1))</x:f>
        <x:v>5929.07559285558</x:v>
      </x:c>
      <x:c r="U62" s="60" t="n">
        <x:f>IF(T62="","",I62*T62)</x:f>
        <x:v>412030.7368941681</x:v>
      </x:c>
    </x:row>
    <x:row r="63" ht="18" customHeight="1">
      <x:c r="A63" s="46" t="str">
        <x:v>LME_014</x:v>
      </x:c>
      <x:c r="B63" s="46" t="str">
        <x:v>Patagonian Shelf</x:v>
      </x:c>
      <x:c r="C63" s="46" t="str">
        <x:v>LME</x:v>
      </x:c>
      <x:c r="D63" s="58" t="n">
        <x:v>2019</x:v>
      </x:c>
      <x:c r="E63" s="46" t="str">
        <x:v>Gadidae</x:v>
      </x:c>
      <x:c r="F63" s="46" t="str">
        <x:v>Cods, haddocks</x:v>
      </x:c>
      <x:c r="G63" s="46" t="str">
        <x:v>Medium demersals (30 - 89 cm)</x:v>
      </x:c>
      <x:c r="H63" s="46" t="str">
        <x:v>Cod-likes</x:v>
      </x:c>
      <x:c r="I63" s="60" t="n">
        <x:v>65.1986337699</x:v>
      </x:c>
      <x:c r="J63" s="60" t="n">
        <x:v>65.1986337699</x:v>
      </x:c>
      <x:c r="K63" s="60" t="n">
        <x:v>0</x:v>
      </x:c>
      <x:c r="L63" s="60" t="n">
        <x:v>65.1986337699</x:v>
      </x:c>
      <x:c r="M63" s="60" t="n">
        <x:v>0</x:v>
      </x:c>
      <x:c r="N63" s="46" t="str">
        <x:v>gadidae</x:v>
      </x:c>
      <x:c r="O63" s="62" t="n">
        <x:v>3.84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Gadidae</x:v>
      </x:c>
      <x:c r="T63" s="62" t="n">
        <x:f>IF(O63="","",(1/'Metadata'!$B$5)^(O63-1))</x:f>
        <x:v>4953.648510535111</x:v>
      </x:c>
      <x:c r="U63" s="60" t="n">
        <x:f>IF(T63="","",I63*T63)</x:f>
        <x:v>322971.11506318935</x:v>
      </x:c>
    </x:row>
    <x:row r="64" ht="18" customHeight="1">
      <x:c r="A64" s="46" t="str">
        <x:v>LME_014</x:v>
      </x:c>
      <x:c r="B64" s="46" t="str">
        <x:v>Patagonian Shelf</x:v>
      </x:c>
      <x:c r="C64" s="46" t="str">
        <x:v>LME</x:v>
      </x:c>
      <x:c r="D64" s="58" t="n">
        <x:v>2019</x:v>
      </x:c>
      <x:c r="E64" s="46" t="str">
        <x:v>Diplodus argenteus</x:v>
      </x:c>
      <x:c r="F64" s="46" t="str">
        <x:v>South American silver porgy</x:v>
      </x:c>
      <x:c r="G64" s="46" t="str">
        <x:v>Medium demersals (30 - 89 cm)</x:v>
      </x:c>
      <x:c r="H64" s="46" t="str">
        <x:v>Perch-likes</x:v>
      </x:c>
      <x:c r="I64" s="60" t="n">
        <x:v>58.5871450821</x:v>
      </x:c>
      <x:c r="J64" s="60" t="n">
        <x:v>58.5871450821</x:v>
      </x:c>
      <x:c r="K64" s="60" t="n">
        <x:v>0</x:v>
      </x:c>
      <x:c r="L64" s="60" t="n">
        <x:v>58.5871413837</x:v>
      </x:c>
      <x:c r="M64" s="60" t="n">
        <x:v>0.0000036984</x:v>
      </x:c>
      <x:c r="N64" s="46" t="str">
        <x:v>diplodus argenteus</x:v>
      </x:c>
      <x:c r="O64" s="62" t="n">
        <x:v>3.13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Diplodus argenteus</x:v>
      </x:c>
      <x:c r="T64" s="62" t="n">
        <x:f>IF(O64="","",(1/'Metadata'!$B$5)^(O64-1))</x:f>
        <x:v>590.4646342618306</x:v>
      </x:c>
      <x:c r="U64" s="60" t="n">
        <x:f>IF(T64="","",I64*T64)</x:f>
        <x:v>34593.637193346985</x:v>
      </x:c>
    </x:row>
    <x:row r="65" ht="18" customHeight="1">
      <x:c r="A65" s="46" t="str">
        <x:v>LME_014</x:v>
      </x:c>
      <x:c r="B65" s="46" t="str">
        <x:v>Patagonian Shelf</x:v>
      </x:c>
      <x:c r="C65" s="46" t="str">
        <x:v>LME</x:v>
      </x:c>
      <x:c r="D65" s="58" t="n">
        <x:v>2019</x:v>
      </x:c>
      <x:c r="E65" s="46" t="str">
        <x:v>Conger orbignianus</x:v>
      </x:c>
      <x:c r="F65" s="46" t="str">
        <x:v>Argentine conger</x:v>
      </x:c>
      <x:c r="G65" s="46" t="str">
        <x:v>Large demersals (&gt;=90 cm)</x:v>
      </x:c>
      <x:c r="H65" s="46" t="str">
        <x:v>Other fishes &amp; inverts</x:v>
      </x:c>
      <x:c r="I65" s="60" t="n">
        <x:v>55.0641146359</x:v>
      </x:c>
      <x:c r="J65" s="60" t="n">
        <x:v>55.0641146359</x:v>
      </x:c>
      <x:c r="K65" s="60" t="n">
        <x:v>0</x:v>
      </x:c>
      <x:c r="L65" s="60" t="n">
        <x:v>34.8525867761</x:v>
      </x:c>
      <x:c r="M65" s="60" t="n">
        <x:v>20.2115278598</x:v>
      </x:c>
      <x:c r="N65" s="46" t="str">
        <x:v>conger orbignianus</x:v>
      </x:c>
      <x:c r="O65" s="62" t="n">
        <x:v>3.72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Conger orbignianus</x:v>
      </x:c>
      <x:c r="T65" s="62" t="n">
        <x:f>IF(O65="","",(1/'Metadata'!$B$5)^(O65-1))</x:f>
        <x:v>3457.8136804537753</x:v>
      </x:c>
      <x:c r="U65" s="60" t="n">
        <x:f>IF(T65="","",I65*T65)</x:f>
        <x:v>190401.44889008996</x:v>
      </x:c>
    </x:row>
    <x:row r="66" ht="18" customHeight="1">
      <x:c r="A66" s="46" t="str">
        <x:v>LME_014</x:v>
      </x:c>
      <x:c r="B66" s="46" t="str">
        <x:v>Patagonian Shelf</x:v>
      </x:c>
      <x:c r="C66" s="46" t="str">
        <x:v>LME</x:v>
      </x:c>
      <x:c r="D66" s="58" t="n">
        <x:v>2019</x:v>
      </x:c>
      <x:c r="E66" s="46" t="str">
        <x:v>Pseudobatos percellens</x:v>
      </x:c>
      <x:c r="F66" s="46" t="str">
        <x:v>Chola guitarfish</x:v>
      </x:c>
      <x:c r="G66" s="46" t="str">
        <x:v>Small to medium rays (&lt;90 cm)</x:v>
      </x:c>
      <x:c r="H66" s="46" t="str">
        <x:v>Sharks &amp; rays</x:v>
      </x:c>
      <x:c r="I66" s="60" t="n">
        <x:v>48.18860110159999</x:v>
      </x:c>
      <x:c r="J66" s="60" t="n">
        <x:v>48.18860110159999</x:v>
      </x:c>
      <x:c r="K66" s="60" t="n">
        <x:v>0</x:v>
      </x:c>
      <x:c r="L66" s="60" t="n">
        <x:v>48.18860010019999</x:v>
      </x:c>
      <x:c r="M66" s="60" t="n">
        <x:v>0.0000010014</x:v>
      </x:c>
      <x:c r="N66" s="46" t="str">
        <x:v>pseudobatos percellens</x:v>
      </x:c>
      <x:c r="O66" s="62" t="n">
        <x:v>3.58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Pseudobatos percellens</x:v>
      </x:c>
      <x:c r="T66" s="62" t="n">
        <x:f>IF(O66="","",(1/'Metadata'!$B$5)^(O66-1))</x:f>
        <x:v>2273.3033337150473</x:v>
      </x:c>
      <x:c r="U66" s="60" t="n">
        <x:f>IF(T66="","",I66*T66)</x:f>
        <x:v>109547.30753133187</x:v>
      </x:c>
    </x:row>
    <x:row r="67" ht="18" customHeight="1">
      <x:c r="A67" s="46" t="str">
        <x:v>LME_014</x:v>
      </x:c>
      <x:c r="B67" s="46" t="str">
        <x:v>Patagonian Shelf</x:v>
      </x:c>
      <x:c r="C67" s="46" t="str">
        <x:v>LME</x:v>
      </x:c>
      <x:c r="D67" s="58" t="n">
        <x:v>2019</x:v>
      </x:c>
      <x:c r="E67" s="46" t="str">
        <x:v>Scomber</x:v>
      </x:c>
      <x:c r="F67" s="46" t="str">
        <x:v>Chub mackerels</x:v>
      </x:c>
      <x:c r="G67" s="46" t="str">
        <x:v>Medium pelagics (30 - 89 cm)</x:v>
      </x:c>
      <x:c r="H67" s="46" t="str">
        <x:v>Perch-likes</x:v>
      </x:c>
      <x:c r="I67" s="60" t="n">
        <x:v>38.3704492914</x:v>
      </x:c>
      <x:c r="J67" s="60" t="n">
        <x:v>38.3704492914</x:v>
      </x:c>
      <x:c r="K67" s="60" t="n">
        <x:v>0</x:v>
      </x:c>
      <x:c r="L67" s="60" t="n">
        <x:v>38.3704492914</x:v>
      </x:c>
      <x:c r="M67" s="60" t="n">
        <x:v>0</x:v>
      </x:c>
      <x:c r="N67" s="46" t="str">
        <x:v>scomber</x:v>
      </x:c>
      <x:c r="O67" s="62" t="n">
        <x:v>3.65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Scomber</x:v>
      </x:c>
      <x:c r="T67" s="62" t="n">
        <x:f>IF(O67="","",(1/'Metadata'!$B$5)^(O67-1))</x:f>
        <x:v>2803.6867455443476</x:v>
      </x:c>
      <x:c r="U67" s="60" t="n">
        <x:f>IF(T67="","",I67*T67)</x:f>
        <x:v>107578.72009887968</x:v>
      </x:c>
    </x:row>
    <x:row r="68" ht="18" customHeight="1">
      <x:c r="A68" s="46" t="str">
        <x:v>LME_014</x:v>
      </x:c>
      <x:c r="B68" s="46" t="str">
        <x:v>Patagonian Shelf</x:v>
      </x:c>
      <x:c r="C68" s="46" t="str">
        <x:v>LME</x:v>
      </x:c>
      <x:c r="D68" s="58" t="n">
        <x:v>2019</x:v>
      </x:c>
      <x:c r="E68" s="46" t="str">
        <x:v>Polyprion americanus</x:v>
      </x:c>
      <x:c r="F68" s="46" t="str">
        <x:v>Wreckfish</x:v>
      </x:c>
      <x:c r="G68" s="46" t="str">
        <x:v>Large bathydemersals (&gt;=90 cm)</x:v>
      </x:c>
      <x:c r="H68" s="46" t="str">
        <x:v>Perch-likes</x:v>
      </x:c>
      <x:c r="I68" s="60" t="n">
        <x:v>31.7785424877</x:v>
      </x:c>
      <x:c r="J68" s="60" t="n">
        <x:v>21.8586332328</x:v>
      </x:c>
      <x:c r="K68" s="60" t="n">
        <x:v>9.9199092549</x:v>
      </x:c>
      <x:c r="L68" s="60" t="n">
        <x:v>21.8586332328</x:v>
      </x:c>
      <x:c r="M68" s="60" t="n">
        <x:v>9.9199092549</x:v>
      </x:c>
      <x:c r="N68" s="46" t="str">
        <x:v>polyprion americanus</x:v>
      </x:c>
      <x:c r="O68" s="62" t="n">
        <x:v>4.14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Polyprion americanus</x:v>
      </x:c>
      <x:c r="T68" s="62" t="n">
        <x:f>IF(O68="","",(1/'Metadata'!$B$5)^(O68-1))</x:f>
        <x:v>12168.419864331923</x:v>
      </x:c>
      <x:c r="U68" s="60" t="n">
        <x:f>IF(T68="","",I68*T68)</x:f>
        <x:v>386694.6476668447</x:v>
      </x:c>
    </x:row>
    <x:row r="69" ht="18" customHeight="1">
      <x:c r="A69" s="46" t="str">
        <x:v>LME_014</x:v>
      </x:c>
      <x:c r="B69" s="46" t="str">
        <x:v>Patagonian Shelf</x:v>
      </x:c>
      <x:c r="C69" s="46" t="str">
        <x:v>LME</x:v>
      </x:c>
      <x:c r="D69" s="58" t="n">
        <x:v>2019</x:v>
      </x:c>
      <x:c r="E69" s="46" t="str">
        <x:v>Sarda sarda</x:v>
      </x:c>
      <x:c r="F69" s="46" t="str">
        <x:v>Atlantic bonito</x:v>
      </x:c>
      <x:c r="G69" s="46" t="str">
        <x:v>Medium pelagics (30 - 89 cm)</x:v>
      </x:c>
      <x:c r="H69" s="46" t="str">
        <x:v>Tuna &amp; billfishes</x:v>
      </x:c>
      <x:c r="I69" s="60" t="n">
        <x:v>30.570624048</x:v>
      </x:c>
      <x:c r="J69" s="60" t="n">
        <x:v>30.570624048</x:v>
      </x:c>
      <x:c r="K69" s="60" t="n">
        <x:v>0</x:v>
      </x:c>
      <x:c r="L69" s="60" t="n">
        <x:v>30.5704355777</x:v>
      </x:c>
      <x:c r="M69" s="60" t="n">
        <x:v>0.0001884703</x:v>
      </x:c>
      <x:c r="N69" s="46" t="str">
        <x:v>sarda sarda</x:v>
      </x:c>
      <x:c r="O69" s="62" t="n">
        <x:v>4.5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Sarda sarda</x:v>
      </x:c>
      <x:c r="T69" s="62" t="n">
        <x:f>IF(O69="","",(1/'Metadata'!$B$5)^(O69-1))</x:f>
        <x:v>35777.08763999664</x:v>
      </x:c>
      <x:c r="U69" s="60" t="n">
        <x:f>IF(T69="","",I69*T69)</x:f>
        <x:v>1093727.8957746846</x:v>
      </x:c>
    </x:row>
    <x:row r="70" ht="18" customHeight="1">
      <x:c r="A70" s="46" t="str">
        <x:v>LME_014</x:v>
      </x:c>
      <x:c r="B70" s="46" t="str">
        <x:v>Patagonian Shelf</x:v>
      </x:c>
      <x:c r="C70" s="46" t="str">
        <x:v>LME</x:v>
      </x:c>
      <x:c r="D70" s="58" t="n">
        <x:v>2019</x:v>
      </x:c>
      <x:c r="E70" s="46" t="str">
        <x:v>Hyperoglyphe</x:v>
      </x:c>
      <x:c r="F70" s="46" t="str">
        <x:v>Warehous, barrelfishes</x:v>
      </x:c>
      <x:c r="G70" s="46" t="str">
        <x:v>Medium pelagics (30 - 89 cm)</x:v>
      </x:c>
      <x:c r="H70" s="46" t="str">
        <x:v>Perch-likes</x:v>
      </x:c>
      <x:c r="I70" s="60" t="n">
        <x:v>28.853453121</x:v>
      </x:c>
      <x:c r="J70" s="60" t="n">
        <x:v>28.853453121</x:v>
      </x:c>
      <x:c r="K70" s="60" t="n">
        <x:v>0</x:v>
      </x:c>
      <x:c r="L70" s="60" t="n">
        <x:v>28.853453121</x:v>
      </x:c>
      <x:c r="M70" s="60" t="n">
        <x:v>0</x:v>
      </x:c>
      <x:c r="N70" s="46" t="str">
        <x:v>hyperoglyphe</x:v>
      </x:c>
      <x:c r="O70" s="62" t="n">
        <x:v>3.71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Hyperoglyphe</x:v>
      </x:c>
      <x:c r="T70" s="62" t="n">
        <x:f>IF(O70="","",(1/'Metadata'!$B$5)^(O70-1))</x:f>
        <x:v>3355.7630537706395</x:v>
      </x:c>
      <x:c r="U70" s="60" t="n">
        <x:f>IF(T70="","",I70*T70)</x:f>
        <x:v>96825.35195715496</x:v>
      </x:c>
    </x:row>
    <x:row r="71" ht="18" customHeight="1">
      <x:c r="A71" s="46" t="str">
        <x:v>LME_014</x:v>
      </x:c>
      <x:c r="B71" s="46" t="str">
        <x:v>Patagonian Shelf</x:v>
      </x:c>
      <x:c r="C71" s="46" t="str">
        <x:v>LME</x:v>
      </x:c>
      <x:c r="D71" s="58" t="n">
        <x:v>2019</x:v>
      </x:c>
      <x:c r="E71" s="46" t="str">
        <x:v>Aulacomya atra</x:v>
      </x:c>
      <x:c r="F71" s="46" t="str">
        <x:v>Chilean ribbed mussel</x:v>
      </x:c>
      <x:c r="G71" s="46" t="str">
        <x:v>Other demersal invertebrates</x:v>
      </x:c>
      <x:c r="H71" s="46" t="str">
        <x:v>Molluscs</x:v>
      </x:c>
      <x:c r="I71" s="60" t="n">
        <x:v>24.6117954739</x:v>
      </x:c>
      <x:c r="J71" s="60" t="n">
        <x:v>24.6117954739</x:v>
      </x:c>
      <x:c r="K71" s="60" t="n">
        <x:v>0</x:v>
      </x:c>
      <x:c r="L71" s="60" t="n">
        <x:v>24.6117954739</x:v>
      </x:c>
      <x:c r="M71" s="60" t="n">
        <x:v>0</x:v>
      </x:c>
      <x:c r="N71" s="46" t="str">
        <x:v>aulacomya atra</x:v>
      </x:c>
      <x:c r="O71" s="62" t="n">
        <x:v>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Aulacomya atra</x:v>
      </x:c>
      <x:c r="T71" s="62" t="n">
        <x:f>IF(O71="","",(1/'Metadata'!$B$5)^(O71-1))</x:f>
        <x:v>20</x:v>
      </x:c>
      <x:c r="U71" s="60" t="n">
        <x:f>IF(T71="","",I71*T71)</x:f>
        <x:v>492.235909478</x:v>
      </x:c>
    </x:row>
    <x:row r="72" ht="18" customHeight="1">
      <x:c r="A72" s="46" t="str">
        <x:v>LME_014</x:v>
      </x:c>
      <x:c r="B72" s="46" t="str">
        <x:v>Patagonian Shelf</x:v>
      </x:c>
      <x:c r="C72" s="46" t="str">
        <x:v>LME</x:v>
      </x:c>
      <x:c r="D72" s="58" t="n">
        <x:v>2019</x:v>
      </x:c>
      <x:c r="E72" s="46" t="str">
        <x:v>Rioraja agassizii</x:v>
      </x:c>
      <x:c r="F72" s="46" t="str">
        <x:v>Rio skate</x:v>
      </x:c>
      <x:c r="G72" s="46" t="str">
        <x:v>Small to medium rays (&lt;90 cm)</x:v>
      </x:c>
      <x:c r="H72" s="46" t="str">
        <x:v>Sharks &amp; rays</x:v>
      </x:c>
      <x:c r="I72" s="60" t="n">
        <x:v>23.8377471351</x:v>
      </x:c>
      <x:c r="J72" s="60" t="n">
        <x:v>23.8377471351</x:v>
      </x:c>
      <x:c r="K72" s="60" t="n">
        <x:v>0</x:v>
      </x:c>
      <x:c r="L72" s="60" t="n">
        <x:v>23.8377471351</x:v>
      </x:c>
      <x:c r="M72" s="60" t="n">
        <x:v>0</x:v>
      </x:c>
      <x:c r="N72" s="46" t="str">
        <x:v>rioraja agassizii</x:v>
      </x:c>
      <x:c r="O72" s="62" t="n">
        <x:v>3.55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Rioraja agassizii</x:v>
      </x:c>
      <x:c r="T72" s="62" t="n">
        <x:f>IF(O72="","",(1/'Metadata'!$B$5)^(O72-1))</x:f>
        <x:v>2077.9088316274606</x:v>
      </x:c>
      <x:c r="U72" s="60" t="n">
        <x:f>IF(T72="","",I72*T72)</x:f>
        <x:v>49532.665298126485</x:v>
      </x:c>
    </x:row>
    <x:row r="73" ht="18" customHeight="1">
      <x:c r="A73" s="46" t="str">
        <x:v>LME_014</x:v>
      </x:c>
      <x:c r="B73" s="46" t="str">
        <x:v>Patagonian Shelf</x:v>
      </x:c>
      <x:c r="C73" s="46" t="str">
        <x:v>LME</x:v>
      </x:c>
      <x:c r="D73" s="58" t="n">
        <x:v>2019</x:v>
      </x:c>
      <x:c r="E73" s="46" t="str">
        <x:v>Gadiformes</x:v>
      </x:c>
      <x:c r="F73" s="46" t="str">
        <x:v>Cods</x:v>
      </x:c>
      <x:c r="G73" s="46" t="str">
        <x:v>Medium benthopelagics (30 - 89 cm)</x:v>
      </x:c>
      <x:c r="H73" s="46" t="str">
        <x:v>Cod-likes</x:v>
      </x:c>
      <x:c r="I73" s="60" t="n">
        <x:v>19.9720182722</x:v>
      </x:c>
      <x:c r="J73" s="60" t="n">
        <x:v>19.9720182722</x:v>
      </x:c>
      <x:c r="K73" s="60" t="n">
        <x:v>0</x:v>
      </x:c>
      <x:c r="L73" s="60" t="n">
        <x:v>19.972014350200002</x:v>
      </x:c>
      <x:c r="M73" s="60" t="n">
        <x:v>0.000003922</x:v>
      </x:c>
      <x:c r="N73" s="46" t="str">
        <x:v>gadiformes</x:v>
      </x:c>
      <x:c r="O73" s="62" t="n">
        <x:v>3.91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Gadiformes</x:v>
      </x:c>
      <x:c r="T73" s="62" t="n">
        <x:f>IF(O73="","",(1/'Metadata'!$B$5)^(O73-1))</x:f>
        <x:v>6109.382089532312</x:v>
      </x:c>
      <x:c r="U73" s="60" t="n">
        <x:f>IF(T73="","",I73*T73)</x:f>
        <x:v>122016.69072399076</x:v>
      </x:c>
    </x:row>
    <x:row r="74" ht="18" customHeight="1">
      <x:c r="A74" s="46" t="str">
        <x:v>LME_014</x:v>
      </x:c>
      <x:c r="B74" s="46" t="str">
        <x:v>Patagonian Shelf</x:v>
      </x:c>
      <x:c r="C74" s="46" t="str">
        <x:v>LME</x:v>
      </x:c>
      <x:c r="D74" s="58" t="n">
        <x:v>2019</x:v>
      </x:c>
      <x:c r="E74" s="46" t="str">
        <x:v>Penaeidae</x:v>
      </x:c>
      <x:c r="F74" s="46" t="str">
        <x:v>Commercial shrimps and prawns</x:v>
      </x:c>
      <x:c r="G74" s="46" t="str">
        <x:v>Shrimps</x:v>
      </x:c>
      <x:c r="H74" s="46" t="str">
        <x:v>Crustaceans</x:v>
      </x:c>
      <x:c r="I74" s="60" t="n">
        <x:v>15.148328862</x:v>
      </x:c>
      <x:c r="J74" s="60" t="n">
        <x:v>15.148328862</x:v>
      </x:c>
      <x:c r="K74" s="60" t="n">
        <x:v>0</x:v>
      </x:c>
      <x:c r="L74" s="60" t="n">
        <x:v>9.7580814155</x:v>
      </x:c>
      <x:c r="M74" s="60" t="n">
        <x:v>5.3902474465</x:v>
      </x:c>
      <x:c r="N74" s="46" t="str">
        <x:v>penaeidae</x:v>
      </x:c>
      <x:c r="O74" s="62" t="n">
        <x:v>3.31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Penaeidae</x:v>
      </x:c>
      <x:c r="T74" s="62" t="n">
        <x:f>IF(O74="","",(1/'Metadata'!$B$5)^(O74-1))</x:f>
        <x:v>1012.4633005057666</x:v>
      </x:c>
      <x:c r="U74" s="60" t="n">
        <x:f>IF(T74="","",I74*T74)</x:f>
        <x:v>15337.127036767282</x:v>
      </x:c>
    </x:row>
    <x:row r="75" ht="18" customHeight="1">
      <x:c r="A75" s="46" t="str">
        <x:v>LME_014</x:v>
      </x:c>
      <x:c r="B75" s="46" t="str">
        <x:v>Patagonian Shelf</x:v>
      </x:c>
      <x:c r="C75" s="46" t="str">
        <x:v>LME</x:v>
      </x:c>
      <x:c r="D75" s="58" t="n">
        <x:v>2019</x:v>
      </x:c>
      <x:c r="E75" s="46" t="str">
        <x:v>Squalus</x:v>
      </x:c>
      <x:c r="F75" s="46" t="str">
        <x:v>Dogfishes</x:v>
      </x:c>
      <x:c r="G75" s="46" t="str">
        <x:v>Large sharks (&gt;=90 cm)</x:v>
      </x:c>
      <x:c r="H75" s="46" t="str">
        <x:v>Sharks &amp; rays</x:v>
      </x:c>
      <x:c r="I75" s="60" t="n">
        <x:v>13.8949916395</x:v>
      </x:c>
      <x:c r="J75" s="60" t="n">
        <x:v>0.2018962081</x:v>
      </x:c>
      <x:c r="K75" s="60" t="n">
        <x:v>13.6930954314</x:v>
      </x:c>
      <x:c r="L75" s="60" t="n">
        <x:v>0.1964614964</x:v>
      </x:c>
      <x:c r="M75" s="60" t="n">
        <x:v>13.698530143100001</x:v>
      </x:c>
      <x:c r="N75" s="46" t="str">
        <x:v>squalus</x:v>
      </x:c>
      <x:c r="O75" s="62" t="n">
        <x:v>4.23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Squalus</x:v>
      </x:c>
      <x:c r="T75" s="62" t="n">
        <x:f>IF(O75="","",(1/'Metadata'!$B$5)^(O75-1))</x:f>
        <x:v>15934.076063346663</x:v>
      </x:c>
      <x:c r="U75" s="60" t="n">
        <x:f>IF(T75="","",I75*T75)</x:f>
        <x:v>221403.85368335896</x:v>
      </x:c>
    </x:row>
    <x:row r="76" ht="18" customHeight="1">
      <x:c r="A76" s="46" t="str">
        <x:v>LME_014</x:v>
      </x:c>
      <x:c r="B76" s="46" t="str">
        <x:v>Patagonian Shelf</x:v>
      </x:c>
      <x:c r="C76" s="46" t="str">
        <x:v>LME</x:v>
      </x:c>
      <x:c r="D76" s="58" t="n">
        <x:v>2019</x:v>
      </x:c>
      <x:c r="E76" s="46" t="str">
        <x:v>Squalus acanthias</x:v>
      </x:c>
      <x:c r="F76" s="46" t="str">
        <x:v>Picked dogfish</x:v>
      </x:c>
      <x:c r="G76" s="46" t="str">
        <x:v>Large sharks (&gt;=90 cm)</x:v>
      </x:c>
      <x:c r="H76" s="46" t="str">
        <x:v>Sharks &amp; rays</x:v>
      </x:c>
      <x:c r="I76" s="60" t="n">
        <x:v>13.532207538799998</x:v>
      </x:c>
      <x:c r="J76" s="60" t="n">
        <x:v>13.532207538799998</x:v>
      </x:c>
      <x:c r="K76" s="60" t="n">
        <x:v>0</x:v>
      </x:c>
      <x:c r="L76" s="60" t="n">
        <x:v>13.532207538799998</x:v>
      </x:c>
      <x:c r="M76" s="60" t="n">
        <x:v>0</x:v>
      </x:c>
      <x:c r="N76" s="46" t="str">
        <x:v>squalus acanthias</x:v>
      </x:c>
      <x:c r="O76" s="62" t="n">
        <x:v>4.37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Squalus acanthias</x:v>
      </x:c>
      <x:c r="T76" s="62" t="n">
        <x:f>IF(O76="","",(1/'Metadata'!$B$5)^(O76-1))</x:f>
        <x:v>24236.56596112542</x:v>
      </x:c>
      <x:c r="U76" s="60" t="n">
        <x:f>IF(T76="","",I76*T76)</x:f>
        <x:v>327974.24061376485</x:v>
      </x:c>
    </x:row>
    <x:row r="77" ht="18" customHeight="1">
      <x:c r="A77" s="46" t="str">
        <x:v>LME_014</x:v>
      </x:c>
      <x:c r="B77" s="46" t="str">
        <x:v>Patagonian Shelf</x:v>
      </x:c>
      <x:c r="C77" s="46" t="str">
        <x:v>LME</x:v>
      </x:c>
      <x:c r="D77" s="58" t="n">
        <x:v>2019</x:v>
      </x:c>
      <x:c r="E77" s="46" t="str">
        <x:v>Lithodes santolla</x:v>
      </x:c>
      <x:c r="F77" s="46" t="str">
        <x:v>Southern king crab</x:v>
      </x:c>
      <x:c r="G77" s="46" t="str">
        <x:v>Lobsters, crabs</x:v>
      </x:c>
      <x:c r="H77" s="46" t="str">
        <x:v>Crustaceans</x:v>
      </x:c>
      <x:c r="I77" s="60" t="n">
        <x:v>13.291275685</x:v>
      </x:c>
      <x:c r="J77" s="60" t="n">
        <x:v>0</x:v>
      </x:c>
      <x:c r="K77" s="60" t="n">
        <x:v>13.291275685</x:v>
      </x:c>
      <x:c r="L77" s="60" t="n">
        <x:v>0</x:v>
      </x:c>
      <x:c r="M77" s="60" t="n">
        <x:v>13.291275685</x:v>
      </x:c>
      <x:c r="N77" s="46" t="str">
        <x:v>lithodes santolla</x:v>
      </x:c>
      <x:c r="O77" s="62" t="n">
        <x:v>2.5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Lithodes santolla</x:v>
      </x:c>
      <x:c r="T77" s="62" t="n">
        <x:f>IF(O77="","",(1/'Metadata'!$B$5)^(O77-1))</x:f>
        <x:v>89.44271909999159</x:v>
      </x:c>
      <x:c r="U77" s="60" t="n">
        <x:f>IF(T77="","",I77*T77)</x:f>
        <x:v>1188.8078375740033</x:v>
      </x:c>
    </x:row>
    <x:row r="78" ht="18" customHeight="1">
      <x:c r="A78" s="46" t="str">
        <x:v>LME_014</x:v>
      </x:c>
      <x:c r="B78" s="46" t="str">
        <x:v>Patagonian Shelf</x:v>
      </x:c>
      <x:c r="C78" s="46" t="str">
        <x:v>LME</x:v>
      </x:c>
      <x:c r="D78" s="58" t="n">
        <x:v>2019</x:v>
      </x:c>
      <x:c r="E78" s="46" t="str">
        <x:v>Anchoa hepsetus</x:v>
      </x:c>
      <x:c r="F78" s="46" t="str">
        <x:v>Broad-striped anchovy</x:v>
      </x:c>
      <x:c r="G78" s="46" t="str">
        <x:v>Small pelagics (&lt;30 cm)</x:v>
      </x:c>
      <x:c r="H78" s="46" t="str">
        <x:v>Anchovies</x:v>
      </x:c>
      <x:c r="I78" s="60" t="n">
        <x:v>13.1971536091</x:v>
      </x:c>
      <x:c r="J78" s="60" t="n">
        <x:v>13.1971536091</x:v>
      </x:c>
      <x:c r="K78" s="60" t="n">
        <x:v>0</x:v>
      </x:c>
      <x:c r="L78" s="60" t="n">
        <x:v>0.0001795796</x:v>
      </x:c>
      <x:c r="M78" s="60" t="n">
        <x:v>13.1969740295</x:v>
      </x:c>
      <x:c r="N78" s="46" t="str">
        <x:v>anchoa hepsetus</x:v>
      </x:c>
      <x:c r="O78" s="62" t="n">
        <x:v>3.34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Anchoa hepsetus</x:v>
      </x:c>
      <x:c r="T78" s="62" t="n">
        <x:f>IF(O78="","",(1/'Metadata'!$B$5)^(O78-1))</x:f>
        <x:v>1107.6694806197092</x:v>
      </x:c>
      <x:c r="U78" s="60" t="n">
        <x:f>IF(T78="","",I78*T78)</x:f>
        <x:v>14618.08428385032</x:v>
      </x:c>
    </x:row>
    <x:row r="79" ht="18" customHeight="1">
      <x:c r="A79" s="46" t="str">
        <x:v>LME_014</x:v>
      </x:c>
      <x:c r="B79" s="46" t="str">
        <x:v>Patagonian Shelf</x:v>
      </x:c>
      <x:c r="C79" s="46" t="str">
        <x:v>LME</x:v>
      </x:c>
      <x:c r="D79" s="58" t="n">
        <x:v>2019</x:v>
      </x:c>
      <x:c r="E79" s="46" t="str">
        <x:v>Menticirrhus americanus</x:v>
      </x:c>
      <x:c r="F79" s="46" t="str">
        <x:v>Southern kingcroaker</x:v>
      </x:c>
      <x:c r="G79" s="46" t="str">
        <x:v>Medium demersals (30 - 89 cm)</x:v>
      </x:c>
      <x:c r="H79" s="46" t="str">
        <x:v>Perch-likes</x:v>
      </x:c>
      <x:c r="I79" s="60" t="n">
        <x:v>11.6452462782</x:v>
      </x:c>
      <x:c r="J79" s="60" t="n">
        <x:v>11.6452462782</x:v>
      </x:c>
      <x:c r="K79" s="60" t="n">
        <x:v>0</x:v>
      </x:c>
      <x:c r="L79" s="60" t="n">
        <x:v>0.0173724215</x:v>
      </x:c>
      <x:c r="M79" s="60" t="n">
        <x:v>11.627873856699999</x:v>
      </x:c>
      <x:c r="N79" s="46" t="str">
        <x:v>menticirrhus americanus</x:v>
      </x:c>
      <x:c r="O79" s="62" t="n">
        <x:v>3.5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Menticirrhus americanus</x:v>
      </x:c>
      <x:c r="T79" s="62" t="n">
        <x:f>IF(O79="","",(1/'Metadata'!$B$5)^(O79-1))</x:f>
        <x:v>1788.8543819998317</x:v>
      </x:c>
      <x:c r="U79" s="60" t="n">
        <x:f>IF(T79="","",I79*T79)</x:f>
        <x:v>20831.649834225303</x:v>
      </x:c>
    </x:row>
    <x:row r="80" ht="18" customHeight="1">
      <x:c r="A80" s="46" t="str">
        <x:v>LME_014</x:v>
      </x:c>
      <x:c r="B80" s="46" t="str">
        <x:v>Patagonian Shelf</x:v>
      </x:c>
      <x:c r="C80" s="46" t="str">
        <x:v>LME</x:v>
      </x:c>
      <x:c r="D80" s="58" t="n">
        <x:v>2019</x:v>
      </x:c>
      <x:c r="E80" s="46" t="str">
        <x:v>Eleginops maclovinus</x:v>
      </x:c>
      <x:c r="F80" s="46" t="str">
        <x:v>Patagonian blennie</x:v>
      </x:c>
      <x:c r="G80" s="46" t="str">
        <x:v>Medium benthopelagics (30 - 89 cm)</x:v>
      </x:c>
      <x:c r="H80" s="46" t="str">
        <x:v>Perch-likes</x:v>
      </x:c>
      <x:c r="I80" s="60" t="n">
        <x:v>9.223418987399999</x:v>
      </x:c>
      <x:c r="J80" s="60" t="n">
        <x:v>9.223418987399999</x:v>
      </x:c>
      <x:c r="K80" s="60" t="n">
        <x:v>0</x:v>
      </x:c>
      <x:c r="L80" s="60" t="n">
        <x:v>8.799529035599999</x:v>
      </x:c>
      <x:c r="M80" s="60" t="n">
        <x:v>0.4238899518</x:v>
      </x:c>
      <x:c r="N80" s="46" t="str">
        <x:v>eleginops maclovinus</x:v>
      </x:c>
      <x:c r="O80" s="62" t="n">
        <x:v>3.27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Eleginops maclovinus</x:v>
      </x:c>
      <x:c r="T80" s="62" t="n">
        <x:f>IF(O80="","",(1/'Metadata'!$B$5)^(O80-1))</x:f>
        <x:v>898.1276980921442</x:v>
      </x:c>
      <x:c r="U80" s="60" t="n">
        <x:f>IF(T80="","",I80*T80)</x:f>
        <x:v>8283.808063692937</x:v>
      </x:c>
    </x:row>
    <x:row r="81" ht="18" customHeight="1">
      <x:c r="A81" s="46" t="str">
        <x:v>LME_014</x:v>
      </x:c>
      <x:c r="B81" s="46" t="str">
        <x:v>Patagonian Shelf</x:v>
      </x:c>
      <x:c r="C81" s="46" t="str">
        <x:v>LME</x:v>
      </x:c>
      <x:c r="D81" s="58" t="n">
        <x:v>2019</x:v>
      </x:c>
      <x:c r="E81" s="46" t="str">
        <x:v>Marine pelagic fishes not identified</x:v>
      </x:c>
      <x:c r="F81" s="46" t="str">
        <x:v>Pelagic fishes</x:v>
      </x:c>
      <x:c r="G81" s="46" t="str">
        <x:v>Medium pelagics (30 - 89 cm)</x:v>
      </x:c>
      <x:c r="H81" s="46" t="str">
        <x:v>Other fishes &amp; inverts</x:v>
      </x:c>
      <x:c r="I81" s="60" t="n">
        <x:v>8.9533592762</x:v>
      </x:c>
      <x:c r="J81" s="60" t="n">
        <x:v>8.9533592762</x:v>
      </x:c>
      <x:c r="K81" s="60" t="n">
        <x:v>0</x:v>
      </x:c>
      <x:c r="L81" s="60" t="n">
        <x:v>8.9533592762</x:v>
      </x:c>
      <x:c r="M81" s="60" t="n">
        <x:v>0</x:v>
      </x:c>
      <x:c r="N81" s="46" t="str">
        <x:v>marine pelagic fishes not identified</x:v>
      </x:c>
      <x:c r="O81" s="62" t="n">
        <x:v>3.35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Marine pelagic fishes not identified</x:v>
      </x:c>
      <x:c r="T81" s="62" t="n">
        <x:f>IF(O81="","",(1/'Metadata'!$B$5)^(O81-1))</x:f>
        <x:v>1141.3543275066227</x:v>
      </x:c>
      <x:c r="U81" s="60" t="n">
        <x:f>IF(T81="","",I81*T81)</x:f>
        <x:v>10218.955355612434</x:v>
      </x:c>
    </x:row>
    <x:row r="82" ht="18" customHeight="1">
      <x:c r="A82" s="46" t="str">
        <x:v>LME_014</x:v>
      </x:c>
      <x:c r="B82" s="46" t="str">
        <x:v>Patagonian Shelf</x:v>
      </x:c>
      <x:c r="C82" s="46" t="str">
        <x:v>LME</x:v>
      </x:c>
      <x:c r="D82" s="58" t="n">
        <x:v>2019</x:v>
      </x:c>
      <x:c r="E82" s="46" t="str">
        <x:v>Isurus oxyrinchus</x:v>
      </x:c>
      <x:c r="F82" s="46" t="str">
        <x:v>Shortfin mako</x:v>
      </x:c>
      <x:c r="G82" s="46" t="str">
        <x:v>Large sharks (&gt;=90 cm)</x:v>
      </x:c>
      <x:c r="H82" s="46" t="str">
        <x:v>Sharks &amp; rays</x:v>
      </x:c>
      <x:c r="I82" s="60" t="n">
        <x:v>8.7446351106</x:v>
      </x:c>
      <x:c r="J82" s="60" t="n">
        <x:v>8.7058933468</x:v>
      </x:c>
      <x:c r="K82" s="60" t="n">
        <x:v>0.0387417638</x:v>
      </x:c>
      <x:c r="L82" s="60" t="n">
        <x:v>8.7058932443</x:v>
      </x:c>
      <x:c r="M82" s="60" t="n">
        <x:v>0.038741866300000004</x:v>
      </x:c>
      <x:c r="N82" s="46" t="str">
        <x:v>isurus oxyrinchus</x:v>
      </x:c>
      <x:c r="O82" s="62" t="n">
        <x:v>4.5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Isurus oxyrinchus</x:v>
      </x:c>
      <x:c r="T82" s="62" t="n">
        <x:f>IF(O82="","",(1/'Metadata'!$B$5)^(O82-1))</x:f>
        <x:v>35777.08763999664</x:v>
      </x:c>
      <x:c r="U82" s="60" t="n">
        <x:f>IF(T82="","",I82*T82)</x:f>
        <x:v>312857.5767317279</x:v>
      </x:c>
    </x:row>
    <x:row r="83" ht="18" customHeight="1">
      <x:c r="A83" s="46" t="str">
        <x:v>LME_014</x:v>
      </x:c>
      <x:c r="B83" s="46" t="str">
        <x:v>Patagonian Shelf</x:v>
      </x:c>
      <x:c r="C83" s="46" t="str">
        <x:v>LME</x:v>
      </x:c>
      <x:c r="D83" s="58" t="n">
        <x:v>2019</x:v>
      </x:c>
      <x:c r="E83" s="46" t="str">
        <x:v>Atlantoraja cyclophora</x:v>
      </x:c>
      <x:c r="F83" s="46" t="str">
        <x:v>Eyespot skate</x:v>
      </x:c>
      <x:c r="G83" s="46" t="str">
        <x:v>Small to medium rays (&lt;90 cm)</x:v>
      </x:c>
      <x:c r="H83" s="46" t="str">
        <x:v>Sharks &amp; rays</x:v>
      </x:c>
      <x:c r="I83" s="60" t="n">
        <x:v>8.0033168879</x:v>
      </x:c>
      <x:c r="J83" s="60" t="n">
        <x:v>8.0033168879</x:v>
      </x:c>
      <x:c r="K83" s="60" t="n">
        <x:v>0</x:v>
      </x:c>
      <x:c r="L83" s="60" t="n">
        <x:v>7.9470922574000005</x:v>
      </x:c>
      <x:c r="M83" s="60" t="n">
        <x:v>0.0562246305</x:v>
      </x:c>
      <x:c r="N83" s="46" t="str">
        <x:v>atlantoraja cyclophora</x:v>
      </x:c>
      <x:c r="O83" s="62" t="n">
        <x:v>3.5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Atlantoraja cyclophora</x:v>
      </x:c>
      <x:c r="T83" s="62" t="n">
        <x:f>IF(O83="","",(1/'Metadata'!$B$5)^(O83-1))</x:f>
        <x:v>1788.8543819998317</x:v>
      </x:c>
      <x:c r="U83" s="60" t="n">
        <x:f>IF(T83="","",I83*T83)</x:f>
        <x:v>14316.768485453173</x:v>
      </x:c>
    </x:row>
    <x:row r="84" ht="18" customHeight="1">
      <x:c r="A84" s="46" t="str">
        <x:v>LME_014</x:v>
      </x:c>
      <x:c r="B84" s="46" t="str">
        <x:v>Patagonian Shelf</x:v>
      </x:c>
      <x:c r="C84" s="46" t="str">
        <x:v>LME</x:v>
      </x:c>
      <x:c r="D84" s="58" t="n">
        <x:v>2019</x:v>
      </x:c>
      <x:c r="E84" s="46" t="str">
        <x:v>Elasmobranchii</x:v>
      </x:c>
      <x:c r="F84" s="46" t="str">
        <x:v>Sharks, rays, skates</x:v>
      </x:c>
      <x:c r="G84" s="46" t="str">
        <x:v>Large sharks (&gt;=90 cm)</x:v>
      </x:c>
      <x:c r="H84" s="46" t="str">
        <x:v>Sharks &amp; rays</x:v>
      </x:c>
      <x:c r="I84" s="60" t="n">
        <x:v>7.475570401500001</x:v>
      </x:c>
      <x:c r="J84" s="60" t="n">
        <x:v>7.4755393444000005</x:v>
      </x:c>
      <x:c r="K84" s="60" t="n">
        <x:v>0.0000310571</x:v>
      </x:c>
      <x:c r="L84" s="60" t="n">
        <x:v>7.475525630200001</x:v>
      </x:c>
      <x:c r="M84" s="60" t="n">
        <x:v>0.000044771299999999996</x:v>
      </x:c>
      <x:c r="N84" s="46" t="str">
        <x:v>elasmobranchii</x:v>
      </x:c>
      <x:c r="O84" s="62" t="n">
        <x:v>4.05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Elasmobranchii</x:v>
      </x:c>
      <x:c r="T84" s="62" t="n">
        <x:f>IF(O84="","",(1/'Metadata'!$B$5)^(O84-1))</x:f>
        <x:v>9292.690797132333</x:v>
      </x:c>
      <x:c r="U84" s="60" t="n">
        <x:f>IF(T84="","",I84*T84)</x:f>
        <x:v>69468.16427333391</x:v>
      </x:c>
    </x:row>
    <x:row r="85" ht="18" customHeight="1">
      <x:c r="A85" s="46" t="str">
        <x:v>LME_014</x:v>
      </x:c>
      <x:c r="B85" s="46" t="str">
        <x:v>Patagonian Shelf</x:v>
      </x:c>
      <x:c r="C85" s="46" t="str">
        <x:v>LME</x:v>
      </x:c>
      <x:c r="D85" s="58" t="n">
        <x:v>2019</x:v>
      </x:c>
      <x:c r="E85" s="46" t="str">
        <x:v>Mustelus</x:v>
      </x:c>
      <x:c r="F85" s="46" t="str">
        <x:v>Smoothhounds</x:v>
      </x:c>
      <x:c r="G85" s="46" t="str">
        <x:v>Large sharks (&gt;=90 cm)</x:v>
      </x:c>
      <x:c r="H85" s="46" t="str">
        <x:v>Sharks &amp; rays</x:v>
      </x:c>
      <x:c r="I85" s="60" t="n">
        <x:v>7.177967650199999</x:v>
      </x:c>
      <x:c r="J85" s="60" t="n">
        <x:v>0.0024382835</x:v>
      </x:c>
      <x:c r="K85" s="60" t="n">
        <x:v>7.175529366699999</x:v>
      </x:c>
      <x:c r="L85" s="60" t="n">
        <x:v>0.0023607000000000003</x:v>
      </x:c>
      <x:c r="M85" s="60" t="n">
        <x:v>7.1756069502</x:v>
      </x:c>
      <x:c r="N85" s="46" t="str">
        <x:v>mustelus</x:v>
      </x:c>
      <x:c r="O85" s="62" t="n">
        <x:v>3.73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Mustelus</x:v>
      </x:c>
      <x:c r="T85" s="62" t="n">
        <x:f>IF(O85="","",(1/'Metadata'!$B$5)^(O85-1))</x:f>
        <x:v>3562.967723629534</x:v>
      </x:c>
      <x:c r="U85" s="60" t="n">
        <x:f>IF(T85="","",I85*T85)</x:f>
        <x:v>25574.867058919524</x:v>
      </x:c>
    </x:row>
    <x:row r="86" ht="18" customHeight="1">
      <x:c r="A86" s="46" t="str">
        <x:v>LME_014</x:v>
      </x:c>
      <x:c r="B86" s="46" t="str">
        <x:v>Patagonian Shelf</x:v>
      </x:c>
      <x:c r="C86" s="46" t="str">
        <x:v>LME</x:v>
      </x:c>
      <x:c r="D86" s="58" t="n">
        <x:v>2019</x:v>
      </x:c>
      <x:c r="E86" s="46" t="str">
        <x:v>Zidona dufresnei</x:v>
      </x:c>
      <x:c r="F86" s="46" t="str">
        <x:v>Angulate volute</x:v>
      </x:c>
      <x:c r="G86" s="46" t="str">
        <x:v>Other demersal invertebrates</x:v>
      </x:c>
      <x:c r="H86" s="46" t="str">
        <x:v>Molluscs</x:v>
      </x:c>
      <x:c r="I86" s="60" t="n">
        <x:v>6.271808666</x:v>
      </x:c>
      <x:c r="J86" s="60" t="n">
        <x:v>0</x:v>
      </x:c>
      <x:c r="K86" s="60" t="n">
        <x:v>6.271808666</x:v>
      </x:c>
      <x:c r="L86" s="60" t="n">
        <x:v>0</x:v>
      </x:c>
      <x:c r="M86" s="60" t="n">
        <x:v>6.271808666</x:v>
      </x:c>
      <x:c r="N86" s="46" t="str">
        <x:v>zidona dufresnei</x:v>
      </x:c>
      <x:c r="O86" s="62" t="n">
        <x:v>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Zidona dufresnei</x:v>
      </x:c>
      <x:c r="T86" s="62" t="n">
        <x:f>IF(O86="","",(1/'Metadata'!$B$5)^(O86-1))</x:f>
        <x:v>20</x:v>
      </x:c>
      <x:c r="U86" s="60" t="n">
        <x:f>IF(T86="","",I86*T86)</x:f>
        <x:v>125.43617332</x:v>
      </x:c>
    </x:row>
    <x:row r="87" ht="18" customHeight="1">
      <x:c r="A87" s="46" t="str">
        <x:v>LME_014</x:v>
      </x:c>
      <x:c r="B87" s="46" t="str">
        <x:v>Patagonian Shelf</x:v>
      </x:c>
      <x:c r="C87" s="46" t="str">
        <x:v>LME</x:v>
      </x:c>
      <x:c r="D87" s="58" t="n">
        <x:v>2019</x:v>
      </x:c>
      <x:c r="E87" s="46" t="str">
        <x:v>Scombridae</x:v>
      </x:c>
      <x:c r="F87" s="46" t="str">
        <x:v>Mackerels, tunas, bonitos</x:v>
      </x:c>
      <x:c r="G87" s="46" t="str">
        <x:v>Medium pelagics (30 - 89 cm)</x:v>
      </x:c>
      <x:c r="H87" s="46" t="str">
        <x:v>Perch-likes</x:v>
      </x:c>
      <x:c r="I87" s="60" t="n">
        <x:v>5.9972066901000005</x:v>
      </x:c>
      <x:c r="J87" s="60" t="n">
        <x:v>5.9972066901000005</x:v>
      </x:c>
      <x:c r="K87" s="60" t="n">
        <x:v>0</x:v>
      </x:c>
      <x:c r="L87" s="60" t="n">
        <x:v>5.9889354774</x:v>
      </x:c>
      <x:c r="M87" s="60" t="n">
        <x:v>0.008271212699999999</x:v>
      </x:c>
      <x:c r="N87" s="46" t="str">
        <x:v>scombridae</x:v>
      </x:c>
      <x:c r="O87" s="62" t="n">
        <x:v>4.26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Scombridae</x:v>
      </x:c>
      <x:c r="T87" s="62" t="n">
        <x:f>IF(O87="","",(1/'Metadata'!$B$5)^(O87-1))</x:f>
        <x:v>17432.42421569787</x:v>
      </x:c>
      <x:c r="U87" s="60" t="n">
        <x:f>IF(T87="","",I87*T87)</x:f>
        <x:v>104545.85113104452</x:v>
      </x:c>
    </x:row>
    <x:row r="88" ht="18" customHeight="1">
      <x:c r="A88" s="46" t="str">
        <x:v>LME_014</x:v>
      </x:c>
      <x:c r="B88" s="46" t="str">
        <x:v>Patagonian Shelf</x:v>
      </x:c>
      <x:c r="C88" s="46" t="str">
        <x:v>LME</x:v>
      </x:c>
      <x:c r="D88" s="58" t="n">
        <x:v>2019</x:v>
      </x:c>
      <x:c r="E88" s="46" t="str">
        <x:v>Trachurus lathami</x:v>
      </x:c>
      <x:c r="F88" s="46" t="str">
        <x:v>Rough scad</x:v>
      </x:c>
      <x:c r="G88" s="46" t="str">
        <x:v>Medium benthopelagics (30 - 89 cm)</x:v>
      </x:c>
      <x:c r="H88" s="46" t="str">
        <x:v>Perch-likes</x:v>
      </x:c>
      <x:c r="I88" s="60" t="n">
        <x:v>3.5835677094</x:v>
      </x:c>
      <x:c r="J88" s="60" t="n">
        <x:v>3.5835677094</x:v>
      </x:c>
      <x:c r="K88" s="60" t="n">
        <x:v>0</x:v>
      </x:c>
      <x:c r="L88" s="60" t="n">
        <x:v>3.1028853282</x:v>
      </x:c>
      <x:c r="M88" s="60" t="n">
        <x:v>0.4806823812</x:v>
      </x:c>
      <x:c r="N88" s="46" t="str">
        <x:v>trachurus lathami</x:v>
      </x:c>
      <x:c r="O88" s="62" t="n">
        <x:v>3.99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Trachurus lathami</x:v>
      </x:c>
      <x:c r="T88" s="62" t="n">
        <x:f>IF(O88="","",(1/'Metadata'!$B$5)^(O88-1))</x:f>
        <x:v>7763.895603143686</x:v>
      </x:c>
      <x:c r="U88" s="60" t="n">
        <x:f>IF(T88="","",I88*T88)</x:f>
        <x:v>27822.445582578348</x:v>
      </x:c>
    </x:row>
    <x:row r="89" ht="18" customHeight="1">
      <x:c r="A89" s="46" t="str">
        <x:v>LME_014</x:v>
      </x:c>
      <x:c r="B89" s="46" t="str">
        <x:v>Patagonian Shelf</x:v>
      </x:c>
      <x:c r="C89" s="46" t="str">
        <x:v>LME</x:v>
      </x:c>
      <x:c r="D89" s="58" t="n">
        <x:v>2019</x:v>
      </x:c>
      <x:c r="E89" s="46" t="str">
        <x:v>Seriola lalandi</x:v>
      </x:c>
      <x:c r="F89" s="46" t="str">
        <x:v>Yellowtail amberjack</x:v>
      </x:c>
      <x:c r="G89" s="46" t="str">
        <x:v>Large benthopelagics (&gt;=90 cm)</x:v>
      </x:c>
      <x:c r="H89" s="46" t="str">
        <x:v>Perch-likes</x:v>
      </x:c>
      <x:c r="I89" s="60" t="n">
        <x:v>3.524140832</x:v>
      </x:c>
      <x:c r="J89" s="60" t="n">
        <x:v>2.9988667945</x:v>
      </x:c>
      <x:c r="K89" s="60" t="n">
        <x:v>0.5252740375</x:v>
      </x:c>
      <x:c r="L89" s="60" t="n">
        <x:v>2.9988658417</x:v>
      </x:c>
      <x:c r="M89" s="60" t="n">
        <x:v>0.5252749903</x:v>
      </x:c>
      <x:c r="N89" s="46" t="str">
        <x:v>seriola lalandi</x:v>
      </x:c>
      <x:c r="O89" s="62" t="n">
        <x:v>4.16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Seriola lalandi</x:v>
      </x:c>
      <x:c r="T89" s="62" t="n">
        <x:f>IF(O89="","",(1/'Metadata'!$B$5)^(O89-1))</x:f>
        <x:v>12919.77011769987</x:v>
      </x:c>
      <x:c r="U89" s="60" t="n">
        <x:f>IF(T89="","",I89*T89)</x:f>
        <x:v>45531.08941183956</x:v>
      </x:c>
    </x:row>
    <x:row r="90" ht="18" customHeight="1">
      <x:c r="A90" s="46" t="str">
        <x:v>LME_014</x:v>
      </x:c>
      <x:c r="B90" s="46" t="str">
        <x:v>Patagonian Shelf</x:v>
      </x:c>
      <x:c r="C90" s="46" t="str">
        <x:v>LME</x:v>
      </x:c>
      <x:c r="D90" s="58" t="n">
        <x:v>2019</x:v>
      </x:c>
      <x:c r="E90" s="46" t="str">
        <x:v>Thyrsites atun</x:v>
      </x:c>
      <x:c r="F90" s="46" t="str">
        <x:v>Snoek</x:v>
      </x:c>
      <x:c r="G90" s="46" t="str">
        <x:v>Large benthopelagics (&gt;=90 cm)</x:v>
      </x:c>
      <x:c r="H90" s="46" t="str">
        <x:v>Perch-likes</x:v>
      </x:c>
      <x:c r="I90" s="60" t="n">
        <x:v>2.9665180709</x:v>
      </x:c>
      <x:c r="J90" s="60" t="n">
        <x:v>2.9665180709</x:v>
      </x:c>
      <x:c r="K90" s="60" t="n">
        <x:v>0</x:v>
      </x:c>
      <x:c r="L90" s="60" t="n">
        <x:v>2.9665180709</x:v>
      </x:c>
      <x:c r="M90" s="60" t="n">
        <x:v>0</x:v>
      </x:c>
      <x:c r="N90" s="46" t="str">
        <x:v>thyrsites atun</x:v>
      </x:c>
      <x:c r="O90" s="62" t="n">
        <x:v>3.63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Thyrsites atun</x:v>
      </x:c>
      <x:c r="T90" s="62" t="n">
        <x:f>IF(O90="","",(1/'Metadata'!$B$5)^(O90-1))</x:f>
        <x:v>2640.638121038009</x:v>
      </x:c>
      <x:c r="U90" s="60" t="n">
        <x:f>IF(T90="","",I90*T90)</x:f>
        <x:v>7833.500704766675</x:v>
      </x:c>
    </x:row>
    <x:row r="91" ht="18" customHeight="1">
      <x:c r="A91" s="46" t="str">
        <x:v>LME_014</x:v>
      </x:c>
      <x:c r="B91" s="46" t="str">
        <x:v>Patagonian Shelf</x:v>
      </x:c>
      <x:c r="C91" s="46" t="str">
        <x:v>LME</x:v>
      </x:c>
      <x:c r="D91" s="58" t="n">
        <x:v>2019</x:v>
      </x:c>
      <x:c r="E91" s="46" t="str">
        <x:v>Myliobatidae</x:v>
      </x:c>
      <x:c r="F91" s="46" t="str">
        <x:v>Eagle/manta rays</x:v>
      </x:c>
      <x:c r="G91" s="46" t="str">
        <x:v>Large rays (&gt;=90 cm)</x:v>
      </x:c>
      <x:c r="H91" s="46" t="str">
        <x:v>Sharks &amp; rays</x:v>
      </x:c>
      <x:c r="I91" s="60" t="n">
        <x:v>1.9764606307</x:v>
      </x:c>
      <x:c r="J91" s="60" t="n">
        <x:v>1.9764606307</x:v>
      </x:c>
      <x:c r="K91" s="60" t="n">
        <x:v>0</x:v>
      </x:c>
      <x:c r="L91" s="60" t="n">
        <x:v>1.9764600024</x:v>
      </x:c>
      <x:c r="M91" s="60" t="n">
        <x:v>6.283000000000001e-7</x:v>
      </x:c>
      <x:c r="N91" s="46" t="str">
        <x:v>myliobatidae</x:v>
      </x:c>
      <x:c r="O91" s="62" t="n">
        <x:v>3.36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Myliobatidae</x:v>
      </x:c>
      <x:c r="T91" s="62" t="n">
        <x:f>IF(O91="","",(1/'Metadata'!$B$5)^(O91-1))</x:f>
        <x:v>1176.0635493805207</x:v>
      </x:c>
      <x:c r="U91" s="60" t="n">
        <x:f>IF(T91="","",I91*T91)</x:f>
        <x:v>2324.443304551905</x:v>
      </x:c>
    </x:row>
    <x:row r="92" ht="18" customHeight="1">
      <x:c r="A92" s="46" t="str">
        <x:v>LME_014</x:v>
      </x:c>
      <x:c r="B92" s="46" t="str">
        <x:v>Patagonian Shelf</x:v>
      </x:c>
      <x:c r="C92" s="46" t="str">
        <x:v>LME</x:v>
      </x:c>
      <x:c r="D92" s="58" t="n">
        <x:v>2019</x:v>
      </x:c>
      <x:c r="E92" s="46" t="str">
        <x:v>Bathyraja brachyurops</x:v>
      </x:c>
      <x:c r="F92" s="46" t="str">
        <x:v>Broadnose skate</x:v>
      </x:c>
      <x:c r="G92" s="46" t="str">
        <x:v>Small to medium rays (&lt;90 cm)</x:v>
      </x:c>
      <x:c r="H92" s="46" t="str">
        <x:v>Sharks &amp; rays</x:v>
      </x:c>
      <x:c r="I92" s="60" t="n">
        <x:v>1.8960341264</x:v>
      </x:c>
      <x:c r="J92" s="60" t="n">
        <x:v>1.8960341264</x:v>
      </x:c>
      <x:c r="K92" s="60" t="n">
        <x:v>0</x:v>
      </x:c>
      <x:c r="L92" s="60" t="n">
        <x:v>1.8960341264</x:v>
      </x:c>
      <x:c r="M92" s="60" t="n">
        <x:v>0</x:v>
      </x:c>
      <x:c r="N92" s="46" t="str">
        <x:v>bathyraja brachyurops</x:v>
      </x:c>
      <x:c r="O92" s="62" t="n">
        <x:v>4.07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Bathyraja brachyurops</x:v>
      </x:c>
      <x:c r="T92" s="62" t="n">
        <x:f>IF(O92="","",(1/'Metadata'!$B$5)^(O92-1))</x:f>
        <x:v>9866.476519743796</x:v>
      </x:c>
      <x:c r="U92" s="60" t="n">
        <x:f>IF(T92="","",I92*T92)</x:f>
        <x:v>18707.176188758538</x:v>
      </x:c>
    </x:row>
    <x:row r="93" ht="18" customHeight="1">
      <x:c r="A93" s="46" t="str">
        <x:v>LME_014</x:v>
      </x:c>
      <x:c r="B93" s="46" t="str">
        <x:v>Patagonian Shelf</x:v>
      </x:c>
      <x:c r="C93" s="46" t="str">
        <x:v>LME</x:v>
      </x:c>
      <x:c r="D93" s="58" t="n">
        <x:v>2019</x:v>
      </x:c>
      <x:c r="E93" s="46" t="str">
        <x:v>Sardinella brasiliensis</x:v>
      </x:c>
      <x:c r="F93" s="46" t="str">
        <x:v>Brazilian sardinella</x:v>
      </x:c>
      <x:c r="G93" s="46" t="str">
        <x:v>Small pelagics (&lt;30 cm)</x:v>
      </x:c>
      <x:c r="H93" s="46" t="str">
        <x:v>Herring-likes</x:v>
      </x:c>
      <x:c r="I93" s="60" t="n">
        <x:v>1.6214393950000001</x:v>
      </x:c>
      <x:c r="J93" s="60" t="n">
        <x:v>1.6214393950000001</x:v>
      </x:c>
      <x:c r="K93" s="60" t="n">
        <x:v>0</x:v>
      </x:c>
      <x:c r="L93" s="60" t="n">
        <x:v>1.5630492717</x:v>
      </x:c>
      <x:c r="M93" s="60" t="n">
        <x:v>0.0583901233</x:v>
      </x:c>
      <x:c r="N93" s="46" t="str">
        <x:v>sardinella brasiliensis</x:v>
      </x:c>
      <x:c r="O93" s="62" t="n">
        <x:v>3.1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Sardinella brasiliensis</x:v>
      </x:c>
      <x:c r="T93" s="62" t="n">
        <x:f>IF(O93="","",(1/'Metadata'!$B$5)^(O93-1))</x:f>
        <x:v>539.7131390694254</x:v>
      </x:c>
      <x:c r="U93" s="60" t="n">
        <x:f>IF(T93="","",I93*T93)</x:f>
        <x:v>875.1121456862801</x:v>
      </x:c>
    </x:row>
    <x:row r="94" ht="18" customHeight="1">
      <x:c r="A94" s="46" t="str">
        <x:v>LME_014</x:v>
      </x:c>
      <x:c r="B94" s="46" t="str">
        <x:v>Patagonian Shelf</x:v>
      </x:c>
      <x:c r="C94" s="46" t="str">
        <x:v>LME</x:v>
      </x:c>
      <x:c r="D94" s="58" t="n">
        <x:v>2019</x:v>
      </x:c>
      <x:c r="E94" s="46" t="str">
        <x:v>Cottoperca gobio</x:v>
      </x:c>
      <x:c r="F94" s="46" t="str">
        <x:v>Channel bull blenny</x:v>
      </x:c>
      <x:c r="G94" s="46" t="str">
        <x:v>Medium demersals (30 - 89 cm)</x:v>
      </x:c>
      <x:c r="H94" s="46" t="str">
        <x:v>Perch-likes</x:v>
      </x:c>
      <x:c r="I94" s="60" t="n">
        <x:v>1.4839903796999998</x:v>
      </x:c>
      <x:c r="J94" s="60" t="n">
        <x:v>1.4839903796999998</x:v>
      </x:c>
      <x:c r="K94" s="60" t="n">
        <x:v>0</x:v>
      </x:c>
      <x:c r="L94" s="60" t="n">
        <x:v>1.4839903796999998</x:v>
      </x:c>
      <x:c r="M94" s="60" t="n">
        <x:v>0</x:v>
      </x:c>
      <x:c r="N94" s="46" t="str">
        <x:v>cottoperca gobio</x:v>
      </x:c>
      <x:c r="O94" s="62" t="n">
        <x:v>4.26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Cottoperca gobio</x:v>
      </x:c>
      <x:c r="T94" s="62" t="n">
        <x:f>IF(O94="","",(1/'Metadata'!$B$5)^(O94-1))</x:f>
        <x:v>17432.42421569787</x:v>
      </x:c>
      <x:c r="U94" s="60" t="n">
        <x:f>IF(T94="","",I94*T94)</x:f>
        <x:v>25869.54983094495</x:v>
      </x:c>
    </x:row>
    <x:row r="95" ht="18" customHeight="1">
      <x:c r="A95" s="46" t="str">
        <x:v>LME_014</x:v>
      </x:c>
      <x:c r="B95" s="46" t="str">
        <x:v>Patagonian Shelf</x:v>
      </x:c>
      <x:c r="C95" s="46" t="str">
        <x:v>LME</x:v>
      </x:c>
      <x:c r="D95" s="58" t="n">
        <x:v>2019</x:v>
      </x:c>
      <x:c r="E95" s="46" t="str">
        <x:v>Carcharhinus brachyurus</x:v>
      </x:c>
      <x:c r="F95" s="46" t="str">
        <x:v>Copper shark</x:v>
      </x:c>
      <x:c r="G95" s="46" t="str">
        <x:v>Large sharks (&gt;=90 cm)</x:v>
      </x:c>
      <x:c r="H95" s="46" t="str">
        <x:v>Sharks &amp; rays</x:v>
      </x:c>
      <x:c r="I95" s="60" t="n">
        <x:v>1.4466673865</x:v>
      </x:c>
      <x:c r="J95" s="60" t="n">
        <x:v>1.4466673865</x:v>
      </x:c>
      <x:c r="K95" s="60" t="n">
        <x:v>0</x:v>
      </x:c>
      <x:c r="L95" s="60" t="n">
        <x:v>0</x:v>
      </x:c>
      <x:c r="M95" s="60" t="n">
        <x:v>1.4466673865</x:v>
      </x:c>
      <x:c r="N95" s="46" t="str">
        <x:v>carcharhinus brachyurus</x:v>
      </x:c>
      <x:c r="O95" s="62" t="n">
        <x:v>4.5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Carcharhinus brachyurus</x:v>
      </x:c>
      <x:c r="T95" s="62" t="n">
        <x:f>IF(O95="","",(1/'Metadata'!$B$5)^(O95-1))</x:f>
        <x:v>35777.08763999664</x:v>
      </x:c>
      <x:c r="U95" s="60" t="n">
        <x:f>IF(T95="","",I95*T95)</x:f>
        <x:v>51757.54587273538</x:v>
      </x:c>
    </x:row>
    <x:row r="96" ht="18" customHeight="1">
      <x:c r="A96" s="46" t="str">
        <x:v>LME_014</x:v>
      </x:c>
      <x:c r="B96" s="46" t="str">
        <x:v>Patagonian Shelf</x:v>
      </x:c>
      <x:c r="C96" s="46" t="str">
        <x:v>LME</x:v>
      </x:c>
      <x:c r="D96" s="58" t="n">
        <x:v>2019</x:v>
      </x:c>
      <x:c r="E96" s="46" t="str">
        <x:v>Batoidea</x:v>
      </x:c>
      <x:c r="F96" s="46" t="str">
        <x:v>Batoids, skates, rays, sawfishes</x:v>
      </x:c>
      <x:c r="G96" s="46" t="str">
        <x:v>Large rays (&gt;=90 cm)</x:v>
      </x:c>
      <x:c r="H96" s="46" t="str">
        <x:v>Sharks &amp; rays</x:v>
      </x:c>
      <x:c r="I96" s="60" t="n">
        <x:v>1.2019659618</x:v>
      </x:c>
      <x:c r="J96" s="60" t="n">
        <x:v>0.004124959</x:v>
      </x:c>
      <x:c r="K96" s="60" t="n">
        <x:v>1.1978410028000002</x:v>
      </x:c>
      <x:c r="L96" s="60" t="n">
        <x:v>0.004124959</x:v>
      </x:c>
      <x:c r="M96" s="60" t="n">
        <x:v>1.1978410028000002</x:v>
      </x:c>
      <x:c r="N96" s="46" t="str">
        <x:v>batoidea</x:v>
      </x:c>
      <x:c r="O96" s="62" t="n">
        <x:v>3.72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Batoidea</x:v>
      </x:c>
      <x:c r="T96" s="62" t="n">
        <x:f>IF(O96="","",(1/'Metadata'!$B$5)^(O96-1))</x:f>
        <x:v>3457.8136804537753</x:v>
      </x:c>
      <x:c r="U96" s="60" t="n">
        <x:f>IF(T96="","",I96*T96)</x:f>
        <x:v>4156.17434615182</x:v>
      </x:c>
    </x:row>
    <x:row r="97" ht="18" customHeight="1">
      <x:c r="A97" s="46" t="str">
        <x:v>LME_014</x:v>
      </x:c>
      <x:c r="B97" s="46" t="str">
        <x:v>Patagonian Shelf</x:v>
      </x:c>
      <x:c r="C97" s="46" t="str">
        <x:v>LME</x:v>
      </x:c>
      <x:c r="D97" s="58" t="n">
        <x:v>2019</x:v>
      </x:c>
      <x:c r="E97" s="46" t="str">
        <x:v>Cynoscion acoupa</x:v>
      </x:c>
      <x:c r="F97" s="46" t="str">
        <x:v>Acoupa weakfish</x:v>
      </x:c>
      <x:c r="G97" s="46" t="str">
        <x:v>Large demersals (&gt;=90 cm)</x:v>
      </x:c>
      <x:c r="H97" s="46" t="str">
        <x:v>Perch-likes</x:v>
      </x:c>
      <x:c r="I97" s="60" t="n">
        <x:v>1.201695686</x:v>
      </x:c>
      <x:c r="J97" s="60" t="n">
        <x:v>1.201695686</x:v>
      </x:c>
      <x:c r="K97" s="60" t="n">
        <x:v>0</x:v>
      </x:c>
      <x:c r="L97" s="60" t="n">
        <x:v>1.172613317</x:v>
      </x:c>
      <x:c r="M97" s="60" t="n">
        <x:v>0.029082369</x:v>
      </x:c>
      <x:c r="N97" s="46" t="str">
        <x:v>cynoscion acoupa</x:v>
      </x:c>
      <x:c r="O97" s="62" t="n">
        <x:v>4.05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Cynoscion acoupa</x:v>
      </x:c>
      <x:c r="T97" s="62" t="n">
        <x:f>IF(O97="","",(1/'Metadata'!$B$5)^(O97-1))</x:f>
        <x:v>9292.690797132333</x:v>
      </x:c>
      <x:c r="U97" s="60" t="n">
        <x:f>IF(T97="","",I97*T97)</x:f>
        <x:v>11166.986442245827</x:v>
      </x:c>
    </x:row>
    <x:row r="98" ht="18" customHeight="1">
      <x:c r="A98" s="46" t="str">
        <x:v>LME_014</x:v>
      </x:c>
      <x:c r="B98" s="46" t="str">
        <x:v>Patagonian Shelf</x:v>
      </x:c>
      <x:c r="C98" s="46" t="str">
        <x:v>LME</x:v>
      </x:c>
      <x:c r="D98" s="58" t="n">
        <x:v>2019</x:v>
      </x:c>
      <x:c r="E98" s="46" t="str">
        <x:v>Clupeidae</x:v>
      </x:c>
      <x:c r="F98" s="46" t="str">
        <x:v>Herrings, sardines, menhadens</x:v>
      </x:c>
      <x:c r="G98" s="46" t="str">
        <x:v>Small pelagics (&lt;30 cm)</x:v>
      </x:c>
      <x:c r="H98" s="46" t="str">
        <x:v>Herring-likes</x:v>
      </x:c>
      <x:c r="I98" s="60" t="n">
        <x:v>1.1956909748</x:v>
      </x:c>
      <x:c r="J98" s="60" t="n">
        <x:v>0.3530613117</x:v>
      </x:c>
      <x:c r="K98" s="60" t="n">
        <x:v>0.8426296631</x:v>
      </x:c>
      <x:c r="L98" s="60" t="n">
        <x:v>0.3406328106</x:v>
      </x:c>
      <x:c r="M98" s="60" t="n">
        <x:v>0.8550581642</x:v>
      </x:c>
      <x:c r="N98" s="46" t="str">
        <x:v>clupeidae</x:v>
      </x:c>
      <x:c r="O98" s="62" t="n">
        <x:v>3.16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Clupeidae</x:v>
      </x:c>
      <x:c r="T98" s="62" t="n">
        <x:f>IF(O98="","",(1/'Metadata'!$B$5)^(O98-1))</x:f>
        <x:v>645.9885058849935</x:v>
      </x:c>
      <x:c r="U98" s="60" t="n">
        <x:f>IF(T98="","",I98*T98)</x:f>
        <x:v>772.4026263112235</x:v>
      </x:c>
    </x:row>
    <x:row r="99" ht="18" customHeight="1">
      <x:c r="A99" s="46" t="str">
        <x:v>LME_014</x:v>
      </x:c>
      <x:c r="B99" s="46" t="str">
        <x:v>Patagonian Shelf</x:v>
      </x:c>
      <x:c r="C99" s="46" t="str">
        <x:v>LME</x:v>
      </x:c>
      <x:c r="D99" s="58" t="n">
        <x:v>2019</x:v>
      </x:c>
      <x:c r="E99" s="46" t="str">
        <x:v>Squatina guggenheim</x:v>
      </x:c>
      <x:c r="F99" s="46" t="str">
        <x:v>Angular angel shark</x:v>
      </x:c>
      <x:c r="G99" s="46" t="str">
        <x:v>Large sharks (&gt;=90 cm)</x:v>
      </x:c>
      <x:c r="H99" s="46" t="str">
        <x:v>Sharks &amp; rays</x:v>
      </x:c>
      <x:c r="I99" s="60" t="n">
        <x:v>1.0000954857</x:v>
      </x:c>
      <x:c r="J99" s="60" t="n">
        <x:v>0</x:v>
      </x:c>
      <x:c r="K99" s="60" t="n">
        <x:v>1.0000954857</x:v>
      </x:c>
      <x:c r="L99" s="60" t="n">
        <x:v>0</x:v>
      </x:c>
      <x:c r="M99" s="60" t="n">
        <x:v>1.0000954857</x:v>
      </x:c>
      <x:c r="N99" s="46" t="str">
        <x:v>squatina guggenheim</x:v>
      </x:c>
      <x:c r="O99" s="62" t="n">
        <x:v>4.39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Squatina guggenheim</x:v>
      </x:c>
      <x:c r="T99" s="62" t="n">
        <x:f>IF(O99="","",(1/'Metadata'!$B$5)^(O99-1))</x:f>
        <x:v>25733.07497204781</x:v>
      </x:c>
      <x:c r="U99" s="60" t="n">
        <x:f>IF(T99="","",I99*T99)</x:f>
        <x:v>25735.532112724664</x:v>
      </x:c>
    </x:row>
    <x:row r="100" ht="18" customHeight="1">
      <x:c r="A100" s="46" t="str">
        <x:v>LME_014</x:v>
      </x:c>
      <x:c r="B100" s="46" t="str">
        <x:v>Patagonian Shelf</x:v>
      </x:c>
      <x:c r="C100" s="46" t="str">
        <x:v>LME</x:v>
      </x:c>
      <x:c r="D100" s="58" t="n">
        <x:v>2019</x:v>
      </x:c>
      <x:c r="E100" s="46" t="str">
        <x:v>Sympterygia acuta</x:v>
      </x:c>
      <x:c r="F100" s="46" t="str">
        <x:v>Bignose fanskate</x:v>
      </x:c>
      <x:c r="G100" s="46" t="str">
        <x:v>Large rays (&gt;=90 cm)</x:v>
      </x:c>
      <x:c r="H100" s="46" t="str">
        <x:v>Sharks &amp; rays</x:v>
      </x:c>
      <x:c r="I100" s="60" t="n">
        <x:v>0.9950907077000001</x:v>
      </x:c>
      <x:c r="J100" s="60" t="n">
        <x:v>0.9950907077000001</x:v>
      </x:c>
      <x:c r="K100" s="60" t="n">
        <x:v>0</x:v>
      </x:c>
      <x:c r="L100" s="60" t="n">
        <x:v>0.9950907077000001</x:v>
      </x:c>
      <x:c r="M100" s="60" t="n">
        <x:v>0</x:v>
      </x:c>
      <x:c r="N100" s="46" t="str">
        <x:v>sympterygia acuta</x:v>
      </x:c>
      <x:c r="O100" s="62" t="n">
        <x:v>3.66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Sympterygia acuta</x:v>
      </x:c>
      <x:c r="T100" s="62" t="n">
        <x:f>IF(O100="","",(1/'Metadata'!$B$5)^(O100-1))</x:f>
        <x:v>2888.948423684737</x:v>
      </x:c>
      <x:c r="U100" s="60" t="n">
        <x:f>IF(T100="","",I100*T100)</x:f>
        <x:v>2874.7657314332446</x:v>
      </x:c>
    </x:row>
    <x:row r="101" ht="18" customHeight="1">
      <x:c r="A101" s="46" t="str">
        <x:v>LME_014</x:v>
      </x:c>
      <x:c r="B101" s="46" t="str">
        <x:v>Patagonian Shelf</x:v>
      </x:c>
      <x:c r="C101" s="46" t="str">
        <x:v>LME</x:v>
      </x:c>
      <x:c r="D101" s="58" t="n">
        <x:v>2019</x:v>
      </x:c>
      <x:c r="E101" s="46" t="str">
        <x:v>Atlantoraja castelnaui</x:v>
      </x:c>
      <x:c r="F101" s="46" t="str">
        <x:v>Spotback skate</x:v>
      </x:c>
      <x:c r="G101" s="46" t="str">
        <x:v>Large rays (&gt;=90 cm)</x:v>
      </x:c>
      <x:c r="H101" s="46" t="str">
        <x:v>Sharks &amp; rays</x:v>
      </x:c>
      <x:c r="I101" s="60" t="n">
        <x:v>0.9941039236</x:v>
      </x:c>
      <x:c r="J101" s="60" t="n">
        <x:v>0.9941039236</x:v>
      </x:c>
      <x:c r="K101" s="60" t="n">
        <x:v>0</x:v>
      </x:c>
      <x:c r="L101" s="60" t="n">
        <x:v>0.9941039236</x:v>
      </x:c>
      <x:c r="M101" s="60" t="n">
        <x:v>0</x:v>
      </x:c>
      <x:c r="N101" s="46" t="str">
        <x:v>atlantoraja castelnaui</x:v>
      </x:c>
      <x:c r="O101" s="62" t="n">
        <x:v>4.5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Atlantoraja castelnaui</x:v>
      </x:c>
      <x:c r="T101" s="62" t="n">
        <x:f>IF(O101="","",(1/'Metadata'!$B$5)^(O101-1))</x:f>
        <x:v>35777.08763999664</x:v>
      </x:c>
      <x:c r="U101" s="60" t="n">
        <x:f>IF(T101="","",I101*T101)</x:f>
        <x:v>35566.14319790172</x:v>
      </x:c>
    </x:row>
    <x:row r="102" ht="18" customHeight="1">
      <x:c r="A102" s="46" t="str">
        <x:v>LME_014</x:v>
      </x:c>
      <x:c r="B102" s="46" t="str">
        <x:v>Patagonian Shelf</x:v>
      </x:c>
      <x:c r="C102" s="46" t="str">
        <x:v>LME</x:v>
      </x:c>
      <x:c r="D102" s="58" t="n">
        <x:v>2019</x:v>
      </x:c>
      <x:c r="E102" s="46" t="str">
        <x:v>Sparidae</x:v>
      </x:c>
      <x:c r="F102" s="46" t="str">
        <x:v>Porgies, seabreams</x:v>
      </x:c>
      <x:c r="G102" s="46" t="str">
        <x:v>Medium benthopelagics (30 - 89 cm)</x:v>
      </x:c>
      <x:c r="H102" s="46" t="str">
        <x:v>Perch-likes</x:v>
      </x:c>
      <x:c r="I102" s="60" t="n">
        <x:v>0.8540949633</x:v>
      </x:c>
      <x:c r="J102" s="60" t="n">
        <x:v>0.8540949633</x:v>
      </x:c>
      <x:c r="K102" s="60" t="n">
        <x:v>0</x:v>
      </x:c>
      <x:c r="L102" s="60" t="n">
        <x:v>0.8540859269000001</x:v>
      </x:c>
      <x:c r="M102" s="60" t="n">
        <x:v>0.0000090364</x:v>
      </x:c>
      <x:c r="N102" s="46" t="str">
        <x:v>sparidae</x:v>
      </x:c>
      <x:c r="O102" s="62" t="n">
        <x:v>3.31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Sparidae</x:v>
      </x:c>
      <x:c r="T102" s="62" t="n">
        <x:f>IF(O102="","",(1/'Metadata'!$B$5)^(O102-1))</x:f>
        <x:v>1012.4633005057666</x:v>
      </x:c>
      <x:c r="U102" s="60" t="n">
        <x:f>IF(T102="","",I102*T102)</x:f>
        <x:v>864.7398054880696</x:v>
      </x:c>
    </x:row>
    <x:row r="103" ht="18" customHeight="1">
      <x:c r="A103" s="46" t="str">
        <x:v>LME_014</x:v>
      </x:c>
      <x:c r="B103" s="46" t="str">
        <x:v>Patagonian Shelf</x:v>
      </x:c>
      <x:c r="C103" s="46" t="str">
        <x:v>LME</x:v>
      </x:c>
      <x:c r="D103" s="58" t="n">
        <x:v>2019</x:v>
      </x:c>
      <x:c r="E103" s="46" t="str">
        <x:v>Auxis thazard</x:v>
      </x:c>
      <x:c r="F103" s="46" t="str">
        <x:v>Frigate tuna</x:v>
      </x:c>
      <x:c r="G103" s="46" t="str">
        <x:v>Medium pelagics (30 - 89 cm)</x:v>
      </x:c>
      <x:c r="H103" s="46" t="str">
        <x:v>Tuna &amp; billfishes</x:v>
      </x:c>
      <x:c r="I103" s="60" t="n">
        <x:v>0.6608828541</x:v>
      </x:c>
      <x:c r="J103" s="60" t="n">
        <x:v>0.6608828541</x:v>
      </x:c>
      <x:c r="K103" s="60" t="n">
        <x:v>0</x:v>
      </x:c>
      <x:c r="L103" s="60" t="n">
        <x:v>0.6607077646</x:v>
      </x:c>
      <x:c r="M103" s="60" t="n">
        <x:v>0.0001750895</x:v>
      </x:c>
      <x:c r="N103" s="46" t="str">
        <x:v>auxis thazard</x:v>
      </x:c>
      <x:c r="O103" s="62" t="n">
        <x:v>4.37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Auxis thazard</x:v>
      </x:c>
      <x:c r="T103" s="62" t="n">
        <x:f>IF(O103="","",(1/'Metadata'!$B$5)^(O103-1))</x:f>
        <x:v>24236.56596112542</x:v>
      </x:c>
      <x:c r="U103" s="60" t="n">
        <x:f>IF(T103="","",I103*T103)</x:f>
        <x:v>16017.530885971477</x:v>
      </x:c>
    </x:row>
    <x:row r="104" ht="18" customHeight="1">
      <x:c r="A104" s="46" t="str">
        <x:v>LME_014</x:v>
      </x:c>
      <x:c r="B104" s="46" t="str">
        <x:v>Patagonian Shelf</x:v>
      </x:c>
      <x:c r="C104" s="46" t="str">
        <x:v>LME</x:v>
      </x:c>
      <x:c r="D104" s="58" t="n">
        <x:v>2019</x:v>
      </x:c>
      <x:c r="E104" s="46" t="str">
        <x:v>Penaeus paulensis</x:v>
      </x:c>
      <x:c r="F104" s="46" t="str">
        <x:v>Sao Paulo shrimp</x:v>
      </x:c>
      <x:c r="G104" s="46" t="str">
        <x:v>Shrimps</x:v>
      </x:c>
      <x:c r="H104" s="46" t="str">
        <x:v>Crustaceans</x:v>
      </x:c>
      <x:c r="I104" s="60" t="n">
        <x:v>0.6445042948</x:v>
      </x:c>
      <x:c r="J104" s="60" t="n">
        <x:v>0.6445042948</x:v>
      </x:c>
      <x:c r="K104" s="60" t="n">
        <x:v>0</x:v>
      </x:c>
      <x:c r="L104" s="60" t="n">
        <x:v>0.4485515034</x:v>
      </x:c>
      <x:c r="M104" s="60" t="n">
        <x:v>0.19595279140000002</x:v>
      </x:c>
      <x:c r="N104" s="46" t="str">
        <x:v>penaeus paulensis</x:v>
      </x:c>
      <x:c r="O104" s="62" t="n">
        <x:v>2.97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Penaeus paulensis</x:v>
      </x:c>
      <x:c r="T104" s="62" t="n">
        <x:f>IF(O104="","",(1/'Metadata'!$B$5)^(O104-1))</x:f>
        <x:v>365.61928200434755</x:v>
      </x:c>
      <x:c r="U104" s="60" t="n">
        <x:f>IF(T104="","",I104*T104)</x:f>
        <x:v>235.64319751349436</x:v>
      </x:c>
    </x:row>
    <x:row r="105" ht="18" customHeight="1">
      <x:c r="A105" s="46" t="str">
        <x:v>LME_014</x:v>
      </x:c>
      <x:c r="B105" s="46" t="str">
        <x:v>Patagonian Shelf</x:v>
      </x:c>
      <x:c r="C105" s="46" t="str">
        <x:v>LME</x:v>
      </x:c>
      <x:c r="D105" s="58" t="n">
        <x:v>2019</x:v>
      </x:c>
      <x:c r="E105" s="46" t="str">
        <x:v>Sciaenidae</x:v>
      </x:c>
      <x:c r="F105" s="46" t="str">
        <x:v>Drums, croakers</x:v>
      </x:c>
      <x:c r="G105" s="46" t="str">
        <x:v>Medium demersals (30 - 89 cm)</x:v>
      </x:c>
      <x:c r="H105" s="46" t="str">
        <x:v>Perch-likes</x:v>
      </x:c>
      <x:c r="I105" s="60" t="n">
        <x:v>0.5688849704</x:v>
      </x:c>
      <x:c r="J105" s="60" t="n">
        <x:v>0.2200007234</x:v>
      </x:c>
      <x:c r="K105" s="60" t="n">
        <x:v>0.348884247</x:v>
      </x:c>
      <x:c r="L105" s="60" t="n">
        <x:v>0.0184573025</x:v>
      </x:c>
      <x:c r="M105" s="60" t="n">
        <x:v>0.5504276679</x:v>
      </x:c>
      <x:c r="N105" s="46" t="str">
        <x:v>sciaenidae</x:v>
      </x:c>
      <x:c r="O105" s="62" t="n">
        <x:v>3.76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Sciaenidae</x:v>
      </x:c>
      <x:c r="T105" s="62" t="n">
        <x:f>IF(O105="","",(1/'Metadata'!$B$5)^(O105-1))</x:f>
        <x:v>3898.0085558913897</x:v>
      </x:c>
      <x:c r="U105" s="60" t="n">
        <x:f>IF(T105="","",I105*T105)</x:f>
        <x:v>2217.51848193722</x:v>
      </x:c>
    </x:row>
    <x:row r="106" ht="18" customHeight="1">
      <x:c r="A106" s="46" t="str">
        <x:v>LME_014</x:v>
      </x:c>
      <x:c r="B106" s="46" t="str">
        <x:v>Patagonian Shelf</x:v>
      </x:c>
      <x:c r="C106" s="46" t="str">
        <x:v>LME</x:v>
      </x:c>
      <x:c r="D106" s="58" t="n">
        <x:v>2019</x:v>
      </x:c>
      <x:c r="E106" s="46" t="str">
        <x:v>Auxis</x:v>
      </x:c>
      <x:c r="F106" s="46" t="str">
        <x:v>Bullet and frigate tunas</x:v>
      </x:c>
      <x:c r="G106" s="46" t="str">
        <x:v>Medium pelagics (30 - 89 cm)</x:v>
      </x:c>
      <x:c r="H106" s="46" t="str">
        <x:v>Tuna &amp; billfishes</x:v>
      </x:c>
      <x:c r="I106" s="60" t="n">
        <x:v>0.5523173323999999</x:v>
      </x:c>
      <x:c r="J106" s="60" t="n">
        <x:v>0.5523173323999999</x:v>
      </x:c>
      <x:c r="K106" s="60" t="n">
        <x:v>0</x:v>
      </x:c>
      <x:c r="L106" s="60" t="n">
        <x:v>0.5523173323999999</x:v>
      </x:c>
      <x:c r="M106" s="60" t="n">
        <x:v>0</x:v>
      </x:c>
      <x:c r="N106" s="46" t="str">
        <x:v>auxis</x:v>
      </x:c>
      <x:c r="O106" s="62" t="n">
        <x:v>4.24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Auxis</x:v>
      </x:c>
      <x:c r="T106" s="62" t="n">
        <x:f>IF(O106="","",(1/'Metadata'!$B$5)^(O106-1))</x:f>
        <x:v>16418.64020623336</x:v>
      </x:c>
      <x:c r="U106" s="60" t="n">
        <x:f>IF(T106="","",I106*T106)</x:f>
        <x:v>9068.299560342193</x:v>
      </x:c>
    </x:row>
    <x:row r="107" ht="18" customHeight="1">
      <x:c r="A107" s="46" t="str">
        <x:v>LME_014</x:v>
      </x:c>
      <x:c r="B107" s="46" t="str">
        <x:v>Patagonian Shelf</x:v>
      </x:c>
      <x:c r="C107" s="46" t="str">
        <x:v>LME</x:v>
      </x:c>
      <x:c r="D107" s="58" t="n">
        <x:v>2019</x:v>
      </x:c>
      <x:c r="E107" s="46" t="str">
        <x:v>Mugil liza</x:v>
      </x:c>
      <x:c r="F107" s="46" t="str">
        <x:v>Lebranche mullet</x:v>
      </x:c>
      <x:c r="G107" s="46" t="str">
        <x:v>Medium demersals (30 - 89 cm)</x:v>
      </x:c>
      <x:c r="H107" s="46" t="str">
        <x:v>Perch-likes</x:v>
      </x:c>
      <x:c r="I107" s="60" t="n">
        <x:v>0.5026823202999999</x:v>
      </x:c>
      <x:c r="J107" s="60" t="n">
        <x:v>0.5026823202999999</x:v>
      </x:c>
      <x:c r="K107" s="60" t="n">
        <x:v>0</x:v>
      </x:c>
      <x:c r="L107" s="60" t="n">
        <x:v>0.4931182597</x:v>
      </x:c>
      <x:c r="M107" s="60" t="n">
        <x:v>0.0095640606</x:v>
      </x:c>
      <x:c r="N107" s="46" t="str">
        <x:v>mugil liza</x:v>
      </x:c>
      <x:c r="O107" s="62" t="n">
        <x:v>2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Mugil liza</x:v>
      </x:c>
      <x:c r="T107" s="62" t="n">
        <x:f>IF(O107="","",(1/'Metadata'!$B$5)^(O107-1))</x:f>
        <x:v>20</x:v>
      </x:c>
      <x:c r="U107" s="60" t="n">
        <x:f>IF(T107="","",I107*T107)</x:f>
        <x:v>10.053646405999999</x:v>
      </x:c>
    </x:row>
    <x:row r="108" ht="18" customHeight="1">
      <x:c r="A108" s="46" t="str">
        <x:v>LME_014</x:v>
      </x:c>
      <x:c r="B108" s="46" t="str">
        <x:v>Patagonian Shelf</x:v>
      </x:c>
      <x:c r="C108" s="46" t="str">
        <x:v>LME</x:v>
      </x:c>
      <x:c r="D108" s="58" t="n">
        <x:v>2019</x:v>
      </x:c>
      <x:c r="E108" s="46" t="str">
        <x:v>Mytilidae</x:v>
      </x:c>
      <x:c r="F108" s="46" t="str">
        <x:v>Sea mussels</x:v>
      </x:c>
      <x:c r="G108" s="46" t="str">
        <x:v>Other demersal invertebrates</x:v>
      </x:c>
      <x:c r="H108" s="46" t="str">
        <x:v>Molluscs</x:v>
      </x:c>
      <x:c r="I108" s="60" t="n">
        <x:v>0.3734688867</x:v>
      </x:c>
      <x:c r="J108" s="60" t="n">
        <x:v>0.3734688867</x:v>
      </x:c>
      <x:c r="K108" s="60" t="n">
        <x:v>0</x:v>
      </x:c>
      <x:c r="L108" s="60" t="n">
        <x:v>0.36977001589999997</x:v>
      </x:c>
      <x:c r="M108" s="60" t="n">
        <x:v>0.0036988708</x:v>
      </x:c>
      <x:c r="N108" s="46" t="str">
        <x:v>mytilidae</x:v>
      </x:c>
      <x:c r="O108" s="62" t="n">
        <x:v>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Mytilidae</x:v>
      </x:c>
      <x:c r="T108" s="62" t="n">
        <x:f>IF(O108="","",(1/'Metadata'!$B$5)^(O108-1))</x:f>
        <x:v>20</x:v>
      </x:c>
      <x:c r="U108" s="60" t="n">
        <x:f>IF(T108="","",I108*T108)</x:f>
        <x:v>7.469377734</x:v>
      </x:c>
    </x:row>
    <x:row r="109" ht="18" customHeight="1">
      <x:c r="A109" s="46" t="str">
        <x:v>LME_014</x:v>
      </x:c>
      <x:c r="B109" s="46" t="str">
        <x:v>Patagonian Shelf</x:v>
      </x:c>
      <x:c r="C109" s="46" t="str">
        <x:v>LME</x:v>
      </x:c>
      <x:c r="D109" s="58" t="n">
        <x:v>2019</x:v>
      </x:c>
      <x:c r="E109" s="46" t="str">
        <x:v>Genypterus</x:v>
      </x:c>
      <x:c r="F109" s="46" t="str">
        <x:v>Genypterid cuskeels</x:v>
      </x:c>
      <x:c r="G109" s="46" t="str">
        <x:v>Large bathydemersals (&gt;=90 cm)</x:v>
      </x:c>
      <x:c r="H109" s="46" t="str">
        <x:v>Other fishes &amp; inverts</x:v>
      </x:c>
      <x:c r="I109" s="60" t="n">
        <x:v>0.3629166787</x:v>
      </x:c>
      <x:c r="J109" s="60" t="n">
        <x:v>0.3629166787</x:v>
      </x:c>
      <x:c r="K109" s="60" t="n">
        <x:v>0</x:v>
      </x:c>
      <x:c r="L109" s="60" t="n">
        <x:v>0.3519316689</x:v>
      </x:c>
      <x:c r="M109" s="60" t="n">
        <x:v>0.010985009799999999</x:v>
      </x:c>
      <x:c r="N109" s="46" t="str">
        <x:v>genypterus</x:v>
      </x:c>
      <x:c r="O109" s="62" t="n">
        <x:v>4.2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Genypterus</x:v>
      </x:c>
      <x:c r="T109" s="62" t="n">
        <x:f>IF(O109="","",(1/'Metadata'!$B$5)^(O109-1))</x:f>
        <x:v>14564.51362420865</x:v>
      </x:c>
      <x:c r="U109" s="60" t="n">
        <x:f>IF(T109="","",I109*T109)</x:f>
        <x:v>5285.704911378703</x:v>
      </x:c>
    </x:row>
    <x:row r="110" ht="18" customHeight="1">
      <x:c r="A110" s="46" t="str">
        <x:v>LME_014</x:v>
      </x:c>
      <x:c r="B110" s="46" t="str">
        <x:v>Patagonian Shelf</x:v>
      </x:c>
      <x:c r="C110" s="46" t="str">
        <x:v>LME</x:v>
      </x:c>
      <x:c r="D110" s="58" t="n">
        <x:v>2019</x:v>
      </x:c>
      <x:c r="E110" s="46" t="str">
        <x:v>Penaeus brasiliensis</x:v>
      </x:c>
      <x:c r="F110" s="46" t="str">
        <x:v>Redspotted shrimp</x:v>
      </x:c>
      <x:c r="G110" s="46" t="str">
        <x:v>Shrimps</x:v>
      </x:c>
      <x:c r="H110" s="46" t="str">
        <x:v>Crustaceans</x:v>
      </x:c>
      <x:c r="I110" s="60" t="n">
        <x:v>0.3423087548</x:v>
      </x:c>
      <x:c r="J110" s="60" t="n">
        <x:v>0.3423087548</x:v>
      </x:c>
      <x:c r="K110" s="60" t="n">
        <x:v>0</x:v>
      </x:c>
      <x:c r="L110" s="60" t="n">
        <x:v>0.3423087548</x:v>
      </x:c>
      <x:c r="M110" s="60" t="n">
        <x:v>0</x:v>
      </x:c>
      <x:c r="N110" s="46" t="str">
        <x:v>penaeus brasiliensis</x:v>
      </x:c>
      <x:c r="O110" s="62" t="n">
        <x:v>2.7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Penaeus brasiliensis</x:v>
      </x:c>
      <x:c r="T110" s="62" t="n">
        <x:f>IF(O110="","",(1/'Metadata'!$B$5)^(O110-1))</x:f>
        <x:v>162.83621261476185</x:v>
      </x:c>
      <x:c r="U110" s="60" t="n">
        <x:f>IF(T110="","",I110*T110)</x:f>
        <x:v>55.74026117650718</x:v>
      </x:c>
    </x:row>
    <x:row r="111" ht="18" customHeight="1">
      <x:c r="A111" s="46" t="str">
        <x:v>LME_014</x:v>
      </x:c>
      <x:c r="B111" s="46" t="str">
        <x:v>Patagonian Shelf</x:v>
      </x:c>
      <x:c r="C111" s="46" t="str">
        <x:v>LME</x:v>
      </x:c>
      <x:c r="D111" s="58" t="n">
        <x:v>2019</x:v>
      </x:c>
      <x:c r="E111" s="46" t="str">
        <x:v>Cynoscion</x:v>
      </x:c>
      <x:c r="F111" s="46" t="str">
        <x:v>Weakfishes</x:v>
      </x:c>
      <x:c r="G111" s="46" t="str">
        <x:v>Medium demersals (30 - 89 cm)</x:v>
      </x:c>
      <x:c r="H111" s="46" t="str">
        <x:v>Perch-likes</x:v>
      </x:c>
      <x:c r="I111" s="60" t="n">
        <x:v>0.31360090090000003</x:v>
      </x:c>
      <x:c r="J111" s="60" t="n">
        <x:v>0.31360090090000003</x:v>
      </x:c>
      <x:c r="K111" s="60" t="n">
        <x:v>0</x:v>
      </x:c>
      <x:c r="L111" s="60" t="n">
        <x:v>0.2589731718</x:v>
      </x:c>
      <x:c r="M111" s="60" t="n">
        <x:v>0.0546277291</x:v>
      </x:c>
      <x:c r="N111" s="46" t="str">
        <x:v>cynoscion</x:v>
      </x:c>
      <x:c r="O111" s="62" t="n">
        <x:v>4.21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Cynoscion</x:v>
      </x:c>
      <x:c r="T111" s="62" t="n">
        <x:f>IF(O111="","",(1/'Metadata'!$B$5)^(O111-1))</x:f>
        <x:v>15007.428609226863</x:v>
      </x:c>
      <x:c r="U111" s="60" t="n">
        <x:f>IF(T111="","",I111*T111)</x:f>
        <x:v>4706.343132045979</x:v>
      </x:c>
    </x:row>
    <x:row r="112" ht="18" customHeight="1">
      <x:c r="A112" s="46" t="str">
        <x:v>LME_014</x:v>
      </x:c>
      <x:c r="B112" s="46" t="str">
        <x:v>Patagonian Shelf</x:v>
      </x:c>
      <x:c r="C112" s="46" t="str">
        <x:v>LME</x:v>
      </x:c>
      <x:c r="D112" s="58" t="n">
        <x:v>2019</x:v>
      </x:c>
      <x:c r="E112" s="46" t="str">
        <x:v>Penaeus schmitti</x:v>
      </x:c>
      <x:c r="F112" s="46" t="str">
        <x:v>Southern white shrimp</x:v>
      </x:c>
      <x:c r="G112" s="46" t="str">
        <x:v>Shrimps</x:v>
      </x:c>
      <x:c r="H112" s="46" t="str">
        <x:v>Crustaceans</x:v>
      </x:c>
      <x:c r="I112" s="60" t="n">
        <x:v>0.2971363961</x:v>
      </x:c>
      <x:c r="J112" s="60" t="n">
        <x:v>0.2971363961</x:v>
      </x:c>
      <x:c r="K112" s="60" t="n">
        <x:v>0</x:v>
      </x:c>
      <x:c r="L112" s="60" t="n">
        <x:v>0.2936756162</x:v>
      </x:c>
      <x:c r="M112" s="60" t="n">
        <x:v>0.0034607799</x:v>
      </x:c>
      <x:c r="N112" s="46" t="str">
        <x:v>penaeus schmitti</x:v>
      </x:c>
      <x:c r="O112" s="62" t="n">
        <x:v>2.7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Penaeus schmitti</x:v>
      </x:c>
      <x:c r="T112" s="62" t="n">
        <x:f>IF(O112="","",(1/'Metadata'!$B$5)^(O112-1))</x:f>
        <x:v>162.83621261476185</x:v>
      </x:c>
      <x:c r="U112" s="60" t="n">
        <x:f>IF(T112="","",I112*T112)</x:f>
        <x:v>48.38456537092369</x:v>
      </x:c>
    </x:row>
    <x:row r="113" ht="18" customHeight="1">
      <x:c r="A113" s="46" t="str">
        <x:v>LME_014</x:v>
      </x:c>
      <x:c r="B113" s="46" t="str">
        <x:v>Patagonian Shelf</x:v>
      </x:c>
      <x:c r="C113" s="46" t="str">
        <x:v>LME</x:v>
      </x:c>
      <x:c r="D113" s="58" t="n">
        <x:v>2019</x:v>
      </x:c>
      <x:c r="E113" s="46" t="str">
        <x:v>Bivalvia</x:v>
      </x:c>
      <x:c r="F113" s="46" t="str">
        <x:v>Clams</x:v>
      </x:c>
      <x:c r="G113" s="46" t="str">
        <x:v>Other demersal invertebrates</x:v>
      </x:c>
      <x:c r="H113" s="46" t="str">
        <x:v>Molluscs</x:v>
      </x:c>
      <x:c r="I113" s="60" t="n">
        <x:v>0.2746779116</x:v>
      </x:c>
      <x:c r="J113" s="60" t="n">
        <x:v>0.2746779116</x:v>
      </x:c>
      <x:c r="K113" s="60" t="n">
        <x:v>0</x:v>
      </x:c>
      <x:c r="L113" s="60" t="n">
        <x:v>0.08364447529999999</x:v>
      </x:c>
      <x:c r="M113" s="60" t="n">
        <x:v>0.1910334363</x:v>
      </x:c>
      <x:c r="N113" s="46" t="str">
        <x:v>bivalvia</x:v>
      </x:c>
      <x:c r="O113" s="62" t="n">
        <x:v>2.23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Bivalvia</x:v>
      </x:c>
      <x:c r="T113" s="62" t="n">
        <x:f>IF(O113="","",(1/'Metadata'!$B$5)^(O113-1))</x:f>
        <x:v>39.83519015836661</x:v>
      </x:c>
      <x:c r="U113" s="60" t="n">
        <x:f>IF(T113="","",I113*T113)</x:f>
        <x:v>10.941846840889013</x:v>
      </x:c>
    </x:row>
    <x:row r="114" ht="18" customHeight="1">
      <x:c r="A114" s="46" t="str">
        <x:v>LME_014</x:v>
      </x:c>
      <x:c r="B114" s="46" t="str">
        <x:v>Patagonian Shelf</x:v>
      </x:c>
      <x:c r="C114" s="46" t="str">
        <x:v>LME</x:v>
      </x:c>
      <x:c r="D114" s="58" t="n">
        <x:v>2019</x:v>
      </x:c>
      <x:c r="E114" s="46" t="str">
        <x:v>Menticirrhus</x:v>
      </x:c>
      <x:c r="F114" s="46" t="str">
        <x:v>Kingcroakers</x:v>
      </x:c>
      <x:c r="G114" s="46" t="str">
        <x:v>Medium demersals (30 - 89 cm)</x:v>
      </x:c>
      <x:c r="H114" s="46" t="str">
        <x:v>Perch-likes</x:v>
      </x:c>
      <x:c r="I114" s="60" t="n">
        <x:v>0.2625058541</x:v>
      </x:c>
      <x:c r="J114" s="60" t="n">
        <x:v>0.1321833908</x:v>
      </x:c>
      <x:c r="K114" s="60" t="n">
        <x:v>0.1303224633</x:v>
      </x:c>
      <x:c r="L114" s="60" t="n">
        <x:v>0.1295041957</x:v>
      </x:c>
      <x:c r="M114" s="60" t="n">
        <x:v>0.1330016584</x:v>
      </x:c>
      <x:c r="N114" s="46" t="str">
        <x:v>menticirrhus</x:v>
      </x:c>
      <x:c r="O114" s="62" t="n">
        <x:v>3.67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Menticirrhus</x:v>
      </x:c>
      <x:c r="T114" s="62" t="n">
        <x:f>IF(O114="","",(1/'Metadata'!$B$5)^(O114-1))</x:f>
        <x:v>2976.8029570258213</x:v>
      </x:c>
      <x:c r="U114" s="60" t="n">
        <x:f>IF(T114="","",I114*T114)</x:f>
        <x:v>781.4282027214688</x:v>
      </x:c>
    </x:row>
    <x:row r="115" ht="18" customHeight="1">
      <x:c r="A115" s="46" t="str">
        <x:v>LME_014</x:v>
      </x:c>
      <x:c r="B115" s="46" t="str">
        <x:v>Patagonian Shelf</x:v>
      </x:c>
      <x:c r="C115" s="46" t="str">
        <x:v>LME</x:v>
      </x:c>
      <x:c r="D115" s="58" t="n">
        <x:v>2019</x:v>
      </x:c>
      <x:c r="E115" s="46" t="str">
        <x:v>Pinguipedidae</x:v>
      </x:c>
      <x:c r="F115" s="46" t="str">
        <x:v>Sandperches</x:v>
      </x:c>
      <x:c r="G115" s="46" t="str">
        <x:v>Medium demersals (30 - 89 cm)</x:v>
      </x:c>
      <x:c r="H115" s="46" t="str">
        <x:v>Perch-likes</x:v>
      </x:c>
      <x:c r="I115" s="60" t="n">
        <x:v>0.2309097954</x:v>
      </x:c>
      <x:c r="J115" s="60" t="n">
        <x:v>0.2309097954</x:v>
      </x:c>
      <x:c r="K115" s="60" t="n">
        <x:v>0</x:v>
      </x:c>
      <x:c r="L115" s="60" t="n">
        <x:v>0.2288931296</x:v>
      </x:c>
      <x:c r="M115" s="60" t="n">
        <x:v>0.0020166658</x:v>
      </x:c>
      <x:c r="N115" s="46" t="str">
        <x:v>pinguipedidae</x:v>
      </x:c>
      <x:c r="O115" s="62" t="n">
        <x:v>3.49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Pinguipedidae</x:v>
      </x:c>
      <x:c r="T115" s="62" t="n">
        <x:f>IF(O115="","",(1/'Metadata'!$B$5)^(O115-1))</x:f>
        <x:v>1736.059833884101</x:v>
      </x:c>
      <x:c r="U115" s="60" t="n">
        <x:f>IF(T115="","",I115*T115)</x:f>
        <x:v>400.87322104433576</x:v>
      </x:c>
    </x:row>
    <x:row r="116" ht="18" customHeight="1">
      <x:c r="A116" s="46" t="str">
        <x:v>LME_014</x:v>
      </x:c>
      <x:c r="B116" s="46" t="str">
        <x:v>Patagonian Shelf</x:v>
      </x:c>
      <x:c r="C116" s="46" t="str">
        <x:v>LME</x:v>
      </x:c>
      <x:c r="D116" s="58" t="n">
        <x:v>2019</x:v>
      </x:c>
      <x:c r="E116" s="46" t="str">
        <x:v>Seriola</x:v>
      </x:c>
      <x:c r="F116" s="46" t="str">
        <x:v>Amberjacks</x:v>
      </x:c>
      <x:c r="G116" s="46" t="str">
        <x:v>Large benthopelagics (&gt;=90 cm)</x:v>
      </x:c>
      <x:c r="H116" s="46" t="str">
        <x:v>Perch-likes</x:v>
      </x:c>
      <x:c r="I116" s="60" t="n">
        <x:v>0.2302606921</x:v>
      </x:c>
      <x:c r="J116" s="60" t="n">
        <x:v>0.2302606921</x:v>
      </x:c>
      <x:c r="K116" s="60" t="n">
        <x:v>0</x:v>
      </x:c>
      <x:c r="L116" s="60" t="n">
        <x:v>0.2181955474</x:v>
      </x:c>
      <x:c r="M116" s="60" t="n">
        <x:v>0.0120651447</x:v>
      </x:c>
      <x:c r="N116" s="46" t="str">
        <x:v>seriola</x:v>
      </x:c>
      <x:c r="O116" s="62" t="n">
        <x:v>4.39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Seriola</x:v>
      </x:c>
      <x:c r="T116" s="62" t="n">
        <x:f>IF(O116="","",(1/'Metadata'!$B$5)^(O116-1))</x:f>
        <x:v>25733.07497204781</x:v>
      </x:c>
      <x:c r="U116" s="60" t="n">
        <x:f>IF(T116="","",I116*T116)</x:f>
        <x:v>5925.315652924916</x:v>
      </x:c>
    </x:row>
    <x:row r="117" ht="18" customHeight="1">
      <x:c r="A117" s="46" t="str">
        <x:v>LME_014</x:v>
      </x:c>
      <x:c r="B117" s="46" t="str">
        <x:v>Patagonian Shelf</x:v>
      </x:c>
      <x:c r="C117" s="46" t="str">
        <x:v>LME</x:v>
      </x:c>
      <x:c r="D117" s="58" t="n">
        <x:v>2019</x:v>
      </x:c>
      <x:c r="E117" s="46" t="str">
        <x:v>Mullus argentinae</x:v>
      </x:c>
      <x:c r="F117" s="46" t="str">
        <x:v>Argentine goatfish</x:v>
      </x:c>
      <x:c r="G117" s="46" t="str">
        <x:v>Small demersals (&lt;30 cm)</x:v>
      </x:c>
      <x:c r="H117" s="46" t="str">
        <x:v>Perch-likes</x:v>
      </x:c>
      <x:c r="I117" s="60" t="n">
        <x:v>0.2196185742</x:v>
      </x:c>
      <x:c r="J117" s="60" t="n">
        <x:v>0.2196185742</x:v>
      </x:c>
      <x:c r="K117" s="60" t="n">
        <x:v>0</x:v>
      </x:c>
      <x:c r="L117" s="60" t="n">
        <x:v>0.0863567838</x:v>
      </x:c>
      <x:c r="M117" s="60" t="n">
        <x:v>0.1332617904</x:v>
      </x:c>
      <x:c r="N117" s="46" t="str">
        <x:v>mullus argentinae</x:v>
      </x:c>
      <x:c r="O117" s="62" t="n">
        <x:v>3.45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Mullus argentinae</x:v>
      </x:c>
      <x:c r="T117" s="62" t="n">
        <x:f>IF(O117="","",(1/'Metadata'!$B$5)^(O117-1))</x:f>
        <x:v>1540.009817222681</x:v>
      </x:c>
      <x:c r="U117" s="60" t="n">
        <x:f>IF(T117="","",I117*T117)</x:f>
        <x:v>338.2147603124478</x:v>
      </x:c>
    </x:row>
    <x:row r="118" ht="18" customHeight="1">
      <x:c r="A118" s="46" t="str">
        <x:v>LME_014</x:v>
      </x:c>
      <x:c r="B118" s="46" t="str">
        <x:v>Patagonian Shelf</x:v>
      </x:c>
      <x:c r="C118" s="46" t="str">
        <x:v>LME</x:v>
      </x:c>
      <x:c r="D118" s="58" t="n">
        <x:v>2019</x:v>
      </x:c>
      <x:c r="E118" s="46" t="str">
        <x:v>Lophius gastrophysus</x:v>
      </x:c>
      <x:c r="F118" s="46" t="str">
        <x:v>Blackfin goosefish</x:v>
      </x:c>
      <x:c r="G118" s="46" t="str">
        <x:v>Medium bathydemersals (30 - 89 cm)</x:v>
      </x:c>
      <x:c r="H118" s="46" t="str">
        <x:v>Other fishes &amp; inverts</x:v>
      </x:c>
      <x:c r="I118" s="60" t="n">
        <x:v>0.2008103168</x:v>
      </x:c>
      <x:c r="J118" s="60" t="n">
        <x:v>0.2008103168</x:v>
      </x:c>
      <x:c r="K118" s="60" t="n">
        <x:v>0</x:v>
      </x:c>
      <x:c r="L118" s="60" t="n">
        <x:v>0.1967036086</x:v>
      </x:c>
      <x:c r="M118" s="60" t="n">
        <x:v>0.0041067082</x:v>
      </x:c>
      <x:c r="N118" s="46" t="str">
        <x:v>lophius gastrophysus</x:v>
      </x:c>
      <x:c r="O118" s="62" t="n">
        <x:v>4.49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Lophius gastrophysus</x:v>
      </x:c>
      <x:c r="T118" s="62" t="n">
        <x:f>IF(O118="","",(1/'Metadata'!$B$5)^(O118-1))</x:f>
        <x:v>34721.19667768202</x:v>
      </x:c>
      <x:c r="U118" s="60" t="n">
        <x:f>IF(T118="","",I118*T118)</x:f>
        <x:v>6972.374504520434</x:v>
      </x:c>
    </x:row>
    <x:row r="119" ht="18" customHeight="1">
      <x:c r="A119" s="46" t="str">
        <x:v>LME_014</x:v>
      </x:c>
      <x:c r="B119" s="46" t="str">
        <x:v>Patagonian Shelf</x:v>
      </x:c>
      <x:c r="C119" s="46" t="str">
        <x:v>LME</x:v>
      </x:c>
      <x:c r="D119" s="58" t="n">
        <x:v>2019</x:v>
      </x:c>
      <x:c r="E119" s="46" t="str">
        <x:v>Veneridae</x:v>
      </x:c>
      <x:c r="F119" s="46" t="str">
        <x:v>Venus clams</x:v>
      </x:c>
      <x:c r="G119" s="46" t="str">
        <x:v>Other demersal invertebrates</x:v>
      </x:c>
      <x:c r="H119" s="46" t="str">
        <x:v>Molluscs</x:v>
      </x:c>
      <x:c r="I119" s="60" t="n">
        <x:v>0.1893010252</x:v>
      </x:c>
      <x:c r="J119" s="60" t="n">
        <x:v>0.1893010252</x:v>
      </x:c>
      <x:c r="K119" s="60" t="n">
        <x:v>0</x:v>
      </x:c>
      <x:c r="L119" s="60" t="n">
        <x:v>0.1171350609</x:v>
      </x:c>
      <x:c r="M119" s="60" t="n">
        <x:v>0.0721659643</x:v>
      </x:c>
      <x:c r="N119" s="46" t="str">
        <x:v>veneridae</x:v>
      </x:c>
      <x:c r="O119" s="62" t="n">
        <x:v>2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Veneridae</x:v>
      </x:c>
      <x:c r="T119" s="62" t="n">
        <x:f>IF(O119="","",(1/'Metadata'!$B$5)^(O119-1))</x:f>
        <x:v>20</x:v>
      </x:c>
      <x:c r="U119" s="60" t="n">
        <x:f>IF(T119="","",I119*T119)</x:f>
        <x:v>3.786020504</x:v>
      </x:c>
    </x:row>
    <x:row r="120" ht="18" customHeight="1">
      <x:c r="A120" s="46" t="str">
        <x:v>LME_014</x:v>
      </x:c>
      <x:c r="B120" s="46" t="str">
        <x:v>Patagonian Shelf</x:v>
      </x:c>
      <x:c r="C120" s="46" t="str">
        <x:v>LME</x:v>
      </x:c>
      <x:c r="D120" s="58" t="n">
        <x:v>2019</x:v>
      </x:c>
      <x:c r="E120" s="46" t="str">
        <x:v>Porichthys porosissimus</x:v>
      </x:c>
      <x:c r="F120" s="46" t="str">
        <x:v>South American toadfish</x:v>
      </x:c>
      <x:c r="G120" s="46" t="str">
        <x:v>Small demersals (&lt;30 cm)</x:v>
      </x:c>
      <x:c r="H120" s="46" t="str">
        <x:v>Other fishes &amp; inverts</x:v>
      </x:c>
      <x:c r="I120" s="60" t="n">
        <x:v>0.1721137108</x:v>
      </x:c>
      <x:c r="J120" s="60" t="n">
        <x:v>0.0091732006</x:v>
      </x:c>
      <x:c r="K120" s="60" t="n">
        <x:v>0.1629405102</x:v>
      </x:c>
      <x:c r="L120" s="60" t="n">
        <x:v>0.008981254</x:v>
      </x:c>
      <x:c r="M120" s="60" t="n">
        <x:v>0.16313245680000002</x:v>
      </x:c>
      <x:c r="N120" s="46" t="str">
        <x:v>porichthys porosissimus</x:v>
      </x:c>
      <x:c r="O120" s="62" t="n">
        <x:v>3.73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Porichthys porosissimus</x:v>
      </x:c>
      <x:c r="T120" s="62" t="n">
        <x:f>IF(O120="","",(1/'Metadata'!$B$5)^(O120-1))</x:f>
        <x:v>3562.967723629534</x:v>
      </x:c>
      <x:c r="U120" s="60" t="n">
        <x:f>IF(T120="","",I120*T120)</x:f>
        <x:v>613.235596374508</x:v>
      </x:c>
    </x:row>
    <x:row r="121" ht="18" customHeight="1">
      <x:c r="A121" s="46" t="str">
        <x:v>LME_014</x:v>
      </x:c>
      <x:c r="B121" s="46" t="str">
        <x:v>Patagonian Shelf</x:v>
      </x:c>
      <x:c r="C121" s="46" t="str">
        <x:v>LME</x:v>
      </x:c>
      <x:c r="D121" s="58" t="n">
        <x:v>2019</x:v>
      </x:c>
      <x:c r="E121" s="46" t="str">
        <x:v>Lagocephalus laevigatus</x:v>
      </x:c>
      <x:c r="F121" s="46" t="str">
        <x:v>Smooth puffer</x:v>
      </x:c>
      <x:c r="G121" s="46" t="str">
        <x:v>Medium pelagics (30 - 89 cm)</x:v>
      </x:c>
      <x:c r="H121" s="46" t="str">
        <x:v>Other fishes &amp; inverts</x:v>
      </x:c>
      <x:c r="I121" s="60" t="n">
        <x:v>0.15973382179999998</x:v>
      </x:c>
      <x:c r="J121" s="60" t="n">
        <x:v>0.15973382179999998</x:v>
      </x:c>
      <x:c r="K121" s="60" t="n">
        <x:v>0</x:v>
      </x:c>
      <x:c r="L121" s="60" t="n">
        <x:v>0.1533476315</x:v>
      </x:c>
      <x:c r="M121" s="60" t="n">
        <x:v>0.0063861903000000005</x:v>
      </x:c>
      <x:c r="N121" s="46" t="str">
        <x:v>lagocephalus laevigatus</x:v>
      </x:c>
      <x:c r="O121" s="62" t="n">
        <x:v>4.02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Lagocephalus laevigatus</x:v>
      </x:c>
      <x:c r="T121" s="62" t="n">
        <x:f>IF(O121="","",(1/'Metadata'!$B$5)^(O121-1))</x:f>
        <x:v>8493.967342839818</x:v>
      </x:c>
      <x:c r="U121" s="60" t="n">
        <x:f>IF(T121="","",I121*T121)</x:f>
        <x:v>1356.7738659161948</x:v>
      </x:c>
    </x:row>
    <x:row r="122" ht="18" customHeight="1">
      <x:c r="A122" s="46" t="str">
        <x:v>LME_014</x:v>
      </x:c>
      <x:c r="B122" s="46" t="str">
        <x:v>Patagonian Shelf</x:v>
      </x:c>
      <x:c r="C122" s="46" t="str">
        <x:v>LME</x:v>
      </x:c>
      <x:c r="D122" s="58" t="n">
        <x:v>2019</x:v>
      </x:c>
      <x:c r="E122" s="46" t="str">
        <x:v>Selene setapinnis</x:v>
      </x:c>
      <x:c r="F122" s="46" t="str">
        <x:v>Atlantic moonfish</x:v>
      </x:c>
      <x:c r="G122" s="46" t="str">
        <x:v>Medium demersals (30 - 89 cm)</x:v>
      </x:c>
      <x:c r="H122" s="46" t="str">
        <x:v>Perch-likes</x:v>
      </x:c>
      <x:c r="I122" s="60" t="n">
        <x:v>0.1398582373</x:v>
      </x:c>
      <x:c r="J122" s="60" t="n">
        <x:v>0.0799573608</x:v>
      </x:c>
      <x:c r="K122" s="60" t="n">
        <x:v>0.059900876500000005</x:v>
      </x:c>
      <x:c r="L122" s="60" t="n">
        <x:v>0.077448284</x:v>
      </x:c>
      <x:c r="M122" s="60" t="n">
        <x:v>0.0624099533</x:v>
      </x:c>
      <x:c r="N122" s="46" t="str">
        <x:v>selene setapinnis</x:v>
      </x:c>
      <x:c r="O122" s="62" t="n">
        <x:v>3.72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Selene setapinnis</x:v>
      </x:c>
      <x:c r="T122" s="62" t="n">
        <x:f>IF(O122="","",(1/'Metadata'!$B$5)^(O122-1))</x:f>
        <x:v>3457.8136804537753</x:v>
      </x:c>
      <x:c r="U122" s="60" t="n">
        <x:f>IF(T122="","",I122*T122)</x:f>
        <x:v>483.60372626009047</x:v>
      </x:c>
    </x:row>
    <x:row r="123" ht="18" customHeight="1">
      <x:c r="A123" s="46" t="str">
        <x:v>LME_014</x:v>
      </x:c>
      <x:c r="B123" s="46" t="str">
        <x:v>Patagonian Shelf</x:v>
      </x:c>
      <x:c r="C123" s="46" t="str">
        <x:v>LME</x:v>
      </x:c>
      <x:c r="D123" s="58" t="n">
        <x:v>2019</x:v>
      </x:c>
      <x:c r="E123" s="46" t="str">
        <x:v>Opisthonema oglinum</x:v>
      </x:c>
      <x:c r="F123" s="46" t="str">
        <x:v>Atlantic thread herring</x:v>
      </x:c>
      <x:c r="G123" s="46" t="str">
        <x:v>Small pelagics (&lt;30 cm)</x:v>
      </x:c>
      <x:c r="H123" s="46" t="str">
        <x:v>Herring-likes</x:v>
      </x:c>
      <x:c r="I123" s="60" t="n">
        <x:v>0.136546966</x:v>
      </x:c>
      <x:c r="J123" s="60" t="n">
        <x:v>0.136546966</x:v>
      </x:c>
      <x:c r="K123" s="60" t="n">
        <x:v>0</x:v>
      </x:c>
      <x:c r="L123" s="60" t="n">
        <x:v>0.1337710797</x:v>
      </x:c>
      <x:c r="M123" s="60" t="n">
        <x:v>0.0027758863</x:v>
      </x:c>
      <x:c r="N123" s="46" t="str">
        <x:v>opisthonema oglinum</x:v>
      </x:c>
      <x:c r="O123" s="62" t="n">
        <x:v>4.5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Opisthonema oglinum</x:v>
      </x:c>
      <x:c r="T123" s="62" t="n">
        <x:f>IF(O123="","",(1/'Metadata'!$B$5)^(O123-1))</x:f>
        <x:v>35777.08763999664</x:v>
      </x:c>
      <x:c r="U123" s="60" t="n">
        <x:f>IF(T123="","",I123*T123)</x:f>
        <x:v>4885.252769557641</x:v>
      </x:c>
    </x:row>
    <x:row r="124" ht="18" customHeight="1">
      <x:c r="A124" s="46" t="str">
        <x:v>LME_014</x:v>
      </x:c>
      <x:c r="B124" s="46" t="str">
        <x:v>Patagonian Shelf</x:v>
      </x:c>
      <x:c r="C124" s="46" t="str">
        <x:v>LME</x:v>
      </x:c>
      <x:c r="D124" s="58" t="n">
        <x:v>2019</x:v>
      </x:c>
      <x:c r="E124" s="46" t="str">
        <x:v>Callinectes</x:v>
      </x:c>
      <x:c r="F124" s="46" t="str">
        <x:v>Beautiful swimming crabs</x:v>
      </x:c>
      <x:c r="G124" s="46" t="str">
        <x:v>Lobsters, crabs</x:v>
      </x:c>
      <x:c r="H124" s="46" t="str">
        <x:v>Crustaceans</x:v>
      </x:c>
      <x:c r="I124" s="60" t="n">
        <x:v>0.107639959</x:v>
      </x:c>
      <x:c r="J124" s="60" t="n">
        <x:v>0.107639959</x:v>
      </x:c>
      <x:c r="K124" s="60" t="n">
        <x:v>0</x:v>
      </x:c>
      <x:c r="L124" s="60" t="n">
        <x:v>0.1055283803</x:v>
      </x:c>
      <x:c r="M124" s="60" t="n">
        <x:v>0.0021115786999999996</x:v>
      </x:c>
      <x:c r="N124" s="46" t="str">
        <x:v>callinectes</x:v>
      </x:c>
      <x:c r="O124" s="62" t="n">
        <x:v>3.63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Callinectes</x:v>
      </x:c>
      <x:c r="T124" s="62" t="n">
        <x:f>IF(O124="","",(1/'Metadata'!$B$5)^(O124-1))</x:f>
        <x:v>2640.638121038009</x:v>
      </x:c>
      <x:c r="U124" s="60" t="n">
        <x:f>IF(T124="","",I124*T124)</x:f>
        <x:v>284.23817908236833</x:v>
      </x:c>
    </x:row>
    <x:row r="125" ht="18" customHeight="1">
      <x:c r="A125" s="46" t="str">
        <x:v>LME_014</x:v>
      </x:c>
      <x:c r="B125" s="46" t="str">
        <x:v>Patagonian Shelf</x:v>
      </x:c>
      <x:c r="C125" s="46" t="str">
        <x:v>LME</x:v>
      </x:c>
      <x:c r="D125" s="58" t="n">
        <x:v>2019</x:v>
      </x:c>
      <x:c r="E125" s="46" t="str">
        <x:v>Marine finfishes not identified</x:v>
      </x:c>
      <x:c r="F125" s="46" t="str">
        <x:v>Finfishes</x:v>
      </x:c>
      <x:c r="G125" s="46" t="str">
        <x:v>Medium demersals (30 - 89 cm)</x:v>
      </x:c>
      <x:c r="H125" s="46" t="str">
        <x:v>Other fishes &amp; inverts</x:v>
      </x:c>
      <x:c r="I125" s="60" t="n">
        <x:v>0.0866986455</x:v>
      </x:c>
      <x:c r="J125" s="60" t="n">
        <x:v>0</x:v>
      </x:c>
      <x:c r="K125" s="60" t="n">
        <x:v>0.0866986455</x:v>
      </x:c>
      <x:c r="L125" s="60" t="n">
        <x:v>0</x:v>
      </x:c>
      <x:c r="M125" s="60" t="n">
        <x:v>0.0866986455</x:v>
      </x:c>
      <x:c r="N125" s="46" t="str">
        <x:v>marine finfishes not identified</x:v>
      </x:c>
      <x:c r="O125" s="62" t="n">
        <x:v>3.23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Marine finfishes not identified</x:v>
      </x:c>
      <x:c r="T125" s="62" t="n">
        <x:f>IF(O125="","",(1/'Metadata'!$B$5)^(O125-1))</x:f>
        <x:v>796.7038031673321</x:v>
      </x:c>
      <x:c r="U125" s="60" t="n">
        <x:f>IF(T125="","",I125*T125)</x:f>
        <x:v>69.07314059930631</x:v>
      </x:c>
    </x:row>
    <x:row r="126" ht="18" customHeight="1">
      <x:c r="A126" s="46" t="str">
        <x:v>LME_014</x:v>
      </x:c>
      <x:c r="B126" s="46" t="str">
        <x:v>Patagonian Shelf</x:v>
      </x:c>
      <x:c r="C126" s="46" t="str">
        <x:v>LME</x:v>
      </x:c>
      <x:c r="D126" s="58" t="n">
        <x:v>2019</x:v>
      </x:c>
      <x:c r="E126" s="46" t="str">
        <x:v>Carangidae</x:v>
      </x:c>
      <x:c r="F126" s="46" t="str">
        <x:v>Jacks, pompanos</x:v>
      </x:c>
      <x:c r="G126" s="46" t="str">
        <x:v>Medium pelagics (30 - 89 cm)</x:v>
      </x:c>
      <x:c r="H126" s="46" t="str">
        <x:v>Perch-likes</x:v>
      </x:c>
      <x:c r="I126" s="60" t="n">
        <x:v>0.08514347550000001</x:v>
      </x:c>
      <x:c r="J126" s="60" t="n">
        <x:v>0.0771542724</x:v>
      </x:c>
      <x:c r="K126" s="60" t="n">
        <x:v>0.0079892031</x:v>
      </x:c>
      <x:c r="L126" s="60" t="n">
        <x:v>0.0618994546</x:v>
      </x:c>
      <x:c r="M126" s="60" t="n">
        <x:v>0.023244020900000002</x:v>
      </x:c>
      <x:c r="N126" s="46" t="str">
        <x:v>carangidae</x:v>
      </x:c>
      <x:c r="O126" s="62" t="n">
        <x:v>4.05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Carangidae</x:v>
      </x:c>
      <x:c r="T126" s="62" t="n">
        <x:f>IF(O126="","",(1/'Metadata'!$B$5)^(O126-1))</x:f>
        <x:v>9292.690797132333</x:v>
      </x:c>
      <x:c r="U126" s="60" t="n">
        <x:f>IF(T126="","",I126*T126)</x:f>
        <x:v>791.2119912147123</x:v>
      </x:c>
    </x:row>
    <x:row r="127" ht="18" customHeight="1">
      <x:c r="A127" s="46" t="str">
        <x:v>LME_014</x:v>
      </x:c>
      <x:c r="B127" s="46" t="str">
        <x:v>Patagonian Shelf</x:v>
      </x:c>
      <x:c r="C127" s="46" t="str">
        <x:v>LME</x:v>
      </x:c>
      <x:c r="D127" s="58" t="n">
        <x:v>2019</x:v>
      </x:c>
      <x:c r="E127" s="46" t="str">
        <x:v>Stellifer rastrifer</x:v>
      </x:c>
      <x:c r="F127" s="46" t="str">
        <x:v>Rake stardrum</x:v>
      </x:c>
      <x:c r="G127" s="46" t="str">
        <x:v>Small demersals (&lt;30 cm)</x:v>
      </x:c>
      <x:c r="H127" s="46" t="str">
        <x:v>Perch-likes</x:v>
      </x:c>
      <x:c r="I127" s="60" t="n">
        <x:v>0.082206854</x:v>
      </x:c>
      <x:c r="J127" s="60" t="n">
        <x:v>6.545999999999999e-7</x:v>
      </x:c>
      <x:c r="K127" s="60" t="n">
        <x:v>0.0822061994</x:v>
      </x:c>
      <x:c r="L127" s="60" t="n">
        <x:v>6.31e-7</x:v>
      </x:c>
      <x:c r="M127" s="60" t="n">
        <x:v>0.082206223</x:v>
      </x:c>
      <x:c r="N127" s="46" t="str">
        <x:v>stellifer rastrifer</x:v>
      </x:c>
      <x:c r="O127" s="62" t="n">
        <x:v>3.39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Stellifer rastrifer</x:v>
      </x:c>
      <x:c r="T127" s="62" t="n">
        <x:f>IF(O127="","",(1/'Metadata'!$B$5)^(O127-1))</x:f>
        <x:v>1286.6537486023922</x:v>
      </x:c>
      <x:c r="U127" s="60" t="n">
        <x:f>IF(T127="","",I127*T127)</x:f>
        <x:v>105.77175685990956</x:v>
      </x:c>
    </x:row>
    <x:row r="128" ht="18" customHeight="1">
      <x:c r="A128" s="46" t="str">
        <x:v>LME_014</x:v>
      </x:c>
      <x:c r="B128" s="46" t="str">
        <x:v>Patagonian Shelf</x:v>
      </x:c>
      <x:c r="C128" s="46" t="str">
        <x:v>LME</x:v>
      </x:c>
      <x:c r="D128" s="58" t="n">
        <x:v>2019</x:v>
      </x:c>
      <x:c r="E128" s="46" t="str">
        <x:v>Serranidae</x:v>
      </x:c>
      <x:c r="F128" s="46" t="str">
        <x:v>Basses, groupers, hinds</x:v>
      </x:c>
      <x:c r="G128" s="46" t="str">
        <x:v>Medium reef assoc. fish (30 - 89 cm)</x:v>
      </x:c>
      <x:c r="H128" s="46" t="str">
        <x:v>Perch-likes</x:v>
      </x:c>
      <x:c r="I128" s="60" t="n">
        <x:v>0.0735107346</x:v>
      </x:c>
      <x:c r="J128" s="60" t="n">
        <x:v>0.0735107346</x:v>
      </x:c>
      <x:c r="K128" s="60" t="n">
        <x:v>0</x:v>
      </x:c>
      <x:c r="L128" s="60" t="n">
        <x:v>0.0720026087</x:v>
      </x:c>
      <x:c r="M128" s="60" t="n">
        <x:v>0.0015081259</x:v>
      </x:c>
      <x:c r="N128" s="46" t="str">
        <x:v>serranidae</x:v>
      </x:c>
      <x:c r="O128" s="62" t="n">
        <x:v>3.98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Serranidae</x:v>
      </x:c>
      <x:c r="T128" s="62" t="n">
        <x:f>IF(O128="","",(1/'Metadata'!$B$5)^(O128-1))</x:f>
        <x:v>7534.759367064222</x:v>
      </x:c>
      <x:c r="U128" s="60" t="n">
        <x:f>IF(T128="","",I128*T128)</x:f>
        <x:v>553.885696107122</x:v>
      </x:c>
    </x:row>
    <x:row r="129" ht="18" customHeight="1">
      <x:c r="A129" s="46" t="str">
        <x:v>LME_014</x:v>
      </x:c>
      <x:c r="B129" s="46" t="str">
        <x:v>Patagonian Shelf</x:v>
      </x:c>
      <x:c r="C129" s="46" t="str">
        <x:v>LME</x:v>
      </x:c>
      <x:c r="D129" s="58" t="n">
        <x:v>2019</x:v>
      </x:c>
      <x:c r="E129" s="46" t="str">
        <x:v>Pleuronectiformes</x:v>
      </x:c>
      <x:c r="F129" s="46" t="str">
        <x:v>Flatfishes</x:v>
      </x:c>
      <x:c r="G129" s="46" t="str">
        <x:v>Small to medium flatfishes (&lt;90 cm)</x:v>
      </x:c>
      <x:c r="H129" s="46" t="str">
        <x:v>Flatfishes</x:v>
      </x:c>
      <x:c r="I129" s="60" t="n">
        <x:v>0.060438124600000004</x:v>
      </x:c>
      <x:c r="J129" s="60" t="n">
        <x:v>0.060438124600000004</x:v>
      </x:c>
      <x:c r="K129" s="60" t="n">
        <x:v>0</x:v>
      </x:c>
      <x:c r="L129" s="60" t="n">
        <x:v>0.059098893900000005</x:v>
      </x:c>
      <x:c r="M129" s="60" t="n">
        <x:v>0.0013392307</x:v>
      </x:c>
      <x:c r="N129" s="46" t="str">
        <x:v>pleuronectiformes</x:v>
      </x:c>
      <x:c r="O129" s="62" t="n">
        <x:v>3.57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Pleuronectiformes</x:v>
      </x:c>
      <x:c r="T129" s="62" t="n">
        <x:f>IF(O129="","",(1/'Metadata'!$B$5)^(O129-1))</x:f>
        <x:v>2206.2112196552644</x:v>
      </x:c>
      <x:c r="U129" s="60" t="n">
        <x:f>IF(T129="","",I129*T129)</x:f>
        <x:v>133.33926858744283</x:v>
      </x:c>
    </x:row>
    <x:row r="130" ht="18" customHeight="1">
      <x:c r="A130" s="46" t="str">
        <x:v>LME_014</x:v>
      </x:c>
      <x:c r="B130" s="46" t="str">
        <x:v>Patagonian Shelf</x:v>
      </x:c>
      <x:c r="C130" s="46" t="str">
        <x:v>LME</x:v>
      </x:c>
      <x:c r="D130" s="58" t="n">
        <x:v>2019</x:v>
      </x:c>
      <x:c r="E130" s="46" t="str">
        <x:v>Callinectes danae</x:v>
      </x:c>
      <x:c r="F130" s="46" t="str">
        <x:v>Dana's swimming crab</x:v>
      </x:c>
      <x:c r="G130" s="46" t="str">
        <x:v>Lobsters, crabs</x:v>
      </x:c>
      <x:c r="H130" s="46" t="str">
        <x:v>Crustaceans</x:v>
      </x:c>
      <x:c r="I130" s="60" t="n">
        <x:v>0.0589054915</x:v>
      </x:c>
      <x:c r="J130" s="60" t="n">
        <x:v>0.0589054915</x:v>
      </x:c>
      <x:c r="K130" s="60" t="n">
        <x:v>0</x:v>
      </x:c>
      <x:c r="L130" s="60" t="n">
        <x:v>0.058534410599999996</x:v>
      </x:c>
      <x:c r="M130" s="60" t="n">
        <x:v>0.0003710809</x:v>
      </x:c>
      <x:c r="N130" s="46" t="str">
        <x:v>callinectes danae</x:v>
      </x:c>
      <x:c r="O130" s="62" t="n">
        <x:v>3.63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Callinectes danae</x:v>
      </x:c>
      <x:c r="T130" s="62" t="n">
        <x:f>IF(O130="","",(1/'Metadata'!$B$5)^(O130-1))</x:f>
        <x:v>2640.638121038009</x:v>
      </x:c>
      <x:c r="U130" s="60" t="n">
        <x:f>IF(T130="","",I130*T130)</x:f>
        <x:v>155.5480863933804</x:v>
      </x:c>
    </x:row>
    <x:row r="131" ht="18" customHeight="1">
      <x:c r="A131" s="46" t="str">
        <x:v>LME_014</x:v>
      </x:c>
      <x:c r="B131" s="46" t="str">
        <x:v>Patagonian Shelf</x:v>
      </x:c>
      <x:c r="C131" s="46" t="str">
        <x:v>LME</x:v>
      </x:c>
      <x:c r="D131" s="58" t="n">
        <x:v>2019</x:v>
      </x:c>
      <x:c r="E131" s="46" t="str">
        <x:v>Engraulidae</x:v>
      </x:c>
      <x:c r="F131" s="46" t="str">
        <x:v>Anchovies, round herrings</x:v>
      </x:c>
      <x:c r="G131" s="46" t="str">
        <x:v>Small pelagics (&lt;30 cm)</x:v>
      </x:c>
      <x:c r="H131" s="46" t="str">
        <x:v>Anchovies</x:v>
      </x:c>
      <x:c r="I131" s="60" t="n">
        <x:v>0.055380864599999996</x:v>
      </x:c>
      <x:c r="J131" s="60" t="n">
        <x:v>0.055380864599999996</x:v>
      </x:c>
      <x:c r="K131" s="60" t="n">
        <x:v>0</x:v>
      </x:c>
      <x:c r="L131" s="60" t="n">
        <x:v>0.037268758299999996</x:v>
      </x:c>
      <x:c r="M131" s="60" t="n">
        <x:v>0.0181121063</x:v>
      </x:c>
      <x:c r="N131" s="46" t="str">
        <x:v>engraulidae</x:v>
      </x:c>
      <x:c r="O131" s="62" t="n">
        <x:v>3.2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Engraulidae</x:v>
      </x:c>
      <x:c r="T131" s="62" t="n">
        <x:f>IF(O131="","",(1/'Metadata'!$B$5)^(O131-1))</x:f>
        <x:v>728.2256812104325</x:v>
      </x:c>
      <x:c r="U131" s="60" t="n">
        <x:f>IF(T131="","",I131*T131)</x:f>
        <x:v>40.32976784935772</x:v>
      </x:c>
    </x:row>
    <x:row r="132" ht="18" customHeight="1">
      <x:c r="A132" s="46" t="str">
        <x:v>LME_014</x:v>
      </x:c>
      <x:c r="B132" s="46" t="str">
        <x:v>Patagonian Shelf</x:v>
      </x:c>
      <x:c r="C132" s="46" t="str">
        <x:v>LME</x:v>
      </x:c>
      <x:c r="D132" s="58" t="n">
        <x:v>2019</x:v>
      </x:c>
      <x:c r="E132" s="46" t="str">
        <x:v>Clupeiformes</x:v>
      </x:c>
      <x:c r="F132" s="46" t="str">
        <x:v>Herrings, shads, anchovies</x:v>
      </x:c>
      <x:c r="G132" s="46" t="str">
        <x:v>Small pelagics (&lt;30 cm)</x:v>
      </x:c>
      <x:c r="H132" s="46" t="str">
        <x:v>Other fishes &amp; inverts</x:v>
      </x:c>
      <x:c r="I132" s="60" t="n">
        <x:v>0.0528447175</x:v>
      </x:c>
      <x:c r="J132" s="60" t="n">
        <x:v>0.0528447175</x:v>
      </x:c>
      <x:c r="K132" s="60" t="n">
        <x:v>0</x:v>
      </x:c>
      <x:c r="L132" s="60" t="n">
        <x:v>0.0528447175</x:v>
      </x:c>
      <x:c r="M132" s="60" t="n">
        <x:v>0</x:v>
      </x:c>
      <x:c r="N132" s="46" t="str">
        <x:v>clupeiformes</x:v>
      </x:c>
      <x:c r="O132" s="62" t="n">
        <x:v>3.24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Clupeiformes</x:v>
      </x:c>
      <x:c r="T132" s="62" t="n">
        <x:f>IF(O132="","",(1/'Metadata'!$B$5)^(O132-1))</x:f>
        <x:v>820.9320103116679</x:v>
      </x:c>
      <x:c r="U132" s="60" t="n">
        <x:f>IF(T132="","",I132*T132)</x:f>
        <x:v>43.38192017162718</x:v>
      </x:c>
    </x:row>
    <x:row r="133" ht="18" customHeight="1">
      <x:c r="A133" s="46" t="str">
        <x:v>LME_014</x:v>
      </x:c>
      <x:c r="B133" s="46" t="str">
        <x:v>Patagonian Shelf</x:v>
      </x:c>
      <x:c r="C133" s="46" t="str">
        <x:v>LME</x:v>
      </x:c>
      <x:c r="D133" s="58" t="n">
        <x:v>2019</x:v>
      </x:c>
      <x:c r="E133" s="46" t="str">
        <x:v>Balistes capriscus</x:v>
      </x:c>
      <x:c r="F133" s="46" t="str">
        <x:v>Grey triggerfish</x:v>
      </x:c>
      <x:c r="G133" s="46" t="str">
        <x:v>Medium benthopelagics (30 - 89 cm)</x:v>
      </x:c>
      <x:c r="H133" s="46" t="str">
        <x:v>Other fishes &amp; inverts</x:v>
      </x:c>
      <x:c r="I133" s="60" t="n">
        <x:v>0.0494838493</x:v>
      </x:c>
      <x:c r="J133" s="60" t="n">
        <x:v>0.0494838493</x:v>
      </x:c>
      <x:c r="K133" s="60" t="n">
        <x:v>0</x:v>
      </x:c>
      <x:c r="L133" s="60" t="n">
        <x:v>0.048036826399999996</x:v>
      </x:c>
      <x:c r="M133" s="60" t="n">
        <x:v>0.0014470229</x:v>
      </x:c>
      <x:c r="N133" s="46" t="str">
        <x:v>balistes capriscus</x:v>
      </x:c>
      <x:c r="O133" s="62" t="n">
        <x:v>4.06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Balistes capriscus</x:v>
      </x:c>
      <x:c r="T133" s="62" t="n">
        <x:f>IF(O133="","",(1/'Metadata'!$B$5)^(O133-1))</x:f>
        <x:v>9575.286708769883</x:v>
      </x:c>
      <x:c r="U133" s="60" t="n">
        <x:f>IF(T133="","",I133*T133)</x:f>
        <x:v>473.8220445010619</x:v>
      </x:c>
    </x:row>
    <x:row r="134" ht="18" customHeight="1">
      <x:c r="A134" s="46" t="str">
        <x:v>LME_014</x:v>
      </x:c>
      <x:c r="B134" s="46" t="str">
        <x:v>Patagonian Shelf</x:v>
      </x:c>
      <x:c r="C134" s="46" t="str">
        <x:v>LME</x:v>
      </x:c>
      <x:c r="D134" s="58" t="n">
        <x:v>2019</x:v>
      </x:c>
      <x:c r="E134" s="46" t="str">
        <x:v>Thunnus obesus</x:v>
      </x:c>
      <x:c r="F134" s="46" t="str">
        <x:v>Bigeye tuna</x:v>
      </x:c>
      <x:c r="G134" s="46" t="str">
        <x:v>Large pelagics (&gt;=90 cm)</x:v>
      </x:c>
      <x:c r="H134" s="46" t="str">
        <x:v>Tuna &amp; billfishes</x:v>
      </x:c>
      <x:c r="I134" s="60" t="n">
        <x:v>0.0313287659</x:v>
      </x:c>
      <x:c r="J134" s="60" t="n">
        <x:v>0.0313287659</x:v>
      </x:c>
      <x:c r="K134" s="60" t="n">
        <x:v>0</x:v>
      </x:c>
      <x:c r="L134" s="60" t="n">
        <x:v>0.0313287659</x:v>
      </x:c>
      <x:c r="M134" s="60" t="n">
        <x:v>0</x:v>
      </x:c>
      <x:c r="N134" s="46" t="str">
        <x:v>thunnus obesus</x:v>
      </x:c>
      <x:c r="O134" s="62" t="n">
        <x:v>4.49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Thunnus obesus</x:v>
      </x:c>
      <x:c r="T134" s="62" t="n">
        <x:f>IF(O134="","",(1/'Metadata'!$B$5)^(O134-1))</x:f>
        <x:v>34721.19667768202</x:v>
      </x:c>
      <x:c r="U134" s="60" t="n">
        <x:f>IF(T134="","",I134*T134)</x:f>
        <x:v>1087.7722424829576</x:v>
      </x:c>
    </x:row>
    <x:row r="135" ht="18" customHeight="1">
      <x:c r="A135" s="46" t="str">
        <x:v>LME_014</x:v>
      </x:c>
      <x:c r="B135" s="46" t="str">
        <x:v>Patagonian Shelf</x:v>
      </x:c>
      <x:c r="C135" s="46" t="str">
        <x:v>LME</x:v>
      </x:c>
      <x:c r="D135" s="58" t="n">
        <x:v>2019</x:v>
      </x:c>
      <x:c r="E135" s="46" t="str">
        <x:v>Cynoglossidae</x:v>
      </x:c>
      <x:c r="F135" s="46" t="str">
        <x:v>Tonguefishes</x:v>
      </x:c>
      <x:c r="G135" s="46" t="str">
        <x:v>Small to medium flatfishes (&lt;90 cm)</x:v>
      </x:c>
      <x:c r="H135" s="46" t="str">
        <x:v>Flatfishes</x:v>
      </x:c>
      <x:c r="I135" s="60" t="n">
        <x:v>0.0241020494</x:v>
      </x:c>
      <x:c r="J135" s="60" t="n">
        <x:v>5.48e-7</x:v>
      </x:c>
      <x:c r="K135" s="60" t="n">
        <x:v>0.0241015014</x:v>
      </x:c>
      <x:c r="L135" s="60" t="n">
        <x:v>5.48e-7</x:v>
      </x:c>
      <x:c r="M135" s="60" t="n">
        <x:v>0.0241015014</x:v>
      </x:c>
      <x:c r="N135" s="46" t="str">
        <x:v>cynoglossidae</x:v>
      </x:c>
      <x:c r="O135" s="62" t="n">
        <x:v>3.29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Cynoglossidae</x:v>
      </x:c>
      <x:c r="T135" s="62" t="n">
        <x:f>IF(O135="","",(1/'Metadata'!$B$5)^(O135-1))</x:f>
        <x:v>953.5834171618228</x:v>
      </x:c>
      <x:c r="U135" s="60" t="n">
        <x:f>IF(T135="","",I135*T135)</x:f>
        <x:v>22.98331462745506</x:v>
      </x:c>
    </x:row>
    <x:row r="136" ht="18" customHeight="1">
      <x:c r="A136" s="46" t="str">
        <x:v>LME_014</x:v>
      </x:c>
      <x:c r="B136" s="46" t="str">
        <x:v>Patagonian Shelf</x:v>
      </x:c>
      <x:c r="C136" s="46" t="str">
        <x:v>LME</x:v>
      </x:c>
      <x:c r="D136" s="58" t="n">
        <x:v>2019</x:v>
      </x:c>
      <x:c r="E136" s="46" t="str">
        <x:v>Perna perna</x:v>
      </x:c>
      <x:c r="F136" s="46" t="str">
        <x:v>South American rock mussel</x:v>
      </x:c>
      <x:c r="G136" s="46" t="str">
        <x:v>Other demersal invertebrates</x:v>
      </x:c>
      <x:c r="H136" s="46" t="str">
        <x:v>Molluscs</x:v>
      </x:c>
      <x:c r="I136" s="60" t="n">
        <x:v>0.022347741100000002</x:v>
      </x:c>
      <x:c r="J136" s="60" t="n">
        <x:v>0.022347741100000002</x:v>
      </x:c>
      <x:c r="K136" s="60" t="n">
        <x:v>0</x:v>
      </x:c>
      <x:c r="L136" s="60" t="n">
        <x:v>0.0223131575</x:v>
      </x:c>
      <x:c r="M136" s="60" t="n">
        <x:v>0.0000345836</x:v>
      </x:c>
      <x:c r="N136" s="46" t="str">
        <x:v>perna perna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Perna perna</x:v>
      </x:c>
      <x:c r="T136" s="62" t="n">
        <x:f>IF(O136="","",(1/'Metadata'!$B$5)^(O136-1))</x:f>
        <x:v>20</x:v>
      </x:c>
      <x:c r="U136" s="60" t="n">
        <x:f>IF(T136="","",I136*T136)</x:f>
        <x:v>0.44695482200000003</x:v>
      </x:c>
    </x:row>
    <x:row r="137" ht="18" customHeight="1">
      <x:c r="A137" s="46" t="str">
        <x:v>LME_014</x:v>
      </x:c>
      <x:c r="B137" s="46" t="str">
        <x:v>Patagonian Shelf</x:v>
      </x:c>
      <x:c r="C137" s="46" t="str">
        <x:v>LME</x:v>
      </x:c>
      <x:c r="D137" s="58" t="n">
        <x:v>2019</x:v>
      </x:c>
      <x:c r="E137" s="46" t="str">
        <x:v>Dasyatidae</x:v>
      </x:c>
      <x:c r="F137" s="46" t="str">
        <x:v>Whiptail stingrays</x:v>
      </x:c>
      <x:c r="G137" s="46" t="str">
        <x:v>Large rays (&gt;=90 cm)</x:v>
      </x:c>
      <x:c r="H137" s="46" t="str">
        <x:v>Sharks &amp; rays</x:v>
      </x:c>
      <x:c r="I137" s="60" t="n">
        <x:v>0.021712578399999998</x:v>
      </x:c>
      <x:c r="J137" s="60" t="n">
        <x:v>0.021712578399999998</x:v>
      </x:c>
      <x:c r="K137" s="60" t="n">
        <x:v>0</x:v>
      </x:c>
      <x:c r="L137" s="60" t="n">
        <x:v>0.021707470399999998</x:v>
      </x:c>
      <x:c r="M137" s="60" t="n">
        <x:v>0.000005108</x:v>
      </x:c>
      <x:c r="N137" s="46" t="str">
        <x:v>dasyatidae</x:v>
      </x:c>
      <x:c r="O137" s="62" t="n">
        <x:v>3.38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Dasyatidae</x:v>
      </x:c>
      <x:c r="T137" s="62" t="n">
        <x:f>IF(O137="","",(1/'Metadata'!$B$5)^(O137-1))</x:f>
        <x:v>1248.6806726928048</x:v>
      </x:c>
      <x:c r="U137" s="60" t="n">
        <x:f>IF(T137="","",I137*T137)</x:f>
        <x:v>27.11207700240726</x:v>
      </x:c>
    </x:row>
    <x:row r="138" ht="18" customHeight="1">
      <x:c r="A138" s="46" t="str">
        <x:v>LME_014</x:v>
      </x:c>
      <x:c r="B138" s="46" t="str">
        <x:v>Patagonian Shelf</x:v>
      </x:c>
      <x:c r="C138" s="46" t="str">
        <x:v>LME</x:v>
      </x:c>
      <x:c r="D138" s="58" t="n">
        <x:v>2019</x:v>
      </x:c>
      <x:c r="E138" s="46" t="str">
        <x:v>Lutjanus</x:v>
      </x:c>
      <x:c r="F138" s="46" t="str">
        <x:v>Snappers</x:v>
      </x:c>
      <x:c r="G138" s="46" t="str">
        <x:v>Medium reef assoc. fish (30 - 89 cm)</x:v>
      </x:c>
      <x:c r="H138" s="46" t="str">
        <x:v>Perch-likes</x:v>
      </x:c>
      <x:c r="I138" s="60" t="n">
        <x:v>0.0191499542</x:v>
      </x:c>
      <x:c r="J138" s="60" t="n">
        <x:v>0.0191499542</x:v>
      </x:c>
      <x:c r="K138" s="60" t="n">
        <x:v>0</x:v>
      </x:c>
      <x:c r="L138" s="60" t="n">
        <x:v>0.0188253655</x:v>
      </x:c>
      <x:c r="M138" s="60" t="n">
        <x:v>0.00032458869999999997</x:v>
      </x:c>
      <x:c r="N138" s="46" t="str">
        <x:v>lutjanus</x:v>
      </x:c>
      <x:c r="O138" s="62" t="n">
        <x:v>4.02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Lutjanus</x:v>
      </x:c>
      <x:c r="T138" s="62" t="n">
        <x:f>IF(O138="","",(1/'Metadata'!$B$5)^(O138-1))</x:f>
        <x:v>8493.967342839818</x:v>
      </x:c>
      <x:c r="U138" s="60" t="n">
        <x:f>IF(T138="","",I138*T138)</x:f>
        <x:v>162.6590855916782</x:v>
      </x:c>
    </x:row>
    <x:row r="139" ht="18" customHeight="1">
      <x:c r="A139" s="46" t="str">
        <x:v>LME_014</x:v>
      </x:c>
      <x:c r="B139" s="46" t="str">
        <x:v>Patagonian Shelf</x:v>
      </x:c>
      <x:c r="C139" s="46" t="str">
        <x:v>LME</x:v>
      </x:c>
      <x:c r="D139" s="58" t="n">
        <x:v>2019</x:v>
      </x:c>
      <x:c r="E139" s="46" t="str">
        <x:v>Selene vomer</x:v>
      </x:c>
      <x:c r="F139" s="46" t="str">
        <x:v>Lookdown</x:v>
      </x:c>
      <x:c r="G139" s="46" t="str">
        <x:v>Medium demersals (30 - 89 cm)</x:v>
      </x:c>
      <x:c r="H139" s="46" t="str">
        <x:v>Perch-likes</x:v>
      </x:c>
      <x:c r="I139" s="60" t="n">
        <x:v>0.0189302299</x:v>
      </x:c>
      <x:c r="J139" s="60" t="n">
        <x:v>0.0189302299</x:v>
      </x:c>
      <x:c r="K139" s="60" t="n">
        <x:v>0</x:v>
      </x:c>
      <x:c r="L139" s="60" t="n">
        <x:v>0.0039506069000000005</x:v>
      </x:c>
      <x:c r="M139" s="60" t="n">
        <x:v>0.014979623</x:v>
      </x:c>
      <x:c r="N139" s="46" t="str">
        <x:v>selene vomer</x:v>
      </x:c>
      <x:c r="O139" s="62" t="n">
        <x:v>4.29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Selene vomer</x:v>
      </x:c>
      <x:c r="T139" s="62" t="n">
        <x:f>IF(O139="","",(1/'Metadata'!$B$5)^(O139-1))</x:f>
        <x:v>19071.668343236455</x:v>
      </x:c>
      <x:c r="U139" s="60" t="n">
        <x:f>IF(T139="","",I139*T139)</x:f>
        <x:v>361.03106631401823</x:v>
      </x:c>
    </x:row>
    <x:row r="140" ht="18" customHeight="1">
      <x:c r="A140" s="46" t="str">
        <x:v>LME_014</x:v>
      </x:c>
      <x:c r="B140" s="46" t="str">
        <x:v>Patagonian Shelf</x:v>
      </x:c>
      <x:c r="C140" s="46" t="str">
        <x:v>LME</x:v>
      </x:c>
      <x:c r="D140" s="58" t="n">
        <x:v>2019</x:v>
      </x:c>
      <x:c r="E140" s="46" t="str">
        <x:v>Balistidae</x:v>
      </x:c>
      <x:c r="F140" s="46" t="str">
        <x:v>Triggerfishes</x:v>
      </x:c>
      <x:c r="G140" s="46" t="str">
        <x:v>Medium reef assoc. fish (30 - 89 cm)</x:v>
      </x:c>
      <x:c r="H140" s="46" t="str">
        <x:v>Other fishes &amp; inverts</x:v>
      </x:c>
      <x:c r="I140" s="60" t="n">
        <x:v>0.0172227668</x:v>
      </x:c>
      <x:c r="J140" s="60" t="n">
        <x:v>0.0172227668</x:v>
      </x:c>
      <x:c r="K140" s="60" t="n">
        <x:v>0</x:v>
      </x:c>
      <x:c r="L140" s="60" t="n">
        <x:v>0.0168981885</x:v>
      </x:c>
      <x:c r="M140" s="60" t="n">
        <x:v>0.0003245783</x:v>
      </x:c>
      <x:c r="N140" s="46" t="str">
        <x:v>balistidae</x:v>
      </x:c>
      <x:c r="O140" s="62" t="n">
        <x:v>3.25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Balistidae</x:v>
      </x:c>
      <x:c r="T140" s="62" t="n">
        <x:f>IF(O140="","",(1/'Metadata'!$B$5)^(O140-1))</x:f>
        <x:v>845.8970107524513</x:v>
      </x:c>
      <x:c r="U140" s="60" t="n">
        <x:f>IF(T140="","",I140*T140)</x:f>
        <x:v>14.56868695300656</x:v>
      </x:c>
    </x:row>
    <x:row r="141" ht="18" customHeight="1">
      <x:c r="A141" s="46" t="str">
        <x:v>LME_014</x:v>
      </x:c>
      <x:c r="B141" s="46" t="str">
        <x:v>Patagonian Shelf</x:v>
      </x:c>
      <x:c r="C141" s="46" t="str">
        <x:v>LME</x:v>
      </x:c>
      <x:c r="D141" s="58" t="n">
        <x:v>2019</x:v>
      </x:c>
      <x:c r="E141" s="46" t="str">
        <x:v>Megalops atlanticus</x:v>
      </x:c>
      <x:c r="F141" s="46" t="str">
        <x:v>Tarpon</x:v>
      </x:c>
      <x:c r="G141" s="46" t="str">
        <x:v>Large pelagics (&gt;=90 cm)</x:v>
      </x:c>
      <x:c r="H141" s="46" t="str">
        <x:v>Other fishes &amp; inverts</x:v>
      </x:c>
      <x:c r="I141" s="60" t="n">
        <x:v>0.0170116124</x:v>
      </x:c>
      <x:c r="J141" s="60" t="n">
        <x:v>0.0170116124</x:v>
      </x:c>
      <x:c r="K141" s="60" t="n">
        <x:v>0</x:v>
      </x:c>
      <x:c r="L141" s="60" t="n">
        <x:v>0.0167906486</x:v>
      </x:c>
      <x:c r="M141" s="60" t="n">
        <x:v>0.00022096380000000002</x:v>
      </x:c>
      <x:c r="N141" s="46" t="str">
        <x:v>megalops atlanticus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Megalops atlanticus</x:v>
      </x:c>
      <x:c r="T141" s="62" t="n">
        <x:f>IF(O141="","",(1/'Metadata'!$B$5)^(O141-1))</x:f>
        <x:v>35777.08763999664</x:v>
      </x:c>
      <x:c r="U141" s="60" t="n">
        <x:f>IF(T141="","",I141*T141)</x:f>
        <x:v>608.6259477324536</x:v>
      </x:c>
    </x:row>
    <x:row r="142" ht="18" customHeight="1">
      <x:c r="A142" s="46" t="str">
        <x:v>LME_014</x:v>
      </x:c>
      <x:c r="B142" s="46" t="str">
        <x:v>Patagonian Shelf</x:v>
      </x:c>
      <x:c r="C142" s="46" t="str">
        <x:v>LME</x:v>
      </x:c>
      <x:c r="D142" s="58" t="n">
        <x:v>2019</x:v>
      </x:c>
      <x:c r="E142" s="46" t="str">
        <x:v>Xiphias gladius</x:v>
      </x:c>
      <x:c r="F142" s="46" t="str">
        <x:v>Swordfish</x:v>
      </x:c>
      <x:c r="G142" s="46" t="str">
        <x:v>Large pelagics (&gt;=90 cm)</x:v>
      </x:c>
      <x:c r="H142" s="46" t="str">
        <x:v>Tuna &amp; billfishes</x:v>
      </x:c>
      <x:c r="I142" s="60" t="n">
        <x:v>0.0169726501</x:v>
      </x:c>
      <x:c r="J142" s="60" t="n">
        <x:v>0.0169726501</x:v>
      </x:c>
      <x:c r="K142" s="60" t="n">
        <x:v>0</x:v>
      </x:c>
      <x:c r="L142" s="60" t="n">
        <x:v>0.0165754248</x:v>
      </x:c>
      <x:c r="M142" s="60" t="n">
        <x:v>0.00039722529999999996</x:v>
      </x:c>
      <x:c r="N142" s="46" t="str">
        <x:v>xiphias gladius</x:v>
      </x:c>
      <x:c r="O142" s="62" t="n">
        <x:v>4.53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Xiphias gladius</x:v>
      </x:c>
      <x:c r="T142" s="62" t="n">
        <x:f>IF(O142="","",(1/'Metadata'!$B$5)^(O142-1))</x:f>
        <x:v>39141.35758252625</x:v>
      </x:c>
      <x:c r="U142" s="60" t="n">
        <x:f>IF(T142="","",I142*T142)</x:f>
        <x:v>664.3325666871999</x:v>
      </x:c>
    </x:row>
    <x:row r="143" ht="18" customHeight="1">
      <x:c r="A143" s="46" t="str">
        <x:v>LME_014</x:v>
      </x:c>
      <x:c r="B143" s="46" t="str">
        <x:v>Patagonian Shelf</x:v>
      </x:c>
      <x:c r="C143" s="46" t="str">
        <x:v>LME</x:v>
      </x:c>
      <x:c r="D143" s="58" t="n">
        <x:v>2019</x:v>
      </x:c>
      <x:c r="E143" s="46" t="str">
        <x:v>Congridae</x:v>
      </x:c>
      <x:c r="F143" s="46" t="str">
        <x:v>Conger, garden eels</x:v>
      </x:c>
      <x:c r="G143" s="46" t="str">
        <x:v>Large demersals (&gt;=90 cm)</x:v>
      </x:c>
      <x:c r="H143" s="46" t="str">
        <x:v>Other fishes &amp; inverts</x:v>
      </x:c>
      <x:c r="I143" s="60" t="n">
        <x:v>0.015606649799999999</x:v>
      </x:c>
      <x:c r="J143" s="60" t="n">
        <x:v>0.015606649799999999</x:v>
      </x:c>
      <x:c r="K143" s="60" t="n">
        <x:v>0</x:v>
      </x:c>
      <x:c r="L143" s="60" t="n">
        <x:v>0</x:v>
      </x:c>
      <x:c r="M143" s="60" t="n">
        <x:v>0.015606649799999999</x:v>
      </x:c>
      <x:c r="N143" s="46" t="str">
        <x:v>congridae</x:v>
      </x:c>
      <x:c r="O143" s="62" t="n">
        <x:v>4.18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Congridae</x:v>
      </x:c>
      <x:c r="T143" s="62" t="n">
        <x:f>IF(O143="","",(1/'Metadata'!$B$5)^(O143-1))</x:f>
        <x:v>13717.513182092556</x:v>
      </x:c>
      <x:c r="U143" s="60" t="n">
        <x:f>IF(T143="","",I143*T143)</x:f>
        <x:v>214.08442435980214</x:v>
      </x:c>
    </x:row>
    <x:row r="144" ht="18" customHeight="1">
      <x:c r="A144" s="46" t="str">
        <x:v>LME_014</x:v>
      </x:c>
      <x:c r="B144" s="46" t="str">
        <x:v>Patagonian Shelf</x:v>
      </x:c>
      <x:c r="C144" s="46" t="str">
        <x:v>LME</x:v>
      </x:c>
      <x:c r="D144" s="58" t="n">
        <x:v>2019</x:v>
      </x:c>
      <x:c r="E144" s="46" t="str">
        <x:v>Crassostrea</x:v>
      </x:c>
      <x:c r="F144" s="46" t="str">
        <x:v>Cupped oysters</x:v>
      </x:c>
      <x:c r="G144" s="46" t="str">
        <x:v>Other demersal invertebrates</x:v>
      </x:c>
      <x:c r="H144" s="46" t="str">
        <x:v>Molluscs</x:v>
      </x:c>
      <x:c r="I144" s="60" t="n">
        <x:v>0.0103642541</x:v>
      </x:c>
      <x:c r="J144" s="60" t="n">
        <x:v>0.0103642541</x:v>
      </x:c>
      <x:c r="K144" s="60" t="n">
        <x:v>0</x:v>
      </x:c>
      <x:c r="L144" s="60" t="n">
        <x:v>0.0094629139</x:v>
      </x:c>
      <x:c r="M144" s="60" t="n">
        <x:v>0.0009013402</x:v>
      </x:c>
      <x:c r="N144" s="46" t="str">
        <x:v>crassostrea</x:v>
      </x:c>
      <x:c r="O144" s="62" t="n">
        <x:v>2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Crassostrea</x:v>
      </x:c>
      <x:c r="T144" s="62" t="n">
        <x:f>IF(O144="","",(1/'Metadata'!$B$5)^(O144-1))</x:f>
        <x:v>20</x:v>
      </x:c>
      <x:c r="U144" s="60" t="n">
        <x:f>IF(T144="","",I144*T144)</x:f>
        <x:v>0.20728508199999998</x:v>
      </x:c>
    </x:row>
    <x:row r="145" ht="18" customHeight="1">
      <x:c r="A145" s="46" t="str">
        <x:v>LME_014</x:v>
      </x:c>
      <x:c r="B145" s="46" t="str">
        <x:v>Patagonian Shelf</x:v>
      </x:c>
      <x:c r="C145" s="46" t="str">
        <x:v>LME</x:v>
      </x:c>
      <x:c r="D145" s="58" t="n">
        <x:v>2019</x:v>
      </x:c>
      <x:c r="E145" s="46" t="str">
        <x:v>Rhinobatos</x:v>
      </x:c>
      <x:c r="F145" s="46" t="str">
        <x:v>Guitarfishes</x:v>
      </x:c>
      <x:c r="G145" s="46" t="str">
        <x:v>Large rays (&gt;=90 cm)</x:v>
      </x:c>
      <x:c r="H145" s="46" t="str">
        <x:v>Sharks &amp; rays</x:v>
      </x:c>
      <x:c r="I145" s="60" t="n">
        <x:v>0.0093315599</x:v>
      </x:c>
      <x:c r="J145" s="60" t="n">
        <x:v>0.0093315599</x:v>
      </x:c>
      <x:c r="K145" s="60" t="n">
        <x:v>0</x:v>
      </x:c>
      <x:c r="L145" s="60" t="n">
        <x:v>0.0092202063</x:v>
      </x:c>
      <x:c r="M145" s="60" t="n">
        <x:v>0.0001113536</x:v>
      </x:c>
      <x:c r="N145" s="46" t="str">
        <x:v>rhinobatos</x:v>
      </x:c>
      <x:c r="O145" s="62" t="n">
        <x:v>3.73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Rhinobatos</x:v>
      </x:c>
      <x:c r="T145" s="62" t="n">
        <x:f>IF(O145="","",(1/'Metadata'!$B$5)^(O145-1))</x:f>
        <x:v>3562.967723629534</x:v>
      </x:c>
      <x:c r="U145" s="60" t="n">
        <x:f>IF(T145="","",I145*T145)</x:f>
        <x:v>33.24804673481564</x:v>
      </x:c>
    </x:row>
    <x:row r="146" ht="18" customHeight="1">
      <x:c r="A146" s="46" t="str">
        <x:v>LME_014</x:v>
      </x:c>
      <x:c r="B146" s="46" t="str">
        <x:v>Patagonian Shelf</x:v>
      </x:c>
      <x:c r="C146" s="46" t="str">
        <x:v>LME</x:v>
      </x:c>
      <x:c r="D146" s="58" t="n">
        <x:v>2019</x:v>
      </x:c>
      <x:c r="E146" s="46" t="str">
        <x:v>Rachycentron canadum</x:v>
      </x:c>
      <x:c r="F146" s="46" t="str">
        <x:v>Cobia</x:v>
      </x:c>
      <x:c r="G146" s="46" t="str">
        <x:v>Large pelagics (&gt;=90 cm)</x:v>
      </x:c>
      <x:c r="H146" s="46" t="str">
        <x:v>Perch-likes</x:v>
      </x:c>
      <x:c r="I146" s="60" t="n">
        <x:v>0.0087445278</x:v>
      </x:c>
      <x:c r="J146" s="60" t="n">
        <x:v>0.0087445278</x:v>
      </x:c>
      <x:c r="K146" s="60" t="n">
        <x:v>0</x:v>
      </x:c>
      <x:c r="L146" s="60" t="n">
        <x:v>0.0085920718</x:v>
      </x:c>
      <x:c r="M146" s="60" t="n">
        <x:v>0.00015245599999999998</x:v>
      </x:c>
      <x:c r="N146" s="46" t="str">
        <x:v>rachycentron canadum</x:v>
      </x:c>
      <x:c r="O146" s="62" t="n">
        <x:v>3.96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Rachycentron canadum</x:v>
      </x:c>
      <x:c r="T146" s="62" t="n">
        <x:f>IF(O146="","",(1/'Metadata'!$B$5)^(O146-1))</x:f>
        <x:v>7096.574839945253</x:v>
      </x:c>
      <x:c r="U146" s="60" t="n">
        <x:f>IF(T146="","",I146*T146)</x:f>
        <x:v>62.05619597268182</x:v>
      </x:c>
    </x:row>
    <x:row r="147" ht="18" customHeight="1">
      <x:c r="A147" s="46" t="str">
        <x:v>LME_014</x:v>
      </x:c>
      <x:c r="B147" s="46" t="str">
        <x:v>Patagonian Shelf</x:v>
      </x:c>
      <x:c r="C147" s="46" t="str">
        <x:v>LME</x:v>
      </x:c>
      <x:c r="D147" s="58" t="n">
        <x:v>2019</x:v>
      </x:c>
      <x:c r="E147" s="46" t="str">
        <x:v>Portunidae</x:v>
      </x:c>
      <x:c r="F147" s="46" t="str">
        <x:v>Swimming crabs</x:v>
      </x:c>
      <x:c r="G147" s="46" t="str">
        <x:v>Lobsters, crabs</x:v>
      </x:c>
      <x:c r="H147" s="46" t="str">
        <x:v>Crustaceans</x:v>
      </x:c>
      <x:c r="I147" s="60" t="n">
        <x:v>0.0086425371</x:v>
      </x:c>
      <x:c r="J147" s="60" t="n">
        <x:v>0.0086425371</x:v>
      </x:c>
      <x:c r="K147" s="60" t="n">
        <x:v>0</x:v>
      </x:c>
      <x:c r="L147" s="60" t="n">
        <x:v>0.0086425371</x:v>
      </x:c>
      <x:c r="M147" s="60" t="n">
        <x:v>0</x:v>
      </x:c>
      <x:c r="N147" s="46" t="str">
        <x:v>portunidae</x:v>
      </x:c>
      <x:c r="O147" s="62" t="n">
        <x:v>3.56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Portunidae</x:v>
      </x:c>
      <x:c r="T147" s="62" t="n">
        <x:f>IF(O147="","",(1/'Metadata'!$B$5)^(O147-1))</x:f>
        <x:v>2141.099198485972</x:v>
      </x:c>
      <x:c r="U147" s="60" t="n">
        <x:f>IF(T147="","",I147*T147)</x:f>
        <x:v>18.50452925769528</x:v>
      </x:c>
    </x:row>
    <x:row r="148" ht="18" customHeight="1">
      <x:c r="A148" s="46" t="str">
        <x:v>LME_014</x:v>
      </x:c>
      <x:c r="B148" s="46" t="str">
        <x:v>Patagonian Shelf</x:v>
      </x:c>
      <x:c r="C148" s="46" t="str">
        <x:v>LME</x:v>
      </x:c>
      <x:c r="D148" s="58" t="n">
        <x:v>2019</x:v>
      </x:c>
      <x:c r="E148" s="46" t="str">
        <x:v>Monacanthidae</x:v>
      </x:c>
      <x:c r="F148" s="46" t="str">
        <x:v>Filefishes</x:v>
      </x:c>
      <x:c r="G148" s="46" t="str">
        <x:v>Medium reef assoc. fish (30 - 89 cm)</x:v>
      </x:c>
      <x:c r="H148" s="46" t="str">
        <x:v>Other fishes &amp; inverts</x:v>
      </x:c>
      <x:c r="I148" s="60" t="n">
        <x:v>0.0084357694</x:v>
      </x:c>
      <x:c r="J148" s="60" t="n">
        <x:v>0.0084357694</x:v>
      </x:c>
      <x:c r="K148" s="60" t="n">
        <x:v>0</x:v>
      </x:c>
      <x:c r="L148" s="60" t="n">
        <x:v>0.0084357694</x:v>
      </x:c>
      <x:c r="M148" s="60" t="n">
        <x:v>0</x:v>
      </x:c>
      <x:c r="N148" s="46" t="str">
        <x:v>monacanthidae</x:v>
      </x:c>
      <x:c r="O148" s="62" t="n">
        <x:v>3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Monacanthidae</x:v>
      </x:c>
      <x:c r="T148" s="62" t="n">
        <x:f>IF(O148="","",(1/'Metadata'!$B$5)^(O148-1))</x:f>
        <x:v>400</x:v>
      </x:c>
      <x:c r="U148" s="60" t="n">
        <x:f>IF(T148="","",I148*T148)</x:f>
        <x:v>3.3743077599999998</x:v>
      </x:c>
    </x:row>
    <x:row r="149" ht="18" customHeight="1">
      <x:c r="A149" s="46" t="str">
        <x:v>LME_014</x:v>
      </x:c>
      <x:c r="B149" s="46" t="str">
        <x:v>Patagonian Shelf</x:v>
      </x:c>
      <x:c r="C149" s="46" t="str">
        <x:v>LME</x:v>
      </x:c>
      <x:c r="D149" s="58" t="n">
        <x:v>2019</x:v>
      </x:c>
      <x:c r="E149" s="46" t="str">
        <x:v>Anguilliformes</x:v>
      </x:c>
      <x:c r="F149" s="46" t="str">
        <x:v>Eels, morays</x:v>
      </x:c>
      <x:c r="G149" s="46" t="str">
        <x:v>Large demersals (&gt;=90 cm)</x:v>
      </x:c>
      <x:c r="H149" s="46" t="str">
        <x:v>Other fishes &amp; inverts</x:v>
      </x:c>
      <x:c r="I149" s="60" t="n">
        <x:v>0.007715648</x:v>
      </x:c>
      <x:c r="J149" s="60" t="n">
        <x:v>0.007715648</x:v>
      </x:c>
      <x:c r="K149" s="60" t="n">
        <x:v>0</x:v>
      </x:c>
      <x:c r="L149" s="60" t="n">
        <x:v>0.0004381822</x:v>
      </x:c>
      <x:c r="M149" s="60" t="n">
        <x:v>0.0072774658</x:v>
      </x:c>
      <x:c r="N149" s="46" t="str">
        <x:v>anguilliformes</x:v>
      </x:c>
      <x:c r="O149" s="62" t="n">
        <x:v>3.89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Anguilliformes</x:v>
      </x:c>
      <x:c r="T149" s="62" t="n">
        <x:f>IF(O149="","",(1/'Metadata'!$B$5)^(O149-1))</x:f>
        <x:v>5754.090490759748</x:v>
      </x:c>
      <x:c r="U149" s="60" t="n">
        <x:f>IF(T149="","",I149*T149)</x:f>
        <x:v>44.39653678684947</x:v>
      </x:c>
    </x:row>
    <x:row r="150" ht="18" customHeight="1">
      <x:c r="A150" s="46" t="str">
        <x:v>LME_014</x:v>
      </x:c>
      <x:c r="B150" s="46" t="str">
        <x:v>Patagonian Shelf</x:v>
      </x:c>
      <x:c r="C150" s="46" t="str">
        <x:v>LME</x:v>
      </x:c>
      <x:c r="D150" s="58" t="n">
        <x:v>2019</x:v>
      </x:c>
      <x:c r="E150" s="46" t="str">
        <x:v>Pristidae</x:v>
      </x:c>
      <x:c r="F150" s="46" t="str">
        <x:v>Sawfishes</x:v>
      </x:c>
      <x:c r="G150" s="46" t="str">
        <x:v>Large rays (&gt;=90 cm)</x:v>
      </x:c>
      <x:c r="H150" s="46" t="str">
        <x:v>Sharks &amp; rays</x:v>
      </x:c>
      <x:c r="I150" s="60" t="n">
        <x:v>0.0074815047</x:v>
      </x:c>
      <x:c r="J150" s="60" t="n">
        <x:v>0.0074815047</x:v>
      </x:c>
      <x:c r="K150" s="60" t="n">
        <x:v>0</x:v>
      </x:c>
      <x:c r="L150" s="60" t="n">
        <x:v>0.0072578647</x:v>
      </x:c>
      <x:c r="M150" s="60" t="n">
        <x:v>0.00022364</x:v>
      </x:c>
      <x:c r="N150" s="46" t="str">
        <x:v>pristidae</x:v>
      </x:c>
      <x:c r="O150" s="62" t="n">
        <x:v>4.24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Pristidae</x:v>
      </x:c>
      <x:c r="T150" s="62" t="n">
        <x:f>IF(O150="","",(1/'Metadata'!$B$5)^(O150-1))</x:f>
        <x:v>16418.64020623336</x:v>
      </x:c>
      <x:c r="U150" s="60" t="n">
        <x:f>IF(T150="","",I150*T150)</x:f>
        <x:v>122.83613387054383</x:v>
      </x:c>
    </x:row>
    <x:row r="151" ht="18" customHeight="1">
      <x:c r="A151" s="46" t="str">
        <x:v>LME_014</x:v>
      </x:c>
      <x:c r="B151" s="46" t="str">
        <x:v>Patagonian Shelf</x:v>
      </x:c>
      <x:c r="C151" s="46" t="str">
        <x:v>LME</x:v>
      </x:c>
      <x:c r="D151" s="58" t="n">
        <x:v>2019</x:v>
      </x:c>
      <x:c r="E151" s="46" t="str">
        <x:v>Cookeolus japonicus</x:v>
      </x:c>
      <x:c r="F151" s="46" t="str">
        <x:v>Longfinned bullseye</x:v>
      </x:c>
      <x:c r="G151" s="46" t="str">
        <x:v>Medium benthopelagics (30 - 89 cm)</x:v>
      </x:c>
      <x:c r="H151" s="46" t="str">
        <x:v>Perch-likes</x:v>
      </x:c>
      <x:c r="I151" s="60" t="n">
        <x:v>0.0070610681</x:v>
      </x:c>
      <x:c r="J151" s="60" t="n">
        <x:v>0.0070610681</x:v>
      </x:c>
      <x:c r="K151" s="60" t="n">
        <x:v>0</x:v>
      </x:c>
      <x:c r="L151" s="60" t="n">
        <x:v>0.0036650494</x:v>
      </x:c>
      <x:c r="M151" s="60" t="n">
        <x:v>0.0033960187</x:v>
      </x:c>
      <x:c r="N151" s="46" t="str">
        <x:v>cookeolus japonicus</x:v>
      </x:c>
      <x:c r="O151" s="62" t="n">
        <x:v>3.5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Cookeolus japonicus</x:v>
      </x:c>
      <x:c r="T151" s="62" t="n">
        <x:f>IF(O151="","",(1/'Metadata'!$B$5)^(O151-1))</x:f>
        <x:v>1788.8543819998317</x:v>
      </x:c>
      <x:c r="U151" s="60" t="n">
        <x:f>IF(T151="","",I151*T151)</x:f>
        <x:v>12.631222612284226</x:v>
      </x:c>
    </x:row>
    <x:row r="152" ht="18" customHeight="1">
      <x:c r="A152" s="46" t="str">
        <x:v>LME_014</x:v>
      </x:c>
      <x:c r="B152" s="46" t="str">
        <x:v>Patagonian Shelf</x:v>
      </x:c>
      <x:c r="C152" s="46" t="str">
        <x:v>LME</x:v>
      </x:c>
      <x:c r="D152" s="58" t="n">
        <x:v>2019</x:v>
      </x:c>
      <x:c r="E152" s="46" t="str">
        <x:v>Thunnus albacares</x:v>
      </x:c>
      <x:c r="F152" s="46" t="str">
        <x:v>Yellowfin tuna</x:v>
      </x:c>
      <x:c r="G152" s="46" t="str">
        <x:v>Large pelagics (&gt;=90 cm)</x:v>
      </x:c>
      <x:c r="H152" s="46" t="str">
        <x:v>Tuna &amp; billfishes</x:v>
      </x:c>
      <x:c r="I152" s="60" t="n">
        <x:v>0.0062572483000000005</x:v>
      </x:c>
      <x:c r="J152" s="60" t="n">
        <x:v>0.0062572483000000005</x:v>
      </x:c>
      <x:c r="K152" s="60" t="n">
        <x:v>0</x:v>
      </x:c>
      <x:c r="L152" s="60" t="n">
        <x:v>0.0055744446</x:v>
      </x:c>
      <x:c r="M152" s="60" t="n">
        <x:v>0.0006828037</x:v>
      </x:c>
      <x:c r="N152" s="46" t="str">
        <x:v>thunnus albacares</x:v>
      </x:c>
      <x:c r="O152" s="62" t="n">
        <x:v>4.41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Thunnus albacares</x:v>
      </x:c>
      <x:c r="T152" s="62" t="n">
        <x:f>IF(O152="","",(1/'Metadata'!$B$5)^(O152-1))</x:f>
        <x:v>27321.987305427916</x:v>
      </x:c>
      <x:c r="U152" s="60" t="n">
        <x:f>IF(T152="","",I152*T152)</x:f>
        <x:v>170.96045861951043</x:v>
      </x:c>
    </x:row>
    <x:row r="153" ht="18" customHeight="1">
      <x:c r="A153" s="46" t="str">
        <x:v>LME_014</x:v>
      </x:c>
      <x:c r="B153" s="46" t="str">
        <x:v>Patagonian Shelf</x:v>
      </x:c>
      <x:c r="C153" s="46" t="str">
        <x:v>LME</x:v>
      </x:c>
      <x:c r="D153" s="58" t="n">
        <x:v>2019</x:v>
      </x:c>
      <x:c r="E153" s="46" t="str">
        <x:v>Decapoda</x:v>
      </x:c>
      <x:c r="F153" s="46" t="str">
        <x:v>Crabs, lobsters, shrimps</x:v>
      </x:c>
      <x:c r="G153" s="46" t="str">
        <x:v>Lobsters, crabs</x:v>
      </x:c>
      <x:c r="H153" s="46" t="str">
        <x:v>Crustaceans</x:v>
      </x:c>
      <x:c r="I153" s="60" t="n">
        <x:v>0.0054140817</x:v>
      </x:c>
      <x:c r="J153" s="60" t="n">
        <x:v>0.0054140817</x:v>
      </x:c>
      <x:c r="K153" s="60" t="n">
        <x:v>0</x:v>
      </x:c>
      <x:c r="L153" s="60" t="n">
        <x:v>0</x:v>
      </x:c>
      <x:c r="M153" s="60" t="n">
        <x:v>0.0054140817</x:v>
      </x:c>
      <x:c r="N153" s="46" t="str">
        <x:v>decapoda</x:v>
      </x:c>
      <x:c r="O153" s="62" t="n">
        <x:v>3.43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Decapoda</x:v>
      </x:c>
      <x:c r="T153" s="62" t="n">
        <x:f>IF(O153="","",(1/'Metadata'!$B$5)^(O153-1))</x:f>
        <x:v>1450.450424461182</x:v>
      </x:c>
      <x:c r="U153" s="60" t="n">
        <x:f>IF(T153="","",I153*T153)</x:f>
        <x:v>7.852857099832518</x:v>
      </x:c>
    </x:row>
    <x:row r="154" ht="18" customHeight="1">
      <x:c r="A154" s="46" t="str">
        <x:v>LME_014</x:v>
      </x:c>
      <x:c r="B154" s="46" t="str">
        <x:v>Patagonian Shelf</x:v>
      </x:c>
      <x:c r="C154" s="46" t="str">
        <x:v>LME</x:v>
      </x:c>
      <x:c r="D154" s="58" t="n">
        <x:v>2019</x:v>
      </x:c>
      <x:c r="E154" s="46" t="str">
        <x:v>Mullidae</x:v>
      </x:c>
      <x:c r="F154" s="46" t="str">
        <x:v>Goatfishes</x:v>
      </x:c>
      <x:c r="G154" s="46" t="str">
        <x:v>Medium reef assoc. fish (30 - 89 cm)</x:v>
      </x:c>
      <x:c r="H154" s="46" t="str">
        <x:v>Perch-likes</x:v>
      </x:c>
      <x:c r="I154" s="60" t="n">
        <x:v>0.0050292189</x:v>
      </x:c>
      <x:c r="J154" s="60" t="n">
        <x:v>0.0050292189</x:v>
      </x:c>
      <x:c r="K154" s="60" t="n">
        <x:v>0</x:v>
      </x:c>
      <x:c r="L154" s="60" t="n">
        <x:v>0.0033030661</x:v>
      </x:c>
      <x:c r="M154" s="60" t="n">
        <x:v>0.0017261528</x:v>
      </x:c>
      <x:c r="N154" s="46" t="str">
        <x:v>mullidae</x:v>
      </x:c>
      <x:c r="O154" s="62" t="n">
        <x:v>3.46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Mullidae</x:v>
      </x:c>
      <x:c r="T154" s="62" t="n">
        <x:f>IF(O154="","",(1/'Metadata'!$B$5)^(O154-1))</x:f>
        <x:v>1586.8423749532276</x:v>
      </x:c>
      <x:c r="U154" s="60" t="n">
        <x:f>IF(T154="","",I154*T154)</x:f>
        <x:v>7.980577663435659</x:v>
      </x:c>
    </x:row>
    <x:row r="155" ht="18" customHeight="1">
      <x:c r="A155" s="46" t="str">
        <x:v>LME_014</x:v>
      </x:c>
      <x:c r="B155" s="46" t="str">
        <x:v>Patagonian Shelf</x:v>
      </x:c>
      <x:c r="C155" s="46" t="str">
        <x:v>LME</x:v>
      </x:c>
      <x:c r="D155" s="58" t="n">
        <x:v>2019</x:v>
      </x:c>
      <x:c r="E155" s="46" t="str">
        <x:v>Carcharias taurus</x:v>
      </x:c>
      <x:c r="F155" s="46" t="str">
        <x:v>Sand tiger shark</x:v>
      </x:c>
      <x:c r="G155" s="46" t="str">
        <x:v>Large sharks (&gt;=90 cm)</x:v>
      </x:c>
      <x:c r="H155" s="46" t="str">
        <x:v>Sharks &amp; rays</x:v>
      </x:c>
      <x:c r="I155" s="60" t="n">
        <x:v>0.0036913738</x:v>
      </x:c>
      <x:c r="J155" s="60" t="n">
        <x:v>0.0036913738</x:v>
      </x:c>
      <x:c r="K155" s="60" t="n">
        <x:v>0</x:v>
      </x:c>
      <x:c r="L155" s="60" t="n">
        <x:v>0.0036072189</x:v>
      </x:c>
      <x:c r="M155" s="60" t="n">
        <x:v>0.00008415489999999999</x:v>
      </x:c>
      <x:c r="N155" s="46" t="str">
        <x:v>carcharias taurus</x:v>
      </x:c>
      <x:c r="O155" s="62" t="n">
        <x:v>4.5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Carcharias taurus</x:v>
      </x:c>
      <x:c r="T155" s="62" t="n">
        <x:f>IF(O155="","",(1/'Metadata'!$B$5)^(O155-1))</x:f>
        <x:v>35777.08763999664</x:v>
      </x:c>
      <x:c r="U155" s="60" t="n">
        <x:f>IF(T155="","",I155*T155)</x:f>
        <x:v>132.0666039545874</x:v>
      </x:c>
    </x:row>
    <x:row r="156" ht="18" customHeight="1">
      <x:c r="A156" s="46" t="str">
        <x:v>LME_014</x:v>
      </x:c>
      <x:c r="B156" s="46" t="str">
        <x:v>Patagonian Shelf</x:v>
      </x:c>
      <x:c r="C156" s="46" t="str">
        <x:v>LME</x:v>
      </x:c>
      <x:c r="D156" s="58" t="n">
        <x:v>2019</x:v>
      </x:c>
      <x:c r="E156" s="46" t="str">
        <x:v>Sardinella aurita</x:v>
      </x:c>
      <x:c r="F156" s="46" t="str">
        <x:v>Round sardinella</x:v>
      </x:c>
      <x:c r="G156" s="46" t="str">
        <x:v>Small pelagics (&lt;30 cm)</x:v>
      </x:c>
      <x:c r="H156" s="46" t="str">
        <x:v>Herring-likes</x:v>
      </x:c>
      <x:c r="I156" s="60" t="n">
        <x:v>0.0031695241</x:v>
      </x:c>
      <x:c r="J156" s="60" t="n">
        <x:v>0.0031695241</x:v>
      </x:c>
      <x:c r="K156" s="60" t="n">
        <x:v>0</x:v>
      </x:c>
      <x:c r="L156" s="60" t="n">
        <x:v>0.0031695241</x:v>
      </x:c>
      <x:c r="M156" s="60" t="n">
        <x:v>0</x:v>
      </x:c>
      <x:c r="N156" s="46" t="str">
        <x:v>sardinella aurita</x:v>
      </x:c>
      <x:c r="O156" s="62" t="n">
        <x:v>3.4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Sardinella aurita</x:v>
      </x:c>
      <x:c r="T156" s="62" t="n">
        <x:f>IF(O156="","",(1/'Metadata'!$B$5)^(O156-1))</x:f>
        <x:v>1325.7816069359944</x:v>
      </x:c>
      <x:c r="U156" s="60" t="n">
        <x:f>IF(T156="","",I156*T156)</x:f>
        <x:v>4.202096754520362</x:v>
      </x:c>
    </x:row>
    <x:row r="157" ht="18" customHeight="1">
      <x:c r="A157" s="46" t="str">
        <x:v>LME_014</x:v>
      </x:c>
      <x:c r="B157" s="46" t="str">
        <x:v>Patagonian Shelf</x:v>
      </x:c>
      <x:c r="C157" s="46" t="str">
        <x:v>LME</x:v>
      </x:c>
      <x:c r="D157" s="58" t="n">
        <x:v>2019</x:v>
      </x:c>
      <x:c r="E157" s="46" t="str">
        <x:v>Decapterus</x:v>
      </x:c>
      <x:c r="F157" s="46" t="str">
        <x:v>Scads</x:v>
      </x:c>
      <x:c r="G157" s="46" t="str">
        <x:v>Medium pelagics (30 - 89 cm)</x:v>
      </x:c>
      <x:c r="H157" s="46" t="str">
        <x:v>Perch-likes</x:v>
      </x:c>
      <x:c r="I157" s="60" t="n">
        <x:v>0.0029703845</x:v>
      </x:c>
      <x:c r="J157" s="60" t="n">
        <x:v>0.0029703845</x:v>
      </x:c>
      <x:c r="K157" s="60" t="n">
        <x:v>0</x:v>
      </x:c>
      <x:c r="L157" s="60" t="n">
        <x:v>0.0028755856</x:v>
      </x:c>
      <x:c r="M157" s="60" t="n">
        <x:v>0.0000947989</x:v>
      </x:c>
      <x:c r="N157" s="46" t="str">
        <x:v>decapterus</x:v>
      </x:c>
      <x:c r="O157" s="62" t="n">
        <x:v>3.63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Decapterus</x:v>
      </x:c>
      <x:c r="T157" s="62" t="n">
        <x:f>IF(O157="","",(1/'Metadata'!$B$5)^(O157-1))</x:f>
        <x:v>2640.638121038009</x:v>
      </x:c>
      <x:c r="U157" s="60" t="n">
        <x:f>IF(T157="","",I157*T157)</x:f>
        <x:v>7.843710544840427</x:v>
      </x:c>
    </x:row>
    <x:row r="158" ht="18" customHeight="1">
      <x:c r="A158" s="46" t="str">
        <x:v>LME_014</x:v>
      </x:c>
      <x:c r="B158" s="46" t="str">
        <x:v>Patagonian Shelf</x:v>
      </x:c>
      <x:c r="C158" s="46" t="str">
        <x:v>LME</x:v>
      </x:c>
      <x:c r="D158" s="58" t="n">
        <x:v>2019</x:v>
      </x:c>
      <x:c r="E158" s="46" t="str">
        <x:v>Hexanchus griseus</x:v>
      </x:c>
      <x:c r="F158" s="46" t="str">
        <x:v>Bluntnose sixgill shark</x:v>
      </x:c>
      <x:c r="G158" s="46" t="str">
        <x:v>Large sharks (&gt;=90 cm)</x:v>
      </x:c>
      <x:c r="H158" s="46" t="str">
        <x:v>Sharks &amp; rays</x:v>
      </x:c>
      <x:c r="I158" s="60" t="n">
        <x:v>0.0028100528000000002</x:v>
      </x:c>
      <x:c r="J158" s="60" t="n">
        <x:v>0.0028100528000000002</x:v>
      </x:c>
      <x:c r="K158" s="60" t="n">
        <x:v>0</x:v>
      </x:c>
      <x:c r="L158" s="60" t="n">
        <x:v>0.0028100528000000002</x:v>
      </x:c>
      <x:c r="M158" s="60" t="n">
        <x:v>0</x:v>
      </x:c>
      <x:c r="N158" s="46" t="str">
        <x:v>hexanchus griseus</x:v>
      </x:c>
      <x:c r="O158" s="62" t="n">
        <x:v>4.48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Hexanchus griseus</x:v>
      </x:c>
      <x:c r="T158" s="62" t="n">
        <x:f>IF(O158="","",(1/'Metadata'!$B$5)^(O158-1))</x:f>
        <x:v>33696.468277717824</x:v>
      </x:c>
      <x:c r="U158" s="60" t="n">
        <x:f>IF(T158="","",I158*T158)</x:f>
        <x:v>94.68885503391216</x:v>
      </x:c>
    </x:row>
    <x:row r="159" ht="18" customHeight="1">
      <x:c r="A159" s="46" t="str">
        <x:v>LME_014</x:v>
      </x:c>
      <x:c r="B159" s="46" t="str">
        <x:v>Patagonian Shelf</x:v>
      </x:c>
      <x:c r="C159" s="46" t="str">
        <x:v>LME</x:v>
      </x:c>
      <x:c r="D159" s="58" t="n">
        <x:v>2019</x:v>
      </x:c>
      <x:c r="E159" s="46" t="str">
        <x:v>Haemulidae</x:v>
      </x:c>
      <x:c r="F159" s="46" t="str">
        <x:v>Grunts, sweetlips, bonnetmouths</x:v>
      </x:c>
      <x:c r="G159" s="46" t="str">
        <x:v>Medium demersals (30 - 89 cm)</x:v>
      </x:c>
      <x:c r="H159" s="46" t="str">
        <x:v>Perch-likes</x:v>
      </x:c>
      <x:c r="I159" s="60" t="n">
        <x:v>0.0006043167</x:v>
      </x:c>
      <x:c r="J159" s="60" t="n">
        <x:v>0.0006043167</x:v>
      </x:c>
      <x:c r="K159" s="60" t="n">
        <x:v>0</x:v>
      </x:c>
      <x:c r="L159" s="60" t="n">
        <x:v>0.00047548090000000006</x:v>
      </x:c>
      <x:c r="M159" s="60" t="n">
        <x:v>0.0001288358</x:v>
      </x:c>
      <x:c r="N159" s="46" t="str">
        <x:v>haemulidae</x:v>
      </x:c>
      <x:c r="O159" s="62" t="n">
        <x:v>3.36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Haemulidae</x:v>
      </x:c>
      <x:c r="T159" s="62" t="n">
        <x:f>IF(O159="","",(1/'Metadata'!$B$5)^(O159-1))</x:f>
        <x:v>1176.0635493805207</x:v>
      </x:c>
      <x:c r="U159" s="60" t="n">
        <x:f>IF(T159="","",I159*T159)</x:f>
        <x:v>0.7107148431519232</x:v>
      </x:c>
    </x:row>
    <x:row r="160" ht="18" customHeight="1">
      <x:c r="A160" s="46" t="str">
        <x:v>LME_014</x:v>
      </x:c>
      <x:c r="B160" s="46" t="str">
        <x:v>Patagonian Shelf</x:v>
      </x:c>
      <x:c r="C160" s="46" t="str">
        <x:v>LME</x:v>
      </x:c>
      <x:c r="D160" s="58" t="n">
        <x:v>2019</x:v>
      </x:c>
      <x:c r="E160" s="46" t="str">
        <x:v>Rhizoprionodon porosus</x:v>
      </x:c>
      <x:c r="F160" s="46" t="str">
        <x:v>Caribbean sharpnose shark</x:v>
      </x:c>
      <x:c r="G160" s="46" t="str">
        <x:v>Large sharks (&gt;=90 cm)</x:v>
      </x:c>
      <x:c r="H160" s="46" t="str">
        <x:v>Sharks &amp; rays</x:v>
      </x:c>
      <x:c r="I160" s="60" t="n">
        <x:v>0.0004796386</x:v>
      </x:c>
      <x:c r="J160" s="60" t="n">
        <x:v>0.0004796386</x:v>
      </x:c>
      <x:c r="K160" s="60" t="n">
        <x:v>0</x:v>
      </x:c>
      <x:c r="L160" s="60" t="n">
        <x:v>0</x:v>
      </x:c>
      <x:c r="M160" s="60" t="n">
        <x:v>0.0004796386</x:v>
      </x:c>
      <x:c r="N160" s="46" t="str">
        <x:v>rhizoprionodon porosus</x:v>
      </x:c>
      <x:c r="O160" s="62" t="n">
        <x:v>3.99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Rhizoprionodon porosus</x:v>
      </x:c>
      <x:c r="T160" s="62" t="n">
        <x:f>IF(O160="","",(1/'Metadata'!$B$5)^(O160-1))</x:f>
        <x:v>7763.895603143686</x:v>
      </x:c>
      <x:c r="U160" s="60" t="n">
        <x:f>IF(T160="","",I160*T160)</x:f>
        <x:v>3.7238640176379927</x:v>
      </x:c>
    </x:row>
    <x:row r="161" ht="18" customHeight="1">
      <x:c r="A161" s="46" t="str">
        <x:v>LME_014</x:v>
      </x:c>
      <x:c r="B161" s="46" t="str">
        <x:v>Patagonian Shelf</x:v>
      </x:c>
      <x:c r="C161" s="46" t="str">
        <x:v>LME</x:v>
      </x:c>
      <x:c r="D161" s="58" t="n">
        <x:v>2019</x:v>
      </x:c>
      <x:c r="E161" s="46" t="str">
        <x:v>Mollusca</x:v>
      </x:c>
      <x:c r="F161" s="46" t="str">
        <x:v>Clams, seasnails, squids, octopuses</x:v>
      </x:c>
      <x:c r="G161" s="46" t="str">
        <x:v>Other demersal invertebrates</x:v>
      </x:c>
      <x:c r="H161" s="46" t="str">
        <x:v>Molluscs</x:v>
      </x:c>
      <x:c r="I161" s="60" t="n">
        <x:v>0.0004277433</x:v>
      </x:c>
      <x:c r="J161" s="60" t="n">
        <x:v>0.0004277433</x:v>
      </x:c>
      <x:c r="K161" s="60" t="n">
        <x:v>0</x:v>
      </x:c>
      <x:c r="L161" s="60" t="n">
        <x:v>0.0003402287</x:v>
      </x:c>
      <x:c r="M161" s="60" t="n">
        <x:v>0.0000875146</x:v>
      </x:c>
      <x:c r="N161" s="46" t="str">
        <x:v>mollusca</x:v>
      </x:c>
      <x:c r="O161" s="62" t="n">
        <x:v>2.1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Mollusca</x:v>
      </x:c>
      <x:c r="T161" s="62" t="n">
        <x:f>IF(O161="","",(1/'Metadata'!$B$5)^(O161-1))</x:f>
        <x:v>26.985656953471274</x:v>
      </x:c>
      <x:c r="U161" s="60" t="n">
        <x:f>IF(T161="","",I161*T161)</x:f>
        <x:v>0.011542933957945749</x:v>
      </x:c>
    </x:row>
    <x:row r="162" ht="18" customHeight="1">
      <x:c r="A162" s="46" t="str">
        <x:v>LME_014</x:v>
      </x:c>
      <x:c r="B162" s="46" t="str">
        <x:v>Patagonian Shelf</x:v>
      </x:c>
      <x:c r="C162" s="46" t="str">
        <x:v>LME</x:v>
      </x:c>
      <x:c r="D162" s="58" t="n">
        <x:v>2019</x:v>
      </x:c>
      <x:c r="E162" s="46" t="str">
        <x:v>Albula vulpes</x:v>
      </x:c>
      <x:c r="F162" s="46" t="str">
        <x:v>Bonefish</x:v>
      </x:c>
      <x:c r="G162" s="46" t="str">
        <x:v>Medium reef assoc. fish (30 - 89 cm)</x:v>
      </x:c>
      <x:c r="H162" s="46" t="str">
        <x:v>Other fishes &amp; inverts</x:v>
      </x:c>
      <x:c r="I162" s="60" t="n">
        <x:v>0.0003307557</x:v>
      </x:c>
      <x:c r="J162" s="60" t="n">
        <x:v>0.0003307557</x:v>
      </x:c>
      <x:c r="K162" s="60" t="n">
        <x:v>0</x:v>
      </x:c>
      <x:c r="L162" s="60" t="n">
        <x:v>0.0002501977</x:v>
      </x:c>
      <x:c r="M162" s="60" t="n">
        <x:v>0.000080558</x:v>
      </x:c>
      <x:c r="N162" s="46" t="str">
        <x:v>albula vulpes</x:v>
      </x:c>
      <x:c r="O162" s="62" t="n">
        <x:v>3.73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Albula vulpes</x:v>
      </x:c>
      <x:c r="T162" s="62" t="n">
        <x:f>IF(O162="","",(1/'Metadata'!$B$5)^(O162-1))</x:f>
        <x:v>3562.967723629534</x:v>
      </x:c>
      <x:c r="U162" s="60" t="n">
        <x:f>IF(T162="","",I162*T162)</x:f>
        <x:v>1.178471883506493</x:v>
      </x:c>
    </x:row>
    <x:row r="163" ht="18" customHeight="1">
      <x:c r="A163" s="46" t="str">
        <x:v>LME_014</x:v>
      </x:c>
      <x:c r="B163" s="46" t="str">
        <x:v>Patagonian Shelf</x:v>
      </x:c>
      <x:c r="C163" s="46" t="str">
        <x:v>LME</x:v>
      </x:c>
      <x:c r="D163" s="58" t="n">
        <x:v>2019</x:v>
      </x:c>
      <x:c r="E163" s="46" t="str">
        <x:v>Pseudocaranx dentex</x:v>
      </x:c>
      <x:c r="F163" s="46" t="str">
        <x:v>White trevally</x:v>
      </x:c>
      <x:c r="G163" s="46" t="str">
        <x:v>Large reef assoc. fish (&gt;=90 cm)</x:v>
      </x:c>
      <x:c r="H163" s="46" t="str">
        <x:v>Perch-likes</x:v>
      </x:c>
      <x:c r="I163" s="60" t="n">
        <x:v>0.00030940359999999997</x:v>
      </x:c>
      <x:c r="J163" s="60" t="n">
        <x:v>0.00030940359999999997</x:v>
      </x:c>
      <x:c r="K163" s="60" t="n">
        <x:v>0</x:v>
      </x:c>
      <x:c r="L163" s="60" t="n">
        <x:v>0.00030940359999999997</x:v>
      </x:c>
      <x:c r="M163" s="60" t="n">
        <x:v>0</x:v>
      </x:c>
      <x:c r="N163" s="46" t="str">
        <x:v>pseudocaranx dentex</x:v>
      </x:c>
      <x:c r="O163" s="62" t="n">
        <x:v>3.92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Pseudocaranx dentex</x:v>
      </x:c>
      <x:c r="T163" s="62" t="n">
        <x:f>IF(O163="","",(1/'Metadata'!$B$5)^(O163-1))</x:f>
        <x:v>6295.1718073679995</x:v>
      </x:c>
      <x:c r="U163" s="60" t="n">
        <x:f>IF(T163="","",I163*T163)</x:f>
        <x:v>1.9477488198181654</x:v>
      </x:c>
    </x:row>
    <x:row r="164" ht="18" customHeight="1">
      <x:c r="A164" s="46" t="str">
        <x:v>LME_014</x:v>
      </x:c>
      <x:c r="B164" s="46" t="str">
        <x:v>Patagonian Shelf</x:v>
      </x:c>
      <x:c r="C164" s="46" t="str">
        <x:v>LME</x:v>
      </x:c>
      <x:c r="D164" s="58" t="n">
        <x:v>2019</x:v>
      </x:c>
      <x:c r="E164" s="46" t="str">
        <x:v>Kajikia albida</x:v>
      </x:c>
      <x:c r="F164" s="46" t="str">
        <x:v>Atlantic white marlin</x:v>
      </x:c>
      <x:c r="G164" s="46" t="str">
        <x:v>Large pelagics (&gt;=90 cm)</x:v>
      </x:c>
      <x:c r="H164" s="46" t="str">
        <x:v>Tuna &amp; billfishes</x:v>
      </x:c>
      <x:c r="I164" s="60" t="n">
        <x:v>0.0002736142</x:v>
      </x:c>
      <x:c r="J164" s="60" t="n">
        <x:v>0.0002736142</x:v>
      </x:c>
      <x:c r="K164" s="60" t="n">
        <x:v>0</x:v>
      </x:c>
      <x:c r="L164" s="60" t="n">
        <x:v>0.00027335369999999996</x:v>
      </x:c>
      <x:c r="M164" s="60" t="n">
        <x:v>2.6050000000000004e-7</x:v>
      </x:c>
      <x:c r="N164" s="46" t="str">
        <x:v>kajikia albida</x:v>
      </x:c>
      <x:c r="O164" s="62" t="n">
        <x:v>4.49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Kajikia albida</x:v>
      </x:c>
      <x:c r="T164" s="62" t="n">
        <x:f>IF(O164="","",(1/'Metadata'!$B$5)^(O164-1))</x:f>
        <x:v>34721.19667768202</x:v>
      </x:c>
      <x:c r="U164" s="60" t="n">
        <x:f>IF(T164="","",I164*T164)</x:f>
        <x:v>9.500212452006624</x:v>
      </x:c>
    </x:row>
    <x:row r="165" ht="18" customHeight="1">
      <x:c r="A165" s="46" t="str">
        <x:v>LME_014</x:v>
      </x:c>
      <x:c r="B165" s="46" t="str">
        <x:v>Patagonian Shelf</x:v>
      </x:c>
      <x:c r="C165" s="46" t="str">
        <x:v>LME</x:v>
      </x:c>
      <x:c r="D165" s="58" t="n">
        <x:v>2019</x:v>
      </x:c>
      <x:c r="E165" s="46" t="str">
        <x:v>Lutjanidae</x:v>
      </x:c>
      <x:c r="F165" s="46" t="str">
        <x:v>Snappers</x:v>
      </x:c>
      <x:c r="G165" s="46" t="str">
        <x:v>Medium reef assoc. fish (30 - 89 cm)</x:v>
      </x:c>
      <x:c r="H165" s="46" t="str">
        <x:v>Perch-likes</x:v>
      </x:c>
      <x:c r="I165" s="60" t="n">
        <x:v>0.0002431584</x:v>
      </x:c>
      <x:c r="J165" s="60" t="n">
        <x:v>0.0002431584</x:v>
      </x:c>
      <x:c r="K165" s="60" t="n">
        <x:v>0</x:v>
      </x:c>
      <x:c r="L165" s="60" t="n">
        <x:v>0.000046019599999999996</x:v>
      </x:c>
      <x:c r="M165" s="60" t="n">
        <x:v>0.0001971388</x:v>
      </x:c>
      <x:c r="N165" s="46" t="str">
        <x:v>lutjanidae</x:v>
      </x:c>
      <x:c r="O165" s="62" t="n">
        <x:v>4.02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Lutjanidae</x:v>
      </x:c>
      <x:c r="T165" s="62" t="n">
        <x:f>IF(O165="","",(1/'Metadata'!$B$5)^(O165-1))</x:f>
        <x:v>8493.967342839818</x:v>
      </x:c>
      <x:c r="U165" s="60" t="n">
        <x:f>IF(T165="","",I165*T165)</x:f>
        <x:v>2.065379508737182</x:v>
      </x:c>
    </x:row>
    <x:row r="166" ht="18" customHeight="1">
      <x:c r="A166" s="46" t="str">
        <x:v>LME_014</x:v>
      </x:c>
      <x:c r="B166" s="46" t="str">
        <x:v>Patagonian Shelf</x:v>
      </x:c>
      <x:c r="C166" s="46" t="str">
        <x:v>LME</x:v>
      </x:c>
      <x:c r="D166" s="58" t="n">
        <x:v>2019</x:v>
      </x:c>
      <x:c r="E166" s="46" t="str">
        <x:v>Dasyatis</x:v>
      </x:c>
      <x:c r="F166" s="46" t="str">
        <x:v>Rough whip stingrays</x:v>
      </x:c>
      <x:c r="G166" s="46" t="str">
        <x:v>Large rays (&gt;=90 cm)</x:v>
      </x:c>
      <x:c r="H166" s="46" t="str">
        <x:v>Sharks &amp; rays</x:v>
      </x:c>
      <x:c r="I166" s="60" t="n">
        <x:v>0.0002045758</x:v>
      </x:c>
      <x:c r="J166" s="60" t="n">
        <x:v>0.0002045758</x:v>
      </x:c>
      <x:c r="K166" s="60" t="n">
        <x:v>0</x:v>
      </x:c>
      <x:c r="L166" s="60" t="n">
        <x:v>0.00020284210000000001</x:v>
      </x:c>
      <x:c r="M166" s="60" t="n">
        <x:v>0.0000017337</x:v>
      </x:c>
      <x:c r="N166" s="46" t="str">
        <x:v>dasyatis</x:v>
      </x:c>
      <x:c r="O166" s="62" t="n">
        <x:v>3.28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Dasyatis</x:v>
      </x:c>
      <x:c r="T166" s="62" t="n">
        <x:f>IF(O166="","",(1/'Metadata'!$B$5)^(O166-1))</x:f>
        <x:v>925.4402624666747</x:v>
      </x:c>
      <x:c r="U166" s="60" t="n">
        <x:f>IF(T166="","",I166*T166)</x:f>
        <x:v>0.18932268204632993</x:v>
      </x:c>
    </x:row>
    <x:row r="167" ht="18" customHeight="1">
      <x:c r="A167" s="46" t="str">
        <x:v>LME_014</x:v>
      </x:c>
      <x:c r="B167" s="46" t="str">
        <x:v>Patagonian Shelf</x:v>
      </x:c>
      <x:c r="C167" s="46" t="str">
        <x:v>LME</x:v>
      </x:c>
      <x:c r="D167" s="58" t="n">
        <x:v>2019</x:v>
      </x:c>
      <x:c r="E167" s="46" t="str">
        <x:v>Seriola rivoliana</x:v>
      </x:c>
      <x:c r="F167" s="46" t="str">
        <x:v>Longfin yellowtail</x:v>
      </x:c>
      <x:c r="G167" s="46" t="str">
        <x:v>Large benthopelagics (&gt;=90 cm)</x:v>
      </x:c>
      <x:c r="H167" s="46" t="str">
        <x:v>Perch-likes</x:v>
      </x:c>
      <x:c r="I167" s="60" t="n">
        <x:v>0.00020351359999999996</x:v>
      </x:c>
      <x:c r="J167" s="60" t="n">
        <x:v>0.00020351359999999996</x:v>
      </x:c>
      <x:c r="K167" s="60" t="n">
        <x:v>0</x:v>
      </x:c>
      <x:c r="L167" s="60" t="n">
        <x:v>0.00019750249999999996</x:v>
      </x:c>
      <x:c r="M167" s="60" t="n">
        <x:v>0.0000060111</x:v>
      </x:c>
      <x:c r="N167" s="46" t="str">
        <x:v>seriola rivoliana</x:v>
      </x:c>
      <x:c r="O167" s="62" t="n">
        <x:v>4.45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Seriola rivoliana</x:v>
      </x:c>
      <x:c r="T167" s="62" t="n">
        <x:f>IF(O167="","",(1/'Metadata'!$B$5)^(O167-1))</x:f>
        <x:v>30800.19634445362</x:v>
      </x:c>
      <x:c r="U167" s="60" t="n">
        <x:f>IF(T167="","",I167*T167)</x:f>
        <x:v>6.268258838766595</x:v>
      </x:c>
    </x:row>
    <x:row r="168" ht="18" customHeight="1">
      <x:c r="A168" s="46" t="str">
        <x:v>LME_014</x:v>
      </x:c>
      <x:c r="B168" s="46" t="str">
        <x:v>Patagonian Shelf</x:v>
      </x:c>
      <x:c r="C168" s="46" t="str">
        <x:v>LME</x:v>
      </x:c>
      <x:c r="D168" s="58" t="n">
        <x:v>2019</x:v>
      </x:c>
      <x:c r="E168" s="46" t="str">
        <x:v>Sphyraena guachancho</x:v>
      </x:c>
      <x:c r="F168" s="46" t="str">
        <x:v>Guachanche barracuda</x:v>
      </x:c>
      <x:c r="G168" s="46" t="str">
        <x:v>Large pelagics (&gt;=90 cm)</x:v>
      </x:c>
      <x:c r="H168" s="46" t="str">
        <x:v>Perch-likes</x:v>
      </x:c>
      <x:c r="I168" s="60" t="n">
        <x:v>0.0001755446</x:v>
      </x:c>
      <x:c r="J168" s="60" t="n">
        <x:v>0.0001755446</x:v>
      </x:c>
      <x:c r="K168" s="60" t="n">
        <x:v>0</x:v>
      </x:c>
      <x:c r="L168" s="60" t="n">
        <x:v>0.00017014920000000001</x:v>
      </x:c>
      <x:c r="M168" s="60" t="n">
        <x:v>0.0000053954</x:v>
      </x:c>
      <x:c r="N168" s="46" t="str">
        <x:v>sphyraena guachancho</x:v>
      </x:c>
      <x:c r="O168" s="62" t="n">
        <x:v>4.35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Sphyraena guachancho</x:v>
      </x:c>
      <x:c r="T168" s="62" t="n">
        <x:f>IF(O168="","",(1/'Metadata'!$B$5)^(O168-1))</x:f>
        <x:v>22827.086550132422</x:v>
      </x:c>
      <x:c r="U168" s="60" t="n">
        <x:f>IF(T168="","",I168*T168)</x:f>
        <x:v>4.007171777608376</x:v>
      </x:c>
    </x:row>
    <x:row r="169" ht="18" customHeight="1">
      <x:c r="A169" s="46" t="str">
        <x:v>LME_014</x:v>
      </x:c>
      <x:c r="B169" s="46" t="str">
        <x:v>Patagonian Shelf</x:v>
      </x:c>
      <x:c r="C169" s="46" t="str">
        <x:v>LME</x:v>
      </x:c>
      <x:c r="D169" s="58" t="n">
        <x:v>2019</x:v>
      </x:c>
      <x:c r="E169" s="46" t="str">
        <x:v>Cephalopoda</x:v>
      </x:c>
      <x:c r="F169" s="46" t="str">
        <x:v>Squids, cuttlefishes, octopuses</x:v>
      </x:c>
      <x:c r="G169" s="46" t="str">
        <x:v>Cephalopods</x:v>
      </x:c>
      <x:c r="H169" s="46" t="str">
        <x:v>Other fishes &amp; inverts</x:v>
      </x:c>
      <x:c r="I169" s="60" t="n">
        <x:v>0.0001620137</x:v>
      </x:c>
      <x:c r="J169" s="60" t="n">
        <x:v>0.0001620137</x:v>
      </x:c>
      <x:c r="K169" s="60" t="n">
        <x:v>0</x:v>
      </x:c>
      <x:c r="L169" s="60" t="n">
        <x:v>0.0001620137</x:v>
      </x:c>
      <x:c r="M169" s="60" t="n">
        <x:v>0</x:v>
      </x:c>
      <x:c r="N169" s="46" t="str">
        <x:v>cephalopoda</x:v>
      </x:c>
      <x:c r="O169" s="62" t="n">
        <x:v>3.81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Cephalopoda</x:v>
      </x:c>
      <x:c r="T169" s="62" t="n">
        <x:f>IF(O169="","",(1/'Metadata'!$B$5)^(O169-1))</x:f>
        <x:v>4527.873529309382</x:v>
      </x:c>
      <x:c r="U169" s="60" t="n">
        <x:f>IF(T169="","",I169*T169)</x:f>
        <x:v>0.7335775436154715</x:v>
      </x:c>
    </x:row>
    <x:row r="170" ht="18" customHeight="1">
      <x:c r="A170" s="46" t="str">
        <x:v>LME_014</x:v>
      </x:c>
      <x:c r="B170" s="46" t="str">
        <x:v>Patagonian Shelf</x:v>
      </x:c>
      <x:c r="C170" s="46" t="str">
        <x:v>LME</x:v>
      </x:c>
      <x:c r="D170" s="58" t="n">
        <x:v>2019</x:v>
      </x:c>
      <x:c r="E170" s="46" t="str">
        <x:v>Sphyrna</x:v>
      </x:c>
      <x:c r="F170" s="46" t="str">
        <x:v>Hammerhead sharks</x:v>
      </x:c>
      <x:c r="G170" s="46" t="str">
        <x:v>Large sharks (&gt;=90 cm)</x:v>
      </x:c>
      <x:c r="H170" s="46" t="str">
        <x:v>Sharks &amp; rays</x:v>
      </x:c>
      <x:c r="I170" s="60" t="n">
        <x:v>0.0001287546</x:v>
      </x:c>
      <x:c r="J170" s="60" t="n">
        <x:v>0.0001287546</x:v>
      </x:c>
      <x:c r="K170" s="60" t="n">
        <x:v>0</x:v>
      </x:c>
      <x:c r="L170" s="60" t="n">
        <x:v>0.0001273239</x:v>
      </x:c>
      <x:c r="M170" s="60" t="n">
        <x:v>0.0000014307000000000001</x:v>
      </x:c>
      <x:c r="N170" s="46" t="str">
        <x:v>sphyrna</x:v>
      </x:c>
      <x:c r="O170" s="62" t="n">
        <x:v>4.2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Sphyrna</x:v>
      </x:c>
      <x:c r="T170" s="62" t="n">
        <x:f>IF(O170="","",(1/'Metadata'!$B$5)^(O170-1))</x:f>
        <x:v>14564.51362420865</x:v>
      </x:c>
      <x:c r="U170" s="60" t="n">
        <x:f>IF(T170="","",I170*T170)</x:f>
        <x:v>1.8752481258795353</x:v>
      </x:c>
    </x:row>
    <x:row r="171" ht="18" customHeight="1">
      <x:c r="A171" s="46" t="str">
        <x:v>LME_014</x:v>
      </x:c>
      <x:c r="B171" s="46" t="str">
        <x:v>Patagonian Shelf</x:v>
      </x:c>
      <x:c r="C171" s="46" t="str">
        <x:v>LME</x:v>
      </x:c>
      <x:c r="D171" s="58" t="n">
        <x:v>2019</x:v>
      </x:c>
      <x:c r="E171" s="46" t="str">
        <x:v>Sphyraena barracuda</x:v>
      </x:c>
      <x:c r="F171" s="46" t="str">
        <x:v>Great barracuda</x:v>
      </x:c>
      <x:c r="G171" s="46" t="str">
        <x:v>Large pelagics (&gt;=90 cm)</x:v>
      </x:c>
      <x:c r="H171" s="46" t="str">
        <x:v>Perch-likes</x:v>
      </x:c>
      <x:c r="I171" s="60" t="n">
        <x:v>0.0000956908</x:v>
      </x:c>
      <x:c r="J171" s="60" t="n">
        <x:v>0.0000956908</x:v>
      </x:c>
      <x:c r="K171" s="60" t="n">
        <x:v>0</x:v>
      </x:c>
      <x:c r="L171" s="60" t="n">
        <x:v>0.0000531046</x:v>
      </x:c>
      <x:c r="M171" s="60" t="n">
        <x:v>0.000042586199999999996</x:v>
      </x:c>
      <x:c r="N171" s="46" t="str">
        <x:v>sphyraena barracuda</x:v>
      </x:c>
      <x:c r="O171" s="62" t="n">
        <x:v>4.49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Sphyraena barracuda</x:v>
      </x:c>
      <x:c r="T171" s="62" t="n">
        <x:f>IF(O171="","",(1/'Metadata'!$B$5)^(O171-1))</x:f>
        <x:v>34721.19667768202</x:v>
      </x:c>
      <x:c r="U171" s="60" t="n">
        <x:f>IF(T171="","",I171*T171)</x:f>
        <x:v>3.3224990870447346</x:v>
      </x:c>
    </x:row>
    <x:row r="172" ht="18" customHeight="1">
      <x:c r="A172" s="46" t="str">
        <x:v>LME_014</x:v>
      </x:c>
      <x:c r="B172" s="46" t="str">
        <x:v>Patagonian Shelf</x:v>
      </x:c>
      <x:c r="C172" s="46" t="str">
        <x:v>LME</x:v>
      </x:c>
      <x:c r="D172" s="58" t="n">
        <x:v>2019</x:v>
      </x:c>
      <x:c r="E172" s="46" t="str">
        <x:v>Epinephelus</x:v>
      </x:c>
      <x:c r="F172" s="46" t="str">
        <x:v>Seabasses, hinds</x:v>
      </x:c>
      <x:c r="G172" s="46" t="str">
        <x:v>Medium reef assoc. fish (30 - 89 cm)</x:v>
      </x:c>
      <x:c r="H172" s="46" t="str">
        <x:v>Perch-likes</x:v>
      </x:c>
      <x:c r="I172" s="60" t="n">
        <x:v>0.00008528170000000001</x:v>
      </x:c>
      <x:c r="J172" s="60" t="n">
        <x:v>0.00008528170000000001</x:v>
      </x:c>
      <x:c r="K172" s="60" t="n">
        <x:v>0</x:v>
      </x:c>
      <x:c r="L172" s="60" t="n">
        <x:v>0</x:v>
      </x:c>
      <x:c r="M172" s="60" t="n">
        <x:v>0.00008528170000000001</x:v>
      </x:c>
      <x:c r="N172" s="46" t="str">
        <x:v>epinephelus</x:v>
      </x:c>
      <x:c r="O172" s="62" t="n">
        <x:v>3.84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Epinephelus</x:v>
      </x:c>
      <x:c r="T172" s="62" t="n">
        <x:f>IF(O172="","",(1/'Metadata'!$B$5)^(O172-1))</x:f>
        <x:v>4953.648510535111</x:v>
      </x:c>
      <x:c r="U172" s="60" t="n">
        <x:f>IF(T172="","",I172*T172)</x:f>
        <x:v>0.42245556618090224</x:v>
      </x:c>
    </x:row>
    <x:row r="173" ht="18" customHeight="1">
      <x:c r="A173" s="46" t="str">
        <x:v>LME_014</x:v>
      </x:c>
      <x:c r="B173" s="46" t="str">
        <x:v>Patagonian Shelf</x:v>
      </x:c>
      <x:c r="C173" s="46" t="str">
        <x:v>LME</x:v>
      </x:c>
      <x:c r="D173" s="58" t="n">
        <x:v>2019</x:v>
      </x:c>
      <x:c r="E173" s="46" t="str">
        <x:v>Thyrsitops lepidopoides</x:v>
      </x:c>
      <x:c r="F173" s="46" t="str">
        <x:v>White snake mackerel</x:v>
      </x:c>
      <x:c r="G173" s="46" t="str">
        <x:v>Medium benthopelagics (30 - 89 cm)</x:v>
      </x:c>
      <x:c r="H173" s="46" t="str">
        <x:v>Perch-likes</x:v>
      </x:c>
      <x:c r="I173" s="60" t="n">
        <x:v>0.0000517917</x:v>
      </x:c>
      <x:c r="J173" s="60" t="n">
        <x:v>0.0000517917</x:v>
      </x:c>
      <x:c r="K173" s="60" t="n">
        <x:v>0</x:v>
      </x:c>
      <x:c r="L173" s="60" t="n">
        <x:v>0.0000511636</x:v>
      </x:c>
      <x:c r="M173" s="60" t="n">
        <x:v>6.281e-7</x:v>
      </x:c>
      <x:c r="N173" s="46" t="str">
        <x:v>thyrsitops lepidopoides</x:v>
      </x:c>
      <x:c r="O173" s="62" t="n">
        <x:v>3.86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Thyrsitops lepidopoides</x:v>
      </x:c>
      <x:c r="T173" s="62" t="n">
        <x:f>IF(O173="","",(1/'Metadata'!$B$5)^(O173-1))</x:f>
        <x:v>5259.51608454905</x:v>
      </x:c>
      <x:c r="U173" s="60" t="n">
        <x:f>IF(T173="","",I173*T173)</x:f>
        <x:v>0.27239927919613904</x:v>
      </x:c>
    </x:row>
    <x:row r="174" ht="18" customHeight="1">
      <x:c r="A174" s="46" t="str">
        <x:v>LME_014</x:v>
      </x:c>
      <x:c r="B174" s="46" t="str">
        <x:v>Patagonian Shelf</x:v>
      </x:c>
      <x:c r="C174" s="46" t="str">
        <x:v>LME</x:v>
      </x:c>
      <x:c r="D174" s="58" t="n">
        <x:v>2019</x:v>
      </x:c>
      <x:c r="E174" s="46" t="str">
        <x:v>Albulidae</x:v>
      </x:c>
      <x:c r="F174" s="46" t="str">
        <x:v>Bonefishes</x:v>
      </x:c>
      <x:c r="G174" s="46" t="str">
        <x:v>Medium reef assoc. fish (30 - 89 cm)</x:v>
      </x:c>
      <x:c r="H174" s="46" t="str">
        <x:v>Other fishes &amp; inverts</x:v>
      </x:c>
      <x:c r="I174" s="60" t="n">
        <x:v>0.0000443034</x:v>
      </x:c>
      <x:c r="J174" s="60" t="n">
        <x:v>0.0000443034</x:v>
      </x:c>
      <x:c r="K174" s="60" t="n">
        <x:v>0</x:v>
      </x:c>
      <x:c r="L174" s="60" t="n">
        <x:v>0.0000431062</x:v>
      </x:c>
      <x:c r="M174" s="60" t="n">
        <x:v>0.0000011972000000000002</x:v>
      </x:c>
      <x:c r="N174" s="46" t="str">
        <x:v>albulidae</x:v>
      </x:c>
      <x:c r="O174" s="62" t="n">
        <x:v>3.47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Albulidae</x:v>
      </x:c>
      <x:c r="T174" s="62" t="n">
        <x:f>IF(O174="","",(1/'Metadata'!$B$5)^(O174-1))</x:f>
        <x:v>1635.0991368927735</x:v>
      </x:c>
      <x:c r="U174" s="60" t="n">
        <x:f>IF(T174="","",I174*T174)</x:f>
        <x:v>0.0724404511014153</x:v>
      </x:c>
    </x:row>
    <x:row r="175" ht="18" customHeight="1">
      <x:c r="A175" s="46" t="str">
        <x:v>LME_014</x:v>
      </x:c>
      <x:c r="B175" s="46" t="str">
        <x:v>Patagonian Shelf</x:v>
      </x:c>
      <x:c r="C175" s="46" t="str">
        <x:v>LME</x:v>
      </x:c>
      <x:c r="D175" s="58" t="n">
        <x:v>2019</x:v>
      </x:c>
      <x:c r="E175" s="46" t="str">
        <x:v>Trachinotus goodei</x:v>
      </x:c>
      <x:c r="F175" s="46" t="str">
        <x:v>Great pompano</x:v>
      </x:c>
      <x:c r="G175" s="46" t="str">
        <x:v>Medium reef assoc. fish (30 - 89 cm)</x:v>
      </x:c>
      <x:c r="H175" s="46" t="str">
        <x:v>Perch-likes</x:v>
      </x:c>
      <x:c r="I175" s="60" t="n">
        <x:v>0.0000420918</x:v>
      </x:c>
      <x:c r="J175" s="60" t="n">
        <x:v>0.0000420918</x:v>
      </x:c>
      <x:c r="K175" s="60" t="n">
        <x:v>0</x:v>
      </x:c>
      <x:c r="L175" s="60" t="n">
        <x:v>0.0000420918</x:v>
      </x:c>
      <x:c r="M175" s="60" t="n">
        <x:v>0</x:v>
      </x:c>
      <x:c r="N175" s="46" t="str">
        <x:v>trachinotus goodei</x:v>
      </x:c>
      <x:c r="O175" s="62" t="n">
        <x:v>4.34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Trachinotus goodei</x:v>
      </x:c>
      <x:c r="T175" s="62" t="n">
        <x:f>IF(O175="","",(1/'Metadata'!$B$5)^(O175-1))</x:f>
        <x:v>22153.389612394185</x:v>
      </x:c>
      <x:c r="U175" s="60" t="n">
        <x:f>IF(T175="","",I175*T175)</x:f>
        <x:v>0.9324760448869736</x:v>
      </x:c>
    </x:row>
    <x:row r="176" ht="18" customHeight="1">
      <x:c r="A176" s="46" t="str">
        <x:v>LME_014</x:v>
      </x:c>
      <x:c r="B176" s="46" t="str">
        <x:v>Patagonian Shelf</x:v>
      </x:c>
      <x:c r="C176" s="46" t="str">
        <x:v>LME</x:v>
      </x:c>
      <x:c r="D176" s="58" t="n">
        <x:v>2019</x:v>
      </x:c>
      <x:c r="E176" s="46" t="str">
        <x:v>Notorynchus cepedianus</x:v>
      </x:c>
      <x:c r="F176" s="46" t="str">
        <x:v>Broadnose sevengill shark</x:v>
      </x:c>
      <x:c r="G176" s="46" t="str">
        <x:v>Large sharks (&gt;=90 cm)</x:v>
      </x:c>
      <x:c r="H176" s="46" t="str">
        <x:v>Sharks &amp; rays</x:v>
      </x:c>
      <x:c r="I176" s="60" t="n">
        <x:v>0.0000137064</x:v>
      </x:c>
      <x:c r="J176" s="60" t="n">
        <x:v>0.0000137064</x:v>
      </x:c>
      <x:c r="K176" s="60" t="n">
        <x:v>0</x:v>
      </x:c>
      <x:c r="L176" s="60" t="n">
        <x:v>0.000013222399999999999</x:v>
      </x:c>
      <x:c r="M176" s="60" t="n">
        <x:v>4.84e-7</x:v>
      </x:c>
      <x:c r="N176" s="46" t="str">
        <x:v>notorynchus cepedianus</x:v>
      </x:c>
      <x:c r="O176" s="62" t="n">
        <x:v>4.68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Notorynchus cepedianus</x:v>
      </x:c>
      <x:c r="T176" s="62" t="n">
        <x:f>IF(O176="","",(1/'Metadata'!$B$5)^(O176-1))</x:f>
        <x:v>61346.583914816816</x:v>
      </x:c>
      <x:c r="U176" s="60" t="n">
        <x:f>IF(T176="","",I176*T176)</x:f>
        <x:v>0.8408408177700452</x:v>
      </x:c>
    </x:row>
    <x:row r="177" ht="18" customHeight="1">
      <x:c r="A177" s="46" t="str">
        <x:v>LME_014</x:v>
      </x:c>
      <x:c r="B177" s="46" t="str">
        <x:v>Patagonian Shelf</x:v>
      </x:c>
      <x:c r="C177" s="46" t="str">
        <x:v>LME</x:v>
      </x:c>
      <x:c r="D177" s="58" t="n">
        <x:v>2019</x:v>
      </x:c>
      <x:c r="E177" s="46" t="str">
        <x:v>Gastropoda</x:v>
      </x:c>
      <x:c r="F177" s="46" t="str">
        <x:v>Sea snails</x:v>
      </x:c>
      <x:c r="G177" s="46" t="str">
        <x:v>Other demersal invertebrates</x:v>
      </x:c>
      <x:c r="H177" s="46" t="str">
        <x:v>Molluscs</x:v>
      </x:c>
      <x:c r="I177" s="60" t="n">
        <x:v>0.0000134268</x:v>
      </x:c>
      <x:c r="J177" s="60" t="n">
        <x:v>0.0000134268</x:v>
      </x:c>
      <x:c r="K177" s="60" t="n">
        <x:v>0</x:v>
      </x:c>
      <x:c r="L177" s="60" t="n">
        <x:v>0.0000134268</x:v>
      </x:c>
      <x:c r="M177" s="60" t="n">
        <x:v>0</x:v>
      </x:c>
      <x:c r="N177" s="46" t="str">
        <x:v>gastropoda</x:v>
      </x:c>
      <x:c r="O177" s="62" t="n">
        <x:v>3.06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Gastropoda</x:v>
      </x:c>
      <x:c r="T177" s="62" t="n">
        <x:f>IF(O177="","",(1/'Metadata'!$B$5)^(O177-1))</x:f>
        <x:v>478.7643354384948</x:v>
      </x:c>
      <x:c r="U177" s="60" t="n">
        <x:f>IF(T177="","",I177*T177)</x:f>
        <x:v>0.006428272979065582</x:v>
      </x:c>
    </x:row>
    <x:row r="178" ht="18" customHeight="1">
      <x:c r="A178" s="46" t="str">
        <x:v>LME_014</x:v>
      </x:c>
      <x:c r="B178" s="46" t="str">
        <x:v>Patagonian Shelf</x:v>
      </x:c>
      <x:c r="C178" s="46" t="str">
        <x:v>LME</x:v>
      </x:c>
      <x:c r="D178" s="58" t="n">
        <x:v>2019</x:v>
      </x:c>
      <x:c r="E178" s="46" t="str">
        <x:v>Lamna nasus</x:v>
      </x:c>
      <x:c r="F178" s="46" t="str">
        <x:v>Porbeagle</x:v>
      </x:c>
      <x:c r="G178" s="46" t="str">
        <x:v>Large sharks (&gt;=90 cm)</x:v>
      </x:c>
      <x:c r="H178" s="46" t="str">
        <x:v>Sharks &amp; rays</x:v>
      </x:c>
      <x:c r="I178" s="60" t="n">
        <x:v>0.0000108191</x:v>
      </x:c>
      <x:c r="J178" s="60" t="n">
        <x:v>0.0000108191</x:v>
      </x:c>
      <x:c r="K178" s="60" t="n">
        <x:v>0</x:v>
      </x:c>
      <x:c r="L178" s="60" t="n">
        <x:v>0.0000108191</x:v>
      </x:c>
      <x:c r="M178" s="60" t="n">
        <x:v>0</x:v>
      </x:c>
      <x:c r="N178" s="46" t="str">
        <x:v>lamna nasus</x:v>
      </x:c>
      <x:c r="O178" s="62" t="n">
        <x:v>4.57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Lamna nasus</x:v>
      </x:c>
      <x:c r="T178" s="62" t="n">
        <x:f>IF(O178="","",(1/'Metadata'!$B$5)^(O178-1))</x:f>
        <x:v>44124.224393105345</x:v>
      </x:c>
      <x:c r="U178" s="60" t="n">
        <x:f>IF(T178="","",I178*T178)</x:f>
        <x:v>0.477384396131446</x:v>
      </x:c>
    </x:row>
    <x:row r="179" ht="18" customHeight="1">
      <x:c r="A179" s="46" t="str">
        <x:v>LME_014</x:v>
      </x:c>
      <x:c r="B179" s="46" t="str">
        <x:v>Patagonian Shelf</x:v>
      </x:c>
      <x:c r="C179" s="46" t="str">
        <x:v>LME</x:v>
      </x:c>
      <x:c r="D179" s="58" t="n">
        <x:v>2019</x:v>
      </x:c>
      <x:c r="E179" s="46" t="str">
        <x:v>Scorpaeniformes</x:v>
      </x:c>
      <x:c r="F179" s="46" t="str">
        <x:v>Scorpionfishes, flatheads</x:v>
      </x:c>
      <x:c r="G179" s="46" t="str">
        <x:v>Medium demersals (30 - 89 cm)</x:v>
      </x:c>
      <x:c r="H179" s="46" t="str">
        <x:v>Scorpionfishes</x:v>
      </x:c>
      <x:c r="I179" s="60" t="n">
        <x:v>0.000010462100000000001</x:v>
      </x:c>
      <x:c r="J179" s="60" t="n">
        <x:v>0.000010462100000000001</x:v>
      </x:c>
      <x:c r="K179" s="60" t="n">
        <x:v>0</x:v>
      </x:c>
      <x:c r="L179" s="60" t="n">
        <x:v>0.0000101907</x:v>
      </x:c>
      <x:c r="M179" s="60" t="n">
        <x:v>2.714e-7</x:v>
      </x:c>
      <x:c r="N179" s="46" t="str">
        <x:v>scorpaeniformes</x:v>
      </x:c>
      <x:c r="O179" s="62" t="n">
        <x:v>3.78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Scorpaeniformes</x:v>
      </x:c>
      <x:c r="T179" s="62" t="n">
        <x:f>IF(O179="","",(1/'Metadata'!$B$5)^(O179-1))</x:f>
        <x:v>4138.694671981463</x:v>
      </x:c>
      <x:c r="U179" s="60" t="n">
        <x:f>IF(T179="","",I179*T179)</x:f>
        <x:v>0.043299437527737274</x:v>
      </x:c>
    </x:row>
    <x:row r="180" ht="18" customHeight="1">
      <x:c r="A180" s="46" t="str">
        <x:v>LME_014</x:v>
      </x:c>
      <x:c r="B180" s="46" t="str">
        <x:v>Patagonian Shelf</x:v>
      </x:c>
      <x:c r="C180" s="46" t="str">
        <x:v>LME</x:v>
      </x:c>
      <x:c r="D180" s="58" t="n">
        <x:v>2019</x:v>
      </x:c>
      <x:c r="E180" s="46" t="str">
        <x:v>Ctenosciaena gracilicirrhus</x:v>
      </x:c>
      <x:c r="F180" s="46" t="str">
        <x:v>Barbel drum</x:v>
      </x:c>
      <x:c r="G180" s="46" t="str">
        <x:v>Small demersals (&lt;30 cm)</x:v>
      </x:c>
      <x:c r="H180" s="46" t="str">
        <x:v>Perch-likes</x:v>
      </x:c>
      <x:c r="I180" s="60" t="n">
        <x:v>0.0000095939</x:v>
      </x:c>
      <x:c r="J180" s="60" t="n">
        <x:v>0.0000095939</x:v>
      </x:c>
      <x:c r="K180" s="60" t="n">
        <x:v>0</x:v>
      </x:c>
      <x:c r="L180" s="60" t="n">
        <x:v>0.0000092881</x:v>
      </x:c>
      <x:c r="M180" s="60" t="n">
        <x:v>3.058e-7</x:v>
      </x:c>
      <x:c r="N180" s="46" t="str">
        <x:v>ctenosciaena gracilicirrhus</x:v>
      </x:c>
      <x:c r="O180" s="62" t="n">
        <x:v>3.87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Ctenosciaena gracilicirrhus</x:v>
      </x:c>
      <x:c r="T180" s="62" t="n">
        <x:f>IF(O180="","",(1/'Metadata'!$B$5)^(O180-1))</x:f>
        <x:v>5419.460903023396</x:v>
      </x:c>
      <x:c r="U180" s="60" t="n">
        <x:f>IF(T180="","",I180*T180)</x:f>
        <x:v>0.051993765957516154</x:v>
      </x:c>
    </x:row>
    <x:row r="181" ht="18" customHeight="1">
      <x:c r="A181" s="46" t="str">
        <x:v>LME_014</x:v>
      </x:c>
      <x:c r="B181" s="46" t="str">
        <x:v>Patagonian Shelf</x:v>
      </x:c>
      <x:c r="C181" s="46" t="str">
        <x:v>LME</x:v>
      </x:c>
      <x:c r="D181" s="58" t="n">
        <x:v>2019</x:v>
      </x:c>
      <x:c r="E181" s="46" t="str">
        <x:v>Ginglymostoma cirratum</x:v>
      </x:c>
      <x:c r="F181" s="46" t="str">
        <x:v>Nurse shark</x:v>
      </x:c>
      <x:c r="G181" s="46" t="str">
        <x:v>Large sharks (&gt;=90 cm)</x:v>
      </x:c>
      <x:c r="H181" s="46" t="str">
        <x:v>Sharks &amp; rays</x:v>
      </x:c>
      <x:c r="I181" s="60" t="n">
        <x:v>0.0000062126</x:v>
      </x:c>
      <x:c r="J181" s="60" t="n">
        <x:v>0.0000062126</x:v>
      </x:c>
      <x:c r="K181" s="60" t="n">
        <x:v>0</x:v>
      </x:c>
      <x:c r="L181" s="60" t="n">
        <x:v>0.000006170399999999999</x:v>
      </x:c>
      <x:c r="M181" s="60" t="n">
        <x:v>4.22e-8</x:v>
      </x:c>
      <x:c r="N181" s="46" t="str">
        <x:v>ginglymostoma cirratum</x:v>
      </x:c>
      <x:c r="O181" s="62" t="n">
        <x:v>4.15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Ginglymostoma cirratum</x:v>
      </x:c>
      <x:c r="T181" s="62" t="n">
        <x:f>IF(O181="","",(1/'Metadata'!$B$5)^(O181-1))</x:f>
        <x:v>12538.46830130465</x:v>
      </x:c>
      <x:c r="U181" s="60" t="n">
        <x:f>IF(T181="","",I181*T181)</x:f>
        <x:v>0.07789648816868527</x:v>
      </x:c>
    </x:row>
    <x:row r="182" ht="18" customHeight="1">
      <x:c r="A182" s="46" t="str">
        <x:v>LME_014</x:v>
      </x:c>
      <x:c r="B182" s="46" t="str">
        <x:v>Patagonian Shelf</x:v>
      </x:c>
      <x:c r="C182" s="46" t="str">
        <x:v>LME</x:v>
      </x:c>
      <x:c r="D182" s="58" t="n">
        <x:v>2019</x:v>
      </x:c>
      <x:c r="E182" s="46" t="str">
        <x:v>Lobotes surinamensis</x:v>
      </x:c>
      <x:c r="F182" s="46" t="str">
        <x:v>Tripletail</x:v>
      </x:c>
      <x:c r="G182" s="46" t="str">
        <x:v>Large benthopelagics (&gt;=90 cm)</x:v>
      </x:c>
      <x:c r="H182" s="46" t="str">
        <x:v>Perch-likes</x:v>
      </x:c>
      <x:c r="I182" s="60" t="n">
        <x:v>0.0000060727</x:v>
      </x:c>
      <x:c r="J182" s="60" t="n">
        <x:v>0.0000060727</x:v>
      </x:c>
      <x:c r="K182" s="60" t="n">
        <x:v>0</x:v>
      </x:c>
      <x:c r="L182" s="60" t="n">
        <x:v>4.2429999999999995e-7</x:v>
      </x:c>
      <x:c r="M182" s="60" t="n">
        <x:v>0.0000056484</x:v>
      </x:c>
      <x:c r="N182" s="46" t="str">
        <x:v>lobotes surinamensis</x:v>
      </x:c>
      <x:c r="O182" s="62" t="n">
        <x:v>4.04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Lobotes surinamensis</x:v>
      </x:c>
      <x:c r="T182" s="62" t="n">
        <x:f>IF(O182="","",(1/'Metadata'!$B$5)^(O182-1))</x:f>
        <x:v>9018.435152653688</x:v>
      </x:c>
      <x:c r="U182" s="60" t="n">
        <x:f>IF(T182="","",I182*T182)</x:f>
        <x:v>0.054766251151520055</x:v>
      </x:c>
    </x:row>
    <x:row r="183" ht="18" customHeight="1">
      <x:c r="A183" s="46" t="str">
        <x:v>LME_014</x:v>
      </x:c>
      <x:c r="B183" s="46" t="str">
        <x:v>Patagonian Shelf</x:v>
      </x:c>
      <x:c r="C183" s="46" t="str">
        <x:v>LME</x:v>
      </x:c>
      <x:c r="D183" s="58" t="n">
        <x:v>2019</x:v>
      </x:c>
      <x:c r="E183" s="46" t="str">
        <x:v>Caranx</x:v>
      </x:c>
      <x:c r="F183" s="46" t="str">
        <x:v>Jacks</x:v>
      </x:c>
      <x:c r="G183" s="46" t="str">
        <x:v>Medium reef assoc. fish (30 - 89 cm)</x:v>
      </x:c>
      <x:c r="H183" s="46" t="str">
        <x:v>Perch-likes</x:v>
      </x:c>
      <x:c r="I183" s="60" t="n">
        <x:v>0.0000045193</x:v>
      </x:c>
      <x:c r="J183" s="60" t="n">
        <x:v>0.0000045193</x:v>
      </x:c>
      <x:c r="K183" s="60" t="n">
        <x:v>0</x:v>
      </x:c>
      <x:c r="L183" s="60" t="n">
        <x:v>0.0000032971</x:v>
      </x:c>
      <x:c r="M183" s="60" t="n">
        <x:v>0.0000012222</x:v>
      </x:c>
      <x:c r="N183" s="46" t="str">
        <x:v>caranx</x:v>
      </x:c>
      <x:c r="O183" s="62" t="n">
        <x:v>4.12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Caranx</x:v>
      </x:c>
      <x:c r="T183" s="62" t="n">
        <x:f>IF(O183="","",(1/'Metadata'!$B$5)^(O183-1))</x:f>
        <x:v>11460.764444393179</x:v>
      </x:c>
      <x:c r="U183" s="60" t="n">
        <x:f>IF(T183="","",I183*T183)</x:f>
        <x:v>0.051794632753546094</x:v>
      </x:c>
    </x:row>
    <x:row r="184" ht="18" customHeight="1">
      <x:c r="A184" s="46" t="str">
        <x:v>LME_014</x:v>
      </x:c>
      <x:c r="B184" s="46" t="str">
        <x:v>Patagonian Shelf</x:v>
      </x:c>
      <x:c r="C184" s="46" t="str">
        <x:v>LME</x:v>
      </x:c>
      <x:c r="D184" s="58" t="n">
        <x:v>2019</x:v>
      </x:c>
      <x:c r="E184" s="46" t="str">
        <x:v>Balistes</x:v>
      </x:c>
      <x:c r="F184" s="46" t="str">
        <x:v>Triggerfish</x:v>
      </x:c>
      <x:c r="G184" s="46" t="str">
        <x:v>Medium reef assoc. fish (30 - 89 cm)</x:v>
      </x:c>
      <x:c r="H184" s="46" t="str">
        <x:v>Other fishes &amp; inverts</x:v>
      </x:c>
      <x:c r="I184" s="60" t="n">
        <x:v>0.0000042707</x:v>
      </x:c>
      <x:c r="J184" s="60" t="n">
        <x:v>0.0000042707</x:v>
      </x:c>
      <x:c r="K184" s="60" t="n">
        <x:v>0</x:v>
      </x:c>
      <x:c r="L184" s="60" t="n">
        <x:v>0</x:v>
      </x:c>
      <x:c r="M184" s="60" t="n">
        <x:v>0.0000042707</x:v>
      </x:c>
      <x:c r="N184" s="46" t="str">
        <x:v>balistes</x:v>
      </x:c>
      <x:c r="O184" s="62" t="n">
        <x:v>3.94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Balistes</x:v>
      </x:c>
      <x:c r="T184" s="62" t="n">
        <x:f>IF(O184="","",(1/'Metadata'!$B$5)^(O184-1))</x:f>
        <x:v>6683.872968668722</x:v>
      </x:c>
      <x:c r="U184" s="60" t="n">
        <x:f>IF(T184="","",I184*T184)</x:f>
        <x:v>0.02854481628729351</x:v>
      </x:c>
    </x:row>
    <x:row r="185" ht="18" customHeight="1">
      <x:c r="A185" s="46" t="str">
        <x:v>LME_014</x:v>
      </x:c>
      <x:c r="B185" s="46" t="str">
        <x:v>Patagonian Shelf</x:v>
      </x:c>
      <x:c r="C185" s="46" t="str">
        <x:v>LME</x:v>
      </x:c>
      <x:c r="D185" s="58" t="n">
        <x:v>2019</x:v>
      </x:c>
      <x:c r="E185" s="46" t="str">
        <x:v>Alopias vulpinus</x:v>
      </x:c>
      <x:c r="F185" s="46" t="str">
        <x:v>Thresher</x:v>
      </x:c>
      <x:c r="G185" s="46" t="str">
        <x:v>Large sharks (&gt;=90 cm)</x:v>
      </x:c>
      <x:c r="H185" s="46" t="str">
        <x:v>Sharks &amp; rays</x:v>
      </x:c>
      <x:c r="I185" s="60" t="n">
        <x:v>0.0000036004000000000003</x:v>
      </x:c>
      <x:c r="J185" s="60" t="n">
        <x:v>0.0000036004000000000003</x:v>
      </x:c>
      <x:c r="K185" s="60" t="n">
        <x:v>0</x:v>
      </x:c>
      <x:c r="L185" s="60" t="n">
        <x:v>0.0000036004000000000003</x:v>
      </x:c>
      <x:c r="M185" s="60" t="n">
        <x:v>0</x:v>
      </x:c>
      <x:c r="N185" s="46" t="str">
        <x:v>alopias vulpinus</x:v>
      </x:c>
      <x:c r="O185" s="62" t="n">
        <x:v>4.5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Alopias vulpinus</x:v>
      </x:c>
      <x:c r="T185" s="62" t="n">
        <x:f>IF(O185="","",(1/'Metadata'!$B$5)^(O185-1))</x:f>
        <x:v>35777.08763999664</x:v>
      </x:c>
      <x:c r="U185" s="60" t="n">
        <x:f>IF(T185="","",I185*T185)</x:f>
        <x:v>0.1288118263390439</x:v>
      </x:c>
    </x:row>
    <x:row r="186" ht="18" customHeight="1">
      <x:c r="A186" s="46" t="str">
        <x:v>LME_014</x:v>
      </x:c>
      <x:c r="B186" s="46" t="str">
        <x:v>Patagonian Shelf</x:v>
      </x:c>
      <x:c r="C186" s="46" t="str">
        <x:v>LME</x:v>
      </x:c>
      <x:c r="D186" s="58" t="n">
        <x:v>2019</x:v>
      </x:c>
      <x:c r="E186" s="46" t="str">
        <x:v>Alopias</x:v>
      </x:c>
      <x:c r="F186" s="46" t="str">
        <x:v>Thresher sharks</x:v>
      </x:c>
      <x:c r="G186" s="46" t="str">
        <x:v>Large sharks (&gt;=90 cm)</x:v>
      </x:c>
      <x:c r="H186" s="46" t="str">
        <x:v>Sharks &amp; rays</x:v>
      </x:c>
      <x:c r="I186" s="60" t="n">
        <x:v>0.000002845</x:v>
      </x:c>
      <x:c r="J186" s="60" t="n">
        <x:v>0.000002845</x:v>
      </x:c>
      <x:c r="K186" s="60" t="n">
        <x:v>0</x:v>
      </x:c>
      <x:c r="L186" s="60" t="n">
        <x:v>0.0000027757</x:v>
      </x:c>
      <x:c r="M186" s="60" t="n">
        <x:v>6.929999999999999e-8</x:v>
      </x:c>
      <x:c r="N186" s="46" t="str">
        <x:v>alopias</x:v>
      </x:c>
      <x:c r="O186" s="62" t="n">
        <x:v>4.5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Alopias</x:v>
      </x:c>
      <x:c r="T186" s="62" t="n">
        <x:f>IF(O186="","",(1/'Metadata'!$B$5)^(O186-1))</x:f>
        <x:v>35777.08763999664</x:v>
      </x:c>
      <x:c r="U186" s="60" t="n">
        <x:f>IF(T186="","",I186*T186)</x:f>
        <x:v>0.10178581433579043</x:v>
      </x:c>
    </x:row>
    <x:row r="187" ht="18" customHeight="1">
      <x:c r="A187" s="46" t="str">
        <x:v>LME_014</x:v>
      </x:c>
      <x:c r="B187" s="46" t="str">
        <x:v>Patagonian Shelf</x:v>
      </x:c>
      <x:c r="C187" s="46" t="str">
        <x:v>LME</x:v>
      </x:c>
      <x:c r="D187" s="58" t="n">
        <x:v>2019</x:v>
      </x:c>
      <x:c r="E187" s="46" t="str">
        <x:v>Carcharhinidae</x:v>
      </x:c>
      <x:c r="F187" s="46" t="str">
        <x:v>Requiem sharks</x:v>
      </x:c>
      <x:c r="G187" s="46" t="str">
        <x:v>Large sharks (&gt;=90 cm)</x:v>
      </x:c>
      <x:c r="H187" s="46" t="str">
        <x:v>Sharks &amp; rays</x:v>
      </x:c>
      <x:c r="I187" s="60" t="n">
        <x:v>0.0000022341</x:v>
      </x:c>
      <x:c r="J187" s="60" t="n">
        <x:v>0.0000022341</x:v>
      </x:c>
      <x:c r="K187" s="60" t="n">
        <x:v>0</x:v>
      </x:c>
      <x:c r="L187" s="60" t="n">
        <x:v>0</x:v>
      </x:c>
      <x:c r="M187" s="60" t="n">
        <x:v>0.0000022341</x:v>
      </x:c>
      <x:c r="N187" s="46" t="str">
        <x:v>carcharhinidae</x:v>
      </x:c>
      <x:c r="O187" s="62" t="n">
        <x:v>4.24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Carcharhinidae</x:v>
      </x:c>
      <x:c r="T187" s="62" t="n">
        <x:f>IF(O187="","",(1/'Metadata'!$B$5)^(O187-1))</x:f>
        <x:v>16418.64020623336</x:v>
      </x:c>
      <x:c r="U187" s="60" t="n">
        <x:f>IF(T187="","",I187*T187)</x:f>
        <x:v>0.03668088408474594</x:v>
      </x:c>
    </x:row>
    <x:row r="188" ht="18" customHeight="1">
      <x:c r="A188" s="46" t="str">
        <x:v>LME_014</x:v>
      </x:c>
      <x:c r="B188" s="46" t="str">
        <x:v>Patagonian Shelf</x:v>
      </x:c>
      <x:c r="C188" s="46" t="str">
        <x:v>LME</x:v>
      </x:c>
      <x:c r="D188" s="58" t="n">
        <x:v>2019</x:v>
      </x:c>
      <x:c r="E188" s="46" t="str">
        <x:v>Uraspis secunda</x:v>
      </x:c>
      <x:c r="F188" s="46" t="str">
        <x:v>Cottonmouth jack</x:v>
      </x:c>
      <x:c r="G188" s="46" t="str">
        <x:v>Medium pelagics (30 - 89 cm)</x:v>
      </x:c>
      <x:c r="H188" s="46" t="str">
        <x:v>Perch-likes</x:v>
      </x:c>
      <x:c r="I188" s="60" t="n">
        <x:v>0.000001266</x:v>
      </x:c>
      <x:c r="J188" s="60" t="n">
        <x:v>0.000001266</x:v>
      </x:c>
      <x:c r="K188" s="60" t="n">
        <x:v>0</x:v>
      </x:c>
      <x:c r="L188" s="60" t="n">
        <x:v>0.000001266</x:v>
      </x:c>
      <x:c r="M188" s="60" t="n">
        <x:v>0</x:v>
      </x:c>
      <x:c r="N188" s="46" t="str">
        <x:v>uraspis secunda</x:v>
      </x:c>
      <x:c r="O188" s="62" t="n">
        <x:v>4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Uraspis secunda</x:v>
      </x:c>
      <x:c r="T188" s="62" t="n">
        <x:f>IF(O188="","",(1/'Metadata'!$B$5)^(O188-1))</x:f>
        <x:v>8000</x:v>
      </x:c>
      <x:c r="U188" s="60" t="n">
        <x:f>IF(T188="","",I188*T188)</x:f>
        <x:v>0.010128</x:v>
      </x:c>
    </x:row>
    <x:row r="189" ht="18" customHeight="1">
      <x:c r="A189" s="46" t="str">
        <x:v>LME_014</x:v>
      </x:c>
      <x:c r="B189" s="46" t="str">
        <x:v>Patagonian Shelf</x:v>
      </x:c>
      <x:c r="C189" s="46" t="str">
        <x:v>LME</x:v>
      </x:c>
      <x:c r="D189" s="58" t="n">
        <x:v>2019</x:v>
      </x:c>
      <x:c r="E189" s="46" t="str">
        <x:v>Perciformes</x:v>
      </x:c>
      <x:c r="F189" s="46" t="str">
        <x:v>Perch-likes</x:v>
      </x:c>
      <x:c r="G189" s="46" t="str">
        <x:v>Medium demersals (30 - 89 cm)</x:v>
      </x:c>
      <x:c r="H189" s="46" t="str">
        <x:v>Perch-likes</x:v>
      </x:c>
      <x:c r="I189" s="60" t="n">
        <x:v>0.0000012396000000000002</x:v>
      </x:c>
      <x:c r="J189" s="60" t="n">
        <x:v>0.0000012396000000000002</x:v>
      </x:c>
      <x:c r="K189" s="60" t="n">
        <x:v>0</x:v>
      </x:c>
      <x:c r="L189" s="60" t="n">
        <x:v>0.0000012304000000000001</x:v>
      </x:c>
      <x:c r="M189" s="60" t="n">
        <x:v>9.2e-9</x:v>
      </x:c>
      <x:c r="N189" s="46" t="str">
        <x:v>perciformes</x:v>
      </x:c>
      <x:c r="O189" s="62" t="n">
        <x:v>3.53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Perciformes</x:v>
      </x:c>
      <x:c r="T189" s="62" t="n">
        <x:f>IF(O189="","",(1/'Metadata'!$B$5)^(O189-1))</x:f>
        <x:v>1957.0678791263101</x:v>
      </x:c>
      <x:c r="U189" s="60" t="n">
        <x:f>IF(T189="","",I189*T189)</x:f>
        <x:v>0.0024259813429649744</x:v>
      </x:c>
    </x:row>
    <x:row r="190" ht="18" customHeight="1">
      <x:c r="A190" s="46" t="str">
        <x:v>LME_014</x:v>
      </x:c>
      <x:c r="B190" s="46" t="str">
        <x:v>Patagonian Shelf</x:v>
      </x:c>
      <x:c r="C190" s="46" t="str">
        <x:v>LME</x:v>
      </x:c>
      <x:c r="D190" s="58" t="n">
        <x:v>2019</x:v>
      </x:c>
      <x:c r="E190" s="46" t="str">
        <x:v>Carcharhiniformes</x:v>
      </x:c>
      <x:c r="F190" s="46" t="str">
        <x:v>Ground sharks</x:v>
      </x:c>
      <x:c r="G190" s="46" t="str">
        <x:v>Large sharks (&gt;=90 cm)</x:v>
      </x:c>
      <x:c r="H190" s="46" t="str">
        <x:v>Sharks &amp; rays</x:v>
      </x:c>
      <x:c r="I190" s="60" t="n">
        <x:v>0.0000011798000000000001</x:v>
      </x:c>
      <x:c r="J190" s="60" t="n">
        <x:v>0.0000011798000000000001</x:v>
      </x:c>
      <x:c r="K190" s="60" t="n">
        <x:v>0</x:v>
      </x:c>
      <x:c r="L190" s="60" t="n">
        <x:v>0</x:v>
      </x:c>
      <x:c r="M190" s="60" t="n">
        <x:v>0.0000011798000000000001</x:v>
      </x:c>
      <x:c r="N190" s="46" t="str">
        <x:v>carcharhiniformes</x:v>
      </x:c>
      <x:c r="O190" s="62" t="n">
        <x:v>4.08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Carcharhiniformes</x:v>
      </x:c>
      <x:c r="T190" s="62" t="n">
        <x:f>IF(O190="","",(1/'Metadata'!$B$5)^(O190-1))</x:f>
        <x:v>10166.521575327472</x:v>
      </x:c>
      <x:c r="U190" s="60" t="n">
        <x:f>IF(T190="","",I190*T190)</x:f>
        <x:v>0.011994462154571351</x:v>
      </x:c>
    </x:row>
    <x:row r="191" ht="18" customHeight="1">
      <x:c r="A191" s="46" t="str">
        <x:v>LME_014</x:v>
      </x:c>
      <x:c r="B191" s="46" t="str">
        <x:v>Patagonian Shelf</x:v>
      </x:c>
      <x:c r="C191" s="46" t="str">
        <x:v>LME</x:v>
      </x:c>
      <x:c r="D191" s="58" t="n">
        <x:v>2019</x:v>
      </x:c>
      <x:c r="E191" s="46" t="str">
        <x:v>Sphyrna tiburo</x:v>
      </x:c>
      <x:c r="F191" s="46" t="str">
        <x:v>Bonnethead</x:v>
      </x:c>
      <x:c r="G191" s="46" t="str">
        <x:v>Large sharks (&gt;=90 cm)</x:v>
      </x:c>
      <x:c r="H191" s="46" t="str">
        <x:v>Sharks &amp; rays</x:v>
      </x:c>
      <x:c r="I191" s="60" t="n">
        <x:v>8.47e-7</x:v>
      </x:c>
      <x:c r="J191" s="60" t="n">
        <x:v>8.47e-7</x:v>
      </x:c>
      <x:c r="K191" s="60" t="n">
        <x:v>0</x:v>
      </x:c>
      <x:c r="L191" s="60" t="n">
        <x:v>8.47e-7</x:v>
      </x:c>
      <x:c r="M191" s="60" t="n">
        <x:v>0</x:v>
      </x:c>
      <x:c r="N191" s="46" t="str">
        <x:v>sphyrna tiburo</x:v>
      </x:c>
      <x:c r="O191" s="62" t="n">
        <x:v>3.88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Sphyrna tiburo</x:v>
      </x:c>
      <x:c r="T191" s="62" t="n">
        <x:f>IF(O191="","",(1/'Metadata'!$B$5)^(O191-1))</x:f>
        <x:v>5584.269732662554</x:v>
      </x:c>
      <x:c r="U191" s="60" t="n">
        <x:f>IF(T191="","",I191*T191)</x:f>
        <x:v>0.004729876463565183</x:v>
      </x:c>
    </x:row>
    <x:row r="192" ht="18" customHeight="1">
      <x:c r="A192" s="46" t="str">
        <x:v>LME_014</x:v>
      </x:c>
      <x:c r="B192" s="46" t="str">
        <x:v>Patagonian Shelf</x:v>
      </x:c>
      <x:c r="C192" s="46" t="str">
        <x:v>LME</x:v>
      </x:c>
      <x:c r="D192" s="58" t="n">
        <x:v>2019</x:v>
      </x:c>
      <x:c r="E192" s="46" t="str">
        <x:v>Carcharhinus</x:v>
      </x:c>
      <x:c r="F192" s="46" t="str">
        <x:v>Sharp-nosed sharks</x:v>
      </x:c>
      <x:c r="G192" s="46" t="str">
        <x:v>Large sharks (&gt;=90 cm)</x:v>
      </x:c>
      <x:c r="H192" s="46" t="str">
        <x:v>Sharks &amp; rays</x:v>
      </x:c>
      <x:c r="I192" s="60" t="n">
        <x:v>8.26e-7</x:v>
      </x:c>
      <x:c r="J192" s="60" t="n">
        <x:v>8.26e-7</x:v>
      </x:c>
      <x:c r="K192" s="60" t="n">
        <x:v>0</x:v>
      </x:c>
      <x:c r="L192" s="60" t="n">
        <x:v>0</x:v>
      </x:c>
      <x:c r="M192" s="60" t="n">
        <x:v>8.26e-7</x:v>
      </x:c>
      <x:c r="N192" s="46" t="str">
        <x:v>carcharhinus</x:v>
      </x:c>
      <x:c r="O192" s="62" t="n">
        <x:v>4.26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Carcharhinus</x:v>
      </x:c>
      <x:c r="T192" s="62" t="n">
        <x:f>IF(O192="","",(1/'Metadata'!$B$5)^(O192-1))</x:f>
        <x:v>17432.42421569787</x:v>
      </x:c>
      <x:c r="U192" s="60" t="n">
        <x:f>IF(T192="","",I192*T192)</x:f>
        <x:v>0.01439918240216644</x:v>
      </x:c>
    </x:row>
    <x:row r="193" ht="18" customHeight="1">
      <x:c r="A193" s="46" t="str">
        <x:v>LME_014</x:v>
      </x:c>
      <x:c r="B193" s="46" t="str">
        <x:v>Patagonian Shelf</x:v>
      </x:c>
      <x:c r="C193" s="46" t="str">
        <x:v>LME</x:v>
      </x:c>
      <x:c r="D193" s="58" t="n">
        <x:v>2019</x:v>
      </x:c>
      <x:c r="E193" s="46" t="str">
        <x:v>Callinectes sapidus</x:v>
      </x:c>
      <x:c r="F193" s="46" t="str">
        <x:v>Blue crab</x:v>
      </x:c>
      <x:c r="G193" s="46" t="str">
        <x:v>Lobsters, crabs</x:v>
      </x:c>
      <x:c r="H193" s="46" t="str">
        <x:v>Crustaceans</x:v>
      </x:c>
      <x:c r="I193" s="60" t="n">
        <x:v>7.591e-7</x:v>
      </x:c>
      <x:c r="J193" s="60" t="n">
        <x:v>7.591e-7</x:v>
      </x:c>
      <x:c r="K193" s="60" t="n">
        <x:v>0</x:v>
      </x:c>
      <x:c r="L193" s="60" t="n">
        <x:v>7.591e-7</x:v>
      </x:c>
      <x:c r="M193" s="60" t="n">
        <x:v>0</x:v>
      </x:c>
      <x:c r="N193" s="46" t="str">
        <x:v>callinectes sapidus</x:v>
      </x:c>
      <x:c r="O193" s="62" t="n">
        <x:v>4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Callinectes sapidus</x:v>
      </x:c>
      <x:c r="T193" s="62" t="n">
        <x:f>IF(O193="","",(1/'Metadata'!$B$5)^(O193-1))</x:f>
        <x:v>8000</x:v>
      </x:c>
      <x:c r="U193" s="60" t="n">
        <x:f>IF(T193="","",I193*T193)</x:f>
        <x:v>0.0060728</x:v>
      </x:c>
    </x:row>
    <x:row r="194" ht="18" customHeight="1">
      <x:c r="A194" s="46" t="str">
        <x:v>LME_014</x:v>
      </x:c>
      <x:c r="B194" s="46" t="str">
        <x:v>Patagonian Shelf</x:v>
      </x:c>
      <x:c r="C194" s="46" t="str">
        <x:v>LME</x:v>
      </x:c>
      <x:c r="D194" s="58" t="n">
        <x:v>2019</x:v>
      </x:c>
      <x:c r="E194" s="46" t="str">
        <x:v>Calamus</x:v>
      </x:c>
      <x:c r="F194" s="46" t="str">
        <x:v>Porgies</x:v>
      </x:c>
      <x:c r="G194" s="46" t="str">
        <x:v>Medium reef assoc. fish (30 - 89 cm)</x:v>
      </x:c>
      <x:c r="H194" s="46" t="str">
        <x:v>Perch-likes</x:v>
      </x:c>
      <x:c r="I194" s="60" t="n">
        <x:v>6.076e-7</x:v>
      </x:c>
      <x:c r="J194" s="60" t="n">
        <x:v>6.076e-7</x:v>
      </x:c>
      <x:c r="K194" s="60" t="n">
        <x:v>0</x:v>
      </x:c>
      <x:c r="L194" s="60" t="n">
        <x:v>6.076e-7</x:v>
      </x:c>
      <x:c r="M194" s="60" t="n">
        <x:v>0</x:v>
      </x:c>
      <x:c r="N194" s="46" t="str">
        <x:v>calamus</x:v>
      </x:c>
      <x:c r="O194" s="62" t="n">
        <x:v>3.51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Calamus</x:v>
      </x:c>
      <x:c r="T194" s="62" t="n">
        <x:f>IF(O194="","",(1/'Metadata'!$B$5)^(O194-1))</x:f>
        <x:v>1843.2544417784343</x:v>
      </x:c>
      <x:c r="U194" s="60" t="n">
        <x:f>IF(T194="","",I194*T194)</x:f>
        <x:v>0.0011199613988245767</x:v>
      </x:c>
    </x:row>
    <x:row r="195" ht="18" customHeight="1">
      <x:c r="A195" s="46" t="str">
        <x:v>LME_014</x:v>
      </x:c>
      <x:c r="B195" s="46" t="str">
        <x:v>Patagonian Shelf</x:v>
      </x:c>
      <x:c r="C195" s="46" t="str">
        <x:v>LME</x:v>
      </x:c>
      <x:c r="D195" s="58" t="n">
        <x:v>2019</x:v>
      </x:c>
      <x:c r="E195" s="46" t="str">
        <x:v>Sphyrna lewini</x:v>
      </x:c>
      <x:c r="F195" s="46" t="str">
        <x:v>Scalloped hammerhead</x:v>
      </x:c>
      <x:c r="G195" s="46" t="str">
        <x:v>Large sharks (&gt;=90 cm)</x:v>
      </x:c>
      <x:c r="H195" s="46" t="str">
        <x:v>Sharks &amp; rays</x:v>
      </x:c>
      <x:c r="I195" s="60" t="n">
        <x:v>3.41e-8</x:v>
      </x:c>
      <x:c r="J195" s="60" t="n">
        <x:v>3.41e-8</x:v>
      </x:c>
      <x:c r="K195" s="60" t="n">
        <x:v>0</x:v>
      </x:c>
      <x:c r="L195" s="60" t="n">
        <x:v>0</x:v>
      </x:c>
      <x:c r="M195" s="60" t="n">
        <x:v>3.41e-8</x:v>
      </x:c>
      <x:c r="N195" s="46" t="str">
        <x:v>sphyrna lewini</x:v>
      </x:c>
      <x:c r="O195" s="62" t="n">
        <x:v>4.08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Sphyrna lewini</x:v>
      </x:c>
      <x:c r="T195" s="62" t="n">
        <x:f>IF(O195="","",(1/'Metadata'!$B$5)^(O195-1))</x:f>
        <x:v>10166.521575327472</x:v>
      </x:c>
      <x:c r="U195" s="60" t="n">
        <x:f>IF(T195="","",I195*T195)</x:f>
        <x:v>0.0003466783857186668</x:v>
      </x:c>
    </x:row>
    <x:row r="196" ht="18" customHeight="1">
      <x:c r="A196" s="46" t="str">
        <x:v>LME_014</x:v>
      </x:c>
      <x:c r="B196" s="46" t="str">
        <x:v>Patagonian Shelf</x:v>
      </x:c>
      <x:c r="C196" s="46" t="str">
        <x:v>LME</x:v>
      </x:c>
      <x:c r="D196" s="58" t="n">
        <x:v>2019</x:v>
      </x:c>
      <x:c r="E196" s="46" t="str">
        <x:v>Lampris guttatus</x:v>
      </x:c>
      <x:c r="F196" s="46" t="str">
        <x:v>Opah</x:v>
      </x:c>
      <x:c r="G196" s="46" t="str">
        <x:v>Large bathypelagics (&gt;=90 cm)</x:v>
      </x:c>
      <x:c r="H196" s="46" t="str">
        <x:v>Other fishes &amp; inverts</x:v>
      </x:c>
      <x:c r="I196" s="60" t="n">
        <x:v>3.32e-8</x:v>
      </x:c>
      <x:c r="J196" s="60" t="n">
        <x:v>3.32e-8</x:v>
      </x:c>
      <x:c r="K196" s="60" t="n">
        <x:v>0</x:v>
      </x:c>
      <x:c r="L196" s="60" t="n">
        <x:v>3.32e-8</x:v>
      </x:c>
      <x:c r="M196" s="60" t="n">
        <x:v>0</x:v>
      </x:c>
      <x:c r="N196" s="46" t="str">
        <x:v>lampris guttatus</x:v>
      </x:c>
      <x:c r="O196" s="62" t="n">
        <x:v>4.22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Lampris guttatus</x:v>
      </x:c>
      <x:c r="T196" s="62" t="n">
        <x:f>IF(O196="","",(1/'Metadata'!$B$5)^(O196-1))</x:f>
        <x:v>15463.812886046735</x:v>
      </x:c>
      <x:c r="U196" s="60" t="n">
        <x:f>IF(T196="","",I196*T196)</x:f>
        <x:v>0.0005133985878167516</x:v>
      </x:c>
    </x:row>
  </x:sheetData>
  <x:conditionalFormatting sqref="R2:R19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6d6bbcf1d3245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6907.352790027099</x:v>
      </x:c>
      <x:c r="E2" s="60" t="n">
        <x:v>6907.352790027099</x:v>
      </x:c>
      <x:c r="F2" s="62" t="n">
        <x:v>0</x:v>
      </x:c>
      <x:c r="G2" s="66" t="n">
        <x:v>1</x:v>
      </x:c>
      <x:c r="H2" s="62" t="n">
        <x:f>IF(E2=0,"",I2/E2)</x:f>
        <x:v>94.10804395223043</x:v>
      </x:c>
      <x:c r="I2" s="60" t="n">
        <x:f>SUMIF('Species'!$H$2:$H$196,A2,'Species'!$U$2:$U$196)</x:f>
        <x:v>650037.4599574318</x:v>
      </x:c>
      <x:c r="J2" s="62" t="n">
        <x:v>2.51159132602985</x:v>
      </x:c>
      <x:c r="K2" s="62" t="n">
        <x:f>IF(J2="","",(1/'Metadata'!$B$5)^(J2-1))</x:f>
        <x:v>92.60312791042107</x:v>
      </x:c>
      <x:c r="L2" s="60" t="n">
        <x:f>IF(E2=0,"",E2*K2)</x:f>
        <x:v>639642.4739372833</x:v>
      </x:c>
      <x:c r="M2" s="60" t="n">
        <x:f>I2-L2</x:f>
        <x:v>10394.986020148499</x:v>
      </x:c>
      <x:c r="N2" s="62" t="n">
        <x:f>IF(L2=0,"",I2/L2)</x:f>
        <x:v>1.0162512441616998</x:v>
      </x:c>
      <x:c r="O2" s="66" t="n">
        <x:f>IF(L2=0,"",M2/L2)</x:f>
        <x:v>0.01625124416169981</x:v>
      </x:c>
    </x:row>
    <x:row r="3" ht="18" customHeight="1">
      <x:c r="A3" s="46" t="str">
        <x:v>Cod-likes</x:v>
      </x:c>
      <x:c r="B3" s="64" t="n">
        <x:v>12</x:v>
      </x:c>
      <x:c r="C3" s="64" t="n">
        <x:v>12</x:v>
      </x:c>
      <x:c r="D3" s="60" t="n">
        <x:v>740821.9266295667</x:v>
      </x:c>
      <x:c r="E3" s="60" t="n">
        <x:v>740821.9266295667</x:v>
      </x:c>
      <x:c r="F3" s="62" t="n">
        <x:v>0</x:v>
      </x:c>
      <x:c r="G3" s="66" t="n">
        <x:v>1</x:v>
      </x:c>
      <x:c r="H3" s="62" t="n">
        <x:f>IF(E3=0,"",I3/E3)</x:f>
        <x:v>13786.81662470276</x:v>
      </x:c>
      <x:c r="I3" s="60" t="n">
        <x:f>SUMIF('Species'!$H$2:$H$196,A3,'Species'!$U$2:$U$196)</x:f>
        <x:v>10213576054.00084</x:v>
      </x:c>
      <x:c r="J3" s="62" t="n">
        <x:v>4.149539932221344</x:v>
      </x:c>
      <x:c r="K3" s="62" t="n">
        <x:f>IF(J3="","",(1/'Metadata'!$B$5)^(J3-1))</x:f>
        <x:v>12521.199187324939</x:v>
      </x:c>
      <x:c r="L3" s="60" t="n">
        <x:f>IF(E3=0,"",E3*K3)</x:f>
        <x:v>9275978905.666626</x:v>
      </x:c>
      <x:c r="M3" s="60" t="n">
        <x:f>I3-L3</x:f>
        <x:v>937597148.3342133</x:v>
      </x:c>
      <x:c r="N3" s="62" t="n">
        <x:f>IF(L3=0,"",I3/L3)</x:f>
        <x:v>1.1010779733189606</x:v>
      </x:c>
      <x:c r="O3" s="66" t="n">
        <x:f>IF(L3=0,"",M3/L3)</x:f>
        <x:v>0.10107797331896068</x:v>
      </x:c>
    </x:row>
    <x:row r="4" ht="18" customHeight="1">
      <x:c r="A4" s="46" t="str">
        <x:v>Crustaceans</x:v>
      </x:c>
      <x:c r="B4" s="64" t="n">
        <x:v>14</x:v>
      </x:c>
      <x:c r="C4" s="64" t="n">
        <x:v>14</x:v>
      </x:c>
      <x:c r="D4" s="60" t="n">
        <x:v>285498.3665785909</x:v>
      </x:c>
      <x:c r="E4" s="60" t="n">
        <x:v>285498.3665785909</x:v>
      </x:c>
      <x:c r="F4" s="62" t="n">
        <x:v>0</x:v>
      </x:c>
      <x:c r="G4" s="66" t="n">
        <x:v>1</x:v>
      </x:c>
      <x:c r="H4" s="62" t="n">
        <x:f>IF(E4=0,"",I4/E4)</x:f>
        <x:v>42.88979659405441</x:v>
      </x:c>
      <x:c r="I4" s="60" t="n">
        <x:f>SUMIF('Species'!$H$2:$H$196,A4,'Species'!$U$2:$U$196)</x:f>
        <x:v>12244966.870490545</x:v>
      </x:c>
      <x:c r="J4" s="62" t="n">
        <x:v>2.205056379427213</x:v>
      </x:c>
      <x:c r="K4" s="62" t="n">
        <x:f>IF(J4="","",(1/'Metadata'!$B$5)^(J4-1))</x:f>
        <x:v>36.967024565397246</x:v>
      </x:c>
      <x:c r="L4" s="60" t="n">
        <x:f>IF(E4=0,"",E4*K4)</x:f>
        <x:v>10554025.130691556</x:v>
      </x:c>
      <x:c r="M4" s="60" t="n">
        <x:f>I4-L4</x:f>
        <x:v>1690941.7397989891</x:v>
      </x:c>
      <x:c r="N4" s="62" t="n">
        <x:f>IF(L4=0,"",I4/L4)</x:f>
        <x:v>1.1602177101968099</x:v>
      </x:c>
      <x:c r="O4" s="66" t="n">
        <x:f>IF(L4=0,"",M4/L4)</x:f>
        <x:v>0.16021771019680997</x:v>
      </x:c>
    </x:row>
    <x:row r="5" ht="18" customHeight="1">
      <x:c r="A5" s="46" t="str">
        <x:v>Flatfishes</x:v>
      </x:c>
      <x:c r="B5" s="64" t="n">
        <x:v>2</x:v>
      </x:c>
      <x:c r="C5" s="64" t="n">
        <x:v>2</x:v>
      </x:c>
      <x:c r="D5" s="60" t="n">
        <x:v>0.084540174</x:v>
      </x:c>
      <x:c r="E5" s="60" t="n">
        <x:v>0.084540174</x:v>
      </x:c>
      <x:c r="F5" s="62" t="n">
        <x:v>0</x:v>
      </x:c>
      <x:c r="G5" s="66" t="n">
        <x:v>1</x:v>
      </x:c>
      <x:c r="H5" s="62" t="n">
        <x:f>IF(E5=0,"",I5/E5)</x:f>
        <x:v>1849.0922814388564</x:v>
      </x:c>
      <x:c r="I5" s="60" t="n">
        <x:f>SUMIF('Species'!$H$2:$H$196,A5,'Species'!$U$2:$U$196)</x:f>
        <x:v>156.3225832148979</x:v>
      </x:c>
      <x:c r="J5" s="62" t="n">
        <x:v>3.4901731731472427</x:v>
      </x:c>
      <x:c r="K5" s="62" t="n">
        <x:f>IF(J5="","",(1/'Metadata'!$B$5)^(J5-1))</x:f>
        <x:v>1736.9607013310053</x:v>
      </x:c>
      <x:c r="L5" s="60" t="n">
        <x:f>IF(E5=0,"",E5*K5)</x:f>
        <x:v>146.8429599216852</x:v>
      </x:c>
      <x:c r="M5" s="60" t="n">
        <x:f>I5-L5</x:f>
        <x:v>9.479623293212683</x:v>
      </x:c>
      <x:c r="N5" s="62" t="n">
        <x:f>IF(L5=0,"",I5/L5)</x:f>
        <x:v>1.0645561986646714</x:v>
      </x:c>
      <x:c r="O5" s="66" t="n">
        <x:f>IF(L5=0,"",M5/L5)</x:f>
        <x:v>0.06455619866467134</x:v>
      </x:c>
    </x:row>
    <x:row r="6" ht="18" customHeight="1">
      <x:c r="A6" s="46" t="str">
        <x:v>Herring-likes</x:v>
      </x:c>
      <x:c r="B6" s="64" t="n">
        <x:v>6</x:v>
      </x:c>
      <x:c r="C6" s="64" t="n">
        <x:v>6</x:v>
      </x:c>
      <x:c r="D6" s="60" t="n">
        <x:v>5940.7491715112</x:v>
      </x:c>
      <x:c r="E6" s="60" t="n">
        <x:v>5940.7491715112</x:v>
      </x:c>
      <x:c r="F6" s="62" t="n">
        <x:v>0</x:v>
      </x:c>
      <x:c r="G6" s="66" t="n">
        <x:v>1</x:v>
      </x:c>
      <x:c r="H6" s="62" t="n">
        <x:f>IF(E6=0,"",I6/E6)</x:f>
        <x:v>779.8030072963975</x:v>
      </x:c>
      <x:c r="I6" s="60" t="n">
        <x:f>SUMIF('Species'!$H$2:$H$196,A6,'Species'!$U$2:$U$196)</x:f>
        <x:v>4632614.069538016</x:v>
      </x:c>
      <x:c r="J6" s="62" t="n">
        <x:v>3.0874175272960374</x:v>
      </x:c>
      <x:c r="K6" s="62" t="n">
        <x:f>IF(J6="","",(1/'Metadata'!$B$5)^(J6-1))</x:f>
        <x:v>519.7479876175952</x:v>
      </x:c>
      <x:c r="L6" s="60" t="n">
        <x:f>IF(E6=0,"",E6*K6)</x:f>
        <x:v>3087692.426833842</x:v>
      </x:c>
      <x:c r="M6" s="60" t="n">
        <x:f>I6-L6</x:f>
        <x:v>1544921.642704174</x:v>
      </x:c>
      <x:c r="N6" s="62" t="n">
        <x:f>IF(L6=0,"",I6/L6)</x:f>
        <x:v>1.5003482954707232</x:v>
      </x:c>
      <x:c r="O6" s="66" t="n">
        <x:f>IF(L6=0,"",M6/L6)</x:f>
        <x:v>0.5003482954707233</x:v>
      </x:c>
    </x:row>
    <x:row r="7" ht="18" customHeight="1">
      <x:c r="A7" s="46" t="str">
        <x:v>Molluscs</x:v>
      </x:c>
      <x:c r="B7" s="64" t="n">
        <x:v>11</x:v>
      </x:c>
      <x:c r="C7" s="64" t="n">
        <x:v>11</x:v>
      </x:c>
      <x:c r="D7" s="60" t="n">
        <x:v>23703.8202913302</x:v>
      </x:c>
      <x:c r="E7" s="60" t="n">
        <x:v>23703.8202913302</x:v>
      </x:c>
      <x:c r="F7" s="62" t="n">
        <x:v>0</x:v>
      </x:c>
      <x:c r="G7" s="66" t="n">
        <x:v>1</x:v>
      </x:c>
      <x:c r="H7" s="62" t="n">
        <x:f>IF(E7=0,"",I7/E7)</x:f>
        <x:v>20.00023023446629</x:v>
      </x:c>
      <x:c r="I7" s="60" t="n">
        <x:f>SUMIF('Species'!$H$2:$H$196,A7,'Species'!$U$2:$U$196)</x:f>
        <x:v>474081.86326301785</x:v>
      </x:c>
      <x:c r="J7" s="62" t="n">
        <x:v>2.000002667625962</x:v>
      </x:c>
      <x:c r="K7" s="62" t="n">
        <x:f>IF(J7="","",(1/'Metadata'!$B$5)^(J7-1))</x:f>
        <x:v>20.000159830502398</x:v>
      </x:c>
      <x:c r="L7" s="60" t="n">
        <x:f>IF(E7=0,"",E7*K7)</x:f>
        <x:v>474080.1944201099</x:v>
      </x:c>
      <x:c r="M7" s="60" t="n">
        <x:f>I7-L7</x:f>
        <x:v>1.668842907936778</x:v>
      </x:c>
      <x:c r="N7" s="62" t="n">
        <x:f>IF(L7=0,"",I7/L7)</x:f>
        <x:v>1.0000035201700632</x:v>
      </x:c>
      <x:c r="O7" s="66" t="n">
        <x:f>IF(L7=0,"",M7/L7)</x:f>
        <x:v>0.0000035201700631642915</x:v>
      </x:c>
    </x:row>
    <x:row r="8" ht="18" customHeight="1">
      <x:c r="A8" s="46" t="str">
        <x:v>Other fishes &amp; inverts</x:v>
      </x:c>
      <x:c r="B8" s="64" t="n">
        <x:v>25</x:v>
      </x:c>
      <x:c r="C8" s="64" t="n">
        <x:v>25</x:v>
      </x:c>
      <x:c r="D8" s="60" t="n">
        <x:v>358321.8367739405</x:v>
      </x:c>
      <x:c r="E8" s="60" t="n">
        <x:v>358321.8367739405</x:v>
      </x:c>
      <x:c r="F8" s="62" t="n">
        <x:v>0</x:v>
      </x:c>
      <x:c r="G8" s="66" t="n">
        <x:v>1</x:v>
      </x:c>
      <x:c r="H8" s="62" t="n">
        <x:f>IF(E8=0,"",I8/E8)</x:f>
        <x:v>3830.3186527004464</x:v>
      </x:c>
      <x:c r="I8" s="60" t="n">
        <x:f>SUMIF('Species'!$H$2:$H$196,A8,'Species'!$U$2:$U$196)</x:f>
        <x:v>1372486815.065109</x:v>
      </x:c>
      <x:c r="J8" s="62" t="n">
        <x:v>3.6717817147724596</x:v>
      </x:c>
      <x:c r="K8" s="62" t="n">
        <x:f>IF(J8="","",(1/'Metadata'!$B$5)^(J8-1))</x:f>
        <x:v>2992.7342423262876</x:v>
      </x:c>
      <x:c r="L8" s="60" t="n">
        <x:f>IF(E8=0,"",E8*K8)</x:f>
        <x:v>1072362030.6866225</x:v>
      </x:c>
      <x:c r="M8" s="60" t="n">
        <x:f>I8-L8</x:f>
        <x:v>300124784.3784865</x:v>
      </x:c>
      <x:c r="N8" s="62" t="n">
        <x:f>IF(L8=0,"",I8/L8)</x:f>
        <x:v>1.2798726323668133</x:v>
      </x:c>
      <x:c r="O8" s="66" t="n">
        <x:f>IF(L8=0,"",M8/L8)</x:f>
        <x:v>0.27987263236681337</x:v>
      </x:c>
    </x:row>
    <x:row r="9" ht="18" customHeight="1">
      <x:c r="A9" s="46" t="str">
        <x:v>Perch-likes</x:v>
      </x:c>
      <x:c r="B9" s="64" t="n">
        <x:v>69</x:v>
      </x:c>
      <x:c r="C9" s="64" t="n">
        <x:v>69</x:v>
      </x:c>
      <x:c r="D9" s="60" t="n">
        <x:v>117294.30590042162</x:v>
      </x:c>
      <x:c r="E9" s="60" t="n">
        <x:v>117294.30590042162</x:v>
      </x:c>
      <x:c r="F9" s="62" t="n">
        <x:v>0</x:v>
      </x:c>
      <x:c r="G9" s="66" t="n">
        <x:v>1</x:v>
      </x:c>
      <x:c r="H9" s="62" t="n">
        <x:f>IF(E9=0,"",I9/E9)</x:f>
        <x:v>3646.775658120232</x:v>
      </x:c>
      <x:c r="I9" s="60" t="n">
        <x:f>SUMIF('Species'!$H$2:$H$196,A9,'Species'!$U$2:$U$196)</x:f>
        <x:v>427746019.59376585</x:v>
      </x:c>
      <x:c r="J9" s="62" t="n">
        <x:v>3.389554770571526</x:v>
      </x:c>
      <x:c r="K9" s="62" t="n">
        <x:f>IF(J9="","",(1/'Metadata'!$B$5)^(J9-1))</x:f>
        <x:v>1284.9387690201552</x:v>
      </x:c>
      <x:c r="L9" s="60" t="n">
        <x:f>IF(E9=0,"",E9*K9)</x:f>
        <x:v>150716001.03676128</x:v>
      </x:c>
      <x:c r="M9" s="60" t="n">
        <x:f>I9-L9</x:f>
        <x:v>277030018.5570046</x:v>
      </x:c>
      <x:c r="N9" s="62" t="n">
        <x:f>IF(L9=0,"",I9/L9)</x:f>
        <x:v>2.8380929473403023</x:v>
      </x:c>
      <x:c r="O9" s="66" t="n">
        <x:f>IF(L9=0,"",M9/L9)</x:f>
        <x:v>1.838092947340302</x:v>
      </x:c>
    </x:row>
    <x:row r="10" ht="18" customHeight="1">
      <x:c r="A10" s="46" t="str">
        <x:v>Scorpionfishes</x:v>
      </x:c>
      <x:c r="B10" s="64" t="n">
        <x:v>1</x:v>
      </x:c>
      <x:c r="C10" s="64" t="n">
        <x:v>1</x:v>
      </x:c>
      <x:c r="D10" s="60" t="n">
        <x:v>0.000010462100000000001</x:v>
      </x:c>
      <x:c r="E10" s="60" t="n">
        <x:v>0.000010462100000000001</x:v>
      </x:c>
      <x:c r="F10" s="62" t="n">
        <x:v>0</x:v>
      </x:c>
      <x:c r="G10" s="66" t="n">
        <x:v>1</x:v>
      </x:c>
      <x:c r="H10" s="62" t="n">
        <x:f>IF(E10=0,"",I10/E10)</x:f>
        <x:v>4138.694671981463</x:v>
      </x:c>
      <x:c r="I10" s="60" t="n">
        <x:f>SUMIF('Species'!$H$2:$H$196,A10,'Species'!$U$2:$U$196)</x:f>
        <x:v>0.043299437527737274</x:v>
      </x:c>
      <x:c r="J10" s="62" t="n">
        <x:v>3.78</x:v>
      </x:c>
      <x:c r="K10" s="62" t="n">
        <x:f>IF(J10="","",(1/'Metadata'!$B$5)^(J10-1))</x:f>
        <x:v>4138.694671981463</x:v>
      </x:c>
      <x:c r="L10" s="60" t="n">
        <x:f>IF(E10=0,"",E10*K10)</x:f>
        <x:v>0.043299437527737274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Sharks &amp; rays</x:v>
      </x:c>
      <x:c r="B11" s="64" t="n">
        <x:v>43</x:v>
      </x:c>
      <x:c r="C11" s="64" t="n">
        <x:v>43</x:v>
      </x:c>
      <x:c r="D11" s="60" t="n">
        <x:v>51017.43725857529</x:v>
      </x:c>
      <x:c r="E11" s="60" t="n">
        <x:v>51017.43725857529</x:v>
      </x:c>
      <x:c r="F11" s="62" t="n">
        <x:v>0</x:v>
      </x:c>
      <x:c r="G11" s="66" t="n">
        <x:v>1</x:v>
      </x:c>
      <x:c r="H11" s="62" t="n">
        <x:f>IF(E11=0,"",I11/E11)</x:f>
        <x:v>3473.7427550666166</x:v>
      </x:c>
      <x:c r="I11" s="60" t="n">
        <x:f>SUMIF('Species'!$H$2:$H$196,A11,'Species'!$U$2:$U$196)</x:f>
        <x:v>177221453.0590416</x:v>
      </x:c>
      <x:c r="J11" s="62" t="n">
        <x:v>3.6586109052506486</x:v>
      </x:c>
      <x:c r="K11" s="62" t="n">
        <x:f>IF(J11="","",(1/'Metadata'!$B$5)^(J11-1))</x:f>
        <x:v>2876.9514600406756</x:v>
      </x:c>
      <x:c r="L11" s="60" t="n">
        <x:f>IF(E11=0,"",E11*K11)</x:f>
        <x:v>146774690.60859177</x:v>
      </x:c>
      <x:c r="M11" s="60" t="n">
        <x:f>I11-L11</x:f>
        <x:v>30446762.450449824</x:v>
      </x:c>
      <x:c r="N11" s="62" t="n">
        <x:f>IF(L11=0,"",I11/L11)</x:f>
        <x:v>1.207438777926932</x:v>
      </x:c>
      <x:c r="O11" s="66" t="n">
        <x:f>IF(L11=0,"",M11/L11)</x:f>
        <x:v>0.20743877792693205</x:v>
      </x:c>
    </x:row>
    <x:row r="12" ht="18" customHeight="1">
      <x:c r="A12" s="46" t="str">
        <x:v>Tuna &amp; billfishes</x:v>
      </x:c>
      <x:c r="B12" s="64" t="n">
        <x:v>9</x:v>
      </x:c>
      <x:c r="C12" s="64" t="n">
        <x:v>9</x:v>
      </x:c>
      <x:c r="D12" s="60" t="n">
        <x:v>385.05859208460004</x:v>
      </x:c>
      <x:c r="E12" s="60" t="n">
        <x:v>385.05859208460004</x:v>
      </x:c>
      <x:c r="F12" s="62" t="n">
        <x:v>0</x:v>
      </x:c>
      <x:c r="G12" s="66" t="n">
        <x:v>1</x:v>
      </x:c>
      <x:c r="H12" s="62" t="n">
        <x:f>IF(E12=0,"",I12/E12)</x:f>
        <x:v>27403.420022095434</x:v>
      </x:c>
      <x:c r="I12" s="60" t="n">
        <x:f>SUMIF('Species'!$H$2:$H$196,A12,'Species'!$U$2:$U$196)</x:f>
        <x:v>10551922.332011007</x:v>
      </x:c>
      <x:c r="J12" s="62" t="n">
        <x:v>4.405772115639851</x:v>
      </x:c>
      <x:c r="K12" s="62" t="n">
        <x:f>IF(J12="","",(1/'Metadata'!$B$5)^(J12-1))</x:f>
        <x:v>26978.11992187213</x:v>
      </x:c>
      <x:c r="L12" s="60" t="n">
        <x:f>IF(E12=0,"",E12*K12)</x:f>
        <x:v>10388156.874205582</x:v>
      </x:c>
      <x:c r="M12" s="60" t="n">
        <x:f>I12-L12</x:f>
        <x:v>163765.45780542493</x:v>
      </x:c>
      <x:c r="N12" s="62" t="n">
        <x:f>IF(L12=0,"",I12/L12)</x:f>
        <x:v>1.0157646307991424</x:v>
      </x:c>
      <x:c r="O12" s="66" t="n">
        <x:f>IF(L12=0,"",M12/L12)</x:f>
        <x:v>0.015764630799142473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97fae820f2c43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268132.43554690445</x:v>
      </x:c>
      <x:c r="E2" s="60" t="n">
        <x:v>268132.43554690445</x:v>
      </x:c>
      <x:c r="F2" s="62" t="n">
        <x:v>0</x:v>
      </x:c>
      <x:c r="G2" s="66" t="n">
        <x:v>1</x:v>
      </x:c>
      <x:c r="H2" s="62" t="n">
        <x:f>IF(E2=0,"",I2/E2)</x:f>
        <x:v>4400.206857312435</x:v>
      </x:c>
      <x:c r="I2" s="60" t="n">
        <x:f>SUMIF('Species'!$G$2:$G$196,A2,'Species'!$U$2:$U$196)</x:f>
        <x:v>1179838181.5613735</x:v>
      </x:c>
      <x:c r="J2" s="62" t="n">
        <x:v>3.7771755783755268</x:v>
      </x:c>
      <x:c r="K2" s="62" t="n">
        <x:f>IF(J2="","",(1/'Metadata'!$B$5)^(J2-1))</x:f>
        <x:v>4103.824034984164</x:v>
      </x:c>
      <x:c r="L2" s="60" t="n">
        <x:f>IF(E2=0,"",E2*K2)</x:f>
        <x:v>1100368333.5562289</x:v>
      </x:c>
      <x:c r="M2" s="60" t="n">
        <x:f>I2-L2</x:f>
        <x:v>79469848.0051446</x:v>
      </x:c>
      <x:c r="N2" s="62" t="n">
        <x:f>IF(L2=0,"",I2/L2)</x:f>
        <x:v>1.0722211332166474</x:v>
      </x:c>
      <x:c r="O2" s="66" t="n">
        <x:f>IF(L2=0,"",M2/L2)</x:f>
        <x:v>0.0722211332166473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8812.2845096176</x:v>
      </x:c>
      <x:c r="E3" s="60" t="n">
        <x:v>8812.2845096176</x:v>
      </x:c>
      <x:c r="F3" s="62" t="n">
        <x:v>0</x:v>
      </x:c>
      <x:c r="G3" s="66" t="n">
        <x:v>1</x:v>
      </x:c>
      <x:c r="H3" s="62" t="n">
        <x:f>IF(E3=0,"",I3/E3)</x:f>
        <x:v>13778.291602634468</x:v>
      </x:c>
      <x:c r="I3" s="60" t="n">
        <x:f>SUMIF('Species'!$G$2:$G$196,A3,'Species'!$U$2:$U$196)</x:f>
        <x:v>121418225.65889</x:v>
      </x:c>
      <x:c r="J3" s="62" t="n">
        <x:v>4.138979817841758</x:v>
      </x:c>
      <x:c r="K3" s="62" t="n">
        <x:f>IF(J3="","",(1/'Metadata'!$B$5)^(J3-1))</x:f>
        <x:v>12131.28759996825</x:v>
      </x:c>
      <x:c r="L3" s="60" t="n">
        <x:f>IF(E3=0,"",E3*K3)</x:f>
        <x:v>106904357.79891628</x:v>
      </x:c>
      <x:c r="M3" s="60" t="n">
        <x:f>I3-L3</x:f>
        <x:v>14513867.859973714</x:v>
      </x:c>
      <x:c r="N3" s="62" t="n">
        <x:f>IF(L3=0,"",I3/L3)</x:f>
        <x:v>1.1357649787043653</x:v>
      </x:c>
      <x:c r="O3" s="66" t="n">
        <x:f>IF(L3=0,"",M3/L3)</x:f>
        <x:v>0.13576497870436527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111.70175488439999</x:v>
      </x:c>
      <x:c r="E4" s="60" t="n">
        <x:v>111.70175488439999</x:v>
      </x:c>
      <x:c r="F4" s="62" t="n">
        <x:v>0</x:v>
      </x:c>
      <x:c r="G4" s="66" t="n">
        <x:v>1</x:v>
      </x:c>
      <x:c r="H4" s="62" t="n">
        <x:f>IF(E4=0,"",I4/E4)</x:f>
        <x:v>22153.38961040591</x:v>
      </x:c>
      <x:c r="I4" s="60" t="n">
        <x:f>SUMIF('Species'!$G$2:$G$196,A4,'Species'!$U$2:$U$196)</x:f>
        <x:v>2474572.4961201744</x:v>
      </x:c>
      <x:c r="J4" s="62" t="n">
        <x:v>4.339999999964333</x:v>
      </x:c>
      <x:c r="K4" s="62" t="n">
        <x:f>IF(J4="","",(1/'Metadata'!$B$5)^(J4-1))</x:f>
        <x:v>22153.38961002715</x:v>
      </x:c>
      <x:c r="L4" s="60" t="n">
        <x:f>IF(E4=0,"",E4*K4)</x:f>
        <x:v>2474572.496077866</x:v>
      </x:c>
      <x:c r="M4" s="60" t="n">
        <x:f>I4-L4</x:f>
        <x:v>0.000042308587580919266</x:v>
      </x:c>
      <x:c r="N4" s="62" t="n">
        <x:f>IF(L4=0,"",I4/L4)</x:f>
        <x:v>1.0000000000170974</x:v>
      </x:c>
      <x:c r="O4" s="66" t="n">
        <x:f>IF(L4=0,"",M4/L4)</x:f>
        <x:v>1.7097332023198874e-11</x:v>
      </x:c>
    </x:row>
    <x:row r="5" ht="18" customHeight="1">
      <x:c r="A5" s="46" t="str">
        <x:v>Large benthopelagics (&gt;=90 cm)</x:v>
      </x:c>
      <x:c r="B5" s="64" t="n">
        <x:v>9</x:v>
      </x:c>
      <x:c r="C5" s="64" t="n">
        <x:v>9</x:v>
      </x:c>
      <x:c r="D5" s="60" t="n">
        <x:v>56397.7267513365</x:v>
      </x:c>
      <x:c r="E5" s="60" t="n">
        <x:v>56397.7267513365</x:v>
      </x:c>
      <x:c r="F5" s="62" t="n">
        <x:v>0</x:v>
      </x:c>
      <x:c r="G5" s="66" t="n">
        <x:v>1</x:v>
      </x:c>
      <x:c r="H5" s="62" t="n">
        <x:f>IF(E5=0,"",I5/E5)</x:f>
        <x:v>7339.746860474827</x:v>
      </x:c>
      <x:c r="I5" s="60" t="n">
        <x:f>SUMIF('Species'!$G$2:$G$196,A5,'Species'!$U$2:$U$196)</x:f>
        <x:v>413945037.8610393</x:v>
      </x:c>
      <x:c r="J5" s="62" t="n">
        <x:v>3.9485210944384233</x:v>
      </x:c>
      <x:c r="K5" s="62" t="n">
        <x:f>IF(J5="","",(1/'Metadata'!$B$5)^(J5-1))</x:f>
        <x:v>6856.687976431444</x:v>
      </x:c>
      <x:c r="L5" s="60" t="n">
        <x:f>IF(E5=0,"",E5*K5)</x:f>
        <x:v>386701614.91395503</x:v>
      </x:c>
      <x:c r="M5" s="60" t="n">
        <x:f>I5-L5</x:f>
        <x:v>27243422.947084248</x:v>
      </x:c>
      <x:c r="N5" s="62" t="n">
        <x:f>IF(L5=0,"",I5/L5)</x:f>
        <x:v>1.0704507607322669</x:v>
      </x:c>
      <x:c r="O5" s="66" t="n">
        <x:f>IF(L5=0,"",M5/L5)</x:f>
        <x:v>0.07045076073226687</x:v>
      </x:c>
    </x:row>
    <x:row r="6" ht="18" customHeight="1">
      <x:c r="A6" s="46" t="str">
        <x:v>Large demersals (&gt;=90 cm)</x:v>
      </x:c>
      <x:c r="B6" s="64" t="n">
        <x:v>5</x:v>
      </x:c>
      <x:c r="C6" s="64" t="n">
        <x:v>5</x:v>
      </x:c>
      <x:c r="D6" s="60" t="n">
        <x:v>1022.1082134011001</x:v>
      </x:c>
      <x:c r="E6" s="60" t="n">
        <x:v>1022.1082134011001</x:v>
      </x:c>
      <x:c r="F6" s="62" t="n">
        <x:v>0</x:v>
      </x:c>
      <x:c r="G6" s="66" t="n">
        <x:v>1</x:v>
      </x:c>
      <x:c r="H6" s="62" t="n">
        <x:f>IF(E6=0,"",I6/E6)</x:f>
        <x:v>5634.664930093847</x:v>
      </x:c>
      <x:c r="I6" s="60" t="n">
        <x:f>SUMIF('Species'!$G$2:$G$196,A6,'Species'!$U$2:$U$196)</x:f>
        <x:v>5759237.304812057</x:v>
      </x:c>
      <x:c r="J6" s="62" t="n">
        <x:v>3.8810341173960365</x:v>
      </x:c>
      <x:c r="K6" s="62" t="n">
        <x:f>IF(J6="","",(1/'Metadata'!$B$5)^(J6-1))</x:f>
        <x:v>5601.596283300663</x:v>
      </x:c>
      <x:c r="L6" s="60" t="n">
        <x:f>IF(E6=0,"",E6*K6)</x:f>
        <x:v>5725437.569318684</x:v>
      </x:c>
      <x:c r="M6" s="60" t="n">
        <x:f>I6-L6</x:f>
        <x:v>33799.735493373126</x:v>
      </x:c>
      <x:c r="N6" s="62" t="n">
        <x:f>IF(L6=0,"",I6/L6)</x:f>
        <x:v>1.005903432721806</x:v>
      </x:c>
      <x:c r="O6" s="66" t="n">
        <x:f>IF(L6=0,"",M6/L6)</x:f>
        <x:v>0.005903432721805965</x:v>
      </x:c>
    </x:row>
    <x:row r="7" ht="18" customHeight="1">
      <x:c r="A7" s="46" t="str">
        <x:v>Large pelagics (&gt;=90 cm)</x:v>
      </x:c>
      <x:c r="B7" s="64" t="n">
        <x:v>11</x:v>
      </x:c>
      <x:c r="C7" s="64" t="n">
        <x:v>11</x:v>
      </x:c>
      <x:c r="D7" s="60" t="n">
        <x:v>5935.954651133299</x:v>
      </x:c>
      <x:c r="E7" s="60" t="n">
        <x:v>5935.954651133299</x:v>
      </x:c>
      <x:c r="F7" s="62" t="n">
        <x:v>0</x:v>
      </x:c>
      <x:c r="G7" s="66" t="n">
        <x:v>1</x:v>
      </x:c>
      <x:c r="H7" s="62" t="n">
        <x:f>IF(E7=0,"",I7/E7)</x:f>
        <x:v>38400.97353298229</x:v>
      </x:c>
      <x:c r="I7" s="60" t="n">
        <x:f>SUMIF('Species'!$G$2:$G$196,A7,'Species'!$U$2:$U$196)</x:f>
        <x:v>227946437.45115292</x:v>
      </x:c>
      <x:c r="J7" s="62" t="n">
        <x:v>4.522139846892052</x:v>
      </x:c>
      <x:c r="K7" s="62" t="n">
        <x:f>IF(J7="","",(1/'Metadata'!$B$5)^(J7-1))</x:f>
        <x:v>38230.46582065306</x:v>
      </x:c>
      <x:c r="L7" s="60" t="n">
        <x:f>IF(E7=0,"",E7*K7)</x:f>
        <x:v>226934311.40309814</x:v>
      </x:c>
      <x:c r="M7" s="60" t="n">
        <x:f>I7-L7</x:f>
        <x:v>1012126.0480547845</x:v>
      </x:c>
      <x:c r="N7" s="62" t="n">
        <x:f>IF(L7=0,"",I7/L7)</x:f>
        <x:v>1.0044599956780311</x:v>
      </x:c>
      <x:c r="O7" s="66" t="n">
        <x:f>IF(L7=0,"",M7/L7)</x:f>
        <x:v>0.0044599956780311135</x:v>
      </x:c>
    </x:row>
    <x:row r="8" ht="18" customHeight="1">
      <x:c r="A8" s="46" t="str">
        <x:v>Large rays (&gt;=90 cm)</x:v>
      </x:c>
      <x:c r="B8" s="64" t="n">
        <x:v>10</x:v>
      </x:c>
      <x:c r="C8" s="64" t="n">
        <x:v>10</x:v>
      </x:c>
      <x:c r="D8" s="60" t="n">
        <x:v>43216.571585102996</x:v>
      </x:c>
      <x:c r="E8" s="60" t="n">
        <x:v>43216.571585102996</x:v>
      </x:c>
      <x:c r="F8" s="62" t="n">
        <x:v>0</x:v>
      </x:c>
      <x:c r="G8" s="66" t="n">
        <x:v>1</x:v>
      </x:c>
      <x:c r="H8" s="62" t="n">
        <x:f>IF(E8=0,"",I8/E8)</x:f>
        <x:v>2506.543958793956</x:v>
      </x:c>
      <x:c r="I8" s="60" t="n">
        <x:f>SUMIF('Species'!$G$2:$G$196,A8,'Species'!$U$2:$U$196)</x:f>
        <x:v>108324236.42642644</x:v>
      </x:c>
      <x:c r="J8" s="62" t="n">
        <x:v>3.611818612796608</x:v>
      </x:c>
      <x:c r="K8" s="62" t="n">
        <x:f>IF(J8="","",(1/'Metadata'!$B$5)^(J8-1))</x:f>
        <x:v>2500.6583370851326</x:v>
      </x:c>
      <x:c r="L8" s="60" t="n">
        <x:f>IF(E8=0,"",E8*K8)</x:f>
        <x:v>108069880.03452425</x:v>
      </x:c>
      <x:c r="M8" s="60" t="n">
        <x:f>I8-L8</x:f>
        <x:v>254356.39190219343</x:v>
      </x:c>
      <x:c r="N8" s="62" t="n">
        <x:f>IF(L8=0,"",I8/L8)</x:f>
        <x:v>1.0023536288910557</x:v>
      </x:c>
      <x:c r="O8" s="66" t="n">
        <x:f>IF(L8=0,"",M8/L8)</x:f>
        <x:v>0.002353628891055826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0.00030940359999999997</x:v>
      </x:c>
      <x:c r="E9" s="60" t="n">
        <x:v>0.00030940359999999997</x:v>
      </x:c>
      <x:c r="F9" s="62" t="n">
        <x:v>0</x:v>
      </x:c>
      <x:c r="G9" s="66" t="n">
        <x:v>1</x:v>
      </x:c>
      <x:c r="H9" s="62" t="n">
        <x:f>IF(E9=0,"",I9/E9)</x:f>
        <x:v>6295.1718073679995</x:v>
      </x:c>
      <x:c r="I9" s="60" t="n">
        <x:f>SUMIF('Species'!$G$2:$G$196,A9,'Species'!$U$2:$U$196)</x:f>
        <x:v>1.9477488198181654</x:v>
      </x:c>
      <x:c r="J9" s="62" t="n">
        <x:v>3.92</x:v>
      </x:c>
      <x:c r="K9" s="62" t="n">
        <x:f>IF(J9="","",(1/'Metadata'!$B$5)^(J9-1))</x:f>
        <x:v>6295.1718073679995</x:v>
      </x:c>
      <x:c r="L9" s="60" t="n">
        <x:f>IF(E9=0,"",E9*K9)</x:f>
        <x:v>1.9477488198181654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sharks (&gt;=90 cm)</x:v>
      </x:c>
      <x:c r="B10" s="64" t="n">
        <x:v>26</x:v>
      </x:c>
      <x:c r="C10" s="64" t="n">
        <x:v>26</x:v>
      </x:c>
      <x:c r="D10" s="60" t="n">
        <x:v>4337.1856435953</x:v>
      </x:c>
      <x:c r="E10" s="60" t="n">
        <x:v>4337.1856435953</x:v>
      </x:c>
      <x:c r="F10" s="62" t="n">
        <x:v>0</x:v>
      </x:c>
      <x:c r="G10" s="66" t="n">
        <x:v>1</x:v>
      </x:c>
      <x:c r="H10" s="62" t="n">
        <x:f>IF(E10=0,"",I10/E10)</x:f>
        <x:v>12248.794214440257</x:v>
      </x:c>
      <x:c r="I10" s="60" t="n">
        <x:f>SUMIF('Species'!$G$2:$G$196,A10,'Species'!$U$2:$U$196)</x:f>
        <x:v>53125294.41822345</x:v>
      </x:c>
      <x:c r="J10" s="62" t="n">
        <x:v>4.12441133062097</x:v>
      </x:c>
      <x:c r="K10" s="62" t="n">
        <x:f>IF(J10="","",(1/'Metadata'!$B$5)^(J10-1))</x:f>
        <x:v>11613.225523784304</x:v>
      </x:c>
      <x:c r="L10" s="60" t="n">
        <x:f>IF(E10=0,"",E10*K10)</x:f>
        <x:v>50368715.01759178</x:v>
      </x:c>
      <x:c r="M10" s="60" t="n">
        <x:f>I10-L10</x:f>
        <x:v>2756579.400631666</x:v>
      </x:c>
      <x:c r="N10" s="62" t="n">
        <x:f>IF(L10=0,"",I10/L10)</x:f>
        <x:v>1.054728007249518</x:v>
      </x:c>
      <x:c r="O10" s="66" t="n">
        <x:f>IF(L10=0,"",M10/L10)</x:f>
        <x:v>0.05472800724951794</x:v>
      </x:c>
    </x:row>
    <x:row r="11" ht="18" customHeight="1">
      <x:c r="A11" s="46" t="str">
        <x:v>Lobsters, crabs</x:v>
      </x:c>
      <x:c r="B11" s="64" t="n">
        <x:v>8</x:v>
      </x:c>
      <x:c r="C11" s="64" t="n">
        <x:v>8</x:v>
      </x:c>
      <x:c r="D11" s="60" t="n">
        <x:v>3132.4864857304</x:v>
      </x:c>
      <x:c r="E11" s="60" t="n">
        <x:v>3132.4864857304</x:v>
      </x:c>
      <x:c r="F11" s="62" t="n">
        <x:v>0</x:v>
      </x:c>
      <x:c r="G11" s="66" t="n">
        <x:v>1</x:v>
      </x:c>
      <x:c r="H11" s="62" t="n">
        <x:f>IF(E11=0,"",I11/E11)</x:f>
        <x:v>616.9582793924801</x:v>
      </x:c>
      <x:c r="I11" s="60" t="n">
        <x:f>SUMIF('Species'!$G$2:$G$196,A11,'Species'!$U$2:$U$196)</x:f>
        <x:v>1932613.4724564243</x:v>
      </x:c>
      <x:c r="J11" s="62" t="n">
        <x:v>2.635052228802838</x:v>
      </x:c>
      <x:c r="K11" s="62" t="n">
        <x:f>IF(J11="","",(1/'Metadata'!$B$5)^(J11-1))</x:f>
        <x:v>134.04542442733242</x:v>
      </x:c>
      <x:c r="L11" s="60" t="n">
        <x:f>IF(E11=0,"",E11*K11)</x:f>
        <x:v>419895.48049261444</x:v>
      </x:c>
      <x:c r="M11" s="60" t="n">
        <x:f>I11-L11</x:f>
        <x:v>1512717.9919638098</x:v>
      </x:c>
      <x:c r="N11" s="62" t="n">
        <x:f>IF(L11=0,"",I11/L11)</x:f>
        <x:v>4.602606034694905</x:v>
      </x:c>
      <x:c r="O11" s="66" t="n">
        <x:f>IF(L11=0,"",M11/L11)</x:f>
        <x:v>3.602606034694906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1672.9610970957</x:v>
      </x:c>
      <x:c r="E12" s="60" t="n">
        <x:v>1672.9610970957</x:v>
      </x:c>
      <x:c r="F12" s="62" t="n">
        <x:v>0</x:v>
      </x:c>
      <x:c r="G12" s="66" t="n">
        <x:v>1</x:v>
      </x:c>
      <x:c r="H12" s="62" t="n">
        <x:f>IF(E12=0,"",I12/E12)</x:f>
        <x:v>17964.56554977443</x:v>
      </x:c>
      <x:c r="I12" s="60" t="n">
        <x:f>SUMIF('Species'!$G$2:$G$196,A12,'Species'!$U$2:$U$196)</x:f>
        <x:v>30054019.29099825</x:v>
      </x:c>
      <x:c r="J12" s="62" t="n">
        <x:v>4.270026407230731</x:v>
      </x:c>
      <x:c r="K12" s="62" t="n">
        <x:f>IF(J12="","",(1/'Metadata'!$B$5)^(J12-1))</x:f>
        <x:v>17963.975017613287</x:v>
      </x:c>
      <x:c r="L12" s="60" t="n">
        <x:f>IF(E12=0,"",E12*K12)</x:f>
        <x:v>30053031.353666075</x:v>
      </x:c>
      <x:c r="M12" s="60" t="n">
        <x:f>I12-L12</x:f>
        <x:v>987.937332175672</x:v>
      </x:c>
      <x:c r="N12" s="62" t="n">
        <x:f>IF(L12=0,"",I12/L12)</x:f>
        <x:v>1.000032873134179</x:v>
      </x:c>
      <x:c r="O12" s="66" t="n">
        <x:f>IF(L12=0,"",M12/L12)</x:f>
        <x:v>0.00003287313417903038</x:v>
      </x:c>
    </x:row>
    <x:row r="13" ht="18" customHeight="1">
      <x:c r="A13" s="46" t="str">
        <x:v>Medium benthopelagics (30 - 89 cm)</x:v>
      </x:c>
      <x:c r="B13" s="64" t="n">
        <x:v>17</x:v>
      </x:c>
      <x:c r="C13" s="64" t="n">
        <x:v>17</x:v>
      </x:c>
      <x:c r="D13" s="60" t="n">
        <x:v>688220.2750522562</x:v>
      </x:c>
      <x:c r="E13" s="60" t="n">
        <x:v>688220.2750522562</x:v>
      </x:c>
      <x:c r="F13" s="62" t="n">
        <x:v>0</x:v>
      </x:c>
      <x:c r="G13" s="66" t="n">
        <x:v>1</x:v>
      </x:c>
      <x:c r="H13" s="62" t="n">
        <x:f>IF(E13=0,"",I13/E13)</x:f>
        <x:v>14167.627660175387</x:v>
      </x:c>
      <x:c r="I13" s="60" t="n">
        <x:f>SUMIF('Species'!$G$2:$G$196,A13,'Species'!$U$2:$U$196)</x:f>
        <x:v>9750448605.123857</x:v>
      </x:c>
      <x:c r="J13" s="62" t="n">
        <x:v>4.160328891440915</x:v>
      </x:c>
      <x:c r="K13" s="62" t="n">
        <x:f>IF(J13="","",(1/'Metadata'!$B$5)^(J13-1))</x:f>
        <x:v>12932.50586174729</x:v>
      </x:c>
      <x:c r="L13" s="60" t="n">
        <x:f>IF(E13=0,"",E13*K13)</x:f>
        <x:v>8900412741.286634</x:v>
      </x:c>
      <x:c r="M13" s="60" t="n">
        <x:f>I13-L13</x:f>
        <x:v>850035863.837223</x:v>
      </x:c>
      <x:c r="N13" s="62" t="n">
        <x:f>IF(L13=0,"",I13/L13)</x:f>
        <x:v>1.0955052185270167</x:v>
      </x:c>
      <x:c r="O13" s="66" t="n">
        <x:f>IF(L13=0,"",M13/L13)</x:f>
        <x:v>0.09550521852701661</x:v>
      </x:c>
    </x:row>
    <x:row r="14" ht="18" customHeight="1">
      <x:c r="A14" s="46" t="str">
        <x:v>Medium demersals (30 - 89 cm)</x:v>
      </x:c>
      <x:c r="B14" s="64" t="n">
        <x:v>27</x:v>
      </x:c>
      <x:c r="C14" s="64" t="n">
        <x:v>27</x:v>
      </x:c>
      <x:c r="D14" s="60" t="n">
        <x:v>185519.60716435403</x:v>
      </x:c>
      <x:c r="E14" s="60" t="n">
        <x:v>185519.60716435403</x:v>
      </x:c>
      <x:c r="F14" s="62" t="n">
        <x:v>0</x:v>
      </x:c>
      <x:c r="G14" s="66" t="n">
        <x:v>1</x:v>
      </x:c>
      <x:c r="H14" s="62" t="n">
        <x:f>IF(E14=0,"",I14/E14)</x:f>
        <x:v>1509.29977667883</x:v>
      </x:c>
      <x:c r="I14" s="60" t="n">
        <x:f>SUMIF('Species'!$G$2:$G$196,A14,'Species'!$U$2:$U$196)</x:f>
        <x:v>280004701.6627038</x:v>
      </x:c>
      <x:c r="J14" s="62" t="n">
        <x:v>3.297844920109977</x:v>
      </x:c>
      <x:c r="K14" s="62" t="n">
        <x:f>IF(J14="","",(1/'Metadata'!$B$5)^(J14-1))</x:f>
        <x:v>976.2592604015858</x:v>
      </x:c>
      <x:c r="L14" s="60" t="n">
        <x:f>IF(E14=0,"",E14*K14)</x:f>
        <x:v>181115234.48026502</x:v>
      </x:c>
      <x:c r="M14" s="60" t="n">
        <x:f>I14-L14</x:f>
        <x:v>98889467.18243879</x:v>
      </x:c>
      <x:c r="N14" s="62" t="n">
        <x:f>IF(L14=0,"",I14/L14)</x:f>
        <x:v>1.5460030320818436</x:v>
      </x:c>
      <x:c r="O14" s="66" t="n">
        <x:f>IF(L14=0,"",M14/L14)</x:f>
        <x:v>0.5460030320818438</x:v>
      </x:c>
    </x:row>
    <x:row r="15" ht="18" customHeight="1">
      <x:c r="A15" s="46" t="str">
        <x:v>Medium pelagics (30 - 89 cm)</x:v>
      </x:c>
      <x:c r="B15" s="64" t="n">
        <x:v>12</x:v>
      </x:c>
      <x:c r="C15" s="64" t="n">
        <x:v>12</x:v>
      </x:c>
      <x:c r="D15" s="60" t="n">
        <x:v>3196.074051204399</x:v>
      </x:c>
      <x:c r="E15" s="60" t="n">
        <x:v>3196.074051204399</x:v>
      </x:c>
      <x:c r="F15" s="62" t="n">
        <x:v>0</x:v>
      </x:c>
      <x:c r="G15" s="66" t="n">
        <x:v>1</x:v>
      </x:c>
      <x:c r="H15" s="62" t="n">
        <x:f>IF(E15=0,"",I15/E15)</x:f>
        <x:v>1729.003191271008</x:v>
      </x:c>
      <x:c r="I15" s="60" t="n">
        <x:f>SUMIF('Species'!$G$2:$G$196,A15,'Species'!$U$2:$U$196)</x:f>
        <x:v>5526022.234070865</x:v>
      </x:c>
      <x:c r="J15" s="62" t="n">
        <x:v>3.418189460946705</x:v>
      </x:c>
      <x:c r="K15" s="62" t="n">
        <x:f>IF(J15="","",(1/'Metadata'!$B$5)^(J15-1))</x:f>
        <x:v>1400.0289748717848</x:v>
      </x:c>
      <x:c r="L15" s="60" t="n">
        <x:f>IF(E15=0,"",E15*K15)</x:f>
        <x:v>4474596.277522007</x:v>
      </x:c>
      <x:c r="M15" s="60" t="n">
        <x:f>I15-L15</x:f>
        <x:v>1051425.9565488584</x:v>
      </x:c>
      <x:c r="N15" s="62" t="n">
        <x:f>IF(L15=0,"",I15/L15)</x:f>
        <x:v>1.234976719984921</x:v>
      </x:c>
      <x:c r="O15" s="66" t="n">
        <x:f>IF(L15=0,"",M15/L15)</x:f>
        <x:v>0.23497671998492098</x:v>
      </x:c>
    </x:row>
    <x:row r="16" ht="18" customHeight="1">
      <x:c r="A16" s="46" t="str">
        <x:v>Medium reef assoc. fish (30 - 89 cm)</x:v>
      </x:c>
      <x:c r="B16" s="64" t="n">
        <x:v>14</x:v>
      </x:c>
      <x:c r="C16" s="64" t="n">
        <x:v>14</x:v>
      </x:c>
      <x:c r="D16" s="60" t="n">
        <x:v>270.7946149653</x:v>
      </x:c>
      <x:c r="E16" s="60" t="n">
        <x:v>270.7946149653</x:v>
      </x:c>
      <x:c r="F16" s="62" t="n">
        <x:v>0</x:v>
      </x:c>
      <x:c r="G16" s="66" t="n">
        <x:v>1</x:v>
      </x:c>
      <x:c r="H16" s="62" t="n">
        <x:f>IF(E16=0,"",I16/E16)</x:f>
        <x:v>100.56791283610391</x:v>
      </x:c>
      <x:c r="I16" s="60" t="n">
        <x:f>SUMIF('Species'!$G$2:$G$196,A16,'Species'!$U$2:$U$196)</x:f>
        <x:v>27233.249234316612</x:v>
      </x:c>
      <x:c r="J16" s="62" t="n">
        <x:v>2.5305803990611033</x:v>
      </x:c>
      <x:c r="K16" s="62" t="n">
        <x:f>IF(J16="","",(1/'Metadata'!$B$5)^(J16-1))</x:f>
        <x:v>98.02368162732331</x:v>
      </x:c>
      <x:c r="L16" s="60" t="n">
        <x:f>IF(E16=0,"",E16*K16)</x:f>
        <x:v>26544.285123752168</x:v>
      </x:c>
      <x:c r="M16" s="60" t="n">
        <x:f>I16-L16</x:f>
        <x:v>688.9641105644441</x:v>
      </x:c>
      <x:c r="N16" s="62" t="n">
        <x:f>IF(L16=0,"",I16/L16)</x:f>
        <x:v>1.0259552708747823</x:v>
      </x:c>
      <x:c r="O16" s="66" t="n">
        <x:f>IF(L16=0,"",M16/L16)</x:f>
        <x:v>0.02595527087478239</x:v>
      </x:c>
    </x:row>
    <x:row r="17" ht="18" customHeight="1">
      <x:c r="A17" s="46" t="str">
        <x:v>Other demersal invertebrates</x:v>
      </x:c>
      <x:c r="B17" s="64" t="n">
        <x:v>11</x:v>
      </x:c>
      <x:c r="C17" s="64" t="n">
        <x:v>11</x:v>
      </x:c>
      <x:c r="D17" s="60" t="n">
        <x:v>23703.8202913302</x:v>
      </x:c>
      <x:c r="E17" s="60" t="n">
        <x:v>23703.8202913302</x:v>
      </x:c>
      <x:c r="F17" s="62" t="n">
        <x:v>0</x:v>
      </x:c>
      <x:c r="G17" s="66" t="n">
        <x:v>1</x:v>
      </x:c>
      <x:c r="H17" s="62" t="n">
        <x:f>IF(E17=0,"",I17/E17)</x:f>
        <x:v>20.00023023446629</x:v>
      </x:c>
      <x:c r="I17" s="60" t="n">
        <x:f>SUMIF('Species'!$G$2:$G$196,A17,'Species'!$U$2:$U$196)</x:f>
        <x:v>474081.86326301785</x:v>
      </x:c>
      <x:c r="J17" s="62" t="n">
        <x:v>2.000002667625962</x:v>
      </x:c>
      <x:c r="K17" s="62" t="n">
        <x:f>IF(J17="","",(1/'Metadata'!$B$5)^(J17-1))</x:f>
        <x:v>20.000159830502398</x:v>
      </x:c>
      <x:c r="L17" s="60" t="n">
        <x:f>IF(E17=0,"",E17*K17)</x:f>
        <x:v>474080.1944201099</x:v>
      </x:c>
      <x:c r="M17" s="60" t="n">
        <x:f>I17-L17</x:f>
        <x:v>1.668842907936778</x:v>
      </x:c>
      <x:c r="N17" s="62" t="n">
        <x:f>IF(L17=0,"",I17/L17)</x:f>
        <x:v>1.0000035201700632</x:v>
      </x:c>
      <x:c r="O17" s="66" t="n">
        <x:f>IF(L17=0,"",M17/L17)</x:f>
        <x:v>0.0000035201700631642915</x:v>
      </x:c>
    </x:row>
    <x:row r="18" ht="18" customHeight="1">
      <x:c r="A18" s="46" t="str">
        <x:v>Shrimps</x:v>
      </x:c>
      <x:c r="B18" s="64" t="n">
        <x:v>6</x:v>
      </x:c>
      <x:c r="C18" s="64" t="n">
        <x:v>6</x:v>
      </x:c>
      <x:c r="D18" s="60" t="n">
        <x:v>282365.88009286043</x:v>
      </x:c>
      <x:c r="E18" s="60" t="n">
        <x:v>282365.88009286043</x:v>
      </x:c>
      <x:c r="F18" s="62" t="n">
        <x:v>0</x:v>
      </x:c>
      <x:c r="G18" s="66" t="n">
        <x:v>1</x:v>
      </x:c>
      <x:c r="H18" s="62" t="n">
        <x:f>IF(E18=0,"",I18/E18)</x:f>
        <x:v>36.52124468665528</x:v>
      </x:c>
      <x:c r="I18" s="60" t="n">
        <x:f>SUMIF('Species'!$G$2:$G$196,A18,'Species'!$U$2:$U$196)</x:f>
        <x:v>10312353.39803412</x:v>
      </x:c>
      <x:c r="J18" s="62" t="n">
        <x:v>2.200286128196271</x:v>
      </x:c>
      <x:c r="K18" s="62" t="n">
        <x:f>IF(J18="","",(1/'Metadata'!$B$5)^(J18-1))</x:f>
        <x:v>36.44250786322464</x:v>
      </x:c>
      <x:c r="L18" s="60" t="n">
        <x:f>IF(E18=0,"",E18*K18)</x:f>
        <x:v>10290120.805590412</x:v>
      </x:c>
      <x:c r="M18" s="60" t="n">
        <x:f>I18-L18</x:f>
        <x:v>22232.59244370833</x:v>
      </x:c>
      <x:c r="N18" s="62" t="n">
        <x:f>IF(L18=0,"",I18/L18)</x:f>
        <x:v>1.0021605764270163</x:v>
      </x:c>
      <x:c r="O18" s="66" t="n">
        <x:f>IF(L18=0,"",M18/L18)</x:f>
        <x:v>0.0021605764270162717</x:v>
      </x:c>
    </x:row>
    <x:row r="19" ht="18" customHeight="1">
      <x:c r="A19" s="46" t="str">
        <x:v>Small benthopelagics (&lt;30 cm)</x:v>
      </x:c>
      <x:c r="B19" s="64" t="n">
        <x:v>2</x:v>
      </x:c>
      <x:c r="C19" s="64" t="n">
        <x:v>2</x:v>
      </x:c>
      <x:c r="D19" s="60" t="n">
        <x:v>612.5453061119</x:v>
      </x:c>
      <x:c r="E19" s="60" t="n">
        <x:v>612.5453061119</x:v>
      </x:c>
      <x:c r="F19" s="62" t="n">
        <x:v>0</x:v>
      </x:c>
      <x:c r="G19" s="66" t="n">
        <x:v>1</x:v>
      </x:c>
      <x:c r="H19" s="62" t="n">
        <x:f>IF(E19=0,"",I19/E19)</x:f>
        <x:v>17963.2726213347</x:v>
      </x:c>
      <x:c r="I19" s="60" t="n">
        <x:f>SUMIF('Species'!$G$2:$G$196,A19,'Species'!$U$2:$U$196)</x:f>
        <x:v>11003318.326606978</x:v>
      </x:c>
      <x:c r="J19" s="62" t="n">
        <x:v>4.028031054814844</x:v>
      </x:c>
      <x:c r="K19" s="62" t="n">
        <x:f>IF(J19="","",(1/'Metadata'!$B$5)^(J19-1))</x:f>
        <x:v>8700.800885692845</x:v>
      </x:c>
      <x:c r="L19" s="60" t="n">
        <x:f>IF(E19=0,"",E19*K19)</x:f>
        <x:v>5329634.741945414</x:v>
      </x:c>
      <x:c r="M19" s="60" t="n">
        <x:f>I19-L19</x:f>
        <x:v>5673683.584661564</x:v>
      </x:c>
      <x:c r="N19" s="62" t="n">
        <x:f>IF(L19=0,"",I19/L19)</x:f>
        <x:v>2.064553925245272</x:v>
      </x:c>
      <x:c r="O19" s="66" t="n">
        <x:f>IF(L19=0,"",M19/L19)</x:f>
        <x:v>1.0645539252452723</x:v>
      </x:c>
    </x:row>
    <x:row r="20" ht="18" customHeight="1">
      <x:c r="A20" s="46" t="str">
        <x:v>Small demersals (&lt;30 cm)</x:v>
      </x:c>
      <x:c r="B20" s="64" t="n">
        <x:v>4</x:v>
      </x:c>
      <x:c r="C20" s="64" t="n">
        <x:v>4</x:v>
      </x:c>
      <x:c r="D20" s="60" t="n">
        <x:v>0.4739487329</x:v>
      </x:c>
      <x:c r="E20" s="60" t="n">
        <x:v>0.4739487329</x:v>
      </x:c>
      <x:c r="F20" s="62" t="n">
        <x:v>0</x:v>
      </x:c>
      <x:c r="G20" s="66" t="n">
        <x:v>1</x:v>
      </x:c>
      <x:c r="H20" s="62" t="n">
        <x:f>IF(E20=0,"",I20/E20)</x:f>
        <x:v>2230.777368774822</x:v>
      </x:c>
      <x:c r="I20" s="60" t="n">
        <x:f>SUMIF('Species'!$G$2:$G$196,A20,'Species'!$U$2:$U$196)</x:f>
        <x:v>1057.274107312823</x:v>
      </x:c>
      <x:c r="J20" s="62" t="n">
        <x:v>3.5412829895277484</x:v>
      </x:c>
      <x:c r="K20" s="62" t="n">
        <x:f>IF(J20="","",(1/'Metadata'!$B$5)^(J20-1))</x:f>
        <x:v>2024.3490437039466</x:v>
      </x:c>
      <x:c r="L20" s="60" t="n">
        <x:f>IF(E20=0,"",E20*K20)</x:f>
        <x:v>959.4376642108122</x:v>
      </x:c>
      <x:c r="M20" s="60" t="n">
        <x:f>I20-L20</x:f>
        <x:v>97.83644310201078</x:v>
      </x:c>
      <x:c r="N20" s="62" t="n">
        <x:f>IF(L20=0,"",I20/L20)</x:f>
        <x:v>1.101972693747109</x:v>
      </x:c>
      <x:c r="O20" s="66" t="n">
        <x:f>IF(L20=0,"",M20/L20)</x:f>
        <x:v>0.10197269374710903</x:v>
      </x:c>
    </x:row>
    <x:row r="21" ht="18" customHeight="1">
      <x:c r="A21" s="46" t="str">
        <x:v>Small pelagics (&lt;30 cm)</x:v>
      </x:c>
      <x:c r="B21" s="64" t="n">
        <x:v>9</x:v>
      </x:c>
      <x:c r="C21" s="64" t="n">
        <x:v>9</x:v>
      </x:c>
      <x:c r="D21" s="60" t="n">
        <x:v>9766.286896612399</x:v>
      </x:c>
      <x:c r="E21" s="60" t="n">
        <x:v>9766.286896612399</x:v>
      </x:c>
      <x:c r="F21" s="62" t="n">
        <x:v>0</x:v>
      </x:c>
      <x:c r="G21" s="66" t="n">
        <x:v>1</x:v>
      </x:c>
      <x:c r="H21" s="62" t="n">
        <x:f>IF(E21=0,"",I21/E21)</x:f>
        <x:v>122.54515298124736</x:v>
      </x:c>
      <x:c r="I21" s="60" t="n">
        <x:f>SUMIF('Species'!$G$2:$G$196,A21,'Species'!$U$2:$U$196)</x:f>
        <x:v>1196811.121804118</x:v>
      </x:c>
      <x:c r="J21" s="62" t="n">
        <x:v>2.5815175267373656</x:v>
      </x:c>
      <x:c r="K21" s="62" t="n">
        <x:f>IF(J21="","",(1/'Metadata'!$B$5)^(J21-1))</x:f>
        <x:v>114.18307667890373</x:v>
      </x:c>
      <x:c r="L21" s="60" t="n">
        <x:f>IF(E21=0,"",E21*K21)</x:f>
        <x:v>1115144.6855840662</x:v>
      </x:c>
      <x:c r="M21" s="60" t="n">
        <x:f>I21-L21</x:f>
        <x:v>81666.43622005172</x:v>
      </x:c>
      <x:c r="N21" s="62" t="n">
        <x:f>IF(L21=0,"",I21/L21)</x:f>
        <x:v>1.0732339375112372</x:v>
      </x:c>
      <x:c r="O21" s="66" t="n">
        <x:f>IF(L21=0,"",M21/L21)</x:f>
        <x:v>0.07323393751123716</x:v>
      </x:c>
    </x:row>
    <x:row r="22" ht="18" customHeight="1">
      <x:c r="A22" s="46" t="str">
        <x:v>Small to medium flatfishes (&lt;90 cm)</x:v>
      </x:c>
      <x:c r="B22" s="64" t="n">
        <x:v>2</x:v>
      </x:c>
      <x:c r="C22" s="64" t="n">
        <x:v>2</x:v>
      </x:c>
      <x:c r="D22" s="60" t="n">
        <x:v>0.084540174</x:v>
      </x:c>
      <x:c r="E22" s="60" t="n">
        <x:v>0.084540174</x:v>
      </x:c>
      <x:c r="F22" s="62" t="n">
        <x:v>0</x:v>
      </x:c>
      <x:c r="G22" s="66" t="n">
        <x:v>1</x:v>
      </x:c>
      <x:c r="H22" s="62" t="n">
        <x:f>IF(E22=0,"",I22/E22)</x:f>
        <x:v>1849.0922814388564</x:v>
      </x:c>
      <x:c r="I22" s="60" t="n">
        <x:f>SUMIF('Species'!$G$2:$G$196,A22,'Species'!$U$2:$U$196)</x:f>
        <x:v>156.3225832148979</x:v>
      </x:c>
      <x:c r="J22" s="62" t="n">
        <x:v>3.4901731731472427</x:v>
      </x:c>
      <x:c r="K22" s="62" t="n">
        <x:f>IF(J22="","",(1/'Metadata'!$B$5)^(J22-1))</x:f>
        <x:v>1736.9607013310053</x:v>
      </x:c>
      <x:c r="L22" s="60" t="n">
        <x:f>IF(E22=0,"",E22*K22)</x:f>
        <x:v>146.8429599216852</x:v>
      </x:c>
      <x:c r="M22" s="60" t="n">
        <x:f>I22-L22</x:f>
        <x:v>9.479623293212683</x:v>
      </x:c>
      <x:c r="N22" s="62" t="n">
        <x:f>IF(L22=0,"",I22/L22)</x:f>
        <x:v>1.0645561986646714</x:v>
      </x:c>
      <x:c r="O22" s="66" t="n">
        <x:f>IF(L22=0,"",M22/L22)</x:f>
        <x:v>0.06455619866467134</x:v>
      </x:c>
    </x:row>
    <x:row r="23" ht="18" customHeight="1">
      <x:c r="A23" s="46" t="str">
        <x:v>Small to medium rays (&lt;90 cm)</x:v>
      </x:c>
      <x:c r="B23" s="64" t="n">
        <x:v>6</x:v>
      </x:c>
      <x:c r="C23" s="64" t="n">
        <x:v>6</x:v>
      </x:c>
      <x:c r="D23" s="60" t="n">
        <x:v>403.47464129570005</x:v>
      </x:c>
      <x:c r="E23" s="60" t="n">
        <x:v>403.47464129570005</x:v>
      </x:c>
      <x:c r="F23" s="62" t="n">
        <x:v>0</x:v>
      </x:c>
      <x:c r="G23" s="66" t="n">
        <x:v>1</x:v>
      </x:c>
      <x:c r="H23" s="62" t="n">
        <x:f>IF(E23=0,"",I23/E23)</x:f>
        <x:v>21323.73837086177</x:v>
      </x:c>
      <x:c r="I23" s="60" t="n">
        <x:f>SUMIF('Species'!$G$2:$G$196,A23,'Species'!$U$2:$U$196)</x:f>
        <x:v>8603587.690266808</x:v>
      </x:c>
      <x:c r="J23" s="62" t="n">
        <x:v>4.183806243568228</x:v>
      </x:c>
      <x:c r="K23" s="62" t="n">
        <x:f>IF(J23="","",(1/'Metadata'!$B$5)^(J23-1))</x:f>
        <x:v>13874.822095688045</x:v>
      </x:c>
      <x:c r="L23" s="60" t="n">
        <x:f>IF(E23=0,"",E23*K23)</x:f>
        <x:v>5598138.868099387</x:v>
      </x:c>
      <x:c r="M23" s="60" t="n">
        <x:f>I23-L23</x:f>
        <x:v>3005448.8221674217</x:v>
      </x:c>
      <x:c r="N23" s="62" t="n">
        <x:f>IF(L23=0,"",I23/L23)</x:f>
        <x:v>1.5368657142990445</x:v>
      </x:c>
      <x:c r="O23" s="66" t="n">
        <x:f>IF(L23=0,"",M23/L23)</x:f>
        <x:v>0.5368657142990445</x:v>
      </x:c>
    </x:row>
    <x:row r="24" ht="18" customHeight="1">
      <x:c r="A24" s="46" t="str">
        <x:v>Small to medium sharks (&lt;90 cm)</x:v>
      </x:c>
      <x:c r="B24" s="64" t="n">
        <x:v>1</x:v>
      </x:c>
      <x:c r="C24" s="64" t="n">
        <x:v>1</x:v>
      </x:c>
      <x:c r="D24" s="60" t="n">
        <x:v>3060.2053885812998</x:v>
      </x:c>
      <x:c r="E24" s="60" t="n">
        <x:v>3060.2053885812998</x:v>
      </x:c>
      <x:c r="F24" s="62" t="n">
        <x:v>0</x:v>
      </x:c>
      <x:c r="G24" s="66" t="n">
        <x:v>1</x:v>
      </x:c>
      <x:c r="H24" s="62" t="n">
        <x:f>IF(E24=0,"",I24/E24)</x:f>
        <x:v>2342.4357563948306</x:v>
      </x:c>
      <x:c r="I24" s="60" t="n">
        <x:f>SUMIF('Species'!$G$2:$G$196,A24,'Species'!$U$2:$U$196)</x:f>
        <x:v>7168334.524124973</x:v>
      </x:c>
      <x:c r="J24" s="62" t="n">
        <x:v>3.59</x:v>
      </x:c>
      <x:c r="K24" s="62" t="n">
        <x:f>IF(J24="","",(1/'Metadata'!$B$5)^(J24-1))</x:f>
        <x:v>2342.4357563948306</x:v>
      </x:c>
      <x:c r="L24" s="60" t="n">
        <x:f>IF(E24=0,"",E24*K24)</x:f>
        <x:v>7168334.524124973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a5a26a5f0e443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LME_014</x:v>
      </x:c>
      <x:c r="B2" s="46" t="str">
        <x:v>raw_filtered_tonnes</x:v>
      </x:c>
      <x:c r="C2" s="46" t="n">
        <x:v>1589890.9385366845</x:v>
      </x:c>
      <x:c r="D2" s="46" t="str">
        <x:v>tonnes</x:v>
      </x:c>
    </x:row>
    <x:row r="3" ht="18" customHeight="1">
      <x:c r="A3" s="46" t="str">
        <x:v>LME_014</x:v>
      </x:c>
      <x:c r="B3" s="46" t="str">
        <x:v>species_catch_tonnes</x:v>
      </x:c>
      <x:c r="C3" s="46" t="n">
        <x:v>1589890.9385366847</x:v>
      </x:c>
      <x:c r="D3" s="46" t="str">
        <x:v>tonnes</x:v>
      </x:c>
    </x:row>
    <x:row r="4" ht="18" customHeight="1">
      <x:c r="A4" s="46" t="str">
        <x:v>LME_014</x:v>
      </x:c>
      <x:c r="B4" s="46" t="str">
        <x:v>catch_difference_tonnes</x:v>
      </x:c>
      <x:c r="C4" s="46" t="n">
        <x:v>2.3283064365386963e-10</x:v>
      </x:c>
      <x:c r="D4" s="46" t="str">
        <x:v>tonnes</x:v>
      </x:c>
    </x:row>
    <x:row r="5" ht="18" customHeight="1">
      <x:c r="A5" s="46" t="str">
        <x:v>LME_014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LME_014</x:v>
      </x:c>
      <x:c r="B6" s="46" t="str">
        <x:v>matched_catch_tonnes</x:v>
      </x:c>
      <x:c r="C6" s="46" t="n">
        <x:v>1589890.9385366847</x:v>
      </x:c>
      <x:c r="D6" s="46" t="str">
        <x:v>tonnes</x:v>
      </x:c>
    </x:row>
    <x:row r="7" ht="18" customHeight="1">
      <x:c r="A7" s="46" t="str">
        <x:v>LME_014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LME_014</x:v>
      </x:c>
      <x:c r="B8" s="46" t="str">
        <x:v>taxa_count</x:v>
      </x:c>
      <x:c r="C8" s="46" t="n">
        <x:v>195</x:v>
      </x:c>
      <x:c r="D8" s="46" t="str">
        <x:v>count</x:v>
      </x:c>
    </x:row>
    <x:row r="9" ht="18" customHeight="1">
      <x:c r="A9" s="46" t="str">
        <x:v>LME_014</x:v>
      </x:c>
      <x:c r="B9" s="46" t="str">
        <x:v>matched_taxa_count</x:v>
      </x:c>
      <x:c r="C9" s="46" t="n">
        <x:v>195</x:v>
      </x:c>
      <x:c r="D9" s="46" t="str">
        <x:v>count</x:v>
      </x:c>
    </x:row>
    <x:row r="10" ht="18" customHeight="1">
      <x:c r="A10" s="46" t="str">
        <x:v>LME_014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LME_014</x:v>
      </x:c>
      <x:c r="B11" s="46" t="str">
        <x:v>species_ppr</x:v>
      </x:c>
      <x:c r="C11" s="46" t="n">
        <x:v>12219584120.679903</x:v>
      </x:c>
      <x:c r="D11" s="46" t="str">
        <x:v>tonnes_primary_production_equivalent</x:v>
      </x:c>
    </x:row>
    <x:row r="12" ht="18" customHeight="1">
      <x:c r="A12" s="46" t="str">
        <x:v>LME_014</x:v>
      </x:c>
      <x:c r="B12" s="46" t="str">
        <x:v>commercial_ppr</x:v>
      </x:c>
      <x:c r="C12" s="46" t="n">
        <x:v>12219584120.679897</x:v>
      </x:c>
      <x:c r="D12" s="46" t="str">
        <x:v>tonnes_primary_production_equivalent</x:v>
      </x:c>
    </x:row>
    <x:row r="13" ht="18" customHeight="1">
      <x:c r="A13" s="46" t="str">
        <x:v>LME_014</x:v>
      </x:c>
      <x:c r="B13" s="46" t="str">
        <x:v>functional_ppr</x:v>
      </x:c>
      <x:c r="C13" s="46" t="n">
        <x:v>12219584120.6799</x:v>
      </x:c>
      <x:c r="D13" s="46" t="str">
        <x:v>tonnes_primary_production_equivalent</x:v>
      </x:c>
    </x:row>
    <x:row r="14" ht="18" customHeight="1">
      <x:c r="A14" s="46" t="str">
        <x:v>LME_014</x:v>
      </x:c>
      <x:c r="B14" s="46" t="str">
        <x:v>commercial_ppr_difference</x:v>
      </x:c>
      <x:c r="C14" s="46" t="n">
        <x:v>-0.0000057220458984375</x:v>
      </x:c>
      <x:c r="D14" s="46" t="str">
        <x:v>tonnes_primary_production_equivalent</x:v>
      </x:c>
    </x:row>
    <x:row r="15" ht="18" customHeight="1">
      <x:c r="A15" s="46" t="str">
        <x:v>LME_014</x:v>
      </x:c>
      <x:c r="B15" s="46" t="str">
        <x:v>functional_ppr_difference</x:v>
      </x:c>
      <x:c r="C15" s="46" t="n">
        <x:v>-0.000003814697265625</x:v>
      </x:c>
      <x:c r="D15" s="46" t="str">
        <x:v>tonnes_primary_production_equivalent</x:v>
      </x:c>
    </x:row>
    <x:row r="16" ht="18" customHeight="1">
      <x:c r="A16" s="46" t="str">
        <x:v>LME_014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8d00c8702c749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LME_014 - Patagonian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