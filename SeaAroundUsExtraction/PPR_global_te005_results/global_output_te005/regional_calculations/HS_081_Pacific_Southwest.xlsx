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bc3d671a9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05f9d3b157046b6"/>
    <x:sheet xmlns:r="http://schemas.openxmlformats.org/officeDocument/2006/relationships" name="Commercial" sheetId="2" r:id="R8f2594eb02a642c3"/>
    <x:sheet xmlns:r="http://schemas.openxmlformats.org/officeDocument/2006/relationships" name="Functional" sheetId="3" r:id="R8199b013799d47d5"/>
    <x:sheet xmlns:r="http://schemas.openxmlformats.org/officeDocument/2006/relationships" name="Missing TL" sheetId="4" r:id="Rc7f1cc180e344f41"/>
    <x:sheet xmlns:r="http://schemas.openxmlformats.org/officeDocument/2006/relationships" name="Validation" sheetId="5" r:id="Rb17d905d47ba421c"/>
    <x:sheet xmlns:r="http://schemas.openxmlformats.org/officeDocument/2006/relationships" name="Metadata" sheetId="6" r:id="R74ef853d8924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19e83611746fd" /><Relationship Type="http://schemas.openxmlformats.org/officeDocument/2006/relationships/theme" Target="/xl/theme/theme1.xml" Id="R8cea4481f55e4a61" /><Relationship Type="http://schemas.openxmlformats.org/officeDocument/2006/relationships/sharedStrings" Target="/xl/sharedStrings.xml" Id="Rd04e99a2d2e64239" /><Relationship Type="http://schemas.openxmlformats.org/officeDocument/2006/relationships/worksheet" Target="/xl/worksheets/sheet1.xml" Id="R605f9d3b157046b6" /><Relationship Type="http://schemas.openxmlformats.org/officeDocument/2006/relationships/worksheet" Target="/xl/worksheets/sheet2.xml" Id="R8f2594eb02a642c3" /><Relationship Type="http://schemas.openxmlformats.org/officeDocument/2006/relationships/worksheet" Target="/xl/worksheets/sheet3.xml" Id="R8199b013799d47d5" /><Relationship Type="http://schemas.openxmlformats.org/officeDocument/2006/relationships/worksheet" Target="/xl/worksheets/sheet4.xml" Id="Rc7f1cc180e344f41" /><Relationship Type="http://schemas.openxmlformats.org/officeDocument/2006/relationships/worksheet" Target="/xl/worksheets/sheet5.xml" Id="Rb17d905d47ba421c" /><Relationship Type="http://schemas.openxmlformats.org/officeDocument/2006/relationships/worksheet" Target="/xl/worksheets/sheet6.xml" Id="R74ef853d89244cbd" /></Relationships>
</file>

<file path=xl/tables/table1.xml><?xml version="1.0" encoding="utf-8"?>
<x:table xmlns:x="http://schemas.openxmlformats.org/spreadsheetml/2006/main" id="1" name="HS081SpeciesTable" displayName="HS081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1CommercialTable" displayName="HS08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1FunctionalTable" displayName="HS081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1ValidationTable" displayName="HS08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f4ba090f8848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fc542dae7d44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c51297708348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f5c45c511f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HS_081</x:v>
      </x:c>
      <x:c r="B2" s="46" t="str">
        <x:v>Pacific, Southwest</x:v>
      </x:c>
      <x:c r="C2" s="46" t="str">
        <x:v>High Seas</x:v>
      </x:c>
      <x:c r="D2" s="58" t="n">
        <x:v>2019</x:v>
      </x:c>
      <x:c r="E2" s="46" t="str">
        <x:v>Thunnus alalunga</x:v>
      </x:c>
      <x:c r="F2" s="46" t="str">
        <x:v>Albacore</x:v>
      </x:c>
      <x:c r="G2" s="46" t="str">
        <x:v>Large pelagics (&gt;=90 cm)</x:v>
      </x:c>
      <x:c r="H2" s="46" t="str">
        <x:v>Tuna &amp; billfishes</x:v>
      </x:c>
      <x:c r="I2" s="60" t="n">
        <x:v>17846.0256526858</x:v>
      </x:c>
      <x:c r="J2" s="60" t="n">
        <x:v>17845.897325373102</x:v>
      </x:c>
      <x:c r="K2" s="60" t="n">
        <x:v>0.1283273127</x:v>
      </x:c>
      <x:c r="L2" s="60" t="n">
        <x:v>17845.897325373102</x:v>
      </x:c>
      <x:c r="M2" s="60" t="n">
        <x:v>0.1283273127</x:v>
      </x:c>
      <x:c r="N2" s="46" t="str">
        <x:v>thunnus alalunga</x:v>
      </x:c>
      <x:c r="O2" s="62" t="n">
        <x:v>4.3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alalunga</x:v>
      </x:c>
      <x:c r="T2" s="62" t="n">
        <x:f>IF(O2="","",(1/'Metadata'!$B$5)^(O2-1))</x:f>
        <x:v>19651.648417852637</x:v>
      </x:c>
      <x:c r="U2" s="60" t="n">
        <x:f>IF(T2="","",I2*T2)</x:f>
        <x:v>350703821.78256047</x:v>
      </x:c>
    </x:row>
    <x:row r="3" ht="18" customHeight="1">
      <x:c r="A3" s="46" t="str">
        <x:v>HS_081</x:v>
      </x:c>
      <x:c r="B3" s="46" t="str">
        <x:v>Pacific, Southwest</x:v>
      </x:c>
      <x:c r="C3" s="46" t="str">
        <x:v>High Seas</x:v>
      </x:c>
      <x:c r="D3" s="58" t="n">
        <x:v>2019</x:v>
      </x:c>
      <x:c r="E3" s="46" t="str">
        <x:v>Prionace glauca</x:v>
      </x:c>
      <x:c r="F3" s="46" t="str">
        <x:v>Blue shark</x:v>
      </x:c>
      <x:c r="G3" s="46" t="str">
        <x:v>Large sharks (&gt;=90 cm)</x:v>
      </x:c>
      <x:c r="H3" s="46" t="str">
        <x:v>Sharks &amp; rays</x:v>
      </x:c>
      <x:c r="I3" s="60" t="n">
        <x:v>10354.8489961172</x:v>
      </x:c>
      <x:c r="J3" s="60" t="n">
        <x:v>4867.90735761</x:v>
      </x:c>
      <x:c r="K3" s="60" t="n">
        <x:v>5486.9416385072</x:v>
      </x:c>
      <x:c r="L3" s="60" t="n">
        <x:v>4867.90735761</x:v>
      </x:c>
      <x:c r="M3" s="60" t="n">
        <x:v>5486.9416385072</x:v>
      </x:c>
      <x:c r="N3" s="46" t="str">
        <x:v>prionace glauca</x:v>
      </x:c>
      <x:c r="O3" s="62" t="n">
        <x:v>4.35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Prionace glauca</x:v>
      </x:c>
      <x:c r="T3" s="62" t="n">
        <x:f>IF(O3="","",(1/'Metadata'!$B$5)^(O3-1))</x:f>
        <x:v>22827.086550132422</x:v>
      </x:c>
      <x:c r="U3" s="60" t="n">
        <x:f>IF(T3="","",I3*T3)</x:f>
        <x:v>236371034.24791914</x:v>
      </x:c>
    </x:row>
    <x:row r="4" ht="18" customHeight="1">
      <x:c r="A4" s="46" t="str">
        <x:v>HS_081</x:v>
      </x:c>
      <x:c r="B4" s="46" t="str">
        <x:v>Pacific, Southwest</x:v>
      </x:c>
      <x:c r="C4" s="46" t="str">
        <x:v>High Seas</x:v>
      </x:c>
      <x:c r="D4" s="58" t="n">
        <x:v>2019</x:v>
      </x:c>
      <x:c r="E4" s="46" t="str">
        <x:v>Xiphias gladius</x:v>
      </x:c>
      <x:c r="F4" s="46" t="str">
        <x:v>Swordfish</x:v>
      </x:c>
      <x:c r="G4" s="46" t="str">
        <x:v>Large pelagics (&gt;=90 cm)</x:v>
      </x:c>
      <x:c r="H4" s="46" t="str">
        <x:v>Tuna &amp; billfishes</x:v>
      </x:c>
      <x:c r="I4" s="60" t="n">
        <x:v>2796.2833721928</x:v>
      </x:c>
      <x:c r="J4" s="60" t="n">
        <x:v>1985.9674615852</x:v>
      </x:c>
      <x:c r="K4" s="60" t="n">
        <x:v>810.3159106076</x:v>
      </x:c>
      <x:c r="L4" s="60" t="n">
        <x:v>1985.9674615852</x:v>
      </x:c>
      <x:c r="M4" s="60" t="n">
        <x:v>810.3159106076</x:v>
      </x:c>
      <x:c r="N4" s="46" t="str">
        <x:v>xiphias gladius</x:v>
      </x:c>
      <x:c r="O4" s="62" t="n">
        <x:v>4.53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Xiphias gladius</x:v>
      </x:c>
      <x:c r="T4" s="62" t="n">
        <x:f>IF(O4="","",(1/'Metadata'!$B$5)^(O4-1))</x:f>
        <x:v>39141.35758252625</x:v>
      </x:c>
      <x:c r="U4" s="60" t="n">
        <x:f>IF(T4="","",I4*T4)</x:f>
        <x:v>109450327.37307073</x:v>
      </x:c>
    </x:row>
    <x:row r="5" ht="18" customHeight="1">
      <x:c r="A5" s="46" t="str">
        <x:v>HS_081</x:v>
      </x:c>
      <x:c r="B5" s="46" t="str">
        <x:v>Pacific, Southwest</x:v>
      </x:c>
      <x:c r="C5" s="46" t="str">
        <x:v>High Seas</x:v>
      </x:c>
      <x:c r="D5" s="58" t="n">
        <x:v>2019</x:v>
      </x:c>
      <x:c r="E5" s="46" t="str">
        <x:v>Thunnus maccoyii</x:v>
      </x:c>
      <x:c r="F5" s="46" t="str">
        <x:v>Southern bluefin tuna</x:v>
      </x:c>
      <x:c r="G5" s="46" t="str">
        <x:v>Large pelagics (&gt;=90 cm)</x:v>
      </x:c>
      <x:c r="H5" s="46" t="str">
        <x:v>Tuna &amp; billfishes</x:v>
      </x:c>
      <x:c r="I5" s="60" t="n">
        <x:v>2508.3072798526</x:v>
      </x:c>
      <x:c r="J5" s="60" t="n">
        <x:v>2506.5600056156</x:v>
      </x:c>
      <x:c r="K5" s="60" t="n">
        <x:v>1.747274237</x:v>
      </x:c>
      <x:c r="L5" s="60" t="n">
        <x:v>2506.5600056156</x:v>
      </x:c>
      <x:c r="M5" s="60" t="n">
        <x:v>1.747274237</x:v>
      </x:c>
      <x:c r="N5" s="46" t="str">
        <x:v>thunnus maccoyii</x:v>
      </x:c>
      <x:c r="O5" s="62" t="n">
        <x:v>3.93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maccoyii</x:v>
      </x:c>
      <x:c r="T5" s="62" t="n">
        <x:f>IF(O5="","",(1/'Metadata'!$B$5)^(O5-1))</x:f>
        <x:v>6486.611494177253</x:v>
      </x:c>
      <x:c r="U5" s="60" t="n">
        <x:f>IF(T5="","",I5*T5)</x:f>
        <x:v>16270414.832420355</x:v>
      </x:c>
    </x:row>
    <x:row r="6" ht="18" customHeight="1">
      <x:c r="A6" s="46" t="str">
        <x:v>HS_081</x:v>
      </x:c>
      <x:c r="B6" s="46" t="str">
        <x:v>Pacific, Southwest</x:v>
      </x:c>
      <x:c r="C6" s="46" t="str">
        <x:v>High Seas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2429.5427242088</x:v>
      </x:c>
      <x:c r="J6" s="60" t="n">
        <x:v>0</x:v>
      </x:c>
      <x:c r="K6" s="60" t="n">
        <x:v>2429.5427242088</x:v>
      </x:c>
      <x:c r="L6" s="60" t="n">
        <x:v>0</x:v>
      </x:c>
      <x:c r="M6" s="60" t="n">
        <x:v>2429.5427242088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2248396.6563657913</x:v>
      </x:c>
    </x:row>
    <x:row r="7" ht="18" customHeight="1">
      <x:c r="A7" s="46" t="str">
        <x:v>HS_081</x:v>
      </x:c>
      <x:c r="B7" s="46" t="str">
        <x:v>Pacific, Southwest</x:v>
      </x:c>
      <x:c r="C7" s="46" t="str">
        <x:v>High Seas</x:v>
      </x:c>
      <x:c r="D7" s="58" t="n">
        <x:v>2019</x:v>
      </x:c>
      <x:c r="E7" s="46" t="str">
        <x:v>Thunnus albacares</x:v>
      </x:c>
      <x:c r="F7" s="46" t="str">
        <x:v>Yellowfin tuna</x:v>
      </x:c>
      <x:c r="G7" s="46" t="str">
        <x:v>Large pelagics (&gt;=90 cm)</x:v>
      </x:c>
      <x:c r="H7" s="46" t="str">
        <x:v>Tuna &amp; billfishes</x:v>
      </x:c>
      <x:c r="I7" s="60" t="n">
        <x:v>1728.6708196007</x:v>
      </x:c>
      <x:c r="J7" s="60" t="n">
        <x:v>1669.6590504997</x:v>
      </x:c>
      <x:c r="K7" s="60" t="n">
        <x:v>59.011769101</x:v>
      </x:c>
      <x:c r="L7" s="60" t="n">
        <x:v>1669.6590504997</x:v>
      </x:c>
      <x:c r="M7" s="60" t="n">
        <x:v>59.011769101</x:v>
      </x:c>
      <x:c r="N7" s="46" t="str">
        <x:v>thunnus albacares</x:v>
      </x:c>
      <x:c r="O7" s="62" t="n">
        <x:v>4.41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Thunnus albacares</x:v>
      </x:c>
      <x:c r="T7" s="62" t="n">
        <x:f>IF(O7="","",(1/'Metadata'!$B$5)^(O7-1))</x:f>
        <x:v>27321.987305427916</x:v>
      </x:c>
      <x:c r="U7" s="60" t="n">
        <x:f>IF(T7="","",I7*T7)</x:f>
        <x:v>47230722.188393995</x:v>
      </x:c>
    </x:row>
    <x:row r="8" ht="18" customHeight="1">
      <x:c r="A8" s="46" t="str">
        <x:v>HS_081</x:v>
      </x:c>
      <x:c r="B8" s="46" t="str">
        <x:v>Pacific, Southwest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1323.4777613404</x:v>
      </x:c>
      <x:c r="J8" s="60" t="n">
        <x:v>1287.4913929822</x:v>
      </x:c>
      <x:c r="K8" s="60" t="n">
        <x:v>35.9863683582</x:v>
      </x:c>
      <x:c r="L8" s="60" t="n">
        <x:v>1287.4913929822</x:v>
      </x:c>
      <x:c r="M8" s="60" t="n">
        <x:v>35.9863683582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9292.690797132333</x:v>
      </x:c>
      <x:c r="U8" s="60" t="n">
        <x:f>IF(T8="","",I8*T8)</x:f>
        <x:v>12298669.613017237</x:v>
      </x:c>
    </x:row>
    <x:row r="9" ht="18" customHeight="1">
      <x:c r="A9" s="46" t="str">
        <x:v>HS_081</x:v>
      </x:c>
      <x:c r="B9" s="46" t="str">
        <x:v>Pacific, Southwest</x:v>
      </x:c>
      <x:c r="C9" s="46" t="str">
        <x:v>High Seas</x:v>
      </x:c>
      <x:c r="D9" s="58" t="n">
        <x:v>2019</x:v>
      </x:c>
      <x:c r="E9" s="46" t="str">
        <x:v>Marine pelagic fishes not identified</x:v>
      </x:c>
      <x:c r="F9" s="46" t="str">
        <x:v>Pelagic fishes</x:v>
      </x:c>
      <x:c r="G9" s="46" t="str">
        <x:v>Medium pelagics (30 - 89 cm)</x:v>
      </x:c>
      <x:c r="H9" s="46" t="str">
        <x:v>Other fishes &amp; inverts</x:v>
      </x:c>
      <x:c r="I9" s="60" t="n">
        <x:v>1062.9224634476</x:v>
      </x:c>
      <x:c r="J9" s="60" t="n">
        <x:v>231.3785395967</x:v>
      </x:c>
      <x:c r="K9" s="60" t="n">
        <x:v>831.5439238509</x:v>
      </x:c>
      <x:c r="L9" s="60" t="n">
        <x:v>231.3785395967</x:v>
      </x:c>
      <x:c r="M9" s="60" t="n">
        <x:v>831.5439238509</x:v>
      </x:c>
      <x:c r="N9" s="46" t="str">
        <x:v>marine pelagic fishes not identified</x:v>
      </x:c>
      <x:c r="O9" s="62" t="n">
        <x:v>3.35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pelagic fishes not identified</x:v>
      </x:c>
      <x:c r="T9" s="62" t="n">
        <x:f>IF(O9="","",(1/'Metadata'!$B$5)^(O9-1))</x:f>
        <x:v>1141.3543275066227</x:v>
      </x:c>
      <x:c r="U9" s="60" t="n">
        <x:f>IF(T9="","",I9*T9)</x:f>
        <x:v>1213171.1534599182</x:v>
      </x:c>
    </x:row>
    <x:row r="10" ht="18" customHeight="1">
      <x:c r="A10" s="46" t="str">
        <x:v>HS_081</x:v>
      </x:c>
      <x:c r="B10" s="46" t="str">
        <x:v>Pacific, Southwest</x:v>
      </x:c>
      <x:c r="C10" s="46" t="str">
        <x:v>High Seas</x:v>
      </x:c>
      <x:c r="D10" s="58" t="n">
        <x:v>2019</x:v>
      </x:c>
      <x:c r="E10" s="46" t="str">
        <x:v>Thunnus obesus</x:v>
      </x:c>
      <x:c r="F10" s="46" t="str">
        <x:v>Bigeye tuna</x:v>
      </x:c>
      <x:c r="G10" s="46" t="str">
        <x:v>Large pelagics (&gt;=90 cm)</x:v>
      </x:c>
      <x:c r="H10" s="46" t="str">
        <x:v>Tuna &amp; billfishes</x:v>
      </x:c>
      <x:c r="I10" s="60" t="n">
        <x:v>967.1130531046</x:v>
      </x:c>
      <x:c r="J10" s="60" t="n">
        <x:v>900.9191162033001</x:v>
      </x:c>
      <x:c r="K10" s="60" t="n">
        <x:v>66.19393690129999</x:v>
      </x:c>
      <x:c r="L10" s="60" t="n">
        <x:v>900.9191162033001</x:v>
      </x:c>
      <x:c r="M10" s="60" t="n">
        <x:v>66.19393690129999</x:v>
      </x:c>
      <x:c r="N10" s="46" t="str">
        <x:v>thunnus obesus</x:v>
      </x:c>
      <x:c r="O10" s="62" t="n">
        <x:v>4.49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obesus</x:v>
      </x:c>
      <x:c r="T10" s="62" t="n">
        <x:f>IF(O10="","",(1/'Metadata'!$B$5)^(O10-1))</x:f>
        <x:v>34721.19667768202</x:v>
      </x:c>
      <x:c r="U10" s="60" t="n">
        <x:f>IF(T10="","",I10*T10)</x:f>
        <x:v>33579322.52639835</x:v>
      </x:c>
    </x:row>
    <x:row r="11" ht="18" customHeight="1">
      <x:c r="A11" s="46" t="str">
        <x:v>HS_081</x:v>
      </x:c>
      <x:c r="B11" s="46" t="str">
        <x:v>Pacific, Southwest</x:v>
      </x:c>
      <x:c r="C11" s="46" t="str">
        <x:v>High Seas</x:v>
      </x:c>
      <x:c r="D11" s="58" t="n">
        <x:v>2019</x:v>
      </x:c>
      <x:c r="E11" s="46" t="str">
        <x:v>Isurus</x:v>
      </x:c>
      <x:c r="F11" s="46" t="str">
        <x:v>Mako sharks</x:v>
      </x:c>
      <x:c r="G11" s="46" t="str">
        <x:v>Large sharks (&gt;=90 cm)</x:v>
      </x:c>
      <x:c r="H11" s="46" t="str">
        <x:v>Sharks &amp; rays</x:v>
      </x:c>
      <x:c r="I11" s="60" t="n">
        <x:v>856.7142914668999</x:v>
      </x:c>
      <x:c r="J11" s="60" t="n">
        <x:v>205.6400183152</x:v>
      </x:c>
      <x:c r="K11" s="60" t="n">
        <x:v>651.0742731517</x:v>
      </x:c>
      <x:c r="L11" s="60" t="n">
        <x:v>205.6400183152</x:v>
      </x:c>
      <x:c r="M11" s="60" t="n">
        <x:v>651.0742731517</x:v>
      </x:c>
      <x:c r="N11" s="46" t="str">
        <x:v>isurus</x:v>
      </x:c>
      <x:c r="O11" s="62" t="n">
        <x:v>4.5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Isurus</x:v>
      </x:c>
      <x:c r="T11" s="62" t="n">
        <x:f>IF(O11="","",(1/'Metadata'!$B$5)^(O11-1))</x:f>
        <x:v>35777.08763999664</x:v>
      </x:c>
      <x:c r="U11" s="60" t="n">
        <x:f>IF(T11="","",I11*T11)</x:f>
        <x:v>30650742.2882489</x:v>
      </x:c>
    </x:row>
    <x:row r="12" ht="18" customHeight="1">
      <x:c r="A12" s="46" t="str">
        <x:v>HS_081</x:v>
      </x:c>
      <x:c r="B12" s="46" t="str">
        <x:v>Pacific, Southwest</x:v>
      </x:c>
      <x:c r="C12" s="46" t="str">
        <x:v>High Seas</x:v>
      </x:c>
      <x:c r="D12" s="58" t="n">
        <x:v>2019</x:v>
      </x:c>
      <x:c r="E12" s="46" t="str">
        <x:v>Katsuwonus pelamis</x:v>
      </x:c>
      <x:c r="F12" s="46" t="str">
        <x:v>Skipjack tuna</x:v>
      </x:c>
      <x:c r="G12" s="46" t="str">
        <x:v>Large pelagics (&gt;=90 cm)</x:v>
      </x:c>
      <x:c r="H12" s="46" t="str">
        <x:v>Tuna &amp; billfishes</x:v>
      </x:c>
      <x:c r="I12" s="60" t="n">
        <x:v>811.0170452826001</x:v>
      </x:c>
      <x:c r="J12" s="60" t="n">
        <x:v>800.0222932435</x:v>
      </x:c>
      <x:c r="K12" s="60" t="n">
        <x:v>10.9947520391</x:v>
      </x:c>
      <x:c r="L12" s="60" t="n">
        <x:v>800.0222932435</x:v>
      </x:c>
      <x:c r="M12" s="60" t="n">
        <x:v>10.9947520391</x:v>
      </x:c>
      <x:c r="N12" s="46" t="str">
        <x:v>katsuwonus pelamis</x:v>
      </x:c>
      <x:c r="O12" s="62" t="n">
        <x:v>4.43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Katsuwonus pelamis</x:v>
      </x:c>
      <x:c r="T12" s="62" t="n">
        <x:f>IF(O12="","",(1/'Metadata'!$B$5)^(O12-1))</x:f>
        <x:v>29009.008489223597</x:v>
      </x:c>
      <x:c r="U12" s="60" t="n">
        <x:f>IF(T12="","",I12*T12)</x:f>
        <x:v>23526800.351507984</x:v>
      </x:c>
    </x:row>
    <x:row r="13" ht="18" customHeight="1">
      <x:c r="A13" s="46" t="str">
        <x:v>HS_081</x:v>
      </x:c>
      <x:c r="B13" s="46" t="str">
        <x:v>Pacific, Southwest</x:v>
      </x:c>
      <x:c r="C13" s="46" t="str">
        <x:v>High Seas</x:v>
      </x:c>
      <x:c r="D13" s="58" t="n">
        <x:v>2019</x:v>
      </x:c>
      <x:c r="E13" s="46" t="str">
        <x:v>Scombridae</x:v>
      </x:c>
      <x:c r="F13" s="46" t="str">
        <x:v>Mackerels, tunas, bonitos</x:v>
      </x:c>
      <x:c r="G13" s="46" t="str">
        <x:v>Medium pelagics (30 - 89 cm)</x:v>
      </x:c>
      <x:c r="H13" s="46" t="str">
        <x:v>Perch-likes</x:v>
      </x:c>
      <x:c r="I13" s="60" t="n">
        <x:v>650.0094576147001</x:v>
      </x:c>
      <x:c r="J13" s="60" t="n">
        <x:v>0</x:v>
      </x:c>
      <x:c r="K13" s="60" t="n">
        <x:v>650.0094576147001</x:v>
      </x:c>
      <x:c r="L13" s="60" t="n">
        <x:v>0</x:v>
      </x:c>
      <x:c r="M13" s="60" t="n">
        <x:v>650.0094576147001</x:v>
      </x:c>
      <x:c r="N13" s="46" t="str">
        <x:v>scombridae</x:v>
      </x:c>
      <x:c r="O13" s="62" t="n">
        <x:v>4.26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Scombridae</x:v>
      </x:c>
      <x:c r="T13" s="62" t="n">
        <x:f>IF(O13="","",(1/'Metadata'!$B$5)^(O13-1))</x:f>
        <x:v>17432.42421569787</x:v>
      </x:c>
      <x:c r="U13" s="60" t="n">
        <x:f>IF(T13="","",I13*T13)</x:f>
        <x:v>11331240.609355135</x:v>
      </x:c>
    </x:row>
    <x:row r="14" ht="18" customHeight="1">
      <x:c r="A14" s="46" t="str">
        <x:v>HS_081</x:v>
      </x:c>
      <x:c r="B14" s="46" t="str">
        <x:v>Pacific, Southwest</x:v>
      </x:c>
      <x:c r="C14" s="46" t="str">
        <x:v>High Seas</x:v>
      </x:c>
      <x:c r="D14" s="58" t="n">
        <x:v>2019</x:v>
      </x:c>
      <x:c r="E14" s="46" t="str">
        <x:v>Kajikia audax</x:v>
      </x:c>
      <x:c r="F14" s="46" t="str">
        <x:v>Striped marlin</x:v>
      </x:c>
      <x:c r="G14" s="46" t="str">
        <x:v>Large pelagics (&gt;=90 cm)</x:v>
      </x:c>
      <x:c r="H14" s="46" t="str">
        <x:v>Tuna &amp; billfishes</x:v>
      </x:c>
      <x:c r="I14" s="60" t="n">
        <x:v>611.2168521866</x:v>
      </x:c>
      <x:c r="J14" s="60" t="n">
        <x:v>611.2168521866</x:v>
      </x:c>
      <x:c r="K14" s="60" t="n">
        <x:v>0</x:v>
      </x:c>
      <x:c r="L14" s="60" t="n">
        <x:v>611.2168521866</x:v>
      </x:c>
      <x:c r="M14" s="60" t="n">
        <x:v>0</x:v>
      </x:c>
      <x:c r="N14" s="46" t="str">
        <x:v>kajikia audax</x:v>
      </x:c>
      <x:c r="O14" s="62" t="n">
        <x:v>4.58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Kajikia audax</x:v>
      </x:c>
      <x:c r="T14" s="62" t="n">
        <x:f>IF(O14="","",(1/'Metadata'!$B$5)^(O14-1))</x:f>
        <x:v>45466.06667430095</x:v>
      </x:c>
      <x:c r="U14" s="60" t="n">
        <x:f>IF(T14="","",I14*T14)</x:f>
        <x:v>27789626.153972305</x:v>
      </x:c>
    </x:row>
    <x:row r="15" ht="18" customHeight="1">
      <x:c r="A15" s="46" t="str">
        <x:v>HS_081</x:v>
      </x:c>
      <x:c r="B15" s="46" t="str">
        <x:v>Pacific, Southwest</x:v>
      </x:c>
      <x:c r="C15" s="46" t="str">
        <x:v>High Seas</x:v>
      </x:c>
      <x:c r="D15" s="58" t="n">
        <x:v>2019</x:v>
      </x:c>
      <x:c r="E15" s="46" t="str">
        <x:v>Carcharhinus longimanus</x:v>
      </x:c>
      <x:c r="F15" s="46" t="str">
        <x:v>Oceanic whitetip shark</x:v>
      </x:c>
      <x:c r="G15" s="46" t="str">
        <x:v>Large sharks (&gt;=90 cm)</x:v>
      </x:c>
      <x:c r="H15" s="46" t="str">
        <x:v>Sharks &amp; rays</x:v>
      </x:c>
      <x:c r="I15" s="60" t="n">
        <x:v>254.01856427869998</x:v>
      </x:c>
      <x:c r="J15" s="60" t="n">
        <x:v>23.9844482655</x:v>
      </x:c>
      <x:c r="K15" s="60" t="n">
        <x:v>230.0341160132</x:v>
      </x:c>
      <x:c r="L15" s="60" t="n">
        <x:v>23.9844482655</x:v>
      </x:c>
      <x:c r="M15" s="60" t="n">
        <x:v>230.0341160132</x:v>
      </x:c>
      <x:c r="N15" s="46" t="str">
        <x:v>carcharhinus longimanus</x:v>
      </x:c>
      <x:c r="O15" s="62" t="n">
        <x:v>4.16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Carcharhinus longimanus</x:v>
      </x:c>
      <x:c r="T15" s="62" t="n">
        <x:f>IF(O15="","",(1/'Metadata'!$B$5)^(O15-1))</x:f>
        <x:v>12919.77011769987</x:v>
      </x:c>
      <x:c r="U15" s="60" t="n">
        <x:f>IF(T15="","",I15*T15)</x:f>
        <x:v>3281861.456108972</x:v>
      </x:c>
    </x:row>
    <x:row r="16" ht="18" customHeight="1">
      <x:c r="A16" s="46" t="str">
        <x:v>HS_081</x:v>
      </x:c>
      <x:c r="B16" s="46" t="str">
        <x:v>Pacific, Southwest</x:v>
      </x:c>
      <x:c r="C16" s="46" t="str">
        <x:v>High Seas</x:v>
      </x:c>
      <x:c r="D16" s="58" t="n">
        <x:v>2019</x:v>
      </x:c>
      <x:c r="E16" s="46" t="str">
        <x:v>Thunnus orientalis</x:v>
      </x:c>
      <x:c r="F16" s="46" t="str">
        <x:v>Pacific bluefin tuna</x:v>
      </x:c>
      <x:c r="G16" s="46" t="str">
        <x:v>Large pelagics (&gt;=90 cm)</x:v>
      </x:c>
      <x:c r="H16" s="46" t="str">
        <x:v>Tuna &amp; billfishes</x:v>
      </x:c>
      <x:c r="I16" s="60" t="n">
        <x:v>241.2116536481</x:v>
      </x:c>
      <x:c r="J16" s="60" t="n">
        <x:v>238.6389799592</x:v>
      </x:c>
      <x:c r="K16" s="60" t="n">
        <x:v>2.5726736889</x:v>
      </x:c>
      <x:c r="L16" s="60" t="n">
        <x:v>238.6389799592</x:v>
      </x:c>
      <x:c r="M16" s="60" t="n">
        <x:v>2.5726736889</x:v>
      </x:c>
      <x:c r="N16" s="46" t="str">
        <x:v>thunnus orientalis</x:v>
      </x:c>
      <x:c r="O16" s="62" t="n">
        <x:v>4.05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Thunnus orientalis</x:v>
      </x:c>
      <x:c r="T16" s="62" t="n">
        <x:f>IF(O16="","",(1/'Metadata'!$B$5)^(O16-1))</x:f>
        <x:v>9292.690797132333</x:v>
      </x:c>
      <x:c r="U16" s="60" t="n">
        <x:f>IF(T16="","",I16*T16)</x:f>
        <x:v>2241505.3140167706</x:v>
      </x:c>
    </x:row>
    <x:row r="17" ht="18" customHeight="1">
      <x:c r="A17" s="46" t="str">
        <x:v>HS_081</x:v>
      </x:c>
      <x:c r="B17" s="46" t="str">
        <x:v>Pacific, Southwest</x:v>
      </x:c>
      <x:c r="C17" s="46" t="str">
        <x:v>High Seas</x:v>
      </x:c>
      <x:c r="D17" s="58" t="n">
        <x:v>2019</x:v>
      </x:c>
      <x:c r="E17" s="46" t="str">
        <x:v>Coryphaena hippurus</x:v>
      </x:c>
      <x:c r="F17" s="46" t="str">
        <x:v>Common dolphinfish</x:v>
      </x:c>
      <x:c r="G17" s="46" t="str">
        <x:v>Large pelagics (&gt;=90 cm)</x:v>
      </x:c>
      <x:c r="H17" s="46" t="str">
        <x:v>Perch-likes</x:v>
      </x:c>
      <x:c r="I17" s="60" t="n">
        <x:v>231.8377033913</x:v>
      </x:c>
      <x:c r="J17" s="60" t="n">
        <x:v>0</x:v>
      </x:c>
      <x:c r="K17" s="60" t="n">
        <x:v>231.8377033913</x:v>
      </x:c>
      <x:c r="L17" s="60" t="n">
        <x:v>0</x:v>
      </x:c>
      <x:c r="M17" s="60" t="n">
        <x:v>231.8377033913</x:v>
      </x:c>
      <x:c r="N17" s="46" t="str">
        <x:v>coryphaena hippurus</x:v>
      </x:c>
      <x:c r="O17" s="62" t="n">
        <x:v>4.37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Coryphaena hippurus</x:v>
      </x:c>
      <x:c r="T17" s="62" t="n">
        <x:f>IF(O17="","",(1/'Metadata'!$B$5)^(O17-1))</x:f>
        <x:v>24236.56596112542</x:v>
      </x:c>
      <x:c r="U17" s="60" t="n">
        <x:f>IF(T17="","",I17*T17)</x:f>
        <x:v>5618949.790519073</x:v>
      </x:c>
    </x:row>
    <x:row r="18" ht="18" customHeight="1">
      <x:c r="A18" s="46" t="str">
        <x:v>HS_081</x:v>
      </x:c>
      <x:c r="B18" s="46" t="str">
        <x:v>Pacific, Southwest</x:v>
      </x:c>
      <x:c r="C18" s="46" t="str">
        <x:v>High Seas</x:v>
      </x:c>
      <x:c r="D18" s="58" t="n">
        <x:v>2019</x:v>
      </x:c>
      <x:c r="E18" s="46" t="str">
        <x:v>Istiophoridae</x:v>
      </x:c>
      <x:c r="F18" s="46" t="str">
        <x:v>Billfishes</x:v>
      </x:c>
      <x:c r="G18" s="46" t="str">
        <x:v>Large pelagics (&gt;=90 cm)</x:v>
      </x:c>
      <x:c r="H18" s="46" t="str">
        <x:v>Tuna &amp; billfishes</x:v>
      </x:c>
      <x:c r="I18" s="60" t="n">
        <x:v>144.3977809003</x:v>
      </x:c>
      <x:c r="J18" s="60" t="n">
        <x:v>1.7973331205</x:v>
      </x:c>
      <x:c r="K18" s="60" t="n">
        <x:v>142.6004477798</x:v>
      </x:c>
      <x:c r="L18" s="60" t="n">
        <x:v>1.7973331205</x:v>
      </x:c>
      <x:c r="M18" s="60" t="n">
        <x:v>142.6004477798</x:v>
      </x:c>
      <x:c r="N18" s="46" t="str">
        <x:v>istiophoridae</x:v>
      </x:c>
      <x:c r="O18" s="62" t="n">
        <x:v>4.48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Istiophoridae</x:v>
      </x:c>
      <x:c r="T18" s="62" t="n">
        <x:f>IF(O18="","",(1/'Metadata'!$B$5)^(O18-1))</x:f>
        <x:v>33696.468277717824</x:v>
      </x:c>
      <x:c r="U18" s="60" t="n">
        <x:f>IF(T18="","",I18*T18)</x:f>
        <x:v>4865695.243479808</x:v>
      </x:c>
    </x:row>
    <x:row r="19" ht="18" customHeight="1">
      <x:c r="A19" s="46" t="str">
        <x:v>HS_081</x:v>
      </x:c>
      <x:c r="B19" s="46" t="str">
        <x:v>Pacific, Southwest</x:v>
      </x:c>
      <x:c r="C19" s="46" t="str">
        <x:v>High Seas</x:v>
      </x:c>
      <x:c r="D19" s="58" t="n">
        <x:v>2019</x:v>
      </x:c>
      <x:c r="E19" s="46" t="str">
        <x:v>Alopias</x:v>
      </x:c>
      <x:c r="F19" s="46" t="str">
        <x:v>Thresher sharks</x:v>
      </x:c>
      <x:c r="G19" s="46" t="str">
        <x:v>Large sharks (&gt;=90 cm)</x:v>
      </x:c>
      <x:c r="H19" s="46" t="str">
        <x:v>Sharks &amp; rays</x:v>
      </x:c>
      <x:c r="I19" s="60" t="n">
        <x:v>131.78268506930002</x:v>
      </x:c>
      <x:c r="J19" s="60" t="n">
        <x:v>54.127921174600004</x:v>
      </x:c>
      <x:c r="K19" s="60" t="n">
        <x:v>77.65476389470001</x:v>
      </x:c>
      <x:c r="L19" s="60" t="n">
        <x:v>54.127921174600004</x:v>
      </x:c>
      <x:c r="M19" s="60" t="n">
        <x:v>77.65476389470001</x:v>
      </x:c>
      <x:c r="N19" s="46" t="str">
        <x:v>alopias</x:v>
      </x:c>
      <x:c r="O19" s="62" t="n">
        <x:v>4.5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Alopias</x:v>
      </x:c>
      <x:c r="T19" s="62" t="n">
        <x:f>IF(O19="","",(1/'Metadata'!$B$5)^(O19-1))</x:f>
        <x:v>35777.08763999664</x:v>
      </x:c>
      <x:c r="U19" s="60" t="n">
        <x:f>IF(T19="","",I19*T19)</x:f>
        <x:v>4714800.673158423</x:v>
      </x:c>
    </x:row>
    <x:row r="20" ht="18" customHeight="1">
      <x:c r="A20" s="46" t="str">
        <x:v>HS_081</x:v>
      </x:c>
      <x:c r="B20" s="46" t="str">
        <x:v>Pacific, Southwest</x:v>
      </x:c>
      <x:c r="C20" s="46" t="str">
        <x:v>High Seas</x:v>
      </x:c>
      <x:c r="D20" s="58" t="n">
        <x:v>2019</x:v>
      </x:c>
      <x:c r="E20" s="46" t="str">
        <x:v>Carcharhinus falciformis</x:v>
      </x:c>
      <x:c r="F20" s="46" t="str">
        <x:v>Silky shark</x:v>
      </x:c>
      <x:c r="G20" s="46" t="str">
        <x:v>Large sharks (&gt;=90 cm)</x:v>
      </x:c>
      <x:c r="H20" s="46" t="str">
        <x:v>Sharks &amp; rays</x:v>
      </x:c>
      <x:c r="I20" s="60" t="n">
        <x:v>129.4978770118</x:v>
      </x:c>
      <x:c r="J20" s="60" t="n">
        <x:v>3.3006898047</x:v>
      </x:c>
      <x:c r="K20" s="60" t="n">
        <x:v>126.1971872071</x:v>
      </x:c>
      <x:c r="L20" s="60" t="n">
        <x:v>3.3006898047</x:v>
      </x:c>
      <x:c r="M20" s="60" t="n">
        <x:v>126.1971872071</x:v>
      </x:c>
      <x:c r="N20" s="46" t="str">
        <x:v>carcharhinus falciformis</x:v>
      </x:c>
      <x:c r="O20" s="62" t="n">
        <x:v>4.51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Carcharhinus falciformis</x:v>
      </x:c>
      <x:c r="T20" s="62" t="n">
        <x:f>IF(O20="","",(1/'Metadata'!$B$5)^(O20-1))</x:f>
        <x:v>36865.088835568684</x:v>
      </x:c>
      <x:c r="U20" s="60" t="n">
        <x:f>IF(T20="","",I20*T20)</x:f>
        <x:v>4773950.740057555</x:v>
      </x:c>
    </x:row>
    <x:row r="21" ht="18" customHeight="1">
      <x:c r="A21" s="46" t="str">
        <x:v>HS_081</x:v>
      </x:c>
      <x:c r="B21" s="46" t="str">
        <x:v>Pacific, Southwest</x:v>
      </x:c>
      <x:c r="C21" s="46" t="str">
        <x:v>High Seas</x:v>
      </x:c>
      <x:c r="D21" s="58" t="n">
        <x:v>2019</x:v>
      </x:c>
      <x:c r="E21" s="46" t="str">
        <x:v>Lamna nasus</x:v>
      </x:c>
      <x:c r="F21" s="46" t="str">
        <x:v>Porbeagle</x:v>
      </x:c>
      <x:c r="G21" s="46" t="str">
        <x:v>Large sharks (&gt;=90 cm)</x:v>
      </x:c>
      <x:c r="H21" s="46" t="str">
        <x:v>Sharks &amp; rays</x:v>
      </x:c>
      <x:c r="I21" s="60" t="n">
        <x:v>65.8715912855</x:v>
      </x:c>
      <x:c r="J21" s="60" t="n">
        <x:v>65.8715912855</x:v>
      </x:c>
      <x:c r="K21" s="60" t="n">
        <x:v>0</x:v>
      </x:c>
      <x:c r="L21" s="60" t="n">
        <x:v>65.8715912855</x:v>
      </x:c>
      <x:c r="M21" s="60" t="n">
        <x:v>0</x:v>
      </x:c>
      <x:c r="N21" s="46" t="str">
        <x:v>lamna nasus</x:v>
      </x:c>
      <x:c r="O21" s="62" t="n">
        <x:v>4.57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Lamna nasus</x:v>
      </x:c>
      <x:c r="T21" s="62" t="n">
        <x:f>IF(O21="","",(1/'Metadata'!$B$5)^(O21-1))</x:f>
        <x:v>44124.224393105345</x:v>
      </x:c>
      <x:c r="U21" s="60" t="n">
        <x:f>IF(T21="","",I21*T21)</x:f>
        <x:v>2906532.8750123247</x:v>
      </x:c>
    </x:row>
    <x:row r="22" ht="18" customHeight="1">
      <x:c r="A22" s="46" t="str">
        <x:v>HS_081</x:v>
      </x:c>
      <x:c r="B22" s="46" t="str">
        <x:v>Pacific, Southwest</x:v>
      </x:c>
      <x:c r="C22" s="46" t="str">
        <x:v>High Seas</x:v>
      </x:c>
      <x:c r="D22" s="58" t="n">
        <x:v>2019</x:v>
      </x:c>
      <x:c r="E22" s="46" t="str">
        <x:v>Istiompax indica</x:v>
      </x:c>
      <x:c r="F22" s="46" t="str">
        <x:v>Black marlin</x:v>
      </x:c>
      <x:c r="G22" s="46" t="str">
        <x:v>Large pelagics (&gt;=90 cm)</x:v>
      </x:c>
      <x:c r="H22" s="46" t="str">
        <x:v>Tuna &amp; billfishes</x:v>
      </x:c>
      <x:c r="I22" s="60" t="n">
        <x:v>59.107906649</x:v>
      </x:c>
      <x:c r="J22" s="60" t="n">
        <x:v>59.107906649</x:v>
      </x:c>
      <x:c r="K22" s="60" t="n">
        <x:v>0</x:v>
      </x:c>
      <x:c r="L22" s="60" t="n">
        <x:v>59.107906649</x:v>
      </x:c>
      <x:c r="M22" s="60" t="n">
        <x:v>0</x:v>
      </x:c>
      <x:c r="N22" s="46" t="str">
        <x:v>istiompax indica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Istiompax indica</x:v>
      </x:c>
      <x:c r="T22" s="62" t="n">
        <x:f>IF(O22="","",(1/'Metadata'!$B$5)^(O22-1))</x:f>
        <x:v>35777.08763999664</x:v>
      </x:c>
      <x:c r="U22" s="60" t="n">
        <x:f>IF(T22="","",I22*T22)</x:f>
        <x:v>2114708.756398013</x:v>
      </x:c>
    </x:row>
    <x:row r="23" ht="18" customHeight="1">
      <x:c r="A23" s="46" t="str">
        <x:v>HS_081</x:v>
      </x:c>
      <x:c r="B23" s="46" t="str">
        <x:v>Pacific, Southwest</x:v>
      </x:c>
      <x:c r="C23" s="46" t="str">
        <x:v>High Seas</x:v>
      </x:c>
      <x:c r="D23" s="58" t="n">
        <x:v>2019</x:v>
      </x:c>
      <x:c r="E23" s="46" t="str">
        <x:v>Sphyrna</x:v>
      </x:c>
      <x:c r="F23" s="46" t="str">
        <x:v>Hammerhead sharks</x:v>
      </x:c>
      <x:c r="G23" s="46" t="str">
        <x:v>Large sharks (&gt;=90 cm)</x:v>
      </x:c>
      <x:c r="H23" s="46" t="str">
        <x:v>Sharks &amp; rays</x:v>
      </x:c>
      <x:c r="I23" s="60" t="n">
        <x:v>28.168198206299998</x:v>
      </x:c>
      <x:c r="J23" s="60" t="n">
        <x:v>28.168198206299998</x:v>
      </x:c>
      <x:c r="K23" s="60" t="n">
        <x:v>0</x:v>
      </x:c>
      <x:c r="L23" s="60" t="n">
        <x:v>28.168198206299998</x:v>
      </x:c>
      <x:c r="M23" s="60" t="n">
        <x:v>0</x:v>
      </x:c>
      <x:c r="N23" s="46" t="str">
        <x:v>sphyrna</x:v>
      </x:c>
      <x:c r="O23" s="62" t="n">
        <x:v>4.2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Sphyrna</x:v>
      </x:c>
      <x:c r="T23" s="62" t="n">
        <x:f>IF(O23="","",(1/'Metadata'!$B$5)^(O23-1))</x:f>
        <x:v>14564.51362420865</x:v>
      </x:c>
      <x:c r="U23" s="60" t="n">
        <x:f>IF(T23="","",I23*T23)</x:f>
        <x:v>410256.106545066</x:v>
      </x:c>
    </x:row>
    <x:row r="24" ht="18" customHeight="1">
      <x:c r="A24" s="46" t="str">
        <x:v>HS_081</x:v>
      </x:c>
      <x:c r="B24" s="46" t="str">
        <x:v>Pacific, Southwest</x:v>
      </x:c>
      <x:c r="C24" s="46" t="str">
        <x:v>High Seas</x:v>
      </x:c>
      <x:c r="D24" s="58" t="n">
        <x:v>2019</x:v>
      </x:c>
      <x:c r="E24" s="46" t="str">
        <x:v>Acanthocybium solandri</x:v>
      </x:c>
      <x:c r="F24" s="46" t="str">
        <x:v>Wahoo</x:v>
      </x:c>
      <x:c r="G24" s="46" t="str">
        <x:v>Large pelagics (&gt;=90 cm)</x:v>
      </x:c>
      <x:c r="H24" s="46" t="str">
        <x:v>Perch-likes</x:v>
      </x:c>
      <x:c r="I24" s="60" t="n">
        <x:v>16.2771367694</x:v>
      </x:c>
      <x:c r="J24" s="60" t="n">
        <x:v>0</x:v>
      </x:c>
      <x:c r="K24" s="60" t="n">
        <x:v>16.2771367694</x:v>
      </x:c>
      <x:c r="L24" s="60" t="n">
        <x:v>0</x:v>
      </x:c>
      <x:c r="M24" s="60" t="n">
        <x:v>16.2771367694</x:v>
      </x:c>
      <x:c r="N24" s="46" t="str">
        <x:v>acanthocybium solandri</x:v>
      </x:c>
      <x:c r="O24" s="62" t="n">
        <x:v>4.26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Acanthocybium solandri</x:v>
      </x:c>
      <x:c r="T24" s="62" t="n">
        <x:f>IF(O24="","",(1/'Metadata'!$B$5)^(O24-1))</x:f>
        <x:v>17432.42421569787</x:v>
      </x:c>
      <x:c r="U24" s="60" t="n">
        <x:f>IF(T24="","",I24*T24)</x:f>
        <x:v>283749.9531811147</x:v>
      </x:c>
    </x:row>
    <x:row r="25" ht="18" customHeight="1">
      <x:c r="A25" s="46" t="str">
        <x:v>HS_081</x:v>
      </x:c>
      <x:c r="B25" s="46" t="str">
        <x:v>Pacific, Southwest</x:v>
      </x:c>
      <x:c r="C25" s="46" t="str">
        <x:v>High Seas</x:v>
      </x:c>
      <x:c r="D25" s="58" t="n">
        <x:v>2019</x:v>
      </x:c>
      <x:c r="E25" s="46" t="str">
        <x:v>Coryphaena</x:v>
      </x:c>
      <x:c r="F25" s="46" t="str">
        <x:v>Dolphinfishes</x:v>
      </x:c>
      <x:c r="G25" s="46" t="str">
        <x:v>Large pelagics (&gt;=90 cm)</x:v>
      </x:c>
      <x:c r="H25" s="46" t="str">
        <x:v>Perch-likes</x:v>
      </x:c>
      <x:c r="I25" s="60" t="n">
        <x:v>1.6313844051</x:v>
      </x:c>
      <x:c r="J25" s="60" t="n">
        <x:v>1.6313844051</x:v>
      </x:c>
      <x:c r="K25" s="60" t="n">
        <x:v>0</x:v>
      </x:c>
      <x:c r="L25" s="60" t="n">
        <x:v>1.6313844051</x:v>
      </x:c>
      <x:c r="M25" s="60" t="n">
        <x:v>0</x:v>
      </x:c>
      <x:c r="N25" s="46" t="str">
        <x:v>coryphaena</x:v>
      </x:c>
      <x:c r="O25" s="62" t="n">
        <x:v>4.49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Coryphaena</x:v>
      </x:c>
      <x:c r="T25" s="62" t="n">
        <x:f>IF(O25="","",(1/'Metadata'!$B$5)^(O25-1))</x:f>
        <x:v>34721.19667768202</x:v>
      </x:c>
      <x:c r="U25" s="60" t="n">
        <x:f>IF(T25="","",I25*T25)</x:f>
        <x:v>56643.61878638037</x:v>
      </x:c>
    </x:row>
    <x:row r="26" ht="18" customHeight="1">
      <x:c r="A26" s="46" t="str">
        <x:v>HS_081</x:v>
      </x:c>
      <x:c r="B26" s="46" t="str">
        <x:v>Pacific, Southwest</x:v>
      </x:c>
      <x:c r="C26" s="46" t="str">
        <x:v>High Seas</x:v>
      </x:c>
      <x:c r="D26" s="58" t="n">
        <x:v>2019</x:v>
      </x:c>
      <x:c r="E26" s="46" t="str">
        <x:v>Tetrapturus angustirostris</x:v>
      </x:c>
      <x:c r="F26" s="46" t="str">
        <x:v>Shortbill spearfish</x:v>
      </x:c>
      <x:c r="G26" s="46" t="str">
        <x:v>Large pelagics (&gt;=90 cm)</x:v>
      </x:c>
      <x:c r="H26" s="46" t="str">
        <x:v>Tuna &amp; billfishes</x:v>
      </x:c>
      <x:c r="I26" s="60" t="n">
        <x:v>1.5104209908</x:v>
      </x:c>
      <x:c r="J26" s="60" t="n">
        <x:v>1.5104209908</x:v>
      </x:c>
      <x:c r="K26" s="60" t="n">
        <x:v>0</x:v>
      </x:c>
      <x:c r="L26" s="60" t="n">
        <x:v>1.5104209908</x:v>
      </x:c>
      <x:c r="M26" s="60" t="n">
        <x:v>0</x:v>
      </x:c>
      <x:c r="N26" s="46" t="str">
        <x:v>tetrapturus angustirostris</x:v>
      </x:c>
      <x:c r="O26" s="62" t="n">
        <x:v>4.5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Tetrapturus angustirostris</x:v>
      </x:c>
      <x:c r="T26" s="62" t="n">
        <x:f>IF(O26="","",(1/'Metadata'!$B$5)^(O26-1))</x:f>
        <x:v>35777.08763999664</x:v>
      </x:c>
      <x:c r="U26" s="60" t="n">
        <x:f>IF(T26="","",I26*T26)</x:f>
        <x:v>54038.464161142154</x:v>
      </x:c>
    </x:row>
    <x:row r="27" ht="18" customHeight="1">
      <x:c r="A27" s="46" t="str">
        <x:v>HS_081</x:v>
      </x:c>
      <x:c r="B27" s="46" t="str">
        <x:v>Pacific, Southwest</x:v>
      </x:c>
      <x:c r="C27" s="46" t="str">
        <x:v>High Seas</x:v>
      </x:c>
      <x:c r="D27" s="58" t="n">
        <x:v>2019</x:v>
      </x:c>
      <x:c r="E27" s="46" t="str">
        <x:v>Carangidae</x:v>
      </x:c>
      <x:c r="F27" s="46" t="str">
        <x:v>Jacks, pompanos</x:v>
      </x:c>
      <x:c r="G27" s="46" t="str">
        <x:v>Medium pelagics (30 - 89 cm)</x:v>
      </x:c>
      <x:c r="H27" s="46" t="str">
        <x:v>Perch-likes</x:v>
      </x:c>
      <x:c r="I27" s="60" t="n">
        <x:v>0.6869070939</x:v>
      </x:c>
      <x:c r="J27" s="60" t="n">
        <x:v>0.007982956400000001</x:v>
      </x:c>
      <x:c r="K27" s="60" t="n">
        <x:v>0.6789241375</x:v>
      </x:c>
      <x:c r="L27" s="60" t="n">
        <x:v>0.007982956400000001</x:v>
      </x:c>
      <x:c r="M27" s="60" t="n">
        <x:v>0.6789241375</x:v>
      </x:c>
      <x:c r="N27" s="46" t="str">
        <x:v>carangidae</x:v>
      </x:c>
      <x:c r="O27" s="62" t="n">
        <x:v>4.05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Carangidae</x:v>
      </x:c>
      <x:c r="T27" s="62" t="n">
        <x:f>IF(O27="","",(1/'Metadata'!$B$5)^(O27-1))</x:f>
        <x:v>9292.690797132333</x:v>
      </x:c>
      <x:c r="U27" s="60" t="n">
        <x:f>IF(T27="","",I27*T27)</x:f>
        <x:v>6383.215229969445</x:v>
      </x:c>
    </x:row>
    <x:row r="28" ht="18" customHeight="1">
      <x:c r="A28" s="46" t="str">
        <x:v>HS_081</x:v>
      </x:c>
      <x:c r="B28" s="46" t="str">
        <x:v>Pacific, Southwest</x:v>
      </x:c>
      <x:c r="C28" s="46" t="str">
        <x:v>High Seas</x:v>
      </x:c>
      <x:c r="D28" s="58" t="n">
        <x:v>2019</x:v>
      </x:c>
      <x:c r="E28" s="46" t="str">
        <x:v>Istiophorus platypterus</x:v>
      </x:c>
      <x:c r="F28" s="46" t="str">
        <x:v>Indo-Pacific sailfish</x:v>
      </x:c>
      <x:c r="G28" s="46" t="str">
        <x:v>Large pelagics (&gt;=90 cm)</x:v>
      </x:c>
      <x:c r="H28" s="46" t="str">
        <x:v>Tuna &amp; billfishes</x:v>
      </x:c>
      <x:c r="I28" s="60" t="n">
        <x:v>0.3172439163</x:v>
      </x:c>
      <x:c r="J28" s="60" t="n">
        <x:v>0.3172439163</x:v>
      </x:c>
      <x:c r="K28" s="60" t="n">
        <x:v>0</x:v>
      </x:c>
      <x:c r="L28" s="60" t="n">
        <x:v>0.3172439163</x:v>
      </x:c>
      <x:c r="M28" s="60" t="n">
        <x:v>0</x:v>
      </x:c>
      <x:c r="N28" s="46" t="str">
        <x:v>istiophorus platypterus</x:v>
      </x:c>
      <x:c r="O28" s="62" t="n">
        <x:v>4.5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Istiophorus platypterus</x:v>
      </x:c>
      <x:c r="T28" s="62" t="n">
        <x:f>IF(O28="","",(1/'Metadata'!$B$5)^(O28-1))</x:f>
        <x:v>35777.08763999664</x:v>
      </x:c>
      <x:c r="U28" s="60" t="n">
        <x:f>IF(T28="","",I28*T28)</x:f>
        <x:v>11350.063396720858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df4ba090f8848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3492.4651876564</x:v>
      </x:c>
      <x:c r="E2" s="60" t="n">
        <x:v>3492.4651876564</x:v>
      </x:c>
      <x:c r="F2" s="62" t="n">
        <x:v>0</x:v>
      </x:c>
      <x:c r="G2" s="66" t="n">
        <x:v>1</x:v>
      </x:c>
      <x:c r="H2" s="62" t="n">
        <x:f>IF(E2=0,"",I2/E2)</x:f>
        <x:v>991.1531321944475</x:v>
      </x:c>
      <x:c r="I2" s="60" t="n">
        <x:f>SUMIF('Species'!$H$2:$H$28,A2,'Species'!$U$2:$U$28)</x:f>
        <x:v>3461567.8098257096</x:v>
      </x:c>
      <x:c r="J2" s="62" t="n">
        <x:v>3.301304313269694</x:v>
      </x:c>
      <x:c r="K2" s="62" t="n">
        <x:f>IF(J2="","",(1/'Metadata'!$B$5)^(J2-1))</x:f>
        <x:v>986.4292478652396</x:v>
      </x:c>
      <x:c r="L2" s="60" t="n">
        <x:f>IF(E2=0,"",E2*K2)</x:f>
        <x:v>3445069.8082554354</x:v>
      </x:c>
      <x:c r="M2" s="60" t="n">
        <x:f>I2-L2</x:f>
        <x:v>16498.001570274122</x:v>
      </x:c>
      <x:c r="N2" s="62" t="n">
        <x:f>IF(L2=0,"",I2/L2)</x:f>
        <x:v>1.0047888729368386</x:v>
      </x:c>
      <x:c r="O2" s="66" t="n">
        <x:f>IF(L2=0,"",M2/L2)</x:f>
        <x:v>0.004788872936838578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900.4425892744001</x:v>
      </x:c>
      <x:c r="E3" s="60" t="n">
        <x:v>900.4425892744001</x:v>
      </x:c>
      <x:c r="F3" s="62" t="n">
        <x:v>0</x:v>
      </x:c>
      <x:c r="G3" s="66" t="n">
        <x:v>1</x:v>
      </x:c>
      <x:c r="H3" s="62" t="n">
        <x:f>IF(E3=0,"",I3/E3)</x:f>
        <x:v>19209.405900058562</x:v>
      </x:c>
      <x:c r="I3" s="60" t="n">
        <x:f>SUMIF('Species'!$H$2:$H$28,A3,'Species'!$U$2:$U$28)</x:f>
        <x:v>17296967.18707167</x:v>
      </x:c>
      <x:c r="J3" s="62" t="n">
        <x:v>4.288578296498873</x:v>
      </x:c>
      <x:c r="K3" s="62" t="n">
        <x:f>IF(J3="","",(1/'Metadata'!$B$5)^(J3-1))</x:f>
        <x:v>18990.614015961626</x:v>
      </x:c>
      <x:c r="L3" s="60" t="n">
        <x:f>IF(E3=0,"",E3*K3)</x:f>
        <x:v>17099957.6564432</x:v>
      </x:c>
      <x:c r="M3" s="60" t="n">
        <x:f>I3-L3</x:f>
        <x:v>197009.53062846884</x:v>
      </x:c>
      <x:c r="N3" s="62" t="n">
        <x:f>IF(L3=0,"",I3/L3)</x:f>
        <x:v>1.0115210537117463</x:v>
      </x:c>
      <x:c r="O3" s="66" t="n">
        <x:f>IF(L3=0,"",M3/L3)</x:f>
        <x:v>0.01152105371174626</x:v>
      </x:c>
    </x:row>
    <x:row r="4" ht="18" customHeight="1">
      <x:c r="A4" s="46" t="str">
        <x:v>Sharks &amp; rays</x:v>
      </x:c>
      <x:c r="B4" s="64" t="n">
        <x:v>8</x:v>
      </x:c>
      <x:c r="C4" s="64" t="n">
        <x:v>8</x:v>
      </x:c>
      <x:c r="D4" s="60" t="n">
        <x:v>13144.3799647761</x:v>
      </x:c>
      <x:c r="E4" s="60" t="n">
        <x:v>13144.3799647761</x:v>
      </x:c>
      <x:c r="F4" s="62" t="n">
        <x:v>0</x:v>
      </x:c>
      <x:c r="G4" s="66" t="n">
        <x:v>1</x:v>
      </x:c>
      <x:c r="H4" s="62" t="n">
        <x:f>IF(E4=0,"",I4/E4)</x:f>
        <x:v>22474.08008530584</x:v>
      </x:c>
      <x:c r="I4" s="60" t="n">
        <x:f>SUMIF('Species'!$H$2:$H$28,A4,'Species'!$U$2:$U$28)</x:f>
        <x:v>295407848.00006765</x:v>
      </x:c>
      <x:c r="J4" s="62" t="n">
        <x:v>4.329759704970958</x:v>
      </x:c>
      <x:c r="K4" s="62" t="n">
        <x:f>IF(J4="","",(1/'Metadata'!$B$5)^(J4-1))</x:f>
        <x:v>21484.10441970733</x:v>
      </x:c>
      <x:c r="L4" s="60" t="n">
        <x:f>IF(E4=0,"",E4*K4)</x:f>
        <x:v>282395231.6955587</x:v>
      </x:c>
      <x:c r="M4" s="60" t="n">
        <x:f>I4-L4</x:f>
        <x:v>13012616.304508924</x:v>
      </x:c>
      <x:c r="N4" s="62" t="n">
        <x:f>IF(L4=0,"",I4/L4)</x:f>
        <x:v>1.046079447681813</x:v>
      </x:c>
      <x:c r="O4" s="66" t="n">
        <x:f>IF(L4=0,"",M4/L4)</x:f>
        <x:v>0.04607944768181288</x:v>
      </x:c>
    </x:row>
    <x:row r="5" ht="18" customHeight="1">
      <x:c r="A5" s="46" t="str">
        <x:v>Tuna &amp; billfishes</x:v>
      </x:c>
      <x:c r="B5" s="64" t="n">
        <x:v>12</x:v>
      </x:c>
      <x:c r="C5" s="64" t="n">
        <x:v>12</x:v>
      </x:c>
      <x:c r="D5" s="60" t="n">
        <x:v>27715.179081010196</x:v>
      </x:c>
      <x:c r="E5" s="60" t="n">
        <x:v>27715.179081010196</x:v>
      </x:c>
      <x:c r="F5" s="62" t="n">
        <x:v>0</x:v>
      </x:c>
      <x:c r="G5" s="66" t="n">
        <x:v>1</x:v>
      </x:c>
      <x:c r="H5" s="62" t="n">
        <x:f>IF(E5=0,"",I5/E5)</x:f>
        <x:v>22292.41713516855</x:v>
      </x:c>
      <x:c r="I5" s="60" t="n">
        <x:f>SUMIF('Species'!$H$2:$H$28,A5,'Species'!$U$2:$U$28)</x:f>
        <x:v>617838333.0497767</x:v>
      </x:c>
      <x:c r="J5" s="62" t="n">
        <x:v>4.3123912418989345</x:v>
      </x:c>
      <x:c r="K5" s="62" t="n">
        <x:f>IF(J5="","",(1/'Metadata'!$B$5)^(J5-1))</x:f>
        <x:v>20394.842841682606</x:v>
      </x:c>
      <x:c r="L5" s="60" t="n">
        <x:f>IF(E5=0,"",E5*K5)</x:f>
        <x:v>565246721.6862923</x:v>
      </x:c>
      <x:c r="M5" s="60" t="n">
        <x:f>I5-L5</x:f>
        <x:v>52591611.36348438</x:v>
      </x:c>
      <x:c r="N5" s="62" t="n">
        <x:f>IF(L5=0,"",I5/L5)</x:f>
        <x:v>1.0930418688791128</x:v>
      </x:c>
      <x:c r="O5" s="66" t="n">
        <x:f>IF(L5=0,"",M5/L5)</x:f>
        <x:v>0.09304186887911282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fc542dae7d44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15</x:v>
      </x:c>
      <x:c r="C2" s="64" t="n">
        <x:v>15</x:v>
      </x:c>
      <x:c r="D2" s="60" t="n">
        <x:v>27964.925305575995</x:v>
      </x:c>
      <x:c r="E2" s="60" t="n">
        <x:v>27964.925305575995</x:v>
      </x:c>
      <x:c r="F2" s="62" t="n">
        <x:v>0</x:v>
      </x:c>
      <x:c r="G2" s="66" t="n">
        <x:v>1</x:v>
      </x:c>
      <x:c r="H2" s="62" t="n">
        <x:f>IF(E2=0,"",I2/E2)</x:f>
        <x:v>22306.430987959146</x:v>
      </x:c>
      <x:c r="I2" s="60" t="n">
        <x:f>SUMIF('Species'!$G$2:$G$28,A2,'Species'!$U$2:$U$28)</x:f>
        <x:v>623797676.4122633</x:v>
      </x:c>
      <x:c r="J2" s="62" t="n">
        <x:v>4.312848702477923</x:v>
      </x:c>
      <x:c r="K2" s="62" t="n">
        <x:f>IF(J2="","",(1/'Metadata'!$B$5)^(J2-1))</x:f>
        <x:v>20422.811694628497</x:v>
      </x:c>
      <x:c r="L2" s="60" t="n">
        <x:f>IF(E2=0,"",E2*K2)</x:f>
        <x:v>571122403.5701299</x:v>
      </x:c>
      <x:c r="M2" s="60" t="n">
        <x:f>I2-L2</x:f>
        <x:v>52675272.8421334</x:v>
      </x:c>
      <x:c r="N2" s="62" t="n">
        <x:f>IF(L2=0,"",I2/L2)</x:f>
        <x:v>1.0922311443446382</x:v>
      </x:c>
      <x:c r="O2" s="66" t="n">
        <x:f>IF(L2=0,"",M2/L2)</x:f>
        <x:v>0.09223114434463828</x:v>
      </x:c>
    </x:row>
    <x:row r="3" ht="18" customHeight="1">
      <x:c r="A3" s="46" t="str">
        <x:v>Large sharks (&gt;=90 cm)</x:v>
      </x:c>
      <x:c r="B3" s="64" t="n">
        <x:v>8</x:v>
      </x:c>
      <x:c r="C3" s="64" t="n">
        <x:v>8</x:v>
      </x:c>
      <x:c r="D3" s="60" t="n">
        <x:v>13144.3799647761</x:v>
      </x:c>
      <x:c r="E3" s="60" t="n">
        <x:v>13144.3799647761</x:v>
      </x:c>
      <x:c r="F3" s="62" t="n">
        <x:v>0</x:v>
      </x:c>
      <x:c r="G3" s="66" t="n">
        <x:v>1</x:v>
      </x:c>
      <x:c r="H3" s="62" t="n">
        <x:f>IF(E3=0,"",I3/E3)</x:f>
        <x:v>22474.08008530584</x:v>
      </x:c>
      <x:c r="I3" s="60" t="n">
        <x:f>SUMIF('Species'!$G$2:$G$28,A3,'Species'!$U$2:$U$28)</x:f>
        <x:v>295407848.00006765</x:v>
      </x:c>
      <x:c r="J3" s="62" t="n">
        <x:v>4.329759704970958</x:v>
      </x:c>
      <x:c r="K3" s="62" t="n">
        <x:f>IF(J3="","",(1/'Metadata'!$B$5)^(J3-1))</x:f>
        <x:v>21484.10441970733</x:v>
      </x:c>
      <x:c r="L3" s="60" t="n">
        <x:f>IF(E3=0,"",E3*K3)</x:f>
        <x:v>282395231.6955587</x:v>
      </x:c>
      <x:c r="M3" s="60" t="n">
        <x:f>I3-L3</x:f>
        <x:v>13012616.304508924</x:v>
      </x:c>
      <x:c r="N3" s="62" t="n">
        <x:f>IF(L3=0,"",I3/L3)</x:f>
        <x:v>1.046079447681813</x:v>
      </x:c>
      <x:c r="O3" s="66" t="n">
        <x:f>IF(L3=0,"",M3/L3)</x:f>
        <x:v>0.04607944768181288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2429.5427242088</x:v>
      </x:c>
      <x:c r="E4" s="60" t="n">
        <x:v>2429.5427242088</x:v>
      </x:c>
      <x:c r="F4" s="62" t="n">
        <x:v>0</x:v>
      </x:c>
      <x:c r="G4" s="66" t="n">
        <x:v>1</x:v>
      </x:c>
      <x:c r="H4" s="62" t="n">
        <x:f>IF(E4=0,"",I4/E4)</x:f>
        <x:v>925.4402624666745</x:v>
      </x:c>
      <x:c r="I4" s="60" t="n">
        <x:f>SUMIF('Species'!$G$2:$G$28,A4,'Species'!$U$2:$U$28)</x:f>
        <x:v>2248396.6563657913</x:v>
      </x:c>
      <x:c r="J4" s="62" t="n">
        <x:v>3.28</x:v>
      </x:c>
      <x:c r="K4" s="62" t="n">
        <x:f>IF(J4="","",(1/'Metadata'!$B$5)^(J4-1))</x:f>
        <x:v>925.4402624666747</x:v>
      </x:c>
      <x:c r="L4" s="60" t="n">
        <x:f>IF(E4=0,"",E4*K4)</x:f>
        <x:v>2248396.6563657913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1713.6188281562</x:v>
      </x:c>
      <x:c r="E5" s="60" t="n">
        <x:v>1713.6188281562</x:v>
      </x:c>
      <x:c r="F5" s="62" t="n">
        <x:v>0</x:v>
      </x:c>
      <x:c r="G5" s="66" t="n">
        <x:v>1</x:v>
      </x:c>
      <x:c r="H5" s="62" t="n">
        <x:f>IF(E5=0,"",I5/E5)</x:f>
        <x:v>7324.146287275148</x:v>
      </x:c>
      <x:c r="I5" s="60" t="n">
        <x:f>SUMIF('Species'!$G$2:$G$28,A5,'Species'!$U$2:$U$28)</x:f>
        <x:v>12550794.978045022</x:v>
      </x:c>
      <x:c r="J5" s="62" t="n">
        <x:v>3.69546156453712</x:v>
      </x:c>
      <x:c r="K5" s="62" t="n">
        <x:f>IF(J5="","",(1/'Metadata'!$B$5)^(J5-1))</x:f>
        <x:v>3212.745675066116</x:v>
      </x:c>
      <x:c r="L5" s="60" t="n">
        <x:f>IF(E5=0,"",E5*K5)</x:f>
        <x:v>5505421.478870697</x:v>
      </x:c>
      <x:c r="M5" s="60" t="n">
        <x:f>I5-L5</x:f>
        <x:v>7045373.499174325</x:v>
      </x:c>
      <x:c r="N5" s="62" t="n">
        <x:f>IF(L5=0,"",I5/L5)</x:f>
        <x:v>2.279715554242999</x:v>
      </x:c>
      <x:c r="O5" s="66" t="n">
        <x:f>IF(L5=0,"",M5/L5)</x:f>
        <x:v>1.2797155542429988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9c51297708348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HS_081</x:v>
      </x:c>
      <x:c r="B2" s="46" t="str">
        <x:v>raw_filtered_tonnes</x:v>
      </x:c>
      <x:c r="C2" s="46" t="n">
        <x:v>45252.4668227171</x:v>
      </x:c>
      <x:c r="D2" s="46" t="str">
        <x:v>tonnes</x:v>
      </x:c>
    </x:row>
    <x:row r="3" ht="18" customHeight="1">
      <x:c r="A3" s="46" t="str">
        <x:v>HS_081</x:v>
      </x:c>
      <x:c r="B3" s="46" t="str">
        <x:v>species_catch_tonnes</x:v>
      </x:c>
      <x:c r="C3" s="46" t="n">
        <x:v>45252.466822717106</x:v>
      </x:c>
      <x:c r="D3" s="46" t="str">
        <x:v>tonnes</x:v>
      </x:c>
    </x:row>
    <x:row r="4" ht="18" customHeight="1">
      <x:c r="A4" s="46" t="str">
        <x:v>HS_081</x:v>
      </x:c>
      <x:c r="B4" s="46" t="str">
        <x:v>catch_difference_tonnes</x:v>
      </x:c>
      <x:c r="C4" s="46" t="n">
        <x:v>7.275957614183426e-12</x:v>
      </x:c>
      <x:c r="D4" s="46" t="str">
        <x:v>tonnes</x:v>
      </x:c>
    </x:row>
    <x:row r="5" ht="18" customHeight="1">
      <x:c r="A5" s="46" t="str">
        <x:v>HS_081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HS_081</x:v>
      </x:c>
      <x:c r="B6" s="46" t="str">
        <x:v>matched_catch_tonnes</x:v>
      </x:c>
      <x:c r="C6" s="46" t="n">
        <x:v>45252.466822717106</x:v>
      </x:c>
      <x:c r="D6" s="46" t="str">
        <x:v>tonnes</x:v>
      </x:c>
    </x:row>
    <x:row r="7" ht="18" customHeight="1">
      <x:c r="A7" s="46" t="str">
        <x:v>HS_081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HS_081</x:v>
      </x:c>
      <x:c r="B8" s="46" t="str">
        <x:v>taxa_count</x:v>
      </x:c>
      <x:c r="C8" s="46" t="n">
        <x:v>27</x:v>
      </x:c>
      <x:c r="D8" s="46" t="str">
        <x:v>count</x:v>
      </x:c>
    </x:row>
    <x:row r="9" ht="18" customHeight="1">
      <x:c r="A9" s="46" t="str">
        <x:v>HS_081</x:v>
      </x:c>
      <x:c r="B9" s="46" t="str">
        <x:v>matched_taxa_count</x:v>
      </x:c>
      <x:c r="C9" s="46" t="n">
        <x:v>27</x:v>
      </x:c>
      <x:c r="D9" s="46" t="str">
        <x:v>count</x:v>
      </x:c>
    </x:row>
    <x:row r="10" ht="18" customHeight="1">
      <x:c r="A10" s="46" t="str">
        <x:v>HS_081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HS_081</x:v>
      </x:c>
      <x:c r="B11" s="46" t="str">
        <x:v>species_ppr</x:v>
      </x:c>
      <x:c r="C11" s="46" t="n">
        <x:v>934004716.0467415</x:v>
      </x:c>
      <x:c r="D11" s="46" t="str">
        <x:v>tonnes_primary_production_equivalent</x:v>
      </x:c>
    </x:row>
    <x:row r="12" ht="18" customHeight="1">
      <x:c r="A12" s="46" t="str">
        <x:v>HS_081</x:v>
      </x:c>
      <x:c r="B12" s="46" t="str">
        <x:v>commercial_ppr</x:v>
      </x:c>
      <x:c r="C12" s="46" t="n">
        <x:v>934004716.0467417</x:v>
      </x:c>
      <x:c r="D12" s="46" t="str">
        <x:v>tonnes_primary_production_equivalent</x:v>
      </x:c>
    </x:row>
    <x:row r="13" ht="18" customHeight="1">
      <x:c r="A13" s="46" t="str">
        <x:v>HS_081</x:v>
      </x:c>
      <x:c r="B13" s="46" t="str">
        <x:v>functional_ppr</x:v>
      </x:c>
      <x:c r="C13" s="46" t="n">
        <x:v>934004716.0467416</x:v>
      </x:c>
      <x:c r="D13" s="46" t="str">
        <x:v>tonnes_primary_production_equivalent</x:v>
      </x:c>
    </x:row>
    <x:row r="14" ht="18" customHeight="1">
      <x:c r="A14" s="46" t="str">
        <x:v>HS_081</x:v>
      </x:c>
      <x:c r="B14" s="46" t="str">
        <x:v>commercial_ppr_difference</x:v>
      </x:c>
      <x:c r="C14" s="46" t="n">
        <x:v>2.384185791015625e-7</x:v>
      </x:c>
      <x:c r="D14" s="46" t="str">
        <x:v>tonnes_primary_production_equivalent</x:v>
      </x:c>
    </x:row>
    <x:row r="15" ht="18" customHeight="1">
      <x:c r="A15" s="46" t="str">
        <x:v>HS_081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HS_081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HS_081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HS_081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HS_081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8f5c45c511f48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HS_081 - Pacific, Southwest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HS_081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raw_data/SAU_downloads/HS_081-catch.zip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