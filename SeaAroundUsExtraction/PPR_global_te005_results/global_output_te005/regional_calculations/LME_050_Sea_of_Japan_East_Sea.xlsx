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376c8421f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aef1fb0892244b8"/>
    <x:sheet xmlns:r="http://schemas.openxmlformats.org/officeDocument/2006/relationships" name="Commercial" sheetId="2" r:id="R21d5d87613d143ae"/>
    <x:sheet xmlns:r="http://schemas.openxmlformats.org/officeDocument/2006/relationships" name="Functional" sheetId="3" r:id="Rc89b4090460a4f5b"/>
    <x:sheet xmlns:r="http://schemas.openxmlformats.org/officeDocument/2006/relationships" name="Missing TL" sheetId="4" r:id="Rf049d78e26984169"/>
    <x:sheet xmlns:r="http://schemas.openxmlformats.org/officeDocument/2006/relationships" name="Validation" sheetId="5" r:id="R44469c85b53d4eb5"/>
    <x:sheet xmlns:r="http://schemas.openxmlformats.org/officeDocument/2006/relationships" name="Metadata" sheetId="6" r:id="Rf9b7a10f32de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1ab05d05d4d76" /><Relationship Type="http://schemas.openxmlformats.org/officeDocument/2006/relationships/theme" Target="/xl/theme/theme1.xml" Id="R2e5f0c3f1f3d4b71" /><Relationship Type="http://schemas.openxmlformats.org/officeDocument/2006/relationships/sharedStrings" Target="/xl/sharedStrings.xml" Id="R02410edaf9f14075" /><Relationship Type="http://schemas.openxmlformats.org/officeDocument/2006/relationships/worksheet" Target="/xl/worksheets/sheet1.xml" Id="Raaef1fb0892244b8" /><Relationship Type="http://schemas.openxmlformats.org/officeDocument/2006/relationships/worksheet" Target="/xl/worksheets/sheet2.xml" Id="R21d5d87613d143ae" /><Relationship Type="http://schemas.openxmlformats.org/officeDocument/2006/relationships/worksheet" Target="/xl/worksheets/sheet3.xml" Id="Rc89b4090460a4f5b" /><Relationship Type="http://schemas.openxmlformats.org/officeDocument/2006/relationships/worksheet" Target="/xl/worksheets/sheet4.xml" Id="Rf049d78e26984169" /><Relationship Type="http://schemas.openxmlformats.org/officeDocument/2006/relationships/worksheet" Target="/xl/worksheets/sheet5.xml" Id="R44469c85b53d4eb5" /><Relationship Type="http://schemas.openxmlformats.org/officeDocument/2006/relationships/worksheet" Target="/xl/worksheets/sheet6.xml" Id="Rf9b7a10f32de4b44" /></Relationships>
</file>

<file path=xl/tables/table1.xml><?xml version="1.0" encoding="utf-8"?>
<x:table xmlns:x="http://schemas.openxmlformats.org/spreadsheetml/2006/main" id="1" name="LME050SpeciesTable" displayName="LME050SpeciesTable" ref="A1:U219" headerRowCount="1" totalsRowCount="0" totalsRowShown="0">
  <x:autoFilter ref="A1:U21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0CommercialTable" displayName="LME050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0FunctionalTable" displayName="LME050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0ValidationTable" displayName="LME05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e28993337641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23dff52f6b4f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c2f0d74f6a49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1d12c0598747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LME_050</x:v>
      </x:c>
      <x:c r="B2" s="46" t="str">
        <x:v>Sea of Japan / East Sea</x:v>
      </x:c>
      <x:c r="C2" s="46" t="str">
        <x:v>LME</x:v>
      </x:c>
      <x:c r="D2" s="58" t="n">
        <x:v>2019</x:v>
      </x:c>
      <x:c r="E2" s="46" t="str">
        <x:v>Gadus chalcogrammus</x:v>
      </x:c>
      <x:c r="F2" s="46" t="str">
        <x:v>Alaska pollock</x:v>
      </x:c>
      <x:c r="G2" s="46" t="str">
        <x:v>Medium benthopelagics (30 - 89 cm)</x:v>
      </x:c>
      <x:c r="H2" s="46" t="str">
        <x:v>Cod-likes</x:v>
      </x:c>
      <x:c r="I2" s="60" t="n">
        <x:v>494220.4905551637</x:v>
      </x:c>
      <x:c r="J2" s="60" t="n">
        <x:v>358859.67901938787</x:v>
      </x:c>
      <x:c r="K2" s="60" t="n">
        <x:v>135360.81153577578</x:v>
      </x:c>
      <x:c r="L2" s="60" t="n">
        <x:v>300860.4509234035</x:v>
      </x:c>
      <x:c r="M2" s="60" t="n">
        <x:v>193360.03963176018</x:v>
      </x:c>
      <x:c r="N2" s="46" t="str">
        <x:v>gadus chalcogrammus</x:v>
      </x:c>
      <x:c r="O2" s="62" t="n">
        <x:v>3.57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Gadus chalcogrammus</x:v>
      </x:c>
      <x:c r="T2" s="62" t="n">
        <x:f>IF(O2="","",(1/'Metadata'!$B$5)^(O2-1))</x:f>
        <x:v>2206.2112196552644</x:v>
      </x:c>
      <x:c r="U2" s="60" t="n">
        <x:f>IF(T2="","",I2*T2)</x:f>
        <x:v>1090354791.2463307</x:v>
      </x:c>
    </x:row>
    <x:row r="3" ht="18" customHeight="1">
      <x:c r="A3" s="46" t="str">
        <x:v>LME_050</x:v>
      </x:c>
      <x:c r="B3" s="46" t="str">
        <x:v>Sea of Japan / East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315222.2702990738</x:v>
      </x:c>
      <x:c r="J3" s="60" t="n">
        <x:v>248935.9222348798</x:v>
      </x:c>
      <x:c r="K3" s="60" t="n">
        <x:v>66286.348064194</x:v>
      </x:c>
      <x:c r="L3" s="60" t="n">
        <x:v>229804.8127381764</x:v>
      </x:c>
      <x:c r="M3" s="60" t="n">
        <x:v>85417.4575608974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291719380.5609159</x:v>
      </x:c>
    </x:row>
    <x:row r="4" ht="18" customHeight="1">
      <x:c r="A4" s="46" t="str">
        <x:v>LME_050</x:v>
      </x:c>
      <x:c r="B4" s="46" t="str">
        <x:v>Sea of Japan / East Sea</x:v>
      </x:c>
      <x:c r="C4" s="46" t="str">
        <x:v>LME</x:v>
      </x:c>
      <x:c r="D4" s="58" t="n">
        <x:v>2019</x:v>
      </x:c>
      <x:c r="E4" s="46" t="str">
        <x:v>Sardinops sagax</x:v>
      </x:c>
      <x:c r="F4" s="46" t="str">
        <x:v>South American pilchard</x:v>
      </x:c>
      <x:c r="G4" s="46" t="str">
        <x:v>Medium pelagics (30 - 89 cm)</x:v>
      </x:c>
      <x:c r="H4" s="46" t="str">
        <x:v>Herring-likes</x:v>
      </x:c>
      <x:c r="I4" s="60" t="n">
        <x:v>221598.6315904782</x:v>
      </x:c>
      <x:c r="J4" s="60" t="n">
        <x:v>221442.0732995551</x:v>
      </x:c>
      <x:c r="K4" s="60" t="n">
        <x:v>156.5582909231</x:v>
      </x:c>
      <x:c r="L4" s="60" t="n">
        <x:v>220871.4095566346</x:v>
      </x:c>
      <x:c r="M4" s="60" t="n">
        <x:v>727.2220338436</x:v>
      </x:c>
      <x:c r="N4" s="46" t="str">
        <x:v>sardinops sagax</x:v>
      </x:c>
      <x:c r="O4" s="62" t="n">
        <x:v>2.84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Sardinops sagax</x:v>
      </x:c>
      <x:c r="T4" s="62" t="n">
        <x:f>IF(O4="","",(1/'Metadata'!$B$5)^(O4-1))</x:f>
        <x:v>247.68242552675557</x:v>
      </x:c>
      <x:c r="U4" s="60" t="n">
        <x:f>IF(T4="","",I4*T4)</x:f>
        <x:v>54886086.565739565</x:v>
      </x:c>
    </x:row>
    <x:row r="5" ht="18" customHeight="1">
      <x:c r="A5" s="46" t="str">
        <x:v>LME_050</x:v>
      </x:c>
      <x:c r="B5" s="46" t="str">
        <x:v>Sea of Japan / East Sea</x:v>
      </x:c>
      <x:c r="C5" s="46" t="str">
        <x:v>LME</x:v>
      </x:c>
      <x:c r="D5" s="58" t="n">
        <x:v>2019</x:v>
      </x:c>
      <x:c r="E5" s="46" t="str">
        <x:v>Engraulis japonicus</x:v>
      </x:c>
      <x:c r="F5" s="46" t="str">
        <x:v>Japanese anchovy</x:v>
      </x:c>
      <x:c r="G5" s="46" t="str">
        <x:v>Small pelagics (&lt;30 cm)</x:v>
      </x:c>
      <x:c r="H5" s="46" t="str">
        <x:v>Anchovies</x:v>
      </x:c>
      <x:c r="I5" s="60" t="n">
        <x:v>141623.3086635957</x:v>
      </x:c>
      <x:c r="J5" s="60" t="n">
        <x:v>136905.5196457465</x:v>
      </x:c>
      <x:c r="K5" s="60" t="n">
        <x:v>4717.7890178492</x:v>
      </x:c>
      <x:c r="L5" s="60" t="n">
        <x:v>136905.5196457465</x:v>
      </x:c>
      <x:c r="M5" s="60" t="n">
        <x:v>4717.7890178492</x:v>
      </x:c>
      <x:c r="N5" s="46" t="str">
        <x:v>engraulis japonicus</x:v>
      </x:c>
      <x:c r="O5" s="62" t="n">
        <x:v>3.14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Engraulis japonicus</x:v>
      </x:c>
      <x:c r="T5" s="62" t="n">
        <x:f>IF(O5="","",(1/'Metadata'!$B$5)^(O5-1))</x:f>
        <x:v>608.420993216597</x:v>
      </x:c>
      <x:c r="U5" s="60" t="n">
        <x:f>IF(T5="","",I5*T5)</x:f>
        <x:v>86166594.11972558</x:v>
      </x:c>
    </x:row>
    <x:row r="6" ht="18" customHeight="1">
      <x:c r="A6" s="46" t="str">
        <x:v>LME_050</x:v>
      </x:c>
      <x:c r="B6" s="46" t="str">
        <x:v>Sea of Japan / East Sea</x:v>
      </x:c>
      <x:c r="C6" s="46" t="str">
        <x:v>LME</x:v>
      </x:c>
      <x:c r="D6" s="58" t="n">
        <x:v>2019</x:v>
      </x:c>
      <x:c r="E6" s="46" t="str">
        <x:v>Clupea pallasii</x:v>
      </x:c>
      <x:c r="F6" s="46" t="str">
        <x:v>Pacific herring</x:v>
      </x:c>
      <x:c r="G6" s="46" t="str">
        <x:v>Medium pelagics (30 - 89 cm)</x:v>
      </x:c>
      <x:c r="H6" s="46" t="str">
        <x:v>Herring-likes</x:v>
      </x:c>
      <x:c r="I6" s="60" t="n">
        <x:v>109934.89478756029</x:v>
      </x:c>
      <x:c r="J6" s="60" t="n">
        <x:v>79557.5077873002</x:v>
      </x:c>
      <x:c r="K6" s="60" t="n">
        <x:v>30377.3870002601</x:v>
      </x:c>
      <x:c r="L6" s="60" t="n">
        <x:v>70761.2631297495</x:v>
      </x:c>
      <x:c r="M6" s="60" t="n">
        <x:v>39173.6316578108</x:v>
      </x:c>
      <x:c r="N6" s="46" t="str">
        <x:v>clupea pallasii</x:v>
      </x:c>
      <x:c r="O6" s="62" t="n">
        <x:v>3.16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Clupea pallasii</x:v>
      </x:c>
      <x:c r="T6" s="62" t="n">
        <x:f>IF(O6="","",(1/'Metadata'!$B$5)^(O6-1))</x:f>
        <x:v>645.9885058849935</x:v>
      </x:c>
      <x:c r="U6" s="60" t="n">
        <x:f>IF(T6="","",I6*T6)</x:f>
        <x:v>71016678.42844003</x:v>
      </x:c>
    </x:row>
    <x:row r="7" ht="18" customHeight="1">
      <x:c r="A7" s="46" t="str">
        <x:v>LME_050</x:v>
      </x:c>
      <x:c r="B7" s="46" t="str">
        <x:v>Sea of Japan / East Sea</x:v>
      </x:c>
      <x:c r="C7" s="46" t="str">
        <x:v>LME</x:v>
      </x:c>
      <x:c r="D7" s="58" t="n">
        <x:v>2019</x:v>
      </x:c>
      <x:c r="E7" s="46" t="str">
        <x:v>Scomber</x:v>
      </x:c>
      <x:c r="F7" s="46" t="str">
        <x:v>Chub mackerels</x:v>
      </x:c>
      <x:c r="G7" s="46" t="str">
        <x:v>Medium pelagics (30 - 89 cm)</x:v>
      </x:c>
      <x:c r="H7" s="46" t="str">
        <x:v>Perch-likes</x:v>
      </x:c>
      <x:c r="I7" s="60" t="n">
        <x:v>106955.51607130279</x:v>
      </x:c>
      <x:c r="J7" s="60" t="n">
        <x:v>105068.7674849994</x:v>
      </x:c>
      <x:c r="K7" s="60" t="n">
        <x:v>1886.7485863034</x:v>
      </x:c>
      <x:c r="L7" s="60" t="n">
        <x:v>101328.6051927955</x:v>
      </x:c>
      <x:c r="M7" s="60" t="n">
        <x:v>5626.9108785073</x:v>
      </x:c>
      <x:c r="N7" s="46" t="str">
        <x:v>scomber</x:v>
      </x:c>
      <x:c r="O7" s="62" t="n">
        <x:v>3.65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Scomber</x:v>
      </x:c>
      <x:c r="T7" s="62" t="n">
        <x:f>IF(O7="","",(1/'Metadata'!$B$5)^(O7-1))</x:f>
        <x:v>2803.6867455443476</x:v>
      </x:c>
      <x:c r="U7" s="60" t="n">
        <x:f>IF(T7="","",I7*T7)</x:f>
        <x:v>299869762.77196705</x:v>
      </x:c>
    </x:row>
    <x:row r="8" ht="18" customHeight="1">
      <x:c r="A8" s="46" t="str">
        <x:v>LME_050</x:v>
      </x:c>
      <x:c r="B8" s="46" t="str">
        <x:v>Sea of Japan / East Sea</x:v>
      </x:c>
      <x:c r="C8" s="46" t="str">
        <x:v>LME</x:v>
      </x:c>
      <x:c r="D8" s="58" t="n">
        <x:v>2019</x:v>
      </x:c>
      <x:c r="E8" s="46" t="str">
        <x:v>Scomber japonicus</x:v>
      </x:c>
      <x:c r="F8" s="46" t="str">
        <x:v>Pacific chub mackerel</x:v>
      </x:c>
      <x:c r="G8" s="46" t="str">
        <x:v>Medium pelagics (30 - 89 cm)</x:v>
      </x:c>
      <x:c r="H8" s="46" t="str">
        <x:v>Perch-likes</x:v>
      </x:c>
      <x:c r="I8" s="60" t="n">
        <x:v>90394.9538340235</x:v>
      </x:c>
      <x:c r="J8" s="60" t="n">
        <x:v>90394.9538340235</x:v>
      </x:c>
      <x:c r="K8" s="60" t="n">
        <x:v>0</x:v>
      </x:c>
      <x:c r="L8" s="60" t="n">
        <x:v>89397.7245451196</x:v>
      </x:c>
      <x:c r="M8" s="60" t="n">
        <x:v>997.2292889038999</x:v>
      </x:c>
      <x:c r="N8" s="46" t="str">
        <x:v>scomber japonicus</x:v>
      </x:c>
      <x:c r="O8" s="62" t="n">
        <x:v>3.38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Scomber japonicus</x:v>
      </x:c>
      <x:c r="T8" s="62" t="n">
        <x:f>IF(O8="","",(1/'Metadata'!$B$5)^(O8-1))</x:f>
        <x:v>1248.6806726928048</x:v>
      </x:c>
      <x:c r="U8" s="60" t="n">
        <x:f>IF(T8="","",I8*T8)</x:f>
        <x:v>112874431.7615035</x:v>
      </x:c>
    </x:row>
    <x:row r="9" ht="18" customHeight="1">
      <x:c r="A9" s="46" t="str">
        <x:v>LME_050</x:v>
      </x:c>
      <x:c r="B9" s="46" t="str">
        <x:v>Sea of Japan / East Sea</x:v>
      </x:c>
      <x:c r="C9" s="46" t="str">
        <x:v>LME</x:v>
      </x:c>
      <x:c r="D9" s="58" t="n">
        <x:v>2019</x:v>
      </x:c>
      <x:c r="E9" s="46" t="str">
        <x:v>Pectinidae</x:v>
      </x:c>
      <x:c r="F9" s="46" t="str">
        <x:v>Scallops</x:v>
      </x:c>
      <x:c r="G9" s="46" t="str">
        <x:v>Other demersal invertebrates</x:v>
      </x:c>
      <x:c r="H9" s="46" t="str">
        <x:v>Molluscs</x:v>
      </x:c>
      <x:c r="I9" s="60" t="n">
        <x:v>86406.0653674449</x:v>
      </x:c>
      <x:c r="J9" s="60" t="n">
        <x:v>67244.3075262482</x:v>
      </x:c>
      <x:c r="K9" s="60" t="n">
        <x:v>19161.7578411967</x:v>
      </x:c>
      <x:c r="L9" s="60" t="n">
        <x:v>67244.3075262482</x:v>
      </x:c>
      <x:c r="M9" s="60" t="n">
        <x:v>19161.7578411967</x:v>
      </x:c>
      <x:c r="N9" s="46" t="str">
        <x:v>pectinidae</x:v>
      </x:c>
      <x:c r="O9" s="62" t="n">
        <x:v>2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Pectinidae</x:v>
      </x:c>
      <x:c r="T9" s="62" t="n">
        <x:f>IF(O9="","",(1/'Metadata'!$B$5)^(O9-1))</x:f>
        <x:v>20</x:v>
      </x:c>
      <x:c r="U9" s="60" t="n">
        <x:f>IF(T9="","",I9*T9)</x:f>
        <x:v>1728121.307348898</x:v>
      </x:c>
    </x:row>
    <x:row r="10" ht="18" customHeight="1">
      <x:c r="A10" s="46" t="str">
        <x:v>LME_050</x:v>
      </x:c>
      <x:c r="B10" s="46" t="str">
        <x:v>Sea of Japan / East Sea</x:v>
      </x:c>
      <x:c r="C10" s="46" t="str">
        <x:v>LME</x:v>
      </x:c>
      <x:c r="D10" s="58" t="n">
        <x:v>2019</x:v>
      </x:c>
      <x:c r="E10" s="46" t="str">
        <x:v>Todarodes pacificus</x:v>
      </x:c>
      <x:c r="F10" s="46" t="str">
        <x:v>Japanese flying squid</x:v>
      </x:c>
      <x:c r="G10" s="46" t="str">
        <x:v>Cephalopods</x:v>
      </x:c>
      <x:c r="H10" s="46" t="str">
        <x:v>Other fishes &amp; inverts</x:v>
      </x:c>
      <x:c r="I10" s="60" t="n">
        <x:v>84895.0788099301</x:v>
      </x:c>
      <x:c r="J10" s="60" t="n">
        <x:v>83327.78639407319</x:v>
      </x:c>
      <x:c r="K10" s="60" t="n">
        <x:v>1567.2924158568999</x:v>
      </x:c>
      <x:c r="L10" s="60" t="n">
        <x:v>81883.6632567998</x:v>
      </x:c>
      <x:c r="M10" s="60" t="n">
        <x:v>3011.4155531303</x:v>
      </x:c>
      <x:c r="N10" s="46" t="str">
        <x:v>todarodes pacificus</x:v>
      </x:c>
      <x:c r="O10" s="62" t="n">
        <x:v>4.28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Todarodes pacificus</x:v>
      </x:c>
      <x:c r="T10" s="62" t="n">
        <x:f>IF(O10="","",(1/'Metadata'!$B$5)^(O10-1))</x:f>
        <x:v>18508.805249333516</x:v>
      </x:c>
      <x:c r="U10" s="60" t="n">
        <x:f>IF(T10="","",I10*T10)</x:f>
        <x:v>1571306480.3198168</x:v>
      </x:c>
    </x:row>
    <x:row r="11" ht="18" customHeight="1">
      <x:c r="A11" s="46" t="str">
        <x:v>LME_050</x:v>
      </x:c>
      <x:c r="B11" s="46" t="str">
        <x:v>Sea of Japan / East Sea</x:v>
      </x:c>
      <x:c r="C11" s="46" t="str">
        <x:v>LME</x:v>
      </x:c>
      <x:c r="D11" s="58" t="n">
        <x:v>2019</x:v>
      </x:c>
      <x:c r="E11" s="46" t="str">
        <x:v>Gadus macrocephalus</x:v>
      </x:c>
      <x:c r="F11" s="46" t="str">
        <x:v>Pacific cod</x:v>
      </x:c>
      <x:c r="G11" s="46" t="str">
        <x:v>Large demersals (&gt;=90 cm)</x:v>
      </x:c>
      <x:c r="H11" s="46" t="str">
        <x:v>Cod-likes</x:v>
      </x:c>
      <x:c r="I11" s="60" t="n">
        <x:v>80661.5096595448</x:v>
      </x:c>
      <x:c r="J11" s="60" t="n">
        <x:v>66546.6026111249</x:v>
      </x:c>
      <x:c r="K11" s="60" t="n">
        <x:v>14114.9070484199</x:v>
      </x:c>
      <x:c r="L11" s="60" t="n">
        <x:v>59986.6559827471</x:v>
      </x:c>
      <x:c r="M11" s="60" t="n">
        <x:v>20674.8536767977</x:v>
      </x:c>
      <x:c r="N11" s="46" t="str">
        <x:v>gadus macrocephalus</x:v>
      </x:c>
      <x:c r="O11" s="62" t="n">
        <x:v>4.16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Gadus macrocephalus</x:v>
      </x:c>
      <x:c r="T11" s="62" t="n">
        <x:f>IF(O11="","",(1/'Metadata'!$B$5)^(O11-1))</x:f>
        <x:v>12919.77011769987</x:v>
      </x:c>
      <x:c r="U11" s="60" t="n">
        <x:f>IF(T11="","",I11*T11)</x:f>
        <x:v>1042128162.1479464</x:v>
      </x:c>
    </x:row>
    <x:row r="12" ht="18" customHeight="1">
      <x:c r="A12" s="46" t="str">
        <x:v>LME_050</x:v>
      </x:c>
      <x:c r="B12" s="46" t="str">
        <x:v>Sea of Japan / East Sea</x:v>
      </x:c>
      <x:c r="C12" s="46" t="str">
        <x:v>LME</x:v>
      </x:c>
      <x:c r="D12" s="58" t="n">
        <x:v>2019</x:v>
      </x:c>
      <x:c r="E12" s="46" t="str">
        <x:v>Trachurus japonicus</x:v>
      </x:c>
      <x:c r="F12" s="46" t="str">
        <x:v>Japanese jack mackerel</x:v>
      </x:c>
      <x:c r="G12" s="46" t="str">
        <x:v>Medium demersals (30 - 89 cm)</x:v>
      </x:c>
      <x:c r="H12" s="46" t="str">
        <x:v>Perch-likes</x:v>
      </x:c>
      <x:c r="I12" s="60" t="n">
        <x:v>68396.8661169385</x:v>
      </x:c>
      <x:c r="J12" s="60" t="n">
        <x:v>67773.1746327777</x:v>
      </x:c>
      <x:c r="K12" s="60" t="n">
        <x:v>623.6914841608</x:v>
      </x:c>
      <x:c r="L12" s="60" t="n">
        <x:v>66758.5099477401</x:v>
      </x:c>
      <x:c r="M12" s="60" t="n">
        <x:v>1638.3561691984</x:v>
      </x:c>
      <x:c r="N12" s="46" t="str">
        <x:v>trachurus japonicus</x:v>
      </x:c>
      <x:c r="O12" s="62" t="n">
        <x:v>3.4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Trachurus japonicus</x:v>
      </x:c>
      <x:c r="T12" s="62" t="n">
        <x:f>IF(O12="","",(1/'Metadata'!$B$5)^(O12-1))</x:f>
        <x:v>1325.7816069359944</x:v>
      </x:c>
      <x:c r="U12" s="60" t="n">
        <x:f>IF(T12="","",I12*T12)</x:f>
        <x:v>90679307.0699008</x:v>
      </x:c>
    </x:row>
    <x:row r="13" ht="18" customHeight="1">
      <x:c r="A13" s="46" t="str">
        <x:v>LME_050</x:v>
      </x:c>
      <x:c r="B13" s="46" t="str">
        <x:v>Sea of Japan / East Sea</x:v>
      </x:c>
      <x:c r="C13" s="46" t="str">
        <x:v>LME</x:v>
      </x:c>
      <x:c r="D13" s="58" t="n">
        <x:v>2019</x:v>
      </x:c>
      <x:c r="E13" s="46" t="str">
        <x:v>Cololabis saira</x:v>
      </x:c>
      <x:c r="F13" s="46" t="str">
        <x:v>Pacific saury</x:v>
      </x:c>
      <x:c r="G13" s="46" t="str">
        <x:v>Medium pelagics (30 - 89 cm)</x:v>
      </x:c>
      <x:c r="H13" s="46" t="str">
        <x:v>Other fishes &amp; inverts</x:v>
      </x:c>
      <x:c r="I13" s="60" t="n">
        <x:v>62418.9545178205</x:v>
      </x:c>
      <x:c r="J13" s="60" t="n">
        <x:v>60406.2952770271</x:v>
      </x:c>
      <x:c r="K13" s="60" t="n">
        <x:v>2012.6592407934</x:v>
      </x:c>
      <x:c r="L13" s="60" t="n">
        <x:v>53167.591934153505</x:v>
      </x:c>
      <x:c r="M13" s="60" t="n">
        <x:v>9251.362583667</x:v>
      </x:c>
      <x:c r="N13" s="46" t="str">
        <x:v>cololabis saira</x:v>
      </x:c>
      <x:c r="O13" s="62" t="n">
        <x:v>3.71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Cololabis saira</x:v>
      </x:c>
      <x:c r="T13" s="62" t="n">
        <x:f>IF(O13="","",(1/'Metadata'!$B$5)^(O13-1))</x:f>
        <x:v>3355.7630537706395</x:v>
      </x:c>
      <x:c r="U13" s="60" t="n">
        <x:f>IF(T13="","",I13*T13)</x:f>
        <x:v>209463221.425892</x:v>
      </x:c>
    </x:row>
    <x:row r="14" ht="18" customHeight="1">
      <x:c r="A14" s="46" t="str">
        <x:v>LME_050</x:v>
      </x:c>
      <x:c r="B14" s="46" t="str">
        <x:v>Sea of Japan / East Sea</x:v>
      </x:c>
      <x:c r="C14" s="46" t="str">
        <x:v>LME</x:v>
      </x:c>
      <x:c r="D14" s="58" t="n">
        <x:v>2019</x:v>
      </x:c>
      <x:c r="E14" s="46" t="str">
        <x:v>Oncorhynchus gorbuscha</x:v>
      </x:c>
      <x:c r="F14" s="46" t="str">
        <x:v>Pink salmon</x:v>
      </x:c>
      <x:c r="G14" s="46" t="str">
        <x:v>Medium demersals (30 - 89 cm)</x:v>
      </x:c>
      <x:c r="H14" s="46" t="str">
        <x:v>Salmon, smelts, etc</x:v>
      </x:c>
      <x:c r="I14" s="60" t="n">
        <x:v>61706.290828763</x:v>
      </x:c>
      <x:c r="J14" s="60" t="n">
        <x:v>56553.7343653846</x:v>
      </x:c>
      <x:c r="K14" s="60" t="n">
        <x:v>5152.5564633784</x:v>
      </x:c>
      <x:c r="L14" s="60" t="n">
        <x:v>38731.5649838077</x:v>
      </x:c>
      <x:c r="M14" s="60" t="n">
        <x:v>22974.7258449553</x:v>
      </x:c>
      <x:c r="N14" s="46" t="str">
        <x:v>oncorhynchus gorbuscha</x:v>
      </x:c>
      <x:c r="O14" s="62" t="n">
        <x:v>4.49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Oncorhynchus gorbuscha</x:v>
      </x:c>
      <x:c r="T14" s="62" t="n">
        <x:f>IF(O14="","",(1/'Metadata'!$B$5)^(O14-1))</x:f>
        <x:v>34721.19667768202</x:v>
      </x:c>
      <x:c r="U14" s="60" t="n">
        <x:f>IF(T14="","",I14*T14)</x:f>
        <x:v>2142516260.1157262</x:v>
      </x:c>
    </x:row>
    <x:row r="15" ht="18" customHeight="1">
      <x:c r="A15" s="46" t="str">
        <x:v>LME_050</x:v>
      </x:c>
      <x:c r="B15" s="46" t="str">
        <x:v>Sea of Japan / East Sea</x:v>
      </x:c>
      <x:c r="C15" s="46" t="str">
        <x:v>LME</x:v>
      </x:c>
      <x:c r="D15" s="58" t="n">
        <x:v>2019</x:v>
      </x:c>
      <x:c r="E15" s="46" t="str">
        <x:v>Ammodytes personatus</x:v>
      </x:c>
      <x:c r="F15" s="46" t="str">
        <x:v>Pacific sandlance</x:v>
      </x:c>
      <x:c r="G15" s="46" t="str">
        <x:v>Small demersals (&lt;30 cm)</x:v>
      </x:c>
      <x:c r="H15" s="46" t="str">
        <x:v>Perch-likes</x:v>
      </x:c>
      <x:c r="I15" s="60" t="n">
        <x:v>42702.9252129879</x:v>
      </x:c>
      <x:c r="J15" s="60" t="n">
        <x:v>39634.9683043825</x:v>
      </x:c>
      <x:c r="K15" s="60" t="n">
        <x:v>3067.9569086054</x:v>
      </x:c>
      <x:c r="L15" s="60" t="n">
        <x:v>39634.9683043825</x:v>
      </x:c>
      <x:c r="M15" s="60" t="n">
        <x:v>3067.9569086054</x:v>
      </x:c>
      <x:c r="N15" s="46" t="str">
        <x:v>ammodytes personatus</x:v>
      </x:c>
      <x:c r="O15" s="62" t="n">
        <x:v>3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Ammodytes personatus</x:v>
      </x:c>
      <x:c r="T15" s="62" t="n">
        <x:f>IF(O15="","",(1/'Metadata'!$B$5)^(O15-1))</x:f>
        <x:v>400</x:v>
      </x:c>
      <x:c r="U15" s="60" t="n">
        <x:f>IF(T15="","",I15*T15)</x:f>
        <x:v>17081170.08519516</x:v>
      </x:c>
    </x:row>
    <x:row r="16" ht="18" customHeight="1">
      <x:c r="A16" s="46" t="str">
        <x:v>LME_050</x:v>
      </x:c>
      <x:c r="B16" s="46" t="str">
        <x:v>Sea of Japan / East Sea</x:v>
      </x:c>
      <x:c r="C16" s="46" t="str">
        <x:v>LME</x:v>
      </x:c>
      <x:c r="D16" s="58" t="n">
        <x:v>2019</x:v>
      </x:c>
      <x:c r="E16" s="46" t="str">
        <x:v>Oncorhynchus</x:v>
      </x:c>
      <x:c r="F16" s="46" t="str">
        <x:v>Salmons, trouts</x:v>
      </x:c>
      <x:c r="G16" s="46" t="str">
        <x:v>Large benthopelagics (&gt;=90 cm)</x:v>
      </x:c>
      <x:c r="H16" s="46" t="str">
        <x:v>Salmon, smelts, etc</x:v>
      </x:c>
      <x:c r="I16" s="60" t="n">
        <x:v>41708.8923983424</x:v>
      </x:c>
      <x:c r="J16" s="60" t="n">
        <x:v>33511.565897884204</x:v>
      </x:c>
      <x:c r="K16" s="60" t="n">
        <x:v>8197.3265004582</x:v>
      </x:c>
      <x:c r="L16" s="60" t="n">
        <x:v>28718.9399391794</x:v>
      </x:c>
      <x:c r="M16" s="60" t="n">
        <x:v>12989.952459163</x:v>
      </x:c>
      <x:c r="N16" s="46" t="str">
        <x:v>oncorhynchus</x:v>
      </x:c>
      <x:c r="O16" s="62" t="n">
        <x:v>3.95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Oncorhynchus</x:v>
      </x:c>
      <x:c r="T16" s="62" t="n">
        <x:f>IF(O16="","",(1/'Metadata'!$B$5)^(O16-1))</x:f>
        <x:v>6887.133274653882</x:v>
      </x:c>
      <x:c r="U16" s="60" t="n">
        <x:f>IF(T16="","",I16*T16)</x:f>
        <x:v>287254700.68558234</x:v>
      </x:c>
    </x:row>
    <x:row r="17" ht="18" customHeight="1">
      <x:c r="A17" s="46" t="str">
        <x:v>LME_050</x:v>
      </x:c>
      <x:c r="B17" s="46" t="str">
        <x:v>Sea of Japan / East Sea</x:v>
      </x:c>
      <x:c r="C17" s="46" t="str">
        <x:v>LME</x:v>
      </x:c>
      <x:c r="D17" s="58" t="n">
        <x:v>2019</x:v>
      </x:c>
      <x:c r="E17" s="46" t="str">
        <x:v>Oncorhynchus keta</x:v>
      </x:c>
      <x:c r="F17" s="46" t="str">
        <x:v>Chum salmon</x:v>
      </x:c>
      <x:c r="G17" s="46" t="str">
        <x:v>Large benthopelagics (&gt;=90 cm)</x:v>
      </x:c>
      <x:c r="H17" s="46" t="str">
        <x:v>Salmon, smelts, etc</x:v>
      </x:c>
      <x:c r="I17" s="60" t="n">
        <x:v>41547.1738522998</x:v>
      </x:c>
      <x:c r="J17" s="60" t="n">
        <x:v>41547.1738522998</x:v>
      </x:c>
      <x:c r="K17" s="60" t="n">
        <x:v>0</x:v>
      </x:c>
      <x:c r="L17" s="60" t="n">
        <x:v>14068.4959549891</x:v>
      </x:c>
      <x:c r="M17" s="60" t="n">
        <x:v>27478.677897310703</x:v>
      </x:c>
      <x:c r="N17" s="46" t="str">
        <x:v>oncorhynchus keta</x:v>
      </x:c>
      <x:c r="O17" s="62" t="n">
        <x:v>3.74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Oncorhynchus keta</x:v>
      </x:c>
      <x:c r="T17" s="62" t="n">
        <x:f>IF(O17="","",(1/'Metadata'!$B$5)^(O17-1))</x:f>
        <x:v>3671.3195599248957</x:v>
      </x:c>
      <x:c r="U17" s="60" t="n">
        <x:f>IF(T17="","",I17*T17)</x:f>
        <x:v>152532952.02354842</x:v>
      </x:c>
    </x:row>
    <x:row r="18" ht="18" customHeight="1">
      <x:c r="A18" s="46" t="str">
        <x:v>LME_050</x:v>
      </x:c>
      <x:c r="B18" s="46" t="str">
        <x:v>Sea of Japan / East Sea</x:v>
      </x:c>
      <x:c r="C18" s="46" t="str">
        <x:v>LME</x:v>
      </x:c>
      <x:c r="D18" s="58" t="n">
        <x:v>2019</x:v>
      </x:c>
      <x:c r="E18" s="46" t="str">
        <x:v>Teuthida</x:v>
      </x:c>
      <x:c r="F18" s="46" t="str">
        <x:v>Squids</x:v>
      </x:c>
      <x:c r="G18" s="46" t="str">
        <x:v>Cephalopods</x:v>
      </x:c>
      <x:c r="H18" s="46" t="str">
        <x:v>Other fishes &amp; inverts</x:v>
      </x:c>
      <x:c r="I18" s="60" t="n">
        <x:v>32808.8370671766</x:v>
      </x:c>
      <x:c r="J18" s="60" t="n">
        <x:v>32808.8370671766</x:v>
      </x:c>
      <x:c r="K18" s="60" t="n">
        <x:v>0</x:v>
      </x:c>
      <x:c r="L18" s="60" t="n">
        <x:v>29508.8808166711</x:v>
      </x:c>
      <x:c r="M18" s="60" t="n">
        <x:v>3299.9562505055</x:v>
      </x:c>
      <x:c r="N18" s="46" t="str">
        <x:v>teuthida</x:v>
      </x:c>
      <x:c r="O18" s="62" t="n">
        <x:v>4.13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Teuthida</x:v>
      </x:c>
      <x:c r="T18" s="62" t="n">
        <x:f>IF(O18="","",(1/'Metadata'!$B$5)^(O18-1))</x:f>
        <x:v>11809.292685236613</x:v>
      </x:c>
      <x:c r="U18" s="60" t="n">
        <x:f>IF(T18="","",I18*T18)</x:f>
        <x:v>387449159.5885285</x:v>
      </x:c>
    </x:row>
    <x:row r="19" ht="18" customHeight="1">
      <x:c r="A19" s="46" t="str">
        <x:v>LME_050</x:v>
      </x:c>
      <x:c r="B19" s="46" t="str">
        <x:v>Sea of Japan / East Sea</x:v>
      </x:c>
      <x:c r="C19" s="46" t="str">
        <x:v>LME</x:v>
      </x:c>
      <x:c r="D19" s="58" t="n">
        <x:v>2019</x:v>
      </x:c>
      <x:c r="E19" s="46" t="str">
        <x:v>Miscellaneous marine crustaceans</x:v>
      </x:c>
      <x:c r="F19" s="46" t="str">
        <x:v>Marine crabs, shrimps, lobsters nei</x:v>
      </x:c>
      <x:c r="G19" s="46" t="str">
        <x:v>Shrimps</x:v>
      </x:c>
      <x:c r="H19" s="46" t="str">
        <x:v>Crustaceans</x:v>
      </x:c>
      <x:c r="I19" s="60" t="n">
        <x:v>32426.4391987733</x:v>
      </x:c>
      <x:c r="J19" s="60" t="n">
        <x:v>32031.9581177501</x:v>
      </x:c>
      <x:c r="K19" s="60" t="n">
        <x:v>394.4810810232</x:v>
      </x:c>
      <x:c r="L19" s="60" t="n">
        <x:v>30510.2066259713</x:v>
      </x:c>
      <x:c r="M19" s="60" t="n">
        <x:v>1916.232572802</x:v>
      </x:c>
      <x:c r="N19" s="46" t="str">
        <x:v>miscellaneous marine crustaceans</x:v>
      </x:c>
      <x:c r="O19" s="62" t="n">
        <x:v>2.7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Miscellaneous marine crustaceans</x:v>
      </x:c>
      <x:c r="T19" s="62" t="n">
        <x:f>IF(O19="","",(1/'Metadata'!$B$5)^(O19-1))</x:f>
        <x:v>162.83621261476185</x:v>
      </x:c>
      <x:c r="U19" s="60" t="n">
        <x:f>IF(T19="","",I19*T19)</x:f>
        <x:v>5280198.547711097</x:v>
      </x:c>
    </x:row>
    <x:row r="20" ht="18" customHeight="1">
      <x:c r="A20" s="46" t="str">
        <x:v>LME_050</x:v>
      </x:c>
      <x:c r="B20" s="46" t="str">
        <x:v>Sea of Japan / East Sea</x:v>
      </x:c>
      <x:c r="C20" s="46" t="str">
        <x:v>LME</x:v>
      </x:c>
      <x:c r="D20" s="58" t="n">
        <x:v>2019</x:v>
      </x:c>
      <x:c r="E20" s="46" t="str">
        <x:v>Seriola</x:v>
      </x:c>
      <x:c r="F20" s="46" t="str">
        <x:v>Amberjacks</x:v>
      </x:c>
      <x:c r="G20" s="46" t="str">
        <x:v>Large benthopelagics (&gt;=90 cm)</x:v>
      </x:c>
      <x:c r="H20" s="46" t="str">
        <x:v>Perch-likes</x:v>
      </x:c>
      <x:c r="I20" s="60" t="n">
        <x:v>26397.1039445848</x:v>
      </x:c>
      <x:c r="J20" s="60" t="n">
        <x:v>25403.6440126017</x:v>
      </x:c>
      <x:c r="K20" s="60" t="n">
        <x:v>993.4599319831</x:v>
      </x:c>
      <x:c r="L20" s="60" t="n">
        <x:v>24114.5631724053</x:v>
      </x:c>
      <x:c r="M20" s="60" t="n">
        <x:v>2282.5407721795</x:v>
      </x:c>
      <x:c r="N20" s="46" t="str">
        <x:v>seriola</x:v>
      </x:c>
      <x:c r="O20" s="62" t="n">
        <x:v>4.39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Seriola</x:v>
      </x:c>
      <x:c r="T20" s="62" t="n">
        <x:f>IF(O20="","",(1/'Metadata'!$B$5)^(O20-1))</x:f>
        <x:v>25733.07497204781</x:v>
      </x:c>
      <x:c r="U20" s="60" t="n">
        <x:f>IF(T20="","",I20*T20)</x:f>
        <x:v>679278654.8509396</x:v>
      </x:c>
    </x:row>
    <x:row r="21" ht="18" customHeight="1">
      <x:c r="A21" s="46" t="str">
        <x:v>LME_050</x:v>
      </x:c>
      <x:c r="B21" s="46" t="str">
        <x:v>Sea of Japan / East Sea</x:v>
      </x:c>
      <x:c r="C21" s="46" t="str">
        <x:v>LME</x:v>
      </x:c>
      <x:c r="D21" s="58" t="n">
        <x:v>2019</x:v>
      </x:c>
      <x:c r="E21" s="46" t="str">
        <x:v>Katsuwonus pelamis</x:v>
      </x:c>
      <x:c r="F21" s="46" t="str">
        <x:v>Skipjack tuna</x:v>
      </x:c>
      <x:c r="G21" s="46" t="str">
        <x:v>Large pelagics (&gt;=90 cm)</x:v>
      </x:c>
      <x:c r="H21" s="46" t="str">
        <x:v>Tuna &amp; billfishes</x:v>
      </x:c>
      <x:c r="I21" s="60" t="n">
        <x:v>25840.2788194393</x:v>
      </x:c>
      <x:c r="J21" s="60" t="n">
        <x:v>25831.6351700912</x:v>
      </x:c>
      <x:c r="K21" s="60" t="n">
        <x:v>8.6436493481</x:v>
      </x:c>
      <x:c r="L21" s="60" t="n">
        <x:v>25592.464701144498</x:v>
      </x:c>
      <x:c r="M21" s="60" t="n">
        <x:v>247.81411829479998</x:v>
      </x:c>
      <x:c r="N21" s="46" t="str">
        <x:v>katsuwonus pelamis</x:v>
      </x:c>
      <x:c r="O21" s="62" t="n">
        <x:v>4.43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Katsuwonus pelamis</x:v>
      </x:c>
      <x:c r="T21" s="62" t="n">
        <x:f>IF(O21="","",(1/'Metadata'!$B$5)^(O21-1))</x:f>
        <x:v>29009.008489223597</x:v>
      </x:c>
      <x:c r="U21" s="60" t="n">
        <x:f>IF(T21="","",I21*T21)</x:f>
        <x:v>749600867.6370194</x:v>
      </x:c>
    </x:row>
    <x:row r="22" ht="18" customHeight="1">
      <x:c r="A22" s="46" t="str">
        <x:v>LME_050</x:v>
      </x:c>
      <x:c r="B22" s="46" t="str">
        <x:v>Sea of Japan / East Sea</x:v>
      </x:c>
      <x:c r="C22" s="46" t="str">
        <x:v>LME</x:v>
      </x:c>
      <x:c r="D22" s="58" t="n">
        <x:v>2019</x:v>
      </x:c>
      <x:c r="E22" s="46" t="str">
        <x:v>Trichiurus lepturus</x:v>
      </x:c>
      <x:c r="F22" s="46" t="str">
        <x:v>Largehead hairtail</x:v>
      </x:c>
      <x:c r="G22" s="46" t="str">
        <x:v>Large benthopelagics (&gt;=90 cm)</x:v>
      </x:c>
      <x:c r="H22" s="46" t="str">
        <x:v>Perch-likes</x:v>
      </x:c>
      <x:c r="I22" s="60" t="n">
        <x:v>24222.4239412593</x:v>
      </x:c>
      <x:c r="J22" s="60" t="n">
        <x:v>24099.473774393802</x:v>
      </x:c>
      <x:c r="K22" s="60" t="n">
        <x:v>122.9501668655</x:v>
      </x:c>
      <x:c r="L22" s="60" t="n">
        <x:v>23866.391579021103</x:v>
      </x:c>
      <x:c r="M22" s="60" t="n">
        <x:v>356.0323622382</x:v>
      </x:c>
      <x:c r="N22" s="46" t="str">
        <x:v>trichiurus lepturus</x:v>
      </x:c>
      <x:c r="O22" s="62" t="n">
        <x:v>4.42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Trichiurus lepturus</x:v>
      </x:c>
      <x:c r="T22" s="62" t="n">
        <x:f>IF(O22="","",(1/'Metadata'!$B$5)^(O22-1))</x:f>
        <x:v>28152.864182630117</x:v>
      </x:c>
      <x:c r="U22" s="60" t="n">
        <x:f>IF(T22="","",I22*T22)</x:f>
        <x:v>681930611.3923613</x:v>
      </x:c>
    </x:row>
    <x:row r="23" ht="18" customHeight="1">
      <x:c r="A23" s="46" t="str">
        <x:v>LME_050</x:v>
      </x:c>
      <x:c r="B23" s="46" t="str">
        <x:v>Sea of Japan / East Sea</x:v>
      </x:c>
      <x:c r="C23" s="46" t="str">
        <x:v>LME</x:v>
      </x:c>
      <x:c r="D23" s="58" t="n">
        <x:v>2019</x:v>
      </x:c>
      <x:c r="E23" s="46" t="str">
        <x:v>Portunus trituberculatus</x:v>
      </x:c>
      <x:c r="F23" s="46" t="str">
        <x:v>Gazami crab</x:v>
      </x:c>
      <x:c r="G23" s="46" t="str">
        <x:v>Lobsters, crabs</x:v>
      </x:c>
      <x:c r="H23" s="46" t="str">
        <x:v>Crustaceans</x:v>
      </x:c>
      <x:c r="I23" s="60" t="n">
        <x:v>20470.2143577372</x:v>
      </x:c>
      <x:c r="J23" s="60" t="n">
        <x:v>20200.8143853398</x:v>
      </x:c>
      <x:c r="K23" s="60" t="n">
        <x:v>269.3999723974</x:v>
      </x:c>
      <x:c r="L23" s="60" t="n">
        <x:v>20200.8143853398</x:v>
      </x:c>
      <x:c r="M23" s="60" t="n">
        <x:v>269.3999723974</x:v>
      </x:c>
      <x:c r="N23" s="46" t="str">
        <x:v>portunus trituberculatus</x:v>
      </x:c>
      <x:c r="O23" s="62" t="n">
        <x:v>3.73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Portunus trituberculatus</x:v>
      </x:c>
      <x:c r="T23" s="62" t="n">
        <x:f>IF(O23="","",(1/'Metadata'!$B$5)^(O23-1))</x:f>
        <x:v>3562.967723629534</x:v>
      </x:c>
      <x:c r="U23" s="60" t="n">
        <x:f>IF(T23="","",I23*T23)</x:f>
        <x:v>72934713.05239551</x:v>
      </x:c>
    </x:row>
    <x:row r="24" ht="18" customHeight="1">
      <x:c r="A24" s="46" t="str">
        <x:v>LME_050</x:v>
      </x:c>
      <x:c r="B24" s="46" t="str">
        <x:v>Sea of Japan / East Sea</x:v>
      </x:c>
      <x:c r="C24" s="46" t="str">
        <x:v>LME</x:v>
      </x:c>
      <x:c r="D24" s="58" t="n">
        <x:v>2019</x:v>
      </x:c>
      <x:c r="E24" s="46" t="str">
        <x:v>Pleurogrammus azonus</x:v>
      </x:c>
      <x:c r="F24" s="46" t="str">
        <x:v>Okhotsk atka mackerel</x:v>
      </x:c>
      <x:c r="G24" s="46" t="str">
        <x:v>Medium demersals (30 - 89 cm)</x:v>
      </x:c>
      <x:c r="H24" s="46" t="str">
        <x:v>Scorpionfishes</x:v>
      </x:c>
      <x:c r="I24" s="60" t="n">
        <x:v>19822.27323012</x:v>
      </x:c>
      <x:c r="J24" s="60" t="n">
        <x:v>15143.9944060506</x:v>
      </x:c>
      <x:c r="K24" s="60" t="n">
        <x:v>4678.2788240694</x:v>
      </x:c>
      <x:c r="L24" s="60" t="n">
        <x:v>15143.9944060506</x:v>
      </x:c>
      <x:c r="M24" s="60" t="n">
        <x:v>4678.2788240694</x:v>
      </x:c>
      <x:c r="N24" s="46" t="str">
        <x:v>pleurogrammus azonus</x:v>
      </x:c>
      <x:c r="O24" s="62" t="n">
        <x:v>3.6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Pleurogrammus azonus</x:v>
      </x:c>
      <x:c r="T24" s="62" t="n">
        <x:f>IF(O24="","",(1/'Metadata'!$B$5)^(O24-1))</x:f>
        <x:v>2413.670534618066</x:v>
      </x:c>
      <x:c r="U24" s="60" t="n">
        <x:f>IF(T24="","",I24*T24)</x:f>
        <x:v>47844436.82468912</x:v>
      </x:c>
    </x:row>
    <x:row r="25" ht="18" customHeight="1">
      <x:c r="A25" s="46" t="str">
        <x:v>LME_050</x:v>
      </x:c>
      <x:c r="B25" s="46" t="str">
        <x:v>Sea of Japan / East Sea</x:v>
      </x:c>
      <x:c r="C25" s="46" t="str">
        <x:v>LME</x:v>
      </x:c>
      <x:c r="D25" s="58" t="n">
        <x:v>2019</x:v>
      </x:c>
      <x:c r="E25" s="46" t="str">
        <x:v>Pleuronectidae</x:v>
      </x:c>
      <x:c r="F25" s="46" t="str">
        <x:v>Righteye flounders</x:v>
      </x:c>
      <x:c r="G25" s="46" t="str">
        <x:v>Small to medium flatfishes (&lt;90 cm)</x:v>
      </x:c>
      <x:c r="H25" s="46" t="str">
        <x:v>Flatfishes</x:v>
      </x:c>
      <x:c r="I25" s="60" t="n">
        <x:v>19672.425710312</x:v>
      </x:c>
      <x:c r="J25" s="60" t="n">
        <x:v>14664.8577203113</x:v>
      </x:c>
      <x:c r="K25" s="60" t="n">
        <x:v>5007.567990000701</x:v>
      </x:c>
      <x:c r="L25" s="60" t="n">
        <x:v>12083.9624049313</x:v>
      </x:c>
      <x:c r="M25" s="60" t="n">
        <x:v>7588.4633053807</x:v>
      </x:c>
      <x:c r="N25" s="46" t="str">
        <x:v>pleuronectidae</x:v>
      </x:c>
      <x:c r="O25" s="62" t="n">
        <x:v>3.49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Pleuronectidae</x:v>
      </x:c>
      <x:c r="T25" s="62" t="n">
        <x:f>IF(O25="","",(1/'Metadata'!$B$5)^(O25-1))</x:f>
        <x:v>1736.059833884101</x:v>
      </x:c>
      <x:c r="U25" s="60" t="n">
        <x:f>IF(T25="","",I25*T25)</x:f>
        <x:v>34152508.11074157</x:v>
      </x:c>
    </x:row>
    <x:row r="26" ht="18" customHeight="1">
      <x:c r="A26" s="46" t="str">
        <x:v>LME_050</x:v>
      </x:c>
      <x:c r="B26" s="46" t="str">
        <x:v>Sea of Japan / East Sea</x:v>
      </x:c>
      <x:c r="C26" s="46" t="str">
        <x:v>LME</x:v>
      </x:c>
      <x:c r="D26" s="58" t="n">
        <x:v>2019</x:v>
      </x:c>
      <x:c r="E26" s="46" t="str">
        <x:v>Clupeidae</x:v>
      </x:c>
      <x:c r="F26" s="46" t="str">
        <x:v>Herrings, sardines, menhadens</x:v>
      </x:c>
      <x:c r="G26" s="46" t="str">
        <x:v>Small pelagics (&lt;30 cm)</x:v>
      </x:c>
      <x:c r="H26" s="46" t="str">
        <x:v>Herring-likes</x:v>
      </x:c>
      <x:c r="I26" s="60" t="n">
        <x:v>18222.7678185454</x:v>
      </x:c>
      <x:c r="J26" s="60" t="n">
        <x:v>15019.3837476187</x:v>
      </x:c>
      <x:c r="K26" s="60" t="n">
        <x:v>3203.3840709267</x:v>
      </x:c>
      <x:c r="L26" s="60" t="n">
        <x:v>14598.6571945926</x:v>
      </x:c>
      <x:c r="M26" s="60" t="n">
        <x:v>3624.1106239528003</x:v>
      </x:c>
      <x:c r="N26" s="46" t="str">
        <x:v>clupeidae</x:v>
      </x:c>
      <x:c r="O26" s="62" t="n">
        <x:v>3.16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Clupeidae</x:v>
      </x:c>
      <x:c r="T26" s="62" t="n">
        <x:f>IF(O26="","",(1/'Metadata'!$B$5)^(O26-1))</x:f>
        <x:v>645.9885058849935</x:v>
      </x:c>
      <x:c r="U26" s="60" t="n">
        <x:f>IF(T26="","",I26*T26)</x:f>
        <x:v>11771698.556191284</x:v>
      </x:c>
    </x:row>
    <x:row r="27" ht="18" customHeight="1">
      <x:c r="A27" s="46" t="str">
        <x:v>LME_050</x:v>
      </x:c>
      <x:c r="B27" s="46" t="str">
        <x:v>Sea of Japan / East Sea</x:v>
      </x:c>
      <x:c r="C27" s="46" t="str">
        <x:v>LME</x:v>
      </x:c>
      <x:c r="D27" s="58" t="n">
        <x:v>2019</x:v>
      </x:c>
      <x:c r="E27" s="46" t="str">
        <x:v>Pleuronectiformes</x:v>
      </x:c>
      <x:c r="F27" s="46" t="str">
        <x:v>Flatfishes</x:v>
      </x:c>
      <x:c r="G27" s="46" t="str">
        <x:v>Small to medium flatfishes (&lt;90 cm)</x:v>
      </x:c>
      <x:c r="H27" s="46" t="str">
        <x:v>Flatfishes</x:v>
      </x:c>
      <x:c r="I27" s="60" t="n">
        <x:v>17932.969666559</x:v>
      </x:c>
      <x:c r="J27" s="60" t="n">
        <x:v>16655.0443282657</x:v>
      </x:c>
      <x:c r="K27" s="60" t="n">
        <x:v>1277.9253382933</x:v>
      </x:c>
      <x:c r="L27" s="60" t="n">
        <x:v>13462.5328853915</x:v>
      </x:c>
      <x:c r="M27" s="60" t="n">
        <x:v>4470.4367811675</x:v>
      </x:c>
      <x:c r="N27" s="46" t="str">
        <x:v>pleuronectiformes</x:v>
      </x:c>
      <x:c r="O27" s="62" t="n">
        <x:v>3.57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Pleuronectiformes</x:v>
      </x:c>
      <x:c r="T27" s="62" t="n">
        <x:f>IF(O27="","",(1/'Metadata'!$B$5)^(O27-1))</x:f>
        <x:v>2206.2112196552644</x:v>
      </x:c>
      <x:c r="U27" s="60" t="n">
        <x:f>IF(T27="","",I27*T27)</x:f>
        <x:v>39563918.8801</x:v>
      </x:c>
    </x:row>
    <x:row r="28" ht="18" customHeight="1">
      <x:c r="A28" s="46" t="str">
        <x:v>LME_050</x:v>
      </x:c>
      <x:c r="B28" s="46" t="str">
        <x:v>Sea of Japan / East Sea</x:v>
      </x:c>
      <x:c r="C28" s="46" t="str">
        <x:v>LME</x:v>
      </x:c>
      <x:c r="D28" s="58" t="n">
        <x:v>2019</x:v>
      </x:c>
      <x:c r="E28" s="46" t="str">
        <x:v>Eleginus gracilis</x:v>
      </x:c>
      <x:c r="F28" s="46" t="str">
        <x:v>Saffron cod</x:v>
      </x:c>
      <x:c r="G28" s="46" t="str">
        <x:v>Medium demersals (30 - 89 cm)</x:v>
      </x:c>
      <x:c r="H28" s="46" t="str">
        <x:v>Cod-likes</x:v>
      </x:c>
      <x:c r="I28" s="60" t="n">
        <x:v>11702.273540493201</x:v>
      </x:c>
      <x:c r="J28" s="60" t="n">
        <x:v>10616.7080416187</x:v>
      </x:c>
      <x:c r="K28" s="60" t="n">
        <x:v>1085.5654988745</x:v>
      </x:c>
      <x:c r="L28" s="60" t="n">
        <x:v>8224.6739534889</x:v>
      </x:c>
      <x:c r="M28" s="60" t="n">
        <x:v>3477.5995870043002</x:v>
      </x:c>
      <x:c r="N28" s="46" t="str">
        <x:v>eleginus gracilis</x:v>
      </x:c>
      <x:c r="O28" s="62" t="n">
        <x:v>4.1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Eleginus gracilis</x:v>
      </x:c>
      <x:c r="T28" s="62" t="n">
        <x:f>IF(O28="","",(1/'Metadata'!$B$5)^(O28-1))</x:f>
        <x:v>10794.262781388496</x:v>
      </x:c>
      <x:c r="U28" s="60" t="n">
        <x:f>IF(T28="","",I28*T28)</x:f>
        <x:v>126317415.73577313</x:v>
      </x:c>
    </x:row>
    <x:row r="29" ht="18" customHeight="1">
      <x:c r="A29" s="46" t="str">
        <x:v>LME_050</x:v>
      </x:c>
      <x:c r="B29" s="46" t="str">
        <x:v>Sea of Japan / East Sea</x:v>
      </x:c>
      <x:c r="C29" s="46" t="str">
        <x:v>LME</x:v>
      </x:c>
      <x:c r="D29" s="58" t="n">
        <x:v>2019</x:v>
      </x:c>
      <x:c r="E29" s="46" t="str">
        <x:v>Sciaenidae</x:v>
      </x:c>
      <x:c r="F29" s="46" t="str">
        <x:v>Drums, croakers</x:v>
      </x:c>
      <x:c r="G29" s="46" t="str">
        <x:v>Medium demersals (30 - 89 cm)</x:v>
      </x:c>
      <x:c r="H29" s="46" t="str">
        <x:v>Perch-likes</x:v>
      </x:c>
      <x:c r="I29" s="60" t="n">
        <x:v>11419.6513973172</x:v>
      </x:c>
      <x:c r="J29" s="60" t="n">
        <x:v>11349.3360091823</x:v>
      </x:c>
      <x:c r="K29" s="60" t="n">
        <x:v>70.3153881349</x:v>
      </x:c>
      <x:c r="L29" s="60" t="n">
        <x:v>11316.3656820578</x:v>
      </x:c>
      <x:c r="M29" s="60" t="n">
        <x:v>103.2857152594</x:v>
      </x:c>
      <x:c r="N29" s="46" t="str">
        <x:v>sciaenidae</x:v>
      </x:c>
      <x:c r="O29" s="62" t="n">
        <x:v>3.76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Sciaenidae</x:v>
      </x:c>
      <x:c r="T29" s="62" t="n">
        <x:f>IF(O29="","",(1/'Metadata'!$B$5)^(O29-1))</x:f>
        <x:v>3898.0085558913897</x:v>
      </x:c>
      <x:c r="U29" s="60" t="n">
        <x:f>IF(T29="","",I29*T29)</x:f>
        <x:v>44513898.85203951</x:v>
      </x:c>
    </x:row>
    <x:row r="30" ht="18" customHeight="1">
      <x:c r="A30" s="46" t="str">
        <x:v>LME_050</x:v>
      </x:c>
      <x:c r="B30" s="46" t="str">
        <x:v>Sea of Japan / East Sea</x:v>
      </x:c>
      <x:c r="C30" s="46" t="str">
        <x:v>LME</x:v>
      </x:c>
      <x:c r="D30" s="58" t="n">
        <x:v>2019</x:v>
      </x:c>
      <x:c r="E30" s="46" t="str">
        <x:v>Decapoda</x:v>
      </x:c>
      <x:c r="F30" s="46" t="str">
        <x:v>Crabs, lobsters, shrimps</x:v>
      </x:c>
      <x:c r="G30" s="46" t="str">
        <x:v>Lobsters, crabs</x:v>
      </x:c>
      <x:c r="H30" s="46" t="str">
        <x:v>Crustaceans</x:v>
      </x:c>
      <x:c r="I30" s="60" t="n">
        <x:v>11229.581109047</x:v>
      </x:c>
      <x:c r="J30" s="60" t="n">
        <x:v>10154.4603063211</x:v>
      </x:c>
      <x:c r="K30" s="60" t="n">
        <x:v>1075.1208027259</x:v>
      </x:c>
      <x:c r="L30" s="60" t="n">
        <x:v>9992.6919379956</x:v>
      </x:c>
      <x:c r="M30" s="60" t="n">
        <x:v>1236.8891710514</x:v>
      </x:c>
      <x:c r="N30" s="46" t="str">
        <x:v>decapoda</x:v>
      </x:c>
      <x:c r="O30" s="62" t="n">
        <x:v>3.43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Decapoda</x:v>
      </x:c>
      <x:c r="T30" s="62" t="n">
        <x:f>IF(O30="","",(1/'Metadata'!$B$5)^(O30-1))</x:f>
        <x:v>1450.450424461182</x:v>
      </x:c>
      <x:c r="U30" s="60" t="n">
        <x:f>IF(T30="","",I30*T30)</x:f>
        <x:v>16287950.68613849</x:v>
      </x:c>
    </x:row>
    <x:row r="31" ht="18" customHeight="1">
      <x:c r="A31" s="46" t="str">
        <x:v>LME_050</x:v>
      </x:c>
      <x:c r="B31" s="46" t="str">
        <x:v>Sea of Japan / East Sea</x:v>
      </x:c>
      <x:c r="C31" s="46" t="str">
        <x:v>LME</x:v>
      </x:c>
      <x:c r="D31" s="58" t="n">
        <x:v>2019</x:v>
      </x:c>
      <x:c r="E31" s="46" t="str">
        <x:v>Penaeus chinensis</x:v>
      </x:c>
      <x:c r="F31" s="46" t="str">
        <x:v>Fleshy prawn</x:v>
      </x:c>
      <x:c r="G31" s="46" t="str">
        <x:v>Shrimps</x:v>
      </x:c>
      <x:c r="H31" s="46" t="str">
        <x:v>Crustaceans</x:v>
      </x:c>
      <x:c r="I31" s="60" t="n">
        <x:v>9960.1654661661</x:v>
      </x:c>
      <x:c r="J31" s="60" t="n">
        <x:v>9960.1654661661</x:v>
      </x:c>
      <x:c r="K31" s="60" t="n">
        <x:v>0</x:v>
      </x:c>
      <x:c r="L31" s="60" t="n">
        <x:v>9960.1654661661</x:v>
      </x:c>
      <x:c r="M31" s="60" t="n">
        <x:v>0</x:v>
      </x:c>
      <x:c r="N31" s="46" t="str">
        <x:v>penaeus chinensis</x:v>
      </x:c>
      <x:c r="O31" s="62" t="n">
        <x:v>2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Penaeus chinensis</x:v>
      </x:c>
      <x:c r="T31" s="62" t="n">
        <x:f>IF(O31="","",(1/'Metadata'!$B$5)^(O31-1))</x:f>
        <x:v>20</x:v>
      </x:c>
      <x:c r="U31" s="60" t="n">
        <x:f>IF(T31="","",I31*T31)</x:f>
        <x:v>199203.309323322</x:v>
      </x:c>
    </x:row>
    <x:row r="32" ht="18" customHeight="1">
      <x:c r="A32" s="46" t="str">
        <x:v>LME_050</x:v>
      </x:c>
      <x:c r="B32" s="46" t="str">
        <x:v>Sea of Japan / East Sea</x:v>
      </x:c>
      <x:c r="C32" s="46" t="str">
        <x:v>LME</x:v>
      </x:c>
      <x:c r="D32" s="58" t="n">
        <x:v>2019</x:v>
      </x:c>
      <x:c r="E32" s="46" t="str">
        <x:v>Oncorhynchus kisutch</x:v>
      </x:c>
      <x:c r="F32" s="46" t="str">
        <x:v>Coho salmon</x:v>
      </x:c>
      <x:c r="G32" s="46" t="str">
        <x:v>Large demersals (&gt;=90 cm)</x:v>
      </x:c>
      <x:c r="H32" s="46" t="str">
        <x:v>Salmon, smelts, etc</x:v>
      </x:c>
      <x:c r="I32" s="60" t="n">
        <x:v>9146.6716370533</x:v>
      </x:c>
      <x:c r="J32" s="60" t="n">
        <x:v>9146.6716370533</x:v>
      </x:c>
      <x:c r="K32" s="60" t="n">
        <x:v>0</x:v>
      </x:c>
      <x:c r="L32" s="60" t="n">
        <x:v>1614.2205441735</x:v>
      </x:c>
      <x:c r="M32" s="60" t="n">
        <x:v>7532.451092879801</x:v>
      </x:c>
      <x:c r="N32" s="46" t="str">
        <x:v>oncorhynchus kisutch</x:v>
      </x:c>
      <x:c r="O32" s="62" t="n">
        <x:v>4.22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Oncorhynchus kisutch</x:v>
      </x:c>
      <x:c r="T32" s="62" t="n">
        <x:f>IF(O32="","",(1/'Metadata'!$B$5)^(O32-1))</x:f>
        <x:v>15463.812886046735</x:v>
      </x:c>
      <x:c r="U32" s="60" t="n">
        <x:f>IF(T32="","",I32*T32)</x:f>
        <x:v>141442418.725503</x:v>
      </x:c>
    </x:row>
    <x:row r="33" ht="18" customHeight="1">
      <x:c r="A33" s="46" t="str">
        <x:v>LME_050</x:v>
      </x:c>
      <x:c r="B33" s="46" t="str">
        <x:v>Sea of Japan / East Sea</x:v>
      </x:c>
      <x:c r="C33" s="46" t="str">
        <x:v>LME</x:v>
      </x:c>
      <x:c r="D33" s="58" t="n">
        <x:v>2019</x:v>
      </x:c>
      <x:c r="E33" s="46" t="str">
        <x:v>Larimichthys polyactis</x:v>
      </x:c>
      <x:c r="F33" s="46" t="str">
        <x:v>Yellow croaker</x:v>
      </x:c>
      <x:c r="G33" s="46" t="str">
        <x:v>Medium benthopelagics (30 - 89 cm)</x:v>
      </x:c>
      <x:c r="H33" s="46" t="str">
        <x:v>Perch-likes</x:v>
      </x:c>
      <x:c r="I33" s="60" t="n">
        <x:v>9120.0235648447</x:v>
      </x:c>
      <x:c r="J33" s="60" t="n">
        <x:v>9120.0235648447</x:v>
      </x:c>
      <x:c r="K33" s="60" t="n">
        <x:v>0</x:v>
      </x:c>
      <x:c r="L33" s="60" t="n">
        <x:v>9119.8560210369</x:v>
      </x:c>
      <x:c r="M33" s="60" t="n">
        <x:v>0.1675438078</x:v>
      </x:c>
      <x:c r="N33" s="46" t="str">
        <x:v>larimichthys polyactis</x:v>
      </x:c>
      <x:c r="O33" s="62" t="n">
        <x:v>3.64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Larimichthys polyactis</x:v>
      </x:c>
      <x:c r="T33" s="62" t="n">
        <x:f>IF(O33="","",(1/'Metadata'!$B$5)^(O33-1))</x:f>
        <x:v>2720.9413995404984</x:v>
      </x:c>
      <x:c r="U33" s="60" t="n">
        <x:f>IF(T33="","",I33*T33)</x:f>
        <x:v>24815049.682370864</x:v>
      </x:c>
    </x:row>
    <x:row r="34" ht="18" customHeight="1">
      <x:c r="A34" s="46" t="str">
        <x:v>LME_050</x:v>
      </x:c>
      <x:c r="B34" s="46" t="str">
        <x:v>Sea of Japan / East Sea</x:v>
      </x:c>
      <x:c r="C34" s="46" t="str">
        <x:v>LME</x:v>
      </x:c>
      <x:c r="D34" s="58" t="n">
        <x:v>2019</x:v>
      </x:c>
      <x:c r="E34" s="46" t="str">
        <x:v>Thunnus alalunga</x:v>
      </x:c>
      <x:c r="F34" s="46" t="str">
        <x:v>Albacore</x:v>
      </x:c>
      <x:c r="G34" s="46" t="str">
        <x:v>Large pelagics (&gt;=90 cm)</x:v>
      </x:c>
      <x:c r="H34" s="46" t="str">
        <x:v>Tuna &amp; billfishes</x:v>
      </x:c>
      <x:c r="I34" s="60" t="n">
        <x:v>8367.4190852754</x:v>
      </x:c>
      <x:c r="J34" s="60" t="n">
        <x:v>8366.1814419164</x:v>
      </x:c>
      <x:c r="K34" s="60" t="n">
        <x:v>1.237643359</x:v>
      </x:c>
      <x:c r="L34" s="60" t="n">
        <x:v>8366.1814419164</x:v>
      </x:c>
      <x:c r="M34" s="60" t="n">
        <x:v>1.237643359</x:v>
      </x:c>
      <x:c r="N34" s="46" t="str">
        <x:v>thunnus alalunga</x:v>
      </x:c>
      <x:c r="O34" s="62" t="n">
        <x:v>4.3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Thunnus alalunga</x:v>
      </x:c>
      <x:c r="T34" s="62" t="n">
        <x:f>IF(O34="","",(1/'Metadata'!$B$5)^(O34-1))</x:f>
        <x:v>19651.648417852637</x:v>
      </x:c>
      <x:c r="U34" s="60" t="n">
        <x:f>IF(T34="","",I34*T34)</x:f>
        <x:v>164433578.02866226</x:v>
      </x:c>
    </x:row>
    <x:row r="35" ht="18" customHeight="1">
      <x:c r="A35" s="46" t="str">
        <x:v>LME_050</x:v>
      </x:c>
      <x:c r="B35" s="46" t="str">
        <x:v>Sea of Japan / East Sea</x:v>
      </x:c>
      <x:c r="C35" s="46" t="str">
        <x:v>LME</x:v>
      </x:c>
      <x:c r="D35" s="58" t="n">
        <x:v>2019</x:v>
      </x:c>
      <x:c r="E35" s="46" t="str">
        <x:v>Bivalvia</x:v>
      </x:c>
      <x:c r="F35" s="46" t="str">
        <x:v>Clams</x:v>
      </x:c>
      <x:c r="G35" s="46" t="str">
        <x:v>Other demersal invertebrates</x:v>
      </x:c>
      <x:c r="H35" s="46" t="str">
        <x:v>Molluscs</x:v>
      </x:c>
      <x:c r="I35" s="60" t="n">
        <x:v>8279.0881283798</x:v>
      </x:c>
      <x:c r="J35" s="60" t="n">
        <x:v>6909.871421212</x:v>
      </x:c>
      <x:c r="K35" s="60" t="n">
        <x:v>1369.2167071678</x:v>
      </x:c>
      <x:c r="L35" s="60" t="n">
        <x:v>6909.871421212</x:v>
      </x:c>
      <x:c r="M35" s="60" t="n">
        <x:v>1369.2167071678</x:v>
      </x:c>
      <x:c r="N35" s="46" t="str">
        <x:v>bivalvia</x:v>
      </x:c>
      <x:c r="O35" s="62" t="n">
        <x:v>2.23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Bivalvia</x:v>
      </x:c>
      <x:c r="T35" s="62" t="n">
        <x:f>IF(O35="","",(1/'Metadata'!$B$5)^(O35-1))</x:f>
        <x:v>39.83519015836661</x:v>
      </x:c>
      <x:c r="U35" s="60" t="n">
        <x:f>IF(T35="","",I35*T35)</x:f>
        <x:v>329799.04993188486</x:v>
      </x:c>
    </x:row>
    <x:row r="36" ht="18" customHeight="1">
      <x:c r="A36" s="46" t="str">
        <x:v>LME_050</x:v>
      </x:c>
      <x:c r="B36" s="46" t="str">
        <x:v>Sea of Japan / East Sea</x:v>
      </x:c>
      <x:c r="C36" s="46" t="str">
        <x:v>LME</x:v>
      </x:c>
      <x:c r="D36" s="58" t="n">
        <x:v>2019</x:v>
      </x:c>
      <x:c r="E36" s="46" t="str">
        <x:v>Pleurogrammus monopterygius</x:v>
      </x:c>
      <x:c r="F36" s="46" t="str">
        <x:v>Atka mackerel</x:v>
      </x:c>
      <x:c r="G36" s="46" t="str">
        <x:v>Medium demersals (30 - 89 cm)</x:v>
      </x:c>
      <x:c r="H36" s="46" t="str">
        <x:v>Scorpionfishes</x:v>
      </x:c>
      <x:c r="I36" s="60" t="n">
        <x:v>8061.751427151101</x:v>
      </x:c>
      <x:c r="J36" s="60" t="n">
        <x:v>6419.574995558501</x:v>
      </x:c>
      <x:c r="K36" s="60" t="n">
        <x:v>1642.1764315926</x:v>
      </x:c>
      <x:c r="L36" s="60" t="n">
        <x:v>4817.3809068377</x:v>
      </x:c>
      <x:c r="M36" s="60" t="n">
        <x:v>3244.3705203134</x:v>
      </x:c>
      <x:c r="N36" s="46" t="str">
        <x:v>pleurogrammus monopterygius</x:v>
      </x:c>
      <x:c r="O36" s="62" t="n">
        <x:v>3.38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Pleurogrammus monopterygius</x:v>
      </x:c>
      <x:c r="T36" s="62" t="n">
        <x:f>IF(O36="","",(1/'Metadata'!$B$5)^(O36-1))</x:f>
        <x:v>1248.6806726928048</x:v>
      </x:c>
      <x:c r="U36" s="60" t="n">
        <x:f>IF(T36="","",I36*T36)</x:f>
        <x:v>10066553.195137216</x:v>
      </x:c>
    </x:row>
    <x:row r="37" ht="18" customHeight="1">
      <x:c r="A37" s="46" t="str">
        <x:v>LME_050</x:v>
      </x:c>
      <x:c r="B37" s="46" t="str">
        <x:v>Sea of Japan / East Sea</x:v>
      </x:c>
      <x:c r="C37" s="46" t="str">
        <x:v>LME</x:v>
      </x:c>
      <x:c r="D37" s="58" t="n">
        <x:v>2019</x:v>
      </x:c>
      <x:c r="E37" s="46" t="str">
        <x:v>Muraenesox cinereus</x:v>
      </x:c>
      <x:c r="F37" s="46" t="str">
        <x:v>Daggertooth pike conger</x:v>
      </x:c>
      <x:c r="G37" s="46" t="str">
        <x:v>Large demersals (&gt;=90 cm)</x:v>
      </x:c>
      <x:c r="H37" s="46" t="str">
        <x:v>Other fishes &amp; inverts</x:v>
      </x:c>
      <x:c r="I37" s="60" t="n">
        <x:v>8053.5378213762</x:v>
      </x:c>
      <x:c r="J37" s="60" t="n">
        <x:v>8026.1851284796</x:v>
      </x:c>
      <x:c r="K37" s="60" t="n">
        <x:v>27.3526928966</x:v>
      </x:c>
      <x:c r="L37" s="60" t="n">
        <x:v>8026.1851284796</x:v>
      </x:c>
      <x:c r="M37" s="60" t="n">
        <x:v>27.3526928966</x:v>
      </x:c>
      <x:c r="N37" s="46" t="str">
        <x:v>muraenesox cinereus</x:v>
      </x:c>
      <x:c r="O37" s="62" t="n">
        <x:v>4.38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Muraenesox cinereus</x:v>
      </x:c>
      <x:c r="T37" s="62" t="n">
        <x:f>IF(O37="","",(1/'Metadata'!$B$5)^(O37-1))</x:f>
        <x:v>24973.6134538561</x:v>
      </x:c>
      <x:c r="U37" s="60" t="n">
        <x:f>IF(T37="","",I37*T37)</x:f>
        <x:v>201125940.4870596</x:v>
      </x:c>
    </x:row>
    <x:row r="38" ht="18" customHeight="1">
      <x:c r="A38" s="46" t="str">
        <x:v>LME_050</x:v>
      </x:c>
      <x:c r="B38" s="46" t="str">
        <x:v>Sea of Japan / East Sea</x:v>
      </x:c>
      <x:c r="C38" s="46" t="str">
        <x:v>LME</x:v>
      </x:c>
      <x:c r="D38" s="58" t="n">
        <x:v>2019</x:v>
      </x:c>
      <x:c r="E38" s="46" t="str">
        <x:v>Octopoda</x:v>
      </x:c>
      <x:c r="F38" s="46" t="str">
        <x:v>Octopuses, argonauts</x:v>
      </x:c>
      <x:c r="G38" s="46" t="str">
        <x:v>Cephalopods</x:v>
      </x:c>
      <x:c r="H38" s="46" t="str">
        <x:v>Other fishes &amp; inverts</x:v>
      </x:c>
      <x:c r="I38" s="60" t="n">
        <x:v>7630.3867807852</x:v>
      </x:c>
      <x:c r="J38" s="60" t="n">
        <x:v>6418.923828283</x:v>
      </x:c>
      <x:c r="K38" s="60" t="n">
        <x:v>1211.4629525021999</x:v>
      </x:c>
      <x:c r="L38" s="60" t="n">
        <x:v>6275.9432977782</x:v>
      </x:c>
      <x:c r="M38" s="60" t="n">
        <x:v>1354.443483007</x:v>
      </x:c>
      <x:c r="N38" s="46" t="str">
        <x:v>octopoda</x:v>
      </x:c>
      <x:c r="O38" s="62" t="n">
        <x:v>3.58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Octopoda</x:v>
      </x:c>
      <x:c r="T38" s="62" t="n">
        <x:f>IF(O38="","",(1/'Metadata'!$B$5)^(O38-1))</x:f>
        <x:v>2273.3033337150473</x:v>
      </x:c>
      <x:c r="U38" s="60" t="n">
        <x:f>IF(T38="","",I38*T38)</x:f>
        <x:v>17346183.706294224</x:v>
      </x:c>
    </x:row>
    <x:row r="39" ht="18" customHeight="1">
      <x:c r="A39" s="46" t="str">
        <x:v>LME_050</x:v>
      </x:c>
      <x:c r="B39" s="46" t="str">
        <x:v>Sea of Japan / East Sea</x:v>
      </x:c>
      <x:c r="C39" s="46" t="str">
        <x:v>LME</x:v>
      </x:c>
      <x:c r="D39" s="58" t="n">
        <x:v>2019</x:v>
      </x:c>
      <x:c r="E39" s="46" t="str">
        <x:v>Octopus</x:v>
      </x:c>
      <x:c r="F39" s="46" t="str">
        <x:v>Octopuses, pikas</x:v>
      </x:c>
      <x:c r="G39" s="46" t="str">
        <x:v>Cephalopods</x:v>
      </x:c>
      <x:c r="H39" s="46" t="str">
        <x:v>Other fishes &amp; inverts</x:v>
      </x:c>
      <x:c r="I39" s="60" t="n">
        <x:v>7225.1538216827</x:v>
      </x:c>
      <x:c r="J39" s="60" t="n">
        <x:v>7225.1538216827</x:v>
      </x:c>
      <x:c r="K39" s="60" t="n">
        <x:v>0</x:v>
      </x:c>
      <x:c r="L39" s="60" t="n">
        <x:v>7047.0393880669</x:v>
      </x:c>
      <x:c r="M39" s="60" t="n">
        <x:v>178.1144336158</x:v>
      </x:c>
      <x:c r="N39" s="46" t="str">
        <x:v>octopus</x:v>
      </x:c>
      <x:c r="O39" s="62" t="n">
        <x:v>3.8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Octopus</x:v>
      </x:c>
      <x:c r="T39" s="62" t="n">
        <x:f>IF(O39="","",(1/'Metadata'!$B$5)^(O39-1))</x:f>
        <x:v>4394.242173224468</x:v>
      </x:c>
      <x:c r="U39" s="60" t="n">
        <x:f>IF(T39="","",I39*T39)</x:f>
        <x:v>31749075.631272063</x:v>
      </x:c>
    </x:row>
    <x:row r="40" ht="18" customHeight="1">
      <x:c r="A40" s="46" t="str">
        <x:v>LME_050</x:v>
      </x:c>
      <x:c r="B40" s="46" t="str">
        <x:v>Sea of Japan / East Sea</x:v>
      </x:c>
      <x:c r="C40" s="46" t="str">
        <x:v>LME</x:v>
      </x:c>
      <x:c r="D40" s="58" t="n">
        <x:v>2019</x:v>
      </x:c>
      <x:c r="E40" s="46" t="str">
        <x:v>Chionoecetes japonicus</x:v>
      </x:c>
      <x:c r="F40" s="46" t="str">
        <x:v>Red snow crab</x:v>
      </x:c>
      <x:c r="G40" s="46" t="str">
        <x:v>Lobsters, crabs</x:v>
      </x:c>
      <x:c r="H40" s="46" t="str">
        <x:v>Crustaceans</x:v>
      </x:c>
      <x:c r="I40" s="60" t="n">
        <x:v>7113.5239342942</x:v>
      </x:c>
      <x:c r="J40" s="60" t="n">
        <x:v>7113.5239342942</x:v>
      </x:c>
      <x:c r="K40" s="60" t="n">
        <x:v>0</x:v>
      </x:c>
      <x:c r="L40" s="60" t="n">
        <x:v>7113.5239342942</x:v>
      </x:c>
      <x:c r="M40" s="60" t="n">
        <x:v>0</x:v>
      </x:c>
      <x:c r="N40" s="46" t="str">
        <x:v>chionoecetes japonicus</x:v>
      </x:c>
      <x:c r="O40" s="62" t="n">
        <x:v>3.74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Chionoecetes japonicus</x:v>
      </x:c>
      <x:c r="T40" s="62" t="n">
        <x:f>IF(O40="","",(1/'Metadata'!$B$5)^(O40-1))</x:f>
        <x:v>3671.3195599248957</x:v>
      </x:c>
      <x:c r="U40" s="60" t="n">
        <x:f>IF(T40="","",I40*T40)</x:f>
        <x:v>26116019.559968196</x:v>
      </x:c>
    </x:row>
    <x:row r="41" ht="18" customHeight="1">
      <x:c r="A41" s="46" t="str">
        <x:v>LME_050</x:v>
      </x:c>
      <x:c r="B41" s="46" t="str">
        <x:v>Sea of Japan / East Sea</x:v>
      </x:c>
      <x:c r="C41" s="46" t="str">
        <x:v>LME</x:v>
      </x:c>
      <x:c r="D41" s="58" t="n">
        <x:v>2019</x:v>
      </x:c>
      <x:c r="E41" s="46" t="str">
        <x:v>Laemonema longipes</x:v>
      </x:c>
      <x:c r="F41" s="46" t="str">
        <x:v>Longfin codling</x:v>
      </x:c>
      <x:c r="G41" s="46" t="str">
        <x:v>Medium benthopelagics (30 - 89 cm)</x:v>
      </x:c>
      <x:c r="H41" s="46" t="str">
        <x:v>Cod-likes</x:v>
      </x:c>
      <x:c r="I41" s="60" t="n">
        <x:v>7082.3092435603</x:v>
      </x:c>
      <x:c r="J41" s="60" t="n">
        <x:v>7082.3092435603</x:v>
      </x:c>
      <x:c r="K41" s="60" t="n">
        <x:v>0</x:v>
      </x:c>
      <x:c r="L41" s="60" t="n">
        <x:v>3285.1529332849</x:v>
      </x:c>
      <x:c r="M41" s="60" t="n">
        <x:v>3797.1563102754003</x:v>
      </x:c>
      <x:c r="N41" s="46" t="str">
        <x:v>laemonema longipes</x:v>
      </x:c>
      <x:c r="O41" s="62" t="n">
        <x:v>3.24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Laemonema longipes</x:v>
      </x:c>
      <x:c r="T41" s="62" t="n">
        <x:f>IF(O41="","",(1/'Metadata'!$B$5)^(O41-1))</x:f>
        <x:v>820.9320103116679</x:v>
      </x:c>
      <x:c r="U41" s="60" t="n">
        <x:f>IF(T41="","",I41*T41)</x:f>
        <x:v>5814094.364964865</x:v>
      </x:c>
    </x:row>
    <x:row r="42" ht="18" customHeight="1">
      <x:c r="A42" s="46" t="str">
        <x:v>LME_050</x:v>
      </x:c>
      <x:c r="B42" s="46" t="str">
        <x:v>Sea of Japan / East Sea</x:v>
      </x:c>
      <x:c r="C42" s="46" t="str">
        <x:v>LME</x:v>
      </x:c>
      <x:c r="D42" s="58" t="n">
        <x:v>2019</x:v>
      </x:c>
      <x:c r="E42" s="46" t="str">
        <x:v>Scomberomorus</x:v>
      </x:c>
      <x:c r="F42" s="46" t="str">
        <x:v>Spanish mackerels</x:v>
      </x:c>
      <x:c r="G42" s="46" t="str">
        <x:v>Large pelagics (&gt;=90 cm)</x:v>
      </x:c>
      <x:c r="H42" s="46" t="str">
        <x:v>Perch-likes</x:v>
      </x:c>
      <x:c r="I42" s="60" t="n">
        <x:v>7051.5345289239</x:v>
      </x:c>
      <x:c r="J42" s="60" t="n">
        <x:v>7051.5345289239</x:v>
      </x:c>
      <x:c r="K42" s="60" t="n">
        <x:v>0</x:v>
      </x:c>
      <x:c r="L42" s="60" t="n">
        <x:v>7051.5345289239</x:v>
      </x:c>
      <x:c r="M42" s="60" t="n">
        <x:v>0</x:v>
      </x:c>
      <x:c r="N42" s="46" t="str">
        <x:v>scomberomorus</x:v>
      </x:c>
      <x:c r="O42" s="62" t="n">
        <x:v>4.35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Scomberomorus</x:v>
      </x:c>
      <x:c r="T42" s="62" t="n">
        <x:f>IF(O42="","",(1/'Metadata'!$B$5)^(O42-1))</x:f>
        <x:v>22827.086550132422</x:v>
      </x:c>
      <x:c r="U42" s="60" t="n">
        <x:f>IF(T42="","",I42*T42)</x:f>
        <x:v>160965989.00299314</x:v>
      </x:c>
    </x:row>
    <x:row r="43" ht="18" customHeight="1">
      <x:c r="A43" s="46" t="str">
        <x:v>LME_050</x:v>
      </x:c>
      <x:c r="B43" s="46" t="str">
        <x:v>Sea of Japan / East Sea</x:v>
      </x:c>
      <x:c r="C43" s="46" t="str">
        <x:v>LME</x:v>
      </x:c>
      <x:c r="D43" s="58" t="n">
        <x:v>2019</x:v>
      </x:c>
      <x:c r="E43" s="46" t="str">
        <x:v>Brachyura</x:v>
      </x:c>
      <x:c r="F43" s="46" t="str">
        <x:v>Marine crabs</x:v>
      </x:c>
      <x:c r="G43" s="46" t="str">
        <x:v>Lobsters, crabs</x:v>
      </x:c>
      <x:c r="H43" s="46" t="str">
        <x:v>Crustaceans</x:v>
      </x:c>
      <x:c r="I43" s="60" t="n">
        <x:v>7040.43300251</x:v>
      </x:c>
      <x:c r="J43" s="60" t="n">
        <x:v>6896.3459137097</x:v>
      </x:c>
      <x:c r="K43" s="60" t="n">
        <x:v>144.0870888003</x:v>
      </x:c>
      <x:c r="L43" s="60" t="n">
        <x:v>6890.7116279337</x:v>
      </x:c>
      <x:c r="M43" s="60" t="n">
        <x:v>149.7213745763</x:v>
      </x:c>
      <x:c r="N43" s="46" t="str">
        <x:v>brachyura</x:v>
      </x:c>
      <x:c r="O43" s="62" t="n">
        <x:v>2.6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Brachyura</x:v>
      </x:c>
      <x:c r="T43" s="62" t="n">
        <x:f>IF(O43="","",(1/'Metadata'!$B$5)^(O43-1))</x:f>
        <x:v>120.6835267309033</x:v>
      </x:c>
      <x:c r="U43" s="60" t="n">
        <x:f>IF(T43="","",I43*T43)</x:f>
        <x:v>849664.2844555493</x:v>
      </x:c>
    </x:row>
    <x:row r="44" ht="18" customHeight="1">
      <x:c r="A44" s="46" t="str">
        <x:v>LME_050</x:v>
      </x:c>
      <x:c r="B44" s="46" t="str">
        <x:v>Sea of Japan / East Sea</x:v>
      </x:c>
      <x:c r="C44" s="46" t="str">
        <x:v>LME</x:v>
      </x:c>
      <x:c r="D44" s="58" t="n">
        <x:v>2019</x:v>
      </x:c>
      <x:c r="E44" s="46" t="str">
        <x:v>Pseudopleuronectes herzensteini</x:v>
      </x:c>
      <x:c r="F44" s="46" t="str">
        <x:v>Yellow striped flounder</x:v>
      </x:c>
      <x:c r="G44" s="46" t="str">
        <x:v>Small to medium flatfishes (&lt;90 cm)</x:v>
      </x:c>
      <x:c r="H44" s="46" t="str">
        <x:v>Flatfishes</x:v>
      </x:c>
      <x:c r="I44" s="60" t="n">
        <x:v>6776.4306011161</x:v>
      </x:c>
      <x:c r="J44" s="60" t="n">
        <x:v>6776.4306011161</x:v>
      </x:c>
      <x:c r="K44" s="60" t="n">
        <x:v>0</x:v>
      </x:c>
      <x:c r="L44" s="60" t="n">
        <x:v>6776.4306011161</x:v>
      </x:c>
      <x:c r="M44" s="60" t="n">
        <x:v>0</x:v>
      </x:c>
      <x:c r="N44" s="46" t="str">
        <x:v>pseudopleuronectes herzensteini</x:v>
      </x:c>
      <x:c r="O44" s="62" t="n">
        <x:v>3.15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Pseudopleuronectes herzensteini</x:v>
      </x:c>
      <x:c r="T44" s="62" t="n">
        <x:f>IF(O44="","",(1/'Metadata'!$B$5)^(O44-1))</x:f>
        <x:v>626.9234150652317</x:v>
      </x:c>
      <x:c r="U44" s="60" t="n">
        <x:f>IF(T44="","",I44*T44)</x:f>
        <x:v>4248303.014404246</x:v>
      </x:c>
    </x:row>
    <x:row r="45" ht="18" customHeight="1">
      <x:c r="A45" s="46" t="str">
        <x:v>LME_050</x:v>
      </x:c>
      <x:c r="B45" s="46" t="str">
        <x:v>Sea of Japan / East Sea</x:v>
      </x:c>
      <x:c r="C45" s="46" t="str">
        <x:v>LME</x:v>
      </x:c>
      <x:c r="D45" s="58" t="n">
        <x:v>2019</x:v>
      </x:c>
      <x:c r="E45" s="46" t="str">
        <x:v>Oncorhynchus nerka</x:v>
      </x:c>
      <x:c r="F45" s="46" t="str">
        <x:v>Sockeye salmon</x:v>
      </x:c>
      <x:c r="G45" s="46" t="str">
        <x:v>Medium pelagics (30 - 89 cm)</x:v>
      </x:c>
      <x:c r="H45" s="46" t="str">
        <x:v>Salmon, smelts, etc</x:v>
      </x:c>
      <x:c r="I45" s="60" t="n">
        <x:v>6395.188593782301</x:v>
      </x:c>
      <x:c r="J45" s="60" t="n">
        <x:v>6135.332085470401</x:v>
      </x:c>
      <x:c r="K45" s="60" t="n">
        <x:v>259.85650831190003</x:v>
      </x:c>
      <x:c r="L45" s="60" t="n">
        <x:v>4130.3649688483</x:v>
      </x:c>
      <x:c r="M45" s="60" t="n">
        <x:v>2264.8236249340002</x:v>
      </x:c>
      <x:c r="N45" s="46" t="str">
        <x:v>oncorhynchus nerka</x:v>
      </x:c>
      <x:c r="O45" s="62" t="n">
        <x:v>3.54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Oncorhynchus nerka</x:v>
      </x:c>
      <x:c r="T45" s="62" t="n">
        <x:f>IF(O45="","",(1/'Metadata'!$B$5)^(O45-1))</x:f>
        <x:v>2016.5834052007342</x:v>
      </x:c>
      <x:c r="U45" s="60" t="n">
        <x:f>IF(T45="","",I45*T45)</x:f>
        <x:v>12896431.191350408</x:v>
      </x:c>
    </x:row>
    <x:row r="46" ht="18" customHeight="1">
      <x:c r="A46" s="46" t="str">
        <x:v>LME_050</x:v>
      </x:c>
      <x:c r="B46" s="46" t="str">
        <x:v>Sea of Japan / East Sea</x:v>
      </x:c>
      <x:c r="C46" s="46" t="str">
        <x:v>LME</x:v>
      </x:c>
      <x:c r="D46" s="58" t="n">
        <x:v>2019</x:v>
      </x:c>
      <x:c r="E46" s="46" t="str">
        <x:v>Sparidae</x:v>
      </x:c>
      <x:c r="F46" s="46" t="str">
        <x:v>Porgies, seabreams</x:v>
      </x:c>
      <x:c r="G46" s="46" t="str">
        <x:v>Medium benthopelagics (30 - 89 cm)</x:v>
      </x:c>
      <x:c r="H46" s="46" t="str">
        <x:v>Perch-likes</x:v>
      </x:c>
      <x:c r="I46" s="60" t="n">
        <x:v>6200.9420441836</x:v>
      </x:c>
      <x:c r="J46" s="60" t="n">
        <x:v>6076.3224944905005</x:v>
      </x:c>
      <x:c r="K46" s="60" t="n">
        <x:v>124.6195496931</x:v>
      </x:c>
      <x:c r="L46" s="60" t="n">
        <x:v>6008.6095895624</x:v>
      </x:c>
      <x:c r="M46" s="60" t="n">
        <x:v>192.3324546212</x:v>
      </x:c>
      <x:c r="N46" s="46" t="str">
        <x:v>sparidae</x:v>
      </x:c>
      <x:c r="O46" s="62" t="n">
        <x:v>3.31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Sparidae</x:v>
      </x:c>
      <x:c r="T46" s="62" t="n">
        <x:f>IF(O46="","",(1/'Metadata'!$B$5)^(O46-1))</x:f>
        <x:v>1012.4633005057666</x:v>
      </x:c>
      <x:c r="U46" s="60" t="n">
        <x:f>IF(T46="","",I46*T46)</x:f>
        <x:v>6278226.248299103</x:v>
      </x:c>
    </x:row>
    <x:row r="47" ht="18" customHeight="1">
      <x:c r="A47" s="46" t="str">
        <x:v>LME_050</x:v>
      </x:c>
      <x:c r="B47" s="46" t="str">
        <x:v>Sea of Japan / East Sea</x:v>
      </x:c>
      <x:c r="C47" s="46" t="str">
        <x:v>LME</x:v>
      </x:c>
      <x:c r="D47" s="58" t="n">
        <x:v>2019</x:v>
      </x:c>
      <x:c r="E47" s="46" t="str">
        <x:v>Squillidae</x:v>
      </x:c>
      <x:c r="F47" s="46" t="str">
        <x:v>Squilla mantis shrimps</x:v>
      </x:c>
      <x:c r="G47" s="46" t="str">
        <x:v>Shrimps</x:v>
      </x:c>
      <x:c r="H47" s="46" t="str">
        <x:v>Crustaceans</x:v>
      </x:c>
      <x:c r="I47" s="60" t="n">
        <x:v>6119.234926584701</x:v>
      </x:c>
      <x:c r="J47" s="60" t="n">
        <x:v>6119.234926584701</x:v>
      </x:c>
      <x:c r="K47" s="60" t="n">
        <x:v>0</x:v>
      </x:c>
      <x:c r="L47" s="60" t="n">
        <x:v>6119.234926584701</x:v>
      </x:c>
      <x:c r="M47" s="60" t="n">
        <x:v>0</x:v>
      </x:c>
      <x:c r="N47" s="46" t="str">
        <x:v>squillidae</x:v>
      </x:c>
      <x:c r="O47" s="62" t="n">
        <x:v>3.5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Squillidae</x:v>
      </x:c>
      <x:c r="T47" s="62" t="n">
        <x:f>IF(O47="","",(1/'Metadata'!$B$5)^(O47-1))</x:f>
        <x:v>1788.8543819998317</x:v>
      </x:c>
      <x:c r="U47" s="60" t="n">
        <x:f>IF(T47="","",I47*T47)</x:f>
        <x:v>10946420.21290746</x:v>
      </x:c>
    </x:row>
    <x:row r="48" ht="18" customHeight="1">
      <x:c r="A48" s="46" t="str">
        <x:v>LME_050</x:v>
      </x:c>
      <x:c r="B48" s="46" t="str">
        <x:v>Sea of Japan / East Sea</x:v>
      </x:c>
      <x:c r="C48" s="46" t="str">
        <x:v>LME</x:v>
      </x:c>
      <x:c r="D48" s="58" t="n">
        <x:v>2019</x:v>
      </x:c>
      <x:c r="E48" s="46" t="str">
        <x:v>Clupeiformes</x:v>
      </x:c>
      <x:c r="F48" s="46" t="str">
        <x:v>Herrings, shads, anchovies</x:v>
      </x:c>
      <x:c r="G48" s="46" t="str">
        <x:v>Small pelagics (&lt;30 cm)</x:v>
      </x:c>
      <x:c r="H48" s="46" t="str">
        <x:v>Other fishes &amp; inverts</x:v>
      </x:c>
      <x:c r="I48" s="60" t="n">
        <x:v>6109.2550685713</x:v>
      </x:c>
      <x:c r="J48" s="60" t="n">
        <x:v>6109.2550685713</x:v>
      </x:c>
      <x:c r="K48" s="60" t="n">
        <x:v>0</x:v>
      </x:c>
      <x:c r="L48" s="60" t="n">
        <x:v>6056.8454159317</x:v>
      </x:c>
      <x:c r="M48" s="60" t="n">
        <x:v>52.4096526396</x:v>
      </x:c>
      <x:c r="N48" s="46" t="str">
        <x:v>clupeiformes</x:v>
      </x:c>
      <x:c r="O48" s="62" t="n">
        <x:v>3.24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Clupeiformes</x:v>
      </x:c>
      <x:c r="T48" s="62" t="n">
        <x:f>IF(O48="","",(1/'Metadata'!$B$5)^(O48-1))</x:f>
        <x:v>820.9320103116679</x:v>
      </x:c>
      <x:c r="U48" s="60" t="n">
        <x:f>IF(T48="","",I48*T48)</x:f>
        <x:v>5015283.044948984</x:v>
      </x:c>
    </x:row>
    <x:row r="49" ht="18" customHeight="1">
      <x:c r="A49" s="46" t="str">
        <x:v>LME_050</x:v>
      </x:c>
      <x:c r="B49" s="46" t="str">
        <x:v>Sea of Japan / East Sea</x:v>
      </x:c>
      <x:c r="C49" s="46" t="str">
        <x:v>LME</x:v>
      </x:c>
      <x:c r="D49" s="58" t="n">
        <x:v>2019</x:v>
      </x:c>
      <x:c r="E49" s="46" t="str">
        <x:v>Mugil cephalus</x:v>
      </x:c>
      <x:c r="F49" s="46" t="str">
        <x:v>Flathead grey mullet</x:v>
      </x:c>
      <x:c r="G49" s="46" t="str">
        <x:v>Large benthopelagics (&gt;=90 cm)</x:v>
      </x:c>
      <x:c r="H49" s="46" t="str">
        <x:v>Perch-likes</x:v>
      </x:c>
      <x:c r="I49" s="60" t="n">
        <x:v>4815.3950954234</x:v>
      </x:c>
      <x:c r="J49" s="60" t="n">
        <x:v>4815.3950954234</x:v>
      </x:c>
      <x:c r="K49" s="60" t="n">
        <x:v>0</x:v>
      </x:c>
      <x:c r="L49" s="60" t="n">
        <x:v>4788.267261707</x:v>
      </x:c>
      <x:c r="M49" s="60" t="n">
        <x:v>27.1278337164</x:v>
      </x:c>
      <x:c r="N49" s="46" t="str">
        <x:v>mugil cephalus</x:v>
      </x:c>
      <x:c r="O49" s="62" t="n">
        <x:v>2.14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Mugil cephalus</x:v>
      </x:c>
      <x:c r="T49" s="62" t="n">
        <x:f>IF(O49="","",(1/'Metadata'!$B$5)^(O49-1))</x:f>
        <x:v>30.421049660829848</x:v>
      </x:c>
      <x:c r="U49" s="60" t="n">
        <x:f>IF(T49="","",I49*T49)</x:f>
        <x:v>146489.3733343917</x:v>
      </x:c>
    </x:row>
    <x:row r="50" ht="18" customHeight="1">
      <x:c r="A50" s="46" t="str">
        <x:v>LME_050</x:v>
      </x:c>
      <x:c r="B50" s="46" t="str">
        <x:v>Sea of Japan / East Sea</x:v>
      </x:c>
      <x:c r="C50" s="46" t="str">
        <x:v>LME</x:v>
      </x:c>
      <x:c r="D50" s="58" t="n">
        <x:v>2019</x:v>
      </x:c>
      <x:c r="E50" s="46" t="str">
        <x:v>Thunnus albacares</x:v>
      </x:c>
      <x:c r="F50" s="46" t="str">
        <x:v>Yellowfin tuna</x:v>
      </x:c>
      <x:c r="G50" s="46" t="str">
        <x:v>Large pelagics (&gt;=90 cm)</x:v>
      </x:c>
      <x:c r="H50" s="46" t="str">
        <x:v>Tuna &amp; billfishes</x:v>
      </x:c>
      <x:c r="I50" s="60" t="n">
        <x:v>4596.7961614454</x:v>
      </x:c>
      <x:c r="J50" s="60" t="n">
        <x:v>4596.0601773336</x:v>
      </x:c>
      <x:c r="K50" s="60" t="n">
        <x:v>0.7359841118</x:v>
      </x:c>
      <x:c r="L50" s="60" t="n">
        <x:v>4596.0601773336</x:v>
      </x:c>
      <x:c r="M50" s="60" t="n">
        <x:v>0.7359841118</x:v>
      </x:c>
      <x:c r="N50" s="46" t="str">
        <x:v>thunnus albacares</x:v>
      </x:c>
      <x:c r="O50" s="62" t="n">
        <x:v>4.41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Thunnus albacares</x:v>
      </x:c>
      <x:c r="T50" s="62" t="n">
        <x:f>IF(O50="","",(1/'Metadata'!$B$5)^(O50-1))</x:f>
        <x:v>27321.987305427916</x:v>
      </x:c>
      <x:c r="U50" s="60" t="n">
        <x:f>IF(T50="","",I50*T50)</x:f>
        <x:v>125593606.36865099</x:v>
      </x:c>
    </x:row>
    <x:row r="51" ht="18" customHeight="1">
      <x:c r="A51" s="46" t="str">
        <x:v>LME_050</x:v>
      </x:c>
      <x:c r="B51" s="46" t="str">
        <x:v>Sea of Japan / East Sea</x:v>
      </x:c>
      <x:c r="C51" s="46" t="str">
        <x:v>LME</x:v>
      </x:c>
      <x:c r="D51" s="58" t="n">
        <x:v>2019</x:v>
      </x:c>
      <x:c r="E51" s="46" t="str">
        <x:v>Magallana gigas</x:v>
      </x:c>
      <x:c r="F51" s="46" t="str">
        <x:v>Pacific cupped oyster</x:v>
      </x:c>
      <x:c r="G51" s="46" t="str">
        <x:v>Other demersal invertebrates</x:v>
      </x:c>
      <x:c r="H51" s="46" t="str">
        <x:v>Molluscs</x:v>
      </x:c>
      <x:c r="I51" s="60" t="n">
        <x:v>4498.1960667847</x:v>
      </x:c>
      <x:c r="J51" s="60" t="n">
        <x:v>4498.1960667847</x:v>
      </x:c>
      <x:c r="K51" s="60" t="n">
        <x:v>0</x:v>
      </x:c>
      <x:c r="L51" s="60" t="n">
        <x:v>4496.473726541</x:v>
      </x:c>
      <x:c r="M51" s="60" t="n">
        <x:v>1.7223402437</x:v>
      </x:c>
      <x:c r="N51" s="46" t="str">
        <x:v>magallana gigas</x:v>
      </x:c>
      <x:c r="O51" s="62" t="n">
        <x:v>2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Magallana gigas</x:v>
      </x:c>
      <x:c r="T51" s="62" t="n">
        <x:f>IF(O51="","",(1/'Metadata'!$B$5)^(O51-1))</x:f>
        <x:v>20</x:v>
      </x:c>
      <x:c r="U51" s="60" t="n">
        <x:f>IF(T51="","",I51*T51)</x:f>
        <x:v>89963.921335694</x:v>
      </x:c>
    </x:row>
    <x:row r="52" ht="18" customHeight="1">
      <x:c r="A52" s="46" t="str">
        <x:v>LME_050</x:v>
      </x:c>
      <x:c r="B52" s="46" t="str">
        <x:v>Sea of Japan / East Sea</x:v>
      </x:c>
      <x:c r="C52" s="46" t="str">
        <x:v>LME</x:v>
      </x:c>
      <x:c r="D52" s="58" t="n">
        <x:v>2019</x:v>
      </x:c>
      <x:c r="E52" s="46" t="str">
        <x:v>Ruditapes philippinarum</x:v>
      </x:c>
      <x:c r="F52" s="46" t="str">
        <x:v>Japanese carpet shell</x:v>
      </x:c>
      <x:c r="G52" s="46" t="str">
        <x:v>Other demersal invertebrates</x:v>
      </x:c>
      <x:c r="H52" s="46" t="str">
        <x:v>Molluscs</x:v>
      </x:c>
      <x:c r="I52" s="60" t="n">
        <x:v>4188.4484100167</x:v>
      </x:c>
      <x:c r="J52" s="60" t="n">
        <x:v>4188.4484100167</x:v>
      </x:c>
      <x:c r="K52" s="60" t="n">
        <x:v>0</x:v>
      </x:c>
      <x:c r="L52" s="60" t="n">
        <x:v>4188.4484100167</x:v>
      </x:c>
      <x:c r="M52" s="60" t="n">
        <x:v>0</x:v>
      </x:c>
      <x:c r="N52" s="46" t="str">
        <x:v>ruditapes philippinarum</x:v>
      </x:c>
      <x:c r="O52" s="62" t="n">
        <x:v>2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Ruditapes philippinarum</x:v>
      </x:c>
      <x:c r="T52" s="62" t="n">
        <x:f>IF(O52="","",(1/'Metadata'!$B$5)^(O52-1))</x:f>
        <x:v>20</x:v>
      </x:c>
      <x:c r="U52" s="60" t="n">
        <x:f>IF(T52="","",I52*T52)</x:f>
        <x:v>83768.968200334</x:v>
      </x:c>
    </x:row>
    <x:row r="53" ht="18" customHeight="1">
      <x:c r="A53" s="46" t="str">
        <x:v>LME_050</x:v>
      </x:c>
      <x:c r="B53" s="46" t="str">
        <x:v>Sea of Japan / East Sea</x:v>
      </x:c>
      <x:c r="C53" s="46" t="str">
        <x:v>LME</x:v>
      </x:c>
      <x:c r="D53" s="58" t="n">
        <x:v>2019</x:v>
      </x:c>
      <x:c r="E53" s="46" t="str">
        <x:v>Scomberomorus niphonius</x:v>
      </x:c>
      <x:c r="F53" s="46" t="str">
        <x:v>Japanese Spanish mackerel</x:v>
      </x:c>
      <x:c r="G53" s="46" t="str">
        <x:v>Large pelagics (&gt;=90 cm)</x:v>
      </x:c>
      <x:c r="H53" s="46" t="str">
        <x:v>Perch-likes</x:v>
      </x:c>
      <x:c r="I53" s="60" t="n">
        <x:v>4165.5759680887</x:v>
      </x:c>
      <x:c r="J53" s="60" t="n">
        <x:v>4165.5759680887</x:v>
      </x:c>
      <x:c r="K53" s="60" t="n">
        <x:v>0</x:v>
      </x:c>
      <x:c r="L53" s="60" t="n">
        <x:v>4165.5759680887</x:v>
      </x:c>
      <x:c r="M53" s="60" t="n">
        <x:v>0</x:v>
      </x:c>
      <x:c r="N53" s="46" t="str">
        <x:v>scomberomorus niphonius</x:v>
      </x:c>
      <x:c r="O53" s="62" t="n">
        <x:v>4.5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Scomberomorus niphonius</x:v>
      </x:c>
      <x:c r="T53" s="62" t="n">
        <x:f>IF(O53="","",(1/'Metadata'!$B$5)^(O53-1))</x:f>
        <x:v>35777.08763999664</x:v>
      </x:c>
      <x:c r="U53" s="60" t="n">
        <x:f>IF(T53="","",I53*T53)</x:f>
        <x:v>149032176.48137328</x:v>
      </x:c>
    </x:row>
    <x:row r="54" ht="18" customHeight="1">
      <x:c r="A54" s="46" t="str">
        <x:v>LME_050</x:v>
      </x:c>
      <x:c r="B54" s="46" t="str">
        <x:v>Sea of Japan / East Sea</x:v>
      </x:c>
      <x:c r="C54" s="46" t="str">
        <x:v>LME</x:v>
      </x:c>
      <x:c r="D54" s="58" t="n">
        <x:v>2019</x:v>
      </x:c>
      <x:c r="E54" s="46" t="str">
        <x:v>Holothuroidea</x:v>
      </x:c>
      <x:c r="F54" s="46" t="str">
        <x:v>Sea cucumbers</x:v>
      </x:c>
      <x:c r="G54" s="46" t="str">
        <x:v>Other demersal invertebrates</x:v>
      </x:c>
      <x:c r="H54" s="46" t="str">
        <x:v>Other fishes &amp; inverts</x:v>
      </x:c>
      <x:c r="I54" s="60" t="n">
        <x:v>4120.618772356</x:v>
      </x:c>
      <x:c r="J54" s="60" t="n">
        <x:v>3806.0504630467</x:v>
      </x:c>
      <x:c r="K54" s="60" t="n">
        <x:v>314.5683093093</x:v>
      </x:c>
      <x:c r="L54" s="60" t="n">
        <x:v>3205.6124658314</x:v>
      </x:c>
      <x:c r="M54" s="60" t="n">
        <x:v>915.0063065246</x:v>
      </x:c>
      <x:c r="N54" s="46" t="str">
        <x:v>holothuroidea</x:v>
      </x:c>
      <x:c r="O54" s="62" t="n">
        <x:v>2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Holothuroidea</x:v>
      </x:c>
      <x:c r="T54" s="62" t="n">
        <x:f>IF(O54="","",(1/'Metadata'!$B$5)^(O54-1))</x:f>
        <x:v>20</x:v>
      </x:c>
      <x:c r="U54" s="60" t="n">
        <x:f>IF(T54="","",I54*T54)</x:f>
        <x:v>82412.37544712</x:v>
      </x:c>
    </x:row>
    <x:row r="55" ht="18" customHeight="1">
      <x:c r="A55" s="46" t="str">
        <x:v>LME_050</x:v>
      </x:c>
      <x:c r="B55" s="46" t="str">
        <x:v>Sea of Japan / East Sea</x:v>
      </x:c>
      <x:c r="C55" s="46" t="str">
        <x:v>LME</x:v>
      </x:c>
      <x:c r="D55" s="58" t="n">
        <x:v>2019</x:v>
      </x:c>
      <x:c r="E55" s="46" t="str">
        <x:v>Conger myriaster</x:v>
      </x:c>
      <x:c r="F55" s="46" t="str">
        <x:v>Whitespotted conger</x:v>
      </x:c>
      <x:c r="G55" s="46" t="str">
        <x:v>Medium demersals (30 - 89 cm)</x:v>
      </x:c>
      <x:c r="H55" s="46" t="str">
        <x:v>Other fishes &amp; inverts</x:v>
      </x:c>
      <x:c r="I55" s="60" t="n">
        <x:v>3971.8958671776</x:v>
      </x:c>
      <x:c r="J55" s="60" t="n">
        <x:v>3971.8958671776</x:v>
      </x:c>
      <x:c r="K55" s="60" t="n">
        <x:v>0</x:v>
      </x:c>
      <x:c r="L55" s="60" t="n">
        <x:v>3971.8958671776</x:v>
      </x:c>
      <x:c r="M55" s="60" t="n">
        <x:v>0</x:v>
      </x:c>
      <x:c r="N55" s="46" t="str">
        <x:v>conger myriaster</x:v>
      </x:c>
      <x:c r="O55" s="62" t="n">
        <x:v>3.98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Conger myriaster</x:v>
      </x:c>
      <x:c r="T55" s="62" t="n">
        <x:f>IF(O55="","",(1/'Metadata'!$B$5)^(O55-1))</x:f>
        <x:v>7534.759367064222</x:v>
      </x:c>
      <x:c r="U55" s="60" t="n">
        <x:f>IF(T55="","",I55*T55)</x:f>
        <x:v>29927279.59022009</x:v>
      </x:c>
    </x:row>
    <x:row r="56" ht="18" customHeight="1">
      <x:c r="A56" s="46" t="str">
        <x:v>LME_050</x:v>
      </x:c>
      <x:c r="B56" s="46" t="str">
        <x:v>Sea of Japan / East Sea</x:v>
      </x:c>
      <x:c r="C56" s="46" t="str">
        <x:v>LME</x:v>
      </x:c>
      <x:c r="D56" s="58" t="n">
        <x:v>2019</x:v>
      </x:c>
      <x:c r="E56" s="46" t="str">
        <x:v>Arctoscopus japonicus</x:v>
      </x:c>
      <x:c r="F56" s="46" t="str">
        <x:v>Japanese sandfish</x:v>
      </x:c>
      <x:c r="G56" s="46" t="str">
        <x:v>Small bathydemersals (&lt;30 cm)</x:v>
      </x:c>
      <x:c r="H56" s="46" t="str">
        <x:v>Perch-likes</x:v>
      </x:c>
      <x:c r="I56" s="60" t="n">
        <x:v>3849.9036484654</x:v>
      </x:c>
      <x:c r="J56" s="60" t="n">
        <x:v>3197.2569926111</x:v>
      </x:c>
      <x:c r="K56" s="60" t="n">
        <x:v>652.6466558543</x:v>
      </x:c>
      <x:c r="L56" s="60" t="n">
        <x:v>3197.2569926111</x:v>
      </x:c>
      <x:c r="M56" s="60" t="n">
        <x:v>652.6466558543</x:v>
      </x:c>
      <x:c r="N56" s="46" t="str">
        <x:v>arctoscopus japonicus</x:v>
      </x:c>
      <x:c r="O56" s="62" t="n">
        <x:v>3.51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Arctoscopus japonicus</x:v>
      </x:c>
      <x:c r="T56" s="62" t="n">
        <x:f>IF(O56="","",(1/'Metadata'!$B$5)^(O56-1))</x:f>
        <x:v>1843.2544417784343</x:v>
      </x:c>
      <x:c r="U56" s="60" t="n">
        <x:f>IF(T56="","",I56*T56)</x:f>
        <x:v>7096352.000452848</x:v>
      </x:c>
    </x:row>
    <x:row r="57" ht="18" customHeight="1">
      <x:c r="A57" s="46" t="str">
        <x:v>LME_050</x:v>
      </x:c>
      <x:c r="B57" s="46" t="str">
        <x:v>Sea of Japan / East Sea</x:v>
      </x:c>
      <x:c r="C57" s="46" t="str">
        <x:v>LME</x:v>
      </x:c>
      <x:c r="D57" s="58" t="n">
        <x:v>2019</x:v>
      </x:c>
      <x:c r="E57" s="46" t="str">
        <x:v>Echinoidea</x:v>
      </x:c>
      <x:c r="F57" s="46" t="str">
        <x:v>Sea urchins, sea hedgehogs</x:v>
      </x:c>
      <x:c r="G57" s="46" t="str">
        <x:v>Other demersal invertebrates</x:v>
      </x:c>
      <x:c r="H57" s="46" t="str">
        <x:v>Other fishes &amp; inverts</x:v>
      </x:c>
      <x:c r="I57" s="60" t="n">
        <x:v>3810.2779977609002</x:v>
      </x:c>
      <x:c r="J57" s="60" t="n">
        <x:v>3766.9726290986</x:v>
      </x:c>
      <x:c r="K57" s="60" t="n">
        <x:v>43.3053686623</x:v>
      </x:c>
      <x:c r="L57" s="60" t="n">
        <x:v>3420.8867927014</x:v>
      </x:c>
      <x:c r="M57" s="60" t="n">
        <x:v>389.3912050595</x:v>
      </x:c>
      <x:c r="N57" s="46" t="str">
        <x:v>echinoidea</x:v>
      </x:c>
      <x:c r="O57" s="62" t="n">
        <x:v>2.51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Echinoidea</x:v>
      </x:c>
      <x:c r="T57" s="62" t="n">
        <x:f>IF(O57="","",(1/'Metadata'!$B$5)^(O57-1))</x:f>
        <x:v>92.16272208892171</x:v>
      </x:c>
      <x:c r="U57" s="60" t="n">
        <x:f>IF(T57="","",I57*T57)</x:f>
        <x:v>351165.5921891709</x:v>
      </x:c>
    </x:row>
    <x:row r="58" ht="18" customHeight="1">
      <x:c r="A58" s="46" t="str">
        <x:v>LME_050</x:v>
      </x:c>
      <x:c r="B58" s="46" t="str">
        <x:v>Sea of Japan / East Sea</x:v>
      </x:c>
      <x:c r="C58" s="46" t="str">
        <x:v>LME</x:v>
      </x:c>
      <x:c r="D58" s="58" t="n">
        <x:v>2019</x:v>
      </x:c>
      <x:c r="E58" s="46" t="str">
        <x:v>Mollusca</x:v>
      </x:c>
      <x:c r="F58" s="46" t="str">
        <x:v>Clams, seasnails, squids, octopuses</x:v>
      </x:c>
      <x:c r="G58" s="46" t="str">
        <x:v>Other demersal invertebrates</x:v>
      </x:c>
      <x:c r="H58" s="46" t="str">
        <x:v>Molluscs</x:v>
      </x:c>
      <x:c r="I58" s="60" t="n">
        <x:v>3400.9844443001</x:v>
      </x:c>
      <x:c r="J58" s="60" t="n">
        <x:v>1447.5717182007</x:v>
      </x:c>
      <x:c r="K58" s="60" t="n">
        <x:v>1953.4127260994</x:v>
      </x:c>
      <x:c r="L58" s="60" t="n">
        <x:v>483.67013012449996</x:v>
      </x:c>
      <x:c r="M58" s="60" t="n">
        <x:v>2917.3143141756</x:v>
      </x:c>
      <x:c r="N58" s="46" t="str">
        <x:v>mollusca</x:v>
      </x:c>
      <x:c r="O58" s="62" t="n">
        <x:v>2.1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Mollusca</x:v>
      </x:c>
      <x:c r="T58" s="62" t="n">
        <x:f>IF(O58="","",(1/'Metadata'!$B$5)^(O58-1))</x:f>
        <x:v>26.985656953471274</x:v>
      </x:c>
      <x:c r="U58" s="60" t="n">
        <x:f>IF(T58="","",I58*T58)</x:f>
        <x:v>91777.79951797464</x:v>
      </x:c>
    </x:row>
    <x:row r="59" ht="18" customHeight="1">
      <x:c r="A59" s="46" t="str">
        <x:v>LME_050</x:v>
      </x:c>
      <x:c r="B59" s="46" t="str">
        <x:v>Sea of Japan / East Sea</x:v>
      </x:c>
      <x:c r="C59" s="46" t="str">
        <x:v>LME</x:v>
      </x:c>
      <x:c r="D59" s="58" t="n">
        <x:v>2019</x:v>
      </x:c>
      <x:c r="E59" s="46" t="str">
        <x:v>Cephalopoda</x:v>
      </x:c>
      <x:c r="F59" s="46" t="str">
        <x:v>Squids, cuttlefishes, octopuses</x:v>
      </x:c>
      <x:c r="G59" s="46" t="str">
        <x:v>Cephalopods</x:v>
      </x:c>
      <x:c r="H59" s="46" t="str">
        <x:v>Other fishes &amp; inverts</x:v>
      </x:c>
      <x:c r="I59" s="60" t="n">
        <x:v>3367.9123027399</x:v>
      </x:c>
      <x:c r="J59" s="60" t="n">
        <x:v>2655.2004618168</x:v>
      </x:c>
      <x:c r="K59" s="60" t="n">
        <x:v>712.7118409231</x:v>
      </x:c>
      <x:c r="L59" s="60" t="n">
        <x:v>1791.1018275551999</x:v>
      </x:c>
      <x:c r="M59" s="60" t="n">
        <x:v>1576.8104751847002</x:v>
      </x:c>
      <x:c r="N59" s="46" t="str">
        <x:v>cephalopoda</x:v>
      </x:c>
      <x:c r="O59" s="62" t="n">
        <x:v>3.81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Cephalopoda</x:v>
      </x:c>
      <x:c r="T59" s="62" t="n">
        <x:f>IF(O59="","",(1/'Metadata'!$B$5)^(O59-1))</x:f>
        <x:v>4527.873529309382</x:v>
      </x:c>
      <x:c r="U59" s="60" t="n">
        <x:f>IF(T59="","",I59*T59)</x:f>
        <x:v>15249480.9646114</x:v>
      </x:c>
    </x:row>
    <x:row r="60" ht="18" customHeight="1">
      <x:c r="A60" s="46" t="str">
        <x:v>LME_050</x:v>
      </x:c>
      <x:c r="B60" s="46" t="str">
        <x:v>Sea of Japan / East Sea</x:v>
      </x:c>
      <x:c r="C60" s="46" t="str">
        <x:v>LME</x:v>
      </x:c>
      <x:c r="D60" s="58" t="n">
        <x:v>2019</x:v>
      </x:c>
      <x:c r="E60" s="46" t="str">
        <x:v>Trachysalambria curvirostris</x:v>
      </x:c>
      <x:c r="F60" s="46" t="str">
        <x:v>Southern rough shrimp</x:v>
      </x:c>
      <x:c r="G60" s="46" t="str">
        <x:v>Shrimps</x:v>
      </x:c>
      <x:c r="H60" s="46" t="str">
        <x:v>Crustaceans</x:v>
      </x:c>
      <x:c r="I60" s="60" t="n">
        <x:v>3188.2069634037</x:v>
      </x:c>
      <x:c r="J60" s="60" t="n">
        <x:v>3126.6799466374</x:v>
      </x:c>
      <x:c r="K60" s="60" t="n">
        <x:v>61.5270167663</x:v>
      </x:c>
      <x:c r="L60" s="60" t="n">
        <x:v>3126.6799466374</x:v>
      </x:c>
      <x:c r="M60" s="60" t="n">
        <x:v>61.5270167663</x:v>
      </x:c>
      <x:c r="N60" s="46" t="str">
        <x:v>trachysalambria curvirostris</x:v>
      </x:c>
      <x:c r="O60" s="62" t="n">
        <x:v>2.7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Trachysalambria curvirostris</x:v>
      </x:c>
      <x:c r="T60" s="62" t="n">
        <x:f>IF(O60="","",(1/'Metadata'!$B$5)^(O60-1))</x:f>
        <x:v>162.83621261476185</x:v>
      </x:c>
      <x:c r="U60" s="60" t="n">
        <x:f>IF(T60="","",I60*T60)</x:f>
        <x:v>519155.5469526691</x:v>
      </x:c>
    </x:row>
    <x:row r="61" ht="18" customHeight="1">
      <x:c r="A61" s="46" t="str">
        <x:v>LME_050</x:v>
      </x:c>
      <x:c r="B61" s="46" t="str">
        <x:v>Sea of Japan / East Sea</x:v>
      </x:c>
      <x:c r="C61" s="46" t="str">
        <x:v>LME</x:v>
      </x:c>
      <x:c r="D61" s="58" t="n">
        <x:v>2019</x:v>
      </x:c>
      <x:c r="E61" s="46" t="str">
        <x:v>Chionoecetes</x:v>
      </x:c>
      <x:c r="F61" s="46" t="str">
        <x:v>Tanner, snow crabs</x:v>
      </x:c>
      <x:c r="G61" s="46" t="str">
        <x:v>Lobsters, crabs</x:v>
      </x:c>
      <x:c r="H61" s="46" t="str">
        <x:v>Crustaceans</x:v>
      </x:c>
      <x:c r="I61" s="60" t="n">
        <x:v>3171.0199297321</x:v>
      </x:c>
      <x:c r="J61" s="60" t="n">
        <x:v>3171.0199297321</x:v>
      </x:c>
      <x:c r="K61" s="60" t="n">
        <x:v>0</x:v>
      </x:c>
      <x:c r="L61" s="60" t="n">
        <x:v>2248.1803312575</x:v>
      </x:c>
      <x:c r="M61" s="60" t="n">
        <x:v>922.8395984745999</x:v>
      </x:c>
      <x:c r="N61" s="46" t="str">
        <x:v>chionoecetes</x:v>
      </x:c>
      <x:c r="O61" s="62" t="n">
        <x:v>2.3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Chionoecetes</x:v>
      </x:c>
      <x:c r="T61" s="62" t="n">
        <x:f>IF(O61="","",(1/'Metadata'!$B$5)^(O61-1))</x:f>
        <x:v>49.12912104463159</x:v>
      </x:c>
      <x:c r="U61" s="60" t="n">
        <x:f>IF(T61="","",I61*T61)</x:f>
        <x:v>155789.4219627475</x:v>
      </x:c>
    </x:row>
    <x:row r="62" ht="18" customHeight="1">
      <x:c r="A62" s="46" t="str">
        <x:v>LME_050</x:v>
      </x:c>
      <x:c r="B62" s="46" t="str">
        <x:v>Sea of Japan / East Sea</x:v>
      </x:c>
      <x:c r="C62" s="46" t="str">
        <x:v>LME</x:v>
      </x:c>
      <x:c r="D62" s="58" t="n">
        <x:v>2019</x:v>
      </x:c>
      <x:c r="E62" s="46" t="str">
        <x:v>Mallotus villosus</x:v>
      </x:c>
      <x:c r="F62" s="46" t="str">
        <x:v>Capelin</x:v>
      </x:c>
      <x:c r="G62" s="46" t="str">
        <x:v>Small pelagics (&lt;30 cm)</x:v>
      </x:c>
      <x:c r="H62" s="46" t="str">
        <x:v>Salmon, smelts, etc</x:v>
      </x:c>
      <x:c r="I62" s="60" t="n">
        <x:v>3138.7616414576</x:v>
      </x:c>
      <x:c r="J62" s="60" t="n">
        <x:v>1419.4343121396</x:v>
      </x:c>
      <x:c r="K62" s="60" t="n">
        <x:v>1719.327329318</x:v>
      </x:c>
      <x:c r="L62" s="60" t="n">
        <x:v>1127.0318698123</x:v>
      </x:c>
      <x:c r="M62" s="60" t="n">
        <x:v>2011.7297716453</x:v>
      </x:c>
      <x:c r="N62" s="46" t="str">
        <x:v>mallotus villosus</x:v>
      </x:c>
      <x:c r="O62" s="62" t="n">
        <x:v>3.15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Mallotus villosus</x:v>
      </x:c>
      <x:c r="T62" s="62" t="n">
        <x:f>IF(O62="","",(1/'Metadata'!$B$5)^(O62-1))</x:f>
        <x:v>626.9234150652317</x:v>
      </x:c>
      <x:c r="U62" s="60" t="n">
        <x:f>IF(T62="","",I62*T62)</x:f>
        <x:v>1967763.1673383508</x:v>
      </x:c>
    </x:row>
    <x:row r="63" ht="18" customHeight="1">
      <x:c r="A63" s="46" t="str">
        <x:v>LME_050</x:v>
      </x:c>
      <x:c r="B63" s="46" t="str">
        <x:v>Sea of Japan / East Sea</x:v>
      </x:c>
      <x:c r="C63" s="46" t="str">
        <x:v>LME</x:v>
      </x:c>
      <x:c r="D63" s="58" t="n">
        <x:v>2019</x:v>
      </x:c>
      <x:c r="E63" s="46" t="str">
        <x:v>Scombridae</x:v>
      </x:c>
      <x:c r="F63" s="46" t="str">
        <x:v>Mackerels, tunas, bonitos</x:v>
      </x:c>
      <x:c r="G63" s="46" t="str">
        <x:v>Medium pelagics (30 - 89 cm)</x:v>
      </x:c>
      <x:c r="H63" s="46" t="str">
        <x:v>Perch-likes</x:v>
      </x:c>
      <x:c r="I63" s="60" t="n">
        <x:v>2771.0617946872003</x:v>
      </x:c>
      <x:c r="J63" s="60" t="n">
        <x:v>2493.7154578506</x:v>
      </x:c>
      <x:c r="K63" s="60" t="n">
        <x:v>277.3463368366</x:v>
      </x:c>
      <x:c r="L63" s="60" t="n">
        <x:v>2027.1640297777</x:v>
      </x:c>
      <x:c r="M63" s="60" t="n">
        <x:v>743.8977649095</x:v>
      </x:c>
      <x:c r="N63" s="46" t="str">
        <x:v>scombridae</x:v>
      </x:c>
      <x:c r="O63" s="62" t="n">
        <x:v>4.26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Scombridae</x:v>
      </x:c>
      <x:c r="T63" s="62" t="n">
        <x:f>IF(O63="","",(1/'Metadata'!$B$5)^(O63-1))</x:f>
        <x:v>17432.42421569787</x:v>
      </x:c>
      <x:c r="U63" s="60" t="n">
        <x:f>IF(T63="","",I63*T63)</x:f>
        <x:v>48306324.732900344</x:v>
      </x:c>
    </x:row>
    <x:row r="64" ht="18" customHeight="1">
      <x:c r="A64" s="46" t="str">
        <x:v>LME_050</x:v>
      </x:c>
      <x:c r="B64" s="46" t="str">
        <x:v>Sea of Japan / East Sea</x:v>
      </x:c>
      <x:c r="C64" s="46" t="str">
        <x:v>LME</x:v>
      </x:c>
      <x:c r="D64" s="58" t="n">
        <x:v>2019</x:v>
      </x:c>
      <x:c r="E64" s="46" t="str">
        <x:v>Gastropoda</x:v>
      </x:c>
      <x:c r="F64" s="46" t="str">
        <x:v>Sea snails</x:v>
      </x:c>
      <x:c r="G64" s="46" t="str">
        <x:v>Other demersal invertebrates</x:v>
      </x:c>
      <x:c r="H64" s="46" t="str">
        <x:v>Molluscs</x:v>
      </x:c>
      <x:c r="I64" s="60" t="n">
        <x:v>2569.3557668184</x:v>
      </x:c>
      <x:c r="J64" s="60" t="n">
        <x:v>2569.3557668184</x:v>
      </x:c>
      <x:c r="K64" s="60" t="n">
        <x:v>0</x:v>
      </x:c>
      <x:c r="L64" s="60" t="n">
        <x:v>2252.1740324795</x:v>
      </x:c>
      <x:c r="M64" s="60" t="n">
        <x:v>317.18173433889996</x:v>
      </x:c>
      <x:c r="N64" s="46" t="str">
        <x:v>gastropoda</x:v>
      </x:c>
      <x:c r="O64" s="62" t="n">
        <x:v>3.06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Gastropoda</x:v>
      </x:c>
      <x:c r="T64" s="62" t="n">
        <x:f>IF(O64="","",(1/'Metadata'!$B$5)^(O64-1))</x:f>
        <x:v>478.7643354384948</x:v>
      </x:c>
      <x:c r="U64" s="60" t="n">
        <x:f>IF(T64="","",I64*T64)</x:f>
        <x:v>1230115.9062058753</x:v>
      </x:c>
    </x:row>
    <x:row r="65" ht="18" customHeight="1">
      <x:c r="A65" s="46" t="str">
        <x:v>LME_050</x:v>
      </x:c>
      <x:c r="B65" s="46" t="str">
        <x:v>Sea of Japan / East Sea</x:v>
      </x:c>
      <x:c r="C65" s="46" t="str">
        <x:v>LME</x:v>
      </x:c>
      <x:c r="D65" s="58" t="n">
        <x:v>2019</x:v>
      </x:c>
      <x:c r="E65" s="46" t="str">
        <x:v>Thunnus orientalis</x:v>
      </x:c>
      <x:c r="F65" s="46" t="str">
        <x:v>Pacific bluefin tuna</x:v>
      </x:c>
      <x:c r="G65" s="46" t="str">
        <x:v>Large pelagics (&gt;=90 cm)</x:v>
      </x:c>
      <x:c r="H65" s="46" t="str">
        <x:v>Tuna &amp; billfishes</x:v>
      </x:c>
      <x:c r="I65" s="60" t="n">
        <x:v>2392.5562056979</x:v>
      </x:c>
      <x:c r="J65" s="60" t="n">
        <x:v>2357.6090743086</x:v>
      </x:c>
      <x:c r="K65" s="60" t="n">
        <x:v>34.9471313893</x:v>
      </x:c>
      <x:c r="L65" s="60" t="n">
        <x:v>2357.6090743086</x:v>
      </x:c>
      <x:c r="M65" s="60" t="n">
        <x:v>34.9471313893</x:v>
      </x:c>
      <x:c r="N65" s="46" t="str">
        <x:v>thunnus orientalis</x:v>
      </x:c>
      <x:c r="O65" s="62" t="n">
        <x:v>4.05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Thunnus orientalis</x:v>
      </x:c>
      <x:c r="T65" s="62" t="n">
        <x:f>IF(O65="","",(1/'Metadata'!$B$5)^(O65-1))</x:f>
        <x:v>9292.690797132333</x:v>
      </x:c>
      <x:c r="U65" s="60" t="n">
        <x:f>IF(T65="","",I65*T65)</x:f>
        <x:v>22233285.03431073</x:v>
      </x:c>
    </x:row>
    <x:row r="66" ht="18" customHeight="1">
      <x:c r="A66" s="46" t="str">
        <x:v>LME_050</x:v>
      </x:c>
      <x:c r="B66" s="46" t="str">
        <x:v>Sea of Japan / East Sea</x:v>
      </x:c>
      <x:c r="C66" s="46" t="str">
        <x:v>LME</x:v>
      </x:c>
      <x:c r="D66" s="58" t="n">
        <x:v>2019</x:v>
      </x:c>
      <x:c r="E66" s="46" t="str">
        <x:v>Portunus pelagicus</x:v>
      </x:c>
      <x:c r="F66" s="46" t="str">
        <x:v>Blue swimming crab</x:v>
      </x:c>
      <x:c r="G66" s="46" t="str">
        <x:v>Lobsters, crabs</x:v>
      </x:c>
      <x:c r="H66" s="46" t="str">
        <x:v>Crustaceans</x:v>
      </x:c>
      <x:c r="I66" s="60" t="n">
        <x:v>2319.0927177256</x:v>
      </x:c>
      <x:c r="J66" s="60" t="n">
        <x:v>2300.9755189139</x:v>
      </x:c>
      <x:c r="K66" s="60" t="n">
        <x:v>18.1171988117</x:v>
      </x:c>
      <x:c r="L66" s="60" t="n">
        <x:v>2300.9755189139</x:v>
      </x:c>
      <x:c r="M66" s="60" t="n">
        <x:v>18.1171988117</x:v>
      </x:c>
      <x:c r="N66" s="46" t="str">
        <x:v>portunus pelagicus</x:v>
      </x:c>
      <x:c r="O66" s="62" t="n">
        <x:v>2.48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Portunus pelagicus</x:v>
      </x:c>
      <x:c r="T66" s="62" t="n">
        <x:f>IF(O66="","",(1/'Metadata'!$B$5)^(O66-1))</x:f>
        <x:v>84.24117069429444</x:v>
      </x:c>
      <x:c r="U66" s="60" t="n">
        <x:f>IF(T66="","",I66*T66)</x:f>
        <x:v>195363.08548981746</x:v>
      </x:c>
    </x:row>
    <x:row r="67" ht="18" customHeight="1">
      <x:c r="A67" s="46" t="str">
        <x:v>LME_050</x:v>
      </x:c>
      <x:c r="B67" s="46" t="str">
        <x:v>Sea of Japan / East Sea</x:v>
      </x:c>
      <x:c r="C67" s="46" t="str">
        <x:v>LME</x:v>
      </x:c>
      <x:c r="D67" s="58" t="n">
        <x:v>2019</x:v>
      </x:c>
      <x:c r="E67" s="46" t="str">
        <x:v>Paralichthys olivaceus</x:v>
      </x:c>
      <x:c r="F67" s="46" t="str">
        <x:v>Bastard halibut</x:v>
      </x:c>
      <x:c r="G67" s="46" t="str">
        <x:v>Large flatfishes (&gt;=90 cm)</x:v>
      </x:c>
      <x:c r="H67" s="46" t="str">
        <x:v>Flatfishes</x:v>
      </x:c>
      <x:c r="I67" s="60" t="n">
        <x:v>2264.136058404</x:v>
      </x:c>
      <x:c r="J67" s="60" t="n">
        <x:v>2133.8997572248</x:v>
      </x:c>
      <x:c r="K67" s="60" t="n">
        <x:v>130.23630117919998</x:v>
      </x:c>
      <x:c r="L67" s="60" t="n">
        <x:v>1960.1953785590001</x:v>
      </x:c>
      <x:c r="M67" s="60" t="n">
        <x:v>303.940679845</x:v>
      </x:c>
      <x:c r="N67" s="46" t="str">
        <x:v>paralichthys olivaceus</x:v>
      </x:c>
      <x:c r="O67" s="62" t="n">
        <x:v>4.25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Paralichthys olivaceus</x:v>
      </x:c>
      <x:c r="T67" s="62" t="n">
        <x:f>IF(O67="","",(1/'Metadata'!$B$5)^(O67-1))</x:f>
        <x:v>16917.940215049024</x:v>
      </x:c>
      <x:c r="U67" s="60" t="n">
        <x:f>IF(T67="","",I67*T67)</x:f>
        <x:v>38304518.474815615</x:v>
      </x:c>
    </x:row>
    <x:row r="68" ht="18" customHeight="1">
      <x:c r="A68" s="46" t="str">
        <x:v>LME_050</x:v>
      </x:c>
      <x:c r="B68" s="46" t="str">
        <x:v>Sea of Japan / East Sea</x:v>
      </x:c>
      <x:c r="C68" s="46" t="str">
        <x:v>LME</x:v>
      </x:c>
      <x:c r="D68" s="58" t="n">
        <x:v>2019</x:v>
      </x:c>
      <x:c r="E68" s="46" t="str">
        <x:v>Dussumieria</x:v>
      </x:c>
      <x:c r="F68" s="46" t="str">
        <x:v>Rainbow sardines</x:v>
      </x:c>
      <x:c r="G68" s="46" t="str">
        <x:v>Small pelagics (&lt;30 cm)</x:v>
      </x:c>
      <x:c r="H68" s="46" t="str">
        <x:v>Herring-likes</x:v>
      </x:c>
      <x:c r="I68" s="60" t="n">
        <x:v>2244.9874722934</x:v>
      </x:c>
      <x:c r="J68" s="60" t="n">
        <x:v>2183.0587362171</x:v>
      </x:c>
      <x:c r="K68" s="60" t="n">
        <x:v>61.9287360763</x:v>
      </x:c>
      <x:c r="L68" s="60" t="n">
        <x:v>2183.0587362171</x:v>
      </x:c>
      <x:c r="M68" s="60" t="n">
        <x:v>61.9287360763</x:v>
      </x:c>
      <x:c r="N68" s="46" t="str">
        <x:v>dussumieria</x:v>
      </x:c>
      <x:c r="O68" s="62" t="n">
        <x:v>3.4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Dussumieria</x:v>
      </x:c>
      <x:c r="T68" s="62" t="n">
        <x:f>IF(O68="","",(1/'Metadata'!$B$5)^(O68-1))</x:f>
        <x:v>1325.7816069359944</x:v>
      </x:c>
      <x:c r="U68" s="60" t="n">
        <x:f>IF(T68="","",I68*T68)</x:f>
        <x:v>2976363.0985683203</x:v>
      </x:c>
    </x:row>
    <x:row r="69" ht="18" customHeight="1">
      <x:c r="A69" s="46" t="str">
        <x:v>LME_050</x:v>
      </x:c>
      <x:c r="B69" s="46" t="str">
        <x:v>Sea of Japan / East Sea</x:v>
      </x:c>
      <x:c r="C69" s="46" t="str">
        <x:v>LME</x:v>
      </x:c>
      <x:c r="D69" s="58" t="n">
        <x:v>2019</x:v>
      </x:c>
      <x:c r="E69" s="46" t="str">
        <x:v>Thunnus obesus</x:v>
      </x:c>
      <x:c r="F69" s="46" t="str">
        <x:v>Bigeye tuna</x:v>
      </x:c>
      <x:c r="G69" s="46" t="str">
        <x:v>Large pelagics (&gt;=90 cm)</x:v>
      </x:c>
      <x:c r="H69" s="46" t="str">
        <x:v>Tuna &amp; billfishes</x:v>
      </x:c>
      <x:c r="I69" s="60" t="n">
        <x:v>2173.3610476171</x:v>
      </x:c>
      <x:c r="J69" s="60" t="n">
        <x:v>2173.3370555184</x:v>
      </x:c>
      <x:c r="K69" s="60" t="n">
        <x:v>0.0239920987</x:v>
      </x:c>
      <x:c r="L69" s="60" t="n">
        <x:v>2173.3370555184</x:v>
      </x:c>
      <x:c r="M69" s="60" t="n">
        <x:v>0.0239920987</x:v>
      </x:c>
      <x:c r="N69" s="46" t="str">
        <x:v>thunnus obesus</x:v>
      </x:c>
      <x:c r="O69" s="62" t="n">
        <x:v>4.49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Thunnus obesus</x:v>
      </x:c>
      <x:c r="T69" s="62" t="n">
        <x:f>IF(O69="","",(1/'Metadata'!$B$5)^(O69-1))</x:f>
        <x:v>34721.19667768202</x:v>
      </x:c>
      <x:c r="U69" s="60" t="n">
        <x:f>IF(T69="","",I69*T69)</x:f>
        <x:v>75461696.38592637</x:v>
      </x:c>
    </x:row>
    <x:row r="70" ht="18" customHeight="1">
      <x:c r="A70" s="46" t="str">
        <x:v>LME_050</x:v>
      </x:c>
      <x:c r="B70" s="46" t="str">
        <x:v>Sea of Japan / East Sea</x:v>
      </x:c>
      <x:c r="C70" s="46" t="str">
        <x:v>LME</x:v>
      </x:c>
      <x:c r="D70" s="58" t="n">
        <x:v>2019</x:v>
      </x:c>
      <x:c r="E70" s="46" t="str">
        <x:v>Batoidea</x:v>
      </x:c>
      <x:c r="F70" s="46" t="str">
        <x:v>Batoids, skates, rays, sawfishes</x:v>
      </x:c>
      <x:c r="G70" s="46" t="str">
        <x:v>Large rays (&gt;=90 cm)</x:v>
      </x:c>
      <x:c r="H70" s="46" t="str">
        <x:v>Sharks &amp; rays</x:v>
      </x:c>
      <x:c r="I70" s="60" t="n">
        <x:v>2134.1057019592</x:v>
      </x:c>
      <x:c r="J70" s="60" t="n">
        <x:v>0</x:v>
      </x:c>
      <x:c r="K70" s="60" t="n">
        <x:v>2134.1057019592</x:v>
      </x:c>
      <x:c r="L70" s="60" t="n">
        <x:v>0</x:v>
      </x:c>
      <x:c r="M70" s="60" t="n">
        <x:v>2134.1057019592</x:v>
      </x:c>
      <x:c r="N70" s="46" t="str">
        <x:v>batoidea</x:v>
      </x:c>
      <x:c r="O70" s="62" t="n">
        <x:v>3.72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Batoidea</x:v>
      </x:c>
      <x:c r="T70" s="62" t="n">
        <x:f>IF(O70="","",(1/'Metadata'!$B$5)^(O70-1))</x:f>
        <x:v>3457.8136804537753</x:v>
      </x:c>
      <x:c r="U70" s="60" t="n">
        <x:f>IF(T70="","",I70*T70)</x:f>
        <x:v>7379339.891768929</x:v>
      </x:c>
    </x:row>
    <x:row r="71" ht="18" customHeight="1">
      <x:c r="A71" s="46" t="str">
        <x:v>LME_050</x:v>
      </x:c>
      <x:c r="B71" s="46" t="str">
        <x:v>Sea of Japan / East Sea</x:v>
      </x:c>
      <x:c r="C71" s="46" t="str">
        <x:v>LME</x:v>
      </x:c>
      <x:c r="D71" s="58" t="n">
        <x:v>2019</x:v>
      </x:c>
      <x:c r="E71" s="46" t="str">
        <x:v>Epinephelus</x:v>
      </x:c>
      <x:c r="F71" s="46" t="str">
        <x:v>Seabasses, hinds</x:v>
      </x:c>
      <x:c r="G71" s="46" t="str">
        <x:v>Medium reef assoc. fish (30 - 89 cm)</x:v>
      </x:c>
      <x:c r="H71" s="46" t="str">
        <x:v>Perch-likes</x:v>
      </x:c>
      <x:c r="I71" s="60" t="n">
        <x:v>2006.4264569084999</x:v>
      </x:c>
      <x:c r="J71" s="60" t="n">
        <x:v>2006.4264569084999</x:v>
      </x:c>
      <x:c r="K71" s="60" t="n">
        <x:v>0</x:v>
      </x:c>
      <x:c r="L71" s="60" t="n">
        <x:v>2006.4264569084999</x:v>
      </x:c>
      <x:c r="M71" s="60" t="n">
        <x:v>0</x:v>
      </x:c>
      <x:c r="N71" s="46" t="str">
        <x:v>epinephelus</x:v>
      </x:c>
      <x:c r="O71" s="62" t="n">
        <x:v>3.84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Epinephelus</x:v>
      </x:c>
      <x:c r="T71" s="62" t="n">
        <x:f>IF(O71="","",(1/'Metadata'!$B$5)^(O71-1))</x:f>
        <x:v>4953.648510535111</x:v>
      </x:c>
      <x:c r="U71" s="60" t="n">
        <x:f>IF(T71="","",I71*T71)</x:f>
        <x:v>9939131.42976303</x:v>
      </x:c>
    </x:row>
    <x:row r="72" ht="18" customHeight="1">
      <x:c r="A72" s="46" t="str">
        <x:v>LME_050</x:v>
      </x:c>
      <x:c r="B72" s="46" t="str">
        <x:v>Sea of Japan / East Sea</x:v>
      </x:c>
      <x:c r="C72" s="46" t="str">
        <x:v>LME</x:v>
      </x:c>
      <x:c r="D72" s="58" t="n">
        <x:v>2019</x:v>
      </x:c>
      <x:c r="E72" s="46" t="str">
        <x:v>Monacanthidae</x:v>
      </x:c>
      <x:c r="F72" s="46" t="str">
        <x:v>Filefishes</x:v>
      </x:c>
      <x:c r="G72" s="46" t="str">
        <x:v>Medium reef assoc. fish (30 - 89 cm)</x:v>
      </x:c>
      <x:c r="H72" s="46" t="str">
        <x:v>Other fishes &amp; inverts</x:v>
      </x:c>
      <x:c r="I72" s="60" t="n">
        <x:v>1969.8381574356001</x:v>
      </x:c>
      <x:c r="J72" s="60" t="n">
        <x:v>1969.8381574356001</x:v>
      </x:c>
      <x:c r="K72" s="60" t="n">
        <x:v>0</x:v>
      </x:c>
      <x:c r="L72" s="60" t="n">
        <x:v>1969.8381574356001</x:v>
      </x:c>
      <x:c r="M72" s="60" t="n">
        <x:v>0</x:v>
      </x:c>
      <x:c r="N72" s="46" t="str">
        <x:v>monacanthidae</x:v>
      </x:c>
      <x:c r="O72" s="62" t="n">
        <x:v>3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Monacanthidae</x:v>
      </x:c>
      <x:c r="T72" s="62" t="n">
        <x:f>IF(O72="","",(1/'Metadata'!$B$5)^(O72-1))</x:f>
        <x:v>400</x:v>
      </x:c>
      <x:c r="U72" s="60" t="n">
        <x:f>IF(T72="","",I72*T72)</x:f>
        <x:v>787935.26297424</x:v>
      </x:c>
    </x:row>
    <x:row r="73" ht="18" customHeight="1">
      <x:c r="A73" s="46" t="str">
        <x:v>LME_050</x:v>
      </x:c>
      <x:c r="B73" s="46" t="str">
        <x:v>Sea of Japan / East Sea</x:v>
      </x:c>
      <x:c r="C73" s="46" t="str">
        <x:v>LME</x:v>
      </x:c>
      <x:c r="D73" s="58" t="n">
        <x:v>2019</x:v>
      </x:c>
      <x:c r="E73" s="46" t="str">
        <x:v>Mizuhopecten yessoensis</x:v>
      </x:c>
      <x:c r="F73" s="46" t="str">
        <x:v>Yesso scallop</x:v>
      </x:c>
      <x:c r="G73" s="46" t="str">
        <x:v>Other demersal invertebrates</x:v>
      </x:c>
      <x:c r="H73" s="46" t="str">
        <x:v>Molluscs</x:v>
      </x:c>
      <x:c r="I73" s="60" t="n">
        <x:v>1891.9218201457998</x:v>
      </x:c>
      <x:c r="J73" s="60" t="n">
        <x:v>1891.9218201457998</x:v>
      </x:c>
      <x:c r="K73" s="60" t="n">
        <x:v>0</x:v>
      </x:c>
      <x:c r="L73" s="60" t="n">
        <x:v>1472.2607792345</x:v>
      </x:c>
      <x:c r="M73" s="60" t="n">
        <x:v>419.66104091129995</x:v>
      </x:c>
      <x:c r="N73" s="46" t="str">
        <x:v>mizuhopecten yessoensis</x:v>
      </x:c>
      <x:c r="O73" s="62" t="n">
        <x:v>2.1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Mizuhopecten yessoensis</x:v>
      </x:c>
      <x:c r="T73" s="62" t="n">
        <x:f>IF(O73="","",(1/'Metadata'!$B$5)^(O73-1))</x:f>
        <x:v>26.985656953471274</x:v>
      </x:c>
      <x:c r="U73" s="60" t="n">
        <x:f>IF(T73="","",I73*T73)</x:f>
        <x:v>51054.75322124153</x:v>
      </x:c>
    </x:row>
    <x:row r="74" ht="18" customHeight="1">
      <x:c r="A74" s="46" t="str">
        <x:v>LME_050</x:v>
      </x:c>
      <x:c r="B74" s="46" t="str">
        <x:v>Sea of Japan / East Sea</x:v>
      </x:c>
      <x:c r="C74" s="46" t="str">
        <x:v>LME</x:v>
      </x:c>
      <x:c r="D74" s="58" t="n">
        <x:v>2019</x:v>
      </x:c>
      <x:c r="E74" s="46" t="str">
        <x:v>Chionoecetes opilio</x:v>
      </x:c>
      <x:c r="F74" s="46" t="str">
        <x:v>Snow crab</x:v>
      </x:c>
      <x:c r="G74" s="46" t="str">
        <x:v>Lobsters, crabs</x:v>
      </x:c>
      <x:c r="H74" s="46" t="str">
        <x:v>Crustaceans</x:v>
      </x:c>
      <x:c r="I74" s="60" t="n">
        <x:v>1836.0549582567999</x:v>
      </x:c>
      <x:c r="J74" s="60" t="n">
        <x:v>1811.5485374029</x:v>
      </x:c>
      <x:c r="K74" s="60" t="n">
        <x:v>24.5064208539</x:v>
      </x:c>
      <x:c r="L74" s="60" t="n">
        <x:v>1811.5485374029</x:v>
      </x:c>
      <x:c r="M74" s="60" t="n">
        <x:v>24.5064208539</x:v>
      </x:c>
      <x:c r="N74" s="46" t="str">
        <x:v>chionoecetes opilio</x:v>
      </x:c>
      <x:c r="O74" s="62" t="n">
        <x:v>3.54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Chionoecetes opilio</x:v>
      </x:c>
      <x:c r="T74" s="62" t="n">
        <x:f>IF(O74="","",(1/'Metadata'!$B$5)^(O74-1))</x:f>
        <x:v>2016.5834052007342</x:v>
      </x:c>
      <x:c r="U74" s="60" t="n">
        <x:f>IF(T74="","",I74*T74)</x:f>
        <x:v>3702557.9598571896</x:v>
      </x:c>
    </x:row>
    <x:row r="75" ht="18" customHeight="1">
      <x:c r="A75" s="46" t="str">
        <x:v>LME_050</x:v>
      </x:c>
      <x:c r="B75" s="46" t="str">
        <x:v>Sea of Japan / East Sea</x:v>
      </x:c>
      <x:c r="C75" s="46" t="str">
        <x:v>LME</x:v>
      </x:c>
      <x:c r="D75" s="58" t="n">
        <x:v>2019</x:v>
      </x:c>
      <x:c r="E75" s="46" t="str">
        <x:v>Reinhardtius hippoglossoides</x:v>
      </x:c>
      <x:c r="F75" s="46" t="str">
        <x:v>Greenland halibut</x:v>
      </x:c>
      <x:c r="G75" s="46" t="str">
        <x:v>Small to medium flatfishes (&lt;90 cm)</x:v>
      </x:c>
      <x:c r="H75" s="46" t="str">
        <x:v>Flatfishes</x:v>
      </x:c>
      <x:c r="I75" s="60" t="n">
        <x:v>1748.4783287180999</x:v>
      </x:c>
      <x:c r="J75" s="60" t="n">
        <x:v>1522.5981154079998</x:v>
      </x:c>
      <x:c r="K75" s="60" t="n">
        <x:v>225.8802133101</x:v>
      </x:c>
      <x:c r="L75" s="60" t="n">
        <x:v>1059.4007451357</x:v>
      </x:c>
      <x:c r="M75" s="60" t="n">
        <x:v>689.0775835823999</x:v>
      </x:c>
      <x:c r="N75" s="46" t="str">
        <x:v>reinhardtius hippoglossoides</x:v>
      </x:c>
      <x:c r="O75" s="62" t="n">
        <x:v>4.38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Reinhardtius hippoglossoides</x:v>
      </x:c>
      <x:c r="T75" s="62" t="n">
        <x:f>IF(O75="","",(1/'Metadata'!$B$5)^(O75-1))</x:f>
        <x:v>24973.6134538561</x:v>
      </x:c>
      <x:c r="U75" s="60" t="n">
        <x:f>IF(T75="","",I75*T75)</x:f>
        <x:v>43665821.913850166</x:v>
      </x:c>
    </x:row>
    <x:row r="76" ht="18" customHeight="1">
      <x:c r="A76" s="46" t="str">
        <x:v>LME_050</x:v>
      </x:c>
      <x:c r="B76" s="46" t="str">
        <x:v>Sea of Japan / East Sea</x:v>
      </x:c>
      <x:c r="C76" s="46" t="str">
        <x:v>LME</x:v>
      </x:c>
      <x:c r="D76" s="58" t="n">
        <x:v>2019</x:v>
      </x:c>
      <x:c r="E76" s="46" t="str">
        <x:v>Lateolabrax japonicus</x:v>
      </x:c>
      <x:c r="F76" s="46" t="str">
        <x:v>Japanese seabass</x:v>
      </x:c>
      <x:c r="G76" s="46" t="str">
        <x:v>Medium reef assoc. fish (30 - 89 cm)</x:v>
      </x:c>
      <x:c r="H76" s="46" t="str">
        <x:v>Perch-likes</x:v>
      </x:c>
      <x:c r="I76" s="60" t="n">
        <x:v>1721.4982416025</x:v>
      </x:c>
      <x:c r="J76" s="60" t="n">
        <x:v>1373.897573298</x:v>
      </x:c>
      <x:c r="K76" s="60" t="n">
        <x:v>347.6006683045</x:v>
      </x:c>
      <x:c r="L76" s="60" t="n">
        <x:v>1275.6438373285</x:v>
      </x:c>
      <x:c r="M76" s="60" t="n">
        <x:v>445.854404274</x:v>
      </x:c>
      <x:c r="N76" s="46" t="str">
        <x:v>lateolabrax japonicus</x:v>
      </x:c>
      <x:c r="O76" s="62" t="n">
        <x:v>3.36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Lateolabrax japonicus</x:v>
      </x:c>
      <x:c r="T76" s="62" t="n">
        <x:f>IF(O76="","",(1/'Metadata'!$B$5)^(O76-1))</x:f>
        <x:v>1176.0635493805207</x:v>
      </x:c>
      <x:c r="U76" s="60" t="n">
        <x:f>IF(T76="","",I76*T76)</x:f>
        <x:v>2024591.3322713613</x:v>
      </x:c>
    </x:row>
    <x:row r="77" ht="18" customHeight="1">
      <x:c r="A77" s="46" t="str">
        <x:v>LME_050</x:v>
      </x:c>
      <x:c r="B77" s="46" t="str">
        <x:v>Sea of Japan / East Sea</x:v>
      </x:c>
      <x:c r="C77" s="46" t="str">
        <x:v>LME</x:v>
      </x:c>
      <x:c r="D77" s="58" t="n">
        <x:v>2019</x:v>
      </x:c>
      <x:c r="E77" s="46" t="str">
        <x:v>Gadidae</x:v>
      </x:c>
      <x:c r="F77" s="46" t="str">
        <x:v>Cods, haddocks</x:v>
      </x:c>
      <x:c r="G77" s="46" t="str">
        <x:v>Medium demersals (30 - 89 cm)</x:v>
      </x:c>
      <x:c r="H77" s="46" t="str">
        <x:v>Cod-likes</x:v>
      </x:c>
      <x:c r="I77" s="60" t="n">
        <x:v>1712.9164703331</x:v>
      </x:c>
      <x:c r="J77" s="60" t="n">
        <x:v>1712.9164703331</x:v>
      </x:c>
      <x:c r="K77" s="60" t="n">
        <x:v>0</x:v>
      </x:c>
      <x:c r="L77" s="60" t="n">
        <x:v>0</x:v>
      </x:c>
      <x:c r="M77" s="60" t="n">
        <x:v>1712.9164703331</x:v>
      </x:c>
      <x:c r="N77" s="46" t="str">
        <x:v>gadidae</x:v>
      </x:c>
      <x:c r="O77" s="62" t="n">
        <x:v>3.84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Gadidae</x:v>
      </x:c>
      <x:c r="T77" s="62" t="n">
        <x:f>IF(O77="","",(1/'Metadata'!$B$5)^(O77-1))</x:f>
        <x:v>4953.648510535111</x:v>
      </x:c>
      <x:c r="U77" s="60" t="n">
        <x:f>IF(T77="","",I77*T77)</x:f>
        <x:v>8485186.121936621</x:v>
      </x:c>
    </x:row>
    <x:row r="78" ht="18" customHeight="1">
      <x:c r="A78" s="46" t="str">
        <x:v>LME_050</x:v>
      </x:c>
      <x:c r="B78" s="46" t="str">
        <x:v>Sea of Japan / East Sea</x:v>
      </x:c>
      <x:c r="C78" s="46" t="str">
        <x:v>LME</x:v>
      </x:c>
      <x:c r="D78" s="58" t="n">
        <x:v>2019</x:v>
      </x:c>
      <x:c r="E78" s="46" t="str">
        <x:v>Apostichopus japonicus</x:v>
      </x:c>
      <x:c r="F78" s="46" t="str">
        <x:v>Japanese sea cucumber</x:v>
      </x:c>
      <x:c r="G78" s="46" t="str">
        <x:v>Other demersal invertebrates</x:v>
      </x:c>
      <x:c r="H78" s="46" t="str">
        <x:v>Other fishes &amp; inverts</x:v>
      </x:c>
      <x:c r="I78" s="60" t="n">
        <x:v>1708.9234404296</x:v>
      </x:c>
      <x:c r="J78" s="60" t="n">
        <x:v>1708.9234404296</x:v>
      </x:c>
      <x:c r="K78" s="60" t="n">
        <x:v>0</x:v>
      </x:c>
      <x:c r="L78" s="60" t="n">
        <x:v>1699.0777214566</x:v>
      </x:c>
      <x:c r="M78" s="60" t="n">
        <x:v>9.845718972999999</x:v>
      </x:c>
      <x:c r="N78" s="46" t="str">
        <x:v>apostichopus japonicus</x:v>
      </x:c>
      <x:c r="O78" s="62" t="n">
        <x:v>2.3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Apostichopus japonicus</x:v>
      </x:c>
      <x:c r="T78" s="62" t="n">
        <x:f>IF(O78="","",(1/'Metadata'!$B$5)^(O78-1))</x:f>
        <x:v>49.12912104463159</x:v>
      </x:c>
      <x:c r="U78" s="60" t="n">
        <x:f>IF(T78="","",I78*T78)</x:f>
        <x:v>83957.90656087408</x:v>
      </x:c>
    </x:row>
    <x:row r="79" ht="18" customHeight="1">
      <x:c r="A79" s="46" t="str">
        <x:v>LME_050</x:v>
      </x:c>
      <x:c r="B79" s="46" t="str">
        <x:v>Sea of Japan / East Sea</x:v>
      </x:c>
      <x:c r="C79" s="46" t="str">
        <x:v>LME</x:v>
      </x:c>
      <x:c r="D79" s="58" t="n">
        <x:v>2019</x:v>
      </x:c>
      <x:c r="E79" s="46" t="str">
        <x:v>Paralithodes camtschaticus</x:v>
      </x:c>
      <x:c r="F79" s="46" t="str">
        <x:v>Red king crab</x:v>
      </x:c>
      <x:c r="G79" s="46" t="str">
        <x:v>Lobsters, crabs</x:v>
      </x:c>
      <x:c r="H79" s="46" t="str">
        <x:v>Crustaceans</x:v>
      </x:c>
      <x:c r="I79" s="60" t="n">
        <x:v>1673.4641804523</x:v>
      </x:c>
      <x:c r="J79" s="60" t="n">
        <x:v>1673.4641804523</x:v>
      </x:c>
      <x:c r="K79" s="60" t="n">
        <x:v>0</x:v>
      </x:c>
      <x:c r="L79" s="60" t="n">
        <x:v>959.0197912589</x:v>
      </x:c>
      <x:c r="M79" s="60" t="n">
        <x:v>714.4443891934001</x:v>
      </x:c>
      <x:c r="N79" s="46" t="str">
        <x:v>paralithodes camtschaticus</x:v>
      </x:c>
      <x:c r="O79" s="62" t="n">
        <x:v>3.7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Paralithodes camtschaticus</x:v>
      </x:c>
      <x:c r="T79" s="62" t="n">
        <x:f>IF(O79="","",(1/'Metadata'!$B$5)^(O79-1))</x:f>
        <x:v>3256.724252295237</x:v>
      </x:c>
      <x:c r="U79" s="60" t="n">
        <x:f>IF(T79="","",I79*T79)</x:f>
        <x:v>5450011.381826378</x:v>
      </x:c>
    </x:row>
    <x:row r="80" ht="18" customHeight="1">
      <x:c r="A80" s="46" t="str">
        <x:v>LME_050</x:v>
      </x:c>
      <x:c r="B80" s="46" t="str">
        <x:v>Sea of Japan / East Sea</x:v>
      </x:c>
      <x:c r="C80" s="46" t="str">
        <x:v>LME</x:v>
      </x:c>
      <x:c r="D80" s="58" t="n">
        <x:v>2019</x:v>
      </x:c>
      <x:c r="E80" s="46" t="str">
        <x:v>Tetraodontidae</x:v>
      </x:c>
      <x:c r="F80" s="46" t="str">
        <x:v>Puffers, tobies</x:v>
      </x:c>
      <x:c r="G80" s="46" t="str">
        <x:v>Large reef assoc. fish (&gt;=90 cm)</x:v>
      </x:c>
      <x:c r="H80" s="46" t="str">
        <x:v>Other fishes &amp; inverts</x:v>
      </x:c>
      <x:c r="I80" s="60" t="n">
        <x:v>1662.6804963862999</x:v>
      </x:c>
      <x:c r="J80" s="60" t="n">
        <x:v>1558.0270080635</x:v>
      </x:c>
      <x:c r="K80" s="60" t="n">
        <x:v>104.6534883228</x:v>
      </x:c>
      <x:c r="L80" s="60" t="n">
        <x:v>1479.0372221669</x:v>
      </x:c>
      <x:c r="M80" s="60" t="n">
        <x:v>183.6432742194</x:v>
      </x:c>
      <x:c r="N80" s="46" t="str">
        <x:v>tetraodontidae</x:v>
      </x:c>
      <x:c r="O80" s="62" t="n">
        <x:v>3.5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Tetraodontidae</x:v>
      </x:c>
      <x:c r="T80" s="62" t="n">
        <x:f>IF(O80="","",(1/'Metadata'!$B$5)^(O80-1))</x:f>
        <x:v>1788.8543819998317</x:v>
      </x:c>
      <x:c r="U80" s="60" t="n">
        <x:f>IF(T80="","",I80*T80)</x:f>
        <x:v>2974293.2918262878</x:v>
      </x:c>
    </x:row>
    <x:row r="81" ht="18" customHeight="1">
      <x:c r="A81" s="46" t="str">
        <x:v>LME_050</x:v>
      </x:c>
      <x:c r="B81" s="46" t="str">
        <x:v>Sea of Japan / East Sea</x:v>
      </x:c>
      <x:c r="C81" s="46" t="str">
        <x:v>LME</x:v>
      </x:c>
      <x:c r="D81" s="58" t="n">
        <x:v>2019</x:v>
      </x:c>
      <x:c r="E81" s="46" t="str">
        <x:v>Xiphias gladius</x:v>
      </x:c>
      <x:c r="F81" s="46" t="str">
        <x:v>Swordfish</x:v>
      </x:c>
      <x:c r="G81" s="46" t="str">
        <x:v>Large pelagics (&gt;=90 cm)</x:v>
      </x:c>
      <x:c r="H81" s="46" t="str">
        <x:v>Tuna &amp; billfishes</x:v>
      </x:c>
      <x:c r="I81" s="60" t="n">
        <x:v>1596.1465381572</x:v>
      </x:c>
      <x:c r="J81" s="60" t="n">
        <x:v>1596.1464849409</x:v>
      </x:c>
      <x:c r="K81" s="60" t="n">
        <x:v>0.0000532163</x:v>
      </x:c>
      <x:c r="L81" s="60" t="n">
        <x:v>1596.1464849409</x:v>
      </x:c>
      <x:c r="M81" s="60" t="n">
        <x:v>0.0000532163</x:v>
      </x:c>
      <x:c r="N81" s="46" t="str">
        <x:v>xiphias gladius</x:v>
      </x:c>
      <x:c r="O81" s="62" t="n">
        <x:v>4.53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Xiphias gladius</x:v>
      </x:c>
      <x:c r="T81" s="62" t="n">
        <x:f>IF(O81="","",(1/'Metadata'!$B$5)^(O81-1))</x:f>
        <x:v>39141.35758252625</x:v>
      </x:c>
      <x:c r="U81" s="60" t="n">
        <x:f>IF(T81="","",I81*T81)</x:f>
        <x:v>62475342.404122345</x:v>
      </x:c>
    </x:row>
    <x:row r="82" ht="18" customHeight="1">
      <x:c r="A82" s="46" t="str">
        <x:v>LME_050</x:v>
      </x:c>
      <x:c r="B82" s="46" t="str">
        <x:v>Sea of Japan / East Sea</x:v>
      </x:c>
      <x:c r="C82" s="46" t="str">
        <x:v>LME</x:v>
      </x:c>
      <x:c r="D82" s="58" t="n">
        <x:v>2019</x:v>
      </x:c>
      <x:c r="E82" s="46" t="str">
        <x:v>Acetes japonicus</x:v>
      </x:c>
      <x:c r="F82" s="46" t="str">
        <x:v>Akiami paste shrimp</x:v>
      </x:c>
      <x:c r="G82" s="46" t="str">
        <x:v>Shrimps</x:v>
      </x:c>
      <x:c r="H82" s="46" t="str">
        <x:v>Crustaceans</x:v>
      </x:c>
      <x:c r="I82" s="60" t="n">
        <x:v>1569.8844128597</x:v>
      </x:c>
      <x:c r="J82" s="60" t="n">
        <x:v>1569.8844128597</x:v>
      </x:c>
      <x:c r="K82" s="60" t="n">
        <x:v>0</x:v>
      </x:c>
      <x:c r="L82" s="60" t="n">
        <x:v>1569.8844128597</x:v>
      </x:c>
      <x:c r="M82" s="60" t="n">
        <x:v>0</x:v>
      </x:c>
      <x:c r="N82" s="46" t="str">
        <x:v>acetes japonicus</x:v>
      </x:c>
      <x:c r="O82" s="62" t="n">
        <x:v>2.54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Acetes japonicus</x:v>
      </x:c>
      <x:c r="T82" s="62" t="n">
        <x:f>IF(O82="","",(1/'Metadata'!$B$5)^(O82-1))</x:f>
        <x:v>100.8291702600367</x:v>
      </x:c>
      <x:c r="U82" s="60" t="n">
        <x:f>IF(T82="","",I82*T82)</x:f>
        <x:v>158290.14275280843</x:v>
      </x:c>
    </x:row>
    <x:row r="83" ht="18" customHeight="1">
      <x:c r="A83" s="46" t="str">
        <x:v>LME_050</x:v>
      </x:c>
      <x:c r="B83" s="46" t="str">
        <x:v>Sea of Japan / East Sea</x:v>
      </x:c>
      <x:c r="C83" s="46" t="str">
        <x:v>LME</x:v>
      </x:c>
      <x:c r="D83" s="58" t="n">
        <x:v>2019</x:v>
      </x:c>
      <x:c r="E83" s="46" t="str">
        <x:v>Moridae</x:v>
      </x:c>
      <x:c r="F83" s="46" t="str">
        <x:v>Codlings, moras</x:v>
      </x:c>
      <x:c r="G83" s="46" t="str">
        <x:v>Medium benthopelagics (30 - 89 cm)</x:v>
      </x:c>
      <x:c r="H83" s="46" t="str">
        <x:v>Cod-likes</x:v>
      </x:c>
      <x:c r="I83" s="60" t="n">
        <x:v>1446.505215212</x:v>
      </x:c>
      <x:c r="J83" s="60" t="n">
        <x:v>1446.505215212</x:v>
      </x:c>
      <x:c r="K83" s="60" t="n">
        <x:v>0</x:v>
      </x:c>
      <x:c r="L83" s="60" t="n">
        <x:v>670.373748829</x:v>
      </x:c>
      <x:c r="M83" s="60" t="n">
        <x:v>776.131466383</x:v>
      </x:c>
      <x:c r="N83" s="46" t="str">
        <x:v>moridae</x:v>
      </x:c>
      <x:c r="O83" s="62" t="n">
        <x:v>3.87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Moridae</x:v>
      </x:c>
      <x:c r="T83" s="62" t="n">
        <x:f>IF(O83="","",(1/'Metadata'!$B$5)^(O83-1))</x:f>
        <x:v>5419.460903023396</x:v>
      </x:c>
      <x:c r="U83" s="60" t="n">
        <x:f>IF(T83="","",I83*T83)</x:f>
        <x:v>7839278.459860877</x:v>
      </x:c>
    </x:row>
    <x:row r="84" ht="18" customHeight="1">
      <x:c r="A84" s="46" t="str">
        <x:v>LME_050</x:v>
      </x:c>
      <x:c r="B84" s="46" t="str">
        <x:v>Sea of Japan / East Sea</x:v>
      </x:c>
      <x:c r="C84" s="46" t="str">
        <x:v>LME</x:v>
      </x:c>
      <x:c r="D84" s="58" t="n">
        <x:v>2019</x:v>
      </x:c>
      <x:c r="E84" s="46" t="str">
        <x:v>Coryphaena</x:v>
      </x:c>
      <x:c r="F84" s="46" t="str">
        <x:v>Dolphinfishes</x:v>
      </x:c>
      <x:c r="G84" s="46" t="str">
        <x:v>Large pelagics (&gt;=90 cm)</x:v>
      </x:c>
      <x:c r="H84" s="46" t="str">
        <x:v>Perch-likes</x:v>
      </x:c>
      <x:c r="I84" s="60" t="n">
        <x:v>1217.8342279712</x:v>
      </x:c>
      <x:c r="J84" s="60" t="n">
        <x:v>1055.4822731093</x:v>
      </x:c>
      <x:c r="K84" s="60" t="n">
        <x:v>162.3519548619</x:v>
      </x:c>
      <x:c r="L84" s="60" t="n">
        <x:v>914.5623074298001</x:v>
      </x:c>
      <x:c r="M84" s="60" t="n">
        <x:v>303.2719205414</x:v>
      </x:c>
      <x:c r="N84" s="46" t="str">
        <x:v>coryphaena</x:v>
      </x:c>
      <x:c r="O84" s="62" t="n">
        <x:v>4.49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Coryphaena</x:v>
      </x:c>
      <x:c r="T84" s="62" t="n">
        <x:f>IF(O84="","",(1/'Metadata'!$B$5)^(O84-1))</x:f>
        <x:v>34721.19667768202</x:v>
      </x:c>
      <x:c r="U84" s="60" t="n">
        <x:f>IF(T84="","",I84*T84)</x:f>
        <x:v>42284661.750201076</x:v>
      </x:c>
    </x:row>
    <x:row r="85" ht="18" customHeight="1">
      <x:c r="A85" s="46" t="str">
        <x:v>LME_050</x:v>
      </x:c>
      <x:c r="B85" s="46" t="str">
        <x:v>Sea of Japan / East Sea</x:v>
      </x:c>
      <x:c r="C85" s="46" t="str">
        <x:v>LME</x:v>
      </x:c>
      <x:c r="D85" s="58" t="n">
        <x:v>2019</x:v>
      </x:c>
      <x:c r="E85" s="46" t="str">
        <x:v>Salmonidae</x:v>
      </x:c>
      <x:c r="F85" s="46" t="str">
        <x:v>Salmonids</x:v>
      </x:c>
      <x:c r="G85" s="46" t="str">
        <x:v>Large benthopelagics (&gt;=90 cm)</x:v>
      </x:c>
      <x:c r="H85" s="46" t="str">
        <x:v>Salmon, smelts, etc</x:v>
      </x:c>
      <x:c r="I85" s="60" t="n">
        <x:v>1217.5207656639</x:v>
      </x:c>
      <x:c r="J85" s="60" t="n">
        <x:v>631.8642376911</x:v>
      </x:c>
      <x:c r="K85" s="60" t="n">
        <x:v>585.6565279728</x:v>
      </x:c>
      <x:c r="L85" s="60" t="n">
        <x:v>631.8642376911</x:v>
      </x:c>
      <x:c r="M85" s="60" t="n">
        <x:v>585.6565279728</x:v>
      </x:c>
      <x:c r="N85" s="46" t="str">
        <x:v>salmonidae</x:v>
      </x:c>
      <x:c r="O85" s="62" t="n">
        <x:v>3.3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Salmonidae</x:v>
      </x:c>
      <x:c r="T85" s="62" t="n">
        <x:f>IF(O85="","",(1/'Metadata'!$B$5)^(O85-1))</x:f>
        <x:v>982.5824208926318</x:v>
      </x:c>
      <x:c r="U85" s="60" t="n">
        <x:f>IF(T85="","",I85*T85)</x:f>
        <x:v>1196314.5014130855</x:v>
      </x:c>
    </x:row>
    <x:row r="86" ht="18" customHeight="1">
      <x:c r="A86" s="46" t="str">
        <x:v>LME_050</x:v>
      </x:c>
      <x:c r="B86" s="46" t="str">
        <x:v>Sea of Japan / East Sea</x:v>
      </x:c>
      <x:c r="C86" s="46" t="str">
        <x:v>LME</x:v>
      </x:c>
      <x:c r="D86" s="58" t="n">
        <x:v>2019</x:v>
      </x:c>
      <x:c r="E86" s="46" t="str">
        <x:v>Chondrichthyes</x:v>
      </x:c>
      <x:c r="F86" s="46" t="str">
        <x:v>Sharks, rays, chimaeras</x:v>
      </x:c>
      <x:c r="G86" s="46" t="str">
        <x:v>Large sharks (&gt;=90 cm)</x:v>
      </x:c>
      <x:c r="H86" s="46" t="str">
        <x:v>Sharks &amp; rays</x:v>
      </x:c>
      <x:c r="I86" s="60" t="n">
        <x:v>1203.9081328447</x:v>
      </x:c>
      <x:c r="J86" s="60" t="n">
        <x:v>755.711368053</x:v>
      </x:c>
      <x:c r="K86" s="60" t="n">
        <x:v>448.1967647917</x:v>
      </x:c>
      <x:c r="L86" s="60" t="n">
        <x:v>755.711368053</x:v>
      </x:c>
      <x:c r="M86" s="60" t="n">
        <x:v>448.1967647917</x:v>
      </x:c>
      <x:c r="N86" s="46" t="str">
        <x:v>chondrichthyes</x:v>
      </x:c>
      <x:c r="O86" s="62" t="n">
        <x:v>4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Chondrichthyes</x:v>
      </x:c>
      <x:c r="T86" s="62" t="n">
        <x:f>IF(O86="","",(1/'Metadata'!$B$5)^(O86-1))</x:f>
        <x:v>8000</x:v>
      </x:c>
      <x:c r="U86" s="60" t="n">
        <x:f>IF(T86="","",I86*T86)</x:f>
        <x:v>9631265.0627576</x:v>
      </x:c>
    </x:row>
    <x:row r="87" ht="18" customHeight="1">
      <x:c r="A87" s="46" t="str">
        <x:v>LME_050</x:v>
      </x:c>
      <x:c r="B87" s="46" t="str">
        <x:v>Sea of Japan / East Sea</x:v>
      </x:c>
      <x:c r="C87" s="46" t="str">
        <x:v>LME</x:v>
      </x:c>
      <x:c r="D87" s="58" t="n">
        <x:v>2019</x:v>
      </x:c>
      <x:c r="E87" s="46" t="str">
        <x:v>Congridae</x:v>
      </x:c>
      <x:c r="F87" s="46" t="str">
        <x:v>Conger, garden eels</x:v>
      </x:c>
      <x:c r="G87" s="46" t="str">
        <x:v>Large demersals (&gt;=90 cm)</x:v>
      </x:c>
      <x:c r="H87" s="46" t="str">
        <x:v>Other fishes &amp; inverts</x:v>
      </x:c>
      <x:c r="I87" s="60" t="n">
        <x:v>1142.7791810361</x:v>
      </x:c>
      <x:c r="J87" s="60" t="n">
        <x:v>732.885613197</x:v>
      </x:c>
      <x:c r="K87" s="60" t="n">
        <x:v>409.8935678391</x:v>
      </x:c>
      <x:c r="L87" s="60" t="n">
        <x:v>666.152873256</x:v>
      </x:c>
      <x:c r="M87" s="60" t="n">
        <x:v>476.62630778010003</x:v>
      </x:c>
      <x:c r="N87" s="46" t="str">
        <x:v>congridae</x:v>
      </x:c>
      <x:c r="O87" s="62" t="n">
        <x:v>4.18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Congridae</x:v>
      </x:c>
      <x:c r="T87" s="62" t="n">
        <x:f>IF(O87="","",(1/'Metadata'!$B$5)^(O87-1))</x:f>
        <x:v>13717.513182092556</x:v>
      </x:c>
      <x:c r="U87" s="60" t="n">
        <x:f>IF(T87="","",I87*T87)</x:f>
        <x:v>15676088.480083637</x:v>
      </x:c>
    </x:row>
    <x:row r="88" ht="18" customHeight="1">
      <x:c r="A88" s="46" t="str">
        <x:v>LME_050</x:v>
      </x:c>
      <x:c r="B88" s="46" t="str">
        <x:v>Sea of Japan / East Sea</x:v>
      </x:c>
      <x:c r="C88" s="46" t="str">
        <x:v>LME</x:v>
      </x:c>
      <x:c r="D88" s="58" t="n">
        <x:v>2019</x:v>
      </x:c>
      <x:c r="E88" s="46" t="str">
        <x:v>Mytilidae</x:v>
      </x:c>
      <x:c r="F88" s="46" t="str">
        <x:v>Sea mussels</x:v>
      </x:c>
      <x:c r="G88" s="46" t="str">
        <x:v>Other demersal invertebrates</x:v>
      </x:c>
      <x:c r="H88" s="46" t="str">
        <x:v>Molluscs</x:v>
      </x:c>
      <x:c r="I88" s="60" t="n">
        <x:v>1116.2699322651001</x:v>
      </x:c>
      <x:c r="J88" s="60" t="n">
        <x:v>1116.2699322651001</x:v>
      </x:c>
      <x:c r="K88" s="60" t="n">
        <x:v>0</x:v>
      </x:c>
      <x:c r="L88" s="60" t="n">
        <x:v>1115.0551330156</x:v>
      </x:c>
      <x:c r="M88" s="60" t="n">
        <x:v>1.2147992495</x:v>
      </x:c>
      <x:c r="N88" s="46" t="str">
        <x:v>mytilidae</x:v>
      </x:c>
      <x:c r="O88" s="62" t="n">
        <x:v>2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Mytilidae</x:v>
      </x:c>
      <x:c r="T88" s="62" t="n">
        <x:f>IF(O88="","",(1/'Metadata'!$B$5)^(O88-1))</x:f>
        <x:v>20</x:v>
      </x:c>
      <x:c r="U88" s="60" t="n">
        <x:f>IF(T88="","",I88*T88)</x:f>
        <x:v>22325.398645302004</x:v>
      </x:c>
    </x:row>
    <x:row r="89" ht="18" customHeight="1">
      <x:c r="A89" s="46" t="str">
        <x:v>LME_050</x:v>
      </x:c>
      <x:c r="B89" s="46" t="str">
        <x:v>Sea of Japan / East Sea</x:v>
      </x:c>
      <x:c r="C89" s="46" t="str">
        <x:v>LME</x:v>
      </x:c>
      <x:c r="D89" s="58" t="n">
        <x:v>2019</x:v>
      </x:c>
      <x:c r="E89" s="46" t="str">
        <x:v>Hippoglossus stenolepis</x:v>
      </x:c>
      <x:c r="F89" s="46" t="str">
        <x:v>Pacific halibut</x:v>
      </x:c>
      <x:c r="G89" s="46" t="str">
        <x:v>Large flatfishes (&gt;=90 cm)</x:v>
      </x:c>
      <x:c r="H89" s="46" t="str">
        <x:v>Flatfishes</x:v>
      </x:c>
      <x:c r="I89" s="60" t="n">
        <x:v>1094.6571228809</x:v>
      </x:c>
      <x:c r="J89" s="60" t="n">
        <x:v>956.9287000637</x:v>
      </x:c>
      <x:c r="K89" s="60" t="n">
        <x:v>137.7284228172</x:v>
      </x:c>
      <x:c r="L89" s="60" t="n">
        <x:v>729.0818760119</x:v>
      </x:c>
      <x:c r="M89" s="60" t="n">
        <x:v>365.575246869</x:v>
      </x:c>
      <x:c r="N89" s="46" t="str">
        <x:v>hippoglossus stenolepis</x:v>
      </x:c>
      <x:c r="O89" s="62" t="n">
        <x:v>4.14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Hippoglossus stenolepis</x:v>
      </x:c>
      <x:c r="T89" s="62" t="n">
        <x:f>IF(O89="","",(1/'Metadata'!$B$5)^(O89-1))</x:f>
        <x:v>12168.419864331923</x:v>
      </x:c>
      <x:c r="U89" s="60" t="n">
        <x:f>IF(T89="","",I89*T89)</x:f>
        <x:v>13320247.478696374</x:v>
      </x:c>
    </x:row>
    <x:row r="90" ht="18" customHeight="1">
      <x:c r="A90" s="46" t="str">
        <x:v>LME_050</x:v>
      </x:c>
      <x:c r="B90" s="46" t="str">
        <x:v>Sea of Japan / East Sea</x:v>
      </x:c>
      <x:c r="C90" s="46" t="str">
        <x:v>LME</x:v>
      </x:c>
      <x:c r="D90" s="58" t="n">
        <x:v>2019</x:v>
      </x:c>
      <x:c r="E90" s="46" t="str">
        <x:v>Haemulidae</x:v>
      </x:c>
      <x:c r="F90" s="46" t="str">
        <x:v>Grunts, sweetlips, bonnetmouths</x:v>
      </x:c>
      <x:c r="G90" s="46" t="str">
        <x:v>Medium demersals (30 - 89 cm)</x:v>
      </x:c>
      <x:c r="H90" s="46" t="str">
        <x:v>Perch-likes</x:v>
      </x:c>
      <x:c r="I90" s="60" t="n">
        <x:v>1069.1252159044</x:v>
      </x:c>
      <x:c r="J90" s="60" t="n">
        <x:v>1069.1252159044</x:v>
      </x:c>
      <x:c r="K90" s="60" t="n">
        <x:v>0</x:v>
      </x:c>
      <x:c r="L90" s="60" t="n">
        <x:v>711.0759924727</x:v>
      </x:c>
      <x:c r="M90" s="60" t="n">
        <x:v>358.0492234317</x:v>
      </x:c>
      <x:c r="N90" s="46" t="str">
        <x:v>haemulidae</x:v>
      </x:c>
      <x:c r="O90" s="62" t="n">
        <x:v>3.36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Haemulidae</x:v>
      </x:c>
      <x:c r="T90" s="62" t="n">
        <x:f>IF(O90="","",(1/'Metadata'!$B$5)^(O90-1))</x:f>
        <x:v>1176.0635493805207</x:v>
      </x:c>
      <x:c r="U90" s="60" t="n">
        <x:f>IF(T90="","",I90*T90)</x:f>
        <x:v>1257359.196148744</x:v>
      </x:c>
    </x:row>
    <x:row r="91" ht="18" customHeight="1">
      <x:c r="A91" s="46" t="str">
        <x:v>LME_050</x:v>
      </x:c>
      <x:c r="B91" s="46" t="str">
        <x:v>Sea of Japan / East Sea</x:v>
      </x:c>
      <x:c r="C91" s="46" t="str">
        <x:v>LME</x:v>
      </x:c>
      <x:c r="D91" s="58" t="n">
        <x:v>2019</x:v>
      </x:c>
      <x:c r="E91" s="46" t="str">
        <x:v>Nemipterus</x:v>
      </x:c>
      <x:c r="F91" s="46" t="str">
        <x:v>Threadfin breams</x:v>
      </x:c>
      <x:c r="G91" s="46" t="str">
        <x:v>Small demersals (&lt;30 cm)</x:v>
      </x:c>
      <x:c r="H91" s="46" t="str">
        <x:v>Perch-likes</x:v>
      </x:c>
      <x:c r="I91" s="60" t="n">
        <x:v>1061.3626875771</x:v>
      </x:c>
      <x:c r="J91" s="60" t="n">
        <x:v>1061.3626875771</x:v>
      </x:c>
      <x:c r="K91" s="60" t="n">
        <x:v>0</x:v>
      </x:c>
      <x:c r="L91" s="60" t="n">
        <x:v>1061.3626875771</x:v>
      </x:c>
      <x:c r="M91" s="60" t="n">
        <x:v>0</x:v>
      </x:c>
      <x:c r="N91" s="46" t="str">
        <x:v>nemipterus</x:v>
      </x:c>
      <x:c r="O91" s="62" t="n">
        <x:v>3.72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Nemipterus</x:v>
      </x:c>
      <x:c r="T91" s="62" t="n">
        <x:f>IF(O91="","",(1/'Metadata'!$B$5)^(O91-1))</x:f>
        <x:v>3457.8136804537753</x:v>
      </x:c>
      <x:c r="U91" s="60" t="n">
        <x:f>IF(T91="","",I91*T91)</x:f>
        <x:v>3669994.4210272823</x:v>
      </x:c>
    </x:row>
    <x:row r="92" ht="18" customHeight="1">
      <x:c r="A92" s="46" t="str">
        <x:v>LME_050</x:v>
      </x:c>
      <x:c r="B92" s="46" t="str">
        <x:v>Sea of Japan / East Sea</x:v>
      </x:c>
      <x:c r="C92" s="46" t="str">
        <x:v>LME</x:v>
      </x:c>
      <x:c r="D92" s="58" t="n">
        <x:v>2019</x:v>
      </x:c>
      <x:c r="E92" s="46" t="str">
        <x:v>Ruvettus pretiosus</x:v>
      </x:c>
      <x:c r="F92" s="46" t="str">
        <x:v>Oilfish</x:v>
      </x:c>
      <x:c r="G92" s="46" t="str">
        <x:v>Large benthopelagics (&gt;=90 cm)</x:v>
      </x:c>
      <x:c r="H92" s="46" t="str">
        <x:v>Perch-likes</x:v>
      </x:c>
      <x:c r="I92" s="60" t="n">
        <x:v>1056.6554141571999</x:v>
      </x:c>
      <x:c r="J92" s="60" t="n">
        <x:v>1056.6554141571999</x:v>
      </x:c>
      <x:c r="K92" s="60" t="n">
        <x:v>0</x:v>
      </x:c>
      <x:c r="L92" s="60" t="n">
        <x:v>632.7275699212</x:v>
      </x:c>
      <x:c r="M92" s="60" t="n">
        <x:v>423.927844236</x:v>
      </x:c>
      <x:c r="N92" s="46" t="str">
        <x:v>ruvettus pretiosus</x:v>
      </x:c>
      <x:c r="O92" s="62" t="n">
        <x:v>4.18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Ruvettus pretiosus</x:v>
      </x:c>
      <x:c r="T92" s="62" t="n">
        <x:f>IF(O92="","",(1/'Metadata'!$B$5)^(O92-1))</x:f>
        <x:v>13717.513182092556</x:v>
      </x:c>
      <x:c r="U92" s="60" t="n">
        <x:f>IF(T92="","",I92*T92)</x:f>
        <x:v>14494684.572630858</x:v>
      </x:c>
    </x:row>
    <x:row r="93" ht="18" customHeight="1">
      <x:c r="A93" s="46" t="str">
        <x:v>LME_050</x:v>
      </x:c>
      <x:c r="B93" s="46" t="str">
        <x:v>Sea of Japan / East Sea</x:v>
      </x:c>
      <x:c r="C93" s="46" t="str">
        <x:v>LME</x:v>
      </x:c>
      <x:c r="D93" s="58" t="n">
        <x:v>2019</x:v>
      </x:c>
      <x:c r="E93" s="46" t="str">
        <x:v>Ilisha elongata</x:v>
      </x:c>
      <x:c r="F93" s="46" t="str">
        <x:v>Elongate ilisha</x:v>
      </x:c>
      <x:c r="G93" s="46" t="str">
        <x:v>Medium pelagics (30 - 89 cm)</x:v>
      </x:c>
      <x:c r="H93" s="46" t="str">
        <x:v>Herring-likes</x:v>
      </x:c>
      <x:c r="I93" s="60" t="n">
        <x:v>891.6251420537</x:v>
      </x:c>
      <x:c r="J93" s="60" t="n">
        <x:v>891.6251420537</x:v>
      </x:c>
      <x:c r="K93" s="60" t="n">
        <x:v>0</x:v>
      </x:c>
      <x:c r="L93" s="60" t="n">
        <x:v>891.6251420537</x:v>
      </x:c>
      <x:c r="M93" s="60" t="n">
        <x:v>0</x:v>
      </x:c>
      <x:c r="N93" s="46" t="str">
        <x:v>ilisha elongata</x:v>
      </x:c>
      <x:c r="O93" s="62" t="n">
        <x:v>3.79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Ilisha elongata</x:v>
      </x:c>
      <x:c r="T93" s="62" t="n">
        <x:f>IF(O93="","",(1/'Metadata'!$B$5)^(O93-1))</x:f>
        <x:v>4264.554685980751</x:v>
      </x:c>
      <x:c r="U93" s="60" t="n">
        <x:f>IF(T93="","",I93*T93)</x:f>
        <x:v>3802384.177683359</x:v>
      </x:c>
    </x:row>
    <x:row r="94" ht="18" customHeight="1">
      <x:c r="A94" s="46" t="str">
        <x:v>LME_050</x:v>
      </x:c>
      <x:c r="B94" s="46" t="str">
        <x:v>Sea of Japan / East Sea</x:v>
      </x:c>
      <x:c r="C94" s="46" t="str">
        <x:v>LME</x:v>
      </x:c>
      <x:c r="D94" s="58" t="n">
        <x:v>2019</x:v>
      </x:c>
      <x:c r="E94" s="46" t="str">
        <x:v>Ommastrephidae</x:v>
      </x:c>
      <x:c r="F94" s="46" t="str">
        <x:v>Arrow squids</x:v>
      </x:c>
      <x:c r="G94" s="46" t="str">
        <x:v>Cephalopods</x:v>
      </x:c>
      <x:c r="H94" s="46" t="str">
        <x:v>Other fishes &amp; inverts</x:v>
      </x:c>
      <x:c r="I94" s="60" t="n">
        <x:v>871.69875582</x:v>
      </x:c>
      <x:c r="J94" s="60" t="n">
        <x:v>686.9463724415</x:v>
      </x:c>
      <x:c r="K94" s="60" t="n">
        <x:v>184.7523833785</x:v>
      </x:c>
      <x:c r="L94" s="60" t="n">
        <x:v>0</x:v>
      </x:c>
      <x:c r="M94" s="60" t="n">
        <x:v>871.69875582</x:v>
      </x:c>
      <x:c r="N94" s="46" t="str">
        <x:v>ommastrephidae</x:v>
      </x:c>
      <x:c r="O94" s="62" t="n">
        <x:v>4.09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Ommastrephidae</x:v>
      </x:c>
      <x:c r="T94" s="62" t="n">
        <x:f>IF(O94="","",(1/'Metadata'!$B$5)^(O94-1))</x:f>
        <x:v>10475.691168449957</x:v>
      </x:c>
      <x:c r="U94" s="60" t="n">
        <x:f>IF(T94="","",I94*T94)</x:f>
        <x:v>9131646.95789239</x:v>
      </x:c>
    </x:row>
    <x:row r="95" ht="18" customHeight="1">
      <x:c r="A95" s="46" t="str">
        <x:v>LME_050</x:v>
      </x:c>
      <x:c r="B95" s="46" t="str">
        <x:v>Sea of Japan / East Sea</x:v>
      </x:c>
      <x:c r="C95" s="46" t="str">
        <x:v>LME</x:v>
      </x:c>
      <x:c r="D95" s="58" t="n">
        <x:v>2019</x:v>
      </x:c>
      <x:c r="E95" s="46" t="str">
        <x:v>Konosirus punctatus</x:v>
      </x:c>
      <x:c r="F95" s="46" t="str">
        <x:v>Dotted gizzard shad</x:v>
      </x:c>
      <x:c r="G95" s="46" t="str">
        <x:v>Small pelagics (&lt;30 cm)</x:v>
      </x:c>
      <x:c r="H95" s="46" t="str">
        <x:v>Herring-likes</x:v>
      </x:c>
      <x:c r="I95" s="60" t="n">
        <x:v>868.6747985031</x:v>
      </x:c>
      <x:c r="J95" s="60" t="n">
        <x:v>856.3213148899999</x:v>
      </x:c>
      <x:c r="K95" s="60" t="n">
        <x:v>12.3534836131</x:v>
      </x:c>
      <x:c r="L95" s="60" t="n">
        <x:v>856.3213148899999</x:v>
      </x:c>
      <x:c r="M95" s="60" t="n">
        <x:v>12.3534836131</x:v>
      </x:c>
      <x:c r="N95" s="46" t="str">
        <x:v>konosirus punctatus</x:v>
      </x:c>
      <x:c r="O95" s="62" t="n">
        <x:v>2.87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Konosirus punctatus</x:v>
      </x:c>
      <x:c r="T95" s="62" t="n">
        <x:f>IF(O95="","",(1/'Metadata'!$B$5)^(O95-1))</x:f>
        <x:v>270.9730451511698</x:v>
      </x:c>
      <x:c r="U95" s="60" t="n">
        <x:f>IF(T95="","",I95*T95)</x:f>
        <x:v>235387.45539646383</x:v>
      </x:c>
    </x:row>
    <x:row r="96" ht="18" customHeight="1">
      <x:c r="A96" s="46" t="str">
        <x:v>LME_050</x:v>
      </x:c>
      <x:c r="B96" s="46" t="str">
        <x:v>Sea of Japan / East Sea</x:v>
      </x:c>
      <x:c r="C96" s="46" t="str">
        <x:v>LME</x:v>
      </x:c>
      <x:c r="D96" s="58" t="n">
        <x:v>2019</x:v>
      </x:c>
      <x:c r="E96" s="46" t="str">
        <x:v>Sebastes</x:v>
      </x:c>
      <x:c r="F96" s="46" t="str">
        <x:v>Redfishes</x:v>
      </x:c>
      <x:c r="G96" s="46" t="str">
        <x:v>Large reef assoc. fish (&gt;=90 cm)</x:v>
      </x:c>
      <x:c r="H96" s="46" t="str">
        <x:v>Scorpionfishes</x:v>
      </x:c>
      <x:c r="I96" s="60" t="n">
        <x:v>853.682721107</x:v>
      </x:c>
      <x:c r="J96" s="60" t="n">
        <x:v>853.682721107</x:v>
      </x:c>
      <x:c r="K96" s="60" t="n">
        <x:v>0</x:v>
      </x:c>
      <x:c r="L96" s="60" t="n">
        <x:v>40.7085529219</x:v>
      </x:c>
      <x:c r="M96" s="60" t="n">
        <x:v>812.9741681851</x:v>
      </x:c>
      <x:c r="N96" s="46" t="str">
        <x:v>sebastes</x:v>
      </x:c>
      <x:c r="O96" s="62" t="n">
        <x:v>3.79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Sebastes</x:v>
      </x:c>
      <x:c r="T96" s="62" t="n">
        <x:f>IF(O96="","",(1/'Metadata'!$B$5)^(O96-1))</x:f>
        <x:v>4264.554685980751</x:v>
      </x:c>
      <x:c r="U96" s="60" t="n">
        <x:f>IF(T96="","",I96*T96)</x:f>
        <x:v>3640576.6486376557</x:v>
      </x:c>
    </x:row>
    <x:row r="97" ht="18" customHeight="1">
      <x:c r="A97" s="46" t="str">
        <x:v>LME_050</x:v>
      </x:c>
      <x:c r="B97" s="46" t="str">
        <x:v>Sea of Japan / East Sea</x:v>
      </x:c>
      <x:c r="C97" s="46" t="str">
        <x:v>LME</x:v>
      </x:c>
      <x:c r="D97" s="58" t="n">
        <x:v>2019</x:v>
      </x:c>
      <x:c r="E97" s="46" t="str">
        <x:v>Oplegnathus fasciatus</x:v>
      </x:c>
      <x:c r="F97" s="46" t="str">
        <x:v>Barred knifejaw</x:v>
      </x:c>
      <x:c r="G97" s="46" t="str">
        <x:v>Medium reef assoc. fish (30 - 89 cm)</x:v>
      </x:c>
      <x:c r="H97" s="46" t="str">
        <x:v>Perch-likes</x:v>
      </x:c>
      <x:c r="I97" s="60" t="n">
        <x:v>770.9799752539</x:v>
      </x:c>
      <x:c r="J97" s="60" t="n">
        <x:v>770.9799752539</x:v>
      </x:c>
      <x:c r="K97" s="60" t="n">
        <x:v>0</x:v>
      </x:c>
      <x:c r="L97" s="60" t="n">
        <x:v>0</x:v>
      </x:c>
      <x:c r="M97" s="60" t="n">
        <x:v>770.9799752539</x:v>
      </x:c>
      <x:c r="N97" s="46" t="str">
        <x:v>oplegnathus fasciatus</x:v>
      </x:c>
      <x:c r="O97" s="62" t="n">
        <x:v>3.55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Oplegnathus fasciatus</x:v>
      </x:c>
      <x:c r="T97" s="62" t="n">
        <x:f>IF(O97="","",(1/'Metadata'!$B$5)^(O97-1))</x:f>
        <x:v>2077.9088316274606</x:v>
      </x:c>
      <x:c r="U97" s="60" t="n">
        <x:f>IF(T97="","",I97*T97)</x:f>
        <x:v>1602026.0995879997</x:v>
      </x:c>
    </x:row>
    <x:row r="98" ht="18" customHeight="1">
      <x:c r="A98" s="46" t="str">
        <x:v>LME_050</x:v>
      </x:c>
      <x:c r="B98" s="46" t="str">
        <x:v>Sea of Japan / East Sea</x:v>
      </x:c>
      <x:c r="C98" s="46" t="str">
        <x:v>LME</x:v>
      </x:c>
      <x:c r="D98" s="58" t="n">
        <x:v>2019</x:v>
      </x:c>
      <x:c r="E98" s="46" t="str">
        <x:v>Trachurus</x:v>
      </x:c>
      <x:c r="F98" s="46" t="str">
        <x:v>Jacks, horse mackerels</x:v>
      </x:c>
      <x:c r="G98" s="46" t="str">
        <x:v>Medium pelagics (30 - 89 cm)</x:v>
      </x:c>
      <x:c r="H98" s="46" t="str">
        <x:v>Perch-likes</x:v>
      </x:c>
      <x:c r="I98" s="60" t="n">
        <x:v>750.9578279351999</x:v>
      </x:c>
      <x:c r="J98" s="60" t="n">
        <x:v>750.9578279351999</x:v>
      </x:c>
      <x:c r="K98" s="60" t="n">
        <x:v>0</x:v>
      </x:c>
      <x:c r="L98" s="60" t="n">
        <x:v>750.9578279351999</x:v>
      </x:c>
      <x:c r="M98" s="60" t="n">
        <x:v>0</x:v>
      </x:c>
      <x:c r="N98" s="46" t="str">
        <x:v>trachurus</x:v>
      </x:c>
      <x:c r="O98" s="62" t="n">
        <x:v>3.69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Trachurus</x:v>
      </x:c>
      <x:c r="T98" s="62" t="n">
        <x:f>IF(O98="","",(1/'Metadata'!$B$5)^(O98-1))</x:f>
        <x:v>3160.6083878807954</x:v>
      </x:c>
      <x:c r="U98" s="60" t="n">
        <x:f>IF(T98="","",I98*T98)</x:f>
        <x:v>2373483.609916736</x:v>
      </x:c>
    </x:row>
    <x:row r="99" ht="18" customHeight="1">
      <x:c r="A99" s="46" t="str">
        <x:v>LME_050</x:v>
      </x:c>
      <x:c r="B99" s="46" t="str">
        <x:v>Sea of Japan / East Sea</x:v>
      </x:c>
      <x:c r="C99" s="46" t="str">
        <x:v>LME</x:v>
      </x:c>
      <x:c r="D99" s="58" t="n">
        <x:v>2019</x:v>
      </x:c>
      <x:c r="E99" s="46" t="str">
        <x:v>Miscellaneous aquatic invertebrates</x:v>
      </x:c>
      <x:c r="F99" s="46" t="str">
        <x:v>Aquatic invertebrates</x:v>
      </x:c>
      <x:c r="G99" s="46" t="str">
        <x:v>Other demersal invertebrates</x:v>
      </x:c>
      <x:c r="H99" s="46" t="str">
        <x:v>Other fishes &amp; inverts</x:v>
      </x:c>
      <x:c r="I99" s="60" t="n">
        <x:v>704.0080315856</x:v>
      </x:c>
      <x:c r="J99" s="60" t="n">
        <x:v>697.6076209576</x:v>
      </x:c>
      <x:c r="K99" s="60" t="n">
        <x:v>6.400410628</x:v>
      </x:c>
      <x:c r="L99" s="60" t="n">
        <x:v>697.5893521446</x:v>
      </x:c>
      <x:c r="M99" s="60" t="n">
        <x:v>6.418679441</x:v>
      </x:c>
      <x:c r="N99" s="46" t="str">
        <x:v>miscellaneous aquatic invertebrates</x:v>
      </x:c>
      <x:c r="O99" s="62" t="n">
        <x:v>2.43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Miscellaneous aquatic invertebrates</x:v>
      </x:c>
      <x:c r="T99" s="62" t="n">
        <x:f>IF(O99="","",(1/'Metadata'!$B$5)^(O99-1))</x:f>
        <x:v>72.52252122305909</x:v>
      </x:c>
      <x:c r="U99" s="60" t="n">
        <x:f>IF(T99="","",I99*T99)</x:f>
        <x:v>51056.43741187073</x:v>
      </x:c>
    </x:row>
    <x:row r="100" ht="18" customHeight="1">
      <x:c r="A100" s="46" t="str">
        <x:v>LME_050</x:v>
      </x:c>
      <x:c r="B100" s="46" t="str">
        <x:v>Sea of Japan / East Sea</x:v>
      </x:c>
      <x:c r="C100" s="46" t="str">
        <x:v>LME</x:v>
      </x:c>
      <x:c r="D100" s="58" t="n">
        <x:v>2019</x:v>
      </x:c>
      <x:c r="E100" s="46" t="str">
        <x:v>Bathylagidae</x:v>
      </x:c>
      <x:c r="F100" s="46" t="str">
        <x:v>Deepsea smelts</x:v>
      </x:c>
      <x:c r="G100" s="46" t="str">
        <x:v>Small bathypelagics (&lt;30 cm)</x:v>
      </x:c>
      <x:c r="H100" s="46" t="str">
        <x:v>Salmon, smelts, etc</x:v>
      </x:c>
      <x:c r="I100" s="60" t="n">
        <x:v>682.8806398402</x:v>
      </x:c>
      <x:c r="J100" s="60" t="n">
        <x:v>666.411063542</x:v>
      </x:c>
      <x:c r="K100" s="60" t="n">
        <x:v>16.4695762982</x:v>
      </x:c>
      <x:c r="L100" s="60" t="n">
        <x:v>666.411063542</x:v>
      </x:c>
      <x:c r="M100" s="60" t="n">
        <x:v>16.4695762982</x:v>
      </x:c>
      <x:c r="N100" s="46" t="str">
        <x:v>bathylagidae</x:v>
      </x:c>
      <x:c r="O100" s="62" t="n">
        <x:v>3.1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Bathylagidae</x:v>
      </x:c>
      <x:c r="T100" s="62" t="n">
        <x:f>IF(O100="","",(1/'Metadata'!$B$5)^(O100-1))</x:f>
        <x:v>539.7131390694254</x:v>
      </x:c>
      <x:c r="U100" s="60" t="n">
        <x:f>IF(T100="","",I100*T100)</x:f>
        <x:v>368559.6537378921</x:v>
      </x:c>
    </x:row>
    <x:row r="101" ht="18" customHeight="1">
      <x:c r="A101" s="46" t="str">
        <x:v>LME_050</x:v>
      </x:c>
      <x:c r="B101" s="46" t="str">
        <x:v>Sea of Japan / East Sea</x:v>
      </x:c>
      <x:c r="C101" s="46" t="str">
        <x:v>LME</x:v>
      </x:c>
      <x:c r="D101" s="58" t="n">
        <x:v>2019</x:v>
      </x:c>
      <x:c r="E101" s="46" t="str">
        <x:v>Pandalus hypsinotus</x:v>
      </x:c>
      <x:c r="F101" s="46" t="str">
        <x:v>Coonstriped shrimp</x:v>
      </x:c>
      <x:c r="G101" s="46" t="str">
        <x:v>Shrimps</x:v>
      </x:c>
      <x:c r="H101" s="46" t="str">
        <x:v>Crustaceans</x:v>
      </x:c>
      <x:c r="I101" s="60" t="n">
        <x:v>672.4655676654</x:v>
      </x:c>
      <x:c r="J101" s="60" t="n">
        <x:v>672.4655676654</x:v>
      </x:c>
      <x:c r="K101" s="60" t="n">
        <x:v>0</x:v>
      </x:c>
      <x:c r="L101" s="60" t="n">
        <x:v>566.9107396072</x:v>
      </x:c>
      <x:c r="M101" s="60" t="n">
        <x:v>105.5548280582</x:v>
      </x:c>
      <x:c r="N101" s="46" t="str">
        <x:v>pandalus hypsinotus</x:v>
      </x:c>
      <x:c r="O101" s="62" t="n">
        <x:v>2.6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Pandalus hypsinotus</x:v>
      </x:c>
      <x:c r="T101" s="62" t="n">
        <x:f>IF(O101="","",(1/'Metadata'!$B$5)^(O101-1))</x:f>
        <x:v>120.6835267309033</x:v>
      </x:c>
      <x:c r="U101" s="60" t="n">
        <x:f>IF(T101="","",I101*T101)</x:f>
        <x:v>81155.51631095937</x:v>
      </x:c>
    </x:row>
    <x:row r="102" ht="18" customHeight="1">
      <x:c r="A102" s="46" t="str">
        <x:v>LME_050</x:v>
      </x:c>
      <x:c r="B102" s="46" t="str">
        <x:v>Sea of Japan / East Sea</x:v>
      </x:c>
      <x:c r="C102" s="46" t="str">
        <x:v>LME</x:v>
      </x:c>
      <x:c r="D102" s="58" t="n">
        <x:v>2019</x:v>
      </x:c>
      <x:c r="E102" s="46" t="str">
        <x:v>Osmeridae</x:v>
      </x:c>
      <x:c r="F102" s="46" t="str">
        <x:v>Smelts</x:v>
      </x:c>
      <x:c r="G102" s="46" t="str">
        <x:v>Small pelagics (&lt;30 cm)</x:v>
      </x:c>
      <x:c r="H102" s="46" t="str">
        <x:v>Salmon, smelts, etc</x:v>
      </x:c>
      <x:c r="I102" s="60" t="n">
        <x:v>653.1869755713001</x:v>
      </x:c>
      <x:c r="J102" s="60" t="n">
        <x:v>653.1869755713001</x:v>
      </x:c>
      <x:c r="K102" s="60" t="n">
        <x:v>0</x:v>
      </x:c>
      <x:c r="L102" s="60" t="n">
        <x:v>0</x:v>
      </x:c>
      <x:c r="M102" s="60" t="n">
        <x:v>653.1869755713001</x:v>
      </x:c>
      <x:c r="N102" s="46" t="str">
        <x:v>osmeridae</x:v>
      </x:c>
      <x:c r="O102" s="62" t="n">
        <x:v>3.46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Osmeridae</x:v>
      </x:c>
      <x:c r="T102" s="62" t="n">
        <x:f>IF(O102="","",(1/'Metadata'!$B$5)^(O102-1))</x:f>
        <x:v>1586.8423749532276</x:v>
      </x:c>
      <x:c r="U102" s="60" t="n">
        <x:f>IF(T102="","",I102*T102)</x:f>
        <x:v>1036504.7716040777</x:v>
      </x:c>
    </x:row>
    <x:row r="103" ht="18" customHeight="1">
      <x:c r="A103" s="46" t="str">
        <x:v>LME_050</x:v>
      </x:c>
      <x:c r="B103" s="46" t="str">
        <x:v>Sea of Japan / East Sea</x:v>
      </x:c>
      <x:c r="C103" s="46" t="str">
        <x:v>LME</x:v>
      </x:c>
      <x:c r="D103" s="58" t="n">
        <x:v>2019</x:v>
      </x:c>
      <x:c r="E103" s="46" t="str">
        <x:v>Marine finfishes not identified</x:v>
      </x:c>
      <x:c r="F103" s="46" t="str">
        <x:v>Finfishes</x:v>
      </x:c>
      <x:c r="G103" s="46" t="str">
        <x:v>Medium demersals (30 - 89 cm)</x:v>
      </x:c>
      <x:c r="H103" s="46" t="str">
        <x:v>Other fishes &amp; inverts</x:v>
      </x:c>
      <x:c r="I103" s="60" t="n">
        <x:v>550.820016247</x:v>
      </x:c>
      <x:c r="J103" s="60" t="n">
        <x:v>550.820016247</x:v>
      </x:c>
      <x:c r="K103" s="60" t="n">
        <x:v>0</x:v>
      </x:c>
      <x:c r="L103" s="60" t="n">
        <x:v>550.820016247</x:v>
      </x:c>
      <x:c r="M103" s="60" t="n">
        <x:v>0</x:v>
      </x:c>
      <x:c r="N103" s="46" t="str">
        <x:v>marine finfishes not identified</x:v>
      </x:c>
      <x:c r="O103" s="62" t="n">
        <x:v>3.23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Marine finfishes not identified</x:v>
      </x:c>
      <x:c r="T103" s="62" t="n">
        <x:f>IF(O103="","",(1/'Metadata'!$B$5)^(O103-1))</x:f>
        <x:v>796.7038031673321</x:v>
      </x:c>
      <x:c r="U103" s="60" t="n">
        <x:f>IF(T103="","",I103*T103)</x:f>
        <x:v>438840.40180467657</x:v>
      </x:c>
    </x:row>
    <x:row r="104" ht="18" customHeight="1">
      <x:c r="A104" s="46" t="str">
        <x:v>LME_050</x:v>
      </x:c>
      <x:c r="B104" s="46" t="str">
        <x:v>Sea of Japan / East Sea</x:v>
      </x:c>
      <x:c r="C104" s="46" t="str">
        <x:v>LME</x:v>
      </x:c>
      <x:c r="D104" s="58" t="n">
        <x:v>2019</x:v>
      </x:c>
      <x:c r="E104" s="46" t="str">
        <x:v>Kyphosidae</x:v>
      </x:c>
      <x:c r="F104" s="46" t="str">
        <x:v>Sea chubs, knifefishes, niblers</x:v>
      </x:c>
      <x:c r="G104" s="46" t="str">
        <x:v>Medium reef assoc. fish (30 - 89 cm)</x:v>
      </x:c>
      <x:c r="H104" s="46" t="str">
        <x:v>Perch-likes</x:v>
      </x:c>
      <x:c r="I104" s="60" t="n">
        <x:v>538.6355299779</x:v>
      </x:c>
      <x:c r="J104" s="60" t="n">
        <x:v>538.6355299779</x:v>
      </x:c>
      <x:c r="K104" s="60" t="n">
        <x:v>0</x:v>
      </x:c>
      <x:c r="L104" s="60" t="n">
        <x:v>0</x:v>
      </x:c>
      <x:c r="M104" s="60" t="n">
        <x:v>538.6355299779</x:v>
      </x:c>
      <x:c r="N104" s="46" t="str">
        <x:v>kyphosidae</x:v>
      </x:c>
      <x:c r="O104" s="62" t="n">
        <x:v>2.19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Kyphosidae</x:v>
      </x:c>
      <x:c r="T104" s="62" t="n">
        <x:f>IF(O104="","",(1/'Metadata'!$B$5)^(O104-1))</x:f>
        <x:v>35.336676027787405</x:v>
      </x:c>
      <x:c r="U104" s="60" t="n">
        <x:f>IF(T104="","",I104*T104)</x:f>
        <x:v>19033.589219884623</x:v>
      </x:c>
    </x:row>
    <x:row r="105" ht="18" customHeight="1">
      <x:c r="A105" s="46" t="str">
        <x:v>LME_050</x:v>
      </x:c>
      <x:c r="B105" s="46" t="str">
        <x:v>Sea of Japan / East Sea</x:v>
      </x:c>
      <x:c r="C105" s="46" t="str">
        <x:v>LME</x:v>
      </x:c>
      <x:c r="D105" s="58" t="n">
        <x:v>2019</x:v>
      </x:c>
      <x:c r="E105" s="46" t="str">
        <x:v>Acanthopagrus schlegelii</x:v>
      </x:c>
      <x:c r="F105" s="46" t="str">
        <x:v>Blackhead seabream</x:v>
      </x:c>
      <x:c r="G105" s="46" t="str">
        <x:v>Medium demersals (30 - 89 cm)</x:v>
      </x:c>
      <x:c r="H105" s="46" t="str">
        <x:v>Perch-likes</x:v>
      </x:c>
      <x:c r="I105" s="60" t="n">
        <x:v>521.444186552</x:v>
      </x:c>
      <x:c r="J105" s="60" t="n">
        <x:v>521.444186552</x:v>
      </x:c>
      <x:c r="K105" s="60" t="n">
        <x:v>0</x:v>
      </x:c>
      <x:c r="L105" s="60" t="n">
        <x:v>3.5587378975000004</x:v>
      </x:c>
      <x:c r="M105" s="60" t="n">
        <x:v>517.8854486545</x:v>
      </x:c>
      <x:c r="N105" s="46" t="str">
        <x:v>acanthopagrus schlegelii</x:v>
      </x:c>
      <x:c r="O105" s="62" t="n">
        <x:v>3.24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Acanthopagrus schlegelii</x:v>
      </x:c>
      <x:c r="T105" s="62" t="n">
        <x:f>IF(O105="","",(1/'Metadata'!$B$5)^(O105-1))</x:f>
        <x:v>820.9320103116679</x:v>
      </x:c>
      <x:c r="U105" s="60" t="n">
        <x:f>IF(T105="","",I105*T105)</x:f>
        <x:v>428070.2243314658</x:v>
      </x:c>
    </x:row>
    <x:row r="106" ht="18" customHeight="1">
      <x:c r="A106" s="46" t="str">
        <x:v>LME_050</x:v>
      </x:c>
      <x:c r="B106" s="46" t="str">
        <x:v>Sea of Japan / East Sea</x:v>
      </x:c>
      <x:c r="C106" s="46" t="str">
        <x:v>LME</x:v>
      </x:c>
      <x:c r="D106" s="58" t="n">
        <x:v>2019</x:v>
      </x:c>
      <x:c r="E106" s="46" t="str">
        <x:v>Sebastidae</x:v>
      </x:c>
      <x:c r="F106" s="46" t="str">
        <x:v>Rockfishes, rockcods, thornyheads</x:v>
      </x:c>
      <x:c r="G106" s="46" t="str">
        <x:v>Medium demersals (30 - 89 cm)</x:v>
      </x:c>
      <x:c r="H106" s="46" t="str">
        <x:v>Scorpionfishes</x:v>
      </x:c>
      <x:c r="I106" s="60" t="n">
        <x:v>498.3756751776</x:v>
      </x:c>
      <x:c r="J106" s="60" t="n">
        <x:v>498.3756751776</x:v>
      </x:c>
      <x:c r="K106" s="60" t="n">
        <x:v>0</x:v>
      </x:c>
      <x:c r="L106" s="60" t="n">
        <x:v>208.0921703369</x:v>
      </x:c>
      <x:c r="M106" s="60" t="n">
        <x:v>290.2835048407</x:v>
      </x:c>
      <x:c r="N106" s="46" t="str">
        <x:v>sebastidae</x:v>
      </x:c>
      <x:c r="O106" s="62" t="n">
        <x:v>3.74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Sebastidae</x:v>
      </x:c>
      <x:c r="T106" s="62" t="n">
        <x:f>IF(O106="","",(1/'Metadata'!$B$5)^(O106-1))</x:f>
        <x:v>3671.3195599248957</x:v>
      </x:c>
      <x:c r="U106" s="60" t="n">
        <x:f>IF(T106="","",I106*T106)</x:f>
        <x:v>1829696.364470299</x:v>
      </x:c>
    </x:row>
    <x:row r="107" ht="18" customHeight="1">
      <x:c r="A107" s="46" t="str">
        <x:v>LME_050</x:v>
      </x:c>
      <x:c r="B107" s="46" t="str">
        <x:v>Sea of Japan / East Sea</x:v>
      </x:c>
      <x:c r="C107" s="46" t="str">
        <x:v>LME</x:v>
      </x:c>
      <x:c r="D107" s="58" t="n">
        <x:v>2019</x:v>
      </x:c>
      <x:c r="E107" s="46" t="str">
        <x:v>Niphon spinosus</x:v>
      </x:c>
      <x:c r="F107" s="46" t="str">
        <x:v>Ara</x:v>
      </x:c>
      <x:c r="G107" s="46" t="str">
        <x:v>Medium demersals (30 - 89 cm)</x:v>
      </x:c>
      <x:c r="H107" s="46" t="str">
        <x:v>Perch-likes</x:v>
      </x:c>
      <x:c r="I107" s="60" t="n">
        <x:v>488.6317271888</x:v>
      </x:c>
      <x:c r="J107" s="60" t="n">
        <x:v>488.6317271888</x:v>
      </x:c>
      <x:c r="K107" s="60" t="n">
        <x:v>0</x:v>
      </x:c>
      <x:c r="L107" s="60" t="n">
        <x:v>0</x:v>
      </x:c>
      <x:c r="M107" s="60" t="n">
        <x:v>488.6317271888</x:v>
      </x:c>
      <x:c r="N107" s="46" t="str">
        <x:v>niphon spinosus</x:v>
      </x:c>
      <x:c r="O107" s="62" t="n">
        <x:v>4.5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Niphon spinosus</x:v>
      </x:c>
      <x:c r="T107" s="62" t="n">
        <x:f>IF(O107="","",(1/'Metadata'!$B$5)^(O107-1))</x:f>
        <x:v>35777.08763999664</x:v>
      </x:c>
      <x:c r="U107" s="60" t="n">
        <x:f>IF(T107="","",I107*T107)</x:f>
        <x:v>17481820.127316628</x:v>
      </x:c>
    </x:row>
    <x:row r="108" ht="18" customHeight="1">
      <x:c r="A108" s="46" t="str">
        <x:v>LME_050</x:v>
      </x:c>
      <x:c r="B108" s="46" t="str">
        <x:v>Sea of Japan / East Sea</x:v>
      </x:c>
      <x:c r="C108" s="46" t="str">
        <x:v>LME</x:v>
      </x:c>
      <x:c r="D108" s="58" t="n">
        <x:v>2019</x:v>
      </x:c>
      <x:c r="E108" s="46" t="str">
        <x:v>Auxis</x:v>
      </x:c>
      <x:c r="F108" s="46" t="str">
        <x:v>Bullet and frigate tunas</x:v>
      </x:c>
      <x:c r="G108" s="46" t="str">
        <x:v>Medium pelagics (30 - 89 cm)</x:v>
      </x:c>
      <x:c r="H108" s="46" t="str">
        <x:v>Tuna &amp; billfishes</x:v>
      </x:c>
      <x:c r="I108" s="60" t="n">
        <x:v>483.66858211379997</x:v>
      </x:c>
      <x:c r="J108" s="60" t="n">
        <x:v>0</x:v>
      </x:c>
      <x:c r="K108" s="60" t="n">
        <x:v>483.66858211379997</x:v>
      </x:c>
      <x:c r="L108" s="60" t="n">
        <x:v>0</x:v>
      </x:c>
      <x:c r="M108" s="60" t="n">
        <x:v>483.66858211379997</x:v>
      </x:c>
      <x:c r="N108" s="46" t="str">
        <x:v>auxis</x:v>
      </x:c>
      <x:c r="O108" s="62" t="n">
        <x:v>4.24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Auxis</x:v>
      </x:c>
      <x:c r="T108" s="62" t="n">
        <x:f>IF(O108="","",(1/'Metadata'!$B$5)^(O108-1))</x:f>
        <x:v>16418.64020623336</x:v>
      </x:c>
      <x:c r="U108" s="60" t="n">
        <x:f>IF(T108="","",I108*T108)</x:f>
        <x:v>7941180.428785517</x:v>
      </x:c>
    </x:row>
    <x:row r="109" ht="18" customHeight="1">
      <x:c r="A109" s="46" t="str">
        <x:v>LME_050</x:v>
      </x:c>
      <x:c r="B109" s="46" t="str">
        <x:v>Sea of Japan / East Sea</x:v>
      </x:c>
      <x:c r="C109" s="46" t="str">
        <x:v>LME</x:v>
      </x:c>
      <x:c r="D109" s="58" t="n">
        <x:v>2019</x:v>
      </x:c>
      <x:c r="E109" s="46" t="str">
        <x:v>Portunidae</x:v>
      </x:c>
      <x:c r="F109" s="46" t="str">
        <x:v>Swimming crabs</x:v>
      </x:c>
      <x:c r="G109" s="46" t="str">
        <x:v>Lobsters, crabs</x:v>
      </x:c>
      <x:c r="H109" s="46" t="str">
        <x:v>Crustaceans</x:v>
      </x:c>
      <x:c r="I109" s="60" t="n">
        <x:v>435.442812627</x:v>
      </x:c>
      <x:c r="J109" s="60" t="n">
        <x:v>207.8779109288</x:v>
      </x:c>
      <x:c r="K109" s="60" t="n">
        <x:v>227.5649016982</x:v>
      </x:c>
      <x:c r="L109" s="60" t="n">
        <x:v>0</x:v>
      </x:c>
      <x:c r="M109" s="60" t="n">
        <x:v>435.442812627</x:v>
      </x:c>
      <x:c r="N109" s="46" t="str">
        <x:v>portunidae</x:v>
      </x:c>
      <x:c r="O109" s="62" t="n">
        <x:v>3.56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Portunidae</x:v>
      </x:c>
      <x:c r="T109" s="62" t="n">
        <x:f>IF(O109="","",(1/'Metadata'!$B$5)^(O109-1))</x:f>
        <x:v>2141.099198485972</x:v>
      </x:c>
      <x:c r="U109" s="60" t="n">
        <x:f>IF(T109="","",I109*T109)</x:f>
        <x:v>932326.2571021471</x:v>
      </x:c>
    </x:row>
    <x:row r="110" ht="18" customHeight="1">
      <x:c r="A110" s="46" t="str">
        <x:v>LME_050</x:v>
      </x:c>
      <x:c r="B110" s="46" t="str">
        <x:v>Sea of Japan / East Sea</x:v>
      </x:c>
      <x:c r="C110" s="46" t="str">
        <x:v>LME</x:v>
      </x:c>
      <x:c r="D110" s="58" t="n">
        <x:v>2019</x:v>
      </x:c>
      <x:c r="E110" s="46" t="str">
        <x:v>Mugilidae</x:v>
      </x:c>
      <x:c r="F110" s="46" t="str">
        <x:v>Mullets, grey mullets</x:v>
      </x:c>
      <x:c r="G110" s="46" t="str">
        <x:v>Medium reef assoc. fish (30 - 89 cm)</x:v>
      </x:c>
      <x:c r="H110" s="46" t="str">
        <x:v>Perch-likes</x:v>
      </x:c>
      <x:c r="I110" s="60" t="n">
        <x:v>417.6877006163</x:v>
      </x:c>
      <x:c r="J110" s="60" t="n">
        <x:v>417.6877006163</x:v>
      </x:c>
      <x:c r="K110" s="60" t="n">
        <x:v>0</x:v>
      </x:c>
      <x:c r="L110" s="60" t="n">
        <x:v>1.7563123912</x:v>
      </x:c>
      <x:c r="M110" s="60" t="n">
        <x:v>415.9313882251</x:v>
      </x:c>
      <x:c r="N110" s="46" t="str">
        <x:v>mugilidae</x:v>
      </x:c>
      <x:c r="O110" s="62" t="n">
        <x:v>2.53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Mugilidae</x:v>
      </x:c>
      <x:c r="T110" s="62" t="n">
        <x:f>IF(O110="","",(1/'Metadata'!$B$5)^(O110-1))</x:f>
        <x:v>97.8533939563155</x:v>
      </x:c>
      <x:c r="U110" s="60" t="n">
        <x:f>IF(T110="","",I110*T110)</x:f>
        <x:v>40872.15911911437</x:v>
      </x:c>
    </x:row>
    <x:row r="111" ht="18" customHeight="1">
      <x:c r="A111" s="46" t="str">
        <x:v>LME_050</x:v>
      </x:c>
      <x:c r="B111" s="46" t="str">
        <x:v>Sea of Japan / East Sea</x:v>
      </x:c>
      <x:c r="C111" s="46" t="str">
        <x:v>LME</x:v>
      </x:c>
      <x:c r="D111" s="58" t="n">
        <x:v>2019</x:v>
      </x:c>
      <x:c r="E111" s="46" t="str">
        <x:v>Paralichthyidae</x:v>
      </x:c>
      <x:c r="F111" s="46" t="str">
        <x:v>Largetooth flounders</x:v>
      </x:c>
      <x:c r="G111" s="46" t="str">
        <x:v>Small to medium flatfishes (&lt;90 cm)</x:v>
      </x:c>
      <x:c r="H111" s="46" t="str">
        <x:v>Flatfishes</x:v>
      </x:c>
      <x:c r="I111" s="60" t="n">
        <x:v>415.5555575917</x:v>
      </x:c>
      <x:c r="J111" s="60" t="n">
        <x:v>341.95035238410003</x:v>
      </x:c>
      <x:c r="K111" s="60" t="n">
        <x:v>73.6052052076</x:v>
      </x:c>
      <x:c r="L111" s="60" t="n">
        <x:v>0</x:v>
      </x:c>
      <x:c r="M111" s="60" t="n">
        <x:v>415.5555575917</x:v>
      </x:c>
      <x:c r="N111" s="46" t="str">
        <x:v>paralichthyidae</x:v>
      </x:c>
      <x:c r="O111" s="62" t="n">
        <x:v>4.06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Paralichthyidae</x:v>
      </x:c>
      <x:c r="T111" s="62" t="n">
        <x:f>IF(O111="","",(1/'Metadata'!$B$5)^(O111-1))</x:f>
        <x:v>9575.286708769883</x:v>
      </x:c>
      <x:c r="U111" s="60" t="n">
        <x:f>IF(T111="","",I111*T111)</x:f>
        <x:v>3979063.6073632627</x:v>
      </x:c>
    </x:row>
    <x:row r="112" ht="18" customHeight="1">
      <x:c r="A112" s="46" t="str">
        <x:v>LME_050</x:v>
      </x:c>
      <x:c r="B112" s="46" t="str">
        <x:v>Sea of Japan / East Sea</x:v>
      </x:c>
      <x:c r="C112" s="46" t="str">
        <x:v>LME</x:v>
      </x:c>
      <x:c r="D112" s="58" t="n">
        <x:v>2019</x:v>
      </x:c>
      <x:c r="E112" s="46" t="str">
        <x:v>Elasmobranchii</x:v>
      </x:c>
      <x:c r="F112" s="46" t="str">
        <x:v>Sharks, rays, skates</x:v>
      </x:c>
      <x:c r="G112" s="46" t="str">
        <x:v>Large sharks (&gt;=90 cm)</x:v>
      </x:c>
      <x:c r="H112" s="46" t="str">
        <x:v>Sharks &amp; rays</x:v>
      </x:c>
      <x:c r="I112" s="60" t="n">
        <x:v>413.59300668599997</x:v>
      </x:c>
      <x:c r="J112" s="60" t="n">
        <x:v>413.5929633943</x:v>
      </x:c>
      <x:c r="K112" s="60" t="n">
        <x:v>0.0000432917</x:v>
      </x:c>
      <x:c r="L112" s="60" t="n">
        <x:v>351.26339894169996</x:v>
      </x:c>
      <x:c r="M112" s="60" t="n">
        <x:v>62.3296077443</x:v>
      </x:c>
      <x:c r="N112" s="46" t="str">
        <x:v>elasmobranchii</x:v>
      </x:c>
      <x:c r="O112" s="62" t="n">
        <x:v>4.05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Elasmobranchii</x:v>
      </x:c>
      <x:c r="T112" s="62" t="n">
        <x:f>IF(O112="","",(1/'Metadata'!$B$5)^(O112-1))</x:f>
        <x:v>9292.690797132333</x:v>
      </x:c>
      <x:c r="U112" s="60" t="n">
        <x:f>IF(T112="","",I112*T112)</x:f>
        <x:v>3843391.9269892834</x:v>
      </x:c>
    </x:row>
    <x:row r="113" ht="18" customHeight="1">
      <x:c r="A113" s="46" t="str">
        <x:v>LME_050</x:v>
      </x:c>
      <x:c r="B113" s="46" t="str">
        <x:v>Sea of Japan / East Sea</x:v>
      </x:c>
      <x:c r="C113" s="46" t="str">
        <x:v>LME</x:v>
      </x:c>
      <x:c r="D113" s="58" t="n">
        <x:v>2019</x:v>
      </x:c>
      <x:c r="E113" s="46" t="str">
        <x:v>Exocoetidae</x:v>
      </x:c>
      <x:c r="F113" s="46" t="str">
        <x:v>Flyingfishes</x:v>
      </x:c>
      <x:c r="G113" s="46" t="str">
        <x:v>Small pelagics (&lt;30 cm)</x:v>
      </x:c>
      <x:c r="H113" s="46" t="str">
        <x:v>Other fishes &amp; inverts</x:v>
      </x:c>
      <x:c r="I113" s="60" t="n">
        <x:v>403.8699588115</x:v>
      </x:c>
      <x:c r="J113" s="60" t="n">
        <x:v>348.52796384970003</x:v>
      </x:c>
      <x:c r="K113" s="60" t="n">
        <x:v>55.3419949618</x:v>
      </x:c>
      <x:c r="L113" s="60" t="n">
        <x:v>348.19133788970004</x:v>
      </x:c>
      <x:c r="M113" s="60" t="n">
        <x:v>55.678620921800004</x:v>
      </x:c>
      <x:c r="N113" s="46" t="str">
        <x:v>exocoetidae</x:v>
      </x:c>
      <x:c r="O113" s="62" t="n">
        <x:v>3.57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Exocoetidae</x:v>
      </x:c>
      <x:c r="T113" s="62" t="n">
        <x:f>IF(O113="","",(1/'Metadata'!$B$5)^(O113-1))</x:f>
        <x:v>2206.2112196552644</x:v>
      </x:c>
      <x:c r="U113" s="60" t="n">
        <x:f>IF(T113="","",I113*T113)</x:f>
        <x:v>891022.4344116407</x:v>
      </x:c>
    </x:row>
    <x:row r="114" ht="18" customHeight="1">
      <x:c r="A114" s="46" t="str">
        <x:v>LME_050</x:v>
      </x:c>
      <x:c r="B114" s="46" t="str">
        <x:v>Sea of Japan / East Sea</x:v>
      </x:c>
      <x:c r="C114" s="46" t="str">
        <x:v>LME</x:v>
      </x:c>
      <x:c r="D114" s="58" t="n">
        <x:v>2019</x:v>
      </x:c>
      <x:c r="E114" s="46" t="str">
        <x:v>Synodontidae</x:v>
      </x:c>
      <x:c r="F114" s="46" t="str">
        <x:v>Lizardfishes, sauries</x:v>
      </x:c>
      <x:c r="G114" s="46" t="str">
        <x:v>Medium demersals (30 - 89 cm)</x:v>
      </x:c>
      <x:c r="H114" s="46" t="str">
        <x:v>Other fishes &amp; inverts</x:v>
      </x:c>
      <x:c r="I114" s="60" t="n">
        <x:v>379.0960964411</x:v>
      </x:c>
      <x:c r="J114" s="60" t="n">
        <x:v>379.0960964411</x:v>
      </x:c>
      <x:c r="K114" s="60" t="n">
        <x:v>0</x:v>
      </x:c>
      <x:c r="L114" s="60" t="n">
        <x:v>379.0960964411</x:v>
      </x:c>
      <x:c r="M114" s="60" t="n">
        <x:v>0</x:v>
      </x:c>
      <x:c r="N114" s="46" t="str">
        <x:v>synodontidae</x:v>
      </x:c>
      <x:c r="O114" s="62" t="n">
        <x:v>4.3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Synodontidae</x:v>
      </x:c>
      <x:c r="T114" s="62" t="n">
        <x:f>IF(O114="","",(1/'Metadata'!$B$5)^(O114-1))</x:f>
        <x:v>19651.648417852637</x:v>
      </x:c>
      <x:c r="U114" s="60" t="n">
        <x:f>IF(T114="","",I114*T114)</x:f>
        <x:v>7449863.203840853</x:v>
      </x:c>
    </x:row>
    <x:row r="115" ht="18" customHeight="1">
      <x:c r="A115" s="46" t="str">
        <x:v>LME_050</x:v>
      </x:c>
      <x:c r="B115" s="46" t="str">
        <x:v>Sea of Japan / East Sea</x:v>
      </x:c>
      <x:c r="C115" s="46" t="str">
        <x:v>LME</x:v>
      </x:c>
      <x:c r="D115" s="58" t="n">
        <x:v>2019</x:v>
      </x:c>
      <x:c r="E115" s="46" t="str">
        <x:v>Serranidae</x:v>
      </x:c>
      <x:c r="F115" s="46" t="str">
        <x:v>Basses, groupers, hinds</x:v>
      </x:c>
      <x:c r="G115" s="46" t="str">
        <x:v>Medium reef assoc. fish (30 - 89 cm)</x:v>
      </x:c>
      <x:c r="H115" s="46" t="str">
        <x:v>Perch-likes</x:v>
      </x:c>
      <x:c r="I115" s="60" t="n">
        <x:v>370.419308063</x:v>
      </x:c>
      <x:c r="J115" s="60" t="n">
        <x:v>370.419308063</x:v>
      </x:c>
      <x:c r="K115" s="60" t="n">
        <x:v>0</x:v>
      </x:c>
      <x:c r="L115" s="60" t="n">
        <x:v>3.170473548</x:v>
      </x:c>
      <x:c r="M115" s="60" t="n">
        <x:v>367.248834515</x:v>
      </x:c>
      <x:c r="N115" s="46" t="str">
        <x:v>serranidae</x:v>
      </x:c>
      <x:c r="O115" s="62" t="n">
        <x:v>3.98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Serranidae</x:v>
      </x:c>
      <x:c r="T115" s="62" t="n">
        <x:f>IF(O115="","",(1/'Metadata'!$B$5)^(O115-1))</x:f>
        <x:v>7534.759367064222</x:v>
      </x:c>
      <x:c r="U115" s="60" t="n">
        <x:f>IF(T115="","",I115*T115)</x:f>
        <x:v>2791020.351169137</x:v>
      </x:c>
    </x:row>
    <x:row r="116" ht="18" customHeight="1">
      <x:c r="A116" s="46" t="str">
        <x:v>LME_050</x:v>
      </x:c>
      <x:c r="B116" s="46" t="str">
        <x:v>Sea of Japan / East Sea</x:v>
      </x:c>
      <x:c r="C116" s="46" t="str">
        <x:v>LME</x:v>
      </x:c>
      <x:c r="D116" s="58" t="n">
        <x:v>2019</x:v>
      </x:c>
      <x:c r="E116" s="46" t="str">
        <x:v>Kajikia audax</x:v>
      </x:c>
      <x:c r="F116" s="46" t="str">
        <x:v>Striped marlin</x:v>
      </x:c>
      <x:c r="G116" s="46" t="str">
        <x:v>Large pelagics (&gt;=90 cm)</x:v>
      </x:c>
      <x:c r="H116" s="46" t="str">
        <x:v>Tuna &amp; billfishes</x:v>
      </x:c>
      <x:c r="I116" s="60" t="n">
        <x:v>362.60579249100005</x:v>
      </x:c>
      <x:c r="J116" s="60" t="n">
        <x:v>362.60579249100005</x:v>
      </x:c>
      <x:c r="K116" s="60" t="n">
        <x:v>0</x:v>
      </x:c>
      <x:c r="L116" s="60" t="n">
        <x:v>362.60579249100005</x:v>
      </x:c>
      <x:c r="M116" s="60" t="n">
        <x:v>0</x:v>
      </x:c>
      <x:c r="N116" s="46" t="str">
        <x:v>kajikia audax</x:v>
      </x:c>
      <x:c r="O116" s="62" t="n">
        <x:v>4.58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Kajikia audax</x:v>
      </x:c>
      <x:c r="T116" s="62" t="n">
        <x:f>IF(O116="","",(1/'Metadata'!$B$5)^(O116-1))</x:f>
        <x:v>45466.06667430095</x:v>
      </x:c>
      <x:c r="U116" s="60" t="n">
        <x:f>IF(T116="","",I116*T116)</x:f>
        <x:v>16486259.137883542</x:v>
      </x:c>
    </x:row>
    <x:row r="117" ht="18" customHeight="1">
      <x:c r="A117" s="46" t="str">
        <x:v>LME_050</x:v>
      </x:c>
      <x:c r="B117" s="46" t="str">
        <x:v>Sea of Japan / East Sea</x:v>
      </x:c>
      <x:c r="C117" s="46" t="str">
        <x:v>LME</x:v>
      </x:c>
      <x:c r="D117" s="58" t="n">
        <x:v>2019</x:v>
      </x:c>
      <x:c r="E117" s="46" t="str">
        <x:v>Actinopterygii</x:v>
      </x:c>
      <x:c r="F117" s="46" t="str">
        <x:v>Ray-finned fishes</x:v>
      </x:c>
      <x:c r="G117" s="46" t="str">
        <x:v>Medium demersals (30 - 89 cm)</x:v>
      </x:c>
      <x:c r="H117" s="46" t="str">
        <x:v>Other fishes &amp; inverts</x:v>
      </x:c>
      <x:c r="I117" s="60" t="n">
        <x:v>361.1938011761</x:v>
      </x:c>
      <x:c r="J117" s="60" t="n">
        <x:v>361.1938011761</x:v>
      </x:c>
      <x:c r="K117" s="60" t="n">
        <x:v>0</x:v>
      </x:c>
      <x:c r="L117" s="60" t="n">
        <x:v>0</x:v>
      </x:c>
      <x:c r="M117" s="60" t="n">
        <x:v>361.1938011761</x:v>
      </x:c>
      <x:c r="N117" s="46" t="str">
        <x:v>actinopterygii</x:v>
      </x:c>
      <x:c r="O117" s="62" t="n">
        <x:v>3.79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Actinopterygii</x:v>
      </x:c>
      <x:c r="T117" s="62" t="n">
        <x:f>IF(O117="","",(1/'Metadata'!$B$5)^(O117-1))</x:f>
        <x:v>4264.554685980751</x:v>
      </x:c>
      <x:c r="U117" s="60" t="n">
        <x:f>IF(T117="","",I117*T117)</x:f>
        <x:v>1540330.717352737</x:v>
      </x:c>
    </x:row>
    <x:row r="118" ht="18" customHeight="1">
      <x:c r="A118" s="46" t="str">
        <x:v>LME_050</x:v>
      </x:c>
      <x:c r="B118" s="46" t="str">
        <x:v>Sea of Japan / East Sea</x:v>
      </x:c>
      <x:c r="C118" s="46" t="str">
        <x:v>LME</x:v>
      </x:c>
      <x:c r="D118" s="58" t="n">
        <x:v>2019</x:v>
      </x:c>
      <x:c r="E118" s="46" t="str">
        <x:v>Oncorhynchus tshawytscha</x:v>
      </x:c>
      <x:c r="F118" s="46" t="str">
        <x:v>Chinook salmon</x:v>
      </x:c>
      <x:c r="G118" s="46" t="str">
        <x:v>Large benthopelagics (&gt;=90 cm)</x:v>
      </x:c>
      <x:c r="H118" s="46" t="str">
        <x:v>Salmon, smelts, etc</x:v>
      </x:c>
      <x:c r="I118" s="60" t="n">
        <x:v>360.89744232209995</x:v>
      </x:c>
      <x:c r="J118" s="60" t="n">
        <x:v>360.89744232209995</x:v>
      </x:c>
      <x:c r="K118" s="60" t="n">
        <x:v>0</x:v>
      </x:c>
      <x:c r="L118" s="60" t="n">
        <x:v>54.5352272624</x:v>
      </x:c>
      <x:c r="M118" s="60" t="n">
        <x:v>306.36221505969996</x:v>
      </x:c>
      <x:c r="N118" s="46" t="str">
        <x:v>oncorhynchus tshawytscha</x:v>
      </x:c>
      <x:c r="O118" s="62" t="n">
        <x:v>4.4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Oncorhynchus tshawytscha</x:v>
      </x:c>
      <x:c r="T118" s="62" t="n">
        <x:f>IF(O118="","",(1/'Metadata'!$B$5)^(O118-1))</x:f>
        <x:v>26515.632138719924</x:v>
      </x:c>
      <x:c r="U118" s="60" t="n">
        <x:f>IF(T118="","",I118*T118)</x:f>
        <x:v>9569423.820417693</x:v>
      </x:c>
    </x:row>
    <x:row r="119" ht="18" customHeight="1">
      <x:c r="A119" s="46" t="str">
        <x:v>LME_050</x:v>
      </x:c>
      <x:c r="B119" s="46" t="str">
        <x:v>Sea of Japan / East Sea</x:v>
      </x:c>
      <x:c r="C119" s="46" t="str">
        <x:v>LME</x:v>
      </x:c>
      <x:c r="D119" s="58" t="n">
        <x:v>2019</x:v>
      </x:c>
      <x:c r="E119" s="46" t="str">
        <x:v>Metapenaeus joyneri</x:v>
      </x:c>
      <x:c r="F119" s="46" t="str">
        <x:v>Shiba shrimp</x:v>
      </x:c>
      <x:c r="G119" s="46" t="str">
        <x:v>Shrimps</x:v>
      </x:c>
      <x:c r="H119" s="46" t="str">
        <x:v>Crustaceans</x:v>
      </x:c>
      <x:c r="I119" s="60" t="n">
        <x:v>353.5714914998</x:v>
      </x:c>
      <x:c r="J119" s="60" t="n">
        <x:v>353.5714914998</x:v>
      </x:c>
      <x:c r="K119" s="60" t="n">
        <x:v>0</x:v>
      </x:c>
      <x:c r="L119" s="60" t="n">
        <x:v>353.5714914998</x:v>
      </x:c>
      <x:c r="M119" s="60" t="n">
        <x:v>0</x:v>
      </x:c>
      <x:c r="N119" s="46" t="str">
        <x:v>metapenaeus joyneri</x:v>
      </x:c>
      <x:c r="O119" s="62" t="n">
        <x:v>3.2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Metapenaeus joyneri</x:v>
      </x:c>
      <x:c r="T119" s="62" t="n">
        <x:f>IF(O119="","",(1/'Metadata'!$B$5)^(O119-1))</x:f>
        <x:v>728.2256812104325</x:v>
      </x:c>
      <x:c r="U119" s="60" t="n">
        <x:f>IF(T119="","",I119*T119)</x:f>
        <x:v>257479.8402540305</x:v>
      </x:c>
    </x:row>
    <x:row r="120" ht="18" customHeight="1">
      <x:c r="A120" s="46" t="str">
        <x:v>LME_050</x:v>
      </x:c>
      <x:c r="B120" s="46" t="str">
        <x:v>Sea of Japan / East Sea</x:v>
      </x:c>
      <x:c r="C120" s="46" t="str">
        <x:v>LME</x:v>
      </x:c>
      <x:c r="D120" s="58" t="n">
        <x:v>2019</x:v>
      </x:c>
      <x:c r="E120" s="46" t="str">
        <x:v>Hexagrammidae</x:v>
      </x:c>
      <x:c r="F120" s="46" t="str">
        <x:v>Greenlings</x:v>
      </x:c>
      <x:c r="G120" s="46" t="str">
        <x:v>Medium demersals (30 - 89 cm)</x:v>
      </x:c>
      <x:c r="H120" s="46" t="str">
        <x:v>Scorpionfishes</x:v>
      </x:c>
      <x:c r="I120" s="60" t="n">
        <x:v>347.2478543904</x:v>
      </x:c>
      <x:c r="J120" s="60" t="n">
        <x:v>347.2478543904</x:v>
      </x:c>
      <x:c r="K120" s="60" t="n">
        <x:v>0</x:v>
      </x:c>
      <x:c r="L120" s="60" t="n">
        <x:v>0</x:v>
      </x:c>
      <x:c r="M120" s="60" t="n">
        <x:v>347.2478543904</x:v>
      </x:c>
      <x:c r="N120" s="46" t="str">
        <x:v>hexagrammidae</x:v>
      </x:c>
      <x:c r="O120" s="62" t="n">
        <x:v>3.72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Hexagrammidae</x:v>
      </x:c>
      <x:c r="T120" s="62" t="n">
        <x:f>IF(O120="","",(1/'Metadata'!$B$5)^(O120-1))</x:f>
        <x:v>3457.8136804537753</x:v>
      </x:c>
      <x:c r="U120" s="60" t="n">
        <x:f>IF(T120="","",I120*T120)</x:f>
        <x:v>1200718.3814193457</x:v>
      </x:c>
    </x:row>
    <x:row r="121" ht="18" customHeight="1">
      <x:c r="A121" s="46" t="str">
        <x:v>LME_050</x:v>
      </x:c>
      <x:c r="B121" s="46" t="str">
        <x:v>Sea of Japan / East Sea</x:v>
      </x:c>
      <x:c r="C121" s="46" t="str">
        <x:v>LME</x:v>
      </x:c>
      <x:c r="D121" s="58" t="n">
        <x:v>2019</x:v>
      </x:c>
      <x:c r="E121" s="46" t="str">
        <x:v>Salvelinus</x:v>
      </x:c>
      <x:c r="F121" s="46" t="str">
        <x:v>Chars</x:v>
      </x:c>
      <x:c r="G121" s="46" t="str">
        <x:v>Large benthopelagics (&gt;=90 cm)</x:v>
      </x:c>
      <x:c r="H121" s="46" t="str">
        <x:v>Salmon, smelts, etc</x:v>
      </x:c>
      <x:c r="I121" s="60" t="n">
        <x:v>342.63819987650004</x:v>
      </x:c>
      <x:c r="J121" s="60" t="n">
        <x:v>342.63819987650004</x:v>
      </x:c>
      <x:c r="K121" s="60" t="n">
        <x:v>0</x:v>
      </x:c>
      <x:c r="L121" s="60" t="n">
        <x:v>0</x:v>
      </x:c>
      <x:c r="M121" s="60" t="n">
        <x:v>342.63819987650004</x:v>
      </x:c>
      <x:c r="N121" s="46" t="str">
        <x:v>salvelinus</x:v>
      </x:c>
      <x:c r="O121" s="62" t="n">
        <x:v>4.1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Salvelinus</x:v>
      </x:c>
      <x:c r="T121" s="62" t="n">
        <x:f>IF(O121="","",(1/'Metadata'!$B$5)^(O121-1))</x:f>
        <x:v>10794.262781388496</x:v>
      </x:c>
      <x:c r="U121" s="60" t="n">
        <x:f>IF(T121="","",I121*T121)</x:f>
        <x:v>3698526.768408857</x:v>
      </x:c>
    </x:row>
    <x:row r="122" ht="18" customHeight="1">
      <x:c r="A122" s="46" t="str">
        <x:v>LME_050</x:v>
      </x:c>
      <x:c r="B122" s="46" t="str">
        <x:v>Sea of Japan / East Sea</x:v>
      </x:c>
      <x:c r="C122" s="46" t="str">
        <x:v>LME</x:v>
      </x:c>
      <x:c r="D122" s="58" t="n">
        <x:v>2019</x:v>
      </x:c>
      <x:c r="E122" s="46" t="str">
        <x:v>Malacostraca</x:v>
      </x:c>
      <x:c r="F122" s="46" t="str">
        <x:v>Lobsters, crabs, shrimps, krill</x:v>
      </x:c>
      <x:c r="G122" s="46" t="str">
        <x:v>Shrimps</x:v>
      </x:c>
      <x:c r="H122" s="46" t="str">
        <x:v>Crustaceans</x:v>
      </x:c>
      <x:c r="I122" s="60" t="n">
        <x:v>329.08783366989996</x:v>
      </x:c>
      <x:c r="J122" s="60" t="n">
        <x:v>329.08783366989996</x:v>
      </x:c>
      <x:c r="K122" s="60" t="n">
        <x:v>0</x:v>
      </x:c>
      <x:c r="L122" s="60" t="n">
        <x:v>329.08783366989996</x:v>
      </x:c>
      <x:c r="M122" s="60" t="n">
        <x:v>0</x:v>
      </x:c>
      <x:c r="N122" s="46" t="str">
        <x:v>malacostraca</x:v>
      </x:c>
      <x:c r="O122" s="62" t="n">
        <x:v>3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Malacostraca</x:v>
      </x:c>
      <x:c r="T122" s="62" t="n">
        <x:f>IF(O122="","",(1/'Metadata'!$B$5)^(O122-1))</x:f>
        <x:v>400</x:v>
      </x:c>
      <x:c r="U122" s="60" t="n">
        <x:f>IF(T122="","",I122*T122)</x:f>
        <x:v>131635.13346796</x:v>
      </x:c>
    </x:row>
    <x:row r="123" ht="18" customHeight="1">
      <x:c r="A123" s="46" t="str">
        <x:v>LME_050</x:v>
      </x:c>
      <x:c r="B123" s="46" t="str">
        <x:v>Sea of Japan / East Sea</x:v>
      </x:c>
      <x:c r="C123" s="46" t="str">
        <x:v>LME</x:v>
      </x:c>
      <x:c r="D123" s="58" t="n">
        <x:v>2019</x:v>
      </x:c>
      <x:c r="E123" s="46" t="str">
        <x:v>Mactridae</x:v>
      </x:c>
      <x:c r="F123" s="46" t="str">
        <x:v>Mactra surf clams</x:v>
      </x:c>
      <x:c r="G123" s="46" t="str">
        <x:v>Other demersal invertebrates</x:v>
      </x:c>
      <x:c r="H123" s="46" t="str">
        <x:v>Molluscs</x:v>
      </x:c>
      <x:c r="I123" s="60" t="n">
        <x:v>304.7061709498</x:v>
      </x:c>
      <x:c r="J123" s="60" t="n">
        <x:v>6.1710961061</x:v>
      </x:c>
      <x:c r="K123" s="60" t="n">
        <x:v>298.53507484370004</x:v>
      </x:c>
      <x:c r="L123" s="60" t="n">
        <x:v>6.1710961061</x:v>
      </x:c>
      <x:c r="M123" s="60" t="n">
        <x:v>298.53507484370004</x:v>
      </x:c>
      <x:c r="N123" s="46" t="str">
        <x:v>mactridae</x:v>
      </x:c>
      <x:c r="O123" s="62" t="n">
        <x:v>2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Mactridae</x:v>
      </x:c>
      <x:c r="T123" s="62" t="n">
        <x:f>IF(O123="","",(1/'Metadata'!$B$5)^(O123-1))</x:f>
        <x:v>20</x:v>
      </x:c>
      <x:c r="U123" s="60" t="n">
        <x:f>IF(T123="","",I123*T123)</x:f>
        <x:v>6094.1234189960005</x:v>
      </x:c>
    </x:row>
    <x:row r="124" ht="18" customHeight="1">
      <x:c r="A124" s="46" t="str">
        <x:v>LME_050</x:v>
      </x:c>
      <x:c r="B124" s="46" t="str">
        <x:v>Sea of Japan / East Sea</x:v>
      </x:c>
      <x:c r="C124" s="46" t="str">
        <x:v>LME</x:v>
      </x:c>
      <x:c r="D124" s="58" t="n">
        <x:v>2019</x:v>
      </x:c>
      <x:c r="E124" s="46" t="str">
        <x:v>Beryx</x:v>
      </x:c>
      <x:c r="F124" s="46" t="str">
        <x:v>Alfonsinos</x:v>
      </x:c>
      <x:c r="G124" s="46" t="str">
        <x:v>Medium benthopelagics (30 - 89 cm)</x:v>
      </x:c>
      <x:c r="H124" s="46" t="str">
        <x:v>Other fishes &amp; inverts</x:v>
      </x:c>
      <x:c r="I124" s="60" t="n">
        <x:v>283.3990879597</x:v>
      </x:c>
      <x:c r="J124" s="60" t="n">
        <x:v>283.3990879597</x:v>
      </x:c>
      <x:c r="K124" s="60" t="n">
        <x:v>0</x:v>
      </x:c>
      <x:c r="L124" s="60" t="n">
        <x:v>283.3990879597</x:v>
      </x:c>
      <x:c r="M124" s="60" t="n">
        <x:v>0</x:v>
      </x:c>
      <x:c r="N124" s="46" t="str">
        <x:v>beryx</x:v>
      </x:c>
      <x:c r="O124" s="62" t="n">
        <x:v>3.97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Beryx</x:v>
      </x:c>
      <x:c r="T124" s="62" t="n">
        <x:f>IF(O124="","",(1/'Metadata'!$B$5)^(O124-1))</x:f>
        <x:v>7312.385640086951</x:v>
      </x:c>
      <x:c r="U124" s="60" t="n">
        <x:f>IF(T124="","",I124*T124)</x:f>
        <x:v>2072323.421210249</x:v>
      </x:c>
    </x:row>
    <x:row r="125" ht="18" customHeight="1">
      <x:c r="A125" s="46" t="str">
        <x:v>LME_050</x:v>
      </x:c>
      <x:c r="B125" s="46" t="str">
        <x:v>Sea of Japan / East Sea</x:v>
      </x:c>
      <x:c r="C125" s="46" t="str">
        <x:v>LME</x:v>
      </x:c>
      <x:c r="D125" s="58" t="n">
        <x:v>2019</x:v>
      </x:c>
      <x:c r="E125" s="46" t="str">
        <x:v>Scorpaenidae</x:v>
      </x:c>
      <x:c r="F125" s="46" t="str">
        <x:v>Scorpionfishes, rockfishes</x:v>
      </x:c>
      <x:c r="G125" s="46" t="str">
        <x:v>Large reef assoc. fish (&gt;=90 cm)</x:v>
      </x:c>
      <x:c r="H125" s="46" t="str">
        <x:v>Scorpionfishes</x:v>
      </x:c>
      <x:c r="I125" s="60" t="n">
        <x:v>279.7780617803</x:v>
      </x:c>
      <x:c r="J125" s="60" t="n">
        <x:v>279.7780617803</x:v>
      </x:c>
      <x:c r="K125" s="60" t="n">
        <x:v>0</x:v>
      </x:c>
      <x:c r="L125" s="60" t="n">
        <x:v>279.7780617803</x:v>
      </x:c>
      <x:c r="M125" s="60" t="n">
        <x:v>0</x:v>
      </x:c>
      <x:c r="N125" s="46" t="str">
        <x:v>scorpaenidae</x:v>
      </x:c>
      <x:c r="O125" s="62" t="n">
        <x:v>3.92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Scorpaenidae</x:v>
      </x:c>
      <x:c r="T125" s="62" t="n">
        <x:f>IF(O125="","",(1/'Metadata'!$B$5)^(O125-1))</x:f>
        <x:v>6295.1718073679995</x:v>
      </x:c>
      <x:c r="U125" s="60" t="n">
        <x:f>IF(T125="","",I125*T125)</x:f>
        <x:v>1761250.9668394069</x:v>
      </x:c>
    </x:row>
    <x:row r="126" ht="18" customHeight="1">
      <x:c r="A126" s="46" t="str">
        <x:v>LME_050</x:v>
      </x:c>
      <x:c r="B126" s="46" t="str">
        <x:v>Sea of Japan / East Sea</x:v>
      </x:c>
      <x:c r="C126" s="46" t="str">
        <x:v>LME</x:v>
      </x:c>
      <x:c r="D126" s="58" t="n">
        <x:v>2019</x:v>
      </x:c>
      <x:c r="E126" s="46" t="str">
        <x:v>Dendrobranchiata</x:v>
      </x:c>
      <x:c r="F126" s="46" t="str">
        <x:v>Shrimps and prawns</x:v>
      </x:c>
      <x:c r="G126" s="46" t="str">
        <x:v>Shrimps</x:v>
      </x:c>
      <x:c r="H126" s="46" t="str">
        <x:v>Crustaceans</x:v>
      </x:c>
      <x:c r="I126" s="60" t="n">
        <x:v>263.589103502</x:v>
      </x:c>
      <x:c r="J126" s="60" t="n">
        <x:v>258.5048897873</x:v>
      </x:c>
      <x:c r="K126" s="60" t="n">
        <x:v>5.0842137147</x:v>
      </x:c>
      <x:c r="L126" s="60" t="n">
        <x:v>188.41785802590002</x:v>
      </x:c>
      <x:c r="M126" s="60" t="n">
        <x:v>75.1712454761</x:v>
      </x:c>
      <x:c r="N126" s="46" t="str">
        <x:v>dendrobranchiata</x:v>
      </x:c>
      <x:c r="O126" s="62" t="n">
        <x:v>3.24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Dendrobranchiata</x:v>
      </x:c>
      <x:c r="T126" s="62" t="n">
        <x:f>IF(O126="","",(1/'Metadata'!$B$5)^(O126-1))</x:f>
        <x:v>820.9320103116679</x:v>
      </x:c>
      <x:c r="U126" s="60" t="n">
        <x:f>IF(T126="","",I126*T126)</x:f>
        <x:v>216388.73263414716</x:v>
      </x:c>
    </x:row>
    <x:row r="127" ht="18" customHeight="1">
      <x:c r="A127" s="46" t="str">
        <x:v>LME_050</x:v>
      </x:c>
      <x:c r="B127" s="46" t="str">
        <x:v>Sea of Japan / East Sea</x:v>
      </x:c>
      <x:c r="C127" s="46" t="str">
        <x:v>LME</x:v>
      </x:c>
      <x:c r="D127" s="58" t="n">
        <x:v>2019</x:v>
      </x:c>
      <x:c r="E127" s="46" t="str">
        <x:v>Makaira mazara</x:v>
      </x:c>
      <x:c r="F127" s="46" t="str">
        <x:v>Indo-Pacific blue marlin</x:v>
      </x:c>
      <x:c r="G127" s="46" t="str">
        <x:v>Large pelagics (&gt;=90 cm)</x:v>
      </x:c>
      <x:c r="H127" s="46" t="str">
        <x:v>Tuna &amp; billfishes</x:v>
      </x:c>
      <x:c r="I127" s="60" t="n">
        <x:v>262.6174121962</x:v>
      </x:c>
      <x:c r="J127" s="60" t="n">
        <x:v>262.6174121962</x:v>
      </x:c>
      <x:c r="K127" s="60" t="n">
        <x:v>0</x:v>
      </x:c>
      <x:c r="L127" s="60" t="n">
        <x:v>262.6174121962</x:v>
      </x:c>
      <x:c r="M127" s="60" t="n">
        <x:v>0</x:v>
      </x:c>
      <x:c r="N127" s="46" t="str">
        <x:v>makaira mazara</x:v>
      </x:c>
      <x:c r="O127" s="62" t="n">
        <x:v>4.46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Makaira mazara</x:v>
      </x:c>
      <x:c r="T127" s="62" t="n">
        <x:f>IF(O127="","",(1/'Metadata'!$B$5)^(O127-1))</x:f>
        <x:v>31736.84749906455</x:v>
      </x:c>
      <x:c r="U127" s="60" t="n">
        <x:f>IF(T127="","",I127*T127)</x:f>
        <x:v>8334648.761469775</x:v>
      </x:c>
    </x:row>
    <x:row r="128" ht="18" customHeight="1">
      <x:c r="A128" s="46" t="str">
        <x:v>LME_050</x:v>
      </x:c>
      <x:c r="B128" s="46" t="str">
        <x:v>Sea of Japan / East Sea</x:v>
      </x:c>
      <x:c r="C128" s="46" t="str">
        <x:v>LME</x:v>
      </x:c>
      <x:c r="D128" s="58" t="n">
        <x:v>2019</x:v>
      </x:c>
      <x:c r="E128" s="46" t="str">
        <x:v>Anadara</x:v>
      </x:c>
      <x:c r="F128" s="46" t="str">
        <x:v>Arks, blood cockles</x:v>
      </x:c>
      <x:c r="G128" s="46" t="str">
        <x:v>Other demersal invertebrates</x:v>
      </x:c>
      <x:c r="H128" s="46" t="str">
        <x:v>Molluscs</x:v>
      </x:c>
      <x:c r="I128" s="60" t="n">
        <x:v>259.99278889880003</x:v>
      </x:c>
      <x:c r="J128" s="60" t="n">
        <x:v>92.500265064</x:v>
      </x:c>
      <x:c r="K128" s="60" t="n">
        <x:v>167.4925238348</x:v>
      </x:c>
      <x:c r="L128" s="60" t="n">
        <x:v>92.500265064</x:v>
      </x:c>
      <x:c r="M128" s="60" t="n">
        <x:v>167.4925238348</x:v>
      </x:c>
      <x:c r="N128" s="46" t="str">
        <x:v>anadara</x:v>
      </x:c>
      <x:c r="O128" s="62" t="n">
        <x:v>2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Anadara</x:v>
      </x:c>
      <x:c r="T128" s="62" t="n">
        <x:f>IF(O128="","",(1/'Metadata'!$B$5)^(O128-1))</x:f>
        <x:v>20</x:v>
      </x:c>
      <x:c r="U128" s="60" t="n">
        <x:f>IF(T128="","",I128*T128)</x:f>
        <x:v>5199.855777976</x:v>
      </x:c>
    </x:row>
    <x:row r="129" ht="18" customHeight="1">
      <x:c r="A129" s="46" t="str">
        <x:v>LME_050</x:v>
      </x:c>
      <x:c r="B129" s="46" t="str">
        <x:v>Sea of Japan / East Sea</x:v>
      </x:c>
      <x:c r="C129" s="46" t="str">
        <x:v>LME</x:v>
      </x:c>
      <x:c r="D129" s="58" t="n">
        <x:v>2019</x:v>
      </x:c>
      <x:c r="E129" s="46" t="str">
        <x:v>Scorpaeniformes</x:v>
      </x:c>
      <x:c r="F129" s="46" t="str">
        <x:v>Scorpionfishes, flatheads</x:v>
      </x:c>
      <x:c r="G129" s="46" t="str">
        <x:v>Medium demersals (30 - 89 cm)</x:v>
      </x:c>
      <x:c r="H129" s="46" t="str">
        <x:v>Scorpionfishes</x:v>
      </x:c>
      <x:c r="I129" s="60" t="n">
        <x:v>254.4888232881</x:v>
      </x:c>
      <x:c r="J129" s="60" t="n">
        <x:v>254.4888232881</x:v>
      </x:c>
      <x:c r="K129" s="60" t="n">
        <x:v>0</x:v>
      </x:c>
      <x:c r="L129" s="60" t="n">
        <x:v>0</x:v>
      </x:c>
      <x:c r="M129" s="60" t="n">
        <x:v>254.4888232881</x:v>
      </x:c>
      <x:c r="N129" s="46" t="str">
        <x:v>scorpaeniformes</x:v>
      </x:c>
      <x:c r="O129" s="62" t="n">
        <x:v>3.78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Scorpaeniformes</x:v>
      </x:c>
      <x:c r="T129" s="62" t="n">
        <x:f>IF(O129="","",(1/'Metadata'!$B$5)^(O129-1))</x:f>
        <x:v>4138.694671981463</x:v>
      </x:c>
      <x:c r="U129" s="60" t="n">
        <x:f>IF(T129="","",I129*T129)</x:f>
        <x:v>1053251.5370212917</x:v>
      </x:c>
    </x:row>
    <x:row r="130" ht="18" customHeight="1">
      <x:c r="A130" s="46" t="str">
        <x:v>LME_050</x:v>
      </x:c>
      <x:c r="B130" s="46" t="str">
        <x:v>Sea of Japan / East Sea</x:v>
      </x:c>
      <x:c r="C130" s="46" t="str">
        <x:v>LME</x:v>
      </x:c>
      <x:c r="D130" s="58" t="n">
        <x:v>2019</x:v>
      </x:c>
      <x:c r="E130" s="46" t="str">
        <x:v>Haliotidae</x:v>
      </x:c>
      <x:c r="F130" s="46" t="str">
        <x:v>Abalones, ear shells</x:v>
      </x:c>
      <x:c r="G130" s="46" t="str">
        <x:v>Other demersal invertebrates</x:v>
      </x:c>
      <x:c r="H130" s="46" t="str">
        <x:v>Molluscs</x:v>
      </x:c>
      <x:c r="I130" s="60" t="n">
        <x:v>242.1543405663</x:v>
      </x:c>
      <x:c r="J130" s="60" t="n">
        <x:v>242.1543405663</x:v>
      </x:c>
      <x:c r="K130" s="60" t="n">
        <x:v>0</x:v>
      </x:c>
      <x:c r="L130" s="60" t="n">
        <x:v>242.1543405663</x:v>
      </x:c>
      <x:c r="M130" s="60" t="n">
        <x:v>0</x:v>
      </x:c>
      <x:c r="N130" s="46" t="str">
        <x:v>haliotidae</x:v>
      </x:c>
      <x:c r="O130" s="62" t="n">
        <x:v>2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Haliotidae</x:v>
      </x:c>
      <x:c r="T130" s="62" t="n">
        <x:f>IF(O130="","",(1/'Metadata'!$B$5)^(O130-1))</x:f>
        <x:v>20</x:v>
      </x:c>
      <x:c r="U130" s="60" t="n">
        <x:f>IF(T130="","",I130*T130)</x:f>
        <x:v>4843.086811326</x:v>
      </x:c>
    </x:row>
    <x:row r="131" ht="18" customHeight="1">
      <x:c r="A131" s="46" t="str">
        <x:v>LME_050</x:v>
      </x:c>
      <x:c r="B131" s="46" t="str">
        <x:v>Sea of Japan / East Sea</x:v>
      </x:c>
      <x:c r="C131" s="46" t="str">
        <x:v>LME</x:v>
      </x:c>
      <x:c r="D131" s="58" t="n">
        <x:v>2019</x:v>
      </x:c>
      <x:c r="E131" s="46" t="str">
        <x:v>Engraulidae</x:v>
      </x:c>
      <x:c r="F131" s="46" t="str">
        <x:v>Anchovies, round herrings</x:v>
      </x:c>
      <x:c r="G131" s="46" t="str">
        <x:v>Small pelagics (&lt;30 cm)</x:v>
      </x:c>
      <x:c r="H131" s="46" t="str">
        <x:v>Anchovies</x:v>
      </x:c>
      <x:c r="I131" s="60" t="n">
        <x:v>228.83771778210001</x:v>
      </x:c>
      <x:c r="J131" s="60" t="n">
        <x:v>1.4999999992000002</x:v>
      </x:c>
      <x:c r="K131" s="60" t="n">
        <x:v>227.3377177829</x:v>
      </x:c>
      <x:c r="L131" s="60" t="n">
        <x:v>0</x:v>
      </x:c>
      <x:c r="M131" s="60" t="n">
        <x:v>228.83771778210001</x:v>
      </x:c>
      <x:c r="N131" s="46" t="str">
        <x:v>engraulidae</x:v>
      </x:c>
      <x:c r="O131" s="62" t="n">
        <x:v>3.2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Engraulidae</x:v>
      </x:c>
      <x:c r="T131" s="62" t="n">
        <x:f>IF(O131="","",(1/'Metadata'!$B$5)^(O131-1))</x:f>
        <x:v>728.2256812104325</x:v>
      </x:c>
      <x:c r="U131" s="60" t="n">
        <x:f>IF(T131="","",I131*T131)</x:f>
        <x:v>166645.5029185105</x:v>
      </x:c>
    </x:row>
    <x:row r="132" ht="18" customHeight="1">
      <x:c r="A132" s="46" t="str">
        <x:v>LME_050</x:v>
      </x:c>
      <x:c r="B132" s="46" t="str">
        <x:v>Sea of Japan / East Sea</x:v>
      </x:c>
      <x:c r="C132" s="46" t="str">
        <x:v>LME</x:v>
      </x:c>
      <x:c r="D132" s="58" t="n">
        <x:v>2019</x:v>
      </x:c>
      <x:c r="E132" s="46" t="str">
        <x:v>Atheresthes evermanni</x:v>
      </x:c>
      <x:c r="F132" s="46" t="str">
        <x:v>Kamchatka flounder</x:v>
      </x:c>
      <x:c r="G132" s="46" t="str">
        <x:v>Large flatfishes (&gt;=90 cm)</x:v>
      </x:c>
      <x:c r="H132" s="46" t="str">
        <x:v>Flatfishes</x:v>
      </x:c>
      <x:c r="I132" s="60" t="n">
        <x:v>224.2005516109</x:v>
      </x:c>
      <x:c r="J132" s="60" t="n">
        <x:v>210.416600101</x:v>
      </x:c>
      <x:c r="K132" s="60" t="n">
        <x:v>13.7839515099</x:v>
      </x:c>
      <x:c r="L132" s="60" t="n">
        <x:v>184.08909841739998</x:v>
      </x:c>
      <x:c r="M132" s="60" t="n">
        <x:v>40.1114531935</x:v>
      </x:c>
      <x:c r="N132" s="46" t="str">
        <x:v>atheresthes evermanni</x:v>
      </x:c>
      <x:c r="O132" s="62" t="n">
        <x:v>4.3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Atheresthes evermanni</x:v>
      </x:c>
      <x:c r="T132" s="62" t="n">
        <x:f>IF(O132="","",(1/'Metadata'!$B$5)^(O132-1))</x:f>
        <x:v>19651.648417852637</x:v>
      </x:c>
      <x:c r="U132" s="60" t="n">
        <x:f>IF(T132="","",I132*T132)</x:f>
        <x:v>4405910.415346031</x:v>
      </x:c>
    </x:row>
    <x:row r="133" ht="18" customHeight="1">
      <x:c r="A133" s="46" t="str">
        <x:v>LME_050</x:v>
      </x:c>
      <x:c r="B133" s="46" t="str">
        <x:v>Sea of Japan / East Sea</x:v>
      </x:c>
      <x:c r="C133" s="46" t="str">
        <x:v>LME</x:v>
      </x:c>
      <x:c r="D133" s="58" t="n">
        <x:v>2019</x:v>
      </x:c>
      <x:c r="E133" s="46" t="str">
        <x:v>Liparis tanakae</x:v>
      </x:c>
      <x:c r="F133" s="46" t="str">
        <x:v>Tanaka's snailfish</x:v>
      </x:c>
      <x:c r="G133" s="46" t="str">
        <x:v>Medium demersals (30 - 89 cm)</x:v>
      </x:c>
      <x:c r="H133" s="46" t="str">
        <x:v>Scorpionfishes</x:v>
      </x:c>
      <x:c r="I133" s="60" t="n">
        <x:v>217.33180411</x:v>
      </x:c>
      <x:c r="J133" s="60" t="n">
        <x:v>0</x:v>
      </x:c>
      <x:c r="K133" s="60" t="n">
        <x:v>217.33180411</x:v>
      </x:c>
      <x:c r="L133" s="60" t="n">
        <x:v>0</x:v>
      </x:c>
      <x:c r="M133" s="60" t="n">
        <x:v>217.33180411</x:v>
      </x:c>
      <x:c r="N133" s="46" t="str">
        <x:v>liparis tanakae</x:v>
      </x:c>
      <x:c r="O133" s="62" t="n">
        <x:v>3.42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Liparis tanakae</x:v>
      </x:c>
      <x:c r="T133" s="62" t="n">
        <x:f>IF(O133="","",(1/'Metadata'!$B$5)^(O133-1))</x:f>
        <x:v>1407.643209131506</x:v>
      </x:c>
      <x:c r="U133" s="60" t="n">
        <x:f>IF(T133="","",I133*T133)</x:f>
        <x:v>305925.6381837402</x:v>
      </x:c>
    </x:row>
    <x:row r="134" ht="18" customHeight="1">
      <x:c r="A134" s="46" t="str">
        <x:v>LME_050</x:v>
      </x:c>
      <x:c r="B134" s="46" t="str">
        <x:v>Sea of Japan / East Sea</x:v>
      </x:c>
      <x:c r="C134" s="46" t="str">
        <x:v>LME</x:v>
      </x:c>
      <x:c r="D134" s="58" t="n">
        <x:v>2019</x:v>
      </x:c>
      <x:c r="E134" s="46" t="str">
        <x:v>Charybdis</x:v>
      </x:c>
      <x:c r="F134" s="46" t="str">
        <x:v>Whirlpool swimming crabs</x:v>
      </x:c>
      <x:c r="G134" s="46" t="str">
        <x:v>Lobsters, crabs</x:v>
      </x:c>
      <x:c r="H134" s="46" t="str">
        <x:v>Crustaceans</x:v>
      </x:c>
      <x:c r="I134" s="60" t="n">
        <x:v>211.6728022515</x:v>
      </x:c>
      <x:c r="J134" s="60" t="n">
        <x:v>173.7633068704</x:v>
      </x:c>
      <x:c r="K134" s="60" t="n">
        <x:v>37.9094953811</x:v>
      </x:c>
      <x:c r="L134" s="60" t="n">
        <x:v>173.7633068704</x:v>
      </x:c>
      <x:c r="M134" s="60" t="n">
        <x:v>37.9094953811</x:v>
      </x:c>
      <x:c r="N134" s="46" t="str">
        <x:v>charybdis</x:v>
      </x:c>
      <x:c r="O134" s="62" t="n">
        <x:v>2.7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Charybdis</x:v>
      </x:c>
      <x:c r="T134" s="62" t="n">
        <x:f>IF(O134="","",(1/'Metadata'!$B$5)^(O134-1))</x:f>
        <x:v>162.83621261476185</x:v>
      </x:c>
      <x:c r="U134" s="60" t="n">
        <x:f>IF(T134="","",I134*T134)</x:f>
        <x:v>34467.997432187694</x:v>
      </x:c>
    </x:row>
    <x:row r="135" ht="18" customHeight="1">
      <x:c r="A135" s="46" t="str">
        <x:v>LME_050</x:v>
      </x:c>
      <x:c r="B135" s="46" t="str">
        <x:v>Sea of Japan / East Sea</x:v>
      </x:c>
      <x:c r="C135" s="46" t="str">
        <x:v>LME</x:v>
      </x:c>
      <x:c r="D135" s="58" t="n">
        <x:v>2019</x:v>
      </x:c>
      <x:c r="E135" s="46" t="str">
        <x:v>Erimacrus isenbeckii</x:v>
      </x:c>
      <x:c r="F135" s="46" t="str">
        <x:v>Hair Crab</x:v>
      </x:c>
      <x:c r="G135" s="46" t="str">
        <x:v>Lobsters, crabs</x:v>
      </x:c>
      <x:c r="H135" s="46" t="str">
        <x:v>Crustaceans</x:v>
      </x:c>
      <x:c r="I135" s="60" t="n">
        <x:v>209.63143369830001</x:v>
      </x:c>
      <x:c r="J135" s="60" t="n">
        <x:v>209.63143369830001</x:v>
      </x:c>
      <x:c r="K135" s="60" t="n">
        <x:v>0</x:v>
      </x:c>
      <x:c r="L135" s="60" t="n">
        <x:v>206.8205749833</x:v>
      </x:c>
      <x:c r="M135" s="60" t="n">
        <x:v>2.810858715</x:v>
      </x:c>
      <x:c r="N135" s="46" t="str">
        <x:v>erimacrus isenbeckii</x:v>
      </x:c>
      <x:c r="O135" s="62" t="n">
        <x:v>2.6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Erimacrus isenbeckii</x:v>
      </x:c>
      <x:c r="T135" s="62" t="n">
        <x:f>IF(O135="","",(1/'Metadata'!$B$5)^(O135-1))</x:f>
        <x:v>120.6835267309033</x:v>
      </x:c>
      <x:c r="U135" s="60" t="n">
        <x:f>IF(T135="","",I135*T135)</x:f>
        <x:v>25299.06073236637</x:v>
      </x:c>
    </x:row>
    <x:row r="136" ht="18" customHeight="1">
      <x:c r="A136" s="46" t="str">
        <x:v>LME_050</x:v>
      </x:c>
      <x:c r="B136" s="46" t="str">
        <x:v>Sea of Japan / East Sea</x:v>
      </x:c>
      <x:c r="C136" s="46" t="str">
        <x:v>LME</x:v>
      </x:c>
      <x:c r="D136" s="58" t="n">
        <x:v>2019</x:v>
      </x:c>
      <x:c r="E136" s="46" t="str">
        <x:v>Ostreidae</x:v>
      </x:c>
      <x:c r="F136" s="46" t="str">
        <x:v>True oysters</x:v>
      </x:c>
      <x:c r="G136" s="46" t="str">
        <x:v>Other demersal invertebrates</x:v>
      </x:c>
      <x:c r="H136" s="46" t="str">
        <x:v>Molluscs</x:v>
      </x:c>
      <x:c r="I136" s="60" t="n">
        <x:v>189.9407232236</x:v>
      </x:c>
      <x:c r="J136" s="60" t="n">
        <x:v>189.9407232236</x:v>
      </x:c>
      <x:c r="K136" s="60" t="n">
        <x:v>0</x:v>
      </x:c>
      <x:c r="L136" s="60" t="n">
        <x:v>0</x:v>
      </x:c>
      <x:c r="M136" s="60" t="n">
        <x:v>189.9407232236</x:v>
      </x:c>
      <x:c r="N136" s="46" t="str">
        <x:v>ostreidae</x:v>
      </x:c>
      <x:c r="O136" s="62" t="n">
        <x:v>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Ostreidae</x:v>
      </x:c>
      <x:c r="T136" s="62" t="n">
        <x:f>IF(O136="","",(1/'Metadata'!$B$5)^(O136-1))</x:f>
        <x:v>20</x:v>
      </x:c>
      <x:c r="U136" s="60" t="n">
        <x:f>IF(T136="","",I136*T136)</x:f>
        <x:v>3798.814464472</x:v>
      </x:c>
    </x:row>
    <x:row r="137" ht="18" customHeight="1">
      <x:c r="A137" s="46" t="str">
        <x:v>LME_050</x:v>
      </x:c>
      <x:c r="B137" s="46" t="str">
        <x:v>Sea of Japan / East Sea</x:v>
      </x:c>
      <x:c r="C137" s="46" t="str">
        <x:v>LME</x:v>
      </x:c>
      <x:c r="D137" s="58" t="n">
        <x:v>2019</x:v>
      </x:c>
      <x:c r="E137" s="46" t="str">
        <x:v>Hemiramphidae</x:v>
      </x:c>
      <x:c r="F137" s="46" t="str">
        <x:v>Halfbeaks, garfishes</x:v>
      </x:c>
      <x:c r="G137" s="46" t="str">
        <x:v>Medium pelagics (30 - 89 cm)</x:v>
      </x:c>
      <x:c r="H137" s="46" t="str">
        <x:v>Other fishes &amp; inverts</x:v>
      </x:c>
      <x:c r="I137" s="60" t="n">
        <x:v>184.5469456562</x:v>
      </x:c>
      <x:c r="J137" s="60" t="n">
        <x:v>184.5469456562</x:v>
      </x:c>
      <x:c r="K137" s="60" t="n">
        <x:v>0</x:v>
      </x:c>
      <x:c r="L137" s="60" t="n">
        <x:v>0</x:v>
      </x:c>
      <x:c r="M137" s="60" t="n">
        <x:v>184.5469456562</x:v>
      </x:c>
      <x:c r="N137" s="46" t="str">
        <x:v>hemiramphidae</x:v>
      </x:c>
      <x:c r="O137" s="62" t="n">
        <x:v>2.82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Hemiramphidae</x:v>
      </x:c>
      <x:c r="T137" s="62" t="n">
        <x:f>IF(O137="","",(1/'Metadata'!$B$5)^(O137-1))</x:f>
        <x:v>233.27843447436348</x:v>
      </x:c>
      <x:c r="U137" s="60" t="n">
        <x:f>IF(T137="","",I137*T137)</x:f>
        <x:v>43050.82256970377</x:v>
      </x:c>
    </x:row>
    <x:row r="138" ht="18" customHeight="1">
      <x:c r="A138" s="46" t="str">
        <x:v>LME_050</x:v>
      </x:c>
      <x:c r="B138" s="46" t="str">
        <x:v>Sea of Japan / East Sea</x:v>
      </x:c>
      <x:c r="C138" s="46" t="str">
        <x:v>LME</x:v>
      </x:c>
      <x:c r="D138" s="58" t="n">
        <x:v>2019</x:v>
      </x:c>
      <x:c r="E138" s="46" t="str">
        <x:v>Sepiida</x:v>
      </x:c>
      <x:c r="F138" s="46" t="str">
        <x:v>Cuttlefishes, bobtail squids</x:v>
      </x:c>
      <x:c r="G138" s="46" t="str">
        <x:v>Cephalopods</x:v>
      </x:c>
      <x:c r="H138" s="46" t="str">
        <x:v>Other fishes &amp; inverts</x:v>
      </x:c>
      <x:c r="I138" s="60" t="n">
        <x:v>165.609094849</x:v>
      </x:c>
      <x:c r="J138" s="60" t="n">
        <x:v>165.609094849</x:v>
      </x:c>
      <x:c r="K138" s="60" t="n">
        <x:v>0</x:v>
      </x:c>
      <x:c r="L138" s="60" t="n">
        <x:v>165.609094849</x:v>
      </x:c>
      <x:c r="M138" s="60" t="n">
        <x:v>0</x:v>
      </x:c>
      <x:c r="N138" s="46" t="str">
        <x:v>sepiida</x:v>
      </x:c>
      <x:c r="O138" s="62" t="n">
        <x:v>3.7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Sepiida</x:v>
      </x:c>
      <x:c r="T138" s="62" t="n">
        <x:f>IF(O138="","",(1/'Metadata'!$B$5)^(O138-1))</x:f>
        <x:v>3256.724252295237</x:v>
      </x:c>
      <x:c r="U138" s="60" t="n">
        <x:f>IF(T138="","",I138*T138)</x:f>
        <x:v>539343.1555954005</x:v>
      </x:c>
    </x:row>
    <x:row r="139" ht="18" customHeight="1">
      <x:c r="A139" s="46" t="str">
        <x:v>LME_050</x:v>
      </x:c>
      <x:c r="B139" s="46" t="str">
        <x:v>Sea of Japan / East Sea</x:v>
      </x:c>
      <x:c r="C139" s="46" t="str">
        <x:v>LME</x:v>
      </x:c>
      <x:c r="D139" s="58" t="n">
        <x:v>2019</x:v>
      </x:c>
      <x:c r="E139" s="46" t="str">
        <x:v>Coryphaena hippurus</x:v>
      </x:c>
      <x:c r="F139" s="46" t="str">
        <x:v>Common dolphinfish</x:v>
      </x:c>
      <x:c r="G139" s="46" t="str">
        <x:v>Large pelagics (&gt;=90 cm)</x:v>
      </x:c>
      <x:c r="H139" s="46" t="str">
        <x:v>Perch-likes</x:v>
      </x:c>
      <x:c r="I139" s="60" t="n">
        <x:v>165.4763085986</x:v>
      </x:c>
      <x:c r="J139" s="60" t="n">
        <x:v>165.4763085986</x:v>
      </x:c>
      <x:c r="K139" s="60" t="n">
        <x:v>0</x:v>
      </x:c>
      <x:c r="L139" s="60" t="n">
        <x:v>84.805766511</x:v>
      </x:c>
      <x:c r="M139" s="60" t="n">
        <x:v>80.6705420876</x:v>
      </x:c>
      <x:c r="N139" s="46" t="str">
        <x:v>coryphaena hippurus</x:v>
      </x:c>
      <x:c r="O139" s="62" t="n">
        <x:v>4.37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Coryphaena hippurus</x:v>
      </x:c>
      <x:c r="T139" s="62" t="n">
        <x:f>IF(O139="","",(1/'Metadata'!$B$5)^(O139-1))</x:f>
        <x:v>24236.56596112542</x:v>
      </x:c>
      <x:c r="U139" s="60" t="n">
        <x:f>IF(T139="","",I139*T139)</x:f>
        <x:v>4010577.4683535146</x:v>
      </x:c>
    </x:row>
    <x:row r="140" ht="18" customHeight="1">
      <x:c r="A140" s="46" t="str">
        <x:v>LME_050</x:v>
      </x:c>
      <x:c r="B140" s="46" t="str">
        <x:v>Sea of Japan / East Sea</x:v>
      </x:c>
      <x:c r="C140" s="46" t="str">
        <x:v>LME</x:v>
      </x:c>
      <x:c r="D140" s="58" t="n">
        <x:v>2019</x:v>
      </x:c>
      <x:c r="E140" s="46" t="str">
        <x:v>Oncorhynchus masou</x:v>
      </x:c>
      <x:c r="F140" s="46" t="str">
        <x:v>Masu salmon</x:v>
      </x:c>
      <x:c r="G140" s="46" t="str">
        <x:v>Medium benthopelagics (30 - 89 cm)</x:v>
      </x:c>
      <x:c r="H140" s="46" t="str">
        <x:v>Salmon, smelts, etc</x:v>
      </x:c>
      <x:c r="I140" s="60" t="n">
        <x:v>160.2740830593</x:v>
      </x:c>
      <x:c r="J140" s="60" t="n">
        <x:v>160.2740830593</x:v>
      </x:c>
      <x:c r="K140" s="60" t="n">
        <x:v>0</x:v>
      </x:c>
      <x:c r="L140" s="60" t="n">
        <x:v>159.52791877960001</x:v>
      </x:c>
      <x:c r="M140" s="60" t="n">
        <x:v>0.7461642797</x:v>
      </x:c>
      <x:c r="N140" s="46" t="str">
        <x:v>oncorhynchus masou</x:v>
      </x:c>
      <x:c r="O140" s="62" t="n">
        <x:v>3.6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Oncorhynchus masou</x:v>
      </x:c>
      <x:c r="T140" s="62" t="n">
        <x:f>IF(O140="","",(1/'Metadata'!$B$5)^(O140-1))</x:f>
        <x:v>2413.670534618066</x:v>
      </x:c>
      <x:c r="U140" s="60" t="n">
        <x:f>IF(T140="","",I140*T140)</x:f>
        <x:v>386848.83174316096</x:v>
      </x:c>
    </x:row>
    <x:row r="141" ht="18" customHeight="1">
      <x:c r="A141" s="46" t="str">
        <x:v>LME_050</x:v>
      </x:c>
      <x:c r="B141" s="46" t="str">
        <x:v>Sea of Japan / East Sea</x:v>
      </x:c>
      <x:c r="C141" s="46" t="str">
        <x:v>LME</x:v>
      </x:c>
      <x:c r="D141" s="58" t="n">
        <x:v>2019</x:v>
      </x:c>
      <x:c r="E141" s="46" t="str">
        <x:v>Paralithodes platypus</x:v>
      </x:c>
      <x:c r="F141" s="46" t="str">
        <x:v>Blue king crab</x:v>
      </x:c>
      <x:c r="G141" s="46" t="str">
        <x:v>Lobsters, crabs</x:v>
      </x:c>
      <x:c r="H141" s="46" t="str">
        <x:v>Crustaceans</x:v>
      </x:c>
      <x:c r="I141" s="60" t="n">
        <x:v>155.0973953274</x:v>
      </x:c>
      <x:c r="J141" s="60" t="n">
        <x:v>155.0973953274</x:v>
      </x:c>
      <x:c r="K141" s="60" t="n">
        <x:v>0</x:v>
      </x:c>
      <x:c r="L141" s="60" t="n">
        <x:v>77.0012263192</x:v>
      </x:c>
      <x:c r="M141" s="60" t="n">
        <x:v>78.09616900820001</x:v>
      </x:c>
      <x:c r="N141" s="46" t="str">
        <x:v>paralithodes platypus</x:v>
      </x:c>
      <x:c r="O141" s="62" t="n">
        <x:v>3.79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Paralithodes platypus</x:v>
      </x:c>
      <x:c r="T141" s="62" t="n">
        <x:f>IF(O141="","",(1/'Metadata'!$B$5)^(O141-1))</x:f>
        <x:v>4264.554685980751</x:v>
      </x:c>
      <x:c r="U141" s="60" t="n">
        <x:f>IF(T141="","",I141*T141)</x:f>
        <x:v>661421.3240268726</x:v>
      </x:c>
    </x:row>
    <x:row r="142" ht="18" customHeight="1">
      <x:c r="A142" s="46" t="str">
        <x:v>LME_050</x:v>
      </x:c>
      <x:c r="B142" s="46" t="str">
        <x:v>Sea of Japan / East Sea</x:v>
      </x:c>
      <x:c r="C142" s="46" t="str">
        <x:v>LME</x:v>
      </x:c>
      <x:c r="D142" s="58" t="n">
        <x:v>2019</x:v>
      </x:c>
      <x:c r="E142" s="46" t="str">
        <x:v>Stromateidae</x:v>
      </x:c>
      <x:c r="F142" s="46" t="str">
        <x:v>Butterfishes</x:v>
      </x:c>
      <x:c r="G142" s="46" t="str">
        <x:v>Small benthopelagics (&lt;30 cm)</x:v>
      </x:c>
      <x:c r="H142" s="46" t="str">
        <x:v>Perch-likes</x:v>
      </x:c>
      <x:c r="I142" s="60" t="n">
        <x:v>153.9063632043</x:v>
      </x:c>
      <x:c r="J142" s="60" t="n">
        <x:v>153.9063632043</x:v>
      </x:c>
      <x:c r="K142" s="60" t="n">
        <x:v>0</x:v>
      </x:c>
      <x:c r="L142" s="60" t="n">
        <x:v>151.6501426434</x:v>
      </x:c>
      <x:c r="M142" s="60" t="n">
        <x:v>2.2562205609</x:v>
      </x:c>
      <x:c r="N142" s="46" t="str">
        <x:v>stromateidae</x:v>
      </x:c>
      <x:c r="O142" s="62" t="n">
        <x:v>3.62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Stromateidae</x:v>
      </x:c>
      <x:c r="T142" s="62" t="n">
        <x:f>IF(O142="","",(1/'Metadata'!$B$5)^(O142-1))</x:f>
        <x:v>2562.7048371775754</x:v>
      </x:c>
      <x:c r="U142" s="60" t="n">
        <x:f>IF(T142="","",I142*T142)</x:f>
        <x:v>394416.5814560684</x:v>
      </x:c>
    </x:row>
    <x:row r="143" ht="18" customHeight="1">
      <x:c r="A143" s="46" t="str">
        <x:v>LME_050</x:v>
      </x:c>
      <x:c r="B143" s="46" t="str">
        <x:v>Sea of Japan / East Sea</x:v>
      </x:c>
      <x:c r="C143" s="46" t="str">
        <x:v>LME</x:v>
      </x:c>
      <x:c r="D143" s="58" t="n">
        <x:v>2019</x:v>
      </x:c>
      <x:c r="E143" s="46" t="str">
        <x:v>Chanos chanos</x:v>
      </x:c>
      <x:c r="F143" s="46" t="str">
        <x:v>Milkfish</x:v>
      </x:c>
      <x:c r="G143" s="46" t="str">
        <x:v>Large benthopelagics (&gt;=90 cm)</x:v>
      </x:c>
      <x:c r="H143" s="46" t="str">
        <x:v>Other fishes &amp; inverts</x:v>
      </x:c>
      <x:c r="I143" s="60" t="n">
        <x:v>152.1816128868</x:v>
      </x:c>
      <x:c r="J143" s="60" t="n">
        <x:v>152.1816128868</x:v>
      </x:c>
      <x:c r="K143" s="60" t="n">
        <x:v>0</x:v>
      </x:c>
      <x:c r="L143" s="60" t="n">
        <x:v>0.196249187</x:v>
      </x:c>
      <x:c r="M143" s="60" t="n">
        <x:v>151.9853636998</x:v>
      </x:c>
      <x:c r="N143" s="46" t="str">
        <x:v>chanos chanos</x:v>
      </x:c>
      <x:c r="O143" s="62" t="n">
        <x:v>2.03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Chanos chanos</x:v>
      </x:c>
      <x:c r="T143" s="62" t="n">
        <x:f>IF(O143="","",(1/'Metadata'!$B$5)^(O143-1))</x:f>
        <x:v>21.880684071538855</x:v>
      </x:c>
      <x:c r="U143" s="60" t="n">
        <x:f>IF(T143="","",I143*T143)</x:f>
        <x:v>3329.837793073297</x:v>
      </x:c>
    </x:row>
    <x:row r="144" ht="18" customHeight="1">
      <x:c r="A144" s="46" t="str">
        <x:v>LME_050</x:v>
      </x:c>
      <x:c r="B144" s="46" t="str">
        <x:v>Sea of Japan / East Sea</x:v>
      </x:c>
      <x:c r="C144" s="46" t="str">
        <x:v>LME</x:v>
      </x:c>
      <x:c r="D144" s="58" t="n">
        <x:v>2019</x:v>
      </x:c>
      <x:c r="E144" s="46" t="str">
        <x:v>Lateolabracidae</x:v>
      </x:c>
      <x:c r="F144" s="46" t="str">
        <x:v>Asian seaperches</x:v>
      </x:c>
      <x:c r="G144" s="46" t="str">
        <x:v>Large demersals (&gt;=90 cm)</x:v>
      </x:c>
      <x:c r="H144" s="46" t="str">
        <x:v>Perch-likes</x:v>
      </x:c>
      <x:c r="I144" s="60" t="n">
        <x:v>151.1706662687</x:v>
      </x:c>
      <x:c r="J144" s="60" t="n">
        <x:v>151.1706662687</x:v>
      </x:c>
      <x:c r="K144" s="60" t="n">
        <x:v>0</x:v>
      </x:c>
      <x:c r="L144" s="60" t="n">
        <x:v>0</x:v>
      </x:c>
      <x:c r="M144" s="60" t="n">
        <x:v>151.1706662687</x:v>
      </x:c>
      <x:c r="N144" s="46" t="str">
        <x:v>lateolabracidae</x:v>
      </x:c>
      <x:c r="O144" s="62" t="n">
        <x:v>3.78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Lateolabracidae</x:v>
      </x:c>
      <x:c r="T144" s="62" t="n">
        <x:f>IF(O144="","",(1/'Metadata'!$B$5)^(O144-1))</x:f>
        <x:v>4138.694671981463</x:v>
      </x:c>
      <x:c r="U144" s="60" t="n">
        <x:f>IF(T144="","",I144*T144)</x:f>
        <x:v>625649.2310461565</x:v>
      </x:c>
    </x:row>
    <x:row r="145" ht="18" customHeight="1">
      <x:c r="A145" s="46" t="str">
        <x:v>LME_050</x:v>
      </x:c>
      <x:c r="B145" s="46" t="str">
        <x:v>Sea of Japan / East Sea</x:v>
      </x:c>
      <x:c r="C145" s="46" t="str">
        <x:v>LME</x:v>
      </x:c>
      <x:c r="D145" s="58" t="n">
        <x:v>2019</x:v>
      </x:c>
      <x:c r="E145" s="46" t="str">
        <x:v>Pandalus goniurus</x:v>
      </x:c>
      <x:c r="F145" s="46" t="str">
        <x:v>Humpy shrimp</x:v>
      </x:c>
      <x:c r="G145" s="46" t="str">
        <x:v>Shrimps</x:v>
      </x:c>
      <x:c r="H145" s="46" t="str">
        <x:v>Crustaceans</x:v>
      </x:c>
      <x:c r="I145" s="60" t="n">
        <x:v>147.7672463644</x:v>
      </x:c>
      <x:c r="J145" s="60" t="n">
        <x:v>147.7672463644</x:v>
      </x:c>
      <x:c r="K145" s="60" t="n">
        <x:v>0</x:v>
      </x:c>
      <x:c r="L145" s="60" t="n">
        <x:v>89.9228616715</x:v>
      </x:c>
      <x:c r="M145" s="60" t="n">
        <x:v>57.8443846929</x:v>
      </x:c>
      <x:c r="N145" s="46" t="str">
        <x:v>pandalus goniurus</x:v>
      </x:c>
      <x:c r="O145" s="62" t="n">
        <x:v>2.6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Pandalus goniurus</x:v>
      </x:c>
      <x:c r="T145" s="62" t="n">
        <x:f>IF(O145="","",(1/'Metadata'!$B$5)^(O145-1))</x:f>
        <x:v>120.6835267309033</x:v>
      </x:c>
      <x:c r="U145" s="60" t="n">
        <x:f>IF(T145="","",I145*T145)</x:f>
        <x:v>17833.07242657004</x:v>
      </x:c>
    </x:row>
    <x:row r="146" ht="18" customHeight="1">
      <x:c r="A146" s="46" t="str">
        <x:v>LME_050</x:v>
      </x:c>
      <x:c r="B146" s="46" t="str">
        <x:v>Sea of Japan / East Sea</x:v>
      </x:c>
      <x:c r="C146" s="46" t="str">
        <x:v>LME</x:v>
      </x:c>
      <x:c r="D146" s="58" t="n">
        <x:v>2019</x:v>
      </x:c>
      <x:c r="E146" s="46" t="str">
        <x:v>Sebastolobus alascanus</x:v>
      </x:c>
      <x:c r="F146" s="46" t="str">
        <x:v>Shortspine thornyhead</x:v>
      </x:c>
      <x:c r="G146" s="46" t="str">
        <x:v>Medium bathydemersals (30 - 89 cm)</x:v>
      </x:c>
      <x:c r="H146" s="46" t="str">
        <x:v>Scorpionfishes</x:v>
      </x:c>
      <x:c r="I146" s="60" t="n">
        <x:v>138.9755877822</x:v>
      </x:c>
      <x:c r="J146" s="60" t="n">
        <x:v>138.9755877822</x:v>
      </x:c>
      <x:c r="K146" s="60" t="n">
        <x:v>0</x:v>
      </x:c>
      <x:c r="L146" s="60" t="n">
        <x:v>121.9122511692</x:v>
      </x:c>
      <x:c r="M146" s="60" t="n">
        <x:v>17.063336613</x:v>
      </x:c>
      <x:c r="N146" s="46" t="str">
        <x:v>sebastolobus alascanus</x:v>
      </x:c>
      <x:c r="O146" s="62" t="n">
        <x:v>3.62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Sebastolobus alascanus</x:v>
      </x:c>
      <x:c r="T146" s="62" t="n">
        <x:f>IF(O146="","",(1/'Metadata'!$B$5)^(O146-1))</x:f>
        <x:v>2562.7048371775754</x:v>
      </x:c>
      <x:c r="U146" s="60" t="n">
        <x:f>IF(T146="","",I146*T146)</x:f>
        <x:v>356153.4110590407</x:v>
      </x:c>
    </x:row>
    <x:row r="147" ht="18" customHeight="1">
      <x:c r="A147" s="46" t="str">
        <x:v>LME_050</x:v>
      </x:c>
      <x:c r="B147" s="46" t="str">
        <x:v>Sea of Japan / East Sea</x:v>
      </x:c>
      <x:c r="C147" s="46" t="str">
        <x:v>LME</x:v>
      </x:c>
      <x:c r="D147" s="58" t="n">
        <x:v>2019</x:v>
      </x:c>
      <x:c r="E147" s="46" t="str">
        <x:v>Rhopilema esculentum</x:v>
      </x:c>
      <x:c r="F147" s="46" t="str">
        <x:v>Flame jellyfish</x:v>
      </x:c>
      <x:c r="G147" s="46" t="str">
        <x:v>Jellyfish</x:v>
      </x:c>
      <x:c r="H147" s="46" t="str">
        <x:v>Other fishes &amp; inverts</x:v>
      </x:c>
      <x:c r="I147" s="60" t="n">
        <x:v>138.6457662662</x:v>
      </x:c>
      <x:c r="J147" s="60" t="n">
        <x:v>138.6457662662</x:v>
      </x:c>
      <x:c r="K147" s="60" t="n">
        <x:v>0</x:v>
      </x:c>
      <x:c r="L147" s="60" t="n">
        <x:v>0</x:v>
      </x:c>
      <x:c r="M147" s="60" t="n">
        <x:v>138.6457662662</x:v>
      </x:c>
      <x:c r="N147" s="46" t="str">
        <x:v>rhopilema esculentum</x:v>
      </x:c>
      <x:c r="O147" s="62" t="n">
        <x:v>3.01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Rhopilema esculentum</x:v>
      </x:c>
      <x:c r="T147" s="62" t="n">
        <x:f>IF(O147="","",(1/'Metadata'!$B$5)^(O147-1))</x:f>
        <x:v>412.16422316450075</x:v>
      </x:c>
      <x:c r="U147" s="60" t="n">
        <x:f>IF(T147="","",I147*T147)</x:f>
        <x:v>57144.82454815527</x:v>
      </x:c>
    </x:row>
    <x:row r="148" ht="18" customHeight="1">
      <x:c r="A148" s="46" t="str">
        <x:v>LME_050</x:v>
      </x:c>
      <x:c r="B148" s="46" t="str">
        <x:v>Sea of Japan / East Sea</x:v>
      </x:c>
      <x:c r="C148" s="46" t="str">
        <x:v>LME</x:v>
      </x:c>
      <x:c r="D148" s="58" t="n">
        <x:v>2019</x:v>
      </x:c>
      <x:c r="E148" s="46" t="str">
        <x:v>Bramidae</x:v>
      </x:c>
      <x:c r="F148" s="46" t="str">
        <x:v>Pomfrets</x:v>
      </x:c>
      <x:c r="G148" s="46" t="str">
        <x:v>Medium pelagics (30 - 89 cm)</x:v>
      </x:c>
      <x:c r="H148" s="46" t="str">
        <x:v>Perch-likes</x:v>
      </x:c>
      <x:c r="I148" s="60" t="n">
        <x:v>137.4309626059</x:v>
      </x:c>
      <x:c r="J148" s="60" t="n">
        <x:v>136.961883545</x:v>
      </x:c>
      <x:c r="K148" s="60" t="n">
        <x:v>0.4690790609</x:v>
      </x:c>
      <x:c r="L148" s="60" t="n">
        <x:v>0</x:v>
      </x:c>
      <x:c r="M148" s="60" t="n">
        <x:v>137.4309626059</x:v>
      </x:c>
      <x:c r="N148" s="46" t="str">
        <x:v>bramidae</x:v>
      </x:c>
      <x:c r="O148" s="62" t="n">
        <x:v>4.14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Bramidae</x:v>
      </x:c>
      <x:c r="T148" s="62" t="n">
        <x:f>IF(O148="","",(1/'Metadata'!$B$5)^(O148-1))</x:f>
        <x:v>12168.419864331923</x:v>
      </x:c>
      <x:c r="U148" s="60" t="n">
        <x:f>IF(T148="","",I148*T148)</x:f>
        <x:v>1672317.6553478912</x:v>
      </x:c>
    </x:row>
    <x:row r="149" ht="18" customHeight="1">
      <x:c r="A149" s="46" t="str">
        <x:v>LME_050</x:v>
      </x:c>
      <x:c r="B149" s="46" t="str">
        <x:v>Sea of Japan / East Sea</x:v>
      </x:c>
      <x:c r="C149" s="46" t="str">
        <x:v>LME</x:v>
      </x:c>
      <x:c r="D149" s="58" t="n">
        <x:v>2019</x:v>
      </x:c>
      <x:c r="E149" s="46" t="str">
        <x:v>Hyporhamphus sajori</x:v>
      </x:c>
      <x:c r="F149" s="46" t="str">
        <x:v>Japanese halfbeak</x:v>
      </x:c>
      <x:c r="G149" s="46" t="str">
        <x:v>Medium pelagics (30 - 89 cm)</x:v>
      </x:c>
      <x:c r="H149" s="46" t="str">
        <x:v>Other fishes &amp; inverts</x:v>
      </x:c>
      <x:c r="I149" s="60" t="n">
        <x:v>122.5603118325</x:v>
      </x:c>
      <x:c r="J149" s="60" t="n">
        <x:v>122.5603118325</x:v>
      </x:c>
      <x:c r="K149" s="60" t="n">
        <x:v>0</x:v>
      </x:c>
      <x:c r="L149" s="60" t="n">
        <x:v>122.5603118325</x:v>
      </x:c>
      <x:c r="M149" s="60" t="n">
        <x:v>0</x:v>
      </x:c>
      <x:c r="N149" s="46" t="str">
        <x:v>hyporhamphus sajori</x:v>
      </x:c>
      <x:c r="O149" s="62" t="n">
        <x:v>3.4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Hyporhamphus sajori</x:v>
      </x:c>
      <x:c r="T149" s="62" t="n">
        <x:f>IF(O149="","",(1/'Metadata'!$B$5)^(O149-1))</x:f>
        <x:v>1325.7816069359944</x:v>
      </x:c>
      <x:c r="U149" s="60" t="n">
        <x:f>IF(T149="","",I149*T149)</x:f>
        <x:v>162488.20716786842</x:v>
      </x:c>
    </x:row>
    <x:row r="150" ht="18" customHeight="1">
      <x:c r="A150" s="46" t="str">
        <x:v>LME_050</x:v>
      </x:c>
      <x:c r="B150" s="46" t="str">
        <x:v>Sea of Japan / East Sea</x:v>
      </x:c>
      <x:c r="C150" s="46" t="str">
        <x:v>LME</x:v>
      </x:c>
      <x:c r="D150" s="58" t="n">
        <x:v>2019</x:v>
      </x:c>
      <x:c r="E150" s="46" t="str">
        <x:v>Panulirus longipes</x:v>
      </x:c>
      <x:c r="F150" s="46" t="str">
        <x:v>Longlegged spiny lobster</x:v>
      </x:c>
      <x:c r="G150" s="46" t="str">
        <x:v>Lobsters, crabs</x:v>
      </x:c>
      <x:c r="H150" s="46" t="str">
        <x:v>Crustaceans</x:v>
      </x:c>
      <x:c r="I150" s="60" t="n">
        <x:v>104.2295116286</x:v>
      </x:c>
      <x:c r="J150" s="60" t="n">
        <x:v>71.2087733047</x:v>
      </x:c>
      <x:c r="K150" s="60" t="n">
        <x:v>33.0207383239</x:v>
      </x:c>
      <x:c r="L150" s="60" t="n">
        <x:v>71.1893609654</x:v>
      </x:c>
      <x:c r="M150" s="60" t="n">
        <x:v>33.0401506632</x:v>
      </x:c>
      <x:c r="N150" s="46" t="str">
        <x:v>panulirus longipes</x:v>
      </x:c>
      <x:c r="O150" s="62" t="n">
        <x:v>2.6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Panulirus longipes</x:v>
      </x:c>
      <x:c r="T150" s="62" t="n">
        <x:f>IF(O150="","",(1/'Metadata'!$B$5)^(O150-1))</x:f>
        <x:v>120.6835267309033</x:v>
      </x:c>
      <x:c r="U150" s="60" t="n">
        <x:f>IF(T150="","",I150*T150)</x:f>
        <x:v>12578.785052779143</x:v>
      </x:c>
    </x:row>
    <x:row r="151" ht="18" customHeight="1">
      <x:c r="A151" s="46" t="str">
        <x:v>LME_050</x:v>
      </x:c>
      <x:c r="B151" s="46" t="str">
        <x:v>Sea of Japan / East Sea</x:v>
      </x:c>
      <x:c r="C151" s="46" t="str">
        <x:v>LME</x:v>
      </x:c>
      <x:c r="D151" s="58" t="n">
        <x:v>2019</x:v>
      </x:c>
      <x:c r="E151" s="46" t="str">
        <x:v>Sardinella zunasi</x:v>
      </x:c>
      <x:c r="F151" s="46" t="str">
        <x:v>Japanese sardinella</x:v>
      </x:c>
      <x:c r="G151" s="46" t="str">
        <x:v>Small pelagics (&lt;30 cm)</x:v>
      </x:c>
      <x:c r="H151" s="46" t="str">
        <x:v>Herring-likes</x:v>
      </x:c>
      <x:c r="I151" s="60" t="n">
        <x:v>94.4015727147</x:v>
      </x:c>
      <x:c r="J151" s="60" t="n">
        <x:v>94.4015727147</x:v>
      </x:c>
      <x:c r="K151" s="60" t="n">
        <x:v>0</x:v>
      </x:c>
      <x:c r="L151" s="60" t="n">
        <x:v>94.4015727147</x:v>
      </x:c>
      <x:c r="M151" s="60" t="n">
        <x:v>0</x:v>
      </x:c>
      <x:c r="N151" s="46" t="str">
        <x:v>sardinella zunasi</x:v>
      </x:c>
      <x:c r="O151" s="62" t="n">
        <x:v>3.12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Sardinella zunasi</x:v>
      </x:c>
      <x:c r="T151" s="62" t="n">
        <x:f>IF(O151="","",(1/'Metadata'!$B$5)^(O151-1))</x:f>
        <x:v>573.0382222196589</x:v>
      </x:c>
      <x:c r="U151" s="60" t="n">
        <x:f>IF(T151="","",I151*T151)</x:f>
        <x:v>54095.709403171546</x:v>
      </x:c>
    </x:row>
    <x:row r="152" ht="18" customHeight="1">
      <x:c r="A152" s="46" t="str">
        <x:v>LME_050</x:v>
      </x:c>
      <x:c r="B152" s="46" t="str">
        <x:v>Sea of Japan / East Sea</x:v>
      </x:c>
      <x:c r="C152" s="46" t="str">
        <x:v>LME</x:v>
      </x:c>
      <x:c r="D152" s="58" t="n">
        <x:v>2019</x:v>
      </x:c>
      <x:c r="E152" s="46" t="str">
        <x:v>Penaeidae</x:v>
      </x:c>
      <x:c r="F152" s="46" t="str">
        <x:v>Commercial shrimps and prawns</x:v>
      </x:c>
      <x:c r="G152" s="46" t="str">
        <x:v>Shrimps</x:v>
      </x:c>
      <x:c r="H152" s="46" t="str">
        <x:v>Crustaceans</x:v>
      </x:c>
      <x:c r="I152" s="60" t="n">
        <x:v>82.2110351153</x:v>
      </x:c>
      <x:c r="J152" s="60" t="n">
        <x:v>17.3271759494</x:v>
      </x:c>
      <x:c r="K152" s="60" t="n">
        <x:v>64.8838591659</x:v>
      </x:c>
      <x:c r="L152" s="60" t="n">
        <x:v>17.0855815928</x:v>
      </x:c>
      <x:c r="M152" s="60" t="n">
        <x:v>65.12545352250001</x:v>
      </x:c>
      <x:c r="N152" s="46" t="str">
        <x:v>penaeidae</x:v>
      </x:c>
      <x:c r="O152" s="62" t="n">
        <x:v>3.31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Penaeidae</x:v>
      </x:c>
      <x:c r="T152" s="62" t="n">
        <x:f>IF(O152="","",(1/'Metadata'!$B$5)^(O152-1))</x:f>
        <x:v>1012.4633005057666</x:v>
      </x:c>
      <x:c r="U152" s="60" t="n">
        <x:f>IF(T152="","",I152*T152)</x:f>
        <x:v>83235.65595083212</x:v>
      </x:c>
    </x:row>
    <x:row r="153" ht="18" customHeight="1">
      <x:c r="A153" s="46" t="str">
        <x:v>LME_050</x:v>
      </x:c>
      <x:c r="B153" s="46" t="str">
        <x:v>Sea of Japan / East Sea</x:v>
      </x:c>
      <x:c r="C153" s="46" t="str">
        <x:v>LME</x:v>
      </x:c>
      <x:c r="D153" s="58" t="n">
        <x:v>2019</x:v>
      </x:c>
      <x:c r="E153" s="46" t="str">
        <x:v>Beryx splendens</x:v>
      </x:c>
      <x:c r="F153" s="46" t="str">
        <x:v>Splendid alfonsino</x:v>
      </x:c>
      <x:c r="G153" s="46" t="str">
        <x:v>Medium benthopelagics (30 - 89 cm)</x:v>
      </x:c>
      <x:c r="H153" s="46" t="str">
        <x:v>Other fishes &amp; inverts</x:v>
      </x:c>
      <x:c r="I153" s="60" t="n">
        <x:v>78.9906088386</x:v>
      </x:c>
      <x:c r="J153" s="60" t="n">
        <x:v>78.9906088386</x:v>
      </x:c>
      <x:c r="K153" s="60" t="n">
        <x:v>0</x:v>
      </x:c>
      <x:c r="L153" s="60" t="n">
        <x:v>0</x:v>
      </x:c>
      <x:c r="M153" s="60" t="n">
        <x:v>78.9906088386</x:v>
      </x:c>
      <x:c r="N153" s="46" t="str">
        <x:v>beryx splendens</x:v>
      </x:c>
      <x:c r="O153" s="62" t="n">
        <x:v>4.27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Beryx splendens</x:v>
      </x:c>
      <x:c r="T153" s="62" t="n">
        <x:f>IF(O153="","",(1/'Metadata'!$B$5)^(O153-1))</x:f>
        <x:v>17962.55396184286</x:v>
      </x:c>
      <x:c r="U153" s="60" t="n">
        <x:f>IF(T153="","",I153*T153)</x:f>
        <x:v>1418873.0737421738</x:v>
      </x:c>
    </x:row>
    <x:row r="154" ht="18" customHeight="1">
      <x:c r="A154" s="46" t="str">
        <x:v>LME_050</x:v>
      </x:c>
      <x:c r="B154" s="46" t="str">
        <x:v>Sea of Japan / East Sea</x:v>
      </x:c>
      <x:c r="C154" s="46" t="str">
        <x:v>LME</x:v>
      </x:c>
      <x:c r="D154" s="58" t="n">
        <x:v>2019</x:v>
      </x:c>
      <x:c r="E154" s="46" t="str">
        <x:v>Sillaginidae</x:v>
      </x:c>
      <x:c r="F154" s="46" t="str">
        <x:v>Smelt-whitings</x:v>
      </x:c>
      <x:c r="G154" s="46" t="str">
        <x:v>Medium demersals (30 - 89 cm)</x:v>
      </x:c>
      <x:c r="H154" s="46" t="str">
        <x:v>Perch-likes</x:v>
      </x:c>
      <x:c r="I154" s="60" t="n">
        <x:v>73.1978004944</x:v>
      </x:c>
      <x:c r="J154" s="60" t="n">
        <x:v>73.1978004944</x:v>
      </x:c>
      <x:c r="K154" s="60" t="n">
        <x:v>0</x:v>
      </x:c>
      <x:c r="L154" s="60" t="n">
        <x:v>0</x:v>
      </x:c>
      <x:c r="M154" s="60" t="n">
        <x:v>73.1978004944</x:v>
      </x:c>
      <x:c r="N154" s="46" t="str">
        <x:v>sillaginidae</x:v>
      </x:c>
      <x:c r="O154" s="62" t="n">
        <x:v>3.25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Sillaginidae</x:v>
      </x:c>
      <x:c r="T154" s="62" t="n">
        <x:f>IF(O154="","",(1/'Metadata'!$B$5)^(O154-1))</x:f>
        <x:v>845.8970107524513</x:v>
      </x:c>
      <x:c r="U154" s="60" t="n">
        <x:f>IF(T154="","",I154*T154)</x:f>
        <x:v>61917.800631867256</x:v>
      </x:c>
    </x:row>
    <x:row r="155" ht="18" customHeight="1">
      <x:c r="A155" s="46" t="str">
        <x:v>LME_050</x:v>
      </x:c>
      <x:c r="B155" s="46" t="str">
        <x:v>Sea of Japan / East Sea</x:v>
      </x:c>
      <x:c r="C155" s="46" t="str">
        <x:v>LME</x:v>
      </x:c>
      <x:c r="D155" s="58" t="n">
        <x:v>2019</x:v>
      </x:c>
      <x:c r="E155" s="46" t="str">
        <x:v>Penaeus japonicus</x:v>
      </x:c>
      <x:c r="F155" s="46" t="str">
        <x:v>Kuruma prawn</x:v>
      </x:c>
      <x:c r="G155" s="46" t="str">
        <x:v>Shrimps</x:v>
      </x:c>
      <x:c r="H155" s="46" t="str">
        <x:v>Crustaceans</x:v>
      </x:c>
      <x:c r="I155" s="60" t="n">
        <x:v>62.02720954150001</x:v>
      </x:c>
      <x:c r="J155" s="60" t="n">
        <x:v>59.8600519477</x:v>
      </x:c>
      <x:c r="K155" s="60" t="n">
        <x:v>2.1671575938000003</x:v>
      </x:c>
      <x:c r="L155" s="60" t="n">
        <x:v>59.8600519477</x:v>
      </x:c>
      <x:c r="M155" s="60" t="n">
        <x:v>2.1671575938000003</x:v>
      </x:c>
      <x:c r="N155" s="46" t="str">
        <x:v>penaeus japonicus</x:v>
      </x:c>
      <x:c r="O155" s="62" t="n">
        <x:v>2.7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Penaeus japonicus</x:v>
      </x:c>
      <x:c r="T155" s="62" t="n">
        <x:f>IF(O155="","",(1/'Metadata'!$B$5)^(O155-1))</x:f>
        <x:v>162.83621261476185</x:v>
      </x:c>
      <x:c r="U155" s="60" t="n">
        <x:f>IF(T155="","",I155*T155)</x:f>
        <x:v>10100.27588080008</x:v>
      </x:c>
    </x:row>
    <x:row r="156" ht="18" customHeight="1">
      <x:c r="A156" s="46" t="str">
        <x:v>LME_050</x:v>
      </x:c>
      <x:c r="B156" s="46" t="str">
        <x:v>Sea of Japan / East Sea</x:v>
      </x:c>
      <x:c r="C156" s="46" t="str">
        <x:v>LME</x:v>
      </x:c>
      <x:c r="D156" s="58" t="n">
        <x:v>2019</x:v>
      </x:c>
      <x:c r="E156" s="46" t="str">
        <x:v>Crassostrea</x:v>
      </x:c>
      <x:c r="F156" s="46" t="str">
        <x:v>Cupped oysters</x:v>
      </x:c>
      <x:c r="G156" s="46" t="str">
        <x:v>Other demersal invertebrates</x:v>
      </x:c>
      <x:c r="H156" s="46" t="str">
        <x:v>Molluscs</x:v>
      </x:c>
      <x:c r="I156" s="60" t="n">
        <x:v>58.7013005108</x:v>
      </x:c>
      <x:c r="J156" s="60" t="n">
        <x:v>58.7013005108</x:v>
      </x:c>
      <x:c r="K156" s="60" t="n">
        <x:v>0</x:v>
      </x:c>
      <x:c r="L156" s="60" t="n">
        <x:v>55.8861404508</x:v>
      </x:c>
      <x:c r="M156" s="60" t="n">
        <x:v>2.8151600599999997</x:v>
      </x:c>
      <x:c r="N156" s="46" t="str">
        <x:v>crassostrea</x:v>
      </x:c>
      <x:c r="O156" s="62" t="n">
        <x:v>2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Crassostrea</x:v>
      </x:c>
      <x:c r="T156" s="62" t="n">
        <x:f>IF(O156="","",(1/'Metadata'!$B$5)^(O156-1))</x:f>
        <x:v>20</x:v>
      </x:c>
      <x:c r="U156" s="60" t="n">
        <x:f>IF(T156="","",I156*T156)</x:f>
        <x:v>1174.026010216</x:v>
      </x:c>
    </x:row>
    <x:row r="157" ht="18" customHeight="1">
      <x:c r="A157" s="46" t="str">
        <x:v>LME_050</x:v>
      </x:c>
      <x:c r="B157" s="46" t="str">
        <x:v>Sea of Japan / East Sea</x:v>
      </x:c>
      <x:c r="C157" s="46" t="str">
        <x:v>LME</x:v>
      </x:c>
      <x:c r="D157" s="58" t="n">
        <x:v>2019</x:v>
      </x:c>
      <x:c r="E157" s="46" t="str">
        <x:v>Mytilus coruscus</x:v>
      </x:c>
      <x:c r="F157" s="46" t="str">
        <x:v>Korean mussel</x:v>
      </x:c>
      <x:c r="G157" s="46" t="str">
        <x:v>Other demersal invertebrates</x:v>
      </x:c>
      <x:c r="H157" s="46" t="str">
        <x:v>Molluscs</x:v>
      </x:c>
      <x:c r="I157" s="60" t="n">
        <x:v>58.5537260911</x:v>
      </x:c>
      <x:c r="J157" s="60" t="n">
        <x:v>58.5537260911</x:v>
      </x:c>
      <x:c r="K157" s="60" t="n">
        <x:v>0</x:v>
      </x:c>
      <x:c r="L157" s="60" t="n">
        <x:v>58.5537260911</x:v>
      </x:c>
      <x:c r="M157" s="60" t="n">
        <x:v>0</x:v>
      </x:c>
      <x:c r="N157" s="46" t="str">
        <x:v>mytilus coruscus</x:v>
      </x:c>
      <x:c r="O157" s="62" t="n">
        <x:v>2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Mytilus coruscus</x:v>
      </x:c>
      <x:c r="T157" s="62" t="n">
        <x:f>IF(O157="","",(1/'Metadata'!$B$5)^(O157-1))</x:f>
        <x:v>20</x:v>
      </x:c>
      <x:c r="U157" s="60" t="n">
        <x:f>IF(T157="","",I157*T157)</x:f>
        <x:v>1171.074521822</x:v>
      </x:c>
    </x:row>
    <x:row r="158" ht="18" customHeight="1">
      <x:c r="A158" s="46" t="str">
        <x:v>LME_050</x:v>
      </x:c>
      <x:c r="B158" s="46" t="str">
        <x:v>Sea of Japan / East Sea</x:v>
      </x:c>
      <x:c r="C158" s="46" t="str">
        <x:v>LME</x:v>
      </x:c>
      <x:c r="D158" s="58" t="n">
        <x:v>2019</x:v>
      </x:c>
      <x:c r="E158" s="46" t="str">
        <x:v>Octopodidae</x:v>
      </x:c>
      <x:c r="F158" s="46" t="str">
        <x:v>Octopuses</x:v>
      </x:c>
      <x:c r="G158" s="46" t="str">
        <x:v>Cephalopods</x:v>
      </x:c>
      <x:c r="H158" s="46" t="str">
        <x:v>Other fishes &amp; inverts</x:v>
      </x:c>
      <x:c r="I158" s="60" t="n">
        <x:v>56.3009770041</x:v>
      </x:c>
      <x:c r="J158" s="60" t="n">
        <x:v>56.2945186632</x:v>
      </x:c>
      <x:c r="K158" s="60" t="n">
        <x:v>0.0064583409</x:v>
      </x:c>
      <x:c r="L158" s="60" t="n">
        <x:v>1.1152264125</x:v>
      </x:c>
      <x:c r="M158" s="60" t="n">
        <x:v>55.1857505916</x:v>
      </x:c>
      <x:c r="N158" s="46" t="str">
        <x:v>octopodidae</x:v>
      </x:c>
      <x:c r="O158" s="62" t="n">
        <x:v>3.59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Octopodidae</x:v>
      </x:c>
      <x:c r="T158" s="62" t="n">
        <x:f>IF(O158="","",(1/'Metadata'!$B$5)^(O158-1))</x:f>
        <x:v>2342.4357563948306</x:v>
      </x:c>
      <x:c r="U158" s="60" t="n">
        <x:f>IF(T158="","",I158*T158)</x:f>
        <x:v>131881.42165436695</x:v>
      </x:c>
    </x:row>
    <x:row r="159" ht="18" customHeight="1">
      <x:c r="A159" s="46" t="str">
        <x:v>LME_050</x:v>
      </x:c>
      <x:c r="B159" s="46" t="str">
        <x:v>Sea of Japan / East Sea</x:v>
      </x:c>
      <x:c r="C159" s="46" t="str">
        <x:v>LME</x:v>
      </x:c>
      <x:c r="D159" s="58" t="n">
        <x:v>2019</x:v>
      </x:c>
      <x:c r="E159" s="46" t="str">
        <x:v>Corbicula japonica</x:v>
      </x:c>
      <x:c r="F159" s="46" t="str">
        <x:v>Japanese corbicula</x:v>
      </x:c>
      <x:c r="G159" s="46" t="str">
        <x:v>Other demersal invertebrates</x:v>
      </x:c>
      <x:c r="H159" s="46" t="str">
        <x:v>Molluscs</x:v>
      </x:c>
      <x:c r="I159" s="60" t="n">
        <x:v>46.4203685018</x:v>
      </x:c>
      <x:c r="J159" s="60" t="n">
        <x:v>46.4203685018</x:v>
      </x:c>
      <x:c r="K159" s="60" t="n">
        <x:v>0</x:v>
      </x:c>
      <x:c r="L159" s="60" t="n">
        <x:v>0.3077253464</x:v>
      </x:c>
      <x:c r="M159" s="60" t="n">
        <x:v>46.1126431554</x:v>
      </x:c>
      <x:c r="N159" s="46" t="str">
        <x:v>corbicula japonica</x:v>
      </x:c>
      <x:c r="O159" s="62" t="n">
        <x:v>2.05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Corbicula japonica</x:v>
      </x:c>
      <x:c r="T159" s="62" t="n">
        <x:f>IF(O159="","",(1/'Metadata'!$B$5)^(O159-1))</x:f>
        <x:v>23.231726992830833</x:v>
      </x:c>
      <x:c r="U159" s="60" t="n">
        <x:f>IF(T159="","",I159*T159)</x:f>
        <x:v>1078.425327940421</x:v>
      </x:c>
    </x:row>
    <x:row r="160" ht="18" customHeight="1">
      <x:c r="A160" s="46" t="str">
        <x:v>LME_050</x:v>
      </x:c>
      <x:c r="B160" s="46" t="str">
        <x:v>Sea of Japan / East Sea</x:v>
      </x:c>
      <x:c r="C160" s="46" t="str">
        <x:v>LME</x:v>
      </x:c>
      <x:c r="D160" s="58" t="n">
        <x:v>2019</x:v>
      </x:c>
      <x:c r="E160" s="46" t="str">
        <x:v>Sepiidae</x:v>
      </x:c>
      <x:c r="F160" s="46" t="str">
        <x:v>Cuttlefishes</x:v>
      </x:c>
      <x:c r="G160" s="46" t="str">
        <x:v>Cephalopods</x:v>
      </x:c>
      <x:c r="H160" s="46" t="str">
        <x:v>Other fishes &amp; inverts</x:v>
      </x:c>
      <x:c r="I160" s="60" t="n">
        <x:v>45.527831234000004</x:v>
      </x:c>
      <x:c r="J160" s="60" t="n">
        <x:v>15.712430338199999</x:v>
      </x:c>
      <x:c r="K160" s="60" t="n">
        <x:v>29.8154008958</x:v>
      </x:c>
      <x:c r="L160" s="60" t="n">
        <x:v>15.529346055</x:v>
      </x:c>
      <x:c r="M160" s="60" t="n">
        <x:v>29.998485179</x:v>
      </x:c>
      <x:c r="N160" s="46" t="str">
        <x:v>sepiidae</x:v>
      </x:c>
      <x:c r="O160" s="62" t="n">
        <x:v>3.6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Sepiidae</x:v>
      </x:c>
      <x:c r="T160" s="62" t="n">
        <x:f>IF(O160="","",(1/'Metadata'!$B$5)^(O160-1))</x:f>
        <x:v>2413.670534618066</x:v>
      </x:c>
      <x:c r="U160" s="60" t="n">
        <x:f>IF(T160="","",I160*T160)</x:f>
        <x:v>109889.18475456988</x:v>
      </x:c>
    </x:row>
    <x:row r="161" ht="18" customHeight="1">
      <x:c r="A161" s="46" t="str">
        <x:v>LME_050</x:v>
      </x:c>
      <x:c r="B161" s="46" t="str">
        <x:v>Sea of Japan / East Sea</x:v>
      </x:c>
      <x:c r="C161" s="46" t="str">
        <x:v>LME</x:v>
      </x:c>
      <x:c r="D161" s="58" t="n">
        <x:v>2019</x:v>
      </x:c>
      <x:c r="E161" s="46" t="str">
        <x:v>Oratosquilla oratoria</x:v>
      </x:c>
      <x:c r="F161" s="46" t="str">
        <x:v>Japanese squillid mantis shrimp</x:v>
      </x:c>
      <x:c r="G161" s="46" t="str">
        <x:v>Shrimps</x:v>
      </x:c>
      <x:c r="H161" s="46" t="str">
        <x:v>Crustaceans</x:v>
      </x:c>
      <x:c r="I161" s="60" t="n">
        <x:v>41.9909790255</x:v>
      </x:c>
      <x:c r="J161" s="60" t="n">
        <x:v>0</x:v>
      </x:c>
      <x:c r="K161" s="60" t="n">
        <x:v>41.9909790255</x:v>
      </x:c>
      <x:c r="L161" s="60" t="n">
        <x:v>0</x:v>
      </x:c>
      <x:c r="M161" s="60" t="n">
        <x:v>41.9909790255</x:v>
      </x:c>
      <x:c r="N161" s="46" t="str">
        <x:v>oratosquilla oratoria</x:v>
      </x:c>
      <x:c r="O161" s="62" t="n">
        <x:v>3.27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Oratosquilla oratoria</x:v>
      </x:c>
      <x:c r="T161" s="62" t="n">
        <x:f>IF(O161="","",(1/'Metadata'!$B$5)^(O161-1))</x:f>
        <x:v>898.1276980921442</x:v>
      </x:c>
      <x:c r="U161" s="60" t="n">
        <x:f>IF(T161="","",I161*T161)</x:f>
        <x:v>37713.26133280783</x:v>
      </x:c>
    </x:row>
    <x:row r="162" ht="18" customHeight="1">
      <x:c r="A162" s="46" t="str">
        <x:v>LME_050</x:v>
      </x:c>
      <x:c r="B162" s="46" t="str">
        <x:v>Sea of Japan / East Sea</x:v>
      </x:c>
      <x:c r="C162" s="46" t="str">
        <x:v>LME</x:v>
      </x:c>
      <x:c r="D162" s="58" t="n">
        <x:v>2019</x:v>
      </x:c>
      <x:c r="E162" s="46" t="str">
        <x:v>Carangidae</x:v>
      </x:c>
      <x:c r="F162" s="46" t="str">
        <x:v>Jacks, pompanos</x:v>
      </x:c>
      <x:c r="G162" s="46" t="str">
        <x:v>Medium pelagics (30 - 89 cm)</x:v>
      </x:c>
      <x:c r="H162" s="46" t="str">
        <x:v>Perch-likes</x:v>
      </x:c>
      <x:c r="I162" s="60" t="n">
        <x:v>39.6510975241</x:v>
      </x:c>
      <x:c r="J162" s="60" t="n">
        <x:v>39.6510975241</x:v>
      </x:c>
      <x:c r="K162" s="60" t="n">
        <x:v>0</x:v>
      </x:c>
      <x:c r="L162" s="60" t="n">
        <x:v>0</x:v>
      </x:c>
      <x:c r="M162" s="60" t="n">
        <x:v>39.6510975241</x:v>
      </x:c>
      <x:c r="N162" s="46" t="str">
        <x:v>carangidae</x:v>
      </x:c>
      <x:c r="O162" s="62" t="n">
        <x:v>4.05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Carangidae</x:v>
      </x:c>
      <x:c r="T162" s="62" t="n">
        <x:f>IF(O162="","",(1/'Metadata'!$B$5)^(O162-1))</x:f>
        <x:v>9292.690797132333</x:v>
      </x:c>
      <x:c r="U162" s="60" t="n">
        <x:f>IF(T162="","",I162*T162)</x:f>
        <x:v>368465.3890584007</x:v>
      </x:c>
    </x:row>
    <x:row r="163" ht="18" customHeight="1">
      <x:c r="A163" s="46" t="str">
        <x:v>LME_050</x:v>
      </x:c>
      <x:c r="B163" s="46" t="str">
        <x:v>Sea of Japan / East Sea</x:v>
      </x:c>
      <x:c r="C163" s="46" t="str">
        <x:v>LME</x:v>
      </x:c>
      <x:c r="D163" s="58" t="n">
        <x:v>2019</x:v>
      </x:c>
      <x:c r="E163" s="46" t="str">
        <x:v>Cyprinidae</x:v>
      </x:c>
      <x:c r="F163" s="46" t="str">
        <x:v>Carps, barbels, other cyprinids</x:v>
      </x:c>
      <x:c r="G163" s="46" t="str">
        <x:v>Medium demersals (30 - 89 cm)</x:v>
      </x:c>
      <x:c r="H163" s="46" t="str">
        <x:v>Other fishes &amp; inverts</x:v>
      </x:c>
      <x:c r="I163" s="60" t="n">
        <x:v>39.6275497361</x:v>
      </x:c>
      <x:c r="J163" s="60" t="n">
        <x:v>39.6275497361</x:v>
      </x:c>
      <x:c r="K163" s="60" t="n">
        <x:v>0</x:v>
      </x:c>
      <x:c r="L163" s="60" t="n">
        <x:v>28.7843530894</x:v>
      </x:c>
      <x:c r="M163" s="60" t="n">
        <x:v>10.8431966467</x:v>
      </x:c>
      <x:c r="N163" s="46" t="str">
        <x:v>cyprinidae</x:v>
      </x:c>
      <x:c r="O163" s="62" t="n">
        <x:v>2.8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Cyprinidae</x:v>
      </x:c>
      <x:c r="T163" s="62" t="n">
        <x:f>IF(O163="","",(1/'Metadata'!$B$5)^(O163-1))</x:f>
        <x:v>219.71210866122343</x:v>
      </x:c>
      <x:c r="U163" s="60" t="n">
        <x:f>IF(T163="","",I163*T163)</x:f>
        <x:v>8706.652513596038</x:v>
      </x:c>
    </x:row>
    <x:row r="164" ht="18" customHeight="1">
      <x:c r="A164" s="46" t="str">
        <x:v>LME_050</x:v>
      </x:c>
      <x:c r="B164" s="46" t="str">
        <x:v>Sea of Japan / East Sea</x:v>
      </x:c>
      <x:c r="C164" s="46" t="str">
        <x:v>LME</x:v>
      </x:c>
      <x:c r="D164" s="58" t="n">
        <x:v>2019</x:v>
      </x:c>
      <x:c r="E164" s="46" t="str">
        <x:v>Salvelinus malma</x:v>
      </x:c>
      <x:c r="F164" s="46" t="str">
        <x:v>Dolly varden</x:v>
      </x:c>
      <x:c r="G164" s="46" t="str">
        <x:v>Large benthopelagics (&gt;=90 cm)</x:v>
      </x:c>
      <x:c r="H164" s="46" t="str">
        <x:v>Salmon, smelts, etc</x:v>
      </x:c>
      <x:c r="I164" s="60" t="n">
        <x:v>34.8340375765</x:v>
      </x:c>
      <x:c r="J164" s="60" t="n">
        <x:v>34.8340375765</x:v>
      </x:c>
      <x:c r="K164" s="60" t="n">
        <x:v>0</x:v>
      </x:c>
      <x:c r="L164" s="60" t="n">
        <x:v>0</x:v>
      </x:c>
      <x:c r="M164" s="60" t="n">
        <x:v>34.8340375765</x:v>
      </x:c>
      <x:c r="N164" s="46" t="str">
        <x:v>salvelinus malma</x:v>
      </x:c>
      <x:c r="O164" s="62" t="n">
        <x:v>4.4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Salvelinus malma</x:v>
      </x:c>
      <x:c r="T164" s="62" t="n">
        <x:f>IF(O164="","",(1/'Metadata'!$B$5)^(O164-1))</x:f>
        <x:v>26515.632138719924</x:v>
      </x:c>
      <x:c r="U164" s="60" t="n">
        <x:f>IF(T164="","",I164*T164)</x:f>
        <x:v>923646.526284821</x:v>
      </x:c>
    </x:row>
    <x:row r="165" ht="18" customHeight="1">
      <x:c r="A165" s="46" t="str">
        <x:v>LME_050</x:v>
      </x:c>
      <x:c r="B165" s="46" t="str">
        <x:v>Sea of Japan / East Sea</x:v>
      </x:c>
      <x:c r="C165" s="46" t="str">
        <x:v>LME</x:v>
      </x:c>
      <x:c r="D165" s="58" t="n">
        <x:v>2019</x:v>
      </x:c>
      <x:c r="E165" s="46" t="str">
        <x:v>Scyphozoa</x:v>
      </x:c>
      <x:c r="F165" s="46" t="str">
        <x:v>True jellyfishes</x:v>
      </x:c>
      <x:c r="G165" s="46" t="str">
        <x:v>Jellyfish</x:v>
      </x:c>
      <x:c r="H165" s="46" t="str">
        <x:v>Other fishes &amp; inverts</x:v>
      </x:c>
      <x:c r="I165" s="60" t="n">
        <x:v>34.019079892099995</x:v>
      </x:c>
      <x:c r="J165" s="60" t="n">
        <x:v>34.019079892099995</x:v>
      </x:c>
      <x:c r="K165" s="60" t="n">
        <x:v>0</x:v>
      </x:c>
      <x:c r="L165" s="60" t="n">
        <x:v>31.831162293</x:v>
      </x:c>
      <x:c r="M165" s="60" t="n">
        <x:v>2.1879175991</x:v>
      </x:c>
      <x:c r="N165" s="46" t="str">
        <x:v>scyphozoa</x:v>
      </x:c>
      <x:c r="O165" s="62" t="n">
        <x:v>3.46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Scyphozoa</x:v>
      </x:c>
      <x:c r="T165" s="62" t="n">
        <x:f>IF(O165="","",(1/'Metadata'!$B$5)^(O165-1))</x:f>
        <x:v>1586.8423749532276</x:v>
      </x:c>
      <x:c r="U165" s="60" t="n">
        <x:f>IF(T165="","",I165*T165)</x:f>
        <x:v>53982.91752970355</x:v>
      </x:c>
    </x:row>
    <x:row r="166" ht="18" customHeight="1">
      <x:c r="A166" s="46" t="str">
        <x:v>LME_050</x:v>
      </x:c>
      <x:c r="B166" s="46" t="str">
        <x:v>Sea of Japan / East Sea</x:v>
      </x:c>
      <x:c r="C166" s="46" t="str">
        <x:v>LME</x:v>
      </x:c>
      <x:c r="D166" s="58" t="n">
        <x:v>2019</x:v>
      </x:c>
      <x:c r="E166" s="46" t="str">
        <x:v>Sebastes alutus</x:v>
      </x:c>
      <x:c r="F166" s="46" t="str">
        <x:v>Pacific ocean perch</x:v>
      </x:c>
      <x:c r="G166" s="46" t="str">
        <x:v>Medium demersals (30 - 89 cm)</x:v>
      </x:c>
      <x:c r="H166" s="46" t="str">
        <x:v>Scorpionfishes</x:v>
      </x:c>
      <x:c r="I166" s="60" t="n">
        <x:v>26.4296667162</x:v>
      </x:c>
      <x:c r="J166" s="60" t="n">
        <x:v>26.4296667162</x:v>
      </x:c>
      <x:c r="K166" s="60" t="n">
        <x:v>0</x:v>
      </x:c>
      <x:c r="L166" s="60" t="n">
        <x:v>22.1220222299</x:v>
      </x:c>
      <x:c r="M166" s="60" t="n">
        <x:v>4.3076444863</x:v>
      </x:c>
      <x:c r="N166" s="46" t="str">
        <x:v>sebastes alutus</x:v>
      </x:c>
      <x:c r="O166" s="62" t="n">
        <x:v>3.48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Sebastes alutus</x:v>
      </x:c>
      <x:c r="T166" s="62" t="n">
        <x:f>IF(O166="","",(1/'Metadata'!$B$5)^(O166-1))</x:f>
        <x:v>1684.8234138858888</x:v>
      </x:c>
      <x:c r="U166" s="60" t="n">
        <x:f>IF(T166="","",I166*T166)</x:f>
        <x:v>44529.32130465433</x:v>
      </x:c>
    </x:row>
    <x:row r="167" ht="18" customHeight="1">
      <x:c r="A167" s="46" t="str">
        <x:v>LME_050</x:v>
      </x:c>
      <x:c r="B167" s="46" t="str">
        <x:v>Sea of Japan / East Sea</x:v>
      </x:c>
      <x:c r="C167" s="46" t="str">
        <x:v>LME</x:v>
      </x:c>
      <x:c r="D167" s="58" t="n">
        <x:v>2019</x:v>
      </x:c>
      <x:c r="E167" s="46" t="str">
        <x:v>Sclerocrangon</x:v>
      </x:c>
      <x:c r="F167" s="46" t="str">
        <x:v>Sculptured shrimps</x:v>
      </x:c>
      <x:c r="G167" s="46" t="str">
        <x:v>Shrimps</x:v>
      </x:c>
      <x:c r="H167" s="46" t="str">
        <x:v>Crustaceans</x:v>
      </x:c>
      <x:c r="I167" s="60" t="n">
        <x:v>25.918698328799998</x:v>
      </x:c>
      <x:c r="J167" s="60" t="n">
        <x:v>25.918698328799998</x:v>
      </x:c>
      <x:c r="K167" s="60" t="n">
        <x:v>0</x:v>
      </x:c>
      <x:c r="L167" s="60" t="n">
        <x:v>23.8274586103</x:v>
      </x:c>
      <x:c r="M167" s="60" t="n">
        <x:v>2.0912397185</x:v>
      </x:c>
      <x:c r="N167" s="46" t="str">
        <x:v>sclerocrangon</x:v>
      </x:c>
      <x:c r="O167" s="62" t="n">
        <x:v>2.2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Sclerocrangon</x:v>
      </x:c>
      <x:c r="T167" s="62" t="n">
        <x:f>IF(O167="","",(1/'Metadata'!$B$5)^(O167-1))</x:f>
        <x:v>36.41128406052162</x:v>
      </x:c>
      <x:c r="U167" s="60" t="n">
        <x:f>IF(T167="","",I167*T167)</x:f>
        <x:v>943.7330873289038</x:v>
      </x:c>
    </x:row>
    <x:row r="168" ht="18" customHeight="1">
      <x:c r="A168" s="46" t="str">
        <x:v>LME_050</x:v>
      </x:c>
      <x:c r="B168" s="46" t="str">
        <x:v>Sea of Japan / East Sea</x:v>
      </x:c>
      <x:c r="C168" s="46" t="str">
        <x:v>LME</x:v>
      </x:c>
      <x:c r="D168" s="58" t="n">
        <x:v>2019</x:v>
      </x:c>
      <x:c r="E168" s="46" t="str">
        <x:v>Istiophoridae</x:v>
      </x:c>
      <x:c r="F168" s="46" t="str">
        <x:v>Billfishes</x:v>
      </x:c>
      <x:c r="G168" s="46" t="str">
        <x:v>Large pelagics (&gt;=90 cm)</x:v>
      </x:c>
      <x:c r="H168" s="46" t="str">
        <x:v>Tuna &amp; billfishes</x:v>
      </x:c>
      <x:c r="I168" s="60" t="n">
        <x:v>25.6002308115</x:v>
      </x:c>
      <x:c r="J168" s="60" t="n">
        <x:v>25.6002308115</x:v>
      </x:c>
      <x:c r="K168" s="60" t="n">
        <x:v>0</x:v>
      </x:c>
      <x:c r="L168" s="60" t="n">
        <x:v>25.6002308115</x:v>
      </x:c>
      <x:c r="M168" s="60" t="n">
        <x:v>0</x:v>
      </x:c>
      <x:c r="N168" s="46" t="str">
        <x:v>istiophoridae</x:v>
      </x:c>
      <x:c r="O168" s="62" t="n">
        <x:v>4.48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Istiophoridae</x:v>
      </x:c>
      <x:c r="T168" s="62" t="n">
        <x:f>IF(O168="","",(1/'Metadata'!$B$5)^(O168-1))</x:f>
        <x:v>33696.468277717824</x:v>
      </x:c>
      <x:c r="U168" s="60" t="n">
        <x:f>IF(T168="","",I168*T168)</x:f>
        <x:v>862637.3654419642</x:v>
      </x:c>
    </x:row>
    <x:row r="169" ht="18" customHeight="1">
      <x:c r="A169" s="46" t="str">
        <x:v>LME_050</x:v>
      </x:c>
      <x:c r="B169" s="46" t="str">
        <x:v>Sea of Japan / East Sea</x:v>
      </x:c>
      <x:c r="C169" s="46" t="str">
        <x:v>LME</x:v>
      </x:c>
      <x:c r="D169" s="58" t="n">
        <x:v>2019</x:v>
      </x:c>
      <x:c r="E169" s="46" t="str">
        <x:v>Cardiidae</x:v>
      </x:c>
      <x:c r="F169" s="46" t="str">
        <x:v>Cockles</x:v>
      </x:c>
      <x:c r="G169" s="46" t="str">
        <x:v>Other demersal invertebrates</x:v>
      </x:c>
      <x:c r="H169" s="46" t="str">
        <x:v>Molluscs</x:v>
      </x:c>
      <x:c r="I169" s="60" t="n">
        <x:v>25.1052814133</x:v>
      </x:c>
      <x:c r="J169" s="60" t="n">
        <x:v>25.1052814133</x:v>
      </x:c>
      <x:c r="K169" s="60" t="n">
        <x:v>0</x:v>
      </x:c>
      <x:c r="L169" s="60" t="n">
        <x:v>25.1052814133</x:v>
      </x:c>
      <x:c r="M169" s="60" t="n">
        <x:v>0</x:v>
      </x:c>
      <x:c r="N169" s="46" t="str">
        <x:v>cardiidae</x:v>
      </x:c>
      <x:c r="O169" s="62" t="n">
        <x:v>2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Cardiidae</x:v>
      </x:c>
      <x:c r="T169" s="62" t="n">
        <x:f>IF(O169="","",(1/'Metadata'!$B$5)^(O169-1))</x:f>
        <x:v>20</x:v>
      </x:c>
      <x:c r="U169" s="60" t="n">
        <x:f>IF(T169="","",I169*T169)</x:f>
        <x:v>502.10562826599994</x:v>
      </x:c>
    </x:row>
    <x:row r="170" ht="18" customHeight="1">
      <x:c r="A170" s="46" t="str">
        <x:v>LME_050</x:v>
      </x:c>
      <x:c r="B170" s="46" t="str">
        <x:v>Sea of Japan / East Sea</x:v>
      </x:c>
      <x:c r="C170" s="46" t="str">
        <x:v>LME</x:v>
      </x:c>
      <x:c r="D170" s="58" t="n">
        <x:v>2019</x:v>
      </x:c>
      <x:c r="E170" s="46" t="str">
        <x:v>Perciformes</x:v>
      </x:c>
      <x:c r="F170" s="46" t="str">
        <x:v>Perch-likes</x:v>
      </x:c>
      <x:c r="G170" s="46" t="str">
        <x:v>Medium demersals (30 - 89 cm)</x:v>
      </x:c>
      <x:c r="H170" s="46" t="str">
        <x:v>Perch-likes</x:v>
      </x:c>
      <x:c r="I170" s="60" t="n">
        <x:v>20.4160616033</x:v>
      </x:c>
      <x:c r="J170" s="60" t="n">
        <x:v>20.4160616033</x:v>
      </x:c>
      <x:c r="K170" s="60" t="n">
        <x:v>0</x:v>
      </x:c>
      <x:c r="L170" s="60" t="n">
        <x:v>0</x:v>
      </x:c>
      <x:c r="M170" s="60" t="n">
        <x:v>20.4160616033</x:v>
      </x:c>
      <x:c r="N170" s="46" t="str">
        <x:v>perciformes</x:v>
      </x:c>
      <x:c r="O170" s="62" t="n">
        <x:v>3.53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Perciformes</x:v>
      </x:c>
      <x:c r="T170" s="62" t="n">
        <x:f>IF(O170="","",(1/'Metadata'!$B$5)^(O170-1))</x:f>
        <x:v>1957.0678791263101</x:v>
      </x:c>
      <x:c r="U170" s="60" t="n">
        <x:f>IF(T170="","",I170*T170)</x:f>
        <x:v>39955.61838208243</x:v>
      </x:c>
    </x:row>
    <x:row r="171" ht="18" customHeight="1">
      <x:c r="A171" s="46" t="str">
        <x:v>LME_050</x:v>
      </x:c>
      <x:c r="B171" s="46" t="str">
        <x:v>Sea of Japan / East Sea</x:v>
      </x:c>
      <x:c r="C171" s="46" t="str">
        <x:v>LME</x:v>
      </x:c>
      <x:c r="D171" s="58" t="n">
        <x:v>2019</x:v>
      </x:c>
      <x:c r="E171" s="46" t="str">
        <x:v>Zenopsis nebulosa</x:v>
      </x:c>
      <x:c r="F171" s="46" t="str">
        <x:v>Mirror dory</x:v>
      </x:c>
      <x:c r="G171" s="46" t="str">
        <x:v>Medium bathydemersals (30 - 89 cm)</x:v>
      </x:c>
      <x:c r="H171" s="46" t="str">
        <x:v>Other fishes &amp; inverts</x:v>
      </x:c>
      <x:c r="I171" s="60" t="n">
        <x:v>20.1871402763</x:v>
      </x:c>
      <x:c r="J171" s="60" t="n">
        <x:v>20.1871402763</x:v>
      </x:c>
      <x:c r="K171" s="60" t="n">
        <x:v>0</x:v>
      </x:c>
      <x:c r="L171" s="60" t="n">
        <x:v>20.1871402763</x:v>
      </x:c>
      <x:c r="M171" s="60" t="n">
        <x:v>0</x:v>
      </x:c>
      <x:c r="N171" s="46" t="str">
        <x:v>zenopsis nebulosa</x:v>
      </x:c>
      <x:c r="O171" s="62" t="n">
        <x:v>3.98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Zenopsis nebulosa</x:v>
      </x:c>
      <x:c r="T171" s="62" t="n">
        <x:f>IF(O171="","",(1/'Metadata'!$B$5)^(O171-1))</x:f>
        <x:v>7534.759367064222</x:v>
      </x:c>
      <x:c r="U171" s="60" t="n">
        <x:f>IF(T171="","",I171*T171)</x:f>
        <x:v>152105.24429109084</x:v>
      </x:c>
    </x:row>
    <x:row r="172" ht="18" customHeight="1">
      <x:c r="A172" s="46" t="str">
        <x:v>LME_050</x:v>
      </x:c>
      <x:c r="B172" s="46" t="str">
        <x:v>Sea of Japan / East Sea</x:v>
      </x:c>
      <x:c r="C172" s="46" t="str">
        <x:v>LME</x:v>
      </x:c>
      <x:c r="D172" s="58" t="n">
        <x:v>2019</x:v>
      </x:c>
      <x:c r="E172" s="46" t="str">
        <x:v>Pandalus kessleri</x:v>
      </x:c>
      <x:c r="F172" s="46" t="str">
        <x:v>Grass shrimp</x:v>
      </x:c>
      <x:c r="G172" s="46" t="str">
        <x:v>Shrimps</x:v>
      </x:c>
      <x:c r="H172" s="46" t="str">
        <x:v>Crustaceans</x:v>
      </x:c>
      <x:c r="I172" s="60" t="n">
        <x:v>16.6967409516</x:v>
      </x:c>
      <x:c r="J172" s="60" t="n">
        <x:v>16.6967409516</x:v>
      </x:c>
      <x:c r="K172" s="60" t="n">
        <x:v>0</x:v>
      </x:c>
      <x:c r="L172" s="60" t="n">
        <x:v>12.3353231305</x:v>
      </x:c>
      <x:c r="M172" s="60" t="n">
        <x:v>4.3614178211</x:v>
      </x:c>
      <x:c r="N172" s="46" t="str">
        <x:v>pandalus kessleri</x:v>
      </x:c>
      <x:c r="O172" s="62" t="n">
        <x:v>2.6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Pandalus kessleri</x:v>
      </x:c>
      <x:c r="T172" s="62" t="n">
        <x:f>IF(O172="","",(1/'Metadata'!$B$5)^(O172-1))</x:f>
        <x:v>120.6835267309033</x:v>
      </x:c>
      <x:c r="U172" s="60" t="n">
        <x:f>IF(T172="","",I172*T172)</x:f>
        <x:v>2015.021582951386</x:v>
      </x:c>
    </x:row>
    <x:row r="173" ht="18" customHeight="1">
      <x:c r="A173" s="46" t="str">
        <x:v>LME_050</x:v>
      </x:c>
      <x:c r="B173" s="46" t="str">
        <x:v>Sea of Japan / East Sea</x:v>
      </x:c>
      <x:c r="C173" s="46" t="str">
        <x:v>LME</x:v>
      </x:c>
      <x:c r="D173" s="58" t="n">
        <x:v>2019</x:v>
      </x:c>
      <x:c r="E173" s="46" t="str">
        <x:v>Sillago</x:v>
      </x:c>
      <x:c r="F173" s="46" t="str">
        <x:v>Smelt-whitings</x:v>
      </x:c>
      <x:c r="G173" s="46" t="str">
        <x:v>Medium demersals (30 - 89 cm)</x:v>
      </x:c>
      <x:c r="H173" s="46" t="str">
        <x:v>Perch-likes</x:v>
      </x:c>
      <x:c r="I173" s="60" t="n">
        <x:v>13.5904337305</x:v>
      </x:c>
      <x:c r="J173" s="60" t="n">
        <x:v>13.5904337305</x:v>
      </x:c>
      <x:c r="K173" s="60" t="n">
        <x:v>0</x:v>
      </x:c>
      <x:c r="L173" s="60" t="n">
        <x:v>13.4628811762</x:v>
      </x:c>
      <x:c r="M173" s="60" t="n">
        <x:v>0.1275525543</x:v>
      </x:c>
      <x:c r="N173" s="46" t="str">
        <x:v>sillago</x:v>
      </x:c>
      <x:c r="O173" s="62" t="n">
        <x:v>3.33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Sillago</x:v>
      </x:c>
      <x:c r="T173" s="62" t="n">
        <x:f>IF(O173="","",(1/'Metadata'!$B$5)^(O173-1))</x:f>
        <x:v>1074.9787762899762</x:v>
      </x:c>
      <x:c r="U173" s="60" t="n">
        <x:f>IF(T173="","",I173*T173)</x:f>
        <x:v>14609.427820862906</x:v>
      </x:c>
    </x:row>
    <x:row r="174" ht="18" customHeight="1">
      <x:c r="A174" s="46" t="str">
        <x:v>LME_050</x:v>
      </x:c>
      <x:c r="B174" s="46" t="str">
        <x:v>Sea of Japan / East Sea</x:v>
      </x:c>
      <x:c r="C174" s="46" t="str">
        <x:v>LME</x:v>
      </x:c>
      <x:c r="D174" s="58" t="n">
        <x:v>2019</x:v>
      </x:c>
      <x:c r="E174" s="46" t="str">
        <x:v>Mola mola</x:v>
      </x:c>
      <x:c r="F174" s="46" t="str">
        <x:v>Ocean sunfish</x:v>
      </x:c>
      <x:c r="G174" s="46" t="str">
        <x:v>Large pelagics (&gt;=90 cm)</x:v>
      </x:c>
      <x:c r="H174" s="46" t="str">
        <x:v>Other fishes &amp; inverts</x:v>
      </x:c>
      <x:c r="I174" s="60" t="n">
        <x:v>12.8212457611</x:v>
      </x:c>
      <x:c r="J174" s="60" t="n">
        <x:v>12.8212457611</x:v>
      </x:c>
      <x:c r="K174" s="60" t="n">
        <x:v>0</x:v>
      </x:c>
      <x:c r="L174" s="60" t="n">
        <x:v>10.755763207800001</x:v>
      </x:c>
      <x:c r="M174" s="60" t="n">
        <x:v>2.0654825533</x:v>
      </x:c>
      <x:c r="N174" s="46" t="str">
        <x:v>mola mola</x:v>
      </x:c>
      <x:c r="O174" s="62" t="n">
        <x:v>3.68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Mola mola</x:v>
      </x:c>
      <x:c r="T174" s="62" t="n">
        <x:f>IF(O174="","",(1/'Metadata'!$B$5)^(O174-1))</x:f>
        <x:v>3067.3291957408446</x:v>
      </x:c>
      <x:c r="U174" s="60" t="n">
        <x:f>IF(T174="","",I174*T174)</x:f>
        <x:v>39326.981448790575</x:v>
      </x:c>
    </x:row>
    <x:row r="175" ht="18" customHeight="1">
      <x:c r="A175" s="46" t="str">
        <x:v>LME_050</x:v>
      </x:c>
      <x:c r="B175" s="46" t="str">
        <x:v>Sea of Japan / East Sea</x:v>
      </x:c>
      <x:c r="C175" s="46" t="str">
        <x:v>LME</x:v>
      </x:c>
      <x:c r="D175" s="58" t="n">
        <x:v>2019</x:v>
      </x:c>
      <x:c r="E175" s="46" t="str">
        <x:v>Lycodes</x:v>
      </x:c>
      <x:c r="F175" s="46" t="str">
        <x:v>Eelpouts</x:v>
      </x:c>
      <x:c r="G175" s="46" t="str">
        <x:v>Medium bathydemersals (30 - 89 cm)</x:v>
      </x:c>
      <x:c r="H175" s="46" t="str">
        <x:v>Perch-likes</x:v>
      </x:c>
      <x:c r="I175" s="60" t="n">
        <x:v>12.5236162588</x:v>
      </x:c>
      <x:c r="J175" s="60" t="n">
        <x:v>12.5236162588</x:v>
      </x:c>
      <x:c r="K175" s="60" t="n">
        <x:v>0</x:v>
      </x:c>
      <x:c r="L175" s="60" t="n">
        <x:v>4.1238944353</x:v>
      </x:c>
      <x:c r="M175" s="60" t="n">
        <x:v>8.3997218235</x:v>
      </x:c>
      <x:c r="N175" s="46" t="str">
        <x:v>lycodes</x:v>
      </x:c>
      <x:c r="O175" s="62" t="n">
        <x:v>3.3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Lycodes</x:v>
      </x:c>
      <x:c r="T175" s="62" t="n">
        <x:f>IF(O175="","",(1/'Metadata'!$B$5)^(O175-1))</x:f>
        <x:v>982.5824208926318</x:v>
      </x:c>
      <x:c r="U175" s="60" t="n">
        <x:f>IF(T175="","",I175*T175)</x:f>
        <x:v>12305.48518190203</x:v>
      </x:c>
    </x:row>
    <x:row r="176" ht="18" customHeight="1">
      <x:c r="A176" s="46" t="str">
        <x:v>LME_050</x:v>
      </x:c>
      <x:c r="B176" s="46" t="str">
        <x:v>Sea of Japan / East Sea</x:v>
      </x:c>
      <x:c r="C176" s="46" t="str">
        <x:v>LME</x:v>
      </x:c>
      <x:c r="D176" s="58" t="n">
        <x:v>2019</x:v>
      </x:c>
      <x:c r="E176" s="46" t="str">
        <x:v>Pandalus borealis</x:v>
      </x:c>
      <x:c r="F176" s="46" t="str">
        <x:v>Northern prawn</x:v>
      </x:c>
      <x:c r="G176" s="46" t="str">
        <x:v>Shrimps</x:v>
      </x:c>
      <x:c r="H176" s="46" t="str">
        <x:v>Crustaceans</x:v>
      </x:c>
      <x:c r="I176" s="60" t="n">
        <x:v>10.9017867002</x:v>
      </x:c>
      <x:c r="J176" s="60" t="n">
        <x:v>10.9017867002</x:v>
      </x:c>
      <x:c r="K176" s="60" t="n">
        <x:v>0</x:v>
      </x:c>
      <x:c r="L176" s="60" t="n">
        <x:v>8.547051642000001</x:v>
      </x:c>
      <x:c r="M176" s="60" t="n">
        <x:v>2.3547350581999997</x:v>
      </x:c>
      <x:c r="N176" s="46" t="str">
        <x:v>pandalus borealis</x:v>
      </x:c>
      <x:c r="O176" s="62" t="n">
        <x:v>3.07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Pandalus borealis</x:v>
      </x:c>
      <x:c r="T176" s="62" t="n">
        <x:f>IF(O176="","",(1/'Metadata'!$B$5)^(O176-1))</x:f>
        <x:v>493.32382598718914</x:v>
      </x:c>
      <x:c r="U176" s="60" t="n">
        <x:f>IF(T176="","",I176*T176)</x:f>
        <x:v>5378.111125038918</x:v>
      </x:c>
    </x:row>
    <x:row r="177" ht="18" customHeight="1">
      <x:c r="A177" s="46" t="str">
        <x:v>LME_050</x:v>
      </x:c>
      <x:c r="B177" s="46" t="str">
        <x:v>Sea of Japan / East Sea</x:v>
      </x:c>
      <x:c r="C177" s="46" t="str">
        <x:v>LME</x:v>
      </x:c>
      <x:c r="D177" s="58" t="n">
        <x:v>2019</x:v>
      </x:c>
      <x:c r="E177" s="46" t="str">
        <x:v>Rapana</x:v>
      </x:c>
      <x:c r="F177" s="46" t="str">
        <x:v>Rapa whelks</x:v>
      </x:c>
      <x:c r="G177" s="46" t="str">
        <x:v>Other demersal invertebrates</x:v>
      </x:c>
      <x:c r="H177" s="46" t="str">
        <x:v>Molluscs</x:v>
      </x:c>
      <x:c r="I177" s="60" t="n">
        <x:v>10.3450360441</x:v>
      </x:c>
      <x:c r="J177" s="60" t="n">
        <x:v>0</x:v>
      </x:c>
      <x:c r="K177" s="60" t="n">
        <x:v>10.3450360441</x:v>
      </x:c>
      <x:c r="L177" s="60" t="n">
        <x:v>0</x:v>
      </x:c>
      <x:c r="M177" s="60" t="n">
        <x:v>10.3450360441</x:v>
      </x:c>
      <x:c r="N177" s="46" t="str">
        <x:v>rapana</x:v>
      </x:c>
      <x:c r="O177" s="62" t="n">
        <x:v>3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Rapana</x:v>
      </x:c>
      <x:c r="T177" s="62" t="n">
        <x:f>IF(O177="","",(1/'Metadata'!$B$5)^(O177-1))</x:f>
        <x:v>400</x:v>
      </x:c>
      <x:c r="U177" s="60" t="n">
        <x:f>IF(T177="","",I177*T177)</x:f>
        <x:v>4138.01441764</x:v>
      </x:c>
    </x:row>
    <x:row r="178" ht="18" customHeight="1">
      <x:c r="A178" s="46" t="str">
        <x:v>LME_050</x:v>
      </x:c>
      <x:c r="B178" s="46" t="str">
        <x:v>Sea of Japan / East Sea</x:v>
      </x:c>
      <x:c r="C178" s="46" t="str">
        <x:v>LME</x:v>
      </x:c>
      <x:c r="D178" s="58" t="n">
        <x:v>2019</x:v>
      </x:c>
      <x:c r="E178" s="46" t="str">
        <x:v>Veneridae</x:v>
      </x:c>
      <x:c r="F178" s="46" t="str">
        <x:v>Venus clams</x:v>
      </x:c>
      <x:c r="G178" s="46" t="str">
        <x:v>Other demersal invertebrates</x:v>
      </x:c>
      <x:c r="H178" s="46" t="str">
        <x:v>Molluscs</x:v>
      </x:c>
      <x:c r="I178" s="60" t="n">
        <x:v>10.3295333386</x:v>
      </x:c>
      <x:c r="J178" s="60" t="n">
        <x:v>10.3295333386</x:v>
      </x:c>
      <x:c r="K178" s="60" t="n">
        <x:v>0</x:v>
      </x:c>
      <x:c r="L178" s="60" t="n">
        <x:v>0</x:v>
      </x:c>
      <x:c r="M178" s="60" t="n">
        <x:v>10.3295333386</x:v>
      </x:c>
      <x:c r="N178" s="46" t="str">
        <x:v>veneridae</x:v>
      </x:c>
      <x:c r="O178" s="62" t="n">
        <x:v>2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Veneridae</x:v>
      </x:c>
      <x:c r="T178" s="62" t="n">
        <x:f>IF(O178="","",(1/'Metadata'!$B$5)^(O178-1))</x:f>
        <x:v>20</x:v>
      </x:c>
      <x:c r="U178" s="60" t="n">
        <x:f>IF(T178="","",I178*T178)</x:f>
        <x:v>206.590666772</x:v>
      </x:c>
    </x:row>
    <x:row r="179" ht="18" customHeight="1">
      <x:c r="A179" s="46" t="str">
        <x:v>LME_050</x:v>
      </x:c>
      <x:c r="B179" s="46" t="str">
        <x:v>Sea of Japan / East Sea</x:v>
      </x:c>
      <x:c r="C179" s="46" t="str">
        <x:v>LME</x:v>
      </x:c>
      <x:c r="D179" s="58" t="n">
        <x:v>2019</x:v>
      </x:c>
      <x:c r="E179" s="46" t="str">
        <x:v>Pampus argenteus</x:v>
      </x:c>
      <x:c r="F179" s="46" t="str">
        <x:v>Silver pomfret</x:v>
      </x:c>
      <x:c r="G179" s="46" t="str">
        <x:v>Medium benthopelagics (30 - 89 cm)</x:v>
      </x:c>
      <x:c r="H179" s="46" t="str">
        <x:v>Perch-likes</x:v>
      </x:c>
      <x:c r="I179" s="60" t="n">
        <x:v>9.999984852799999</x:v>
      </x:c>
      <x:c r="J179" s="60" t="n">
        <x:v>0.0430226344</x:v>
      </x:c>
      <x:c r="K179" s="60" t="n">
        <x:v>9.9569622184</x:v>
      </x:c>
      <x:c r="L179" s="60" t="n">
        <x:v>0.030260028300000002</x:v>
      </x:c>
      <x:c r="M179" s="60" t="n">
        <x:v>9.9697248245</x:v>
      </x:c>
      <x:c r="N179" s="46" t="str">
        <x:v>pampus argenteus</x:v>
      </x:c>
      <x:c r="O179" s="62" t="n">
        <x:v>3.3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Pampus argenteus</x:v>
      </x:c>
      <x:c r="T179" s="62" t="n">
        <x:f>IF(O179="","",(1/'Metadata'!$B$5)^(O179-1))</x:f>
        <x:v>982.5824208926318</x:v>
      </x:c>
      <x:c r="U179" s="60" t="n">
        <x:f>IF(T179="","",I179*T179)</x:f>
        <x:v>9825.809325553872</x:v>
      </x:c>
    </x:row>
    <x:row r="180" ht="18" customHeight="1">
      <x:c r="A180" s="46" t="str">
        <x:v>LME_050</x:v>
      </x:c>
      <x:c r="B180" s="46" t="str">
        <x:v>Sea of Japan / East Sea</x:v>
      </x:c>
      <x:c r="C180" s="46" t="str">
        <x:v>LME</x:v>
      </x:c>
      <x:c r="D180" s="58" t="n">
        <x:v>2019</x:v>
      </x:c>
      <x:c r="E180" s="46" t="str">
        <x:v>Isurus</x:v>
      </x:c>
      <x:c r="F180" s="46" t="str">
        <x:v>Mako sharks</x:v>
      </x:c>
      <x:c r="G180" s="46" t="str">
        <x:v>Large sharks (&gt;=90 cm)</x:v>
      </x:c>
      <x:c r="H180" s="46" t="str">
        <x:v>Sharks &amp; rays</x:v>
      </x:c>
      <x:c r="I180" s="60" t="n">
        <x:v>9.555399137</x:v>
      </x:c>
      <x:c r="J180" s="60" t="n">
        <x:v>0</x:v>
      </x:c>
      <x:c r="K180" s="60" t="n">
        <x:v>9.555399137</x:v>
      </x:c>
      <x:c r="L180" s="60" t="n">
        <x:v>0</x:v>
      </x:c>
      <x:c r="M180" s="60" t="n">
        <x:v>9.555399137</x:v>
      </x:c>
      <x:c r="N180" s="46" t="str">
        <x:v>isurus</x:v>
      </x:c>
      <x:c r="O180" s="62" t="n">
        <x:v>4.5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Isurus</x:v>
      </x:c>
      <x:c r="T180" s="62" t="n">
        <x:f>IF(O180="","",(1/'Metadata'!$B$5)^(O180-1))</x:f>
        <x:v>35777.08763999664</x:v>
      </x:c>
      <x:c r="U180" s="60" t="n">
        <x:f>IF(T180="","",I180*T180)</x:f>
        <x:v>341864.3523595972</x:v>
      </x:c>
    </x:row>
    <x:row r="181" ht="18" customHeight="1">
      <x:c r="A181" s="46" t="str">
        <x:v>LME_050</x:v>
      </x:c>
      <x:c r="B181" s="46" t="str">
        <x:v>Sea of Japan / East Sea</x:v>
      </x:c>
      <x:c r="C181" s="46" t="str">
        <x:v>LME</x:v>
      </x:c>
      <x:c r="D181" s="58" t="n">
        <x:v>2019</x:v>
      </x:c>
      <x:c r="E181" s="46" t="str">
        <x:v>Ibacus ciliatus</x:v>
      </x:c>
      <x:c r="F181" s="46" t="str">
        <x:v>Sand Crayfish</x:v>
      </x:c>
      <x:c r="G181" s="46" t="str">
        <x:v>Lobsters, crabs</x:v>
      </x:c>
      <x:c r="H181" s="46" t="str">
        <x:v>Crustaceans</x:v>
      </x:c>
      <x:c r="I181" s="60" t="n">
        <x:v>9.2707229105</x:v>
      </x:c>
      <x:c r="J181" s="60" t="n">
        <x:v>0.013096185</x:v>
      </x:c>
      <x:c r="K181" s="60" t="n">
        <x:v>9.2576267255</x:v>
      </x:c>
      <x:c r="L181" s="60" t="n">
        <x:v>0.013096185</x:v>
      </x:c>
      <x:c r="M181" s="60" t="n">
        <x:v>9.2576267255</x:v>
      </x:c>
      <x:c r="N181" s="46" t="str">
        <x:v>ibacus ciliatus</x:v>
      </x:c>
      <x:c r="O181" s="62" t="n">
        <x:v>2.6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Ibacus ciliatus</x:v>
      </x:c>
      <x:c r="T181" s="62" t="n">
        <x:f>IF(O181="","",(1/'Metadata'!$B$5)^(O181-1))</x:f>
        <x:v>120.6835267309033</x:v>
      </x:c>
      <x:c r="U181" s="60" t="n">
        <x:f>IF(T181="","",I181*T181)</x:f>
        <x:v>1118.8235361841244</x:v>
      </x:c>
    </x:row>
    <x:row r="182" ht="18" customHeight="1">
      <x:c r="A182" s="46" t="str">
        <x:v>LME_050</x:v>
      </x:c>
      <x:c r="B182" s="46" t="str">
        <x:v>Sea of Japan / East Sea</x:v>
      </x:c>
      <x:c r="C182" s="46" t="str">
        <x:v>LME</x:v>
      </x:c>
      <x:c r="D182" s="58" t="n">
        <x:v>2019</x:v>
      </x:c>
      <x:c r="E182" s="46" t="str">
        <x:v>Seriola dumerili</x:v>
      </x:c>
      <x:c r="F182" s="46" t="str">
        <x:v>Greater amberjack</x:v>
      </x:c>
      <x:c r="G182" s="46" t="str">
        <x:v>Large reef assoc. fish (&gt;=90 cm)</x:v>
      </x:c>
      <x:c r="H182" s="46" t="str">
        <x:v>Perch-likes</x:v>
      </x:c>
      <x:c r="I182" s="60" t="n">
        <x:v>8.7994565222</x:v>
      </x:c>
      <x:c r="J182" s="60" t="n">
        <x:v>8.7994565222</x:v>
      </x:c>
      <x:c r="K182" s="60" t="n">
        <x:v>0</x:v>
      </x:c>
      <x:c r="L182" s="60" t="n">
        <x:v>4.6275603977</x:v>
      </x:c>
      <x:c r="M182" s="60" t="n">
        <x:v>4.1718961245</x:v>
      </x:c>
      <x:c r="N182" s="46" t="str">
        <x:v>seriola dumerili</x:v>
      </x:c>
      <x:c r="O182" s="62" t="n">
        <x:v>4.5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Seriola dumerili</x:v>
      </x:c>
      <x:c r="T182" s="62" t="n">
        <x:f>IF(O182="","",(1/'Metadata'!$B$5)^(O182-1))</x:f>
        <x:v>35777.08763999664</x:v>
      </x:c>
      <x:c r="U182" s="60" t="n">
        <x:f>IF(T182="","",I182*T182)</x:f>
        <x:v>314818.9271790894</x:v>
      </x:c>
    </x:row>
    <x:row r="183" ht="18" customHeight="1">
      <x:c r="A183" s="46" t="str">
        <x:v>LME_050</x:v>
      </x:c>
      <x:c r="B183" s="46" t="str">
        <x:v>Sea of Japan / East Sea</x:v>
      </x:c>
      <x:c r="C183" s="46" t="str">
        <x:v>LME</x:v>
      </x:c>
      <x:c r="D183" s="58" t="n">
        <x:v>2019</x:v>
      </x:c>
      <x:c r="E183" s="46" t="str">
        <x:v>Decapterus</x:v>
      </x:c>
      <x:c r="F183" s="46" t="str">
        <x:v>Scads</x:v>
      </x:c>
      <x:c r="G183" s="46" t="str">
        <x:v>Medium pelagics (30 - 89 cm)</x:v>
      </x:c>
      <x:c r="H183" s="46" t="str">
        <x:v>Perch-likes</x:v>
      </x:c>
      <x:c r="I183" s="60" t="n">
        <x:v>7.0189508843</x:v>
      </x:c>
      <x:c r="J183" s="60" t="n">
        <x:v>7.0189508843</x:v>
      </x:c>
      <x:c r="K183" s="60" t="n">
        <x:v>0</x:v>
      </x:c>
      <x:c r="L183" s="60" t="n">
        <x:v>0</x:v>
      </x:c>
      <x:c r="M183" s="60" t="n">
        <x:v>7.0189508843</x:v>
      </x:c>
      <x:c r="N183" s="46" t="str">
        <x:v>decapterus</x:v>
      </x:c>
      <x:c r="O183" s="62" t="n">
        <x:v>3.63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Decapterus</x:v>
      </x:c>
      <x:c r="T183" s="62" t="n">
        <x:f>IF(O183="","",(1/'Metadata'!$B$5)^(O183-1))</x:f>
        <x:v>2640.638121038009</x:v>
      </x:c>
      <x:c r="U183" s="60" t="n">
        <x:f>IF(T183="","",I183*T183)</x:f>
        <x:v>18534.509274776025</x:v>
      </x:c>
    </x:row>
    <x:row r="184" ht="18" customHeight="1">
      <x:c r="A184" s="46" t="str">
        <x:v>LME_050</x:v>
      </x:c>
      <x:c r="B184" s="46" t="str">
        <x:v>Sea of Japan / East Sea</x:v>
      </x:c>
      <x:c r="C184" s="46" t="str">
        <x:v>LME</x:v>
      </x:c>
      <x:c r="D184" s="58" t="n">
        <x:v>2019</x:v>
      </x:c>
      <x:c r="E184" s="46" t="str">
        <x:v>Loliginidae</x:v>
      </x:c>
      <x:c r="F184" s="46" t="str">
        <x:v>Common pencil squids</x:v>
      </x:c>
      <x:c r="G184" s="46" t="str">
        <x:v>Cephalopods</x:v>
      </x:c>
      <x:c r="H184" s="46" t="str">
        <x:v>Other fishes &amp; inverts</x:v>
      </x:c>
      <x:c r="I184" s="60" t="n">
        <x:v>5.8527488199999995</x:v>
      </x:c>
      <x:c r="J184" s="60" t="n">
        <x:v>0</x:v>
      </x:c>
      <x:c r="K184" s="60" t="n">
        <x:v>5.8527488199999995</x:v>
      </x:c>
      <x:c r="L184" s="60" t="n">
        <x:v>0</x:v>
      </x:c>
      <x:c r="M184" s="60" t="n">
        <x:v>5.8527488199999995</x:v>
      </x:c>
      <x:c r="N184" s="46" t="str">
        <x:v>loliginidae</x:v>
      </x:c>
      <x:c r="O184" s="62" t="n">
        <x:v>3.9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Loliginidae</x:v>
      </x:c>
      <x:c r="T184" s="62" t="n">
        <x:f>IF(O184="","",(1/'Metadata'!$B$5)^(O184-1))</x:f>
        <x:v>5929.07559285558</x:v>
      </x:c>
      <x:c r="U184" s="60" t="n">
        <x:f>IF(T184="","",I184*T184)</x:f>
        <x:v>34701.390179776296</x:v>
      </x:c>
    </x:row>
    <x:row r="185" ht="18" customHeight="1">
      <x:c r="A185" s="46" t="str">
        <x:v>LME_050</x:v>
      </x:c>
      <x:c r="B185" s="46" t="str">
        <x:v>Sea of Japan / East Sea</x:v>
      </x:c>
      <x:c r="C185" s="46" t="str">
        <x:v>LME</x:v>
      </x:c>
      <x:c r="D185" s="58" t="n">
        <x:v>2019</x:v>
      </x:c>
      <x:c r="E185" s="46" t="str">
        <x:v>Haliotis</x:v>
      </x:c>
      <x:c r="F185" s="46" t="str">
        <x:v>Abalones</x:v>
      </x:c>
      <x:c r="G185" s="46" t="str">
        <x:v>Other demersal invertebrates</x:v>
      </x:c>
      <x:c r="H185" s="46" t="str">
        <x:v>Molluscs</x:v>
      </x:c>
      <x:c r="I185" s="60" t="n">
        <x:v>5.6861451882</x:v>
      </x:c>
      <x:c r="J185" s="60" t="n">
        <x:v>5.6861451882</x:v>
      </x:c>
      <x:c r="K185" s="60" t="n">
        <x:v>0</x:v>
      </x:c>
      <x:c r="L185" s="60" t="n">
        <x:v>5.6861451882</x:v>
      </x:c>
      <x:c r="M185" s="60" t="n">
        <x:v>0</x:v>
      </x:c>
      <x:c r="N185" s="46" t="str">
        <x:v>haliotis</x:v>
      </x:c>
      <x:c r="O185" s="62" t="n">
        <x:v>2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Haliotis</x:v>
      </x:c>
      <x:c r="T185" s="62" t="n">
        <x:f>IF(O185="","",(1/'Metadata'!$B$5)^(O185-1))</x:f>
        <x:v>20</x:v>
      </x:c>
      <x:c r="U185" s="60" t="n">
        <x:f>IF(T185="","",I185*T185)</x:f>
        <x:v>113.72290376400001</x:v>
      </x:c>
    </x:row>
    <x:row r="186" ht="18" customHeight="1">
      <x:c r="A186" s="46" t="str">
        <x:v>LME_050</x:v>
      </x:c>
      <x:c r="B186" s="46" t="str">
        <x:v>Sea of Japan / East Sea</x:v>
      </x:c>
      <x:c r="C186" s="46" t="str">
        <x:v>LME</x:v>
      </x:c>
      <x:c r="D186" s="58" t="n">
        <x:v>2019</x:v>
      </x:c>
      <x:c r="E186" s="46" t="str">
        <x:v>Istiompax indica</x:v>
      </x:c>
      <x:c r="F186" s="46" t="str">
        <x:v>Black marlin</x:v>
      </x:c>
      <x:c r="G186" s="46" t="str">
        <x:v>Large pelagics (&gt;=90 cm)</x:v>
      </x:c>
      <x:c r="H186" s="46" t="str">
        <x:v>Tuna &amp; billfishes</x:v>
      </x:c>
      <x:c r="I186" s="60" t="n">
        <x:v>5.0110753047</x:v>
      </x:c>
      <x:c r="J186" s="60" t="n">
        <x:v>5.0110753047</x:v>
      </x:c>
      <x:c r="K186" s="60" t="n">
        <x:v>0</x:v>
      </x:c>
      <x:c r="L186" s="60" t="n">
        <x:v>5.0110753047</x:v>
      </x:c>
      <x:c r="M186" s="60" t="n">
        <x:v>0</x:v>
      </x:c>
      <x:c r="N186" s="46" t="str">
        <x:v>istiompax indica</x:v>
      </x:c>
      <x:c r="O186" s="62" t="n">
        <x:v>4.5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Istiompax indica</x:v>
      </x:c>
      <x:c r="T186" s="62" t="n">
        <x:f>IF(O186="","",(1/'Metadata'!$B$5)^(O186-1))</x:f>
        <x:v>35777.08763999664</x:v>
      </x:c>
      <x:c r="U186" s="60" t="n">
        <x:f>IF(T186="","",I186*T186)</x:f>
        <x:v>179281.68034687475</x:v>
      </x:c>
    </x:row>
    <x:row r="187" ht="18" customHeight="1">
      <x:c r="A187" s="46" t="str">
        <x:v>LME_050</x:v>
      </x:c>
      <x:c r="B187" s="46" t="str">
        <x:v>Sea of Japan / East Sea</x:v>
      </x:c>
      <x:c r="C187" s="46" t="str">
        <x:v>LME</x:v>
      </x:c>
      <x:c r="D187" s="58" t="n">
        <x:v>2019</x:v>
      </x:c>
      <x:c r="E187" s="46" t="str">
        <x:v>Megalaspis cordyla</x:v>
      </x:c>
      <x:c r="F187" s="46" t="str">
        <x:v>Torpedo scad</x:v>
      </x:c>
      <x:c r="G187" s="46" t="str">
        <x:v>Medium pelagics (30 - 89 cm)</x:v>
      </x:c>
      <x:c r="H187" s="46" t="str">
        <x:v>Perch-likes</x:v>
      </x:c>
      <x:c r="I187" s="60" t="n">
        <x:v>3.2690566773999996</x:v>
      </x:c>
      <x:c r="J187" s="60" t="n">
        <x:v>3.2690566773999996</x:v>
      </x:c>
      <x:c r="K187" s="60" t="n">
        <x:v>0</x:v>
      </x:c>
      <x:c r="L187" s="60" t="n">
        <x:v>0.373029736</x:v>
      </x:c>
      <x:c r="M187" s="60" t="n">
        <x:v>2.8960269413999997</x:v>
      </x:c>
      <x:c r="N187" s="46" t="str">
        <x:v>megalaspis cordyla</x:v>
      </x:c>
      <x:c r="O187" s="62" t="n">
        <x:v>4.24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Megalaspis cordyla</x:v>
      </x:c>
      <x:c r="T187" s="62" t="n">
        <x:f>IF(O187="","",(1/'Metadata'!$B$5)^(O187-1))</x:f>
        <x:v>16418.64020623336</x:v>
      </x:c>
      <x:c r="U187" s="60" t="n">
        <x:f>IF(T187="","",I187*T187)</x:f>
        <x:v>53673.465400015266</x:v>
      </x:c>
    </x:row>
    <x:row r="188" ht="18" customHeight="1">
      <x:c r="A188" s="46" t="str">
        <x:v>LME_050</x:v>
      </x:c>
      <x:c r="B188" s="46" t="str">
        <x:v>Sea of Japan / East Sea</x:v>
      </x:c>
      <x:c r="C188" s="46" t="str">
        <x:v>LME</x:v>
      </x:c>
      <x:c r="D188" s="58" t="n">
        <x:v>2019</x:v>
      </x:c>
      <x:c r="E188" s="46" t="str">
        <x:v>Lutjanidae</x:v>
      </x:c>
      <x:c r="F188" s="46" t="str">
        <x:v>Snappers</x:v>
      </x:c>
      <x:c r="G188" s="46" t="str">
        <x:v>Medium reef assoc. fish (30 - 89 cm)</x:v>
      </x:c>
      <x:c r="H188" s="46" t="str">
        <x:v>Perch-likes</x:v>
      </x:c>
      <x:c r="I188" s="60" t="n">
        <x:v>3.2387248274</x:v>
      </x:c>
      <x:c r="J188" s="60" t="n">
        <x:v>3.2387248274</x:v>
      </x:c>
      <x:c r="K188" s="60" t="n">
        <x:v>0</x:v>
      </x:c>
      <x:c r="L188" s="60" t="n">
        <x:v>1.4180979624</x:v>
      </x:c>
      <x:c r="M188" s="60" t="n">
        <x:v>1.8206268650000001</x:v>
      </x:c>
      <x:c r="N188" s="46" t="str">
        <x:v>lutjanidae</x:v>
      </x:c>
      <x:c r="O188" s="62" t="n">
        <x:v>4.02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Lutjanidae</x:v>
      </x:c>
      <x:c r="T188" s="62" t="n">
        <x:f>IF(O188="","",(1/'Metadata'!$B$5)^(O188-1))</x:f>
        <x:v>8493.967342839818</x:v>
      </x:c>
      <x:c r="U188" s="60" t="n">
        <x:f>IF(T188="","",I188*T188)</x:f>
        <x:v>27509.622916380125</x:v>
      </x:c>
    </x:row>
    <x:row r="189" ht="18" customHeight="1">
      <x:c r="A189" s="46" t="str">
        <x:v>LME_050</x:v>
      </x:c>
      <x:c r="B189" s="46" t="str">
        <x:v>Sea of Japan / East Sea</x:v>
      </x:c>
      <x:c r="C189" s="46" t="str">
        <x:v>LME</x:v>
      </x:c>
      <x:c r="D189" s="58" t="n">
        <x:v>2019</x:v>
      </x:c>
      <x:c r="E189" s="46" t="str">
        <x:v>Metapenaeus</x:v>
      </x:c>
      <x:c r="F189" s="46" t="str">
        <x:v>Indo-Pacific prawns</x:v>
      </x:c>
      <x:c r="G189" s="46" t="str">
        <x:v>Shrimps</x:v>
      </x:c>
      <x:c r="H189" s="46" t="str">
        <x:v>Crustaceans</x:v>
      </x:c>
      <x:c r="I189" s="60" t="n">
        <x:v>2.9265838871</x:v>
      </x:c>
      <x:c r="J189" s="60" t="n">
        <x:v>2.9265838871</x:v>
      </x:c>
      <x:c r="K189" s="60" t="n">
        <x:v>0</x:v>
      </x:c>
      <x:c r="L189" s="60" t="n">
        <x:v>0.2414337965</x:v>
      </x:c>
      <x:c r="M189" s="60" t="n">
        <x:v>2.6851500906</x:v>
      </x:c>
      <x:c r="N189" s="46" t="str">
        <x:v>metapenaeus</x:v>
      </x:c>
      <x:c r="O189" s="62" t="n">
        <x:v>2.7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Metapenaeus</x:v>
      </x:c>
      <x:c r="T189" s="62" t="n">
        <x:f>IF(O189="","",(1/'Metadata'!$B$5)^(O189-1))</x:f>
        <x:v>162.83621261476185</x:v>
      </x:c>
      <x:c r="U189" s="60" t="n">
        <x:f>IF(T189="","",I189*T189)</x:f>
        <x:v>476.5538360747518</x:v>
      </x:c>
    </x:row>
    <x:row r="190" ht="18" customHeight="1">
      <x:c r="A190" s="46" t="str">
        <x:v>LME_050</x:v>
      </x:c>
      <x:c r="B190" s="46" t="str">
        <x:v>Sea of Japan / East Sea</x:v>
      </x:c>
      <x:c r="C190" s="46" t="str">
        <x:v>LME</x:v>
      </x:c>
      <x:c r="D190" s="58" t="n">
        <x:v>2019</x:v>
      </x:c>
      <x:c r="E190" s="46" t="str">
        <x:v>Scomberomorus commerson</x:v>
      </x:c>
      <x:c r="F190" s="46" t="str">
        <x:v>Narrow-barred Spanish mackerel</x:v>
      </x:c>
      <x:c r="G190" s="46" t="str">
        <x:v>Large pelagics (&gt;=90 cm)</x:v>
      </x:c>
      <x:c r="H190" s="46" t="str">
        <x:v>Perch-likes</x:v>
      </x:c>
      <x:c r="I190" s="60" t="n">
        <x:v>2.1340085139</x:v>
      </x:c>
      <x:c r="J190" s="60" t="n">
        <x:v>2.1340085139</x:v>
      </x:c>
      <x:c r="K190" s="60" t="n">
        <x:v>0</x:v>
      </x:c>
      <x:c r="L190" s="60" t="n">
        <x:v>2.1340085139</x:v>
      </x:c>
      <x:c r="M190" s="60" t="n">
        <x:v>0</x:v>
      </x:c>
      <x:c r="N190" s="46" t="str">
        <x:v>scomberomorus commerson</x:v>
      </x:c>
      <x:c r="O190" s="62" t="n">
        <x:v>4.5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Scomberomorus commerson</x:v>
      </x:c>
      <x:c r="T190" s="62" t="n">
        <x:f>IF(O190="","",(1/'Metadata'!$B$5)^(O190-1))</x:f>
        <x:v>35777.08763999664</x:v>
      </x:c>
      <x:c r="U190" s="60" t="n">
        <x:f>IF(T190="","",I190*T190)</x:f>
        <x:v>76348.60962629928</x:v>
      </x:c>
    </x:row>
    <x:row r="191" ht="18" customHeight="1">
      <x:c r="A191" s="46" t="str">
        <x:v>LME_050</x:v>
      </x:c>
      <x:c r="B191" s="46" t="str">
        <x:v>Sea of Japan / East Sea</x:v>
      </x:c>
      <x:c r="C191" s="46" t="str">
        <x:v>LME</x:v>
      </x:c>
      <x:c r="D191" s="58" t="n">
        <x:v>2019</x:v>
      </x:c>
      <x:c r="E191" s="46" t="str">
        <x:v>Meretrix lusoria</x:v>
      </x:c>
      <x:c r="F191" s="46" t="str">
        <x:v>Japanese hard clam</x:v>
      </x:c>
      <x:c r="G191" s="46" t="str">
        <x:v>Other demersal invertebrates</x:v>
      </x:c>
      <x:c r="H191" s="46" t="str">
        <x:v>Molluscs</x:v>
      </x:c>
      <x:c r="I191" s="60" t="n">
        <x:v>1.8748221588</x:v>
      </x:c>
      <x:c r="J191" s="60" t="n">
        <x:v>1.8748221588</x:v>
      </x:c>
      <x:c r="K191" s="60" t="n">
        <x:v>0</x:v>
      </x:c>
      <x:c r="L191" s="60" t="n">
        <x:v>1.8748221588</x:v>
      </x:c>
      <x:c r="M191" s="60" t="n">
        <x:v>0</x:v>
      </x:c>
      <x:c r="N191" s="46" t="str">
        <x:v>meretrix lusoria</x:v>
      </x:c>
      <x:c r="O191" s="62" t="n">
        <x:v>2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Meretrix lusoria</x:v>
      </x:c>
      <x:c r="T191" s="62" t="n">
        <x:f>IF(O191="","",(1/'Metadata'!$B$5)^(O191-1))</x:f>
        <x:v>20</x:v>
      </x:c>
      <x:c r="U191" s="60" t="n">
        <x:f>IF(T191="","",I191*T191)</x:f>
        <x:v>37.496443176</x:v>
      </x:c>
    </x:row>
    <x:row r="192" ht="18" customHeight="1">
      <x:c r="A192" s="46" t="str">
        <x:v>LME_050</x:v>
      </x:c>
      <x:c r="B192" s="46" t="str">
        <x:v>Sea of Japan / East Sea</x:v>
      </x:c>
      <x:c r="C192" s="46" t="str">
        <x:v>LME</x:v>
      </x:c>
      <x:c r="D192" s="58" t="n">
        <x:v>2019</x:v>
      </x:c>
      <x:c r="E192" s="46" t="str">
        <x:v>Muraenidae</x:v>
      </x:c>
      <x:c r="F192" s="46" t="str">
        <x:v>Moray eels</x:v>
      </x:c>
      <x:c r="G192" s="46" t="str">
        <x:v>Large reef assoc. fish (&gt;=90 cm)</x:v>
      </x:c>
      <x:c r="H192" s="46" t="str">
        <x:v>Other fishes &amp; inverts</x:v>
      </x:c>
      <x:c r="I192" s="60" t="n">
        <x:v>1.8555835983</x:v>
      </x:c>
      <x:c r="J192" s="60" t="n">
        <x:v>0</x:v>
      </x:c>
      <x:c r="K192" s="60" t="n">
        <x:v>1.8555835983</x:v>
      </x:c>
      <x:c r="L192" s="60" t="n">
        <x:v>0</x:v>
      </x:c>
      <x:c r="M192" s="60" t="n">
        <x:v>1.8555835983</x:v>
      </x:c>
      <x:c r="N192" s="46" t="str">
        <x:v>muraenidae</x:v>
      </x:c>
      <x:c r="O192" s="62" t="n">
        <x:v>4.07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Muraenidae</x:v>
      </x:c>
      <x:c r="T192" s="62" t="n">
        <x:f>IF(O192="","",(1/'Metadata'!$B$5)^(O192-1))</x:f>
        <x:v>9866.476519743796</x:v>
      </x:c>
      <x:c r="U192" s="60" t="n">
        <x:f>IF(T192="","",I192*T192)</x:f>
        <x:v>18308.072003048652</x:v>
      </x:c>
    </x:row>
    <x:row r="193" ht="18" customHeight="1">
      <x:c r="A193" s="46" t="str">
        <x:v>LME_050</x:v>
      </x:c>
      <x:c r="B193" s="46" t="str">
        <x:v>Sea of Japan / East Sea</x:v>
      </x:c>
      <x:c r="C193" s="46" t="str">
        <x:v>LME</x:v>
      </x:c>
      <x:c r="D193" s="58" t="n">
        <x:v>2019</x:v>
      </x:c>
      <x:c r="E193" s="46" t="str">
        <x:v>Pagrus auratus</x:v>
      </x:c>
      <x:c r="F193" s="46" t="str">
        <x:v>Silver seabream</x:v>
      </x:c>
      <x:c r="G193" s="46" t="str">
        <x:v>Large demersals (&gt;=90 cm)</x:v>
      </x:c>
      <x:c r="H193" s="46" t="str">
        <x:v>Perch-likes</x:v>
      </x:c>
      <x:c r="I193" s="60" t="n">
        <x:v>1.7372882951</x:v>
      </x:c>
      <x:c r="J193" s="60" t="n">
        <x:v>1.7372882951</x:v>
      </x:c>
      <x:c r="K193" s="60" t="n">
        <x:v>0</x:v>
      </x:c>
      <x:c r="L193" s="60" t="n">
        <x:v>1.6591106355999998</x:v>
      </x:c>
      <x:c r="M193" s="60" t="n">
        <x:v>0.07817765950000001</x:v>
      </x:c>
      <x:c r="N193" s="46" t="str">
        <x:v>pagrus auratus</x:v>
      </x:c>
      <x:c r="O193" s="62" t="n">
        <x:v>3.59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Pagrus auratus</x:v>
      </x:c>
      <x:c r="T193" s="62" t="n">
        <x:f>IF(O193="","",(1/'Metadata'!$B$5)^(O193-1))</x:f>
        <x:v>2342.4357563948306</x:v>
      </x:c>
      <x:c r="U193" s="60" t="n">
        <x:f>IF(T193="","",I193*T193)</x:f>
        <x:v>4069.486221608454</x:v>
      </x:c>
    </x:row>
    <x:row r="194" ht="18" customHeight="1">
      <x:c r="A194" s="46" t="str">
        <x:v>LME_050</x:v>
      </x:c>
      <x:c r="B194" s="46" t="str">
        <x:v>Sea of Japan / East Sea</x:v>
      </x:c>
      <x:c r="C194" s="46" t="str">
        <x:v>LME</x:v>
      </x:c>
      <x:c r="D194" s="58" t="n">
        <x:v>2019</x:v>
      </x:c>
      <x:c r="E194" s="46" t="str">
        <x:v>Ariidae</x:v>
      </x:c>
      <x:c r="F194" s="46" t="str">
        <x:v>Sea catfishes, coblers</x:v>
      </x:c>
      <x:c r="G194" s="46" t="str">
        <x:v>Medium demersals (30 - 89 cm)</x:v>
      </x:c>
      <x:c r="H194" s="46" t="str">
        <x:v>Other fishes &amp; inverts</x:v>
      </x:c>
      <x:c r="I194" s="60" t="n">
        <x:v>1.4587375798</x:v>
      </x:c>
      <x:c r="J194" s="60" t="n">
        <x:v>1.4526751969</x:v>
      </x:c>
      <x:c r="K194" s="60" t="n">
        <x:v>0.0060623829</x:v>
      </x:c>
      <x:c r="L194" s="60" t="n">
        <x:v>0.7037847876</x:v>
      </x:c>
      <x:c r="M194" s="60" t="n">
        <x:v>0.7549527922000001</x:v>
      </x:c>
      <x:c r="N194" s="46" t="str">
        <x:v>ariidae</x:v>
      </x:c>
      <x:c r="O194" s="62" t="n">
        <x:v>3.48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Ariidae</x:v>
      </x:c>
      <x:c r="T194" s="62" t="n">
        <x:f>IF(O194="","",(1/'Metadata'!$B$5)^(O194-1))</x:f>
        <x:v>1684.8234138858888</x:v>
      </x:c>
      <x:c r="U194" s="60" t="n">
        <x:f>IF(T194="","",I194*T194)</x:f>
        <x:v>2457.715229162275</x:v>
      </x:c>
    </x:row>
    <x:row r="195" ht="18" customHeight="1">
      <x:c r="A195" s="46" t="str">
        <x:v>LME_050</x:v>
      </x:c>
      <x:c r="B195" s="46" t="str">
        <x:v>Sea of Japan / East Sea</x:v>
      </x:c>
      <x:c r="C195" s="46" t="str">
        <x:v>LME</x:v>
      </x:c>
      <x:c r="D195" s="58" t="n">
        <x:v>2019</x:v>
      </x:c>
      <x:c r="E195" s="46" t="str">
        <x:v>Pagrus major</x:v>
      </x:c>
      <x:c r="F195" s="46" t="str">
        <x:v>Japanese seabream</x:v>
      </x:c>
      <x:c r="G195" s="46" t="str">
        <x:v>Large demersals (&gt;=90 cm)</x:v>
      </x:c>
      <x:c r="H195" s="46" t="str">
        <x:v>Perch-likes</x:v>
      </x:c>
      <x:c r="I195" s="60" t="n">
        <x:v>1.1923838795000001</x:v>
      </x:c>
      <x:c r="J195" s="60" t="n">
        <x:v>1.0544311089</x:v>
      </x:c>
      <x:c r="K195" s="60" t="n">
        <x:v>0.1379527706</x:v>
      </x:c>
      <x:c r="L195" s="60" t="n">
        <x:v>0.8312655679000001</x:v>
      </x:c>
      <x:c r="M195" s="60" t="n">
        <x:v>0.36111831159999996</x:v>
      </x:c>
      <x:c r="N195" s="46" t="str">
        <x:v>pagrus major</x:v>
      </x:c>
      <x:c r="O195" s="62" t="n">
        <x:v>3.7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Pagrus major</x:v>
      </x:c>
      <x:c r="T195" s="62" t="n">
        <x:f>IF(O195="","",(1/'Metadata'!$B$5)^(O195-1))</x:f>
        <x:v>3256.724252295237</x:v>
      </x:c>
      <x:c r="U195" s="60" t="n">
        <x:f>IF(T195="","",I195*T195)</x:f>
        <x:v>3883.265498413532</x:v>
      </x:c>
    </x:row>
    <x:row r="196" ht="18" customHeight="1">
      <x:c r="A196" s="46" t="str">
        <x:v>LME_050</x:v>
      </x:c>
      <x:c r="B196" s="46" t="str">
        <x:v>Sea of Japan / East Sea</x:v>
      </x:c>
      <x:c r="C196" s="46" t="str">
        <x:v>LME</x:v>
      </x:c>
      <x:c r="D196" s="58" t="n">
        <x:v>2019</x:v>
      </x:c>
      <x:c r="E196" s="46" t="str">
        <x:v>Tegillarca granosa</x:v>
      </x:c>
      <x:c r="F196" s="46" t="str">
        <x:v>Granular ark</x:v>
      </x:c>
      <x:c r="G196" s="46" t="str">
        <x:v>Other demersal invertebrates</x:v>
      </x:c>
      <x:c r="H196" s="46" t="str">
        <x:v>Molluscs</x:v>
      </x:c>
      <x:c r="I196" s="60" t="n">
        <x:v>1.175045854</x:v>
      </x:c>
      <x:c r="J196" s="60" t="n">
        <x:v>1.175045854</x:v>
      </x:c>
      <x:c r="K196" s="60" t="n">
        <x:v>0</x:v>
      </x:c>
      <x:c r="L196" s="60" t="n">
        <x:v>1.175045854</x:v>
      </x:c>
      <x:c r="M196" s="60" t="n">
        <x:v>0</x:v>
      </x:c>
      <x:c r="N196" s="46" t="str">
        <x:v>tegillarca granosa</x:v>
      </x:c>
      <x:c r="O196" s="62" t="n">
        <x:v>2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Tegillarca granosa</x:v>
      </x:c>
      <x:c r="T196" s="62" t="n">
        <x:f>IF(O196="","",(1/'Metadata'!$B$5)^(O196-1))</x:f>
        <x:v>20</x:v>
      </x:c>
      <x:c r="U196" s="60" t="n">
        <x:f>IF(T196="","",I196*T196)</x:f>
        <x:v>23.50091708</x:v>
      </x:c>
    </x:row>
    <x:row r="197" ht="18" customHeight="1">
      <x:c r="A197" s="46" t="str">
        <x:v>LME_050</x:v>
      </x:c>
      <x:c r="B197" s="46" t="str">
        <x:v>Sea of Japan / East Sea</x:v>
      </x:c>
      <x:c r="C197" s="46" t="str">
        <x:v>LME</x:v>
      </x:c>
      <x:c r="D197" s="58" t="n">
        <x:v>2019</x:v>
      </x:c>
      <x:c r="E197" s="46" t="str">
        <x:v>Scaridae</x:v>
      </x:c>
      <x:c r="F197" s="46" t="str">
        <x:v>Parrotfishes</x:v>
      </x:c>
      <x:c r="G197" s="46" t="str">
        <x:v>Medium reef assoc. fish (30 - 89 cm)</x:v>
      </x:c>
      <x:c r="H197" s="46" t="str">
        <x:v>Perch-likes</x:v>
      </x:c>
      <x:c r="I197" s="60" t="n">
        <x:v>1.1420101109</x:v>
      </x:c>
      <x:c r="J197" s="60" t="n">
        <x:v>1.1420101109</x:v>
      </x:c>
      <x:c r="K197" s="60" t="n">
        <x:v>0</x:v>
      </x:c>
      <x:c r="L197" s="60" t="n">
        <x:v>0.443554365</x:v>
      </x:c>
      <x:c r="M197" s="60" t="n">
        <x:v>0.6984557459</x:v>
      </x:c>
      <x:c r="N197" s="46" t="str">
        <x:v>scaridae</x:v>
      </x:c>
      <x:c r="O197" s="62" t="n">
        <x:v>2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Scaridae</x:v>
      </x:c>
      <x:c r="T197" s="62" t="n">
        <x:f>IF(O197="","",(1/'Metadata'!$B$5)^(O197-1))</x:f>
        <x:v>20</x:v>
      </x:c>
      <x:c r="U197" s="60" t="n">
        <x:f>IF(T197="","",I197*T197)</x:f>
        <x:v>22.840202218</x:v>
      </x:c>
    </x:row>
    <x:row r="198" ht="18" customHeight="1">
      <x:c r="A198" s="46" t="str">
        <x:v>LME_050</x:v>
      </x:c>
      <x:c r="B198" s="46" t="str">
        <x:v>Sea of Japan / East Sea</x:v>
      </x:c>
      <x:c r="C198" s="46" t="str">
        <x:v>LME</x:v>
      </x:c>
      <x:c r="D198" s="58" t="n">
        <x:v>2019</x:v>
      </x:c>
      <x:c r="E198" s="46" t="str">
        <x:v>Mullidae</x:v>
      </x:c>
      <x:c r="F198" s="46" t="str">
        <x:v>Goatfishes</x:v>
      </x:c>
      <x:c r="G198" s="46" t="str">
        <x:v>Medium reef assoc. fish (30 - 89 cm)</x:v>
      </x:c>
      <x:c r="H198" s="46" t="str">
        <x:v>Perch-likes</x:v>
      </x:c>
      <x:c r="I198" s="60" t="n">
        <x:v>1.1007948251</x:v>
      </x:c>
      <x:c r="J198" s="60" t="n">
        <x:v>1.1007948251</x:v>
      </x:c>
      <x:c r="K198" s="60" t="n">
        <x:v>0</x:v>
      </x:c>
      <x:c r="L198" s="60" t="n">
        <x:v>0.8932624677</x:v>
      </x:c>
      <x:c r="M198" s="60" t="n">
        <x:v>0.20753235739999998</x:v>
      </x:c>
      <x:c r="N198" s="46" t="str">
        <x:v>mullidae</x:v>
      </x:c>
      <x:c r="O198" s="62" t="n">
        <x:v>3.46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Mullidae</x:v>
      </x:c>
      <x:c r="T198" s="62" t="n">
        <x:f>IF(O198="","",(1/'Metadata'!$B$5)^(O198-1))</x:f>
        <x:v>1586.8423749532276</x:v>
      </x:c>
      <x:c r="U198" s="60" t="n">
        <x:f>IF(T198="","",I198*T198)</x:f>
        <x:v>1746.7878745979067</x:v>
      </x:c>
    </x:row>
    <x:row r="199" ht="18" customHeight="1">
      <x:c r="A199" s="46" t="str">
        <x:v>LME_050</x:v>
      </x:c>
      <x:c r="B199" s="46" t="str">
        <x:v>Sea of Japan / East Sea</x:v>
      </x:c>
      <x:c r="C199" s="46" t="str">
        <x:v>LME</x:v>
      </x:c>
      <x:c r="D199" s="58" t="n">
        <x:v>2019</x:v>
      </x:c>
      <x:c r="E199" s="46" t="str">
        <x:v>Saurida</x:v>
      </x:c>
      <x:c r="F199" s="46" t="str">
        <x:v>Lizardfishes</x:v>
      </x:c>
      <x:c r="G199" s="46" t="str">
        <x:v>Medium demersals (30 - 89 cm)</x:v>
      </x:c>
      <x:c r="H199" s="46" t="str">
        <x:v>Other fishes &amp; inverts</x:v>
      </x:c>
      <x:c r="I199" s="60" t="n">
        <x:v>1.0380976324</x:v>
      </x:c>
      <x:c r="J199" s="60" t="n">
        <x:v>0</x:v>
      </x:c>
      <x:c r="K199" s="60" t="n">
        <x:v>1.0380976324</x:v>
      </x:c>
      <x:c r="L199" s="60" t="n">
        <x:v>0</x:v>
      </x:c>
      <x:c r="M199" s="60" t="n">
        <x:v>1.0380976324</x:v>
      </x:c>
      <x:c r="N199" s="46" t="str">
        <x:v>saurida</x:v>
      </x:c>
      <x:c r="O199" s="62" t="n">
        <x:v>4.35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Saurida</x:v>
      </x:c>
      <x:c r="T199" s="62" t="n">
        <x:f>IF(O199="","",(1/'Metadata'!$B$5)^(O199-1))</x:f>
        <x:v>22827.086550132422</x:v>
      </x:c>
      <x:c r="U199" s="60" t="n">
        <x:f>IF(T199="","",I199*T199)</x:f>
        <x:v>23696.744502282352</x:v>
      </x:c>
    </x:row>
    <x:row r="200" ht="18" customHeight="1">
      <x:c r="A200" s="46" t="str">
        <x:v>LME_050</x:v>
      </x:c>
      <x:c r="B200" s="46" t="str">
        <x:v>Sea of Japan / East Sea</x:v>
      </x:c>
      <x:c r="C200" s="46" t="str">
        <x:v>LME</x:v>
      </x:c>
      <x:c r="D200" s="58" t="n">
        <x:v>2019</x:v>
      </x:c>
      <x:c r="E200" s="46" t="str">
        <x:v>Parastromateus niger</x:v>
      </x:c>
      <x:c r="F200" s="46" t="str">
        <x:v>Black pomfret</x:v>
      </x:c>
      <x:c r="G200" s="46" t="str">
        <x:v>Medium benthopelagics (30 - 89 cm)</x:v>
      </x:c>
      <x:c r="H200" s="46" t="str">
        <x:v>Perch-likes</x:v>
      </x:c>
      <x:c r="I200" s="60" t="n">
        <x:v>0.6131248264</x:v>
      </x:c>
      <x:c r="J200" s="60" t="n">
        <x:v>0.4527097865</x:v>
      </x:c>
      <x:c r="K200" s="60" t="n">
        <x:v>0.1604150399</x:v>
      </x:c>
      <x:c r="L200" s="60" t="n">
        <x:v>0.4527097865</x:v>
      </x:c>
      <x:c r="M200" s="60" t="n">
        <x:v>0.1604150399</x:v>
      </x:c>
      <x:c r="N200" s="46" t="str">
        <x:v>parastromateus niger</x:v>
      </x:c>
      <x:c r="O200" s="62" t="n">
        <x:v>2.93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Parastromateus niger</x:v>
      </x:c>
      <x:c r="T200" s="62" t="n">
        <x:f>IF(O200="","",(1/'Metadata'!$B$5)^(O200-1))</x:f>
        <x:v>324.3305747088626</x:v>
      </x:c>
      <x:c r="U200" s="60" t="n">
        <x:f>IF(T200="","",I200*T200)</x:f>
        <x:v>198.85512731458363</x:v>
      </x:c>
    </x:row>
    <x:row r="201" ht="18" customHeight="1">
      <x:c r="A201" s="46" t="str">
        <x:v>LME_050</x:v>
      </x:c>
      <x:c r="B201" s="46" t="str">
        <x:v>Sea of Japan / East Sea</x:v>
      </x:c>
      <x:c r="C201" s="46" t="str">
        <x:v>LME</x:v>
      </x:c>
      <x:c r="D201" s="58" t="n">
        <x:v>2019</x:v>
      </x:c>
      <x:c r="E201" s="46" t="str">
        <x:v>Berycidae</x:v>
      </x:c>
      <x:c r="F201" s="46" t="str">
        <x:v>Alfonsinos, redfishes</x:v>
      </x:c>
      <x:c r="G201" s="46" t="str">
        <x:v>Medium benthopelagics (30 - 89 cm)</x:v>
      </x:c>
      <x:c r="H201" s="46" t="str">
        <x:v>Other fishes &amp; inverts</x:v>
      </x:c>
      <x:c r="I201" s="60" t="n">
        <x:v>0.5732613209</x:v>
      </x:c>
      <x:c r="J201" s="60" t="n">
        <x:v>0.5732613209</x:v>
      </x:c>
      <x:c r="K201" s="60" t="n">
        <x:v>0</x:v>
      </x:c>
      <x:c r="L201" s="60" t="n">
        <x:v>0.5732613209</x:v>
      </x:c>
      <x:c r="M201" s="60" t="n">
        <x:v>0</x:v>
      </x:c>
      <x:c r="N201" s="46" t="str">
        <x:v>berycidae</x:v>
      </x:c>
      <x:c r="O201" s="62" t="n">
        <x:v>3.99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Berycidae</x:v>
      </x:c>
      <x:c r="T201" s="62" t="n">
        <x:f>IF(O201="","",(1/'Metadata'!$B$5)^(O201-1))</x:f>
        <x:v>7763.895603143686</x:v>
      </x:c>
      <x:c r="U201" s="60" t="n">
        <x:f>IF(T201="","",I201*T201)</x:f>
        <x:v>4450.7410487878515</x:v>
      </x:c>
    </x:row>
    <x:row r="202" ht="18" customHeight="1">
      <x:c r="A202" s="46" t="str">
        <x:v>LME_050</x:v>
      </x:c>
      <x:c r="B202" s="46" t="str">
        <x:v>Sea of Japan / East Sea</x:v>
      </x:c>
      <x:c r="C202" s="46" t="str">
        <x:v>LME</x:v>
      </x:c>
      <x:c r="D202" s="58" t="n">
        <x:v>2019</x:v>
      </x:c>
      <x:c r="E202" s="46" t="str">
        <x:v>Nemipterus virgatus</x:v>
      </x:c>
      <x:c r="F202" s="46" t="str">
        <x:v>Golden threadfin bream</x:v>
      </x:c>
      <x:c r="G202" s="46" t="str">
        <x:v>Medium demersals (30 - 89 cm)</x:v>
      </x:c>
      <x:c r="H202" s="46" t="str">
        <x:v>Perch-likes</x:v>
      </x:c>
      <x:c r="I202" s="60" t="n">
        <x:v>0.3462075294</x:v>
      </x:c>
      <x:c r="J202" s="60" t="n">
        <x:v>0.0517702728</x:v>
      </x:c>
      <x:c r="K202" s="60" t="n">
        <x:v>0.2944372566</x:v>
      </x:c>
      <x:c r="L202" s="60" t="n">
        <x:v>0.0517702728</x:v>
      </x:c>
      <x:c r="M202" s="60" t="n">
        <x:v>0.2944372566</x:v>
      </x:c>
      <x:c r="N202" s="46" t="str">
        <x:v>nemipterus virgatus</x:v>
      </x:c>
      <x:c r="O202" s="62" t="n">
        <x:v>3.99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Nemipterus virgatus</x:v>
      </x:c>
      <x:c r="T202" s="62" t="n">
        <x:f>IF(O202="","",(1/'Metadata'!$B$5)^(O202-1))</x:f>
        <x:v>7763.895603143686</x:v>
      </x:c>
      <x:c r="U202" s="60" t="n">
        <x:f>IF(T202="","",I202*T202)</x:f>
        <x:v>2687.919115283898</x:v>
      </x:c>
    </x:row>
    <x:row r="203" ht="18" customHeight="1">
      <x:c r="A203" s="46" t="str">
        <x:v>LME_050</x:v>
      </x:c>
      <x:c r="B203" s="46" t="str">
        <x:v>Sea of Japan / East Sea</x:v>
      </x:c>
      <x:c r="C203" s="46" t="str">
        <x:v>LME</x:v>
      </x:c>
      <x:c r="D203" s="58" t="n">
        <x:v>2019</x:v>
      </x:c>
      <x:c r="E203" s="46" t="str">
        <x:v>Planiliza haematocheilus</x:v>
      </x:c>
      <x:c r="F203" s="46" t="str">
        <x:v>So-iny mullet</x:v>
      </x:c>
      <x:c r="G203" s="46" t="str">
        <x:v>Medium demersals (30 - 89 cm)</x:v>
      </x:c>
      <x:c r="H203" s="46" t="str">
        <x:v>Perch-likes</x:v>
      </x:c>
      <x:c r="I203" s="60" t="n">
        <x:v>0.25672181629999996</x:v>
      </x:c>
      <x:c r="J203" s="60" t="n">
        <x:v>0.25672181629999996</x:v>
      </x:c>
      <x:c r="K203" s="60" t="n">
        <x:v>0</x:v>
      </x:c>
      <x:c r="L203" s="60" t="n">
        <x:v>0.25672181629999996</x:v>
      </x:c>
      <x:c r="M203" s="60" t="n">
        <x:v>0</x:v>
      </x:c>
      <x:c r="N203" s="46" t="str">
        <x:v>planiliza haematocheilus</x:v>
      </x:c>
      <x:c r="O203" s="62" t="n">
        <x:v>2.5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Planiliza haematocheilus</x:v>
      </x:c>
      <x:c r="T203" s="62" t="n">
        <x:f>IF(O203="","",(1/'Metadata'!$B$5)^(O203-1))</x:f>
        <x:v>89.44271909999159</x:v>
      </x:c>
      <x:c r="U203" s="60" t="n">
        <x:f>IF(T203="","",I203*T203)</x:f>
        <x:v>22.96189730216054</x:v>
      </x:c>
    </x:row>
    <x:row r="204" ht="18" customHeight="1">
      <x:c r="A204" s="46" t="str">
        <x:v>LME_050</x:v>
      </x:c>
      <x:c r="B204" s="46" t="str">
        <x:v>Sea of Japan / East Sea</x:v>
      </x:c>
      <x:c r="C204" s="46" t="str">
        <x:v>LME</x:v>
      </x:c>
      <x:c r="D204" s="58" t="n">
        <x:v>2019</x:v>
      </x:c>
      <x:c r="E204" s="46" t="str">
        <x:v>Rhopilema hispidum</x:v>
      </x:c>
      <x:c r="F204" s="46" t="str">
        <x:v>Sand jellyfish</x:v>
      </x:c>
      <x:c r="G204" s="46" t="str">
        <x:v>Jellyfish</x:v>
      </x:c>
      <x:c r="H204" s="46" t="str">
        <x:v>Other fishes &amp; inverts</x:v>
      </x:c>
      <x:c r="I204" s="60" t="n">
        <x:v>0.2092906562</x:v>
      </x:c>
      <x:c r="J204" s="60" t="n">
        <x:v>0.2092906562</x:v>
      </x:c>
      <x:c r="K204" s="60" t="n">
        <x:v>0</x:v>
      </x:c>
      <x:c r="L204" s="60" t="n">
        <x:v>0</x:v>
      </x:c>
      <x:c r="M204" s="60" t="n">
        <x:v>0.2092906562</x:v>
      </x:c>
      <x:c r="N204" s="46" t="str">
        <x:v>rhopilema hispidum</x:v>
      </x:c>
      <x:c r="O204" s="62" t="n">
        <x:v>3.46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Rhopilema hispidum</x:v>
      </x:c>
      <x:c r="T204" s="62" t="n">
        <x:f>IF(O204="","",(1/'Metadata'!$B$5)^(O204-1))</x:f>
        <x:v>1586.8423749532276</x:v>
      </x:c>
      <x:c r="U204" s="60" t="n">
        <x:f>IF(T204="","",I204*T204)</x:f>
        <x:v>332.11128193992744</x:v>
      </x:c>
    </x:row>
    <x:row r="205" ht="18" customHeight="1">
      <x:c r="A205" s="46" t="str">
        <x:v>LME_050</x:v>
      </x:c>
      <x:c r="B205" s="46" t="str">
        <x:v>Sea of Japan / East Sea</x:v>
      </x:c>
      <x:c r="C205" s="46" t="str">
        <x:v>LME</x:v>
      </x:c>
      <x:c r="D205" s="58" t="n">
        <x:v>2019</x:v>
      </x:c>
      <x:c r="E205" s="46" t="str">
        <x:v>Penaeus monodon</x:v>
      </x:c>
      <x:c r="F205" s="46" t="str">
        <x:v>Giant tiger prawn</x:v>
      </x:c>
      <x:c r="G205" s="46" t="str">
        <x:v>Shrimps</x:v>
      </x:c>
      <x:c r="H205" s="46" t="str">
        <x:v>Crustaceans</x:v>
      </x:c>
      <x:c r="I205" s="60" t="n">
        <x:v>0.19585317219999998</x:v>
      </x:c>
      <x:c r="J205" s="60" t="n">
        <x:v>0.19585317219999998</x:v>
      </x:c>
      <x:c r="K205" s="60" t="n">
        <x:v>0</x:v>
      </x:c>
      <x:c r="L205" s="60" t="n">
        <x:v>0.1004621884</x:v>
      </x:c>
      <x:c r="M205" s="60" t="n">
        <x:v>0.0953909838</x:v>
      </x:c>
      <x:c r="N205" s="46" t="str">
        <x:v>penaeus monodon</x:v>
      </x:c>
      <x:c r="O205" s="62" t="n">
        <x:v>2.6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Penaeus monodon</x:v>
      </x:c>
      <x:c r="T205" s="62" t="n">
        <x:f>IF(O205="","",(1/'Metadata'!$B$5)^(O205-1))</x:f>
        <x:v>120.6835267309033</x:v>
      </x:c>
      <x:c r="U205" s="60" t="n">
        <x:f>IF(T205="","",I205*T205)</x:f>
        <x:v>23.636251542530903</x:v>
      </x:c>
    </x:row>
    <x:row r="206" ht="18" customHeight="1">
      <x:c r="A206" s="46" t="str">
        <x:v>LME_050</x:v>
      </x:c>
      <x:c r="B206" s="46" t="str">
        <x:v>Sea of Japan / East Sea</x:v>
      </x:c>
      <x:c r="C206" s="46" t="str">
        <x:v>LME</x:v>
      </x:c>
      <x:c r="D206" s="58" t="n">
        <x:v>2019</x:v>
      </x:c>
      <x:c r="E206" s="46" t="str">
        <x:v>Anoplopoma fimbria</x:v>
      </x:c>
      <x:c r="F206" s="46" t="str">
        <x:v>Sablefish</x:v>
      </x:c>
      <x:c r="G206" s="46" t="str">
        <x:v>Large bathydemersals (&gt;=90 cm)</x:v>
      </x:c>
      <x:c r="H206" s="46" t="str">
        <x:v>Scorpionfishes</x:v>
      </x:c>
      <x:c r="I206" s="60" t="n">
        <x:v>0.1560694697</x:v>
      </x:c>
      <x:c r="J206" s="60" t="n">
        <x:v>0.1560694697</x:v>
      </x:c>
      <x:c r="K206" s="60" t="n">
        <x:v>0</x:v>
      </x:c>
      <x:c r="L206" s="60" t="n">
        <x:v>0.1554203823</x:v>
      </x:c>
      <x:c r="M206" s="60" t="n">
        <x:v>0.0006490874</x:v>
      </x:c>
      <x:c r="N206" s="46" t="str">
        <x:v>anoplopoma fimbria</x:v>
      </x:c>
      <x:c r="O206" s="62" t="n">
        <x:v>3.84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Anoplopoma fimbria</x:v>
      </x:c>
      <x:c r="T206" s="62" t="n">
        <x:f>IF(O206="","",(1/'Metadata'!$B$5)^(O206-1))</x:f>
        <x:v>4953.648510535111</x:v>
      </x:c>
      <x:c r="U206" s="60" t="n">
        <x:f>IF(T206="","",I206*T206)</x:f>
        <x:v>773.1132961194096</x:v>
      </x:c>
    </x:row>
    <x:row r="207" ht="18" customHeight="1">
      <x:c r="A207" s="46" t="str">
        <x:v>LME_050</x:v>
      </x:c>
      <x:c r="B207" s="46" t="str">
        <x:v>Sea of Japan / East Sea</x:v>
      </x:c>
      <x:c r="C207" s="46" t="str">
        <x:v>LME</x:v>
      </x:c>
      <x:c r="D207" s="58" t="n">
        <x:v>2019</x:v>
      </x:c>
      <x:c r="E207" s="46" t="str">
        <x:v>Holothuriidae</x:v>
      </x:c>
      <x:c r="F207" s="46" t="str">
        <x:v>Fleshy sea cucumbers</x:v>
      </x:c>
      <x:c r="G207" s="46" t="str">
        <x:v>Other demersal invertebrates</x:v>
      </x:c>
      <x:c r="H207" s="46" t="str">
        <x:v>Other fishes &amp; inverts</x:v>
      </x:c>
      <x:c r="I207" s="60" t="n">
        <x:v>0.0721551398</x:v>
      </x:c>
      <x:c r="J207" s="60" t="n">
        <x:v>0.0721551398</x:v>
      </x:c>
      <x:c r="K207" s="60" t="n">
        <x:v>0</x:v>
      </x:c>
      <x:c r="L207" s="60" t="n">
        <x:v>0</x:v>
      </x:c>
      <x:c r="M207" s="60" t="n">
        <x:v>0.0721551398</x:v>
      </x:c>
      <x:c r="N207" s="46" t="str">
        <x:v>holothuriidae</x:v>
      </x:c>
      <x:c r="O207" s="62" t="n">
        <x:v>2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Holothuriidae</x:v>
      </x:c>
      <x:c r="T207" s="62" t="n">
        <x:f>IF(O207="","",(1/'Metadata'!$B$5)^(O207-1))</x:f>
        <x:v>20</x:v>
      </x:c>
      <x:c r="U207" s="60" t="n">
        <x:f>IF(T207="","",I207*T207)</x:f>
        <x:v>1.443102796</x:v>
      </x:c>
    </x:row>
    <x:row r="208" ht="18" customHeight="1">
      <x:c r="A208" s="46" t="str">
        <x:v>LME_050</x:v>
      </x:c>
      <x:c r="B208" s="46" t="str">
        <x:v>Sea of Japan / East Sea</x:v>
      </x:c>
      <x:c r="C208" s="46" t="str">
        <x:v>LME</x:v>
      </x:c>
      <x:c r="D208" s="58" t="n">
        <x:v>2019</x:v>
      </x:c>
      <x:c r="E208" s="46" t="str">
        <x:v>Lates calcarifer</x:v>
      </x:c>
      <x:c r="F208" s="46" t="str">
        <x:v>Barramundi</x:v>
      </x:c>
      <x:c r="G208" s="46" t="str">
        <x:v>Large demersals (&gt;=90 cm)</x:v>
      </x:c>
      <x:c r="H208" s="46" t="str">
        <x:v>Perch-likes</x:v>
      </x:c>
      <x:c r="I208" s="60" t="n">
        <x:v>0.06753525739999999</x:v>
      </x:c>
      <x:c r="J208" s="60" t="n">
        <x:v>0.06753525739999999</x:v>
      </x:c>
      <x:c r="K208" s="60" t="n">
        <x:v>0</x:v>
      </x:c>
      <x:c r="L208" s="60" t="n">
        <x:v>0.06753525739999999</x:v>
      </x:c>
      <x:c r="M208" s="60" t="n">
        <x:v>0</x:v>
      </x:c>
      <x:c r="N208" s="46" t="str">
        <x:v>lates calcarifer</x:v>
      </x:c>
      <x:c r="O208" s="62" t="n">
        <x:v>4.35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Lates calcarifer</x:v>
      </x:c>
      <x:c r="T208" s="62" t="n">
        <x:f>IF(O208="","",(1/'Metadata'!$B$5)^(O208-1))</x:f>
        <x:v>22827.086550132422</x:v>
      </x:c>
      <x:c r="U208" s="60" t="n">
        <x:f>IF(T208="","",I208*T208)</x:f>
        <x:v>1541.633165855271</x:v>
      </x:c>
    </x:row>
    <x:row r="209" ht="18" customHeight="1">
      <x:c r="A209" s="46" t="str">
        <x:v>LME_050</x:v>
      </x:c>
      <x:c r="B209" s="46" t="str">
        <x:v>Sea of Japan / East Sea</x:v>
      </x:c>
      <x:c r="C209" s="46" t="str">
        <x:v>LME</x:v>
      </x:c>
      <x:c r="D209" s="58" t="n">
        <x:v>2019</x:v>
      </x:c>
      <x:c r="E209" s="46" t="str">
        <x:v>Spratelloides gracilis</x:v>
      </x:c>
      <x:c r="F209" s="46" t="str">
        <x:v>Silver-stripe round herring</x:v>
      </x:c>
      <x:c r="G209" s="46" t="str">
        <x:v>Small pelagics (&lt;30 cm)</x:v>
      </x:c>
      <x:c r="H209" s="46" t="str">
        <x:v>Herring-likes</x:v>
      </x:c>
      <x:c r="I209" s="60" t="n">
        <x:v>0.0659334609</x:v>
      </x:c>
      <x:c r="J209" s="60" t="n">
        <x:v>0.0659334609</x:v>
      </x:c>
      <x:c r="K209" s="60" t="n">
        <x:v>0</x:v>
      </x:c>
      <x:c r="L209" s="60" t="n">
        <x:v>0.0659334609</x:v>
      </x:c>
      <x:c r="M209" s="60" t="n">
        <x:v>0</x:v>
      </x:c>
      <x:c r="N209" s="46" t="str">
        <x:v>spratelloides gracilis</x:v>
      </x:c>
      <x:c r="O209" s="62" t="n">
        <x:v>3.06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Spratelloides gracilis</x:v>
      </x:c>
      <x:c r="T209" s="62" t="n">
        <x:f>IF(O209="","",(1/'Metadata'!$B$5)^(O209-1))</x:f>
        <x:v>478.7643354384948</x:v>
      </x:c>
      <x:c r="U209" s="60" t="n">
        <x:f>IF(T209="","",I209*T209)</x:f>
        <x:v>31.566589590948485</x:v>
      </x:c>
    </x:row>
    <x:row r="210" ht="18" customHeight="1">
      <x:c r="A210" s="46" t="str">
        <x:v>LME_050</x:v>
      </x:c>
      <x:c r="B210" s="46" t="str">
        <x:v>Sea of Japan / East Sea</x:v>
      </x:c>
      <x:c r="C210" s="46" t="str">
        <x:v>LME</x:v>
      </x:c>
      <x:c r="D210" s="58" t="n">
        <x:v>2019</x:v>
      </x:c>
      <x:c r="E210" s="46" t="str">
        <x:v>Sillago sihama</x:v>
      </x:c>
      <x:c r="F210" s="46" t="str">
        <x:v>Silver sillago</x:v>
      </x:c>
      <x:c r="G210" s="46" t="str">
        <x:v>Medium demersals (30 - 89 cm)</x:v>
      </x:c>
      <x:c r="H210" s="46" t="str">
        <x:v>Perch-likes</x:v>
      </x:c>
      <x:c r="I210" s="60" t="n">
        <x:v>0.0449899591</x:v>
      </x:c>
      <x:c r="J210" s="60" t="n">
        <x:v>0</x:v>
      </x:c>
      <x:c r="K210" s="60" t="n">
        <x:v>0.0449899591</x:v>
      </x:c>
      <x:c r="L210" s="60" t="n">
        <x:v>0</x:v>
      </x:c>
      <x:c r="M210" s="60" t="n">
        <x:v>0.0449899591</x:v>
      </x:c>
      <x:c r="N210" s="46" t="str">
        <x:v>sillago sihama</x:v>
      </x:c>
      <x:c r="O210" s="62" t="n">
        <x:v>3.33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Sillago sihama</x:v>
      </x:c>
      <x:c r="T210" s="62" t="n">
        <x:f>IF(O210="","",(1/'Metadata'!$B$5)^(O210-1))</x:f>
        <x:v>1074.9787762899762</x:v>
      </x:c>
      <x:c r="U210" s="60" t="n">
        <x:f>IF(T210="","",I210*T210)</x:f>
        <x:v>48.363251178654075</x:v>
      </x:c>
    </x:row>
    <x:row r="211" ht="18" customHeight="1">
      <x:c r="A211" s="46" t="str">
        <x:v>LME_050</x:v>
      </x:c>
      <x:c r="B211" s="46" t="str">
        <x:v>Sea of Japan / East Sea</x:v>
      </x:c>
      <x:c r="C211" s="46" t="str">
        <x:v>LME</x:v>
      </x:c>
      <x:c r="D211" s="58" t="n">
        <x:v>2019</x:v>
      </x:c>
      <x:c r="E211" s="46" t="str">
        <x:v>Prionace glauca</x:v>
      </x:c>
      <x:c r="F211" s="46" t="str">
        <x:v>Blue shark</x:v>
      </x:c>
      <x:c r="G211" s="46" t="str">
        <x:v>Large sharks (&gt;=90 cm)</x:v>
      </x:c>
      <x:c r="H211" s="46" t="str">
        <x:v>Sharks &amp; rays</x:v>
      </x:c>
      <x:c r="I211" s="60" t="n">
        <x:v>0.038526733</x:v>
      </x:c>
      <x:c r="J211" s="60" t="n">
        <x:v>0.038526733</x:v>
      </x:c>
      <x:c r="K211" s="60" t="n">
        <x:v>0</x:v>
      </x:c>
      <x:c r="L211" s="60" t="n">
        <x:v>0.038526733</x:v>
      </x:c>
      <x:c r="M211" s="60" t="n">
        <x:v>0</x:v>
      </x:c>
      <x:c r="N211" s="46" t="str">
        <x:v>prionace glauca</x:v>
      </x:c>
      <x:c r="O211" s="62" t="n">
        <x:v>4.35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Prionace glauca</x:v>
      </x:c>
      <x:c r="T211" s="62" t="n">
        <x:f>IF(O211="","",(1/'Metadata'!$B$5)^(O211-1))</x:f>
        <x:v>22827.086550132422</x:v>
      </x:c>
      <x:c r="U211" s="60" t="n">
        <x:f>IF(T211="","",I211*T211)</x:f>
        <x:v>879.453068684843</x:v>
      </x:c>
    </x:row>
    <x:row r="212" ht="18" customHeight="1">
      <x:c r="A212" s="46" t="str">
        <x:v>LME_050</x:v>
      </x:c>
      <x:c r="B212" s="46" t="str">
        <x:v>Sea of Japan / East Sea</x:v>
      </x:c>
      <x:c r="C212" s="46" t="str">
        <x:v>LME</x:v>
      </x:c>
      <x:c r="D212" s="58" t="n">
        <x:v>2019</x:v>
      </x:c>
      <x:c r="E212" s="46" t="str">
        <x:v>Rachycentron canadum</x:v>
      </x:c>
      <x:c r="F212" s="46" t="str">
        <x:v>Cobia</x:v>
      </x:c>
      <x:c r="G212" s="46" t="str">
        <x:v>Large pelagics (&gt;=90 cm)</x:v>
      </x:c>
      <x:c r="H212" s="46" t="str">
        <x:v>Perch-likes</x:v>
      </x:c>
      <x:c r="I212" s="60" t="n">
        <x:v>0.0278131524</x:v>
      </x:c>
      <x:c r="J212" s="60" t="n">
        <x:v>0.014969636199999999</x:v>
      </x:c>
      <x:c r="K212" s="60" t="n">
        <x:v>0.0128435162</x:v>
      </x:c>
      <x:c r="L212" s="60" t="n">
        <x:v>0.014969636199999999</x:v>
      </x:c>
      <x:c r="M212" s="60" t="n">
        <x:v>0.0128435162</x:v>
      </x:c>
      <x:c r="N212" s="46" t="str">
        <x:v>rachycentron canadum</x:v>
      </x:c>
      <x:c r="O212" s="62" t="n">
        <x:v>3.96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Rachycentron canadum</x:v>
      </x:c>
      <x:c r="T212" s="62" t="n">
        <x:f>IF(O212="","",(1/'Metadata'!$B$5)^(O212-1))</x:f>
        <x:v>7096.574839945253</x:v>
      </x:c>
      <x:c r="U212" s="60" t="n">
        <x:f>IF(T212="","",I212*T212)</x:f>
        <x:v>197.37811754140293</x:v>
      </x:c>
    </x:row>
    <x:row r="213" ht="18" customHeight="1">
      <x:c r="A213" s="46" t="str">
        <x:v>LME_050</x:v>
      </x:c>
      <x:c r="B213" s="46" t="str">
        <x:v>Sea of Japan / East Sea</x:v>
      </x:c>
      <x:c r="C213" s="46" t="str">
        <x:v>LME</x:v>
      </x:c>
      <x:c r="D213" s="58" t="n">
        <x:v>2019</x:v>
      </x:c>
      <x:c r="E213" s="46" t="str">
        <x:v>Decapterus russelli</x:v>
      </x:c>
      <x:c r="F213" s="46" t="str">
        <x:v>Indian scad</x:v>
      </x:c>
      <x:c r="G213" s="46" t="str">
        <x:v>Medium pelagics (30 - 89 cm)</x:v>
      </x:c>
      <x:c r="H213" s="46" t="str">
        <x:v>Perch-likes</x:v>
      </x:c>
      <x:c r="I213" s="60" t="n">
        <x:v>0.0186271522</x:v>
      </x:c>
      <x:c r="J213" s="60" t="n">
        <x:v>0.0186271522</x:v>
      </x:c>
      <x:c r="K213" s="60" t="n">
        <x:v>0</x:v>
      </x:c>
      <x:c r="L213" s="60" t="n">
        <x:v>0</x:v>
      </x:c>
      <x:c r="M213" s="60" t="n">
        <x:v>0.0186271522</x:v>
      </x:c>
      <x:c r="N213" s="46" t="str">
        <x:v>decapterus russelli</x:v>
      </x:c>
      <x:c r="O213" s="62" t="n">
        <x:v>3.68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Decapterus russelli</x:v>
      </x:c>
      <x:c r="T213" s="62" t="n">
        <x:f>IF(O213="","",(1/'Metadata'!$B$5)^(O213-1))</x:f>
        <x:v>3067.3291957408446</x:v>
      </x:c>
      <x:c r="U213" s="60" t="n">
        <x:f>IF(T213="","",I213*T213)</x:f>
        <x:v>57.13560777656831</x:v>
      </x:c>
    </x:row>
    <x:row r="214" ht="18" customHeight="1">
      <x:c r="A214" s="46" t="str">
        <x:v>LME_050</x:v>
      </x:c>
      <x:c r="B214" s="46" t="str">
        <x:v>Sea of Japan / East Sea</x:v>
      </x:c>
      <x:c r="C214" s="46" t="str">
        <x:v>LME</x:v>
      </x:c>
      <x:c r="D214" s="58" t="n">
        <x:v>2019</x:v>
      </x:c>
      <x:c r="E214" s="46" t="str">
        <x:v>Mierspenaeopsis hardwickii</x:v>
      </x:c>
      <x:c r="F214" s="46" t="str">
        <x:v>Spear shrimp</x:v>
      </x:c>
      <x:c r="G214" s="46" t="str">
        <x:v>Shrimps</x:v>
      </x:c>
      <x:c r="H214" s="46" t="str">
        <x:v>Crustaceans</x:v>
      </x:c>
      <x:c r="I214" s="60" t="n">
        <x:v>0.0116225086</x:v>
      </x:c>
      <x:c r="J214" s="60" t="n">
        <x:v>0</x:v>
      </x:c>
      <x:c r="K214" s="60" t="n">
        <x:v>0.0116225086</x:v>
      </x:c>
      <x:c r="L214" s="60" t="n">
        <x:v>0</x:v>
      </x:c>
      <x:c r="M214" s="60" t="n">
        <x:v>0.0116225086</x:v>
      </x:c>
      <x:c r="N214" s="46" t="str">
        <x:v>mierspenaeopsis hardwickii</x:v>
      </x:c>
      <x:c r="O214" s="62" t="n">
        <x:v>2.71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Mierspenaeopsis hardwickii</x:v>
      </x:c>
      <x:c r="T214" s="62" t="n">
        <x:f>IF(O214="","",(1/'Metadata'!$B$5)^(O214-1))</x:f>
        <x:v>167.78815268853197</x:v>
      </x:c>
      <x:c r="U214" s="60" t="n">
        <x:f>IF(T214="","",I214*T214)</x:f>
        <x:v>1.9501192476005758</x:v>
      </x:c>
    </x:row>
    <x:row r="215" ht="18" customHeight="1">
      <x:c r="A215" s="46" t="str">
        <x:v>LME_050</x:v>
      </x:c>
      <x:c r="B215" s="46" t="str">
        <x:v>Sea of Japan / East Sea</x:v>
      </x:c>
      <x:c r="C215" s="46" t="str">
        <x:v>LME</x:v>
      </x:c>
      <x:c r="D215" s="58" t="n">
        <x:v>2019</x:v>
      </x:c>
      <x:c r="E215" s="46" t="str">
        <x:v>Hemitrygon akajei</x:v>
      </x:c>
      <x:c r="F215" s="46" t="str">
        <x:v>Whip stingray</x:v>
      </x:c>
      <x:c r="G215" s="46" t="str">
        <x:v>Large rays (&gt;=90 cm)</x:v>
      </x:c>
      <x:c r="H215" s="46" t="str">
        <x:v>Sharks &amp; rays</x:v>
      </x:c>
      <x:c r="I215" s="60" t="n">
        <x:v>0.0058977913</x:v>
      </x:c>
      <x:c r="J215" s="60" t="n">
        <x:v>0</x:v>
      </x:c>
      <x:c r="K215" s="60" t="n">
        <x:v>0.0058977913</x:v>
      </x:c>
      <x:c r="L215" s="60" t="n">
        <x:v>0</x:v>
      </x:c>
      <x:c r="M215" s="60" t="n">
        <x:v>0.0058977913</x:v>
      </x:c>
      <x:c r="N215" s="46" t="str">
        <x:v>hemitrygon akajei</x:v>
      </x:c>
      <x:c r="O215" s="62" t="n">
        <x:v>3.84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Hemitrygon akajei</x:v>
      </x:c>
      <x:c r="T215" s="62" t="n">
        <x:f>IF(O215="","",(1/'Metadata'!$B$5)^(O215-1))</x:f>
        <x:v>4953.648510535111</x:v>
      </x:c>
      <x:c r="U215" s="60" t="n">
        <x:f>IF(T215="","",I215*T215)</x:f>
        <x:v>29.215585088691938</x:v>
      </x:c>
    </x:row>
    <x:row r="216" ht="18" customHeight="1">
      <x:c r="A216" s="46" t="str">
        <x:v>LME_050</x:v>
      </x:c>
      <x:c r="B216" s="46" t="str">
        <x:v>Sea of Japan / East Sea</x:v>
      </x:c>
      <x:c r="C216" s="46" t="str">
        <x:v>LME</x:v>
      </x:c>
      <x:c r="D216" s="58" t="n">
        <x:v>2019</x:v>
      </x:c>
      <x:c r="E216" s="46" t="str">
        <x:v>Scylla serrata</x:v>
      </x:c>
      <x:c r="F216" s="46" t="str">
        <x:v>Indo-Pacific swamp crab</x:v>
      </x:c>
      <x:c r="G216" s="46" t="str">
        <x:v>Lobsters, crabs</x:v>
      </x:c>
      <x:c r="H216" s="46" t="str">
        <x:v>Crustaceans</x:v>
      </x:c>
      <x:c r="I216" s="60" t="n">
        <x:v>0.0045052444</x:v>
      </x:c>
      <x:c r="J216" s="60" t="n">
        <x:v>0.0045052444</x:v>
      </x:c>
      <x:c r="K216" s="60" t="n">
        <x:v>0</x:v>
      </x:c>
      <x:c r="L216" s="60" t="n">
        <x:v>0.0015384645</x:v>
      </x:c>
      <x:c r="M216" s="60" t="n">
        <x:v>0.0029667799</x:v>
      </x:c>
      <x:c r="N216" s="46" t="str">
        <x:v>scylla serrata</x:v>
      </x:c>
      <x:c r="O216" s="62" t="n">
        <x:v>3.17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Scylla serrata</x:v>
      </x:c>
      <x:c r="T216" s="62" t="n">
        <x:f>IF(O216="","",(1/'Metadata'!$B$5)^(O216-1))</x:f>
        <x:v>665.6333767532121</x:v>
      </x:c>
      <x:c r="U216" s="60" t="n">
        <x:f>IF(T216="","",I216*T216)</x:f>
        <x:v>2.9988410430704993</x:v>
      </x:c>
    </x:row>
    <x:row r="217" ht="18" customHeight="1">
      <x:c r="A217" s="46" t="str">
        <x:v>LME_050</x:v>
      </x:c>
      <x:c r="B217" s="46" t="str">
        <x:v>Sea of Japan / East Sea</x:v>
      </x:c>
      <x:c r="C217" s="46" t="str">
        <x:v>LME</x:v>
      </x:c>
      <x:c r="D217" s="58" t="n">
        <x:v>2019</x:v>
      </x:c>
      <x:c r="E217" s="46" t="str">
        <x:v>Atrobucca nibe</x:v>
      </x:c>
      <x:c r="F217" s="46" t="str">
        <x:v>Blackmouth croaker</x:v>
      </x:c>
      <x:c r="G217" s="46" t="str">
        <x:v>Medium demersals (30 - 89 cm)</x:v>
      </x:c>
      <x:c r="H217" s="46" t="str">
        <x:v>Perch-likes</x:v>
      </x:c>
      <x:c r="I217" s="60" t="n">
        <x:v>0.0009015146000000001</x:v>
      </x:c>
      <x:c r="J217" s="60" t="n">
        <x:v>0.0009015146000000001</x:v>
      </x:c>
      <x:c r="K217" s="60" t="n">
        <x:v>0</x:v>
      </x:c>
      <x:c r="L217" s="60" t="n">
        <x:v>0.0006074574000000001</x:v>
      </x:c>
      <x:c r="M217" s="60" t="n">
        <x:v>0.00029405720000000003</x:v>
      </x:c>
      <x:c r="N217" s="46" t="str">
        <x:v>atrobucca nibe</x:v>
      </x:c>
      <x:c r="O217" s="62" t="n">
        <x:v>3.03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Atrobucca nibe</x:v>
      </x:c>
      <x:c r="T217" s="62" t="n">
        <x:f>IF(O217="","",(1/'Metadata'!$B$5)^(O217-1))</x:f>
        <x:v>437.6136814307771</x:v>
      </x:c>
      <x:c r="U217" s="60" t="n">
        <x:f>IF(T217="","",I217*T217)</x:f>
        <x:v>0.39451512296959446</x:v>
      </x:c>
    </x:row>
    <x:row r="218" ht="18" customHeight="1">
      <x:c r="A218" s="46" t="str">
        <x:v>LME_050</x:v>
      </x:c>
      <x:c r="B218" s="46" t="str">
        <x:v>Sea of Japan / East Sea</x:v>
      </x:c>
      <x:c r="C218" s="46" t="str">
        <x:v>LME</x:v>
      </x:c>
      <x:c r="D218" s="58" t="n">
        <x:v>2019</x:v>
      </x:c>
      <x:c r="E218" s="46" t="str">
        <x:v>Sphyraena barracuda</x:v>
      </x:c>
      <x:c r="F218" s="46" t="str">
        <x:v>Great barracuda</x:v>
      </x:c>
      <x:c r="G218" s="46" t="str">
        <x:v>Large pelagics (&gt;=90 cm)</x:v>
      </x:c>
      <x:c r="H218" s="46" t="str">
        <x:v>Perch-likes</x:v>
      </x:c>
      <x:c r="I218" s="60" t="n">
        <x:v>0.0001413981</x:v>
      </x:c>
      <x:c r="J218" s="60" t="n">
        <x:v>0</x:v>
      </x:c>
      <x:c r="K218" s="60" t="n">
        <x:v>0.0001413981</x:v>
      </x:c>
      <x:c r="L218" s="60" t="n">
        <x:v>0</x:v>
      </x:c>
      <x:c r="M218" s="60" t="n">
        <x:v>0.0001413981</x:v>
      </x:c>
      <x:c r="N218" s="46" t="str">
        <x:v>sphyraena barracuda</x:v>
      </x:c>
      <x:c r="O218" s="62" t="n">
        <x:v>4.49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Sphyraena barracuda</x:v>
      </x:c>
      <x:c r="T218" s="62" t="n">
        <x:f>IF(O218="","",(1/'Metadata'!$B$5)^(O218-1))</x:f>
        <x:v>34721.19667768202</x:v>
      </x:c>
      <x:c r="U218" s="60" t="n">
        <x:f>IF(T218="","",I218*T218)</x:f>
        <x:v>4.909511239950549</x:v>
      </x:c>
    </x:row>
    <x:row r="219" ht="18" customHeight="1">
      <x:c r="A219" s="46" t="str">
        <x:v>LME_050</x:v>
      </x:c>
      <x:c r="B219" s="46" t="str">
        <x:v>Sea of Japan / East Sea</x:v>
      </x:c>
      <x:c r="C219" s="46" t="str">
        <x:v>LME</x:v>
      </x:c>
      <x:c r="D219" s="58" t="n">
        <x:v>2019</x:v>
      </x:c>
      <x:c r="E219" s="46" t="str">
        <x:v>Polydactylus sexfilis</x:v>
      </x:c>
      <x:c r="F219" s="46" t="str">
        <x:v>Sixfinger threadfin</x:v>
      </x:c>
      <x:c r="G219" s="46" t="str">
        <x:v>Medium demersals (30 - 89 cm)</x:v>
      </x:c>
      <x:c r="H219" s="46" t="str">
        <x:v>Perch-likes</x:v>
      </x:c>
      <x:c r="I219" s="60" t="n">
        <x:v>0.000089042</x:v>
      </x:c>
      <x:c r="J219" s="60" t="n">
        <x:v>0</x:v>
      </x:c>
      <x:c r="K219" s="60" t="n">
        <x:v>0.000089042</x:v>
      </x:c>
      <x:c r="L219" s="60" t="n">
        <x:v>0</x:v>
      </x:c>
      <x:c r="M219" s="60" t="n">
        <x:v>0.000089042</x:v>
      </x:c>
      <x:c r="N219" s="46" t="str">
        <x:v>polydactylus sexfilis</x:v>
      </x:c>
      <x:c r="O219" s="62" t="n">
        <x:v>3.43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Polydactylus sexfilis</x:v>
      </x:c>
      <x:c r="T219" s="62" t="n">
        <x:f>IF(O219="","",(1/'Metadata'!$B$5)^(O219-1))</x:f>
        <x:v>1450.450424461182</x:v>
      </x:c>
      <x:c r="U219" s="60" t="n">
        <x:f>IF(T219="","",I219*T219)</x:f>
        <x:v>0.12915100669487256</x:v>
      </x:c>
    </x:row>
  </x:sheetData>
  <x:conditionalFormatting sqref="R2:R21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7e289933376414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141852.1463813778</x:v>
      </x:c>
      <x:c r="E2" s="60" t="n">
        <x:v>141852.1463813778</x:v>
      </x:c>
      <x:c r="F2" s="62" t="n">
        <x:v>0</x:v>
      </x:c>
      <x:c r="G2" s="66" t="n">
        <x:v>1</x:v>
      </x:c>
      <x:c r="H2" s="62" t="n">
        <x:f>IF(E2=0,"",I2/E2)</x:f>
        <x:v>608.614263689265</x:v>
      </x:c>
      <x:c r="I2" s="60" t="n">
        <x:f>SUMIF('Species'!$H$2:$H$219,A2,'Species'!$U$2:$U$219)</x:f>
        <x:v>86333239.6226441</x:v>
      </x:c>
      <x:c r="J2" s="62" t="n">
        <x:v>3.1400967927762617</x:v>
      </x:c>
      <x:c r="K2" s="62" t="n">
        <x:f>IF(J2="","",(1/'Metadata'!$B$5)^(J2-1))</x:f>
        <x:v>608.5974397386066</x:v>
      </x:c>
      <x:c r="L2" s="60" t="n">
        <x:f>IF(E2=0,"",E2*K2)</x:f>
        <x:v>86330853.10913257</x:v>
      </x:c>
      <x:c r="M2" s="60" t="n">
        <x:f>I2-L2</x:f>
        <x:v>2386.5135115236044</x:v>
      </x:c>
      <x:c r="N2" s="62" t="n">
        <x:f>IF(L2=0,"",I2/L2)</x:f>
        <x:v>1.0000276438078113</x:v>
      </x:c>
      <x:c r="O2" s="66" t="n">
        <x:f>IF(L2=0,"",M2/L2)</x:f>
        <x:v>0.00002764380781117458</x:v>
      </x:c>
    </x:row>
    <x:row r="3" ht="18" customHeight="1">
      <x:c r="A3" s="46" t="str">
        <x:v>Cod-likes</x:v>
      </x:c>
      <x:c r="B3" s="64" t="n">
        <x:v>6</x:v>
      </x:c>
      <x:c r="C3" s="64" t="n">
        <x:v>6</x:v>
      </x:c>
      <x:c r="D3" s="60" t="n">
        <x:v>596826.0046843071</x:v>
      </x:c>
      <x:c r="E3" s="60" t="n">
        <x:v>596826.0046843071</x:v>
      </x:c>
      <x:c r="F3" s="62" t="n">
        <x:v>0</x:v>
      </x:c>
      <x:c r="G3" s="66" t="n">
        <x:v>1</x:v>
      </x:c>
      <x:c r="H3" s="62" t="n">
        <x:f>IF(E3=0,"",I3/E3)</x:f>
        <x:v>3821.782077480558</x:v>
      </x:c>
      <x:c r="I3" s="60" t="n">
        <x:f>SUMIF('Species'!$H$2:$H$219,A3,'Species'!$U$2:$U$219)</x:f>
        <x:v>2280938928.0768127</x:v>
      </x:c>
      <x:c r="J3" s="62" t="n">
        <x:v>3.6577169765155637</x:v>
      </x:c>
      <x:c r="K3" s="62" t="n">
        <x:f>IF(J3="","",(1/'Metadata'!$B$5)^(J3-1))</x:f>
        <x:v>2869.2573738649985</x:v>
      </x:c>
      <x:c r="L3" s="60" t="n">
        <x:f>IF(E3=0,"",E3*K3)</x:f>
        <x:v>1712447414.8548343</x:v>
      </x:c>
      <x:c r="M3" s="60" t="n">
        <x:f>I3-L3</x:f>
        <x:v>568491513.2219784</x:v>
      </x:c>
      <x:c r="N3" s="62" t="n">
        <x:f>IF(L3=0,"",I3/L3)</x:f>
        <x:v>1.3319760410103862</x:v>
      </x:c>
      <x:c r="O3" s="66" t="n">
        <x:f>IF(L3=0,"",M3/L3)</x:f>
        <x:v>0.33197604101038625</x:v>
      </x:c>
    </x:row>
    <x:row r="4" ht="18" customHeight="1">
      <x:c r="A4" s="46" t="str">
        <x:v>Crustaceans</x:v>
      </x:c>
      <x:c r="B4" s="64" t="n">
        <x:v>34</x:v>
      </x:c>
      <x:c r="C4" s="64" t="n">
        <x:v>34</x:v>
      </x:c>
      <x:c r="D4" s="60" t="n">
        <x:v>111252.0260931627</x:v>
      </x:c>
      <x:c r="E4" s="60" t="n">
        <x:v>111252.0260931627</x:v>
      </x:c>
      <x:c r="F4" s="62" t="n">
        <x:v>0</x:v>
      </x:c>
      <x:c r="G4" s="66" t="n">
        <x:v>1</x:v>
      </x:c>
      <x:c r="H4" s="62" t="n">
        <x:f>IF(E4=0,"",I4/E4)</x:f>
        <x:v>1306.1059473293985</x:v>
      </x:c>
      <x:c r="I4" s="60" t="n">
        <x:f>SUMIF('Species'!$H$2:$H$219,A4,'Species'!$U$2:$U$219)</x:f>
        <x:v>145306932.93272522</x:v>
      </x:c>
      <x:c r="J4" s="62" t="n">
        <x:v>3.0235508786399423</x:v>
      </x:c>
      <x:c r="K4" s="62" t="n">
        <x:f>IF(J4="","",(1/'Metadata'!$B$5)^(J4-1))</x:f>
        <x:v>429.24020228424115</x:v>
      </x:c>
      <x:c r="L4" s="60" t="n">
        <x:f>IF(E4=0,"",E4*K4)</x:f>
        <x:v>47753842.18476083</x:v>
      </x:c>
      <x:c r="M4" s="60" t="n">
        <x:f>I4-L4</x:f>
        <x:v>97553090.74796438</x:v>
      </x:c>
      <x:c r="N4" s="62" t="n">
        <x:f>IF(L4=0,"",I4/L4)</x:f>
        <x:v>3.042832289191077</x:v>
      </x:c>
      <x:c r="O4" s="66" t="n">
        <x:f>IF(L4=0,"",M4/L4)</x:f>
        <x:v>2.0428322891910766</x:v>
      </x:c>
    </x:row>
    <x:row r="5" ht="18" customHeight="1">
      <x:c r="A5" s="46" t="str">
        <x:v>Flatfishes</x:v>
      </x:c>
      <x:c r="B5" s="64" t="n">
        <x:v>8</x:v>
      </x:c>
      <x:c r="C5" s="64" t="n">
        <x:v>8</x:v>
      </x:c>
      <x:c r="D5" s="60" t="n">
        <x:v>50128.853597192705</x:v>
      </x:c>
      <x:c r="E5" s="60" t="n">
        <x:v>50128.853597192705</x:v>
      </x:c>
      <x:c r="F5" s="62" t="n">
        <x:v>0</x:v>
      </x:c>
      <x:c r="G5" s="66" t="n">
        <x:v>1</x:v>
      </x:c>
      <x:c r="H5" s="62" t="n">
        <x:f>IF(E5=0,"",I5/E5)</x:f>
        <x:v>3623.4679004406635</x:v>
      </x:c>
      <x:c r="I5" s="60" t="n">
        <x:f>SUMIF('Species'!$H$2:$H$219,A5,'Species'!$U$2:$U$219)</x:f>
        <x:v>181640291.89531726</x:v>
      </x:c>
      <x:c r="J5" s="62" t="n">
        <x:v>3.560568869554084</x:v>
      </x:c>
      <x:c r="K5" s="62" t="n">
        <x:f>IF(J5="","",(1/'Metadata'!$B$5)^(J5-1))</x:f>
        <x:v>2144.7511296996468</x:v>
      </x:c>
      <x:c r="L5" s="60" t="n">
        <x:f>IF(E5=0,"",E5*K5)</x:f>
        <x:v>107513915.38312726</x:v>
      </x:c>
      <x:c r="M5" s="60" t="n">
        <x:f>I5-L5</x:f>
        <x:v>74126376.51219</x:v>
      </x:c>
      <x:c r="N5" s="62" t="n">
        <x:f>IF(L5=0,"",I5/L5)</x:f>
        <x:v>1.689458441244928</x:v>
      </x:c>
      <x:c r="O5" s="66" t="n">
        <x:f>IF(L5=0,"",M5/L5)</x:f>
        <x:v>0.6894584412449279</x:v>
      </x:c>
    </x:row>
    <x:row r="6" ht="18" customHeight="1">
      <x:c r="A6" s="46" t="str">
        <x:v>Herring-likes</x:v>
      </x:c>
      <x:c r="B6" s="64" t="n">
        <x:v>8</x:v>
      </x:c>
      <x:c r="C6" s="64" t="n">
        <x:v>8</x:v>
      </x:c>
      <x:c r="D6" s="60" t="n">
        <x:v>353856.04911560967</x:v>
      </x:c>
      <x:c r="E6" s="60" t="n">
        <x:v>353856.04911560967</x:v>
      </x:c>
      <x:c r="F6" s="62" t="n">
        <x:v>0</x:v>
      </x:c>
      <x:c r="G6" s="66" t="n">
        <x:v>1</x:v>
      </x:c>
      <x:c r="H6" s="62" t="n">
        <x:f>IF(E6=0,"",I6/E6)</x:f>
        <x:v>409.04408987713066</x:v>
      </x:c>
      <x:c r="I6" s="60" t="n">
        <x:f>SUMIF('Species'!$H$2:$H$219,A6,'Species'!$U$2:$U$219)</x:f>
        <x:v>144742725.5580118</x:v>
      </x:c>
      <x:c r="J6" s="62" t="n">
        <x:v>2.961990838367617</x:v>
      </x:c>
      <x:c r="K6" s="62" t="n">
        <x:f>IF(J6="","",(1/'Metadata'!$B$5)^(J6-1))</x:f>
        <x:v>356.95127037540703</x:v>
      </x:c>
      <x:c r="L6" s="60" t="n">
        <x:f>IF(E6=0,"",E6*K6)</x:f>
        <x:v>126309366.2618393</x:v>
      </x:c>
      <x:c r="M6" s="60" t="n">
        <x:f>I6-L6</x:f>
        <x:v>18433359.2961725</x:v>
      </x:c>
      <x:c r="N6" s="62" t="n">
        <x:f>IF(L6=0,"",I6/L6)</x:f>
        <x:v>1.1459381821135903</x:v>
      </x:c>
      <x:c r="O6" s="66" t="n">
        <x:f>IF(L6=0,"",M6/L6)</x:f>
        <x:v>0.14593818211359044</x:v>
      </x:c>
    </x:row>
    <x:row r="7" ht="18" customHeight="1">
      <x:c r="A7" s="46" t="str">
        <x:v>Molluscs</x:v>
      </x:c>
      <x:c r="B7" s="64" t="n">
        <x:v>21</x:v>
      </x:c>
      <x:c r="C7" s="64" t="n">
        <x:v>21</x:v>
      </x:c>
      <x:c r="D7" s="60" t="n">
        <x:v>113565.3152188947</x:v>
      </x:c>
      <x:c r="E7" s="60" t="n">
        <x:v>113565.3152188947</x:v>
      </x:c>
      <x:c r="F7" s="62" t="n">
        <x:v>0</x:v>
      </x:c>
      <x:c r="G7" s="66" t="n">
        <x:v>1</x:v>
      </x:c>
      <x:c r="H7" s="62" t="n">
        <x:f>IF(E7=0,"",I7/E7)</x:f>
        <x:v>32.186833934913345</x:v>
      </x:c>
      <x:c r="I7" s="60" t="n">
        <x:f>SUMIF('Species'!$H$2:$H$219,A7,'Species'!$U$2:$U$219)</x:f>
        <x:v>3655307.9417166505</x:v>
      </x:c>
      <x:c r="J7" s="62" t="n">
        <x:v>2.0455215049885984</x:v>
      </x:c>
      <x:c r="K7" s="62" t="n">
        <x:f>IF(J7="","",(1/'Metadata'!$B$5)^(J7-1))</x:f>
        <x:v>22.922123025330475</x:v>
      </x:c>
      <x:c r="L7" s="60" t="n">
        <x:f>IF(E7=0,"",E7*K7)</x:f>
        <x:v>2603158.1268579396</x:v>
      </x:c>
      <x:c r="M7" s="60" t="n">
        <x:f>I7-L7</x:f>
        <x:v>1052149.8148587109</x:v>
      </x:c>
      <x:c r="N7" s="62" t="n">
        <x:f>IF(L7=0,"",I7/L7)</x:f>
        <x:v>1.4041820602456736</x:v>
      </x:c>
      <x:c r="O7" s="66" t="n">
        <x:f>IF(L7=0,"",M7/L7)</x:f>
        <x:v>0.4041820602456737</x:v>
      </x:c>
    </x:row>
    <x:row r="8" ht="18" customHeight="1">
      <x:c r="A8" s="46" t="str">
        <x:v>Other fishes &amp; inverts</x:v>
      </x:c>
      <x:c r="B8" s="64" t="n">
        <x:v>42</x:v>
      </x:c>
      <x:c r="C8" s="64" t="n">
        <x:v>42</x:v>
      </x:c>
      <x:c r="D8" s="60" t="n">
        <x:v>550734.5641887597</x:v>
      </x:c>
      <x:c r="E8" s="60" t="n">
        <x:v>550734.5641887597</x:v>
      </x:c>
      <x:c r="F8" s="62" t="n">
        <x:v>0</x:v>
      </x:c>
      <x:c r="G8" s="66" t="n">
        <x:v>1</x:v>
      </x:c>
      <x:c r="H8" s="62" t="n">
        <x:f>IF(E8=0,"",I8/E8)</x:f>
        <x:v>5092.628417965497</x:v>
      </x:c>
      <x:c r="I8" s="60" t="n">
        <x:f>SUMIF('Species'!$H$2:$H$219,A8,'Species'!$U$2:$U$219)</x:f>
        <x:v>2804686492.3435206</x:v>
      </x:c>
      <x:c r="J8" s="62" t="n">
        <x:v>3.553575149774097</x:v>
      </x:c>
      <x:c r="K8" s="62" t="n">
        <x:f>IF(J8="","",(1/'Metadata'!$B$5)^(J8-1))</x:f>
        <x:v>2100.2832364646224</x:v>
      </x:c>
      <x:c r="L8" s="60" t="n">
        <x:f>IF(E8=0,"",E8*K8)</x:f>
        <x:v>1156698572.9073014</x:v>
      </x:c>
      <x:c r="M8" s="60" t="n">
        <x:f>I8-L8</x:f>
        <x:v>1647987919.4362192</x:v>
      </x:c>
      <x:c r="N8" s="62" t="n">
        <x:f>IF(L8=0,"",I8/L8)</x:f>
        <x:v>2.4247341165936493</x:v>
      </x:c>
      <x:c r="O8" s="66" t="n">
        <x:f>IF(L8=0,"",M8/L8)</x:f>
        <x:v>1.4247341165936496</x:v>
      </x:c>
    </x:row>
    <x:row r="9" ht="18" customHeight="1">
      <x:c r="A9" s="46" t="str">
        <x:v>Perch-likes</x:v>
      </x:c>
      <x:c r="B9" s="64" t="n">
        <x:v>56</x:v>
      </x:c>
      <x:c r="C9" s="64" t="n">
        <x:v>56</x:v>
      </x:c>
      <x:c r="D9" s="60" t="n">
        <x:v>421263.907784064</x:v>
      </x:c>
      <x:c r="E9" s="60" t="n">
        <x:v>421263.907784064</x:v>
      </x:c>
      <x:c r="F9" s="62" t="n">
        <x:v>0</x:v>
      </x:c>
      <x:c r="G9" s="66" t="n">
        <x:v>1</x:v>
      </x:c>
      <x:c r="H9" s="62" t="n">
        <x:f>IF(E9=0,"",I9/E9)</x:f>
        <x:v>5765.959428154169</x:v>
      </x:c>
      <x:c r="I9" s="60" t="n">
        <x:f>SUMIF('Species'!$H$2:$H$219,A9,'Species'!$U$2:$U$219)</x:f>
        <x:v>2428990600.8285923</x:v>
      </x:c>
      <x:c r="J9" s="62" t="n">
        <x:v>3.5806151560915995</x:v>
      </x:c>
      <x:c r="K9" s="62" t="n">
        <x:f>IF(J9="","",(1/'Metadata'!$B$5)^(J9-1))</x:f>
        <x:v>2277.4965372735523</x:v>
      </x:c>
      <x:c r="L9" s="60" t="n">
        <x:f>IF(E9=0,"",E9*K9)</x:f>
        <x:v>959427091.2565309</x:v>
      </x:c>
      <x:c r="M9" s="60" t="n">
        <x:f>I9-L9</x:f>
        <x:v>1469563509.5720615</x:v>
      </x:c>
      <x:c r="N9" s="62" t="n">
        <x:f>IF(L9=0,"",I9/L9)</x:f>
        <x:v>2.531709415925937</x:v>
      </x:c>
      <x:c r="O9" s="66" t="n">
        <x:f>IF(L9=0,"",M9/L9)</x:f>
        <x:v>1.531709415925937</x:v>
      </x:c>
    </x:row>
    <x:row r="10" ht="18" customHeight="1">
      <x:c r="A10" s="46" t="str">
        <x:v>Salmon, smelts, etc</x:v>
      </x:c>
      <x:c r="B10" s="64" t="n">
        <x:v>13</x:v>
      </x:c>
      <x:c r="C10" s="64" t="n">
        <x:v>13</x:v>
      </x:c>
      <x:c r="D10" s="60" t="n">
        <x:v>167095.21109560822</x:v>
      </x:c>
      <x:c r="E10" s="60" t="n">
        <x:v>167095.21109560822</x:v>
      </x:c>
      <x:c r="F10" s="62" t="n">
        <x:v>0</x:v>
      </x:c>
      <x:c r="G10" s="66" t="n">
        <x:v>1</x:v>
      </x:c>
      <x:c r="H10" s="62" t="n">
        <x:f>IF(E10=0,"",I10/E10)</x:f>
        <x:v>16492.33591264238</x:v>
      </x:c>
      <x:c r="I10" s="60" t="n">
        <x:f>SUMIF('Species'!$H$2:$H$219,A10,'Species'!$U$2:$U$219)</x:f>
        <x:v>2755790350.7826586</x:v>
      </x:c>
      <x:c r="J10" s="62" t="n">
        <x:v>4.072173073766581</x:v>
      </x:c>
      <x:c r="K10" s="62" t="n">
        <x:f>IF(J10="","",(1/'Metadata'!$B$5)^(J10-1))</x:f>
        <x:v>9930.916283241922</x:v>
      </x:c>
      <x:c r="L10" s="60" t="n">
        <x:f>IF(E10=0,"",E10*K10)</x:f>
        <x:v>1659408552.721122</x:v>
      </x:c>
      <x:c r="M10" s="60" t="n">
        <x:f>I10-L10</x:f>
        <x:v>1096381798.0615366</x:v>
      </x:c>
      <x:c r="N10" s="62" t="n">
        <x:f>IF(L10=0,"",I10/L10)</x:f>
        <x:v>1.6607063680994496</x:v>
      </x:c>
      <x:c r="O10" s="66" t="n">
        <x:f>IF(L10=0,"",M10/L10)</x:f>
        <x:v>0.6607063680994496</x:v>
      </x:c>
    </x:row>
    <x:row r="11" ht="18" customHeight="1">
      <x:c r="A11" s="46" t="str">
        <x:v>Scorpionfishes</x:v>
      </x:c>
      <x:c r="B11" s="64" t="n">
        <x:v>11</x:v>
      </x:c>
      <x:c r="C11" s="64" t="n">
        <x:v>11</x:v>
      </x:c>
      <x:c r="D11" s="60" t="n">
        <x:v>30500.490921092605</x:v>
      </x:c>
      <x:c r="E11" s="60" t="n">
        <x:v>30500.490921092605</x:v>
      </x:c>
      <x:c r="F11" s="62" t="n">
        <x:v>0</x:v>
      </x:c>
      <x:c r="G11" s="66" t="n">
        <x:v>1</x:v>
      </x:c>
      <x:c r="H11" s="62" t="n">
        <x:f>IF(E11=0,"",I11/E11)</x:f>
        <x:v>2232.877679846152</x:v>
      </x:c>
      <x:c r="I11" s="60" t="n">
        <x:f>SUMIF('Species'!$H$2:$H$219,A11,'Species'!$U$2:$U$219)</x:f>
        <x:v>68103865.40205789</x:v>
      </x:c>
      <x:c r="J11" s="62" t="n">
        <x:v>3.5539653111846787</x:v>
      </x:c>
      <x:c r="K11" s="62" t="n">
        <x:f>IF(J11="","",(1/'Metadata'!$B$5)^(J11-1))</x:f>
        <x:v>2102.7395228865707</x:v>
      </x:c>
      <x:c r="L11" s="60" t="n">
        <x:f>IF(E11=0,"",E11*K11)</x:f>
        <x:v>64134587.72722445</x:v>
      </x:c>
      <x:c r="M11" s="60" t="n">
        <x:f>I11-L11</x:f>
        <x:v>3969277.6748334393</x:v>
      </x:c>
      <x:c r="N11" s="62" t="n">
        <x:f>IF(L11=0,"",I11/L11)</x:f>
        <x:v>1.061889813523328</x:v>
      </x:c>
      <x:c r="O11" s="66" t="n">
        <x:f>IF(L11=0,"",M11/L11)</x:f>
        <x:v>0.061889813523327966</x:v>
      </x:c>
    </x:row>
    <x:row r="12" ht="18" customHeight="1">
      <x:c r="A12" s="46" t="str">
        <x:v>Sharks &amp; rays</x:v>
      </x:c>
      <x:c r="B12" s="64" t="n">
        <x:v>6</x:v>
      </x:c>
      <x:c r="C12" s="64" t="n">
        <x:v>6</x:v>
      </x:c>
      <x:c r="D12" s="60" t="n">
        <x:v>3761.2066651512</x:v>
      </x:c>
      <x:c r="E12" s="60" t="n">
        <x:v>3761.2066651512</x:v>
      </x:c>
      <x:c r="F12" s="62" t="n">
        <x:v>0</x:v>
      </x:c>
      <x:c r="G12" s="66" t="n">
        <x:v>1</x:v>
      </x:c>
      <x:c r="H12" s="62" t="n">
        <x:f>IF(E12=0,"",I12/E12)</x:f>
        <x:v>5635.63020849775</x:v>
      </x:c>
      <x:c r="I12" s="60" t="n">
        <x:f>SUMIF('Species'!$H$2:$H$219,A12,'Species'!$U$2:$U$219)</x:f>
        <x:v>21196769.902529184</x:v>
      </x:c>
      <x:c r="J12" s="62" t="n">
        <x:v>3.847899954225771</x:v>
      </x:c>
      <x:c r="K12" s="62" t="n">
        <x:f>IF(J12="","",(1/'Metadata'!$B$5)^(J12-1))</x:f>
        <x:v>5072.2805330278625</x:v>
      </x:c>
      <x:c r="L12" s="60" t="n">
        <x:f>IF(E12=0,"",E12*K12)</x:f>
        <x:v>19077895.348341078</x:v>
      </x:c>
      <x:c r="M12" s="60" t="n">
        <x:f>I12-L12</x:f>
        <x:v>2118874.554188106</x:v>
      </x:c>
      <x:c r="N12" s="62" t="n">
        <x:f>IF(L12=0,"",I12/L12)</x:f>
        <x:v>1.1110643766253994</x:v>
      </x:c>
      <x:c r="O12" s="66" t="n">
        <x:f>IF(L12=0,"",M12/L12)</x:f>
        <x:v>0.11106437662539927</x:v>
      </x:c>
    </x:row>
    <x:row r="13" ht="18" customHeight="1">
      <x:c r="A13" s="46" t="str">
        <x:v>Tuna &amp; billfishes</x:v>
      </x:c>
      <x:c r="B13" s="64" t="n">
        <x:v>11</x:v>
      </x:c>
      <x:c r="C13" s="64" t="n">
        <x:v>11</x:v>
      </x:c>
      <x:c r="D13" s="60" t="n">
        <x:v>46106.0609505495</x:v>
      </x:c>
      <x:c r="E13" s="60" t="n">
        <x:v>46106.0609505495</x:v>
      </x:c>
      <x:c r="F13" s="62" t="n">
        <x:v>0</x:v>
      </x:c>
      <x:c r="G13" s="66" t="n">
        <x:v>1</x:v>
      </x:c>
      <x:c r="H13" s="62" t="n">
        <x:f>IF(E13=0,"",I13/E13)</x:f>
        <x:v>26755.753100567523</x:v>
      </x:c>
      <x:c r="I13" s="60" t="n">
        <x:f>SUMIF('Species'!$H$2:$H$219,A13,'Species'!$U$2:$U$219)</x:f>
        <x:v>1233602383.23262</x:v>
      </x:c>
      <x:c r="J13" s="62" t="n">
        <x:v>4.390377176867989</x:v>
      </x:c>
      <x:c r="K13" s="62" t="n">
        <x:f>IF(J13="","",(1/'Metadata'!$B$5)^(J13-1))</x:f>
        <x:v>25762.16774486972</x:v>
      </x:c>
      <x:c r="L13" s="60" t="n">
        <x:f>IF(E13=0,"",E13*K13)</x:f>
        <x:v>1187792076.2632437</x:v>
      </x:c>
      <x:c r="M13" s="60" t="n">
        <x:f>I13-L13</x:f>
        <x:v>45810306.969376326</x:v>
      </x:c>
      <x:c r="N13" s="62" t="n">
        <x:f>IF(L13=0,"",I13/L13)</x:f>
        <x:v>1.0385676145554819</x:v>
      </x:c>
      <x:c r="O13" s="66" t="n">
        <x:f>IF(L13=0,"",M13/L13)</x:f>
        <x:v>0.03856761455548188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123dff52f6b4f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10</x:v>
      </x:c>
      <x:c r="C2" s="64" t="n">
        <x:v>10</x:v>
      </x:c>
      <x:c r="D2" s="60" t="n">
        <x:v>137072.35819004162</x:v>
      </x:c>
      <x:c r="E2" s="60" t="n">
        <x:v>137072.35819004162</x:v>
      </x:c>
      <x:c r="F2" s="62" t="n">
        <x:v>0</x:v>
      </x:c>
      <x:c r="G2" s="66" t="n">
        <x:v>1</x:v>
      </x:c>
      <x:c r="H2" s="62" t="n">
        <x:f>IF(E2=0,"",I2/E2)</x:f>
        <x:v>14831.931610178584</x:v>
      </x:c>
      <x:c r="I2" s="60" t="n">
        <x:f>SUMIF('Species'!$G$2:$G$219,A2,'Species'!$U$2:$U$219)</x:f>
        <x:v>2033047842.3205996</x:v>
      </x:c>
      <x:c r="J2" s="62" t="n">
        <x:v>4.165846455022176</x:v>
      </x:c>
      <x:c r="K2" s="62" t="n">
        <x:f>IF(J2="","",(1/'Metadata'!$B$5)^(J2-1))</x:f>
        <x:v>13148.045540048024</x:v>
      </x:c>
      <x:c r="L2" s="60" t="n">
        <x:f>IF(E2=0,"",E2*K2)</x:f>
        <x:v>1802233607.764442</x:v>
      </x:c>
      <x:c r="M2" s="60" t="n">
        <x:f>I2-L2</x:f>
        <x:v>230814234.5561576</x:v>
      </x:c>
      <x:c r="N2" s="62" t="n">
        <x:f>IF(L2=0,"",I2/L2)</x:f>
        <x:v>1.1280712076180115</x:v>
      </x:c>
      <x:c r="O2" s="66" t="n">
        <x:f>IF(L2=0,"",M2/L2)</x:f>
        <x:v>0.1280712076180114</x:v>
      </x:c>
    </x:row>
    <x:row r="3" ht="18" customHeight="1">
      <x:c r="A3" s="46" t="str">
        <x:v>Jellyfish</x:v>
      </x:c>
      <x:c r="B3" s="64" t="n">
        <x:v>3</x:v>
      </x:c>
      <x:c r="C3" s="64" t="n">
        <x:v>3</x:v>
      </x:c>
      <x:c r="D3" s="60" t="n">
        <x:v>172.87413681450002</x:v>
      </x:c>
      <x:c r="E3" s="60" t="n">
        <x:v>172.87413681450002</x:v>
      </x:c>
      <x:c r="F3" s="62" t="n">
        <x:v>0</x:v>
      </x:c>
      <x:c r="G3" s="66" t="n">
        <x:v>1</x:v>
      </x:c>
      <x:c r="H3" s="62" t="n">
        <x:f>IF(E3=0,"",I3/E3)</x:f>
        <x:v>644.7456826893607</x:v>
      </x:c>
      <x:c r="I3" s="60" t="n">
        <x:f>SUMIF('Species'!$G$2:$G$219,A3,'Species'!$U$2:$U$219)</x:f>
        <x:v>111459.85335979876</x:v>
      </x:c>
      <x:c r="J3" s="62" t="n">
        <x:v>3.099098155632514</x:v>
      </x:c>
      <x:c r="K3" s="62" t="n">
        <x:f>IF(J3="","",(1/'Metadata'!$B$5)^(J3-1))</x:f>
        <x:v>538.2569725041775</x:v>
      </x:c>
      <x:c r="L3" s="60" t="n">
        <x:f>IF(E3=0,"",E3*K3)</x:f>
        <x:v>93050.70950604575</x:v>
      </x:c>
      <x:c r="M3" s="60" t="n">
        <x:f>I3-L3</x:f>
        <x:v>18409.143853753005</x:v>
      </x:c>
      <x:c r="N3" s="62" t="n">
        <x:f>IF(L3=0,"",I3/L3)</x:f>
        <x:v>1.1978399084915834</x:v>
      </x:c>
      <x:c r="O3" s="66" t="n">
        <x:f>IF(L3=0,"",M3/L3)</x:f>
        <x:v>0.19783990849158345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0.1560694697</x:v>
      </x:c>
      <x:c r="E4" s="60" t="n">
        <x:v>0.1560694697</x:v>
      </x:c>
      <x:c r="F4" s="62" t="n">
        <x:v>0</x:v>
      </x:c>
      <x:c r="G4" s="66" t="n">
        <x:v>1</x:v>
      </x:c>
      <x:c r="H4" s="62" t="n">
        <x:f>IF(E4=0,"",I4/E4)</x:f>
        <x:v>4953.648510535111</x:v>
      </x:c>
      <x:c r="I4" s="60" t="n">
        <x:f>SUMIF('Species'!$G$2:$G$219,A4,'Species'!$U$2:$U$219)</x:f>
        <x:v>773.1132961194096</x:v>
      </x:c>
      <x:c r="J4" s="62" t="n">
        <x:v>3.84</x:v>
      </x:c>
      <x:c r="K4" s="62" t="n">
        <x:f>IF(J4="","",(1/'Metadata'!$B$5)^(J4-1))</x:f>
        <x:v>4953.648510535111</x:v>
      </x:c>
      <x:c r="L4" s="60" t="n">
        <x:f>IF(E4=0,"",E4*K4)</x:f>
        <x:v>773.1132961194096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11</x:v>
      </x:c>
      <x:c r="C5" s="64" t="n">
        <x:v>11</x:v>
      </x:c>
      <x:c r="D5" s="60" t="n">
        <x:v>141855.71670439272</x:v>
      </x:c>
      <x:c r="E5" s="60" t="n">
        <x:v>141855.71670439272</x:v>
      </x:c>
      <x:c r="F5" s="62" t="n">
        <x:v>0</x:v>
      </x:c>
      <x:c r="G5" s="66" t="n">
        <x:v>1</x:v>
      </x:c>
      <x:c r="H5" s="62" t="n">
        <x:f>IF(E5=0,"",I5/E5)</x:f>
        <x:v>12907.688014916741</x:v>
      </x:c>
      <x:c r="I5" s="60" t="n">
        <x:f>SUMIF('Species'!$G$2:$G$219,A5,'Species'!$U$2:$U$219)</x:f>
        <x:v>1831029334.3527145</x:v>
      </x:c>
      <x:c r="J5" s="62" t="n">
        <x:v>3.9848764358463415</x:v>
      </x:c>
      <x:c r="K5" s="62" t="n">
        <x:f>IF(J5="","",(1/'Metadata'!$B$5)^(J5-1))</x:f>
        <x:v>7645.6387899255615</x:v>
      </x:c>
      <x:c r="L5" s="60" t="n">
        <x:f>IF(E5=0,"",E5*K5)</x:f>
        <x:v>1084577570.2077963</x:v>
      </x:c>
      <x:c r="M5" s="60" t="n">
        <x:f>I5-L5</x:f>
        <x:v>746451764.1449182</x:v>
      </x:c>
      <x:c r="N5" s="62" t="n">
        <x:f>IF(L5=0,"",I5/L5)</x:f>
        <x:v>1.688241933679215</x:v>
      </x:c>
      <x:c r="O5" s="66" t="n">
        <x:f>IF(L5=0,"",M5/L5)</x:f>
        <x:v>0.6882419336792149</x:v>
      </x:c>
    </x:row>
    <x:row r="6" ht="18" customHeight="1">
      <x:c r="A6" s="46" t="str">
        <x:v>Large demersals (&gt;=90 cm)</x:v>
      </x:c>
      <x:c r="B6" s="64" t="n">
        <x:v>8</x:v>
      </x:c>
      <x:c r="C6" s="64" t="n">
        <x:v>8</x:v>
      </x:c>
      <x:c r="D6" s="60" t="n">
        <x:v>99158.66617271109</x:v>
      </x:c>
      <x:c r="E6" s="60" t="n">
        <x:v>99158.66617271109</x:v>
      </x:c>
      <x:c r="F6" s="62" t="n">
        <x:v>0</x:v>
      </x:c>
      <x:c r="G6" s="66" t="n">
        <x:v>1</x:v>
      </x:c>
      <x:c r="H6" s="62" t="n">
        <x:f>IF(E6=0,"",I6/E6)</x:f>
        <x:v>14128.949163316682</x:v>
      </x:c>
      <x:c r="I6" s="60" t="n">
        <x:f>SUMIF('Species'!$G$2:$G$219,A6,'Species'!$U$2:$U$219)</x:f>
        <x:v>1401007753.4565246</x:v>
      </x:c>
      <x:c r="J6" s="62" t="n">
        <x:v>4.183038464698302</x:v>
      </x:c>
      <x:c r="K6" s="62" t="n">
        <x:f>IF(J6="","",(1/'Metadata'!$B$5)^(J6-1))</x:f>
        <x:v>13842.945845912203</x:v>
      </x:c>
      <x:c r="L6" s="60" t="n">
        <x:f>IF(E6=0,"",E6*K6)</x:f>
        <x:v>1372648045.981726</x:v>
      </x:c>
      <x:c r="M6" s="60" t="n">
        <x:f>I6-L6</x:f>
        <x:v>28359707.47479868</x:v>
      </x:c>
      <x:c r="N6" s="62" t="n">
        <x:f>IF(L6=0,"",I6/L6)</x:f>
        <x:v>1.0206605819735208</x:v>
      </x:c>
      <x:c r="O6" s="66" t="n">
        <x:f>IF(L6=0,"",M6/L6)</x:f>
        <x:v>0.02066058197352086</x:v>
      </x:c>
    </x:row>
    <x:row r="7" ht="18" customHeight="1">
      <x:c r="A7" s="46" t="str">
        <x:v>Large flatfishes (&gt;=90 cm)</x:v>
      </x:c>
      <x:c r="B7" s="64" t="n">
        <x:v>3</x:v>
      </x:c>
      <x:c r="C7" s="64" t="n">
        <x:v>3</x:v>
      </x:c>
      <x:c r="D7" s="60" t="n">
        <x:v>3582.9937328958003</x:v>
      </x:c>
      <x:c r="E7" s="60" t="n">
        <x:v>3582.9937328958003</x:v>
      </x:c>
      <x:c r="F7" s="62" t="n">
        <x:v>0</x:v>
      </x:c>
      <x:c r="G7" s="66" t="n">
        <x:v>1</x:v>
      </x:c>
      <x:c r="H7" s="62" t="n">
        <x:f>IF(E7=0,"",I7/E7)</x:f>
        <x:v>15637.949867016274</x:v>
      </x:c>
      <x:c r="I7" s="60" t="n">
        <x:f>SUMIF('Species'!$G$2:$G$219,A7,'Species'!$U$2:$U$219)</x:f>
        <x:v>56030676.368858024</x:v>
      </x:c>
      <x:c r="J7" s="62" t="n">
        <x:v>4.219522063370148</x:v>
      </x:c>
      <x:c r="K7" s="62" t="n">
        <x:f>IF(J7="","",(1/'Metadata'!$B$5)^(J7-1))</x:f>
        <x:v>15441.688102365259</x:v>
      </x:c>
      <x:c r="L7" s="60" t="n">
        <x:f>IF(E7=0,"",E7*K7)</x:f>
        <x:v>55327471.69610637</x:v>
      </x:c>
      <x:c r="M7" s="60" t="n">
        <x:f>I7-L7</x:f>
        <x:v>703204.6727516577</x:v>
      </x:c>
      <x:c r="N7" s="62" t="n">
        <x:f>IF(L7=0,"",I7/L7)</x:f>
        <x:v>1.012709864578922</x:v>
      </x:c>
      <x:c r="O7" s="66" t="n">
        <x:f>IF(L7=0,"",M7/L7)</x:f>
        <x:v>0.012709864578922106</x:v>
      </x:c>
    </x:row>
    <x:row r="8" ht="18" customHeight="1">
      <x:c r="A8" s="46" t="str">
        <x:v>Large pelagics (&gt;=90 cm)</x:v>
      </x:c>
      <x:c r="B8" s="64" t="n">
        <x:v>18</x:v>
      </x:c>
      <x:c r="C8" s="64" t="n">
        <x:v>18</x:v>
      </x:c>
      <x:c r="D8" s="60" t="n">
        <x:v>58237.79661084361</x:v>
      </x:c>
      <x:c r="E8" s="60" t="n">
        <x:v>58237.79661084361</x:v>
      </x:c>
      <x:c r="F8" s="62" t="n">
        <x:v>0</x:v>
      </x:c>
      <x:c r="G8" s="66" t="n">
        <x:v>1</x:v>
      </x:c>
      <x:c r="H8" s="62" t="n">
        <x:f>IF(E8=0,"",I8/E8)</x:f>
        <x:v>27165.699553456066</x:v>
      </x:c>
      <x:c r="I8" s="60" t="n">
        <x:f>SUMIF('Species'!$G$2:$G$219,A8,'Species'!$U$2:$U$219)</x:f>
        <x:v>1582070485.3854594</x:v>
      </x:c>
      <x:c r="J8" s="62" t="n">
        <x:v>4.396450896698246</x:v>
      </x:c>
      <x:c r="K8" s="62" t="n">
        <x:f>IF(J8="","",(1/'Metadata'!$B$5)^(J8-1))</x:f>
        <x:v>26235.207012269133</x:v>
      </x:c>
      <x:c r="L8" s="60" t="n">
        <x:f>IF(E8=0,"",E8*K8)</x:f>
        <x:v>1527880650.023908</x:v>
      </x:c>
      <x:c r="M8" s="60" t="n">
        <x:f>I8-L8</x:f>
        <x:v>54189835.36155152</x:v>
      </x:c>
      <x:c r="N8" s="62" t="n">
        <x:f>IF(L8=0,"",I8/L8)</x:f>
        <x:v>1.0354673222418935</x:v>
      </x:c>
      <x:c r="O8" s="66" t="n">
        <x:f>IF(L8=0,"",M8/L8)</x:f>
        <x:v>0.03546732224189342</x:v>
      </x:c>
    </x:row>
    <x:row r="9" ht="18" customHeight="1">
      <x:c r="A9" s="46" t="str">
        <x:v>Large rays (&gt;=90 cm)</x:v>
      </x:c>
      <x:c r="B9" s="64" t="n">
        <x:v>2</x:v>
      </x:c>
      <x:c r="C9" s="64" t="n">
        <x:v>2</x:v>
      </x:c>
      <x:c r="D9" s="60" t="n">
        <x:v>2134.1115997505</x:v>
      </x:c>
      <x:c r="E9" s="60" t="n">
        <x:v>2134.1115997505</x:v>
      </x:c>
      <x:c r="F9" s="62" t="n">
        <x:v>0</x:v>
      </x:c>
      <x:c r="G9" s="66" t="n">
        <x:v>1</x:v>
      </x:c>
      <x:c r="H9" s="62" t="n">
        <x:f>IF(E9=0,"",I9/E9)</x:f>
        <x:v>3457.8178143152136</x:v>
      </x:c>
      <x:c r="I9" s="60" t="n">
        <x:f>SUMIF('Species'!$G$2:$G$219,A9,'Species'!$U$2:$U$219)</x:f>
        <x:v>7379369.107354017</x:v>
      </x:c>
      <x:c r="J9" s="62" t="n">
        <x:v>3.7200003316297785</x:v>
      </x:c>
      <x:c r="K9" s="62" t="n">
        <x:f>IF(J9="","",(1/'Metadata'!$B$5)^(J9-1))</x:f>
        <x:v>3457.817115703573</x:v>
      </x:c>
      <x:c r="L9" s="60" t="n">
        <x:f>IF(E9=0,"",E9*K9)</x:f>
        <x:v>7379367.616438812</x:v>
      </x:c>
      <x:c r="M9" s="60" t="n">
        <x:f>I9-L9</x:f>
        <x:v>1.4909152053296566</x:v>
      </x:c>
      <x:c r="N9" s="62" t="n">
        <x:f>IF(L9=0,"",I9/L9)</x:f>
        <x:v>1.000000202038343</x:v>
      </x:c>
      <x:c r="O9" s="66" t="n">
        <x:f>IF(L9=0,"",M9/L9)</x:f>
        <x:v>2.02038342961582e-7</x:v>
      </x:c>
    </x:row>
    <x:row r="10" ht="18" customHeight="1">
      <x:c r="A10" s="46" t="str">
        <x:v>Large reef assoc. fish (&gt;=90 cm)</x:v>
      </x:c>
      <x:c r="B10" s="64" t="n">
        <x:v>5</x:v>
      </x:c>
      <x:c r="C10" s="64" t="n">
        <x:v>5</x:v>
      </x:c>
      <x:c r="D10" s="60" t="n">
        <x:v>2806.7963193941005</x:v>
      </x:c>
      <x:c r="E10" s="60" t="n">
        <x:v>2806.7963193941005</x:v>
      </x:c>
      <x:c r="F10" s="62" t="n">
        <x:v>0</x:v>
      </x:c>
      <x:c r="G10" s="66" t="n">
        <x:v>1</x:v>
      </x:c>
      <x:c r="H10" s="62" t="n">
        <x:f>IF(E10=0,"",I10/E10)</x:f>
        <x:v>3102.9141111192353</x:v>
      </x:c>
      <x:c r="I10" s="60" t="n">
        <x:f>SUMIF('Species'!$G$2:$G$219,A10,'Species'!$U$2:$U$219)</x:f>
        <x:v>8709247.906485487</x:v>
      </x:c>
      <x:c r="J10" s="62" t="n">
        <x:v>3.633580022052659</x:v>
      </x:c>
      <x:c r="K10" s="62" t="n">
        <x:f>IF(J10="","",(1/'Metadata'!$B$5)^(J10-1))</x:f>
        <x:v>2669.1108128965902</x:v>
      </x:c>
      <x:c r="L10" s="60" t="n">
        <x:f>IF(E10=0,"",E10*K10)</x:f>
        <x:v>7491650.4056931455</x:v>
      </x:c>
      <x:c r="M10" s="60" t="n">
        <x:f>I10-L10</x:f>
        <x:v>1217597.5007923413</x:v>
      </x:c>
      <x:c r="N10" s="62" t="n">
        <x:f>IF(L10=0,"",I10/L10)</x:f>
        <x:v>1.1625272716766188</x:v>
      </x:c>
      <x:c r="O10" s="66" t="n">
        <x:f>IF(L10=0,"",M10/L10)</x:f>
        <x:v>0.1625272716766188</x:v>
      </x:c>
    </x:row>
    <x:row r="11" ht="18" customHeight="1">
      <x:c r="A11" s="46" t="str">
        <x:v>Large sharks (&gt;=90 cm)</x:v>
      </x:c>
      <x:c r="B11" s="64" t="n">
        <x:v>4</x:v>
      </x:c>
      <x:c r="C11" s="64" t="n">
        <x:v>4</x:v>
      </x:c>
      <x:c r="D11" s="60" t="n">
        <x:v>1627.0950654007002</x:v>
      </x:c>
      <x:c r="E11" s="60" t="n">
        <x:v>1627.0950654007002</x:v>
      </x:c>
      <x:c r="F11" s="62" t="n">
        <x:v>0</x:v>
      </x:c>
      <x:c r="G11" s="66" t="n">
        <x:v>1</x:v>
      </x:c>
      <x:c r="H11" s="62" t="n">
        <x:f>IF(E11=0,"",I11/E11)</x:f>
        <x:v>8492.067297722639</x:v>
      </x:c>
      <x:c r="I11" s="60" t="n">
        <x:f>SUMIF('Species'!$G$2:$G$219,A11,'Species'!$U$2:$U$219)</x:f>
        <x:v>13817400.795175165</x:v>
      </x:c>
      <x:c r="J11" s="62" t="n">
        <x:v>4.015654177067446</x:v>
      </x:c>
      <x:c r="K11" s="62" t="n">
        <x:f>IF(J11="","",(1/'Metadata'!$B$5)^(J11-1))</x:f>
        <x:v>8384.101761904054</x:v>
      </x:c>
      <x:c r="L11" s="60" t="n">
        <x:f>IF(E11=0,"",E11*K11)</x:f>
        <x:v>13641730.604611402</x:v>
      </x:c>
      <x:c r="M11" s="60" t="n">
        <x:f>I11-L11</x:f>
        <x:v>175670.19056376256</x:v>
      </x:c>
      <x:c r="N11" s="62" t="n">
        <x:f>IF(L11=0,"",I11/L11)</x:f>
        <x:v>1.0128774123793634</x:v>
      </x:c>
      <x:c r="O11" s="66" t="n">
        <x:f>IF(L11=0,"",M11/L11)</x:f>
        <x:v>0.012877412379363335</x:v>
      </x:c>
    </x:row>
    <x:row r="12" ht="18" customHeight="1">
      <x:c r="A12" s="46" t="str">
        <x:v>Lobsters, crabs</x:v>
      </x:c>
      <x:c r="B12" s="64" t="n">
        <x:v>15</x:v>
      </x:c>
      <x:c r="C12" s="64" t="n">
        <x:v>15</x:v>
      </x:c>
      <x:c r="D12" s="60" t="n">
        <x:v>55978.73337344289</x:v>
      </x:c>
      <x:c r="E12" s="60" t="n">
        <x:v>55978.73337344289</x:v>
      </x:c>
      <x:c r="F12" s="62" t="n">
        <x:v>0</x:v>
      </x:c>
      <x:c r="G12" s="66" t="n">
        <x:v>1</x:v>
      </x:c>
      <x:c r="H12" s="62" t="n">
        <x:f>IF(E12=0,"",I12/E12)</x:f>
        <x:v>2275.136949405121</x:v>
      </x:c>
      <x:c r="I12" s="60" t="n">
        <x:f>SUMIF('Species'!$G$2:$G$219,A12,'Species'!$U$2:$U$219)</x:f>
        <x:v>127359284.6788175</x:v>
      </x:c>
      <x:c r="J12" s="62" t="n">
        <x:v>3.377477002605479</x:v>
      </x:c>
      <x:c r="K12" s="62" t="n">
        <x:f>IF(J12="","",(1/'Metadata'!$B$5)^(J12-1))</x:f>
        <x:v>1239.2784404160916</x:v>
      </x:c>
      <x:c r="L12" s="60" t="n">
        <x:f>IF(E12=0,"",E12*K12)</x:f>
        <x:v>69373237.39150852</x:v>
      </x:c>
      <x:c r="M12" s="60" t="n">
        <x:f>I12-L12</x:f>
        <x:v>57986047.287308976</x:v>
      </x:c>
      <x:c r="N12" s="62" t="n">
        <x:f>IF(L12=0,"",I12/L12)</x:f>
        <x:v>1.8358561524246615</x:v>
      </x:c>
      <x:c r="O12" s="66" t="n">
        <x:f>IF(L12=0,"",M12/L12)</x:f>
        <x:v>0.8358561524246616</x:v>
      </x:c>
    </x:row>
    <x:row r="13" ht="18" customHeight="1">
      <x:c r="A13" s="46" t="str">
        <x:v>Medium bathydemersals (30 - 89 cm)</x:v>
      </x:c>
      <x:c r="B13" s="64" t="n">
        <x:v>3</x:v>
      </x:c>
      <x:c r="C13" s="64" t="n">
        <x:v>3</x:v>
      </x:c>
      <x:c r="D13" s="60" t="n">
        <x:v>171.68634431729998</x:v>
      </x:c>
      <x:c r="E13" s="60" t="n">
        <x:v>171.68634431729998</x:v>
      </x:c>
      <x:c r="F13" s="62" t="n">
        <x:v>0</x:v>
      </x:c>
      <x:c r="G13" s="66" t="n">
        <x:v>1</x:v>
      </x:c>
      <x:c r="H13" s="62" t="n">
        <x:f>IF(E13=0,"",I13/E13)</x:f>
        <x:v>3032.064912337812</x:v>
      </x:c>
      <x:c r="I13" s="60" t="n">
        <x:f>SUMIF('Species'!$G$2:$G$219,A13,'Species'!$U$2:$U$219)</x:f>
        <x:v>520564.1405320336</x:v>
      </x:c>
      <x:c r="J13" s="62" t="n">
        <x:v>3.6389870272421168</x:v>
      </x:c>
      <x:c r="K13" s="62" t="n">
        <x:f>IF(J13="","",(1/'Metadata'!$B$5)^(J13-1))</x:f>
        <x:v>2712.6969594719867</x:v>
      </x:c>
      <x:c r="L13" s="60" t="n">
        <x:f>IF(E13=0,"",E13*K13)</x:f>
        <x:v>465733.02421240025</x:v>
      </x:c>
      <x:c r="M13" s="60" t="n">
        <x:f>I13-L13</x:f>
        <x:v>54831.11631963332</x:v>
      </x:c>
      <x:c r="N13" s="62" t="n">
        <x:f>IF(L13=0,"",I13/L13)</x:f>
        <x:v>1.1177307888191053</x:v>
      </x:c>
      <x:c r="O13" s="66" t="n">
        <x:f>IF(L13=0,"",M13/L13)</x:f>
        <x:v>0.11773078881910524</x:v>
      </x:c>
    </x:row>
    <x:row r="14" ht="18" customHeight="1">
      <x:c r="A14" s="46" t="str">
        <x:v>Medium benthopelagics (30 - 89 cm)</x:v>
      </x:c>
      <x:c r="B14" s="64" t="n">
        <x:v>11</x:v>
      </x:c>
      <x:c r="C14" s="64" t="n">
        <x:v>11</x:v>
      </x:c>
      <x:c r="D14" s="60" t="n">
        <x:v>518604.12077382195</x:v>
      </x:c>
      <x:c r="E14" s="60" t="n">
        <x:v>518604.12077382195</x:v>
      </x:c>
      <x:c r="F14" s="62" t="n">
        <x:v>0</x:v>
      </x:c>
      <x:c r="G14" s="66" t="n">
        <x:v>1</x:v>
      </x:c>
      <x:c r="H14" s="62" t="n">
        <x:f>IF(E14=0,"",I14/E14)</x:f>
        <x:v>2196.268627859152</x:v>
      </x:c>
      <x:c r="I14" s="60" t="n">
        <x:f>SUMIF('Species'!$G$2:$G$219,A14,'Species'!$U$2:$U$219)</x:f>
        <x:v>1138993960.7340238</x:v>
      </x:c>
      <x:c r="J14" s="62" t="n">
        <x:v>3.5647812907735807</x:v>
      </x:c>
      <x:c r="K14" s="62" t="n">
        <x:f>IF(J14="","",(1/'Metadata'!$B$5)^(J14-1))</x:f>
        <x:v>2171.9878505698225</x:v>
      </x:c>
      <x:c r="L14" s="60" t="n">
        <x:f>IF(E14=0,"",E14*K14)</x:f>
        <x:v>1126401849.5761862</x:v>
      </x:c>
      <x:c r="M14" s="60" t="n">
        <x:f>I14-L14</x:f>
        <x:v>12592111.15783763</x:v>
      </x:c>
      <x:c r="N14" s="62" t="n">
        <x:f>IF(L14=0,"",I14/L14)</x:f>
        <x:v>1.0111790576006028</x:v>
      </x:c>
      <x:c r="O14" s="66" t="n">
        <x:f>IF(L14=0,"",M14/L14)</x:f>
        <x:v>0.011179057600602723</x:v>
      </x:c>
    </x:row>
    <x:row r="15" ht="18" customHeight="1">
      <x:c r="A15" s="46" t="str">
        <x:v>Medium demersals (30 - 89 cm)</x:v>
      </x:c>
      <x:c r="B15" s="64" t="n">
        <x:v>31</x:v>
      </x:c>
      <x:c r="C15" s="64" t="n">
        <x:v>31</x:v>
      </x:c>
      <x:c r="D15" s="60" t="n">
        <x:v>506880.3516351972</x:v>
      </x:c>
      <x:c r="E15" s="60" t="n">
        <x:v>506880.3516351972</x:v>
      </x:c>
      <x:c r="F15" s="62" t="n">
        <x:v>0</x:v>
      </x:c>
      <x:c r="G15" s="66" t="n">
        <x:v>1</x:v>
      </x:c>
      <x:c r="H15" s="62" t="n">
        <x:f>IF(E15=0,"",I15/E15)</x:f>
        <x:v>5573.808923135932</x:v>
      </x:c>
      <x:c r="I15" s="60" t="n">
        <x:f>SUMIF('Species'!$G$2:$G$219,A15,'Species'!$U$2:$U$219)</x:f>
        <x:v>2825254226.906541</x:v>
      </x:c>
      <x:c r="J15" s="62" t="n">
        <x:v>3.4981452868137546</x:v>
      </x:c>
      <x:c r="K15" s="62" t="n">
        <x:f>IF(J15="","",(1/'Metadata'!$B$5)^(J15-1))</x:f>
        <x:v>1778.94266743447</x:v>
      </x:c>
      <x:c r="L15" s="60" t="n">
        <x:f>IF(E15=0,"",E15*K15)</x:f>
        <x:v>901711084.8080398</x:v>
      </x:c>
      <x:c r="M15" s="60" t="n">
        <x:f>I15-L15</x:f>
        <x:v>1923543142.0985012</x:v>
      </x:c>
      <x:c r="N15" s="62" t="n">
        <x:f>IF(L15=0,"",I15/L15)</x:f>
        <x:v>3.133214479123314</x:v>
      </x:c>
      <x:c r="O15" s="66" t="n">
        <x:f>IF(L15=0,"",M15/L15)</x:f>
        <x:v>2.133214479123314</x:v>
      </x:c>
    </x:row>
    <x:row r="16" ht="18" customHeight="1">
      <x:c r="A16" s="46" t="str">
        <x:v>Medium pelagics (30 - 89 cm)</x:v>
      </x:c>
      <x:c r="B16" s="64" t="n">
        <x:v>17</x:v>
      </x:c>
      <x:c r="C16" s="64" t="n">
        <x:v>17</x:v>
      </x:c>
      <x:c r="D16" s="60" t="n">
        <x:v>603089.9486940901</x:v>
      </x:c>
      <x:c r="E16" s="60" t="n">
        <x:v>603089.9486940901</x:v>
      </x:c>
      <x:c r="F16" s="62" t="n">
        <x:v>0</x:v>
      </x:c>
      <x:c r="G16" s="66" t="n">
        <x:v>1</x:v>
      </x:c>
      <x:c r="H16" s="62" t="n">
        <x:f>IF(E16=0,"",I16/E16)</x:f>
        <x:v>1369.1963762066537</x:v>
      </x:c>
      <x:c r="I16" s="60" t="n">
        <x:f>SUMIF('Species'!$G$2:$G$219,A16,'Species'!$U$2:$U$219)</x:f>
        <x:v>825748572.2786049</x:v>
      </x:c>
      <x:c r="J16" s="62" t="n">
        <x:v>3.230997482865494</x:v>
      </x:c>
      <x:c r="K16" s="62" t="n">
        <x:f>IF(J16="","",(1/'Metadata'!$B$5)^(J16-1))</x:f>
        <x:v>799.0880673345308</x:v>
      </x:c>
      <x:c r="L16" s="60" t="n">
        <x:f>IF(E16=0,"",E16*K16)</x:f>
        <x:v>481921981.5308418</x:v>
      </x:c>
      <x:c r="M16" s="60" t="n">
        <x:f>I16-L16</x:f>
        <x:v>343826590.74776304</x:v>
      </x:c>
      <x:c r="N16" s="62" t="n">
        <x:f>IF(L16=0,"",I16/L16)</x:f>
        <x:v>1.7134486575100518</x:v>
      </x:c>
      <x:c r="O16" s="66" t="n">
        <x:f>IF(L16=0,"",M16/L16)</x:f>
        <x:v>0.7134486575100517</x:v>
      </x:c>
    </x:row>
    <x:row r="17" ht="18" customHeight="1">
      <x:c r="A17" s="46" t="str">
        <x:v>Medium reef assoc. fish (30 - 89 cm)</x:v>
      </x:c>
      <x:c r="B17" s="64" t="n">
        <x:v>10</x:v>
      </x:c>
      <x:c r="C17" s="64" t="n">
        <x:v>10</x:v>
      </x:c>
      <x:c r="D17" s="60" t="n">
        <x:v>7800.966899621099</x:v>
      </x:c>
      <x:c r="E17" s="60" t="n">
        <x:v>7800.966899621099</x:v>
      </x:c>
      <x:c r="F17" s="62" t="n">
        <x:v>0</x:v>
      </x:c>
      <x:c r="G17" s="66" t="n">
        <x:v>1</x:v>
      </x:c>
      <x:c r="H17" s="62" t="n">
        <x:f>IF(E17=0,"",I17/E17)</x:f>
        <x:v>2209.199154009362</x:v>
      </x:c>
      <x:c r="I17" s="60" t="n">
        <x:f>SUMIF('Species'!$G$2:$G$219,A17,'Species'!$U$2:$U$219)</x:f>
        <x:v>17233889.475097965</x:v>
      </x:c>
      <x:c r="J17" s="62" t="n">
        <x:v>3.315633611450377</x:v>
      </x:c>
      <x:c r="K17" s="62" t="n">
        <x:f>IF(J17="","",(1/'Metadata'!$B$5)^(J17-1))</x:f>
        <x:v>1029.6954352321914</x:v>
      </x:c>
      <x:c r="L17" s="60" t="n">
        <x:f>IF(E17=0,"",E17*K17)</x:f>
        <x:v>8032620.006937266</x:v>
      </x:c>
      <x:c r="M17" s="60" t="n">
        <x:f>I17-L17</x:f>
        <x:v>9201269.4681607</x:v>
      </x:c>
      <x:c r="N17" s="62" t="n">
        <x:f>IF(L17=0,"",I17/L17)</x:f>
        <x:v>2.1454879553886705</x:v>
      </x:c>
      <x:c r="O17" s="66" t="n">
        <x:f>IF(L17=0,"",M17/L17)</x:f>
        <x:v>1.1454879553886708</x:v>
      </x:c>
    </x:row>
    <x:row r="18" ht="18" customHeight="1">
      <x:c r="A18" s="46" t="str">
        <x:v>Other demersal invertebrates</x:v>
      </x:c>
      <x:c r="B18" s="64" t="n">
        <x:v>26</x:v>
      </x:c>
      <x:c r="C18" s="64" t="n">
        <x:v>26</x:v>
      </x:c>
      <x:c r="D18" s="60" t="n">
        <x:v>123909.2156161666</x:v>
      </x:c>
      <x:c r="E18" s="60" t="n">
        <x:v>123909.2156161666</x:v>
      </x:c>
      <x:c r="F18" s="62" t="n">
        <x:v>0</x:v>
      </x:c>
      <x:c r="G18" s="66" t="n">
        <x:v>1</x:v>
      </x:c>
      <x:c r="H18" s="62" t="n">
        <x:f>IF(E18=0,"",I18/E18)</x:f>
        <x:v>34.08868077668134</x:v>
      </x:c>
      <x:c r="I18" s="60" t="n">
        <x:f>SUMIF('Species'!$G$2:$G$219,A18,'Species'!$U$2:$U$219)</x:f>
        <x:v>4223901.696428482</x:v>
      </x:c>
      <x:c r="J18" s="62" t="n">
        <x:v>2.063984799584212</x:v>
      </x:c>
      <x:c r="K18" s="62" t="n">
        <x:f>IF(J18="","",(1/'Metadata'!$B$5)^(J18-1))</x:f>
        <x:v>24.225689087708147</x:v>
      </x:c>
      <x:c r="L18" s="60" t="n">
        <x:f>IF(E18=0,"",E18*K18)</x:f>
        <x:v>3001786.1326190433</x:v>
      </x:c>
      <x:c r="M18" s="60" t="n">
        <x:f>I18-L18</x:f>
        <x:v>1222115.563809439</x:v>
      </x:c>
      <x:c r="N18" s="62" t="n">
        <x:f>IF(L18=0,"",I18/L18)</x:f>
        <x:v>1.407129458867594</x:v>
      </x:c>
      <x:c r="O18" s="66" t="n">
        <x:f>IF(L18=0,"",M18/L18)</x:f>
        <x:v>0.40712945886759405</x:v>
      </x:c>
    </x:row>
    <x:row r="19" ht="18" customHeight="1">
      <x:c r="A19" s="46" t="str">
        <x:v>Shrimps</x:v>
      </x:c>
      <x:c r="B19" s="64" t="n">
        <x:v>19</x:v>
      </x:c>
      <x:c r="C19" s="64" t="n">
        <x:v>19</x:v>
      </x:c>
      <x:c r="D19" s="60" t="n">
        <x:v>55273.29271971979</x:v>
      </x:c>
      <x:c r="E19" s="60" t="n">
        <x:v>55273.29271971979</x:v>
      </x:c>
      <x:c r="F19" s="62" t="n">
        <x:v>0</x:v>
      </x:c>
      <x:c r="G19" s="66" t="n">
        <x:v>1</x:v>
      </x:c>
      <x:c r="H19" s="62" t="n">
        <x:f>IF(E19=0,"",I19/E19)</x:f>
        <x:v>324.7074196378475</x:v>
      </x:c>
      <x:c r="I19" s="60" t="n">
        <x:f>SUMIF('Species'!$G$2:$G$219,A19,'Species'!$U$2:$U$219)</x:f>
        <x:v>17947648.253907636</x:v>
      </x:c>
      <x:c r="J19" s="62" t="n">
        <x:v>2.6651076748339477</x:v>
      </x:c>
      <x:c r="K19" s="62" t="n">
        <x:f>IF(J19="","",(1/'Metadata'!$B$5)^(J19-1))</x:f>
        <x:v>146.67464000580682</x:v>
      </x:c>
      <x:c r="L19" s="60" t="n">
        <x:f>IF(E19=0,"",E19*K19)</x:f>
        <x:v>8107190.311600484</x:v>
      </x:c>
      <x:c r="M19" s="60" t="n">
        <x:f>I19-L19</x:f>
        <x:v>9840457.942307152</x:v>
      </x:c>
      <x:c r="N19" s="62" t="n">
        <x:f>IF(L19=0,"",I19/L19)</x:f>
        <x:v>2.2137938748306616</x:v>
      </x:c>
      <x:c r="O19" s="66" t="n">
        <x:f>IF(L19=0,"",M19/L19)</x:f>
        <x:v>1.2137938748306618</x:v>
      </x:c>
    </x:row>
    <x:row r="20" ht="18" customHeight="1">
      <x:c r="A20" s="46" t="str">
        <x:v>Small bathydemersals (&lt;30 cm)</x:v>
      </x:c>
      <x:c r="B20" s="64" t="n">
        <x:v>1</x:v>
      </x:c>
      <x:c r="C20" s="64" t="n">
        <x:v>1</x:v>
      </x:c>
      <x:c r="D20" s="60" t="n">
        <x:v>3849.9036484654</x:v>
      </x:c>
      <x:c r="E20" s="60" t="n">
        <x:v>3849.9036484654</x:v>
      </x:c>
      <x:c r="F20" s="62" t="n">
        <x:v>0</x:v>
      </x:c>
      <x:c r="G20" s="66" t="n">
        <x:v>1</x:v>
      </x:c>
      <x:c r="H20" s="62" t="n">
        <x:f>IF(E20=0,"",I20/E20)</x:f>
        <x:v>1843.2544417784343</x:v>
      </x:c>
      <x:c r="I20" s="60" t="n">
        <x:f>SUMIF('Species'!$G$2:$G$219,A20,'Species'!$U$2:$U$219)</x:f>
        <x:v>7096352.000452848</x:v>
      </x:c>
      <x:c r="J20" s="62" t="n">
        <x:v>3.51</x:v>
      </x:c>
      <x:c r="K20" s="62" t="n">
        <x:f>IF(J20="","",(1/'Metadata'!$B$5)^(J20-1))</x:f>
        <x:v>1843.2544417784343</x:v>
      </x:c>
      <x:c r="L20" s="60" t="n">
        <x:f>IF(E20=0,"",E20*K20)</x:f>
        <x:v>7096352.000452848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bathypelagics (&lt;30 cm)</x:v>
      </x:c>
      <x:c r="B21" s="64" t="n">
        <x:v>1</x:v>
      </x:c>
      <x:c r="C21" s="64" t="n">
        <x:v>1</x:v>
      </x:c>
      <x:c r="D21" s="60" t="n">
        <x:v>682.8806398402</x:v>
      </x:c>
      <x:c r="E21" s="60" t="n">
        <x:v>682.8806398402</x:v>
      </x:c>
      <x:c r="F21" s="62" t="n">
        <x:v>0</x:v>
      </x:c>
      <x:c r="G21" s="66" t="n">
        <x:v>1</x:v>
      </x:c>
      <x:c r="H21" s="62" t="n">
        <x:f>IF(E21=0,"",I21/E21)</x:f>
        <x:v>539.7131390694254</x:v>
      </x:c>
      <x:c r="I21" s="60" t="n">
        <x:f>SUMIF('Species'!$G$2:$G$219,A21,'Species'!$U$2:$U$219)</x:f>
        <x:v>368559.6537378921</x:v>
      </x:c>
      <x:c r="J21" s="62" t="n">
        <x:v>3.1000000000000005</x:v>
      </x:c>
      <x:c r="K21" s="62" t="n">
        <x:f>IF(J21="","",(1/'Metadata'!$B$5)^(J21-1))</x:f>
        <x:v>539.7131390694262</x:v>
      </x:c>
      <x:c r="L21" s="60" t="n">
        <x:f>IF(E21=0,"",E21*K21)</x:f>
        <x:v>368559.65373789263</x:v>
      </x:c>
      <x:c r="M21" s="60" t="n">
        <x:f>I21-L21</x:f>
        <x:v>-5.238689482212067e-10</x:v>
      </x:c>
      <x:c r="N21" s="62" t="n">
        <x:f>IF(L21=0,"",I21/L21)</x:f>
        <x:v>0.9999999999999986</x:v>
      </x:c>
      <x:c r="O21" s="66" t="n">
        <x:f>IF(L21=0,"",M21/L21)</x:f>
        <x:v>-1.4213952691462121e-15</x:v>
      </x:c>
    </x:row>
    <x:row r="22" ht="18" customHeight="1">
      <x:c r="A22" s="46" t="str">
        <x:v>Small benthopelagics (&lt;30 cm)</x:v>
      </x:c>
      <x:c r="B22" s="64" t="n">
        <x:v>1</x:v>
      </x:c>
      <x:c r="C22" s="64" t="n">
        <x:v>1</x:v>
      </x:c>
      <x:c r="D22" s="60" t="n">
        <x:v>153.9063632043</x:v>
      </x:c>
      <x:c r="E22" s="60" t="n">
        <x:v>153.9063632043</x:v>
      </x:c>
      <x:c r="F22" s="62" t="n">
        <x:v>0</x:v>
      </x:c>
      <x:c r="G22" s="66" t="n">
        <x:v>1</x:v>
      </x:c>
      <x:c r="H22" s="62" t="n">
        <x:f>IF(E22=0,"",I22/E22)</x:f>
        <x:v>2562.7048371775754</x:v>
      </x:c>
      <x:c r="I22" s="60" t="n">
        <x:f>SUMIF('Species'!$G$2:$G$219,A22,'Species'!$U$2:$U$219)</x:f>
        <x:v>394416.5814560684</x:v>
      </x:c>
      <x:c r="J22" s="62" t="n">
        <x:v>3.62</x:v>
      </x:c>
      <x:c r="K22" s="62" t="n">
        <x:f>IF(J22="","",(1/'Metadata'!$B$5)^(J22-1))</x:f>
        <x:v>2562.7048371775754</x:v>
      </x:c>
      <x:c r="L22" s="60" t="n">
        <x:f>IF(E22=0,"",E22*K22)</x:f>
        <x:v>394416.5814560684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demersals (&lt;30 cm)</x:v>
      </x:c>
      <x:c r="B23" s="64" t="n">
        <x:v>2</x:v>
      </x:c>
      <x:c r="C23" s="64" t="n">
        <x:v>2</x:v>
      </x:c>
      <x:c r="D23" s="60" t="n">
        <x:v>43764.287900565</x:v>
      </x:c>
      <x:c r="E23" s="60" t="n">
        <x:v>43764.287900565</x:v>
      </x:c>
      <x:c r="F23" s="62" t="n">
        <x:v>0</x:v>
      </x:c>
      <x:c r="G23" s="66" t="n">
        <x:v>1</x:v>
      </x:c>
      <x:c r="H23" s="62" t="n">
        <x:f>IF(E23=0,"",I23/E23)</x:f>
        <x:v>474.1574809436015</x:v>
      </x:c>
      <x:c r="I23" s="60" t="n">
        <x:f>SUMIF('Species'!$G$2:$G$219,A23,'Species'!$U$2:$U$219)</x:f>
        <x:v>20751164.50622244</x:v>
      </x:c>
      <x:c r="J23" s="62" t="n">
        <x:v>3.0174612948528208</x:v>
      </x:c>
      <x:c r="K23" s="62" t="n">
        <x:f>IF(J23="","",(1/'Metadata'!$B$5)^(J23-1))</x:f>
        <x:v>421.48066800641203</x:v>
      </x:c>
      <x:c r="L23" s="60" t="n">
        <x:f>IF(E23=0,"",E23*K23)</x:f>
        <x:v>18445801.29915507</x:v>
      </x:c>
      <x:c r="M23" s="60" t="n">
        <x:f>I23-L23</x:f>
        <x:v>2305363.2070673704</x:v>
      </x:c>
      <x:c r="N23" s="62" t="n">
        <x:f>IF(L23=0,"",I23/L23)</x:f>
        <x:v>1.1249803773595333</x:v>
      </x:c>
      <x:c r="O23" s="66" t="n">
        <x:f>IF(L23=0,"",M23/L23)</x:f>
        <x:v>0.1249803773595333</x:v>
      </x:c>
    </x:row>
    <x:row r="24" ht="18" customHeight="1">
      <x:c r="A24" s="46" t="str">
        <x:v>Small pelagics (&lt;30 cm)</x:v>
      </x:c>
      <x:c r="B24" s="64" t="n">
        <x:v>11</x:v>
      </x:c>
      <x:c r="C24" s="64" t="n">
        <x:v>11</x:v>
      </x:c>
      <x:c r="D24" s="60" t="n">
        <x:v>173588.117621307</x:v>
      </x:c>
      <x:c r="E24" s="60" t="n">
        <x:v>173588.117621307</x:v>
      </x:c>
      <x:c r="F24" s="62" t="n">
        <x:v>0</x:v>
      </x:c>
      <x:c r="G24" s="66" t="n">
        <x:v>1</x:v>
      </x:c>
      <x:c r="H24" s="62" t="n">
        <x:f>IF(E24=0,"",I24/E24)</x:f>
        <x:v>635.3049444759895</x:v>
      </x:c>
      <x:c r="I24" s="60" t="n">
        <x:f>SUMIF('Species'!$G$2:$G$219,A24,'Species'!$U$2:$U$219)</x:f>
        <x:v>110281389.42709598</x:v>
      </x:c>
      <x:c r="J24" s="62" t="n">
        <x:v>3.150083892389855</x:v>
      </x:c>
      <x:c r="K24" s="62" t="n">
        <x:f>IF(J24="","",(1/'Metadata'!$B$5)^(J24-1))</x:f>
        <x:v>627.0809927189334</x:v>
      </x:c>
      <x:c r="L24" s="60" t="n">
        <x:f>IF(E24=0,"",E24*K24)</x:f>
        <x:v>108853809.12218018</x:v>
      </x:c>
      <x:c r="M24" s="60" t="n">
        <x:f>I24-L24</x:f>
        <x:v>1427580.3049158007</x:v>
      </x:c>
      <x:c r="N24" s="62" t="n">
        <x:f>IF(L24=0,"",I24/L24)</x:f>
        <x:v>1.0131146564041085</x:v>
      </x:c>
      <x:c r="O24" s="66" t="n">
        <x:f>IF(L24=0,"",M24/L24)</x:f>
        <x:v>0.013114656404108464</x:v>
      </x:c>
    </x:row>
    <x:row r="25" ht="18" customHeight="1">
      <x:c r="A25" s="46" t="str">
        <x:v>Small to medium flatfishes (&lt;90 cm)</x:v>
      </x:c>
      <x:c r="B25" s="64" t="n">
        <x:v>5</x:v>
      </x:c>
      <x:c r="C25" s="64" t="n">
        <x:v>5</x:v>
      </x:c>
      <x:c r="D25" s="60" t="n">
        <x:v>46545.85986429691</x:v>
      </x:c>
      <x:c r="E25" s="60" t="n">
        <x:v>46545.85986429691</x:v>
      </x:c>
      <x:c r="F25" s="62" t="n">
        <x:v>0</x:v>
      </x:c>
      <x:c r="G25" s="66" t="n">
        <x:v>1</x:v>
      </x:c>
      <x:c r="H25" s="62" t="n">
        <x:f>IF(E25=0,"",I25/E25)</x:f>
        <x:v>2698.620583928848</x:v>
      </x:c>
      <x:c r="I25" s="60" t="n">
        <x:f>SUMIF('Species'!$G$2:$G$219,A25,'Species'!$U$2:$U$219)</x:f>
        <x:v>125609615.52645926</x:v>
      </x:c>
      <x:c r="J25" s="62" t="n">
        <x:v>3.509844161264278</x:v>
      </x:c>
      <x:c r="K25" s="62" t="n">
        <x:f>IF(J25="","",(1/'Metadata'!$B$5)^(J25-1))</x:f>
        <x:v>1842.3941171966583</x:v>
      </x:c>
      <x:c r="L25" s="60" t="n">
        <x:f>IF(E25=0,"",E25*K25)</x:f>
        <x:v>85755818.39384067</x:v>
      </x:c>
      <x:c r="M25" s="60" t="n">
        <x:f>I25-L25</x:f>
        <x:v>39853797.13261859</x:v>
      </x:c>
      <x:c r="N25" s="62" t="n">
        <x:f>IF(L25=0,"",I25/L25)</x:f>
        <x:v>1.4647357797879876</x:v>
      </x:c>
      <x:c r="O25" s="66" t="n">
        <x:f>IF(L25=0,"",M25/L25)</x:f>
        <x:v>0.4647357797879876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8c2f0d74f6a49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LME_050</x:v>
      </x:c>
      <x:c r="B2" s="46" t="str">
        <x:v>raw_filtered_tonnes</x:v>
      </x:c>
      <x:c r="C2" s="46" t="n">
        <x:v>2586941.83669577</x:v>
      </x:c>
      <x:c r="D2" s="46" t="str">
        <x:v>tonnes</x:v>
      </x:c>
    </x:row>
    <x:row r="3" ht="18" customHeight="1">
      <x:c r="A3" s="46" t="str">
        <x:v>LME_050</x:v>
      </x:c>
      <x:c r="B3" s="46" t="str">
        <x:v>species_catch_tonnes</x:v>
      </x:c>
      <x:c r="C3" s="46" t="n">
        <x:v>2586941.83669577</x:v>
      </x:c>
      <x:c r="D3" s="46" t="str">
        <x:v>tonnes</x:v>
      </x:c>
    </x:row>
    <x:row r="4" ht="18" customHeight="1">
      <x:c r="A4" s="46" t="str">
        <x:v>LME_050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LME_050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LME_050</x:v>
      </x:c>
      <x:c r="B6" s="46" t="str">
        <x:v>matched_catch_tonnes</x:v>
      </x:c>
      <x:c r="C6" s="46" t="n">
        <x:v>2586941.83669577</x:v>
      </x:c>
      <x:c r="D6" s="46" t="str">
        <x:v>tonnes</x:v>
      </x:c>
    </x:row>
    <x:row r="7" ht="18" customHeight="1">
      <x:c r="A7" s="46" t="str">
        <x:v>LME_050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LME_050</x:v>
      </x:c>
      <x:c r="B8" s="46" t="str">
        <x:v>taxa_count</x:v>
      </x:c>
      <x:c r="C8" s="46" t="n">
        <x:v>218</x:v>
      </x:c>
      <x:c r="D8" s="46" t="str">
        <x:v>count</x:v>
      </x:c>
    </x:row>
    <x:row r="9" ht="18" customHeight="1">
      <x:c r="A9" s="46" t="str">
        <x:v>LME_050</x:v>
      </x:c>
      <x:c r="B9" s="46" t="str">
        <x:v>matched_taxa_count</x:v>
      </x:c>
      <x:c r="C9" s="46" t="n">
        <x:v>218</x:v>
      </x:c>
      <x:c r="D9" s="46" t="str">
        <x:v>count</x:v>
      </x:c>
    </x:row>
    <x:row r="10" ht="18" customHeight="1">
      <x:c r="A10" s="46" t="str">
        <x:v>LME_050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LME_050</x:v>
      </x:c>
      <x:c r="B11" s="46" t="str">
        <x:v>species_ppr</x:v>
      </x:c>
      <x:c r="C11" s="46" t="n">
        <x:v>12154987888.519205</x:v>
      </x:c>
      <x:c r="D11" s="46" t="str">
        <x:v>tonnes_primary_production_equivalent</x:v>
      </x:c>
    </x:row>
    <x:row r="12" ht="18" customHeight="1">
      <x:c r="A12" s="46" t="str">
        <x:v>LME_050</x:v>
      </x:c>
      <x:c r="B12" s="46" t="str">
        <x:v>commercial_ppr</x:v>
      </x:c>
      <x:c r="C12" s="46" t="n">
        <x:v>12154987888.519205</x:v>
      </x:c>
      <x:c r="D12" s="46" t="str">
        <x:v>tonnes_primary_production_equivalent</x:v>
      </x:c>
    </x:row>
    <x:row r="13" ht="18" customHeight="1">
      <x:c r="A13" s="46" t="str">
        <x:v>LME_050</x:v>
      </x:c>
      <x:c r="B13" s="46" t="str">
        <x:v>functional_ppr</x:v>
      </x:c>
      <x:c r="C13" s="46" t="n">
        <x:v>12154987888.519205</x:v>
      </x:c>
      <x:c r="D13" s="46" t="str">
        <x:v>tonnes_primary_production_equivalent</x:v>
      </x:c>
    </x:row>
    <x:row r="14" ht="18" customHeight="1">
      <x:c r="A14" s="46" t="str">
        <x:v>LME_050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LME_050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LME_050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LME_050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LME_050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LME_050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f1d12c0598747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LME_050 - Sea of Japan / East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LME_050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raw_data/SAU_downloads/LME_050-catch.zip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