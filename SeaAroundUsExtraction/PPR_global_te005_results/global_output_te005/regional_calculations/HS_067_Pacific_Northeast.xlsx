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25848575d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6e999e098f94636"/>
    <x:sheet xmlns:r="http://schemas.openxmlformats.org/officeDocument/2006/relationships" name="Commercial" sheetId="2" r:id="Rb71dfae26eb64d34"/>
    <x:sheet xmlns:r="http://schemas.openxmlformats.org/officeDocument/2006/relationships" name="Functional" sheetId="3" r:id="Rcf5cac408b6c43f9"/>
    <x:sheet xmlns:r="http://schemas.openxmlformats.org/officeDocument/2006/relationships" name="Missing TL" sheetId="4" r:id="R13bf49be8e5e4076"/>
    <x:sheet xmlns:r="http://schemas.openxmlformats.org/officeDocument/2006/relationships" name="Validation" sheetId="5" r:id="R4b8e1e5198ff4ffa"/>
    <x:sheet xmlns:r="http://schemas.openxmlformats.org/officeDocument/2006/relationships" name="Metadata" sheetId="6" r:id="Rabd7d19dd4fc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663405ee6496a" /><Relationship Type="http://schemas.openxmlformats.org/officeDocument/2006/relationships/theme" Target="/xl/theme/theme1.xml" Id="R0ffd5ffe31254e5a" /><Relationship Type="http://schemas.openxmlformats.org/officeDocument/2006/relationships/sharedStrings" Target="/xl/sharedStrings.xml" Id="R5e219277a7704824" /><Relationship Type="http://schemas.openxmlformats.org/officeDocument/2006/relationships/worksheet" Target="/xl/worksheets/sheet1.xml" Id="Ra6e999e098f94636" /><Relationship Type="http://schemas.openxmlformats.org/officeDocument/2006/relationships/worksheet" Target="/xl/worksheets/sheet2.xml" Id="Rb71dfae26eb64d34" /><Relationship Type="http://schemas.openxmlformats.org/officeDocument/2006/relationships/worksheet" Target="/xl/worksheets/sheet3.xml" Id="Rcf5cac408b6c43f9" /><Relationship Type="http://schemas.openxmlformats.org/officeDocument/2006/relationships/worksheet" Target="/xl/worksheets/sheet4.xml" Id="R13bf49be8e5e4076" /><Relationship Type="http://schemas.openxmlformats.org/officeDocument/2006/relationships/worksheet" Target="/xl/worksheets/sheet5.xml" Id="R4b8e1e5198ff4ffa" /><Relationship Type="http://schemas.openxmlformats.org/officeDocument/2006/relationships/worksheet" Target="/xl/worksheets/sheet6.xml" Id="Rabd7d19dd4fc41ed" /></Relationships>
</file>

<file path=xl/tables/table1.xml><?xml version="1.0" encoding="utf-8"?>
<x:table xmlns:x="http://schemas.openxmlformats.org/spreadsheetml/2006/main" id="1" name="HS067SpeciesTable" displayName="HS067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67CommercialTable" displayName="HS06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67FunctionalTable" displayName="HS067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67ValidationTable" displayName="HS06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b99f95976a4c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c9a144e6be4c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74cb3275f743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b4ab2bd407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HS_067</x:v>
      </x:c>
      <x:c r="B2" s="46" t="str">
        <x:v>Pacific, Northeast</x:v>
      </x:c>
      <x:c r="C2" s="46" t="str">
        <x:v>High Seas</x:v>
      </x:c>
      <x:c r="D2" s="58" t="n">
        <x:v>2019</x:v>
      </x:c>
      <x:c r="E2" s="46" t="str">
        <x:v>Thunnus alalunga</x:v>
      </x:c>
      <x:c r="F2" s="46" t="str">
        <x:v>Albacore</x:v>
      </x:c>
      <x:c r="G2" s="46" t="str">
        <x:v>Large pelagics (&gt;=90 cm)</x:v>
      </x:c>
      <x:c r="H2" s="46" t="str">
        <x:v>Tuna &amp; billfishes</x:v>
      </x:c>
      <x:c r="I2" s="60" t="n">
        <x:v>234.1920153673</x:v>
      </x:c>
      <x:c r="J2" s="60" t="n">
        <x:v>234.1920153673</x:v>
      </x:c>
      <x:c r="K2" s="60" t="n">
        <x:v>0</x:v>
      </x:c>
      <x:c r="L2" s="60" t="n">
        <x:v>234.1920153673</x:v>
      </x:c>
      <x:c r="M2" s="60" t="n">
        <x:v>0</x:v>
      </x:c>
      <x:c r="N2" s="46" t="str">
        <x:v>thunnus alalunga</x:v>
      </x:c>
      <x:c r="O2" s="62" t="n">
        <x:v>4.3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alalunga</x:v>
      </x:c>
      <x:c r="T2" s="62" t="n">
        <x:f>IF(O2="","",(1/'Metadata'!$B$5)^(O2-1))</x:f>
        <x:v>19651.648417852637</x:v>
      </x:c>
      <x:c r="U2" s="60" t="n">
        <x:f>IF(T2="","",I2*T2)</x:f>
        <x:v>4602259.148266521</x:v>
      </x:c>
    </x:row>
    <x:row r="3" ht="18" customHeight="1">
      <x:c r="A3" s="46" t="str">
        <x:v>HS_067</x:v>
      </x:c>
      <x:c r="B3" s="46" t="str">
        <x:v>Pacific, Northeast</x:v>
      </x:c>
      <x:c r="C3" s="46" t="str">
        <x:v>High Seas</x:v>
      </x:c>
      <x:c r="D3" s="58" t="n">
        <x:v>2019</x:v>
      </x:c>
      <x:c r="E3" s="46" t="str">
        <x:v>Prionace glauca</x:v>
      </x:c>
      <x:c r="F3" s="46" t="str">
        <x:v>Blue shark</x:v>
      </x:c>
      <x:c r="G3" s="46" t="str">
        <x:v>Large sharks (&gt;=90 cm)</x:v>
      </x:c>
      <x:c r="H3" s="46" t="str">
        <x:v>Sharks &amp; rays</x:v>
      </x:c>
      <x:c r="I3" s="60" t="n">
        <x:v>46.3154993586</x:v>
      </x:c>
      <x:c r="J3" s="60" t="n">
        <x:v>0</x:v>
      </x:c>
      <x:c r="K3" s="60" t="n">
        <x:v>46.3154993586</x:v>
      </x:c>
      <x:c r="L3" s="60" t="n">
        <x:v>0</x:v>
      </x:c>
      <x:c r="M3" s="60" t="n">
        <x:v>46.3154993586</x:v>
      </x:c>
      <x:c r="N3" s="46" t="str">
        <x:v>prionace glauca</x:v>
      </x:c>
      <x:c r="O3" s="62" t="n">
        <x:v>4.35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Prionace glauca</x:v>
      </x:c>
      <x:c r="T3" s="62" t="n">
        <x:f>IF(O3="","",(1/'Metadata'!$B$5)^(O3-1))</x:f>
        <x:v>22827.086550132422</x:v>
      </x:c>
      <x:c r="U3" s="60" t="n">
        <x:f>IF(T3="","",I3*T3)</x:f>
        <x:v>1057247.912471365</x:v>
      </x:c>
    </x:row>
    <x:row r="4" ht="18" customHeight="1">
      <x:c r="A4" s="46" t="str">
        <x:v>HS_067</x:v>
      </x:c>
      <x:c r="B4" s="46" t="str">
        <x:v>Pacific, Northeast</x:v>
      </x:c>
      <x:c r="C4" s="46" t="str">
        <x:v>High Seas</x:v>
      </x:c>
      <x:c r="D4" s="58" t="n">
        <x:v>2019</x:v>
      </x:c>
      <x:c r="E4" s="46" t="str">
        <x:v>Elasmobranchii</x:v>
      </x:c>
      <x:c r="F4" s="46" t="str">
        <x:v>Sharks, rays, skates</x:v>
      </x:c>
      <x:c r="G4" s="46" t="str">
        <x:v>Large sharks (&gt;=90 cm)</x:v>
      </x:c>
      <x:c r="H4" s="46" t="str">
        <x:v>Sharks &amp; rays</x:v>
      </x:c>
      <x:c r="I4" s="60" t="n">
        <x:v>45.259104008</x:v>
      </x:c>
      <x:c r="J4" s="60" t="n">
        <x:v>45.2576744264</x:v>
      </x:c>
      <x:c r="K4" s="60" t="n">
        <x:v>0.0014295815999999999</x:v>
      </x:c>
      <x:c r="L4" s="60" t="n">
        <x:v>45.2576744264</x:v>
      </x:c>
      <x:c r="M4" s="60" t="n">
        <x:v>0.0014295815999999999</x:v>
      </x:c>
      <x:c r="N4" s="46" t="str">
        <x:v>elasmobranchii</x:v>
      </x:c>
      <x:c r="O4" s="62" t="n">
        <x:v>4.05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Elasmobranchii</x:v>
      </x:c>
      <x:c r="T4" s="62" t="n">
        <x:f>IF(O4="","",(1/'Metadata'!$B$5)^(O4-1))</x:f>
        <x:v>9292.690797132333</x:v>
      </x:c>
      <x:c r="U4" s="60" t="n">
        <x:f>IF(T4="","",I4*T4)</x:f>
        <x:v>420578.8593015967</x:v>
      </x:c>
    </x:row>
    <x:row r="5" ht="18" customHeight="1">
      <x:c r="A5" s="46" t="str">
        <x:v>HS_067</x:v>
      </x:c>
      <x:c r="B5" s="46" t="str">
        <x:v>Pacific, Northeast</x:v>
      </x:c>
      <x:c r="C5" s="46" t="str">
        <x:v>High Seas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20.615099850300002</x:v>
      </x:c>
      <x:c r="J5" s="60" t="n">
        <x:v>0</x:v>
      </x:c>
      <x:c r="K5" s="60" t="n">
        <x:v>20.615099850300002</x:v>
      </x:c>
      <x:c r="L5" s="60" t="n">
        <x:v>0</x:v>
      </x:c>
      <x:c r="M5" s="60" t="n">
        <x:v>20.615099850300002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19078.04341623834</x:v>
      </x:c>
    </x:row>
    <x:row r="6" ht="18" customHeight="1">
      <x:c r="A6" s="46" t="str">
        <x:v>HS_067</x:v>
      </x:c>
      <x:c r="B6" s="46" t="str">
        <x:v>Pacific, Northeast</x:v>
      </x:c>
      <x:c r="C6" s="46" t="str">
        <x:v>High Seas</x:v>
      </x:c>
      <x:c r="D6" s="58" t="n">
        <x:v>2019</x:v>
      </x:c>
      <x:c r="E6" s="46" t="str">
        <x:v>Thunnus obesus</x:v>
      </x:c>
      <x:c r="F6" s="46" t="str">
        <x:v>Bigeye tuna</x:v>
      </x:c>
      <x:c r="G6" s="46" t="str">
        <x:v>Large pelagics (&gt;=90 cm)</x:v>
      </x:c>
      <x:c r="H6" s="46" t="str">
        <x:v>Tuna &amp; billfishes</x:v>
      </x:c>
      <x:c r="I6" s="60" t="n">
        <x:v>14.4422173504</x:v>
      </x:c>
      <x:c r="J6" s="60" t="n">
        <x:v>14.0730464082</x:v>
      </x:c>
      <x:c r="K6" s="60" t="n">
        <x:v>0.3691709422</x:v>
      </x:c>
      <x:c r="L6" s="60" t="n">
        <x:v>14.0730464082</x:v>
      </x:c>
      <x:c r="M6" s="60" t="n">
        <x:v>0.3691709422</x:v>
      </x:c>
      <x:c r="N6" s="46" t="str">
        <x:v>thunnus obesus</x:v>
      </x:c>
      <x:c r="O6" s="62" t="n">
        <x:v>4.49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obesus</x:v>
      </x:c>
      <x:c r="T6" s="62" t="n">
        <x:f>IF(O6="","",(1/'Metadata'!$B$5)^(O6-1))</x:f>
        <x:v>34721.19667768202</x:v>
      </x:c>
      <x:c r="U6" s="60" t="n">
        <x:f>IF(T6="","",I6*T6)</x:f>
        <x:v>501451.0690850701</x:v>
      </x:c>
    </x:row>
    <x:row r="7" ht="18" customHeight="1">
      <x:c r="A7" s="46" t="str">
        <x:v>HS_067</x:v>
      </x:c>
      <x:c r="B7" s="46" t="str">
        <x:v>Pacific, Northeast</x:v>
      </x:c>
      <x:c r="C7" s="46" t="str">
        <x:v>High Seas</x:v>
      </x:c>
      <x:c r="D7" s="58" t="n">
        <x:v>2019</x:v>
      </x:c>
      <x:c r="E7" s="46" t="str">
        <x:v>Marine pelagic fishes not identified</x:v>
      </x:c>
      <x:c r="F7" s="46" t="str">
        <x:v>Pelagic fishes</x:v>
      </x:c>
      <x:c r="G7" s="46" t="str">
        <x:v>Medium pelagics (30 - 89 cm)</x:v>
      </x:c>
      <x:c r="H7" s="46" t="str">
        <x:v>Other fishes &amp; inverts</x:v>
      </x:c>
      <x:c r="I7" s="60" t="n">
        <x:v>11.8019136371</x:v>
      </x:c>
      <x:c r="J7" s="60" t="n">
        <x:v>0.14994273349999998</x:v>
      </x:c>
      <x:c r="K7" s="60" t="n">
        <x:v>11.6519709036</x:v>
      </x:c>
      <x:c r="L7" s="60" t="n">
        <x:v>0.14994273349999998</x:v>
      </x:c>
      <x:c r="M7" s="60" t="n">
        <x:v>11.6519709036</x:v>
      </x:c>
      <x:c r="N7" s="46" t="str">
        <x:v>marine pelagic fishes not identified</x:v>
      </x:c>
      <x:c r="O7" s="62" t="n">
        <x:v>3.35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pelagic fishes not identified</x:v>
      </x:c>
      <x:c r="T7" s="62" t="n">
        <x:f>IF(O7="","",(1/'Metadata'!$B$5)^(O7-1))</x:f>
        <x:v>1141.3543275066227</x:v>
      </x:c>
      <x:c r="U7" s="60" t="n">
        <x:f>IF(T7="","",I7*T7)</x:f>
        <x:v>13470.16520256351</x:v>
      </x:c>
    </x:row>
    <x:row r="8" ht="18" customHeight="1">
      <x:c r="A8" s="46" t="str">
        <x:v>HS_067</x:v>
      </x:c>
      <x:c r="B8" s="46" t="str">
        <x:v>Pacific, Northeast</x:v>
      </x:c>
      <x:c r="C8" s="46" t="str">
        <x:v>High Seas</x:v>
      </x:c>
      <x:c r="D8" s="58" t="n">
        <x:v>2019</x:v>
      </x:c>
      <x:c r="E8" s="46" t="str">
        <x:v>Xiphias gladius</x:v>
      </x:c>
      <x:c r="F8" s="46" t="str">
        <x:v>Swordfish</x:v>
      </x:c>
      <x:c r="G8" s="46" t="str">
        <x:v>Large pelagics (&gt;=90 cm)</x:v>
      </x:c>
      <x:c r="H8" s="46" t="str">
        <x:v>Tuna &amp; billfishes</x:v>
      </x:c>
      <x:c r="I8" s="60" t="n">
        <x:v>9.4923856665</x:v>
      </x:c>
      <x:c r="J8" s="60" t="n">
        <x:v>1.9001113754</x:v>
      </x:c>
      <x:c r="K8" s="60" t="n">
        <x:v>7.5922742911</x:v>
      </x:c>
      <x:c r="L8" s="60" t="n">
        <x:v>1.9001113754</x:v>
      </x:c>
      <x:c r="M8" s="60" t="n">
        <x:v>7.5922742911</x:v>
      </x:c>
      <x:c r="N8" s="46" t="str">
        <x:v>xiphias gladius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Xiphias gladius</x:v>
      </x:c>
      <x:c r="T8" s="62" t="n">
        <x:f>IF(O8="","",(1/'Metadata'!$B$5)^(O8-1))</x:f>
        <x:v>39141.35758252625</x:v>
      </x:c>
      <x:c r="U8" s="60" t="n">
        <x:f>IF(T8="","",I8*T8)</x:f>
        <x:v>371544.8616837233</x:v>
      </x:c>
    </x:row>
    <x:row r="9" ht="18" customHeight="1">
      <x:c r="A9" s="46" t="str">
        <x:v>HS_067</x:v>
      </x:c>
      <x:c r="B9" s="46" t="str">
        <x:v>Pacific, Northeast</x:v>
      </x:c>
      <x:c r="C9" s="46" t="str">
        <x:v>High Seas</x:v>
      </x:c>
      <x:c r="D9" s="58" t="n">
        <x:v>2019</x:v>
      </x:c>
      <x:c r="E9" s="46" t="str">
        <x:v>Scombridae</x:v>
      </x:c>
      <x:c r="F9" s="46" t="str">
        <x:v>Mackerels, tunas, bonitos</x:v>
      </x:c>
      <x:c r="G9" s="46" t="str">
        <x:v>Medium pelagics (30 - 89 cm)</x:v>
      </x:c>
      <x:c r="H9" s="46" t="str">
        <x:v>Perch-likes</x:v>
      </x:c>
      <x:c r="I9" s="60" t="n">
        <x:v>5.390235908999999</x:v>
      </x:c>
      <x:c r="J9" s="60" t="n">
        <x:v>0</x:v>
      </x:c>
      <x:c r="K9" s="60" t="n">
        <x:v>5.390235908999999</x:v>
      </x:c>
      <x:c r="L9" s="60" t="n">
        <x:v>0</x:v>
      </x:c>
      <x:c r="M9" s="60" t="n">
        <x:v>5.390235908999999</x:v>
      </x:c>
      <x:c r="N9" s="46" t="str">
        <x:v>scombridae</x:v>
      </x:c>
      <x:c r="O9" s="62" t="n">
        <x:v>4.26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Scombridae</x:v>
      </x:c>
      <x:c r="T9" s="62" t="n">
        <x:f>IF(O9="","",(1/'Metadata'!$B$5)^(O9-1))</x:f>
        <x:v>17432.42421569787</x:v>
      </x:c>
      <x:c r="U9" s="60" t="n">
        <x:f>IF(T9="","",I9*T9)</x:f>
        <x:v>93964.8789883758</x:v>
      </x:c>
    </x:row>
    <x:row r="10" ht="18" customHeight="1">
      <x:c r="A10" s="46" t="str">
        <x:v>HS_067</x:v>
      </x:c>
      <x:c r="B10" s="46" t="str">
        <x:v>Pacific, Northeast</x:v>
      </x:c>
      <x:c r="C10" s="46" t="str">
        <x:v>High Seas</x:v>
      </x:c>
      <x:c r="D10" s="58" t="n">
        <x:v>2019</x:v>
      </x:c>
      <x:c r="E10" s="46" t="str">
        <x:v>Isurus</x:v>
      </x:c>
      <x:c r="F10" s="46" t="str">
        <x:v>Mako sharks</x:v>
      </x:c>
      <x:c r="G10" s="46" t="str">
        <x:v>Large sharks (&gt;=90 cm)</x:v>
      </x:c>
      <x:c r="H10" s="46" t="str">
        <x:v>Sharks &amp; rays</x:v>
      </x:c>
      <x:c r="I10" s="60" t="n">
        <x:v>5.3885250996</x:v>
      </x:c>
      <x:c r="J10" s="60" t="n">
        <x:v>0</x:v>
      </x:c>
      <x:c r="K10" s="60" t="n">
        <x:v>5.3885250996</x:v>
      </x:c>
      <x:c r="L10" s="60" t="n">
        <x:v>0</x:v>
      </x:c>
      <x:c r="M10" s="60" t="n">
        <x:v>5.3885250996</x:v>
      </x:c>
      <x:c r="N10" s="46" t="str">
        <x:v>isurus</x:v>
      </x:c>
      <x:c r="O10" s="62" t="n">
        <x:v>4.5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Isurus</x:v>
      </x:c>
      <x:c r="T10" s="62" t="n">
        <x:f>IF(O10="","",(1/'Metadata'!$B$5)^(O10-1))</x:f>
        <x:v>35777.08763999664</x:v>
      </x:c>
      <x:c r="U10" s="60" t="n">
        <x:f>IF(T10="","",I10*T10)</x:f>
        <x:v>192785.7347387108</x:v>
      </x:c>
    </x:row>
    <x:row r="11" ht="18" customHeight="1">
      <x:c r="A11" s="46" t="str">
        <x:v>HS_067</x:v>
      </x:c>
      <x:c r="B11" s="46" t="str">
        <x:v>Pacific, Northeast</x:v>
      </x:c>
      <x:c r="C11" s="46" t="str">
        <x:v>High Seas</x:v>
      </x:c>
      <x:c r="D11" s="58" t="n">
        <x:v>2019</x:v>
      </x:c>
      <x:c r="E11" s="46" t="str">
        <x:v>Thunnus albacares</x:v>
      </x:c>
      <x:c r="F11" s="46" t="str">
        <x:v>Yellowfin tuna</x:v>
      </x:c>
      <x:c r="G11" s="46" t="str">
        <x:v>Large pelagics (&gt;=90 cm)</x:v>
      </x:c>
      <x:c r="H11" s="46" t="str">
        <x:v>Tuna &amp; billfishes</x:v>
      </x:c>
      <x:c r="I11" s="60" t="n">
        <x:v>5.1379067947</x:v>
      </x:c>
      <x:c r="J11" s="60" t="n">
        <x:v>4.4511383345999995</x:v>
      </x:c>
      <x:c r="K11" s="60" t="n">
        <x:v>0.6867684601</x:v>
      </x:c>
      <x:c r="L11" s="60" t="n">
        <x:v>4.4511383345999995</x:v>
      </x:c>
      <x:c r="M11" s="60" t="n">
        <x:v>0.6867684601</x:v>
      </x:c>
      <x:c r="N11" s="46" t="str">
        <x:v>thunnus albacares</x:v>
      </x:c>
      <x:c r="O11" s="62" t="n">
        <x:v>4.41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Thunnus albacares</x:v>
      </x:c>
      <x:c r="T11" s="62" t="n">
        <x:f>IF(O11="","",(1/'Metadata'!$B$5)^(O11-1))</x:f>
        <x:v>27321.987305427916</x:v>
      </x:c>
      <x:c r="U11" s="60" t="n">
        <x:f>IF(T11="","",I11*T11)</x:f>
        <x:v>140377.82422126524</x:v>
      </x:c>
    </x:row>
    <x:row r="12" ht="18" customHeight="1">
      <x:c r="A12" s="46" t="str">
        <x:v>HS_067</x:v>
      </x:c>
      <x:c r="B12" s="46" t="str">
        <x:v>Pacific, Northeast</x:v>
      </x:c>
      <x:c r="C12" s="46" t="str">
        <x:v>High Seas</x:v>
      </x:c>
      <x:c r="D12" s="58" t="n">
        <x:v>2019</x:v>
      </x:c>
      <x:c r="E12" s="46" t="str">
        <x:v>Kajikia audax</x:v>
      </x:c>
      <x:c r="F12" s="46" t="str">
        <x:v>Striped marlin</x:v>
      </x:c>
      <x:c r="G12" s="46" t="str">
        <x:v>Large pelagics (&gt;=90 cm)</x:v>
      </x:c>
      <x:c r="H12" s="46" t="str">
        <x:v>Tuna &amp; billfishes</x:v>
      </x:c>
      <x:c r="I12" s="60" t="n">
        <x:v>2.4566723779</x:v>
      </x:c>
      <x:c r="J12" s="60" t="n">
        <x:v>2.4566723779</x:v>
      </x:c>
      <x:c r="K12" s="60" t="n">
        <x:v>0</x:v>
      </x:c>
      <x:c r="L12" s="60" t="n">
        <x:v>2.4566723779</x:v>
      </x:c>
      <x:c r="M12" s="60" t="n">
        <x:v>0</x:v>
      </x:c>
      <x:c r="N12" s="46" t="str">
        <x:v>kajikia audax</x:v>
      </x:c>
      <x:c r="O12" s="62" t="n">
        <x:v>4.58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Kajikia audax</x:v>
      </x:c>
      <x:c r="T12" s="62" t="n">
        <x:f>IF(O12="","",(1/'Metadata'!$B$5)^(O12-1))</x:f>
        <x:v>45466.06667430095</x:v>
      </x:c>
      <x:c r="U12" s="60" t="n">
        <x:f>IF(T12="","",I12*T12)</x:f>
        <x:v>111695.23013051486</x:v>
      </x:c>
    </x:row>
    <x:row r="13" ht="18" customHeight="1">
      <x:c r="A13" s="46" t="str">
        <x:v>HS_067</x:v>
      </x:c>
      <x:c r="B13" s="46" t="str">
        <x:v>Pacific, Northeast</x:v>
      </x:c>
      <x:c r="C13" s="46" t="str">
        <x:v>High Seas</x:v>
      </x:c>
      <x:c r="D13" s="58" t="n">
        <x:v>2019</x:v>
      </x:c>
      <x:c r="E13" s="46" t="str">
        <x:v>Istiophoridae</x:v>
      </x:c>
      <x:c r="F13" s="46" t="str">
        <x:v>Billfishes</x:v>
      </x:c>
      <x:c r="G13" s="46" t="str">
        <x:v>Large pelagics (&gt;=90 cm)</x:v>
      </x:c>
      <x:c r="H13" s="46" t="str">
        <x:v>Tuna &amp; billfishes</x:v>
      </x:c>
      <x:c r="I13" s="60" t="n">
        <x:v>1.4220674051</x:v>
      </x:c>
      <x:c r="J13" s="60" t="n">
        <x:v>0.2554043463</x:v>
      </x:c>
      <x:c r="K13" s="60" t="n">
        <x:v>1.1666630588</x:v>
      </x:c>
      <x:c r="L13" s="60" t="n">
        <x:v>0.2554043463</x:v>
      </x:c>
      <x:c r="M13" s="60" t="n">
        <x:v>1.1666630588</x:v>
      </x:c>
      <x:c r="N13" s="46" t="str">
        <x:v>istiophoridae</x:v>
      </x:c>
      <x:c r="O13" s="62" t="n">
        <x:v>4.48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Istiophoridae</x:v>
      </x:c>
      <x:c r="T13" s="62" t="n">
        <x:f>IF(O13="","",(1/'Metadata'!$B$5)^(O13-1))</x:f>
        <x:v>33696.468277717824</x:v>
      </x:c>
      <x:c r="U13" s="60" t="n">
        <x:f>IF(T13="","",I13*T13)</x:f>
        <x:v>47918.64920472865</x:v>
      </x:c>
    </x:row>
    <x:row r="14" ht="18" customHeight="1">
      <x:c r="A14" s="46" t="str">
        <x:v>HS_067</x:v>
      </x:c>
      <x:c r="B14" s="46" t="str">
        <x:v>Pacific, Northeast</x:v>
      </x:c>
      <x:c r="C14" s="46" t="str">
        <x:v>High Seas</x:v>
      </x:c>
      <x:c r="D14" s="58" t="n">
        <x:v>2019</x:v>
      </x:c>
      <x:c r="E14" s="46" t="str">
        <x:v>Katsuwonus pelamis</x:v>
      </x:c>
      <x:c r="F14" s="46" t="str">
        <x:v>Skipjack tuna</x:v>
      </x:c>
      <x:c r="G14" s="46" t="str">
        <x:v>Large pelagics (&gt;=90 cm)</x:v>
      </x:c>
      <x:c r="H14" s="46" t="str">
        <x:v>Tuna &amp; billfishes</x:v>
      </x:c>
      <x:c r="I14" s="60" t="n">
        <x:v>0.3566784183</x:v>
      </x:c>
      <x:c r="J14" s="60" t="n">
        <x:v>0.3566784183</x:v>
      </x:c>
      <x:c r="K14" s="60" t="n">
        <x:v>0</x:v>
      </x:c>
      <x:c r="L14" s="60" t="n">
        <x:v>0.3566784183</x:v>
      </x:c>
      <x:c r="M14" s="60" t="n">
        <x:v>0</x:v>
      </x:c>
      <x:c r="N14" s="46" t="str">
        <x:v>katsuwonus pelamis</x:v>
      </x:c>
      <x:c r="O14" s="62" t="n">
        <x:v>4.43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Katsuwonus pelamis</x:v>
      </x:c>
      <x:c r="T14" s="62" t="n">
        <x:f>IF(O14="","",(1/'Metadata'!$B$5)^(O14-1))</x:f>
        <x:v>29009.008489223597</x:v>
      </x:c>
      <x:c r="U14" s="60" t="n">
        <x:f>IF(T14="","",I14*T14)</x:f>
        <x:v>10346.887264387546</x:v>
      </x:c>
    </x:row>
    <x:row r="15" ht="18" customHeight="1">
      <x:c r="A15" s="46" t="str">
        <x:v>HS_067</x:v>
      </x:c>
      <x:c r="B15" s="46" t="str">
        <x:v>Pacific, Northeast</x:v>
      </x:c>
      <x:c r="C15" s="46" t="str">
        <x:v>High Seas</x:v>
      </x:c>
      <x:c r="D15" s="58" t="n">
        <x:v>2019</x:v>
      </x:c>
      <x:c r="E15" s="46" t="str">
        <x:v>Alopias</x:v>
      </x:c>
      <x:c r="F15" s="46" t="str">
        <x:v>Thresher sharks</x:v>
      </x:c>
      <x:c r="G15" s="46" t="str">
        <x:v>Large sharks (&gt;=90 cm)</x:v>
      </x:c>
      <x:c r="H15" s="46" t="str">
        <x:v>Sharks &amp; rays</x:v>
      </x:c>
      <x:c r="I15" s="60" t="n">
        <x:v>0.0168122533</x:v>
      </x:c>
      <x:c r="J15" s="60" t="n">
        <x:v>0</x:v>
      </x:c>
      <x:c r="K15" s="60" t="n">
        <x:v>0.0168122533</x:v>
      </x:c>
      <x:c r="L15" s="60" t="n">
        <x:v>0</x:v>
      </x:c>
      <x:c r="M15" s="60" t="n">
        <x:v>0.0168122533</x:v>
      </x:c>
      <x:c r="N15" s="46" t="str">
        <x:v>alopias</x:v>
      </x:c>
      <x:c r="O15" s="62" t="n">
        <x:v>4.5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Alopias</x:v>
      </x:c>
      <x:c r="T15" s="62" t="n">
        <x:f>IF(O15="","",(1/'Metadata'!$B$5)^(O15-1))</x:f>
        <x:v>35777.08763999664</x:v>
      </x:c>
      <x:c r="U15" s="60" t="n">
        <x:f>IF(T15="","",I15*T15)</x:f>
        <x:v>601.4934597399226</x:v>
      </x:c>
    </x:row>
    <x:row r="16" ht="18" customHeight="1">
      <x:c r="A16" s="46" t="str">
        <x:v>HS_067</x:v>
      </x:c>
      <x:c r="B16" s="46" t="str">
        <x:v>Pacific, Northeast</x:v>
      </x:c>
      <x:c r="C16" s="46" t="str">
        <x:v>High Seas</x:v>
      </x:c>
      <x:c r="D16" s="58" t="n">
        <x:v>2019</x:v>
      </x:c>
      <x:c r="E16" s="46" t="str">
        <x:v>Thunnus orientalis</x:v>
      </x:c>
      <x:c r="F16" s="46" t="str">
        <x:v>Pacific bluefin tuna</x:v>
      </x:c>
      <x:c r="G16" s="46" t="str">
        <x:v>Large pelagics (&gt;=90 cm)</x:v>
      </x:c>
      <x:c r="H16" s="46" t="str">
        <x:v>Tuna &amp; billfishes</x:v>
      </x:c>
      <x:c r="I16" s="60" t="n">
        <x:v>0.0030567733</x:v>
      </x:c>
      <x:c r="J16" s="60" t="n">
        <x:v>0</x:v>
      </x:c>
      <x:c r="K16" s="60" t="n">
        <x:v>0.0030567733</x:v>
      </x:c>
      <x:c r="L16" s="60" t="n">
        <x:v>0</x:v>
      </x:c>
      <x:c r="M16" s="60" t="n">
        <x:v>0.0030567733</x:v>
      </x:c>
      <x:c r="N16" s="46" t="str">
        <x:v>thunnus orientalis</x:v>
      </x:c>
      <x:c r="O16" s="62" t="n">
        <x:v>4.05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Thunnus orientalis</x:v>
      </x:c>
      <x:c r="T16" s="62" t="n">
        <x:f>IF(O16="","",(1/'Metadata'!$B$5)^(O16-1))</x:f>
        <x:v>9292.690797132333</x:v>
      </x:c>
      <x:c r="U16" s="60" t="n">
        <x:f>IF(T16="","",I16*T16)</x:f>
        <x:v>28.40564911382983</x:v>
      </x:c>
    </x:row>
    <x:row r="17" ht="18" customHeight="1">
      <x:c r="A17" s="46" t="str">
        <x:v>HS_067</x:v>
      </x:c>
      <x:c r="B17" s="46" t="str">
        <x:v>Pacific, Northeast</x:v>
      </x:c>
      <x:c r="C17" s="46" t="str">
        <x:v>High Seas</x:v>
      </x:c>
      <x:c r="D17" s="58" t="n">
        <x:v>2019</x:v>
      </x:c>
      <x:c r="E17" s="46" t="str">
        <x:v>Carangidae</x:v>
      </x:c>
      <x:c r="F17" s="46" t="str">
        <x:v>Jacks, pompanos</x:v>
      </x:c>
      <x:c r="G17" s="46" t="str">
        <x:v>Medium pelagics (30 - 89 cm)</x:v>
      </x:c>
      <x:c r="H17" s="46" t="str">
        <x:v>Perch-likes</x:v>
      </x:c>
      <x:c r="I17" s="60" t="n">
        <x:v>0.0012051393</x:v>
      </x:c>
      <x:c r="J17" s="60" t="n">
        <x:v>0.0003138984</x:v>
      </x:c>
      <x:c r="K17" s="60" t="n">
        <x:v>0.0008912409</x:v>
      </x:c>
      <x:c r="L17" s="60" t="n">
        <x:v>0.0003138984</x:v>
      </x:c>
      <x:c r="M17" s="60" t="n">
        <x:v>0.0008912409</x:v>
      </x:c>
      <x:c r="N17" s="46" t="str">
        <x:v>carangidae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Carangidae</x:v>
      </x:c>
      <x:c r="T17" s="62" t="n">
        <x:f>IF(O17="","",(1/'Metadata'!$B$5)^(O17-1))</x:f>
        <x:v>9292.690797132333</x:v>
      </x:c>
      <x:c r="U17" s="60" t="n">
        <x:f>IF(T17="","",I17*T17)</x:f>
        <x:v>11.1989868823725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ab99f95976a4c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32.4170134874</x:v>
      </x:c>
      <x:c r="E2" s="60" t="n">
        <x:v>32.4170134874</x:v>
      </x:c>
      <x:c r="F2" s="62" t="n">
        <x:v>0</x:v>
      </x:c>
      <x:c r="G2" s="66" t="n">
        <x:v>1</x:v>
      </x:c>
      <x:c r="H2" s="62" t="n">
        <x:f>IF(E2=0,"",I2/E2)</x:f>
        <x:v>1004.0471072837369</x:v>
      </x:c>
      <x:c r="I2" s="60" t="n">
        <x:f>SUMIF('Species'!$H$2:$H$17,A2,'Species'!$U$2:$U$17)</x:f>
        <x:v>32548.20861880185</x:v>
      </x:c>
      <x:c r="J2" s="62" t="n">
        <x:v>3.30548457941439</x:v>
      </x:c>
      <x:c r="K2" s="62" t="n">
        <x:f>IF(J2="","",(1/'Metadata'!$B$5)^(J2-1))</x:f>
        <x:v>998.8599321223423</x:v>
      </x:c>
      <x:c r="L2" s="60" t="n">
        <x:f>IF(E2=0,"",E2*K2)</x:f>
        <x:v>32380.05589163342</x:v>
      </x:c>
      <x:c r="M2" s="60" t="n">
        <x:f>I2-L2</x:f>
        <x:v>168.15272716843174</x:v>
      </x:c>
      <x:c r="N2" s="62" t="n">
        <x:f>IF(L2=0,"",I2/L2)</x:f>
        <x:v>1.0051930956429227</x:v>
      </x:c>
      <x:c r="O2" s="66" t="n">
        <x:f>IF(L2=0,"",M2/L2)</x:f>
        <x:v>0.005193095642922599</x:v>
      </x:c>
    </x:row>
    <x:row r="3" ht="18" customHeight="1">
      <x:c r="A3" s="46" t="str">
        <x:v>Perch-likes</x:v>
      </x:c>
      <x:c r="B3" s="64" t="n">
        <x:v>2</x:v>
      </x:c>
      <x:c r="C3" s="64" t="n">
        <x:v>2</x:v>
      </x:c>
      <x:c r="D3" s="60" t="n">
        <x:v>5.391441048299999</x:v>
      </x:c>
      <x:c r="E3" s="60" t="n">
        <x:v>5.391441048299999</x:v>
      </x:c>
      <x:c r="F3" s="62" t="n">
        <x:v>0</x:v>
      </x:c>
      <x:c r="G3" s="66" t="n">
        <x:v>1</x:v>
      </x:c>
      <x:c r="H3" s="62" t="n">
        <x:f>IF(E3=0,"",I3/E3)</x:f>
        <x:v>17430.60475545591</x:v>
      </x:c>
      <x:c r="I3" s="60" t="n">
        <x:f>SUMIF('Species'!$H$2:$H$17,A3,'Species'!$U$2:$U$17)</x:f>
        <x:v>93976.07797525817</x:v>
      </x:c>
      <x:c r="J3" s="62" t="n">
        <x:v>4.259953059070713</x:v>
      </x:c>
      <x:c r="K3" s="62" t="n">
        <x:f>IF(J3="","",(1/'Metadata'!$B$5)^(J3-1))</x:f>
        <x:v>17429.972997728608</x:v>
      </x:c>
      <x:c r="L3" s="60" t="n">
        <x:f>IF(E3=0,"",E3*K3)</x:f>
        <x:v>93972.6718907146</x:v>
      </x:c>
      <x:c r="M3" s="60" t="n">
        <x:f>I3-L3</x:f>
        <x:v>3.406084543574252</x:v>
      </x:c>
      <x:c r="N3" s="62" t="n">
        <x:f>IF(L3=0,"",I3/L3)</x:f>
        <x:v>1.0000362454794043</x:v>
      </x:c>
      <x:c r="O3" s="66" t="n">
        <x:f>IF(L3=0,"",M3/L3)</x:f>
        <x:v>0.00003624547940421822</x:v>
      </x:c>
    </x:row>
    <x:row r="4" ht="18" customHeight="1">
      <x:c r="A4" s="46" t="str">
        <x:v>Sharks &amp; rays</x:v>
      </x:c>
      <x:c r="B4" s="64" t="n">
        <x:v>4</x:v>
      </x:c>
      <x:c r="C4" s="64" t="n">
        <x:v>4</x:v>
      </x:c>
      <x:c r="D4" s="60" t="n">
        <x:v>96.97994071950001</x:v>
      </x:c>
      <x:c r="E4" s="60" t="n">
        <x:v>96.97994071950001</x:v>
      </x:c>
      <x:c r="F4" s="62" t="n">
        <x:v>0</x:v>
      </x:c>
      <x:c r="G4" s="66" t="n">
        <x:v>1</x:v>
      </x:c>
      <x:c r="H4" s="62" t="n">
        <x:f>IF(E4=0,"",I4/E4)</x:f>
        <x:v>17232.573948515284</x:v>
      </x:c>
      <x:c r="I4" s="60" t="n">
        <x:f>SUMIF('Species'!$H$2:$H$17,A4,'Species'!$U$2:$U$17)</x:f>
        <x:v>1671213.9999714124</x:v>
      </x:c>
      <x:c r="J4" s="62" t="n">
        <x:v>4.2183549350025755</x:v>
      </x:c>
      <x:c r="K4" s="62" t="n">
        <x:f>IF(J4="","",(1/'Metadata'!$B$5)^(J4-1))</x:f>
        <x:v>15387.791996682343</x:v>
      </x:c>
      <x:c r="L4" s="60" t="n">
        <x:f>IF(E4=0,"",E4*K4)</x:f>
        <x:v>1492307.1556422503</x:v>
      </x:c>
      <x:c r="M4" s="60" t="n">
        <x:f>I4-L4</x:f>
        <x:v>178906.84432916204</x:v>
      </x:c>
      <x:c r="N4" s="62" t="n">
        <x:f>IF(L4=0,"",I4/L4)</x:f>
        <x:v>1.1198860728186786</x:v>
      </x:c>
      <x:c r="O4" s="66" t="n">
        <x:f>IF(L4=0,"",M4/L4)</x:f>
        <x:v>0.11988607281867865</x:v>
      </x:c>
    </x:row>
    <x:row r="5" ht="18" customHeight="1">
      <x:c r="A5" s="46" t="str">
        <x:v>Tuna &amp; billfishes</x:v>
      </x:c>
      <x:c r="B5" s="64" t="n">
        <x:v>8</x:v>
      </x:c>
      <x:c r="C5" s="64" t="n">
        <x:v>8</x:v>
      </x:c>
      <x:c r="D5" s="60" t="n">
        <x:v>267.5030001535</x:v>
      </x:c>
      <x:c r="E5" s="60" t="n">
        <x:v>267.5030001535</x:v>
      </x:c>
      <x:c r="F5" s="62" t="n">
        <x:v>0</x:v>
      </x:c>
      <x:c r="G5" s="66" t="n">
        <x:v>1</x:v>
      </x:c>
      <x:c r="H5" s="62" t="n">
        <x:f>IF(E5=0,"",I5/E5)</x:f>
        <x:v>21628.251167969658</x:v>
      </x:c>
      <x:c r="I5" s="60" t="n">
        <x:f>SUMIF('Species'!$H$2:$H$17,A5,'Species'!$U$2:$U$17)</x:f>
        <x:v>5785622.075505325</x:v>
      </x:c>
      <x:c r="J5" s="62" t="n">
        <x:v>4.324231070841645</x:v>
      </x:c>
      <x:c r="K5" s="62" t="n">
        <x:f>IF(J5="","",(1/'Metadata'!$B$5)^(J5-1))</x:f>
        <x:v>21131.20852394149</x:v>
      </x:c>
      <x:c r="L5" s="60" t="n">
        <x:f>IF(E5=0,"",E5*K5)</x:f>
        <x:v>5652661.677023561</x:v>
      </x:c>
      <x:c r="M5" s="60" t="n">
        <x:f>I5-L5</x:f>
        <x:v>132960.3984817639</x:v>
      </x:c>
      <x:c r="N5" s="62" t="n">
        <x:f>IF(L5=0,"",I5/L5)</x:f>
        <x:v>1.0235217329602813</x:v>
      </x:c>
      <x:c r="O5" s="66" t="n">
        <x:f>IF(L5=0,"",M5/L5)</x:f>
        <x:v>0.02352173296028127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9c9a144e6be4c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8</x:v>
      </x:c>
      <x:c r="C2" s="64" t="n">
        <x:v>8</x:v>
      </x:c>
      <x:c r="D2" s="60" t="n">
        <x:v>267.5030001535</x:v>
      </x:c>
      <x:c r="E2" s="60" t="n">
        <x:v>267.5030001535</x:v>
      </x:c>
      <x:c r="F2" s="62" t="n">
        <x:v>0</x:v>
      </x:c>
      <x:c r="G2" s="66" t="n">
        <x:v>1</x:v>
      </x:c>
      <x:c r="H2" s="62" t="n">
        <x:f>IF(E2=0,"",I2/E2)</x:f>
        <x:v>21628.251167969658</x:v>
      </x:c>
      <x:c r="I2" s="60" t="n">
        <x:f>SUMIF('Species'!$G$2:$G$17,A2,'Species'!$U$2:$U$17)</x:f>
        <x:v>5785622.075505325</x:v>
      </x:c>
      <x:c r="J2" s="62" t="n">
        <x:v>4.324231070841645</x:v>
      </x:c>
      <x:c r="K2" s="62" t="n">
        <x:f>IF(J2="","",(1/'Metadata'!$B$5)^(J2-1))</x:f>
        <x:v>21131.20852394149</x:v>
      </x:c>
      <x:c r="L2" s="60" t="n">
        <x:f>IF(E2=0,"",E2*K2)</x:f>
        <x:v>5652661.677023561</x:v>
      </x:c>
      <x:c r="M2" s="60" t="n">
        <x:f>I2-L2</x:f>
        <x:v>132960.3984817639</x:v>
      </x:c>
      <x:c r="N2" s="62" t="n">
        <x:f>IF(L2=0,"",I2/L2)</x:f>
        <x:v>1.0235217329602813</x:v>
      </x:c>
      <x:c r="O2" s="66" t="n">
        <x:f>IF(L2=0,"",M2/L2)</x:f>
        <x:v>0.02352173296028127</x:v>
      </x:c>
    </x:row>
    <x:row r="3" ht="18" customHeight="1">
      <x:c r="A3" s="46" t="str">
        <x:v>Large sharks (&gt;=90 cm)</x:v>
      </x:c>
      <x:c r="B3" s="64" t="n">
        <x:v>4</x:v>
      </x:c>
      <x:c r="C3" s="64" t="n">
        <x:v>4</x:v>
      </x:c>
      <x:c r="D3" s="60" t="n">
        <x:v>96.97994071950001</x:v>
      </x:c>
      <x:c r="E3" s="60" t="n">
        <x:v>96.97994071950001</x:v>
      </x:c>
      <x:c r="F3" s="62" t="n">
        <x:v>0</x:v>
      </x:c>
      <x:c r="G3" s="66" t="n">
        <x:v>1</x:v>
      </x:c>
      <x:c r="H3" s="62" t="n">
        <x:f>IF(E3=0,"",I3/E3)</x:f>
        <x:v>17232.573948515284</x:v>
      </x:c>
      <x:c r="I3" s="60" t="n">
        <x:f>SUMIF('Species'!$G$2:$G$17,A3,'Species'!$U$2:$U$17)</x:f>
        <x:v>1671213.9999714124</x:v>
      </x:c>
      <x:c r="J3" s="62" t="n">
        <x:v>4.2183549350025755</x:v>
      </x:c>
      <x:c r="K3" s="62" t="n">
        <x:f>IF(J3="","",(1/'Metadata'!$B$5)^(J3-1))</x:f>
        <x:v>15387.791996682343</x:v>
      </x:c>
      <x:c r="L3" s="60" t="n">
        <x:f>IF(E3=0,"",E3*K3)</x:f>
        <x:v>1492307.1556422503</x:v>
      </x:c>
      <x:c r="M3" s="60" t="n">
        <x:f>I3-L3</x:f>
        <x:v>178906.84432916204</x:v>
      </x:c>
      <x:c r="N3" s="62" t="n">
        <x:f>IF(L3=0,"",I3/L3)</x:f>
        <x:v>1.1198860728186786</x:v>
      </x:c>
      <x:c r="O3" s="66" t="n">
        <x:f>IF(L3=0,"",M3/L3)</x:f>
        <x:v>0.11988607281867865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20.615099850300002</x:v>
      </x:c>
      <x:c r="E4" s="60" t="n">
        <x:v>20.615099850300002</x:v>
      </x:c>
      <x:c r="F4" s="62" t="n">
        <x:v>0</x:v>
      </x:c>
      <x:c r="G4" s="66" t="n">
        <x:v>1</x:v>
      </x:c>
      <x:c r="H4" s="62" t="n">
        <x:f>IF(E4=0,"",I4/E4)</x:f>
        <x:v>925.4402624666747</x:v>
      </x:c>
      <x:c r="I4" s="60" t="n">
        <x:f>SUMIF('Species'!$G$2:$G$17,A4,'Species'!$U$2:$U$17)</x:f>
        <x:v>19078.04341623834</x:v>
      </x:c>
      <x:c r="J4" s="62" t="n">
        <x:v>3.2799999999999994</x:v>
      </x:c>
      <x:c r="K4" s="62" t="n">
        <x:f>IF(J4="","",(1/'Metadata'!$B$5)^(J4-1))</x:f>
        <x:v>925.4402624666734</x:v>
      </x:c>
      <x:c r="L4" s="60" t="n">
        <x:f>IF(E4=0,"",E4*K4)</x:f>
        <x:v>19078.043416238314</x:v>
      </x:c>
      <x:c r="M4" s="60" t="n">
        <x:f>I4-L4</x:f>
        <x:v>2.546585164964199e-11</x:v>
      </x:c>
      <x:c r="N4" s="62" t="n">
        <x:f>IF(L4=0,"",I4/L4)</x:f>
        <x:v>1.0000000000000013</x:v>
      </x:c>
      <x:c r="O4" s="66" t="n">
        <x:f>IF(L4=0,"",M4/L4)</x:f>
        <x:v>1.3348251229980262e-15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17.1933546854</x:v>
      </x:c>
      <x:c r="E5" s="60" t="n">
        <x:v>17.1933546854</x:v>
      </x:c>
      <x:c r="F5" s="62" t="n">
        <x:v>0</x:v>
      </x:c>
      <x:c r="G5" s="66" t="n">
        <x:v>1</x:v>
      </x:c>
      <x:c r="H5" s="62" t="n">
        <x:f>IF(E5=0,"",I5/E5)</x:f>
        <x:v>6249.289050557499</x:v>
      </x:c>
      <x:c r="I5" s="60" t="n">
        <x:f>SUMIF('Species'!$G$2:$G$17,A5,'Species'!$U$2:$U$17)</x:f>
        <x:v>107446.24317782169</x:v>
      </x:c>
      <x:c r="J5" s="62" t="n">
        <x:v>3.6353403750732816</x:v>
      </x:c>
      <x:c r="K5" s="62" t="n">
        <x:f>IF(J5="","",(1/'Metadata'!$B$5)^(J5-1))</x:f>
        <x:v>2683.2236722016487</x:v>
      </x:c>
      <x:c r="L5" s="60" t="n">
        <x:f>IF(E5=0,"",E5*K5)</x:f>
        <x:v>46133.61629642441</x:v>
      </x:c>
      <x:c r="M5" s="60" t="n">
        <x:f>I5-L5</x:f>
        <x:v>61312.62688139728</x:v>
      </x:c>
      <x:c r="N5" s="62" t="n">
        <x:f>IF(L5=0,"",I5/L5)</x:f>
        <x:v>2.32902277782523</x:v>
      </x:c>
      <x:c r="O5" s="66" t="n">
        <x:f>IF(L5=0,"",M5/L5)</x:f>
        <x:v>1.3290227778252304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474cb3275f743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HS_067</x:v>
      </x:c>
      <x:c r="B2" s="46" t="str">
        <x:v>raw_filtered_tonnes</x:v>
      </x:c>
      <x:c r="C2" s="46" t="n">
        <x:v>402.2913954087</x:v>
      </x:c>
      <x:c r="D2" s="46" t="str">
        <x:v>tonnes</x:v>
      </x:c>
    </x:row>
    <x:row r="3" ht="18" customHeight="1">
      <x:c r="A3" s="46" t="str">
        <x:v>HS_067</x:v>
      </x:c>
      <x:c r="B3" s="46" t="str">
        <x:v>species_catch_tonnes</x:v>
      </x:c>
      <x:c r="C3" s="46" t="n">
        <x:v>402.29139540870005</x:v>
      </x:c>
      <x:c r="D3" s="46" t="str">
        <x:v>tonnes</x:v>
      </x:c>
    </x:row>
    <x:row r="4" ht="18" customHeight="1">
      <x:c r="A4" s="46" t="str">
        <x:v>HS_067</x:v>
      </x:c>
      <x:c r="B4" s="46" t="str">
        <x:v>catch_difference_tonnes</x:v>
      </x:c>
      <x:c r="C4" s="46" t="n">
        <x:v>5.684341886080802e-14</x:v>
      </x:c>
      <x:c r="D4" s="46" t="str">
        <x:v>tonnes</x:v>
      </x:c>
    </x:row>
    <x:row r="5" ht="18" customHeight="1">
      <x:c r="A5" s="46" t="str">
        <x:v>HS_067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HS_067</x:v>
      </x:c>
      <x:c r="B6" s="46" t="str">
        <x:v>matched_catch_tonnes</x:v>
      </x:c>
      <x:c r="C6" s="46" t="n">
        <x:v>402.29139540870005</x:v>
      </x:c>
      <x:c r="D6" s="46" t="str">
        <x:v>tonnes</x:v>
      </x:c>
    </x:row>
    <x:row r="7" ht="18" customHeight="1">
      <x:c r="A7" s="46" t="str">
        <x:v>HS_067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HS_067</x:v>
      </x:c>
      <x:c r="B8" s="46" t="str">
        <x:v>taxa_count</x:v>
      </x:c>
      <x:c r="C8" s="46" t="n">
        <x:v>16</x:v>
      </x:c>
      <x:c r="D8" s="46" t="str">
        <x:v>count</x:v>
      </x:c>
    </x:row>
    <x:row r="9" ht="18" customHeight="1">
      <x:c r="A9" s="46" t="str">
        <x:v>HS_067</x:v>
      </x:c>
      <x:c r="B9" s="46" t="str">
        <x:v>matched_taxa_count</x:v>
      </x:c>
      <x:c r="C9" s="46" t="n">
        <x:v>16</x:v>
      </x:c>
      <x:c r="D9" s="46" t="str">
        <x:v>count</x:v>
      </x:c>
    </x:row>
    <x:row r="10" ht="18" customHeight="1">
      <x:c r="A10" s="46" t="str">
        <x:v>HS_067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HS_067</x:v>
      </x:c>
      <x:c r="B11" s="46" t="str">
        <x:v>species_ppr</x:v>
      </x:c>
      <x:c r="C11" s="46" t="n">
        <x:v>7583360.362070796</x:v>
      </x:c>
      <x:c r="D11" s="46" t="str">
        <x:v>tonnes_primary_production_equivalent</x:v>
      </x:c>
    </x:row>
    <x:row r="12" ht="18" customHeight="1">
      <x:c r="A12" s="46" t="str">
        <x:v>HS_067</x:v>
      </x:c>
      <x:c r="B12" s="46" t="str">
        <x:v>commercial_ppr</x:v>
      </x:c>
      <x:c r="C12" s="46" t="n">
        <x:v>7583360.362070798</x:v>
      </x:c>
      <x:c r="D12" s="46" t="str">
        <x:v>tonnes_primary_production_equivalent</x:v>
      </x:c>
    </x:row>
    <x:row r="13" ht="18" customHeight="1">
      <x:c r="A13" s="46" t="str">
        <x:v>HS_067</x:v>
      </x:c>
      <x:c r="B13" s="46" t="str">
        <x:v>functional_ppr</x:v>
      </x:c>
      <x:c r="C13" s="46" t="n">
        <x:v>7583360.362070798</x:v>
      </x:c>
      <x:c r="D13" s="46" t="str">
        <x:v>tonnes_primary_production_equivalent</x:v>
      </x:c>
    </x:row>
    <x:row r="14" ht="18" customHeight="1">
      <x:c r="A14" s="46" t="str">
        <x:v>HS_067</x:v>
      </x:c>
      <x:c r="B14" s="46" t="str">
        <x:v>commercial_ppr_difference</x:v>
      </x:c>
      <x:c r="C14" s="46" t="n">
        <x:v>1.862645149230957e-9</x:v>
      </x:c>
      <x:c r="D14" s="46" t="str">
        <x:v>tonnes_primary_production_equivalent</x:v>
      </x:c>
    </x:row>
    <x:row r="15" ht="18" customHeight="1">
      <x:c r="A15" s="46" t="str">
        <x:v>HS_067</x:v>
      </x:c>
      <x:c r="B15" s="46" t="str">
        <x:v>functional_ppr_difference</x:v>
      </x:c>
      <x:c r="C15" s="46" t="n">
        <x:v>1.862645149230957e-9</x:v>
      </x:c>
      <x:c r="D15" s="46" t="str">
        <x:v>tonnes_primary_production_equivalent</x:v>
      </x:c>
    </x:row>
    <x:row r="16" ht="18" customHeight="1">
      <x:c r="A16" s="46" t="str">
        <x:v>HS_067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HS_067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HS_067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HS_067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5b4ab2bd40741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HS_067 - Pacific, Northeast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HS_067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raw_data/SAU_downloads/HS_067-catch.zip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