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1621c95b6c46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00cbf53299b14239"/>
    <x:sheet xmlns:r="http://schemas.openxmlformats.org/officeDocument/2006/relationships" name="Commercial" sheetId="2" r:id="R5bcc4782599d4ea2"/>
    <x:sheet xmlns:r="http://schemas.openxmlformats.org/officeDocument/2006/relationships" name="Functional" sheetId="3" r:id="Ra90009178ab74386"/>
    <x:sheet xmlns:r="http://schemas.openxmlformats.org/officeDocument/2006/relationships" name="Missing TL" sheetId="4" r:id="R9a2118df7ca94831"/>
    <x:sheet xmlns:r="http://schemas.openxmlformats.org/officeDocument/2006/relationships" name="Validation" sheetId="5" r:id="Rca56876927184680"/>
    <x:sheet xmlns:r="http://schemas.openxmlformats.org/officeDocument/2006/relationships" name="Metadata" sheetId="6" r:id="R3c6f7fe07f9145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04f96922204000" /><Relationship Type="http://schemas.openxmlformats.org/officeDocument/2006/relationships/theme" Target="/xl/theme/theme1.xml" Id="R313335fee4424b74" /><Relationship Type="http://schemas.openxmlformats.org/officeDocument/2006/relationships/sharedStrings" Target="/xl/sharedStrings.xml" Id="Ra92e2a81cf2e4083" /><Relationship Type="http://schemas.openxmlformats.org/officeDocument/2006/relationships/worksheet" Target="/xl/worksheets/sheet1.xml" Id="R00cbf53299b14239" /><Relationship Type="http://schemas.openxmlformats.org/officeDocument/2006/relationships/worksheet" Target="/xl/worksheets/sheet2.xml" Id="R5bcc4782599d4ea2" /><Relationship Type="http://schemas.openxmlformats.org/officeDocument/2006/relationships/worksheet" Target="/xl/worksheets/sheet3.xml" Id="Ra90009178ab74386" /><Relationship Type="http://schemas.openxmlformats.org/officeDocument/2006/relationships/worksheet" Target="/xl/worksheets/sheet4.xml" Id="R9a2118df7ca94831" /><Relationship Type="http://schemas.openxmlformats.org/officeDocument/2006/relationships/worksheet" Target="/xl/worksheets/sheet5.xml" Id="Rca56876927184680" /><Relationship Type="http://schemas.openxmlformats.org/officeDocument/2006/relationships/worksheet" Target="/xl/worksheets/sheet6.xml" Id="R3c6f7fe07f91459a" /></Relationships>
</file>

<file path=xl/tables/table1.xml><?xml version="1.0" encoding="utf-8"?>
<x:table xmlns:x="http://schemas.openxmlformats.org/spreadsheetml/2006/main" id="1" name="HS034SpeciesTable" displayName="HS034SpeciesTable" ref="A1:U38" headerRowCount="1" totalsRowCount="0" totalsRowShown="0">
  <x:autoFilter ref="A1:U3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34CommercialTable" displayName="HS034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34FunctionalTable" displayName="HS034FunctionalTable" ref="A1:O6" headerRowCount="1" totalsRowCount="0" totalsRowShown="0">
  <x:autoFilter ref="A1:O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34ValidationTable" displayName="HS03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3db524925f487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a3cae3c30f749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04d76a80f5e41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c48fd0b7b14d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HS_034</x:v>
      </x:c>
      <x:c r="B2" s="46" t="str">
        <x:v>Atlantic, Eastern Central</x:v>
      </x:c>
      <x:c r="C2" s="46" t="str">
        <x:v>High Seas</x:v>
      </x:c>
      <x:c r="D2" s="58" t="n">
        <x:v>2019</x:v>
      </x:c>
      <x:c r="E2" s="46" t="str">
        <x:v>Katsuwonus pelamis</x:v>
      </x:c>
      <x:c r="F2" s="46" t="str">
        <x:v>Skipjack tuna</x:v>
      </x:c>
      <x:c r="G2" s="46" t="str">
        <x:v>Large pelagics (&gt;=90 cm)</x:v>
      </x:c>
      <x:c r="H2" s="46" t="str">
        <x:v>Tuna &amp; billfishes</x:v>
      </x:c>
      <x:c r="I2" s="60" t="n">
        <x:v>84175.5393125807</x:v>
      </x:c>
      <x:c r="J2" s="60" t="n">
        <x:v>84175.5393125807</x:v>
      </x:c>
      <x:c r="K2" s="60" t="n">
        <x:v>0</x:v>
      </x:c>
      <x:c r="L2" s="60" t="n">
        <x:v>84175.5393125807</x:v>
      </x:c>
      <x:c r="M2" s="60" t="n">
        <x:v>0</x:v>
      </x:c>
      <x:c r="N2" s="46" t="str">
        <x:v>katsuwonus pelamis</x:v>
      </x:c>
      <x:c r="O2" s="62" t="n">
        <x:v>4.43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Katsuwonus pelamis</x:v>
      </x:c>
      <x:c r="T2" s="62" t="n">
        <x:f>IF(O2="","",(1/'Metadata'!$B$5)^(O2-1))</x:f>
        <x:v>29009.008489223597</x:v>
      </x:c>
      <x:c r="U2" s="60" t="n">
        <x:f>IF(T2="","",I2*T2)</x:f>
        <x:v>2441848934.5036283</x:v>
      </x:c>
    </x:row>
    <x:row r="3" ht="18" customHeight="1">
      <x:c r="A3" s="46" t="str">
        <x:v>HS_034</x:v>
      </x:c>
      <x:c r="B3" s="46" t="str">
        <x:v>Atlantic, Eastern Central</x:v>
      </x:c>
      <x:c r="C3" s="46" t="str">
        <x:v>High Seas</x:v>
      </x:c>
      <x:c r="D3" s="58" t="n">
        <x:v>2019</x:v>
      </x:c>
      <x:c r="E3" s="46" t="str">
        <x:v>Thunnus albacares</x:v>
      </x:c>
      <x:c r="F3" s="46" t="str">
        <x:v>Yellowfin tuna</x:v>
      </x:c>
      <x:c r="G3" s="46" t="str">
        <x:v>Large pelagics (&gt;=90 cm)</x:v>
      </x:c>
      <x:c r="H3" s="46" t="str">
        <x:v>Tuna &amp; billfishes</x:v>
      </x:c>
      <x:c r="I3" s="60" t="n">
        <x:v>62687.1189795386</x:v>
      </x:c>
      <x:c r="J3" s="60" t="n">
        <x:v>62687.1189795386</x:v>
      </x:c>
      <x:c r="K3" s="60" t="n">
        <x:v>0</x:v>
      </x:c>
      <x:c r="L3" s="60" t="n">
        <x:v>62687.1189795386</x:v>
      </x:c>
      <x:c r="M3" s="60" t="n">
        <x:v>0</x:v>
      </x:c>
      <x:c r="N3" s="46" t="str">
        <x:v>thunnus albacares</x:v>
      </x:c>
      <x:c r="O3" s="62" t="n">
        <x:v>4.41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Thunnus albacares</x:v>
      </x:c>
      <x:c r="T3" s="62" t="n">
        <x:f>IF(O3="","",(1/'Metadata'!$B$5)^(O3-1))</x:f>
        <x:v>27321.987305427916</x:v>
      </x:c>
      <x:c r="U3" s="60" t="n">
        <x:f>IF(T3="","",I3*T3)</x:f>
        <x:v>1712736668.972803</x:v>
      </x:c>
    </x:row>
    <x:row r="4" ht="18" customHeight="1">
      <x:c r="A4" s="46" t="str">
        <x:v>HS_034</x:v>
      </x:c>
      <x:c r="B4" s="46" t="str">
        <x:v>Atlantic, Eastern Central</x:v>
      </x:c>
      <x:c r="C4" s="46" t="str">
        <x:v>High Seas</x:v>
      </x:c>
      <x:c r="D4" s="58" t="n">
        <x:v>2019</x:v>
      </x:c>
      <x:c r="E4" s="46" t="str">
        <x:v>Thunnus obesus</x:v>
      </x:c>
      <x:c r="F4" s="46" t="str">
        <x:v>Bigeye tuna</x:v>
      </x:c>
      <x:c r="G4" s="46" t="str">
        <x:v>Large pelagics (&gt;=90 cm)</x:v>
      </x:c>
      <x:c r="H4" s="46" t="str">
        <x:v>Tuna &amp; billfishes</x:v>
      </x:c>
      <x:c r="I4" s="60" t="n">
        <x:v>37213.8638194415</x:v>
      </x:c>
      <x:c r="J4" s="60" t="n">
        <x:v>37213.8638194415</x:v>
      </x:c>
      <x:c r="K4" s="60" t="n">
        <x:v>0</x:v>
      </x:c>
      <x:c r="L4" s="60" t="n">
        <x:v>37213.8638194415</x:v>
      </x:c>
      <x:c r="M4" s="60" t="n">
        <x:v>0</x:v>
      </x:c>
      <x:c r="N4" s="46" t="str">
        <x:v>thunnus obesus</x:v>
      </x:c>
      <x:c r="O4" s="62" t="n">
        <x:v>4.49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Thunnus obesus</x:v>
      </x:c>
      <x:c r="T4" s="62" t="n">
        <x:f>IF(O4="","",(1/'Metadata'!$B$5)^(O4-1))</x:f>
        <x:v>34721.19667768202</x:v>
      </x:c>
      <x:c r="U4" s="60" t="n">
        <x:f>IF(T4="","",I4*T4)</x:f>
        <x:v>1292109884.8113034</x:v>
      </x:c>
    </x:row>
    <x:row r="5" ht="18" customHeight="1">
      <x:c r="A5" s="46" t="str">
        <x:v>HS_034</x:v>
      </x:c>
      <x:c r="B5" s="46" t="str">
        <x:v>Atlantic, Eastern Central</x:v>
      </x:c>
      <x:c r="C5" s="46" t="str">
        <x:v>High Seas</x:v>
      </x:c>
      <x:c r="D5" s="58" t="n">
        <x:v>2019</x:v>
      </x:c>
      <x:c r="E5" s="46" t="str">
        <x:v>Marine fishes not identified</x:v>
      </x:c>
      <x:c r="F5" s="46" t="str">
        <x:v>Marine fishes nei</x:v>
      </x:c>
      <x:c r="G5" s="46" t="str">
        <x:v>Medium demersals (30 - 89 cm)</x:v>
      </x:c>
      <x:c r="H5" s="46" t="str">
        <x:v>Other fishes &amp; inverts</x:v>
      </x:c>
      <x:c r="I5" s="60" t="n">
        <x:v>18465.6431074972</x:v>
      </x:c>
      <x:c r="J5" s="60" t="n">
        <x:v>0.0006835387</x:v>
      </x:c>
      <x:c r="K5" s="60" t="n">
        <x:v>18465.6424239585</x:v>
      </x:c>
      <x:c r="L5" s="60" t="n">
        <x:v>0.0006835387</x:v>
      </x:c>
      <x:c r="M5" s="60" t="n">
        <x:v>18465.6424239585</x:v>
      </x:c>
      <x:c r="N5" s="46" t="str">
        <x:v>marine fishes not identified</x:v>
      </x:c>
      <x:c r="O5" s="62" t="n">
        <x:v>3.28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Marine fishes not identified</x:v>
      </x:c>
      <x:c r="T5" s="62" t="n">
        <x:f>IF(O5="","",(1/'Metadata'!$B$5)^(O5-1))</x:f>
        <x:v>925.4402624666747</x:v>
      </x:c>
      <x:c r="U5" s="60" t="n">
        <x:f>IF(T5="","",I5*T5)</x:f>
        <x:v>17088849.604018148</x:v>
      </x:c>
    </x:row>
    <x:row r="6" ht="18" customHeight="1">
      <x:c r="A6" s="46" t="str">
        <x:v>HS_034</x:v>
      </x:c>
      <x:c r="B6" s="46" t="str">
        <x:v>Atlantic, Eastern Central</x:v>
      </x:c>
      <x:c r="C6" s="46" t="str">
        <x:v>High Seas</x:v>
      </x:c>
      <x:c r="D6" s="58" t="n">
        <x:v>2019</x:v>
      </x:c>
      <x:c r="E6" s="46" t="str">
        <x:v>Prionace glauca</x:v>
      </x:c>
      <x:c r="F6" s="46" t="str">
        <x:v>Blue shark</x:v>
      </x:c>
      <x:c r="G6" s="46" t="str">
        <x:v>Large sharks (&gt;=90 cm)</x:v>
      </x:c>
      <x:c r="H6" s="46" t="str">
        <x:v>Sharks &amp; rays</x:v>
      </x:c>
      <x:c r="I6" s="60" t="n">
        <x:v>13206.8734412996</x:v>
      </x:c>
      <x:c r="J6" s="60" t="n">
        <x:v>13206.8734412996</x:v>
      </x:c>
      <x:c r="K6" s="60" t="n">
        <x:v>0</x:v>
      </x:c>
      <x:c r="L6" s="60" t="n">
        <x:v>13206.8734412996</x:v>
      </x:c>
      <x:c r="M6" s="60" t="n">
        <x:v>0</x:v>
      </x:c>
      <x:c r="N6" s="46" t="str">
        <x:v>prionace glauca</x:v>
      </x:c>
      <x:c r="O6" s="62" t="n">
        <x:v>4.35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Prionace glauca</x:v>
      </x:c>
      <x:c r="T6" s="62" t="n">
        <x:f>IF(O6="","",(1/'Metadata'!$B$5)^(O6-1))</x:f>
        <x:v>22827.086550132422</x:v>
      </x:c>
      <x:c r="U6" s="60" t="n">
        <x:f>IF(T6="","",I6*T6)</x:f>
        <x:v>301474443.1011912</x:v>
      </x:c>
    </x:row>
    <x:row r="7" ht="18" customHeight="1">
      <x:c r="A7" s="46" t="str">
        <x:v>HS_034</x:v>
      </x:c>
      <x:c r="B7" s="46" t="str">
        <x:v>Atlantic, Eastern Central</x:v>
      </x:c>
      <x:c r="C7" s="46" t="str">
        <x:v>High Seas</x:v>
      </x:c>
      <x:c r="D7" s="58" t="n">
        <x:v>2019</x:v>
      </x:c>
      <x:c r="E7" s="46" t="str">
        <x:v>Xiphias gladius</x:v>
      </x:c>
      <x:c r="F7" s="46" t="str">
        <x:v>Swordfish</x:v>
      </x:c>
      <x:c r="G7" s="46" t="str">
        <x:v>Large pelagics (&gt;=90 cm)</x:v>
      </x:c>
      <x:c r="H7" s="46" t="str">
        <x:v>Tuna &amp; billfishes</x:v>
      </x:c>
      <x:c r="I7" s="60" t="n">
        <x:v>3595.7918465105004</x:v>
      </x:c>
      <x:c r="J7" s="60" t="n">
        <x:v>3595.7918465105004</x:v>
      </x:c>
      <x:c r="K7" s="60" t="n">
        <x:v>0</x:v>
      </x:c>
      <x:c r="L7" s="60" t="n">
        <x:v>3595.7918465105004</x:v>
      </x:c>
      <x:c r="M7" s="60" t="n">
        <x:v>0</x:v>
      </x:c>
      <x:c r="N7" s="46" t="str">
        <x:v>xiphias gladius</x:v>
      </x:c>
      <x:c r="O7" s="62" t="n">
        <x:v>4.53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Xiphias gladius</x:v>
      </x:c>
      <x:c r="T7" s="62" t="n">
        <x:f>IF(O7="","",(1/'Metadata'!$B$5)^(O7-1))</x:f>
        <x:v>39141.35758252625</x:v>
      </x:c>
      <x:c r="U7" s="60" t="n">
        <x:f>IF(T7="","",I7*T7)</x:f>
        <x:v>140744174.45659986</x:v>
      </x:c>
    </x:row>
    <x:row r="8" ht="18" customHeight="1">
      <x:c r="A8" s="46" t="str">
        <x:v>HS_034</x:v>
      </x:c>
      <x:c r="B8" s="46" t="str">
        <x:v>Atlantic, Eastern Central</x:v>
      </x:c>
      <x:c r="C8" s="46" t="str">
        <x:v>High Seas</x:v>
      </x:c>
      <x:c r="D8" s="58" t="n">
        <x:v>2019</x:v>
      </x:c>
      <x:c r="E8" s="46" t="str">
        <x:v>Marine pelagic fishes not identified</x:v>
      </x:c>
      <x:c r="F8" s="46" t="str">
        <x:v>Pelagic fishes</x:v>
      </x:c>
      <x:c r="G8" s="46" t="str">
        <x:v>Medium pelagics (30 - 89 cm)</x:v>
      </x:c>
      <x:c r="H8" s="46" t="str">
        <x:v>Other fishes &amp; inverts</x:v>
      </x:c>
      <x:c r="I8" s="60" t="n">
        <x:v>2698.9395498876997</x:v>
      </x:c>
      <x:c r="J8" s="60" t="n">
        <x:v>2698.9395498876997</x:v>
      </x:c>
      <x:c r="K8" s="60" t="n">
        <x:v>0</x:v>
      </x:c>
      <x:c r="L8" s="60" t="n">
        <x:v>2698.9395498876997</x:v>
      </x:c>
      <x:c r="M8" s="60" t="n">
        <x:v>0</x:v>
      </x:c>
      <x:c r="N8" s="46" t="str">
        <x:v>marine pelagic fishes not identified</x:v>
      </x:c>
      <x:c r="O8" s="62" t="n">
        <x:v>3.35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Marine pelagic fishes not identified</x:v>
      </x:c>
      <x:c r="T8" s="62" t="n">
        <x:f>IF(O8="","",(1/'Metadata'!$B$5)^(O8-1))</x:f>
        <x:v>1141.3543275066227</x:v>
      </x:c>
      <x:c r="U8" s="60" t="n">
        <x:f>IF(T8="","",I8*T8)</x:f>
        <x:v>3080446.334943102</x:v>
      </x:c>
    </x:row>
    <x:row r="9" ht="18" customHeight="1">
      <x:c r="A9" s="46" t="str">
        <x:v>HS_034</x:v>
      </x:c>
      <x:c r="B9" s="46" t="str">
        <x:v>Atlantic, Eastern Central</x:v>
      </x:c>
      <x:c r="C9" s="46" t="str">
        <x:v>High Seas</x:v>
      </x:c>
      <x:c r="D9" s="58" t="n">
        <x:v>2019</x:v>
      </x:c>
      <x:c r="E9" s="46" t="str">
        <x:v>Thunnus thynnus</x:v>
      </x:c>
      <x:c r="F9" s="46" t="str">
        <x:v>Atlantic bluefin tuna</x:v>
      </x:c>
      <x:c r="G9" s="46" t="str">
        <x:v>Large pelagics (&gt;=90 cm)</x:v>
      </x:c>
      <x:c r="H9" s="46" t="str">
        <x:v>Tuna &amp; billfishes</x:v>
      </x:c>
      <x:c r="I9" s="60" t="n">
        <x:v>2385.4906443172003</x:v>
      </x:c>
      <x:c r="J9" s="60" t="n">
        <x:v>2385.4906443172003</x:v>
      </x:c>
      <x:c r="K9" s="60" t="n">
        <x:v>0</x:v>
      </x:c>
      <x:c r="L9" s="60" t="n">
        <x:v>2385.4906443172003</x:v>
      </x:c>
      <x:c r="M9" s="60" t="n">
        <x:v>0</x:v>
      </x:c>
      <x:c r="N9" s="46" t="str">
        <x:v>thunnus thynnus</x:v>
      </x:c>
      <x:c r="O9" s="62" t="n">
        <x:v>4.45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Thunnus thynnus</x:v>
      </x:c>
      <x:c r="T9" s="62" t="n">
        <x:f>IF(O9="","",(1/'Metadata'!$B$5)^(O9-1))</x:f>
        <x:v>30800.19634445362</x:v>
      </x:c>
      <x:c r="U9" s="60" t="n">
        <x:f>IF(T9="","",I9*T9)</x:f>
        <x:v>73473580.22282694</x:v>
      </x:c>
    </x:row>
    <x:row r="10" ht="18" customHeight="1">
      <x:c r="A10" s="46" t="str">
        <x:v>HS_034</x:v>
      </x:c>
      <x:c r="B10" s="46" t="str">
        <x:v>Atlantic, Eastern Central</x:v>
      </x:c>
      <x:c r="C10" s="46" t="str">
        <x:v>High Seas</x:v>
      </x:c>
      <x:c r="D10" s="58" t="n">
        <x:v>2019</x:v>
      </x:c>
      <x:c r="E10" s="46" t="str">
        <x:v>Thunnus alalunga</x:v>
      </x:c>
      <x:c r="F10" s="46" t="str">
        <x:v>Albacore</x:v>
      </x:c>
      <x:c r="G10" s="46" t="str">
        <x:v>Large pelagics (&gt;=90 cm)</x:v>
      </x:c>
      <x:c r="H10" s="46" t="str">
        <x:v>Tuna &amp; billfishes</x:v>
      </x:c>
      <x:c r="I10" s="60" t="n">
        <x:v>2097.1534823313</x:v>
      </x:c>
      <x:c r="J10" s="60" t="n">
        <x:v>2097.1534823313</x:v>
      </x:c>
      <x:c r="K10" s="60" t="n">
        <x:v>0</x:v>
      </x:c>
      <x:c r="L10" s="60" t="n">
        <x:v>2097.1534823313</x:v>
      </x:c>
      <x:c r="M10" s="60" t="n">
        <x:v>0</x:v>
      </x:c>
      <x:c r="N10" s="46" t="str">
        <x:v>thunnus alalunga</x:v>
      </x:c>
      <x:c r="O10" s="62" t="n">
        <x:v>4.3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Thunnus alalunga</x:v>
      </x:c>
      <x:c r="T10" s="62" t="n">
        <x:f>IF(O10="","",(1/'Metadata'!$B$5)^(O10-1))</x:f>
        <x:v>19651.648417852637</x:v>
      </x:c>
      <x:c r="U10" s="60" t="n">
        <x:f>IF(T10="","",I10*T10)</x:f>
        <x:v>41212522.91305004</x:v>
      </x:c>
    </x:row>
    <x:row r="11" ht="18" customHeight="1">
      <x:c r="A11" s="46" t="str">
        <x:v>HS_034</x:v>
      </x:c>
      <x:c r="B11" s="46" t="str">
        <x:v>Atlantic, Eastern Central</x:v>
      </x:c>
      <x:c r="C11" s="46" t="str">
        <x:v>High Seas</x:v>
      </x:c>
      <x:c r="D11" s="58" t="n">
        <x:v>2019</x:v>
      </x:c>
      <x:c r="E11" s="46" t="str">
        <x:v>Auxis thazard</x:v>
      </x:c>
      <x:c r="F11" s="46" t="str">
        <x:v>Frigate tuna</x:v>
      </x:c>
      <x:c r="G11" s="46" t="str">
        <x:v>Medium pelagics (30 - 89 cm)</x:v>
      </x:c>
      <x:c r="H11" s="46" t="str">
        <x:v>Tuna &amp; billfishes</x:v>
      </x:c>
      <x:c r="I11" s="60" t="n">
        <x:v>1877.2877188333</x:v>
      </x:c>
      <x:c r="J11" s="60" t="n">
        <x:v>1877.2877188333</x:v>
      </x:c>
      <x:c r="K11" s="60" t="n">
        <x:v>0</x:v>
      </x:c>
      <x:c r="L11" s="60" t="n">
        <x:v>1877.2877188333</x:v>
      </x:c>
      <x:c r="M11" s="60" t="n">
        <x:v>0</x:v>
      </x:c>
      <x:c r="N11" s="46" t="str">
        <x:v>auxis thazard</x:v>
      </x:c>
      <x:c r="O11" s="62" t="n">
        <x:v>4.37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Auxis thazard</x:v>
      </x:c>
      <x:c r="T11" s="62" t="n">
        <x:f>IF(O11="","",(1/'Metadata'!$B$5)^(O11-1))</x:f>
        <x:v>24236.56596112542</x:v>
      </x:c>
      <x:c r="U11" s="60" t="n">
        <x:f>IF(T11="","",I11*T11)</x:f>
        <x:v>45499007.62551395</x:v>
      </x:c>
    </x:row>
    <x:row r="12" ht="18" customHeight="1">
      <x:c r="A12" s="46" t="str">
        <x:v>HS_034</x:v>
      </x:c>
      <x:c r="B12" s="46" t="str">
        <x:v>Atlantic, Eastern Central</x:v>
      </x:c>
      <x:c r="C12" s="46" t="str">
        <x:v>High Seas</x:v>
      </x:c>
      <x:c r="D12" s="58" t="n">
        <x:v>2019</x:v>
      </x:c>
      <x:c r="E12" s="46" t="str">
        <x:v>Scombridae</x:v>
      </x:c>
      <x:c r="F12" s="46" t="str">
        <x:v>Mackerels, tunas, bonitos</x:v>
      </x:c>
      <x:c r="G12" s="46" t="str">
        <x:v>Medium pelagics (30 - 89 cm)</x:v>
      </x:c>
      <x:c r="H12" s="46" t="str">
        <x:v>Perch-likes</x:v>
      </x:c>
      <x:c r="I12" s="60" t="n">
        <x:v>1594.5567258869999</x:v>
      </x:c>
      <x:c r="J12" s="60" t="n">
        <x:v>1594.5567258869999</x:v>
      </x:c>
      <x:c r="K12" s="60" t="n">
        <x:v>0</x:v>
      </x:c>
      <x:c r="L12" s="60" t="n">
        <x:v>1594.5567258869999</x:v>
      </x:c>
      <x:c r="M12" s="60" t="n">
        <x:v>0</x:v>
      </x:c>
      <x:c r="N12" s="46" t="str">
        <x:v>scombridae</x:v>
      </x:c>
      <x:c r="O12" s="62" t="n">
        <x:v>4.26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Scombridae</x:v>
      </x:c>
      <x:c r="T12" s="62" t="n">
        <x:f>IF(O12="","",(1/'Metadata'!$B$5)^(O12-1))</x:f>
        <x:v>17432.42421569787</x:v>
      </x:c>
      <x:c r="U12" s="60" t="n">
        <x:f>IF(T12="","",I12*T12)</x:f>
        <x:v>27796989.281656444</x:v>
      </x:c>
    </x:row>
    <x:row r="13" ht="18" customHeight="1">
      <x:c r="A13" s="46" t="str">
        <x:v>HS_034</x:v>
      </x:c>
      <x:c r="B13" s="46" t="str">
        <x:v>Atlantic, Eastern Central</x:v>
      </x:c>
      <x:c r="C13" s="46" t="str">
        <x:v>High Seas</x:v>
      </x:c>
      <x:c r="D13" s="58" t="n">
        <x:v>2019</x:v>
      </x:c>
      <x:c r="E13" s="46" t="str">
        <x:v>Sarda sarda</x:v>
      </x:c>
      <x:c r="F13" s="46" t="str">
        <x:v>Atlantic bonito</x:v>
      </x:c>
      <x:c r="G13" s="46" t="str">
        <x:v>Medium pelagics (30 - 89 cm)</x:v>
      </x:c>
      <x:c r="H13" s="46" t="str">
        <x:v>Tuna &amp; billfishes</x:v>
      </x:c>
      <x:c r="I13" s="60" t="n">
        <x:v>982.7324917802</x:v>
      </x:c>
      <x:c r="J13" s="60" t="n">
        <x:v>982.7324917802</x:v>
      </x:c>
      <x:c r="K13" s="60" t="n">
        <x:v>0</x:v>
      </x:c>
      <x:c r="L13" s="60" t="n">
        <x:v>982.7324917802</x:v>
      </x:c>
      <x:c r="M13" s="60" t="n">
        <x:v>0</x:v>
      </x:c>
      <x:c r="N13" s="46" t="str">
        <x:v>sarda sarda</x:v>
      </x:c>
      <x:c r="O13" s="62" t="n">
        <x:v>4.5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Sarda sarda</x:v>
      </x:c>
      <x:c r="T13" s="62" t="n">
        <x:f>IF(O13="","",(1/'Metadata'!$B$5)^(O13-1))</x:f>
        <x:v>35777.08763999664</x:v>
      </x:c>
      <x:c r="U13" s="60" t="n">
        <x:f>IF(T13="","",I13*T13)</x:f>
        <x:v>35159306.48509249</x:v>
      </x:c>
    </x:row>
    <x:row r="14" ht="18" customHeight="1">
      <x:c r="A14" s="46" t="str">
        <x:v>HS_034</x:v>
      </x:c>
      <x:c r="B14" s="46" t="str">
        <x:v>Atlantic, Eastern Central</x:v>
      </x:c>
      <x:c r="C14" s="46" t="str">
        <x:v>High Seas</x:v>
      </x:c>
      <x:c r="D14" s="58" t="n">
        <x:v>2019</x:v>
      </x:c>
      <x:c r="E14" s="46" t="str">
        <x:v>Istiophorus albicans</x:v>
      </x:c>
      <x:c r="F14" s="46" t="str">
        <x:v>Atlantic sailfish</x:v>
      </x:c>
      <x:c r="G14" s="46" t="str">
        <x:v>Large pelagics (&gt;=90 cm)</x:v>
      </x:c>
      <x:c r="H14" s="46" t="str">
        <x:v>Tuna &amp; billfishes</x:v>
      </x:c>
      <x:c r="I14" s="60" t="n">
        <x:v>973.6212617261</x:v>
      </x:c>
      <x:c r="J14" s="60" t="n">
        <x:v>973.6212617261</x:v>
      </x:c>
      <x:c r="K14" s="60" t="n">
        <x:v>0</x:v>
      </x:c>
      <x:c r="L14" s="60" t="n">
        <x:v>973.6212617261</x:v>
      </x:c>
      <x:c r="M14" s="60" t="n">
        <x:v>0</x:v>
      </x:c>
      <x:c r="N14" s="46" t="str">
        <x:v>istiophorus albicans</x:v>
      </x:c>
      <x:c r="O14" s="62" t="n">
        <x:v>4.5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Istiophorus albicans</x:v>
      </x:c>
      <x:c r="T14" s="62" t="n">
        <x:f>IF(O14="","",(1/'Metadata'!$B$5)^(O14-1))</x:f>
        <x:v>35777.08763999664</x:v>
      </x:c>
      <x:c r="U14" s="60" t="n">
        <x:f>IF(T14="","",I14*T14)</x:f>
        <x:v>34833333.208938785</x:v>
      </x:c>
    </x:row>
    <x:row r="15" ht="18" customHeight="1">
      <x:c r="A15" s="46" t="str">
        <x:v>HS_034</x:v>
      </x:c>
      <x:c r="B15" s="46" t="str">
        <x:v>Atlantic, Eastern Central</x:v>
      </x:c>
      <x:c r="C15" s="46" t="str">
        <x:v>High Seas</x:v>
      </x:c>
      <x:c r="D15" s="58" t="n">
        <x:v>2019</x:v>
      </x:c>
      <x:c r="E15" s="46" t="str">
        <x:v>Elasmobranchii</x:v>
      </x:c>
      <x:c r="F15" s="46" t="str">
        <x:v>Sharks, rays, skates</x:v>
      </x:c>
      <x:c r="G15" s="46" t="str">
        <x:v>Large sharks (&gt;=90 cm)</x:v>
      </x:c>
      <x:c r="H15" s="46" t="str">
        <x:v>Sharks &amp; rays</x:v>
      </x:c>
      <x:c r="I15" s="60" t="n">
        <x:v>785.6801915685</x:v>
      </x:c>
      <x:c r="J15" s="60" t="n">
        <x:v>785.6801915685</x:v>
      </x:c>
      <x:c r="K15" s="60" t="n">
        <x:v>0</x:v>
      </x:c>
      <x:c r="L15" s="60" t="n">
        <x:v>785.6801915685</x:v>
      </x:c>
      <x:c r="M15" s="60" t="n">
        <x:v>0</x:v>
      </x:c>
      <x:c r="N15" s="46" t="str">
        <x:v>elasmobranchii</x:v>
      </x:c>
      <x:c r="O15" s="62" t="n">
        <x:v>4.05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Elasmobranchii</x:v>
      </x:c>
      <x:c r="T15" s="62" t="n">
        <x:f>IF(O15="","",(1/'Metadata'!$B$5)^(O15-1))</x:f>
        <x:v>9292.690797132333</x:v>
      </x:c>
      <x:c r="U15" s="60" t="n">
        <x:f>IF(T15="","",I15*T15)</x:f>
        <x:v>7301083.085677768</x:v>
      </x:c>
    </x:row>
    <x:row r="16" ht="18" customHeight="1">
      <x:c r="A16" s="46" t="str">
        <x:v>HS_034</x:v>
      </x:c>
      <x:c r="B16" s="46" t="str">
        <x:v>Atlantic, Eastern Central</x:v>
      </x:c>
      <x:c r="C16" s="46" t="str">
        <x:v>High Seas</x:v>
      </x:c>
      <x:c r="D16" s="58" t="n">
        <x:v>2019</x:v>
      </x:c>
      <x:c r="E16" s="46" t="str">
        <x:v>Coryphaena hippurus</x:v>
      </x:c>
      <x:c r="F16" s="46" t="str">
        <x:v>Common dolphinfish</x:v>
      </x:c>
      <x:c r="G16" s="46" t="str">
        <x:v>Large pelagics (&gt;=90 cm)</x:v>
      </x:c>
      <x:c r="H16" s="46" t="str">
        <x:v>Perch-likes</x:v>
      </x:c>
      <x:c r="I16" s="60" t="n">
        <x:v>705.6578992034001</x:v>
      </x:c>
      <x:c r="J16" s="60" t="n">
        <x:v>705.6578992034001</x:v>
      </x:c>
      <x:c r="K16" s="60" t="n">
        <x:v>0</x:v>
      </x:c>
      <x:c r="L16" s="60" t="n">
        <x:v>705.6578992034001</x:v>
      </x:c>
      <x:c r="M16" s="60" t="n">
        <x:v>0</x:v>
      </x:c>
      <x:c r="N16" s="46" t="str">
        <x:v>coryphaena hippurus</x:v>
      </x:c>
      <x:c r="O16" s="62" t="n">
        <x:v>4.37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Coryphaena hippurus</x:v>
      </x:c>
      <x:c r="T16" s="62" t="n">
        <x:f>IF(O16="","",(1/'Metadata'!$B$5)^(O16-1))</x:f>
        <x:v>24236.56596112542</x:v>
      </x:c>
      <x:c r="U16" s="60" t="n">
        <x:f>IF(T16="","",I16*T16)</x:f>
        <x:v>17102724.2200324</x:v>
      </x:c>
    </x:row>
    <x:row r="17" ht="18" customHeight="1">
      <x:c r="A17" s="46" t="str">
        <x:v>HS_034</x:v>
      </x:c>
      <x:c r="B17" s="46" t="str">
        <x:v>Atlantic, Eastern Central</x:v>
      </x:c>
      <x:c r="C17" s="46" t="str">
        <x:v>High Seas</x:v>
      </x:c>
      <x:c r="D17" s="58" t="n">
        <x:v>2019</x:v>
      </x:c>
      <x:c r="E17" s="46" t="str">
        <x:v>Makaira nigricans</x:v>
      </x:c>
      <x:c r="F17" s="46" t="str">
        <x:v>Blue marlin</x:v>
      </x:c>
      <x:c r="G17" s="46" t="str">
        <x:v>Large pelagics (&gt;=90 cm)</x:v>
      </x:c>
      <x:c r="H17" s="46" t="str">
        <x:v>Tuna &amp; billfishes</x:v>
      </x:c>
      <x:c r="I17" s="60" t="n">
        <x:v>559.6722482652</x:v>
      </x:c>
      <x:c r="J17" s="60" t="n">
        <x:v>559.6722482652</x:v>
      </x:c>
      <x:c r="K17" s="60" t="n">
        <x:v>0</x:v>
      </x:c>
      <x:c r="L17" s="60" t="n">
        <x:v>559.6722482652</x:v>
      </x:c>
      <x:c r="M17" s="60" t="n">
        <x:v>0</x:v>
      </x:c>
      <x:c r="N17" s="46" t="str">
        <x:v>makaira nigricans</x:v>
      </x:c>
      <x:c r="O17" s="62" t="n">
        <x:v>4.49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Makaira nigricans</x:v>
      </x:c>
      <x:c r="T17" s="62" t="n">
        <x:f>IF(O17="","",(1/'Metadata'!$B$5)^(O17-1))</x:f>
        <x:v>34721.19667768202</x:v>
      </x:c>
      <x:c r="U17" s="60" t="n">
        <x:f>IF(T17="","",I17*T17)</x:f>
        <x:v>19432490.20705649</x:v>
      </x:c>
    </x:row>
    <x:row r="18" ht="18" customHeight="1">
      <x:c r="A18" s="46" t="str">
        <x:v>HS_034</x:v>
      </x:c>
      <x:c r="B18" s="46" t="str">
        <x:v>Atlantic, Eastern Central</x:v>
      </x:c>
      <x:c r="C18" s="46" t="str">
        <x:v>High Seas</x:v>
      </x:c>
      <x:c r="D18" s="58" t="n">
        <x:v>2019</x:v>
      </x:c>
      <x:c r="E18" s="46" t="str">
        <x:v>Acanthocybium solandri</x:v>
      </x:c>
      <x:c r="F18" s="46" t="str">
        <x:v>Wahoo</x:v>
      </x:c>
      <x:c r="G18" s="46" t="str">
        <x:v>Large pelagics (&gt;=90 cm)</x:v>
      </x:c>
      <x:c r="H18" s="46" t="str">
        <x:v>Perch-likes</x:v>
      </x:c>
      <x:c r="I18" s="60" t="n">
        <x:v>536.3060260469</x:v>
      </x:c>
      <x:c r="J18" s="60" t="n">
        <x:v>536.3060260469</x:v>
      </x:c>
      <x:c r="K18" s="60" t="n">
        <x:v>0</x:v>
      </x:c>
      <x:c r="L18" s="60" t="n">
        <x:v>536.3060260469</x:v>
      </x:c>
      <x:c r="M18" s="60" t="n">
        <x:v>0</x:v>
      </x:c>
      <x:c r="N18" s="46" t="str">
        <x:v>acanthocybium solandri</x:v>
      </x:c>
      <x:c r="O18" s="62" t="n">
        <x:v>4.26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Acanthocybium solandri</x:v>
      </x:c>
      <x:c r="T18" s="62" t="n">
        <x:f>IF(O18="","",(1/'Metadata'!$B$5)^(O18-1))</x:f>
        <x:v>17432.42421569787</x:v>
      </x:c>
      <x:c r="U18" s="60" t="n">
        <x:f>IF(T18="","",I18*T18)</x:f>
        <x:v>9349114.15548467</x:v>
      </x:c>
    </x:row>
    <x:row r="19" ht="18" customHeight="1">
      <x:c r="A19" s="46" t="str">
        <x:v>HS_034</x:v>
      </x:c>
      <x:c r="B19" s="46" t="str">
        <x:v>Atlantic, Eastern Central</x:v>
      </x:c>
      <x:c r="C19" s="46" t="str">
        <x:v>High Seas</x:v>
      </x:c>
      <x:c r="D19" s="58" t="n">
        <x:v>2019</x:v>
      </x:c>
      <x:c r="E19" s="46" t="str">
        <x:v>Sphyrna</x:v>
      </x:c>
      <x:c r="F19" s="46" t="str">
        <x:v>Hammerhead sharks</x:v>
      </x:c>
      <x:c r="G19" s="46" t="str">
        <x:v>Large sharks (&gt;=90 cm)</x:v>
      </x:c>
      <x:c r="H19" s="46" t="str">
        <x:v>Sharks &amp; rays</x:v>
      </x:c>
      <x:c r="I19" s="60" t="n">
        <x:v>277.168153102</x:v>
      </x:c>
      <x:c r="J19" s="60" t="n">
        <x:v>277.168153102</x:v>
      </x:c>
      <x:c r="K19" s="60" t="n">
        <x:v>0</x:v>
      </x:c>
      <x:c r="L19" s="60" t="n">
        <x:v>277.168153102</x:v>
      </x:c>
      <x:c r="M19" s="60" t="n">
        <x:v>0</x:v>
      </x:c>
      <x:c r="N19" s="46" t="str">
        <x:v>sphyrna</x:v>
      </x:c>
      <x:c r="O19" s="62" t="n">
        <x:v>4.2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Sphyrna</x:v>
      </x:c>
      <x:c r="T19" s="62" t="n">
        <x:f>IF(O19="","",(1/'Metadata'!$B$5)^(O19-1))</x:f>
        <x:v>14564.51362420865</x:v>
      </x:c>
      <x:c r="U19" s="60" t="n">
        <x:f>IF(T19="","",I19*T19)</x:f>
        <x:v>4036819.3420508285</x:v>
      </x:c>
    </x:row>
    <x:row r="20" ht="18" customHeight="1">
      <x:c r="A20" s="46" t="str">
        <x:v>HS_034</x:v>
      </x:c>
      <x:c r="B20" s="46" t="str">
        <x:v>Atlantic, Eastern Central</x:v>
      </x:c>
      <x:c r="C20" s="46" t="str">
        <x:v>High Seas</x:v>
      </x:c>
      <x:c r="D20" s="58" t="n">
        <x:v>2019</x:v>
      </x:c>
      <x:c r="E20" s="46" t="str">
        <x:v>Isurus oxyrinchus</x:v>
      </x:c>
      <x:c r="F20" s="46" t="str">
        <x:v>Shortfin mako</x:v>
      </x:c>
      <x:c r="G20" s="46" t="str">
        <x:v>Large sharks (&gt;=90 cm)</x:v>
      </x:c>
      <x:c r="H20" s="46" t="str">
        <x:v>Sharks &amp; rays</x:v>
      </x:c>
      <x:c r="I20" s="60" t="n">
        <x:v>263.6270562084</x:v>
      </x:c>
      <x:c r="J20" s="60" t="n">
        <x:v>263.6270562084</x:v>
      </x:c>
      <x:c r="K20" s="60" t="n">
        <x:v>0</x:v>
      </x:c>
      <x:c r="L20" s="60" t="n">
        <x:v>263.6270562084</x:v>
      </x:c>
      <x:c r="M20" s="60" t="n">
        <x:v>0</x:v>
      </x:c>
      <x:c r="N20" s="46" t="str">
        <x:v>isurus oxyrinchus</x:v>
      </x:c>
      <x:c r="O20" s="62" t="n">
        <x:v>4.5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Isurus oxyrinchus</x:v>
      </x:c>
      <x:c r="T20" s="62" t="n">
        <x:f>IF(O20="","",(1/'Metadata'!$B$5)^(O20-1))</x:f>
        <x:v>35777.08763999664</x:v>
      </x:c>
      <x:c r="U20" s="60" t="n">
        <x:f>IF(T20="","",I20*T20)</x:f>
        <x:v>9431808.294242246</x:v>
      </x:c>
    </x:row>
    <x:row r="21" ht="18" customHeight="1">
      <x:c r="A21" s="46" t="str">
        <x:v>HS_034</x:v>
      </x:c>
      <x:c r="B21" s="46" t="str">
        <x:v>Atlantic, Eastern Central</x:v>
      </x:c>
      <x:c r="C21" s="46" t="str">
        <x:v>High Seas</x:v>
      </x:c>
      <x:c r="D21" s="58" t="n">
        <x:v>2019</x:v>
      </x:c>
      <x:c r="E21" s="46" t="str">
        <x:v>Alopias vulpinus</x:v>
      </x:c>
      <x:c r="F21" s="46" t="str">
        <x:v>Thresher</x:v>
      </x:c>
      <x:c r="G21" s="46" t="str">
        <x:v>Large sharks (&gt;=90 cm)</x:v>
      </x:c>
      <x:c r="H21" s="46" t="str">
        <x:v>Sharks &amp; rays</x:v>
      </x:c>
      <x:c r="I21" s="60" t="n">
        <x:v>63.8318724444</x:v>
      </x:c>
      <x:c r="J21" s="60" t="n">
        <x:v>63.8318724444</x:v>
      </x:c>
      <x:c r="K21" s="60" t="n">
        <x:v>0</x:v>
      </x:c>
      <x:c r="L21" s="60" t="n">
        <x:v>63.8318724444</x:v>
      </x:c>
      <x:c r="M21" s="60" t="n">
        <x:v>0</x:v>
      </x:c>
      <x:c r="N21" s="46" t="str">
        <x:v>alopias vulpinus</x:v>
      </x:c>
      <x:c r="O21" s="62" t="n">
        <x:v>4.5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Alopias vulpinus</x:v>
      </x:c>
      <x:c r="T21" s="62" t="n">
        <x:f>IF(O21="","",(1/'Metadata'!$B$5)^(O21-1))</x:f>
        <x:v>35777.08763999664</x:v>
      </x:c>
      <x:c r="U21" s="60" t="n">
        <x:f>IF(T21="","",I21*T21)</x:f>
        <x:v>2283718.494668385</x:v>
      </x:c>
    </x:row>
    <x:row r="22" ht="18" customHeight="1">
      <x:c r="A22" s="46" t="str">
        <x:v>HS_034</x:v>
      </x:c>
      <x:c r="B22" s="46" t="str">
        <x:v>Atlantic, Eastern Central</x:v>
      </x:c>
      <x:c r="C22" s="46" t="str">
        <x:v>High Seas</x:v>
      </x:c>
      <x:c r="D22" s="58" t="n">
        <x:v>2019</x:v>
      </x:c>
      <x:c r="E22" s="46" t="str">
        <x:v>Alopias</x:v>
      </x:c>
      <x:c r="F22" s="46" t="str">
        <x:v>Thresher sharks</x:v>
      </x:c>
      <x:c r="G22" s="46" t="str">
        <x:v>Large sharks (&gt;=90 cm)</x:v>
      </x:c>
      <x:c r="H22" s="46" t="str">
        <x:v>Sharks &amp; rays</x:v>
      </x:c>
      <x:c r="I22" s="60" t="n">
        <x:v>62.15526566769999</x:v>
      </x:c>
      <x:c r="J22" s="60" t="n">
        <x:v>62.15526566769999</x:v>
      </x:c>
      <x:c r="K22" s="60" t="n">
        <x:v>0</x:v>
      </x:c>
      <x:c r="L22" s="60" t="n">
        <x:v>62.15526566769999</x:v>
      </x:c>
      <x:c r="M22" s="60" t="n">
        <x:v>0</x:v>
      </x:c>
      <x:c r="N22" s="46" t="str">
        <x:v>alopias</x:v>
      </x:c>
      <x:c r="O22" s="62" t="n">
        <x:v>4.5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Alopias</x:v>
      </x:c>
      <x:c r="T22" s="62" t="n">
        <x:f>IF(O22="","",(1/'Metadata'!$B$5)^(O22-1))</x:f>
        <x:v>35777.08763999664</x:v>
      </x:c>
      <x:c r="U22" s="60" t="n">
        <x:f>IF(T22="","",I22*T22)</x:f>
        <x:v>2223734.3870805767</x:v>
      </x:c>
    </x:row>
    <x:row r="23" ht="18" customHeight="1">
      <x:c r="A23" s="46" t="str">
        <x:v>HS_034</x:v>
      </x:c>
      <x:c r="B23" s="46" t="str">
        <x:v>Atlantic, Eastern Central</x:v>
      </x:c>
      <x:c r="C23" s="46" t="str">
        <x:v>High Seas</x:v>
      </x:c>
      <x:c r="D23" s="58" t="n">
        <x:v>2019</x:v>
      </x:c>
      <x:c r="E23" s="46" t="str">
        <x:v>Carcharhinidae</x:v>
      </x:c>
      <x:c r="F23" s="46" t="str">
        <x:v>Requiem sharks</x:v>
      </x:c>
      <x:c r="G23" s="46" t="str">
        <x:v>Large sharks (&gt;=90 cm)</x:v>
      </x:c>
      <x:c r="H23" s="46" t="str">
        <x:v>Sharks &amp; rays</x:v>
      </x:c>
      <x:c r="I23" s="60" t="n">
        <x:v>39.6213094086</x:v>
      </x:c>
      <x:c r="J23" s="60" t="n">
        <x:v>39.6213094086</x:v>
      </x:c>
      <x:c r="K23" s="60" t="n">
        <x:v>0</x:v>
      </x:c>
      <x:c r="L23" s="60" t="n">
        <x:v>39.6213094086</x:v>
      </x:c>
      <x:c r="M23" s="60" t="n">
        <x:v>0</x:v>
      </x:c>
      <x:c r="N23" s="46" t="str">
        <x:v>carcharhinidae</x:v>
      </x:c>
      <x:c r="O23" s="62" t="n">
        <x:v>4.24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Carcharhinidae</x:v>
      </x:c>
      <x:c r="T23" s="62" t="n">
        <x:f>IF(O23="","",(1/'Metadata'!$B$5)^(O23-1))</x:f>
        <x:v>16418.64020623336</x:v>
      </x:c>
      <x:c r="U23" s="60" t="n">
        <x:f>IF(T23="","",I23*T23)</x:f>
        <x:v>650528.023679652</x:v>
      </x:c>
    </x:row>
    <x:row r="24" ht="18" customHeight="1">
      <x:c r="A24" s="46" t="str">
        <x:v>HS_034</x:v>
      </x:c>
      <x:c r="B24" s="46" t="str">
        <x:v>Atlantic, Eastern Central</x:v>
      </x:c>
      <x:c r="C24" s="46" t="str">
        <x:v>High Seas</x:v>
      </x:c>
      <x:c r="D24" s="58" t="n">
        <x:v>2019</x:v>
      </x:c>
      <x:c r="E24" s="46" t="str">
        <x:v>Tetrapturus pfluegeri</x:v>
      </x:c>
      <x:c r="F24" s="46" t="str">
        <x:v>Longbill spearfish</x:v>
      </x:c>
      <x:c r="G24" s="46" t="str">
        <x:v>Large pelagics (&gt;=90 cm)</x:v>
      </x:c>
      <x:c r="H24" s="46" t="str">
        <x:v>Tuna &amp; billfishes</x:v>
      </x:c>
      <x:c r="I24" s="60" t="n">
        <x:v>28.657067674799997</x:v>
      </x:c>
      <x:c r="J24" s="60" t="n">
        <x:v>28.657067674799997</x:v>
      </x:c>
      <x:c r="K24" s="60" t="n">
        <x:v>0</x:v>
      </x:c>
      <x:c r="L24" s="60" t="n">
        <x:v>28.657067674799997</x:v>
      </x:c>
      <x:c r="M24" s="60" t="n">
        <x:v>0</x:v>
      </x:c>
      <x:c r="N24" s="46" t="str">
        <x:v>tetrapturus pfluegeri</x:v>
      </x:c>
      <x:c r="O24" s="62" t="n">
        <x:v>4.4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Tetrapturus pfluegeri</x:v>
      </x:c>
      <x:c r="T24" s="62" t="n">
        <x:f>IF(O24="","",(1/'Metadata'!$B$5)^(O24-1))</x:f>
        <x:v>26515.632138719924</x:v>
      </x:c>
      <x:c r="U24" s="60" t="n">
        <x:f>IF(T24="","",I24*T24)</x:f>
        <x:v>759860.2646393987</x:v>
      </x:c>
    </x:row>
    <x:row r="25" ht="18" customHeight="1">
      <x:c r="A25" s="46" t="str">
        <x:v>HS_034</x:v>
      </x:c>
      <x:c r="B25" s="46" t="str">
        <x:v>Atlantic, Eastern Central</x:v>
      </x:c>
      <x:c r="C25" s="46" t="str">
        <x:v>High Seas</x:v>
      </x:c>
      <x:c r="D25" s="58" t="n">
        <x:v>2019</x:v>
      </x:c>
      <x:c r="E25" s="46" t="str">
        <x:v>Isurus paucus</x:v>
      </x:c>
      <x:c r="F25" s="46" t="str">
        <x:v>Longfin mako</x:v>
      </x:c>
      <x:c r="G25" s="46" t="str">
        <x:v>Large sharks (&gt;=90 cm)</x:v>
      </x:c>
      <x:c r="H25" s="46" t="str">
        <x:v>Sharks &amp; rays</x:v>
      </x:c>
      <x:c r="I25" s="60" t="n">
        <x:v>13.2250503938</x:v>
      </x:c>
      <x:c r="J25" s="60" t="n">
        <x:v>13.2250503938</x:v>
      </x:c>
      <x:c r="K25" s="60" t="n">
        <x:v>0</x:v>
      </x:c>
      <x:c r="L25" s="60" t="n">
        <x:v>13.2250503938</x:v>
      </x:c>
      <x:c r="M25" s="60" t="n">
        <x:v>0</x:v>
      </x:c>
      <x:c r="N25" s="46" t="str">
        <x:v>isurus paucus</x:v>
      </x:c>
      <x:c r="O25" s="62" t="n">
        <x:v>4.51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Isurus paucus</x:v>
      </x:c>
      <x:c r="T25" s="62" t="n">
        <x:f>IF(O25="","",(1/'Metadata'!$B$5)^(O25-1))</x:f>
        <x:v>36865.088835568684</x:v>
      </x:c>
      <x:c r="U25" s="60" t="n">
        <x:f>IF(T25="","",I25*T25)</x:f>
        <x:v>487542.65762230963</x:v>
      </x:c>
    </x:row>
    <x:row r="26" ht="18" customHeight="1">
      <x:c r="A26" s="46" t="str">
        <x:v>HS_034</x:v>
      </x:c>
      <x:c r="B26" s="46" t="str">
        <x:v>Atlantic, Eastern Central</x:v>
      </x:c>
      <x:c r="C26" s="46" t="str">
        <x:v>High Seas</x:v>
      </x:c>
      <x:c r="D26" s="58" t="n">
        <x:v>2019</x:v>
      </x:c>
      <x:c r="E26" s="46" t="str">
        <x:v>Kajikia albida</x:v>
      </x:c>
      <x:c r="F26" s="46" t="str">
        <x:v>Atlantic white marlin</x:v>
      </x:c>
      <x:c r="G26" s="46" t="str">
        <x:v>Large pelagics (&gt;=90 cm)</x:v>
      </x:c>
      <x:c r="H26" s="46" t="str">
        <x:v>Tuna &amp; billfishes</x:v>
      </x:c>
      <x:c r="I26" s="60" t="n">
        <x:v>9.5853636865</x:v>
      </x:c>
      <x:c r="J26" s="60" t="n">
        <x:v>9.5853636865</x:v>
      </x:c>
      <x:c r="K26" s="60" t="n">
        <x:v>0</x:v>
      </x:c>
      <x:c r="L26" s="60" t="n">
        <x:v>9.5853636865</x:v>
      </x:c>
      <x:c r="M26" s="60" t="n">
        <x:v>0</x:v>
      </x:c>
      <x:c r="N26" s="46" t="str">
        <x:v>kajikia albida</x:v>
      </x:c>
      <x:c r="O26" s="62" t="n">
        <x:v>4.49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Kajikia albida</x:v>
      </x:c>
      <x:c r="T26" s="62" t="n">
        <x:f>IF(O26="","",(1/'Metadata'!$B$5)^(O26-1))</x:f>
        <x:v>34721.19667768202</x:v>
      </x:c>
      <x:c r="U26" s="60" t="n">
        <x:f>IF(T26="","",I26*T26)</x:f>
        <x:v>332815.29778607766</x:v>
      </x:c>
    </x:row>
    <x:row r="27" ht="18" customHeight="1">
      <x:c r="A27" s="46" t="str">
        <x:v>HS_034</x:v>
      </x:c>
      <x:c r="B27" s="46" t="str">
        <x:v>Atlantic, Eastern Central</x:v>
      </x:c>
      <x:c r="C27" s="46" t="str">
        <x:v>High Seas</x:v>
      </x:c>
      <x:c r="D27" s="58" t="n">
        <x:v>2019</x:v>
      </x:c>
      <x:c r="E27" s="46" t="str">
        <x:v>Carcharhinus falciformis</x:v>
      </x:c>
      <x:c r="F27" s="46" t="str">
        <x:v>Silky shark</x:v>
      </x:c>
      <x:c r="G27" s="46" t="str">
        <x:v>Large sharks (&gt;=90 cm)</x:v>
      </x:c>
      <x:c r="H27" s="46" t="str">
        <x:v>Sharks &amp; rays</x:v>
      </x:c>
      <x:c r="I27" s="60" t="n">
        <x:v>8.4581357682</x:v>
      </x:c>
      <x:c r="J27" s="60" t="n">
        <x:v>8.4581357682</x:v>
      </x:c>
      <x:c r="K27" s="60" t="n">
        <x:v>0</x:v>
      </x:c>
      <x:c r="L27" s="60" t="n">
        <x:v>8.4581357682</x:v>
      </x:c>
      <x:c r="M27" s="60" t="n">
        <x:v>0</x:v>
      </x:c>
      <x:c r="N27" s="46" t="str">
        <x:v>carcharhinus falciformis</x:v>
      </x:c>
      <x:c r="O27" s="62" t="n">
        <x:v>4.51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Carcharhinus falciformis</x:v>
      </x:c>
      <x:c r="T27" s="62" t="n">
        <x:f>IF(O27="","",(1/'Metadata'!$B$5)^(O27-1))</x:f>
        <x:v>36865.088835568684</x:v>
      </x:c>
      <x:c r="U27" s="60" t="n">
        <x:f>IF(T27="","",I27*T27)</x:f>
        <x:v>311809.92647799395</x:v>
      </x:c>
    </x:row>
    <x:row r="28" ht="18" customHeight="1">
      <x:c r="A28" s="46" t="str">
        <x:v>HS_034</x:v>
      </x:c>
      <x:c r="B28" s="46" t="str">
        <x:v>Atlantic, Eastern Central</x:v>
      </x:c>
      <x:c r="C28" s="46" t="str">
        <x:v>High Seas</x:v>
      </x:c>
      <x:c r="D28" s="58" t="n">
        <x:v>2019</x:v>
      </x:c>
      <x:c r="E28" s="46" t="str">
        <x:v>Istiophoridae</x:v>
      </x:c>
      <x:c r="F28" s="46" t="str">
        <x:v>Billfishes</x:v>
      </x:c>
      <x:c r="G28" s="46" t="str">
        <x:v>Large pelagics (&gt;=90 cm)</x:v>
      </x:c>
      <x:c r="H28" s="46" t="str">
        <x:v>Tuna &amp; billfishes</x:v>
      </x:c>
      <x:c r="I28" s="60" t="n">
        <x:v>4.4694736056</x:v>
      </x:c>
      <x:c r="J28" s="60" t="n">
        <x:v>4.4694736056</x:v>
      </x:c>
      <x:c r="K28" s="60" t="n">
        <x:v>0</x:v>
      </x:c>
      <x:c r="L28" s="60" t="n">
        <x:v>4.4694736056</x:v>
      </x:c>
      <x:c r="M28" s="60" t="n">
        <x:v>0</x:v>
      </x:c>
      <x:c r="N28" s="46" t="str">
        <x:v>istiophoridae</x:v>
      </x:c>
      <x:c r="O28" s="62" t="n">
        <x:v>4.48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Istiophoridae</x:v>
      </x:c>
      <x:c r="T28" s="62" t="n">
        <x:f>IF(O28="","",(1/'Metadata'!$B$5)^(O28-1))</x:f>
        <x:v>33696.468277717824</x:v>
      </x:c>
      <x:c r="U28" s="60" t="n">
        <x:f>IF(T28="","",I28*T28)</x:f>
        <x:v>150605.4755691975</x:v>
      </x:c>
    </x:row>
    <x:row r="29" ht="18" customHeight="1">
      <x:c r="A29" s="46" t="str">
        <x:v>HS_034</x:v>
      </x:c>
      <x:c r="B29" s="46" t="str">
        <x:v>Atlantic, Eastern Central</x:v>
      </x:c>
      <x:c r="C29" s="46" t="str">
        <x:v>High Seas</x:v>
      </x:c>
      <x:c r="D29" s="58" t="n">
        <x:v>2019</x:v>
      </x:c>
      <x:c r="E29" s="46" t="str">
        <x:v>Sphyraena barracuda</x:v>
      </x:c>
      <x:c r="F29" s="46" t="str">
        <x:v>Great barracuda</x:v>
      </x:c>
      <x:c r="G29" s="46" t="str">
        <x:v>Large pelagics (&gt;=90 cm)</x:v>
      </x:c>
      <x:c r="H29" s="46" t="str">
        <x:v>Perch-likes</x:v>
      </x:c>
      <x:c r="I29" s="60" t="n">
        <x:v>3.0141468983</x:v>
      </x:c>
      <x:c r="J29" s="60" t="n">
        <x:v>3.0141468983</x:v>
      </x:c>
      <x:c r="K29" s="60" t="n">
        <x:v>0</x:v>
      </x:c>
      <x:c r="L29" s="60" t="n">
        <x:v>3.0141468983</x:v>
      </x:c>
      <x:c r="M29" s="60" t="n">
        <x:v>0</x:v>
      </x:c>
      <x:c r="N29" s="46" t="str">
        <x:v>sphyraena barracuda</x:v>
      </x:c>
      <x:c r="O29" s="62" t="n">
        <x:v>4.49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Sphyraena barracuda</x:v>
      </x:c>
      <x:c r="T29" s="62" t="n">
        <x:f>IF(O29="","",(1/'Metadata'!$B$5)^(O29-1))</x:f>
        <x:v>34721.19667768202</x:v>
      </x:c>
      <x:c r="U29" s="60" t="n">
        <x:f>IF(T29="","",I29*T29)</x:f>
        <x:v>104654.78727129952</x:v>
      </x:c>
    </x:row>
    <x:row r="30" ht="18" customHeight="1">
      <x:c r="A30" s="46" t="str">
        <x:v>HS_034</x:v>
      </x:c>
      <x:c r="B30" s="46" t="str">
        <x:v>Atlantic, Eastern Central</x:v>
      </x:c>
      <x:c r="C30" s="46" t="str">
        <x:v>High Seas</x:v>
      </x:c>
      <x:c r="D30" s="58" t="n">
        <x:v>2019</x:v>
      </x:c>
      <x:c r="E30" s="46" t="str">
        <x:v>Sphyrna lewini</x:v>
      </x:c>
      <x:c r="F30" s="46" t="str">
        <x:v>Scalloped hammerhead</x:v>
      </x:c>
      <x:c r="G30" s="46" t="str">
        <x:v>Large sharks (&gt;=90 cm)</x:v>
      </x:c>
      <x:c r="H30" s="46" t="str">
        <x:v>Sharks &amp; rays</x:v>
      </x:c>
      <x:c r="I30" s="60" t="n">
        <x:v>2.4059912344</x:v>
      </x:c>
      <x:c r="J30" s="60" t="n">
        <x:v>2.4059912344</x:v>
      </x:c>
      <x:c r="K30" s="60" t="n">
        <x:v>0</x:v>
      </x:c>
      <x:c r="L30" s="60" t="n">
        <x:v>2.4059912344</x:v>
      </x:c>
      <x:c r="M30" s="60" t="n">
        <x:v>0</x:v>
      </x:c>
      <x:c r="N30" s="46" t="str">
        <x:v>sphyrna lewini</x:v>
      </x:c>
      <x:c r="O30" s="62" t="n">
        <x:v>4.08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Sphyrna lewini</x:v>
      </x:c>
      <x:c r="T30" s="62" t="n">
        <x:f>IF(O30="","",(1/'Metadata'!$B$5)^(O30-1))</x:f>
        <x:v>10166.521575327472</x:v>
      </x:c>
      <x:c r="U30" s="60" t="n">
        <x:f>IF(T30="","",I30*T30)</x:f>
        <x:v>24460.561794576377</x:v>
      </x:c>
    </x:row>
    <x:row r="31" ht="18" customHeight="1">
      <x:c r="A31" s="46" t="str">
        <x:v>HS_034</x:v>
      </x:c>
      <x:c r="B31" s="46" t="str">
        <x:v>Atlantic, Eastern Central</x:v>
      </x:c>
      <x:c r="C31" s="46" t="str">
        <x:v>High Seas</x:v>
      </x:c>
      <x:c r="D31" s="58" t="n">
        <x:v>2019</x:v>
      </x:c>
      <x:c r="E31" s="46" t="str">
        <x:v>Sphyrna zygaena</x:v>
      </x:c>
      <x:c r="F31" s="46" t="str">
        <x:v>Smooth hammerhead</x:v>
      </x:c>
      <x:c r="G31" s="46" t="str">
        <x:v>Large sharks (&gt;=90 cm)</x:v>
      </x:c>
      <x:c r="H31" s="46" t="str">
        <x:v>Sharks &amp; rays</x:v>
      </x:c>
      <x:c r="I31" s="60" t="n">
        <x:v>0.8314184778</x:v>
      </x:c>
      <x:c r="J31" s="60" t="n">
        <x:v>0.8314184778</x:v>
      </x:c>
      <x:c r="K31" s="60" t="n">
        <x:v>0</x:v>
      </x:c>
      <x:c r="L31" s="60" t="n">
        <x:v>0.8314184778</x:v>
      </x:c>
      <x:c r="M31" s="60" t="n">
        <x:v>0</x:v>
      </x:c>
      <x:c r="N31" s="46" t="str">
        <x:v>sphyrna zygaena</x:v>
      </x:c>
      <x:c r="O31" s="62" t="n">
        <x:v>4.94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Sphyrna zygaena</x:v>
      </x:c>
      <x:c r="T31" s="62" t="n">
        <x:f>IF(O31="","",(1/'Metadata'!$B$5)^(O31-1))</x:f>
        <x:v>133677.45937337462</x:v>
      </x:c>
      <x:c r="U31" s="60" t="n">
        <x:f>IF(T31="","",I31*T31)</x:f>
        <x:v>111141.90978838246</x:v>
      </x:c>
    </x:row>
    <x:row r="32" ht="18" customHeight="1">
      <x:c r="A32" s="46" t="str">
        <x:v>HS_034</x:v>
      </x:c>
      <x:c r="B32" s="46" t="str">
        <x:v>Atlantic, Eastern Central</x:v>
      </x:c>
      <x:c r="C32" s="46" t="str">
        <x:v>High Seas</x:v>
      </x:c>
      <x:c r="D32" s="58" t="n">
        <x:v>2019</x:v>
      </x:c>
      <x:c r="E32" s="46" t="str">
        <x:v>Sphyrnidae</x:v>
      </x:c>
      <x:c r="F32" s="46" t="str">
        <x:v>Hammer, bonnet, scoophead sharks</x:v>
      </x:c>
      <x:c r="G32" s="46" t="str">
        <x:v>Large sharks (&gt;=90 cm)</x:v>
      </x:c>
      <x:c r="H32" s="46" t="str">
        <x:v>Sharks &amp; rays</x:v>
      </x:c>
      <x:c r="I32" s="60" t="n">
        <x:v>0.1723549266</x:v>
      </x:c>
      <x:c r="J32" s="60" t="n">
        <x:v>0.1723549266</x:v>
      </x:c>
      <x:c r="K32" s="60" t="n">
        <x:v>0</x:v>
      </x:c>
      <x:c r="L32" s="60" t="n">
        <x:v>0.1723549266</x:v>
      </x:c>
      <x:c r="M32" s="60" t="n">
        <x:v>0</x:v>
      </x:c>
      <x:c r="N32" s="46" t="str">
        <x:v>sphyrnidae</x:v>
      </x:c>
      <x:c r="O32" s="62" t="n">
        <x:v>4.19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Sphyrnidae</x:v>
      </x:c>
      <x:c r="T32" s="62" t="n">
        <x:f>IF(O32="","",(1/'Metadata'!$B$5)^(O32-1))</x:f>
        <x:v>14134.67041111498</x:v>
      </x:c>
      <x:c r="U32" s="60" t="n">
        <x:f>IF(T32="","",I32*T32)</x:f>
        <x:v>2436.1800812229144</x:v>
      </x:c>
    </x:row>
    <x:row r="33" ht="18" customHeight="1">
      <x:c r="A33" s="46" t="str">
        <x:v>HS_034</x:v>
      </x:c>
      <x:c r="B33" s="46" t="str">
        <x:v>Atlantic, Eastern Central</x:v>
      </x:c>
      <x:c r="C33" s="46" t="str">
        <x:v>High Seas</x:v>
      </x:c>
      <x:c r="D33" s="58" t="n">
        <x:v>2019</x:v>
      </x:c>
      <x:c r="E33" s="46" t="str">
        <x:v>Auxis rochei</x:v>
      </x:c>
      <x:c r="F33" s="46" t="str">
        <x:v>Bullet tuna</x:v>
      </x:c>
      <x:c r="G33" s="46" t="str">
        <x:v>Medium pelagics (30 - 89 cm)</x:v>
      </x:c>
      <x:c r="H33" s="46" t="str">
        <x:v>Tuna &amp; billfishes</x:v>
      </x:c>
      <x:c r="I33" s="60" t="n">
        <x:v>0.0962437518</x:v>
      </x:c>
      <x:c r="J33" s="60" t="n">
        <x:v>0.0962437518</x:v>
      </x:c>
      <x:c r="K33" s="60" t="n">
        <x:v>0</x:v>
      </x:c>
      <x:c r="L33" s="60" t="n">
        <x:v>0.0962437518</x:v>
      </x:c>
      <x:c r="M33" s="60" t="n">
        <x:v>0</x:v>
      </x:c>
      <x:c r="N33" s="46" t="str">
        <x:v>auxis rochei</x:v>
      </x:c>
      <x:c r="O33" s="62" t="n">
        <x:v>4.13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Auxis rochei</x:v>
      </x:c>
      <x:c r="T33" s="62" t="n">
        <x:f>IF(O33="","",(1/'Metadata'!$B$5)^(O33-1))</x:f>
        <x:v>11809.292685236613</x:v>
      </x:c>
      <x:c r="U33" s="60" t="n">
        <x:f>IF(T33="","",I33*T33)</x:f>
        <x:v>1136.570634131468</x:v>
      </x:c>
    </x:row>
    <x:row r="34" ht="18" customHeight="1">
      <x:c r="A34" s="46" t="str">
        <x:v>HS_034</x:v>
      </x:c>
      <x:c r="B34" s="46" t="str">
        <x:v>Atlantic, Eastern Central</x:v>
      </x:c>
      <x:c r="C34" s="46" t="str">
        <x:v>High Seas</x:v>
      </x:c>
      <x:c r="D34" s="58" t="n">
        <x:v>2019</x:v>
      </x:c>
      <x:c r="E34" s="46" t="str">
        <x:v>Brama brama</x:v>
      </x:c>
      <x:c r="F34" s="46" t="str">
        <x:v>Atlantic pomfret</x:v>
      </x:c>
      <x:c r="G34" s="46" t="str">
        <x:v>Medium bathypelagics (30 - 89 cm)</x:v>
      </x:c>
      <x:c r="H34" s="46" t="str">
        <x:v>Perch-likes</x:v>
      </x:c>
      <x:c r="I34" s="60" t="n">
        <x:v>0.0826889846</x:v>
      </x:c>
      <x:c r="J34" s="60" t="n">
        <x:v>0.0826889846</x:v>
      </x:c>
      <x:c r="K34" s="60" t="n">
        <x:v>0</x:v>
      </x:c>
      <x:c r="L34" s="60" t="n">
        <x:v>0.0826889846</x:v>
      </x:c>
      <x:c r="M34" s="60" t="n">
        <x:v>0</x:v>
      </x:c>
      <x:c r="N34" s="46" t="str">
        <x:v>brama brama</x:v>
      </x:c>
      <x:c r="O34" s="62" t="n">
        <x:v>4.08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Brama brama</x:v>
      </x:c>
      <x:c r="T34" s="62" t="n">
        <x:f>IF(O34="","",(1/'Metadata'!$B$5)^(O34-1))</x:f>
        <x:v>10166.521575327472</x:v>
      </x:c>
      <x:c r="U34" s="60" t="n">
        <x:f>IF(T34="","",I34*T34)</x:f>
        <x:v>840.6593459778211</x:v>
      </x:c>
    </x:row>
    <x:row r="35" ht="18" customHeight="1">
      <x:c r="A35" s="46" t="str">
        <x:v>HS_034</x:v>
      </x:c>
      <x:c r="B35" s="46" t="str">
        <x:v>Atlantic, Eastern Central</x:v>
      </x:c>
      <x:c r="C35" s="46" t="str">
        <x:v>High Seas</x:v>
      </x:c>
      <x:c r="D35" s="58" t="n">
        <x:v>2019</x:v>
      </x:c>
      <x:c r="E35" s="46" t="str">
        <x:v>Thunnus</x:v>
      </x:c>
      <x:c r="F35" s="46" t="str">
        <x:v>Tunas</x:v>
      </x:c>
      <x:c r="G35" s="46" t="str">
        <x:v>Large pelagics (&gt;=90 cm)</x:v>
      </x:c>
      <x:c r="H35" s="46" t="str">
        <x:v>Tuna &amp; billfishes</x:v>
      </x:c>
      <x:c r="I35" s="60" t="n">
        <x:v>0.0578324912</x:v>
      </x:c>
      <x:c r="J35" s="60" t="n">
        <x:v>0.0578324912</x:v>
      </x:c>
      <x:c r="K35" s="60" t="n">
        <x:v>0</x:v>
      </x:c>
      <x:c r="L35" s="60" t="n">
        <x:v>0.0578324912</x:v>
      </x:c>
      <x:c r="M35" s="60" t="n">
        <x:v>0</x:v>
      </x:c>
      <x:c r="N35" s="46" t="str">
        <x:v>thunnus</x:v>
      </x:c>
      <x:c r="O35" s="62" t="n">
        <x:v>4.34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Thunnus</x:v>
      </x:c>
      <x:c r="T35" s="62" t="n">
        <x:f>IF(O35="","",(1/'Metadata'!$B$5)^(O35-1))</x:f>
        <x:v>22153.389612394185</x:v>
      </x:c>
      <x:c r="U35" s="60" t="n">
        <x:f>IF(T35="","",I35*T35)</x:f>
        <x:v>1281.185709808958</x:v>
      </x:c>
    </x:row>
    <x:row r="36" ht="18" customHeight="1">
      <x:c r="A36" s="46" t="str">
        <x:v>HS_034</x:v>
      </x:c>
      <x:c r="B36" s="46" t="str">
        <x:v>Atlantic, Eastern Central</x:v>
      </x:c>
      <x:c r="C36" s="46" t="str">
        <x:v>High Seas</x:v>
      </x:c>
      <x:c r="D36" s="58" t="n">
        <x:v>2019</x:v>
      </x:c>
      <x:c r="E36" s="46" t="str">
        <x:v>Orcynopsis unicolor</x:v>
      </x:c>
      <x:c r="F36" s="46" t="str">
        <x:v>Plain bonito</x:v>
      </x:c>
      <x:c r="G36" s="46" t="str">
        <x:v>Large pelagics (&gt;=90 cm)</x:v>
      </x:c>
      <x:c r="H36" s="46" t="str">
        <x:v>Tuna &amp; billfishes</x:v>
      </x:c>
      <x:c r="I36" s="60" t="n">
        <x:v>0.0388371742</x:v>
      </x:c>
      <x:c r="J36" s="60" t="n">
        <x:v>0.0388371742</x:v>
      </x:c>
      <x:c r="K36" s="60" t="n">
        <x:v>0</x:v>
      </x:c>
      <x:c r="L36" s="60" t="n">
        <x:v>0.0388371742</x:v>
      </x:c>
      <x:c r="M36" s="60" t="n">
        <x:v>0</x:v>
      </x:c>
      <x:c r="N36" s="46" t="str">
        <x:v>orcynopsis unicolor</x:v>
      </x:c>
      <x:c r="O36" s="62" t="n">
        <x:v>4.5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Orcynopsis unicolor</x:v>
      </x:c>
      <x:c r="T36" s="62" t="n">
        <x:f>IF(O36="","",(1/'Metadata'!$B$5)^(O36-1))</x:f>
        <x:v>35777.08763999664</x:v>
      </x:c>
      <x:c r="U36" s="60" t="n">
        <x:f>IF(T36="","",I36*T36)</x:f>
        <x:v>1389.4809850432162</x:v>
      </x:c>
    </x:row>
    <x:row r="37" ht="18" customHeight="1">
      <x:c r="A37" s="46" t="str">
        <x:v>HS_034</x:v>
      </x:c>
      <x:c r="B37" s="46" t="str">
        <x:v>Atlantic, Eastern Central</x:v>
      </x:c>
      <x:c r="C37" s="46" t="str">
        <x:v>High Seas</x:v>
      </x:c>
      <x:c r="D37" s="58" t="n">
        <x:v>2019</x:v>
      </x:c>
      <x:c r="E37" s="46" t="str">
        <x:v>Carcharhinus</x:v>
      </x:c>
      <x:c r="F37" s="46" t="str">
        <x:v>Sharp-nosed sharks</x:v>
      </x:c>
      <x:c r="G37" s="46" t="str">
        <x:v>Large sharks (&gt;=90 cm)</x:v>
      </x:c>
      <x:c r="H37" s="46" t="str">
        <x:v>Sharks &amp; rays</x:v>
      </x:c>
      <x:c r="I37" s="60" t="n">
        <x:v>0.0257378433</x:v>
      </x:c>
      <x:c r="J37" s="60" t="n">
        <x:v>0.0257378433</x:v>
      </x:c>
      <x:c r="K37" s="60" t="n">
        <x:v>0</x:v>
      </x:c>
      <x:c r="L37" s="60" t="n">
        <x:v>0.0257378433</x:v>
      </x:c>
      <x:c r="M37" s="60" t="n">
        <x:v>0</x:v>
      </x:c>
      <x:c r="N37" s="46" t="str">
        <x:v>carcharhinus</x:v>
      </x:c>
      <x:c r="O37" s="62" t="n">
        <x:v>4.26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Carcharhinus</x:v>
      </x:c>
      <x:c r="T37" s="62" t="n">
        <x:f>IF(O37="","",(1/'Metadata'!$B$5)^(O37-1))</x:f>
        <x:v>17432.42421569787</x:v>
      </x:c>
      <x:c r="U37" s="60" t="n">
        <x:f>IF(T37="","",I37*T37)</x:f>
        <x:v>448.67300280275714</x:v>
      </x:c>
    </x:row>
    <x:row r="38" ht="18" customHeight="1">
      <x:c r="A38" s="46" t="str">
        <x:v>HS_034</x:v>
      </x:c>
      <x:c r="B38" s="46" t="str">
        <x:v>Atlantic, Eastern Central</x:v>
      </x:c>
      <x:c r="C38" s="46" t="str">
        <x:v>High Seas</x:v>
      </x:c>
      <x:c r="D38" s="58" t="n">
        <x:v>2019</x:v>
      </x:c>
      <x:c r="E38" s="46" t="str">
        <x:v>Carcharhinus longimanus</x:v>
      </x:c>
      <x:c r="F38" s="46" t="str">
        <x:v>Oceanic whitetip shark</x:v>
      </x:c>
      <x:c r="G38" s="46" t="str">
        <x:v>Large sharks (&gt;=90 cm)</x:v>
      </x:c>
      <x:c r="H38" s="46" t="str">
        <x:v>Sharks &amp; rays</x:v>
      </x:c>
      <x:c r="I38" s="60" t="n">
        <x:v>0.002526229</x:v>
      </x:c>
      <x:c r="J38" s="60" t="n">
        <x:v>0.002526229</x:v>
      </x:c>
      <x:c r="K38" s="60" t="n">
        <x:v>0</x:v>
      </x:c>
      <x:c r="L38" s="60" t="n">
        <x:v>0.002526229</x:v>
      </x:c>
      <x:c r="M38" s="60" t="n">
        <x:v>0</x:v>
      </x:c>
      <x:c r="N38" s="46" t="str">
        <x:v>carcharhinus longimanus</x:v>
      </x:c>
      <x:c r="O38" s="62" t="n">
        <x:v>4.16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Carcharhinus longimanus</x:v>
      </x:c>
      <x:c r="T38" s="62" t="n">
        <x:f>IF(O38="","",(1/'Metadata'!$B$5)^(O38-1))</x:f>
        <x:v>12919.77011769987</x:v>
      </x:c>
      <x:c r="U38" s="60" t="n">
        <x:f>IF(T38="","",I38*T38)</x:f>
        <x:v>32.638297944666824</x:v>
      </x:c>
    </x:row>
  </x:sheetData>
  <x:conditionalFormatting sqref="R2:R3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a3db524925f487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Other fishes &amp; inverts</x:v>
      </x:c>
      <x:c r="B2" s="64" t="n">
        <x:v>2</x:v>
      </x:c>
      <x:c r="C2" s="64" t="n">
        <x:v>2</x:v>
      </x:c>
      <x:c r="D2" s="60" t="n">
        <x:v>21164.582657384897</x:v>
      </x:c>
      <x:c r="E2" s="60" t="n">
        <x:v>21164.582657384897</x:v>
      </x:c>
      <x:c r="F2" s="62" t="n">
        <x:v>0</x:v>
      </x:c>
      <x:c r="G2" s="66" t="n">
        <x:v>1</x:v>
      </x:c>
      <x:c r="H2" s="62" t="n">
        <x:f>IF(E2=0,"",I2/E2)</x:f>
        <x:v>952.9739501819864</x:v>
      </x:c>
      <x:c r="I2" s="60" t="n">
        <x:f>SUMIF('Species'!$H$2:$H$38,A2,'Species'!$U$2:$U$38)</x:f>
        <x:v>20169295.93896125</x:v>
      </x:c>
      <x:c r="J2" s="62" t="n">
        <x:v>3.2889265057360446</x:v>
      </x:c>
      <x:c r="K2" s="62" t="n">
        <x:f>IF(J2="","",(1/'Metadata'!$B$5)^(J2-1))</x:f>
        <x:v>950.5217126127816</x:v>
      </x:c>
      <x:c r="L2" s="60" t="n">
        <x:f>IF(E2=0,"",E2*K2)</x:f>
        <x:v>20117395.354232267</x:v>
      </x:c>
      <x:c r="M2" s="60" t="n">
        <x:f>I2-L2</x:f>
        <x:v>51900.5847289823</x:v>
      </x:c>
      <x:c r="N2" s="62" t="n">
        <x:f>IF(L2=0,"",I2/L2)</x:f>
        <x:v>1.0025798859054615</x:v>
      </x:c>
      <x:c r="O2" s="66" t="n">
        <x:f>IF(L2=0,"",M2/L2)</x:f>
        <x:v>0.0025798859054615903</x:v>
      </x:c>
    </x:row>
    <x:row r="3" ht="18" customHeight="1">
      <x:c r="A3" s="46" t="str">
        <x:v>Perch-likes</x:v>
      </x:c>
      <x:c r="B3" s="64" t="n">
        <x:v>5</x:v>
      </x:c>
      <x:c r="C3" s="64" t="n">
        <x:v>5</x:v>
      </x:c>
      <x:c r="D3" s="60" t="n">
        <x:v>2839.6174870202</x:v>
      </x:c>
      <x:c r="E3" s="60" t="n">
        <x:v>2839.6174870202</x:v>
      </x:c>
      <x:c r="F3" s="62" t="n">
        <x:v>0</x:v>
      </x:c>
      <x:c r="G3" s="66" t="n">
        <x:v>1</x:v>
      </x:c>
      <x:c r="H3" s="62" t="n">
        <x:f>IF(E3=0,"",I3/E3)</x:f>
        <x:v>19141.424277122765</x:v>
      </x:c>
      <x:c r="I3" s="60" t="n">
        <x:f>SUMIF('Species'!$H$2:$H$38,A3,'Species'!$U$2:$U$38)</x:f>
        <x:v>54354323.10379079</x:v>
      </x:c>
      <x:c r="J3" s="62" t="n">
        <x:v>4.287574396565617</x:v>
      </x:c>
      <x:c r="K3" s="62" t="n">
        <x:f>IF(J3="","",(1/'Metadata'!$B$5)^(J3-1))</x:f>
        <x:v>18933.587145082394</x:v>
      </x:c>
      <x:c r="L3" s="60" t="n">
        <x:f>IF(E3=0,"",E3*K3)</x:f>
        <x:v>53764145.149196826</x:v>
      </x:c>
      <x:c r="M3" s="60" t="n">
        <x:f>I3-L3</x:f>
        <x:v>590177.9545939639</x:v>
      </x:c>
      <x:c r="N3" s="62" t="n">
        <x:f>IF(L3=0,"",I3/L3)</x:f>
        <x:v>1.0109771661570404</x:v>
      </x:c>
      <x:c r="O3" s="66" t="n">
        <x:f>IF(L3=0,"",M3/L3)</x:f>
        <x:v>0.010977166157040264</x:v>
      </x:c>
    </x:row>
    <x:row r="4" ht="18" customHeight="1">
      <x:c r="A4" s="46" t="str">
        <x:v>Sharks &amp; rays</x:v>
      </x:c>
      <x:c r="B4" s="64" t="n">
        <x:v>14</x:v>
      </x:c>
      <x:c r="C4" s="64" t="n">
        <x:v>14</x:v>
      </x:c>
      <x:c r="D4" s="60" t="n">
        <x:v>14724.0785045723</x:v>
      </x:c>
      <x:c r="E4" s="60" t="n">
        <x:v>14724.0785045723</x:v>
      </x:c>
      <x:c r="F4" s="62" t="n">
        <x:v>0</x:v>
      </x:c>
      <x:c r="G4" s="66" t="n">
        <x:v>1</x:v>
      </x:c>
      <x:c r="H4" s="62" t="n">
        <x:f>IF(E4=0,"",I4/E4)</x:f>
        <x:v>22299.528433897965</x:v>
      </x:c>
      <x:c r="I4" s="60" t="n">
        <x:f>SUMIF('Species'!$H$2:$H$38,A4,'Species'!$U$2:$U$38)</x:f>
        <x:v>328340007.27565587</x:v>
      </x:c>
      <x:c r="J4" s="62" t="n">
        <x:v>4.3350642171340255</x:v>
      </x:c>
      <x:c r="K4" s="62" t="n">
        <x:f>IF(J4="","",(1/'Metadata'!$B$5)^(J4-1))</x:f>
        <x:v>21828.233153476926</x:v>
      </x:c>
      <x:c r="L4" s="60" t="n">
        <x:f>IF(E4=0,"",E4*K4)</x:f>
        <x:v>321400618.567902</x:v>
      </x:c>
      <x:c r="M4" s="60" t="n">
        <x:f>I4-L4</x:f>
        <x:v>6939388.707753837</x:v>
      </x:c>
      <x:c r="N4" s="62" t="n">
        <x:f>IF(L4=0,"",I4/L4)</x:f>
        <x:v>1.0215910869701321</x:v>
      </x:c>
      <x:c r="O4" s="66" t="n">
        <x:f>IF(L4=0,"",M4/L4)</x:f>
        <x:v>0.021591086970132133</x:v>
      </x:c>
    </x:row>
    <x:row r="5" ht="18" customHeight="1">
      <x:c r="A5" s="46" t="str">
        <x:v>Tuna &amp; billfishes</x:v>
      </x:c>
      <x:c r="B5" s="64" t="n">
        <x:v>16</x:v>
      </x:c>
      <x:c r="C5" s="64" t="n">
        <x:v>16</x:v>
      </x:c>
      <x:c r="D5" s="60" t="n">
        <x:v>196591.17662370868</x:v>
      </x:c>
      <x:c r="E5" s="60" t="n">
        <x:v>196591.17662370868</x:v>
      </x:c>
      <x:c r="F5" s="62" t="n">
        <x:v>0</x:v>
      </x:c>
      <x:c r="G5" s="66" t="n">
        <x:v>1</x:v>
      </x:c>
      <x:c r="H5" s="62" t="n">
        <x:f>IF(E5=0,"",I5/E5)</x:f>
        <x:v>29697.655265867324</x:v>
      </x:c>
      <x:c r="I5" s="60" t="n">
        <x:f>SUMIF('Species'!$H$2:$H$38,A5,'Species'!$U$2:$U$38)</x:f>
        <x:v>5838296991.682136</x:v>
      </x:c>
      <x:c r="J5" s="62" t="n">
        <x:v>4.43595929010175</x:v>
      </x:c>
      <x:c r="K5" s="62" t="n">
        <x:f>IF(J5="","",(1/'Metadata'!$B$5)^(J5-1))</x:f>
        <x:v>29531.54036151674</x:v>
      </x:c>
      <x:c r="L5" s="60" t="n">
        <x:f>IF(E5=0,"",E5*K5)</x:f>
        <x:v>5805640267.18112</x:v>
      </x:c>
      <x:c r="M5" s="60" t="n">
        <x:f>I5-L5</x:f>
        <x:v>32656724.501015663</x:v>
      </x:c>
      <x:c r="N5" s="62" t="n">
        <x:f>IF(L5=0,"",I5/L5)</x:f>
        <x:v>1.0056249996551838</x:v>
      </x:c>
      <x:c r="O5" s="66" t="n">
        <x:f>IF(L5=0,"",M5/L5)</x:f>
        <x:v>0.005624999655183917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a3cae3c30f749c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Large pelagics (&gt;=90 cm)</x:v>
      </x:c>
      <x:c r="B2" s="64" t="n">
        <x:v>16</x:v>
      </x:c>
      <x:c r="C2" s="64" t="n">
        <x:v>16</x:v>
      </x:c>
      <x:c r="D2" s="60" t="n">
        <x:v>194976.038241492</x:v>
      </x:c>
      <x:c r="E2" s="60" t="n">
        <x:v>194976.038241492</x:v>
      </x:c>
      <x:c r="F2" s="62" t="n">
        <x:v>0</x:v>
      </x:c>
      <x:c r="G2" s="66" t="n">
        <x:v>1</x:v>
      </x:c>
      <x:c r="H2" s="62" t="n">
        <x:f>IF(E2=0,"",I2/E2)</x:f>
        <x:v>29666.178912711002</x:v>
      </x:c>
      <x:c r="I2" s="60" t="n">
        <x:f>SUMIF('Species'!$G$2:$G$38,A2,'Species'!$U$2:$U$38)</x:f>
        <x:v>5784194034.163684</x:v>
      </x:c>
      <x:c r="J2" s="62" t="n">
        <x:v>4.435549851535446</x:v>
      </x:c>
      <x:c r="K2" s="62" t="n">
        <x:f>IF(J2="","",(1/'Metadata'!$B$5)^(J2-1))</x:f>
        <x:v>29495.340115034756</x:v>
      </x:c>
      <x:c r="L2" s="60" t="n">
        <x:f>IF(E2=0,"",E2*K2)</x:f>
        <x:v>5750884562.214829</x:v>
      </x:c>
      <x:c r="M2" s="60" t="n">
        <x:f>I2-L2</x:f>
        <x:v>33309471.948854446</x:v>
      </x:c>
      <x:c r="N2" s="62" t="n">
        <x:f>IF(L2=0,"",I2/L2)</x:f>
        <x:v>1.00579206061059</x:v>
      </x:c>
      <x:c r="O2" s="66" t="n">
        <x:f>IF(L2=0,"",M2/L2)</x:f>
        <x:v>0.005792060610589968</x:v>
      </x:c>
    </x:row>
    <x:row r="3" ht="18" customHeight="1">
      <x:c r="A3" s="46" t="str">
        <x:v>Large sharks (&gt;=90 cm)</x:v>
      </x:c>
      <x:c r="B3" s="64" t="n">
        <x:v>14</x:v>
      </x:c>
      <x:c r="C3" s="64" t="n">
        <x:v>14</x:v>
      </x:c>
      <x:c r="D3" s="60" t="n">
        <x:v>14724.0785045723</x:v>
      </x:c>
      <x:c r="E3" s="60" t="n">
        <x:v>14724.0785045723</x:v>
      </x:c>
      <x:c r="F3" s="62" t="n">
        <x:v>0</x:v>
      </x:c>
      <x:c r="G3" s="66" t="n">
        <x:v>1</x:v>
      </x:c>
      <x:c r="H3" s="62" t="n">
        <x:f>IF(E3=0,"",I3/E3)</x:f>
        <x:v>22299.528433897965</x:v>
      </x:c>
      <x:c r="I3" s="60" t="n">
        <x:f>SUMIF('Species'!$G$2:$G$38,A3,'Species'!$U$2:$U$38)</x:f>
        <x:v>328340007.27565587</x:v>
      </x:c>
      <x:c r="J3" s="62" t="n">
        <x:v>4.3350642171340255</x:v>
      </x:c>
      <x:c r="K3" s="62" t="n">
        <x:f>IF(J3="","",(1/'Metadata'!$B$5)^(J3-1))</x:f>
        <x:v>21828.233153476926</x:v>
      </x:c>
      <x:c r="L3" s="60" t="n">
        <x:f>IF(E3=0,"",E3*K3)</x:f>
        <x:v>321400618.567902</x:v>
      </x:c>
      <x:c r="M3" s="60" t="n">
        <x:f>I3-L3</x:f>
        <x:v>6939388.707753837</x:v>
      </x:c>
      <x:c r="N3" s="62" t="n">
        <x:f>IF(L3=0,"",I3/L3)</x:f>
        <x:v>1.0215910869701321</x:v>
      </x:c>
      <x:c r="O3" s="66" t="n">
        <x:f>IF(L3=0,"",M3/L3)</x:f>
        <x:v>0.021591086970132133</x:v>
      </x:c>
    </x:row>
    <x:row r="4" ht="18" customHeight="1">
      <x:c r="A4" s="46" t="str">
        <x:v>Medium bathypelagics (30 - 89 cm)</x:v>
      </x:c>
      <x:c r="B4" s="64" t="n">
        <x:v>1</x:v>
      </x:c>
      <x:c r="C4" s="64" t="n">
        <x:v>1</x:v>
      </x:c>
      <x:c r="D4" s="60" t="n">
        <x:v>0.0826889846</x:v>
      </x:c>
      <x:c r="E4" s="60" t="n">
        <x:v>0.0826889846</x:v>
      </x:c>
      <x:c r="F4" s="62" t="n">
        <x:v>0</x:v>
      </x:c>
      <x:c r="G4" s="66" t="n">
        <x:v>1</x:v>
      </x:c>
      <x:c r="H4" s="62" t="n">
        <x:f>IF(E4=0,"",I4/E4)</x:f>
        <x:v>10166.521575327472</x:v>
      </x:c>
      <x:c r="I4" s="60" t="n">
        <x:f>SUMIF('Species'!$G$2:$G$38,A4,'Species'!$U$2:$U$38)</x:f>
        <x:v>840.6593459778211</x:v>
      </x:c>
      <x:c r="J4" s="62" t="n">
        <x:v>4.08</x:v>
      </x:c>
      <x:c r="K4" s="62" t="n">
        <x:f>IF(J4="","",(1/'Metadata'!$B$5)^(J4-1))</x:f>
        <x:v>10166.521575327472</x:v>
      </x:c>
      <x:c r="L4" s="60" t="n">
        <x:f>IF(E4=0,"",E4*K4)</x:f>
        <x:v>840.6593459778211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Medium demersals (30 - 89 cm)</x:v>
      </x:c>
      <x:c r="B5" s="64" t="n">
        <x:v>1</x:v>
      </x:c>
      <x:c r="C5" s="64" t="n">
        <x:v>1</x:v>
      </x:c>
      <x:c r="D5" s="60" t="n">
        <x:v>18465.6431074972</x:v>
      </x:c>
      <x:c r="E5" s="60" t="n">
        <x:v>18465.6431074972</x:v>
      </x:c>
      <x:c r="F5" s="62" t="n">
        <x:v>0</x:v>
      </x:c>
      <x:c r="G5" s="66" t="n">
        <x:v>1</x:v>
      </x:c>
      <x:c r="H5" s="62" t="n">
        <x:f>IF(E5=0,"",I5/E5)</x:f>
        <x:v>925.4402624666745</x:v>
      </x:c>
      <x:c r="I5" s="60" t="n">
        <x:f>SUMIF('Species'!$G$2:$G$38,A5,'Species'!$U$2:$U$38)</x:f>
        <x:v>17088849.604018148</x:v>
      </x:c>
      <x:c r="J5" s="62" t="n">
        <x:v>3.28</x:v>
      </x:c>
      <x:c r="K5" s="62" t="n">
        <x:f>IF(J5="","",(1/'Metadata'!$B$5)^(J5-1))</x:f>
        <x:v>925.4402624666747</x:v>
      </x:c>
      <x:c r="L5" s="60" t="n">
        <x:f>IF(E5=0,"",E5*K5)</x:f>
        <x:v>17088849.604018148</x:v>
      </x:c>
      <x:c r="M5" s="60" t="n">
        <x:f>I5-L5</x:f>
        <x:v>0</x:v>
      </x:c>
      <x:c r="N5" s="62" t="n">
        <x:f>IF(L5=0,"",I5/L5)</x:f>
        <x:v>1</x:v>
      </x:c>
      <x:c r="O5" s="66" t="n">
        <x:f>IF(L5=0,"",M5/L5)</x:f>
        <x:v>0</x:v>
      </x:c>
    </x:row>
    <x:row r="6" ht="18" customHeight="1">
      <x:c r="A6" s="46" t="str">
        <x:v>Medium pelagics (30 - 89 cm)</x:v>
      </x:c>
      <x:c r="B6" s="64" t="n">
        <x:v>5</x:v>
      </x:c>
      <x:c r="C6" s="64" t="n">
        <x:v>5</x:v>
      </x:c>
      <x:c r="D6" s="60" t="n">
        <x:v>7153.612730139999</x:v>
      </x:c>
      <x:c r="E6" s="60" t="n">
        <x:v>7153.612730139999</x:v>
      </x:c>
      <x:c r="F6" s="62" t="n">
        <x:v>0</x:v>
      </x:c>
      <x:c r="G6" s="66" t="n">
        <x:v>1</x:v>
      </x:c>
      <x:c r="H6" s="62" t="n">
        <x:f>IF(E6=0,"",I6/E6)</x:f>
        <x:v>15591.686397546613</x:v>
      </x:c>
      <x:c r="I6" s="60" t="n">
        <x:f>SUMIF('Species'!$G$2:$G$38,A6,'Species'!$U$2:$U$38)</x:f>
        <x:v>111536886.29784012</x:v>
      </x:c>
      <x:c r="J6" s="62" t="n">
        <x:v>3.978507259066117</x:v>
      </x:c>
      <x:c r="K6" s="62" t="n">
        <x:f>IF(J6="","",(1/'Metadata'!$B$5)^(J6-1))</x:f>
        <x:v>7501.140262732178</x:v>
      </x:c>
      <x:c r="L6" s="60" t="n">
        <x:f>IF(E6=0,"",E6*K6)</x:f>
        <x:v>53660252.4740466</x:v>
      </x:c>
      <x:c r="M6" s="60" t="n">
        <x:f>I6-L6</x:f>
        <x:v>57876633.823793516</x:v>
      </x:c>
      <x:c r="N6" s="62" t="n">
        <x:f>IF(L6=0,"",I6/L6)</x:f>
        <x:v>2.0785755033818787</x:v>
      </x:c>
      <x:c r="O6" s="66" t="n">
        <x:f>IF(L6=0,"",M6/L6)</x:f>
        <x:v>1.0785755033818787</x:v>
      </x:c>
    </x:row>
  </x:sheetData>
  <x:conditionalFormatting sqref="G2:G6">
    <x:cfRule type="cellIs" dxfId="2" priority="1" operator="lessThan">
      <x:formula>0.9</x:formula>
    </x:cfRule>
  </x:conditionalFormatting>
  <x:conditionalFormatting sqref="O2:O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04d76a80f5e41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HS_034</x:v>
      </x:c>
      <x:c r="B2" s="46" t="str">
        <x:v>raw_filtered_tonnes</x:v>
      </x:c>
      <x:c r="C2" s="46" t="n">
        <x:v>235319.4552726861</x:v>
      </x:c>
      <x:c r="D2" s="46" t="str">
        <x:v>tonnes</x:v>
      </x:c>
    </x:row>
    <x:row r="3" ht="18" customHeight="1">
      <x:c r="A3" s="46" t="str">
        <x:v>HS_034</x:v>
      </x:c>
      <x:c r="B3" s="46" t="str">
        <x:v>species_catch_tonnes</x:v>
      </x:c>
      <x:c r="C3" s="46" t="n">
        <x:v>235319.45527268611</x:v>
      </x:c>
      <x:c r="D3" s="46" t="str">
        <x:v>tonnes</x:v>
      </x:c>
    </x:row>
    <x:row r="4" ht="18" customHeight="1">
      <x:c r="A4" s="46" t="str">
        <x:v>HS_034</x:v>
      </x:c>
      <x:c r="B4" s="46" t="str">
        <x:v>catch_difference_tonnes</x:v>
      </x:c>
      <x:c r="C4" s="46" t="n">
        <x:v>2.9103830456733704e-11</x:v>
      </x:c>
      <x:c r="D4" s="46" t="str">
        <x:v>tonnes</x:v>
      </x:c>
    </x:row>
    <x:row r="5" ht="18" customHeight="1">
      <x:c r="A5" s="46" t="str">
        <x:v>HS_034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HS_034</x:v>
      </x:c>
      <x:c r="B6" s="46" t="str">
        <x:v>matched_catch_tonnes</x:v>
      </x:c>
      <x:c r="C6" s="46" t="n">
        <x:v>235319.45527268611</x:v>
      </x:c>
      <x:c r="D6" s="46" t="str">
        <x:v>tonnes</x:v>
      </x:c>
    </x:row>
    <x:row r="7" ht="18" customHeight="1">
      <x:c r="A7" s="46" t="str">
        <x:v>HS_034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HS_034</x:v>
      </x:c>
      <x:c r="B8" s="46" t="str">
        <x:v>taxa_count</x:v>
      </x:c>
      <x:c r="C8" s="46" t="n">
        <x:v>37</x:v>
      </x:c>
      <x:c r="D8" s="46" t="str">
        <x:v>count</x:v>
      </x:c>
    </x:row>
    <x:row r="9" ht="18" customHeight="1">
      <x:c r="A9" s="46" t="str">
        <x:v>HS_034</x:v>
      </x:c>
      <x:c r="B9" s="46" t="str">
        <x:v>matched_taxa_count</x:v>
      </x:c>
      <x:c r="C9" s="46" t="n">
        <x:v>37</x:v>
      </x:c>
      <x:c r="D9" s="46" t="str">
        <x:v>count</x:v>
      </x:c>
    </x:row>
    <x:row r="10" ht="18" customHeight="1">
      <x:c r="A10" s="46" t="str">
        <x:v>HS_034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HS_034</x:v>
      </x:c>
      <x:c r="B11" s="46" t="str">
        <x:v>species_ppr</x:v>
      </x:c>
      <x:c r="C11" s="46" t="n">
        <x:v>6241160618.0005455</x:v>
      </x:c>
      <x:c r="D11" s="46" t="str">
        <x:v>tonnes_primary_production_equivalent</x:v>
      </x:c>
    </x:row>
    <x:row r="12" ht="18" customHeight="1">
      <x:c r="A12" s="46" t="str">
        <x:v>HS_034</x:v>
      </x:c>
      <x:c r="B12" s="46" t="str">
        <x:v>commercial_ppr</x:v>
      </x:c>
      <x:c r="C12" s="46" t="n">
        <x:v>6241160618.0005455</x:v>
      </x:c>
      <x:c r="D12" s="46" t="str">
        <x:v>tonnes_primary_production_equivalent</x:v>
      </x:c>
    </x:row>
    <x:row r="13" ht="18" customHeight="1">
      <x:c r="A13" s="46" t="str">
        <x:v>HS_034</x:v>
      </x:c>
      <x:c r="B13" s="46" t="str">
        <x:v>functional_ppr</x:v>
      </x:c>
      <x:c r="C13" s="46" t="n">
        <x:v>6241160618.000545</x:v>
      </x:c>
      <x:c r="D13" s="46" t="str">
        <x:v>tonnes_primary_production_equivalent</x:v>
      </x:c>
    </x:row>
    <x:row r="14" ht="18" customHeight="1">
      <x:c r="A14" s="46" t="str">
        <x:v>HS_034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HS_034</x:v>
      </x:c>
      <x:c r="B15" s="46" t="str">
        <x:v>functional_ppr_difference</x:v>
      </x:c>
      <x:c r="C15" s="46" t="n">
        <x:v>-9.5367431640625e-7</x:v>
      </x:c>
      <x:c r="D15" s="46" t="str">
        <x:v>tonnes_primary_production_equivalent</x:v>
      </x:c>
    </x:row>
    <x:row r="16" ht="18" customHeight="1">
      <x:c r="A16" s="46" t="str">
        <x:v>HS_034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HS_034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HS_034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HS_034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39c48fd0b7b14d0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HS_034 - Atlantic, Eastern Central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HS_034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High Seas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raw_data/SAU_downloads/HS_034-catch.zip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