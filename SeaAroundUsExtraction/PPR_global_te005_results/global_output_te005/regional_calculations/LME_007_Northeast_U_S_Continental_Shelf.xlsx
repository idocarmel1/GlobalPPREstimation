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cc1f635d1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538cca469a24d6d"/>
    <x:sheet xmlns:r="http://schemas.openxmlformats.org/officeDocument/2006/relationships" name="Commercial" sheetId="2" r:id="Ra7d3428a1b354198"/>
    <x:sheet xmlns:r="http://schemas.openxmlformats.org/officeDocument/2006/relationships" name="Functional" sheetId="3" r:id="Ra538869db6244f26"/>
    <x:sheet xmlns:r="http://schemas.openxmlformats.org/officeDocument/2006/relationships" name="Missing TL" sheetId="4" r:id="R2cfdb26d5a2f4dbb"/>
    <x:sheet xmlns:r="http://schemas.openxmlformats.org/officeDocument/2006/relationships" name="Validation" sheetId="5" r:id="Rfc482276ea39463b"/>
    <x:sheet xmlns:r="http://schemas.openxmlformats.org/officeDocument/2006/relationships" name="Metadata" sheetId="6" r:id="R090367302950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9572e8c6d4007" /><Relationship Type="http://schemas.openxmlformats.org/officeDocument/2006/relationships/theme" Target="/xl/theme/theme1.xml" Id="R8fc3b2ae7b9c49b3" /><Relationship Type="http://schemas.openxmlformats.org/officeDocument/2006/relationships/sharedStrings" Target="/xl/sharedStrings.xml" Id="R51d58ffa97114efe" /><Relationship Type="http://schemas.openxmlformats.org/officeDocument/2006/relationships/worksheet" Target="/xl/worksheets/sheet1.xml" Id="Ra538cca469a24d6d" /><Relationship Type="http://schemas.openxmlformats.org/officeDocument/2006/relationships/worksheet" Target="/xl/worksheets/sheet2.xml" Id="Ra7d3428a1b354198" /><Relationship Type="http://schemas.openxmlformats.org/officeDocument/2006/relationships/worksheet" Target="/xl/worksheets/sheet3.xml" Id="Ra538869db6244f26" /><Relationship Type="http://schemas.openxmlformats.org/officeDocument/2006/relationships/worksheet" Target="/xl/worksheets/sheet4.xml" Id="R2cfdb26d5a2f4dbb" /><Relationship Type="http://schemas.openxmlformats.org/officeDocument/2006/relationships/worksheet" Target="/xl/worksheets/sheet5.xml" Id="Rfc482276ea39463b" /><Relationship Type="http://schemas.openxmlformats.org/officeDocument/2006/relationships/worksheet" Target="/xl/worksheets/sheet6.xml" Id="R0903673029504b9e" /></Relationships>
</file>

<file path=xl/tables/table1.xml><?xml version="1.0" encoding="utf-8"?>
<x:table xmlns:x="http://schemas.openxmlformats.org/spreadsheetml/2006/main" id="1" name="LME007SpeciesTable" displayName="LME007SpeciesTable" ref="A1:U233" headerRowCount="1" totalsRowCount="0" totalsRowShown="0">
  <x:autoFilter ref="A1:U2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7CommercialTable" displayName="LME007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7FunctionalTable" displayName="LME007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7ValidationTable" displayName="LME00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3783472b284f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2c092f15af42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d049c409b664c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8492303a3b45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LME_007</x:v>
      </x:c>
      <x:c r="B2" s="46" t="str">
        <x:v>Northeast U.S. Continental Shelf</x:v>
      </x:c>
      <x:c r="C2" s="46" t="str">
        <x:v>LME</x:v>
      </x:c>
      <x:c r="D2" s="58" t="n">
        <x:v>2019</x:v>
      </x:c>
      <x:c r="E2" s="46" t="str">
        <x:v>Clupeidae</x:v>
      </x:c>
      <x:c r="F2" s="46" t="str">
        <x:v>Herrings, sardines, menhadens</x:v>
      </x:c>
      <x:c r="G2" s="46" t="str">
        <x:v>Small pelagics (&lt;30 cm)</x:v>
      </x:c>
      <x:c r="H2" s="46" t="str">
        <x:v>Herring-likes</x:v>
      </x:c>
      <x:c r="I2" s="60" t="n">
        <x:v>85330.2758737813</x:v>
      </x:c>
      <x:c r="J2" s="60" t="n">
        <x:v>85330.2758737813</x:v>
      </x:c>
      <x:c r="K2" s="60" t="n">
        <x:v>0</x:v>
      </x:c>
      <x:c r="L2" s="60" t="n">
        <x:v>85330.2758737813</x:v>
      </x:c>
      <x:c r="M2" s="60" t="n">
        <x:v>0</x:v>
      </x:c>
      <x:c r="N2" s="46" t="str">
        <x:v>clupeidae</x:v>
      </x:c>
      <x:c r="O2" s="62" t="n">
        <x:v>3.16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Clupeidae</x:v>
      </x:c>
      <x:c r="T2" s="62" t="n">
        <x:f>IF(O2="","",(1/'Metadata'!$B$5)^(O2-1))</x:f>
        <x:v>645.9885058849935</x:v>
      </x:c>
      <x:c r="U2" s="60" t="n">
        <x:f>IF(T2="","",I2*T2)</x:f>
        <x:v>55122377.41845829</x:v>
      </x:c>
    </x:row>
    <x:row r="3" ht="18" customHeight="1">
      <x:c r="A3" s="46" t="str">
        <x:v>LME_007</x:v>
      </x:c>
      <x:c r="B3" s="46" t="str">
        <x:v>Northeast U.S. Continental Shelf</x:v>
      </x:c>
      <x:c r="C3" s="46" t="str">
        <x:v>LME</x:v>
      </x:c>
      <x:c r="D3" s="58" t="n">
        <x:v>2019</x:v>
      </x:c>
      <x:c r="E3" s="46" t="str">
        <x:v>Placopecten magellanicus</x:v>
      </x:c>
      <x:c r="F3" s="46" t="str">
        <x:v>American sea scallop</x:v>
      </x:c>
      <x:c r="G3" s="46" t="str">
        <x:v>Other demersal invertebrates</x:v>
      </x:c>
      <x:c r="H3" s="46" t="str">
        <x:v>Molluscs</x:v>
      </x:c>
      <x:c r="I3" s="60" t="n">
        <x:v>83318.6082646146</x:v>
      </x:c>
      <x:c r="J3" s="60" t="n">
        <x:v>42134.381777636496</x:v>
      </x:c>
      <x:c r="K3" s="60" t="n">
        <x:v>41184.2264869781</x:v>
      </x:c>
      <x:c r="L3" s="60" t="n">
        <x:v>27121.3001376457</x:v>
      </x:c>
      <x:c r="M3" s="60" t="n">
        <x:v>56197.3081269689</x:v>
      </x:c>
      <x:c r="N3" s="46" t="str">
        <x:v>placopecten magellanicus</x:v>
      </x:c>
      <x:c r="O3" s="62" t="n">
        <x:v>2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Placopecten magellanicus</x:v>
      </x:c>
      <x:c r="T3" s="62" t="n">
        <x:f>IF(O3="","",(1/'Metadata'!$B$5)^(O3-1))</x:f>
        <x:v>20</x:v>
      </x:c>
      <x:c r="U3" s="60" t="n">
        <x:f>IF(T3="","",I3*T3)</x:f>
        <x:v>1666372.165292292</x:v>
      </x:c>
    </x:row>
    <x:row r="4" ht="18" customHeight="1">
      <x:c r="A4" s="46" t="str">
        <x:v>LME_007</x:v>
      </x:c>
      <x:c r="B4" s="46" t="str">
        <x:v>Northeast U.S. Continental Shelf</x:v>
      </x:c>
      <x:c r="C4" s="46" t="str">
        <x:v>LME</x:v>
      </x:c>
      <x:c r="D4" s="58" t="n">
        <x:v>2019</x:v>
      </x:c>
      <x:c r="E4" s="46" t="str">
        <x:v>Homarus americanus</x:v>
      </x:c>
      <x:c r="F4" s="46" t="str">
        <x:v>American lobster</x:v>
      </x:c>
      <x:c r="G4" s="46" t="str">
        <x:v>Lobsters, crabs</x:v>
      </x:c>
      <x:c r="H4" s="46" t="str">
        <x:v>Crustaceans</x:v>
      </x:c>
      <x:c r="I4" s="60" t="n">
        <x:v>65646.9948694609</x:v>
      </x:c>
      <x:c r="J4" s="60" t="n">
        <x:v>65646.9948694609</x:v>
      </x:c>
      <x:c r="K4" s="60" t="n">
        <x:v>0</x:v>
      </x:c>
      <x:c r="L4" s="60" t="n">
        <x:v>56983.4949316627</x:v>
      </x:c>
      <x:c r="M4" s="60" t="n">
        <x:v>8663.4999377982</x:v>
      </x:c>
      <x:c r="N4" s="46" t="str">
        <x:v>homarus americanus</x:v>
      </x:c>
      <x:c r="O4" s="62" t="n">
        <x:v>3.7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Homarus americanus</x:v>
      </x:c>
      <x:c r="T4" s="62" t="n">
        <x:f>IF(O4="","",(1/'Metadata'!$B$5)^(O4-1))</x:f>
        <x:v>3256.724252295237</x:v>
      </x:c>
      <x:c r="U4" s="60" t="n">
        <x:f>IF(T4="","",I4*T4)</x:f>
        <x:v>213794160.28167433</x:v>
      </x:c>
    </x:row>
    <x:row r="5" ht="18" customHeight="1">
      <x:c r="A5" s="46" t="str">
        <x:v>LME_007</x:v>
      </x:c>
      <x:c r="B5" s="46" t="str">
        <x:v>Northeast U.S. Continental Shelf</x:v>
      </x:c>
      <x:c r="C5" s="46" t="str">
        <x:v>LME</x:v>
      </x:c>
      <x:c r="D5" s="58" t="n">
        <x:v>2019</x:v>
      </x:c>
      <x:c r="E5" s="46" t="str">
        <x:v>Marine fishes not identified</x:v>
      </x:c>
      <x:c r="F5" s="46" t="str">
        <x:v>Marine fishes nei</x:v>
      </x:c>
      <x:c r="G5" s="46" t="str">
        <x:v>Medium demersals (30 - 89 cm)</x:v>
      </x:c>
      <x:c r="H5" s="46" t="str">
        <x:v>Other fishes &amp; inverts</x:v>
      </x:c>
      <x:c r="I5" s="60" t="n">
        <x:v>53973.9560926398</x:v>
      </x:c>
      <x:c r="J5" s="60" t="n">
        <x:v>46414.8893217729</x:v>
      </x:c>
      <x:c r="K5" s="60" t="n">
        <x:v>7559.066770866901</x:v>
      </x:c>
      <x:c r="L5" s="60" t="n">
        <x:v>33530.3238372785</x:v>
      </x:c>
      <x:c r="M5" s="60" t="n">
        <x:v>20443.6322553613</x:v>
      </x:c>
      <x:c r="N5" s="46" t="str">
        <x:v>marine fishes not identified</x:v>
      </x:c>
      <x:c r="O5" s="62" t="n">
        <x:v>3.28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Marine fishes not identified</x:v>
      </x:c>
      <x:c r="T5" s="62" t="n">
        <x:f>IF(O5="","",(1/'Metadata'!$B$5)^(O5-1))</x:f>
        <x:v>925.4402624666747</x:v>
      </x:c>
      <x:c r="U5" s="60" t="n">
        <x:f>IF(T5="","",I5*T5)</x:f>
        <x:v>49949672.09273735</x:v>
      </x:c>
    </x:row>
    <x:row r="6" ht="18" customHeight="1">
      <x:c r="A6" s="46" t="str">
        <x:v>LME_007</x:v>
      </x:c>
      <x:c r="B6" s="46" t="str">
        <x:v>Northeast U.S. Continental Shelf</x:v>
      </x:c>
      <x:c r="C6" s="46" t="str">
        <x:v>LME</x:v>
      </x:c>
      <x:c r="D6" s="58" t="n">
        <x:v>2019</x:v>
      </x:c>
      <x:c r="E6" s="46" t="str">
        <x:v>Brevoortia tyrannus</x:v>
      </x:c>
      <x:c r="F6" s="46" t="str">
        <x:v>Atlantic menhaden</x:v>
      </x:c>
      <x:c r="G6" s="46" t="str">
        <x:v>Medium pelagics (30 - 89 cm)</x:v>
      </x:c>
      <x:c r="H6" s="46" t="str">
        <x:v>Herring-likes</x:v>
      </x:c>
      <x:c r="I6" s="60" t="n">
        <x:v>53283.018966448195</x:v>
      </x:c>
      <x:c r="J6" s="60" t="n">
        <x:v>53283.018966448195</x:v>
      </x:c>
      <x:c r="K6" s="60" t="n">
        <x:v>0</x:v>
      </x:c>
      <x:c r="L6" s="60" t="n">
        <x:v>103.50344456929999</x:v>
      </x:c>
      <x:c r="M6" s="60" t="n">
        <x:v>53179.5155218789</x:v>
      </x:c>
      <x:c r="N6" s="46" t="str">
        <x:v>brevoortia tyrannus</x:v>
      </x:c>
      <x:c r="O6" s="62" t="n">
        <x:v>3.23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Brevoortia tyrannus</x:v>
      </x:c>
      <x:c r="T6" s="62" t="n">
        <x:f>IF(O6="","",(1/'Metadata'!$B$5)^(O6-1))</x:f>
        <x:v>796.7038031673321</x:v>
      </x:c>
      <x:c r="U6" s="60" t="n">
        <x:f>IF(T6="","",I6*T6)</x:f>
        <x:v>42450783.85480636</x:v>
      </x:c>
    </x:row>
    <x:row r="7" ht="18" customHeight="1">
      <x:c r="A7" s="46" t="str">
        <x:v>LME_007</x:v>
      </x:c>
      <x:c r="B7" s="46" t="str">
        <x:v>Northeast U.S. Continental Shelf</x:v>
      </x:c>
      <x:c r="C7" s="46" t="str">
        <x:v>LME</x:v>
      </x:c>
      <x:c r="D7" s="58" t="n">
        <x:v>2019</x:v>
      </x:c>
      <x:c r="E7" s="46" t="str">
        <x:v>Clupea harengus</x:v>
      </x:c>
      <x:c r="F7" s="46" t="str">
        <x:v>Atlantic herring</x:v>
      </x:c>
      <x:c r="G7" s="46" t="str">
        <x:v>Medium pelagics (30 - 89 cm)</x:v>
      </x:c>
      <x:c r="H7" s="46" t="str">
        <x:v>Herring-likes</x:v>
      </x:c>
      <x:c r="I7" s="60" t="n">
        <x:v>47023.585187219396</x:v>
      </x:c>
      <x:c r="J7" s="60" t="n">
        <x:v>46620.3329012937</x:v>
      </x:c>
      <x:c r="K7" s="60" t="n">
        <x:v>403.2522859257</x:v>
      </x:c>
      <x:c r="L7" s="60" t="n">
        <x:v>37414.7185925447</x:v>
      </x:c>
      <x:c r="M7" s="60" t="n">
        <x:v>9608.8665946747</x:v>
      </x:c>
      <x:c r="N7" s="46" t="str">
        <x:v>clupea harengus</x:v>
      </x:c>
      <x:c r="O7" s="62" t="n">
        <x:v>3.38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Clupea harengus</x:v>
      </x:c>
      <x:c r="T7" s="62" t="n">
        <x:f>IF(O7="","",(1/'Metadata'!$B$5)^(O7-1))</x:f>
        <x:v>1248.6806726928048</x:v>
      </x:c>
      <x:c r="U7" s="60" t="n">
        <x:f>IF(T7="","",I7*T7)</x:f>
        <x:v>58717441.98400453</x:v>
      </x:c>
    </x:row>
    <x:row r="8" ht="18" customHeight="1">
      <x:c r="A8" s="46" t="str">
        <x:v>LME_007</x:v>
      </x:c>
      <x:c r="B8" s="46" t="str">
        <x:v>Northeast U.S. Continental Shelf</x:v>
      </x:c>
      <x:c r="C8" s="46" t="str">
        <x:v>LME</x:v>
      </x:c>
      <x:c r="D8" s="58" t="n">
        <x:v>2019</x:v>
      </x:c>
      <x:c r="E8" s="46" t="str">
        <x:v>Spisula solidissima</x:v>
      </x:c>
      <x:c r="F8" s="46" t="str">
        <x:v>Atlantic surf clam</x:v>
      </x:c>
      <x:c r="G8" s="46" t="str">
        <x:v>Other demersal invertebrates</x:v>
      </x:c>
      <x:c r="H8" s="46" t="str">
        <x:v>Molluscs</x:v>
      </x:c>
      <x:c r="I8" s="60" t="n">
        <x:v>25943.120746526798</x:v>
      </x:c>
      <x:c r="J8" s="60" t="n">
        <x:v>22723.7608220822</x:v>
      </x:c>
      <x:c r="K8" s="60" t="n">
        <x:v>3219.3599244446</x:v>
      </x:c>
      <x:c r="L8" s="60" t="n">
        <x:v>14932.4422032903</x:v>
      </x:c>
      <x:c r="M8" s="60" t="n">
        <x:v>11010.678543236501</x:v>
      </x:c>
      <x:c r="N8" s="46" t="str">
        <x:v>spisula solidissima</x:v>
      </x:c>
      <x:c r="O8" s="62" t="n">
        <x:v>2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Spisula solidissima</x:v>
      </x:c>
      <x:c r="T8" s="62" t="n">
        <x:f>IF(O8="","",(1/'Metadata'!$B$5)^(O8-1))</x:f>
        <x:v>20</x:v>
      </x:c>
      <x:c r="U8" s="60" t="n">
        <x:f>IF(T8="","",I8*T8)</x:f>
        <x:v>518862.41493053595</x:v>
      </x:c>
    </x:row>
    <x:row r="9" ht="18" customHeight="1">
      <x:c r="A9" s="46" t="str">
        <x:v>LME_007</x:v>
      </x:c>
      <x:c r="B9" s="46" t="str">
        <x:v>Northeast U.S. Continental Shelf</x:v>
      </x:c>
      <x:c r="C9" s="46" t="str">
        <x:v>LME</x:v>
      </x:c>
      <x:c r="D9" s="58" t="n">
        <x:v>2019</x:v>
      </x:c>
      <x:c r="E9" s="46" t="str">
        <x:v>Melanogrammus aeglefinus</x:v>
      </x:c>
      <x:c r="F9" s="46" t="str">
        <x:v>Haddock</x:v>
      </x:c>
      <x:c r="G9" s="46" t="str">
        <x:v>Medium demersals (30 - 89 cm)</x:v>
      </x:c>
      <x:c r="H9" s="46" t="str">
        <x:v>Cod-likes</x:v>
      </x:c>
      <x:c r="I9" s="60" t="n">
        <x:v>24773.9877826333</x:v>
      </x:c>
      <x:c r="J9" s="60" t="n">
        <x:v>24690.9991128769</x:v>
      </x:c>
      <x:c r="K9" s="60" t="n">
        <x:v>82.9886697564</x:v>
      </x:c>
      <x:c r="L9" s="60" t="n">
        <x:v>22368.0879156349</x:v>
      </x:c>
      <x:c r="M9" s="60" t="n">
        <x:v>2405.8998669984</x:v>
      </x:c>
      <x:c r="N9" s="46" t="str">
        <x:v>melanogrammus aeglefinus</x:v>
      </x:c>
      <x:c r="O9" s="62" t="n">
        <x:v>4.03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Melanogrammus aeglefinus</x:v>
      </x:c>
      <x:c r="T9" s="62" t="n">
        <x:f>IF(O9="","",(1/'Metadata'!$B$5)^(O9-1))</x:f>
        <x:v>8752.273628615554</x:v>
      </x:c>
      <x:c r="U9" s="60" t="n">
        <x:f>IF(T9="","",I9*T9)</x:f>
        <x:v>216828719.94558534</x:v>
      </x:c>
    </x:row>
    <x:row r="10" ht="18" customHeight="1">
      <x:c r="A10" s="46" t="str">
        <x:v>LME_007</x:v>
      </x:c>
      <x:c r="B10" s="46" t="str">
        <x:v>Northeast U.S. Continental Shelf</x:v>
      </x:c>
      <x:c r="C10" s="46" t="str">
        <x:v>LME</x:v>
      </x:c>
      <x:c r="D10" s="58" t="n">
        <x:v>2019</x:v>
      </x:c>
      <x:c r="E10" s="46" t="str">
        <x:v>Callinectes sapidus</x:v>
      </x:c>
      <x:c r="F10" s="46" t="str">
        <x:v>Blue crab</x:v>
      </x:c>
      <x:c r="G10" s="46" t="str">
        <x:v>Lobsters, crabs</x:v>
      </x:c>
      <x:c r="H10" s="46" t="str">
        <x:v>Crustaceans</x:v>
      </x:c>
      <x:c r="I10" s="60" t="n">
        <x:v>23262.8817893544</x:v>
      </x:c>
      <x:c r="J10" s="60" t="n">
        <x:v>23262.8817893544</x:v>
      </x:c>
      <x:c r="K10" s="60" t="n">
        <x:v>0</x:v>
      </x:c>
      <x:c r="L10" s="60" t="n">
        <x:v>22185.331382079</x:v>
      </x:c>
      <x:c r="M10" s="60" t="n">
        <x:v>1077.5504072754002</x:v>
      </x:c>
      <x:c r="N10" s="46" t="str">
        <x:v>callinectes sapidus</x:v>
      </x:c>
      <x:c r="O10" s="62" t="n">
        <x:v>4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Callinectes sapidus</x:v>
      </x:c>
      <x:c r="T10" s="62" t="n">
        <x:f>IF(O10="","",(1/'Metadata'!$B$5)^(O10-1))</x:f>
        <x:v>8000</x:v>
      </x:c>
      <x:c r="U10" s="60" t="n">
        <x:f>IF(T10="","",I10*T10)</x:f>
        <x:v>186103054.3148352</x:v>
      </x:c>
    </x:row>
    <x:row r="11" ht="18" customHeight="1">
      <x:c r="A11" s="46" t="str">
        <x:v>LME_007</x:v>
      </x:c>
      <x:c r="B11" s="46" t="str">
        <x:v>Northeast U.S. Continental Shelf</x:v>
      </x:c>
      <x:c r="C11" s="46" t="str">
        <x:v>LME</x:v>
      </x:c>
      <x:c r="D11" s="58" t="n">
        <x:v>2019</x:v>
      </x:c>
      <x:c r="E11" s="46" t="str">
        <x:v>Doryteuthis pealeii</x:v>
      </x:c>
      <x:c r="F11" s="46" t="str">
        <x:v>Longfin inshore squid</x:v>
      </x:c>
      <x:c r="G11" s="46" t="str">
        <x:v>Cephalopods</x:v>
      </x:c>
      <x:c r="H11" s="46" t="str">
        <x:v>Other fishes &amp; inverts</x:v>
      </x:c>
      <x:c r="I11" s="60" t="n">
        <x:v>18651.9758712485</x:v>
      </x:c>
      <x:c r="J11" s="60" t="n">
        <x:v>15138.164306729499</x:v>
      </x:c>
      <x:c r="K11" s="60" t="n">
        <x:v>3513.811564519</x:v>
      </x:c>
      <x:c r="L11" s="60" t="n">
        <x:v>12209.2777866456</x:v>
      </x:c>
      <x:c r="M11" s="60" t="n">
        <x:v>6442.6980846029</x:v>
      </x:c>
      <x:c r="N11" s="46" t="str">
        <x:v>doryteuthis pealeii</x:v>
      </x:c>
      <x:c r="O11" s="62" t="n">
        <x:v>3.41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Doryteuthis pealeii</x:v>
      </x:c>
      <x:c r="T11" s="62" t="n">
        <x:f>IF(O11="","",(1/'Metadata'!$B$5)^(O11-1))</x:f>
        <x:v>1366.0993652713958</x:v>
      </x:c>
      <x:c r="U11" s="60" t="n">
        <x:f>IF(T11="","",I11*T11)</x:f>
        <x:v>25480452.398769967</x:v>
      </x:c>
    </x:row>
    <x:row r="12" ht="18" customHeight="1">
      <x:c r="A12" s="46" t="str">
        <x:v>LME_007</x:v>
      </x:c>
      <x:c r="B12" s="46" t="str">
        <x:v>Northeast U.S. Continental Shelf</x:v>
      </x:c>
      <x:c r="C12" s="46" t="str">
        <x:v>LME</x:v>
      </x:c>
      <x:c r="D12" s="58" t="n">
        <x:v>2019</x:v>
      </x:c>
      <x:c r="E12" s="46" t="str">
        <x:v>Squalus acanthias</x:v>
      </x:c>
      <x:c r="F12" s="46" t="str">
        <x:v>Picked dogfish</x:v>
      </x:c>
      <x:c r="G12" s="46" t="str">
        <x:v>Large sharks (&gt;=90 cm)</x:v>
      </x:c>
      <x:c r="H12" s="46" t="str">
        <x:v>Sharks &amp; rays</x:v>
      </x:c>
      <x:c r="I12" s="60" t="n">
        <x:v>16471.1939020439</x:v>
      </x:c>
      <x:c r="J12" s="60" t="n">
        <x:v>8410.4964045315</x:v>
      </x:c>
      <x:c r="K12" s="60" t="n">
        <x:v>8060.6974975124</x:v>
      </x:c>
      <x:c r="L12" s="60" t="n">
        <x:v>6676.714451485699</x:v>
      </x:c>
      <x:c r="M12" s="60" t="n">
        <x:v>9794.479450558201</x:v>
      </x:c>
      <x:c r="N12" s="46" t="str">
        <x:v>squalus acanthias</x:v>
      </x:c>
      <x:c r="O12" s="62" t="n">
        <x:v>4.37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Squalus acanthias</x:v>
      </x:c>
      <x:c r="T12" s="62" t="n">
        <x:f>IF(O12="","",(1/'Metadata'!$B$5)^(O12-1))</x:f>
        <x:v>24236.56596112542</x:v>
      </x:c>
      <x:c r="U12" s="60" t="n">
        <x:f>IF(T12="","",I12*T12)</x:f>
        <x:v>399205177.46537375</x:v>
      </x:c>
    </x:row>
    <x:row r="13" ht="18" customHeight="1">
      <x:c r="A13" s="46" t="str">
        <x:v>LME_007</x:v>
      </x:c>
      <x:c r="B13" s="46" t="str">
        <x:v>Northeast U.S. Continental Shelf</x:v>
      </x:c>
      <x:c r="C13" s="46" t="str">
        <x:v>LME</x:v>
      </x:c>
      <x:c r="D13" s="58" t="n">
        <x:v>2019</x:v>
      </x:c>
      <x:c r="E13" s="46" t="str">
        <x:v>Arctica islandica</x:v>
      </x:c>
      <x:c r="F13" s="46" t="str">
        <x:v>Ocean quahog</x:v>
      </x:c>
      <x:c r="G13" s="46" t="str">
        <x:v>Other demersal invertebrates</x:v>
      </x:c>
      <x:c r="H13" s="46" t="str">
        <x:v>Molluscs</x:v>
      </x:c>
      <x:c r="I13" s="60" t="n">
        <x:v>12900.0249028085</x:v>
      </x:c>
      <x:c r="J13" s="60" t="n">
        <x:v>12900.0249028085</x:v>
      </x:c>
      <x:c r="K13" s="60" t="n">
        <x:v>0</x:v>
      </x:c>
      <x:c r="L13" s="60" t="n">
        <x:v>5036.4566748583</x:v>
      </x:c>
      <x:c r="M13" s="60" t="n">
        <x:v>7863.5682279502</x:v>
      </x:c>
      <x:c r="N13" s="46" t="str">
        <x:v>arctica islandica</x:v>
      </x:c>
      <x:c r="O13" s="62" t="n">
        <x:v>2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Arctica islandica</x:v>
      </x:c>
      <x:c r="T13" s="62" t="n">
        <x:f>IF(O13="","",(1/'Metadata'!$B$5)^(O13-1))</x:f>
        <x:v>20</x:v>
      </x:c>
      <x:c r="U13" s="60" t="n">
        <x:f>IF(T13="","",I13*T13)</x:f>
        <x:v>258000.49805617</x:v>
      </x:c>
    </x:row>
    <x:row r="14" ht="18" customHeight="1">
      <x:c r="A14" s="46" t="str">
        <x:v>LME_007</x:v>
      </x:c>
      <x:c r="B14" s="46" t="str">
        <x:v>Northeast U.S. Continental Shelf</x:v>
      </x:c>
      <x:c r="C14" s="46" t="str">
        <x:v>LME</x:v>
      </x:c>
      <x:c r="D14" s="58" t="n">
        <x:v>2019</x:v>
      </x:c>
      <x:c r="E14" s="46" t="str">
        <x:v>Morone saxatilis</x:v>
      </x:c>
      <x:c r="F14" s="46" t="str">
        <x:v>Striped bass</x:v>
      </x:c>
      <x:c r="G14" s="46" t="str">
        <x:v>Large demersals (&gt;=90 cm)</x:v>
      </x:c>
      <x:c r="H14" s="46" t="str">
        <x:v>Perch-likes</x:v>
      </x:c>
      <x:c r="I14" s="60" t="n">
        <x:v>12684.6822487143</x:v>
      </x:c>
      <x:c r="J14" s="60" t="n">
        <x:v>12684.6822487143</x:v>
      </x:c>
      <x:c r="K14" s="60" t="n">
        <x:v>0</x:v>
      </x:c>
      <x:c r="L14" s="60" t="n">
        <x:v>1935.5872224552002</x:v>
      </x:c>
      <x:c r="M14" s="60" t="n">
        <x:v>10749.095026259101</x:v>
      </x:c>
      <x:c r="N14" s="46" t="str">
        <x:v>morone saxatilis</x:v>
      </x:c>
      <x:c r="O14" s="62" t="n">
        <x:v>4.65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Morone saxatilis</x:v>
      </x:c>
      <x:c r="T14" s="62" t="n">
        <x:f>IF(O14="","",(1/'Metadata'!$B$5)^(O14-1))</x:f>
        <x:v>56073.734910887026</x:v>
      </x:c>
      <x:c r="U14" s="60" t="n">
        <x:f>IF(T14="","",I14*T14)</x:f>
        <x:v>711277509.84324</x:v>
      </x:c>
    </x:row>
    <x:row r="15" ht="18" customHeight="1">
      <x:c r="A15" s="46" t="str">
        <x:v>LME_007</x:v>
      </x:c>
      <x:c r="B15" s="46" t="str">
        <x:v>Northeast U.S. Continental Shelf</x:v>
      </x:c>
      <x:c r="C15" s="46" t="str">
        <x:v>LME</x:v>
      </x:c>
      <x:c r="D15" s="58" t="n">
        <x:v>2019</x:v>
      </x:c>
      <x:c r="E15" s="46" t="str">
        <x:v>Lophius americanus</x:v>
      </x:c>
      <x:c r="F15" s="46" t="str">
        <x:v>American angler</x:v>
      </x:c>
      <x:c r="G15" s="46" t="str">
        <x:v>Large demersals (&gt;=90 cm)</x:v>
      </x:c>
      <x:c r="H15" s="46" t="str">
        <x:v>Other fishes &amp; inverts</x:v>
      </x:c>
      <x:c r="I15" s="60" t="n">
        <x:v>10373.6535517088</x:v>
      </x:c>
      <x:c r="J15" s="60" t="n">
        <x:v>10373.6535517088</x:v>
      </x:c>
      <x:c r="K15" s="60" t="n">
        <x:v>0</x:v>
      </x:c>
      <x:c r="L15" s="60" t="n">
        <x:v>10373.6535517088</x:v>
      </x:c>
      <x:c r="M15" s="60" t="n">
        <x:v>0</x:v>
      </x:c>
      <x:c r="N15" s="46" t="str">
        <x:v>lophius americanus</x:v>
      </x:c>
      <x:c r="O15" s="62" t="n">
        <x:v>4.51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Lophius americanus</x:v>
      </x:c>
      <x:c r="T15" s="62" t="n">
        <x:f>IF(O15="","",(1/'Metadata'!$B$5)^(O15-1))</x:f>
        <x:v>36865.088835568684</x:v>
      </x:c>
      <x:c r="U15" s="60" t="n">
        <x:f>IF(T15="","",I15*T15)</x:f>
        <x:v>382425659.7331575</x:v>
      </x:c>
    </x:row>
    <x:row r="16" ht="18" customHeight="1">
      <x:c r="A16" s="46" t="str">
        <x:v>LME_007</x:v>
      </x:c>
      <x:c r="B16" s="46" t="str">
        <x:v>Northeast U.S. Continental Shelf</x:v>
      </x:c>
      <x:c r="C16" s="46" t="str">
        <x:v>LME</x:v>
      </x:c>
      <x:c r="D16" s="58" t="n">
        <x:v>2019</x:v>
      </x:c>
      <x:c r="E16" s="46" t="str">
        <x:v>Crassostrea virginica</x:v>
      </x:c>
      <x:c r="F16" s="46" t="str">
        <x:v>American cupped oyster</x:v>
      </x:c>
      <x:c r="G16" s="46" t="str">
        <x:v>Other demersal invertebrates</x:v>
      </x:c>
      <x:c r="H16" s="46" t="str">
        <x:v>Molluscs</x:v>
      </x:c>
      <x:c r="I16" s="60" t="n">
        <x:v>9502.342513166199</x:v>
      </x:c>
      <x:c r="J16" s="60" t="n">
        <x:v>9008.6584975074</x:v>
      </x:c>
      <x:c r="K16" s="60" t="n">
        <x:v>493.68401565880004</x:v>
      </x:c>
      <x:c r="L16" s="60" t="n">
        <x:v>2055.0761754052</x:v>
      </x:c>
      <x:c r="M16" s="60" t="n">
        <x:v>7447.266337761</x:v>
      </x:c>
      <x:c r="N16" s="46" t="str">
        <x:v>crassostrea virginica</x:v>
      </x:c>
      <x:c r="O16" s="62" t="n">
        <x:v>2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Crassostrea virginica</x:v>
      </x:c>
      <x:c r="T16" s="62" t="n">
        <x:f>IF(O16="","",(1/'Metadata'!$B$5)^(O16-1))</x:f>
        <x:v>20</x:v>
      </x:c>
      <x:c r="U16" s="60" t="n">
        <x:f>IF(T16="","",I16*T16)</x:f>
        <x:v>190046.85026332398</x:v>
      </x:c>
    </x:row>
    <x:row r="17" ht="18" customHeight="1">
      <x:c r="A17" s="46" t="str">
        <x:v>LME_007</x:v>
      </x:c>
      <x:c r="B17" s="46" t="str">
        <x:v>Northeast U.S. Continental Shelf</x:v>
      </x:c>
      <x:c r="C17" s="46" t="str">
        <x:v>LME</x:v>
      </x:c>
      <x:c r="D17" s="58" t="n">
        <x:v>2019</x:v>
      </x:c>
      <x:c r="E17" s="46" t="str">
        <x:v>Rajidae</x:v>
      </x:c>
      <x:c r="F17" s="46" t="str">
        <x:v>Stingrays</x:v>
      </x:c>
      <x:c r="G17" s="46" t="str">
        <x:v>Large rays (&gt;=90 cm)</x:v>
      </x:c>
      <x:c r="H17" s="46" t="str">
        <x:v>Sharks &amp; rays</x:v>
      </x:c>
      <x:c r="I17" s="60" t="n">
        <x:v>8281.748069023399</x:v>
      </x:c>
      <x:c r="J17" s="60" t="n">
        <x:v>8038.9334176344</x:v>
      </x:c>
      <x:c r="K17" s="60" t="n">
        <x:v>242.814651389</x:v>
      </x:c>
      <x:c r="L17" s="60" t="n">
        <x:v>8038.8807864239</x:v>
      </x:c>
      <x:c r="M17" s="60" t="n">
        <x:v>242.86728259950002</x:v>
      </x:c>
      <x:c r="N17" s="46" t="str">
        <x:v>rajidae</x:v>
      </x:c>
      <x:c r="O17" s="62" t="n">
        <x:v>3.82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Rajidae</x:v>
      </x:c>
      <x:c r="T17" s="62" t="n">
        <x:f>IF(O17="","",(1/'Metadata'!$B$5)^(O17-1))</x:f>
        <x:v>4665.56868948727</x:v>
      </x:c>
      <x:c r="U17" s="60" t="n">
        <x:f>IF(T17="","",I17*T17)</x:f>
        <x:v>38639064.48505723</x:v>
      </x:c>
    </x:row>
    <x:row r="18" ht="18" customHeight="1">
      <x:c r="A18" s="46" t="str">
        <x:v>LME_007</x:v>
      </x:c>
      <x:c r="B18" s="46" t="str">
        <x:v>Northeast U.S. Continental Shelf</x:v>
      </x:c>
      <x:c r="C18" s="46" t="str">
        <x:v>LME</x:v>
      </x:c>
      <x:c r="D18" s="58" t="n">
        <x:v>2019</x:v>
      </x:c>
      <x:c r="E18" s="46" t="str">
        <x:v>Cancer borealis</x:v>
      </x:c>
      <x:c r="F18" s="46" t="str">
        <x:v>Jonah crab</x:v>
      </x:c>
      <x:c r="G18" s="46" t="str">
        <x:v>Lobsters, crabs</x:v>
      </x:c>
      <x:c r="H18" s="46" t="str">
        <x:v>Crustaceans</x:v>
      </x:c>
      <x:c r="I18" s="60" t="n">
        <x:v>8031.4987429224</x:v>
      </x:c>
      <x:c r="J18" s="60" t="n">
        <x:v>8031.4987429224</x:v>
      </x:c>
      <x:c r="K18" s="60" t="n">
        <x:v>0</x:v>
      </x:c>
      <x:c r="L18" s="60" t="n">
        <x:v>7220.4868658047</x:v>
      </x:c>
      <x:c r="M18" s="60" t="n">
        <x:v>811.0118771177</x:v>
      </x:c>
      <x:c r="N18" s="46" t="str">
        <x:v>cancer borealis</x:v>
      </x:c>
      <x:c r="O18" s="62" t="n">
        <x:v>2.6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Cancer borealis</x:v>
      </x:c>
      <x:c r="T18" s="62" t="n">
        <x:f>IF(O18="","",(1/'Metadata'!$B$5)^(O18-1))</x:f>
        <x:v>120.6835267309033</x:v>
      </x:c>
      <x:c r="U18" s="60" t="n">
        <x:f>IF(T18="","",I18*T18)</x:f>
        <x:v>969269.5932306917</x:v>
      </x:c>
    </x:row>
    <x:row r="19" ht="18" customHeight="1">
      <x:c r="A19" s="46" t="str">
        <x:v>LME_007</x:v>
      </x:c>
      <x:c r="B19" s="46" t="str">
        <x:v>Northeast U.S. Continental Shelf</x:v>
      </x:c>
      <x:c r="C19" s="46" t="str">
        <x:v>LME</x:v>
      </x:c>
      <x:c r="D19" s="58" t="n">
        <x:v>2019</x:v>
      </x:c>
      <x:c r="E19" s="46" t="str">
        <x:v>Paralichthys dentatus</x:v>
      </x:c>
      <x:c r="F19" s="46" t="str">
        <x:v>Summer flounder</x:v>
      </x:c>
      <x:c r="G19" s="46" t="str">
        <x:v>Small to medium flatfishes (&lt;90 cm)</x:v>
      </x:c>
      <x:c r="H19" s="46" t="str">
        <x:v>Flatfishes</x:v>
      </x:c>
      <x:c r="I19" s="60" t="n">
        <x:v>7819.2377095392</x:v>
      </x:c>
      <x:c r="J19" s="60" t="n">
        <x:v>6765.395900728499</x:v>
      </x:c>
      <x:c r="K19" s="60" t="n">
        <x:v>1053.8418088107</x:v>
      </x:c>
      <x:c r="L19" s="60" t="n">
        <x:v>3106.601942611</x:v>
      </x:c>
      <x:c r="M19" s="60" t="n">
        <x:v>4712.6357669282</x:v>
      </x:c>
      <x:c r="N19" s="46" t="str">
        <x:v>paralichthys dentatus</x:v>
      </x:c>
      <x:c r="O19" s="62" t="n">
        <x:v>4.49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Paralichthys dentatus</x:v>
      </x:c>
      <x:c r="T19" s="62" t="n">
        <x:f>IF(O19="","",(1/'Metadata'!$B$5)^(O19-1))</x:f>
        <x:v>34721.19667768202</x:v>
      </x:c>
      <x:c r="U19" s="60" t="n">
        <x:f>IF(T19="","",I19*T19)</x:f>
        <x:v>271493290.38245845</x:v>
      </x:c>
    </x:row>
    <x:row r="20" ht="18" customHeight="1">
      <x:c r="A20" s="46" t="str">
        <x:v>LME_007</x:v>
      </x:c>
      <x:c r="B20" s="46" t="str">
        <x:v>Northeast U.S. Continental Shelf</x:v>
      </x:c>
      <x:c r="C20" s="46" t="str">
        <x:v>LME</x:v>
      </x:c>
      <x:c r="D20" s="58" t="n">
        <x:v>2019</x:v>
      </x:c>
      <x:c r="E20" s="46" t="str">
        <x:v>Stenotomus chrysops</x:v>
      </x:c>
      <x:c r="F20" s="46" t="str">
        <x:v>Scup</x:v>
      </x:c>
      <x:c r="G20" s="46" t="str">
        <x:v>Medium demersals (30 - 89 cm)</x:v>
      </x:c>
      <x:c r="H20" s="46" t="str">
        <x:v>Perch-likes</x:v>
      </x:c>
      <x:c r="I20" s="60" t="n">
        <x:v>7730.1722800766</x:v>
      </x:c>
      <x:c r="J20" s="60" t="n">
        <x:v>7268.2261474523</x:v>
      </x:c>
      <x:c r="K20" s="60" t="n">
        <x:v>461.9461326243</x:v>
      </x:c>
      <x:c r="L20" s="60" t="n">
        <x:v>3248.7109808084997</x:v>
      </x:c>
      <x:c r="M20" s="60" t="n">
        <x:v>4481.4612992680995</x:v>
      </x:c>
      <x:c r="N20" s="46" t="str">
        <x:v>stenotomus chrysops</x:v>
      </x:c>
      <x:c r="O20" s="62" t="n">
        <x:v>3.82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Stenotomus chrysops</x:v>
      </x:c>
      <x:c r="T20" s="62" t="n">
        <x:f>IF(O20="","",(1/'Metadata'!$B$5)^(O20-1))</x:f>
        <x:v>4665.56868948727</x:v>
      </x:c>
      <x:c r="U20" s="60" t="n">
        <x:f>IF(T20="","",I20*T20)</x:f>
        <x:v>36065649.754267804</x:v>
      </x:c>
    </x:row>
    <x:row r="21" ht="18" customHeight="1">
      <x:c r="A21" s="46" t="str">
        <x:v>LME_007</x:v>
      </x:c>
      <x:c r="B21" s="46" t="str">
        <x:v>Northeast U.S. Continental Shelf</x:v>
      </x:c>
      <x:c r="C21" s="46" t="str">
        <x:v>LME</x:v>
      </x:c>
      <x:c r="D21" s="58" t="n">
        <x:v>2019</x:v>
      </x:c>
      <x:c r="E21" s="46" t="str">
        <x:v>Merluccius bilinearis</x:v>
      </x:c>
      <x:c r="F21" s="46" t="str">
        <x:v>Silver hake</x:v>
      </x:c>
      <x:c r="G21" s="46" t="str">
        <x:v>Medium demersals (30 - 89 cm)</x:v>
      </x:c>
      <x:c r="H21" s="46" t="str">
        <x:v>Cod-likes</x:v>
      </x:c>
      <x:c r="I21" s="60" t="n">
        <x:v>7605.6248693924</x:v>
      </x:c>
      <x:c r="J21" s="60" t="n">
        <x:v>6627.7235711905005</x:v>
      </x:c>
      <x:c r="K21" s="60" t="n">
        <x:v>977.9012982019</x:v>
      </x:c>
      <x:c r="L21" s="60" t="n">
        <x:v>5794.2171390261</x:v>
      </x:c>
      <x:c r="M21" s="60" t="n">
        <x:v>1811.4077303663</x:v>
      </x:c>
      <x:c r="N21" s="46" t="str">
        <x:v>merluccius bilinearis</x:v>
      </x:c>
      <x:c r="O21" s="62" t="n">
        <x:v>4.49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Merluccius bilinearis</x:v>
      </x:c>
      <x:c r="T21" s="62" t="n">
        <x:f>IF(O21="","",(1/'Metadata'!$B$5)^(O21-1))</x:f>
        <x:v>34721.19667768202</x:v>
      </x:c>
      <x:c r="U21" s="60" t="n">
        <x:f>IF(T21="","",I21*T21)</x:f>
        <x:v>264076396.94684315</x:v>
      </x:c>
    </x:row>
    <x:row r="22" ht="18" customHeight="1">
      <x:c r="A22" s="46" t="str">
        <x:v>LME_007</x:v>
      </x:c>
      <x:c r="B22" s="46" t="str">
        <x:v>Northeast U.S. Continental Shelf</x:v>
      </x:c>
      <x:c r="C22" s="46" t="str">
        <x:v>LME</x:v>
      </x:c>
      <x:c r="D22" s="58" t="n">
        <x:v>2019</x:v>
      </x:c>
      <x:c r="E22" s="46" t="str">
        <x:v>Bivalvia</x:v>
      </x:c>
      <x:c r="F22" s="46" t="str">
        <x:v>Clams</x:v>
      </x:c>
      <x:c r="G22" s="46" t="str">
        <x:v>Other demersal invertebrates</x:v>
      </x:c>
      <x:c r="H22" s="46" t="str">
        <x:v>Molluscs</x:v>
      </x:c>
      <x:c r="I22" s="60" t="n">
        <x:v>7100.0151574015</x:v>
      </x:c>
      <x:c r="J22" s="60" t="n">
        <x:v>4020.3009134912</x:v>
      </x:c>
      <x:c r="K22" s="60" t="n">
        <x:v>3079.7142439103</x:v>
      </x:c>
      <x:c r="L22" s="60" t="n">
        <x:v>0.0084912031</x:v>
      </x:c>
      <x:c r="M22" s="60" t="n">
        <x:v>7100.006666198399</x:v>
      </x:c>
      <x:c r="N22" s="46" t="str">
        <x:v>bivalvia</x:v>
      </x:c>
      <x:c r="O22" s="62" t="n">
        <x:v>2.23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Bivalvia</x:v>
      </x:c>
      <x:c r="T22" s="62" t="n">
        <x:f>IF(O22="","",(1/'Metadata'!$B$5)^(O22-1))</x:f>
        <x:v>39.83519015836661</x:v>
      </x:c>
      <x:c r="U22" s="60" t="n">
        <x:f>IF(T22="","",I22*T22)</x:f>
        <x:v>282830.45392237394</x:v>
      </x:c>
    </x:row>
    <x:row r="23" ht="18" customHeight="1">
      <x:c r="A23" s="46" t="str">
        <x:v>LME_007</x:v>
      </x:c>
      <x:c r="B23" s="46" t="str">
        <x:v>Northeast U.S. Continental Shelf</x:v>
      </x:c>
      <x:c r="C23" s="46" t="str">
        <x:v>LME</x:v>
      </x:c>
      <x:c r="D23" s="58" t="n">
        <x:v>2019</x:v>
      </x:c>
      <x:c r="E23" s="46" t="str">
        <x:v>Sebastes</x:v>
      </x:c>
      <x:c r="F23" s="46" t="str">
        <x:v>Redfishes</x:v>
      </x:c>
      <x:c r="G23" s="46" t="str">
        <x:v>Large reef assoc. fish (&gt;=90 cm)</x:v>
      </x:c>
      <x:c r="H23" s="46" t="str">
        <x:v>Scorpionfishes</x:v>
      </x:c>
      <x:c r="I23" s="60" t="n">
        <x:v>6932.2684487845</x:v>
      </x:c>
      <x:c r="J23" s="60" t="n">
        <x:v>6930.9653087787</x:v>
      </x:c>
      <x:c r="K23" s="60" t="n">
        <x:v>1.3031400058</x:v>
      </x:c>
      <x:c r="L23" s="60" t="n">
        <x:v>5698.5694612568</x:v>
      </x:c>
      <x:c r="M23" s="60" t="n">
        <x:v>1233.6989875277</x:v>
      </x:c>
      <x:c r="N23" s="46" t="str">
        <x:v>sebastes</x:v>
      </x:c>
      <x:c r="O23" s="62" t="n">
        <x:v>3.79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Sebastes</x:v>
      </x:c>
      <x:c r="T23" s="62" t="n">
        <x:f>IF(O23="","",(1/'Metadata'!$B$5)^(O23-1))</x:f>
        <x:v>4264.554685980751</x:v>
      </x:c>
      <x:c r="U23" s="60" t="n">
        <x:f>IF(T23="","",I23*T23)</x:f>
        <x:v>29563037.89774045</x:v>
      </x:c>
    </x:row>
    <x:row r="24" ht="18" customHeight="1">
      <x:c r="A24" s="46" t="str">
        <x:v>LME_007</x:v>
      </x:c>
      <x:c r="B24" s="46" t="str">
        <x:v>Northeast U.S. Continental Shelf</x:v>
      </x:c>
      <x:c r="C24" s="46" t="str">
        <x:v>LME</x:v>
      </x:c>
      <x:c r="D24" s="58" t="n">
        <x:v>2019</x:v>
      </x:c>
      <x:c r="E24" s="46" t="str">
        <x:v>Scomber scombrus</x:v>
      </x:c>
      <x:c r="F24" s="46" t="str">
        <x:v>Atlantic mackerel</x:v>
      </x:c>
      <x:c r="G24" s="46" t="str">
        <x:v>Medium pelagics (30 - 89 cm)</x:v>
      </x:c>
      <x:c r="H24" s="46" t="str">
        <x:v>Perch-likes</x:v>
      </x:c>
      <x:c r="I24" s="60" t="n">
        <x:v>6478.5621035878</x:v>
      </x:c>
      <x:c r="J24" s="60" t="n">
        <x:v>6470.226736863</x:v>
      </x:c>
      <x:c r="K24" s="60" t="n">
        <x:v>8.3353667248</x:v>
      </x:c>
      <x:c r="L24" s="60" t="n">
        <x:v>4206.7283756799</x:v>
      </x:c>
      <x:c r="M24" s="60" t="n">
        <x:v>2271.8337279079</x:v>
      </x:c>
      <x:c r="N24" s="46" t="str">
        <x:v>scomber scombrus</x:v>
      </x:c>
      <x:c r="O24" s="62" t="n">
        <x:v>3.63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Scomber scombrus</x:v>
      </x:c>
      <x:c r="T24" s="62" t="n">
        <x:f>IF(O24="","",(1/'Metadata'!$B$5)^(O24-1))</x:f>
        <x:v>2640.638121038009</x:v>
      </x:c>
      <x:c r="U24" s="60" t="n">
        <x:f>IF(T24="","",I24*T24)</x:f>
        <x:v>17107538.06024614</x:v>
      </x:c>
    </x:row>
    <x:row r="25" ht="18" customHeight="1">
      <x:c r="A25" s="46" t="str">
        <x:v>LME_007</x:v>
      </x:c>
      <x:c r="B25" s="46" t="str">
        <x:v>Northeast U.S. Continental Shelf</x:v>
      </x:c>
      <x:c r="C25" s="46" t="str">
        <x:v>LME</x:v>
      </x:c>
      <x:c r="D25" s="58" t="n">
        <x:v>2019</x:v>
      </x:c>
      <x:c r="E25" s="46" t="str">
        <x:v>Mercenaria mercenaria</x:v>
      </x:c>
      <x:c r="F25" s="46" t="str">
        <x:v>Northern quahog</x:v>
      </x:c>
      <x:c r="G25" s="46" t="str">
        <x:v>Other demersal invertebrates</x:v>
      </x:c>
      <x:c r="H25" s="46" t="str">
        <x:v>Molluscs</x:v>
      </x:c>
      <x:c r="I25" s="60" t="n">
        <x:v>6136.2731447516</x:v>
      </x:c>
      <x:c r="J25" s="60" t="n">
        <x:v>6136.2731447516</x:v>
      </x:c>
      <x:c r="K25" s="60" t="n">
        <x:v>0</x:v>
      </x:c>
      <x:c r="L25" s="60" t="n">
        <x:v>2384.7786989052997</x:v>
      </x:c>
      <x:c r="M25" s="60" t="n">
        <x:v>3751.4944458463</x:v>
      </x:c>
      <x:c r="N25" s="46" t="str">
        <x:v>mercenaria mercenaria</x:v>
      </x:c>
      <x:c r="O25" s="62" t="n">
        <x:v>2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Mercenaria mercenaria</x:v>
      </x:c>
      <x:c r="T25" s="62" t="n">
        <x:f>IF(O25="","",(1/'Metadata'!$B$5)^(O25-1))</x:f>
        <x:v>20</x:v>
      </x:c>
      <x:c r="U25" s="60" t="n">
        <x:f>IF(T25="","",I25*T25)</x:f>
        <x:v>122725.46289503199</x:v>
      </x:c>
    </x:row>
    <x:row r="26" ht="18" customHeight="1">
      <x:c r="A26" s="46" t="str">
        <x:v>LME_007</x:v>
      </x:c>
      <x:c r="B26" s="46" t="str">
        <x:v>Northeast U.S. Continental Shelf</x:v>
      </x:c>
      <x:c r="C26" s="46" t="str">
        <x:v>LME</x:v>
      </x:c>
      <x:c r="D26" s="58" t="n">
        <x:v>2019</x:v>
      </x:c>
      <x:c r="E26" s="46" t="str">
        <x:v>Peprilus triacanthus</x:v>
      </x:c>
      <x:c r="F26" s="46" t="str">
        <x:v>Atlantic butterfish</x:v>
      </x:c>
      <x:c r="G26" s="46" t="str">
        <x:v>Small benthopelagics (&lt;30 cm)</x:v>
      </x:c>
      <x:c r="H26" s="46" t="str">
        <x:v>Perch-likes</x:v>
      </x:c>
      <x:c r="I26" s="60" t="n">
        <x:v>5915.9604632481005</x:v>
      </x:c>
      <x:c r="J26" s="60" t="n">
        <x:v>3715.1541113202</x:v>
      </x:c>
      <x:c r="K26" s="60" t="n">
        <x:v>2200.8063519279003</x:v>
      </x:c>
      <x:c r="L26" s="60" t="n">
        <x:v>3413.3258453861</x:v>
      </x:c>
      <x:c r="M26" s="60" t="n">
        <x:v>2502.634617862</x:v>
      </x:c>
      <x:c r="N26" s="46" t="str">
        <x:v>peprilus triacanthus</x:v>
      </x:c>
      <x:c r="O26" s="62" t="n">
        <x:v>3.91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Peprilus triacanthus</x:v>
      </x:c>
      <x:c r="T26" s="62" t="n">
        <x:f>IF(O26="","",(1/'Metadata'!$B$5)^(O26-1))</x:f>
        <x:v>6109.382089532312</x:v>
      </x:c>
      <x:c r="U26" s="60" t="n">
        <x:f>IF(T26="","",I26*T26)</x:f>
        <x:v>36142862.896549225</x:v>
      </x:c>
    </x:row>
    <x:row r="27" ht="18" customHeight="1">
      <x:c r="A27" s="46" t="str">
        <x:v>LME_007</x:v>
      </x:c>
      <x:c r="B27" s="46" t="str">
        <x:v>Northeast U.S. Continental Shelf</x:v>
      </x:c>
      <x:c r="C27" s="46" t="str">
        <x:v>LME</x:v>
      </x:c>
      <x:c r="D27" s="58" t="n">
        <x:v>2019</x:v>
      </x:c>
      <x:c r="E27" s="46" t="str">
        <x:v>Pomatomus saltatrix</x:v>
      </x:c>
      <x:c r="F27" s="46" t="str">
        <x:v>Bluefish</x:v>
      </x:c>
      <x:c r="G27" s="46" t="str">
        <x:v>Large pelagics (&gt;=90 cm)</x:v>
      </x:c>
      <x:c r="H27" s="46" t="str">
        <x:v>Perch-likes</x:v>
      </x:c>
      <x:c r="I27" s="60" t="n">
        <x:v>5890.9484921527</x:v>
      </x:c>
      <x:c r="J27" s="60" t="n">
        <x:v>5100.3416791248</x:v>
      </x:c>
      <x:c r="K27" s="60" t="n">
        <x:v>790.6068130279</x:v>
      </x:c>
      <x:c r="L27" s="60" t="n">
        <x:v>500.4382435682</x:v>
      </x:c>
      <x:c r="M27" s="60" t="n">
        <x:v>5390.5102485845</x:v>
      </x:c>
      <x:c r="N27" s="46" t="str">
        <x:v>pomatomus saltatrix</x:v>
      </x:c>
      <x:c r="O27" s="62" t="n">
        <x:v>4.53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Pomatomus saltatrix</x:v>
      </x:c>
      <x:c r="T27" s="62" t="n">
        <x:f>IF(O27="","",(1/'Metadata'!$B$5)^(O27-1))</x:f>
        <x:v>39141.35758252625</x:v>
      </x:c>
      <x:c r="U27" s="60" t="n">
        <x:f>IF(T27="","",I27*T27)</x:f>
        <x:v>230579721.43159267</x:v>
      </x:c>
    </x:row>
    <x:row r="28" ht="18" customHeight="1">
      <x:c r="A28" s="46" t="str">
        <x:v>LME_007</x:v>
      </x:c>
      <x:c r="B28" s="46" t="str">
        <x:v>Northeast U.S. Continental Shelf</x:v>
      </x:c>
      <x:c r="C28" s="46" t="str">
        <x:v>LME</x:v>
      </x:c>
      <x:c r="D28" s="58" t="n">
        <x:v>2019</x:v>
      </x:c>
      <x:c r="E28" s="46" t="str">
        <x:v>Pollachius virens</x:v>
      </x:c>
      <x:c r="F28" s="46" t="str">
        <x:v>Saithe</x:v>
      </x:c>
      <x:c r="G28" s="46" t="str">
        <x:v>Large demersals (&gt;=90 cm)</x:v>
      </x:c>
      <x:c r="H28" s="46" t="str">
        <x:v>Cod-likes</x:v>
      </x:c>
      <x:c r="I28" s="60" t="n">
        <x:v>5753.345778101299</x:v>
      </x:c>
      <x:c r="J28" s="60" t="n">
        <x:v>5662.280945916999</x:v>
      </x:c>
      <x:c r="K28" s="60" t="n">
        <x:v>91.0648321843</x:v>
      </x:c>
      <x:c r="L28" s="60" t="n">
        <x:v>5222.9550991406995</x:v>
      </x:c>
      <x:c r="M28" s="60" t="n">
        <x:v>530.3906789606</x:v>
      </x:c>
      <x:c r="N28" s="46" t="str">
        <x:v>pollachius virens</x:v>
      </x:c>
      <x:c r="O28" s="62" t="n">
        <x:v>4.31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Pollachius virens</x:v>
      </x:c>
      <x:c r="T28" s="62" t="n">
        <x:f>IF(O28="","",(1/'Metadata'!$B$5)^(O28-1))</x:f>
        <x:v>20249.266010115305</x:v>
      </x:c>
      <x:c r="U28" s="60" t="n">
        <x:f>IF(T28="","",I28*T28)</x:f>
        <x:v>116501029.10894704</x:v>
      </x:c>
    </x:row>
    <x:row r="29" ht="18" customHeight="1">
      <x:c r="A29" s="46" t="str">
        <x:v>LME_007</x:v>
      </x:c>
      <x:c r="B29" s="46" t="str">
        <x:v>Northeast U.S. Continental Shelf</x:v>
      </x:c>
      <x:c r="C29" s="46" t="str">
        <x:v>LME</x:v>
      </x:c>
      <x:c r="D29" s="58" t="n">
        <x:v>2019</x:v>
      </x:c>
      <x:c r="E29" s="46" t="str">
        <x:v>Centropristis striata</x:v>
      </x:c>
      <x:c r="F29" s="46" t="str">
        <x:v>Black seabass</x:v>
      </x:c>
      <x:c r="G29" s="46" t="str">
        <x:v>Medium reef assoc. fish (30 - 89 cm)</x:v>
      </x:c>
      <x:c r="H29" s="46" t="str">
        <x:v>Perch-likes</x:v>
      </x:c>
      <x:c r="I29" s="60" t="n">
        <x:v>5282.129537307201</x:v>
      </x:c>
      <x:c r="J29" s="60" t="n">
        <x:v>5126.656867919</x:v>
      </x:c>
      <x:c r="K29" s="60" t="n">
        <x:v>155.4726693882</x:v>
      </x:c>
      <x:c r="L29" s="60" t="n">
        <x:v>1336.0981487503</x:v>
      </x:c>
      <x:c r="M29" s="60" t="n">
        <x:v>3946.0313885569003</x:v>
      </x:c>
      <x:c r="N29" s="46" t="str">
        <x:v>centropristis striata</x:v>
      </x:c>
      <x:c r="O29" s="62" t="n">
        <x:v>3.89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Centropristis striata</x:v>
      </x:c>
      <x:c r="T29" s="62" t="n">
        <x:f>IF(O29="","",(1/'Metadata'!$B$5)^(O29-1))</x:f>
        <x:v>5754.090490759748</x:v>
      </x:c>
      <x:c r="U29" s="60" t="n">
        <x:f>IF(T29="","",I29*T29)</x:f>
        <x:v>30393851.34158055</x:v>
      </x:c>
    </x:row>
    <x:row r="30" ht="18" customHeight="1">
      <x:c r="A30" s="46" t="str">
        <x:v>LME_007</x:v>
      </x:c>
      <x:c r="B30" s="46" t="str">
        <x:v>Northeast U.S. Continental Shelf</x:v>
      </x:c>
      <x:c r="C30" s="46" t="str">
        <x:v>LME</x:v>
      </x:c>
      <x:c r="D30" s="58" t="n">
        <x:v>2019</x:v>
      </x:c>
      <x:c r="E30" s="46" t="str">
        <x:v>Marine finfishes not identified</x:v>
      </x:c>
      <x:c r="F30" s="46" t="str">
        <x:v>Finfishes</x:v>
      </x:c>
      <x:c r="G30" s="46" t="str">
        <x:v>Medium demersals (30 - 89 cm)</x:v>
      </x:c>
      <x:c r="H30" s="46" t="str">
        <x:v>Other fishes &amp; inverts</x:v>
      </x:c>
      <x:c r="I30" s="60" t="n">
        <x:v>4995.6320066276</x:v>
      </x:c>
      <x:c r="J30" s="60" t="n">
        <x:v>4995.6320066276</x:v>
      </x:c>
      <x:c r="K30" s="60" t="n">
        <x:v>0</x:v>
      </x:c>
      <x:c r="L30" s="60" t="n">
        <x:v>0</x:v>
      </x:c>
      <x:c r="M30" s="60" t="n">
        <x:v>4995.6320066276</x:v>
      </x:c>
      <x:c r="N30" s="46" t="str">
        <x:v>marine finfishes not identified</x:v>
      </x:c>
      <x:c r="O30" s="62" t="n">
        <x:v>3.23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Marine finfishes not identified</x:v>
      </x:c>
      <x:c r="T30" s="62" t="n">
        <x:f>IF(O30="","",(1/'Metadata'!$B$5)^(O30-1))</x:f>
        <x:v>796.7038031673321</x:v>
      </x:c>
      <x:c r="U30" s="60" t="n">
        <x:f>IF(T30="","",I30*T30)</x:f>
        <x:v>3980039.01890466</x:v>
      </x:c>
    </x:row>
    <x:row r="31" ht="18" customHeight="1">
      <x:c r="A31" s="46" t="str">
        <x:v>LME_007</x:v>
      </x:c>
      <x:c r="B31" s="46" t="str">
        <x:v>Northeast U.S. Continental Shelf</x:v>
      </x:c>
      <x:c r="C31" s="46" t="str">
        <x:v>LME</x:v>
      </x:c>
      <x:c r="D31" s="58" t="n">
        <x:v>2019</x:v>
      </x:c>
      <x:c r="E31" s="46" t="str">
        <x:v>Leucoraja erinaceus</x:v>
      </x:c>
      <x:c r="F31" s="46" t="str">
        <x:v>Little skate</x:v>
      </x:c>
      <x:c r="G31" s="46" t="str">
        <x:v>Small to medium rays (&lt;90 cm)</x:v>
      </x:c>
      <x:c r="H31" s="46" t="str">
        <x:v>Sharks &amp; rays</x:v>
      </x:c>
      <x:c r="I31" s="60" t="n">
        <x:v>4138.7993518686</x:v>
      </x:c>
      <x:c r="J31" s="60" t="n">
        <x:v>4138.7993518686</x:v>
      </x:c>
      <x:c r="K31" s="60" t="n">
        <x:v>0</x:v>
      </x:c>
      <x:c r="L31" s="60" t="n">
        <x:v>3904.1860877341996</x:v>
      </x:c>
      <x:c r="M31" s="60" t="n">
        <x:v>234.6132641344</x:v>
      </x:c>
      <x:c r="N31" s="46" t="str">
        <x:v>leucoraja erinaceus</x:v>
      </x:c>
      <x:c r="O31" s="62" t="n">
        <x:v>3.61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Leucoraja erinaceus</x:v>
      </x:c>
      <x:c r="T31" s="62" t="n">
        <x:f>IF(O31="","",(1/'Metadata'!$B$5)^(O31-1))</x:f>
        <x:v>2487.0716021897506</x:v>
      </x:c>
      <x:c r="U31" s="60" t="n">
        <x:f>IF(T31="","",I31*T31)</x:f>
        <x:v>10293490.33519374</x:v>
      </x:c>
    </x:row>
    <x:row r="32" ht="18" customHeight="1">
      <x:c r="A32" s="46" t="str">
        <x:v>LME_007</x:v>
      </x:c>
      <x:c r="B32" s="46" t="str">
        <x:v>Northeast U.S. Continental Shelf</x:v>
      </x:c>
      <x:c r="C32" s="46" t="str">
        <x:v>LME</x:v>
      </x:c>
      <x:c r="D32" s="58" t="n">
        <x:v>2019</x:v>
      </x:c>
      <x:c r="E32" s="46" t="str">
        <x:v>Tautoga onitis</x:v>
      </x:c>
      <x:c r="F32" s="46" t="str">
        <x:v>Tautog</x:v>
      </x:c>
      <x:c r="G32" s="46" t="str">
        <x:v>Medium reef assoc. fish (30 - 89 cm)</x:v>
      </x:c>
      <x:c r="H32" s="46" t="str">
        <x:v>Perch-likes</x:v>
      </x:c>
      <x:c r="I32" s="60" t="n">
        <x:v>3623.6212771427</x:v>
      </x:c>
      <x:c r="J32" s="60" t="n">
        <x:v>3623.6212771427</x:v>
      </x:c>
      <x:c r="K32" s="60" t="n">
        <x:v>0</x:v>
      </x:c>
      <x:c r="L32" s="60" t="n">
        <x:v>177.0469980076</x:v>
      </x:c>
      <x:c r="M32" s="60" t="n">
        <x:v>3446.5742791351</x:v>
      </x:c>
      <x:c r="N32" s="46" t="str">
        <x:v>tautoga onitis</x:v>
      </x:c>
      <x:c r="O32" s="62" t="n">
        <x:v>3.32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Tautoga onitis</x:v>
      </x:c>
      <x:c r="T32" s="62" t="n">
        <x:f>IF(O32="","",(1/'Metadata'!$B$5)^(O32-1))</x:f>
        <x:v>1043.2528743388143</x:v>
      </x:c>
      <x:c r="U32" s="60" t="n">
        <x:f>IF(T32="","",I32*T32)</x:f>
        <x:v>3780353.3128944067</x:v>
      </x:c>
    </x:row>
    <x:row r="33" ht="18" customHeight="1">
      <x:c r="A33" s="46" t="str">
        <x:v>LME_007</x:v>
      </x:c>
      <x:c r="B33" s="46" t="str">
        <x:v>Northeast U.S. Continental Shelf</x:v>
      </x:c>
      <x:c r="C33" s="46" t="str">
        <x:v>LME</x:v>
      </x:c>
      <x:c r="D33" s="58" t="n">
        <x:v>2019</x:v>
      </x:c>
      <x:c r="E33" s="46" t="str">
        <x:v>Gadus morhua</x:v>
      </x:c>
      <x:c r="F33" s="46" t="str">
        <x:v>Atlantic cod</x:v>
      </x:c>
      <x:c r="G33" s="46" t="str">
        <x:v>Large benthopelagics (&gt;=90 cm)</x:v>
      </x:c>
      <x:c r="H33" s="46" t="str">
        <x:v>Cod-likes</x:v>
      </x:c>
      <x:c r="I33" s="60" t="n">
        <x:v>3371.3456932788</x:v>
      </x:c>
      <x:c r="J33" s="60" t="n">
        <x:v>2811.1697832593</x:v>
      </x:c>
      <x:c r="K33" s="60" t="n">
        <x:v>560.1759100195</x:v>
      </x:c>
      <x:c r="L33" s="60" t="n">
        <x:v>2187.5852651815003</x:v>
      </x:c>
      <x:c r="M33" s="60" t="n">
        <x:v>1183.7604280973</x:v>
      </x:c>
      <x:c r="N33" s="46" t="str">
        <x:v>gadus morhua</x:v>
      </x:c>
      <x:c r="O33" s="62" t="n">
        <x:v>4.09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Gadus morhua</x:v>
      </x:c>
      <x:c r="T33" s="62" t="n">
        <x:f>IF(O33="","",(1/'Metadata'!$B$5)^(O33-1))</x:f>
        <x:v>10475.691168449957</x:v>
      </x:c>
      <x:c r="U33" s="60" t="n">
        <x:f>IF(T33="","",I33*T33)</x:f>
        <x:v>35317176.30487252</x:v>
      </x:c>
    </x:row>
    <x:row r="34" ht="18" customHeight="1">
      <x:c r="A34" s="46" t="str">
        <x:v>LME_007</x:v>
      </x:c>
      <x:c r="B34" s="46" t="str">
        <x:v>Northeast U.S. Continental Shelf</x:v>
      </x:c>
      <x:c r="C34" s="46" t="str">
        <x:v>LME</x:v>
      </x:c>
      <x:c r="D34" s="58" t="n">
        <x:v>2019</x:v>
      </x:c>
      <x:c r="E34" s="46" t="str">
        <x:v>Urophycis tenuis</x:v>
      </x:c>
      <x:c r="F34" s="46" t="str">
        <x:v>White hake</x:v>
      </x:c>
      <x:c r="G34" s="46" t="str">
        <x:v>Large demersals (&gt;=90 cm)</x:v>
      </x:c>
      <x:c r="H34" s="46" t="str">
        <x:v>Cod-likes</x:v>
      </x:c>
      <x:c r="I34" s="60" t="n">
        <x:v>3206.2211019336</x:v>
      </x:c>
      <x:c r="J34" s="60" t="n">
        <x:v>2179.5735616022002</x:v>
      </x:c>
      <x:c r="K34" s="60" t="n">
        <x:v>1026.6475403314</x:v>
      </x:c>
      <x:c r="L34" s="60" t="n">
        <x:v>1952.9451776399</x:v>
      </x:c>
      <x:c r="M34" s="60" t="n">
        <x:v>1253.2759242937</x:v>
      </x:c>
      <x:c r="N34" s="46" t="str">
        <x:v>urophycis tenuis</x:v>
      </x:c>
      <x:c r="O34" s="62" t="n">
        <x:v>4.27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Urophycis tenuis</x:v>
      </x:c>
      <x:c r="T34" s="62" t="n">
        <x:f>IF(O34="","",(1/'Metadata'!$B$5)^(O34-1))</x:f>
        <x:v>17962.55396184286</x:v>
      </x:c>
      <x:c r="U34" s="60" t="n">
        <x:f>IF(T34="","",I34*T34)</x:f>
        <x:v>57591919.557081565</x:v>
      </x:c>
    </x:row>
    <x:row r="35" ht="18" customHeight="1">
      <x:c r="A35" s="46" t="str">
        <x:v>LME_007</x:v>
      </x:c>
      <x:c r="B35" s="46" t="str">
        <x:v>Northeast U.S. Continental Shelf</x:v>
      </x:c>
      <x:c r="C35" s="46" t="str">
        <x:v>LME</x:v>
      </x:c>
      <x:c r="D35" s="58" t="n">
        <x:v>2019</x:v>
      </x:c>
      <x:c r="E35" s="46" t="str">
        <x:v>Hippoglossus hippoglossus</x:v>
      </x:c>
      <x:c r="F35" s="46" t="str">
        <x:v>Atlantic halibut</x:v>
      </x:c>
      <x:c r="G35" s="46" t="str">
        <x:v>Large flatfishes (&gt;=90 cm)</x:v>
      </x:c>
      <x:c r="H35" s="46" t="str">
        <x:v>Flatfishes</x:v>
      </x:c>
      <x:c r="I35" s="60" t="n">
        <x:v>3017.4145464633</x:v>
      </x:c>
      <x:c r="J35" s="60" t="n">
        <x:v>1008.5577231635</x:v>
      </x:c>
      <x:c r="K35" s="60" t="n">
        <x:v>2008.8568232998</x:v>
      </x:c>
      <x:c r="L35" s="60" t="n">
        <x:v>981.0311124954</x:v>
      </x:c>
      <x:c r="M35" s="60" t="n">
        <x:v>2036.3834339679001</x:v>
      </x:c>
      <x:c r="N35" s="46" t="str">
        <x:v>hippoglossus hippoglossus</x:v>
      </x:c>
      <x:c r="O35" s="62" t="n">
        <x:v>4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Hippoglossus hippoglossus</x:v>
      </x:c>
      <x:c r="T35" s="62" t="n">
        <x:f>IF(O35="","",(1/'Metadata'!$B$5)^(O35-1))</x:f>
        <x:v>8000</x:v>
      </x:c>
      <x:c r="U35" s="60" t="n">
        <x:f>IF(T35="","",I35*T35)</x:f>
        <x:v>24139316.3717064</x:v>
      </x:c>
    </x:row>
    <x:row r="36" ht="18" customHeight="1">
      <x:c r="A36" s="46" t="str">
        <x:v>LME_007</x:v>
      </x:c>
      <x:c r="B36" s="46" t="str">
        <x:v>Northeast U.S. Continental Shelf</x:v>
      </x:c>
      <x:c r="C36" s="46" t="str">
        <x:v>LME</x:v>
      </x:c>
      <x:c r="D36" s="58" t="n">
        <x:v>2019</x:v>
      </x:c>
      <x:c r="E36" s="46" t="str">
        <x:v>Pleuronectiformes</x:v>
      </x:c>
      <x:c r="F36" s="46" t="str">
        <x:v>Flatfishes</x:v>
      </x:c>
      <x:c r="G36" s="46" t="str">
        <x:v>Small to medium flatfishes (&lt;90 cm)</x:v>
      </x:c>
      <x:c r="H36" s="46" t="str">
        <x:v>Flatfishes</x:v>
      </x:c>
      <x:c r="I36" s="60" t="n">
        <x:v>2231.4240680367</x:v>
      </x:c>
      <x:c r="J36" s="60" t="n">
        <x:v>2231.4240680367</x:v>
      </x:c>
      <x:c r="K36" s="60" t="n">
        <x:v>0</x:v>
      </x:c>
      <x:c r="L36" s="60" t="n">
        <x:v>2198.2369780886</x:v>
      </x:c>
      <x:c r="M36" s="60" t="n">
        <x:v>33.1870899481</x:v>
      </x:c>
      <x:c r="N36" s="46" t="str">
        <x:v>pleuronectiformes</x:v>
      </x:c>
      <x:c r="O36" s="62" t="n">
        <x:v>3.57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Pleuronectiformes</x:v>
      </x:c>
      <x:c r="T36" s="62" t="n">
        <x:f>IF(O36="","",(1/'Metadata'!$B$5)^(O36-1))</x:f>
        <x:v>2206.2112196552644</x:v>
      </x:c>
      <x:c r="U36" s="60" t="n">
        <x:f>IF(T36="","",I36*T36)</x:f>
        <x:v>4922992.81471136</x:v>
      </x:c>
    </x:row>
    <x:row r="37" ht="18" customHeight="1">
      <x:c r="A37" s="46" t="str">
        <x:v>LME_007</x:v>
      </x:c>
      <x:c r="B37" s="46" t="str">
        <x:v>Northeast U.S. Continental Shelf</x:v>
      </x:c>
      <x:c r="C37" s="46" t="str">
        <x:v>LME</x:v>
      </x:c>
      <x:c r="D37" s="58" t="n">
        <x:v>2019</x:v>
      </x:c>
      <x:c r="E37" s="46" t="str">
        <x:v>Scomberomorus maculatus</x:v>
      </x:c>
      <x:c r="F37" s="46" t="str">
        <x:v>Atlantic Spanish mackerel</x:v>
      </x:c>
      <x:c r="G37" s="46" t="str">
        <x:v>Medium pelagics (30 - 89 cm)</x:v>
      </x:c>
      <x:c r="H37" s="46" t="str">
        <x:v>Perch-likes</x:v>
      </x:c>
      <x:c r="I37" s="60" t="n">
        <x:v>2202.8134281464</x:v>
      </x:c>
      <x:c r="J37" s="60" t="n">
        <x:v>2201.9335901128</x:v>
      </x:c>
      <x:c r="K37" s="60" t="n">
        <x:v>0.8798380336</x:v>
      </x:c>
      <x:c r="L37" s="60" t="n">
        <x:v>2196.9286457224</x:v>
      </x:c>
      <x:c r="M37" s="60" t="n">
        <x:v>5.884782424</x:v>
      </x:c>
      <x:c r="N37" s="46" t="str">
        <x:v>scomberomorus maculatus</x:v>
      </x:c>
      <x:c r="O37" s="62" t="n">
        <x:v>4.53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Scomberomorus maculatus</x:v>
      </x:c>
      <x:c r="T37" s="62" t="n">
        <x:f>IF(O37="","",(1/'Metadata'!$B$5)^(O37-1))</x:f>
        <x:v>39141.35758252625</x:v>
      </x:c>
      <x:c r="U37" s="60" t="n">
        <x:f>IF(T37="","",I37*T37)</x:f>
        <x:v>86221108.07866874</x:v>
      </x:c>
    </x:row>
    <x:row r="38" ht="18" customHeight="1">
      <x:c r="A38" s="46" t="str">
        <x:v>LME_007</x:v>
      </x:c>
      <x:c r="B38" s="46" t="str">
        <x:v>Northeast U.S. Continental Shelf</x:v>
      </x:c>
      <x:c r="C38" s="46" t="str">
        <x:v>LME</x:v>
      </x:c>
      <x:c r="D38" s="58" t="n">
        <x:v>2019</x:v>
      </x:c>
      <x:c r="E38" s="46" t="str">
        <x:v>Hippoglossoides platessoides</x:v>
      </x:c>
      <x:c r="F38" s="46" t="str">
        <x:v>American plaice</x:v>
      </x:c>
      <x:c r="G38" s="46" t="str">
        <x:v>Small to medium flatfishes (&lt;90 cm)</x:v>
      </x:c>
      <x:c r="H38" s="46" t="str">
        <x:v>Flatfishes</x:v>
      </x:c>
      <x:c r="I38" s="60" t="n">
        <x:v>2177.4684856242</x:v>
      </x:c>
      <x:c r="J38" s="60" t="n">
        <x:v>1139.3176585367</x:v>
      </x:c>
      <x:c r="K38" s="60" t="n">
        <x:v>1038.1508270875</x:v>
      </x:c>
      <x:c r="L38" s="60" t="n">
        <x:v>978.3569211856001</x:v>
      </x:c>
      <x:c r="M38" s="60" t="n">
        <x:v>1199.1115644386</x:v>
      </x:c>
      <x:c r="N38" s="46" t="str">
        <x:v>hippoglossoides platessoides</x:v>
      </x:c>
      <x:c r="O38" s="62" t="n">
        <x:v>4.08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Hippoglossoides platessoides</x:v>
      </x:c>
      <x:c r="T38" s="62" t="n">
        <x:f>IF(O38="","",(1/'Metadata'!$B$5)^(O38-1))</x:f>
        <x:v>10166.521575327472</x:v>
      </x:c>
      <x:c r="U38" s="60" t="n">
        <x:f>IF(T38="","",I38*T38)</x:f>
        <x:v>22137280.338694066</x:v>
      </x:c>
    </x:row>
    <x:row r="39" ht="18" customHeight="1">
      <x:c r="A39" s="46" t="str">
        <x:v>LME_007</x:v>
      </x:c>
      <x:c r="B39" s="46" t="str">
        <x:v>Northeast U.S. Continental Shelf</x:v>
      </x:c>
      <x:c r="C39" s="46" t="str">
        <x:v>LME</x:v>
      </x:c>
      <x:c r="D39" s="58" t="n">
        <x:v>2019</x:v>
      </x:c>
      <x:c r="E39" s="46" t="str">
        <x:v>Thunnus thynnus</x:v>
      </x:c>
      <x:c r="F39" s="46" t="str">
        <x:v>Atlantic bluefin tuna</x:v>
      </x:c>
      <x:c r="G39" s="46" t="str">
        <x:v>Large pelagics (&gt;=90 cm)</x:v>
      </x:c>
      <x:c r="H39" s="46" t="str">
        <x:v>Tuna &amp; billfishes</x:v>
      </x:c>
      <x:c r="I39" s="60" t="n">
        <x:v>2118.6288858671</x:v>
      </x:c>
      <x:c r="J39" s="60" t="n">
        <x:v>2118.6288858671</x:v>
      </x:c>
      <x:c r="K39" s="60" t="n">
        <x:v>0</x:v>
      </x:c>
      <x:c r="L39" s="60" t="n">
        <x:v>852.7524481209</x:v>
      </x:c>
      <x:c r="M39" s="60" t="n">
        <x:v>1265.8764377462</x:v>
      </x:c>
      <x:c r="N39" s="46" t="str">
        <x:v>thunnus thynnus</x:v>
      </x:c>
      <x:c r="O39" s="62" t="n">
        <x:v>4.45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Thunnus thynnus</x:v>
      </x:c>
      <x:c r="T39" s="62" t="n">
        <x:f>IF(O39="","",(1/'Metadata'!$B$5)^(O39-1))</x:f>
        <x:v>30800.19634445362</x:v>
      </x:c>
      <x:c r="U39" s="60" t="n">
        <x:f>IF(T39="","",I39*T39)</x:f>
        <x:v>65254185.6657377</x:v>
      </x:c>
    </x:row>
    <x:row r="40" ht="18" customHeight="1">
      <x:c r="A40" s="46" t="str">
        <x:v>LME_007</x:v>
      </x:c>
      <x:c r="B40" s="46" t="str">
        <x:v>Northeast U.S. Continental Shelf</x:v>
      </x:c>
      <x:c r="C40" s="46" t="str">
        <x:v>LME</x:v>
      </x:c>
      <x:c r="D40" s="58" t="n">
        <x:v>2019</x:v>
      </x:c>
      <x:c r="E40" s="46" t="str">
        <x:v>Leiostomus xanthurus</x:v>
      </x:c>
      <x:c r="F40" s="46" t="str">
        <x:v>Spot croaker</x:v>
      </x:c>
      <x:c r="G40" s="46" t="str">
        <x:v>Medium demersals (30 - 89 cm)</x:v>
      </x:c>
      <x:c r="H40" s="46" t="str">
        <x:v>Perch-likes</x:v>
      </x:c>
      <x:c r="I40" s="60" t="n">
        <x:v>1841.4921876837998</x:v>
      </x:c>
      <x:c r="J40" s="60" t="n">
        <x:v>1841.4921876837998</x:v>
      </x:c>
      <x:c r="K40" s="60" t="n">
        <x:v>0</x:v>
      </x:c>
      <x:c r="L40" s="60" t="n">
        <x:v>503.2766736512</x:v>
      </x:c>
      <x:c r="M40" s="60" t="n">
        <x:v>1338.2155140326</x:v>
      </x:c>
      <x:c r="N40" s="46" t="str">
        <x:v>leiostomus xanthurus</x:v>
      </x:c>
      <x:c r="O40" s="62" t="n">
        <x:v>3.23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Leiostomus xanthurus</x:v>
      </x:c>
      <x:c r="T40" s="62" t="n">
        <x:f>IF(O40="","",(1/'Metadata'!$B$5)^(O40-1))</x:f>
        <x:v>796.7038031673321</x:v>
      </x:c>
      <x:c r="U40" s="60" t="n">
        <x:f>IF(T40="","",I40*T40)</x:f>
        <x:v>1467123.829430614</x:v>
      </x:c>
    </x:row>
    <x:row r="41" ht="18" customHeight="1">
      <x:c r="A41" s="46" t="str">
        <x:v>LME_007</x:v>
      </x:c>
      <x:c r="B41" s="46" t="str">
        <x:v>Northeast U.S. Continental Shelf</x:v>
      </x:c>
      <x:c r="C41" s="46" t="str">
        <x:v>LME</x:v>
      </x:c>
      <x:c r="D41" s="58" t="n">
        <x:v>2019</x:v>
      </x:c>
      <x:c r="E41" s="46" t="str">
        <x:v>Mollusca</x:v>
      </x:c>
      <x:c r="F41" s="46" t="str">
        <x:v>Clams, seasnails, squids, octopuses</x:v>
      </x:c>
      <x:c r="G41" s="46" t="str">
        <x:v>Other demersal invertebrates</x:v>
      </x:c>
      <x:c r="H41" s="46" t="str">
        <x:v>Molluscs</x:v>
      </x:c>
      <x:c r="I41" s="60" t="n">
        <x:v>1730.8028803981001</x:v>
      </x:c>
      <x:c r="J41" s="60" t="n">
        <x:v>1727.6624985937</x:v>
      </x:c>
      <x:c r="K41" s="60" t="n">
        <x:v>3.1403818044</x:v>
      </x:c>
      <x:c r="L41" s="60" t="n">
        <x:v>0</x:v>
      </x:c>
      <x:c r="M41" s="60" t="n">
        <x:v>1730.8028803981001</x:v>
      </x:c>
      <x:c r="N41" s="46" t="str">
        <x:v>mollusca</x:v>
      </x:c>
      <x:c r="O41" s="62" t="n">
        <x:v>2.1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Mollusca</x:v>
      </x:c>
      <x:c r="T41" s="62" t="n">
        <x:f>IF(O41="","",(1/'Metadata'!$B$5)^(O41-1))</x:f>
        <x:v>26.985656953471274</x:v>
      </x:c>
      <x:c r="U41" s="60" t="n">
        <x:f>IF(T41="","",I41*T41)</x:f>
        <x:v>46706.8527845031</x:v>
      </x:c>
    </x:row>
    <x:row r="42" ht="18" customHeight="1">
      <x:c r="A42" s="46" t="str">
        <x:v>LME_007</x:v>
      </x:c>
      <x:c r="B42" s="46" t="str">
        <x:v>Northeast U.S. Continental Shelf</x:v>
      </x:c>
      <x:c r="C42" s="46" t="str">
        <x:v>LME</x:v>
      </x:c>
      <x:c r="D42" s="58" t="n">
        <x:v>2019</x:v>
      </x:c>
      <x:c r="E42" s="46" t="str">
        <x:v>Morone americana</x:v>
      </x:c>
      <x:c r="F42" s="46" t="str">
        <x:v>White perch</x:v>
      </x:c>
      <x:c r="G42" s="46" t="str">
        <x:v>Medium demersals (30 - 89 cm)</x:v>
      </x:c>
      <x:c r="H42" s="46" t="str">
        <x:v>Perch-likes</x:v>
      </x:c>
      <x:c r="I42" s="60" t="n">
        <x:v>1647.2553459084</x:v>
      </x:c>
      <x:c r="J42" s="60" t="n">
        <x:v>1647.2553459084</x:v>
      </x:c>
      <x:c r="K42" s="60" t="n">
        <x:v>0</x:v>
      </x:c>
      <x:c r="L42" s="60" t="n">
        <x:v>536.420289337</x:v>
      </x:c>
      <x:c r="M42" s="60" t="n">
        <x:v>1110.8350565714</x:v>
      </x:c>
      <x:c r="N42" s="46" t="str">
        <x:v>morone americana</x:v>
      </x:c>
      <x:c r="O42" s="62" t="n">
        <x:v>3.14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Morone americana</x:v>
      </x:c>
      <x:c r="T42" s="62" t="n">
        <x:f>IF(O42="","",(1/'Metadata'!$B$5)^(O42-1))</x:f>
        <x:v>608.420993216597</x:v>
      </x:c>
      <x:c r="U42" s="60" t="n">
        <x:f>IF(T42="","",I42*T42)</x:f>
        <x:v>1002224.7336389378</x:v>
      </x:c>
    </x:row>
    <x:row r="43" ht="18" customHeight="1">
      <x:c r="A43" s="46" t="str">
        <x:v>LME_007</x:v>
      </x:c>
      <x:c r="B43" s="46" t="str">
        <x:v>Northeast U.S. Continental Shelf</x:v>
      </x:c>
      <x:c r="C43" s="46" t="str">
        <x:v>LME</x:v>
      </x:c>
      <x:c r="D43" s="58" t="n">
        <x:v>2019</x:v>
      </x:c>
      <x:c r="E43" s="46" t="str">
        <x:v>Coryphaena hippurus</x:v>
      </x:c>
      <x:c r="F43" s="46" t="str">
        <x:v>Common dolphinfish</x:v>
      </x:c>
      <x:c r="G43" s="46" t="str">
        <x:v>Large pelagics (&gt;=90 cm)</x:v>
      </x:c>
      <x:c r="H43" s="46" t="str">
        <x:v>Perch-likes</x:v>
      </x:c>
      <x:c r="I43" s="60" t="n">
        <x:v>1635.7213548058999</x:v>
      </x:c>
      <x:c r="J43" s="60" t="n">
        <x:v>1634.5243586694</x:v>
      </x:c>
      <x:c r="K43" s="60" t="n">
        <x:v>1.1969961365</x:v>
      </x:c>
      <x:c r="L43" s="60" t="n">
        <x:v>1429.3797467356</x:v>
      </x:c>
      <x:c r="M43" s="60" t="n">
        <x:v>206.3416080703</x:v>
      </x:c>
      <x:c r="N43" s="46" t="str">
        <x:v>coryphaena hippurus</x:v>
      </x:c>
      <x:c r="O43" s="62" t="n">
        <x:v>4.37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Coryphaena hippurus</x:v>
      </x:c>
      <x:c r="T43" s="62" t="n">
        <x:f>IF(O43="","",(1/'Metadata'!$B$5)^(O43-1))</x:f>
        <x:v>24236.56596112542</x:v>
      </x:c>
      <x:c r="U43" s="60" t="n">
        <x:f>IF(T43="","",I43*T43)</x:f>
        <x:v>39644268.509774625</x:v>
      </x:c>
    </x:row>
    <x:row r="44" ht="18" customHeight="1">
      <x:c r="A44" s="46" t="str">
        <x:v>LME_007</x:v>
      </x:c>
      <x:c r="B44" s="46" t="str">
        <x:v>Northeast U.S. Continental Shelf</x:v>
      </x:c>
      <x:c r="C44" s="46" t="str">
        <x:v>LME</x:v>
      </x:c>
      <x:c r="D44" s="58" t="n">
        <x:v>2019</x:v>
      </x:c>
      <x:c r="E44" s="46" t="str">
        <x:v>Scomberomorus cavalla</x:v>
      </x:c>
      <x:c r="F44" s="46" t="str">
        <x:v>King mackerel</x:v>
      </x:c>
      <x:c r="G44" s="46" t="str">
        <x:v>Large pelagics (&gt;=90 cm)</x:v>
      </x:c>
      <x:c r="H44" s="46" t="str">
        <x:v>Perch-likes</x:v>
      </x:c>
      <x:c r="I44" s="60" t="n">
        <x:v>1491.2084486777</x:v>
      </x:c>
      <x:c r="J44" s="60" t="n">
        <x:v>1491.2084486777</x:v>
      </x:c>
      <x:c r="K44" s="60" t="n">
        <x:v>0</x:v>
      </x:c>
      <x:c r="L44" s="60" t="n">
        <x:v>1481.0144129942</x:v>
      </x:c>
      <x:c r="M44" s="60" t="n">
        <x:v>10.1940356835</x:v>
      </x:c>
      <x:c r="N44" s="46" t="str">
        <x:v>scomberomorus cavalla</x:v>
      </x:c>
      <x:c r="O44" s="62" t="n">
        <x:v>4.42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Scomberomorus cavalla</x:v>
      </x:c>
      <x:c r="T44" s="62" t="n">
        <x:f>IF(O44="","",(1/'Metadata'!$B$5)^(O44-1))</x:f>
        <x:v>28152.864182630117</x:v>
      </x:c>
      <x:c r="U44" s="60" t="n">
        <x:f>IF(T44="","",I44*T44)</x:f>
        <x:v>41981788.92361385</x:v>
      </x:c>
    </x:row>
    <x:row r="45" ht="18" customHeight="1">
      <x:c r="A45" s="46" t="str">
        <x:v>LME_007</x:v>
      </x:c>
      <x:c r="B45" s="46" t="str">
        <x:v>Northeast U.S. Continental Shelf</x:v>
      </x:c>
      <x:c r="C45" s="46" t="str">
        <x:v>LME</x:v>
      </x:c>
      <x:c r="D45" s="58" t="n">
        <x:v>2019</x:v>
      </x:c>
      <x:c r="E45" s="46" t="str">
        <x:v>Cottidae</x:v>
      </x:c>
      <x:c r="F45" s="46" t="str">
        <x:v>Sculpins</x:v>
      </x:c>
      <x:c r="G45" s="46" t="str">
        <x:v>Large reef assoc. fish (&gt;=90 cm)</x:v>
      </x:c>
      <x:c r="H45" s="46" t="str">
        <x:v>Scorpionfishes</x:v>
      </x:c>
      <x:c r="I45" s="60" t="n">
        <x:v>1309.3119121193001</x:v>
      </x:c>
      <x:c r="J45" s="60" t="n">
        <x:v>0.010181026</x:v>
      </x:c>
      <x:c r="K45" s="60" t="n">
        <x:v>1309.3017310933</x:v>
      </x:c>
      <x:c r="L45" s="60" t="n">
        <x:v>0</x:v>
      </x:c>
      <x:c r="M45" s="60" t="n">
        <x:v>1309.3119121193001</x:v>
      </x:c>
      <x:c r="N45" s="46" t="str">
        <x:v>cottidae</x:v>
      </x:c>
      <x:c r="O45" s="62" t="n">
        <x:v>3.81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Cottidae</x:v>
      </x:c>
      <x:c r="T45" s="62" t="n">
        <x:f>IF(O45="","",(1/'Metadata'!$B$5)^(O45-1))</x:f>
        <x:v>4527.873529309382</x:v>
      </x:c>
      <x:c r="U45" s="60" t="n">
        <x:f>IF(T45="","",I45*T45)</x:f>
        <x:v>5928398.748494431</x:v>
      </x:c>
    </x:row>
    <x:row r="46" ht="18" customHeight="1">
      <x:c r="A46" s="46" t="str">
        <x:v>LME_007</x:v>
      </x:c>
      <x:c r="B46" s="46" t="str">
        <x:v>Northeast U.S. Continental Shelf</x:v>
      </x:c>
      <x:c r="C46" s="46" t="str">
        <x:v>LME</x:v>
      </x:c>
      <x:c r="D46" s="58" t="n">
        <x:v>2019</x:v>
      </x:c>
      <x:c r="E46" s="46" t="str">
        <x:v>Rajiformes</x:v>
      </x:c>
      <x:c r="F46" s="46" t="str">
        <x:v>Skates and rays</x:v>
      </x:c>
      <x:c r="G46" s="46" t="str">
        <x:v>Large rays (&gt;=90 cm)</x:v>
      </x:c>
      <x:c r="H46" s="46" t="str">
        <x:v>Sharks &amp; rays</x:v>
      </x:c>
      <x:c r="I46" s="60" t="n">
        <x:v>1074.7213787609</x:v>
      </x:c>
      <x:c r="J46" s="60" t="n">
        <x:v>1074.7213787609</x:v>
      </x:c>
      <x:c r="K46" s="60" t="n">
        <x:v>0</x:v>
      </x:c>
      <x:c r="L46" s="60" t="n">
        <x:v>0</x:v>
      </x:c>
      <x:c r="M46" s="60" t="n">
        <x:v>1074.7213787609</x:v>
      </x:c>
      <x:c r="N46" s="46" t="str">
        <x:v>rajiformes</x:v>
      </x:c>
      <x:c r="O46" s="62" t="n">
        <x:v>3.61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Rajiformes</x:v>
      </x:c>
      <x:c r="T46" s="62" t="n">
        <x:f>IF(O46="","",(1/'Metadata'!$B$5)^(O46-1))</x:f>
        <x:v>2487.0716021897506</x:v>
      </x:c>
      <x:c r="U46" s="60" t="n">
        <x:f>IF(T46="","",I46*T46)</x:f>
        <x:v>2672909.0213824497</x:v>
      </x:c>
    </x:row>
    <x:row r="47" ht="18" customHeight="1">
      <x:c r="A47" s="46" t="str">
        <x:v>LME_007</x:v>
      </x:c>
      <x:c r="B47" s="46" t="str">
        <x:v>Northeast U.S. Continental Shelf</x:v>
      </x:c>
      <x:c r="C47" s="46" t="str">
        <x:v>LME</x:v>
      </x:c>
      <x:c r="D47" s="58" t="n">
        <x:v>2019</x:v>
      </x:c>
      <x:c r="E47" s="46" t="str">
        <x:v>Glyptocephalus cynoglossus</x:v>
      </x:c>
      <x:c r="F47" s="46" t="str">
        <x:v>Witch flounder</x:v>
      </x:c>
      <x:c r="G47" s="46" t="str">
        <x:v>Small to medium flatfishes (&lt;90 cm)</x:v>
      </x:c>
      <x:c r="H47" s="46" t="str">
        <x:v>Flatfishes</x:v>
      </x:c>
      <x:c r="I47" s="60" t="n">
        <x:v>962.2463723099</x:v>
      </x:c>
      <x:c r="J47" s="60" t="n">
        <x:v>814.0592707231</x:v>
      </x:c>
      <x:c r="K47" s="60" t="n">
        <x:v>148.1871015868</x:v>
      </x:c>
      <x:c r="L47" s="60" t="n">
        <x:v>796.4255081857999</x:v>
      </x:c>
      <x:c r="M47" s="60" t="n">
        <x:v>165.82086412409998</x:v>
      </x:c>
      <x:c r="N47" s="46" t="str">
        <x:v>glyptocephalus cynoglossus</x:v>
      </x:c>
      <x:c r="O47" s="62" t="n">
        <x:v>3.17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Glyptocephalus cynoglossus</x:v>
      </x:c>
      <x:c r="T47" s="62" t="n">
        <x:f>IF(O47="","",(1/'Metadata'!$B$5)^(O47-1))</x:f>
        <x:v>665.6333767532121</x:v>
      </x:c>
      <x:c r="U47" s="60" t="n">
        <x:f>IF(T47="","",I47*T47)</x:f>
        <x:v>640503.3020691674</x:v>
      </x:c>
    </x:row>
    <x:row r="48" ht="18" customHeight="1">
      <x:c r="A48" s="46" t="str">
        <x:v>LME_007</x:v>
      </x:c>
      <x:c r="B48" s="46" t="str">
        <x:v>Northeast U.S. Continental Shelf</x:v>
      </x:c>
      <x:c r="C48" s="46" t="str">
        <x:v>LME</x:v>
      </x:c>
      <x:c r="D48" s="58" t="n">
        <x:v>2019</x:v>
      </x:c>
      <x:c r="E48" s="46" t="str">
        <x:v>Micropogonias undulatus</x:v>
      </x:c>
      <x:c r="F48" s="46" t="str">
        <x:v>Atlantic croaker</x:v>
      </x:c>
      <x:c r="G48" s="46" t="str">
        <x:v>Medium demersals (30 - 89 cm)</x:v>
      </x:c>
      <x:c r="H48" s="46" t="str">
        <x:v>Perch-likes</x:v>
      </x:c>
      <x:c r="I48" s="60" t="n">
        <x:v>948.3507396273001</x:v>
      </x:c>
      <x:c r="J48" s="60" t="n">
        <x:v>948.3507396273001</x:v>
      </x:c>
      <x:c r="K48" s="60" t="n">
        <x:v>0</x:v>
      </x:c>
      <x:c r="L48" s="60" t="n">
        <x:v>385.14646169680003</x:v>
      </x:c>
      <x:c r="M48" s="60" t="n">
        <x:v>563.2042779305</x:v>
      </x:c>
      <x:c r="N48" s="46" t="str">
        <x:v>micropogonias undulatus</x:v>
      </x:c>
      <x:c r="O48" s="62" t="n">
        <x:v>3.31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Micropogonias undulatus</x:v>
      </x:c>
      <x:c r="T48" s="62" t="n">
        <x:f>IF(O48="","",(1/'Metadata'!$B$5)^(O48-1))</x:f>
        <x:v>1012.4633005057666</x:v>
      </x:c>
      <x:c r="U48" s="60" t="n">
        <x:f>IF(T48="","",I48*T48)</x:f>
        <x:v>960170.3198801412</x:v>
      </x:c>
    </x:row>
    <x:row r="49" ht="18" customHeight="1">
      <x:c r="A49" s="46" t="str">
        <x:v>LME_007</x:v>
      </x:c>
      <x:c r="B49" s="46" t="str">
        <x:v>Northeast U.S. Continental Shelf</x:v>
      </x:c>
      <x:c r="C49" s="46" t="str">
        <x:v>LME</x:v>
      </x:c>
      <x:c r="D49" s="58" t="n">
        <x:v>2019</x:v>
      </x:c>
      <x:c r="E49" s="46" t="str">
        <x:v>Euthynnus alletteratus</x:v>
      </x:c>
      <x:c r="F49" s="46" t="str">
        <x:v>Little tunny </x:v>
      </x:c>
      <x:c r="G49" s="46" t="str">
        <x:v>Large pelagics (&gt;=90 cm)</x:v>
      </x:c>
      <x:c r="H49" s="46" t="str">
        <x:v>Tuna &amp; billfishes</x:v>
      </x:c>
      <x:c r="I49" s="60" t="n">
        <x:v>948.2063009548001</x:v>
      </x:c>
      <x:c r="J49" s="60" t="n">
        <x:v>919.2453744354001</x:v>
      </x:c>
      <x:c r="K49" s="60" t="n">
        <x:v>28.9609265194</x:v>
      </x:c>
      <x:c r="L49" s="60" t="n">
        <x:v>657.3787314706001</x:v>
      </x:c>
      <x:c r="M49" s="60" t="n">
        <x:v>290.8275694842</x:v>
      </x:c>
      <x:c r="N49" s="46" t="str">
        <x:v>euthynnus alletteratus</x:v>
      </x:c>
      <x:c r="O49" s="62" t="n">
        <x:v>4.49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Euthynnus alletteratus</x:v>
      </x:c>
      <x:c r="T49" s="62" t="n">
        <x:f>IF(O49="","",(1/'Metadata'!$B$5)^(O49-1))</x:f>
        <x:v>34721.19667768202</x:v>
      </x:c>
      <x:c r="U49" s="60" t="n">
        <x:f>IF(T49="","",I49*T49)</x:f>
        <x:v>32922857.466468964</x:v>
      </x:c>
    </x:row>
    <x:row r="50" ht="18" customHeight="1">
      <x:c r="A50" s="46" t="str">
        <x:v>LME_007</x:v>
      </x:c>
      <x:c r="B50" s="46" t="str">
        <x:v>Northeast U.S. Continental Shelf</x:v>
      </x:c>
      <x:c r="C50" s="46" t="str">
        <x:v>LME</x:v>
      </x:c>
      <x:c r="D50" s="58" t="n">
        <x:v>2019</x:v>
      </x:c>
      <x:c r="E50" s="46" t="str">
        <x:v>Cancer irroratus</x:v>
      </x:c>
      <x:c r="F50" s="46" t="str">
        <x:v>Atlantic rock crab</x:v>
      </x:c>
      <x:c r="G50" s="46" t="str">
        <x:v>Lobsters, crabs</x:v>
      </x:c>
      <x:c r="H50" s="46" t="str">
        <x:v>Crustaceans</x:v>
      </x:c>
      <x:c r="I50" s="60" t="n">
        <x:v>939.8777784370999</x:v>
      </x:c>
      <x:c r="J50" s="60" t="n">
        <x:v>911.1576655368999</x:v>
      </x:c>
      <x:c r="K50" s="60" t="n">
        <x:v>28.7201129002</x:v>
      </x:c>
      <x:c r="L50" s="60" t="n">
        <x:v>793.0852703576</x:v>
      </x:c>
      <x:c r="M50" s="60" t="n">
        <x:v>146.7925080795</x:v>
      </x:c>
      <x:c r="N50" s="46" t="str">
        <x:v>cancer irroratus</x:v>
      </x:c>
      <x:c r="O50" s="62" t="n">
        <x:v>3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Cancer irroratus</x:v>
      </x:c>
      <x:c r="T50" s="62" t="n">
        <x:f>IF(O50="","",(1/'Metadata'!$B$5)^(O50-1))</x:f>
        <x:v>400</x:v>
      </x:c>
      <x:c r="U50" s="60" t="n">
        <x:f>IF(T50="","",I50*T50)</x:f>
        <x:v>375951.11137483997</x:v>
      </x:c>
    </x:row>
    <x:row r="51" ht="18" customHeight="1">
      <x:c r="A51" s="46" t="str">
        <x:v>LME_007</x:v>
      </x:c>
      <x:c r="B51" s="46" t="str">
        <x:v>Northeast U.S. Continental Shelf</x:v>
      </x:c>
      <x:c r="C51" s="46" t="str">
        <x:v>LME</x:v>
      </x:c>
      <x:c r="D51" s="58" t="n">
        <x:v>2019</x:v>
      </x:c>
      <x:c r="E51" s="46" t="str">
        <x:v>Echinoidea</x:v>
      </x:c>
      <x:c r="F51" s="46" t="str">
        <x:v>Sea urchins, sea hedgehogs</x:v>
      </x:c>
      <x:c r="G51" s="46" t="str">
        <x:v>Other demersal invertebrates</x:v>
      </x:c>
      <x:c r="H51" s="46" t="str">
        <x:v>Other fishes &amp; inverts</x:v>
      </x:c>
      <x:c r="I51" s="60" t="n">
        <x:v>932.7498161259999</x:v>
      </x:c>
      <x:c r="J51" s="60" t="n">
        <x:v>442.1846606863</x:v>
      </x:c>
      <x:c r="K51" s="60" t="n">
        <x:v>490.5651554397</x:v>
      </x:c>
      <x:c r="L51" s="60" t="n">
        <x:v>0</x:v>
      </x:c>
      <x:c r="M51" s="60" t="n">
        <x:v>932.7498161259999</x:v>
      </x:c>
      <x:c r="N51" s="46" t="str">
        <x:v>echinoidea</x:v>
      </x:c>
      <x:c r="O51" s="62" t="n">
        <x:v>2.51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Echinoidea</x:v>
      </x:c>
      <x:c r="T51" s="62" t="n">
        <x:f>IF(O51="","",(1/'Metadata'!$B$5)^(O51-1))</x:f>
        <x:v>92.16272208892171</x:v>
      </x:c>
      <x:c r="U51" s="60" t="n">
        <x:f>IF(T51="","",I51*T51)</x:f>
        <x:v>85964.76208211336</x:v>
      </x:c>
    </x:row>
    <x:row r="52" ht="18" customHeight="1">
      <x:c r="A52" s="46" t="str">
        <x:v>LME_007</x:v>
      </x:c>
      <x:c r="B52" s="46" t="str">
        <x:v>Northeast U.S. Continental Shelf</x:v>
      </x:c>
      <x:c r="C52" s="46" t="str">
        <x:v>LME</x:v>
      </x:c>
      <x:c r="D52" s="58" t="n">
        <x:v>2019</x:v>
      </x:c>
      <x:c r="E52" s="46" t="str">
        <x:v>Lopholatilus chamaeleonticeps</x:v>
      </x:c>
      <x:c r="F52" s="46" t="str">
        <x:v>Great northern tilefish</x:v>
      </x:c>
      <x:c r="G52" s="46" t="str">
        <x:v>Large demersals (&gt;=90 cm)</x:v>
      </x:c>
      <x:c r="H52" s="46" t="str">
        <x:v>Perch-likes</x:v>
      </x:c>
      <x:c r="I52" s="60" t="n">
        <x:v>928.9276649603</x:v>
      </x:c>
      <x:c r="J52" s="60" t="n">
        <x:v>920.500147877</x:v>
      </x:c>
      <x:c r="K52" s="60" t="n">
        <x:v>8.4275170833</x:v>
      </x:c>
      <x:c r="L52" s="60" t="n">
        <x:v>694.9800073217</x:v>
      </x:c>
      <x:c r="M52" s="60" t="n">
        <x:v>233.9476576386</x:v>
      </x:c>
      <x:c r="N52" s="46" t="str">
        <x:v>lopholatilus chamaeleonticeps</x:v>
      </x:c>
      <x:c r="O52" s="62" t="n">
        <x:v>3.85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Lopholatilus chamaeleonticeps</x:v>
      </x:c>
      <x:c r="T52" s="62" t="n">
        <x:f>IF(O52="","",(1/'Metadata'!$B$5)^(O52-1))</x:f>
        <x:v>5104.291725436732</x:v>
      </x:c>
      <x:c r="U52" s="60" t="n">
        <x:f>IF(T52="","",I52*T52)</x:f>
        <x:v>4741517.793786124</x:v>
      </x:c>
    </x:row>
    <x:row r="53" ht="18" customHeight="1">
      <x:c r="A53" s="46" t="str">
        <x:v>LME_007</x:v>
      </x:c>
      <x:c r="B53" s="46" t="str">
        <x:v>Northeast U.S. Continental Shelf</x:v>
      </x:c>
      <x:c r="C53" s="46" t="str">
        <x:v>LME</x:v>
      </x:c>
      <x:c r="D53" s="58" t="n">
        <x:v>2019</x:v>
      </x:c>
      <x:c r="E53" s="46" t="str">
        <x:v>Lophiidae</x:v>
      </x:c>
      <x:c r="F53" s="46" t="str">
        <x:v>Goosefishes</x:v>
      </x:c>
      <x:c r="G53" s="46" t="str">
        <x:v>Medium bathydemersals (30 - 89 cm)</x:v>
      </x:c>
      <x:c r="H53" s="46" t="str">
        <x:v>Other fishes &amp; inverts</x:v>
      </x:c>
      <x:c r="I53" s="60" t="n">
        <x:v>922.744277408</x:v>
      </x:c>
      <x:c r="J53" s="60" t="n">
        <x:v>869.6614141247</x:v>
      </x:c>
      <x:c r="K53" s="60" t="n">
        <x:v>53.0828632833</x:v>
      </x:c>
      <x:c r="L53" s="60" t="n">
        <x:v>0</x:v>
      </x:c>
      <x:c r="M53" s="60" t="n">
        <x:v>922.744277408</x:v>
      </x:c>
      <x:c r="N53" s="46" t="str">
        <x:v>lophiidae</x:v>
      </x:c>
      <x:c r="O53" s="62" t="n">
        <x:v>4.46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Lophiidae</x:v>
      </x:c>
      <x:c r="T53" s="62" t="n">
        <x:f>IF(O53="","",(1/'Metadata'!$B$5)^(O53-1))</x:f>
        <x:v>31736.84749906455</x:v>
      </x:c>
      <x:c r="U53" s="60" t="n">
        <x:f>IF(T53="","",I53*T53)</x:f>
        <x:v>29284994.412732214</x:v>
      </x:c>
    </x:row>
    <x:row r="54" ht="18" customHeight="1">
      <x:c r="A54" s="46" t="str">
        <x:v>LME_007</x:v>
      </x:c>
      <x:c r="B54" s="46" t="str">
        <x:v>Northeast U.S. Continental Shelf</x:v>
      </x:c>
      <x:c r="C54" s="46" t="str">
        <x:v>LME</x:v>
      </x:c>
      <x:c r="D54" s="58" t="n">
        <x:v>2019</x:v>
      </x:c>
      <x:c r="E54" s="46" t="str">
        <x:v>Myoxocephalus</x:v>
      </x:c>
      <x:c r="F54" s="46" t="str">
        <x:v>Grubbies and sculpins</x:v>
      </x:c>
      <x:c r="G54" s="46" t="str">
        <x:v>Large reef assoc. fish (&gt;=90 cm)</x:v>
      </x:c>
      <x:c r="H54" s="46" t="str">
        <x:v>Scorpionfishes</x:v>
      </x:c>
      <x:c r="I54" s="60" t="n">
        <x:v>921.8369036393</x:v>
      </x:c>
      <x:c r="J54" s="60" t="n">
        <x:v>0</x:v>
      </x:c>
      <x:c r="K54" s="60" t="n">
        <x:v>921.8369036393</x:v>
      </x:c>
      <x:c r="L54" s="60" t="n">
        <x:v>0</x:v>
      </x:c>
      <x:c r="M54" s="60" t="n">
        <x:v>921.8369036393</x:v>
      </x:c>
      <x:c r="N54" s="46" t="str">
        <x:v>myoxocephalus</x:v>
      </x:c>
      <x:c r="O54" s="62" t="n">
        <x:v>3.71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Myoxocephalus</x:v>
      </x:c>
      <x:c r="T54" s="62" t="n">
        <x:f>IF(O54="","",(1/'Metadata'!$B$5)^(O54-1))</x:f>
        <x:v>3355.7630537706395</x:v>
      </x:c>
      <x:c r="U54" s="60" t="n">
        <x:f>IF(T54="","",I54*T54)</x:f>
        <x:v>3093466.222835088</x:v>
      </x:c>
    </x:row>
    <x:row r="55" ht="18" customHeight="1">
      <x:c r="A55" s="46" t="str">
        <x:v>LME_007</x:v>
      </x:c>
      <x:c r="B55" s="46" t="str">
        <x:v>Northeast U.S. Continental Shelf</x:v>
      </x:c>
      <x:c r="C55" s="46" t="str">
        <x:v>LME</x:v>
      </x:c>
      <x:c r="D55" s="58" t="n">
        <x:v>2019</x:v>
      </x:c>
      <x:c r="E55" s="46" t="str">
        <x:v>Limulus polyphemus</x:v>
      </x:c>
      <x:c r="F55" s="46" t="str">
        <x:v>Horseshoe crab</x:v>
      </x:c>
      <x:c r="G55" s="46" t="str">
        <x:v>Lobsters, crabs</x:v>
      </x:c>
      <x:c r="H55" s="46" t="str">
        <x:v>Crustaceans</x:v>
      </x:c>
      <x:c r="I55" s="60" t="n">
        <x:v>919.7154039669</x:v>
      </x:c>
      <x:c r="J55" s="60" t="n">
        <x:v>919.7154039669</x:v>
      </x:c>
      <x:c r="K55" s="60" t="n">
        <x:v>0</x:v>
      </x:c>
      <x:c r="L55" s="60" t="n">
        <x:v>919.7154039669</x:v>
      </x:c>
      <x:c r="M55" s="60" t="n">
        <x:v>0</x:v>
      </x:c>
      <x:c r="N55" s="46" t="str">
        <x:v>limulus polyphemus</x:v>
      </x:c>
      <x:c r="O55" s="62" t="n">
        <x:v>2.95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Limulus polyphemus</x:v>
      </x:c>
      <x:c r="T55" s="62" t="n">
        <x:f>IF(O55="","",(1/'Metadata'!$B$5)^(O55-1))</x:f>
        <x:v>344.3566637326941</x:v>
      </x:c>
      <x:c r="U55" s="60" t="n">
        <x:f>IF(T55="","",I55*T55)</x:f>
        <x:v>316710.12809360866</x:v>
      </x:c>
    </x:row>
    <x:row r="56" ht="18" customHeight="1">
      <x:c r="A56" s="46" t="str">
        <x:v>LME_007</x:v>
      </x:c>
      <x:c r="B56" s="46" t="str">
        <x:v>Northeast U.S. Continental Shelf</x:v>
      </x:c>
      <x:c r="C56" s="46" t="str">
        <x:v>LME</x:v>
      </x:c>
      <x:c r="D56" s="58" t="n">
        <x:v>2019</x:v>
      </x:c>
      <x:c r="E56" s="46" t="str">
        <x:v>Squalidae</x:v>
      </x:c>
      <x:c r="F56" s="46" t="str">
        <x:v>Dogfish sharks</x:v>
      </x:c>
      <x:c r="G56" s="46" t="str">
        <x:v>Large sharks (&gt;=90 cm)</x:v>
      </x:c>
      <x:c r="H56" s="46" t="str">
        <x:v>Sharks &amp; rays</x:v>
      </x:c>
      <x:c r="I56" s="60" t="n">
        <x:v>895.6679873582</x:v>
      </x:c>
      <x:c r="J56" s="60" t="n">
        <x:v>895.6679873582</x:v>
      </x:c>
      <x:c r="K56" s="60" t="n">
        <x:v>0</x:v>
      </x:c>
      <x:c r="L56" s="60" t="n">
        <x:v>0</x:v>
      </x:c>
      <x:c r="M56" s="60" t="n">
        <x:v>895.6679873582</x:v>
      </x:c>
      <x:c r="N56" s="46" t="str">
        <x:v>squalidae</x:v>
      </x:c>
      <x:c r="O56" s="62" t="n">
        <x:v>4.23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Squalidae</x:v>
      </x:c>
      <x:c r="T56" s="62" t="n">
        <x:f>IF(O56="","",(1/'Metadata'!$B$5)^(O56-1))</x:f>
        <x:v>15934.076063346663</x:v>
      </x:c>
      <x:c r="U56" s="60" t="n">
        <x:f>IF(T56="","",I56*T56)</x:f>
        <x:v>14271641.838070177</x:v>
      </x:c>
    </x:row>
    <x:row r="57" ht="18" customHeight="1">
      <x:c r="A57" s="46" t="str">
        <x:v>LME_007</x:v>
      </x:c>
      <x:c r="B57" s="46" t="str">
        <x:v>Northeast U.S. Continental Shelf</x:v>
      </x:c>
      <x:c r="C57" s="46" t="str">
        <x:v>LME</x:v>
      </x:c>
      <x:c r="D57" s="58" t="n">
        <x:v>2019</x:v>
      </x:c>
      <x:c r="E57" s="46" t="str">
        <x:v>Illex illecebrosus</x:v>
      </x:c>
      <x:c r="F57" s="46" t="str">
        <x:v>Northern shortfin squid</x:v>
      </x:c>
      <x:c r="G57" s="46" t="str">
        <x:v>Cephalopods</x:v>
      </x:c>
      <x:c r="H57" s="46" t="str">
        <x:v>Other fishes &amp; inverts</x:v>
      </x:c>
      <x:c r="I57" s="60" t="n">
        <x:v>817.2626909403</x:v>
      </x:c>
      <x:c r="J57" s="60" t="n">
        <x:v>817.2626909403</x:v>
      </x:c>
      <x:c r="K57" s="60" t="n">
        <x:v>0</x:v>
      </x:c>
      <x:c r="L57" s="60" t="n">
        <x:v>797.5852332351</x:v>
      </x:c>
      <x:c r="M57" s="60" t="n">
        <x:v>19.6774577052</x:v>
      </x:c>
      <x:c r="N57" s="46" t="str">
        <x:v>illex illecebrosus</x:v>
      </x:c>
      <x:c r="O57" s="62" t="n">
        <x:v>3.98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Illex illecebrosus</x:v>
      </x:c>
      <x:c r="T57" s="62" t="n">
        <x:f>IF(O57="","",(1/'Metadata'!$B$5)^(O57-1))</x:f>
        <x:v>7534.759367064222</x:v>
      </x:c>
      <x:c r="U57" s="60" t="n">
        <x:f>IF(T57="","",I57*T57)</x:f>
        <x:v>6157877.715914537</x:v>
      </x:c>
    </x:row>
    <x:row r="58" ht="18" customHeight="1">
      <x:c r="A58" s="46" t="str">
        <x:v>LME_007</x:v>
      </x:c>
      <x:c r="B58" s="46" t="str">
        <x:v>Northeast U.S. Continental Shelf</x:v>
      </x:c>
      <x:c r="C58" s="46" t="str">
        <x:v>LME</x:v>
      </x:c>
      <x:c r="D58" s="58" t="n">
        <x:v>2019</x:v>
      </x:c>
      <x:c r="E58" s="46" t="str">
        <x:v>Pseudopleuronectes americanus</x:v>
      </x:c>
      <x:c r="F58" s="46" t="str">
        <x:v>Winter flounder</x:v>
      </x:c>
      <x:c r="G58" s="46" t="str">
        <x:v>Small to medium flatfishes (&lt;90 cm)</x:v>
      </x:c>
      <x:c r="H58" s="46" t="str">
        <x:v>Flatfishes</x:v>
      </x:c>
      <x:c r="I58" s="60" t="n">
        <x:v>801.9414005705</x:v>
      </x:c>
      <x:c r="J58" s="60" t="n">
        <x:v>790.9822567353999</x:v>
      </x:c>
      <x:c r="K58" s="60" t="n">
        <x:v>10.9591438351</x:v>
      </x:c>
      <x:c r="L58" s="60" t="n">
        <x:v>578.6810160113</x:v>
      </x:c>
      <x:c r="M58" s="60" t="n">
        <x:v>223.26038455920002</x:v>
      </x:c>
      <x:c r="N58" s="46" t="str">
        <x:v>pseudopleuronectes americanus</x:v>
      </x:c>
      <x:c r="O58" s="62" t="n">
        <x:v>3.62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Pseudopleuronectes americanus</x:v>
      </x:c>
      <x:c r="T58" s="62" t="n">
        <x:f>IF(O58="","",(1/'Metadata'!$B$5)^(O58-1))</x:f>
        <x:v>2562.7048371775754</x:v>
      </x:c>
      <x:c r="U58" s="60" t="n">
        <x:f>IF(T58="","",I58*T58)</x:f>
        <x:v>2055139.1063749802</x:v>
      </x:c>
    </x:row>
    <x:row r="59" ht="18" customHeight="1">
      <x:c r="A59" s="46" t="str">
        <x:v>LME_007</x:v>
      </x:c>
      <x:c r="B59" s="46" t="str">
        <x:v>Northeast U.S. Continental Shelf</x:v>
      </x:c>
      <x:c r="C59" s="46" t="str">
        <x:v>LME</x:v>
      </x:c>
      <x:c r="D59" s="58" t="n">
        <x:v>2019</x:v>
      </x:c>
      <x:c r="E59" s="46" t="str">
        <x:v>Marine groundfishes not identified</x:v>
      </x:c>
      <x:c r="F59" s="46" t="str">
        <x:v>Groundfishes</x:v>
      </x:c>
      <x:c r="G59" s="46" t="str">
        <x:v>Medium demersals (30 - 89 cm)</x:v>
      </x:c>
      <x:c r="H59" s="46" t="str">
        <x:v>Other fishes &amp; inverts</x:v>
      </x:c>
      <x:c r="I59" s="60" t="n">
        <x:v>750.640399575</x:v>
      </x:c>
      <x:c r="J59" s="60" t="n">
        <x:v>750.640399575</x:v>
      </x:c>
      <x:c r="K59" s="60" t="n">
        <x:v>0</x:v>
      </x:c>
      <x:c r="L59" s="60" t="n">
        <x:v>750.640399575</x:v>
      </x:c>
      <x:c r="M59" s="60" t="n">
        <x:v>0</x:v>
      </x:c>
      <x:c r="N59" s="46" t="str">
        <x:v>marine groundfishes not identified</x:v>
      </x:c>
      <x:c r="O59" s="62" t="n">
        <x:v>3.22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Marine groundfishes not identified</x:v>
      </x:c>
      <x:c r="T59" s="62" t="n">
        <x:f>IF(O59="","",(1/'Metadata'!$B$5)^(O59-1))</x:f>
        <x:v>773.1906443023378</x:v>
      </x:c>
      <x:c r="U59" s="60" t="n">
        <x:f>IF(T59="","",I59*T59)</x:f>
        <x:v>580388.1341867584</x:v>
      </x:c>
    </x:row>
    <x:row r="60" ht="18" customHeight="1">
      <x:c r="A60" s="46" t="str">
        <x:v>LME_007</x:v>
      </x:c>
      <x:c r="B60" s="46" t="str">
        <x:v>Northeast U.S. Continental Shelf</x:v>
      </x:c>
      <x:c r="C60" s="46" t="str">
        <x:v>LME</x:v>
      </x:c>
      <x:c r="D60" s="58" t="n">
        <x:v>2019</x:v>
      </x:c>
      <x:c r="E60" s="46" t="str">
        <x:v>Dorosoma cepedianum</x:v>
      </x:c>
      <x:c r="F60" s="46" t="str">
        <x:v>American gizzard shad</x:v>
      </x:c>
      <x:c r="G60" s="46" t="str">
        <x:v>Medium pelagics (30 - 89 cm)</x:v>
      </x:c>
      <x:c r="H60" s="46" t="str">
        <x:v>Herring-likes</x:v>
      </x:c>
      <x:c r="I60" s="60" t="n">
        <x:v>748.7398630749999</x:v>
      </x:c>
      <x:c r="J60" s="60" t="n">
        <x:v>748.7398630749999</x:v>
      </x:c>
      <x:c r="K60" s="60" t="n">
        <x:v>0</x:v>
      </x:c>
      <x:c r="L60" s="60" t="n">
        <x:v>672.6764609439</x:v>
      </x:c>
      <x:c r="M60" s="60" t="n">
        <x:v>76.06340213109999</x:v>
      </x:c>
      <x:c r="N60" s="46" t="str">
        <x:v>dorosoma cepedianum</x:v>
      </x:c>
      <x:c r="O60" s="62" t="n">
        <x:v>2.4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Dorosoma cepedianum</x:v>
      </x:c>
      <x:c r="T60" s="62" t="n">
        <x:f>IF(O60="","",(1/'Metadata'!$B$5)^(O60-1))</x:f>
        <x:v>66.28908034679972</x:v>
      </x:c>
      <x:c r="U60" s="60" t="n">
        <x:f>IF(T60="","",I60*T60)</x:f>
        <x:v>49633.27694223049</x:v>
      </x:c>
    </x:row>
    <x:row r="61" ht="18" customHeight="1">
      <x:c r="A61" s="46" t="str">
        <x:v>LME_007</x:v>
      </x:c>
      <x:c r="B61" s="46" t="str">
        <x:v>Northeast U.S. Continental Shelf</x:v>
      </x:c>
      <x:c r="C61" s="46" t="str">
        <x:v>LME</x:v>
      </x:c>
      <x:c r="D61" s="58" t="n">
        <x:v>2019</x:v>
      </x:c>
      <x:c r="E61" s="46" t="str">
        <x:v>Mallotus villosus</x:v>
      </x:c>
      <x:c r="F61" s="46" t="str">
        <x:v>Capelin</x:v>
      </x:c>
      <x:c r="G61" s="46" t="str">
        <x:v>Small pelagics (&lt;30 cm)</x:v>
      </x:c>
      <x:c r="H61" s="46" t="str">
        <x:v>Salmon, smelts, etc</x:v>
      </x:c>
      <x:c r="I61" s="60" t="n">
        <x:v>736.530760815</x:v>
      </x:c>
      <x:c r="J61" s="60" t="n">
        <x:v>48.587677030799995</x:v>
      </x:c>
      <x:c r="K61" s="60" t="n">
        <x:v>687.9430837842</x:v>
      </x:c>
      <x:c r="L61" s="60" t="n">
        <x:v>0</x:v>
      </x:c>
      <x:c r="M61" s="60" t="n">
        <x:v>736.530760815</x:v>
      </x:c>
      <x:c r="N61" s="46" t="str">
        <x:v>mallotus villosus</x:v>
      </x:c>
      <x:c r="O61" s="62" t="n">
        <x:v>3.15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Mallotus villosus</x:v>
      </x:c>
      <x:c r="T61" s="62" t="n">
        <x:f>IF(O61="","",(1/'Metadata'!$B$5)^(O61-1))</x:f>
        <x:v>626.9234150652317</x:v>
      </x:c>
      <x:c r="U61" s="60" t="n">
        <x:f>IF(T61="","",I61*T61)</x:f>
        <x:v>461748.37987073313</x:v>
      </x:c>
    </x:row>
    <x:row r="62" ht="18" customHeight="1">
      <x:c r="A62" s="46" t="str">
        <x:v>LME_007</x:v>
      </x:c>
      <x:c r="B62" s="46" t="str">
        <x:v>Northeast U.S. Continental Shelf</x:v>
      </x:c>
      <x:c r="C62" s="46" t="str">
        <x:v>LME</x:v>
      </x:c>
      <x:c r="D62" s="58" t="n">
        <x:v>2019</x:v>
      </x:c>
      <x:c r="E62" s="46" t="str">
        <x:v>Urophycis chuss</x:v>
      </x:c>
      <x:c r="F62" s="46" t="str">
        <x:v>Red hake</x:v>
      </x:c>
      <x:c r="G62" s="46" t="str">
        <x:v>Medium demersals (30 - 89 cm)</x:v>
      </x:c>
      <x:c r="H62" s="46" t="str">
        <x:v>Cod-likes</x:v>
      </x:c>
      <x:c r="I62" s="60" t="n">
        <x:v>734.8430947402001</x:v>
      </x:c>
      <x:c r="J62" s="60" t="n">
        <x:v>729.4777512771</x:v>
      </x:c>
      <x:c r="K62" s="60" t="n">
        <x:v>5.3653434631</x:v>
      </x:c>
      <x:c r="L62" s="60" t="n">
        <x:v>403.8437062682</x:v>
      </x:c>
      <x:c r="M62" s="60" t="n">
        <x:v>330.999388472</x:v>
      </x:c>
      <x:c r="N62" s="46" t="str">
        <x:v>urophycis chuss</x:v>
      </x:c>
      <x:c r="O62" s="62" t="n">
        <x:v>3.72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Urophycis chuss</x:v>
      </x:c>
      <x:c r="T62" s="62" t="n">
        <x:f>IF(O62="","",(1/'Metadata'!$B$5)^(O62-1))</x:f>
        <x:v>3457.8136804537753</x:v>
      </x:c>
      <x:c r="U62" s="60" t="n">
        <x:f>IF(T62="","",I62*T62)</x:f>
        <x:v>2540950.5059796534</x:v>
      </x:c>
    </x:row>
    <x:row r="63" ht="18" customHeight="1">
      <x:c r="A63" s="46" t="str">
        <x:v>LME_007</x:v>
      </x:c>
      <x:c r="B63" s="46" t="str">
        <x:v>Northeast U.S. Continental Shelf</x:v>
      </x:c>
      <x:c r="C63" s="46" t="str">
        <x:v>LME</x:v>
      </x:c>
      <x:c r="D63" s="58" t="n">
        <x:v>2019</x:v>
      </x:c>
      <x:c r="E63" s="46" t="str">
        <x:v>Strongylocentrotus droebachiensis</x:v>
      </x:c>
      <x:c r="F63" s="46" t="str">
        <x:v>Green sea urchin</x:v>
      </x:c>
      <x:c r="G63" s="46" t="str">
        <x:v>Other demersal invertebrates</x:v>
      </x:c>
      <x:c r="H63" s="46" t="str">
        <x:v>Other fishes &amp; inverts</x:v>
      </x:c>
      <x:c r="I63" s="60" t="n">
        <x:v>712.9841202529</x:v>
      </x:c>
      <x:c r="J63" s="60" t="n">
        <x:v>707.5501362686</x:v>
      </x:c>
      <x:c r="K63" s="60" t="n">
        <x:v>5.4339839843</x:v>
      </x:c>
      <x:c r="L63" s="60" t="n">
        <x:v>707.5501362686</x:v>
      </x:c>
      <x:c r="M63" s="60" t="n">
        <x:v>5.4339839843</x:v>
      </x:c>
      <x:c r="N63" s="46" t="str">
        <x:v>strongylocentrotus droebachiensis</x:v>
      </x:c>
      <x:c r="O63" s="62" t="n">
        <x:v>2.3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Strongylocentrotus droebachiensis</x:v>
      </x:c>
      <x:c r="T63" s="62" t="n">
        <x:f>IF(O63="","",(1/'Metadata'!$B$5)^(O63-1))</x:f>
        <x:v>49.12912104463159</x:v>
      </x:c>
      <x:c r="U63" s="60" t="n">
        <x:f>IF(T63="","",I63*T63)</x:f>
        <x:v>35028.28314680489</x:v>
      </x:c>
    </x:row>
    <x:row r="64" ht="18" customHeight="1">
      <x:c r="A64" s="46" t="str">
        <x:v>LME_007</x:v>
      </x:c>
      <x:c r="B64" s="46" t="str">
        <x:v>Northeast U.S. Continental Shelf</x:v>
      </x:c>
      <x:c r="C64" s="46" t="str">
        <x:v>LME</x:v>
      </x:c>
      <x:c r="D64" s="58" t="n">
        <x:v>2019</x:v>
      </x:c>
      <x:c r="E64" s="46" t="str">
        <x:v>Rachycentron canadum</x:v>
      </x:c>
      <x:c r="F64" s="46" t="str">
        <x:v>Cobia</x:v>
      </x:c>
      <x:c r="G64" s="46" t="str">
        <x:v>Large pelagics (&gt;=90 cm)</x:v>
      </x:c>
      <x:c r="H64" s="46" t="str">
        <x:v>Perch-likes</x:v>
      </x:c>
      <x:c r="I64" s="60" t="n">
        <x:v>697.9895356013</x:v>
      </x:c>
      <x:c r="J64" s="60" t="n">
        <x:v>697.9895356013</x:v>
      </x:c>
      <x:c r="K64" s="60" t="n">
        <x:v>0</x:v>
      </x:c>
      <x:c r="L64" s="60" t="n">
        <x:v>17.9168488404</x:v>
      </x:c>
      <x:c r="M64" s="60" t="n">
        <x:v>680.0726867609</x:v>
      </x:c>
      <x:c r="N64" s="46" t="str">
        <x:v>rachycentron canadum</x:v>
      </x:c>
      <x:c r="O64" s="62" t="n">
        <x:v>3.96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Rachycentron canadum</x:v>
      </x:c>
      <x:c r="T64" s="62" t="n">
        <x:f>IF(O64="","",(1/'Metadata'!$B$5)^(O64-1))</x:f>
        <x:v>7096.574839945253</x:v>
      </x:c>
      <x:c r="U64" s="60" t="n">
        <x:f>IF(T64="","",I64*T64)</x:f>
        <x:v>4953334.976893257</x:v>
      </x:c>
    </x:row>
    <x:row r="65" ht="18" customHeight="1">
      <x:c r="A65" s="46" t="str">
        <x:v>LME_007</x:v>
      </x:c>
      <x:c r="B65" s="46" t="str">
        <x:v>Northeast U.S. Continental Shelf</x:v>
      </x:c>
      <x:c r="C65" s="46" t="str">
        <x:v>LME</x:v>
      </x:c>
      <x:c r="D65" s="58" t="n">
        <x:v>2019</x:v>
      </x:c>
      <x:c r="E65" s="46" t="str">
        <x:v>Thunnus albacares</x:v>
      </x:c>
      <x:c r="F65" s="46" t="str">
        <x:v>Yellowfin tuna</x:v>
      </x:c>
      <x:c r="G65" s="46" t="str">
        <x:v>Large pelagics (&gt;=90 cm)</x:v>
      </x:c>
      <x:c r="H65" s="46" t="str">
        <x:v>Tuna &amp; billfishes</x:v>
      </x:c>
      <x:c r="I65" s="60" t="n">
        <x:v>675.1514944456</x:v>
      </x:c>
      <x:c r="J65" s="60" t="n">
        <x:v>675.1514944456</x:v>
      </x:c>
      <x:c r="K65" s="60" t="n">
        <x:v>0</x:v>
      </x:c>
      <x:c r="L65" s="60" t="n">
        <x:v>473.9669029558</x:v>
      </x:c>
      <x:c r="M65" s="60" t="n">
        <x:v>201.1845914898</x:v>
      </x:c>
      <x:c r="N65" s="46" t="str">
        <x:v>thunnus albacares</x:v>
      </x:c>
      <x:c r="O65" s="62" t="n">
        <x:v>4.41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Thunnus albacares</x:v>
      </x:c>
      <x:c r="T65" s="62" t="n">
        <x:f>IF(O65="","",(1/'Metadata'!$B$5)^(O65-1))</x:f>
        <x:v>27321.987305427916</x:v>
      </x:c>
      <x:c r="U65" s="60" t="n">
        <x:f>IF(T65="","",I65*T65)</x:f>
        <x:v>18446480.560483366</x:v>
      </x:c>
    </x:row>
    <x:row r="66" ht="18" customHeight="1">
      <x:c r="A66" s="46" t="str">
        <x:v>LME_007</x:v>
      </x:c>
      <x:c r="B66" s="46" t="str">
        <x:v>Northeast U.S. Continental Shelf</x:v>
      </x:c>
      <x:c r="C66" s="46" t="str">
        <x:v>LME</x:v>
      </x:c>
      <x:c r="D66" s="58" t="n">
        <x:v>2019</x:v>
      </x:c>
      <x:c r="E66" s="46" t="str">
        <x:v>Xiphias gladius</x:v>
      </x:c>
      <x:c r="F66" s="46" t="str">
        <x:v>Swordfish</x:v>
      </x:c>
      <x:c r="G66" s="46" t="str">
        <x:v>Large pelagics (&gt;=90 cm)</x:v>
      </x:c>
      <x:c r="H66" s="46" t="str">
        <x:v>Tuna &amp; billfishes</x:v>
      </x:c>
      <x:c r="I66" s="60" t="n">
        <x:v>664.1970548306999</x:v>
      </x:c>
      <x:c r="J66" s="60" t="n">
        <x:v>664.1970548306999</x:v>
      </x:c>
      <x:c r="K66" s="60" t="n">
        <x:v>0</x:v>
      </x:c>
      <x:c r="L66" s="60" t="n">
        <x:v>540.1323936049</x:v>
      </x:c>
      <x:c r="M66" s="60" t="n">
        <x:v>124.0646612258</x:v>
      </x:c>
      <x:c r="N66" s="46" t="str">
        <x:v>xiphias gladius</x:v>
      </x:c>
      <x:c r="O66" s="62" t="n">
        <x:v>4.53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Xiphias gladius</x:v>
      </x:c>
      <x:c r="T66" s="62" t="n">
        <x:f>IF(O66="","",(1/'Metadata'!$B$5)^(O66-1))</x:f>
        <x:v>39141.35758252625</x:v>
      </x:c>
      <x:c r="U66" s="60" t="n">
        <x:f>IF(T66="","",I66*T66)</x:f>
        <x:v>25997574.42838922</x:v>
      </x:c>
    </x:row>
    <x:row r="67" ht="18" customHeight="1">
      <x:c r="A67" s="46" t="str">
        <x:v>LME_007</x:v>
      </x:c>
      <x:c r="B67" s="46" t="str">
        <x:v>Northeast U.S. Continental Shelf</x:v>
      </x:c>
      <x:c r="C67" s="46" t="str">
        <x:v>LME</x:v>
      </x:c>
      <x:c r="D67" s="58" t="n">
        <x:v>2019</x:v>
      </x:c>
      <x:c r="E67" s="46" t="str">
        <x:v>Ariidae</x:v>
      </x:c>
      <x:c r="F67" s="46" t="str">
        <x:v>Sea catfishes, coblers</x:v>
      </x:c>
      <x:c r="G67" s="46" t="str">
        <x:v>Medium demersals (30 - 89 cm)</x:v>
      </x:c>
      <x:c r="H67" s="46" t="str">
        <x:v>Other fishes &amp; inverts</x:v>
      </x:c>
      <x:c r="I67" s="60" t="n">
        <x:v>578.2878137836</x:v>
      </x:c>
      <x:c r="J67" s="60" t="n">
        <x:v>578.2878137836</x:v>
      </x:c>
      <x:c r="K67" s="60" t="n">
        <x:v>0</x:v>
      </x:c>
      <x:c r="L67" s="60" t="n">
        <x:v>0</x:v>
      </x:c>
      <x:c r="M67" s="60" t="n">
        <x:v>578.2878137836</x:v>
      </x:c>
      <x:c r="N67" s="46" t="str">
        <x:v>ariidae</x:v>
      </x:c>
      <x:c r="O67" s="62" t="n">
        <x:v>3.48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Ariidae</x:v>
      </x:c>
      <x:c r="T67" s="62" t="n">
        <x:f>IF(O67="","",(1/'Metadata'!$B$5)^(O67-1))</x:f>
        <x:v>1684.8234138858888</x:v>
      </x:c>
      <x:c r="U67" s="60" t="n">
        <x:f>IF(T67="","",I67*T67)</x:f>
        <x:v>974312.8486274921</x:v>
      </x:c>
    </x:row>
    <x:row r="68" ht="18" customHeight="1">
      <x:c r="A68" s="46" t="str">
        <x:v>LME_007</x:v>
      </x:c>
      <x:c r="B68" s="46" t="str">
        <x:v>Northeast U.S. Continental Shelf</x:v>
      </x:c>
      <x:c r="C68" s="46" t="str">
        <x:v>LME</x:v>
      </x:c>
      <x:c r="D68" s="58" t="n">
        <x:v>2019</x:v>
      </x:c>
      <x:c r="E68" s="46" t="str">
        <x:v>Gastropoda</x:v>
      </x:c>
      <x:c r="F68" s="46" t="str">
        <x:v>Sea snails</x:v>
      </x:c>
      <x:c r="G68" s="46" t="str">
        <x:v>Other demersal invertebrates</x:v>
      </x:c>
      <x:c r="H68" s="46" t="str">
        <x:v>Molluscs</x:v>
      </x:c>
      <x:c r="I68" s="60" t="n">
        <x:v>573.3023285675</x:v>
      </x:c>
      <x:c r="J68" s="60" t="n">
        <x:v>573.3023285675</x:v>
      </x:c>
      <x:c r="K68" s="60" t="n">
        <x:v>0</x:v>
      </x:c>
      <x:c r="L68" s="60" t="n">
        <x:v>246.8256698028</x:v>
      </x:c>
      <x:c r="M68" s="60" t="n">
        <x:v>326.4766587647</x:v>
      </x:c>
      <x:c r="N68" s="46" t="str">
        <x:v>gastropoda</x:v>
      </x:c>
      <x:c r="O68" s="62" t="n">
        <x:v>3.06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Gastropoda</x:v>
      </x:c>
      <x:c r="T68" s="62" t="n">
        <x:f>IF(O68="","",(1/'Metadata'!$B$5)^(O68-1))</x:f>
        <x:v>478.7643354384948</x:v>
      </x:c>
      <x:c r="U68" s="60" t="n">
        <x:f>IF(T68="","",I68*T68)</x:f>
        <x:v>274476.70834196074</x:v>
      </x:c>
    </x:row>
    <x:row r="69" ht="18" customHeight="1">
      <x:c r="A69" s="46" t="str">
        <x:v>LME_007</x:v>
      </x:c>
      <x:c r="B69" s="46" t="str">
        <x:v>Northeast U.S. Continental Shelf</x:v>
      </x:c>
      <x:c r="C69" s="46" t="str">
        <x:v>LME</x:v>
      </x:c>
      <x:c r="D69" s="58" t="n">
        <x:v>2019</x:v>
      </x:c>
      <x:c r="E69" s="46" t="str">
        <x:v>Myzopsetta ferruginea</x:v>
      </x:c>
      <x:c r="F69" s="46" t="str">
        <x:v>Yellowtail flounder</x:v>
      </x:c>
      <x:c r="G69" s="46" t="str">
        <x:v>Small to medium flatfishes (&lt;90 cm)</x:v>
      </x:c>
      <x:c r="H69" s="46" t="str">
        <x:v>Flatfishes</x:v>
      </x:c>
      <x:c r="I69" s="60" t="n">
        <x:v>555.4896343404</x:v>
      </x:c>
      <x:c r="J69" s="60" t="n">
        <x:v>459.9894072687</x:v>
      </x:c>
      <x:c r="K69" s="60" t="n">
        <x:v>95.50022707170001</x:v>
      </x:c>
      <x:c r="L69" s="60" t="n">
        <x:v>409.5313258024</x:v>
      </x:c>
      <x:c r="M69" s="60" t="n">
        <x:v>145.958308538</x:v>
      </x:c>
      <x:c r="N69" s="46" t="str">
        <x:v>myzopsetta ferruginea</x:v>
      </x:c>
      <x:c r="O69" s="62" t="n">
        <x:v>3.28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Myzopsetta ferruginea</x:v>
      </x:c>
      <x:c r="T69" s="62" t="n">
        <x:f>IF(O69="","",(1/'Metadata'!$B$5)^(O69-1))</x:f>
        <x:v>925.4402624666747</x:v>
      </x:c>
      <x:c r="U69" s="60" t="n">
        <x:f>IF(T69="","",I69*T69)</x:f>
        <x:v>514072.4730014969</x:v>
      </x:c>
    </x:row>
    <x:row r="70" ht="18" customHeight="1">
      <x:c r="A70" s="46" t="str">
        <x:v>LME_007</x:v>
      </x:c>
      <x:c r="B70" s="46" t="str">
        <x:v>Northeast U.S. Continental Shelf</x:v>
      </x:c>
      <x:c r="C70" s="46" t="str">
        <x:v>LME</x:v>
      </x:c>
      <x:c r="D70" s="58" t="n">
        <x:v>2019</x:v>
      </x:c>
      <x:c r="E70" s="46" t="str">
        <x:v>Myliobatidae</x:v>
      </x:c>
      <x:c r="F70" s="46" t="str">
        <x:v>Eagle/manta rays</x:v>
      </x:c>
      <x:c r="G70" s="46" t="str">
        <x:v>Large rays (&gt;=90 cm)</x:v>
      </x:c>
      <x:c r="H70" s="46" t="str">
        <x:v>Sharks &amp; rays</x:v>
      </x:c>
      <x:c r="I70" s="60" t="n">
        <x:v>512.4048729521</x:v>
      </x:c>
      <x:c r="J70" s="60" t="n">
        <x:v>512.4048729521</x:v>
      </x:c>
      <x:c r="K70" s="60" t="n">
        <x:v>0</x:v>
      </x:c>
      <x:c r="L70" s="60" t="n">
        <x:v>0</x:v>
      </x:c>
      <x:c r="M70" s="60" t="n">
        <x:v>512.4048729521</x:v>
      </x:c>
      <x:c r="N70" s="46" t="str">
        <x:v>myliobatidae</x:v>
      </x:c>
      <x:c r="O70" s="62" t="n">
        <x:v>3.36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Myliobatidae</x:v>
      </x:c>
      <x:c r="T70" s="62" t="n">
        <x:f>IF(O70="","",(1/'Metadata'!$B$5)^(O70-1))</x:f>
        <x:v>1176.0635493805207</x:v>
      </x:c>
      <x:c r="U70" s="60" t="n">
        <x:f>IF(T70="","",I70*T70)</x:f>
        <x:v>602620.6936039216</x:v>
      </x:c>
    </x:row>
    <x:row r="71" ht="18" customHeight="1">
      <x:c r="A71" s="46" t="str">
        <x:v>LME_007</x:v>
      </x:c>
      <x:c r="B71" s="46" t="str">
        <x:v>Northeast U.S. Continental Shelf</x:v>
      </x:c>
      <x:c r="C71" s="46" t="str">
        <x:v>LME</x:v>
      </x:c>
      <x:c r="D71" s="58" t="n">
        <x:v>2019</x:v>
      </x:c>
      <x:c r="E71" s="46" t="str">
        <x:v>Alosa pseudoharengus</x:v>
      </x:c>
      <x:c r="F71" s="46" t="str">
        <x:v>Alewife</x:v>
      </x:c>
      <x:c r="G71" s="46" t="str">
        <x:v>Medium pelagics (30 - 89 cm)</x:v>
      </x:c>
      <x:c r="H71" s="46" t="str">
        <x:v>Herring-likes</x:v>
      </x:c>
      <x:c r="I71" s="60" t="n">
        <x:v>427.7647956477</x:v>
      </x:c>
      <x:c r="J71" s="60" t="n">
        <x:v>427.7647956477</x:v>
      </x:c>
      <x:c r="K71" s="60" t="n">
        <x:v>0</x:v>
      </x:c>
      <x:c r="L71" s="60" t="n">
        <x:v>297.6082950242</x:v>
      </x:c>
      <x:c r="M71" s="60" t="n">
        <x:v>130.1565006235</x:v>
      </x:c>
      <x:c r="N71" s="46" t="str">
        <x:v>alosa pseudoharengus</x:v>
      </x:c>
      <x:c r="O71" s="62" t="n">
        <x:v>3.39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Alosa pseudoharengus</x:v>
      </x:c>
      <x:c r="T71" s="62" t="n">
        <x:f>IF(O71="","",(1/'Metadata'!$B$5)^(O71-1))</x:f>
        <x:v>1286.6537486023922</x:v>
      </x:c>
      <x:c r="U71" s="60" t="n">
        <x:f>IF(T71="","",I71*T71)</x:f>
        <x:v>550385.1778402495</x:v>
      </x:c>
    </x:row>
    <x:row r="72" ht="18" customHeight="1">
      <x:c r="A72" s="46" t="str">
        <x:v>LME_007</x:v>
      </x:c>
      <x:c r="B72" s="46" t="str">
        <x:v>Northeast U.S. Continental Shelf</x:v>
      </x:c>
      <x:c r="C72" s="46" t="str">
        <x:v>LME</x:v>
      </x:c>
      <x:c r="D72" s="58" t="n">
        <x:v>2019</x:v>
      </x:c>
      <x:c r="E72" s="46" t="str">
        <x:v>Marine pelagic fishes not identified</x:v>
      </x:c>
      <x:c r="F72" s="46" t="str">
        <x:v>Pelagic fishes</x:v>
      </x:c>
      <x:c r="G72" s="46" t="str">
        <x:v>Medium pelagics (30 - 89 cm)</x:v>
      </x:c>
      <x:c r="H72" s="46" t="str">
        <x:v>Other fishes &amp; inverts</x:v>
      </x:c>
      <x:c r="I72" s="60" t="n">
        <x:v>419.639135326</x:v>
      </x:c>
      <x:c r="J72" s="60" t="n">
        <x:v>419.639135326</x:v>
      </x:c>
      <x:c r="K72" s="60" t="n">
        <x:v>0</x:v>
      </x:c>
      <x:c r="L72" s="60" t="n">
        <x:v>419.639135326</x:v>
      </x:c>
      <x:c r="M72" s="60" t="n">
        <x:v>0</x:v>
      </x:c>
      <x:c r="N72" s="46" t="str">
        <x:v>marine pelagic fishes not identified</x:v>
      </x:c>
      <x:c r="O72" s="62" t="n">
        <x:v>3.35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Marine pelagic fishes not identified</x:v>
      </x:c>
      <x:c r="T72" s="62" t="n">
        <x:f>IF(O72="","",(1/'Metadata'!$B$5)^(O72-1))</x:f>
        <x:v>1141.3543275066227</x:v>
      </x:c>
      <x:c r="U72" s="60" t="n">
        <x:f>IF(T72="","",I72*T72)</x:f>
        <x:v>478956.94309546734</x:v>
      </x:c>
    </x:row>
    <x:row r="73" ht="18" customHeight="1">
      <x:c r="A73" s="46" t="str">
        <x:v>LME_007</x:v>
      </x:c>
      <x:c r="B73" s="46" t="str">
        <x:v>Northeast U.S. Continental Shelf</x:v>
      </x:c>
      <x:c r="C73" s="46" t="str">
        <x:v>LME</x:v>
      </x:c>
      <x:c r="D73" s="58" t="n">
        <x:v>2019</x:v>
      </x:c>
      <x:c r="E73" s="46" t="str">
        <x:v>Coryphaenoides</x:v>
      </x:c>
      <x:c r="F73" s="46" t="str">
        <x:v>Grenadiers</x:v>
      </x:c>
      <x:c r="G73" s="46" t="str">
        <x:v>Large bathypelagics (&gt;=90 cm)</x:v>
      </x:c>
      <x:c r="H73" s="46" t="str">
        <x:v>Cod-likes</x:v>
      </x:c>
      <x:c r="I73" s="60" t="n">
        <x:v>318.4148023216</x:v>
      </x:c>
      <x:c r="J73" s="60" t="n">
        <x:v>0</x:v>
      </x:c>
      <x:c r="K73" s="60" t="n">
        <x:v>318.4148023216</x:v>
      </x:c>
      <x:c r="L73" s="60" t="n">
        <x:v>0</x:v>
      </x:c>
      <x:c r="M73" s="60" t="n">
        <x:v>318.4148023216</x:v>
      </x:c>
      <x:c r="N73" s="46" t="str">
        <x:v>coryphaenoides</x:v>
      </x:c>
      <x:c r="O73" s="62" t="n">
        <x:v>3.97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Coryphaenoides</x:v>
      </x:c>
      <x:c r="T73" s="62" t="n">
        <x:f>IF(O73="","",(1/'Metadata'!$B$5)^(O73-1))</x:f>
        <x:v>7312.385640086951</x:v>
      </x:c>
      <x:c r="U73" s="60" t="n">
        <x:f>IF(T73="","",I73*T73)</x:f>
        <x:v>2328371.828087593</x:v>
      </x:c>
    </x:row>
    <x:row r="74" ht="18" customHeight="1">
      <x:c r="A74" s="46" t="str">
        <x:v>LME_007</x:v>
      </x:c>
      <x:c r="B74" s="46" t="str">
        <x:v>Northeast U.S. Continental Shelf</x:v>
      </x:c>
      <x:c r="C74" s="46" t="str">
        <x:v>LME</x:v>
      </x:c>
      <x:c r="D74" s="58" t="n">
        <x:v>2019</x:v>
      </x:c>
      <x:c r="E74" s="46" t="str">
        <x:v>Merostomata</x:v>
      </x:c>
      <x:c r="F74" s="46" t="str">
        <x:v>Chelicerates</x:v>
      </x:c>
      <x:c r="G74" s="46" t="str">
        <x:v>Other demersal invertebrates</x:v>
      </x:c>
      <x:c r="H74" s="46" t="str">
        <x:v>Other fishes &amp; inverts</x:v>
      </x:c>
      <x:c r="I74" s="60" t="n">
        <x:v>310.879372056</x:v>
      </x:c>
      <x:c r="J74" s="60" t="n">
        <x:v>310.879372056</x:v>
      </x:c>
      <x:c r="K74" s="60" t="n">
        <x:v>0</x:v>
      </x:c>
      <x:c r="L74" s="60" t="n">
        <x:v>0</x:v>
      </x:c>
      <x:c r="M74" s="60" t="n">
        <x:v>310.879372056</x:v>
      </x:c>
      <x:c r="N74" s="46" t="str">
        <x:v>merostomata</x:v>
      </x:c>
      <x:c r="O74" s="62" t="n">
        <x:v>2.98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Merostomata</x:v>
      </x:c>
      <x:c r="T74" s="62" t="n">
        <x:f>IF(O74="","",(1/'Metadata'!$B$5)^(O74-1))</x:f>
        <x:v>376.73796835321104</x:v>
      </x:c>
      <x:c r="U74" s="60" t="n">
        <x:f>IF(T74="","",I74*T74)</x:f>
        <x:v>117120.06303129946</x:v>
      </x:c>
    </x:row>
    <x:row r="75" ht="18" customHeight="1">
      <x:c r="A75" s="46" t="str">
        <x:v>LME_007</x:v>
      </x:c>
      <x:c r="B75" s="46" t="str">
        <x:v>Northeast U.S. Continental Shelf</x:v>
      </x:c>
      <x:c r="C75" s="46" t="str">
        <x:v>LME</x:v>
      </x:c>
      <x:c r="D75" s="58" t="n">
        <x:v>2019</x:v>
      </x:c>
      <x:c r="E75" s="46" t="str">
        <x:v>Anguilla rostrata</x:v>
      </x:c>
      <x:c r="F75" s="46" t="str">
        <x:v>American eel</x:v>
      </x:c>
      <x:c r="G75" s="46" t="str">
        <x:v>Large demersals (&gt;=90 cm)</x:v>
      </x:c>
      <x:c r="H75" s="46" t="str">
        <x:v>Other fishes &amp; inverts</x:v>
      </x:c>
      <x:c r="I75" s="60" t="n">
        <x:v>258.9975627947</x:v>
      </x:c>
      <x:c r="J75" s="60" t="n">
        <x:v>258.9975627947</x:v>
      </x:c>
      <x:c r="K75" s="60" t="n">
        <x:v>0</x:v>
      </x:c>
      <x:c r="L75" s="60" t="n">
        <x:v>228.6631123435</x:v>
      </x:c>
      <x:c r="M75" s="60" t="n">
        <x:v>30.334450451200002</x:v>
      </x:c>
      <x:c r="N75" s="46" t="str">
        <x:v>anguilla rostrata</x:v>
      </x:c>
      <x:c r="O75" s="62" t="n">
        <x:v>3.83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Anguilla rostrata</x:v>
      </x:c>
      <x:c r="T75" s="62" t="n">
        <x:f>IF(O75="","",(1/'Metadata'!$B$5)^(O75-1))</x:f>
        <x:v>4807.451236307852</x:v>
      </x:c>
      <x:c r="U75" s="60" t="n">
        <x:f>IF(T75="","",I75*T75)</x:f>
        <x:v>1245118.153458101</x:v>
      </x:c>
    </x:row>
    <x:row r="76" ht="18" customHeight="1">
      <x:c r="A76" s="46" t="str">
        <x:v>LME_007</x:v>
      </x:c>
      <x:c r="B76" s="46" t="str">
        <x:v>Northeast U.S. Continental Shelf</x:v>
      </x:c>
      <x:c r="C76" s="46" t="str">
        <x:v>LME</x:v>
      </x:c>
      <x:c r="D76" s="58" t="n">
        <x:v>2019</x:v>
      </x:c>
      <x:c r="E76" s="46" t="str">
        <x:v>Thunnus obesus</x:v>
      </x:c>
      <x:c r="F76" s="46" t="str">
        <x:v>Bigeye tuna</x:v>
      </x:c>
      <x:c r="G76" s="46" t="str">
        <x:v>Large pelagics (&gt;=90 cm)</x:v>
      </x:c>
      <x:c r="H76" s="46" t="str">
        <x:v>Tuna &amp; billfishes</x:v>
      </x:c>
      <x:c r="I76" s="60" t="n">
        <x:v>256.6759230419</x:v>
      </x:c>
      <x:c r="J76" s="60" t="n">
        <x:v>256.6759230419</x:v>
      </x:c>
      <x:c r="K76" s="60" t="n">
        <x:v>0</x:v>
      </x:c>
      <x:c r="L76" s="60" t="n">
        <x:v>229.3291882559</x:v>
      </x:c>
      <x:c r="M76" s="60" t="n">
        <x:v>27.346734786</x:v>
      </x:c>
      <x:c r="N76" s="46" t="str">
        <x:v>thunnus obesus</x:v>
      </x:c>
      <x:c r="O76" s="62" t="n">
        <x:v>4.49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Thunnus obesus</x:v>
      </x:c>
      <x:c r="T76" s="62" t="n">
        <x:f>IF(O76="","",(1/'Metadata'!$B$5)^(O76-1))</x:f>
        <x:v>34721.19667768202</x:v>
      </x:c>
      <x:c r="U76" s="60" t="n">
        <x:f>IF(T76="","",I76*T76)</x:f>
        <x:v>8912095.206363384</x:v>
      </x:c>
    </x:row>
    <x:row r="77" ht="18" customHeight="1">
      <x:c r="A77" s="46" t="str">
        <x:v>LME_007</x:v>
      </x:c>
      <x:c r="B77" s="46" t="str">
        <x:v>Northeast U.S. Continental Shelf</x:v>
      </x:c>
      <x:c r="C77" s="46" t="str">
        <x:v>LME</x:v>
      </x:c>
      <x:c r="D77" s="58" t="n">
        <x:v>2019</x:v>
      </x:c>
      <x:c r="E77" s="46" t="str">
        <x:v>Busycotypus canaliculatus</x:v>
      </x:c>
      <x:c r="F77" s="46" t="str">
        <x:v>Channeled whelk</x:v>
      </x:c>
      <x:c r="G77" s="46" t="str">
        <x:v>Other demersal invertebrates</x:v>
      </x:c>
      <x:c r="H77" s="46" t="str">
        <x:v>Molluscs</x:v>
      </x:c>
      <x:c r="I77" s="60" t="n">
        <x:v>233.46067701890001</x:v>
      </x:c>
      <x:c r="J77" s="60" t="n">
        <x:v>233.46067701890001</x:v>
      </x:c>
      <x:c r="K77" s="60" t="n">
        <x:v>0</x:v>
      </x:c>
      <x:c r="L77" s="60" t="n">
        <x:v>233.46067701890001</x:v>
      </x:c>
      <x:c r="M77" s="60" t="n">
        <x:v>0</x:v>
      </x:c>
      <x:c r="N77" s="46" t="str">
        <x:v>busycotypus canaliculatus</x:v>
      </x:c>
      <x:c r="O77" s="62" t="n">
        <x:v>3.23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Busycotypus canaliculatus</x:v>
      </x:c>
      <x:c r="T77" s="62" t="n">
        <x:f>IF(O77="","",(1/'Metadata'!$B$5)^(O77-1))</x:f>
        <x:v>796.7038031673321</x:v>
      </x:c>
      <x:c r="U77" s="60" t="n">
        <x:f>IF(T77="","",I77*T77)</x:f>
        <x:v>185999.0092709778</x:v>
      </x:c>
    </x:row>
    <x:row r="78" ht="18" customHeight="1">
      <x:c r="A78" s="46" t="str">
        <x:v>LME_007</x:v>
      </x:c>
      <x:c r="B78" s="46" t="str">
        <x:v>Northeast U.S. Continental Shelf</x:v>
      </x:c>
      <x:c r="C78" s="46" t="str">
        <x:v>LME</x:v>
      </x:c>
      <x:c r="D78" s="58" t="n">
        <x:v>2019</x:v>
      </x:c>
      <x:c r="E78" s="46" t="str">
        <x:v>Menticirrhus americanus</x:v>
      </x:c>
      <x:c r="F78" s="46" t="str">
        <x:v>Southern kingcroaker</x:v>
      </x:c>
      <x:c r="G78" s="46" t="str">
        <x:v>Medium demersals (30 - 89 cm)</x:v>
      </x:c>
      <x:c r="H78" s="46" t="str">
        <x:v>Perch-likes</x:v>
      </x:c>
      <x:c r="I78" s="60" t="n">
        <x:v>231.1725778677</x:v>
      </x:c>
      <x:c r="J78" s="60" t="n">
        <x:v>231.1725778677</x:v>
      </x:c>
      <x:c r="K78" s="60" t="n">
        <x:v>0</x:v>
      </x:c>
      <x:c r="L78" s="60" t="n">
        <x:v>0</x:v>
      </x:c>
      <x:c r="M78" s="60" t="n">
        <x:v>231.1725778677</x:v>
      </x:c>
      <x:c r="N78" s="46" t="str">
        <x:v>menticirrhus americanus</x:v>
      </x:c>
      <x:c r="O78" s="62" t="n">
        <x:v>3.5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Menticirrhus americanus</x:v>
      </x:c>
      <x:c r="T78" s="62" t="n">
        <x:f>IF(O78="","",(1/'Metadata'!$B$5)^(O78-1))</x:f>
        <x:v>1788.8543819998317</x:v>
      </x:c>
      <x:c r="U78" s="60" t="n">
        <x:f>IF(T78="","",I78*T78)</x:f>
        <x:v>413534.07891683246</x:v>
      </x:c>
    </x:row>
    <x:row r="79" ht="18" customHeight="1">
      <x:c r="A79" s="46" t="str">
        <x:v>LME_007</x:v>
      </x:c>
      <x:c r="B79" s="46" t="str">
        <x:v>Northeast U.S. Continental Shelf</x:v>
      </x:c>
      <x:c r="C79" s="46" t="str">
        <x:v>LME</x:v>
      </x:c>
      <x:c r="D79" s="58" t="n">
        <x:v>2019</x:v>
      </x:c>
      <x:c r="E79" s="46" t="str">
        <x:v>Pogonias courbina</x:v>
      </x:c>
      <x:c r="F79" s="46" t="str">
        <x:v>Black drum</x:v>
      </x:c>
      <x:c r="G79" s="46" t="str">
        <x:v>Large demersals (&gt;=90 cm)</x:v>
      </x:c>
      <x:c r="H79" s="46" t="str">
        <x:v>Perch-likes</x:v>
      </x:c>
      <x:c r="I79" s="60" t="n">
        <x:v>217.4180030618</x:v>
      </x:c>
      <x:c r="J79" s="60" t="n">
        <x:v>217.4180030618</x:v>
      </x:c>
      <x:c r="K79" s="60" t="n">
        <x:v>0</x:v>
      </x:c>
      <x:c r="L79" s="60" t="n">
        <x:v>61.6134132613</x:v>
      </x:c>
      <x:c r="M79" s="60" t="n">
        <x:v>155.8045898005</x:v>
      </x:c>
      <x:c r="N79" s="46" t="str">
        <x:v>pogonias courbina</x:v>
      </x:c>
      <x:c r="O79" s="62" t="n">
        <x:v>3.89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Pogonias courbina</x:v>
      </x:c>
      <x:c r="T79" s="62" t="n">
        <x:f>IF(O79="","",(1/'Metadata'!$B$5)^(O79-1))</x:f>
        <x:v>5754.090490759748</x:v>
      </x:c>
      <x:c r="U79" s="60" t="n">
        <x:f>IF(T79="","",I79*T79)</x:f>
        <x:v>1251042.8639378771</x:v>
      </x:c>
    </x:row>
    <x:row r="80" ht="18" customHeight="1">
      <x:c r="A80" s="46" t="str">
        <x:v>LME_007</x:v>
      </x:c>
      <x:c r="B80" s="46" t="str">
        <x:v>Northeast U.S. Continental Shelf</x:v>
      </x:c>
      <x:c r="C80" s="46" t="str">
        <x:v>LME</x:v>
      </x:c>
      <x:c r="D80" s="58" t="n">
        <x:v>2019</x:v>
      </x:c>
      <x:c r="E80" s="46" t="str">
        <x:v>Dipturus laevis</x:v>
      </x:c>
      <x:c r="F80" s="46" t="str">
        <x:v>Barndoor skate</x:v>
      </x:c>
      <x:c r="G80" s="46" t="str">
        <x:v>Large rays (&gt;=90 cm)</x:v>
      </x:c>
      <x:c r="H80" s="46" t="str">
        <x:v>Sharks &amp; rays</x:v>
      </x:c>
      <x:c r="I80" s="60" t="n">
        <x:v>211.0026202628</x:v>
      </x:c>
      <x:c r="J80" s="60" t="n">
        <x:v>211.0026202628</x:v>
      </x:c>
      <x:c r="K80" s="60" t="n">
        <x:v>0</x:v>
      </x:c>
      <x:c r="L80" s="60" t="n">
        <x:v>211.0026202628</x:v>
      </x:c>
      <x:c r="M80" s="60" t="n">
        <x:v>0</x:v>
      </x:c>
      <x:c r="N80" s="46" t="str">
        <x:v>dipturus laevis</x:v>
      </x:c>
      <x:c r="O80" s="62" t="n">
        <x:v>3.5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Dipturus laevis</x:v>
      </x:c>
      <x:c r="T80" s="62" t="n">
        <x:f>IF(O80="","",(1/'Metadata'!$B$5)^(O80-1))</x:f>
        <x:v>1788.8543819998317</x:v>
      </x:c>
      <x:c r="U80" s="60" t="n">
        <x:f>IF(T80="","",I80*T80)</x:f>
        <x:v>377452.9618705563</x:v>
      </x:c>
    </x:row>
    <x:row r="81" ht="18" customHeight="1">
      <x:c r="A81" s="46" t="str">
        <x:v>LME_007</x:v>
      </x:c>
      <x:c r="B81" s="46" t="str">
        <x:v>Northeast U.S. Continental Shelf</x:v>
      </x:c>
      <x:c r="C81" s="46" t="str">
        <x:v>LME</x:v>
      </x:c>
      <x:c r="D81" s="58" t="n">
        <x:v>2019</x:v>
      </x:c>
      <x:c r="E81" s="46" t="str">
        <x:v>Prionotus</x:v>
      </x:c>
      <x:c r="F81" s="46" t="str">
        <x:v>Saw-back searobins</x:v>
      </x:c>
      <x:c r="G81" s="46" t="str">
        <x:v>Large reef assoc. fish (&gt;=90 cm)</x:v>
      </x:c>
      <x:c r="H81" s="46" t="str">
        <x:v>Scorpionfishes</x:v>
      </x:c>
      <x:c r="I81" s="60" t="n">
        <x:v>205.8936732861</x:v>
      </x:c>
      <x:c r="J81" s="60" t="n">
        <x:v>205.8936732861</x:v>
      </x:c>
      <x:c r="K81" s="60" t="n">
        <x:v>0</x:v>
      </x:c>
      <x:c r="L81" s="60" t="n">
        <x:v>0.5676593692999999</x:v>
      </x:c>
      <x:c r="M81" s="60" t="n">
        <x:v>205.3260139168</x:v>
      </x:c>
      <x:c r="N81" s="46" t="str">
        <x:v>prionotus</x:v>
      </x:c>
      <x:c r="O81" s="62" t="n">
        <x:v>3.97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Prionotus</x:v>
      </x:c>
      <x:c r="T81" s="62" t="n">
        <x:f>IF(O81="","",(1/'Metadata'!$B$5)^(O81-1))</x:f>
        <x:v>7312.385640086951</x:v>
      </x:c>
      <x:c r="U81" s="60" t="n">
        <x:f>IF(T81="","",I81*T81)</x:f>
        <x:v>1505573.939922032</x:v>
      </x:c>
    </x:row>
    <x:row r="82" ht="18" customHeight="1">
      <x:c r="A82" s="46" t="str">
        <x:v>LME_007</x:v>
      </x:c>
      <x:c r="B82" s="46" t="str">
        <x:v>Northeast U.S. Continental Shelf</x:v>
      </x:c>
      <x:c r="C82" s="46" t="str">
        <x:v>LME</x:v>
      </x:c>
      <x:c r="D82" s="58" t="n">
        <x:v>2019</x:v>
      </x:c>
      <x:c r="E82" s="46" t="str">
        <x:v>Miscellaneous marine crustaceans</x:v>
      </x:c>
      <x:c r="F82" s="46" t="str">
        <x:v>Marine crabs, shrimps, lobsters nei</x:v>
      </x:c>
      <x:c r="G82" s="46" t="str">
        <x:v>Shrimps</x:v>
      </x:c>
      <x:c r="H82" s="46" t="str">
        <x:v>Crustaceans</x:v>
      </x:c>
      <x:c r="I82" s="60" t="n">
        <x:v>197.5503566905</x:v>
      </x:c>
      <x:c r="J82" s="60" t="n">
        <x:v>0</x:v>
      </x:c>
      <x:c r="K82" s="60" t="n">
        <x:v>197.5503566905</x:v>
      </x:c>
      <x:c r="L82" s="60" t="n">
        <x:v>0</x:v>
      </x:c>
      <x:c r="M82" s="60" t="n">
        <x:v>197.5503566905</x:v>
      </x:c>
      <x:c r="N82" s="46" t="str">
        <x:v>miscellaneous marine crustaceans</x:v>
      </x:c>
      <x:c r="O82" s="62" t="n">
        <x:v>2.7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Miscellaneous marine crustaceans</x:v>
      </x:c>
      <x:c r="T82" s="62" t="n">
        <x:f>IF(O82="","",(1/'Metadata'!$B$5)^(O82-1))</x:f>
        <x:v>162.83621261476185</x:v>
      </x:c>
      <x:c r="U82" s="60" t="n">
        <x:f>IF(T82="","",I82*T82)</x:f>
        <x:v>32168.3518841763</x:v>
      </x:c>
    </x:row>
    <x:row r="83" ht="18" customHeight="1">
      <x:c r="A83" s="46" t="str">
        <x:v>LME_007</x:v>
      </x:c>
      <x:c r="B83" s="46" t="str">
        <x:v>Northeast U.S. Continental Shelf</x:v>
      </x:c>
      <x:c r="C83" s="46" t="str">
        <x:v>LME</x:v>
      </x:c>
      <x:c r="D83" s="58" t="n">
        <x:v>2019</x:v>
      </x:c>
      <x:c r="E83" s="46" t="str">
        <x:v>Sciaenops ocellatus</x:v>
      </x:c>
      <x:c r="F83" s="46" t="str">
        <x:v>Red drum</x:v>
      </x:c>
      <x:c r="G83" s="46" t="str">
        <x:v>Large demersals (&gt;=90 cm)</x:v>
      </x:c>
      <x:c r="H83" s="46" t="str">
        <x:v>Perch-likes</x:v>
      </x:c>
      <x:c r="I83" s="60" t="n">
        <x:v>197.4858519376</x:v>
      </x:c>
      <x:c r="J83" s="60" t="n">
        <x:v>165.7168440657</x:v>
      </x:c>
      <x:c r="K83" s="60" t="n">
        <x:v>31.7690078719</x:v>
      </x:c>
      <x:c r="L83" s="60" t="n">
        <x:v>0.9014357514000001</x:v>
      </x:c>
      <x:c r="M83" s="60" t="n">
        <x:v>196.5844161862</x:v>
      </x:c>
      <x:c r="N83" s="46" t="str">
        <x:v>sciaenops ocellatus</x:v>
      </x:c>
      <x:c r="O83" s="62" t="n">
        <x:v>4.07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Sciaenops ocellatus</x:v>
      </x:c>
      <x:c r="T83" s="62" t="n">
        <x:f>IF(O83="","",(1/'Metadata'!$B$5)^(O83-1))</x:f>
        <x:v>9866.476519743796</x:v>
      </x:c>
      <x:c r="U83" s="60" t="n">
        <x:f>IF(T83="","",I83*T83)</x:f>
        <x:v>1948489.52112393</x:v>
      </x:c>
    </x:row>
    <x:row r="84" ht="18" customHeight="1">
      <x:c r="A84" s="46" t="str">
        <x:v>LME_007</x:v>
      </x:c>
      <x:c r="B84" s="46" t="str">
        <x:v>Northeast U.S. Continental Shelf</x:v>
      </x:c>
      <x:c r="C84" s="46" t="str">
        <x:v>LME</x:v>
      </x:c>
      <x:c r="D84" s="58" t="n">
        <x:v>2019</x:v>
      </x:c>
      <x:c r="E84" s="46" t="str">
        <x:v>Brachyura</x:v>
      </x:c>
      <x:c r="F84" s="46" t="str">
        <x:v>Marine crabs</x:v>
      </x:c>
      <x:c r="G84" s="46" t="str">
        <x:v>Lobsters, crabs</x:v>
      </x:c>
      <x:c r="H84" s="46" t="str">
        <x:v>Crustaceans</x:v>
      </x:c>
      <x:c r="I84" s="60" t="n">
        <x:v>197.2348217517</x:v>
      </x:c>
      <x:c r="J84" s="60" t="n">
        <x:v>120.7993123234</x:v>
      </x:c>
      <x:c r="K84" s="60" t="n">
        <x:v>76.4355094283</x:v>
      </x:c>
      <x:c r="L84" s="60" t="n">
        <x:v>9.9356258453</x:v>
      </x:c>
      <x:c r="M84" s="60" t="n">
        <x:v>187.2991959064</x:v>
      </x:c>
      <x:c r="N84" s="46" t="str">
        <x:v>brachyura</x:v>
      </x:c>
      <x:c r="O84" s="62" t="n">
        <x:v>2.6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Brachyura</x:v>
      </x:c>
      <x:c r="T84" s="62" t="n">
        <x:f>IF(O84="","",(1/'Metadata'!$B$5)^(O84-1))</x:f>
        <x:v>120.6835267309033</x:v>
      </x:c>
      <x:c r="U84" s="60" t="n">
        <x:f>IF(T84="","",I84*T84)</x:f>
        <x:v>23802.993883136234</x:v>
      </x:c>
    </x:row>
    <x:row r="85" ht="18" customHeight="1">
      <x:c r="A85" s="46" t="str">
        <x:v>LME_007</x:v>
      </x:c>
      <x:c r="B85" s="46" t="str">
        <x:v>Northeast U.S. Continental Shelf</x:v>
      </x:c>
      <x:c r="C85" s="46" t="str">
        <x:v>LME</x:v>
      </x:c>
      <x:c r="D85" s="58" t="n">
        <x:v>2019</x:v>
      </x:c>
      <x:c r="E85" s="46" t="str">
        <x:v>Busycon</x:v>
      </x:c>
      <x:c r="F85" s="46" t="str">
        <x:v>Whelks</x:v>
      </x:c>
      <x:c r="G85" s="46" t="str">
        <x:v>Other demersal invertebrates</x:v>
      </x:c>
      <x:c r="H85" s="46" t="str">
        <x:v>Molluscs</x:v>
      </x:c>
      <x:c r="I85" s="60" t="n">
        <x:v>190.8785346786</x:v>
      </x:c>
      <x:c r="J85" s="60" t="n">
        <x:v>190.8785346786</x:v>
      </x:c>
      <x:c r="K85" s="60" t="n">
        <x:v>0</x:v>
      </x:c>
      <x:c r="L85" s="60" t="n">
        <x:v>0</x:v>
      </x:c>
      <x:c r="M85" s="60" t="n">
        <x:v>190.8785346786</x:v>
      </x:c>
      <x:c r="N85" s="46" t="str">
        <x:v>busycon</x:v>
      </x:c>
      <x:c r="O85" s="62" t="n">
        <x:v>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Busycon</x:v>
      </x:c>
      <x:c r="T85" s="62" t="n">
        <x:f>IF(O85="","",(1/'Metadata'!$B$5)^(O85-1))</x:f>
        <x:v>400</x:v>
      </x:c>
      <x:c r="U85" s="60" t="n">
        <x:f>IF(T85="","",I85*T85)</x:f>
        <x:v>76351.41387144</x:v>
      </x:c>
    </x:row>
    <x:row r="86" ht="18" customHeight="1">
      <x:c r="A86" s="46" t="str">
        <x:v>LME_007</x:v>
      </x:c>
      <x:c r="B86" s="46" t="str">
        <x:v>Northeast U.S. Continental Shelf</x:v>
      </x:c>
      <x:c r="C86" s="46" t="str">
        <x:v>LME</x:v>
      </x:c>
      <x:c r="D86" s="58" t="n">
        <x:v>2019</x:v>
      </x:c>
      <x:c r="E86" s="46" t="str">
        <x:v>Busycon carica</x:v>
      </x:c>
      <x:c r="F86" s="46" t="str">
        <x:v>Knobbed whelk</x:v>
      </x:c>
      <x:c r="G86" s="46" t="str">
        <x:v>Other demersal invertebrates</x:v>
      </x:c>
      <x:c r="H86" s="46" t="str">
        <x:v>Molluscs</x:v>
      </x:c>
      <x:c r="I86" s="60" t="n">
        <x:v>189.5082100233</x:v>
      </x:c>
      <x:c r="J86" s="60" t="n">
        <x:v>189.5082100233</x:v>
      </x:c>
      <x:c r="K86" s="60" t="n">
        <x:v>0</x:v>
      </x:c>
      <x:c r="L86" s="60" t="n">
        <x:v>189.5082100233</x:v>
      </x:c>
      <x:c r="M86" s="60" t="n">
        <x:v>0</x:v>
      </x:c>
      <x:c r="N86" s="46" t="str">
        <x:v>busycon carica</x:v>
      </x:c>
      <x:c r="O86" s="62" t="n">
        <x:v>3.23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Busycon carica</x:v>
      </x:c>
      <x:c r="T86" s="62" t="n">
        <x:f>IF(O86="","",(1/'Metadata'!$B$5)^(O86-1))</x:f>
        <x:v>796.7038031673321</x:v>
      </x:c>
      <x:c r="U86" s="60" t="n">
        <x:f>IF(T86="","",I86*T86)</x:f>
        <x:v>150981.91165699664</x:v>
      </x:c>
    </x:row>
    <x:row r="87" ht="18" customHeight="1">
      <x:c r="A87" s="46" t="str">
        <x:v>LME_007</x:v>
      </x:c>
      <x:c r="B87" s="46" t="str">
        <x:v>Northeast U.S. Continental Shelf</x:v>
      </x:c>
      <x:c r="C87" s="46" t="str">
        <x:v>LME</x:v>
      </x:c>
      <x:c r="D87" s="58" t="n">
        <x:v>2019</x:v>
      </x:c>
      <x:c r="E87" s="46" t="str">
        <x:v>Thunnus atlanticus</x:v>
      </x:c>
      <x:c r="F87" s="46" t="str">
        <x:v>Blackfin tuna</x:v>
      </x:c>
      <x:c r="G87" s="46" t="str">
        <x:v>Large pelagics (&gt;=90 cm)</x:v>
      </x:c>
      <x:c r="H87" s="46" t="str">
        <x:v>Tuna &amp; billfishes</x:v>
      </x:c>
      <x:c r="I87" s="60" t="n">
        <x:v>189.3930101762</x:v>
      </x:c>
      <x:c r="J87" s="60" t="n">
        <x:v>189.3930101762</x:v>
      </x:c>
      <x:c r="K87" s="60" t="n">
        <x:v>0</x:v>
      </x:c>
      <x:c r="L87" s="60" t="n">
        <x:v>173.0497942399</x:v>
      </x:c>
      <x:c r="M87" s="60" t="n">
        <x:v>16.3432159363</x:v>
      </x:c>
      <x:c r="N87" s="46" t="str">
        <x:v>thunnus atlanticus</x:v>
      </x:c>
      <x:c r="O87" s="62" t="n">
        <x:v>4.35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Thunnus atlanticus</x:v>
      </x:c>
      <x:c r="T87" s="62" t="n">
        <x:f>IF(O87="","",(1/'Metadata'!$B$5)^(O87-1))</x:f>
        <x:v>22827.086550132422</x:v>
      </x:c>
      <x:c r="U87" s="60" t="n">
        <x:f>IF(T87="","",I87*T87)</x:f>
        <x:v>4323290.635282228</x:v>
      </x:c>
    </x:row>
    <x:row r="88" ht="18" customHeight="1">
      <x:c r="A88" s="46" t="str">
        <x:v>LME_007</x:v>
      </x:c>
      <x:c r="B88" s="46" t="str">
        <x:v>Northeast U.S. Continental Shelf</x:v>
      </x:c>
      <x:c r="C88" s="46" t="str">
        <x:v>LME</x:v>
      </x:c>
      <x:c r="D88" s="58" t="n">
        <x:v>2019</x:v>
      </x:c>
      <x:c r="E88" s="46" t="str">
        <x:v>Brosme brosme</x:v>
      </x:c>
      <x:c r="F88" s="46" t="str">
        <x:v>Tusk</x:v>
      </x:c>
      <x:c r="G88" s="46" t="str">
        <x:v>Large demersals (&gt;=90 cm)</x:v>
      </x:c>
      <x:c r="H88" s="46" t="str">
        <x:v>Cod-likes</x:v>
      </x:c>
      <x:c r="I88" s="60" t="n">
        <x:v>180.28673193050003</x:v>
      </x:c>
      <x:c r="J88" s="60" t="n">
        <x:v>180.28673193050003</x:v>
      </x:c>
      <x:c r="K88" s="60" t="n">
        <x:v>0</x:v>
      </x:c>
      <x:c r="L88" s="60" t="n">
        <x:v>92.6516359668</x:v>
      </x:c>
      <x:c r="M88" s="60" t="n">
        <x:v>87.6350959637</x:v>
      </x:c>
      <x:c r="N88" s="46" t="str">
        <x:v>brosme brosme</x:v>
      </x:c>
      <x:c r="O88" s="62" t="n">
        <x:v>3.9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Brosme brosme</x:v>
      </x:c>
      <x:c r="T88" s="62" t="n">
        <x:f>IF(O88="","",(1/'Metadata'!$B$5)^(O88-1))</x:f>
        <x:v>5929.07559285558</x:v>
      </x:c>
      <x:c r="U88" s="60" t="n">
        <x:f>IF(T88="","",I88*T88)</x:f>
        <x:v>1068933.6620048245</x:v>
      </x:c>
    </x:row>
    <x:row r="89" ht="18" customHeight="1">
      <x:c r="A89" s="46" t="str">
        <x:v>LME_007</x:v>
      </x:c>
      <x:c r="B89" s="46" t="str">
        <x:v>Northeast U.S. Continental Shelf</x:v>
      </x:c>
      <x:c r="C89" s="46" t="str">
        <x:v>LME</x:v>
      </x:c>
      <x:c r="D89" s="58" t="n">
        <x:v>2019</x:v>
      </x:c>
      <x:c r="E89" s="46" t="str">
        <x:v>Sarda sarda</x:v>
      </x:c>
      <x:c r="F89" s="46" t="str">
        <x:v>Atlantic bonito</x:v>
      </x:c>
      <x:c r="G89" s="46" t="str">
        <x:v>Medium pelagics (30 - 89 cm)</x:v>
      </x:c>
      <x:c r="H89" s="46" t="str">
        <x:v>Tuna &amp; billfishes</x:v>
      </x:c>
      <x:c r="I89" s="60" t="n">
        <x:v>178.2378693116</x:v>
      </x:c>
      <x:c r="J89" s="60" t="n">
        <x:v>178.2378693116</x:v>
      </x:c>
      <x:c r="K89" s="60" t="n">
        <x:v>0</x:v>
      </x:c>
      <x:c r="L89" s="60" t="n">
        <x:v>40.0934107841</x:v>
      </x:c>
      <x:c r="M89" s="60" t="n">
        <x:v>138.1444585275</x:v>
      </x:c>
      <x:c r="N89" s="46" t="str">
        <x:v>sarda sarda</x:v>
      </x:c>
      <x:c r="O89" s="62" t="n">
        <x:v>4.5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Sarda sarda</x:v>
      </x:c>
      <x:c r="T89" s="62" t="n">
        <x:f>IF(O89="","",(1/'Metadata'!$B$5)^(O89-1))</x:f>
        <x:v>35777.08763999664</x:v>
      </x:c>
      <x:c r="U89" s="60" t="n">
        <x:f>IF(T89="","",I89*T89)</x:f>
        <x:v>6376831.87112738</x:v>
      </x:c>
    </x:row>
    <x:row r="90" ht="18" customHeight="1">
      <x:c r="A90" s="46" t="str">
        <x:v>LME_007</x:v>
      </x:c>
      <x:c r="B90" s="46" t="str">
        <x:v>Northeast U.S. Continental Shelf</x:v>
      </x:c>
      <x:c r="C90" s="46" t="str">
        <x:v>LME</x:v>
      </x:c>
      <x:c r="D90" s="58" t="n">
        <x:v>2019</x:v>
      </x:c>
      <x:c r="E90" s="46" t="str">
        <x:v>Sphoeroides maculatus</x:v>
      </x:c>
      <x:c r="F90" s="46" t="str">
        <x:v>Northern puffer</x:v>
      </x:c>
      <x:c r="G90" s="46" t="str">
        <x:v>Medium demersals (30 - 89 cm)</x:v>
      </x:c>
      <x:c r="H90" s="46" t="str">
        <x:v>Other fishes &amp; inverts</x:v>
      </x:c>
      <x:c r="I90" s="60" t="n">
        <x:v>172.6472355135</x:v>
      </x:c>
      <x:c r="J90" s="60" t="n">
        <x:v>172.6472355135</x:v>
      </x:c>
      <x:c r="K90" s="60" t="n">
        <x:v>0</x:v>
      </x:c>
      <x:c r="L90" s="60" t="n">
        <x:v>32.268312731</x:v>
      </x:c>
      <x:c r="M90" s="60" t="n">
        <x:v>140.37892278249998</x:v>
      </x:c>
      <x:c r="N90" s="46" t="str">
        <x:v>sphoeroides maculatus</x:v>
      </x:c>
      <x:c r="O90" s="62" t="n">
        <x:v>4.04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Sphoeroides maculatus</x:v>
      </x:c>
      <x:c r="T90" s="62" t="n">
        <x:f>IF(O90="","",(1/'Metadata'!$B$5)^(O90-1))</x:f>
        <x:v>9018.435152653688</x:v>
      </x:c>
      <x:c r="U90" s="60" t="n">
        <x:f>IF(T90="","",I90*T90)</x:f>
        <x:v>1557007.8977634285</x:v>
      </x:c>
    </x:row>
    <x:row r="91" ht="18" customHeight="1">
      <x:c r="A91" s="46" t="str">
        <x:v>LME_007</x:v>
      </x:c>
      <x:c r="B91" s="46" t="str">
        <x:v>Northeast U.S. Continental Shelf</x:v>
      </x:c>
      <x:c r="C91" s="46" t="str">
        <x:v>LME</x:v>
      </x:c>
      <x:c r="D91" s="58" t="n">
        <x:v>2019</x:v>
      </x:c>
      <x:c r="E91" s="46" t="str">
        <x:v>Balistes capriscus</x:v>
      </x:c>
      <x:c r="F91" s="46" t="str">
        <x:v>Grey triggerfish</x:v>
      </x:c>
      <x:c r="G91" s="46" t="str">
        <x:v>Medium benthopelagics (30 - 89 cm)</x:v>
      </x:c>
      <x:c r="H91" s="46" t="str">
        <x:v>Other fishes &amp; inverts</x:v>
      </x:c>
      <x:c r="I91" s="60" t="n">
        <x:v>161.2204599396</x:v>
      </x:c>
      <x:c r="J91" s="60" t="n">
        <x:v>160.0060369412</x:v>
      </x:c>
      <x:c r="K91" s="60" t="n">
        <x:v>1.2144229984</x:v>
      </x:c>
      <x:c r="L91" s="60" t="n">
        <x:v>0.087001337</x:v>
      </x:c>
      <x:c r="M91" s="60" t="n">
        <x:v>161.1334586026</x:v>
      </x:c>
      <x:c r="N91" s="46" t="str">
        <x:v>balistes capriscus</x:v>
      </x:c>
      <x:c r="O91" s="62" t="n">
        <x:v>4.06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Balistes capriscus</x:v>
      </x:c>
      <x:c r="T91" s="62" t="n">
        <x:f>IF(O91="","",(1/'Metadata'!$B$5)^(O91-1))</x:f>
        <x:v>9575.286708769883</x:v>
      </x:c>
      <x:c r="U91" s="60" t="n">
        <x:f>IF(T91="","",I91*T91)</x:f>
        <x:v>1543732.1272414194</x:v>
      </x:c>
    </x:row>
    <x:row r="92" ht="18" customHeight="1">
      <x:c r="A92" s="46" t="str">
        <x:v>LME_007</x:v>
      </x:c>
      <x:c r="B92" s="46" t="str">
        <x:v>Northeast U.S. Continental Shelf</x:v>
      </x:c>
      <x:c r="C92" s="46" t="str">
        <x:v>LME</x:v>
      </x:c>
      <x:c r="D92" s="58" t="n">
        <x:v>2019</x:v>
      </x:c>
      <x:c r="E92" s="46" t="str">
        <x:v>Squalus</x:v>
      </x:c>
      <x:c r="F92" s="46" t="str">
        <x:v>Dogfishes</x:v>
      </x:c>
      <x:c r="G92" s="46" t="str">
        <x:v>Large sharks (&gt;=90 cm)</x:v>
      </x:c>
      <x:c r="H92" s="46" t="str">
        <x:v>Sharks &amp; rays</x:v>
      </x:c>
      <x:c r="I92" s="60" t="n">
        <x:v>159.2192665254</x:v>
      </x:c>
      <x:c r="J92" s="60" t="n">
        <x:v>78.3618731538</x:v>
      </x:c>
      <x:c r="K92" s="60" t="n">
        <x:v>80.8573933716</x:v>
      </x:c>
      <x:c r="L92" s="60" t="n">
        <x:v>0</x:v>
      </x:c>
      <x:c r="M92" s="60" t="n">
        <x:v>159.2192665254</x:v>
      </x:c>
      <x:c r="N92" s="46" t="str">
        <x:v>squalus</x:v>
      </x:c>
      <x:c r="O92" s="62" t="n">
        <x:v>4.23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Squalus</x:v>
      </x:c>
      <x:c r="T92" s="62" t="n">
        <x:f>IF(O92="","",(1/'Metadata'!$B$5)^(O92-1))</x:f>
        <x:v>15934.076063346663</x:v>
      </x:c>
      <x:c r="U92" s="60" t="n">
        <x:f>IF(T92="","",I92*T92)</x:f>
        <x:v>2537011.903565989</x:v>
      </x:c>
    </x:row>
    <x:row r="93" ht="18" customHeight="1">
      <x:c r="A93" s="46" t="str">
        <x:v>LME_007</x:v>
      </x:c>
      <x:c r="B93" s="46" t="str">
        <x:v>Northeast U.S. Continental Shelf</x:v>
      </x:c>
      <x:c r="C93" s="46" t="str">
        <x:v>LME</x:v>
      </x:c>
      <x:c r="D93" s="58" t="n">
        <x:v>2019</x:v>
      </x:c>
      <x:c r="E93" s="46" t="str">
        <x:v>Argopecten irradians</x:v>
      </x:c>
      <x:c r="F93" s="46" t="str">
        <x:v>Atlantic bay scallop</x:v>
      </x:c>
      <x:c r="G93" s="46" t="str">
        <x:v>Other demersal invertebrates</x:v>
      </x:c>
      <x:c r="H93" s="46" t="str">
        <x:v>Molluscs</x:v>
      </x:c>
      <x:c r="I93" s="60" t="n">
        <x:v>141.8347178376</x:v>
      </x:c>
      <x:c r="J93" s="60" t="n">
        <x:v>78.6988939459</x:v>
      </x:c>
      <x:c r="K93" s="60" t="n">
        <x:v>63.1358238917</x:v>
      </x:c>
      <x:c r="L93" s="60" t="n">
        <x:v>47.3359023585</x:v>
      </x:c>
      <x:c r="M93" s="60" t="n">
        <x:v>94.4988154791</x:v>
      </x:c>
      <x:c r="N93" s="46" t="str">
        <x:v>argopecten irradians</x:v>
      </x:c>
      <x:c r="O93" s="62" t="n">
        <x:v>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Argopecten irradians</x:v>
      </x:c>
      <x:c r="T93" s="62" t="n">
        <x:f>IF(O93="","",(1/'Metadata'!$B$5)^(O93-1))</x:f>
        <x:v>20</x:v>
      </x:c>
      <x:c r="U93" s="60" t="n">
        <x:f>IF(T93="","",I93*T93)</x:f>
        <x:v>2836.694356752</x:v>
      </x:c>
    </x:row>
    <x:row r="94" ht="18" customHeight="1">
      <x:c r="A94" s="46" t="str">
        <x:v>LME_007</x:v>
      </x:c>
      <x:c r="B94" s="46" t="str">
        <x:v>Northeast U.S. Continental Shelf</x:v>
      </x:c>
      <x:c r="C94" s="46" t="str">
        <x:v>LME</x:v>
      </x:c>
      <x:c r="D94" s="58" t="n">
        <x:v>2019</x:v>
      </x:c>
      <x:c r="E94" s="46" t="str">
        <x:v>Scombroidei</x:v>
      </x:c>
      <x:c r="F94" s="46" t="str">
        <x:v>Tunas, bonitos, billfishes</x:v>
      </x:c>
      <x:c r="G94" s="46" t="str">
        <x:v>Large pelagics (&gt;=90 cm)</x:v>
      </x:c>
      <x:c r="H94" s="46" t="str">
        <x:v>Tuna &amp; billfishes</x:v>
      </x:c>
      <x:c r="I94" s="60" t="n">
        <x:v>141.4245036026</x:v>
      </x:c>
      <x:c r="J94" s="60" t="n">
        <x:v>141.4245036026</x:v>
      </x:c>
      <x:c r="K94" s="60" t="n">
        <x:v>0</x:v>
      </x:c>
      <x:c r="L94" s="60" t="n">
        <x:v>141.4245004656</x:v>
      </x:c>
      <x:c r="M94" s="60" t="n">
        <x:v>0.000003137</x:v>
      </x:c>
      <x:c r="N94" s="46" t="str">
        <x:v>scombroidei</x:v>
      </x:c>
      <x:c r="O94" s="62" t="n">
        <x:v>4.2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Scombroidei</x:v>
      </x:c>
      <x:c r="T94" s="62" t="n">
        <x:f>IF(O94="","",(1/'Metadata'!$B$5)^(O94-1))</x:f>
        <x:v>14564.51362420865</x:v>
      </x:c>
      <x:c r="U94" s="60" t="n">
        <x:f>IF(T94="","",I94*T94)</x:f>
        <x:v>2059779.109517013</x:v>
      </x:c>
    </x:row>
    <x:row r="95" ht="18" customHeight="1">
      <x:c r="A95" s="46" t="str">
        <x:v>LME_007</x:v>
      </x:c>
      <x:c r="B95" s="46" t="str">
        <x:v>Northeast U.S. Continental Shelf</x:v>
      </x:c>
      <x:c r="C95" s="46" t="str">
        <x:v>LME</x:v>
      </x:c>
      <x:c r="D95" s="58" t="n">
        <x:v>2019</x:v>
      </x:c>
      <x:c r="E95" s="46" t="str">
        <x:v>Scomberomorus</x:v>
      </x:c>
      <x:c r="F95" s="46" t="str">
        <x:v>Spanish mackerels</x:v>
      </x:c>
      <x:c r="G95" s="46" t="str">
        <x:v>Large pelagics (&gt;=90 cm)</x:v>
      </x:c>
      <x:c r="H95" s="46" t="str">
        <x:v>Perch-likes</x:v>
      </x:c>
      <x:c r="I95" s="60" t="n">
        <x:v>140.3435521734</x:v>
      </x:c>
      <x:c r="J95" s="60" t="n">
        <x:v>140.3435521734</x:v>
      </x:c>
      <x:c r="K95" s="60" t="n">
        <x:v>0</x:v>
      </x:c>
      <x:c r="L95" s="60" t="n">
        <x:v>0</x:v>
      </x:c>
      <x:c r="M95" s="60" t="n">
        <x:v>140.3435521734</x:v>
      </x:c>
      <x:c r="N95" s="46" t="str">
        <x:v>scomberomorus</x:v>
      </x:c>
      <x:c r="O95" s="62" t="n">
        <x:v>4.35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Scomberomorus</x:v>
      </x:c>
      <x:c r="T95" s="62" t="n">
        <x:f>IF(O95="","",(1/'Metadata'!$B$5)^(O95-1))</x:f>
        <x:v>22827.086550132422</x:v>
      </x:c>
      <x:c r="U95" s="60" t="n">
        <x:f>IF(T95="","",I95*T95)</x:f>
        <x:v>3203634.4122152273</x:v>
      </x:c>
    </x:row>
    <x:row r="96" ht="18" customHeight="1">
      <x:c r="A96" s="46" t="str">
        <x:v>LME_007</x:v>
      </x:c>
      <x:c r="B96" s="46" t="str">
        <x:v>Northeast U.S. Continental Shelf</x:v>
      </x:c>
      <x:c r="C96" s="46" t="str">
        <x:v>LME</x:v>
      </x:c>
      <x:c r="D96" s="58" t="n">
        <x:v>2019</x:v>
      </x:c>
      <x:c r="E96" s="46" t="str">
        <x:v>Ensis directus</x:v>
      </x:c>
      <x:c r="F96" s="46" t="str">
        <x:v>Atlantic razor clam</x:v>
      </x:c>
      <x:c r="G96" s="46" t="str">
        <x:v>Other demersal invertebrates</x:v>
      </x:c>
      <x:c r="H96" s="46" t="str">
        <x:v>Molluscs</x:v>
      </x:c>
      <x:c r="I96" s="60" t="n">
        <x:v>113.46785188049999</x:v>
      </x:c>
      <x:c r="J96" s="60" t="n">
        <x:v>113.4465827505</x:v>
      </x:c>
      <x:c r="K96" s="60" t="n">
        <x:v>0.02126913</x:v>
      </x:c>
      <x:c r="L96" s="60" t="n">
        <x:v>85.7588571973</x:v>
      </x:c>
      <x:c r="M96" s="60" t="n">
        <x:v>27.7089946832</x:v>
      </x:c>
      <x:c r="N96" s="46" t="str">
        <x:v>ensis directus</x:v>
      </x:c>
      <x:c r="O96" s="62" t="n">
        <x:v>2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Ensis directus</x:v>
      </x:c>
      <x:c r="T96" s="62" t="n">
        <x:f>IF(O96="","",(1/'Metadata'!$B$5)^(O96-1))</x:f>
        <x:v>20</x:v>
      </x:c>
      <x:c r="U96" s="60" t="n">
        <x:f>IF(T96="","",I96*T96)</x:f>
        <x:v>2269.3570376099997</x:v>
      </x:c>
    </x:row>
    <x:row r="97" ht="18" customHeight="1">
      <x:c r="A97" s="46" t="str">
        <x:v>LME_007</x:v>
      </x:c>
      <x:c r="B97" s="46" t="str">
        <x:v>Northeast U.S. Continental Shelf</x:v>
      </x:c>
      <x:c r="C97" s="46" t="str">
        <x:v>LME</x:v>
      </x:c>
      <x:c r="D97" s="58" t="n">
        <x:v>2019</x:v>
      </x:c>
      <x:c r="E97" s="46" t="str">
        <x:v>Thunnus alalunga</x:v>
      </x:c>
      <x:c r="F97" s="46" t="str">
        <x:v>Albacore</x:v>
      </x:c>
      <x:c r="G97" s="46" t="str">
        <x:v>Large pelagics (&gt;=90 cm)</x:v>
      </x:c>
      <x:c r="H97" s="46" t="str">
        <x:v>Tuna &amp; billfishes</x:v>
      </x:c>
      <x:c r="I97" s="60" t="n">
        <x:v>107.24598601139999</x:v>
      </x:c>
      <x:c r="J97" s="60" t="n">
        <x:v>107.24598601139999</x:v>
      </x:c>
      <x:c r="K97" s="60" t="n">
        <x:v>0</x:v>
      </x:c>
      <x:c r="L97" s="60" t="n">
        <x:v>88.28420704739999</x:v>
      </x:c>
      <x:c r="M97" s="60" t="n">
        <x:v>18.961778964</x:v>
      </x:c>
      <x:c r="N97" s="46" t="str">
        <x:v>thunnus alalunga</x:v>
      </x:c>
      <x:c r="O97" s="62" t="n">
        <x:v>4.3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Thunnus alalunga</x:v>
      </x:c>
      <x:c r="T97" s="62" t="n">
        <x:f>IF(O97="","",(1/'Metadata'!$B$5)^(O97-1))</x:f>
        <x:v>19651.648417852637</x:v>
      </x:c>
      <x:c r="U97" s="60" t="n">
        <x:f>IF(T97="","",I97*T97)</x:f>
        <x:v>2107560.411321975</x:v>
      </x:c>
    </x:row>
    <x:row r="98" ht="18" customHeight="1">
      <x:c r="A98" s="46" t="str">
        <x:v>LME_007</x:v>
      </x:c>
      <x:c r="B98" s="46" t="str">
        <x:v>Northeast U.S. Continental Shelf</x:v>
      </x:c>
      <x:c r="C98" s="46" t="str">
        <x:v>LME</x:v>
      </x:c>
      <x:c r="D98" s="58" t="n">
        <x:v>2019</x:v>
      </x:c>
      <x:c r="E98" s="46" t="str">
        <x:v>Chionoecetes</x:v>
      </x:c>
      <x:c r="F98" s="46" t="str">
        <x:v>Tanner, snow crabs</x:v>
      </x:c>
      <x:c r="G98" s="46" t="str">
        <x:v>Lobsters, crabs</x:v>
      </x:c>
      <x:c r="H98" s="46" t="str">
        <x:v>Crustaceans</x:v>
      </x:c>
      <x:c r="I98" s="60" t="n">
        <x:v>98.61904569170001</x:v>
      </x:c>
      <x:c r="J98" s="60" t="n">
        <x:v>0</x:v>
      </x:c>
      <x:c r="K98" s="60" t="n">
        <x:v>98.61904569170001</x:v>
      </x:c>
      <x:c r="L98" s="60" t="n">
        <x:v>0</x:v>
      </x:c>
      <x:c r="M98" s="60" t="n">
        <x:v>98.61904569170001</x:v>
      </x:c>
      <x:c r="N98" s="46" t="str">
        <x:v>chionoecetes</x:v>
      </x:c>
      <x:c r="O98" s="62" t="n">
        <x:v>2.3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Chionoecetes</x:v>
      </x:c>
      <x:c r="T98" s="62" t="n">
        <x:f>IF(O98="","",(1/'Metadata'!$B$5)^(O98-1))</x:f>
        <x:v>49.12912104463159</x:v>
      </x:c>
      <x:c r="U98" s="60" t="n">
        <x:f>IF(T98="","",I98*T98)</x:f>
        <x:v>4845.067033093583</x:v>
      </x:c>
    </x:row>
    <x:row r="99" ht="18" customHeight="1">
      <x:c r="A99" s="46" t="str">
        <x:v>LME_007</x:v>
      </x:c>
      <x:c r="B99" s="46" t="str">
        <x:v>Northeast U.S. Continental Shelf</x:v>
      </x:c>
      <x:c r="C99" s="46" t="str">
        <x:v>LME</x:v>
      </x:c>
      <x:c r="D99" s="58" t="n">
        <x:v>2019</x:v>
      </x:c>
      <x:c r="E99" s="46" t="str">
        <x:v>Littorinidae</x:v>
      </x:c>
      <x:c r="F99" s="46" t="str">
        <x:v>Littorinidae</x:v>
      </x:c>
      <x:c r="G99" s="46" t="str">
        <x:v>Other demersal invertebrates</x:v>
      </x:c>
      <x:c r="H99" s="46" t="str">
        <x:v>Molluscs</x:v>
      </x:c>
      <x:c r="I99" s="60" t="n">
        <x:v>92.0978848971</x:v>
      </x:c>
      <x:c r="J99" s="60" t="n">
        <x:v>92.0978848971</x:v>
      </x:c>
      <x:c r="K99" s="60" t="n">
        <x:v>0</x:v>
      </x:c>
      <x:c r="L99" s="60" t="n">
        <x:v>92.0978848971</x:v>
      </x:c>
      <x:c r="M99" s="60" t="n">
        <x:v>0</x:v>
      </x:c>
      <x:c r="N99" s="46" t="str">
        <x:v>littorinidae</x:v>
      </x:c>
      <x:c r="O99" s="62" t="n">
        <x:v>3.14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Littorinidae</x:v>
      </x:c>
      <x:c r="T99" s="62" t="n">
        <x:f>IF(O99="","",(1/'Metadata'!$B$5)^(O99-1))</x:f>
        <x:v>608.420993216597</x:v>
      </x:c>
      <x:c r="U99" s="60" t="n">
        <x:f>IF(T99="","",I99*T99)</x:f>
        <x:v>56034.28660224142</x:v>
      </x:c>
    </x:row>
    <x:row r="100" ht="18" customHeight="1">
      <x:c r="A100" s="46" t="str">
        <x:v>LME_007</x:v>
      </x:c>
      <x:c r="B100" s="46" t="str">
        <x:v>Northeast U.S. Continental Shelf</x:v>
      </x:c>
      <x:c r="C100" s="46" t="str">
        <x:v>LME</x:v>
      </x:c>
      <x:c r="D100" s="58" t="n">
        <x:v>2019</x:v>
      </x:c>
      <x:c r="E100" s="46" t="str">
        <x:v>Chaetodipterus faber</x:v>
      </x:c>
      <x:c r="F100" s="46" t="str">
        <x:v>Atlantic spadefish</x:v>
      </x:c>
      <x:c r="G100" s="46" t="str">
        <x:v>Medium demersals (30 - 89 cm)</x:v>
      </x:c>
      <x:c r="H100" s="46" t="str">
        <x:v>Perch-likes</x:v>
      </x:c>
      <x:c r="I100" s="60" t="n">
        <x:v>90.5477559781</x:v>
      </x:c>
      <x:c r="J100" s="60" t="n">
        <x:v>90.5477559781</x:v>
      </x:c>
      <x:c r="K100" s="60" t="n">
        <x:v>0</x:v>
      </x:c>
      <x:c r="L100" s="60" t="n">
        <x:v>0</x:v>
      </x:c>
      <x:c r="M100" s="60" t="n">
        <x:v>90.5477559781</x:v>
      </x:c>
      <x:c r="N100" s="46" t="str">
        <x:v>chaetodipterus faber</x:v>
      </x:c>
      <x:c r="O100" s="62" t="n">
        <x:v>4.5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Chaetodipterus faber</x:v>
      </x:c>
      <x:c r="T100" s="62" t="n">
        <x:f>IF(O100="","",(1/'Metadata'!$B$5)^(O100-1))</x:f>
        <x:v>35777.08763999664</x:v>
      </x:c>
      <x:c r="U100" s="60" t="n">
        <x:f>IF(T100="","",I100*T100)</x:f>
        <x:v>3239535.001233513</x:v>
      </x:c>
    </x:row>
    <x:row r="101" ht="18" customHeight="1">
      <x:c r="A101" s="46" t="str">
        <x:v>LME_007</x:v>
      </x:c>
      <x:c r="B101" s="46" t="str">
        <x:v>Northeast U.S. Continental Shelf</x:v>
      </x:c>
      <x:c r="C101" s="46" t="str">
        <x:v>LME</x:v>
      </x:c>
      <x:c r="D101" s="58" t="n">
        <x:v>2019</x:v>
      </x:c>
      <x:c r="E101" s="46" t="str">
        <x:v>Zoarces americanus</x:v>
      </x:c>
      <x:c r="F101" s="46" t="str">
        <x:v>Ocean pout</x:v>
      </x:c>
      <x:c r="G101" s="46" t="str">
        <x:v>Large demersals (&gt;=90 cm)</x:v>
      </x:c>
      <x:c r="H101" s="46" t="str">
        <x:v>Perch-likes</x:v>
      </x:c>
      <x:c r="I101" s="60" t="n">
        <x:v>88.4281107664</x:v>
      </x:c>
      <x:c r="J101" s="60" t="n">
        <x:v>0.3791934657</x:v>
      </x:c>
      <x:c r="K101" s="60" t="n">
        <x:v>88.0489173007</x:v>
      </x:c>
      <x:c r="L101" s="60" t="n">
        <x:v>0</x:v>
      </x:c>
      <x:c r="M101" s="60" t="n">
        <x:v>88.4281107664</x:v>
      </x:c>
      <x:c r="N101" s="46" t="str">
        <x:v>zoarces americanus</x:v>
      </x:c>
      <x:c r="O101" s="62" t="n">
        <x:v>4.24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Zoarces americanus</x:v>
      </x:c>
      <x:c r="T101" s="62" t="n">
        <x:f>IF(O101="","",(1/'Metadata'!$B$5)^(O101-1))</x:f>
        <x:v>16418.64020623336</x:v>
      </x:c>
      <x:c r="U101" s="60" t="n">
        <x:f>IF(T101="","",I101*T101)</x:f>
        <x:v>1451869.334790472</x:v>
      </x:c>
    </x:row>
    <x:row r="102" ht="18" customHeight="1">
      <x:c r="A102" s="46" t="str">
        <x:v>LME_007</x:v>
      </x:c>
      <x:c r="B102" s="46" t="str">
        <x:v>Northeast U.S. Continental Shelf</x:v>
      </x:c>
      <x:c r="C102" s="46" t="str">
        <x:v>LME</x:v>
      </x:c>
      <x:c r="D102" s="58" t="n">
        <x:v>2019</x:v>
      </x:c>
      <x:c r="E102" s="46" t="str">
        <x:v>Malacanthidae</x:v>
      </x:c>
      <x:c r="F102" s="46" t="str">
        <x:v>Tilefishes</x:v>
      </x:c>
      <x:c r="G102" s="46" t="str">
        <x:v>Medium demersals (30 - 89 cm)</x:v>
      </x:c>
      <x:c r="H102" s="46" t="str">
        <x:v>Perch-likes</x:v>
      </x:c>
      <x:c r="I102" s="60" t="n">
        <x:v>82.54280274140001</x:v>
      </x:c>
      <x:c r="J102" s="60" t="n">
        <x:v>82.54280274140001</x:v>
      </x:c>
      <x:c r="K102" s="60" t="n">
        <x:v>0</x:v>
      </x:c>
      <x:c r="L102" s="60" t="n">
        <x:v>11.016105299300001</x:v>
      </x:c>
      <x:c r="M102" s="60" t="n">
        <x:v>71.5266974421</x:v>
      </x:c>
      <x:c r="N102" s="46" t="str">
        <x:v>malacanthidae</x:v>
      </x:c>
      <x:c r="O102" s="62" t="n">
        <x:v>3.62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Malacanthidae</x:v>
      </x:c>
      <x:c r="T102" s="62" t="n">
        <x:f>IF(O102="","",(1/'Metadata'!$B$5)^(O102-1))</x:f>
        <x:v>2562.7048371775754</x:v>
      </x:c>
      <x:c r="U102" s="60" t="n">
        <x:f>IF(T102="","",I102*T102)</x:f>
        <x:v>211532.83985958024</x:v>
      </x:c>
    </x:row>
    <x:row r="103" ht="18" customHeight="1">
      <x:c r="A103" s="46" t="str">
        <x:v>LME_007</x:v>
      </x:c>
      <x:c r="B103" s="46" t="str">
        <x:v>Northeast U.S. Continental Shelf</x:v>
      </x:c>
      <x:c r="C103" s="46" t="str">
        <x:v>LME</x:v>
      </x:c>
      <x:c r="D103" s="58" t="n">
        <x:v>2019</x:v>
      </x:c>
      <x:c r="E103" s="46" t="str">
        <x:v>Cyprinus carpio</x:v>
      </x:c>
      <x:c r="F103" s="46" t="str">
        <x:v>Common carp</x:v>
      </x:c>
      <x:c r="G103" s="46" t="str">
        <x:v>Large benthopelagics (&gt;=90 cm)</x:v>
      </x:c>
      <x:c r="H103" s="46" t="str">
        <x:v>Other fishes &amp; inverts</x:v>
      </x:c>
      <x:c r="I103" s="60" t="n">
        <x:v>79.7477821764</x:v>
      </x:c>
      <x:c r="J103" s="60" t="n">
        <x:v>79.7477821764</x:v>
      </x:c>
      <x:c r="K103" s="60" t="n">
        <x:v>0</x:v>
      </x:c>
      <x:c r="L103" s="60" t="n">
        <x:v>11.5150177092</x:v>
      </x:c>
      <x:c r="M103" s="60" t="n">
        <x:v>68.2327644672</x:v>
      </x:c>
      <x:c r="N103" s="46" t="str">
        <x:v>cyprinus carpio</x:v>
      </x:c>
      <x:c r="O103" s="62" t="n">
        <x:v>3.06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Cyprinus carpio</x:v>
      </x:c>
      <x:c r="T103" s="62" t="n">
        <x:f>IF(O103="","",(1/'Metadata'!$B$5)^(O103-1))</x:f>
        <x:v>478.7643354384948</x:v>
      </x:c>
      <x:c r="U103" s="60" t="n">
        <x:f>IF(T103="","",I103*T103)</x:f>
        <x:v>38180.39393637799</x:v>
      </x:c>
    </x:row>
    <x:row r="104" ht="18" customHeight="1">
      <x:c r="A104" s="46" t="str">
        <x:v>LME_007</x:v>
      </x:c>
      <x:c r="B104" s="46" t="str">
        <x:v>Northeast U.S. Continental Shelf</x:v>
      </x:c>
      <x:c r="C104" s="46" t="str">
        <x:v>LME</x:v>
      </x:c>
      <x:c r="D104" s="58" t="n">
        <x:v>2019</x:v>
      </x:c>
      <x:c r="E104" s="46" t="str">
        <x:v>Cynoscion</x:v>
      </x:c>
      <x:c r="F104" s="46" t="str">
        <x:v>Weakfishes</x:v>
      </x:c>
      <x:c r="G104" s="46" t="str">
        <x:v>Medium demersals (30 - 89 cm)</x:v>
      </x:c>
      <x:c r="H104" s="46" t="str">
        <x:v>Perch-likes</x:v>
      </x:c>
      <x:c r="I104" s="60" t="n">
        <x:v>78.7465276975</x:v>
      </x:c>
      <x:c r="J104" s="60" t="n">
        <x:v>78.7465276975</x:v>
      </x:c>
      <x:c r="K104" s="60" t="n">
        <x:v>0</x:v>
      </x:c>
      <x:c r="L104" s="60" t="n">
        <x:v>0</x:v>
      </x:c>
      <x:c r="M104" s="60" t="n">
        <x:v>78.7465276975</x:v>
      </x:c>
      <x:c r="N104" s="46" t="str">
        <x:v>cynoscion</x:v>
      </x:c>
      <x:c r="O104" s="62" t="n">
        <x:v>4.21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Cynoscion</x:v>
      </x:c>
      <x:c r="T104" s="62" t="n">
        <x:f>IF(O104="","",(1/'Metadata'!$B$5)^(O104-1))</x:f>
        <x:v>15007.428609226863</x:v>
      </x:c>
      <x:c r="U104" s="60" t="n">
        <x:f>IF(T104="","",I104*T104)</x:f>
        <x:v>1181782.8926447371</x:v>
      </x:c>
    </x:row>
    <x:row r="105" ht="18" customHeight="1">
      <x:c r="A105" s="46" t="str">
        <x:v>LME_007</x:v>
      </x:c>
      <x:c r="B105" s="46" t="str">
        <x:v>Northeast U.S. Continental Shelf</x:v>
      </x:c>
      <x:c r="C105" s="46" t="str">
        <x:v>LME</x:v>
      </x:c>
      <x:c r="D105" s="58" t="n">
        <x:v>2019</x:v>
      </x:c>
      <x:c r="E105" s="46" t="str">
        <x:v>Archosargus probatocephalus</x:v>
      </x:c>
      <x:c r="F105" s="46" t="str">
        <x:v>Sheepshead</x:v>
      </x:c>
      <x:c r="G105" s="46" t="str">
        <x:v>Medium demersals (30 - 89 cm)</x:v>
      </x:c>
      <x:c r="H105" s="46" t="str">
        <x:v>Perch-likes</x:v>
      </x:c>
      <x:c r="I105" s="60" t="n">
        <x:v>74.4580962663</x:v>
      </x:c>
      <x:c r="J105" s="60" t="n">
        <x:v>74.2768209549</x:v>
      </x:c>
      <x:c r="K105" s="60" t="n">
        <x:v>0.1812753114</x:v>
      </x:c>
      <x:c r="L105" s="60" t="n">
        <x:v>0.662043057</x:v>
      </x:c>
      <x:c r="M105" s="60" t="n">
        <x:v>73.7960532093</x:v>
      </x:c>
      <x:c r="N105" s="46" t="str">
        <x:v>archosargus probatocephalus</x:v>
      </x:c>
      <x:c r="O105" s="62" t="n">
        <x:v>3.53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Archosargus probatocephalus</x:v>
      </x:c>
      <x:c r="T105" s="62" t="n">
        <x:f>IF(O105="","",(1/'Metadata'!$B$5)^(O105-1))</x:f>
        <x:v>1957.0678791263101</x:v>
      </x:c>
      <x:c r="U105" s="60" t="n">
        <x:f>IF(T105="","",I105*T105)</x:f>
        <x:v>145719.5485436704</x:v>
      </x:c>
    </x:row>
    <x:row r="106" ht="18" customHeight="1">
      <x:c r="A106" s="46" t="str">
        <x:v>LME_007</x:v>
      </x:c>
      <x:c r="B106" s="46" t="str">
        <x:v>Northeast U.S. Continental Shelf</x:v>
      </x:c>
      <x:c r="C106" s="46" t="str">
        <x:v>LME</x:v>
      </x:c>
      <x:c r="D106" s="58" t="n">
        <x:v>2019</x:v>
      </x:c>
      <x:c r="E106" s="46" t="str">
        <x:v>Myxinidae</x:v>
      </x:c>
      <x:c r="F106" s="46" t="str">
        <x:v>Hagfishes</x:v>
      </x:c>
      <x:c r="G106" s="46" t="str">
        <x:v>Medium bathydemersals (30 - 89 cm)</x:v>
      </x:c>
      <x:c r="H106" s="46" t="str">
        <x:v>Other fishes &amp; inverts</x:v>
      </x:c>
      <x:c r="I106" s="60" t="n">
        <x:v>74.3173309948</x:v>
      </x:c>
      <x:c r="J106" s="60" t="n">
        <x:v>60.3959713959</x:v>
      </x:c>
      <x:c r="K106" s="60" t="n">
        <x:v>13.9213595989</x:v>
      </x:c>
      <x:c r="L106" s="60" t="n">
        <x:v>0</x:v>
      </x:c>
      <x:c r="M106" s="60" t="n">
        <x:v>74.3173309948</x:v>
      </x:c>
      <x:c r="N106" s="46" t="str">
        <x:v>myxinidae</x:v>
      </x:c>
      <x:c r="O106" s="62" t="n">
        <x:v>3.45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Myxinidae</x:v>
      </x:c>
      <x:c r="T106" s="62" t="n">
        <x:f>IF(O106="","",(1/'Metadata'!$B$5)^(O106-1))</x:f>
        <x:v>1540.009817222681</x:v>
      </x:c>
      <x:c r="U106" s="60" t="n">
        <x:f>IF(T106="","",I106*T106)</x:f>
        <x:v>114449.41932177944</x:v>
      </x:c>
    </x:row>
    <x:row r="107" ht="18" customHeight="1">
      <x:c r="A107" s="46" t="str">
        <x:v>LME_007</x:v>
      </x:c>
      <x:c r="B107" s="46" t="str">
        <x:v>Northeast U.S. Continental Shelf</x:v>
      </x:c>
      <x:c r="C107" s="46" t="str">
        <x:v>LME</x:v>
      </x:c>
      <x:c r="D107" s="58" t="n">
        <x:v>2019</x:v>
      </x:c>
      <x:c r="E107" s="46" t="str">
        <x:v>Cyclopterus lumpus</x:v>
      </x:c>
      <x:c r="F107" s="46" t="str">
        <x:v>Lumpfish</x:v>
      </x:c>
      <x:c r="G107" s="46" t="str">
        <x:v>Medium benthopelagics (30 - 89 cm)</x:v>
      </x:c>
      <x:c r="H107" s="46" t="str">
        <x:v>Scorpionfishes</x:v>
      </x:c>
      <x:c r="I107" s="60" t="n">
        <x:v>74.225025722</x:v>
      </x:c>
      <x:c r="J107" s="60" t="n">
        <x:v>0.0041977853</x:v>
      </x:c>
      <x:c r="K107" s="60" t="n">
        <x:v>74.2208279367</x:v>
      </x:c>
      <x:c r="L107" s="60" t="n">
        <x:v>0</x:v>
      </x:c>
      <x:c r="M107" s="60" t="n">
        <x:v>74.225025722</x:v>
      </x:c>
      <x:c r="N107" s="46" t="str">
        <x:v>cyclopterus lumpus</x:v>
      </x:c>
      <x:c r="O107" s="62" t="n">
        <x:v>3.89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Cyclopterus lumpus</x:v>
      </x:c>
      <x:c r="T107" s="62" t="n">
        <x:f>IF(O107="","",(1/'Metadata'!$B$5)^(O107-1))</x:f>
        <x:v>5754.090490759748</x:v>
      </x:c>
      <x:c r="U107" s="60" t="n">
        <x:f>IF(T107="","",I107*T107)</x:f>
        <x:v>427097.51468335785</x:v>
      </x:c>
    </x:row>
    <x:row r="108" ht="18" customHeight="1">
      <x:c r="A108" s="46" t="str">
        <x:v>LME_007</x:v>
      </x:c>
      <x:c r="B108" s="46" t="str">
        <x:v>Northeast U.S. Continental Shelf</x:v>
      </x:c>
      <x:c r="C108" s="46" t="str">
        <x:v>LME</x:v>
      </x:c>
      <x:c r="D108" s="58" t="n">
        <x:v>2019</x:v>
      </x:c>
      <x:c r="E108" s="46" t="str">
        <x:v>Xiphiidae</x:v>
      </x:c>
      <x:c r="F108" s="46" t="str">
        <x:v>Swordfishes</x:v>
      </x:c>
      <x:c r="G108" s="46" t="str">
        <x:v>Large pelagics (&gt;=90 cm)</x:v>
      </x:c>
      <x:c r="H108" s="46" t="str">
        <x:v>Tuna &amp; billfishes</x:v>
      </x:c>
      <x:c r="I108" s="60" t="n">
        <x:v>74.1838470703</x:v>
      </x:c>
      <x:c r="J108" s="60" t="n">
        <x:v>74.1838470703</x:v>
      </x:c>
      <x:c r="K108" s="60" t="n">
        <x:v>0</x:v>
      </x:c>
      <x:c r="L108" s="60" t="n">
        <x:v>0</x:v>
      </x:c>
      <x:c r="M108" s="60" t="n">
        <x:v>74.1838470703</x:v>
      </x:c>
      <x:c r="N108" s="46" t="str">
        <x:v>xiphiidae</x:v>
      </x:c>
      <x:c r="O108" s="62" t="n">
        <x:v>4.5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Xiphiidae</x:v>
      </x:c>
      <x:c r="T108" s="62" t="n">
        <x:f>IF(O108="","",(1/'Metadata'!$B$5)^(O108-1))</x:f>
        <x:v>35777.08763999664</x:v>
      </x:c>
      <x:c r="U108" s="60" t="n">
        <x:f>IF(T108="","",I108*T108)</x:f>
        <x:v>2654081.998106231</x:v>
      </x:c>
    </x:row>
    <x:row r="109" ht="18" customHeight="1">
      <x:c r="A109" s="46" t="str">
        <x:v>LME_007</x:v>
      </x:c>
      <x:c r="B109" s="46" t="str">
        <x:v>Northeast U.S. Continental Shelf</x:v>
      </x:c>
      <x:c r="C109" s="46" t="str">
        <x:v>LME</x:v>
      </x:c>
      <x:c r="D109" s="58" t="n">
        <x:v>2019</x:v>
      </x:c>
      <x:c r="E109" s="46" t="str">
        <x:v>Lycodes</x:v>
      </x:c>
      <x:c r="F109" s="46" t="str">
        <x:v>Eelpouts</x:v>
      </x:c>
      <x:c r="G109" s="46" t="str">
        <x:v>Medium bathydemersals (30 - 89 cm)</x:v>
      </x:c>
      <x:c r="H109" s="46" t="str">
        <x:v>Perch-likes</x:v>
      </x:c>
      <x:c r="I109" s="60" t="n">
        <x:v>65.9475660324</x:v>
      </x:c>
      <x:c r="J109" s="60" t="n">
        <x:v>0</x:v>
      </x:c>
      <x:c r="K109" s="60" t="n">
        <x:v>65.9475660324</x:v>
      </x:c>
      <x:c r="L109" s="60" t="n">
        <x:v>0</x:v>
      </x:c>
      <x:c r="M109" s="60" t="n">
        <x:v>65.9475660324</x:v>
      </x:c>
      <x:c r="N109" s="46" t="str">
        <x:v>lycodes</x:v>
      </x:c>
      <x:c r="O109" s="62" t="n">
        <x:v>3.3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Lycodes</x:v>
      </x:c>
      <x:c r="T109" s="62" t="n">
        <x:f>IF(O109="","",(1/'Metadata'!$B$5)^(O109-1))</x:f>
        <x:v>982.5824208926318</x:v>
      </x:c>
      <x:c r="U109" s="60" t="n">
        <x:f>IF(T109="","",I109*T109)</x:f>
        <x:v>64798.91908409229</x:v>
      </x:c>
    </x:row>
    <x:row r="110" ht="18" customHeight="1">
      <x:c r="A110" s="46" t="str">
        <x:v>LME_007</x:v>
      </x:c>
      <x:c r="B110" s="46" t="str">
        <x:v>Northeast U.S. Continental Shelf</x:v>
      </x:c>
      <x:c r="C110" s="46" t="str">
        <x:v>LME</x:v>
      </x:c>
      <x:c r="D110" s="58" t="n">
        <x:v>2019</x:v>
      </x:c>
      <x:c r="E110" s="46" t="str">
        <x:v>Cynoscion nebulosus</x:v>
      </x:c>
      <x:c r="F110" s="46" t="str">
        <x:v>Spotted weakfish</x:v>
      </x:c>
      <x:c r="G110" s="46" t="str">
        <x:v>Medium demersals (30 - 89 cm)</x:v>
      </x:c>
      <x:c r="H110" s="46" t="str">
        <x:v>Perch-likes</x:v>
      </x:c>
      <x:c r="I110" s="60" t="n">
        <x:v>54.844035189500005</x:v>
      </x:c>
      <x:c r="J110" s="60" t="n">
        <x:v>54.844035189500005</x:v>
      </x:c>
      <x:c r="K110" s="60" t="n">
        <x:v>0</x:v>
      </x:c>
      <x:c r="L110" s="60" t="n">
        <x:v>54.0951251735</x:v>
      </x:c>
      <x:c r="M110" s="60" t="n">
        <x:v>0.748910016</x:v>
      </x:c>
      <x:c r="N110" s="46" t="str">
        <x:v>cynoscion nebulosus</x:v>
      </x:c>
      <x:c r="O110" s="62" t="n">
        <x:v>3.98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Cynoscion nebulosus</x:v>
      </x:c>
      <x:c r="T110" s="62" t="n">
        <x:f>IF(O110="","",(1/'Metadata'!$B$5)^(O110-1))</x:f>
        <x:v>7534.759367064222</x:v>
      </x:c>
      <x:c r="U110" s="60" t="n">
        <x:f>IF(T110="","",I110*T110)</x:f>
        <x:v>413236.60787168494</x:v>
      </x:c>
    </x:row>
    <x:row r="111" ht="18" customHeight="1">
      <x:c r="A111" s="46" t="str">
        <x:v>LME_007</x:v>
      </x:c>
      <x:c r="B111" s="46" t="str">
        <x:v>Northeast U.S. Continental Shelf</x:v>
      </x:c>
      <x:c r="C111" s="46" t="str">
        <x:v>LME</x:v>
      </x:c>
      <x:c r="D111" s="58" t="n">
        <x:v>2019</x:v>
      </x:c>
      <x:c r="E111" s="46" t="str">
        <x:v>Osmeridae</x:v>
      </x:c>
      <x:c r="F111" s="46" t="str">
        <x:v>Smelts</x:v>
      </x:c>
      <x:c r="G111" s="46" t="str">
        <x:v>Small pelagics (&lt;30 cm)</x:v>
      </x:c>
      <x:c r="H111" s="46" t="str">
        <x:v>Salmon, smelts, etc</x:v>
      </x:c>
      <x:c r="I111" s="60" t="n">
        <x:v>54.5559443648</x:v>
      </x:c>
      <x:c r="J111" s="60" t="n">
        <x:v>54.5559443648</x:v>
      </x:c>
      <x:c r="K111" s="60" t="n">
        <x:v>0</x:v>
      </x:c>
      <x:c r="L111" s="60" t="n">
        <x:v>0</x:v>
      </x:c>
      <x:c r="M111" s="60" t="n">
        <x:v>54.5559443648</x:v>
      </x:c>
      <x:c r="N111" s="46" t="str">
        <x:v>osmeridae</x:v>
      </x:c>
      <x:c r="O111" s="62" t="n">
        <x:v>3.46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Osmeridae</x:v>
      </x:c>
      <x:c r="T111" s="62" t="n">
        <x:f>IF(O111="","",(1/'Metadata'!$B$5)^(O111-1))</x:f>
        <x:v>1586.8423749532276</x:v>
      </x:c>
      <x:c r="U111" s="60" t="n">
        <x:f>IF(T111="","",I111*T111)</x:f>
        <x:v>86571.68432365538</x:v>
      </x:c>
    </x:row>
    <x:row r="112" ht="18" customHeight="1">
      <x:c r="A112" s="46" t="str">
        <x:v>LME_007</x:v>
      </x:c>
      <x:c r="B112" s="46" t="str">
        <x:v>Northeast U.S. Continental Shelf</x:v>
      </x:c>
      <x:c r="C112" s="46" t="str">
        <x:v>LME</x:v>
      </x:c>
      <x:c r="D112" s="58" t="n">
        <x:v>2019</x:v>
      </x:c>
      <x:c r="E112" s="46" t="str">
        <x:v>Rachycentridae</x:v>
      </x:c>
      <x:c r="F112" s="46" t="str">
        <x:v>Cobias</x:v>
      </x:c>
      <x:c r="G112" s="46" t="str">
        <x:v>Large pelagics (&gt;=90 cm)</x:v>
      </x:c>
      <x:c r="H112" s="46" t="str">
        <x:v>Perch-likes</x:v>
      </x:c>
      <x:c r="I112" s="60" t="n">
        <x:v>53.9871177208</x:v>
      </x:c>
      <x:c r="J112" s="60" t="n">
        <x:v>5.250129132400001</x:v>
      </x:c>
      <x:c r="K112" s="60" t="n">
        <x:v>48.7369885884</x:v>
      </x:c>
      <x:c r="L112" s="60" t="n">
        <x:v>0</x:v>
      </x:c>
      <x:c r="M112" s="60" t="n">
        <x:v>53.9871177208</x:v>
      </x:c>
      <x:c r="N112" s="46" t="str">
        <x:v>rachycentridae</x:v>
      </x:c>
      <x:c r="O112" s="62" t="n">
        <x:v>3.96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Rachycentridae</x:v>
      </x:c>
      <x:c r="T112" s="62" t="n">
        <x:f>IF(O112="","",(1/'Metadata'!$B$5)^(O112-1))</x:f>
        <x:v>7096.574839945253</x:v>
      </x:c>
      <x:c r="U112" s="60" t="n">
        <x:f>IF(T112="","",I112*T112)</x:f>
        <x:v>383123.6212985918</x:v>
      </x:c>
    </x:row>
    <x:row r="113" ht="18" customHeight="1">
      <x:c r="A113" s="46" t="str">
        <x:v>LME_007</x:v>
      </x:c>
      <x:c r="B113" s="46" t="str">
        <x:v>Northeast U.S. Continental Shelf</x:v>
      </x:c>
      <x:c r="C113" s="46" t="str">
        <x:v>LME</x:v>
      </x:c>
      <x:c r="D113" s="58" t="n">
        <x:v>2019</x:v>
      </x:c>
      <x:c r="E113" s="46" t="str">
        <x:v>Salmo salar</x:v>
      </x:c>
      <x:c r="F113" s="46" t="str">
        <x:v>Atlantic salmon</x:v>
      </x:c>
      <x:c r="G113" s="46" t="str">
        <x:v>Large benthopelagics (&gt;=90 cm)</x:v>
      </x:c>
      <x:c r="H113" s="46" t="str">
        <x:v>Salmon, smelts, etc</x:v>
      </x:c>
      <x:c r="I113" s="60" t="n">
        <x:v>53.277399735</x:v>
      </x:c>
      <x:c r="J113" s="60" t="n">
        <x:v>53.277399735</x:v>
      </x:c>
      <x:c r="K113" s="60" t="n">
        <x:v>0</x:v>
      </x:c>
      <x:c r="L113" s="60" t="n">
        <x:v>0</x:v>
      </x:c>
      <x:c r="M113" s="60" t="n">
        <x:v>53.277399735</x:v>
      </x:c>
      <x:c r="N113" s="46" t="str">
        <x:v>salmo salar</x:v>
      </x:c>
      <x:c r="O113" s="62" t="n">
        <x:v>4.5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Salmo salar</x:v>
      </x:c>
      <x:c r="T113" s="62" t="n">
        <x:f>IF(O113="","",(1/'Metadata'!$B$5)^(O113-1))</x:f>
        <x:v>35777.08763999664</x:v>
      </x:c>
      <x:c r="U113" s="60" t="n">
        <x:f>IF(T113="","",I113*T113)</x:f>
        <x:v>1906110.1995502287</x:v>
      </x:c>
    </x:row>
    <x:row r="114" ht="18" customHeight="1">
      <x:c r="A114" s="46" t="str">
        <x:v>LME_007</x:v>
      </x:c>
      <x:c r="B114" s="46" t="str">
        <x:v>Northeast U.S. Continental Shelf</x:v>
      </x:c>
      <x:c r="C114" s="46" t="str">
        <x:v>LME</x:v>
      </x:c>
      <x:c r="D114" s="58" t="n">
        <x:v>2019</x:v>
      </x:c>
      <x:c r="E114" s="46" t="str">
        <x:v>Menticirrhus saxatilis</x:v>
      </x:c>
      <x:c r="F114" s="46" t="str">
        <x:v>Northern kingfish</x:v>
      </x:c>
      <x:c r="G114" s="46" t="str">
        <x:v>Medium demersals (30 - 89 cm)</x:v>
      </x:c>
      <x:c r="H114" s="46" t="str">
        <x:v>Perch-likes</x:v>
      </x:c>
      <x:c r="I114" s="60" t="n">
        <x:v>53.2735195463</x:v>
      </x:c>
      <x:c r="J114" s="60" t="n">
        <x:v>53.2735195463</x:v>
      </x:c>
      <x:c r="K114" s="60" t="n">
        <x:v>0</x:v>
      </x:c>
      <x:c r="L114" s="60" t="n">
        <x:v>0.2891362484</x:v>
      </x:c>
      <x:c r="M114" s="60" t="n">
        <x:v>52.9843832979</x:v>
      </x:c>
      <x:c r="N114" s="46" t="str">
        <x:v>menticirrhus saxatilis</x:v>
      </x:c>
      <x:c r="O114" s="62" t="n">
        <x:v>3.56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Menticirrhus saxatilis</x:v>
      </x:c>
      <x:c r="T114" s="62" t="n">
        <x:f>IF(O114="","",(1/'Metadata'!$B$5)^(O114-1))</x:f>
        <x:v>2141.099198485972</x:v>
      </x:c>
      <x:c r="U114" s="60" t="n">
        <x:f>IF(T114="","",I114*T114)</x:f>
        <x:v>114063.8900011097</x:v>
      </x:c>
    </x:row>
    <x:row r="115" ht="18" customHeight="1">
      <x:c r="A115" s="46" t="str">
        <x:v>LME_007</x:v>
      </x:c>
      <x:c r="B115" s="46" t="str">
        <x:v>Northeast U.S. Continental Shelf</x:v>
      </x:c>
      <x:c r="C115" s="46" t="str">
        <x:v>LME</x:v>
      </x:c>
      <x:c r="D115" s="58" t="n">
        <x:v>2019</x:v>
      </x:c>
      <x:c r="E115" s="46" t="str">
        <x:v>Pleuronectidae</x:v>
      </x:c>
      <x:c r="F115" s="46" t="str">
        <x:v>Righteye flounders</x:v>
      </x:c>
      <x:c r="G115" s="46" t="str">
        <x:v>Small to medium flatfishes (&lt;90 cm)</x:v>
      </x:c>
      <x:c r="H115" s="46" t="str">
        <x:v>Flatfishes</x:v>
      </x:c>
      <x:c r="I115" s="60" t="n">
        <x:v>51.4957394405</x:v>
      </x:c>
      <x:c r="J115" s="60" t="n">
        <x:v>51.4957394405</x:v>
      </x:c>
      <x:c r="K115" s="60" t="n">
        <x:v>0</x:v>
      </x:c>
      <x:c r="L115" s="60" t="n">
        <x:v>0</x:v>
      </x:c>
      <x:c r="M115" s="60" t="n">
        <x:v>51.4957394405</x:v>
      </x:c>
      <x:c r="N115" s="46" t="str">
        <x:v>pleuronectidae</x:v>
      </x:c>
      <x:c r="O115" s="62" t="n">
        <x:v>3.49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Pleuronectidae</x:v>
      </x:c>
      <x:c r="T115" s="62" t="n">
        <x:f>IF(O115="","",(1/'Metadata'!$B$5)^(O115-1))</x:f>
        <x:v>1736.059833884101</x:v>
      </x:c>
      <x:c r="U115" s="60" t="n">
        <x:f>IF(T115="","",I115*T115)</x:f>
        <x:v>89399.68485881339</x:v>
      </x:c>
    </x:row>
    <x:row r="116" ht="18" customHeight="1">
      <x:c r="A116" s="46" t="str">
        <x:v>LME_007</x:v>
      </x:c>
      <x:c r="B116" s="46" t="str">
        <x:v>Northeast U.S. Continental Shelf</x:v>
      </x:c>
      <x:c r="C116" s="46" t="str">
        <x:v>LME</x:v>
      </x:c>
      <x:c r="D116" s="58" t="n">
        <x:v>2019</x:v>
      </x:c>
      <x:c r="E116" s="46" t="str">
        <x:v>Zenopsis conchifer</x:v>
      </x:c>
      <x:c r="F116" s="46" t="str">
        <x:v>Silvery John dory</x:v>
      </x:c>
      <x:c r="G116" s="46" t="str">
        <x:v>Medium benthopelagics (30 - 89 cm)</x:v>
      </x:c>
      <x:c r="H116" s="46" t="str">
        <x:v>Other fishes &amp; inverts</x:v>
      </x:c>
      <x:c r="I116" s="60" t="n">
        <x:v>51.2576051239</x:v>
      </x:c>
      <x:c r="J116" s="60" t="n">
        <x:v>51.2576051239</x:v>
      </x:c>
      <x:c r="K116" s="60" t="n">
        <x:v>0</x:v>
      </x:c>
      <x:c r="L116" s="60" t="n">
        <x:v>39.841146588</x:v>
      </x:c>
      <x:c r="M116" s="60" t="n">
        <x:v>11.416458535899999</x:v>
      </x:c>
      <x:c r="N116" s="46" t="str">
        <x:v>zenopsis conchifer</x:v>
      </x:c>
      <x:c r="O116" s="62" t="n">
        <x:v>4.5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Zenopsis conchifer</x:v>
      </x:c>
      <x:c r="T116" s="62" t="n">
        <x:f>IF(O116="","",(1/'Metadata'!$B$5)^(O116-1))</x:f>
        <x:v>35777.08763999664</x:v>
      </x:c>
      <x:c r="U116" s="60" t="n">
        <x:f>IF(T116="","",I116*T116)</x:f>
        <x:v>1833847.830734111</x:v>
      </x:c>
    </x:row>
    <x:row r="117" ht="18" customHeight="1">
      <x:c r="A117" s="46" t="str">
        <x:v>LME_007</x:v>
      </x:c>
      <x:c r="B117" s="46" t="str">
        <x:v>Northeast U.S. Continental Shelf</x:v>
      </x:c>
      <x:c r="C117" s="46" t="str">
        <x:v>LME</x:v>
      </x:c>
      <x:c r="D117" s="58" t="n">
        <x:v>2019</x:v>
      </x:c>
      <x:c r="E117" s="46" t="str">
        <x:v>Carcinus maenas</x:v>
      </x:c>
      <x:c r="F117" s="46" t="str">
        <x:v>Green crab</x:v>
      </x:c>
      <x:c r="G117" s="46" t="str">
        <x:v>Lobsters, crabs</x:v>
      </x:c>
      <x:c r="H117" s="46" t="str">
        <x:v>Crustaceans</x:v>
      </x:c>
      <x:c r="I117" s="60" t="n">
        <x:v>49.45549250089999</x:v>
      </x:c>
      <x:c r="J117" s="60" t="n">
        <x:v>49.45549250089999</x:v>
      </x:c>
      <x:c r="K117" s="60" t="n">
        <x:v>0</x:v>
      </x:c>
      <x:c r="L117" s="60" t="n">
        <x:v>45.988255549</x:v>
      </x:c>
      <x:c r="M117" s="60" t="n">
        <x:v>3.4672369519</x:v>
      </x:c>
      <x:c r="N117" s="46" t="str">
        <x:v>carcinus maenas</x:v>
      </x:c>
      <x:c r="O117" s="62" t="n">
        <x:v>3.5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Carcinus maenas</x:v>
      </x:c>
      <x:c r="T117" s="62" t="n">
        <x:f>IF(O117="","",(1/'Metadata'!$B$5)^(O117-1))</x:f>
        <x:v>1788.8543819998317</x:v>
      </x:c>
      <x:c r="U117" s="60" t="n">
        <x:f>IF(T117="","",I117*T117)</x:f>
        <x:v>88468.67447419478</x:v>
      </x:c>
    </x:row>
    <x:row r="118" ht="18" customHeight="1">
      <x:c r="A118" s="46" t="str">
        <x:v>LME_007</x:v>
      </x:c>
      <x:c r="B118" s="46" t="str">
        <x:v>Northeast U.S. Continental Shelf</x:v>
      </x:c>
      <x:c r="C118" s="46" t="str">
        <x:v>LME</x:v>
      </x:c>
      <x:c r="D118" s="58" t="n">
        <x:v>2019</x:v>
      </x:c>
      <x:c r="E118" s="46" t="str">
        <x:v>Acipenser oxyrinchus</x:v>
      </x:c>
      <x:c r="F118" s="46" t="str">
        <x:v>Atlantic sturgeon</x:v>
      </x:c>
      <x:c r="G118" s="46" t="str">
        <x:v>Large demersals (&gt;=90 cm)</x:v>
      </x:c>
      <x:c r="H118" s="46" t="str">
        <x:v>Other fishes &amp; inverts</x:v>
      </x:c>
      <x:c r="I118" s="60" t="n">
        <x:v>48.0736402198</x:v>
      </x:c>
      <x:c r="J118" s="60" t="n">
        <x:v>48.0736402198</x:v>
      </x:c>
      <x:c r="K118" s="60" t="n">
        <x:v>0</x:v>
      </x:c>
      <x:c r="L118" s="60" t="n">
        <x:v>0</x:v>
      </x:c>
      <x:c r="M118" s="60" t="n">
        <x:v>48.0736402198</x:v>
      </x:c>
      <x:c r="N118" s="46" t="str">
        <x:v>acipenser oxyrinchus</x:v>
      </x:c>
      <x:c r="O118" s="62" t="n">
        <x:v>3.325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Acipenser oxyrinchus</x:v>
      </x:c>
      <x:c r="T118" s="62" t="n">
        <x:f>IF(O118="","",(1/'Metadata'!$B$5)^(O118-1))</x:f>
        <x:v>1058.9970246500886</x:v>
      </x:c>
      <x:c r="U118" s="60" t="n">
        <x:f>IF(T118="","",I118*T118)</x:f>
        <x:v>50909.84195686703</x:v>
      </x:c>
    </x:row>
    <x:row r="119" ht="18" customHeight="1">
      <x:c r="A119" s="46" t="str">
        <x:v>LME_007</x:v>
      </x:c>
      <x:c r="B119" s="46" t="str">
        <x:v>Northeast U.S. Continental Shelf</x:v>
      </x:c>
      <x:c r="C119" s="46" t="str">
        <x:v>LME</x:v>
      </x:c>
      <x:c r="D119" s="58" t="n">
        <x:v>2019</x:v>
      </x:c>
      <x:c r="E119" s="46" t="str">
        <x:v>Ammodytidae</x:v>
      </x:c>
      <x:c r="F119" s="46" t="str">
        <x:v>Sand lances</x:v>
      </x:c>
      <x:c r="G119" s="46" t="str">
        <x:v>Large reef assoc. fish (&gt;=90 cm)</x:v>
      </x:c>
      <x:c r="H119" s="46" t="str">
        <x:v>Perch-likes</x:v>
      </x:c>
      <x:c r="I119" s="60" t="n">
        <x:v>47.2569315226</x:v>
      </x:c>
      <x:c r="J119" s="60" t="n">
        <x:v>0.20246917020000002</x:v>
      </x:c>
      <x:c r="K119" s="60" t="n">
        <x:v>47.0544623524</x:v>
      </x:c>
      <x:c r="L119" s="60" t="n">
        <x:v>0</x:v>
      </x:c>
      <x:c r="M119" s="60" t="n">
        <x:v>47.2569315226</x:v>
      </x:c>
      <x:c r="N119" s="46" t="str">
        <x:v>ammodytidae</x:v>
      </x:c>
      <x:c r="O119" s="62" t="n">
        <x:v>3.11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Ammodytidae</x:v>
      </x:c>
      <x:c r="T119" s="62" t="n">
        <x:f>IF(O119="","",(1/'Metadata'!$B$5)^(O119-1))</x:f>
        <x:v>556.1261167405597</x:v>
      </x:c>
      <x:c r="U119" s="60" t="n">
        <x:f>IF(T119="","",I119*T119)</x:f>
        <x:v>26280.813816738082</x:v>
      </x:c>
    </x:row>
    <x:row r="120" ht="18" customHeight="1">
      <x:c r="A120" s="46" t="str">
        <x:v>LME_007</x:v>
      </x:c>
      <x:c r="B120" s="46" t="str">
        <x:v>Northeast U.S. Continental Shelf</x:v>
      </x:c>
      <x:c r="C120" s="46" t="str">
        <x:v>LME</x:v>
      </x:c>
      <x:c r="D120" s="58" t="n">
        <x:v>2019</x:v>
      </x:c>
      <x:c r="E120" s="46" t="str">
        <x:v>Sphyraena barracuda</x:v>
      </x:c>
      <x:c r="F120" s="46" t="str">
        <x:v>Great barracuda</x:v>
      </x:c>
      <x:c r="G120" s="46" t="str">
        <x:v>Large pelagics (&gt;=90 cm)</x:v>
      </x:c>
      <x:c r="H120" s="46" t="str">
        <x:v>Perch-likes</x:v>
      </x:c>
      <x:c r="I120" s="60" t="n">
        <x:v>45.1205356026</x:v>
      </x:c>
      <x:c r="J120" s="60" t="n">
        <x:v>0</x:v>
      </x:c>
      <x:c r="K120" s="60" t="n">
        <x:v>45.1205356026</x:v>
      </x:c>
      <x:c r="L120" s="60" t="n">
        <x:v>0</x:v>
      </x:c>
      <x:c r="M120" s="60" t="n">
        <x:v>45.1205356026</x:v>
      </x:c>
      <x:c r="N120" s="46" t="str">
        <x:v>sphyraena barracuda</x:v>
      </x:c>
      <x:c r="O120" s="62" t="n">
        <x:v>4.49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Sphyraena barracuda</x:v>
      </x:c>
      <x:c r="T120" s="62" t="n">
        <x:f>IF(O120="","",(1/'Metadata'!$B$5)^(O120-1))</x:f>
        <x:v>34721.19667768202</x:v>
      </x:c>
      <x:c r="U120" s="60" t="n">
        <x:f>IF(T120="","",I120*T120)</x:f>
        <x:v>1566638.9908602284</x:v>
      </x:c>
    </x:row>
    <x:row r="121" ht="18" customHeight="1">
      <x:c r="A121" s="46" t="str">
        <x:v>LME_007</x:v>
      </x:c>
      <x:c r="B121" s="46" t="str">
        <x:v>Northeast U.S. Continental Shelf</x:v>
      </x:c>
      <x:c r="C121" s="46" t="str">
        <x:v>LME</x:v>
      </x:c>
      <x:c r="D121" s="58" t="n">
        <x:v>2019</x:v>
      </x:c>
      <x:c r="E121" s="46" t="str">
        <x:v>Osmerus mordax</x:v>
      </x:c>
      <x:c r="F121" s="46" t="str">
        <x:v>Rainbow smelt</x:v>
      </x:c>
      <x:c r="G121" s="46" t="str">
        <x:v>Small pelagics (&lt;30 cm)</x:v>
      </x:c>
      <x:c r="H121" s="46" t="str">
        <x:v>Salmon, smelts, etc</x:v>
      </x:c>
      <x:c r="I121" s="60" t="n">
        <x:v>39.7478402829</x:v>
      </x:c>
      <x:c r="J121" s="60" t="n">
        <x:v>0.026981549100000002</x:v>
      </x:c>
      <x:c r="K121" s="60" t="n">
        <x:v>39.7208587338</x:v>
      </x:c>
      <x:c r="L121" s="60" t="n">
        <x:v>0.0000024937000000000004</x:v>
      </x:c>
      <x:c r="M121" s="60" t="n">
        <x:v>39.7478377892</x:v>
      </x:c>
      <x:c r="N121" s="46" t="str">
        <x:v>osmerus mordax</x:v>
      </x:c>
      <x:c r="O121" s="62" t="n">
        <x:v>3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Osmerus mordax</x:v>
      </x:c>
      <x:c r="T121" s="62" t="n">
        <x:f>IF(O121="","",(1/'Metadata'!$B$5)^(O121-1))</x:f>
        <x:v>400</x:v>
      </x:c>
      <x:c r="U121" s="60" t="n">
        <x:f>IF(T121="","",I121*T121)</x:f>
        <x:v>15899.13611316</x:v>
      </x:c>
    </x:row>
    <x:row r="122" ht="18" customHeight="1">
      <x:c r="A122" s="46" t="str">
        <x:v>LME_007</x:v>
      </x:c>
      <x:c r="B122" s="46" t="str">
        <x:v>Northeast U.S. Continental Shelf</x:v>
      </x:c>
      <x:c r="C122" s="46" t="str">
        <x:v>LME</x:v>
      </x:c>
      <x:c r="D122" s="58" t="n">
        <x:v>2019</x:v>
      </x:c>
      <x:c r="E122" s="46" t="str">
        <x:v>Menticirrhus</x:v>
      </x:c>
      <x:c r="F122" s="46" t="str">
        <x:v>Kingcroakers</x:v>
      </x:c>
      <x:c r="G122" s="46" t="str">
        <x:v>Medium demersals (30 - 89 cm)</x:v>
      </x:c>
      <x:c r="H122" s="46" t="str">
        <x:v>Perch-likes</x:v>
      </x:c>
      <x:c r="I122" s="60" t="n">
        <x:v>33.558311776400004</x:v>
      </x:c>
      <x:c r="J122" s="60" t="n">
        <x:v>33.558311776400004</x:v>
      </x:c>
      <x:c r="K122" s="60" t="n">
        <x:v>0</x:v>
      </x:c>
      <x:c r="L122" s="60" t="n">
        <x:v>33.558311776400004</x:v>
      </x:c>
      <x:c r="M122" s="60" t="n">
        <x:v>0</x:v>
      </x:c>
      <x:c r="N122" s="46" t="str">
        <x:v>menticirrhus</x:v>
      </x:c>
      <x:c r="O122" s="62" t="n">
        <x:v>3.67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Menticirrhus</x:v>
      </x:c>
      <x:c r="T122" s="62" t="n">
        <x:f>IF(O122="","",(1/'Metadata'!$B$5)^(O122-1))</x:f>
        <x:v>2976.8029570258213</x:v>
      </x:c>
      <x:c r="U122" s="60" t="n">
        <x:f>IF(T122="","",I122*T122)</x:f>
        <x:v>99896.48172878198</x:v>
      </x:c>
    </x:row>
    <x:row r="123" ht="18" customHeight="1">
      <x:c r="A123" s="46" t="str">
        <x:v>LME_007</x:v>
      </x:c>
      <x:c r="B123" s="46" t="str">
        <x:v>Northeast U.S. Continental Shelf</x:v>
      </x:c>
      <x:c r="C123" s="46" t="str">
        <x:v>LME</x:v>
      </x:c>
      <x:c r="D123" s="58" t="n">
        <x:v>2019</x:v>
      </x:c>
      <x:c r="E123" s="46" t="str">
        <x:v>Teuthida</x:v>
      </x:c>
      <x:c r="F123" s="46" t="str">
        <x:v>Squids</x:v>
      </x:c>
      <x:c r="G123" s="46" t="str">
        <x:v>Cephalopods</x:v>
      </x:c>
      <x:c r="H123" s="46" t="str">
        <x:v>Other fishes &amp; inverts</x:v>
      </x:c>
      <x:c r="I123" s="60" t="n">
        <x:v>33.0784927808</x:v>
      </x:c>
      <x:c r="J123" s="60" t="n">
        <x:v>0.107057137</x:v>
      </x:c>
      <x:c r="K123" s="60" t="n">
        <x:v>32.9714356438</x:v>
      </x:c>
      <x:c r="L123" s="60" t="n">
        <x:v>0</x:v>
      </x:c>
      <x:c r="M123" s="60" t="n">
        <x:v>33.0784927808</x:v>
      </x:c>
      <x:c r="N123" s="46" t="str">
        <x:v>teuthida</x:v>
      </x:c>
      <x:c r="O123" s="62" t="n">
        <x:v>4.13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Teuthida</x:v>
      </x:c>
      <x:c r="T123" s="62" t="n">
        <x:f>IF(O123="","",(1/'Metadata'!$B$5)^(O123-1))</x:f>
        <x:v>11809.292685236613</x:v>
      </x:c>
      <x:c r="U123" s="60" t="n">
        <x:f>IF(T123="","",I123*T123)</x:f>
        <x:v>390633.6028349535</x:v>
      </x:c>
    </x:row>
    <x:row r="124" ht="18" customHeight="1">
      <x:c r="A124" s="46" t="str">
        <x:v>LME_007</x:v>
      </x:c>
      <x:c r="B124" s="46" t="str">
        <x:v>Northeast U.S. Continental Shelf</x:v>
      </x:c>
      <x:c r="C124" s="46" t="str">
        <x:v>LME</x:v>
      </x:c>
      <x:c r="D124" s="58" t="n">
        <x:v>2019</x:v>
      </x:c>
      <x:c r="E124" s="46" t="str">
        <x:v>Cynoscion regalis</x:v>
      </x:c>
      <x:c r="F124" s="46" t="str">
        <x:v>Squeteague</x:v>
      </x:c>
      <x:c r="G124" s="46" t="str">
        <x:v>Medium demersals (30 - 89 cm)</x:v>
      </x:c>
      <x:c r="H124" s="46" t="str">
        <x:v>Perch-likes</x:v>
      </x:c>
      <x:c r="I124" s="60" t="n">
        <x:v>32.8703392414</x:v>
      </x:c>
      <x:c r="J124" s="60" t="n">
        <x:v>32.8703392414</x:v>
      </x:c>
      <x:c r="K124" s="60" t="n">
        <x:v>0</x:v>
      </x:c>
      <x:c r="L124" s="60" t="n">
        <x:v>32.8703392414</x:v>
      </x:c>
      <x:c r="M124" s="60" t="n">
        <x:v>0</x:v>
      </x:c>
      <x:c r="N124" s="46" t="str">
        <x:v>cynoscion regalis</x:v>
      </x:c>
      <x:c r="O124" s="62" t="n">
        <x:v>3.77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Cynoscion regalis</x:v>
      </x:c>
      <x:c r="T124" s="62" t="n">
        <x:f>IF(O124="","",(1/'Metadata'!$B$5)^(O124-1))</x:f>
        <x:v>4016.549170818885</x:v>
      </x:c>
      <x:c r="U124" s="60" t="n">
        <x:f>IF(T124="","",I124*T124)</x:f>
        <x:v>132025.33382458065</x:v>
      </x:c>
    </x:row>
    <x:row r="125" ht="18" customHeight="1">
      <x:c r="A125" s="46" t="str">
        <x:v>LME_007</x:v>
      </x:c>
      <x:c r="B125" s="46" t="str">
        <x:v>Northeast U.S. Continental Shelf</x:v>
      </x:c>
      <x:c r="C125" s="46" t="str">
        <x:v>LME</x:v>
      </x:c>
      <x:c r="D125" s="58" t="n">
        <x:v>2019</x:v>
      </x:c>
      <x:c r="E125" s="46" t="str">
        <x:v>Tautogolabrus adspersus</x:v>
      </x:c>
      <x:c r="F125" s="46" t="str">
        <x:v>Cunner</x:v>
      </x:c>
      <x:c r="G125" s="46" t="str">
        <x:v>Medium reef assoc. fish (30 - 89 cm)</x:v>
      </x:c>
      <x:c r="H125" s="46" t="str">
        <x:v>Perch-likes</x:v>
      </x:c>
      <x:c r="I125" s="60" t="n">
        <x:v>32.854589123400004</x:v>
      </x:c>
      <x:c r="J125" s="60" t="n">
        <x:v>19.4613075792</x:v>
      </x:c>
      <x:c r="K125" s="60" t="n">
        <x:v>13.3932815442</x:v>
      </x:c>
      <x:c r="L125" s="60" t="n">
        <x:v>2.6988652143</x:v>
      </x:c>
      <x:c r="M125" s="60" t="n">
        <x:v>30.155723909099997</x:v>
      </x:c>
      <x:c r="N125" s="46" t="str">
        <x:v>tautogolabrus adspersus</x:v>
      </x:c>
      <x:c r="O125" s="62" t="n">
        <x:v>3.72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Tautogolabrus adspersus</x:v>
      </x:c>
      <x:c r="T125" s="62" t="n">
        <x:f>IF(O125="","",(1/'Metadata'!$B$5)^(O125-1))</x:f>
        <x:v>3457.8136804537753</x:v>
      </x:c>
      <x:c r="U125" s="60" t="n">
        <x:f>IF(T125="","",I125*T125)</x:f>
        <x:v>113605.04773658034</x:v>
      </x:c>
    </x:row>
    <x:row r="126" ht="18" customHeight="1">
      <x:c r="A126" s="46" t="str">
        <x:v>LME_007</x:v>
      </x:c>
      <x:c r="B126" s="46" t="str">
        <x:v>Northeast U.S. Continental Shelf</x:v>
      </x:c>
      <x:c r="C126" s="46" t="str">
        <x:v>LME</x:v>
      </x:c>
      <x:c r="D126" s="58" t="n">
        <x:v>2019</x:v>
      </x:c>
      <x:c r="E126" s="46" t="str">
        <x:v>Siluriformes</x:v>
      </x:c>
      <x:c r="F126" s="46" t="str">
        <x:v>Catfishes</x:v>
      </x:c>
      <x:c r="G126" s="46" t="str">
        <x:v>Medium demersals (30 - 89 cm)</x:v>
      </x:c>
      <x:c r="H126" s="46" t="str">
        <x:v>Other fishes &amp; inverts</x:v>
      </x:c>
      <x:c r="I126" s="60" t="n">
        <x:v>32.5458795533</x:v>
      </x:c>
      <x:c r="J126" s="60" t="n">
        <x:v>32.5458795533</x:v>
      </x:c>
      <x:c r="K126" s="60" t="n">
        <x:v>0</x:v>
      </x:c>
      <x:c r="L126" s="60" t="n">
        <x:v>32.5458795533</x:v>
      </x:c>
      <x:c r="M126" s="60" t="n">
        <x:v>0</x:v>
      </x:c>
      <x:c r="N126" s="46" t="str">
        <x:v>siluriformes</x:v>
      </x:c>
      <x:c r="O126" s="62" t="n">
        <x:v>3.48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Siluriformes</x:v>
      </x:c>
      <x:c r="T126" s="62" t="n">
        <x:f>IF(O126="","",(1/'Metadata'!$B$5)^(O126-1))</x:f>
        <x:v>1684.8234138858888</x:v>
      </x:c>
      <x:c r="U126" s="60" t="n">
        <x:f>IF(T126="","",I126*T126)</x:f>
        <x:v>54834.05989690985</x:v>
      </x:c>
    </x:row>
    <x:row r="127" ht="18" customHeight="1">
      <x:c r="A127" s="46" t="str">
        <x:v>LME_007</x:v>
      </x:c>
      <x:c r="B127" s="46" t="str">
        <x:v>Northeast U.S. Continental Shelf</x:v>
      </x:c>
      <x:c r="C127" s="46" t="str">
        <x:v>LME</x:v>
      </x:c>
      <x:c r="D127" s="58" t="n">
        <x:v>2019</x:v>
      </x:c>
      <x:c r="E127" s="46" t="str">
        <x:v>Myxine glutinosa</x:v>
      </x:c>
      <x:c r="F127" s="46" t="str">
        <x:v>Hagfish</x:v>
      </x:c>
      <x:c r="G127" s="46" t="str">
        <x:v>Medium demersals (30 - 89 cm)</x:v>
      </x:c>
      <x:c r="H127" s="46" t="str">
        <x:v>Other fishes &amp; inverts</x:v>
      </x:c>
      <x:c r="I127" s="60" t="n">
        <x:v>32.1458446497</x:v>
      </x:c>
      <x:c r="J127" s="60" t="n">
        <x:v>32.1458446497</x:v>
      </x:c>
      <x:c r="K127" s="60" t="n">
        <x:v>0</x:v>
      </x:c>
      <x:c r="L127" s="60" t="n">
        <x:v>0</x:v>
      </x:c>
      <x:c r="M127" s="60" t="n">
        <x:v>32.1458446497</x:v>
      </x:c>
      <x:c r="N127" s="46" t="str">
        <x:v>myxine glutinosa</x:v>
      </x:c>
      <x:c r="O127" s="62" t="n">
        <x:v>4.54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Myxine glutinosa</x:v>
      </x:c>
      <x:c r="T127" s="62" t="n">
        <x:f>IF(O127="","",(1/'Metadata'!$B$5)^(O127-1))</x:f>
        <x:v>40331.66810401469</x:v>
      </x:c>
      <x:c r="U127" s="60" t="n">
        <x:f>IF(T127="","",I127*T127)</x:f>
        <x:v>1296495.5373349169</x:v>
      </x:c>
    </x:row>
    <x:row r="128" ht="18" customHeight="1">
      <x:c r="A128" s="46" t="str">
        <x:v>LME_007</x:v>
      </x:c>
      <x:c r="B128" s="46" t="str">
        <x:v>Northeast U.S. Continental Shelf</x:v>
      </x:c>
      <x:c r="C128" s="46" t="str">
        <x:v>LME</x:v>
      </x:c>
      <x:c r="D128" s="58" t="n">
        <x:v>2019</x:v>
      </x:c>
      <x:c r="E128" s="46" t="str">
        <x:v>Merluccius</x:v>
      </x:c>
      <x:c r="F128" s="46" t="str">
        <x:v>Hakes</x:v>
      </x:c>
      <x:c r="G128" s="46" t="str">
        <x:v>Medium bathydemersals (30 - 89 cm)</x:v>
      </x:c>
      <x:c r="H128" s="46" t="str">
        <x:v>Cod-likes</x:v>
      </x:c>
      <x:c r="I128" s="60" t="n">
        <x:v>32.0202973073</x:v>
      </x:c>
      <x:c r="J128" s="60" t="n">
        <x:v>1.8671035178</x:v>
      </x:c>
      <x:c r="K128" s="60" t="n">
        <x:v>30.1531937895</x:v>
      </x:c>
      <x:c r="L128" s="60" t="n">
        <x:v>0.7990093877000001</x:v>
      </x:c>
      <x:c r="M128" s="60" t="n">
        <x:v>31.2212879196</x:v>
      </x:c>
      <x:c r="N128" s="46" t="str">
        <x:v>merluccius</x:v>
      </x:c>
      <x:c r="O128" s="62" t="n">
        <x:v>4.27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Merluccius</x:v>
      </x:c>
      <x:c r="T128" s="62" t="n">
        <x:f>IF(O128="","",(1/'Metadata'!$B$5)^(O128-1))</x:f>
        <x:v>17962.55396184286</x:v>
      </x:c>
      <x:c r="U128" s="60" t="n">
        <x:f>IF(T128="","",I128*T128)</x:f>
        <x:v>575166.3182566278</x:v>
      </x:c>
    </x:row>
    <x:row r="129" ht="18" customHeight="1">
      <x:c r="A129" s="46" t="str">
        <x:v>LME_007</x:v>
      </x:c>
      <x:c r="B129" s="46" t="str">
        <x:v>Northeast U.S. Continental Shelf</x:v>
      </x:c>
      <x:c r="C129" s="46" t="str">
        <x:v>LME</x:v>
      </x:c>
      <x:c r="D129" s="58" t="n">
        <x:v>2019</x:v>
      </x:c>
      <x:c r="E129" s="46" t="str">
        <x:v>Mugil curema</x:v>
      </x:c>
      <x:c r="F129" s="46" t="str">
        <x:v>White mullet</x:v>
      </x:c>
      <x:c r="G129" s="46" t="str">
        <x:v>Medium benthopelagics (30 - 89 cm)</x:v>
      </x:c>
      <x:c r="H129" s="46" t="str">
        <x:v>Perch-likes</x:v>
      </x:c>
      <x:c r="I129" s="60" t="n">
        <x:v>29.4164504144</x:v>
      </x:c>
      <x:c r="J129" s="60" t="n">
        <x:v>29.4164504144</x:v>
      </x:c>
      <x:c r="K129" s="60" t="n">
        <x:v>0</x:v>
      </x:c>
      <x:c r="L129" s="60" t="n">
        <x:v>0</x:v>
      </x:c>
      <x:c r="M129" s="60" t="n">
        <x:v>29.4164504144</x:v>
      </x:c>
      <x:c r="N129" s="46" t="str">
        <x:v>mugil curema</x:v>
      </x:c>
      <x:c r="O129" s="62" t="n">
        <x:v>2.01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Mugil curema</x:v>
      </x:c>
      <x:c r="T129" s="62" t="n">
        <x:f>IF(O129="","",(1/'Metadata'!$B$5)^(O129-1))</x:f>
        <x:v>20.608211158225036</x:v>
      </x:c>
      <x:c r="U129" s="60" t="n">
        <x:f>IF(T129="","",I129*T129)</x:f>
        <x:v>606.2204216654115</x:v>
      </x:c>
    </x:row>
    <x:row r="130" ht="18" customHeight="1">
      <x:c r="A130" s="46" t="str">
        <x:v>LME_007</x:v>
      </x:c>
      <x:c r="B130" s="46" t="str">
        <x:v>Northeast U.S. Continental Shelf</x:v>
      </x:c>
      <x:c r="C130" s="46" t="str">
        <x:v>LME</x:v>
      </x:c>
      <x:c r="D130" s="58" t="n">
        <x:v>2019</x:v>
      </x:c>
      <x:c r="E130" s="46" t="str">
        <x:v>Menidia menidia</x:v>
      </x:c>
      <x:c r="F130" s="46" t="str">
        <x:v>Atlantic silverside</x:v>
      </x:c>
      <x:c r="G130" s="46" t="str">
        <x:v>Small pelagics (&lt;30 cm)</x:v>
      </x:c>
      <x:c r="H130" s="46" t="str">
        <x:v>Other fishes &amp; inverts</x:v>
      </x:c>
      <x:c r="I130" s="60" t="n">
        <x:v>23.8537764499</x:v>
      </x:c>
      <x:c r="J130" s="60" t="n">
        <x:v>23.8537764499</x:v>
      </x:c>
      <x:c r="K130" s="60" t="n">
        <x:v>0</x:v>
      </x:c>
      <x:c r="L130" s="60" t="n">
        <x:v>23.8537764499</x:v>
      </x:c>
      <x:c r="M130" s="60" t="n">
        <x:v>0</x:v>
      </x:c>
      <x:c r="N130" s="46" t="str">
        <x:v>menidia menidia</x:v>
      </x:c>
      <x:c r="O130" s="62" t="n">
        <x:v>3.19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Menidia menidia</x:v>
      </x:c>
      <x:c r="T130" s="62" t="n">
        <x:f>IF(O130="","",(1/'Metadata'!$B$5)^(O130-1))</x:f>
        <x:v>706.7335205557481</x:v>
      </x:c>
      <x:c r="U130" s="60" t="n">
        <x:f>IF(T130="","",I130*T130)</x:f>
        <x:v>16858.263408987623</x:v>
      </x:c>
    </x:row>
    <x:row r="131" ht="18" customHeight="1">
      <x:c r="A131" s="46" t="str">
        <x:v>LME_007</x:v>
      </x:c>
      <x:c r="B131" s="46" t="str">
        <x:v>Northeast U.S. Continental Shelf</x:v>
      </x:c>
      <x:c r="C131" s="46" t="str">
        <x:v>LME</x:v>
      </x:c>
      <x:c r="D131" s="58" t="n">
        <x:v>2019</x:v>
      </x:c>
      <x:c r="E131" s="46" t="str">
        <x:v>Littorina</x:v>
      </x:c>
      <x:c r="F131" s="46" t="str">
        <x:v>Periwinkles</x:v>
      </x:c>
      <x:c r="G131" s="46" t="str">
        <x:v>Other demersal invertebrates</x:v>
      </x:c>
      <x:c r="H131" s="46" t="str">
        <x:v>Molluscs</x:v>
      </x:c>
      <x:c r="I131" s="60" t="n">
        <x:v>23.601793360600002</x:v>
      </x:c>
      <x:c r="J131" s="60" t="n">
        <x:v>23.601793360600002</x:v>
      </x:c>
      <x:c r="K131" s="60" t="n">
        <x:v>0</x:v>
      </x:c>
      <x:c r="L131" s="60" t="n">
        <x:v>0</x:v>
      </x:c>
      <x:c r="M131" s="60" t="n">
        <x:v>23.601793360600002</x:v>
      </x:c>
      <x:c r="N131" s="46" t="str">
        <x:v>littorina</x:v>
      </x:c>
      <x:c r="O131" s="62" t="n">
        <x:v>2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Littorina</x:v>
      </x:c>
      <x:c r="T131" s="62" t="n">
        <x:f>IF(O131="","",(1/'Metadata'!$B$5)^(O131-1))</x:f>
        <x:v>20</x:v>
      </x:c>
      <x:c r="U131" s="60" t="n">
        <x:f>IF(T131="","",I131*T131)</x:f>
        <x:v>472.035867212</x:v>
      </x:c>
    </x:row>
    <x:row r="132" ht="18" customHeight="1">
      <x:c r="A132" s="46" t="str">
        <x:v>LME_007</x:v>
      </x:c>
      <x:c r="B132" s="46" t="str">
        <x:v>Northeast U.S. Continental Shelf</x:v>
      </x:c>
      <x:c r="C132" s="46" t="str">
        <x:v>LME</x:v>
      </x:c>
      <x:c r="D132" s="58" t="n">
        <x:v>2019</x:v>
      </x:c>
      <x:c r="E132" s="46" t="str">
        <x:v>Mugilidae</x:v>
      </x:c>
      <x:c r="F132" s="46" t="str">
        <x:v>Mullets, grey mullets</x:v>
      </x:c>
      <x:c r="G132" s="46" t="str">
        <x:v>Medium reef assoc. fish (30 - 89 cm)</x:v>
      </x:c>
      <x:c r="H132" s="46" t="str">
        <x:v>Perch-likes</x:v>
      </x:c>
      <x:c r="I132" s="60" t="n">
        <x:v>22.4163626006</x:v>
      </x:c>
      <x:c r="J132" s="60" t="n">
        <x:v>22.4163626006</x:v>
      </x:c>
      <x:c r="K132" s="60" t="n">
        <x:v>0</x:v>
      </x:c>
      <x:c r="L132" s="60" t="n">
        <x:v>3.1080754567</x:v>
      </x:c>
      <x:c r="M132" s="60" t="n">
        <x:v>19.3082871439</x:v>
      </x:c>
      <x:c r="N132" s="46" t="str">
        <x:v>mugilidae</x:v>
      </x:c>
      <x:c r="O132" s="62" t="n">
        <x:v>2.53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Mugilidae</x:v>
      </x:c>
      <x:c r="T132" s="62" t="n">
        <x:f>IF(O132="","",(1/'Metadata'!$B$5)^(O132-1))</x:f>
        <x:v>97.8533939563155</x:v>
      </x:c>
      <x:c r="U132" s="60" t="n">
        <x:f>IF(T132="","",I132*T132)</x:f>
        <x:v>2193.517160624129</x:v>
      </x:c>
    </x:row>
    <x:row r="133" ht="18" customHeight="1">
      <x:c r="A133" s="46" t="str">
        <x:v>LME_007</x:v>
      </x:c>
      <x:c r="B133" s="46" t="str">
        <x:v>Northeast U.S. Continental Shelf</x:v>
      </x:c>
      <x:c r="C133" s="46" t="str">
        <x:v>LME</x:v>
      </x:c>
      <x:c r="D133" s="58" t="n">
        <x:v>2019</x:v>
      </x:c>
      <x:c r="E133" s="46" t="str">
        <x:v>Elasmobranchii</x:v>
      </x:c>
      <x:c r="F133" s="46" t="str">
        <x:v>Sharks, rays, skates</x:v>
      </x:c>
      <x:c r="G133" s="46" t="str">
        <x:v>Large sharks (&gt;=90 cm)</x:v>
      </x:c>
      <x:c r="H133" s="46" t="str">
        <x:v>Sharks &amp; rays</x:v>
      </x:c>
      <x:c r="I133" s="60" t="n">
        <x:v>21.4303750827</x:v>
      </x:c>
      <x:c r="J133" s="60" t="n">
        <x:v>0.2905701042</x:v>
      </x:c>
      <x:c r="K133" s="60" t="n">
        <x:v>21.139804978500003</x:v>
      </x:c>
      <x:c r="L133" s="60" t="n">
        <x:v>0.1747546397</x:v>
      </x:c>
      <x:c r="M133" s="60" t="n">
        <x:v>21.255620443</x:v>
      </x:c>
      <x:c r="N133" s="46" t="str">
        <x:v>elasmobranchii</x:v>
      </x:c>
      <x:c r="O133" s="62" t="n">
        <x:v>4.05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Elasmobranchii</x:v>
      </x:c>
      <x:c r="T133" s="62" t="n">
        <x:f>IF(O133="","",(1/'Metadata'!$B$5)^(O133-1))</x:f>
        <x:v>9292.690797132333</x:v>
      </x:c>
      <x:c r="U133" s="60" t="n">
        <x:f>IF(T133="","",I133*T133)</x:f>
        <x:v>199145.84931010034</x:v>
      </x:c>
    </x:row>
    <x:row r="134" ht="18" customHeight="1">
      <x:c r="A134" s="46" t="str">
        <x:v>LME_007</x:v>
      </x:c>
      <x:c r="B134" s="46" t="str">
        <x:v>Northeast U.S. Continental Shelf</x:v>
      </x:c>
      <x:c r="C134" s="46" t="str">
        <x:v>LME</x:v>
      </x:c>
      <x:c r="D134" s="58" t="n">
        <x:v>2019</x:v>
      </x:c>
      <x:c r="E134" s="46" t="str">
        <x:v>Alosa sapidissima</x:v>
      </x:c>
      <x:c r="F134" s="46" t="str">
        <x:v>American shad</x:v>
      </x:c>
      <x:c r="G134" s="46" t="str">
        <x:v>Medium pelagics (30 - 89 cm)</x:v>
      </x:c>
      <x:c r="H134" s="46" t="str">
        <x:v>Herring-likes</x:v>
      </x:c>
      <x:c r="I134" s="60" t="n">
        <x:v>19.756906638900002</x:v>
      </x:c>
      <x:c r="J134" s="60" t="n">
        <x:v>19.756906638900002</x:v>
      </x:c>
      <x:c r="K134" s="60" t="n">
        <x:v>0</x:v>
      </x:c>
      <x:c r="L134" s="60" t="n">
        <x:v>15.4814386558</x:v>
      </x:c>
      <x:c r="M134" s="60" t="n">
        <x:v>4.2754679831</x:v>
      </x:c>
      <x:c r="N134" s="46" t="str">
        <x:v>alosa sapidissima</x:v>
      </x:c>
      <x:c r="O134" s="62" t="n">
        <x:v>3.48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Alosa sapidissima</x:v>
      </x:c>
      <x:c r="T134" s="62" t="n">
        <x:f>IF(O134="","",(1/'Metadata'!$B$5)^(O134-1))</x:f>
        <x:v>1684.8234138858888</x:v>
      </x:c>
      <x:c r="U134" s="60" t="n">
        <x:f>IF(T134="","",I134*T134)</x:f>
        <x:v>33286.898891176286</x:v>
      </x:c>
    </x:row>
    <x:row r="135" ht="18" customHeight="1">
      <x:c r="A135" s="46" t="str">
        <x:v>LME_007</x:v>
      </x:c>
      <x:c r="B135" s="46" t="str">
        <x:v>Northeast U.S. Continental Shelf</x:v>
      </x:c>
      <x:c r="C135" s="46" t="str">
        <x:v>LME</x:v>
      </x:c>
      <x:c r="D135" s="58" t="n">
        <x:v>2019</x:v>
      </x:c>
      <x:c r="E135" s="46" t="str">
        <x:v>Isurus oxyrinchus</x:v>
      </x:c>
      <x:c r="F135" s="46" t="str">
        <x:v>Shortfin mako</x:v>
      </x:c>
      <x:c r="G135" s="46" t="str">
        <x:v>Large sharks (&gt;=90 cm)</x:v>
      </x:c>
      <x:c r="H135" s="46" t="str">
        <x:v>Sharks &amp; rays</x:v>
      </x:c>
      <x:c r="I135" s="60" t="n">
        <x:v>19.364609259999998</x:v>
      </x:c>
      <x:c r="J135" s="60" t="n">
        <x:v>13.2989804723</x:v>
      </x:c>
      <x:c r="K135" s="60" t="n">
        <x:v>6.0656287877</x:v>
      </x:c>
      <x:c r="L135" s="60" t="n">
        <x:v>9.2458038446</x:v>
      </x:c>
      <x:c r="M135" s="60" t="n">
        <x:v>10.118805415399999</x:v>
      </x:c>
      <x:c r="N135" s="46" t="str">
        <x:v>isurus oxyrinchus</x:v>
      </x:c>
      <x:c r="O135" s="62" t="n">
        <x:v>4.5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Isurus oxyrinchus</x:v>
      </x:c>
      <x:c r="T135" s="62" t="n">
        <x:f>IF(O135="","",(1/'Metadata'!$B$5)^(O135-1))</x:f>
        <x:v>35777.08763999664</x:v>
      </x:c>
      <x:c r="U135" s="60" t="n">
        <x:f>IF(T135="","",I135*T135)</x:f>
        <x:v>692809.3226093104</x:v>
      </x:c>
    </x:row>
    <x:row r="136" ht="18" customHeight="1">
      <x:c r="A136" s="46" t="str">
        <x:v>LME_007</x:v>
      </x:c>
      <x:c r="B136" s="46" t="str">
        <x:v>Northeast U.S. Continental Shelf</x:v>
      </x:c>
      <x:c r="C136" s="46" t="str">
        <x:v>LME</x:v>
      </x:c>
      <x:c r="D136" s="58" t="n">
        <x:v>2019</x:v>
      </x:c>
      <x:c r="E136" s="46" t="str">
        <x:v>Penaeidae</x:v>
      </x:c>
      <x:c r="F136" s="46" t="str">
        <x:v>Commercial shrimps and prawns</x:v>
      </x:c>
      <x:c r="G136" s="46" t="str">
        <x:v>Shrimps</x:v>
      </x:c>
      <x:c r="H136" s="46" t="str">
        <x:v>Crustaceans</x:v>
      </x:c>
      <x:c r="I136" s="60" t="n">
        <x:v>19.245357777800002</x:v>
      </x:c>
      <x:c r="J136" s="60" t="n">
        <x:v>19.245357777800002</x:v>
      </x:c>
      <x:c r="K136" s="60" t="n">
        <x:v>0</x:v>
      </x:c>
      <x:c r="L136" s="60" t="n">
        <x:v>19.245357777800002</x:v>
      </x:c>
      <x:c r="M136" s="60" t="n">
        <x:v>0</x:v>
      </x:c>
      <x:c r="N136" s="46" t="str">
        <x:v>penaeidae</x:v>
      </x:c>
      <x:c r="O136" s="62" t="n">
        <x:v>3.31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Penaeidae</x:v>
      </x:c>
      <x:c r="T136" s="62" t="n">
        <x:f>IF(O136="","",(1/'Metadata'!$B$5)^(O136-1))</x:f>
        <x:v>1012.4633005057666</x:v>
      </x:c>
      <x:c r="U136" s="60" t="n">
        <x:f>IF(T136="","",I136*T136)</x:f>
        <x:v>19485.218455125716</x:v>
      </x:c>
    </x:row>
    <x:row r="137" ht="18" customHeight="1">
      <x:c r="A137" s="46" t="str">
        <x:v>LME_007</x:v>
      </x:c>
      <x:c r="B137" s="46" t="str">
        <x:v>Northeast U.S. Continental Shelf</x:v>
      </x:c>
      <x:c r="C137" s="46" t="str">
        <x:v>LME</x:v>
      </x:c>
      <x:c r="D137" s="58" t="n">
        <x:v>2019</x:v>
      </x:c>
      <x:c r="E137" s="46" t="str">
        <x:v>Decapoda</x:v>
      </x:c>
      <x:c r="F137" s="46" t="str">
        <x:v>Crabs, lobsters, shrimps</x:v>
      </x:c>
      <x:c r="G137" s="46" t="str">
        <x:v>Lobsters, crabs</x:v>
      </x:c>
      <x:c r="H137" s="46" t="str">
        <x:v>Crustaceans</x:v>
      </x:c>
      <x:c r="I137" s="60" t="n">
        <x:v>18.325510408200003</x:v>
      </x:c>
      <x:c r="J137" s="60" t="n">
        <x:v>18.325510408200003</x:v>
      </x:c>
      <x:c r="K137" s="60" t="n">
        <x:v>0</x:v>
      </x:c>
      <x:c r="L137" s="60" t="n">
        <x:v>0.1877231492</x:v>
      </x:c>
      <x:c r="M137" s="60" t="n">
        <x:v>18.137787259</x:v>
      </x:c>
      <x:c r="N137" s="46" t="str">
        <x:v>decapoda</x:v>
      </x:c>
      <x:c r="O137" s="62" t="n">
        <x:v>3.43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Decapoda</x:v>
      </x:c>
      <x:c r="T137" s="62" t="n">
        <x:f>IF(O137="","",(1/'Metadata'!$B$5)^(O137-1))</x:f>
        <x:v>1450.450424461182</x:v>
      </x:c>
      <x:c r="U137" s="60" t="n">
        <x:f>IF(T137="","",I137*T137)</x:f>
        <x:v>26580.244350041503</x:v>
      </x:c>
    </x:row>
    <x:row r="138" ht="18" customHeight="1">
      <x:c r="A138" s="46" t="str">
        <x:v>LME_007</x:v>
      </x:c>
      <x:c r="B138" s="46" t="str">
        <x:v>Northeast U.S. Continental Shelf</x:v>
      </x:c>
      <x:c r="C138" s="46" t="str">
        <x:v>LME</x:v>
      </x:c>
      <x:c r="D138" s="58" t="n">
        <x:v>2019</x:v>
      </x:c>
      <x:c r="E138" s="46" t="str">
        <x:v>Katsuwonus pelamis</x:v>
      </x:c>
      <x:c r="F138" s="46" t="str">
        <x:v>Skipjack tuna</x:v>
      </x:c>
      <x:c r="G138" s="46" t="str">
        <x:v>Large pelagics (&gt;=90 cm)</x:v>
      </x:c>
      <x:c r="H138" s="46" t="str">
        <x:v>Tuna &amp; billfishes</x:v>
      </x:c>
      <x:c r="I138" s="60" t="n">
        <x:v>17.2019150705</x:v>
      </x:c>
      <x:c r="J138" s="60" t="n">
        <x:v>17.2019150705</x:v>
      </x:c>
      <x:c r="K138" s="60" t="n">
        <x:v>0</x:v>
      </x:c>
      <x:c r="L138" s="60" t="n">
        <x:v>15.5471639687</x:v>
      </x:c>
      <x:c r="M138" s="60" t="n">
        <x:v>1.6547511018</x:v>
      </x:c>
      <x:c r="N138" s="46" t="str">
        <x:v>katsuwonus pelamis</x:v>
      </x:c>
      <x:c r="O138" s="62" t="n">
        <x:v>4.43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Katsuwonus pelamis</x:v>
      </x:c>
      <x:c r="T138" s="62" t="n">
        <x:f>IF(O138="","",(1/'Metadata'!$B$5)^(O138-1))</x:f>
        <x:v>29009.008489223597</x:v>
      </x:c>
      <x:c r="U138" s="60" t="n">
        <x:f>IF(T138="","",I138*T138)</x:f>
        <x:v>499010.5003110378</x:v>
      </x:c>
    </x:row>
    <x:row r="139" ht="18" customHeight="1">
      <x:c r="A139" s="46" t="str">
        <x:v>LME_007</x:v>
      </x:c>
      <x:c r="B139" s="46" t="str">
        <x:v>Northeast U.S. Continental Shelf</x:v>
      </x:c>
      <x:c r="C139" s="46" t="str">
        <x:v>LME</x:v>
      </x:c>
      <x:c r="D139" s="58" t="n">
        <x:v>2019</x:v>
      </x:c>
      <x:c r="E139" s="46" t="str">
        <x:v>Scomber</x:v>
      </x:c>
      <x:c r="F139" s="46" t="str">
        <x:v>Chub mackerels</x:v>
      </x:c>
      <x:c r="G139" s="46" t="str">
        <x:v>Medium pelagics (30 - 89 cm)</x:v>
      </x:c>
      <x:c r="H139" s="46" t="str">
        <x:v>Perch-likes</x:v>
      </x:c>
      <x:c r="I139" s="60" t="n">
        <x:v>17.0233597088</x:v>
      </x:c>
      <x:c r="J139" s="60" t="n">
        <x:v>17.0233597088</x:v>
      </x:c>
      <x:c r="K139" s="60" t="n">
        <x:v>0</x:v>
      </x:c>
      <x:c r="L139" s="60" t="n">
        <x:v>0</x:v>
      </x:c>
      <x:c r="M139" s="60" t="n">
        <x:v>17.0233597088</x:v>
      </x:c>
      <x:c r="N139" s="46" t="str">
        <x:v>scomber</x:v>
      </x:c>
      <x:c r="O139" s="62" t="n">
        <x:v>3.65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Scomber</x:v>
      </x:c>
      <x:c r="T139" s="62" t="n">
        <x:f>IF(O139="","",(1/'Metadata'!$B$5)^(O139-1))</x:f>
        <x:v>2803.6867455443476</x:v>
      </x:c>
      <x:c r="U139" s="60" t="n">
        <x:f>IF(T139="","",I139*T139)</x:f>
        <x:v>47728.167980196245</x:v>
      </x:c>
    </x:row>
    <x:row r="140" ht="18" customHeight="1">
      <x:c r="A140" s="46" t="str">
        <x:v>LME_007</x:v>
      </x:c>
      <x:c r="B140" s="46" t="str">
        <x:v>Northeast U.S. Continental Shelf</x:v>
      </x:c>
      <x:c r="C140" s="46" t="str">
        <x:v>LME</x:v>
      </x:c>
      <x:c r="D140" s="58" t="n">
        <x:v>2019</x:v>
      </x:c>
      <x:c r="E140" s="46" t="str">
        <x:v>Salmo</x:v>
      </x:c>
      <x:c r="F140" s="46" t="str">
        <x:v>Trouts</x:v>
      </x:c>
      <x:c r="G140" s="46" t="str">
        <x:v>Large benthopelagics (&gt;=90 cm)</x:v>
      </x:c>
      <x:c r="H140" s="46" t="str">
        <x:v>Salmon, smelts, etc</x:v>
      </x:c>
      <x:c r="I140" s="60" t="n">
        <x:v>16.5558951291</x:v>
      </x:c>
      <x:c r="J140" s="60" t="n">
        <x:v>16.5558951291</x:v>
      </x:c>
      <x:c r="K140" s="60" t="n">
        <x:v>0</x:v>
      </x:c>
      <x:c r="L140" s="60" t="n">
        <x:v>0</x:v>
      </x:c>
      <x:c r="M140" s="60" t="n">
        <x:v>16.5558951291</x:v>
      </x:c>
      <x:c r="N140" s="46" t="str">
        <x:v>salmo</x:v>
      </x:c>
      <x:c r="O140" s="62" t="n">
        <x:v>4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Salmo</x:v>
      </x:c>
      <x:c r="T140" s="62" t="n">
        <x:f>IF(O140="","",(1/'Metadata'!$B$5)^(O140-1))</x:f>
        <x:v>8000</x:v>
      </x:c>
      <x:c r="U140" s="60" t="n">
        <x:f>IF(T140="","",I140*T140)</x:f>
        <x:v>132447.1610328</x:v>
      </x:c>
    </x:row>
    <x:row r="141" ht="18" customHeight="1">
      <x:c r="A141" s="46" t="str">
        <x:v>LME_007</x:v>
      </x:c>
      <x:c r="B141" s="46" t="str">
        <x:v>Northeast U.S. Continental Shelf</x:v>
      </x:c>
      <x:c r="C141" s="46" t="str">
        <x:v>LME</x:v>
      </x:c>
      <x:c r="D141" s="58" t="n">
        <x:v>2019</x:v>
      </x:c>
      <x:c r="E141" s="46" t="str">
        <x:v>Congridae</x:v>
      </x:c>
      <x:c r="F141" s="46" t="str">
        <x:v>Conger, garden eels</x:v>
      </x:c>
      <x:c r="G141" s="46" t="str">
        <x:v>Large demersals (&gt;=90 cm)</x:v>
      </x:c>
      <x:c r="H141" s="46" t="str">
        <x:v>Other fishes &amp; inverts</x:v>
      </x:c>
      <x:c r="I141" s="60" t="n">
        <x:v>15.9095872745</x:v>
      </x:c>
      <x:c r="J141" s="60" t="n">
        <x:v>15.9095872745</x:v>
      </x:c>
      <x:c r="K141" s="60" t="n">
        <x:v>0</x:v>
      </x:c>
      <x:c r="L141" s="60" t="n">
        <x:v>0</x:v>
      </x:c>
      <x:c r="M141" s="60" t="n">
        <x:v>15.9095872745</x:v>
      </x:c>
      <x:c r="N141" s="46" t="str">
        <x:v>congridae</x:v>
      </x:c>
      <x:c r="O141" s="62" t="n">
        <x:v>4.18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Congridae</x:v>
      </x:c>
      <x:c r="T141" s="62" t="n">
        <x:f>IF(O141="","",(1/'Metadata'!$B$5)^(O141-1))</x:f>
        <x:v>13717.513182092556</x:v>
      </x:c>
      <x:c r="U141" s="60" t="n">
        <x:f>IF(T141="","",I141*T141)</x:f>
        <x:v>218239.97315960572</x:v>
      </x:c>
    </x:row>
    <x:row r="142" ht="18" customHeight="1">
      <x:c r="A142" s="46" t="str">
        <x:v>LME_007</x:v>
      </x:c>
      <x:c r="B142" s="46" t="str">
        <x:v>Northeast U.S. Continental Shelf</x:v>
      </x:c>
      <x:c r="C142" s="46" t="str">
        <x:v>LME</x:v>
      </x:c>
      <x:c r="D142" s="58" t="n">
        <x:v>2019</x:v>
      </x:c>
      <x:c r="E142" s="46" t="str">
        <x:v>Opsanus tau</x:v>
      </x:c>
      <x:c r="F142" s="46" t="str">
        <x:v>Oyster toadfish</x:v>
      </x:c>
      <x:c r="G142" s="46" t="str">
        <x:v>Medium reef assoc. fish (30 - 89 cm)</x:v>
      </x:c>
      <x:c r="H142" s="46" t="str">
        <x:v>Other fishes &amp; inverts</x:v>
      </x:c>
      <x:c r="I142" s="60" t="n">
        <x:v>15.2238218692</x:v>
      </x:c>
      <x:c r="J142" s="60" t="n">
        <x:v>15.2238218692</x:v>
      </x:c>
      <x:c r="K142" s="60" t="n">
        <x:v>0</x:v>
      </x:c>
      <x:c r="L142" s="60" t="n">
        <x:v>0</x:v>
      </x:c>
      <x:c r="M142" s="60" t="n">
        <x:v>15.2238218692</x:v>
      </x:c>
      <x:c r="N142" s="46" t="str">
        <x:v>opsanus tau</x:v>
      </x:c>
      <x:c r="O142" s="62" t="n">
        <x:v>3.84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Opsanus tau</x:v>
      </x:c>
      <x:c r="T142" s="62" t="n">
        <x:f>IF(O142="","",(1/'Metadata'!$B$5)^(O142-1))</x:f>
        <x:v>4953.648510535111</x:v>
      </x:c>
      <x:c r="U142" s="60" t="n">
        <x:f>IF(T142="","",I142*T142)</x:f>
        <x:v>75413.46252701443</x:v>
      </x:c>
    </x:row>
    <x:row r="143" ht="18" customHeight="1">
      <x:c r="A143" s="46" t="str">
        <x:v>LME_007</x:v>
      </x:c>
      <x:c r="B143" s="46" t="str">
        <x:v>Northeast U.S. Continental Shelf</x:v>
      </x:c>
      <x:c r="C143" s="46" t="str">
        <x:v>LME</x:v>
      </x:c>
      <x:c r="D143" s="58" t="n">
        <x:v>2019</x:v>
      </x:c>
      <x:c r="E143" s="46" t="str">
        <x:v>Alopias vulpinus</x:v>
      </x:c>
      <x:c r="F143" s="46" t="str">
        <x:v>Thresher</x:v>
      </x:c>
      <x:c r="G143" s="46" t="str">
        <x:v>Large sharks (&gt;=90 cm)</x:v>
      </x:c>
      <x:c r="H143" s="46" t="str">
        <x:v>Sharks &amp; rays</x:v>
      </x:c>
      <x:c r="I143" s="60" t="n">
        <x:v>14.8604816874</x:v>
      </x:c>
      <x:c r="J143" s="60" t="n">
        <x:v>14.8604816874</x:v>
      </x:c>
      <x:c r="K143" s="60" t="n">
        <x:v>0</x:v>
      </x:c>
      <x:c r="L143" s="60" t="n">
        <x:v>0.2124164742</x:v>
      </x:c>
      <x:c r="M143" s="60" t="n">
        <x:v>14.6480652132</x:v>
      </x:c>
      <x:c r="N143" s="46" t="str">
        <x:v>alopias vulpinus</x:v>
      </x:c>
      <x:c r="O143" s="62" t="n">
        <x:v>4.5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Alopias vulpinus</x:v>
      </x:c>
      <x:c r="T143" s="62" t="n">
        <x:f>IF(O143="","",(1/'Metadata'!$B$5)^(O143-1))</x:f>
        <x:v>35777.08763999664</x:v>
      </x:c>
      <x:c r="U143" s="60" t="n">
        <x:f>IF(T143="","",I143*T143)</x:f>
        <x:v>531664.7557026749</x:v>
      </x:c>
    </x:row>
    <x:row r="144" ht="18" customHeight="1">
      <x:c r="A144" s="46" t="str">
        <x:v>LME_007</x:v>
      </x:c>
      <x:c r="B144" s="46" t="str">
        <x:v>Northeast U.S. Continental Shelf</x:v>
      </x:c>
      <x:c r="C144" s="46" t="str">
        <x:v>LME</x:v>
      </x:c>
      <x:c r="D144" s="58" t="n">
        <x:v>2019</x:v>
      </x:c>
      <x:c r="E144" s="46" t="str">
        <x:v>Conger oceanicus</x:v>
      </x:c>
      <x:c r="F144" s="46" t="str">
        <x:v>American conger</x:v>
      </x:c>
      <x:c r="G144" s="46" t="str">
        <x:v>Large demersals (&gt;=90 cm)</x:v>
      </x:c>
      <x:c r="H144" s="46" t="str">
        <x:v>Other fishes &amp; inverts</x:v>
      </x:c>
      <x:c r="I144" s="60" t="n">
        <x:v>13.3272423614</x:v>
      </x:c>
      <x:c r="J144" s="60" t="n">
        <x:v>13.3272423614</x:v>
      </x:c>
      <x:c r="K144" s="60" t="n">
        <x:v>0</x:v>
      </x:c>
      <x:c r="L144" s="60" t="n">
        <x:v>13.3272423614</x:v>
      </x:c>
      <x:c r="M144" s="60" t="n">
        <x:v>0</x:v>
      </x:c>
      <x:c r="N144" s="46" t="str">
        <x:v>conger oceanicus</x:v>
      </x:c>
      <x:c r="O144" s="62" t="n">
        <x:v>4.5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Conger oceanicus</x:v>
      </x:c>
      <x:c r="T144" s="62" t="n">
        <x:f>IF(O144="","",(1/'Metadata'!$B$5)^(O144-1))</x:f>
        <x:v>35777.08763999664</x:v>
      </x:c>
      <x:c r="U144" s="60" t="n">
        <x:f>IF(T144="","",I144*T144)</x:f>
        <x:v>476809.91796328354</x:v>
      </x:c>
    </x:row>
    <x:row r="145" ht="18" customHeight="1">
      <x:c r="A145" s="46" t="str">
        <x:v>LME_007</x:v>
      </x:c>
      <x:c r="B145" s="46" t="str">
        <x:v>Northeast U.S. Continental Shelf</x:v>
      </x:c>
      <x:c r="C145" s="46" t="str">
        <x:v>LME</x:v>
      </x:c>
      <x:c r="D145" s="58" t="n">
        <x:v>2019</x:v>
      </x:c>
      <x:c r="E145" s="46" t="str">
        <x:v>Scophthalmus aquosus</x:v>
      </x:c>
      <x:c r="F145" s="46" t="str">
        <x:v>Windowpane flounder</x:v>
      </x:c>
      <x:c r="G145" s="46" t="str">
        <x:v>Small to medium flatfishes (&lt;90 cm)</x:v>
      </x:c>
      <x:c r="H145" s="46" t="str">
        <x:v>Flatfishes</x:v>
      </x:c>
      <x:c r="I145" s="60" t="n">
        <x:v>13.2128446372</x:v>
      </x:c>
      <x:c r="J145" s="60" t="n">
        <x:v>13.1842758942</x:v>
      </x:c>
      <x:c r="K145" s="60" t="n">
        <x:v>0.028568743</x:v>
      </x:c>
      <x:c r="L145" s="60" t="n">
        <x:v>10.5755789246</x:v>
      </x:c>
      <x:c r="M145" s="60" t="n">
        <x:v>2.6372657126</x:v>
      </x:c>
      <x:c r="N145" s="46" t="str">
        <x:v>scophthalmus aquosus</x:v>
      </x:c>
      <x:c r="O145" s="62" t="n">
        <x:v>3.72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Scophthalmus aquosus</x:v>
      </x:c>
      <x:c r="T145" s="62" t="n">
        <x:f>IF(O145="","",(1/'Metadata'!$B$5)^(O145-1))</x:f>
        <x:v>3457.8136804537753</x:v>
      </x:c>
      <x:c r="U145" s="60" t="n">
        <x:f>IF(T145="","",I145*T145)</x:f>
        <x:v>45687.55494422046</x:v>
      </x:c>
    </x:row>
    <x:row r="146" ht="18" customHeight="1">
      <x:c r="A146" s="46" t="str">
        <x:v>LME_007</x:v>
      </x:c>
      <x:c r="B146" s="46" t="str">
        <x:v>Northeast U.S. Continental Shelf</x:v>
      </x:c>
      <x:c r="C146" s="46" t="str">
        <x:v>LME</x:v>
      </x:c>
      <x:c r="D146" s="58" t="n">
        <x:v>2019</x:v>
      </x:c>
      <x:c r="E146" s="46" t="str">
        <x:v>Trichiuridae</x:v>
      </x:c>
      <x:c r="F146" s="46" t="str">
        <x:v>Cutlassfishes</x:v>
      </x:c>
      <x:c r="G146" s="46" t="str">
        <x:v>Large benthopelagics (&gt;=90 cm)</x:v>
      </x:c>
      <x:c r="H146" s="46" t="str">
        <x:v>Perch-likes</x:v>
      </x:c>
      <x:c r="I146" s="60" t="n">
        <x:v>12.0362539122</x:v>
      </x:c>
      <x:c r="J146" s="60" t="n">
        <x:v>12.0362539122</x:v>
      </x:c>
      <x:c r="K146" s="60" t="n">
        <x:v>0</x:v>
      </x:c>
      <x:c r="L146" s="60" t="n">
        <x:v>0</x:v>
      </x:c>
      <x:c r="M146" s="60" t="n">
        <x:v>12.0362539122</x:v>
      </x:c>
      <x:c r="N146" s="46" t="str">
        <x:v>trichiuridae</x:v>
      </x:c>
      <x:c r="O146" s="62" t="n">
        <x:v>4.15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Trichiuridae</x:v>
      </x:c>
      <x:c r="T146" s="62" t="n">
        <x:f>IF(O146="","",(1/'Metadata'!$B$5)^(O146-1))</x:f>
        <x:v>12538.46830130465</x:v>
      </x:c>
      <x:c r="U146" s="60" t="n">
        <x:f>IF(T146="","",I146*T146)</x:f>
        <x:v>150916.18814457377</x:v>
      </x:c>
    </x:row>
    <x:row r="147" ht="18" customHeight="1">
      <x:c r="A147" s="46" t="str">
        <x:v>LME_007</x:v>
      </x:c>
      <x:c r="B147" s="46" t="str">
        <x:v>Northeast U.S. Continental Shelf</x:v>
      </x:c>
      <x:c r="C147" s="46" t="str">
        <x:v>LME</x:v>
      </x:c>
      <x:c r="D147" s="58" t="n">
        <x:v>2019</x:v>
      </x:c>
      <x:c r="E147" s="46" t="str">
        <x:v>Anarhichas lupus</x:v>
      </x:c>
      <x:c r="F147" s="46" t="str">
        <x:v>Atlantic wolffish</x:v>
      </x:c>
      <x:c r="G147" s="46" t="str">
        <x:v>Large demersals (&gt;=90 cm)</x:v>
      </x:c>
      <x:c r="H147" s="46" t="str">
        <x:v>Perch-likes</x:v>
      </x:c>
      <x:c r="I147" s="60" t="n">
        <x:v>11.0182413619</x:v>
      </x:c>
      <x:c r="J147" s="60" t="n">
        <x:v>0</x:v>
      </x:c>
      <x:c r="K147" s="60" t="n">
        <x:v>11.0182413619</x:v>
      </x:c>
      <x:c r="L147" s="60" t="n">
        <x:v>0</x:v>
      </x:c>
      <x:c r="M147" s="60" t="n">
        <x:v>11.0182413619</x:v>
      </x:c>
      <x:c r="N147" s="46" t="str">
        <x:v>anarhichas lupus</x:v>
      </x:c>
      <x:c r="O147" s="62" t="n">
        <x:v>3.55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Anarhichas lupus</x:v>
      </x:c>
      <x:c r="T147" s="62" t="n">
        <x:f>IF(O147="","",(1/'Metadata'!$B$5)^(O147-1))</x:f>
        <x:v>2077.9088316274606</x:v>
      </x:c>
      <x:c r="U147" s="60" t="n">
        <x:f>IF(T147="","",I147*T147)</x:f>
        <x:v>22894.90103489499</x:v>
      </x:c>
    </x:row>
    <x:row r="148" ht="18" customHeight="1">
      <x:c r="A148" s="46" t="str">
        <x:v>LME_007</x:v>
      </x:c>
      <x:c r="B148" s="46" t="str">
        <x:v>Northeast U.S. Continental Shelf</x:v>
      </x:c>
      <x:c r="C148" s="46" t="str">
        <x:v>LME</x:v>
      </x:c>
      <x:c r="D148" s="58" t="n">
        <x:v>2019</x:v>
      </x:c>
      <x:c r="E148" s="46" t="str">
        <x:v>Anarhichas</x:v>
      </x:c>
      <x:c r="F148" s="46" t="str">
        <x:v>Wolffishes</x:v>
      </x:c>
      <x:c r="G148" s="46" t="str">
        <x:v>Large demersals (&gt;=90 cm)</x:v>
      </x:c>
      <x:c r="H148" s="46" t="str">
        <x:v>Perch-likes</x:v>
      </x:c>
      <x:c r="I148" s="60" t="n">
        <x:v>10.9776514395</x:v>
      </x:c>
      <x:c r="J148" s="60" t="n">
        <x:v>0</x:v>
      </x:c>
      <x:c r="K148" s="60" t="n">
        <x:v>10.9776514395</x:v>
      </x:c>
      <x:c r="L148" s="60" t="n">
        <x:v>0</x:v>
      </x:c>
      <x:c r="M148" s="60" t="n">
        <x:v>10.9776514395</x:v>
      </x:c>
      <x:c r="N148" s="46" t="str">
        <x:v>anarhichas</x:v>
      </x:c>
      <x:c r="O148" s="62" t="n">
        <x:v>3.35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Anarhichas</x:v>
      </x:c>
      <x:c r="T148" s="62" t="n">
        <x:f>IF(O148="","",(1/'Metadata'!$B$5)^(O148-1))</x:f>
        <x:v>1141.3543275066227</x:v>
      </x:c>
      <x:c r="U148" s="60" t="n">
        <x:f>IF(T148="","",I148*T148)</x:f>
        <x:v>12529.389976332632</x:v>
      </x:c>
    </x:row>
    <x:row r="149" ht="18" customHeight="1">
      <x:c r="A149" s="46" t="str">
        <x:v>LME_007</x:v>
      </x:c>
      <x:c r="B149" s="46" t="str">
        <x:v>Northeast U.S. Continental Shelf</x:v>
      </x:c>
      <x:c r="C149" s="46" t="str">
        <x:v>LME</x:v>
      </x:c>
      <x:c r="D149" s="58" t="n">
        <x:v>2019</x:v>
      </x:c>
      <x:c r="E149" s="46" t="str">
        <x:v>Lamna nasus</x:v>
      </x:c>
      <x:c r="F149" s="46" t="str">
        <x:v>Porbeagle</x:v>
      </x:c>
      <x:c r="G149" s="46" t="str">
        <x:v>Large sharks (&gt;=90 cm)</x:v>
      </x:c>
      <x:c r="H149" s="46" t="str">
        <x:v>Sharks &amp; rays</x:v>
      </x:c>
      <x:c r="I149" s="60" t="n">
        <x:v>10.886494857</x:v>
      </x:c>
      <x:c r="J149" s="60" t="n">
        <x:v>1.7431736144999999</x:v>
      </x:c>
      <x:c r="K149" s="60" t="n">
        <x:v>9.1433212425</x:v>
      </x:c>
      <x:c r="L149" s="60" t="n">
        <x:v>1.7363534684</x:v>
      </x:c>
      <x:c r="M149" s="60" t="n">
        <x:v>9.150141388600002</x:v>
      </x:c>
      <x:c r="N149" s="46" t="str">
        <x:v>lamna nasus</x:v>
      </x:c>
      <x:c r="O149" s="62" t="n">
        <x:v>4.57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Lamna nasus</x:v>
      </x:c>
      <x:c r="T149" s="62" t="n">
        <x:f>IF(O149="","",(1/'Metadata'!$B$5)^(O149-1))</x:f>
        <x:v>44124.224393105345</x:v>
      </x:c>
      <x:c r="U149" s="60" t="n">
        <x:f>IF(T149="","",I149*T149)</x:f>
        <x:v>480358.1419246553</x:v>
      </x:c>
    </x:row>
    <x:row r="150" ht="18" customHeight="1">
      <x:c r="A150" s="46" t="str">
        <x:v>LME_007</x:v>
      </x:c>
      <x:c r="B150" s="46" t="str">
        <x:v>Northeast U.S. Continental Shelf</x:v>
      </x:c>
      <x:c r="C150" s="46" t="str">
        <x:v>LME</x:v>
      </x:c>
      <x:c r="D150" s="58" t="n">
        <x:v>2019</x:v>
      </x:c>
      <x:c r="E150" s="46" t="str">
        <x:v>Carcharhinus limbatus</x:v>
      </x:c>
      <x:c r="F150" s="46" t="str">
        <x:v>Blacktip shark</x:v>
      </x:c>
      <x:c r="G150" s="46" t="str">
        <x:v>Large sharks (&gt;=90 cm)</x:v>
      </x:c>
      <x:c r="H150" s="46" t="str">
        <x:v>Sharks &amp; rays</x:v>
      </x:c>
      <x:c r="I150" s="60" t="n">
        <x:v>10.6114458544</x:v>
      </x:c>
      <x:c r="J150" s="60" t="n">
        <x:v>10.6114458544</x:v>
      </x:c>
      <x:c r="K150" s="60" t="n">
        <x:v>0</x:v>
      </x:c>
      <x:c r="L150" s="60" t="n">
        <x:v>3.4079100307</x:v>
      </x:c>
      <x:c r="M150" s="60" t="n">
        <x:v>7.2035358237</x:v>
      </x:c>
      <x:c r="N150" s="46" t="str">
        <x:v>carcharhinus limbatus</x:v>
      </x:c>
      <x:c r="O150" s="62" t="n">
        <x:v>4.37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Carcharhinus limbatus</x:v>
      </x:c>
      <x:c r="T150" s="62" t="n">
        <x:f>IF(O150="","",(1/'Metadata'!$B$5)^(O150-1))</x:f>
        <x:v>24236.56596112542</x:v>
      </x:c>
      <x:c r="U150" s="60" t="n">
        <x:f>IF(T150="","",I150*T150)</x:f>
        <x:v>257185.00739307646</x:v>
      </x:c>
    </x:row>
    <x:row r="151" ht="18" customHeight="1">
      <x:c r="A151" s="46" t="str">
        <x:v>LME_007</x:v>
      </x:c>
      <x:c r="B151" s="46" t="str">
        <x:v>Northeast U.S. Continental Shelf</x:v>
      </x:c>
      <x:c r="C151" s="46" t="str">
        <x:v>LME</x:v>
      </x:c>
      <x:c r="D151" s="58" t="n">
        <x:v>2019</x:v>
      </x:c>
      <x:c r="E151" s="46" t="str">
        <x:v>Coryphaena</x:v>
      </x:c>
      <x:c r="F151" s="46" t="str">
        <x:v>Dolphinfishes</x:v>
      </x:c>
      <x:c r="G151" s="46" t="str">
        <x:v>Large pelagics (&gt;=90 cm)</x:v>
      </x:c>
      <x:c r="H151" s="46" t="str">
        <x:v>Perch-likes</x:v>
      </x:c>
      <x:c r="I151" s="60" t="n">
        <x:v>10.3762122297</x:v>
      </x:c>
      <x:c r="J151" s="60" t="n">
        <x:v>10.3762122297</x:v>
      </x:c>
      <x:c r="K151" s="60" t="n">
        <x:v>0</x:v>
      </x:c>
      <x:c r="L151" s="60" t="n">
        <x:v>10.3762122297</x:v>
      </x:c>
      <x:c r="M151" s="60" t="n">
        <x:v>0</x:v>
      </x:c>
      <x:c r="N151" s="46" t="str">
        <x:v>coryphaena</x:v>
      </x:c>
      <x:c r="O151" s="62" t="n">
        <x:v>4.49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Coryphaena</x:v>
      </x:c>
      <x:c r="T151" s="62" t="n">
        <x:f>IF(O151="","",(1/'Metadata'!$B$5)^(O151-1))</x:f>
        <x:v>34721.19667768202</x:v>
      </x:c>
      <x:c r="U151" s="60" t="n">
        <x:f>IF(T151="","",I151*T151)</x:f>
        <x:v>360274.5055967832</x:v>
      </x:c>
    </x:row>
    <x:row r="152" ht="18" customHeight="1">
      <x:c r="A152" s="46" t="str">
        <x:v>LME_007</x:v>
      </x:c>
      <x:c r="B152" s="46" t="str">
        <x:v>Northeast U.S. Continental Shelf</x:v>
      </x:c>
      <x:c r="C152" s="46" t="str">
        <x:v>LME</x:v>
      </x:c>
      <x:c r="D152" s="58" t="n">
        <x:v>2019</x:v>
      </x:c>
      <x:c r="E152" s="46" t="str">
        <x:v>Alosa mediocris</x:v>
      </x:c>
      <x:c r="F152" s="46" t="str">
        <x:v>Hickory shad</x:v>
      </x:c>
      <x:c r="G152" s="46" t="str">
        <x:v>Medium pelagics (30 - 89 cm)</x:v>
      </x:c>
      <x:c r="H152" s="46" t="str">
        <x:v>Herring-likes</x:v>
      </x:c>
      <x:c r="I152" s="60" t="n">
        <x:v>9.9961200054</x:v>
      </x:c>
      <x:c r="J152" s="60" t="n">
        <x:v>9.9961200054</x:v>
      </x:c>
      <x:c r="K152" s="60" t="n">
        <x:v>0</x:v>
      </x:c>
      <x:c r="L152" s="60" t="n">
        <x:v>5.3065626458</x:v>
      </x:c>
      <x:c r="M152" s="60" t="n">
        <x:v>4.6895573596</x:v>
      </x:c>
      <x:c r="N152" s="46" t="str">
        <x:v>alosa mediocris</x:v>
      </x:c>
      <x:c r="O152" s="62" t="n">
        <x:v>4.12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Alosa mediocris</x:v>
      </x:c>
      <x:c r="T152" s="62" t="n">
        <x:f>IF(O152="","",(1/'Metadata'!$B$5)^(O152-1))</x:f>
        <x:v>11460.764444393179</x:v>
      </x:c>
      <x:c r="U152" s="60" t="n">
        <x:f>IF(T152="","",I152*T152)</x:f>
        <x:v>114563.17673977566</x:v>
      </x:c>
    </x:row>
    <x:row r="153" ht="18" customHeight="1">
      <x:c r="A153" s="46" t="str">
        <x:v>LME_007</x:v>
      </x:c>
      <x:c r="B153" s="46" t="str">
        <x:v>Northeast U.S. Continental Shelf</x:v>
      </x:c>
      <x:c r="C153" s="46" t="str">
        <x:v>LME</x:v>
      </x:c>
      <x:c r="D153" s="58" t="n">
        <x:v>2019</x:v>
      </x:c>
      <x:c r="E153" s="46" t="str">
        <x:v>Scyphozoa</x:v>
      </x:c>
      <x:c r="F153" s="46" t="str">
        <x:v>True jellyfishes</x:v>
      </x:c>
      <x:c r="G153" s="46" t="str">
        <x:v>Jellyfish</x:v>
      </x:c>
      <x:c r="H153" s="46" t="str">
        <x:v>Other fishes &amp; inverts</x:v>
      </x:c>
      <x:c r="I153" s="60" t="n">
        <x:v>8.7949411823</x:v>
      </x:c>
      <x:c r="J153" s="60" t="n">
        <x:v>0</x:v>
      </x:c>
      <x:c r="K153" s="60" t="n">
        <x:v>8.7949411823</x:v>
      </x:c>
      <x:c r="L153" s="60" t="n">
        <x:v>0</x:v>
      </x:c>
      <x:c r="M153" s="60" t="n">
        <x:v>8.7949411823</x:v>
      </x:c>
      <x:c r="N153" s="46" t="str">
        <x:v>scyphozoa</x:v>
      </x:c>
      <x:c r="O153" s="62" t="n">
        <x:v>3.46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Scyphozoa</x:v>
      </x:c>
      <x:c r="T153" s="62" t="n">
        <x:f>IF(O153="","",(1/'Metadata'!$B$5)^(O153-1))</x:f>
        <x:v>1586.8423749532276</x:v>
      </x:c>
      <x:c r="U153" s="60" t="n">
        <x:f>IF(T153="","",I153*T153)</x:f>
        <x:v>13956.18535329488</x:v>
      </x:c>
    </x:row>
    <x:row r="154" ht="18" customHeight="1">
      <x:c r="A154" s="46" t="str">
        <x:v>LME_007</x:v>
      </x:c>
      <x:c r="B154" s="46" t="str">
        <x:v>Northeast U.S. Continental Shelf</x:v>
      </x:c>
      <x:c r="C154" s="46" t="str">
        <x:v>LME</x:v>
      </x:c>
      <x:c r="D154" s="58" t="n">
        <x:v>2019</x:v>
      </x:c>
      <x:c r="E154" s="46" t="str">
        <x:v>Malacoraja senta</x:v>
      </x:c>
      <x:c r="F154" s="46" t="str">
        <x:v>Smooth skate</x:v>
      </x:c>
      <x:c r="G154" s="46" t="str">
        <x:v>Small to medium rays (&lt;90 cm)</x:v>
      </x:c>
      <x:c r="H154" s="46" t="str">
        <x:v>Sharks &amp; rays</x:v>
      </x:c>
      <x:c r="I154" s="60" t="n">
        <x:v>8.6338642838</x:v>
      </x:c>
      <x:c r="J154" s="60" t="n">
        <x:v>8.6338642838</x:v>
      </x:c>
      <x:c r="K154" s="60" t="n">
        <x:v>0</x:v>
      </x:c>
      <x:c r="L154" s="60" t="n">
        <x:v>8.6338642838</x:v>
      </x:c>
      <x:c r="M154" s="60" t="n">
        <x:v>0</x:v>
      </x:c>
      <x:c r="N154" s="46" t="str">
        <x:v>malacoraja senta</x:v>
      </x:c>
      <x:c r="O154" s="62" t="n">
        <x:v>3.47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Malacoraja senta</x:v>
      </x:c>
      <x:c r="T154" s="62" t="n">
        <x:f>IF(O154="","",(1/'Metadata'!$B$5)^(O154-1))</x:f>
        <x:v>1635.0991368927735</x:v>
      </x:c>
      <x:c r="U154" s="60" t="n">
        <x:f>IF(T154="","",I154*T154)</x:f>
        <x:v>14117.224038490724</x:v>
      </x:c>
    </x:row>
    <x:row r="155" ht="18" customHeight="1">
      <x:c r="A155" s="46" t="str">
        <x:v>LME_007</x:v>
      </x:c>
      <x:c r="B155" s="46" t="str">
        <x:v>Northeast U.S. Continental Shelf</x:v>
      </x:c>
      <x:c r="C155" s="46" t="str">
        <x:v>LME</x:v>
      </x:c>
      <x:c r="D155" s="58" t="n">
        <x:v>2019</x:v>
      </x:c>
      <x:c r="E155" s="46" t="str">
        <x:v>Triglidae</x:v>
      </x:c>
      <x:c r="F155" s="46" t="str">
        <x:v>Searobins, gurnards</x:v>
      </x:c>
      <x:c r="G155" s="46" t="str">
        <x:v>Medium demersals (30 - 89 cm)</x:v>
      </x:c>
      <x:c r="H155" s="46" t="str">
        <x:v>Scorpionfishes</x:v>
      </x:c>
      <x:c r="I155" s="60" t="n">
        <x:v>8.0781881224</x:v>
      </x:c>
      <x:c r="J155" s="60" t="n">
        <x:v>8.0781881224</x:v>
      </x:c>
      <x:c r="K155" s="60" t="n">
        <x:v>0</x:v>
      </x:c>
      <x:c r="L155" s="60" t="n">
        <x:v>5.5539632564</x:v>
      </x:c>
      <x:c r="M155" s="60" t="n">
        <x:v>2.524224866</x:v>
      </x:c>
      <x:c r="N155" s="46" t="str">
        <x:v>triglidae</x:v>
      </x:c>
      <x:c r="O155" s="62" t="n">
        <x:v>3.74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Triglidae</x:v>
      </x:c>
      <x:c r="T155" s="62" t="n">
        <x:f>IF(O155="","",(1/'Metadata'!$B$5)^(O155-1))</x:f>
        <x:v>3671.3195599248957</x:v>
      </x:c>
      <x:c r="U155" s="60" t="n">
        <x:f>IF(T155="","",I155*T155)</x:f>
        <x:v>29657.61006252009</x:v>
      </x:c>
    </x:row>
    <x:row r="156" ht="18" customHeight="1">
      <x:c r="A156" s="46" t="str">
        <x:v>LME_007</x:v>
      </x:c>
      <x:c r="B156" s="46" t="str">
        <x:v>Northeast U.S. Continental Shelf</x:v>
      </x:c>
      <x:c r="C156" s="46" t="str">
        <x:v>LME</x:v>
      </x:c>
      <x:c r="D156" s="58" t="n">
        <x:v>2019</x:v>
      </x:c>
      <x:c r="E156" s="46" t="str">
        <x:v>Enchelyopus cimbrius</x:v>
      </x:c>
      <x:c r="F156" s="46" t="str">
        <x:v>Fourbeard rockling</x:v>
      </x:c>
      <x:c r="G156" s="46" t="str">
        <x:v>Medium demersals (30 - 89 cm)</x:v>
      </x:c>
      <x:c r="H156" s="46" t="str">
        <x:v>Cod-likes</x:v>
      </x:c>
      <x:c r="I156" s="60" t="n">
        <x:v>8.0217083582</x:v>
      </x:c>
      <x:c r="J156" s="60" t="n">
        <x:v>0</x:v>
      </x:c>
      <x:c r="K156" s="60" t="n">
        <x:v>8.0217083582</x:v>
      </x:c>
      <x:c r="L156" s="60" t="n">
        <x:v>0</x:v>
      </x:c>
      <x:c r="M156" s="60" t="n">
        <x:v>8.0217083582</x:v>
      </x:c>
      <x:c r="N156" s="46" t="str">
        <x:v>enchelyopus cimbrius</x:v>
      </x:c>
      <x:c r="O156" s="62" t="n">
        <x:v>3.53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Enchelyopus cimbrius</x:v>
      </x:c>
      <x:c r="T156" s="62" t="n">
        <x:f>IF(O156="","",(1/'Metadata'!$B$5)^(O156-1))</x:f>
        <x:v>1957.0678791263101</x:v>
      </x:c>
      <x:c r="U156" s="60" t="n">
        <x:f>IF(T156="","",I156*T156)</x:f>
        <x:v>15699.027763552269</x:v>
      </x:c>
    </x:row>
    <x:row r="157" ht="18" customHeight="1">
      <x:c r="A157" s="46" t="str">
        <x:v>LME_007</x:v>
      </x:c>
      <x:c r="B157" s="46" t="str">
        <x:v>Northeast U.S. Continental Shelf</x:v>
      </x:c>
      <x:c r="C157" s="46" t="str">
        <x:v>LME</x:v>
      </x:c>
      <x:c r="D157" s="58" t="n">
        <x:v>2019</x:v>
      </x:c>
      <x:c r="E157" s="46" t="str">
        <x:v>Pandalidae</x:v>
      </x:c>
      <x:c r="F157" s="46" t="str">
        <x:v>Northern shrimps</x:v>
      </x:c>
      <x:c r="G157" s="46" t="str">
        <x:v>Shrimps</x:v>
      </x:c>
      <x:c r="H157" s="46" t="str">
        <x:v>Crustaceans</x:v>
      </x:c>
      <x:c r="I157" s="60" t="n">
        <x:v>7.7340516762</x:v>
      </x:c>
      <x:c r="J157" s="60" t="n">
        <x:v>7.7340516762</x:v>
      </x:c>
      <x:c r="K157" s="60" t="n">
        <x:v>0</x:v>
      </x:c>
      <x:c r="L157" s="60" t="n">
        <x:v>0</x:v>
      </x:c>
      <x:c r="M157" s="60" t="n">
        <x:v>7.7340516762</x:v>
      </x:c>
      <x:c r="N157" s="46" t="str">
        <x:v>pandalidae</x:v>
      </x:c>
      <x:c r="O157" s="62" t="n">
        <x:v>2.7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Pandalidae</x:v>
      </x:c>
      <x:c r="T157" s="62" t="n">
        <x:f>IF(O157="","",(1/'Metadata'!$B$5)^(O157-1))</x:f>
        <x:v>162.83621261476185</x:v>
      </x:c>
      <x:c r="U157" s="60" t="n">
        <x:f>IF(T157="","",I157*T157)</x:f>
        <x:v>1259.3836831192584</x:v>
      </x:c>
    </x:row>
    <x:row r="158" ht="18" customHeight="1">
      <x:c r="A158" s="46" t="str">
        <x:v>LME_007</x:v>
      </x:c>
      <x:c r="B158" s="46" t="str">
        <x:v>Northeast U.S. Continental Shelf</x:v>
      </x:c>
      <x:c r="C158" s="46" t="str">
        <x:v>LME</x:v>
      </x:c>
      <x:c r="D158" s="58" t="n">
        <x:v>2019</x:v>
      </x:c>
      <x:c r="E158" s="46" t="str">
        <x:v>Orthopristis chrysoptera</x:v>
      </x:c>
      <x:c r="F158" s="46" t="str">
        <x:v>Pigfish</x:v>
      </x:c>
      <x:c r="G158" s="46" t="str">
        <x:v>Medium demersals (30 - 89 cm)</x:v>
      </x:c>
      <x:c r="H158" s="46" t="str">
        <x:v>Perch-likes</x:v>
      </x:c>
      <x:c r="I158" s="60" t="n">
        <x:v>7.5281932492</x:v>
      </x:c>
      <x:c r="J158" s="60" t="n">
        <x:v>7.5281932492</x:v>
      </x:c>
      <x:c r="K158" s="60" t="n">
        <x:v>0</x:v>
      </x:c>
      <x:c r="L158" s="60" t="n">
        <x:v>0</x:v>
      </x:c>
      <x:c r="M158" s="60" t="n">
        <x:v>7.5281932492</x:v>
      </x:c>
      <x:c r="N158" s="46" t="str">
        <x:v>orthopristis chrysoptera</x:v>
      </x:c>
      <x:c r="O158" s="62" t="n">
        <x:v>3.42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Orthopristis chrysoptera</x:v>
      </x:c>
      <x:c r="T158" s="62" t="n">
        <x:f>IF(O158="","",(1/'Metadata'!$B$5)^(O158-1))</x:f>
        <x:v>1407.643209131506</x:v>
      </x:c>
      <x:c r="U158" s="60" t="n">
        <x:f>IF(T158="","",I158*T158)</x:f>
        <x:v>10597.010104266026</x:v>
      </x:c>
    </x:row>
    <x:row r="159" ht="18" customHeight="1">
      <x:c r="A159" s="46" t="str">
        <x:v>LME_007</x:v>
      </x:c>
      <x:c r="B159" s="46" t="str">
        <x:v>Northeast U.S. Continental Shelf</x:v>
      </x:c>
      <x:c r="C159" s="46" t="str">
        <x:v>LME</x:v>
      </x:c>
      <x:c r="D159" s="58" t="n">
        <x:v>2019</x:v>
      </x:c>
      <x:c r="E159" s="46" t="str">
        <x:v>Lithodidae</x:v>
      </x:c>
      <x:c r="F159" s="46" t="str">
        <x:v>Stone/king crabs</x:v>
      </x:c>
      <x:c r="G159" s="46" t="str">
        <x:v>Lobsters, crabs</x:v>
      </x:c>
      <x:c r="H159" s="46" t="str">
        <x:v>Crustaceans</x:v>
      </x:c>
      <x:c r="I159" s="60" t="n">
        <x:v>7.4021638723</x:v>
      </x:c>
      <x:c r="J159" s="60" t="n">
        <x:v>0</x:v>
      </x:c>
      <x:c r="K159" s="60" t="n">
        <x:v>7.4021638723</x:v>
      </x:c>
      <x:c r="L159" s="60" t="n">
        <x:v>0</x:v>
      </x:c>
      <x:c r="M159" s="60" t="n">
        <x:v>7.4021638723</x:v>
      </x:c>
      <x:c r="N159" s="46" t="str">
        <x:v>lithodidae</x:v>
      </x:c>
      <x:c r="O159" s="62" t="n">
        <x:v>2.82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Lithodidae</x:v>
      </x:c>
      <x:c r="T159" s="62" t="n">
        <x:f>IF(O159="","",(1/'Metadata'!$B$5)^(O159-1))</x:f>
        <x:v>233.27843447436348</x:v>
      </x:c>
      <x:c r="U159" s="60" t="n">
        <x:f>IF(T159="","",I159*T159)</x:f>
        <x:v>1726.7651998528363</x:v>
      </x:c>
    </x:row>
    <x:row r="160" ht="18" customHeight="1">
      <x:c r="A160" s="46" t="str">
        <x:v>LME_007</x:v>
      </x:c>
      <x:c r="B160" s="46" t="str">
        <x:v>Northeast U.S. Continental Shelf</x:v>
      </x:c>
      <x:c r="C160" s="46" t="str">
        <x:v>LME</x:v>
      </x:c>
      <x:c r="D160" s="58" t="n">
        <x:v>2019</x:v>
      </x:c>
      <x:c r="E160" s="46" t="str">
        <x:v>Octopoda</x:v>
      </x:c>
      <x:c r="F160" s="46" t="str">
        <x:v>Octopuses, argonauts</x:v>
      </x:c>
      <x:c r="G160" s="46" t="str">
        <x:v>Cephalopods</x:v>
      </x:c>
      <x:c r="H160" s="46" t="str">
        <x:v>Other fishes &amp; inverts</x:v>
      </x:c>
      <x:c r="I160" s="60" t="n">
        <x:v>6.7942422811</x:v>
      </x:c>
      <x:c r="J160" s="60" t="n">
        <x:v>0</x:v>
      </x:c>
      <x:c r="K160" s="60" t="n">
        <x:v>6.7942422811</x:v>
      </x:c>
      <x:c r="L160" s="60" t="n">
        <x:v>0</x:v>
      </x:c>
      <x:c r="M160" s="60" t="n">
        <x:v>6.7942422811</x:v>
      </x:c>
      <x:c r="N160" s="46" t="str">
        <x:v>octopoda</x:v>
      </x:c>
      <x:c r="O160" s="62" t="n">
        <x:v>3.58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Octopoda</x:v>
      </x:c>
      <x:c r="T160" s="62" t="n">
        <x:f>IF(O160="","",(1/'Metadata'!$B$5)^(O160-1))</x:f>
        <x:v>2273.3033337150473</x:v>
      </x:c>
      <x:c r="U160" s="60" t="n">
        <x:f>IF(T160="","",I160*T160)</x:f>
        <x:v>15445.373627692357</x:v>
      </x:c>
    </x:row>
    <x:row r="161" ht="18" customHeight="1">
      <x:c r="A161" s="46" t="str">
        <x:v>LME_007</x:v>
      </x:c>
      <x:c r="B161" s="46" t="str">
        <x:v>Northeast U.S. Continental Shelf</x:v>
      </x:c>
      <x:c r="C161" s="46" t="str">
        <x:v>LME</x:v>
      </x:c>
      <x:c r="D161" s="58" t="n">
        <x:v>2019</x:v>
      </x:c>
      <x:c r="E161" s="46" t="str">
        <x:v>Centroscyllium fabricii</x:v>
      </x:c>
      <x:c r="F161" s="46" t="str">
        <x:v>Black dogfish</x:v>
      </x:c>
      <x:c r="G161" s="46" t="str">
        <x:v>Small to medium sharks (&lt;90 cm)</x:v>
      </x:c>
      <x:c r="H161" s="46" t="str">
        <x:v>Sharks &amp; rays</x:v>
      </x:c>
      <x:c r="I161" s="60" t="n">
        <x:v>6.1940139084</x:v>
      </x:c>
      <x:c r="J161" s="60" t="n">
        <x:v>0</x:v>
      </x:c>
      <x:c r="K161" s="60" t="n">
        <x:v>6.1940139084</x:v>
      </x:c>
      <x:c r="L161" s="60" t="n">
        <x:v>0</x:v>
      </x:c>
      <x:c r="M161" s="60" t="n">
        <x:v>6.1940139084</x:v>
      </x:c>
      <x:c r="N161" s="46" t="str">
        <x:v>centroscyllium fabricii</x:v>
      </x:c>
      <x:c r="O161" s="62" t="n">
        <x:v>3.84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Centroscyllium fabricii</x:v>
      </x:c>
      <x:c r="T161" s="62" t="n">
        <x:f>IF(O161="","",(1/'Metadata'!$B$5)^(O161-1))</x:f>
        <x:v>4953.648510535111</x:v>
      </x:c>
      <x:c r="U161" s="60" t="n">
        <x:f>IF(T161="","",I161*T161)</x:f>
        <x:v>30682.96777157942</x:v>
      </x:c>
    </x:row>
    <x:row r="162" ht="18" customHeight="1">
      <x:c r="A162" s="46" t="str">
        <x:v>LME_007</x:v>
      </x:c>
      <x:c r="B162" s="46" t="str">
        <x:v>Northeast U.S. Continental Shelf</x:v>
      </x:c>
      <x:c r="C162" s="46" t="str">
        <x:v>LME</x:v>
      </x:c>
      <x:c r="D162" s="58" t="n">
        <x:v>2019</x:v>
      </x:c>
      <x:c r="E162" s="46" t="str">
        <x:v>Lunarca ovalis</x:v>
      </x:c>
      <x:c r="F162" s="46" t="str">
        <x:v>Oval blood ark</x:v>
      </x:c>
      <x:c r="G162" s="46" t="str">
        <x:v>Other demersal invertebrates</x:v>
      </x:c>
      <x:c r="H162" s="46" t="str">
        <x:v>Molluscs</x:v>
      </x:c>
      <x:c r="I162" s="60" t="n">
        <x:v>5.955676861700001</x:v>
      </x:c>
      <x:c r="J162" s="60" t="n">
        <x:v>5.955676861700001</x:v>
      </x:c>
      <x:c r="K162" s="60" t="n">
        <x:v>0</x:v>
      </x:c>
      <x:c r="L162" s="60" t="n">
        <x:v>1.3075702908</x:v>
      </x:c>
      <x:c r="M162" s="60" t="n">
        <x:v>4.6481065709000005</x:v>
      </x:c>
      <x:c r="N162" s="46" t="str">
        <x:v>lunarca ovalis</x:v>
      </x:c>
      <x:c r="O162" s="62" t="n">
        <x:v>2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Lunarca ovalis</x:v>
      </x:c>
      <x:c r="T162" s="62" t="n">
        <x:f>IF(O162="","",(1/'Metadata'!$B$5)^(O162-1))</x:f>
        <x:v>20</x:v>
      </x:c>
      <x:c r="U162" s="60" t="n">
        <x:f>IF(T162="","",I162*T162)</x:f>
        <x:v>119.113537234</x:v>
      </x:c>
    </x:row>
    <x:row r="163" ht="18" customHeight="1">
      <x:c r="A163" s="46" t="str">
        <x:v>LME_007</x:v>
      </x:c>
      <x:c r="B163" s="46" t="str">
        <x:v>Northeast U.S. Continental Shelf</x:v>
      </x:c>
      <x:c r="C163" s="46" t="str">
        <x:v>LME</x:v>
      </x:c>
      <x:c r="D163" s="58" t="n">
        <x:v>2019</x:v>
      </x:c>
      <x:c r="E163" s="46" t="str">
        <x:v>Balistidae</x:v>
      </x:c>
      <x:c r="F163" s="46" t="str">
        <x:v>Triggerfishes</x:v>
      </x:c>
      <x:c r="G163" s="46" t="str">
        <x:v>Medium reef assoc. fish (30 - 89 cm)</x:v>
      </x:c>
      <x:c r="H163" s="46" t="str">
        <x:v>Other fishes &amp; inverts</x:v>
      </x:c>
      <x:c r="I163" s="60" t="n">
        <x:v>5.1837062709</x:v>
      </x:c>
      <x:c r="J163" s="60" t="n">
        <x:v>5.1837062709</x:v>
      </x:c>
      <x:c r="K163" s="60" t="n">
        <x:v>0</x:v>
      </x:c>
      <x:c r="L163" s="60" t="n">
        <x:v>4.7579212859</x:v>
      </x:c>
      <x:c r="M163" s="60" t="n">
        <x:v>0.425784985</x:v>
      </x:c>
      <x:c r="N163" s="46" t="str">
        <x:v>balistidae</x:v>
      </x:c>
      <x:c r="O163" s="62" t="n">
        <x:v>3.25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Balistidae</x:v>
      </x:c>
      <x:c r="T163" s="62" t="n">
        <x:f>IF(O163="","",(1/'Metadata'!$B$5)^(O163-1))</x:f>
        <x:v>845.8970107524513</x:v>
      </x:c>
      <x:c r="U163" s="60" t="n">
        <x:f>IF(T163="","",I163*T163)</x:f>
        <x:v>4384.881639173046</x:v>
      </x:c>
    </x:row>
    <x:row r="164" ht="18" customHeight="1">
      <x:c r="A164" s="46" t="str">
        <x:v>LME_007</x:v>
      </x:c>
      <x:c r="B164" s="46" t="str">
        <x:v>Northeast U.S. Continental Shelf</x:v>
      </x:c>
      <x:c r="C164" s="46" t="str">
        <x:v>LME</x:v>
      </x:c>
      <x:c r="D164" s="58" t="n">
        <x:v>2019</x:v>
      </x:c>
      <x:c r="E164" s="46" t="str">
        <x:v>Trachinotus carolinus</x:v>
      </x:c>
      <x:c r="F164" s="46" t="str">
        <x:v>Florida pompano</x:v>
      </x:c>
      <x:c r="G164" s="46" t="str">
        <x:v>Medium benthopelagics (30 - 89 cm)</x:v>
      </x:c>
      <x:c r="H164" s="46" t="str">
        <x:v>Perch-likes</x:v>
      </x:c>
      <x:c r="I164" s="60" t="n">
        <x:v>5.0415208443</x:v>
      </x:c>
      <x:c r="J164" s="60" t="n">
        <x:v>5.0415208443</x:v>
      </x:c>
      <x:c r="K164" s="60" t="n">
        <x:v>0</x:v>
      </x:c>
      <x:c r="L164" s="60" t="n">
        <x:v>1.9434428601999998</x:v>
      </x:c>
      <x:c r="M164" s="60" t="n">
        <x:v>3.0980779841</x:v>
      </x:c>
      <x:c r="N164" s="46" t="str">
        <x:v>trachinotus carolinus</x:v>
      </x:c>
      <x:c r="O164" s="62" t="n">
        <x:v>3.5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Trachinotus carolinus</x:v>
      </x:c>
      <x:c r="T164" s="62" t="n">
        <x:f>IF(O164="","",(1/'Metadata'!$B$5)^(O164-1))</x:f>
        <x:v>1788.8543819998317</x:v>
      </x:c>
      <x:c r="U164" s="60" t="n">
        <x:f>IF(T164="","",I164*T164)</x:f>
        <x:v>9018.546654269547</x:v>
      </x:c>
    </x:row>
    <x:row r="165" ht="18" customHeight="1">
      <x:c r="A165" s="46" t="str">
        <x:v>LME_007</x:v>
      </x:c>
      <x:c r="B165" s="46" t="str">
        <x:v>Northeast U.S. Continental Shelf</x:v>
      </x:c>
      <x:c r="C165" s="46" t="str">
        <x:v>LME</x:v>
      </x:c>
      <x:c r="D165" s="58" t="n">
        <x:v>2019</x:v>
      </x:c>
      <x:c r="E165" s="46" t="str">
        <x:v>Prionace glauca</x:v>
      </x:c>
      <x:c r="F165" s="46" t="str">
        <x:v>Blue shark</x:v>
      </x:c>
      <x:c r="G165" s="46" t="str">
        <x:v>Large sharks (&gt;=90 cm)</x:v>
      </x:c>
      <x:c r="H165" s="46" t="str">
        <x:v>Sharks &amp; rays</x:v>
      </x:c>
      <x:c r="I165" s="60" t="n">
        <x:v>4.9725718058999995</x:v>
      </x:c>
      <x:c r="J165" s="60" t="n">
        <x:v>2.4392079975</x:v>
      </x:c>
      <x:c r="K165" s="60" t="n">
        <x:v>2.5333638084</x:v>
      </x:c>
      <x:c r="L165" s="60" t="n">
        <x:v>2.4391031043</x:v>
      </x:c>
      <x:c r="M165" s="60" t="n">
        <x:v>2.5334687016</x:v>
      </x:c>
      <x:c r="N165" s="46" t="str">
        <x:v>prionace glauca</x:v>
      </x:c>
      <x:c r="O165" s="62" t="n">
        <x:v>4.35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Prionace glauca</x:v>
      </x:c>
      <x:c r="T165" s="62" t="n">
        <x:f>IF(O165="","",(1/'Metadata'!$B$5)^(O165-1))</x:f>
        <x:v>22827.086550132422</x:v>
      </x:c>
      <x:c r="U165" s="60" t="n">
        <x:f>IF(T165="","",I165*T165)</x:f>
        <x:v>113509.32699002756</x:v>
      </x:c>
    </x:row>
    <x:row r="166" ht="18" customHeight="1">
      <x:c r="A166" s="46" t="str">
        <x:v>LME_007</x:v>
      </x:c>
      <x:c r="B166" s="46" t="str">
        <x:v>Northeast U.S. Continental Shelf</x:v>
      </x:c>
      <x:c r="C166" s="46" t="str">
        <x:v>LME</x:v>
      </x:c>
      <x:c r="D166" s="58" t="n">
        <x:v>2019</x:v>
      </x:c>
      <x:c r="E166" s="46" t="str">
        <x:v>Rhizoprionodon terraenovae</x:v>
      </x:c>
      <x:c r="F166" s="46" t="str">
        <x:v>Atlantic sharpnose shark</x:v>
      </x:c>
      <x:c r="G166" s="46" t="str">
        <x:v>Large sharks (&gt;=90 cm)</x:v>
      </x:c>
      <x:c r="H166" s="46" t="str">
        <x:v>Sharks &amp; rays</x:v>
      </x:c>
      <x:c r="I166" s="60" t="n">
        <x:v>4.9003425632</x:v>
      </x:c>
      <x:c r="J166" s="60" t="n">
        <x:v>4.9003425632</x:v>
      </x:c>
      <x:c r="K166" s="60" t="n">
        <x:v>0</x:v>
      </x:c>
      <x:c r="L166" s="60" t="n">
        <x:v>0.20031524679999999</x:v>
      </x:c>
      <x:c r="M166" s="60" t="n">
        <x:v>4.7000273164</x:v>
      </x:c>
      <x:c r="N166" s="46" t="str">
        <x:v>rhizoprionodon terraenovae</x:v>
      </x:c>
      <x:c r="O166" s="62" t="n">
        <x:v>4.37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Rhizoprionodon terraenovae</x:v>
      </x:c>
      <x:c r="T166" s="62" t="n">
        <x:f>IF(O166="","",(1/'Metadata'!$B$5)^(O166-1))</x:f>
        <x:v>24236.56596112542</x:v>
      </x:c>
      <x:c r="U166" s="60" t="n">
        <x:f>IF(T166="","",I166*T166)</x:f>
        <x:v>118767.4757651072</x:v>
      </x:c>
    </x:row>
    <x:row r="167" ht="18" customHeight="1">
      <x:c r="A167" s="46" t="str">
        <x:v>LME_007</x:v>
      </x:c>
      <x:c r="B167" s="46" t="str">
        <x:v>Northeast U.S. Continental Shelf</x:v>
      </x:c>
      <x:c r="C167" s="46" t="str">
        <x:v>LME</x:v>
      </x:c>
      <x:c r="D167" s="58" t="n">
        <x:v>2019</x:v>
      </x:c>
      <x:c r="E167" s="46" t="str">
        <x:v>Rostroraja eglanteria</x:v>
      </x:c>
      <x:c r="F167" s="46" t="str">
        <x:v>Clearnose skate</x:v>
      </x:c>
      <x:c r="G167" s="46" t="str">
        <x:v>Small to medium rays (&lt;90 cm)</x:v>
      </x:c>
      <x:c r="H167" s="46" t="str">
        <x:v>Sharks &amp; rays</x:v>
      </x:c>
      <x:c r="I167" s="60" t="n">
        <x:v>4.764925234900001</x:v>
      </x:c>
      <x:c r="J167" s="60" t="n">
        <x:v>4.764925234900001</x:v>
      </x:c>
      <x:c r="K167" s="60" t="n">
        <x:v>0</x:v>
      </x:c>
      <x:c r="L167" s="60" t="n">
        <x:v>0.37154307999999997</x:v>
      </x:c>
      <x:c r="M167" s="60" t="n">
        <x:v>4.3933821549</x:v>
      </x:c>
      <x:c r="N167" s="46" t="str">
        <x:v>rostroraja eglanteria</x:v>
      </x:c>
      <x:c r="O167" s="62" t="n">
        <x:v>3.9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Rostroraja eglanteria</x:v>
      </x:c>
      <x:c r="T167" s="62" t="n">
        <x:f>IF(O167="","",(1/'Metadata'!$B$5)^(O167-1))</x:f>
        <x:v>5929.07559285558</x:v>
      </x:c>
      <x:c r="U167" s="60" t="n">
        <x:f>IF(T167="","",I167*T167)</x:f>
        <x:v>28251.601912027236</x:v>
      </x:c>
    </x:row>
    <x:row r="168" ht="18" customHeight="1">
      <x:c r="A168" s="46" t="str">
        <x:v>LME_007</x:v>
      </x:c>
      <x:c r="B168" s="46" t="str">
        <x:v>Northeast U.S. Continental Shelf</x:v>
      </x:c>
      <x:c r="C168" s="46" t="str">
        <x:v>LME</x:v>
      </x:c>
      <x:c r="D168" s="58" t="n">
        <x:v>2019</x:v>
      </x:c>
      <x:c r="E168" s="46" t="str">
        <x:v>Peprilus</x:v>
      </x:c>
      <x:c r="F168" s="46" t="str">
        <x:v>Harvestfishes</x:v>
      </x:c>
      <x:c r="G168" s="46" t="str">
        <x:v>Small benthopelagics (&lt;30 cm)</x:v>
      </x:c>
      <x:c r="H168" s="46" t="str">
        <x:v>Perch-likes</x:v>
      </x:c>
      <x:c r="I168" s="60" t="n">
        <x:v>4.6036107239</x:v>
      </x:c>
      <x:c r="J168" s="60" t="n">
        <x:v>4.6036107239</x:v>
      </x:c>
      <x:c r="K168" s="60" t="n">
        <x:v>0</x:v>
      </x:c>
      <x:c r="L168" s="60" t="n">
        <x:v>0</x:v>
      </x:c>
      <x:c r="M168" s="60" t="n">
        <x:v>4.6036107239</x:v>
      </x:c>
      <x:c r="N168" s="46" t="str">
        <x:v>peprilus</x:v>
      </x:c>
      <x:c r="O168" s="62" t="n">
        <x:v>3.78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Peprilus</x:v>
      </x:c>
      <x:c r="T168" s="62" t="n">
        <x:f>IF(O168="","",(1/'Metadata'!$B$5)^(O168-1))</x:f>
        <x:v>4138.694671981463</x:v>
      </x:c>
      <x:c r="U168" s="60" t="n">
        <x:f>IF(T168="","",I168*T168)</x:f>
        <x:v>19052.939174881656</x:v>
      </x:c>
    </x:row>
    <x:row r="169" ht="18" customHeight="1">
      <x:c r="A169" s="46" t="str">
        <x:v>LME_007</x:v>
      </x:c>
      <x:c r="B169" s="46" t="str">
        <x:v>Northeast U.S. Continental Shelf</x:v>
      </x:c>
      <x:c r="C169" s="46" t="str">
        <x:v>LME</x:v>
      </x:c>
      <x:c r="D169" s="58" t="n">
        <x:v>2019</x:v>
      </x:c>
      <x:c r="E169" s="46" t="str">
        <x:v>Miscellaneous aquatic invertebrates</x:v>
      </x:c>
      <x:c r="F169" s="46" t="str">
        <x:v>Aquatic invertebrates</x:v>
      </x:c>
      <x:c r="G169" s="46" t="str">
        <x:v>Other demersal invertebrates</x:v>
      </x:c>
      <x:c r="H169" s="46" t="str">
        <x:v>Other fishes &amp; inverts</x:v>
      </x:c>
      <x:c r="I169" s="60" t="n">
        <x:v>4.4437205447000006</x:v>
      </x:c>
      <x:c r="J169" s="60" t="n">
        <x:v>0</x:v>
      </x:c>
      <x:c r="K169" s="60" t="n">
        <x:v>4.4437205447000006</x:v>
      </x:c>
      <x:c r="L169" s="60" t="n">
        <x:v>0</x:v>
      </x:c>
      <x:c r="M169" s="60" t="n">
        <x:v>4.4437205447000006</x:v>
      </x:c>
      <x:c r="N169" s="46" t="str">
        <x:v>miscellaneous aquatic invertebrates</x:v>
      </x:c>
      <x:c r="O169" s="62" t="n">
        <x:v>2.43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Miscellaneous aquatic invertebrates</x:v>
      </x:c>
      <x:c r="T169" s="62" t="n">
        <x:f>IF(O169="","",(1/'Metadata'!$B$5)^(O169-1))</x:f>
        <x:v>72.52252122305909</x:v>
      </x:c>
      <x:c r="U169" s="60" t="n">
        <x:f>IF(T169="","",I169*T169)</x:f>
        <x:v>322.26981751234945</x:v>
      </x:c>
    </x:row>
    <x:row r="170" ht="18" customHeight="1">
      <x:c r="A170" s="46" t="str">
        <x:v>LME_007</x:v>
      </x:c>
      <x:c r="B170" s="46" t="str">
        <x:v>Northeast U.S. Continental Shelf</x:v>
      </x:c>
      <x:c r="C170" s="46" t="str">
        <x:v>LME</x:v>
      </x:c>
      <x:c r="D170" s="58" t="n">
        <x:v>2019</x:v>
      </x:c>
      <x:c r="E170" s="46" t="str">
        <x:v>Buccinum undatum</x:v>
      </x:c>
      <x:c r="F170" s="46" t="str">
        <x:v>Whelk</x:v>
      </x:c>
      <x:c r="G170" s="46" t="str">
        <x:v>Other demersal invertebrates</x:v>
      </x:c>
      <x:c r="H170" s="46" t="str">
        <x:v>Molluscs</x:v>
      </x:c>
      <x:c r="I170" s="60" t="n">
        <x:v>4.2765629243</x:v>
      </x:c>
      <x:c r="J170" s="60" t="n">
        <x:v>2.4820920565999995</x:v>
      </x:c>
      <x:c r="K170" s="60" t="n">
        <x:v>1.7944708677</x:v>
      </x:c>
      <x:c r="L170" s="60" t="n">
        <x:v>2.4820920565999995</x:v>
      </x:c>
      <x:c r="M170" s="60" t="n">
        <x:v>1.7944708677</x:v>
      </x:c>
      <x:c r="N170" s="46" t="str">
        <x:v>buccinum undatum</x:v>
      </x:c>
      <x:c r="O170" s="62" t="n">
        <x:v>3.75</x:v>
      </x:c>
      <x:c r="P170" s="46" t="str">
        <x:v>exact_2020_supplement</x:v>
      </x:c>
      <x:c r="Q170" s="62" t="str">
        <x:v>2020 supplement MeanTL</x:v>
      </x:c>
      <x:c r="R170" s="46" t="str">
        <x:v>high</x:v>
      </x:c>
      <x:c r="S170" s="46" t="str">
        <x:v>Buccinum undatum</x:v>
      </x:c>
      <x:c r="T170" s="62" t="n">
        <x:f>IF(O170="","",(1/'Metadata'!$B$5)^(O170-1))</x:f>
        <x:v>3782.966436012703</x:v>
      </x:c>
      <x:c r="U170" s="60" t="n">
        <x:f>IF(T170="","",I170*T170)</x:f>
        <x:v>16178.094004123235</x:v>
      </x:c>
    </x:row>
    <x:row r="171" ht="18" customHeight="1">
      <x:c r="A171" s="46" t="str">
        <x:v>LME_007</x:v>
      </x:c>
      <x:c r="B171" s="46" t="str">
        <x:v>Northeast U.S. Continental Shelf</x:v>
      </x:c>
      <x:c r="C171" s="46" t="str">
        <x:v>LME</x:v>
      </x:c>
      <x:c r="D171" s="58" t="n">
        <x:v>2019</x:v>
      </x:c>
      <x:c r="E171" s="46" t="str">
        <x:v>Hippoglossina oblonga</x:v>
      </x:c>
      <x:c r="F171" s="46" t="str">
        <x:v>American fourspot flounder</x:v>
      </x:c>
      <x:c r="G171" s="46" t="str">
        <x:v>Medium demersals (30 - 89 cm)</x:v>
      </x:c>
      <x:c r="H171" s="46" t="str">
        <x:v>Flatfishes</x:v>
      </x:c>
      <x:c r="I171" s="60" t="n">
        <x:v>3.73616379</x:v>
      </x:c>
      <x:c r="J171" s="60" t="n">
        <x:v>3.73616379</x:v>
      </x:c>
      <x:c r="K171" s="60" t="n">
        <x:v>0</x:v>
      </x:c>
      <x:c r="L171" s="60" t="n">
        <x:v>3.73616379</x:v>
      </x:c>
      <x:c r="M171" s="60" t="n">
        <x:v>0</x:v>
      </x:c>
      <x:c r="N171" s="46" t="str">
        <x:v>hippoglossina oblonga</x:v>
      </x:c>
      <x:c r="O171" s="62" t="n">
        <x:v>4.29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Hippoglossina oblonga</x:v>
      </x:c>
      <x:c r="T171" s="62" t="n">
        <x:f>IF(O171="","",(1/'Metadata'!$B$5)^(O171-1))</x:f>
        <x:v>19071.668343236455</x:v>
      </x:c>
      <x:c r="U171" s="60" t="n">
        <x:f>IF(T171="","",I171*T171)</x:f>
        <x:v>71254.87667888934</x:v>
      </x:c>
    </x:row>
    <x:row r="172" ht="18" customHeight="1">
      <x:c r="A172" s="46" t="str">
        <x:v>LME_007</x:v>
      </x:c>
      <x:c r="B172" s="46" t="str">
        <x:v>Northeast U.S. Continental Shelf</x:v>
      </x:c>
      <x:c r="C172" s="46" t="str">
        <x:v>LME</x:v>
      </x:c>
      <x:c r="D172" s="58" t="n">
        <x:v>2019</x:v>
      </x:c>
      <x:c r="E172" s="46" t="str">
        <x:v>Cyprinidae</x:v>
      </x:c>
      <x:c r="F172" s="46" t="str">
        <x:v>Carps, barbels, other cyprinids</x:v>
      </x:c>
      <x:c r="G172" s="46" t="str">
        <x:v>Medium demersals (30 - 89 cm)</x:v>
      </x:c>
      <x:c r="H172" s="46" t="str">
        <x:v>Other fishes &amp; inverts</x:v>
      </x:c>
      <x:c r="I172" s="60" t="n">
        <x:v>3.1371142269</x:v>
      </x:c>
      <x:c r="J172" s="60" t="n">
        <x:v>3.1371142269</x:v>
      </x:c>
      <x:c r="K172" s="60" t="n">
        <x:v>0</x:v>
      </x:c>
      <x:c r="L172" s="60" t="n">
        <x:v>0</x:v>
      </x:c>
      <x:c r="M172" s="60" t="n">
        <x:v>3.1371142269</x:v>
      </x:c>
      <x:c r="N172" s="46" t="str">
        <x:v>cyprinidae</x:v>
      </x:c>
      <x:c r="O172" s="62" t="n">
        <x:v>2.8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Cyprinidae</x:v>
      </x:c>
      <x:c r="T172" s="62" t="n">
        <x:f>IF(O172="","",(1/'Metadata'!$B$5)^(O172-1))</x:f>
        <x:v>219.71210866122343</x:v>
      </x:c>
      <x:c r="U172" s="60" t="n">
        <x:f>IF(T172="","",I172*T172)</x:f>
        <x:v>689.2619819033227</x:v>
      </x:c>
    </x:row>
    <x:row r="173" ht="18" customHeight="1">
      <x:c r="A173" s="46" t="str">
        <x:v>LME_007</x:v>
      </x:c>
      <x:c r="B173" s="46" t="str">
        <x:v>Northeast U.S. Continental Shelf</x:v>
      </x:c>
      <x:c r="C173" s="46" t="str">
        <x:v>LME</x:v>
      </x:c>
      <x:c r="D173" s="58" t="n">
        <x:v>2019</x:v>
      </x:c>
      <x:c r="E173" s="46" t="str">
        <x:v>Makaira nigricans</x:v>
      </x:c>
      <x:c r="F173" s="46" t="str">
        <x:v>Blue marlin</x:v>
      </x:c>
      <x:c r="G173" s="46" t="str">
        <x:v>Large pelagics (&gt;=90 cm)</x:v>
      </x:c>
      <x:c r="H173" s="46" t="str">
        <x:v>Tuna &amp; billfishes</x:v>
      </x:c>
      <x:c r="I173" s="60" t="n">
        <x:v>2.5531213904000003</x:v>
      </x:c>
      <x:c r="J173" s="60" t="n">
        <x:v>2.5531213904000003</x:v>
      </x:c>
      <x:c r="K173" s="60" t="n">
        <x:v>0</x:v>
      </x:c>
      <x:c r="L173" s="60" t="n">
        <x:v>2.5531213904000003</x:v>
      </x:c>
      <x:c r="M173" s="60" t="n">
        <x:v>0</x:v>
      </x:c>
      <x:c r="N173" s="46" t="str">
        <x:v>makaira nigricans</x:v>
      </x:c>
      <x:c r="O173" s="62" t="n">
        <x:v>4.49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Makaira nigricans</x:v>
      </x:c>
      <x:c r="T173" s="62" t="n">
        <x:f>IF(O173="","",(1/'Metadata'!$B$5)^(O173-1))</x:f>
        <x:v>34721.19667768202</x:v>
      </x:c>
      <x:c r="U173" s="60" t="n">
        <x:f>IF(T173="","",I173*T173)</x:f>
        <x:v>88647.4299380754</x:v>
      </x:c>
    </x:row>
    <x:row r="174" ht="18" customHeight="1">
      <x:c r="A174" s="46" t="str">
        <x:v>LME_007</x:v>
      </x:c>
      <x:c r="B174" s="46" t="str">
        <x:v>Northeast U.S. Continental Shelf</x:v>
      </x:c>
      <x:c r="C174" s="46" t="str">
        <x:v>LME</x:v>
      </x:c>
      <x:c r="D174" s="58" t="n">
        <x:v>2019</x:v>
      </x:c>
      <x:c r="E174" s="46" t="str">
        <x:v>Mytilus edulis</x:v>
      </x:c>
      <x:c r="F174" s="46" t="str">
        <x:v>Blue mussel</x:v>
      </x:c>
      <x:c r="G174" s="46" t="str">
        <x:v>Other demersal invertebrates</x:v>
      </x:c>
      <x:c r="H174" s="46" t="str">
        <x:v>Molluscs</x:v>
      </x:c>
      <x:c r="I174" s="60" t="n">
        <x:v>1.8434401831</x:v>
      </x:c>
      <x:c r="J174" s="60" t="n">
        <x:v>1.8434401831</x:v>
      </x:c>
      <x:c r="K174" s="60" t="n">
        <x:v>0</x:v>
      </x:c>
      <x:c r="L174" s="60" t="n">
        <x:v>0.069014901</x:v>
      </x:c>
      <x:c r="M174" s="60" t="n">
        <x:v>1.7744252821</x:v>
      </x:c>
      <x:c r="N174" s="46" t="str">
        <x:v>mytilus edulis</x:v>
      </x:c>
      <x:c r="O174" s="62" t="n">
        <x:v>2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Mytilus edulis</x:v>
      </x:c>
      <x:c r="T174" s="62" t="n">
        <x:f>IF(O174="","",(1/'Metadata'!$B$5)^(O174-1))</x:f>
        <x:v>20</x:v>
      </x:c>
      <x:c r="U174" s="60" t="n">
        <x:f>IF(T174="","",I174*T174)</x:f>
        <x:v>36.868803662</x:v>
      </x:c>
    </x:row>
    <x:row r="175" ht="18" customHeight="1">
      <x:c r="A175" s="46" t="str">
        <x:v>LME_007</x:v>
      </x:c>
      <x:c r="B175" s="46" t="str">
        <x:v>Northeast U.S. Continental Shelf</x:v>
      </x:c>
      <x:c r="C175" s="46" t="str">
        <x:v>LME</x:v>
      </x:c>
      <x:c r="D175" s="58" t="n">
        <x:v>2019</x:v>
      </x:c>
      <x:c r="E175" s="46" t="str">
        <x:v>Anguilliformes</x:v>
      </x:c>
      <x:c r="F175" s="46" t="str">
        <x:v>Eels, morays</x:v>
      </x:c>
      <x:c r="G175" s="46" t="str">
        <x:v>Large demersals (&gt;=90 cm)</x:v>
      </x:c>
      <x:c r="H175" s="46" t="str">
        <x:v>Other fishes &amp; inverts</x:v>
      </x:c>
      <x:c r="I175" s="60" t="n">
        <x:v>1.5661471231</x:v>
      </x:c>
      <x:c r="J175" s="60" t="n">
        <x:v>1.5661471231</x:v>
      </x:c>
      <x:c r="K175" s="60" t="n">
        <x:v>0</x:v>
      </x:c>
      <x:c r="L175" s="60" t="n">
        <x:v>0</x:v>
      </x:c>
      <x:c r="M175" s="60" t="n">
        <x:v>1.5661471231</x:v>
      </x:c>
      <x:c r="N175" s="46" t="str">
        <x:v>anguilliformes</x:v>
      </x:c>
      <x:c r="O175" s="62" t="n">
        <x:v>3.89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Anguilliformes</x:v>
      </x:c>
      <x:c r="T175" s="62" t="n">
        <x:f>IF(O175="","",(1/'Metadata'!$B$5)^(O175-1))</x:f>
        <x:v>5754.090490759748</x:v>
      </x:c>
      <x:c r="U175" s="60" t="n">
        <x:f>IF(T175="","",I175*T175)</x:f>
        <x:v>9011.752268160446</x:v>
      </x:c>
    </x:row>
    <x:row r="176" ht="18" customHeight="1">
      <x:c r="A176" s="46" t="str">
        <x:v>LME_007</x:v>
      </x:c>
      <x:c r="B176" s="46" t="str">
        <x:v>Northeast U.S. Continental Shelf</x:v>
      </x:c>
      <x:c r="C176" s="46" t="str">
        <x:v>LME</x:v>
      </x:c>
      <x:c r="D176" s="58" t="n">
        <x:v>2019</x:v>
      </x:c>
      <x:c r="E176" s="46" t="str">
        <x:v>Sphyraena</x:v>
      </x:c>
      <x:c r="F176" s="46" t="str">
        <x:v>Barracudas, sennets</x:v>
      </x:c>
      <x:c r="G176" s="46" t="str">
        <x:v>Large pelagics (&gt;=90 cm)</x:v>
      </x:c>
      <x:c r="H176" s="46" t="str">
        <x:v>Perch-likes</x:v>
      </x:c>
      <x:c r="I176" s="60" t="n">
        <x:v>1.5590497309</x:v>
      </x:c>
      <x:c r="J176" s="60" t="n">
        <x:v>1.5590497309</x:v>
      </x:c>
      <x:c r="K176" s="60" t="n">
        <x:v>0</x:v>
      </x:c>
      <x:c r="L176" s="60" t="n">
        <x:v>0</x:v>
      </x:c>
      <x:c r="M176" s="60" t="n">
        <x:v>1.5590497309</x:v>
      </x:c>
      <x:c r="N176" s="46" t="str">
        <x:v>sphyraena</x:v>
      </x:c>
      <x:c r="O176" s="62" t="n">
        <x:v>4.4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Sphyraena</x:v>
      </x:c>
      <x:c r="T176" s="62" t="n">
        <x:f>IF(O176="","",(1/'Metadata'!$B$5)^(O176-1))</x:f>
        <x:v>26515.632138719924</x:v>
      </x:c>
      <x:c r="U176" s="60" t="n">
        <x:f>IF(T176="","",I176*T176)</x:f>
        <x:v>41339.18915051469</x:v>
      </x:c>
    </x:row>
    <x:row r="177" ht="18" customHeight="1">
      <x:c r="A177" s="46" t="str">
        <x:v>LME_007</x:v>
      </x:c>
      <x:c r="B177" s="46" t="str">
        <x:v>Northeast U.S. Continental Shelf</x:v>
      </x:c>
      <x:c r="C177" s="46" t="str">
        <x:v>LME</x:v>
      </x:c>
      <x:c r="D177" s="58" t="n">
        <x:v>2019</x:v>
      </x:c>
      <x:c r="E177" s="46" t="str">
        <x:v>Kajikia albida</x:v>
      </x:c>
      <x:c r="F177" s="46" t="str">
        <x:v>Atlantic white marlin</x:v>
      </x:c>
      <x:c r="G177" s="46" t="str">
        <x:v>Large pelagics (&gt;=90 cm)</x:v>
      </x:c>
      <x:c r="H177" s="46" t="str">
        <x:v>Tuna &amp; billfishes</x:v>
      </x:c>
      <x:c r="I177" s="60" t="n">
        <x:v>1.0741663839</x:v>
      </x:c>
      <x:c r="J177" s="60" t="n">
        <x:v>1.0741663839</x:v>
      </x:c>
      <x:c r="K177" s="60" t="n">
        <x:v>0</x:v>
      </x:c>
      <x:c r="L177" s="60" t="n">
        <x:v>1.0741663839</x:v>
      </x:c>
      <x:c r="M177" s="60" t="n">
        <x:v>0</x:v>
      </x:c>
      <x:c r="N177" s="46" t="str">
        <x:v>kajikia albida</x:v>
      </x:c>
      <x:c r="O177" s="62" t="n">
        <x:v>4.49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Kajikia albida</x:v>
      </x:c>
      <x:c r="T177" s="62" t="n">
        <x:f>IF(O177="","",(1/'Metadata'!$B$5)^(O177-1))</x:f>
        <x:v>34721.19667768202</x:v>
      </x:c>
      <x:c r="U177" s="60" t="n">
        <x:f>IF(T177="","",I177*T177)</x:f>
        <x:v>37296.34227994639</x:v>
      </x:c>
    </x:row>
    <x:row r="178" ht="18" customHeight="1">
      <x:c r="A178" s="46" t="str">
        <x:v>LME_007</x:v>
      </x:c>
      <x:c r="B178" s="46" t="str">
        <x:v>Northeast U.S. Continental Shelf</x:v>
      </x:c>
      <x:c r="C178" s="46" t="str">
        <x:v>LME</x:v>
      </x:c>
      <x:c r="D178" s="58" t="n">
        <x:v>2019</x:v>
      </x:c>
      <x:c r="E178" s="46" t="str">
        <x:v>Serranidae</x:v>
      </x:c>
      <x:c r="F178" s="46" t="str">
        <x:v>Basses, groupers, hinds</x:v>
      </x:c>
      <x:c r="G178" s="46" t="str">
        <x:v>Medium reef assoc. fish (30 - 89 cm)</x:v>
      </x:c>
      <x:c r="H178" s="46" t="str">
        <x:v>Perch-likes</x:v>
      </x:c>
      <x:c r="I178" s="60" t="n">
        <x:v>1.004058565</x:v>
      </x:c>
      <x:c r="J178" s="60" t="n">
        <x:v>1.004058565</x:v>
      </x:c>
      <x:c r="K178" s="60" t="n">
        <x:v>0</x:v>
      </x:c>
      <x:c r="L178" s="60" t="n">
        <x:v>0.1696635587</x:v>
      </x:c>
      <x:c r="M178" s="60" t="n">
        <x:v>0.8343950063</x:v>
      </x:c>
      <x:c r="N178" s="46" t="str">
        <x:v>serranidae</x:v>
      </x:c>
      <x:c r="O178" s="62" t="n">
        <x:v>3.98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Serranidae</x:v>
      </x:c>
      <x:c r="T178" s="62" t="n">
        <x:f>IF(O178="","",(1/'Metadata'!$B$5)^(O178-1))</x:f>
        <x:v>7534.759367064222</x:v>
      </x:c>
      <x:c r="U178" s="60" t="n">
        <x:f>IF(T178="","",I178*T178)</x:f>
        <x:v>7565.339677714811</x:v>
      </x:c>
    </x:row>
    <x:row r="179" ht="18" customHeight="1">
      <x:c r="A179" s="46" t="str">
        <x:v>LME_007</x:v>
      </x:c>
      <x:c r="B179" s="46" t="str">
        <x:v>Northeast U.S. Continental Shelf</x:v>
      </x:c>
      <x:c r="C179" s="46" t="str">
        <x:v>LME</x:v>
      </x:c>
      <x:c r="D179" s="58" t="n">
        <x:v>2019</x:v>
      </x:c>
      <x:c r="E179" s="46" t="str">
        <x:v>Alosa</x:v>
      </x:c>
      <x:c r="F179" s="46" t="str">
        <x:v>Shads</x:v>
      </x:c>
      <x:c r="G179" s="46" t="str">
        <x:v>Medium pelagics (30 - 89 cm)</x:v>
      </x:c>
      <x:c r="H179" s="46" t="str">
        <x:v>Herring-likes</x:v>
      </x:c>
      <x:c r="I179" s="60" t="n">
        <x:v>0.7587074909</x:v>
      </x:c>
      <x:c r="J179" s="60" t="n">
        <x:v>0.7587074909</x:v>
      </x:c>
      <x:c r="K179" s="60" t="n">
        <x:v>0</x:v>
      </x:c>
      <x:c r="L179" s="60" t="n">
        <x:v>0.7587074909</x:v>
      </x:c>
      <x:c r="M179" s="60" t="n">
        <x:v>0</x:v>
      </x:c>
      <x:c r="N179" s="46" t="str">
        <x:v>alosa</x:v>
      </x:c>
      <x:c r="O179" s="62" t="n">
        <x:v>3.89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Alosa</x:v>
      </x:c>
      <x:c r="T179" s="62" t="n">
        <x:f>IF(O179="","",(1/'Metadata'!$B$5)^(O179-1))</x:f>
        <x:v>5754.090490759748</x:v>
      </x:c>
      <x:c r="U179" s="60" t="n">
        <x:f>IF(T179="","",I179*T179)</x:f>
        <x:v>4365.671558655878</x:v>
      </x:c>
    </x:row>
    <x:row r="180" ht="18" customHeight="1">
      <x:c r="A180" s="46" t="str">
        <x:v>LME_007</x:v>
      </x:c>
      <x:c r="B180" s="46" t="str">
        <x:v>Northeast U.S. Continental Shelf</x:v>
      </x:c>
      <x:c r="C180" s="46" t="str">
        <x:v>LME</x:v>
      </x:c>
      <x:c r="D180" s="58" t="n">
        <x:v>2019</x:v>
      </x:c>
      <x:c r="E180" s="46" t="str">
        <x:v>Sparidae</x:v>
      </x:c>
      <x:c r="F180" s="46" t="str">
        <x:v>Porgies, seabreams</x:v>
      </x:c>
      <x:c r="G180" s="46" t="str">
        <x:v>Medium benthopelagics (30 - 89 cm)</x:v>
      </x:c>
      <x:c r="H180" s="46" t="str">
        <x:v>Perch-likes</x:v>
      </x:c>
      <x:c r="I180" s="60" t="n">
        <x:v>0.6750107112</x:v>
      </x:c>
      <x:c r="J180" s="60" t="n">
        <x:v>0.6750107112</x:v>
      </x:c>
      <x:c r="K180" s="60" t="n">
        <x:v>0</x:v>
      </x:c>
      <x:c r="L180" s="60" t="n">
        <x:v>0</x:v>
      </x:c>
      <x:c r="M180" s="60" t="n">
        <x:v>0.6750107112</x:v>
      </x:c>
      <x:c r="N180" s="46" t="str">
        <x:v>sparidae</x:v>
      </x:c>
      <x:c r="O180" s="62" t="n">
        <x:v>3.31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Sparidae</x:v>
      </x:c>
      <x:c r="T180" s="62" t="n">
        <x:f>IF(O180="","",(1/'Metadata'!$B$5)^(O180-1))</x:f>
        <x:v>1012.4633005057666</x:v>
      </x:c>
      <x:c r="U180" s="60" t="n">
        <x:f>IF(T180="","",I180*T180)</x:f>
        <x:v>683.4235725382969</x:v>
      </x:c>
    </x:row>
    <x:row r="181" ht="18" customHeight="1">
      <x:c r="A181" s="46" t="str">
        <x:v>LME_007</x:v>
      </x:c>
      <x:c r="B181" s="46" t="str">
        <x:v>Northeast U.S. Continental Shelf</x:v>
      </x:c>
      <x:c r="C181" s="46" t="str">
        <x:v>LME</x:v>
      </x:c>
      <x:c r="D181" s="58" t="n">
        <x:v>2019</x:v>
      </x:c>
      <x:c r="E181" s="46" t="str">
        <x:v>Istiophorus albicans</x:v>
      </x:c>
      <x:c r="F181" s="46" t="str">
        <x:v>Atlantic sailfish</x:v>
      </x:c>
      <x:c r="G181" s="46" t="str">
        <x:v>Large pelagics (&gt;=90 cm)</x:v>
      </x:c>
      <x:c r="H181" s="46" t="str">
        <x:v>Tuna &amp; billfishes</x:v>
      </x:c>
      <x:c r="I181" s="60" t="n">
        <x:v>0.5929936842</x:v>
      </x:c>
      <x:c r="J181" s="60" t="n">
        <x:v>0.5929936842</x:v>
      </x:c>
      <x:c r="K181" s="60" t="n">
        <x:v>0</x:v>
      </x:c>
      <x:c r="L181" s="60" t="n">
        <x:v>0.5929936842</x:v>
      </x:c>
      <x:c r="M181" s="60" t="n">
        <x:v>0</x:v>
      </x:c>
      <x:c r="N181" s="46" t="str">
        <x:v>istiophorus albicans</x:v>
      </x:c>
      <x:c r="O181" s="62" t="n">
        <x:v>4.5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Istiophorus albicans</x:v>
      </x:c>
      <x:c r="T181" s="62" t="n">
        <x:f>IF(O181="","",(1/'Metadata'!$B$5)^(O181-1))</x:f>
        <x:v>35777.08763999664</x:v>
      </x:c>
      <x:c r="U181" s="60" t="n">
        <x:f>IF(T181="","",I181*T181)</x:f>
        <x:v>21215.58700958789</x:v>
      </x:c>
    </x:row>
    <x:row r="182" ht="18" customHeight="1">
      <x:c r="A182" s="46" t="str">
        <x:v>LME_007</x:v>
      </x:c>
      <x:c r="B182" s="46" t="str">
        <x:v>Northeast U.S. Continental Shelf</x:v>
      </x:c>
      <x:c r="C182" s="46" t="str">
        <x:v>LME</x:v>
      </x:c>
      <x:c r="D182" s="58" t="n">
        <x:v>2019</x:v>
      </x:c>
      <x:c r="E182" s="46" t="str">
        <x:v>Paralichthys</x:v>
      </x:c>
      <x:c r="F182" s="46" t="str">
        <x:v>Paralichthyid flounders</x:v>
      </x:c>
      <x:c r="G182" s="46" t="str">
        <x:v>Small to medium flatfishes (&lt;90 cm)</x:v>
      </x:c>
      <x:c r="H182" s="46" t="str">
        <x:v>Flatfishes</x:v>
      </x:c>
      <x:c r="I182" s="60" t="n">
        <x:v>0.5784657743</x:v>
      </x:c>
      <x:c r="J182" s="60" t="n">
        <x:v>0.5784657743</x:v>
      </x:c>
      <x:c r="K182" s="60" t="n">
        <x:v>0</x:v>
      </x:c>
      <x:c r="L182" s="60" t="n">
        <x:v>0</x:v>
      </x:c>
      <x:c r="M182" s="60" t="n">
        <x:v>0.5784657743</x:v>
      </x:c>
      <x:c r="N182" s="46" t="str">
        <x:v>paralichthys</x:v>
      </x:c>
      <x:c r="O182" s="62" t="n">
        <x:v>4.14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Paralichthys</x:v>
      </x:c>
      <x:c r="T182" s="62" t="n">
        <x:f>IF(O182="","",(1/'Metadata'!$B$5)^(O182-1))</x:f>
        <x:v>12168.419864331923</x:v>
      </x:c>
      <x:c r="U182" s="60" t="n">
        <x:f>IF(T182="","",I182*T182)</x:f>
        <x:v>7039.0144188282675</x:v>
      </x:c>
    </x:row>
    <x:row r="183" ht="18" customHeight="1">
      <x:c r="A183" s="46" t="str">
        <x:v>LME_007</x:v>
      </x:c>
      <x:c r="B183" s="46" t="str">
        <x:v>Northeast U.S. Continental Shelf</x:v>
      </x:c>
      <x:c r="C183" s="46" t="str">
        <x:v>LME</x:v>
      </x:c>
      <x:c r="D183" s="58" t="n">
        <x:v>2019</x:v>
      </x:c>
      <x:c r="E183" s="46" t="str">
        <x:v>Tetraodontidae</x:v>
      </x:c>
      <x:c r="F183" s="46" t="str">
        <x:v>Puffers, tobies</x:v>
      </x:c>
      <x:c r="G183" s="46" t="str">
        <x:v>Large reef assoc. fish (&gt;=90 cm)</x:v>
      </x:c>
      <x:c r="H183" s="46" t="str">
        <x:v>Other fishes &amp; inverts</x:v>
      </x:c>
      <x:c r="I183" s="60" t="n">
        <x:v>0.5681138071</x:v>
      </x:c>
      <x:c r="J183" s="60" t="n">
        <x:v>0.5681138071</x:v>
      </x:c>
      <x:c r="K183" s="60" t="n">
        <x:v>0</x:v>
      </x:c>
      <x:c r="L183" s="60" t="n">
        <x:v>0.5356735026</x:v>
      </x:c>
      <x:c r="M183" s="60" t="n">
        <x:v>0.0324403045</x:v>
      </x:c>
      <x:c r="N183" s="46" t="str">
        <x:v>tetraodontidae</x:v>
      </x:c>
      <x:c r="O183" s="62" t="n">
        <x:v>3.5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Tetraodontidae</x:v>
      </x:c>
      <x:c r="T183" s="62" t="n">
        <x:f>IF(O183="","",(1/'Metadata'!$B$5)^(O183-1))</x:f>
        <x:v>1788.8543819998317</x:v>
      </x:c>
      <x:c r="U183" s="60" t="n">
        <x:f>IF(T183="","",I183*T183)</x:f>
        <x:v>1016.2728733054422</x:v>
      </x:c>
    </x:row>
    <x:row r="184" ht="18" customHeight="1">
      <x:c r="A184" s="46" t="str">
        <x:v>LME_007</x:v>
      </x:c>
      <x:c r="B184" s="46" t="str">
        <x:v>Northeast U.S. Continental Shelf</x:v>
      </x:c>
      <x:c r="C184" s="46" t="str">
        <x:v>LME</x:v>
      </x:c>
      <x:c r="D184" s="58" t="n">
        <x:v>2019</x:v>
      </x:c>
      <x:c r="E184" s="46" t="str">
        <x:v>Perciformes</x:v>
      </x:c>
      <x:c r="F184" s="46" t="str">
        <x:v>Perch-likes</x:v>
      </x:c>
      <x:c r="G184" s="46" t="str">
        <x:v>Medium demersals (30 - 89 cm)</x:v>
      </x:c>
      <x:c r="H184" s="46" t="str">
        <x:v>Perch-likes</x:v>
      </x:c>
      <x:c r="I184" s="60" t="n">
        <x:v>0.5162579285</x:v>
      </x:c>
      <x:c r="J184" s="60" t="n">
        <x:v>0.5162579285</x:v>
      </x:c>
      <x:c r="K184" s="60" t="n">
        <x:v>0</x:v>
      </x:c>
      <x:c r="L184" s="60" t="n">
        <x:v>0.0385490063</x:v>
      </x:c>
      <x:c r="M184" s="60" t="n">
        <x:v>0.4777089222</x:v>
      </x:c>
      <x:c r="N184" s="46" t="str">
        <x:v>perciformes</x:v>
      </x:c>
      <x:c r="O184" s="62" t="n">
        <x:v>3.53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Perciformes</x:v>
      </x:c>
      <x:c r="T184" s="62" t="n">
        <x:f>IF(O184="","",(1/'Metadata'!$B$5)^(O184-1))</x:f>
        <x:v>1957.0678791263101</x:v>
      </x:c>
      <x:c r="U184" s="60" t="n">
        <x:f>IF(T184="","",I184*T184)</x:f>
        <x:v>1010.3518092116371</x:v>
      </x:c>
    </x:row>
    <x:row r="185" ht="18" customHeight="1">
      <x:c r="A185" s="46" t="str">
        <x:v>LME_007</x:v>
      </x:c>
      <x:c r="B185" s="46" t="str">
        <x:v>Northeast U.S. Continental Shelf</x:v>
      </x:c>
      <x:c r="C185" s="46" t="str">
        <x:v>LME</x:v>
      </x:c>
      <x:c r="D185" s="58" t="n">
        <x:v>2019</x:v>
      </x:c>
      <x:c r="E185" s="46" t="str">
        <x:v>Mola</x:v>
      </x:c>
      <x:c r="F185" s="46" t="str">
        <x:v>Sunfishes</x:v>
      </x:c>
      <x:c r="G185" s="46" t="str">
        <x:v>Large pelagics (&gt;=90 cm)</x:v>
      </x:c>
      <x:c r="H185" s="46" t="str">
        <x:v>Other fishes &amp; inverts</x:v>
      </x:c>
      <x:c r="I185" s="60" t="n">
        <x:v>0.3130356415</x:v>
      </x:c>
      <x:c r="J185" s="60" t="n">
        <x:v>0.3130356415</x:v>
      </x:c>
      <x:c r="K185" s="60" t="n">
        <x:v>0</x:v>
      </x:c>
      <x:c r="L185" s="60" t="n">
        <x:v>0</x:v>
      </x:c>
      <x:c r="M185" s="60" t="n">
        <x:v>0.3130356415</x:v>
      </x:c>
      <x:c r="N185" s="46" t="str">
        <x:v>mola</x:v>
      </x:c>
      <x:c r="O185" s="62" t="n">
        <x:v>3.68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Mola</x:v>
      </x:c>
      <x:c r="T185" s="62" t="n">
        <x:f>IF(O185="","",(1/'Metadata'!$B$5)^(O185-1))</x:f>
        <x:v>3067.3291957408446</x:v>
      </x:c>
      <x:c r="U185" s="60" t="n">
        <x:f>IF(T185="","",I185*T185)</x:f>
        <x:v>960.1833624804144</x:v>
      </x:c>
    </x:row>
    <x:row r="186" ht="18" customHeight="1">
      <x:c r="A186" s="46" t="str">
        <x:v>LME_007</x:v>
      </x:c>
      <x:c r="B186" s="46" t="str">
        <x:v>Northeast U.S. Continental Shelf</x:v>
      </x:c>
      <x:c r="C186" s="46" t="str">
        <x:v>LME</x:v>
      </x:c>
      <x:c r="D186" s="58" t="n">
        <x:v>2019</x:v>
      </x:c>
      <x:c r="E186" s="46" t="str">
        <x:v>Alosa aestivalis</x:v>
      </x:c>
      <x:c r="F186" s="46" t="str">
        <x:v>Blueback shad</x:v>
      </x:c>
      <x:c r="G186" s="46" t="str">
        <x:v>Medium pelagics (30 - 89 cm)</x:v>
      </x:c>
      <x:c r="H186" s="46" t="str">
        <x:v>Herring-likes</x:v>
      </x:c>
      <x:c r="I186" s="60" t="n">
        <x:v>0.2632843275</x:v>
      </x:c>
      <x:c r="J186" s="60" t="n">
        <x:v>0.2632843275</x:v>
      </x:c>
      <x:c r="K186" s="60" t="n">
        <x:v>0</x:v>
      </x:c>
      <x:c r="L186" s="60" t="n">
        <x:v>0.0427777347</x:v>
      </x:c>
      <x:c r="M186" s="60" t="n">
        <x:v>0.2205065928</x:v>
      </x:c>
      <x:c r="N186" s="46" t="str">
        <x:v>alosa aestivalis</x:v>
      </x:c>
      <x:c r="O186" s="62" t="n">
        <x:v>3.81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Alosa aestivalis</x:v>
      </x:c>
      <x:c r="T186" s="62" t="n">
        <x:f>IF(O186="","",(1/'Metadata'!$B$5)^(O186-1))</x:f>
        <x:v>4527.873529309382</x:v>
      </x:c>
      <x:c r="U186" s="60" t="n">
        <x:f>IF(T186="","",I186*T186)</x:f>
        <x:v>1192.1181371692724</x:v>
      </x:c>
    </x:row>
    <x:row r="187" ht="18" customHeight="1">
      <x:c r="A187" s="46" t="str">
        <x:v>LME_007</x:v>
      </x:c>
      <x:c r="B187" s="46" t="str">
        <x:v>Northeast U.S. Continental Shelf</x:v>
      </x:c>
      <x:c r="C187" s="46" t="str">
        <x:v>LME</x:v>
      </x:c>
      <x:c r="D187" s="58" t="n">
        <x:v>2019</x:v>
      </x:c>
      <x:c r="E187" s="46" t="str">
        <x:v>Actinopterygii</x:v>
      </x:c>
      <x:c r="F187" s="46" t="str">
        <x:v>Ray-finned fishes</x:v>
      </x:c>
      <x:c r="G187" s="46" t="str">
        <x:v>Medium demersals (30 - 89 cm)</x:v>
      </x:c>
      <x:c r="H187" s="46" t="str">
        <x:v>Other fishes &amp; inverts</x:v>
      </x:c>
      <x:c r="I187" s="60" t="n">
        <x:v>0.2296714497</x:v>
      </x:c>
      <x:c r="J187" s="60" t="n">
        <x:v>0.2296714497</x:v>
      </x:c>
      <x:c r="K187" s="60" t="n">
        <x:v>0</x:v>
      </x:c>
      <x:c r="L187" s="60" t="n">
        <x:v>0.2296714497</x:v>
      </x:c>
      <x:c r="M187" s="60" t="n">
        <x:v>0</x:v>
      </x:c>
      <x:c r="N187" s="46" t="str">
        <x:v>actinopterygii</x:v>
      </x:c>
      <x:c r="O187" s="62" t="n">
        <x:v>3.79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Actinopterygii</x:v>
      </x:c>
      <x:c r="T187" s="62" t="n">
        <x:f>IF(O187="","",(1/'Metadata'!$B$5)^(O187-1))</x:f>
        <x:v>4264.554685980751</x:v>
      </x:c>
      <x:c r="U187" s="60" t="n">
        <x:f>IF(T187="","",I187*T187)</x:f>
        <x:v>979.4464570541273</x:v>
      </x:c>
    </x:row>
    <x:row r="188" ht="18" customHeight="1">
      <x:c r="A188" s="46" t="str">
        <x:v>LME_007</x:v>
      </x:c>
      <x:c r="B188" s="46" t="str">
        <x:v>Northeast U.S. Continental Shelf</x:v>
      </x:c>
      <x:c r="C188" s="46" t="str">
        <x:v>LME</x:v>
      </x:c>
      <x:c r="D188" s="58" t="n">
        <x:v>2019</x:v>
      </x:c>
      <x:c r="E188" s="46" t="str">
        <x:v>Opisthonema oglinum</x:v>
      </x:c>
      <x:c r="F188" s="46" t="str">
        <x:v>Atlantic thread herring</x:v>
      </x:c>
      <x:c r="G188" s="46" t="str">
        <x:v>Small pelagics (&lt;30 cm)</x:v>
      </x:c>
      <x:c r="H188" s="46" t="str">
        <x:v>Herring-likes</x:v>
      </x:c>
      <x:c r="I188" s="60" t="n">
        <x:v>0.1452114068</x:v>
      </x:c>
      <x:c r="J188" s="60" t="n">
        <x:v>0.1452114068</x:v>
      </x:c>
      <x:c r="K188" s="60" t="n">
        <x:v>0</x:v>
      </x:c>
      <x:c r="L188" s="60" t="n">
        <x:v>0</x:v>
      </x:c>
      <x:c r="M188" s="60" t="n">
        <x:v>0.1452114068</x:v>
      </x:c>
      <x:c r="N188" s="46" t="str">
        <x:v>opisthonema oglinum</x:v>
      </x:c>
      <x:c r="O188" s="62" t="n">
        <x:v>4.5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Opisthonema oglinum</x:v>
      </x:c>
      <x:c r="T188" s="62" t="n">
        <x:f>IF(O188="","",(1/'Metadata'!$B$5)^(O188-1))</x:f>
        <x:v>35777.08763999664</x:v>
      </x:c>
      <x:c r="U188" s="60" t="n">
        <x:f>IF(T188="","",I188*T188)</x:f>
        <x:v>5195.241227410804</x:v>
      </x:c>
    </x:row>
    <x:row r="189" ht="18" customHeight="1">
      <x:c r="A189" s="46" t="str">
        <x:v>LME_007</x:v>
      </x:c>
      <x:c r="B189" s="46" t="str">
        <x:v>Northeast U.S. Continental Shelf</x:v>
      </x:c>
      <x:c r="C189" s="46" t="str">
        <x:v>LME</x:v>
      </x:c>
      <x:c r="D189" s="58" t="n">
        <x:v>2019</x:v>
      </x:c>
      <x:c r="E189" s="46" t="str">
        <x:v>Centrolophidae</x:v>
      </x:c>
      <x:c r="F189" s="46" t="str">
        <x:v>Medusafishes</x:v>
      </x:c>
      <x:c r="G189" s="46" t="str">
        <x:v>Medium benthopelagics (30 - 89 cm)</x:v>
      </x:c>
      <x:c r="H189" s="46" t="str">
        <x:v>Perch-likes</x:v>
      </x:c>
      <x:c r="I189" s="60" t="n">
        <x:v>0.1235079874</x:v>
      </x:c>
      <x:c r="J189" s="60" t="n">
        <x:v>0.1235079874</x:v>
      </x:c>
      <x:c r="K189" s="60" t="n">
        <x:v>0</x:v>
      </x:c>
      <x:c r="L189" s="60" t="n">
        <x:v>0</x:v>
      </x:c>
      <x:c r="M189" s="60" t="n">
        <x:v>0.1235079874</x:v>
      </x:c>
      <x:c r="N189" s="46" t="str">
        <x:v>centrolophidae</x:v>
      </x:c>
      <x:c r="O189" s="62" t="n">
        <x:v>3.65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Centrolophidae</x:v>
      </x:c>
      <x:c r="T189" s="62" t="n">
        <x:f>IF(O189="","",(1/'Metadata'!$B$5)^(O189-1))</x:f>
        <x:v>2803.6867455443476</x:v>
      </x:c>
      <x:c r="U189" s="60" t="n">
        <x:f>IF(T189="","",I189*T189)</x:f>
        <x:v>346.2777072422383</x:v>
      </x:c>
    </x:row>
    <x:row r="190" ht="18" customHeight="1">
      <x:c r="A190" s="46" t="str">
        <x:v>LME_007</x:v>
      </x:c>
      <x:c r="B190" s="46" t="str">
        <x:v>Northeast U.S. Continental Shelf</x:v>
      </x:c>
      <x:c r="C190" s="46" t="str">
        <x:v>LME</x:v>
      </x:c>
      <x:c r="D190" s="58" t="n">
        <x:v>2019</x:v>
      </x:c>
      <x:c r="E190" s="46" t="str">
        <x:v>Sciaenidae</x:v>
      </x:c>
      <x:c r="F190" s="46" t="str">
        <x:v>Drums, croakers</x:v>
      </x:c>
      <x:c r="G190" s="46" t="str">
        <x:v>Medium demersals (30 - 89 cm)</x:v>
      </x:c>
      <x:c r="H190" s="46" t="str">
        <x:v>Perch-likes</x:v>
      </x:c>
      <x:c r="I190" s="60" t="n">
        <x:v>0.1181237572</x:v>
      </x:c>
      <x:c r="J190" s="60" t="n">
        <x:v>0.1181237572</x:v>
      </x:c>
      <x:c r="K190" s="60" t="n">
        <x:v>0</x:v>
      </x:c>
      <x:c r="L190" s="60" t="n">
        <x:v>0</x:v>
      </x:c>
      <x:c r="M190" s="60" t="n">
        <x:v>0.1181237572</x:v>
      </x:c>
      <x:c r="N190" s="46" t="str">
        <x:v>sciaenidae</x:v>
      </x:c>
      <x:c r="O190" s="62" t="n">
        <x:v>3.76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Sciaenidae</x:v>
      </x:c>
      <x:c r="T190" s="62" t="n">
        <x:f>IF(O190="","",(1/'Metadata'!$B$5)^(O190-1))</x:f>
        <x:v>3898.0085558913897</x:v>
      </x:c>
      <x:c r="U190" s="60" t="n">
        <x:f>IF(T190="","",I190*T190)</x:f>
        <x:v>460.44741621963715</x:v>
      </x:c>
    </x:row>
    <x:row r="191" ht="18" customHeight="1">
      <x:c r="A191" s="46" t="str">
        <x:v>LME_007</x:v>
      </x:c>
      <x:c r="B191" s="46" t="str">
        <x:v>Northeast U.S. Continental Shelf</x:v>
      </x:c>
      <x:c r="C191" s="46" t="str">
        <x:v>LME</x:v>
      </x:c>
      <x:c r="D191" s="58" t="n">
        <x:v>2019</x:v>
      </x:c>
      <x:c r="E191" s="46" t="str">
        <x:v>Lagocephalus laevigatus</x:v>
      </x:c>
      <x:c r="F191" s="46" t="str">
        <x:v>Smooth puffer</x:v>
      </x:c>
      <x:c r="G191" s="46" t="str">
        <x:v>Medium pelagics (30 - 89 cm)</x:v>
      </x:c>
      <x:c r="H191" s="46" t="str">
        <x:v>Other fishes &amp; inverts</x:v>
      </x:c>
      <x:c r="I191" s="60" t="n">
        <x:v>0.1117685059</x:v>
      </x:c>
      <x:c r="J191" s="60" t="n">
        <x:v>0.1117685059</x:v>
      </x:c>
      <x:c r="K191" s="60" t="n">
        <x:v>0</x:v>
      </x:c>
      <x:c r="L191" s="60" t="n">
        <x:v>0</x:v>
      </x:c>
      <x:c r="M191" s="60" t="n">
        <x:v>0.1117685059</x:v>
      </x:c>
      <x:c r="N191" s="46" t="str">
        <x:v>lagocephalus laevigatus</x:v>
      </x:c>
      <x:c r="O191" s="62" t="n">
        <x:v>4.02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Lagocephalus laevigatus</x:v>
      </x:c>
      <x:c r="T191" s="62" t="n">
        <x:f>IF(O191="","",(1/'Metadata'!$B$5)^(O191-1))</x:f>
        <x:v>8493.967342839818</x:v>
      </x:c>
      <x:c r="U191" s="60" t="n">
        <x:f>IF(T191="","",I191*T191)</x:f>
        <x:v>949.3580390725995</x:v>
      </x:c>
    </x:row>
    <x:row r="192" ht="18" customHeight="1">
      <x:c r="A192" s="46" t="str">
        <x:v>LME_007</x:v>
      </x:c>
      <x:c r="B192" s="46" t="str">
        <x:v>Northeast U.S. Continental Shelf</x:v>
      </x:c>
      <x:c r="C192" s="46" t="str">
        <x:v>LME</x:v>
      </x:c>
      <x:c r="D192" s="58" t="n">
        <x:v>2019</x:v>
      </x:c>
      <x:c r="E192" s="46" t="str">
        <x:v>Echeneidae</x:v>
      </x:c>
      <x:c r="F192" s="46" t="str">
        <x:v>Remoras</x:v>
      </x:c>
      <x:c r="G192" s="46" t="str">
        <x:v>Large pelagics (&gt;=90 cm)</x:v>
      </x:c>
      <x:c r="H192" s="46" t="str">
        <x:v>Perch-likes</x:v>
      </x:c>
      <x:c r="I192" s="60" t="n">
        <x:v>0.09075790859999999</x:v>
      </x:c>
      <x:c r="J192" s="60" t="n">
        <x:v>0.09075790859999999</x:v>
      </x:c>
      <x:c r="K192" s="60" t="n">
        <x:v>0</x:v>
      </x:c>
      <x:c r="L192" s="60" t="n">
        <x:v>0</x:v>
      </x:c>
      <x:c r="M192" s="60" t="n">
        <x:v>0.09075790859999999</x:v>
      </x:c>
      <x:c r="N192" s="46" t="str">
        <x:v>echeneidae</x:v>
      </x:c>
      <x:c r="O192" s="62" t="n">
        <x:v>3.22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Echeneidae</x:v>
      </x:c>
      <x:c r="T192" s="62" t="n">
        <x:f>IF(O192="","",(1/'Metadata'!$B$5)^(O192-1))</x:f>
        <x:v>773.1906443023378</x:v>
      </x:c>
      <x:c r="U192" s="60" t="n">
        <x:f>IF(T192="","",I192*T192)</x:f>
        <x:v>70.17316582596668</x:v>
      </x:c>
    </x:row>
    <x:row r="193" ht="18" customHeight="1">
      <x:c r="A193" s="46" t="str">
        <x:v>LME_007</x:v>
      </x:c>
      <x:c r="B193" s="46" t="str">
        <x:v>Northeast U.S. Continental Shelf</x:v>
      </x:c>
      <x:c r="C193" s="46" t="str">
        <x:v>LME</x:v>
      </x:c>
      <x:c r="D193" s="58" t="n">
        <x:v>2019</x:v>
      </x:c>
      <x:c r="E193" s="46" t="str">
        <x:v>Helicolenus dactylopterus</x:v>
      </x:c>
      <x:c r="F193" s="46" t="str">
        <x:v>Blackbelly rosefish</x:v>
      </x:c>
      <x:c r="G193" s="46" t="str">
        <x:v>Medium bathydemersals (30 - 89 cm)</x:v>
      </x:c>
      <x:c r="H193" s="46" t="str">
        <x:v>Scorpionfishes</x:v>
      </x:c>
      <x:c r="I193" s="60" t="n">
        <x:v>0.08710747669999999</x:v>
      </x:c>
      <x:c r="J193" s="60" t="n">
        <x:v>0.08710747669999999</x:v>
      </x:c>
      <x:c r="K193" s="60" t="n">
        <x:v>0</x:v>
      </x:c>
      <x:c r="L193" s="60" t="n">
        <x:v>0</x:v>
      </x:c>
      <x:c r="M193" s="60" t="n">
        <x:v>0.08710747669999999</x:v>
      </x:c>
      <x:c r="N193" s="46" t="str">
        <x:v>helicolenus dactylopterus</x:v>
      </x:c>
      <x:c r="O193" s="62" t="n">
        <x:v>3.54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Helicolenus dactylopterus</x:v>
      </x:c>
      <x:c r="T193" s="62" t="n">
        <x:f>IF(O193="","",(1/'Metadata'!$B$5)^(O193-1))</x:f>
        <x:v>2016.5834052007342</x:v>
      </x:c>
      <x:c r="U193" s="60" t="n">
        <x:f>IF(T193="","",I193*T193)</x:f>
        <x:v>175.6594919821296</x:v>
      </x:c>
    </x:row>
    <x:row r="194" ht="18" customHeight="1">
      <x:c r="A194" s="46" t="str">
        <x:v>LME_007</x:v>
      </x:c>
      <x:c r="B194" s="46" t="str">
        <x:v>Northeast U.S. Continental Shelf</x:v>
      </x:c>
      <x:c r="C194" s="46" t="str">
        <x:v>LME</x:v>
      </x:c>
      <x:c r="D194" s="58" t="n">
        <x:v>2019</x:v>
      </x:c>
      <x:c r="E194" s="46" t="str">
        <x:v>Trachinotus</x:v>
      </x:c>
      <x:c r="F194" s="46" t="str">
        <x:v>Pompanos</x:v>
      </x:c>
      <x:c r="G194" s="46" t="str">
        <x:v>Medium pelagics (30 - 89 cm)</x:v>
      </x:c>
      <x:c r="H194" s="46" t="str">
        <x:v>Perch-likes</x:v>
      </x:c>
      <x:c r="I194" s="60" t="n">
        <x:v>0.0768939899</x:v>
      </x:c>
      <x:c r="J194" s="60" t="n">
        <x:v>0.0768939899</x:v>
      </x:c>
      <x:c r="K194" s="60" t="n">
        <x:v>0</x:v>
      </x:c>
      <x:c r="L194" s="60" t="n">
        <x:v>0.0768939899</x:v>
      </x:c>
      <x:c r="M194" s="60" t="n">
        <x:v>0</x:v>
      </x:c>
      <x:c r="N194" s="46" t="str">
        <x:v>trachinotus</x:v>
      </x:c>
      <x:c r="O194" s="62" t="n">
        <x:v>3.69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Trachinotus</x:v>
      </x:c>
      <x:c r="T194" s="62" t="n">
        <x:f>IF(O194="","",(1/'Metadata'!$B$5)^(O194-1))</x:f>
        <x:v>3160.6083878807954</x:v>
      </x:c>
      <x:c r="U194" s="60" t="n">
        <x:f>IF(T194="","",I194*T194)</x:f>
        <x:v>243.03178945556115</x:v>
      </x:c>
    </x:row>
    <x:row r="195" ht="18" customHeight="1">
      <x:c r="A195" s="46" t="str">
        <x:v>LME_007</x:v>
      </x:c>
      <x:c r="B195" s="46" t="str">
        <x:v>Northeast U.S. Continental Shelf</x:v>
      </x:c>
      <x:c r="C195" s="46" t="str">
        <x:v>LME</x:v>
      </x:c>
      <x:c r="D195" s="58" t="n">
        <x:v>2019</x:v>
      </x:c>
      <x:c r="E195" s="46" t="str">
        <x:v>Seriola zonata</x:v>
      </x:c>
      <x:c r="F195" s="46" t="str">
        <x:v>Banded rudderfish</x:v>
      </x:c>
      <x:c r="G195" s="46" t="str">
        <x:v>Medium benthopelagics (30 - 89 cm)</x:v>
      </x:c>
      <x:c r="H195" s="46" t="str">
        <x:v>Perch-likes</x:v>
      </x:c>
      <x:c r="I195" s="60" t="n">
        <x:v>0.0673309211</x:v>
      </x:c>
      <x:c r="J195" s="60" t="n">
        <x:v>0.0673309211</x:v>
      </x:c>
      <x:c r="K195" s="60" t="n">
        <x:v>0</x:v>
      </x:c>
      <x:c r="L195" s="60" t="n">
        <x:v>0</x:v>
      </x:c>
      <x:c r="M195" s="60" t="n">
        <x:v>0.0673309211</x:v>
      </x:c>
      <x:c r="N195" s="46" t="str">
        <x:v>seriola zonata</x:v>
      </x:c>
      <x:c r="O195" s="62" t="n">
        <x:v>4.47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Seriola zonata</x:v>
      </x:c>
      <x:c r="T195" s="62" t="n">
        <x:f>IF(O195="","",(1/'Metadata'!$B$5)^(O195-1))</x:f>
        <x:v>32701.982737855422</x:v>
      </x:c>
      <x:c r="U195" s="60" t="n">
        <x:f>IF(T195="","",I195*T195)</x:f>
        <x:v>2201.8546195361055</x:v>
      </x:c>
    </x:row>
    <x:row r="196" ht="18" customHeight="1">
      <x:c r="A196" s="46" t="str">
        <x:v>LME_007</x:v>
      </x:c>
      <x:c r="B196" s="46" t="str">
        <x:v>Northeast U.S. Continental Shelf</x:v>
      </x:c>
      <x:c r="C196" s="46" t="str">
        <x:v>LME</x:v>
      </x:c>
      <x:c r="D196" s="58" t="n">
        <x:v>2019</x:v>
      </x:c>
      <x:c r="E196" s="46" t="str">
        <x:v>Caranx crysos</x:v>
      </x:c>
      <x:c r="F196" s="46" t="str">
        <x:v>Blue runner</x:v>
      </x:c>
      <x:c r="G196" s="46" t="str">
        <x:v>Medium reef assoc. fish (30 - 89 cm)</x:v>
      </x:c>
      <x:c r="H196" s="46" t="str">
        <x:v>Perch-likes</x:v>
      </x:c>
      <x:c r="I196" s="60" t="n">
        <x:v>0.0531733196</x:v>
      </x:c>
      <x:c r="J196" s="60" t="n">
        <x:v>0.0531733196</x:v>
      </x:c>
      <x:c r="K196" s="60" t="n">
        <x:v>0</x:v>
      </x:c>
      <x:c r="L196" s="60" t="n">
        <x:v>0</x:v>
      </x:c>
      <x:c r="M196" s="60" t="n">
        <x:v>0.0531733196</x:v>
      </x:c>
      <x:c r="N196" s="46" t="str">
        <x:v>caranx crysos</x:v>
      </x:c>
      <x:c r="O196" s="62" t="n">
        <x:v>4.13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Caranx crysos</x:v>
      </x:c>
      <x:c r="T196" s="62" t="n">
        <x:f>IF(O196="","",(1/'Metadata'!$B$5)^(O196-1))</x:f>
        <x:v>11809.292685236613</x:v>
      </x:c>
      <x:c r="U196" s="60" t="n">
        <x:f>IF(T196="","",I196*T196)</x:f>
        <x:v>627.9392942020286</x:v>
      </x:c>
    </x:row>
    <x:row r="197" ht="18" customHeight="1">
      <x:c r="A197" s="46" t="str">
        <x:v>LME_007</x:v>
      </x:c>
      <x:c r="B197" s="46" t="str">
        <x:v>Northeast U.S. Continental Shelf</x:v>
      </x:c>
      <x:c r="C197" s="46" t="str">
        <x:v>LME</x:v>
      </x:c>
      <x:c r="D197" s="58" t="n">
        <x:v>2019</x:v>
      </x:c>
      <x:c r="E197" s="46" t="str">
        <x:v>Gadiformes</x:v>
      </x:c>
      <x:c r="F197" s="46" t="str">
        <x:v>Cods</x:v>
      </x:c>
      <x:c r="G197" s="46" t="str">
        <x:v>Medium benthopelagics (30 - 89 cm)</x:v>
      </x:c>
      <x:c r="H197" s="46" t="str">
        <x:v>Cod-likes</x:v>
      </x:c>
      <x:c r="I197" s="60" t="n">
        <x:v>0.0495538263</x:v>
      </x:c>
      <x:c r="J197" s="60" t="n">
        <x:v>0.0495538263</x:v>
      </x:c>
      <x:c r="K197" s="60" t="n">
        <x:v>0</x:v>
      </x:c>
      <x:c r="L197" s="60" t="n">
        <x:v>0.0006250562999999999</x:v>
      </x:c>
      <x:c r="M197" s="60" t="n">
        <x:v>0.048928769999999996</x:v>
      </x:c>
      <x:c r="N197" s="46" t="str">
        <x:v>gadiformes</x:v>
      </x:c>
      <x:c r="O197" s="62" t="n">
        <x:v>3.91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Gadiformes</x:v>
      </x:c>
      <x:c r="T197" s="62" t="n">
        <x:f>IF(O197="","",(1/'Metadata'!$B$5)^(O197-1))</x:f>
        <x:v>6109.382089532312</x:v>
      </x:c>
      <x:c r="U197" s="60" t="n">
        <x:f>IF(T197="","",I197*T197)</x:f>
        <x:v>302.74325886501526</x:v>
      </x:c>
    </x:row>
    <x:row r="198" ht="18" customHeight="1">
      <x:c r="A198" s="46" t="str">
        <x:v>LME_007</x:v>
      </x:c>
      <x:c r="B198" s="46" t="str">
        <x:v>Northeast U.S. Continental Shelf</x:v>
      </x:c>
      <x:c r="C198" s="46" t="str">
        <x:v>LME</x:v>
      </x:c>
      <x:c r="D198" s="58" t="n">
        <x:v>2019</x:v>
      </x:c>
      <x:c r="E198" s="46" t="str">
        <x:v>Istiophoridae</x:v>
      </x:c>
      <x:c r="F198" s="46" t="str">
        <x:v>Billfishes</x:v>
      </x:c>
      <x:c r="G198" s="46" t="str">
        <x:v>Large pelagics (&gt;=90 cm)</x:v>
      </x:c>
      <x:c r="H198" s="46" t="str">
        <x:v>Tuna &amp; billfishes</x:v>
      </x:c>
      <x:c r="I198" s="60" t="n">
        <x:v>0.0436264187</x:v>
      </x:c>
      <x:c r="J198" s="60" t="n">
        <x:v>0.0436264187</x:v>
      </x:c>
      <x:c r="K198" s="60" t="n">
        <x:v>0</x:v>
      </x:c>
      <x:c r="L198" s="60" t="n">
        <x:v>0.0436264187</x:v>
      </x:c>
      <x:c r="M198" s="60" t="n">
        <x:v>0</x:v>
      </x:c>
      <x:c r="N198" s="46" t="str">
        <x:v>istiophoridae</x:v>
      </x:c>
      <x:c r="O198" s="62" t="n">
        <x:v>4.48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Istiophoridae</x:v>
      </x:c>
      <x:c r="T198" s="62" t="n">
        <x:f>IF(O198="","",(1/'Metadata'!$B$5)^(O198-1))</x:f>
        <x:v>33696.468277717824</x:v>
      </x:c>
      <x:c r="U198" s="60" t="n">
        <x:f>IF(T198="","",I198*T198)</x:f>
        <x:v>1470.0562337949857</x:v>
      </x:c>
    </x:row>
    <x:row r="199" ht="18" customHeight="1">
      <x:c r="A199" s="46" t="str">
        <x:v>LME_007</x:v>
      </x:c>
      <x:c r="B199" s="46" t="str">
        <x:v>Northeast U.S. Continental Shelf</x:v>
      </x:c>
      <x:c r="C199" s="46" t="str">
        <x:v>LME</x:v>
      </x:c>
      <x:c r="D199" s="58" t="n">
        <x:v>2019</x:v>
      </x:c>
      <x:c r="E199" s="46" t="str">
        <x:v>Carcharhinus brevipinna</x:v>
      </x:c>
      <x:c r="F199" s="46" t="str">
        <x:v>Spinner shark</x:v>
      </x:c>
      <x:c r="G199" s="46" t="str">
        <x:v>Large sharks (&gt;=90 cm)</x:v>
      </x:c>
      <x:c r="H199" s="46" t="str">
        <x:v>Sharks &amp; rays</x:v>
      </x:c>
      <x:c r="I199" s="60" t="n">
        <x:v>0.0262057205</x:v>
      </x:c>
      <x:c r="J199" s="60" t="n">
        <x:v>0.0262057205</x:v>
      </x:c>
      <x:c r="K199" s="60" t="n">
        <x:v>0</x:v>
      </x:c>
      <x:c r="L199" s="60" t="n">
        <x:v>0.0262057205</x:v>
      </x:c>
      <x:c r="M199" s="60" t="n">
        <x:v>0</x:v>
      </x:c>
      <x:c r="N199" s="46" t="str">
        <x:v>carcharhinus brevipinna</x:v>
      </x:c>
      <x:c r="O199" s="62" t="n">
        <x:v>4.2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Carcharhinus brevipinna</x:v>
      </x:c>
      <x:c r="T199" s="62" t="n">
        <x:f>IF(O199="","",(1/'Metadata'!$B$5)^(O199-1))</x:f>
        <x:v>14564.51362420865</x:v>
      </x:c>
      <x:c r="U199" s="60" t="n">
        <x:f>IF(T199="","",I199*T199)</x:f>
        <x:v>381.6735732544539</x:v>
      </x:c>
    </x:row>
    <x:row r="200" ht="18" customHeight="1">
      <x:c r="A200" s="46" t="str">
        <x:v>LME_007</x:v>
      </x:c>
      <x:c r="B200" s="46" t="str">
        <x:v>Northeast U.S. Continental Shelf</x:v>
      </x:c>
      <x:c r="C200" s="46" t="str">
        <x:v>LME</x:v>
      </x:c>
      <x:c r="D200" s="58" t="n">
        <x:v>2019</x:v>
      </x:c>
      <x:c r="E200" s="46" t="str">
        <x:v>Gadidae</x:v>
      </x:c>
      <x:c r="F200" s="46" t="str">
        <x:v>Cods, haddocks</x:v>
      </x:c>
      <x:c r="G200" s="46" t="str">
        <x:v>Medium demersals (30 - 89 cm)</x:v>
      </x:c>
      <x:c r="H200" s="46" t="str">
        <x:v>Cod-likes</x:v>
      </x:c>
      <x:c r="I200" s="60" t="n">
        <x:v>0.0234349442</x:v>
      </x:c>
      <x:c r="J200" s="60" t="n">
        <x:v>0</x:v>
      </x:c>
      <x:c r="K200" s="60" t="n">
        <x:v>0.0234349442</x:v>
      </x:c>
      <x:c r="L200" s="60" t="n">
        <x:v>0</x:v>
      </x:c>
      <x:c r="M200" s="60" t="n">
        <x:v>0.0234349442</x:v>
      </x:c>
      <x:c r="N200" s="46" t="str">
        <x:v>gadidae</x:v>
      </x:c>
      <x:c r="O200" s="62" t="n">
        <x:v>3.84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Gadidae</x:v>
      </x:c>
      <x:c r="T200" s="62" t="n">
        <x:f>IF(O200="","",(1/'Metadata'!$B$5)^(O200-1))</x:f>
        <x:v>4953.648510535111</x:v>
      </x:c>
      <x:c r="U200" s="60" t="n">
        <x:f>IF(T200="","",I200*T200)</x:f>
        <x:v>116.08847643080344</x:v>
      </x:c>
    </x:row>
    <x:row r="201" ht="18" customHeight="1">
      <x:c r="A201" s="46" t="str">
        <x:v>LME_007</x:v>
      </x:c>
      <x:c r="B201" s="46" t="str">
        <x:v>Northeast U.S. Continental Shelf</x:v>
      </x:c>
      <x:c r="C201" s="46" t="str">
        <x:v>LME</x:v>
      </x:c>
      <x:c r="D201" s="58" t="n">
        <x:v>2019</x:v>
      </x:c>
      <x:c r="E201" s="46" t="str">
        <x:v>Pagrus pagrus</x:v>
      </x:c>
      <x:c r="F201" s="46" t="str">
        <x:v>Red porgy</x:v>
      </x:c>
      <x:c r="G201" s="46" t="str">
        <x:v>Medium benthopelagics (30 - 89 cm)</x:v>
      </x:c>
      <x:c r="H201" s="46" t="str">
        <x:v>Perch-likes</x:v>
      </x:c>
      <x:c r="I201" s="60" t="n">
        <x:v>0.0234281127</x:v>
      </x:c>
      <x:c r="J201" s="60" t="n">
        <x:v>0.0234281127</x:v>
      </x:c>
      <x:c r="K201" s="60" t="n">
        <x:v>0</x:v>
      </x:c>
      <x:c r="L201" s="60" t="n">
        <x:v>0</x:v>
      </x:c>
      <x:c r="M201" s="60" t="n">
        <x:v>0.0234281127</x:v>
      </x:c>
      <x:c r="N201" s="46" t="str">
        <x:v>pagrus pagrus</x:v>
      </x:c>
      <x:c r="O201" s="62" t="n">
        <x:v>3.86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Pagrus pagrus</x:v>
      </x:c>
      <x:c r="T201" s="62" t="n">
        <x:f>IF(O201="","",(1/'Metadata'!$B$5)^(O201-1))</x:f>
        <x:v>5259.51608454905</x:v>
      </x:c>
      <x:c r="U201" s="60" t="n">
        <x:f>IF(T201="","",I201*T201)</x:f>
        <x:v>123.22053557627787</x:v>
      </x:c>
    </x:row>
    <x:row r="202" ht="18" customHeight="1">
      <x:c r="A202" s="46" t="str">
        <x:v>LME_007</x:v>
      </x:c>
      <x:c r="B202" s="46" t="str">
        <x:v>Northeast U.S. Continental Shelf</x:v>
      </x:c>
      <x:c r="C202" s="46" t="str">
        <x:v>LME</x:v>
      </x:c>
      <x:c r="D202" s="58" t="n">
        <x:v>2019</x:v>
      </x:c>
      <x:c r="E202" s="46" t="str">
        <x:v>Scombridae</x:v>
      </x:c>
      <x:c r="F202" s="46" t="str">
        <x:v>Mackerels, tunas, bonitos</x:v>
      </x:c>
      <x:c r="G202" s="46" t="str">
        <x:v>Medium pelagics (30 - 89 cm)</x:v>
      </x:c>
      <x:c r="H202" s="46" t="str">
        <x:v>Perch-likes</x:v>
      </x:c>
      <x:c r="I202" s="60" t="n">
        <x:v>0.0199457524</x:v>
      </x:c>
      <x:c r="J202" s="60" t="n">
        <x:v>0.0199457524</x:v>
      </x:c>
      <x:c r="K202" s="60" t="n">
        <x:v>0</x:v>
      </x:c>
      <x:c r="L202" s="60" t="n">
        <x:v>0.0025059326</x:v>
      </x:c>
      <x:c r="M202" s="60" t="n">
        <x:v>0.0174398198</x:v>
      </x:c>
      <x:c r="N202" s="46" t="str">
        <x:v>scombridae</x:v>
      </x:c>
      <x:c r="O202" s="62" t="n">
        <x:v>4.26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Scombridae</x:v>
      </x:c>
      <x:c r="T202" s="62" t="n">
        <x:f>IF(O202="","",(1/'Metadata'!$B$5)^(O202-1))</x:f>
        <x:v>17432.42421569787</x:v>
      </x:c>
      <x:c r="U202" s="60" t="n">
        <x:f>IF(T202="","",I202*T202)</x:f>
        <x:v>347.7028171380739</x:v>
      </x:c>
    </x:row>
    <x:row r="203" ht="18" customHeight="1">
      <x:c r="A203" s="46" t="str">
        <x:v>LME_007</x:v>
      </x:c>
      <x:c r="B203" s="46" t="str">
        <x:v>Northeast U.S. Continental Shelf</x:v>
      </x:c>
      <x:c r="C203" s="46" t="str">
        <x:v>LME</x:v>
      </x:c>
      <x:c r="D203" s="58" t="n">
        <x:v>2019</x:v>
      </x:c>
      <x:c r="E203" s="46" t="str">
        <x:v>Anchoa mitchilli</x:v>
      </x:c>
      <x:c r="F203" s="46" t="str">
        <x:v>Bay anchovy</x:v>
      </x:c>
      <x:c r="G203" s="46" t="str">
        <x:v>Small pelagics (&lt;30 cm)</x:v>
      </x:c>
      <x:c r="H203" s="46" t="str">
        <x:v>Anchovies</x:v>
      </x:c>
      <x:c r="I203" s="60" t="n">
        <x:v>0.0178273771</x:v>
      </x:c>
      <x:c r="J203" s="60" t="n">
        <x:v>0.0178273771</x:v>
      </x:c>
      <x:c r="K203" s="60" t="n">
        <x:v>0</x:v>
      </x:c>
      <x:c r="L203" s="60" t="n">
        <x:v>0</x:v>
      </x:c>
      <x:c r="M203" s="60" t="n">
        <x:v>0.0178273771</x:v>
      </x:c>
      <x:c r="N203" s="46" t="str">
        <x:v>anchoa mitchilli</x:v>
      </x:c>
      <x:c r="O203" s="62" t="n">
        <x:v>3.46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Anchoa mitchilli</x:v>
      </x:c>
      <x:c r="T203" s="62" t="n">
        <x:f>IF(O203="","",(1/'Metadata'!$B$5)^(O203-1))</x:f>
        <x:v>1586.8423749532276</x:v>
      </x:c>
      <x:c r="U203" s="60" t="n">
        <x:f>IF(T203="","",I203*T203)</x:f>
        <x:v>28.289237416550783</x:v>
      </x:c>
    </x:row>
    <x:row r="204" ht="18" customHeight="1">
      <x:c r="A204" s="46" t="str">
        <x:v>LME_007</x:v>
      </x:c>
      <x:c r="B204" s="46" t="str">
        <x:v>Northeast U.S. Continental Shelf</x:v>
      </x:c>
      <x:c r="C204" s="46" t="str">
        <x:v>LME</x:v>
      </x:c>
      <x:c r="D204" s="58" t="n">
        <x:v>2019</x:v>
      </x:c>
      <x:c r="E204" s="46" t="str">
        <x:v>Hyporthodus niveatus</x:v>
      </x:c>
      <x:c r="F204" s="46" t="str">
        <x:v>Snowy grouper</x:v>
      </x:c>
      <x:c r="G204" s="46" t="str">
        <x:v>Large demersals (&gt;=90 cm)</x:v>
      </x:c>
      <x:c r="H204" s="46" t="str">
        <x:v>Perch-likes</x:v>
      </x:c>
      <x:c r="I204" s="60" t="n">
        <x:v>0.017002926800000002</x:v>
      </x:c>
      <x:c r="J204" s="60" t="n">
        <x:v>0.017002926800000002</x:v>
      </x:c>
      <x:c r="K204" s="60" t="n">
        <x:v>0</x:v>
      </x:c>
      <x:c r="L204" s="60" t="n">
        <x:v>0</x:v>
      </x:c>
      <x:c r="M204" s="60" t="n">
        <x:v>0.017002926800000002</x:v>
      </x:c>
      <x:c r="N204" s="46" t="str">
        <x:v>hyporthodus niveatus</x:v>
      </x:c>
      <x:c r="O204" s="62" t="n">
        <x:v>4.04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Hyporthodus niveatus</x:v>
      </x:c>
      <x:c r="T204" s="62" t="n">
        <x:f>IF(O204="","",(1/'Metadata'!$B$5)^(O204-1))</x:f>
        <x:v>9018.435152653688</x:v>
      </x:c>
      <x:c r="U204" s="60" t="n">
        <x:f>IF(T204="","",I204*T204)</x:f>
        <x:v>153.3397927511175</x:v>
      </x:c>
    </x:row>
    <x:row r="205" ht="18" customHeight="1">
      <x:c r="A205" s="46" t="str">
        <x:v>LME_007</x:v>
      </x:c>
      <x:c r="B205" s="46" t="str">
        <x:v>Northeast U.S. Continental Shelf</x:v>
      </x:c>
      <x:c r="C205" s="46" t="str">
        <x:v>LME</x:v>
      </x:c>
      <x:c r="D205" s="58" t="n">
        <x:v>2019</x:v>
      </x:c>
      <x:c r="E205" s="46" t="str">
        <x:v>Caranx hippos</x:v>
      </x:c>
      <x:c r="F205" s="46" t="str">
        <x:v>Crevalle jack</x:v>
      </x:c>
      <x:c r="G205" s="46" t="str">
        <x:v>Large reef assoc. fish (&gt;=90 cm)</x:v>
      </x:c>
      <x:c r="H205" s="46" t="str">
        <x:v>Perch-likes</x:v>
      </x:c>
      <x:c r="I205" s="60" t="n">
        <x:v>0.0137040613</x:v>
      </x:c>
      <x:c r="J205" s="60" t="n">
        <x:v>0.0137040613</x:v>
      </x:c>
      <x:c r="K205" s="60" t="n">
        <x:v>0</x:v>
      </x:c>
      <x:c r="L205" s="60" t="n">
        <x:v>0.0121783427</x:v>
      </x:c>
      <x:c r="M205" s="60" t="n">
        <x:v>0.0015257186</x:v>
      </x:c>
      <x:c r="N205" s="46" t="str">
        <x:v>caranx hippos</x:v>
      </x:c>
      <x:c r="O205" s="62" t="n">
        <x:v>3.56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Caranx hippos</x:v>
      </x:c>
      <x:c r="T205" s="62" t="n">
        <x:f>IF(O205="","",(1/'Metadata'!$B$5)^(O205-1))</x:f>
        <x:v>2141.099198485972</x:v>
      </x:c>
      <x:c r="U205" s="60" t="n">
        <x:f>IF(T205="","",I205*T205)</x:f>
        <x:v>29.341754665432628</x:v>
      </x:c>
    </x:row>
    <x:row r="206" ht="18" customHeight="1">
      <x:c r="A206" s="46" t="str">
        <x:v>LME_007</x:v>
      </x:c>
      <x:c r="B206" s="46" t="str">
        <x:v>Northeast U.S. Continental Shelf</x:v>
      </x:c>
      <x:c r="C206" s="46" t="str">
        <x:v>LME</x:v>
      </x:c>
      <x:c r="D206" s="58" t="n">
        <x:v>2019</x:v>
      </x:c>
      <x:c r="E206" s="46" t="str">
        <x:v>Caranx</x:v>
      </x:c>
      <x:c r="F206" s="46" t="str">
        <x:v>Jacks</x:v>
      </x:c>
      <x:c r="G206" s="46" t="str">
        <x:v>Medium reef assoc. fish (30 - 89 cm)</x:v>
      </x:c>
      <x:c r="H206" s="46" t="str">
        <x:v>Perch-likes</x:v>
      </x:c>
      <x:c r="I206" s="60" t="n">
        <x:v>0.0127276069</x:v>
      </x:c>
      <x:c r="J206" s="60" t="n">
        <x:v>0.0127276069</x:v>
      </x:c>
      <x:c r="K206" s="60" t="n">
        <x:v>0</x:v>
      </x:c>
      <x:c r="L206" s="60" t="n">
        <x:v>0</x:v>
      </x:c>
      <x:c r="M206" s="60" t="n">
        <x:v>0.0127276069</x:v>
      </x:c>
      <x:c r="N206" s="46" t="str">
        <x:v>caranx</x:v>
      </x:c>
      <x:c r="O206" s="62" t="n">
        <x:v>4.12</x:v>
      </x:c>
      <x:c r="P206" s="46" t="str">
        <x:v>exact_sea_around_us</x:v>
      </x:c>
      <x:c r="Q206" s="62" t="str">
        <x:v>Sea Around Us exploited organisms</x:v>
      </x:c>
      <x:c r="R206" s="46" t="str">
        <x:v>high</x:v>
      </x:c>
      <x:c r="S206" s="46" t="str">
        <x:v>Caranx</x:v>
      </x:c>
      <x:c r="T206" s="62" t="n">
        <x:f>IF(O206="","",(1/'Metadata'!$B$5)^(O206-1))</x:f>
        <x:v>11460.764444393179</x:v>
      </x:c>
      <x:c r="U206" s="60" t="n">
        <x:f>IF(T206="","",I206*T206)</x:f>
        <x:v>145.8681046217333</x:v>
      </x:c>
    </x:row>
    <x:row r="207" ht="18" customHeight="1">
      <x:c r="A207" s="46" t="str">
        <x:v>LME_007</x:v>
      </x:c>
      <x:c r="B207" s="46" t="str">
        <x:v>Northeast U.S. Continental Shelf</x:v>
      </x:c>
      <x:c r="C207" s="46" t="str">
        <x:v>LME</x:v>
      </x:c>
      <x:c r="D207" s="58" t="n">
        <x:v>2019</x:v>
      </x:c>
      <x:c r="E207" s="46" t="str">
        <x:v>Lutjanus campechanus</x:v>
      </x:c>
      <x:c r="F207" s="46" t="str">
        <x:v>Northern red snapper</x:v>
      </x:c>
      <x:c r="G207" s="46" t="str">
        <x:v>Medium reef assoc. fish (30 - 89 cm)</x:v>
      </x:c>
      <x:c r="H207" s="46" t="str">
        <x:v>Perch-likes</x:v>
      </x:c>
      <x:c r="I207" s="60" t="n">
        <x:v>0.0125115543</x:v>
      </x:c>
      <x:c r="J207" s="60" t="n">
        <x:v>0.0125115543</x:v>
      </x:c>
      <x:c r="K207" s="60" t="n">
        <x:v>0</x:v>
      </x:c>
      <x:c r="L207" s="60" t="n">
        <x:v>0</x:v>
      </x:c>
      <x:c r="M207" s="60" t="n">
        <x:v>0.0125115543</x:v>
      </x:c>
      <x:c r="N207" s="46" t="str">
        <x:v>lutjanus campechanus</x:v>
      </x:c>
      <x:c r="O207" s="62" t="n">
        <x:v>4.01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Lutjanus campechanus</x:v>
      </x:c>
      <x:c r="T207" s="62" t="n">
        <x:f>IF(O207="","",(1/'Metadata'!$B$5)^(O207-1))</x:f>
        <x:v>8243.284463290014</x:v>
      </x:c>
      <x:c r="U207" s="60" t="n">
        <x:f>IF(T207="","",I207*T207)</x:f>
        <x:v>103.13630117279936</x:v>
      </x:c>
    </x:row>
    <x:row r="208" ht="18" customHeight="1">
      <x:c r="A208" s="46" t="str">
        <x:v>LME_007</x:v>
      </x:c>
      <x:c r="B208" s="46" t="str">
        <x:v>Northeast U.S. Continental Shelf</x:v>
      </x:c>
      <x:c r="C208" s="46" t="str">
        <x:v>LME</x:v>
      </x:c>
      <x:c r="D208" s="58" t="n">
        <x:v>2019</x:v>
      </x:c>
      <x:c r="E208" s="46" t="str">
        <x:v>Scorpaeniformes</x:v>
      </x:c>
      <x:c r="F208" s="46" t="str">
        <x:v>Scorpionfishes, flatheads</x:v>
      </x:c>
      <x:c r="G208" s="46" t="str">
        <x:v>Medium demersals (30 - 89 cm)</x:v>
      </x:c>
      <x:c r="H208" s="46" t="str">
        <x:v>Scorpionfishes</x:v>
      </x:c>
      <x:c r="I208" s="60" t="n">
        <x:v>0.011319092900000001</x:v>
      </x:c>
      <x:c r="J208" s="60" t="n">
        <x:v>0.011319092900000001</x:v>
      </x:c>
      <x:c r="K208" s="60" t="n">
        <x:v>0</x:v>
      </x:c>
      <x:c r="L208" s="60" t="n">
        <x:v>0</x:v>
      </x:c>
      <x:c r="M208" s="60" t="n">
        <x:v>0.011319092900000001</x:v>
      </x:c>
      <x:c r="N208" s="46" t="str">
        <x:v>scorpaeniformes</x:v>
      </x:c>
      <x:c r="O208" s="62" t="n">
        <x:v>3.78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Scorpaeniformes</x:v>
      </x:c>
      <x:c r="T208" s="62" t="n">
        <x:f>IF(O208="","",(1/'Metadata'!$B$5)^(O208-1))</x:f>
        <x:v>4138.694671981463</x:v>
      </x:c>
      <x:c r="U208" s="60" t="n">
        <x:f>IF(T208="","",I208*T208)</x:f>
        <x:v>46.84626947689321</x:v>
      </x:c>
    </x:row>
    <x:row r="209" ht="18" customHeight="1">
      <x:c r="A209" s="46" t="str">
        <x:v>LME_007</x:v>
      </x:c>
      <x:c r="B209" s="46" t="str">
        <x:v>Northeast U.S. Continental Shelf</x:v>
      </x:c>
      <x:c r="C209" s="46" t="str">
        <x:v>LME</x:v>
      </x:c>
      <x:c r="D209" s="58" t="n">
        <x:v>2019</x:v>
      </x:c>
      <x:c r="E209" s="46" t="str">
        <x:v>Rhomboplites aurorubens</x:v>
      </x:c>
      <x:c r="F209" s="46" t="str">
        <x:v>Vermilion snapper</x:v>
      </x:c>
      <x:c r="G209" s="46" t="str">
        <x:v>Medium demersals (30 - 89 cm)</x:v>
      </x:c>
      <x:c r="H209" s="46" t="str">
        <x:v>Perch-likes</x:v>
      </x:c>
      <x:c r="I209" s="60" t="n">
        <x:v>0.0071402963000000005</x:v>
      </x:c>
      <x:c r="J209" s="60" t="n">
        <x:v>0.0071402963000000005</x:v>
      </x:c>
      <x:c r="K209" s="60" t="n">
        <x:v>0</x:v>
      </x:c>
      <x:c r="L209" s="60" t="n">
        <x:v>0</x:v>
      </x:c>
      <x:c r="M209" s="60" t="n">
        <x:v>0.0071402963000000005</x:v>
      </x:c>
      <x:c r="N209" s="46" t="str">
        <x:v>rhomboplites aurorubens</x:v>
      </x:c>
      <x:c r="O209" s="62" t="n">
        <x:v>4.36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Rhomboplites aurorubens</x:v>
      </x:c>
      <x:c r="T209" s="62" t="n">
        <x:f>IF(O209="","",(1/'Metadata'!$B$5)^(O209-1))</x:f>
        <x:v>23521.270987610445</x:v>
      </x:c>
      <x:c r="U209" s="60" t="n">
        <x:f>IF(T209="","",I209*T209)</x:f>
        <x:v>167.94884420413223</x:v>
      </x:c>
    </x:row>
    <x:row r="210" ht="18" customHeight="1">
      <x:c r="A210" s="46" t="str">
        <x:v>LME_007</x:v>
      </x:c>
      <x:c r="B210" s="46" t="str">
        <x:v>Northeast U.S. Continental Shelf</x:v>
      </x:c>
      <x:c r="C210" s="46" t="str">
        <x:v>LME</x:v>
      </x:c>
      <x:c r="D210" s="58" t="n">
        <x:v>2019</x:v>
      </x:c>
      <x:c r="E210" s="46" t="str">
        <x:v>Lutjanidae</x:v>
      </x:c>
      <x:c r="F210" s="46" t="str">
        <x:v>Snappers</x:v>
      </x:c>
      <x:c r="G210" s="46" t="str">
        <x:v>Medium reef assoc. fish (30 - 89 cm)</x:v>
      </x:c>
      <x:c r="H210" s="46" t="str">
        <x:v>Perch-likes</x:v>
      </x:c>
      <x:c r="I210" s="60" t="n">
        <x:v>0.0070608762</x:v>
      </x:c>
      <x:c r="J210" s="60" t="n">
        <x:v>0.0070608762</x:v>
      </x:c>
      <x:c r="K210" s="60" t="n">
        <x:v>0</x:v>
      </x:c>
      <x:c r="L210" s="60" t="n">
        <x:v>0</x:v>
      </x:c>
      <x:c r="M210" s="60" t="n">
        <x:v>0.0070608762</x:v>
      </x:c>
      <x:c r="N210" s="46" t="str">
        <x:v>lutjanidae</x:v>
      </x:c>
      <x:c r="O210" s="62" t="n">
        <x:v>4.02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Lutjanidae</x:v>
      </x:c>
      <x:c r="T210" s="62" t="n">
        <x:f>IF(O210="","",(1/'Metadata'!$B$5)^(O210-1))</x:f>
        <x:v>8493.967342839818</x:v>
      </x:c>
      <x:c r="U210" s="60" t="n">
        <x:f>IF(T210="","",I210*T210)</x:f>
        <x:v>59.97485185463491</x:v>
      </x:c>
    </x:row>
    <x:row r="211" ht="18" customHeight="1">
      <x:c r="A211" s="46" t="str">
        <x:v>LME_007</x:v>
      </x:c>
      <x:c r="B211" s="46" t="str">
        <x:v>Northeast U.S. Continental Shelf</x:v>
      </x:c>
      <x:c r="C211" s="46" t="str">
        <x:v>LME</x:v>
      </x:c>
      <x:c r="D211" s="58" t="n">
        <x:v>2019</x:v>
      </x:c>
      <x:c r="E211" s="46" t="str">
        <x:v>Auxis thazard</x:v>
      </x:c>
      <x:c r="F211" s="46" t="str">
        <x:v>Frigate tuna</x:v>
      </x:c>
      <x:c r="G211" s="46" t="str">
        <x:v>Medium pelagics (30 - 89 cm)</x:v>
      </x:c>
      <x:c r="H211" s="46" t="str">
        <x:v>Tuna &amp; billfishes</x:v>
      </x:c>
      <x:c r="I211" s="60" t="n">
        <x:v>0.0047057301000000005</x:v>
      </x:c>
      <x:c r="J211" s="60" t="n">
        <x:v>0.0047057301000000005</x:v>
      </x:c>
      <x:c r="K211" s="60" t="n">
        <x:v>0</x:v>
      </x:c>
      <x:c r="L211" s="60" t="n">
        <x:v>0</x:v>
      </x:c>
      <x:c r="M211" s="60" t="n">
        <x:v>0.0047057301000000005</x:v>
      </x:c>
      <x:c r="N211" s="46" t="str">
        <x:v>auxis thazard</x:v>
      </x:c>
      <x:c r="O211" s="62" t="n">
        <x:v>4.37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Auxis thazard</x:v>
      </x:c>
      <x:c r="T211" s="62" t="n">
        <x:f>IF(O211="","",(1/'Metadata'!$B$5)^(O211-1))</x:f>
        <x:v>24236.56596112542</x:v>
      </x:c>
      <x:c r="U211" s="60" t="n">
        <x:f>IF(T211="","",I211*T211)</x:f>
        <x:v>114.05073796390333</x:v>
      </x:c>
    </x:row>
    <x:row r="212" ht="18" customHeight="1">
      <x:c r="A212" s="46" t="str">
        <x:v>LME_007</x:v>
      </x:c>
      <x:c r="B212" s="46" t="str">
        <x:v>Northeast U.S. Continental Shelf</x:v>
      </x:c>
      <x:c r="C212" s="46" t="str">
        <x:v>LME</x:v>
      </x:c>
      <x:c r="D212" s="58" t="n">
        <x:v>2019</x:v>
      </x:c>
      <x:c r="E212" s="46" t="str">
        <x:v>Batoidea</x:v>
      </x:c>
      <x:c r="F212" s="46" t="str">
        <x:v>Batoids, skates, rays, sawfishes</x:v>
      </x:c>
      <x:c r="G212" s="46" t="str">
        <x:v>Large rays (&gt;=90 cm)</x:v>
      </x:c>
      <x:c r="H212" s="46" t="str">
        <x:v>Sharks &amp; rays</x:v>
      </x:c>
      <x:c r="I212" s="60" t="n">
        <x:v>0.0032610891</x:v>
      </x:c>
      <x:c r="J212" s="60" t="n">
        <x:v>0.0032610891</x:v>
      </x:c>
      <x:c r="K212" s="60" t="n">
        <x:v>0</x:v>
      </x:c>
      <x:c r="L212" s="60" t="n">
        <x:v>0</x:v>
      </x:c>
      <x:c r="M212" s="60" t="n">
        <x:v>0.0032610891</x:v>
      </x:c>
      <x:c r="N212" s="46" t="str">
        <x:v>batoidea</x:v>
      </x:c>
      <x:c r="O212" s="62" t="n">
        <x:v>3.72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Batoidea</x:v>
      </x:c>
      <x:c r="T212" s="62" t="n">
        <x:f>IF(O212="","",(1/'Metadata'!$B$5)^(O212-1))</x:f>
        <x:v>3457.8136804537753</x:v>
      </x:c>
      <x:c r="U212" s="60" t="n">
        <x:f>IF(T212="","",I212*T212)</x:f>
        <x:v>11.27623850315869</x:v>
      </x:c>
    </x:row>
    <x:row r="213" ht="18" customHeight="1">
      <x:c r="A213" s="46" t="str">
        <x:v>LME_007</x:v>
      </x:c>
      <x:c r="B213" s="46" t="str">
        <x:v>Northeast U.S. Continental Shelf</x:v>
      </x:c>
      <x:c r="C213" s="46" t="str">
        <x:v>LME</x:v>
      </x:c>
      <x:c r="D213" s="58" t="n">
        <x:v>2019</x:v>
      </x:c>
      <x:c r="E213" s="46" t="str">
        <x:v>Octopodidae</x:v>
      </x:c>
      <x:c r="F213" s="46" t="str">
        <x:v>Octopuses</x:v>
      </x:c>
      <x:c r="G213" s="46" t="str">
        <x:v>Cephalopods</x:v>
      </x:c>
      <x:c r="H213" s="46" t="str">
        <x:v>Other fishes &amp; inverts</x:v>
      </x:c>
      <x:c r="I213" s="60" t="n">
        <x:v>0.003167927</x:v>
      </x:c>
      <x:c r="J213" s="60" t="n">
        <x:v>0.003167927</x:v>
      </x:c>
      <x:c r="K213" s="60" t="n">
        <x:v>0</x:v>
      </x:c>
      <x:c r="L213" s="60" t="n">
        <x:v>0.003167927</x:v>
      </x:c>
      <x:c r="M213" s="60" t="n">
        <x:v>0</x:v>
      </x:c>
      <x:c r="N213" s="46" t="str">
        <x:v>octopodidae</x:v>
      </x:c>
      <x:c r="O213" s="62" t="n">
        <x:v>3.59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Octopodidae</x:v>
      </x:c>
      <x:c r="T213" s="62" t="n">
        <x:f>IF(O213="","",(1/'Metadata'!$B$5)^(O213-1))</x:f>
        <x:v>2342.4357563948306</x:v>
      </x:c>
      <x:c r="U213" s="60" t="n">
        <x:f>IF(T213="","",I213*T213)</x:f>
        <x:v>7.420665478448607</x:v>
      </x:c>
    </x:row>
    <x:row r="214" ht="18" customHeight="1">
      <x:c r="A214" s="46" t="str">
        <x:v>LME_007</x:v>
      </x:c>
      <x:c r="B214" s="46" t="str">
        <x:v>Northeast U.S. Continental Shelf</x:v>
      </x:c>
      <x:c r="C214" s="46" t="str">
        <x:v>LME</x:v>
      </x:c>
      <x:c r="D214" s="58" t="n">
        <x:v>2019</x:v>
      </x:c>
      <x:c r="E214" s="46" t="str">
        <x:v>Chionoecetes opilio</x:v>
      </x:c>
      <x:c r="F214" s="46" t="str">
        <x:v>Snow crab</x:v>
      </x:c>
      <x:c r="G214" s="46" t="str">
        <x:v>Lobsters, crabs</x:v>
      </x:c>
      <x:c r="H214" s="46" t="str">
        <x:v>Crustaceans</x:v>
      </x:c>
      <x:c r="I214" s="60" t="n">
        <x:v>0.0029553483</x:v>
      </x:c>
      <x:c r="J214" s="60" t="n">
        <x:v>0.0029553483</x:v>
      </x:c>
      <x:c r="K214" s="60" t="n">
        <x:v>0</x:v>
      </x:c>
      <x:c r="L214" s="60" t="n">
        <x:v>0.0029553483</x:v>
      </x:c>
      <x:c r="M214" s="60" t="n">
        <x:v>0</x:v>
      </x:c>
      <x:c r="N214" s="46" t="str">
        <x:v>chionoecetes opilio</x:v>
      </x:c>
      <x:c r="O214" s="62" t="n">
        <x:v>3.54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Chionoecetes opilio</x:v>
      </x:c>
      <x:c r="T214" s="62" t="n">
        <x:f>IF(O214="","",(1/'Metadata'!$B$5)^(O214-1))</x:f>
        <x:v>2016.5834052007342</x:v>
      </x:c>
      <x:c r="U214" s="60" t="n">
        <x:f>IF(T214="","",I214*T214)</x:f>
        <x:v>5.959706338368202</x:v>
      </x:c>
    </x:row>
    <x:row r="215" ht="18" customHeight="1">
      <x:c r="A215" s="46" t="str">
        <x:v>LME_007</x:v>
      </x:c>
      <x:c r="B215" s="46" t="str">
        <x:v>Northeast U.S. Continental Shelf</x:v>
      </x:c>
      <x:c r="C215" s="46" t="str">
        <x:v>LME</x:v>
      </x:c>
      <x:c r="D215" s="58" t="n">
        <x:v>2019</x:v>
      </x:c>
      <x:c r="E215" s="46" t="str">
        <x:v>Diplectrum formosum</x:v>
      </x:c>
      <x:c r="F215" s="46" t="str">
        <x:v>Sand perch</x:v>
      </x:c>
      <x:c r="G215" s="46" t="str">
        <x:v>Small demersals (&lt;30 cm)</x:v>
      </x:c>
      <x:c r="H215" s="46" t="str">
        <x:v>Perch-likes</x:v>
      </x:c>
      <x:c r="I215" s="60" t="n">
        <x:v>0.0018816443</x:v>
      </x:c>
      <x:c r="J215" s="60" t="n">
        <x:v>0.0018816443</x:v>
      </x:c>
      <x:c r="K215" s="60" t="n">
        <x:v>0</x:v>
      </x:c>
      <x:c r="L215" s="60" t="n">
        <x:v>0</x:v>
      </x:c>
      <x:c r="M215" s="60" t="n">
        <x:v>0.0018816443</x:v>
      </x:c>
      <x:c r="N215" s="46" t="str">
        <x:v>diplectrum formosum</x:v>
      </x:c>
      <x:c r="O215" s="62" t="n">
        <x:v>4.49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Diplectrum formosum</x:v>
      </x:c>
      <x:c r="T215" s="62" t="n">
        <x:f>IF(O215="","",(1/'Metadata'!$B$5)^(O215-1))</x:f>
        <x:v>34721.19667768202</x:v>
      </x:c>
      <x:c r="U215" s="60" t="n">
        <x:f>IF(T215="","",I215*T215)</x:f>
        <x:v>65.33294181773931</x:v>
      </x:c>
    </x:row>
    <x:row r="216" ht="18" customHeight="1">
      <x:c r="A216" s="46" t="str">
        <x:v>LME_007</x:v>
      </x:c>
      <x:c r="B216" s="46" t="str">
        <x:v>Northeast U.S. Continental Shelf</x:v>
      </x:c>
      <x:c r="C216" s="46" t="str">
        <x:v>LME</x:v>
      </x:c>
      <x:c r="D216" s="58" t="n">
        <x:v>2019</x:v>
      </x:c>
      <x:c r="E216" s="46" t="str">
        <x:v>Carcharhinus</x:v>
      </x:c>
      <x:c r="F216" s="46" t="str">
        <x:v>Sharp-nosed sharks</x:v>
      </x:c>
      <x:c r="G216" s="46" t="str">
        <x:v>Large sharks (&gt;=90 cm)</x:v>
      </x:c>
      <x:c r="H216" s="46" t="str">
        <x:v>Sharks &amp; rays</x:v>
      </x:c>
      <x:c r="I216" s="60" t="n">
        <x:v>0.0018746558</x:v>
      </x:c>
      <x:c r="J216" s="60" t="n">
        <x:v>0.0018746558</x:v>
      </x:c>
      <x:c r="K216" s="60" t="n">
        <x:v>0</x:v>
      </x:c>
      <x:c r="L216" s="60" t="n">
        <x:v>0</x:v>
      </x:c>
      <x:c r="M216" s="60" t="n">
        <x:v>0.0018746558</x:v>
      </x:c>
      <x:c r="N216" s="46" t="str">
        <x:v>carcharhinus</x:v>
      </x:c>
      <x:c r="O216" s="62" t="n">
        <x:v>4.26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Carcharhinus</x:v>
      </x:c>
      <x:c r="T216" s="62" t="n">
        <x:f>IF(O216="","",(1/'Metadata'!$B$5)^(O216-1))</x:f>
        <x:v>17432.42421569787</x:v>
      </x:c>
      <x:c r="U216" s="60" t="n">
        <x:f>IF(T216="","",I216*T216)</x:f>
        <x:v>32.679795164018465</x:v>
      </x:c>
    </x:row>
    <x:row r="217" ht="18" customHeight="1">
      <x:c r="A217" s="46" t="str">
        <x:v>LME_007</x:v>
      </x:c>
      <x:c r="B217" s="46" t="str">
        <x:v>Northeast U.S. Continental Shelf</x:v>
      </x:c>
      <x:c r="C217" s="46" t="str">
        <x:v>LME</x:v>
      </x:c>
      <x:c r="D217" s="58" t="n">
        <x:v>2019</x:v>
      </x:c>
      <x:c r="E217" s="46" t="str">
        <x:v>Makaira</x:v>
      </x:c>
      <x:c r="F217" s="46" t="str">
        <x:v>Blue marlins</x:v>
      </x:c>
      <x:c r="G217" s="46" t="str">
        <x:v>Large pelagics (&gt;=90 cm)</x:v>
      </x:c>
      <x:c r="H217" s="46" t="str">
        <x:v>Tuna &amp; billfishes</x:v>
      </x:c>
      <x:c r="I217" s="60" t="n">
        <x:v>0.0017696818</x:v>
      </x:c>
      <x:c r="J217" s="60" t="n">
        <x:v>0.0017696818</x:v>
      </x:c>
      <x:c r="K217" s="60" t="n">
        <x:v>0</x:v>
      </x:c>
      <x:c r="L217" s="60" t="n">
        <x:v>0</x:v>
      </x:c>
      <x:c r="M217" s="60" t="n">
        <x:v>0.0017696818</x:v>
      </x:c>
      <x:c r="N217" s="46" t="str">
        <x:v>makaira</x:v>
      </x:c>
      <x:c r="O217" s="62" t="n">
        <x:v>4.47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Makaira</x:v>
      </x:c>
      <x:c r="T217" s="62" t="n">
        <x:f>IF(O217="","",(1/'Metadata'!$B$5)^(O217-1))</x:f>
        <x:v>32701.982737855422</x:v>
      </x:c>
      <x:c r="U217" s="60" t="n">
        <x:f>IF(T217="","",I217*T217)</x:f>
        <x:v>57.87210367509691</x:v>
      </x:c>
    </x:row>
    <x:row r="218" ht="18" customHeight="1">
      <x:c r="A218" s="46" t="str">
        <x:v>LME_007</x:v>
      </x:c>
      <x:c r="B218" s="46" t="str">
        <x:v>Northeast U.S. Continental Shelf</x:v>
      </x:c>
      <x:c r="C218" s="46" t="str">
        <x:v>LME</x:v>
      </x:c>
      <x:c r="D218" s="58" t="n">
        <x:v>2019</x:v>
      </x:c>
      <x:c r="E218" s="46" t="str">
        <x:v>Isurus paucus</x:v>
      </x:c>
      <x:c r="F218" s="46" t="str">
        <x:v>Longfin mako</x:v>
      </x:c>
      <x:c r="G218" s="46" t="str">
        <x:v>Large sharks (&gt;=90 cm)</x:v>
      </x:c>
      <x:c r="H218" s="46" t="str">
        <x:v>Sharks &amp; rays</x:v>
      </x:c>
      <x:c r="I218" s="60" t="n">
        <x:v>0.0017256376</x:v>
      </x:c>
      <x:c r="J218" s="60" t="n">
        <x:v>0.0017256376</x:v>
      </x:c>
      <x:c r="K218" s="60" t="n">
        <x:v>0</x:v>
      </x:c>
      <x:c r="L218" s="60" t="n">
        <x:v>0</x:v>
      </x:c>
      <x:c r="M218" s="60" t="n">
        <x:v>0.0017256376</x:v>
      </x:c>
      <x:c r="N218" s="46" t="str">
        <x:v>isurus paucus</x:v>
      </x:c>
      <x:c r="O218" s="62" t="n">
        <x:v>4.51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Isurus paucus</x:v>
      </x:c>
      <x:c r="T218" s="62" t="n">
        <x:f>IF(O218="","",(1/'Metadata'!$B$5)^(O218-1))</x:f>
        <x:v>36865.088835568684</x:v>
      </x:c>
      <x:c r="U218" s="60" t="n">
        <x:f>IF(T218="","",I218*T218)</x:f>
        <x:v>63.615783421997534</x:v>
      </x:c>
    </x:row>
    <x:row r="219" ht="18" customHeight="1">
      <x:c r="A219" s="46" t="str">
        <x:v>LME_007</x:v>
      </x:c>
      <x:c r="B219" s="46" t="str">
        <x:v>Northeast U.S. Continental Shelf</x:v>
      </x:c>
      <x:c r="C219" s="46" t="str">
        <x:v>LME</x:v>
      </x:c>
      <x:c r="D219" s="58" t="n">
        <x:v>2019</x:v>
      </x:c>
      <x:c r="E219" s="46" t="str">
        <x:v>Kyphosus</x:v>
      </x:c>
      <x:c r="F219" s="46" t="str">
        <x:v>Sea chubs</x:v>
      </x:c>
      <x:c r="G219" s="46" t="str">
        <x:v>Medium reef assoc. fish (30 - 89 cm)</x:v>
      </x:c>
      <x:c r="H219" s="46" t="str">
        <x:v>Perch-likes</x:v>
      </x:c>
      <x:c r="I219" s="60" t="n">
        <x:v>0.0013332297999999999</x:v>
      </x:c>
      <x:c r="J219" s="60" t="n">
        <x:v>0.0013332297999999999</x:v>
      </x:c>
      <x:c r="K219" s="60" t="n">
        <x:v>0</x:v>
      </x:c>
      <x:c r="L219" s="60" t="n">
        <x:v>0</x:v>
      </x:c>
      <x:c r="M219" s="60" t="n">
        <x:v>0.0013332297999999999</x:v>
      </x:c>
      <x:c r="N219" s="46" t="str">
        <x:v>kyphosus</x:v>
      </x:c>
      <x:c r="O219" s="62" t="n">
        <x:v>2.05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Kyphosus</x:v>
      </x:c>
      <x:c r="T219" s="62" t="n">
        <x:f>IF(O219="","",(1/'Metadata'!$B$5)^(O219-1))</x:f>
        <x:v>23.231726992830833</x:v>
      </x:c>
      <x:c r="U219" s="60" t="n">
        <x:f>IF(T219="","",I219*T219)</x:f>
        <x:v>0.03097323073230645</x:v>
      </x:c>
    </x:row>
    <x:row r="220" ht="18" customHeight="1">
      <x:c r="A220" s="46" t="str">
        <x:v>LME_007</x:v>
      </x:c>
      <x:c r="B220" s="46" t="str">
        <x:v>Northeast U.S. Continental Shelf</x:v>
      </x:c>
      <x:c r="C220" s="46" t="str">
        <x:v>LME</x:v>
      </x:c>
      <x:c r="D220" s="58" t="n">
        <x:v>2019</x:v>
      </x:c>
      <x:c r="E220" s="46" t="str">
        <x:v>Sphyrna mokarran</x:v>
      </x:c>
      <x:c r="F220" s="46" t="str">
        <x:v>Great hammerhead</x:v>
      </x:c>
      <x:c r="G220" s="46" t="str">
        <x:v>Large sharks (&gt;=90 cm)</x:v>
      </x:c>
      <x:c r="H220" s="46" t="str">
        <x:v>Sharks &amp; rays</x:v>
      </x:c>
      <x:c r="I220" s="60" t="n">
        <x:v>0.0012073773999999998</x:v>
      </x:c>
      <x:c r="J220" s="60" t="n">
        <x:v>0.0012073773999999998</x:v>
      </x:c>
      <x:c r="K220" s="60" t="n">
        <x:v>0</x:v>
      </x:c>
      <x:c r="L220" s="60" t="n">
        <x:v>0</x:v>
      </x:c>
      <x:c r="M220" s="60" t="n">
        <x:v>0.0012073773999999998</x:v>
      </x:c>
      <x:c r="N220" s="46" t="str">
        <x:v>sphyrna mokarran</x:v>
      </x:c>
      <x:c r="O220" s="62" t="n">
        <x:v>4.32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Sphyrna mokarran</x:v>
      </x:c>
      <x:c r="T220" s="62" t="n">
        <x:f>IF(O220="","",(1/'Metadata'!$B$5)^(O220-1))</x:f>
        <x:v>20865.057486776313</x:v>
      </x:c>
      <x:c r="U220" s="60" t="n">
        <x:f>IF(T220="","",I220*T220)</x:f>
        <x:v>25.191998859234516</x:v>
      </x:c>
    </x:row>
    <x:row r="221" ht="18" customHeight="1">
      <x:c r="A221" s="46" t="str">
        <x:v>LME_007</x:v>
      </x:c>
      <x:c r="B221" s="46" t="str">
        <x:v>Northeast U.S. Continental Shelf</x:v>
      </x:c>
      <x:c r="C221" s="46" t="str">
        <x:v>LME</x:v>
      </x:c>
      <x:c r="D221" s="58" t="n">
        <x:v>2019</x:v>
      </x:c>
      <x:c r="E221" s="46" t="str">
        <x:v>Octopus</x:v>
      </x:c>
      <x:c r="F221" s="46" t="str">
        <x:v>Octopuses, pikas</x:v>
      </x:c>
      <x:c r="G221" s="46" t="str">
        <x:v>Cephalopods</x:v>
      </x:c>
      <x:c r="H221" s="46" t="str">
        <x:v>Other fishes &amp; inverts</x:v>
      </x:c>
      <x:c r="I221" s="60" t="n">
        <x:v>0.0009472102</x:v>
      </x:c>
      <x:c r="J221" s="60" t="n">
        <x:v>0.0009472102</x:v>
      </x:c>
      <x:c r="K221" s="60" t="n">
        <x:v>0</x:v>
      </x:c>
      <x:c r="L221" s="60" t="n">
        <x:v>0</x:v>
      </x:c>
      <x:c r="M221" s="60" t="n">
        <x:v>0.0009472102</x:v>
      </x:c>
      <x:c r="N221" s="46" t="str">
        <x:v>octopus</x:v>
      </x:c>
      <x:c r="O221" s="62" t="n">
        <x:v>3.8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Octopus</x:v>
      </x:c>
      <x:c r="T221" s="62" t="n">
        <x:f>IF(O221="","",(1/'Metadata'!$B$5)^(O221-1))</x:f>
        <x:v>4394.242173224468</x:v>
      </x:c>
      <x:c r="U221" s="60" t="n">
        <x:f>IF(T221="","",I221*T221)</x:f>
        <x:v>4.162271007748384</x:v>
      </x:c>
    </x:row>
    <x:row r="222" ht="18" customHeight="1">
      <x:c r="A222" s="46" t="str">
        <x:v>LME_007</x:v>
      </x:c>
      <x:c r="B222" s="46" t="str">
        <x:v>Northeast U.S. Continental Shelf</x:v>
      </x:c>
      <x:c r="C222" s="46" t="str">
        <x:v>LME</x:v>
      </x:c>
      <x:c r="D222" s="58" t="n">
        <x:v>2019</x:v>
      </x:c>
      <x:c r="E222" s="46" t="str">
        <x:v>Carcharhinus leucas</x:v>
      </x:c>
      <x:c r="F222" s="46" t="str">
        <x:v>Bull shark</x:v>
      </x:c>
      <x:c r="G222" s="46" t="str">
        <x:v>Large sharks (&gt;=90 cm)</x:v>
      </x:c>
      <x:c r="H222" s="46" t="str">
        <x:v>Sharks &amp; rays</x:v>
      </x:c>
      <x:c r="I222" s="60" t="n">
        <x:v>0.0007383928000000001</x:v>
      </x:c>
      <x:c r="J222" s="60" t="n">
        <x:v>0.0007383928000000001</x:v>
      </x:c>
      <x:c r="K222" s="60" t="n">
        <x:v>0</x:v>
      </x:c>
      <x:c r="L222" s="60" t="n">
        <x:v>0</x:v>
      </x:c>
      <x:c r="M222" s="60" t="n">
        <x:v>0.0007383928000000001</x:v>
      </x:c>
      <x:c r="N222" s="46" t="str">
        <x:v>carcharhinus leucas</x:v>
      </x:c>
      <x:c r="O222" s="62" t="n">
        <x:v>4.31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Carcharhinus leucas</x:v>
      </x:c>
      <x:c r="T222" s="62" t="n">
        <x:f>IF(O222="","",(1/'Metadata'!$B$5)^(O222-1))</x:f>
        <x:v>20249.266010115305</x:v>
      </x:c>
      <x:c r="U222" s="60" t="n">
        <x:f>IF(T222="","",I222*T222)</x:f>
        <x:v>14.951912227153871</x:v>
      </x:c>
    </x:row>
    <x:row r="223" ht="18" customHeight="1">
      <x:c r="A223" s="46" t="str">
        <x:v>LME_007</x:v>
      </x:c>
      <x:c r="B223" s="46" t="str">
        <x:v>Northeast U.S. Continental Shelf</x:v>
      </x:c>
      <x:c r="C223" s="46" t="str">
        <x:v>LME</x:v>
      </x:c>
      <x:c r="D223" s="58" t="n">
        <x:v>2019</x:v>
      </x:c>
      <x:c r="E223" s="46" t="str">
        <x:v>Sphyrna</x:v>
      </x:c>
      <x:c r="F223" s="46" t="str">
        <x:v>Hammerhead sharks</x:v>
      </x:c>
      <x:c r="G223" s="46" t="str">
        <x:v>Large sharks (&gt;=90 cm)</x:v>
      </x:c>
      <x:c r="H223" s="46" t="str">
        <x:v>Sharks &amp; rays</x:v>
      </x:c>
      <x:c r="I223" s="60" t="n">
        <x:v>0.0006461424000000001</x:v>
      </x:c>
      <x:c r="J223" s="60" t="n">
        <x:v>0.0006461424000000001</x:v>
      </x:c>
      <x:c r="K223" s="60" t="n">
        <x:v>0</x:v>
      </x:c>
      <x:c r="L223" s="60" t="n">
        <x:v>0</x:v>
      </x:c>
      <x:c r="M223" s="60" t="n">
        <x:v>0.0006461424000000001</x:v>
      </x:c>
      <x:c r="N223" s="46" t="str">
        <x:v>sphyrna</x:v>
      </x:c>
      <x:c r="O223" s="62" t="n">
        <x:v>4.2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Sphyrna</x:v>
      </x:c>
      <x:c r="T223" s="62" t="n">
        <x:f>IF(O223="","",(1/'Metadata'!$B$5)^(O223-1))</x:f>
        <x:v>14564.51362420865</x:v>
      </x:c>
      <x:c r="U223" s="60" t="n">
        <x:f>IF(T223="","",I223*T223)</x:f>
        <x:v>9.410749787978876</x:v>
      </x:c>
    </x:row>
    <x:row r="224" ht="18" customHeight="1">
      <x:c r="A224" s="46" t="str">
        <x:v>LME_007</x:v>
      </x:c>
      <x:c r="B224" s="46" t="str">
        <x:v>Northeast U.S. Continental Shelf</x:v>
      </x:c>
      <x:c r="C224" s="46" t="str">
        <x:v>LME</x:v>
      </x:c>
      <x:c r="D224" s="58" t="n">
        <x:v>2019</x:v>
      </x:c>
      <x:c r="E224" s="46" t="str">
        <x:v>Isurus</x:v>
      </x:c>
      <x:c r="F224" s="46" t="str">
        <x:v>Mako sharks</x:v>
      </x:c>
      <x:c r="G224" s="46" t="str">
        <x:v>Large sharks (&gt;=90 cm)</x:v>
      </x:c>
      <x:c r="H224" s="46" t="str">
        <x:v>Sharks &amp; rays</x:v>
      </x:c>
      <x:c r="I224" s="60" t="n">
        <x:v>0.0006173116</x:v>
      </x:c>
      <x:c r="J224" s="60" t="n">
        <x:v>0.0006173116</x:v>
      </x:c>
      <x:c r="K224" s="60" t="n">
        <x:v>0</x:v>
      </x:c>
      <x:c r="L224" s="60" t="n">
        <x:v>0</x:v>
      </x:c>
      <x:c r="M224" s="60" t="n">
        <x:v>0.0006173116</x:v>
      </x:c>
      <x:c r="N224" s="46" t="str">
        <x:v>isurus</x:v>
      </x:c>
      <x:c r="O224" s="62" t="n">
        <x:v>4.5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Isurus</x:v>
      </x:c>
      <x:c r="T224" s="62" t="n">
        <x:f>IF(O224="","",(1/'Metadata'!$B$5)^(O224-1))</x:f>
        <x:v>35777.08763999664</x:v>
      </x:c>
      <x:c r="U224" s="60" t="n">
        <x:f>IF(T224="","",I224*T224)</x:f>
        <x:v>22.08561121438655</x:v>
      </x:c>
    </x:row>
    <x:row r="225" ht="18" customHeight="1">
      <x:c r="A225" s="46" t="str">
        <x:v>LME_007</x:v>
      </x:c>
      <x:c r="B225" s="46" t="str">
        <x:v>Northeast U.S. Continental Shelf</x:v>
      </x:c>
      <x:c r="C225" s="46" t="str">
        <x:v>LME</x:v>
      </x:c>
      <x:c r="D225" s="58" t="n">
        <x:v>2019</x:v>
      </x:c>
      <x:c r="E225" s="46" t="str">
        <x:v>Geryon</x:v>
      </x:c>
      <x:c r="F225" s="46" t="str">
        <x:v>Deepsea crabs</x:v>
      </x:c>
      <x:c r="G225" s="46" t="str">
        <x:v>Lobsters, crabs</x:v>
      </x:c>
      <x:c r="H225" s="46" t="str">
        <x:v>Crustaceans</x:v>
      </x:c>
      <x:c r="I225" s="60" t="n">
        <x:v>0.0006162123</x:v>
      </x:c>
      <x:c r="J225" s="60" t="n">
        <x:v>0.0006162123</x:v>
      </x:c>
      <x:c r="K225" s="60" t="n">
        <x:v>0</x:v>
      </x:c>
      <x:c r="L225" s="60" t="n">
        <x:v>0</x:v>
      </x:c>
      <x:c r="M225" s="60" t="n">
        <x:v>0.0006162123</x:v>
      </x:c>
      <x:c r="N225" s="46" t="str">
        <x:v>geryon</x:v>
      </x:c>
      <x:c r="O225" s="62" t="n">
        <x:v>2.6</x:v>
      </x:c>
      <x:c r="P225" s="46" t="str">
        <x:v>exact_sea_around_us</x:v>
      </x:c>
      <x:c r="Q225" s="62" t="str">
        <x:v>Sea Around Us exploited organisms</x:v>
      </x:c>
      <x:c r="R225" s="46" t="str">
        <x:v>high</x:v>
      </x:c>
      <x:c r="S225" s="46" t="str">
        <x:v>Geryon</x:v>
      </x:c>
      <x:c r="T225" s="62" t="n">
        <x:f>IF(O225="","",(1/'Metadata'!$B$5)^(O225-1))</x:f>
        <x:v>120.6835267309033</x:v>
      </x:c>
      <x:c r="U225" s="60" t="n">
        <x:f>IF(T225="","",I225*T225)</x:f>
        <x:v>0.0743666735789614</x:v>
      </x:c>
    </x:row>
    <x:row r="226" ht="18" customHeight="1">
      <x:c r="A226" s="46" t="str">
        <x:v>LME_007</x:v>
      </x:c>
      <x:c r="B226" s="46" t="str">
        <x:v>Northeast U.S. Continental Shelf</x:v>
      </x:c>
      <x:c r="C226" s="46" t="str">
        <x:v>LME</x:v>
      </x:c>
      <x:c r="D226" s="58" t="n">
        <x:v>2019</x:v>
      </x:c>
      <x:c r="E226" s="46" t="str">
        <x:v>Carcharhinus plumbeus</x:v>
      </x:c>
      <x:c r="F226" s="46" t="str">
        <x:v>Sandbar shark</x:v>
      </x:c>
      <x:c r="G226" s="46" t="str">
        <x:v>Large sharks (&gt;=90 cm)</x:v>
      </x:c>
      <x:c r="H226" s="46" t="str">
        <x:v>Sharks &amp; rays</x:v>
      </x:c>
      <x:c r="I226" s="60" t="n">
        <x:v>0.0006145773</x:v>
      </x:c>
      <x:c r="J226" s="60" t="n">
        <x:v>0.0006145773</x:v>
      </x:c>
      <x:c r="K226" s="60" t="n">
        <x:v>0</x:v>
      </x:c>
      <x:c r="L226" s="60" t="n">
        <x:v>0</x:v>
      </x:c>
      <x:c r="M226" s="60" t="n">
        <x:v>0.0006145773</x:v>
      </x:c>
      <x:c r="N226" s="46" t="str">
        <x:v>carcharhinus plumbeus</x:v>
      </x:c>
      <x:c r="O226" s="62" t="n">
        <x:v>4.49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Carcharhinus plumbeus</x:v>
      </x:c>
      <x:c r="T226" s="62" t="n">
        <x:f>IF(O226="","",(1/'Metadata'!$B$5)^(O226-1))</x:f>
        <x:v>34721.19667768202</x:v>
      </x:c>
      <x:c r="U226" s="60" t="n">
        <x:f>IF(T226="","",I226*T226)</x:f>
        <x:v>21.338859306938787</x:v>
      </x:c>
    </x:row>
    <x:row r="227" ht="18" customHeight="1">
      <x:c r="A227" s="46" t="str">
        <x:v>LME_007</x:v>
      </x:c>
      <x:c r="B227" s="46" t="str">
        <x:v>Northeast U.S. Continental Shelf</x:v>
      </x:c>
      <x:c r="C227" s="46" t="str">
        <x:v>LME</x:v>
      </x:c>
      <x:c r="D227" s="58" t="n">
        <x:v>2019</x:v>
      </x:c>
      <x:c r="E227" s="46" t="str">
        <x:v>Pandalus borealis</x:v>
      </x:c>
      <x:c r="F227" s="46" t="str">
        <x:v>Northern prawn</x:v>
      </x:c>
      <x:c r="G227" s="46" t="str">
        <x:v>Shrimps</x:v>
      </x:c>
      <x:c r="H227" s="46" t="str">
        <x:v>Crustaceans</x:v>
      </x:c>
      <x:c r="I227" s="60" t="n">
        <x:v>0.00045164470000000004</x:v>
      </x:c>
      <x:c r="J227" s="60" t="n">
        <x:v>0.00045164470000000004</x:v>
      </x:c>
      <x:c r="K227" s="60" t="n">
        <x:v>0</x:v>
      </x:c>
      <x:c r="L227" s="60" t="n">
        <x:v>0.00045164470000000004</x:v>
      </x:c>
      <x:c r="M227" s="60" t="n">
        <x:v>0</x:v>
      </x:c>
      <x:c r="N227" s="46" t="str">
        <x:v>pandalus borealis</x:v>
      </x:c>
      <x:c r="O227" s="62" t="n">
        <x:v>3.07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Pandalus borealis</x:v>
      </x:c>
      <x:c r="T227" s="62" t="n">
        <x:f>IF(O227="","",(1/'Metadata'!$B$5)^(O227-1))</x:f>
        <x:v>493.32382598718914</x:v>
      </x:c>
      <x:c r="U227" s="60" t="n">
        <x:f>IF(T227="","",I227*T227)</x:f>
        <x:v>0.22280709139083626</x:v>
      </x:c>
    </x:row>
    <x:row r="228" ht="18" customHeight="1">
      <x:c r="A228" s="46" t="str">
        <x:v>LME_007</x:v>
      </x:c>
      <x:c r="B228" s="46" t="str">
        <x:v>Northeast U.S. Continental Shelf</x:v>
      </x:c>
      <x:c r="C228" s="46" t="str">
        <x:v>LME</x:v>
      </x:c>
      <x:c r="D228" s="58" t="n">
        <x:v>2019</x:v>
      </x:c>
      <x:c r="E228" s="46" t="str">
        <x:v>Mugil cephalus</x:v>
      </x:c>
      <x:c r="F228" s="46" t="str">
        <x:v>Flathead grey mullet</x:v>
      </x:c>
      <x:c r="G228" s="46" t="str">
        <x:v>Large benthopelagics (&gt;=90 cm)</x:v>
      </x:c>
      <x:c r="H228" s="46" t="str">
        <x:v>Perch-likes</x:v>
      </x:c>
      <x:c r="I228" s="60" t="n">
        <x:v>0.00020273710000000001</x:v>
      </x:c>
      <x:c r="J228" s="60" t="n">
        <x:v>0.00020273710000000001</x:v>
      </x:c>
      <x:c r="K228" s="60" t="n">
        <x:v>0</x:v>
      </x:c>
      <x:c r="L228" s="60" t="n">
        <x:v>0</x:v>
      </x:c>
      <x:c r="M228" s="60" t="n">
        <x:v>0.00020273710000000001</x:v>
      </x:c>
      <x:c r="N228" s="46" t="str">
        <x:v>mugil cephalus</x:v>
      </x:c>
      <x:c r="O228" s="62" t="n">
        <x:v>2.14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Mugil cephalus</x:v>
      </x:c>
      <x:c r="T228" s="62" t="n">
        <x:f>IF(O228="","",(1/'Metadata'!$B$5)^(O228-1))</x:f>
        <x:v>30.421049660829848</x:v>
      </x:c>
      <x:c r="U228" s="60" t="n">
        <x:f>IF(T228="","",I228*T228)</x:f>
        <x:v>0.006167475387192627</x:v>
      </x:c>
    </x:row>
    <x:row r="229" ht="18" customHeight="1">
      <x:c r="A229" s="46" t="str">
        <x:v>LME_007</x:v>
      </x:c>
      <x:c r="B229" s="46" t="str">
        <x:v>Northeast U.S. Continental Shelf</x:v>
      </x:c>
      <x:c r="C229" s="46" t="str">
        <x:v>LME</x:v>
      </x:c>
      <x:c r="D229" s="58" t="n">
        <x:v>2019</x:v>
      </x:c>
      <x:c r="E229" s="46" t="str">
        <x:v>Alopias superciliosus</x:v>
      </x:c>
      <x:c r="F229" s="46" t="str">
        <x:v>Bigeye thresher</x:v>
      </x:c>
      <x:c r="G229" s="46" t="str">
        <x:v>Large sharks (&gt;=90 cm)</x:v>
      </x:c>
      <x:c r="H229" s="46" t="str">
        <x:v>Sharks &amp; rays</x:v>
      </x:c>
      <x:c r="I229" s="60" t="n">
        <x:v>0.00011767269999999999</x:v>
      </x:c>
      <x:c r="J229" s="60" t="n">
        <x:v>0.00011767269999999999</x:v>
      </x:c>
      <x:c r="K229" s="60" t="n">
        <x:v>0</x:v>
      </x:c>
      <x:c r="L229" s="60" t="n">
        <x:v>0</x:v>
      </x:c>
      <x:c r="M229" s="60" t="n">
        <x:v>0.00011767269999999999</x:v>
      </x:c>
      <x:c r="N229" s="46" t="str">
        <x:v>alopias superciliosus</x:v>
      </x:c>
      <x:c r="O229" s="62" t="n">
        <x:v>4.51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Alopias superciliosus</x:v>
      </x:c>
      <x:c r="T229" s="62" t="n">
        <x:f>IF(O229="","",(1/'Metadata'!$B$5)^(O229-1))</x:f>
        <x:v>36865.088835568684</x:v>
      </x:c>
      <x:c r="U229" s="60" t="n">
        <x:f>IF(T229="","",I229*T229)</x:f>
        <x:v>4.338014539021223</x:v>
      </x:c>
    </x:row>
    <x:row r="230" ht="18" customHeight="1">
      <x:c r="A230" s="46" t="str">
        <x:v>LME_007</x:v>
      </x:c>
      <x:c r="B230" s="46" t="str">
        <x:v>Northeast U.S. Continental Shelf</x:v>
      </x:c>
      <x:c r="C230" s="46" t="str">
        <x:v>LME</x:v>
      </x:c>
      <x:c r="D230" s="58" t="n">
        <x:v>2019</x:v>
      </x:c>
      <x:c r="E230" s="46" t="str">
        <x:v>Pandalus</x:v>
      </x:c>
      <x:c r="F230" s="46" t="str">
        <x:v>Seabed shrimps</x:v>
      </x:c>
      <x:c r="G230" s="46" t="str">
        <x:v>Shrimps</x:v>
      </x:c>
      <x:c r="H230" s="46" t="str">
        <x:v>Crustaceans</x:v>
      </x:c>
      <x:c r="I230" s="60" t="n">
        <x:v>0.0000740157</x:v>
      </x:c>
      <x:c r="J230" s="60" t="n">
        <x:v>0.0000740157</x:v>
      </x:c>
      <x:c r="K230" s="60" t="n">
        <x:v>0</x:v>
      </x:c>
      <x:c r="L230" s="60" t="n">
        <x:v>0.0000740157</x:v>
      </x:c>
      <x:c r="M230" s="60" t="n">
        <x:v>0</x:v>
      </x:c>
      <x:c r="N230" s="46" t="str">
        <x:v>pandalus</x:v>
      </x:c>
      <x:c r="O230" s="62" t="n">
        <x:v>2.6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Pandalus</x:v>
      </x:c>
      <x:c r="T230" s="62" t="n">
        <x:f>IF(O230="","",(1/'Metadata'!$B$5)^(O230-1))</x:f>
        <x:v>120.6835267309033</x:v>
      </x:c>
      <x:c r="U230" s="60" t="n">
        <x:f>IF(T230="","",I230*T230)</x:f>
        <x:v>0.008932475709456518</x:v>
      </x:c>
    </x:row>
    <x:row r="231" ht="18" customHeight="1">
      <x:c r="A231" s="46" t="str">
        <x:v>LME_007</x:v>
      </x:c>
      <x:c r="B231" s="46" t="str">
        <x:v>Northeast U.S. Continental Shelf</x:v>
      </x:c>
      <x:c r="C231" s="46" t="str">
        <x:v>LME</x:v>
      </x:c>
      <x:c r="D231" s="58" t="n">
        <x:v>2019</x:v>
      </x:c>
      <x:c r="E231" s="46" t="str">
        <x:v>Alopias</x:v>
      </x:c>
      <x:c r="F231" s="46" t="str">
        <x:v>Thresher sharks</x:v>
      </x:c>
      <x:c r="G231" s="46" t="str">
        <x:v>Large sharks (&gt;=90 cm)</x:v>
      </x:c>
      <x:c r="H231" s="46" t="str">
        <x:v>Sharks &amp; rays</x:v>
      </x:c>
      <x:c r="I231" s="60" t="n">
        <x:v>0.0000537327</x:v>
      </x:c>
      <x:c r="J231" s="60" t="n">
        <x:v>0.0000537327</x:v>
      </x:c>
      <x:c r="K231" s="60" t="n">
        <x:v>0</x:v>
      </x:c>
      <x:c r="L231" s="60" t="n">
        <x:v>0</x:v>
      </x:c>
      <x:c r="M231" s="60" t="n">
        <x:v>0.0000537327</x:v>
      </x:c>
      <x:c r="N231" s="46" t="str">
        <x:v>alopias</x:v>
      </x:c>
      <x:c r="O231" s="62" t="n">
        <x:v>4.5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Alopias</x:v>
      </x:c>
      <x:c r="T231" s="62" t="n">
        <x:f>IF(O231="","",(1/'Metadata'!$B$5)^(O231-1))</x:f>
        <x:v>35777.08763999664</x:v>
      </x:c>
      <x:c r="U231" s="60" t="n">
        <x:f>IF(T231="","",I231*T231)</x:f>
        <x:v>1.9223995170336474</x:v>
      </x:c>
    </x:row>
    <x:row r="232" ht="18" customHeight="1">
      <x:c r="A232" s="46" t="str">
        <x:v>LME_007</x:v>
      </x:c>
      <x:c r="B232" s="46" t="str">
        <x:v>Northeast U.S. Continental Shelf</x:v>
      </x:c>
      <x:c r="C232" s="46" t="str">
        <x:v>LME</x:v>
      </x:c>
      <x:c r="D232" s="58" t="n">
        <x:v>2019</x:v>
      </x:c>
      <x:c r="E232" s="46" t="str">
        <x:v>Lobotes surinamensis</x:v>
      </x:c>
      <x:c r="F232" s="46" t="str">
        <x:v>Tripletail</x:v>
      </x:c>
      <x:c r="G232" s="46" t="str">
        <x:v>Large benthopelagics (&gt;=90 cm)</x:v>
      </x:c>
      <x:c r="H232" s="46" t="str">
        <x:v>Perch-likes</x:v>
      </x:c>
      <x:c r="I232" s="60" t="n">
        <x:v>0.000005773</x:v>
      </x:c>
      <x:c r="J232" s="60" t="n">
        <x:v>0.000005773</x:v>
      </x:c>
      <x:c r="K232" s="60" t="n">
        <x:v>0</x:v>
      </x:c>
      <x:c r="L232" s="60" t="n">
        <x:v>0</x:v>
      </x:c>
      <x:c r="M232" s="60" t="n">
        <x:v>0.000005773</x:v>
      </x:c>
      <x:c r="N232" s="46" t="str">
        <x:v>lobotes surinamensis</x:v>
      </x:c>
      <x:c r="O232" s="62" t="n">
        <x:v>4.04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Lobotes surinamensis</x:v>
      </x:c>
      <x:c r="T232" s="62" t="n">
        <x:f>IF(O232="","",(1/'Metadata'!$B$5)^(O232-1))</x:f>
        <x:v>9018.435152653688</x:v>
      </x:c>
      <x:c r="U232" s="60" t="n">
        <x:f>IF(T232="","",I232*T232)</x:f>
        <x:v>0.05206342613626974</x:v>
      </x:c>
    </x:row>
    <x:row r="233" ht="18" customHeight="1">
      <x:c r="A233" s="46" t="str">
        <x:v>LME_007</x:v>
      </x:c>
      <x:c r="B233" s="46" t="str">
        <x:v>Northeast U.S. Continental Shelf</x:v>
      </x:c>
      <x:c r="C233" s="46" t="str">
        <x:v>LME</x:v>
      </x:c>
      <x:c r="D233" s="58" t="n">
        <x:v>2019</x:v>
      </x:c>
      <x:c r="E233" s="46" t="str">
        <x:v>Salvelinus</x:v>
      </x:c>
      <x:c r="F233" s="46" t="str">
        <x:v>Chars</x:v>
      </x:c>
      <x:c r="G233" s="46" t="str">
        <x:v>Large benthopelagics (&gt;=90 cm)</x:v>
      </x:c>
      <x:c r="H233" s="46" t="str">
        <x:v>Salmon, smelts, etc</x:v>
      </x:c>
      <x:c r="I233" s="60" t="n">
        <x:v>6.611e-7</x:v>
      </x:c>
      <x:c r="J233" s="60" t="n">
        <x:v>6.611e-7</x:v>
      </x:c>
      <x:c r="K233" s="60" t="n">
        <x:v>0</x:v>
      </x:c>
      <x:c r="L233" s="60" t="n">
        <x:v>0</x:v>
      </x:c>
      <x:c r="M233" s="60" t="n">
        <x:v>6.611e-7</x:v>
      </x:c>
      <x:c r="N233" s="46" t="str">
        <x:v>salvelinus</x:v>
      </x:c>
      <x:c r="O233" s="62" t="n">
        <x:v>4.1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Salvelinus</x:v>
      </x:c>
      <x:c r="T233" s="62" t="n">
        <x:f>IF(O233="","",(1/'Metadata'!$B$5)^(O233-1))</x:f>
        <x:v>10794.262781388496</x:v>
      </x:c>
      <x:c r="U233" s="60" t="n">
        <x:f>IF(T233="","",I233*T233)</x:f>
        <x:v>0.0071360871247759345</x:v>
      </x:c>
    </x:row>
  </x:sheetData>
  <x:conditionalFormatting sqref="R2:R2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53783472b284fb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0.0178273771</x:v>
      </x:c>
      <x:c r="E2" s="60" t="n">
        <x:v>0.0178273771</x:v>
      </x:c>
      <x:c r="F2" s="62" t="n">
        <x:v>0</x:v>
      </x:c>
      <x:c r="G2" s="66" t="n">
        <x:v>1</x:v>
      </x:c>
      <x:c r="H2" s="62" t="n">
        <x:f>IF(E2=0,"",I2/E2)</x:f>
        <x:v>1586.8423749532276</x:v>
      </x:c>
      <x:c r="I2" s="60" t="n">
        <x:f>SUMIF('Species'!$H$2:$H$233,A2,'Species'!$U$2:$U$233)</x:f>
        <x:v>28.289237416550783</x:v>
      </x:c>
      <x:c r="J2" s="62" t="n">
        <x:v>3.46</x:v>
      </x:c>
      <x:c r="K2" s="62" t="n">
        <x:f>IF(J2="","",(1/'Metadata'!$B$5)^(J2-1))</x:f>
        <x:v>1586.8423749532276</x:v>
      </x:c>
      <x:c r="L2" s="60" t="n">
        <x:f>IF(E2=0,"",E2*K2)</x:f>
        <x:v>28.289237416550783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12</x:v>
      </x:c>
      <x:c r="C3" s="64" t="n">
        <x:v>12</x:v>
      </x:c>
      <x:c r="D3" s="60" t="n">
        <x:v>45984.184848767705</x:v>
      </x:c>
      <x:c r="E3" s="60" t="n">
        <x:v>45984.184848767705</x:v>
      </x:c>
      <x:c r="F3" s="62" t="n">
        <x:v>0</x:v>
      </x:c>
      <x:c r="G3" s="66" t="n">
        <x:v>1</x:v>
      </x:c>
      <x:c r="H3" s="62" t="n">
        <x:f>IF(E3=0,"",I3/E3)</x:f>
        <x:v>15154.009673737457</x:v>
      </x:c>
      <x:c r="I3" s="60" t="n">
        <x:f>SUMIF('Species'!$H$2:$H$233,A3,'Species'!$U$2:$U$233)</x:f>
        <x:v>696844782.0371572</x:v>
      </x:c>
      <x:c r="J3" s="62" t="n">
        <x:v>4.1564482164550505</x:v>
      </x:c>
      <x:c r="K3" s="62" t="n">
        <x:f>IF(J3="","",(1/'Metadata'!$B$5)^(J3-1))</x:f>
        <x:v>12783.03003584525</x:v>
      </x:c>
      <x:c r="L3" s="60" t="n">
        <x:f>IF(E3=0,"",E3*K3)</x:f>
        <x:v>587817216.0956576</x:v>
      </x:c>
      <x:c r="M3" s="60" t="n">
        <x:f>I3-L3</x:f>
        <x:v>109027565.94149959</x:v>
      </x:c>
      <x:c r="N3" s="62" t="n">
        <x:f>IF(L3=0,"",I3/L3)</x:f>
        <x:v>1.1854786878575485</x:v>
      </x:c>
      <x:c r="O3" s="66" t="n">
        <x:f>IF(L3=0,"",M3/L3)</x:f>
        <x:v>0.18547868785754848</x:v>
      </x:c>
    </x:row>
    <x:row r="4" ht="18" customHeight="1">
      <x:c r="A4" s="46" t="str">
        <x:v>Crustaceans</x:v>
      </x:c>
      <x:c r="B4" s="64" t="n">
        <x:v>17</x:v>
      </x:c>
      <x:c r="C4" s="64" t="n">
        <x:v>17</x:v>
      </x:c>
      <x:c r="D4" s="60" t="n">
        <x:v>99396.539481732</x:v>
      </x:c>
      <x:c r="E4" s="60" t="n">
        <x:v>99396.539481732</x:v>
      </x:c>
      <x:c r="F4" s="62" t="n">
        <x:v>0</x:v>
      </x:c>
      <x:c r="G4" s="66" t="n">
        <x:v>1</x:v>
      </x:c>
      <x:c r="H4" s="62" t="n">
        <x:f>IF(E4=0,"",I4/E4)</x:f>
        <x:v>4041.9665562685173</x:v>
      </x:c>
      <x:c r="I4" s="60" t="n">
        <x:f>SUMIF('Species'!$H$2:$H$233,A4,'Species'!$U$2:$U$233)</x:f>
        <x:v>401757488.393984</x:v>
      </x:c>
      <x:c r="J4" s="62" t="n">
        <x:v>3.6618431932236177</x:v>
      </x:c>
      <x:c r="K4" s="62" t="n">
        <x:f>IF(J4="","",(1/'Metadata'!$B$5)^(J4-1))</x:f>
        <x:v>2904.9444911918854</x:v>
      </x:c>
      <x:c r="L4" s="60" t="n">
        <x:f>IF(E4=0,"",E4*K4)</x:f>
        <x:v>288741429.81099415</x:v>
      </x:c>
      <x:c r="M4" s="60" t="n">
        <x:f>I4-L4</x:f>
        <x:v>113016058.58298987</x:v>
      </x:c>
      <x:c r="N4" s="62" t="n">
        <x:f>IF(L4=0,"",I4/L4)</x:f>
        <x:v>1.3914092226285937</x:v>
      </x:c>
      <x:c r="O4" s="66" t="n">
        <x:f>IF(L4=0,"",M4/L4)</x:f>
        <x:v>0.3914092226285937</x:v>
      </x:c>
    </x:row>
    <x:row r="5" ht="18" customHeight="1">
      <x:c r="A5" s="46" t="str">
        <x:v>Flatfishes</x:v>
      </x:c>
      <x:c r="B5" s="64" t="n">
        <x:v>11</x:v>
      </x:c>
      <x:c r="C5" s="64" t="n">
        <x:v>11</x:v>
      </x:c>
      <x:c r="D5" s="60" t="n">
        <x:v>17634.2454305262</x:v>
      </x:c>
      <x:c r="E5" s="60" t="n">
        <x:v>17634.2454305262</x:v>
      </x:c>
      <x:c r="F5" s="62" t="n">
        <x:v>0</x:v>
      </x:c>
      <x:c r="G5" s="66" t="n">
        <x:v>1</x:v>
      </x:c>
      <x:c r="H5" s="62" t="n">
        <x:f>IF(E5=0,"",I5/E5)</x:f>
        <x:v>18493.33316839208</x:v>
      </x:c>
      <x:c r="I5" s="60" t="n">
        <x:f>SUMIF('Species'!$H$2:$H$233,A5,'Species'!$U$2:$U$233)</x:f>
        <x:v>326115975.9199166</x:v>
      </x:c>
      <x:c r="J5" s="62" t="n">
        <x:v>4.085853341690647</x:v>
      </x:c>
      <x:c r="K5" s="62" t="n">
        <x:f>IF(J5="","",(1/'Metadata'!$B$5)^(J5-1))</x:f>
        <x:v>10346.364150366198</x:v>
      </x:c>
      <x:c r="L5" s="60" t="n">
        <x:f>IF(E5=0,"",E5*K5)</x:f>
        <x:v>182450324.74115524</x:v>
      </x:c>
      <x:c r="M5" s="60" t="n">
        <x:f>I5-L5</x:f>
        <x:v>143665651.1787614</x:v>
      </x:c>
      <x:c r="N5" s="62" t="n">
        <x:f>IF(L5=0,"",I5/L5)</x:f>
        <x:v>1.7874233788434293</x:v>
      </x:c>
      <x:c r="O5" s="66" t="n">
        <x:f>IF(L5=0,"",M5/L5)</x:f>
        <x:v>0.7874233788434294</x:v>
      </x:c>
    </x:row>
    <x:row r="6" ht="18" customHeight="1">
      <x:c r="A6" s="46" t="str">
        <x:v>Herring-likes</x:v>
      </x:c>
      <x:c r="B6" s="64" t="n">
        <x:v>10</x:v>
      </x:c>
      <x:c r="C6" s="64" t="n">
        <x:v>10</x:v>
      </x:c>
      <x:c r="D6" s="60" t="n">
        <x:v>186844.3049160411</x:v>
      </x:c>
      <x:c r="E6" s="60" t="n">
        <x:v>186844.3049160411</x:v>
      </x:c>
      <x:c r="F6" s="62" t="n">
        <x:v>0</x:v>
      </x:c>
      <x:c r="G6" s="66" t="n">
        <x:v>1</x:v>
      </x:c>
      <x:c r="H6" s="62" t="n">
        <x:f>IF(E6=0,"",I6/E6)</x:f>
        <x:v>840.5352514714125</x:v>
      </x:c>
      <x:c r="I6" s="60" t="n">
        <x:f>SUMIF('Species'!$H$2:$H$233,A6,'Species'!$U$2:$U$233)</x:f>
        <x:v>157049224.81860587</x:v>
      </x:c>
      <x:c r="J6" s="62" t="n">
        <x:v>3.2329012411800204</x:v>
      </x:c>
      <x:c r="K6" s="62" t="n">
        <x:f>IF(J6="","",(1/'Metadata'!$B$5)^(J6-1))</x:f>
        <x:v>803.6584069033424</x:v>
      </x:c>
      <x:c r="L6" s="60" t="n">
        <x:f>IF(E6=0,"",E6*K6)</x:f>
        <x:v>150158996.42778793</x:v>
      </x:c>
      <x:c r="M6" s="60" t="n">
        <x:f>I6-L6</x:f>
        <x:v>6890228.39081794</x:v>
      </x:c>
      <x:c r="N6" s="62" t="n">
        <x:f>IF(L6=0,"",I6/L6)</x:f>
        <x:v>1.0458862176408557</x:v>
      </x:c>
      <x:c r="O6" s="66" t="n">
        <x:f>IF(L6=0,"",M6/L6)</x:f>
        <x:v>0.04588621764085563</x:v>
      </x:c>
    </x:row>
    <x:row r="7" ht="18" customHeight="1">
      <x:c r="A7" s="46" t="str">
        <x:v>Molluscs</x:v>
      </x:c>
      <x:c r="B7" s="64" t="n">
        <x:v>18</x:v>
      </x:c>
      <x:c r="C7" s="64" t="n">
        <x:v>18</x:v>
      </x:c>
      <x:c r="D7" s="60" t="n">
        <x:v>148201.41528790048</x:v>
      </x:c>
      <x:c r="E7" s="60" t="n">
        <x:v>148201.41528790048</x:v>
      </x:c>
      <x:c r="F7" s="62" t="n">
        <x:v>0</x:v>
      </x:c>
      <x:c r="G7" s="66" t="n">
        <x:v>1</x:v>
      </x:c>
      <x:c r="H7" s="62" t="n">
        <x:f>IF(E7=0,"",I7/E7)</x:f>
        <x:v>25.986932607983466</x:v>
      </x:c>
      <x:c r="I7" s="60" t="n">
        <x:f>SUMIF('Species'!$H$2:$H$233,A7,'Species'!$U$2:$U$233)</x:f>
        <x:v>3851300.19149444</x:v>
      </x:c>
      <x:c r="J7" s="62" t="n">
        <x:v>2.0218445287845284</x:v>
      </x:c>
      <x:c r="K7" s="62" t="n">
        <x:f>IF(J7="","",(1/'Metadata'!$B$5)^(J7-1))</x:f>
        <x:v>21.35258123779525</x:v>
      </x:c>
      <x:c r="L7" s="60" t="n">
        <x:f>IF(E7=0,"",E7*K7)</x:f>
        <x:v>3164482.759491126</x:v>
      </x:c>
      <x:c r="M7" s="60" t="n">
        <x:f>I7-L7</x:f>
        <x:v>686817.4320033141</x:v>
      </x:c>
      <x:c r="N7" s="62" t="n">
        <x:f>IF(L7=0,"",I7/L7)</x:f>
        <x:v>1.217039397653018</x:v>
      </x:c>
      <x:c r="O7" s="66" t="n">
        <x:f>IF(L7=0,"",M7/L7)</x:f>
        <x:v>0.21703939765301797</x:v>
      </x:c>
    </x:row>
    <x:row r="8" ht="18" customHeight="1">
      <x:c r="A8" s="46" t="str">
        <x:v>Other fishes &amp; inverts</x:v>
      </x:c>
      <x:c r="B8" s="64" t="n">
        <x:v>38</x:v>
      </x:c>
      <x:c r="C8" s="64" t="n">
        <x:v>38</x:v>
      </x:c>
      <x:c r="D8" s="60" t="n">
        <x:v>94483.8979855644</x:v>
      </x:c>
      <x:c r="E8" s="60" t="n">
        <x:v>94483.8979855644</x:v>
      </x:c>
      <x:c r="F8" s="62" t="n">
        <x:v>0</x:v>
      </x:c>
      <x:c r="G8" s="66" t="n">
        <x:v>1</x:v>
      </x:c>
      <x:c r="H8" s="62" t="n">
        <x:f>IF(E8=0,"",I8/E8)</x:f>
        <x:v>5381.982901827063</x:v>
      </x:c>
      <x:c r="I8" s="60" t="n">
        <x:f>SUMIF('Species'!$H$2:$H$233,A8,'Species'!$U$2:$U$233)</x:f>
        <x:v>508510723.45628005</x:v>
      </x:c>
      <x:c r="J8" s="62" t="n">
        <x:v>3.44676021178623</x:v>
      </x:c>
      <x:c r="K8" s="62" t="n">
        <x:f>IF(J8="","",(1/'Metadata'!$B$5)^(J8-1))</x:f>
        <x:v>1525.1354916764592</x:v>
      </x:c>
      <x:c r="L8" s="60" t="n">
        <x:f>IF(E8=0,"",E8*K8)</x:f>
        <x:v>144100746.20972216</x:v>
      </x:c>
      <x:c r="M8" s="60" t="n">
        <x:f>I8-L8</x:f>
        <x:v>364409977.2465579</x:v>
      </x:c>
      <x:c r="N8" s="62" t="n">
        <x:f>IF(L8=0,"",I8/L8)</x:f>
        <x:v>3.5288555877163943</x:v>
      </x:c>
      <x:c r="O8" s="66" t="n">
        <x:f>IF(L8=0,"",M8/L8)</x:f>
        <x:v>2.5288555877163943</x:v>
      </x:c>
    </x:row>
    <x:row r="9" ht="18" customHeight="1">
      <x:c r="A9" s="46" t="str">
        <x:v>Perch-likes</x:v>
      </x:c>
      <x:c r="B9" s="64" t="n">
        <x:v>65</x:v>
      </x:c>
      <x:c r="C9" s="64" t="n">
        <x:v>65</x:v>
      </x:c>
      <x:c r="D9" s="60" t="n">
        <x:v>60755.530297761106</x:v>
      </x:c>
      <x:c r="E9" s="60" t="n">
        <x:v>60755.530297761106</x:v>
      </x:c>
      <x:c r="F9" s="62" t="n">
        <x:v>0</x:v>
      </x:c>
      <x:c r="G9" s="66" t="n">
        <x:v>1</x:v>
      </x:c>
      <x:c r="H9" s="62" t="n">
        <x:f>IF(E9=0,"",I9/E9)</x:f>
        <x:v>20787.76011311823</x:v>
      </x:c>
      <x:c r="I9" s="60" t="n">
        <x:f>SUMIF('Species'!$H$2:$H$233,A9,'Species'!$U$2:$U$233)</x:f>
        <x:v>1262971389.3751445</x:v>
      </x:c>
      <x:c r="J9" s="62" t="n">
        <x:v>4.040370058786635</x:v>
      </x:c>
      <x:c r="K9" s="62" t="n">
        <x:f>IF(J9="","",(1/'Metadata'!$B$5)^(J9-1))</x:f>
        <x:v>9028.438507081768</x:v>
      </x:c>
      <x:c r="L9" s="60" t="n">
        <x:f>IF(E9=0,"",E9*K9)</x:f>
        <x:v>548527569.2584794</x:v>
      </x:c>
      <x:c r="M9" s="60" t="n">
        <x:f>I9-L9</x:f>
        <x:v>714443820.1166651</x:v>
      </x:c>
      <x:c r="N9" s="62" t="n">
        <x:f>IF(L9=0,"",I9/L9)</x:f>
        <x:v>2.3024756824574517</x:v>
      </x:c>
      <x:c r="O9" s="66" t="n">
        <x:f>IF(L9=0,"",M9/L9)</x:f>
        <x:v>1.302475682457452</x:v>
      </x:c>
    </x:row>
    <x:row r="10" ht="18" customHeight="1">
      <x:c r="A10" s="46" t="str">
        <x:v>Salmon, smelts, etc</x:v>
      </x:c>
      <x:c r="B10" s="64" t="n">
        <x:v>6</x:v>
      </x:c>
      <x:c r="C10" s="64" t="n">
        <x:v>6</x:v>
      </x:c>
      <x:c r="D10" s="60" t="n">
        <x:v>900.6678409879</x:v>
      </x:c>
      <x:c r="E10" s="60" t="n">
        <x:v>900.6678409879</x:v>
      </x:c>
      <x:c r="F10" s="62" t="n">
        <x:v>0</x:v>
      </x:c>
      <x:c r="G10" s="66" t="n">
        <x:v>1</x:v>
      </x:c>
      <x:c r="H10" s="62" t="n">
        <x:f>IF(E10=0,"",I10/E10)</x:f>
        <x:v>2889.8295793172774</x:v>
      </x:c>
      <x:c r="I10" s="60" t="n">
        <x:f>SUMIF('Species'!$H$2:$H$233,A10,'Species'!$U$2:$U$233)</x:f>
        <x:v>2602776.5680266637</x:v>
      </x:c>
      <x:c r="J10" s="62" t="n">
        <x:v>3.257639202188396</x:v>
      </x:c>
      <x:c r="K10" s="62" t="n">
        <x:f>IF(J10="","",(1/'Metadata'!$B$5)^(J10-1))</x:f>
        <x:v>865.4785751763636</x:v>
      </x:c>
      <x:c r="L10" s="60" t="n">
        <x:f>IF(E10=0,"",E10*K10)</x:f>
        <x:v>779508.7197253794</x:v>
      </x:c>
      <x:c r="M10" s="60" t="n">
        <x:f>I10-L10</x:f>
        <x:v>1823267.8483012845</x:v>
      </x:c>
      <x:c r="N10" s="62" t="n">
        <x:f>IF(L10=0,"",I10/L10)</x:f>
        <x:v>3.3389960909528003</x:v>
      </x:c>
      <x:c r="O10" s="66" t="n">
        <x:f>IF(L10=0,"",M10/L10)</x:f>
        <x:v>2.3389960909528003</x:v>
      </x:c>
    </x:row>
    <x:row r="11" ht="18" customHeight="1">
      <x:c r="A11" s="46" t="str">
        <x:v>Scorpionfishes</x:v>
      </x:c>
      <x:c r="B11" s="64" t="n">
        <x:v>8</x:v>
      </x:c>
      <x:c r="C11" s="64" t="n">
        <x:v>8</x:v>
      </x:c>
      <x:c r="D11" s="60" t="n">
        <x:v>9451.7125782432</x:v>
      </x:c>
      <x:c r="E11" s="60" t="n">
        <x:v>9451.7125782432</x:v>
      </x:c>
      <x:c r="F11" s="62" t="n">
        <x:v>0</x:v>
      </x:c>
      <x:c r="G11" s="66" t="n">
        <x:v>1</x:v>
      </x:c>
      <x:c r="H11" s="62" t="n">
        <x:f>IF(E11=0,"",I11/E11)</x:f>
        <x:v>4289.958470895011</x:v>
      </x:c>
      <x:c r="I11" s="60" t="n">
        <x:f>SUMIF('Species'!$H$2:$H$233,A11,'Species'!$U$2:$U$233)</x:f>
        <x:v>40547454.43949933</x:v>
      </x:c>
      <x:c r="J11" s="62" t="n">
        <x:v>3.7896293634912954</x:v>
      </x:c>
      <x:c r="K11" s="62" t="n">
        <x:f>IF(J11="","",(1/'Metadata'!$B$5)^(J11-1))</x:f>
        <x:v>4259.822260325701</x:v>
      </x:c>
      <x:c r="L11" s="60" t="n">
        <x:f>IF(E11=0,"",E11*K11)</x:f>
        <x:v>40262615.6390008</x:v>
      </x:c>
      <x:c r="M11" s="60" t="n">
        <x:f>I11-L11</x:f>
        <x:v>284838.80049853027</x:v>
      </x:c>
      <x:c r="N11" s="62" t="n">
        <x:f>IF(L11=0,"",I11/L11)</x:f>
        <x:v>1.007074523002987</x:v>
      </x:c>
      <x:c r="O11" s="66" t="n">
        <x:f>IF(L11=0,"",M11/L11)</x:f>
        <x:v>0.007074523002986875</x:v>
      </x:c>
    </x:row>
    <x:row r="12" ht="18" customHeight="1">
      <x:c r="A12" s="46" t="str">
        <x:v>Sharks &amp; rays</x:v>
      </x:c>
      <x:c r="B12" s="64" t="n">
        <x:v>29</x:v>
      </x:c>
      <x:c r="C12" s="64" t="n">
        <x:v>29</x:v>
      </x:c>
      <x:c r="D12" s="60" t="n">
        <x:v>31851.413635642897</x:v>
      </x:c>
      <x:c r="E12" s="60" t="n">
        <x:v>31851.413635642897</x:v>
      </x:c>
      <x:c r="F12" s="62" t="n">
        <x:v>0</x:v>
      </x:c>
      <x:c r="G12" s="66" t="n">
        <x:v>1</x:v>
      </x:c>
      <x:c r="H12" s="62" t="n">
        <x:f>IF(E12=0,"",I12/E12)</x:f>
        <x:v>14789.498960740946</x:v>
      </x:c>
      <x:c r="I12" s="60" t="n">
        <x:f>SUMIF('Species'!$H$2:$H$233,A12,'Species'!$U$2:$U$233)</x:f>
        <x:v>471066448.8624706</x:v>
      </x:c>
      <x:c r="J12" s="62" t="n">
        <x:v>4.075518482648599</x:v>
      </x:c>
      <x:c r="K12" s="62" t="n">
        <x:f>IF(J12="","",(1/'Metadata'!$B$5)^(J12-1))</x:f>
        <x:v>10030.943821529005</x:v>
      </x:c>
      <x:c r="L12" s="60" t="n">
        <x:f>IF(E12=0,"",E12*K12)</x:f>
        <x:v>319499740.8154168</x:v>
      </x:c>
      <x:c r="M12" s="60" t="n">
        <x:f>I12-L12</x:f>
        <x:v>151566708.0470538</x:v>
      </x:c>
      <x:c r="N12" s="62" t="n">
        <x:f>IF(L12=0,"",I12/L12)</x:f>
        <x:v>1.4743875774679198</x:v>
      </x:c>
      <x:c r="O12" s="66" t="n">
        <x:f>IF(L12=0,"",M12/L12)</x:f>
        <x:v>0.4743875774679197</x:v>
      </x:c>
    </x:row>
    <x:row r="13" ht="18" customHeight="1">
      <x:c r="A13" s="46" t="str">
        <x:v>Tuna &amp; billfishes</x:v>
      </x:c>
      <x:c r="B13" s="64" t="n">
        <x:v>17</x:v>
      </x:c>
      <x:c r="C13" s="64" t="n">
        <x:v>17</x:v>
      </x:c>
      <x:c r="D13" s="60" t="n">
        <x:v>5374.8171736718</x:v>
      </x:c>
      <x:c r="E13" s="60" t="n">
        <x:v>5374.8171736718</x:v>
      </x:c>
      <x:c r="F13" s="62" t="n">
        <x:v>0</x:v>
      </x:c>
      <x:c r="G13" s="66" t="n">
        <x:v>1</x:v>
      </x:c>
      <x:c r="H13" s="62" t="n">
        <x:f>IF(E13=0,"",I13/E13)</x:f>
        <x:v>31573.64124359218</x:v>
      </x:c>
      <x:c r="I13" s="60" t="n">
        <x:f>SUMIF('Species'!$H$2:$H$233,A13,'Species'!$U$2:$U$233)</x:f>
        <x:v>169702549.19141153</x:v>
      </x:c>
      <x:c r="J13" s="62" t="n">
        <x:v>4.4530504154205435</x:v>
      </x:c>
      <x:c r="K13" s="62" t="n">
        <x:f>IF(J13="","",(1/'Metadata'!$B$5)^(J13-1))</x:f>
        <x:v>31082.945504227988</x:v>
      </x:c>
      <x:c r="L13" s="60" t="n">
        <x:f>IF(E13=0,"",E13*K13)</x:f>
        <x:v>167065149.30442926</x:v>
      </x:c>
      <x:c r="M13" s="60" t="n">
        <x:f>I13-L13</x:f>
        <x:v>2637399.886982262</x:v>
      </x:c>
      <x:c r="N13" s="62" t="n">
        <x:f>IF(L13=0,"",I13/L13)</x:f>
        <x:v>1.0157866550741612</x:v>
      </x:c>
      <x:c r="O13" s="66" t="n">
        <x:f>IF(L13=0,"",M13/L13)</x:f>
        <x:v>0.015786655074161174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42c092f15af42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6</x:v>
      </x:c>
      <x:c r="C2" s="64" t="n">
        <x:v>6</x:v>
      </x:c>
      <x:c r="D2" s="60" t="n">
        <x:v>19509.115412387902</x:v>
      </x:c>
      <x:c r="E2" s="60" t="n">
        <x:v>19509.115412387902</x:v>
      </x:c>
      <x:c r="F2" s="62" t="n">
        <x:v>0</x:v>
      </x:c>
      <x:c r="G2" s="66" t="n">
        <x:v>1</x:v>
      </x:c>
      <x:c r="H2" s="62" t="n">
        <x:f>IF(E2=0,"",I2/E2)</x:f>
        <x:v>1642.535809375348</x:v>
      </x:c>
      <x:c r="I2" s="60" t="n">
        <x:f>SUMIF('Species'!$G$2:$G$233,A2,'Species'!$U$2:$U$233)</x:f>
        <x:v>32044420.67408364</x:v>
      </x:c>
      <x:c r="J2" s="62" t="n">
        <x:v>3.4351580965661377</x:v>
      </x:c>
      <x:c r="K2" s="62" t="n">
        <x:f>IF(J2="","",(1/'Metadata'!$B$5)^(J2-1))</x:f>
        <x:v>1473.0372447262143</x:v>
      </x:c>
      <x:c r="L2" s="60" t="n">
        <x:f>IF(E2=0,"",E2*K2)</x:f>
        <x:v>28737653.614109598</x:v>
      </x:c>
      <x:c r="M2" s="60" t="n">
        <x:f>I2-L2</x:f>
        <x:v>3306767.059974041</x:v>
      </x:c>
      <x:c r="N2" s="62" t="n">
        <x:f>IF(L2=0,"",I2/L2)</x:f>
        <x:v>1.1150673991821827</x:v>
      </x:c>
      <x:c r="O2" s="66" t="n">
        <x:f>IF(L2=0,"",M2/L2)</x:f>
        <x:v>0.11506739918218258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8.7949411823</x:v>
      </x:c>
      <x:c r="E3" s="60" t="n">
        <x:v>8.7949411823</x:v>
      </x:c>
      <x:c r="F3" s="62" t="n">
        <x:v>0</x:v>
      </x:c>
      <x:c r="G3" s="66" t="n">
        <x:v>1</x:v>
      </x:c>
      <x:c r="H3" s="62" t="n">
        <x:f>IF(E3=0,"",I3/E3)</x:f>
        <x:v>1586.8423749532276</x:v>
      </x:c>
      <x:c r="I3" s="60" t="n">
        <x:f>SUMIF('Species'!$G$2:$G$233,A3,'Species'!$U$2:$U$233)</x:f>
        <x:v>13956.18535329488</x:v>
      </x:c>
      <x:c r="J3" s="62" t="n">
        <x:v>3.46</x:v>
      </x:c>
      <x:c r="K3" s="62" t="n">
        <x:f>IF(J3="","",(1/'Metadata'!$B$5)^(J3-1))</x:f>
        <x:v>1586.8423749532276</x:v>
      </x:c>
      <x:c r="L3" s="60" t="n">
        <x:f>IF(E3=0,"",E3*K3)</x:f>
        <x:v>13956.18535329488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318.4148023216</x:v>
      </x:c>
      <x:c r="E4" s="60" t="n">
        <x:v>318.4148023216</x:v>
      </x:c>
      <x:c r="F4" s="62" t="n">
        <x:v>0</x:v>
      </x:c>
      <x:c r="G4" s="66" t="n">
        <x:v>1</x:v>
      </x:c>
      <x:c r="H4" s="62" t="n">
        <x:f>IF(E4=0,"",I4/E4)</x:f>
        <x:v>7312.385640086951</x:v>
      </x:c>
      <x:c r="I4" s="60" t="n">
        <x:f>SUMIF('Species'!$G$2:$G$233,A4,'Species'!$U$2:$U$233)</x:f>
        <x:v>2328371.828087593</x:v>
      </x:c>
      <x:c r="J4" s="62" t="n">
        <x:v>3.97</x:v>
      </x:c>
      <x:c r="K4" s="62" t="n">
        <x:f>IF(J4="","",(1/'Metadata'!$B$5)^(J4-1))</x:f>
        <x:v>7312.385640086951</x:v>
      </x:c>
      <x:c r="L4" s="60" t="n">
        <x:f>IF(E4=0,"",E4*K4)</x:f>
        <x:v>2328371.828087593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8</x:v>
      </x:c>
      <x:c r="C5" s="64" t="n">
        <x:v>8</x:v>
      </x:c>
      <x:c r="D5" s="60" t="n">
        <x:v>3532.9632334027</x:v>
      </x:c>
      <x:c r="E5" s="60" t="n">
        <x:v>3532.9632334027</x:v>
      </x:c>
      <x:c r="F5" s="62" t="n">
        <x:v>0</x:v>
      </x:c>
      <x:c r="G5" s="66" t="n">
        <x:v>1</x:v>
      </x:c>
      <x:c r="H5" s="62" t="n">
        <x:f>IF(E5=0,"",I5/E5)</x:f>
        <x:v>10627.008500380845</x:v>
      </x:c>
      <x:c r="I5" s="60" t="n">
        <x:f>SUMIF('Species'!$G$2:$G$233,A5,'Species'!$U$2:$U$233)</x:f>
        <x:v>37544830.31290349</x:v>
      </x:c>
      <x:c r="J5" s="62" t="n">
        <x:v>4.072715718035424</x:v>
      </x:c>
      <x:c r="K5" s="62" t="n">
        <x:f>IF(J5="","",(1/'Metadata'!$B$5)^(J5-1))</x:f>
        <x:v>9947.073278057595</x:v>
      </x:c>
      <x:c r="L5" s="60" t="n">
        <x:f>IF(E5=0,"",E5*K5)</x:f>
        <x:v>35142644.17133995</x:v>
      </x:c>
      <x:c r="M5" s="60" t="n">
        <x:f>I5-L5</x:f>
        <x:v>2402186.141563542</x:v>
      </x:c>
      <x:c r="N5" s="62" t="n">
        <x:f>IF(L5=0,"",I5/L5)</x:f>
        <x:v>1.0683553044515246</x:v>
      </x:c>
      <x:c r="O5" s="66" t="n">
        <x:f>IF(L5=0,"",M5/L5)</x:f>
        <x:v>0.0683553044515247</x:v>
      </x:c>
    </x:row>
    <x:row r="6" ht="18" customHeight="1">
      <x:c r="A6" s="46" t="str">
        <x:v>Large demersals (&gt;=90 cm)</x:v>
      </x:c>
      <x:c r="B6" s="64" t="n">
        <x:v>17</x:v>
      </x:c>
      <x:c r="C6" s="64" t="n">
        <x:v>17</x:v>
      </x:c>
      <x:c r="D6" s="60" t="n">
        <x:v>33990.336118616295</x:v>
      </x:c>
      <x:c r="E6" s="60" t="n">
        <x:v>33990.336118616295</x:v>
      </x:c>
      <x:c r="F6" s="62" t="n">
        <x:v>0</x:v>
      </x:c>
      <x:c r="G6" s="66" t="n">
        <x:v>1</x:v>
      </x:c>
      <x:c r="H6" s="62" t="n">
        <x:f>IF(E6=0,"",I6/E6)</x:f>
        <x:v>37666.40124474879</x:v>
      </x:c>
      <x:c r="I6" s="60" t="n">
        <x:f>SUMIF('Species'!$G$2:$G$233,A6,'Species'!$U$2:$U$233)</x:f>
        <x:v>1280293638.6876786</x:v>
      </x:c>
      <x:c r="J6" s="62" t="n">
        <x:v>4.469526671786154</x:v>
      </x:c>
      <x:c r="K6" s="62" t="n">
        <x:f>IF(J6="","",(1/'Metadata'!$B$5)^(J6-1))</x:f>
        <x:v>32655.64534393671</x:v>
      </x:c>
      <x:c r="L6" s="60" t="n">
        <x:f>IF(E6=0,"",E6*K6)</x:f>
        <x:v>1109976361.410736</x:v>
      </x:c>
      <x:c r="M6" s="60" t="n">
        <x:f>I6-L6</x:f>
        <x:v>170317277.2769425</x:v>
      </x:c>
      <x:c r="N6" s="62" t="n">
        <x:f>IF(L6=0,"",I6/L6)</x:f>
        <x:v>1.1534422562481204</x:v>
      </x:c>
      <x:c r="O6" s="66" t="n">
        <x:f>IF(L6=0,"",M6/L6)</x:f>
        <x:v>0.1534422562481204</x:v>
      </x:c>
    </x:row>
    <x:row r="7" ht="18" customHeight="1">
      <x:c r="A7" s="46" t="str">
        <x:v>Large flatfishes (&gt;=90 cm)</x:v>
      </x:c>
      <x:c r="B7" s="64" t="n">
        <x:v>1</x:v>
      </x:c>
      <x:c r="C7" s="64" t="n">
        <x:v>1</x:v>
      </x:c>
      <x:c r="D7" s="60" t="n">
        <x:v>3017.4145464633</x:v>
      </x:c>
      <x:c r="E7" s="60" t="n">
        <x:v>3017.4145464633</x:v>
      </x:c>
      <x:c r="F7" s="62" t="n">
        <x:v>0</x:v>
      </x:c>
      <x:c r="G7" s="66" t="n">
        <x:v>1</x:v>
      </x:c>
      <x:c r="H7" s="62" t="n">
        <x:f>IF(E7=0,"",I7/E7)</x:f>
        <x:v>7999.999999999999</x:v>
      </x:c>
      <x:c r="I7" s="60" t="n">
        <x:f>SUMIF('Species'!$G$2:$G$233,A7,'Species'!$U$2:$U$233)</x:f>
        <x:v>24139316.3717064</x:v>
      </x:c>
      <x:c r="J7" s="62" t="n">
        <x:v>4</x:v>
      </x:c>
      <x:c r="K7" s="62" t="n">
        <x:f>IF(J7="","",(1/'Metadata'!$B$5)^(J7-1))</x:f>
        <x:v>8000</x:v>
      </x:c>
      <x:c r="L7" s="60" t="n">
        <x:f>IF(E7=0,"",E7*K7)</x:f>
        <x:v>24139316.3717064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pelagics (&gt;=90 cm)</x:v>
      </x:c>
      <x:c r="B8" s="64" t="n">
        <x:v>26</x:v>
      </x:c>
      <x:c r="C8" s="64" t="n">
        <x:v>26</x:v>
      </x:c>
      <x:c r="D8" s="60" t="n">
        <x:v>15164.232690875198</x:v>
      </x:c>
      <x:c r="E8" s="60" t="n">
        <x:v>15164.232690875198</x:v>
      </x:c>
      <x:c r="F8" s="62" t="n">
        <x:v>0</x:v>
      </x:c>
      <x:c r="G8" s="66" t="n">
        <x:v>1</x:v>
      </x:c>
      <x:c r="H8" s="62" t="n">
        <x:f>IF(E8=0,"",I8/E8)</x:f>
        <x:v>32051.787129297783</x:v>
      </x:c>
      <x:c r="I8" s="60" t="n">
        <x:f>SUMIF('Species'!$G$2:$G$233,A8,'Species'!$U$2:$U$233)</x:f>
        <x:v>486040758.18707037</x:v>
      </x:c>
      <x:c r="J8" s="62" t="n">
        <x:v>4.444886134797497</x:v>
      </x:c>
      <x:c r="K8" s="62" t="n">
        <x:f>IF(J8="","",(1/'Metadata'!$B$5)^(J8-1))</x:f>
        <x:v>30331.940334306037</x:v>
      </x:c>
      <x:c r="L8" s="60" t="n">
        <x:f>IF(E8=0,"",E8*K8)</x:f>
        <x:v>459960601.1951596</x:v>
      </x:c>
      <x:c r="M8" s="60" t="n">
        <x:f>I8-L8</x:f>
        <x:v>26080156.991910756</x:v>
      </x:c>
      <x:c r="N8" s="62" t="n">
        <x:f>IF(L8=0,"",I8/L8)</x:f>
        <x:v>1.0567008498644106</x:v>
      </x:c>
      <x:c r="O8" s="66" t="n">
        <x:f>IF(L8=0,"",M8/L8)</x:f>
        <x:v>0.05670084986441054</x:v>
      </x:c>
    </x:row>
    <x:row r="9" ht="18" customHeight="1">
      <x:c r="A9" s="46" t="str">
        <x:v>Large rays (&gt;=90 cm)</x:v>
      </x:c>
      <x:c r="B9" s="64" t="n">
        <x:v>5</x:v>
      </x:c>
      <x:c r="C9" s="64" t="n">
        <x:v>5</x:v>
      </x:c>
      <x:c r="D9" s="60" t="n">
        <x:v>10079.880202088298</x:v>
      </x:c>
      <x:c r="E9" s="60" t="n">
        <x:v>10079.880202088298</x:v>
      </x:c>
      <x:c r="F9" s="62" t="n">
        <x:v>0</x:v>
      </x:c>
      <x:c r="G9" s="66" t="n">
        <x:v>1</x:v>
      </x:c>
      <x:c r="H9" s="62" t="n">
        <x:f>IF(E9=0,"",I9/E9)</x:f>
        <x:v>4195.690582651052</x:v>
      </x:c>
      <x:c r="I9" s="60" t="n">
        <x:f>SUMIF('Species'!$G$2:$G$233,A9,'Species'!$U$2:$U$233)</x:f>
        <x:v>42292058.438152656</x:v>
      </x:c>
      <x:c r="J9" s="62" t="n">
        <x:v>3.7675272637088315</x:v>
      </x:c>
      <x:c r="K9" s="62" t="n">
        <x:f>IF(J9="","",(1/'Metadata'!$B$5)^(J9-1))</x:f>
        <x:v>3986.9058857899736</x:v>
      </x:c>
      <x:c r="L9" s="60" t="n">
        <x:f>IF(E9=0,"",E9*K9)</x:f>
        <x:v>40187533.70576366</x:v>
      </x:c>
      <x:c r="M9" s="60" t="n">
        <x:f>I9-L9</x:f>
        <x:v>2104524.7323889956</x:v>
      </x:c>
      <x:c r="N9" s="62" t="n">
        <x:f>IF(L9=0,"",I9/L9)</x:f>
        <x:v>1.0523676010525416</x:v>
      </x:c>
      <x:c r="O9" s="66" t="n">
        <x:f>IF(L9=0,"",M9/L9)</x:f>
        <x:v>0.052367601052541485</x:v>
      </x:c>
    </x:row>
    <x:row r="10" ht="18" customHeight="1">
      <x:c r="A10" s="46" t="str">
        <x:v>Large reef assoc. fish (&gt;=90 cm)</x:v>
      </x:c>
      <x:c r="B10" s="64" t="n">
        <x:v>7</x:v>
      </x:c>
      <x:c r="C10" s="64" t="n">
        <x:v>7</x:v>
      </x:c>
      <x:c r="D10" s="60" t="n">
        <x:v>9417.149687220199</x:v>
      </x:c>
      <x:c r="E10" s="60" t="n">
        <x:v>9417.149687220199</x:v>
      </x:c>
      <x:c r="F10" s="62" t="n">
        <x:v>0</x:v>
      </x:c>
      <x:c r="G10" s="66" t="n">
        <x:v>1</x:v>
      </x:c>
      <x:c r="H10" s="62" t="n">
        <x:f>IF(E10=0,"",I10/E10)</x:f>
        <x:v>4260.0791715012965</x:v>
      </x:c>
      <x:c r="I10" s="60" t="n">
        <x:f>SUMIF('Species'!$G$2:$G$233,A10,'Species'!$U$2:$U$233)</x:f>
        <x:v>40117803.23743672</x:v>
      </x:c>
      <x:c r="J10" s="62" t="n">
        <x:v>3.785454837965581</x:v>
      </x:c>
      <x:c r="K10" s="62" t="n">
        <x:f>IF(J10="","",(1/'Metadata'!$B$5)^(J10-1))</x:f>
        <x:v>4206.881663087872</x:v>
      </x:c>
      <x:c r="L10" s="60" t="n">
        <x:f>IF(E10=0,"",E10*K10)</x:f>
        <x:v>39616834.33772034</x:v>
      </x:c>
      <x:c r="M10" s="60" t="n">
        <x:f>I10-L10</x:f>
        <x:v>500968.89971637726</x:v>
      </x:c>
      <x:c r="N10" s="62" t="n">
        <x:f>IF(L10=0,"",I10/L10)</x:f>
        <x:v>1.0126453541301605</x:v>
      </x:c>
      <x:c r="O10" s="66" t="n">
        <x:f>IF(L10=0,"",M10/L10)</x:f>
        <x:v>0.012645354130160526</x:v>
      </x:c>
    </x:row>
    <x:row r="11" ht="18" customHeight="1">
      <x:c r="A11" s="46" t="str">
        <x:v>Large sharks (&gt;=90 cm)</x:v>
      </x:c>
      <x:c r="B11" s="64" t="n">
        <x:v>20</x:v>
      </x:c>
      <x:c r="C11" s="64" t="n">
        <x:v>20</x:v>
      </x:c>
      <x:c r="D11" s="60" t="n">
        <x:v>17613.1412782589</x:v>
      </x:c>
      <x:c r="E11" s="60" t="n">
        <x:v>17613.1412782589</x:v>
      </x:c>
      <x:c r="F11" s="62" t="n">
        <x:v>0</x:v>
      </x:c>
      <x:c r="G11" s="66" t="n">
        <x:v>1</x:v>
      </x:c>
      <x:c r="H11" s="62" t="n">
        <x:f>IF(E11=0,"",I11/E11)</x:f>
        <x:v>23755.435880814253</x:v>
      </x:c>
      <x:c r="I11" s="60" t="n">
        <x:f>SUMIF('Species'!$G$2:$G$233,A11,'Species'!$U$2:$U$233)</x:f>
        <x:v>418407848.2954021</x:v>
      </x:c>
      <x:c r="J11" s="62" t="n">
        <x:v>4.361596088367995</x:v>
      </x:c>
      <x:c r="K11" s="62" t="n">
        <x:f>IF(J11="","",(1/'Metadata'!$B$5)^(J11-1))</x:f>
        <x:v>23634.006153772</x:v>
      </x:c>
      <x:c r="L11" s="60" t="n">
        <x:f>IF(E11=0,"",E11*K11)</x:f>
        <x:v>416269089.35762644</x:v>
      </x:c>
      <x:c r="M11" s="60" t="n">
        <x:f>I11-L11</x:f>
        <x:v>2138758.9377756715</x:v>
      </x:c>
      <x:c r="N11" s="62" t="n">
        <x:f>IF(L11=0,"",I11/L11)</x:f>
        <x:v>1.005137923983441</x:v>
      </x:c>
      <x:c r="O11" s="66" t="n">
        <x:f>IF(L11=0,"",M11/L11)</x:f>
        <x:v>0.005137923983440947</x:v>
      </x:c>
    </x:row>
    <x:row r="12" ht="18" customHeight="1">
      <x:c r="A12" s="46" t="str">
        <x:v>Lobsters, crabs</x:v>
      </x:c>
      <x:c r="B12" s="64" t="n">
        <x:v>12</x:v>
      </x:c>
      <x:c r="C12" s="64" t="n">
        <x:v>12</x:v>
      </x:c>
      <x:c r="D12" s="60" t="n">
        <x:v>99172.00918992714</x:v>
      </x:c>
      <x:c r="E12" s="60" t="n">
        <x:v>99172.00918992714</x:v>
      </x:c>
      <x:c r="F12" s="62" t="n">
        <x:v>0</x:v>
      </x:c>
      <x:c r="G12" s="66" t="n">
        <x:v>1</x:v>
      </x:c>
      <x:c r="H12" s="62" t="n">
        <x:f>IF(E12=0,"",I12/E12)</x:f>
        <x:v>4050.584217154521</x:v>
      </x:c>
      <x:c r="I12" s="60" t="n">
        <x:f>SUMIF('Species'!$G$2:$G$233,A12,'Species'!$U$2:$U$233)</x:f>
        <x:v>401704575.208222</x:v>
      </x:c>
      <x:c r="J12" s="62" t="n">
        <x:v>3.663902474935884</x:v>
      </x:c>
      <x:c r="K12" s="62" t="n">
        <x:f>IF(J12="","",(1/'Metadata'!$B$5)^(J12-1))</x:f>
        <x:v>2922.9206493862866</x:v>
      </x:c>
      <x:c r="L12" s="60" t="n">
        <x:f>IF(E12=0,"",E12*K12)</x:f>
        <x:v>289871913.50236464</x:v>
      </x:c>
      <x:c r="M12" s="60" t="n">
        <x:f>I12-L12</x:f>
        <x:v>111832661.70585734</x:v>
      </x:c>
      <x:c r="N12" s="62" t="n">
        <x:f>IF(L12=0,"",I12/L12)</x:f>
        <x:v>1.385800267278896</x:v>
      </x:c>
      <x:c r="O12" s="66" t="n">
        <x:f>IF(L12=0,"",M12/L12)</x:f>
        <x:v>0.3858002672788961</x:v>
      </x:c>
    </x:row>
    <x:row r="13" ht="18" customHeight="1">
      <x:c r="A13" s="46" t="str">
        <x:v>Medium bathydemersals (30 - 89 cm)</x:v>
      </x:c>
      <x:c r="B13" s="64" t="n">
        <x:v>5</x:v>
      </x:c>
      <x:c r="C13" s="64" t="n">
        <x:v>5</x:v>
      </x:c>
      <x:c r="D13" s="60" t="n">
        <x:v>1095.1165792192003</x:v>
      </x:c>
      <x:c r="E13" s="60" t="n">
        <x:v>1095.1165792192003</x:v>
      </x:c>
      <x:c r="F13" s="62" t="n">
        <x:v>0</x:v>
      </x:c>
      <x:c r="G13" s="66" t="n">
        <x:v>1</x:v>
      </x:c>
      <x:c r="H13" s="62" t="n">
        <x:f>IF(E13=0,"",I13/E13)</x:f>
        <x:v>27430.49032305256</x:v>
      </x:c>
      <x:c r="I13" s="60" t="n">
        <x:f>SUMIF('Species'!$G$2:$G$233,A13,'Species'!$U$2:$U$233)</x:f>
        <x:v>30039584.728886694</x:v>
      </x:c>
      <x:c r="J13" s="62" t="n">
        <x:v>4.3159754465759805</x:v>
      </x:c>
      <x:c r="K13" s="62" t="n">
        <x:f>IF(J13="","",(1/'Metadata'!$B$5)^(J13-1))</x:f>
        <x:v>20615.008626952003</x:v>
      </x:c>
      <x:c r="L13" s="60" t="n">
        <x:f>IF(E13=0,"",E13*K13)</x:f>
        <x:v>22575837.72812198</x:v>
      </x:c>
      <x:c r="M13" s="60" t="n">
        <x:f>I13-L13</x:f>
        <x:v>7463747.000764713</x:v>
      </x:c>
      <x:c r="N13" s="62" t="n">
        <x:f>IF(L13=0,"",I13/L13)</x:f>
        <x:v>1.330607753769747</x:v>
      </x:c>
      <x:c r="O13" s="66" t="n">
        <x:f>IF(L13=0,"",M13/L13)</x:f>
        <x:v>0.3306077537697468</x:v>
      </x:c>
    </x:row>
    <x:row r="14" ht="18" customHeight="1">
      <x:c r="A14" s="46" t="str">
        <x:v>Medium benthopelagics (30 - 89 cm)</x:v>
      </x:c>
      <x:c r="B14" s="64" t="n">
        <x:v>10</x:v>
      </x:c>
      <x:c r="C14" s="64" t="n">
        <x:v>10</x:v>
      </x:c>
      <x:c r="D14" s="60" t="n">
        <x:v>322.0998936029</x:v>
      </x:c>
      <x:c r="E14" s="60" t="n">
        <x:v>322.0998936029</x:v>
      </x:c>
      <x:c r="F14" s="62" t="n">
        <x:v>0</x:v>
      </x:c>
      <x:c r="G14" s="66" t="n">
        <x:v>1</x:v>
      </x:c>
      <x:c r="H14" s="62" t="n">
        <x:f>IF(E14=0,"",I14/E14)</x:f>
        <x:v>11853.34064138358</x:v>
      </x:c>
      <x:c r="I14" s="60" t="n">
        <x:f>SUMIF('Species'!$G$2:$G$233,A14,'Species'!$U$2:$U$233)</x:f>
        <x:v>3817959.7594285817</x:v>
      </x:c>
      <x:c r="J14" s="62" t="n">
        <x:v>3.893178173806338</x:v>
      </x:c>
      <x:c r="K14" s="62" t="n">
        <x:f>IF(J14="","",(1/'Metadata'!$B$5)^(J14-1))</x:f>
        <x:v>5809.1365736416865</x:v>
      </x:c>
      <x:c r="L14" s="60" t="n">
        <x:f>IF(E14=0,"",E14*K14)</x:f>
        <x:v>1871122.2722947022</x:v>
      </x:c>
      <x:c r="M14" s="60" t="n">
        <x:f>I14-L14</x:f>
        <x:v>1946837.4871338794</x:v>
      </x:c>
      <x:c r="N14" s="62" t="n">
        <x:f>IF(L14=0,"",I14/L14)</x:f>
        <x:v>2.0404651347270435</x:v>
      </x:c>
      <x:c r="O14" s="66" t="n">
        <x:f>IF(L14=0,"",M14/L14)</x:f>
        <x:v>1.0404651347270437</x:v>
      </x:c>
    </x:row>
    <x:row r="15" ht="18" customHeight="1">
      <x:c r="A15" s="46" t="str">
        <x:v>Medium demersals (30 - 89 cm)</x:v>
      </x:c>
      <x:c r="B15" s="64" t="n">
        <x:v>34</x:v>
      </x:c>
      <x:c r="C15" s="64" t="n">
        <x:v>34</x:v>
      </x:c>
      <x:c r="D15" s="60" t="n">
        <x:v>106581.0028539246</x:v>
      </x:c>
      <x:c r="E15" s="60" t="n">
        <x:v>106581.0028539246</x:v>
      </x:c>
      <x:c r="F15" s="62" t="n">
        <x:v>0</x:v>
      </x:c>
      <x:c r="G15" s="66" t="n">
        <x:v>1</x:v>
      </x:c>
      <x:c r="H15" s="62" t="n">
        <x:f>IF(E15=0,"",I15/E15)</x:f>
        <x:v>5511.451154392426</x:v>
      </x:c>
      <x:c r="I15" s="60" t="n">
        <x:f>SUMIF('Species'!$G$2:$G$233,A15,'Species'!$U$2:$U$233)</x:f>
        <x:v>587415991.2155652</x:v>
      </x:c>
      <x:c r="J15" s="62" t="n">
        <x:v>3.5836081124658996</x:v>
      </x:c>
      <x:c r="K15" s="62" t="n">
        <x:f>IF(J15="","",(1/'Metadata'!$B$5)^(J15-1))</x:f>
        <x:v>2298.0086090624823</x:v>
      </x:c>
      <x:c r="L15" s="60" t="n">
        <x:f>IF(E15=0,"",E15*K15)</x:f>
        <x:v>244924062.12083173</x:v>
      </x:c>
      <x:c r="M15" s="60" t="n">
        <x:f>I15-L15</x:f>
        <x:v>342491929.0947335</x:v>
      </x:c>
      <x:c r="N15" s="62" t="n">
        <x:f>IF(L15=0,"",I15/L15)</x:f>
        <x:v>2.3983596635179407</x:v>
      </x:c>
      <x:c r="O15" s="66" t="n">
        <x:f>IF(L15=0,"",M15/L15)</x:f>
        <x:v>1.3983596635179407</x:v>
      </x:c>
    </x:row>
    <x:row r="16" ht="18" customHeight="1">
      <x:c r="A16" s="46" t="str">
        <x:v>Medium pelagics (30 - 89 cm)</x:v>
      </x:c>
      <x:c r="B16" s="64" t="n">
        <x:v>17</x:v>
      </x:c>
      <x:c r="C16" s="64" t="n">
        <x:v>17</x:v>
      </x:c>
      <x:c r="D16" s="60" t="n">
        <x:v>110810.3730409119</x:v>
      </x:c>
      <x:c r="E16" s="60" t="n">
        <x:v>110810.3730409119</x:v>
      </x:c>
      <x:c r="F16" s="62" t="n">
        <x:v>0</x:v>
      </x:c>
      <x:c r="G16" s="66" t="n">
        <x:v>1</x:v>
      </x:c>
      <x:c r="H16" s="62" t="n">
        <x:f>IF(E16=0,"",I16/E16)</x:f>
        <x:v>1914.581312212464</x:v>
      </x:c>
      <x:c r="I16" s="60" t="n">
        <x:f>SUMIF('Species'!$G$2:$G$233,A16,'Species'!$U$2:$U$233)</x:f>
        <x:v>212155469.42342174</x:v>
      </x:c>
      <x:c r="J16" s="62" t="n">
        <x:v>3.34058635960199</x:v>
      </x:c>
      <x:c r="K16" s="62" t="n">
        <x:f>IF(J16="","",(1/'Metadata'!$B$5)^(J16-1))</x:f>
        <x:v>1109.6168965618767</x:v>
      </x:c>
      <x:c r="L16" s="60" t="n">
        <x:f>IF(E16=0,"",E16*K16)</x:f>
        <x:v>122957062.24052052</x:v>
      </x:c>
      <x:c r="M16" s="60" t="n">
        <x:f>I16-L16</x:f>
        <x:v>89198407.18290122</x:v>
      </x:c>
      <x:c r="N16" s="62" t="n">
        <x:f>IF(L16=0,"",I16/L16)</x:f>
        <x:v>1.7254435455559043</x:v>
      </x:c>
      <x:c r="O16" s="66" t="n">
        <x:f>IF(L16=0,"",M16/L16)</x:f>
        <x:v>0.7254435455559044</x:v>
      </x:c>
    </x:row>
    <x:row r="17" ht="18" customHeight="1">
      <x:c r="A17" s="46" t="str">
        <x:v>Medium reef assoc. fish (30 - 89 cm)</x:v>
      </x:c>
      <x:c r="B17" s="64" t="n">
        <x:v>12</x:v>
      </x:c>
      <x:c r="C17" s="64" t="n">
        <x:v>12</x:v>
      </x:c>
      <x:c r="D17" s="60" t="n">
        <x:v>8982.520159465801</x:v>
      </x:c>
      <x:c r="E17" s="60" t="n">
        <x:v>8982.520159465801</x:v>
      </x:c>
      <x:c r="F17" s="62" t="n">
        <x:v>0</x:v>
      </x:c>
      <x:c r="G17" s="66" t="n">
        <x:v>1</x:v>
      </x:c>
      <x:c r="H17" s="62" t="n">
        <x:f>IF(E17=0,"",I17/E17)</x:f>
        <x:v>3827.2448313420387</x:v>
      </x:c>
      <x:c r="I17" s="60" t="n">
        <x:f>SUMIF('Species'!$G$2:$G$233,A17,'Species'!$U$2:$U$233)</x:f>
        <x:v>34378303.85274115</x:v>
      </x:c>
      <x:c r="J17" s="62" t="n">
        <x:v>3.6555993678152277</x:v>
      </x:c>
      <x:c r="K17" s="62" t="n">
        <x:f>IF(J17="","",(1/'Metadata'!$B$5)^(J17-1))</x:f>
        <x:v>2851.113024093963</x:v>
      </x:c>
      <x:c r="L17" s="60" t="n">
        <x:f>IF(E17=0,"",E17*K17)</x:f>
        <x:v>25610180.215839524</x:v>
      </x:c>
      <x:c r="M17" s="60" t="n">
        <x:f>I17-L17</x:f>
        <x:v>8768123.636901628</x:v>
      </x:c>
      <x:c r="N17" s="62" t="n">
        <x:f>IF(L17=0,"",I17/L17)</x:f>
        <x:v>1.3423686816338243</x:v>
      </x:c>
      <x:c r="O17" s="66" t="n">
        <x:f>IF(L17=0,"",M17/L17)</x:f>
        <x:v>0.34236868163382433</x:v>
      </x:c>
    </x:row>
    <x:row r="18" ht="18" customHeight="1">
      <x:c r="A18" s="46" t="str">
        <x:v>Other demersal invertebrates</x:v>
      </x:c>
      <x:c r="B18" s="64" t="n">
        <x:v>22</x:v>
      </x:c>
      <x:c r="C18" s="64" t="n">
        <x:v>22</x:v>
      </x:c>
      <x:c r="D18" s="60" t="n">
        <x:v>150162.47231688007</x:v>
      </x:c>
      <x:c r="E18" s="60" t="n">
        <x:v>150162.47231688007</x:v>
      </x:c>
      <x:c r="F18" s="62" t="n">
        <x:v>0</x:v>
      </x:c>
      <x:c r="G18" s="66" t="n">
        <x:v>1</x:v>
      </x:c>
      <x:c r="H18" s="62" t="n">
        <x:f>IF(E18=0,"",I18/E18)</x:f>
        <x:v>27.235403802767802</x:v>
      </x:c>
      <x:c r="I18" s="60" t="n">
        <x:f>SUMIF('Species'!$G$2:$G$233,A18,'Species'!$U$2:$U$233)</x:f>
        <x:v>4089735.5695721703</x:v>
      </x:c>
      <x:c r="J18" s="62" t="n">
        <x:v>2.0281931979648005</x:v>
      </x:c>
      <x:c r="K18" s="62" t="n">
        <x:f>IF(J18="","",(1/'Metadata'!$B$5)^(J18-1))</x:f>
        <x:v>21.762570543204394</x:v>
      </x:c>
      <x:c r="L18" s="60" t="n">
        <x:f>IF(E18=0,"",E18*K18)</x:f>
        <x:v>3267921.3967380794</x:v>
      </x:c>
      <x:c r="M18" s="60" t="n">
        <x:f>I18-L18</x:f>
        <x:v>821814.1728340909</x:v>
      </x:c>
      <x:c r="N18" s="62" t="n">
        <x:f>IF(L18=0,"",I18/L18)</x:f>
        <x:v>1.251479173781351</x:v>
      </x:c>
      <x:c r="O18" s="66" t="n">
        <x:f>IF(L18=0,"",M18/L18)</x:f>
        <x:v>0.25147917378135104</x:v>
      </x:c>
    </x:row>
    <x:row r="19" ht="18" customHeight="1">
      <x:c r="A19" s="46" t="str">
        <x:v>Shrimps</x:v>
      </x:c>
      <x:c r="B19" s="64" t="n">
        <x:v>5</x:v>
      </x:c>
      <x:c r="C19" s="64" t="n">
        <x:v>5</x:v>
      </x:c>
      <x:c r="D19" s="60" t="n">
        <x:v>224.5302918049</x:v>
      </x:c>
      <x:c r="E19" s="60" t="n">
        <x:v>224.5302918049</x:v>
      </x:c>
      <x:c r="F19" s="62" t="n">
        <x:v>0</x:v>
      </x:c>
      <x:c r="G19" s="66" t="n">
        <x:v>1</x:v>
      </x:c>
      <x:c r="H19" s="62" t="n">
        <x:f>IF(E19=0,"",I19/E19)</x:f>
        <x:v>235.66167993032303</x:v>
      </x:c>
      <x:c r="I19" s="60" t="n">
        <x:f>SUMIF('Species'!$G$2:$G$233,A19,'Species'!$U$2:$U$233)</x:f>
        <x:v>52913.185761988374</x:v>
      </x:c>
      <x:c r="J19" s="62" t="n">
        <x:v>2.7522861652966983</x:v>
      </x:c>
      <x:c r="K19" s="62" t="n">
        <x:f>IF(J19="","",(1/'Metadata'!$B$5)^(J19-1))</x:f>
        <x:v>190.44819548658475</x:v>
      </x:c>
      <x:c r="L19" s="60" t="n">
        <x:f>IF(E19=0,"",E19*K19)</x:f>
        <x:v>42761.38890631952</x:v>
      </x:c>
      <x:c r="M19" s="60" t="n">
        <x:f>I19-L19</x:f>
        <x:v>10151.796855668857</x:v>
      </x:c>
      <x:c r="N19" s="62" t="n">
        <x:f>IF(L19=0,"",I19/L19)</x:f>
        <x:v>1.2374056857205722</x:v>
      </x:c>
      <x:c r="O19" s="66" t="n">
        <x:f>IF(L19=0,"",M19/L19)</x:f>
        <x:v>0.23740568572057227</x:v>
      </x:c>
    </x:row>
    <x:row r="20" ht="18" customHeight="1">
      <x:c r="A20" s="46" t="str">
        <x:v>Small benthopelagics (&lt;30 cm)</x:v>
      </x:c>
      <x:c r="B20" s="64" t="n">
        <x:v>2</x:v>
      </x:c>
      <x:c r="C20" s="64" t="n">
        <x:v>2</x:v>
      </x:c>
      <x:c r="D20" s="60" t="n">
        <x:v>5920.564073972</x:v>
      </x:c>
      <x:c r="E20" s="60" t="n">
        <x:v>5920.564073972</x:v>
      </x:c>
      <x:c r="F20" s="62" t="n">
        <x:v>0</x:v>
      </x:c>
      <x:c r="G20" s="66" t="n">
        <x:v>1</x:v>
      </x:c>
      <x:c r="H20" s="62" t="n">
        <x:f>IF(E20=0,"",I20/E20)</x:f>
        <x:v>6107.8497561911745</x:v>
      </x:c>
      <x:c r="I20" s="60" t="n">
        <x:f>SUMIF('Species'!$G$2:$G$233,A20,'Species'!$U$2:$U$233)</x:f>
        <x:v>36161915.83572411</x:v>
      </x:c>
      <x:c r="J20" s="62" t="n">
        <x:v>3.909898916828426</x:v>
      </x:c>
      <x:c r="K20" s="62" t="n">
        <x:f>IF(J20="","",(1/'Metadata'!$B$5)^(J20-1))</x:f>
        <x:v>6107.532338020553</x:v>
      </x:c>
      <x:c r="L20" s="60" t="n">
        <x:f>IF(E20=0,"",E20*K20)</x:f>
        <x:v>36160036.5411067</x:v>
      </x:c>
      <x:c r="M20" s="60" t="n">
        <x:f>I20-L20</x:f>
        <x:v>1879.294617407024</x:v>
      </x:c>
      <x:c r="N20" s="62" t="n">
        <x:f>IF(L20=0,"",I20/L20)</x:f>
        <x:v>1.000051971590661</x:v>
      </x:c>
      <x:c r="O20" s="66" t="n">
        <x:f>IF(L20=0,"",M20/L20)</x:f>
        <x:v>0.00005197159066116107</x:v>
      </x:c>
    </x:row>
    <x:row r="21" ht="18" customHeight="1">
      <x:c r="A21" s="46" t="str">
        <x:v>Small demersals (&lt;30 cm)</x:v>
      </x:c>
      <x:c r="B21" s="64" t="n">
        <x:v>1</x:v>
      </x:c>
      <x:c r="C21" s="64" t="n">
        <x:v>1</x:v>
      </x:c>
      <x:c r="D21" s="60" t="n">
        <x:v>0.0018816443</x:v>
      </x:c>
      <x:c r="E21" s="60" t="n">
        <x:v>0.0018816443</x:v>
      </x:c>
      <x:c r="F21" s="62" t="n">
        <x:v>0</x:v>
      </x:c>
      <x:c r="G21" s="66" t="n">
        <x:v>1</x:v>
      </x:c>
      <x:c r="H21" s="62" t="n">
        <x:f>IF(E21=0,"",I21/E21)</x:f>
        <x:v>34721.19667768202</x:v>
      </x:c>
      <x:c r="I21" s="60" t="n">
        <x:f>SUMIF('Species'!$G$2:$G$233,A21,'Species'!$U$2:$U$233)</x:f>
        <x:v>65.33294181773931</x:v>
      </x:c>
      <x:c r="J21" s="62" t="n">
        <x:v>4.49</x:v>
      </x:c>
      <x:c r="K21" s="62" t="n">
        <x:f>IF(J21="","",(1/'Metadata'!$B$5)^(J21-1))</x:f>
        <x:v>34721.19667768202</x:v>
      </x:c>
      <x:c r="L21" s="60" t="n">
        <x:f>IF(E21=0,"",E21*K21)</x:f>
        <x:v>65.33294181773931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  <x:row r="22" ht="18" customHeight="1">
      <x:c r="A22" s="46" t="str">
        <x:v>Small pelagics (&lt;30 cm)</x:v>
      </x:c>
      <x:c r="B22" s="64" t="n">
        <x:v>7</x:v>
      </x:c>
      <x:c r="C22" s="64" t="n">
        <x:v>7</x:v>
      </x:c>
      <x:c r="D22" s="60" t="n">
        <x:v>86185.1272344778</x:v>
      </x:c>
      <x:c r="E22" s="60" t="n">
        <x:v>86185.1272344778</x:v>
      </x:c>
      <x:c r="F22" s="62" t="n">
        <x:v>0</x:v>
      </x:c>
      <x:c r="G22" s="66" t="n">
        <x:v>1</x:v>
      </x:c>
      <x:c r="H22" s="62" t="n">
        <x:f>IF(E22=0,"",I22/E22)</x:f>
        <x:v>646.3838970855955</x:v>
      </x:c>
      <x:c r="I22" s="60" t="n">
        <x:f>SUMIF('Species'!$G$2:$G$233,A22,'Species'!$U$2:$U$233)</x:f>
        <x:v>55708678.412639655</x:v>
      </x:c>
      <x:c r="J22" s="62" t="n">
        <x:v>3.1600412758693044</x:v>
      </x:c>
      <x:c r="K22" s="62" t="n">
        <x:f>IF(J22="","",(1/'Metadata'!$B$5)^(J22-1))</x:f>
        <x:v>646.0683882415632</x:v>
      </x:c>
      <x:c r="L22" s="60" t="n">
        <x:f>IF(E22=0,"",E22*K22)</x:f>
        <x:v>55681486.24277312</x:v>
      </x:c>
      <x:c r="M22" s="60" t="n">
        <x:f>I22-L22</x:f>
        <x:v>27192.169866532087</x:v>
      </x:c>
      <x:c r="N22" s="62" t="n">
        <x:f>IF(L22=0,"",I22/L22)</x:f>
        <x:v>1.000488352084353</x:v>
      </x:c>
      <x:c r="O22" s="66" t="n">
        <x:f>IF(L22=0,"",M22/L22)</x:f>
        <x:v>0.0004883520843530168</x:v>
      </x:c>
    </x:row>
    <x:row r="23" ht="18" customHeight="1">
      <x:c r="A23" s="46" t="str">
        <x:v>Small to medium flatfishes (&lt;90 cm)</x:v>
      </x:c>
      <x:c r="B23" s="64" t="n">
        <x:v>9</x:v>
      </x:c>
      <x:c r="C23" s="64" t="n">
        <x:v>9</x:v>
      </x:c>
      <x:c r="D23" s="60" t="n">
        <x:v>14613.094720272902</x:v>
      </x:c>
      <x:c r="E23" s="60" t="n">
        <x:v>14613.094720272902</x:v>
      </x:c>
      <x:c r="F23" s="62" t="n">
        <x:v>0</x:v>
      </x:c>
      <x:c r="G23" s="66" t="n">
        <x:v>1</x:v>
      </x:c>
      <x:c r="H23" s="62" t="n">
        <x:f>IF(E23=0,"",I23/E23)</x:f>
        <x:v>20659.922518170966</x:v>
      </x:c>
      <x:c r="I23" s="60" t="n">
        <x:f>SUMIF('Species'!$G$2:$G$233,A23,'Species'!$U$2:$U$233)</x:f>
        <x:v>301905404.6715314</x:v>
      </x:c>
      <x:c r="J23" s="62" t="n">
        <x:v>4.1035287486918</x:v>
      </x:c>
      <x:c r="K23" s="62" t="n">
        <x:f>IF(J23="","",(1/'Metadata'!$B$5)^(J23-1))</x:f>
        <x:v>10908.97620488863</x:v>
      </x:c>
      <x:c r="L23" s="60" t="n">
        <x:f>IF(E23=0,"",E23*K23)</x:f>
        <x:v>159413902.58324075</x:v>
      </x:c>
      <x:c r="M23" s="60" t="n">
        <x:f>I23-L23</x:f>
        <x:v>142491502.08829063</x:v>
      </x:c>
      <x:c r="N23" s="62" t="n">
        <x:f>IF(L23=0,"",I23/L23)</x:f>
        <x:v>1.8938461437758618</x:v>
      </x:c>
      <x:c r="O23" s="66" t="n">
        <x:f>IF(L23=0,"",M23/L23)</x:f>
        <x:v>0.8938461437758618</x:v>
      </x:c>
    </x:row>
    <x:row r="24" ht="18" customHeight="1">
      <x:c r="A24" s="46" t="str">
        <x:v>Small to medium rays (&lt;90 cm)</x:v>
      </x:c>
      <x:c r="B24" s="64" t="n">
        <x:v>3</x:v>
      </x:c>
      <x:c r="C24" s="64" t="n">
        <x:v>3</x:v>
      </x:c>
      <x:c r="D24" s="60" t="n">
        <x:v>4152.1981413873</x:v>
      </x:c>
      <x:c r="E24" s="60" t="n">
        <x:v>4152.1981413873</x:v>
      </x:c>
      <x:c r="F24" s="62" t="n">
        <x:v>0</x:v>
      </x:c>
      <x:c r="G24" s="66" t="n">
        <x:v>1</x:v>
      </x:c>
      <x:c r="H24" s="62" t="n">
        <x:f>IF(E24=0,"",I24/E24)</x:f>
        <x:v>2489.2499849949168</x:v>
      </x:c>
      <x:c r="I24" s="60" t="n">
        <x:f>SUMIF('Species'!$G$2:$G$233,A24,'Species'!$U$2:$U$233)</x:f>
        <x:v>10335859.161144258</x:v>
      </x:c>
      <x:c r="J24" s="62" t="n">
        <x:v>3.610041685707785</x:v>
      </x:c>
      <x:c r="K24" s="62" t="n">
        <x:f>IF(J24="","",(1/'Metadata'!$B$5)^(J24-1))</x:f>
        <x:v>2487.382205145433</x:v>
      </x:c>
      <x:c r="L24" s="60" t="n">
        <x:f>IF(E24=0,"",E24*K24)</x:f>
        <x:v>10328103.769124711</x:v>
      </x:c>
      <x:c r="M24" s="60" t="n">
        <x:f>I24-L24</x:f>
        <x:v>7755.392019547522</x:v>
      </x:c>
      <x:c r="N24" s="62" t="n">
        <x:f>IF(L24=0,"",I24/L24)</x:f>
        <x:v>1.0007509018298917</x:v>
      </x:c>
      <x:c r="O24" s="66" t="n">
        <x:f>IF(L24=0,"",M24/L24)</x:f>
        <x:v>0.00075090182989174</x:v>
      </x:c>
    </x:row>
    <x:row r="25" ht="18" customHeight="1">
      <x:c r="A25" s="46" t="str">
        <x:v>Small to medium sharks (&lt;90 cm)</x:v>
      </x:c>
      <x:c r="B25" s="64" t="n">
        <x:v>1</x:v>
      </x:c>
      <x:c r="C25" s="64" t="n">
        <x:v>1</x:v>
      </x:c>
      <x:c r="D25" s="60" t="n">
        <x:v>6.1940139084</x:v>
      </x:c>
      <x:c r="E25" s="60" t="n">
        <x:v>6.1940139084</x:v>
      </x:c>
      <x:c r="F25" s="62" t="n">
        <x:v>0</x:v>
      </x:c>
      <x:c r="G25" s="66" t="n">
        <x:v>1</x:v>
      </x:c>
      <x:c r="H25" s="62" t="n">
        <x:f>IF(E25=0,"",I25/E25)</x:f>
        <x:v>4953.648510535111</x:v>
      </x:c>
      <x:c r="I25" s="60" t="n">
        <x:f>SUMIF('Species'!$G$2:$G$233,A25,'Species'!$U$2:$U$233)</x:f>
        <x:v>30682.96777157942</x:v>
      </x:c>
      <x:c r="J25" s="62" t="n">
        <x:v>3.84</x:v>
      </x:c>
      <x:c r="K25" s="62" t="n">
        <x:f>IF(J25="","",(1/'Metadata'!$B$5)^(J25-1))</x:f>
        <x:v>4953.648510535111</x:v>
      </x:c>
      <x:c r="L25" s="60" t="n">
        <x:f>IF(E25=0,"",E25*K25)</x:f>
        <x:v>30682.96777157942</x:v>
      </x:c>
      <x:c r="M25" s="60" t="n">
        <x:f>I25-L25</x:f>
        <x:v>0</x:v>
      </x:c>
      <x:c r="N25" s="62" t="n">
        <x:f>IF(L25=0,"",I25/L25)</x:f>
        <x:v>1</x:v>
      </x:c>
      <x:c r="O25" s="66" t="n">
        <x:f>IF(L25=0,"",M25/L25)</x:f>
        <x:v>0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d049c409b664c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LME_007</x:v>
      </x:c>
      <x:c r="B2" s="46" t="str">
        <x:v>raw_filtered_tonnes</x:v>
      </x:c>
      <x:c r="C2" s="46" t="n">
        <x:v>700878.7473042158</x:v>
      </x:c>
      <x:c r="D2" s="46" t="str">
        <x:v>tonnes</x:v>
      </x:c>
    </x:row>
    <x:row r="3" ht="18" customHeight="1">
      <x:c r="A3" s="46" t="str">
        <x:v>LME_007</x:v>
      </x:c>
      <x:c r="B3" s="46" t="str">
        <x:v>species_catch_tonnes</x:v>
      </x:c>
      <x:c r="C3" s="46" t="n">
        <x:v>700878.7473042159</x:v>
      </x:c>
      <x:c r="D3" s="46" t="str">
        <x:v>tonnes</x:v>
      </x:c>
    </x:row>
    <x:row r="4" ht="18" customHeight="1">
      <x:c r="A4" s="46" t="str">
        <x:v>LME_007</x:v>
      </x:c>
      <x:c r="B4" s="46" t="str">
        <x:v>catch_difference_tonnes</x:v>
      </x:c>
      <x:c r="C4" s="46" t="n">
        <x:v>1.1641532182693481e-10</x:v>
      </x:c>
      <x:c r="D4" s="46" t="str">
        <x:v>tonnes</x:v>
      </x:c>
    </x:row>
    <x:row r="5" ht="18" customHeight="1">
      <x:c r="A5" s="46" t="str">
        <x:v>LME_007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LME_007</x:v>
      </x:c>
      <x:c r="B6" s="46" t="str">
        <x:v>matched_catch_tonnes</x:v>
      </x:c>
      <x:c r="C6" s="46" t="n">
        <x:v>700878.7473042159</x:v>
      </x:c>
      <x:c r="D6" s="46" t="str">
        <x:v>tonnes</x:v>
      </x:c>
    </x:row>
    <x:row r="7" ht="18" customHeight="1">
      <x:c r="A7" s="46" t="str">
        <x:v>LME_007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LME_007</x:v>
      </x:c>
      <x:c r="B8" s="46" t="str">
        <x:v>taxa_count</x:v>
      </x:c>
      <x:c r="C8" s="46" t="n">
        <x:v>232</x:v>
      </x:c>
      <x:c r="D8" s="46" t="str">
        <x:v>count</x:v>
      </x:c>
    </x:row>
    <x:row r="9" ht="18" customHeight="1">
      <x:c r="A9" s="46" t="str">
        <x:v>LME_007</x:v>
      </x:c>
      <x:c r="B9" s="46" t="str">
        <x:v>matched_taxa_count</x:v>
      </x:c>
      <x:c r="C9" s="46" t="n">
        <x:v>232</x:v>
      </x:c>
      <x:c r="D9" s="46" t="str">
        <x:v>count</x:v>
      </x:c>
    </x:row>
    <x:row r="10" ht="18" customHeight="1">
      <x:c r="A10" s="46" t="str">
        <x:v>LME_007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LME_007</x:v>
      </x:c>
      <x:c r="B11" s="46" t="str">
        <x:v>species_ppr</x:v>
      </x:c>
      <x:c r="C11" s="46" t="n">
        <x:v>4041020141.543228</x:v>
      </x:c>
      <x:c r="D11" s="46" t="str">
        <x:v>tonnes_primary_production_equivalent</x:v>
      </x:c>
    </x:row>
    <x:row r="12" ht="18" customHeight="1">
      <x:c r="A12" s="46" t="str">
        <x:v>LME_007</x:v>
      </x:c>
      <x:c r="B12" s="46" t="str">
        <x:v>commercial_ppr</x:v>
      </x:c>
      <x:c r="C12" s="46" t="n">
        <x:v>4041020141.5432277</x:v>
      </x:c>
      <x:c r="D12" s="46" t="str">
        <x:v>tonnes_primary_production_equivalent</x:v>
      </x:c>
    </x:row>
    <x:row r="13" ht="18" customHeight="1">
      <x:c r="A13" s="46" t="str">
        <x:v>LME_007</x:v>
      </x:c>
      <x:c r="B13" s="46" t="str">
        <x:v>functional_ppr</x:v>
      </x:c>
      <x:c r="C13" s="46" t="n">
        <x:v>4041020141.543227</x:v>
      </x:c>
      <x:c r="D13" s="46" t="str">
        <x:v>tonnes_primary_production_equivalent</x:v>
      </x:c>
    </x:row>
    <x:row r="14" ht="18" customHeight="1">
      <x:c r="A14" s="46" t="str">
        <x:v>LME_007</x:v>
      </x:c>
      <x:c r="B14" s="46" t="str">
        <x:v>commercial_ppr_difference</x:v>
      </x:c>
      <x:c r="C14" s="46" t="n">
        <x:v>-4.76837158203125e-7</x:v>
      </x:c>
      <x:c r="D14" s="46" t="str">
        <x:v>tonnes_primary_production_equivalent</x:v>
      </x:c>
    </x:row>
    <x:row r="15" ht="18" customHeight="1">
      <x:c r="A15" s="46" t="str">
        <x:v>LME_007</x:v>
      </x:c>
      <x:c r="B15" s="46" t="str">
        <x:v>functional_ppr_difference</x:v>
      </x:c>
      <x:c r="C15" s="46" t="n">
        <x:v>-9.5367431640625e-7</x:v>
      </x:c>
      <x:c r="D15" s="46" t="str">
        <x:v>tonnes_primary_production_equivalent</x:v>
      </x:c>
    </x:row>
    <x:row r="16" ht="18" customHeight="1">
      <x:c r="A16" s="46" t="str">
        <x:v>LME_007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LME_007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LME_007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LME_007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a8492303a3b45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LME_007 - Northeast U.S. Continental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LME_007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raw_data/SAU_downloads/LME_007-catch.zip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