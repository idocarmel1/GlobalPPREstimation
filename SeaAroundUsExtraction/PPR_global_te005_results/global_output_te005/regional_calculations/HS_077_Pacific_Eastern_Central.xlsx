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e877ce5eb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2cc35019c774357"/>
    <x:sheet xmlns:r="http://schemas.openxmlformats.org/officeDocument/2006/relationships" name="Commercial" sheetId="2" r:id="R32c88c62baba477f"/>
    <x:sheet xmlns:r="http://schemas.openxmlformats.org/officeDocument/2006/relationships" name="Functional" sheetId="3" r:id="R0b0efbd3f9164345"/>
    <x:sheet xmlns:r="http://schemas.openxmlformats.org/officeDocument/2006/relationships" name="Missing TL" sheetId="4" r:id="R5abca710adbd4604"/>
    <x:sheet xmlns:r="http://schemas.openxmlformats.org/officeDocument/2006/relationships" name="Validation" sheetId="5" r:id="Rf66727e8863a4388"/>
    <x:sheet xmlns:r="http://schemas.openxmlformats.org/officeDocument/2006/relationships" name="Metadata" sheetId="6" r:id="Rf490e24f0a23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cf12db23c47ea" /><Relationship Type="http://schemas.openxmlformats.org/officeDocument/2006/relationships/theme" Target="/xl/theme/theme1.xml" Id="R71e3dde529764393" /><Relationship Type="http://schemas.openxmlformats.org/officeDocument/2006/relationships/sharedStrings" Target="/xl/sharedStrings.xml" Id="Red845768085b472e" /><Relationship Type="http://schemas.openxmlformats.org/officeDocument/2006/relationships/worksheet" Target="/xl/worksheets/sheet1.xml" Id="Rf2cc35019c774357" /><Relationship Type="http://schemas.openxmlformats.org/officeDocument/2006/relationships/worksheet" Target="/xl/worksheets/sheet2.xml" Id="R32c88c62baba477f" /><Relationship Type="http://schemas.openxmlformats.org/officeDocument/2006/relationships/worksheet" Target="/xl/worksheets/sheet3.xml" Id="R0b0efbd3f9164345" /><Relationship Type="http://schemas.openxmlformats.org/officeDocument/2006/relationships/worksheet" Target="/xl/worksheets/sheet4.xml" Id="R5abca710adbd4604" /><Relationship Type="http://schemas.openxmlformats.org/officeDocument/2006/relationships/worksheet" Target="/xl/worksheets/sheet5.xml" Id="Rf66727e8863a4388" /><Relationship Type="http://schemas.openxmlformats.org/officeDocument/2006/relationships/worksheet" Target="/xl/worksheets/sheet6.xml" Id="Rf490e24f0a234c6f" /></Relationships>
</file>

<file path=xl/tables/table1.xml><?xml version="1.0" encoding="utf-8"?>
<x:table xmlns:x="http://schemas.openxmlformats.org/spreadsheetml/2006/main" id="1" name="HS077SpeciesTable" displayName="HS077SpeciesTable" ref="A1:U27" headerRowCount="1" totalsRowCount="0" totalsRowShown="0">
  <x:autoFilter ref="A1:U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77CommercialTable" displayName="HS07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77FunctionalTable" displayName="HS077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77ValidationTable" displayName="HS07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df21529c494f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079a03690546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b2548812274d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83290f1d9345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HS_077</x:v>
      </x:c>
      <x:c r="B2" s="46" t="str">
        <x:v>Pacific, Eastern Central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374559.3736219447</x:v>
      </x:c>
      <x:c r="J2" s="60" t="n">
        <x:v>372652.4898740015</x:v>
      </x:c>
      <x:c r="K2" s="60" t="n">
        <x:v>1906.8837479432</x:v>
      </x:c>
      <x:c r="L2" s="60" t="n">
        <x:v>372652.4898740015</x:v>
      </x:c>
      <x:c r="M2" s="60" t="n">
        <x:v>1906.8837479432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29009.008489223597</x:v>
      </x:c>
      <x:c r="U2" s="60" t="n">
        <x:f>IF(T2="","",I2*T2)</x:f>
        <x:v>10865596049.117266</x:v>
      </x:c>
    </x:row>
    <x:row r="3" ht="18" customHeight="1">
      <x:c r="A3" s="46" t="str">
        <x:v>HS_077</x:v>
      </x:c>
      <x:c r="B3" s="46" t="str">
        <x:v>Pacific, Eastern Central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173477.0323484701</x:v>
      </x:c>
      <x:c r="J3" s="60" t="n">
        <x:v>171000.25685806051</x:v>
      </x:c>
      <x:c r="K3" s="60" t="n">
        <x:v>2476.7754904096</x:v>
      </x:c>
      <x:c r="L3" s="60" t="n">
        <x:v>171000.25685806051</x:v>
      </x:c>
      <x:c r="M3" s="60" t="n">
        <x:v>2476.7754904096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27321.987305427916</x:v>
      </x:c>
      <x:c r="U3" s="60" t="n">
        <x:f>IF(T3="","",I3*T3)</x:f>
        <x:v>4739737275.608208</x:v>
      </x:c>
    </x:row>
    <x:row r="4" ht="18" customHeight="1">
      <x:c r="A4" s="46" t="str">
        <x:v>HS_077</x:v>
      </x:c>
      <x:c r="B4" s="46" t="str">
        <x:v>Pacific, Eastern Central</x:v>
      </x:c>
      <x:c r="C4" s="46" t="str">
        <x:v>High Seas</x:v>
      </x:c>
      <x:c r="D4" s="58" t="n">
        <x:v>2019</x:v>
      </x:c>
      <x:c r="E4" s="46" t="str">
        <x:v>Thunnus obesus</x:v>
      </x:c>
      <x:c r="F4" s="46" t="str">
        <x:v>Bigeye tuna</x:v>
      </x:c>
      <x:c r="G4" s="46" t="str">
        <x:v>Large pelagics (&gt;=90 cm)</x:v>
      </x:c>
      <x:c r="H4" s="46" t="str">
        <x:v>Tuna &amp; billfishes</x:v>
      </x:c>
      <x:c r="I4" s="60" t="n">
        <x:v>123830.43779722009</x:v>
      </x:c>
      <x:c r="J4" s="60" t="n">
        <x:v>123063.8552704997</x:v>
      </x:c>
      <x:c r="K4" s="60" t="n">
        <x:v>766.5825267204</x:v>
      </x:c>
      <x:c r="L4" s="60" t="n">
        <x:v>123063.8552704997</x:v>
      </x:c>
      <x:c r="M4" s="60" t="n">
        <x:v>766.5825267204</x:v>
      </x:c>
      <x:c r="N4" s="46" t="str">
        <x:v>thunnus obesus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Thunnus obesus</x:v>
      </x:c>
      <x:c r="T4" s="62" t="n">
        <x:f>IF(O4="","",(1/'Metadata'!$B$5)^(O4-1))</x:f>
        <x:v>34721.19667768202</x:v>
      </x:c>
      <x:c r="U4" s="60" t="n">
        <x:f>IF(T4="","",I4*T4)</x:f>
        <x:v>4299540985.440748</x:v>
      </x:c>
    </x:row>
    <x:row r="5" ht="18" customHeight="1">
      <x:c r="A5" s="46" t="str">
        <x:v>HS_077</x:v>
      </x:c>
      <x:c r="B5" s="46" t="str">
        <x:v>Pacific, Eastern Central</x:v>
      </x:c>
      <x:c r="C5" s="46" t="str">
        <x:v>High Seas</x:v>
      </x:c>
      <x:c r="D5" s="58" t="n">
        <x:v>2019</x:v>
      </x:c>
      <x:c r="E5" s="46" t="str">
        <x:v>Prionace glauca</x:v>
      </x:c>
      <x:c r="F5" s="46" t="str">
        <x:v>Blue shark</x:v>
      </x:c>
      <x:c r="G5" s="46" t="str">
        <x:v>Large sharks (&gt;=90 cm)</x:v>
      </x:c>
      <x:c r="H5" s="46" t="str">
        <x:v>Sharks &amp; rays</x:v>
      </x:c>
      <x:c r="I5" s="60" t="n">
        <x:v>50028.4037722392</x:v>
      </x:c>
      <x:c r="J5" s="60" t="n">
        <x:v>19348.1514317505</x:v>
      </x:c>
      <x:c r="K5" s="60" t="n">
        <x:v>30680.2523404887</x:v>
      </x:c>
      <x:c r="L5" s="60" t="n">
        <x:v>19348.1514317505</x:v>
      </x:c>
      <x:c r="M5" s="60" t="n">
        <x:v>30680.2523404887</x:v>
      </x:c>
      <x:c r="N5" s="46" t="str">
        <x:v>prionace glauca</x:v>
      </x:c>
      <x:c r="O5" s="62" t="n">
        <x:v>4.35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Prionace glauca</x:v>
      </x:c>
      <x:c r="T5" s="62" t="n">
        <x:f>IF(O5="","",(1/'Metadata'!$B$5)^(O5-1))</x:f>
        <x:v>22827.086550132422</x:v>
      </x:c>
      <x:c r="U5" s="60" t="n">
        <x:f>IF(T5="","",I5*T5)</x:f>
        <x:v>1142002702.8738756</x:v>
      </x:c>
    </x:row>
    <x:row r="6" ht="18" customHeight="1">
      <x:c r="A6" s="46" t="str">
        <x:v>HS_077</x:v>
      </x:c>
      <x:c r="B6" s="46" t="str">
        <x:v>Pacific, Eastern Central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37002.973571661896</x:v>
      </x:c>
      <x:c r="J6" s="60" t="n">
        <x:v>36985.9546012286</x:v>
      </x:c>
      <x:c r="K6" s="60" t="n">
        <x:v>17.018970433299998</x:v>
      </x:c>
      <x:c r="L6" s="60" t="n">
        <x:v>36985.9546012286</x:v>
      </x:c>
      <x:c r="M6" s="60" t="n">
        <x:v>17.018970433299998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19651.648417852637</x:v>
      </x:c>
      <x:c r="U6" s="60" t="n">
        <x:f>IF(T6="","",I6*T6)</x:f>
        <x:v>727169427.0453924</x:v>
      </x:c>
    </x:row>
    <x:row r="7" ht="18" customHeight="1">
      <x:c r="A7" s="46" t="str">
        <x:v>HS_077</x:v>
      </x:c>
      <x:c r="B7" s="46" t="str">
        <x:v>Pacific, Eastern Central</x:v>
      </x:c>
      <x:c r="C7" s="46" t="str">
        <x:v>High Seas</x:v>
      </x:c>
      <x:c r="D7" s="58" t="n">
        <x:v>2019</x:v>
      </x:c>
      <x:c r="E7" s="46" t="str">
        <x:v>Xiphias gladius</x:v>
      </x:c>
      <x:c r="F7" s="46" t="str">
        <x:v>Swordfish</x:v>
      </x:c>
      <x:c r="G7" s="46" t="str">
        <x:v>Large pelagics (&gt;=90 cm)</x:v>
      </x:c>
      <x:c r="H7" s="46" t="str">
        <x:v>Tuna &amp; billfishes</x:v>
      </x:c>
      <x:c r="I7" s="60" t="n">
        <x:v>21948.0216303017</x:v>
      </x:c>
      <x:c r="J7" s="60" t="n">
        <x:v>17731.6823605725</x:v>
      </x:c>
      <x:c r="K7" s="60" t="n">
        <x:v>4216.3392697292</x:v>
      </x:c>
      <x:c r="L7" s="60" t="n">
        <x:v>17731.6823605725</x:v>
      </x:c>
      <x:c r="M7" s="60" t="n">
        <x:v>4216.3392697292</x:v>
      </x:c>
      <x:c r="N7" s="46" t="str">
        <x:v>xiphias gladius</x:v>
      </x:c>
      <x:c r="O7" s="62" t="n">
        <x:v>4.53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Xiphias gladius</x:v>
      </x:c>
      <x:c r="T7" s="62" t="n">
        <x:f>IF(O7="","",(1/'Metadata'!$B$5)^(O7-1))</x:f>
        <x:v>39141.35758252625</x:v>
      </x:c>
      <x:c r="U7" s="60" t="n">
        <x:f>IF(T7="","",I7*T7)</x:f>
        <x:v>859075362.8606597</x:v>
      </x:c>
    </x:row>
    <x:row r="8" ht="18" customHeight="1">
      <x:c r="A8" s="46" t="str">
        <x:v>HS_077</x:v>
      </x:c>
      <x:c r="B8" s="46" t="str">
        <x:v>Pacific, Eastern Central</x:v>
      </x:c>
      <x:c r="C8" s="46" t="str">
        <x:v>High Seas</x:v>
      </x:c>
      <x:c r="D8" s="58" t="n">
        <x:v>2019</x:v>
      </x:c>
      <x:c r="E8" s="46" t="str">
        <x:v>Marine fishes not identified</x:v>
      </x:c>
      <x:c r="F8" s="46" t="str">
        <x:v>Marine fishes nei</x:v>
      </x:c>
      <x:c r="G8" s="46" t="str">
        <x:v>Medium demersals (30 - 89 cm)</x:v>
      </x:c>
      <x:c r="H8" s="46" t="str">
        <x:v>Other fishes &amp; inverts</x:v>
      </x:c>
      <x:c r="I8" s="60" t="n">
        <x:v>21675.0954158329</x:v>
      </x:c>
      <x:c r="J8" s="60" t="n">
        <x:v>0</x:v>
      </x:c>
      <x:c r="K8" s="60" t="n">
        <x:v>21675.0954158329</x:v>
      </x:c>
      <x:c r="L8" s="60" t="n">
        <x:v>0</x:v>
      </x:c>
      <x:c r="M8" s="60" t="n">
        <x:v>21675.0954158329</x:v>
      </x:c>
      <x:c r="N8" s="46" t="str">
        <x:v>marine fishes not identified</x:v>
      </x:c>
      <x:c r="O8" s="62" t="n">
        <x:v>3.28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Marine fishes not identified</x:v>
      </x:c>
      <x:c r="T8" s="62" t="n">
        <x:f>IF(O8="","",(1/'Metadata'!$B$5)^(O8-1))</x:f>
        <x:v>925.4402624666747</x:v>
      </x:c>
      <x:c r="U8" s="60" t="n">
        <x:f>IF(T8="","",I8*T8)</x:f>
        <x:v>20059005.990618616</x:v>
      </x:c>
    </x:row>
    <x:row r="9" ht="18" customHeight="1">
      <x:c r="A9" s="46" t="str">
        <x:v>HS_077</x:v>
      </x:c>
      <x:c r="B9" s="46" t="str">
        <x:v>Pacific, Eastern Central</x:v>
      </x:c>
      <x:c r="C9" s="46" t="str">
        <x:v>High Seas</x:v>
      </x:c>
      <x:c r="D9" s="58" t="n">
        <x:v>2019</x:v>
      </x:c>
      <x:c r="E9" s="46" t="str">
        <x:v>Elasmobranchii</x:v>
      </x:c>
      <x:c r="F9" s="46" t="str">
        <x:v>Sharks, rays, skates</x:v>
      </x:c>
      <x:c r="G9" s="46" t="str">
        <x:v>Large sharks (&gt;=90 cm)</x:v>
      </x:c>
      <x:c r="H9" s="46" t="str">
        <x:v>Sharks &amp; rays</x:v>
      </x:c>
      <x:c r="I9" s="60" t="n">
        <x:v>13053.5970916551</x:v>
      </x:c>
      <x:c r="J9" s="60" t="n">
        <x:v>7799.89761427</x:v>
      </x:c>
      <x:c r="K9" s="60" t="n">
        <x:v>5253.6994773851</x:v>
      </x:c>
      <x:c r="L9" s="60" t="n">
        <x:v>7799.89761427</x:v>
      </x:c>
      <x:c r="M9" s="60" t="n">
        <x:v>5253.6994773851</x:v>
      </x:c>
      <x:c r="N9" s="46" t="str">
        <x:v>elasmobranchii</x:v>
      </x:c>
      <x:c r="O9" s="62" t="n">
        <x:v>4.05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Elasmobranchii</x:v>
      </x:c>
      <x:c r="T9" s="62" t="n">
        <x:f>IF(O9="","",(1/'Metadata'!$B$5)^(O9-1))</x:f>
        <x:v>9292.690797132333</x:v>
      </x:c>
      <x:c r="U9" s="60" t="n">
        <x:f>IF(T9="","",I9*T9)</x:f>
        <x:v>121303041.56309673</x:v>
      </x:c>
    </x:row>
    <x:row r="10" ht="18" customHeight="1">
      <x:c r="A10" s="46" t="str">
        <x:v>HS_077</x:v>
      </x:c>
      <x:c r="B10" s="46" t="str">
        <x:v>Pacific, Eastern Central</x:v>
      </x:c>
      <x:c r="C10" s="46" t="str">
        <x:v>High Seas</x:v>
      </x:c>
      <x:c r="D10" s="58" t="n">
        <x:v>2019</x:v>
      </x:c>
      <x:c r="E10" s="46" t="str">
        <x:v>Marine pelagic fishes not identified</x:v>
      </x:c>
      <x:c r="F10" s="46" t="str">
        <x:v>Pelagic fishes</x:v>
      </x:c>
      <x:c r="G10" s="46" t="str">
        <x:v>Medium pelagics (30 - 89 cm)</x:v>
      </x:c>
      <x:c r="H10" s="46" t="str">
        <x:v>Other fishes &amp; inverts</x:v>
      </x:c>
      <x:c r="I10" s="60" t="n">
        <x:v>11937.5697873204</x:v>
      </x:c>
      <x:c r="J10" s="60" t="n">
        <x:v>8103.5377628274</x:v>
      </x:c>
      <x:c r="K10" s="60" t="n">
        <x:v>3834.032024493</x:v>
      </x:c>
      <x:c r="L10" s="60" t="n">
        <x:v>8103.5377628274</x:v>
      </x:c>
      <x:c r="M10" s="60" t="n">
        <x:v>3834.032024493</x:v>
      </x:c>
      <x:c r="N10" s="46" t="str">
        <x:v>marine pelagic fishes not identified</x:v>
      </x:c>
      <x:c r="O10" s="62" t="n">
        <x:v>3.35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pelagic fishes not identified</x:v>
      </x:c>
      <x:c r="T10" s="62" t="n">
        <x:f>IF(O10="","",(1/'Metadata'!$B$5)^(O10-1))</x:f>
        <x:v>1141.3543275066227</x:v>
      </x:c>
      <x:c r="U10" s="60" t="n">
        <x:f>IF(T10="","",I10*T10)</x:f>
        <x:v>13624996.936670452</x:v>
      </x:c>
    </x:row>
    <x:row r="11" ht="18" customHeight="1">
      <x:c r="A11" s="46" t="str">
        <x:v>HS_077</x:v>
      </x:c>
      <x:c r="B11" s="46" t="str">
        <x:v>Pacific, Eastern Central</x:v>
      </x:c>
      <x:c r="C11" s="46" t="str">
        <x:v>High Seas</x:v>
      </x:c>
      <x:c r="D11" s="58" t="n">
        <x:v>2019</x:v>
      </x:c>
      <x:c r="E11" s="46" t="str">
        <x:v>Scombridae</x:v>
      </x:c>
      <x:c r="F11" s="46" t="str">
        <x:v>Mackerels, tunas, bonitos</x:v>
      </x:c>
      <x:c r="G11" s="46" t="str">
        <x:v>Medium pelagics (30 - 89 cm)</x:v>
      </x:c>
      <x:c r="H11" s="46" t="str">
        <x:v>Perch-likes</x:v>
      </x:c>
      <x:c r="I11" s="60" t="n">
        <x:v>8279.631222562799</x:v>
      </x:c>
      <x:c r="J11" s="60" t="n">
        <x:v>9.7652875432</x:v>
      </x:c>
      <x:c r="K11" s="60" t="n">
        <x:v>8269.8659350196</x:v>
      </x:c>
      <x:c r="L11" s="60" t="n">
        <x:v>9.7652875432</x:v>
      </x:c>
      <x:c r="M11" s="60" t="n">
        <x:v>8269.8659350196</x:v>
      </x:c>
      <x:c r="N11" s="46" t="str">
        <x:v>scombridae</x:v>
      </x:c>
      <x:c r="O11" s="62" t="n">
        <x:v>4.26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Scombridae</x:v>
      </x:c>
      <x:c r="T11" s="62" t="n">
        <x:f>IF(O11="","",(1/'Metadata'!$B$5)^(O11-1))</x:f>
        <x:v>17432.42421569787</x:v>
      </x:c>
      <x:c r="U11" s="60" t="n">
        <x:f>IF(T11="","",I11*T11)</x:f>
        <x:v>144334043.8212519</x:v>
      </x:c>
    </x:row>
    <x:row r="12" ht="18" customHeight="1">
      <x:c r="A12" s="46" t="str">
        <x:v>HS_077</x:v>
      </x:c>
      <x:c r="B12" s="46" t="str">
        <x:v>Pacific, Eastern Central</x:v>
      </x:c>
      <x:c r="C12" s="46" t="str">
        <x:v>High Seas</x:v>
      </x:c>
      <x:c r="D12" s="58" t="n">
        <x:v>2019</x:v>
      </x:c>
      <x:c r="E12" s="46" t="str">
        <x:v>Coryphaena hippurus</x:v>
      </x:c>
      <x:c r="F12" s="46" t="str">
        <x:v>Common dolphinfish</x:v>
      </x:c>
      <x:c r="G12" s="46" t="str">
        <x:v>Large pelagics (&gt;=90 cm)</x:v>
      </x:c>
      <x:c r="H12" s="46" t="str">
        <x:v>Perch-likes</x:v>
      </x:c>
      <x:c r="I12" s="60" t="n">
        <x:v>6566.4986748842</x:v>
      </x:c>
      <x:c r="J12" s="60" t="n">
        <x:v>0</x:v>
      </x:c>
      <x:c r="K12" s="60" t="n">
        <x:v>6566.4986748842</x:v>
      </x:c>
      <x:c r="L12" s="60" t="n">
        <x:v>0</x:v>
      </x:c>
      <x:c r="M12" s="60" t="n">
        <x:v>6566.4986748842</x:v>
      </x:c>
      <x:c r="N12" s="46" t="str">
        <x:v>coryphaena hippurus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Coryphaena hippurus</x:v>
      </x:c>
      <x:c r="T12" s="62" t="n">
        <x:f>IF(O12="","",(1/'Metadata'!$B$5)^(O12-1))</x:f>
        <x:v>24236.56596112542</x:v>
      </x:c>
      <x:c r="U12" s="60" t="n">
        <x:f>IF(T12="","",I12*T12)</x:f>
        <x:v>159149378.26747358</x:v>
      </x:c>
    </x:row>
    <x:row r="13" ht="18" customHeight="1">
      <x:c r="A13" s="46" t="str">
        <x:v>HS_077</x:v>
      </x:c>
      <x:c r="B13" s="46" t="str">
        <x:v>Pacific, Eastern Central</x:v>
      </x:c>
      <x:c r="C13" s="46" t="str">
        <x:v>High Seas</x:v>
      </x:c>
      <x:c r="D13" s="58" t="n">
        <x:v>2019</x:v>
      </x:c>
      <x:c r="E13" s="46" t="str">
        <x:v>Isurus</x:v>
      </x:c>
      <x:c r="F13" s="46" t="str">
        <x:v>Mako sharks</x:v>
      </x:c>
      <x:c r="G13" s="46" t="str">
        <x:v>Large sharks (&gt;=90 cm)</x:v>
      </x:c>
      <x:c r="H13" s="46" t="str">
        <x:v>Sharks &amp; rays</x:v>
      </x:c>
      <x:c r="I13" s="60" t="n">
        <x:v>4106.3235299491</x:v>
      </x:c>
      <x:c r="J13" s="60" t="n">
        <x:v>999.5896878868999</x:v>
      </x:c>
      <x:c r="K13" s="60" t="n">
        <x:v>3106.7338420622</x:v>
      </x:c>
      <x:c r="L13" s="60" t="n">
        <x:v>999.5896878868999</x:v>
      </x:c>
      <x:c r="M13" s="60" t="n">
        <x:v>3106.7338420622</x:v>
      </x:c>
      <x:c r="N13" s="46" t="str">
        <x:v>isurus</x:v>
      </x:c>
      <x:c r="O13" s="62" t="n">
        <x:v>4.5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Isurus</x:v>
      </x:c>
      <x:c r="T13" s="62" t="n">
        <x:f>IF(O13="","",(1/'Metadata'!$B$5)^(O13-1))</x:f>
        <x:v>35777.08763999664</x:v>
      </x:c>
      <x:c r="U13" s="60" t="n">
        <x:f>IF(T13="","",I13*T13)</x:f>
        <x:v>146912296.8091693</x:v>
      </x:c>
    </x:row>
    <x:row r="14" ht="18" customHeight="1">
      <x:c r="A14" s="46" t="str">
        <x:v>HS_077</x:v>
      </x:c>
      <x:c r="B14" s="46" t="str">
        <x:v>Pacific, Eastern Central</x:v>
      </x:c>
      <x:c r="C14" s="46" t="str">
        <x:v>High Seas</x:v>
      </x:c>
      <x:c r="D14" s="58" t="n">
        <x:v>2019</x:v>
      </x:c>
      <x:c r="E14" s="46" t="str">
        <x:v>Istiophoridae</x:v>
      </x:c>
      <x:c r="F14" s="46" t="str">
        <x:v>Billfishes</x:v>
      </x:c>
      <x:c r="G14" s="46" t="str">
        <x:v>Large pelagics (&gt;=90 cm)</x:v>
      </x:c>
      <x:c r="H14" s="46" t="str">
        <x:v>Tuna &amp; billfishes</x:v>
      </x:c>
      <x:c r="I14" s="60" t="n">
        <x:v>2415.5412436014</x:v>
      </x:c>
      <x:c r="J14" s="60" t="n">
        <x:v>381.3799405072</x:v>
      </x:c>
      <x:c r="K14" s="60" t="n">
        <x:v>2034.1613030941999</x:v>
      </x:c>
      <x:c r="L14" s="60" t="n">
        <x:v>381.3799405072</x:v>
      </x:c>
      <x:c r="M14" s="60" t="n">
        <x:v>2034.1613030941999</x:v>
      </x:c>
      <x:c r="N14" s="46" t="str">
        <x:v>istiophoridae</x:v>
      </x:c>
      <x:c r="O14" s="62" t="n">
        <x:v>4.48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Istiophoridae</x:v>
      </x:c>
      <x:c r="T14" s="62" t="n">
        <x:f>IF(O14="","",(1/'Metadata'!$B$5)^(O14-1))</x:f>
        <x:v>33696.468277717824</x:v>
      </x:c>
      <x:c r="U14" s="60" t="n">
        <x:f>IF(T14="","",I14*T14)</x:f>
        <x:v>81395208.88853364</x:v>
      </x:c>
    </x:row>
    <x:row r="15" ht="18" customHeight="1">
      <x:c r="A15" s="46" t="str">
        <x:v>HS_077</x:v>
      </x:c>
      <x:c r="B15" s="46" t="str">
        <x:v>Pacific, Eastern Central</x:v>
      </x:c>
      <x:c r="C15" s="46" t="str">
        <x:v>High Seas</x:v>
      </x:c>
      <x:c r="D15" s="58" t="n">
        <x:v>2019</x:v>
      </x:c>
      <x:c r="E15" s="46" t="str">
        <x:v>Thunnus orientalis</x:v>
      </x:c>
      <x:c r="F15" s="46" t="str">
        <x:v>Pacific bluefin tuna</x:v>
      </x:c>
      <x:c r="G15" s="46" t="str">
        <x:v>Large pelagics (&gt;=90 cm)</x:v>
      </x:c>
      <x:c r="H15" s="46" t="str">
        <x:v>Tuna &amp; billfishes</x:v>
      </x:c>
      <x:c r="I15" s="60" t="n">
        <x:v>2391.3561153401</x:v>
      </x:c>
      <x:c r="J15" s="60" t="n">
        <x:v>2379.1705935893</x:v>
      </x:c>
      <x:c r="K15" s="60" t="n">
        <x:v>12.1855217508</x:v>
      </x:c>
      <x:c r="L15" s="60" t="n">
        <x:v>2379.1705935893</x:v>
      </x:c>
      <x:c r="M15" s="60" t="n">
        <x:v>12.1855217508</x:v>
      </x:c>
      <x:c r="N15" s="46" t="str">
        <x:v>thunnus orientalis</x:v>
      </x:c>
      <x:c r="O15" s="62" t="n">
        <x:v>4.05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Thunnus orientalis</x:v>
      </x:c>
      <x:c r="T15" s="62" t="n">
        <x:f>IF(O15="","",(1/'Metadata'!$B$5)^(O15-1))</x:f>
        <x:v>9292.690797132333</x:v>
      </x:c>
      <x:c r="U15" s="60" t="n">
        <x:f>IF(T15="","",I15*T15)</x:f>
        <x:v>22222132.965687074</x:v>
      </x:c>
    </x:row>
    <x:row r="16" ht="18" customHeight="1">
      <x:c r="A16" s="46" t="str">
        <x:v>HS_077</x:v>
      </x:c>
      <x:c r="B16" s="46" t="str">
        <x:v>Pacific, Eastern Central</x:v>
      </x:c>
      <x:c r="C16" s="46" t="str">
        <x:v>High Seas</x:v>
      </x:c>
      <x:c r="D16" s="58" t="n">
        <x:v>2019</x:v>
      </x:c>
      <x:c r="E16" s="46" t="str">
        <x:v>Kajikia audax</x:v>
      </x:c>
      <x:c r="F16" s="46" t="str">
        <x:v>Striped marlin</x:v>
      </x:c>
      <x:c r="G16" s="46" t="str">
        <x:v>Large pelagics (&gt;=90 cm)</x:v>
      </x:c>
      <x:c r="H16" s="46" t="str">
        <x:v>Tuna &amp; billfishes</x:v>
      </x:c>
      <x:c r="I16" s="60" t="n">
        <x:v>2357.1082210618</x:v>
      </x:c>
      <x:c r="J16" s="60" t="n">
        <x:v>2357.1082210618</x:v>
      </x:c>
      <x:c r="K16" s="60" t="n">
        <x:v>0</x:v>
      </x:c>
      <x:c r="L16" s="60" t="n">
        <x:v>2357.1082210618</x:v>
      </x:c>
      <x:c r="M16" s="60" t="n">
        <x:v>0</x:v>
      </x:c>
      <x:c r="N16" s="46" t="str">
        <x:v>kajikia audax</x:v>
      </x:c>
      <x:c r="O16" s="62" t="n">
        <x:v>4.58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Kajikia audax</x:v>
      </x:c>
      <x:c r="T16" s="62" t="n">
        <x:f>IF(O16="","",(1/'Metadata'!$B$5)^(O16-1))</x:f>
        <x:v>45466.06667430095</x:v>
      </x:c>
      <x:c r="U16" s="60" t="n">
        <x:f>IF(T16="","",I16*T16)</x:f>
        <x:v>107168439.5373387</x:v>
      </x:c>
    </x:row>
    <x:row r="17" ht="18" customHeight="1">
      <x:c r="A17" s="46" t="str">
        <x:v>HS_077</x:v>
      </x:c>
      <x:c r="B17" s="46" t="str">
        <x:v>Pacific, Eastern Central</x:v>
      </x:c>
      <x:c r="C17" s="46" t="str">
        <x:v>High Seas</x:v>
      </x:c>
      <x:c r="D17" s="58" t="n">
        <x:v>2019</x:v>
      </x:c>
      <x:c r="E17" s="46" t="str">
        <x:v>Carangidae</x:v>
      </x:c>
      <x:c r="F17" s="46" t="str">
        <x:v>Jacks, pompanos</x:v>
      </x:c>
      <x:c r="G17" s="46" t="str">
        <x:v>Medium pelagics (30 - 89 cm)</x:v>
      </x:c>
      <x:c r="H17" s="46" t="str">
        <x:v>Perch-likes</x:v>
      </x:c>
      <x:c r="I17" s="60" t="n">
        <x:v>1711.1888058922998</x:v>
      </x:c>
      <x:c r="J17" s="60" t="n">
        <x:v>11.918713613200001</x:v>
      </x:c>
      <x:c r="K17" s="60" t="n">
        <x:v>1699.2700922791</x:v>
      </x:c>
      <x:c r="L17" s="60" t="n">
        <x:v>11.918713613200001</x:v>
      </x:c>
      <x:c r="M17" s="60" t="n">
        <x:v>1699.2700922791</x:v>
      </x:c>
      <x:c r="N17" s="46" t="str">
        <x:v>carangidae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Carangidae</x:v>
      </x:c>
      <x:c r="T17" s="62" t="n">
        <x:f>IF(O17="","",(1/'Metadata'!$B$5)^(O17-1))</x:f>
        <x:v>9292.690797132333</x:v>
      </x:c>
      <x:c r="U17" s="60" t="n">
        <x:f>IF(T17="","",I17*T17)</x:f>
        <x:v>15901548.46867124</x:v>
      </x:c>
    </x:row>
    <x:row r="18" ht="18" customHeight="1">
      <x:c r="A18" s="46" t="str">
        <x:v>HS_077</x:v>
      </x:c>
      <x:c r="B18" s="46" t="str">
        <x:v>Pacific, Eastern Central</x:v>
      </x:c>
      <x:c r="C18" s="46" t="str">
        <x:v>High Seas</x:v>
      </x:c>
      <x:c r="D18" s="58" t="n">
        <x:v>2019</x:v>
      </x:c>
      <x:c r="E18" s="46" t="str">
        <x:v>Carcharhinus longimanus</x:v>
      </x:c>
      <x:c r="F18" s="46" t="str">
        <x:v>Oceanic whitetip shark</x:v>
      </x:c>
      <x:c r="G18" s="46" t="str">
        <x:v>Large sharks (&gt;=90 cm)</x:v>
      </x:c>
      <x:c r="H18" s="46" t="str">
        <x:v>Sharks &amp; rays</x:v>
      </x:c>
      <x:c r="I18" s="60" t="n">
        <x:v>1377.6686171488</x:v>
      </x:c>
      <x:c r="J18" s="60" t="n">
        <x:v>101.7822826908</x:v>
      </x:c>
      <x:c r="K18" s="60" t="n">
        <x:v>1275.886334458</x:v>
      </x:c>
      <x:c r="L18" s="60" t="n">
        <x:v>101.7822826908</x:v>
      </x:c>
      <x:c r="M18" s="60" t="n">
        <x:v>1275.886334458</x:v>
      </x:c>
      <x:c r="N18" s="46" t="str">
        <x:v>carcharhinus longimanus</x:v>
      </x:c>
      <x:c r="O18" s="62" t="n">
        <x:v>4.16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Carcharhinus longimanus</x:v>
      </x:c>
      <x:c r="T18" s="62" t="n">
        <x:f>IF(O18="","",(1/'Metadata'!$B$5)^(O18-1))</x:f>
        <x:v>12919.77011769987</x:v>
      </x:c>
      <x:c r="U18" s="60" t="n">
        <x:f>IF(T18="","",I18*T18)</x:f>
        <x:v>17799161.83193197</x:v>
      </x:c>
    </x:row>
    <x:row r="19" ht="18" customHeight="1">
      <x:c r="A19" s="46" t="str">
        <x:v>HS_077</x:v>
      </x:c>
      <x:c r="B19" s="46" t="str">
        <x:v>Pacific, Eastern Central</x:v>
      </x:c>
      <x:c r="C19" s="46" t="str">
        <x:v>High Seas</x:v>
      </x:c>
      <x:c r="D19" s="58" t="n">
        <x:v>2019</x:v>
      </x:c>
      <x:c r="E19" s="46" t="str">
        <x:v>Coryphaena</x:v>
      </x:c>
      <x:c r="F19" s="46" t="str">
        <x:v>Dolphinfishes</x:v>
      </x:c>
      <x:c r="G19" s="46" t="str">
        <x:v>Large pelagics (&gt;=90 cm)</x:v>
      </x:c>
      <x:c r="H19" s="46" t="str">
        <x:v>Perch-likes</x:v>
      </x:c>
      <x:c r="I19" s="60" t="n">
        <x:v>952.4674930624001</x:v>
      </x:c>
      <x:c r="J19" s="60" t="n">
        <x:v>952.4674930624001</x:v>
      </x:c>
      <x:c r="K19" s="60" t="n">
        <x:v>0</x:v>
      </x:c>
      <x:c r="L19" s="60" t="n">
        <x:v>952.4674930624001</x:v>
      </x:c>
      <x:c r="M19" s="60" t="n">
        <x:v>0</x:v>
      </x:c>
      <x:c r="N19" s="46" t="str">
        <x:v>coryphaena</x:v>
      </x:c>
      <x:c r="O19" s="62" t="n">
        <x:v>4.49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Coryphaena</x:v>
      </x:c>
      <x:c r="T19" s="62" t="n">
        <x:f>IF(O19="","",(1/'Metadata'!$B$5)^(O19-1))</x:f>
        <x:v>34721.19667768202</x:v>
      </x:c>
      <x:c r="U19" s="60" t="n">
        <x:f>IF(T19="","",I19*T19)</x:f>
        <x:v>33070811.155718327</x:v>
      </x:c>
    </x:row>
    <x:row r="20" ht="18" customHeight="1">
      <x:c r="A20" s="46" t="str">
        <x:v>HS_077</x:v>
      </x:c>
      <x:c r="B20" s="46" t="str">
        <x:v>Pacific, Eastern Central</x:v>
      </x:c>
      <x:c r="C20" s="46" t="str">
        <x:v>High Seas</x:v>
      </x:c>
      <x:c r="D20" s="58" t="n">
        <x:v>2019</x:v>
      </x:c>
      <x:c r="E20" s="46" t="str">
        <x:v>Acanthocybium solandri</x:v>
      </x:c>
      <x:c r="F20" s="46" t="str">
        <x:v>Wahoo</x:v>
      </x:c>
      <x:c r="G20" s="46" t="str">
        <x:v>Large pelagics (&gt;=90 cm)</x:v>
      </x:c>
      <x:c r="H20" s="46" t="str">
        <x:v>Perch-likes</x:v>
      </x:c>
      <x:c r="I20" s="60" t="n">
        <x:v>601.8459893707</x:v>
      </x:c>
      <x:c r="J20" s="60" t="n">
        <x:v>0</x:v>
      </x:c>
      <x:c r="K20" s="60" t="n">
        <x:v>601.8459893707</x:v>
      </x:c>
      <x:c r="L20" s="60" t="n">
        <x:v>0</x:v>
      </x:c>
      <x:c r="M20" s="60" t="n">
        <x:v>601.8459893707</x:v>
      </x:c>
      <x:c r="N20" s="46" t="str">
        <x:v>acanthocybium solandri</x:v>
      </x:c>
      <x:c r="O20" s="62" t="n">
        <x:v>4.26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Acanthocybium solandri</x:v>
      </x:c>
      <x:c r="T20" s="62" t="n">
        <x:f>IF(O20="","",(1/'Metadata'!$B$5)^(O20-1))</x:f>
        <x:v>17432.42421569787</x:v>
      </x:c>
      <x:c r="U20" s="60" t="n">
        <x:f>IF(T20="","",I20*T20)</x:f>
        <x:v>10491634.599226432</x:v>
      </x:c>
    </x:row>
    <x:row r="21" ht="18" customHeight="1">
      <x:c r="A21" s="46" t="str">
        <x:v>HS_077</x:v>
      </x:c>
      <x:c r="B21" s="46" t="str">
        <x:v>Pacific, Eastern Central</x:v>
      </x:c>
      <x:c r="C21" s="46" t="str">
        <x:v>High Seas</x:v>
      </x:c>
      <x:c r="D21" s="58" t="n">
        <x:v>2019</x:v>
      </x:c>
      <x:c r="E21" s="46" t="str">
        <x:v>Carcharhinus falciformis</x:v>
      </x:c>
      <x:c r="F21" s="46" t="str">
        <x:v>Silky shark</x:v>
      </x:c>
      <x:c r="G21" s="46" t="str">
        <x:v>Large sharks (&gt;=90 cm)</x:v>
      </x:c>
      <x:c r="H21" s="46" t="str">
        <x:v>Sharks &amp; rays</x:v>
      </x:c>
      <x:c r="I21" s="60" t="n">
        <x:v>582.4388685011</x:v>
      </x:c>
      <x:c r="J21" s="60" t="n">
        <x:v>5.1504548624</x:v>
      </x:c>
      <x:c r="K21" s="60" t="n">
        <x:v>577.2884136387</x:v>
      </x:c>
      <x:c r="L21" s="60" t="n">
        <x:v>5.1504548624</x:v>
      </x:c>
      <x:c r="M21" s="60" t="n">
        <x:v>577.2884136387</x:v>
      </x:c>
      <x:c r="N21" s="46" t="str">
        <x:v>carcharhinus falciformis</x:v>
      </x:c>
      <x:c r="O21" s="62" t="n">
        <x:v>4.51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Carcharhinus falciformis</x:v>
      </x:c>
      <x:c r="T21" s="62" t="n">
        <x:f>IF(O21="","",(1/'Metadata'!$B$5)^(O21-1))</x:f>
        <x:v>36865.088835568684</x:v>
      </x:c>
      <x:c r="U21" s="60" t="n">
        <x:f>IF(T21="","",I21*T21)</x:f>
        <x:v>21471660.62858116</x:v>
      </x:c>
    </x:row>
    <x:row r="22" ht="18" customHeight="1">
      <x:c r="A22" s="46" t="str">
        <x:v>HS_077</x:v>
      </x:c>
      <x:c r="B22" s="46" t="str">
        <x:v>Pacific, Eastern Central</x:v>
      </x:c>
      <x:c r="C22" s="46" t="str">
        <x:v>High Seas</x:v>
      </x:c>
      <x:c r="D22" s="58" t="n">
        <x:v>2019</x:v>
      </x:c>
      <x:c r="E22" s="46" t="str">
        <x:v>Alopias</x:v>
      </x:c>
      <x:c r="F22" s="46" t="str">
        <x:v>Thresher sharks</x:v>
      </x:c>
      <x:c r="G22" s="46" t="str">
        <x:v>Large sharks (&gt;=90 cm)</x:v>
      </x:c>
      <x:c r="H22" s="46" t="str">
        <x:v>Sharks &amp; rays</x:v>
      </x:c>
      <x:c r="I22" s="60" t="n">
        <x:v>572.3344035754</x:v>
      </x:c>
      <x:c r="J22" s="60" t="n">
        <x:v>188.38888500540003</x:v>
      </x:c>
      <x:c r="K22" s="60" t="n">
        <x:v>383.94551857</x:v>
      </x:c>
      <x:c r="L22" s="60" t="n">
        <x:v>188.38888500540003</x:v>
      </x:c>
      <x:c r="M22" s="60" t="n">
        <x:v>383.94551857</x:v>
      </x:c>
      <x:c r="N22" s="46" t="str">
        <x:v>alopias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Alopias</x:v>
      </x:c>
      <x:c r="T22" s="62" t="n">
        <x:f>IF(O22="","",(1/'Metadata'!$B$5)^(O22-1))</x:f>
        <x:v>35777.08763999664</x:v>
      </x:c>
      <x:c r="U22" s="60" t="n">
        <x:f>IF(T22="","",I22*T22)</x:f>
        <x:v>20476458.11610229</x:v>
      </x:c>
    </x:row>
    <x:row r="23" ht="18" customHeight="1">
      <x:c r="A23" s="46" t="str">
        <x:v>HS_077</x:v>
      </x:c>
      <x:c r="B23" s="46" t="str">
        <x:v>Pacific, Eastern Central</x:v>
      </x:c>
      <x:c r="C23" s="46" t="str">
        <x:v>High Seas</x:v>
      </x:c>
      <x:c r="D23" s="58" t="n">
        <x:v>2019</x:v>
      </x:c>
      <x:c r="E23" s="46" t="str">
        <x:v>Istiophorus platypterus</x:v>
      </x:c>
      <x:c r="F23" s="46" t="str">
        <x:v>Indo-Pacific sailfish</x:v>
      </x:c>
      <x:c r="G23" s="46" t="str">
        <x:v>Large pelagics (&gt;=90 cm)</x:v>
      </x:c>
      <x:c r="H23" s="46" t="str">
        <x:v>Tuna &amp; billfishes</x:v>
      </x:c>
      <x:c r="I23" s="60" t="n">
        <x:v>484.0405475415</x:v>
      </x:c>
      <x:c r="J23" s="60" t="n">
        <x:v>484.0405475415</x:v>
      </x:c>
      <x:c r="K23" s="60" t="n">
        <x:v>0</x:v>
      </x:c>
      <x:c r="L23" s="60" t="n">
        <x:v>484.0405475415</x:v>
      </x:c>
      <x:c r="M23" s="60" t="n">
        <x:v>0</x:v>
      </x:c>
      <x:c r="N23" s="46" t="str">
        <x:v>istiophorus platypterus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Istiophorus platypterus</x:v>
      </x:c>
      <x:c r="T23" s="62" t="n">
        <x:f>IF(O23="","",(1/'Metadata'!$B$5)^(O23-1))</x:f>
        <x:v>35777.08763999664</x:v>
      </x:c>
      <x:c r="U23" s="60" t="n">
        <x:f>IF(T23="","",I23*T23)</x:f>
        <x:v>17317561.090704206</x:v>
      </x:c>
    </x:row>
    <x:row r="24" ht="18" customHeight="1">
      <x:c r="A24" s="46" t="str">
        <x:v>HS_077</x:v>
      </x:c>
      <x:c r="B24" s="46" t="str">
        <x:v>Pacific, Eastern Central</x:v>
      </x:c>
      <x:c r="C24" s="46" t="str">
        <x:v>High Seas</x:v>
      </x:c>
      <x:c r="D24" s="58" t="n">
        <x:v>2019</x:v>
      </x:c>
      <x:c r="E24" s="46" t="str">
        <x:v>Tetrapturus angustirostris</x:v>
      </x:c>
      <x:c r="F24" s="46" t="str">
        <x:v>Shortbill spearfish</x:v>
      </x:c>
      <x:c r="G24" s="46" t="str">
        <x:v>Large pelagics (&gt;=90 cm)</x:v>
      </x:c>
      <x:c r="H24" s="46" t="str">
        <x:v>Tuna &amp; billfishes</x:v>
      </x:c>
      <x:c r="I24" s="60" t="n">
        <x:v>332.6035800699</x:v>
      </x:c>
      <x:c r="J24" s="60" t="n">
        <x:v>332.6035800699</x:v>
      </x:c>
      <x:c r="K24" s="60" t="n">
        <x:v>0</x:v>
      </x:c>
      <x:c r="L24" s="60" t="n">
        <x:v>332.6035800699</x:v>
      </x:c>
      <x:c r="M24" s="60" t="n">
        <x:v>0</x:v>
      </x:c>
      <x:c r="N24" s="46" t="str">
        <x:v>tetrapturus angustirostris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Tetrapturus angustirostris</x:v>
      </x:c>
      <x:c r="T24" s="62" t="n">
        <x:f>IF(O24="","",(1/'Metadata'!$B$5)^(O24-1))</x:f>
        <x:v>35777.08763999664</x:v>
      </x:c>
      <x:c r="U24" s="60" t="n">
        <x:f>IF(T24="","",I24*T24)</x:f>
        <x:v>11899587.43353745</x:v>
      </x:c>
    </x:row>
    <x:row r="25" ht="18" customHeight="1">
      <x:c r="A25" s="46" t="str">
        <x:v>HS_077</x:v>
      </x:c>
      <x:c r="B25" s="46" t="str">
        <x:v>Pacific, Eastern Central</x:v>
      </x:c>
      <x:c r="C25" s="46" t="str">
        <x:v>High Seas</x:v>
      </x:c>
      <x:c r="D25" s="58" t="n">
        <x:v>2019</x:v>
      </x:c>
      <x:c r="E25" s="46" t="str">
        <x:v>Istiompax indica</x:v>
      </x:c>
      <x:c r="F25" s="46" t="str">
        <x:v>Black marlin</x:v>
      </x:c>
      <x:c r="G25" s="46" t="str">
        <x:v>Large pelagics (&gt;=90 cm)</x:v>
      </x:c>
      <x:c r="H25" s="46" t="str">
        <x:v>Tuna &amp; billfishes</x:v>
      </x:c>
      <x:c r="I25" s="60" t="n">
        <x:v>332.3941847414</x:v>
      </x:c>
      <x:c r="J25" s="60" t="n">
        <x:v>332.3941847414</x:v>
      </x:c>
      <x:c r="K25" s="60" t="n">
        <x:v>0</x:v>
      </x:c>
      <x:c r="L25" s="60" t="n">
        <x:v>332.3941847414</x:v>
      </x:c>
      <x:c r="M25" s="60" t="n">
        <x:v>0</x:v>
      </x:c>
      <x:c r="N25" s="46" t="str">
        <x:v>istiompax indica</x:v>
      </x:c>
      <x:c r="O25" s="62" t="n">
        <x:v>4.5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Istiompax indica</x:v>
      </x:c>
      <x:c r="T25" s="62" t="n">
        <x:f>IF(O25="","",(1/'Metadata'!$B$5)^(O25-1))</x:f>
        <x:v>35777.08763999664</x:v>
      </x:c>
      <x:c r="U25" s="60" t="n">
        <x:f>IF(T25="","",I25*T25)</x:f>
        <x:v>11892095.8785183</x:v>
      </x:c>
    </x:row>
    <x:row r="26" ht="18" customHeight="1">
      <x:c r="A26" s="46" t="str">
        <x:v>HS_077</x:v>
      </x:c>
      <x:c r="B26" s="46" t="str">
        <x:v>Pacific, Eastern Central</x:v>
      </x:c>
      <x:c r="C26" s="46" t="str">
        <x:v>High Seas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95.20984360599999</x:v>
      </x:c>
      <x:c r="J26" s="60" t="n">
        <x:v>95.20984360599999</x:v>
      </x:c>
      <x:c r="K26" s="60" t="n">
        <x:v>0</x:v>
      </x:c>
      <x:c r="L26" s="60" t="n">
        <x:v>95.20984360599999</x:v>
      </x:c>
      <x:c r="M26" s="60" t="n">
        <x:v>0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14564.51362420865</x:v>
      </x:c>
      <x:c r="U26" s="60" t="n">
        <x:f>IF(T26="","",I26*T26)</x:f>
        <x:v>1386685.0643583618</x:v>
      </x:c>
    </x:row>
    <x:row r="27" ht="18" customHeight="1">
      <x:c r="A27" s="46" t="str">
        <x:v>HS_077</x:v>
      </x:c>
      <x:c r="B27" s="46" t="str">
        <x:v>Pacific, Eastern Central</x:v>
      </x:c>
      <x:c r="C27" s="46" t="str">
        <x:v>High Seas</x:v>
      </x:c>
      <x:c r="D27" s="58" t="n">
        <x:v>2019</x:v>
      </x:c>
      <x:c r="E27" s="46" t="str">
        <x:v>Thunnus maccoyii</x:v>
      </x:c>
      <x:c r="F27" s="46" t="str">
        <x:v>Southern bluefin tuna</x:v>
      </x:c>
      <x:c r="G27" s="46" t="str">
        <x:v>Large pelagics (&gt;=90 cm)</x:v>
      </x:c>
      <x:c r="H27" s="46" t="str">
        <x:v>Tuna &amp; billfishes</x:v>
      </x:c>
      <x:c r="I27" s="60" t="n">
        <x:v>0.0512309376</x:v>
      </x:c>
      <x:c r="J27" s="60" t="n">
        <x:v>0</x:v>
      </x:c>
      <x:c r="K27" s="60" t="n">
        <x:v>0.0512309376</x:v>
      </x:c>
      <x:c r="L27" s="60" t="n">
        <x:v>0</x:v>
      </x:c>
      <x:c r="M27" s="60" t="n">
        <x:v>0.0512309376</x:v>
      </x:c>
      <x:c r="N27" s="46" t="str">
        <x:v>thunnus maccoyii</x:v>
      </x:c>
      <x:c r="O27" s="62" t="n">
        <x:v>3.93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Thunnus maccoyii</x:v>
      </x:c>
      <x:c r="T27" s="62" t="n">
        <x:f>IF(O27="","",(1/'Metadata'!$B$5)^(O27-1))</x:f>
        <x:v>6486.611494177253</x:v>
      </x:c>
      <x:c r="U27" s="60" t="n">
        <x:f>IF(T27="","",I27*T27)</x:f>
        <x:v>332.3151886936376</x:v>
      </x:c>
    </x:row>
  </x:sheetData>
  <x:conditionalFormatting sqref="R2:R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1df21529c494f4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33612.6652031533</x:v>
      </x:c>
      <x:c r="E2" s="60" t="n">
        <x:v>33612.6652031533</x:v>
      </x:c>
      <x:c r="F2" s="62" t="n">
        <x:v>0</x:v>
      </x:c>
      <x:c r="G2" s="66" t="n">
        <x:v>1</x:v>
      </x:c>
      <x:c r="H2" s="62" t="n">
        <x:f>IF(E2=0,"",I2/E2)</x:f>
        <x:v>1002.1223465531402</x:v>
      </x:c>
      <x:c r="I2" s="60" t="n">
        <x:f>SUMIF('Species'!$H$2:$H$27,A2,'Species'!$U$2:$U$27)</x:f>
        <x:v>33684002.92728907</x:v>
      </x:c>
      <x:c r="J2" s="62" t="n">
        <x:v>3.30486056610096</x:v>
      </x:c>
      <x:c r="K2" s="62" t="n">
        <x:f>IF(J2="","",(1/'Metadata'!$B$5)^(J2-1))</x:f>
        <x:v>996.9944307224383</x:v>
      </x:c>
      <x:c r="L2" s="60" t="n">
        <x:f>IF(E2=0,"",E2*K2)</x:f>
        <x:v>33511640.009281736</x:v>
      </x:c>
      <x:c r="M2" s="60" t="n">
        <x:f>I2-L2</x:f>
        <x:v>172362.91800733283</x:v>
      </x:c>
      <x:c r="N2" s="62" t="n">
        <x:f>IF(L2=0,"",I2/L2)</x:f>
        <x:v>1.0051433745993807</x:v>
      </x:c>
      <x:c r="O2" s="66" t="n">
        <x:f>IF(L2=0,"",M2/L2)</x:f>
        <x:v>0.005143374599380794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18111.6321857724</x:v>
      </x:c>
      <x:c r="E3" s="60" t="n">
        <x:v>18111.6321857724</x:v>
      </x:c>
      <x:c r="F3" s="62" t="n">
        <x:v>0</x:v>
      </x:c>
      <x:c r="G3" s="66" t="n">
        <x:v>1</x:v>
      </x:c>
      <x:c r="H3" s="62" t="n">
        <x:f>IF(E3=0,"",I3/E3)</x:f>
        <x:v>20039.464836165065</x:v>
      </x:c>
      <x:c r="I3" s="60" t="n">
        <x:f>SUMIF('Species'!$H$2:$H$27,A3,'Species'!$U$2:$U$27)</x:f>
        <x:v>362947416.31234145</x:v>
      </x:c>
      <x:c r="J3" s="62" t="n">
        <x:v>4.292135851834571</x:v>
      </x:c>
      <x:c r="K3" s="62" t="n">
        <x:f>IF(J3="","",(1/'Metadata'!$B$5)^(J3-1))</x:f>
        <x:v>19194.088505415817</x:v>
      </x:c>
      <x:c r="L3" s="60" t="n">
        <x:f>IF(E3=0,"",E3*K3)</x:f>
        <x:v>347636271.15125316</x:v>
      </x:c>
      <x:c r="M3" s="60" t="n">
        <x:f>I3-L3</x:f>
        <x:v>15311145.161088288</x:v>
      </x:c>
      <x:c r="N3" s="62" t="n">
        <x:f>IF(L3=0,"",I3/L3)</x:f>
        <x:v>1.0440435778188017</x:v>
      </x:c>
      <x:c r="O3" s="66" t="n">
        <x:f>IF(L3=0,"",M3/L3)</x:f>
        <x:v>0.044043577818801756</x:v>
      </x:c>
    </x:row>
    <x:row r="4" ht="18" customHeight="1">
      <x:c r="A4" s="46" t="str">
        <x:v>Sharks &amp; rays</x:v>
      </x:c>
      <x:c r="B4" s="64" t="n">
        <x:v>7</x:v>
      </x:c>
      <x:c r="C4" s="64" t="n">
        <x:v>7</x:v>
      </x:c>
      <x:c r="D4" s="60" t="n">
        <x:v>69815.97612667471</x:v>
      </x:c>
      <x:c r="E4" s="60" t="n">
        <x:v>69815.97612667471</x:v>
      </x:c>
      <x:c r="F4" s="62" t="n">
        <x:v>0</x:v>
      </x:c>
      <x:c r="G4" s="66" t="n">
        <x:v>1</x:v>
      </x:c>
      <x:c r="H4" s="62" t="n">
        <x:f>IF(E4=0,"",I4/E4)</x:f>
        <x:v>21074.717973110935</x:v>
      </x:c>
      <x:c r="I4" s="60" t="n">
        <x:f>SUMIF('Species'!$H$2:$H$27,A4,'Species'!$U$2:$U$27)</x:f>
        <x:v>1471352006.8871155</x:v>
      </x:c>
      <x:c r="J4" s="62" t="n">
        <x:v>4.301341671050433</x:v>
      </x:c>
      <x:c r="K4" s="62" t="n">
        <x:f>IF(J4="","",(1/'Metadata'!$B$5)^(J4-1))</x:f>
        <x:v>19730.79298392697</x:v>
      </x:c>
      <x:c r="L4" s="60" t="n">
        <x:f>IF(E4=0,"",E4*K4)</x:f>
        <x:v>1377524571.9262064</x:v>
      </x:c>
      <x:c r="M4" s="60" t="n">
        <x:f>I4-L4</x:f>
        <x:v>93827434.96090913</x:v>
      </x:c>
      <x:c r="N4" s="62" t="n">
        <x:f>IF(L4=0,"",I4/L4)</x:f>
        <x:v>1.0681130753476937</x:v>
      </x:c>
      <x:c r="O4" s="66" t="n">
        <x:f>IF(L4=0,"",M4/L4)</x:f>
        <x:v>0.06811307534769365</x:v>
      </x:c>
    </x:row>
    <x:row r="5" ht="18" customHeight="1">
      <x:c r="A5" s="46" t="str">
        <x:v>Tuna &amp; billfishes</x:v>
      </x:c>
      <x:c r="B5" s="64" t="n">
        <x:v>12</x:v>
      </x:c>
      <x:c r="C5" s="64" t="n">
        <x:v>12</x:v>
      </x:c>
      <x:c r="D5" s="60" t="n">
        <x:v>739130.934092892</x:v>
      </x:c>
      <x:c r="E5" s="60" t="n">
        <x:v>739130.934092892</x:v>
      </x:c>
      <x:c r="F5" s="62" t="n">
        <x:v>0</x:v>
      </x:c>
      <x:c r="G5" s="66" t="n">
        <x:v>1</x:v>
      </x:c>
      <x:c r="H5" s="62" t="n">
        <x:f>IF(E5=0,"",I5/E5)</x:f>
        <x:v>29416.999688784745</x:v>
      </x:c>
      <x:c r="I5" s="60" t="n">
        <x:f>SUMIF('Species'!$H$2:$H$27,A5,'Species'!$U$2:$U$27)</x:f>
        <x:v>21743014458.18178</x:v>
      </x:c>
      <x:c r="J5" s="62" t="n">
        <x:v>4.431340406972279</x:v>
      </x:c>
      <x:c r="K5" s="62" t="n">
        <x:f>IF(J5="","",(1/'Metadata'!$B$5)^(J5-1))</x:f>
        <x:v>29125.728362701884</x:v>
      </x:c>
      <x:c r="L5" s="60" t="n">
        <x:f>IF(E5=0,"",E5*K5)</x:f>
        <x:v>21527726810.85968</x:v>
      </x:c>
      <x:c r="M5" s="60" t="n">
        <x:f>I5-L5</x:f>
        <x:v>215287647.3221016</x:v>
      </x:c>
      <x:c r="N5" s="62" t="n">
        <x:f>IF(L5=0,"",I5/L5)</x:f>
        <x:v>1.0100004821323494</x:v>
      </x:c>
      <x:c r="O5" s="66" t="n">
        <x:f>IF(L5=0,"",M5/L5)</x:f>
        <x:v>0.01000048213234941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1079a03690546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15</x:v>
      </x:c>
      <x:c r="C2" s="64" t="n">
        <x:v>15</x:v>
      </x:c>
      <x:c r="D2" s="60" t="n">
        <x:v>747251.7462502093</x:v>
      </x:c>
      <x:c r="E2" s="60" t="n">
        <x:v>747251.7462502093</x:v>
      </x:c>
      <x:c r="F2" s="62" t="n">
        <x:v>0</x:v>
      </x:c>
      <x:c r="G2" s="66" t="n">
        <x:v>1</x:v>
      </x:c>
      <x:c r="H2" s="62" t="n">
        <x:f>IF(E2=0,"",I2/E2)</x:f>
        <x:v>29368.584807369472</x:v>
      </x:c>
      <x:c r="I2" s="60" t="n">
        <x:f>SUMIF('Species'!$G$2:$G$27,A2,'Species'!$U$2:$U$27)</x:f>
        <x:v>21945726282.204205</x:v>
      </x:c>
      <x:c r="J2" s="62" t="n">
        <x:v>4.430738145572962</x:v>
      </x:c>
      <x:c r="K2" s="62" t="n">
        <x:f>IF(J2="","",(1/'Metadata'!$B$5)^(J2-1))</x:f>
        <x:v>29073.226694782217</x:v>
      </x:c>
      <x:c r="L2" s="60" t="n">
        <x:f>IF(E2=0,"",E2*K2)</x:f>
        <x:v>21725019416.80421</x:v>
      </x:c>
      <x:c r="M2" s="60" t="n">
        <x:f>I2-L2</x:f>
        <x:v>220706865.3999939</x:v>
      </x:c>
      <x:c r="N2" s="62" t="n">
        <x:f>IF(L2=0,"",I2/L2)</x:f>
        <x:v>1.0101591101561584</x:v>
      </x:c>
      <x:c r="O2" s="66" t="n">
        <x:f>IF(L2=0,"",M2/L2)</x:f>
        <x:v>0.01015911015615839</x:v>
      </x:c>
    </x:row>
    <x:row r="3" ht="18" customHeight="1">
      <x:c r="A3" s="46" t="str">
        <x:v>Large sharks (&gt;=90 cm)</x:v>
      </x:c>
      <x:c r="B3" s="64" t="n">
        <x:v>7</x:v>
      </x:c>
      <x:c r="C3" s="64" t="n">
        <x:v>7</x:v>
      </x:c>
      <x:c r="D3" s="60" t="n">
        <x:v>69815.97612667471</x:v>
      </x:c>
      <x:c r="E3" s="60" t="n">
        <x:v>69815.97612667471</x:v>
      </x:c>
      <x:c r="F3" s="62" t="n">
        <x:v>0</x:v>
      </x:c>
      <x:c r="G3" s="66" t="n">
        <x:v>1</x:v>
      </x:c>
      <x:c r="H3" s="62" t="n">
        <x:f>IF(E3=0,"",I3/E3)</x:f>
        <x:v>21074.717973110935</x:v>
      </x:c>
      <x:c r="I3" s="60" t="n">
        <x:f>SUMIF('Species'!$G$2:$G$27,A3,'Species'!$U$2:$U$27)</x:f>
        <x:v>1471352006.8871155</x:v>
      </x:c>
      <x:c r="J3" s="62" t="n">
        <x:v>4.301341671050433</x:v>
      </x:c>
      <x:c r="K3" s="62" t="n">
        <x:f>IF(J3="","",(1/'Metadata'!$B$5)^(J3-1))</x:f>
        <x:v>19730.79298392697</x:v>
      </x:c>
      <x:c r="L3" s="60" t="n">
        <x:f>IF(E3=0,"",E3*K3)</x:f>
        <x:v>1377524571.9262064</x:v>
      </x:c>
      <x:c r="M3" s="60" t="n">
        <x:f>I3-L3</x:f>
        <x:v>93827434.96090913</x:v>
      </x:c>
      <x:c r="N3" s="62" t="n">
        <x:f>IF(L3=0,"",I3/L3)</x:f>
        <x:v>1.0681130753476937</x:v>
      </x:c>
      <x:c r="O3" s="66" t="n">
        <x:f>IF(L3=0,"",M3/L3)</x:f>
        <x:v>0.06811307534769365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21675.0954158329</x:v>
      </x:c>
      <x:c r="E4" s="60" t="n">
        <x:v>21675.0954158329</x:v>
      </x:c>
      <x:c r="F4" s="62" t="n">
        <x:v>0</x:v>
      </x:c>
      <x:c r="G4" s="66" t="n">
        <x:v>1</x:v>
      </x:c>
      <x:c r="H4" s="62" t="n">
        <x:f>IF(E4=0,"",I4/E4)</x:f>
        <x:v>925.4402624666747</x:v>
      </x:c>
      <x:c r="I4" s="60" t="n">
        <x:f>SUMIF('Species'!$G$2:$G$27,A4,'Species'!$U$2:$U$27)</x:f>
        <x:v>20059005.990618616</x:v>
      </x:c>
      <x:c r="J4" s="62" t="n">
        <x:v>3.28</x:v>
      </x:c>
      <x:c r="K4" s="62" t="n">
        <x:f>IF(J4="","",(1/'Metadata'!$B$5)^(J4-1))</x:f>
        <x:v>925.4402624666747</x:v>
      </x:c>
      <x:c r="L4" s="60" t="n">
        <x:f>IF(E4=0,"",E4*K4)</x:f>
        <x:v>20059005.990618616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21928.3898157755</x:v>
      </x:c>
      <x:c r="E5" s="60" t="n">
        <x:v>21928.3898157755</x:v>
      </x:c>
      <x:c r="F5" s="62" t="n">
        <x:v>0</x:v>
      </x:c>
      <x:c r="G5" s="66" t="n">
        <x:v>1</x:v>
      </x:c>
      <x:c r="H5" s="62" t="n">
        <x:f>IF(E5=0,"",I5/E5)</x:f>
        <x:v>7928.5615901226165</x:v>
      </x:c>
      <x:c r="I5" s="60" t="n">
        <x:f>SUMIF('Species'!$G$2:$G$27,A5,'Species'!$U$2:$U$27)</x:f>
        <x:v>173860589.22659358</x:v>
      </x:c>
      <x:c r="J5" s="62" t="n">
        <x:v>3.7482187771203637</x:v>
      </x:c>
      <x:c r="K5" s="62" t="n">
        <x:f>IF(J5="","",(1/'Metadata'!$B$5)^(J5-1))</x:f>
        <x:v>3762.834035841732</x:v>
      </x:c>
      <x:c r="L5" s="60" t="n">
        <x:f>IF(E5=0,"",E5*K5)</x:f>
        <x:v>82512891.55000526</x:v>
      </x:c>
      <x:c r="M5" s="60" t="n">
        <x:f>I5-L5</x:f>
        <x:v>91347697.67658833</x:v>
      </x:c>
      <x:c r="N5" s="62" t="n">
        <x:f>IF(L5=0,"",I5/L5)</x:f>
        <x:v>2.1070718279364735</x:v>
      </x:c>
      <x:c r="O5" s="66" t="n">
        <x:f>IF(L5=0,"",M5/L5)</x:f>
        <x:v>1.1070718279364735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2b2548812274d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HS_077</x:v>
      </x:c>
      <x:c r="B2" s="46" t="str">
        <x:v>raw_filtered_tonnes</x:v>
      </x:c>
      <x:c r="C2" s="46" t="n">
        <x:v>860671.2076084926</x:v>
      </x:c>
      <x:c r="D2" s="46" t="str">
        <x:v>tonnes</x:v>
      </x:c>
    </x:row>
    <x:row r="3" ht="18" customHeight="1">
      <x:c r="A3" s="46" t="str">
        <x:v>HS_077</x:v>
      </x:c>
      <x:c r="B3" s="46" t="str">
        <x:v>species_catch_tonnes</x:v>
      </x:c>
      <x:c r="C3" s="46" t="n">
        <x:v>860671.2076084926</x:v>
      </x:c>
      <x:c r="D3" s="46" t="str">
        <x:v>tonnes</x:v>
      </x:c>
    </x:row>
    <x:row r="4" ht="18" customHeight="1">
      <x:c r="A4" s="46" t="str">
        <x:v>HS_077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HS_077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HS_077</x:v>
      </x:c>
      <x:c r="B6" s="46" t="str">
        <x:v>matched_catch_tonnes</x:v>
      </x:c>
      <x:c r="C6" s="46" t="n">
        <x:v>860671.2076084926</x:v>
      </x:c>
      <x:c r="D6" s="46" t="str">
        <x:v>tonnes</x:v>
      </x:c>
    </x:row>
    <x:row r="7" ht="18" customHeight="1">
      <x:c r="A7" s="46" t="str">
        <x:v>HS_077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HS_077</x:v>
      </x:c>
      <x:c r="B8" s="46" t="str">
        <x:v>taxa_count</x:v>
      </x:c>
      <x:c r="C8" s="46" t="n">
        <x:v>26</x:v>
      </x:c>
      <x:c r="D8" s="46" t="str">
        <x:v>count</x:v>
      </x:c>
    </x:row>
    <x:row r="9" ht="18" customHeight="1">
      <x:c r="A9" s="46" t="str">
        <x:v>HS_077</x:v>
      </x:c>
      <x:c r="B9" s="46" t="str">
        <x:v>matched_taxa_count</x:v>
      </x:c>
      <x:c r="C9" s="46" t="n">
        <x:v>26</x:v>
      </x:c>
      <x:c r="D9" s="46" t="str">
        <x:v>count</x:v>
      </x:c>
    </x:row>
    <x:row r="10" ht="18" customHeight="1">
      <x:c r="A10" s="46" t="str">
        <x:v>HS_077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HS_077</x:v>
      </x:c>
      <x:c r="B11" s="46" t="str">
        <x:v>species_ppr</x:v>
      </x:c>
      <x:c r="C11" s="46" t="n">
        <x:v>23610997884.308525</x:v>
      </x:c>
      <x:c r="D11" s="46" t="str">
        <x:v>tonnes_primary_production_equivalent</x:v>
      </x:c>
    </x:row>
    <x:row r="12" ht="18" customHeight="1">
      <x:c r="A12" s="46" t="str">
        <x:v>HS_077</x:v>
      </x:c>
      <x:c r="B12" s="46" t="str">
        <x:v>commercial_ppr</x:v>
      </x:c>
      <x:c r="C12" s="46" t="n">
        <x:v>23610997884.30853</x:v>
      </x:c>
      <x:c r="D12" s="46" t="str">
        <x:v>tonnes_primary_production_equivalent</x:v>
      </x:c>
    </x:row>
    <x:row r="13" ht="18" customHeight="1">
      <x:c r="A13" s="46" t="str">
        <x:v>HS_077</x:v>
      </x:c>
      <x:c r="B13" s="46" t="str">
        <x:v>functional_ppr</x:v>
      </x:c>
      <x:c r="C13" s="46" t="n">
        <x:v>23610997884.30853</x:v>
      </x:c>
      <x:c r="D13" s="46" t="str">
        <x:v>tonnes_primary_production_equivalent</x:v>
      </x:c>
    </x:row>
    <x:row r="14" ht="18" customHeight="1">
      <x:c r="A14" s="46" t="str">
        <x:v>HS_077</x:v>
      </x:c>
      <x:c r="B14" s="46" t="str">
        <x:v>commercial_ppr_difference</x:v>
      </x:c>
      <x:c r="C14" s="46" t="n">
        <x:v>0.000003814697265625</x:v>
      </x:c>
      <x:c r="D14" s="46" t="str">
        <x:v>tonnes_primary_production_equivalent</x:v>
      </x:c>
    </x:row>
    <x:row r="15" ht="18" customHeight="1">
      <x:c r="A15" s="46" t="str">
        <x:v>HS_077</x:v>
      </x:c>
      <x:c r="B15" s="46" t="str">
        <x:v>functional_ppr_difference</x:v>
      </x:c>
      <x:c r="C15" s="46" t="n">
        <x:v>0.000003814697265625</x:v>
      </x:c>
      <x:c r="D15" s="46" t="str">
        <x:v>tonnes_primary_production_equivalent</x:v>
      </x:c>
    </x:row>
    <x:row r="16" ht="18" customHeight="1">
      <x:c r="A16" s="46" t="str">
        <x:v>HS_077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HS_077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HS_077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HS_077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7783290f1d9345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HS_077 - Pacific, Eastern Central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HS_077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raw_data/SAU_downloads/HS_077-catch.zip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