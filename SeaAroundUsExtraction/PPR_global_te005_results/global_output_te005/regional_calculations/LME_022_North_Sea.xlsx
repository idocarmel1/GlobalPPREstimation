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d54f81936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044d940b5884556"/>
    <x:sheet xmlns:r="http://schemas.openxmlformats.org/officeDocument/2006/relationships" name="Commercial" sheetId="2" r:id="R45b6608ac31c4656"/>
    <x:sheet xmlns:r="http://schemas.openxmlformats.org/officeDocument/2006/relationships" name="Functional" sheetId="3" r:id="Rda18a292ee02435a"/>
    <x:sheet xmlns:r="http://schemas.openxmlformats.org/officeDocument/2006/relationships" name="Missing TL" sheetId="4" r:id="R3ea6c8299fa041d5"/>
    <x:sheet xmlns:r="http://schemas.openxmlformats.org/officeDocument/2006/relationships" name="Validation" sheetId="5" r:id="R03da1a7c7d084630"/>
    <x:sheet xmlns:r="http://schemas.openxmlformats.org/officeDocument/2006/relationships" name="Metadata" sheetId="6" r:id="R30b8059c46cd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af253adb948c6" /><Relationship Type="http://schemas.openxmlformats.org/officeDocument/2006/relationships/theme" Target="/xl/theme/theme1.xml" Id="R6b00ae07c71c487b" /><Relationship Type="http://schemas.openxmlformats.org/officeDocument/2006/relationships/sharedStrings" Target="/xl/sharedStrings.xml" Id="R8b0c639658ad4b33" /><Relationship Type="http://schemas.openxmlformats.org/officeDocument/2006/relationships/worksheet" Target="/xl/worksheets/sheet1.xml" Id="Rd044d940b5884556" /><Relationship Type="http://schemas.openxmlformats.org/officeDocument/2006/relationships/worksheet" Target="/xl/worksheets/sheet2.xml" Id="R45b6608ac31c4656" /><Relationship Type="http://schemas.openxmlformats.org/officeDocument/2006/relationships/worksheet" Target="/xl/worksheets/sheet3.xml" Id="Rda18a292ee02435a" /><Relationship Type="http://schemas.openxmlformats.org/officeDocument/2006/relationships/worksheet" Target="/xl/worksheets/sheet4.xml" Id="R3ea6c8299fa041d5" /><Relationship Type="http://schemas.openxmlformats.org/officeDocument/2006/relationships/worksheet" Target="/xl/worksheets/sheet5.xml" Id="R03da1a7c7d084630" /><Relationship Type="http://schemas.openxmlformats.org/officeDocument/2006/relationships/worksheet" Target="/xl/worksheets/sheet6.xml" Id="R30b8059c46cd4065" /></Relationships>
</file>

<file path=xl/tables/table1.xml><?xml version="1.0" encoding="utf-8"?>
<x:table xmlns:x="http://schemas.openxmlformats.org/spreadsheetml/2006/main" id="1" name="LME022SpeciesTable" displayName="LME022SpeciesTable" ref="A1:U313" headerRowCount="1" totalsRowCount="0" totalsRowShown="0">
  <x:autoFilter ref="A1:U3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2CommercialTable" displayName="LME022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2FunctionalTable" displayName="LME022FunctionalTable" ref="A1:O28" headerRowCount="1" totalsRowCount="0" totalsRowShown="0">
  <x:autoFilter ref="A1:O2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2ValidationTable" displayName="LME0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28157737b2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694bb91e1345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b4e76cf935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6608288e84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LME_022</x:v>
      </x:c>
      <x:c r="B2" s="46" t="str">
        <x:v>North Sea</x:v>
      </x:c>
      <x:c r="C2" s="46" t="str">
        <x:v>LME</x:v>
      </x:c>
      <x:c r="D2" s="58" t="n">
        <x:v>2019</x:v>
      </x:c>
      <x:c r="E2" s="46" t="str">
        <x:v>Clupea harengus</x:v>
      </x:c>
      <x:c r="F2" s="46" t="str">
        <x:v>Atlantic herring</x:v>
      </x:c>
      <x:c r="G2" s="46" t="str">
        <x:v>Medium pelagics (30 - 89 cm)</x:v>
      </x:c>
      <x:c r="H2" s="46" t="str">
        <x:v>Herring-likes</x:v>
      </x:c>
      <x:c r="I2" s="60" t="n">
        <x:v>774528.8146952068</x:v>
      </x:c>
      <x:c r="J2" s="60" t="n">
        <x:v>774051.482945559</x:v>
      </x:c>
      <x:c r="K2" s="60" t="n">
        <x:v>477.3317496478</x:v>
      </x:c>
      <x:c r="L2" s="60" t="n">
        <x:v>771774.1045045134</x:v>
      </x:c>
      <x:c r="M2" s="60" t="n">
        <x:v>2754.7101906934</x:v>
      </x:c>
      <x:c r="N2" s="46" t="str">
        <x:v>clupea harengus</x:v>
      </x:c>
      <x:c r="O2" s="62" t="n">
        <x:v>3.38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Clupea harengus</x:v>
      </x:c>
      <x:c r="T2" s="62" t="n">
        <x:f>IF(O2="","",(1/'Metadata'!$B$5)^(O2-1))</x:f>
        <x:v>1248.6806726928048</x:v>
      </x:c>
      <x:c r="U2" s="60" t="n">
        <x:f>IF(T2="","",I2*T2)</x:f>
        <x:v>967139161.3535717</x:v>
      </x:c>
    </x:row>
    <x:row r="3" ht="18" customHeight="1">
      <x:c r="A3" s="46" t="str">
        <x:v>LME_022</x:v>
      </x:c>
      <x:c r="B3" s="46" t="str">
        <x:v>North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318308.9133108147</x:v>
      </x:c>
      <x:c r="J3" s="60" t="n">
        <x:v>315257.4652417301</x:v>
      </x:c>
      <x:c r="K3" s="60" t="n">
        <x:v>3051.4480690846</x:v>
      </x:c>
      <x:c r="L3" s="60" t="n">
        <x:v>314257.0247612885</x:v>
      </x:c>
      <x:c r="M3" s="60" t="n">
        <x:v>4051.8885495261998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925.4402624666747</x:v>
      </x:c>
      <x:c r="U3" s="60" t="n">
        <x:f>IF(T3="","",I3*T3)</x:f>
        <x:v>294575884.2798424</x:v>
      </x:c>
    </x:row>
    <x:row r="4" ht="18" customHeight="1">
      <x:c r="A4" s="46" t="str">
        <x:v>LME_022</x:v>
      </x:c>
      <x:c r="B4" s="46" t="str">
        <x:v>North Sea</x:v>
      </x:c>
      <x:c r="C4" s="46" t="str">
        <x:v>LME</x:v>
      </x:c>
      <x:c r="D4" s="58" t="n">
        <x:v>2019</x:v>
      </x:c>
      <x:c r="E4" s="46" t="str">
        <x:v>Gadus morhua</x:v>
      </x:c>
      <x:c r="F4" s="46" t="str">
        <x:v>Atlantic cod</x:v>
      </x:c>
      <x:c r="G4" s="46" t="str">
        <x:v>Large benthopelagics (&gt;=90 cm)</x:v>
      </x:c>
      <x:c r="H4" s="46" t="str">
        <x:v>Cod-likes</x:v>
      </x:c>
      <x:c r="I4" s="60" t="n">
        <x:v>311310.3724402331</x:v>
      </x:c>
      <x:c r="J4" s="60" t="n">
        <x:v>299904.188140838</x:v>
      </x:c>
      <x:c r="K4" s="60" t="n">
        <x:v>11406.184299395101</x:v>
      </x:c>
      <x:c r="L4" s="60" t="n">
        <x:v>296276.852907985</x:v>
      </x:c>
      <x:c r="M4" s="60" t="n">
        <x:v>15033.5195322481</x:v>
      </x:c>
      <x:c r="N4" s="46" t="str">
        <x:v>gadus morhua</x:v>
      </x:c>
      <x:c r="O4" s="62" t="n">
        <x:v>4.09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Gadus morhua</x:v>
      </x:c>
      <x:c r="T4" s="62" t="n">
        <x:f>IF(O4="","",(1/'Metadata'!$B$5)^(O4-1))</x:f>
        <x:v>10475.691168449957</x:v>
      </x:c>
      <x:c r="U4" s="60" t="n">
        <x:f>IF(T4="","",I4*T4)</x:f>
        <x:v>3261191319.219017</x:v>
      </x:c>
    </x:row>
    <x:row r="5" ht="18" customHeight="1">
      <x:c r="A5" s="46" t="str">
        <x:v>LME_022</x:v>
      </x:c>
      <x:c r="B5" s="46" t="str">
        <x:v>North Sea</x:v>
      </x:c>
      <x:c r="C5" s="46" t="str">
        <x:v>LME</x:v>
      </x:c>
      <x:c r="D5" s="58" t="n">
        <x:v>2019</x:v>
      </x:c>
      <x:c r="E5" s="46" t="str">
        <x:v>Scomber scombrus</x:v>
      </x:c>
      <x:c r="F5" s="46" t="str">
        <x:v>Atlantic mackerel</x:v>
      </x:c>
      <x:c r="G5" s="46" t="str">
        <x:v>Medium pelagics (30 - 89 cm)</x:v>
      </x:c>
      <x:c r="H5" s="46" t="str">
        <x:v>Perch-likes</x:v>
      </x:c>
      <x:c r="I5" s="60" t="n">
        <x:v>267891.022777917</x:v>
      </x:c>
      <x:c r="J5" s="60" t="n">
        <x:v>267809.507045447</x:v>
      </x:c>
      <x:c r="K5" s="60" t="n">
        <x:v>81.51573247</x:v>
      </x:c>
      <x:c r="L5" s="60" t="n">
        <x:v>267402.4111863767</x:v>
      </x:c>
      <x:c r="M5" s="60" t="n">
        <x:v>488.6115915403</x:v>
      </x:c>
      <x:c r="N5" s="46" t="str">
        <x:v>scomber scombrus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scombrus</x:v>
      </x:c>
      <x:c r="T5" s="62" t="n">
        <x:f>IF(O5="","",(1/'Metadata'!$B$5)^(O5-1))</x:f>
        <x:v>2640.638121038009</x:v>
      </x:c>
      <x:c r="U5" s="60" t="n">
        <x:f>IF(T5="","",I5*T5)</x:f>
        <x:v>707403247.0312291</x:v>
      </x:c>
    </x:row>
    <x:row r="6" ht="18" customHeight="1">
      <x:c r="A6" s="46" t="str">
        <x:v>LME_022</x:v>
      </x:c>
      <x:c r="B6" s="46" t="str">
        <x:v>North Sea</x:v>
      </x:c>
      <x:c r="C6" s="46" t="str">
        <x:v>LME</x:v>
      </x:c>
      <x:c r="D6" s="58" t="n">
        <x:v>2019</x:v>
      </x:c>
      <x:c r="E6" s="46" t="str">
        <x:v>Pollachius virens</x:v>
      </x:c>
      <x:c r="F6" s="46" t="str">
        <x:v>Saithe</x:v>
      </x:c>
      <x:c r="G6" s="46" t="str">
        <x:v>Large demersals (&gt;=90 cm)</x:v>
      </x:c>
      <x:c r="H6" s="46" t="str">
        <x:v>Cod-likes</x:v>
      </x:c>
      <x:c r="I6" s="60" t="n">
        <x:v>227183.2335417127</x:v>
      </x:c>
      <x:c r="J6" s="60" t="n">
        <x:v>227075.40107995202</x:v>
      </x:c>
      <x:c r="K6" s="60" t="n">
        <x:v>107.8324617607</x:v>
      </x:c>
      <x:c r="L6" s="60" t="n">
        <x:v>226846.93300493652</x:v>
      </x:c>
      <x:c r="M6" s="60" t="n">
        <x:v>336.3005367762</x:v>
      </x:c>
      <x:c r="N6" s="46" t="str">
        <x:v>pollachius virens</x:v>
      </x:c>
      <x:c r="O6" s="62" t="n">
        <x:v>4.31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Pollachius virens</x:v>
      </x:c>
      <x:c r="T6" s="62" t="n">
        <x:f>IF(O6="","",(1/'Metadata'!$B$5)^(O6-1))</x:f>
        <x:v>20249.266010115305</x:v>
      </x:c>
      <x:c r="U6" s="60" t="n">
        <x:f>IF(T6="","",I6*T6)</x:f>
        <x:v>4600293729.02429</x:v>
      </x:c>
    </x:row>
    <x:row r="7" ht="18" customHeight="1">
      <x:c r="A7" s="46" t="str">
        <x:v>LME_022</x:v>
      </x:c>
      <x:c r="B7" s="46" t="str">
        <x:v>North Sea</x:v>
      </x:c>
      <x:c r="C7" s="46" t="str">
        <x:v>LME</x:v>
      </x:c>
      <x:c r="D7" s="58" t="n">
        <x:v>2019</x:v>
      </x:c>
      <x:c r="E7" s="46" t="str">
        <x:v>Sprattus sprattus</x:v>
      </x:c>
      <x:c r="F7" s="46" t="str">
        <x:v>European sprat</x:v>
      </x:c>
      <x:c r="G7" s="46" t="str">
        <x:v>Small pelagics (&lt;30 cm)</x:v>
      </x:c>
      <x:c r="H7" s="46" t="str">
        <x:v>Herring-likes</x:v>
      </x:c>
      <x:c r="I7" s="60" t="n">
        <x:v>139605.1373217339</x:v>
      </x:c>
      <x:c r="J7" s="60" t="n">
        <x:v>139196.0670698655</x:v>
      </x:c>
      <x:c r="K7" s="60" t="n">
        <x:v>409.0702518684</x:v>
      </x:c>
      <x:c r="L7" s="60" t="n">
        <x:v>138462.82673908919</x:v>
      </x:c>
      <x:c r="M7" s="60" t="n">
        <x:v>1142.3105826447</x:v>
      </x:c>
      <x:c r="N7" s="46" t="str">
        <x:v>sprattus sprattus</x:v>
      </x:c>
      <x:c r="O7" s="62" t="n">
        <x:v>3.01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Sprattus sprattus</x:v>
      </x:c>
      <x:c r="T7" s="62" t="n">
        <x:f>IF(O7="","",(1/'Metadata'!$B$5)^(O7-1))</x:f>
        <x:v>412.16422316450075</x:v>
      </x:c>
      <x:c r="U7" s="60" t="n">
        <x:f>IF(T7="","",I7*T7)</x:f>
        <x:v>57540242.9739859</x:v>
      </x:c>
    </x:row>
    <x:row r="8" ht="18" customHeight="1">
      <x:c r="A8" s="46" t="str">
        <x:v>LME_022</x:v>
      </x:c>
      <x:c r="B8" s="46" t="str">
        <x:v>North Sea</x:v>
      </x:c>
      <x:c r="C8" s="46" t="str">
        <x:v>LME</x:v>
      </x:c>
      <x:c r="D8" s="58" t="n">
        <x:v>2019</x:v>
      </x:c>
      <x:c r="E8" s="46" t="str">
        <x:v>Melanogrammus aeglefinus</x:v>
      </x:c>
      <x:c r="F8" s="46" t="str">
        <x:v>Haddock</x:v>
      </x:c>
      <x:c r="G8" s="46" t="str">
        <x:v>Medium demersals (30 - 89 cm)</x:v>
      </x:c>
      <x:c r="H8" s="46" t="str">
        <x:v>Cod-likes</x:v>
      </x:c>
      <x:c r="I8" s="60" t="n">
        <x:v>102265.4713982773</x:v>
      </x:c>
      <x:c r="J8" s="60" t="n">
        <x:v>99752.3584257572</x:v>
      </x:c>
      <x:c r="K8" s="60" t="n">
        <x:v>2513.1129725201</x:v>
      </x:c>
      <x:c r="L8" s="60" t="n">
        <x:v>99734.2630247</x:v>
      </x:c>
      <x:c r="M8" s="60" t="n">
        <x:v>2531.2083735773</x:v>
      </x:c>
      <x:c r="N8" s="46" t="str">
        <x:v>melanogrammus aeglefinus</x:v>
      </x:c>
      <x:c r="O8" s="62" t="n">
        <x:v>4.03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Melanogrammus aeglefinus</x:v>
      </x:c>
      <x:c r="T8" s="62" t="n">
        <x:f>IF(O8="","",(1/'Metadata'!$B$5)^(O8-1))</x:f>
        <x:v>8752.273628615554</x:v>
      </x:c>
      <x:c r="U8" s="60" t="n">
        <x:f>IF(T8="","",I8*T8)</x:f>
        <x:v>895055388.4370806</x:v>
      </x:c>
    </x:row>
    <x:row r="9" ht="18" customHeight="1">
      <x:c r="A9" s="46" t="str">
        <x:v>LME_022</x:v>
      </x:c>
      <x:c r="B9" s="46" t="str">
        <x:v>North Sea</x:v>
      </x:c>
      <x:c r="C9" s="46" t="str">
        <x:v>LME</x:v>
      </x:c>
      <x:c r="D9" s="58" t="n">
        <x:v>2019</x:v>
      </x:c>
      <x:c r="E9" s="46" t="str">
        <x:v>Pleuronectes platessa</x:v>
      </x:c>
      <x:c r="F9" s="46" t="str">
        <x:v>European plaice</x:v>
      </x:c>
      <x:c r="G9" s="46" t="str">
        <x:v>Large flatfishes (&gt;=90 cm)</x:v>
      </x:c>
      <x:c r="H9" s="46" t="str">
        <x:v>Flatfishes</x:v>
      </x:c>
      <x:c r="I9" s="60" t="n">
        <x:v>83480.5799195732</x:v>
      </x:c>
      <x:c r="J9" s="60" t="n">
        <x:v>53695.3863444092</x:v>
      </x:c>
      <x:c r="K9" s="60" t="n">
        <x:v>29785.193575164</x:v>
      </x:c>
      <x:c r="L9" s="60" t="n">
        <x:v>52277.795431635794</x:v>
      </x:c>
      <x:c r="M9" s="60" t="n">
        <x:v>31202.7844879374</x:v>
      </x:c>
      <x:c r="N9" s="46" t="str">
        <x:v>pleuronectes platessa</x:v>
      </x:c>
      <x:c r="O9" s="62" t="n">
        <x:v>3.26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Pleuronectes platessa</x:v>
      </x:c>
      <x:c r="T9" s="62" t="n">
        <x:f>IF(O9="","",(1/'Metadata'!$B$5)^(O9-1))</x:f>
        <x:v>871.6212107848935</x:v>
      </x:c>
      <x:c r="U9" s="60" t="n">
        <x:f>IF(T9="","",I9*T9)</x:f>
        <x:v>72763444.14652346</x:v>
      </x:c>
    </x:row>
    <x:row r="10" ht="18" customHeight="1">
      <x:c r="A10" s="46" t="str">
        <x:v>LME_022</x:v>
      </x:c>
      <x:c r="B10" s="46" t="str">
        <x:v>North Sea</x:v>
      </x:c>
      <x:c r="C10" s="46" t="str">
        <x:v>LME</x:v>
      </x:c>
      <x:c r="D10" s="58" t="n">
        <x:v>2019</x:v>
      </x:c>
      <x:c r="E10" s="46" t="str">
        <x:v>Trisopterus esmarkii</x:v>
      </x:c>
      <x:c r="F10" s="46" t="str">
        <x:v>Norway pout</x:v>
      </x:c>
      <x:c r="G10" s="46" t="str">
        <x:v>Medium benthopelagics (30 - 89 cm)</x:v>
      </x:c>
      <x:c r="H10" s="46" t="str">
        <x:v>Cod-likes</x:v>
      </x:c>
      <x:c r="I10" s="60" t="n">
        <x:v>71906.6809363214</x:v>
      </x:c>
      <x:c r="J10" s="60" t="n">
        <x:v>71306.6910712482</x:v>
      </x:c>
      <x:c r="K10" s="60" t="n">
        <x:v>599.9898650732</x:v>
      </x:c>
      <x:c r="L10" s="60" t="n">
        <x:v>71116.5007079847</x:v>
      </x:c>
      <x:c r="M10" s="60" t="n">
        <x:v>790.1802283367</x:v>
      </x:c>
      <x:c r="N10" s="46" t="str">
        <x:v>trisopterus esmarkii</x:v>
      </x:c>
      <x:c r="O10" s="62" t="n">
        <x:v>3.24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Trisopterus esmarkii</x:v>
      </x:c>
      <x:c r="T10" s="62" t="n">
        <x:f>IF(O10="","",(1/'Metadata'!$B$5)^(O10-1))</x:f>
        <x:v>820.9320103116679</x:v>
      </x:c>
      <x:c r="U10" s="60" t="n">
        <x:f>IF(T10="","",I10*T10)</x:f>
        <x:v>59030496.135894015</x:v>
      </x:c>
    </x:row>
    <x:row r="11" ht="18" customHeight="1">
      <x:c r="A11" s="46" t="str">
        <x:v>LME_022</x:v>
      </x:c>
      <x:c r="B11" s="46" t="str">
        <x:v>North Sea</x:v>
      </x:c>
      <x:c r="C11" s="46" t="str">
        <x:v>LME</x:v>
      </x:c>
      <x:c r="D11" s="58" t="n">
        <x:v>2019</x:v>
      </x:c>
      <x:c r="E11" s="46" t="str">
        <x:v>Crangon crangon</x:v>
      </x:c>
      <x:c r="F11" s="46" t="str">
        <x:v>Common shrimp</x:v>
      </x:c>
      <x:c r="G11" s="46" t="str">
        <x:v>Shrimps</x:v>
      </x:c>
      <x:c r="H11" s="46" t="str">
        <x:v>Crustaceans</x:v>
      </x:c>
      <x:c r="I11" s="60" t="n">
        <x:v>43512.9575859232</x:v>
      </x:c>
      <x:c r="J11" s="60" t="n">
        <x:v>28192.1027410712</x:v>
      </x:c>
      <x:c r="K11" s="60" t="n">
        <x:v>15320.854844852</x:v>
      </x:c>
      <x:c r="L11" s="60" t="n">
        <x:v>27119.8863333777</x:v>
      </x:c>
      <x:c r="M11" s="60" t="n">
        <x:v>16393.071252545502</x:v>
      </x:c>
      <x:c r="N11" s="46" t="str">
        <x:v>crangon crangon</x:v>
      </x:c>
      <x:c r="O11" s="62" t="n">
        <x:v>3.19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Crangon crangon</x:v>
      </x:c>
      <x:c r="T11" s="62" t="n">
        <x:f>IF(O11="","",(1/'Metadata'!$B$5)^(O11-1))</x:f>
        <x:v>706.7335205557481</x:v>
      </x:c>
      <x:c r="U11" s="60" t="n">
        <x:f>IF(T11="","",I11*T11)</x:f>
        <x:v>30752065.70449245</x:v>
      </x:c>
    </x:row>
    <x:row r="12" ht="18" customHeight="1">
      <x:c r="A12" s="46" t="str">
        <x:v>LME_022</x:v>
      </x:c>
      <x:c r="B12" s="46" t="str">
        <x:v>North Sea</x:v>
      </x:c>
      <x:c r="C12" s="46" t="str">
        <x:v>LME</x:v>
      </x:c>
      <x:c r="D12" s="58" t="n">
        <x:v>2019</x:v>
      </x:c>
      <x:c r="E12" s="46" t="str">
        <x:v>Limanda limanda</x:v>
      </x:c>
      <x:c r="F12" s="46" t="str">
        <x:v>Common dab</x:v>
      </x:c>
      <x:c r="G12" s="46" t="str">
        <x:v>Small to medium flatfishes (&lt;90 cm)</x:v>
      </x:c>
      <x:c r="H12" s="46" t="str">
        <x:v>Flatfishes</x:v>
      </x:c>
      <x:c r="I12" s="60" t="n">
        <x:v>39852.5822679941</x:v>
      </x:c>
      <x:c r="J12" s="60" t="n">
        <x:v>6032.6802699891</x:v>
      </x:c>
      <x:c r="K12" s="60" t="n">
        <x:v>33819.901998005</x:v>
      </x:c>
      <x:c r="L12" s="60" t="n">
        <x:v>5793.0866058361</x:v>
      </x:c>
      <x:c r="M12" s="60" t="n">
        <x:v>34059.495662158006</x:v>
      </x:c>
      <x:c r="N12" s="46" t="str">
        <x:v>limanda limanda</x:v>
      </x:c>
      <x:c r="O12" s="62" t="n">
        <x:v>3.29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Limanda limanda</x:v>
      </x:c>
      <x:c r="T12" s="62" t="n">
        <x:f>IF(O12="","",(1/'Metadata'!$B$5)^(O12-1))</x:f>
        <x:v>953.5834171618228</x:v>
      </x:c>
      <x:c r="U12" s="60" t="n">
        <x:f>IF(T12="","",I12*T12)</x:f>
        <x:v>38002761.58183648</x:v>
      </x:c>
    </x:row>
    <x:row r="13" ht="18" customHeight="1">
      <x:c r="A13" s="46" t="str">
        <x:v>LME_022</x:v>
      </x:c>
      <x:c r="B13" s="46" t="str">
        <x:v>North Sea</x:v>
      </x:c>
      <x:c r="C13" s="46" t="str">
        <x:v>LME</x:v>
      </x:c>
      <x:c r="D13" s="58" t="n">
        <x:v>2019</x:v>
      </x:c>
      <x:c r="E13" s="46" t="str">
        <x:v>Merlangius merlangus</x:v>
      </x:c>
      <x:c r="F13" s="46" t="str">
        <x:v>Whiting</x:v>
      </x:c>
      <x:c r="G13" s="46" t="str">
        <x:v>Medium benthopelagics (30 - 89 cm)</x:v>
      </x:c>
      <x:c r="H13" s="46" t="str">
        <x:v>Cod-likes</x:v>
      </x:c>
      <x:c r="I13" s="60" t="n">
        <x:v>32990.5702084473</x:v>
      </x:c>
      <x:c r="J13" s="60" t="n">
        <x:v>16458.378280858702</x:v>
      </x:c>
      <x:c r="K13" s="60" t="n">
        <x:v>16532.1919275886</x:v>
      </x:c>
      <x:c r="L13" s="60" t="n">
        <x:v>16155.1731229729</x:v>
      </x:c>
      <x:c r="M13" s="60" t="n">
        <x:v>16835.3970854744</x:v>
      </x:c>
      <x:c r="N13" s="46" t="str">
        <x:v>merlangius merlangus</x:v>
      </x:c>
      <x:c r="O13" s="62" t="n">
        <x:v>4.36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Merlangius merlangus</x:v>
      </x:c>
      <x:c r="T13" s="62" t="n">
        <x:f>IF(O13="","",(1/'Metadata'!$B$5)^(O13-1))</x:f>
        <x:v>23521.270987610445</x:v>
      </x:c>
      <x:c r="U13" s="60" t="n">
        <x:f>IF(T13="","",I13*T13)</x:f>
        <x:v>775980141.908677</x:v>
      </x:c>
    </x:row>
    <x:row r="14" ht="18" customHeight="1">
      <x:c r="A14" s="46" t="str">
        <x:v>LME_022</x:v>
      </x:c>
      <x:c r="B14" s="46" t="str">
        <x:v>North Sea</x:v>
      </x:c>
      <x:c r="C14" s="46" t="str">
        <x:v>LME</x:v>
      </x:c>
      <x:c r="D14" s="58" t="n">
        <x:v>2019</x:v>
      </x:c>
      <x:c r="E14" s="46" t="str">
        <x:v>Nephrops norvegicus</x:v>
      </x:c>
      <x:c r="F14" s="46" t="str">
        <x:v>Norway lobster</x:v>
      </x:c>
      <x:c r="G14" s="46" t="str">
        <x:v>Lobsters, crabs</x:v>
      </x:c>
      <x:c r="H14" s="46" t="str">
        <x:v>Crustaceans</x:v>
      </x:c>
      <x:c r="I14" s="60" t="n">
        <x:v>31733.777989601902</x:v>
      </x:c>
      <x:c r="J14" s="60" t="n">
        <x:v>29255.7869484102</x:v>
      </x:c>
      <x:c r="K14" s="60" t="n">
        <x:v>2477.9910411917</x:v>
      </x:c>
      <x:c r="L14" s="60" t="n">
        <x:v>29239.031364764898</x:v>
      </x:c>
      <x:c r="M14" s="60" t="n">
        <x:v>2494.746624837</x:v>
      </x:c>
      <x:c r="N14" s="46" t="str">
        <x:v>nephrops norvegicus</x:v>
      </x:c>
      <x:c r="O14" s="62" t="n">
        <x:v>2.87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Nephrops norvegicus</x:v>
      </x:c>
      <x:c r="T14" s="62" t="n">
        <x:f>IF(O14="","",(1/'Metadata'!$B$5)^(O14-1))</x:f>
        <x:v>270.9730451511698</x:v>
      </x:c>
      <x:c r="U14" s="60" t="n">
        <x:f>IF(T14="","",I14*T14)</x:f>
        <x:v>8598998.455993595</x:v>
      </x:c>
    </x:row>
    <x:row r="15" ht="18" customHeight="1">
      <x:c r="A15" s="46" t="str">
        <x:v>LME_022</x:v>
      </x:c>
      <x:c r="B15" s="46" t="str">
        <x:v>North Sea</x:v>
      </x:c>
      <x:c r="C15" s="46" t="str">
        <x:v>LME</x:v>
      </x:c>
      <x:c r="D15" s="58" t="n">
        <x:v>2019</x:v>
      </x:c>
      <x:c r="E15" s="46" t="str">
        <x:v>Micromesistius poutassou</x:v>
      </x:c>
      <x:c r="F15" s="46" t="str">
        <x:v>Blue whiting</x:v>
      </x:c>
      <x:c r="G15" s="46" t="str">
        <x:v>Medium benthopelagics (30 - 89 cm)</x:v>
      </x:c>
      <x:c r="H15" s="46" t="str">
        <x:v>Cod-likes</x:v>
      </x:c>
      <x:c r="I15" s="60" t="n">
        <x:v>29324.7642593663</x:v>
      </x:c>
      <x:c r="J15" s="60" t="n">
        <x:v>29263.9990204464</x:v>
      </x:c>
      <x:c r="K15" s="60" t="n">
        <x:v>60.7652389199</x:v>
      </x:c>
      <x:c r="L15" s="60" t="n">
        <x:v>29249.408256774</x:v>
      </x:c>
      <x:c r="M15" s="60" t="n">
        <x:v>75.3560025923</x:v>
      </x:c>
      <x:c r="N15" s="46" t="str">
        <x:v>micromesistius poutassou</x:v>
      </x:c>
      <x:c r="O15" s="62" t="n">
        <x:v>4.13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Micromesistius poutassou</x:v>
      </x:c>
      <x:c r="T15" s="62" t="n">
        <x:f>IF(O15="","",(1/'Metadata'!$B$5)^(O15-1))</x:f>
        <x:v>11809.292685236613</x:v>
      </x:c>
      <x:c r="U15" s="60" t="n">
        <x:f>IF(T15="","",I15*T15)</x:f>
        <x:v>346304724.0644225</x:v>
      </x:c>
    </x:row>
    <x:row r="16" ht="18" customHeight="1">
      <x:c r="A16" s="46" t="str">
        <x:v>LME_022</x:v>
      </x:c>
      <x:c r="B16" s="46" t="str">
        <x:v>North Sea</x:v>
      </x:c>
      <x:c r="C16" s="46" t="str">
        <x:v>LME</x:v>
      </x:c>
      <x:c r="D16" s="58" t="n">
        <x:v>2019</x:v>
      </x:c>
      <x:c r="E16" s="46" t="str">
        <x:v>Mytilus edulis</x:v>
      </x:c>
      <x:c r="F16" s="46" t="str">
        <x:v>Blue mussel</x:v>
      </x:c>
      <x:c r="G16" s="46" t="str">
        <x:v>Other demersal invertebrates</x:v>
      </x:c>
      <x:c r="H16" s="46" t="str">
        <x:v>Molluscs</x:v>
      </x:c>
      <x:c r="I16" s="60" t="n">
        <x:v>25797.501554568902</x:v>
      </x:c>
      <x:c r="J16" s="60" t="n">
        <x:v>25376.5907680563</x:v>
      </x:c>
      <x:c r="K16" s="60" t="n">
        <x:v>420.9107865126</x:v>
      </x:c>
      <x:c r="L16" s="60" t="n">
        <x:v>24702.6325022511</x:v>
      </x:c>
      <x:c r="M16" s="60" t="n">
        <x:v>1094.8690523178002</x:v>
      </x:c>
      <x:c r="N16" s="46" t="str">
        <x:v>mytilus edulis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Mytilus edulis</x:v>
      </x:c>
      <x:c r="T16" s="62" t="n">
        <x:f>IF(O16="","",(1/'Metadata'!$B$5)^(O16-1))</x:f>
        <x:v>20</x:v>
      </x:c>
      <x:c r="U16" s="60" t="n">
        <x:f>IF(T16="","",I16*T16)</x:f>
        <x:v>515950.03109137807</x:v>
      </x:c>
    </x:row>
    <x:row r="17" ht="18" customHeight="1">
      <x:c r="A17" s="46" t="str">
        <x:v>LME_022</x:v>
      </x:c>
      <x:c r="B17" s="46" t="str">
        <x:v>North Sea</x:v>
      </x:c>
      <x:c r="C17" s="46" t="str">
        <x:v>LME</x:v>
      </x:c>
      <x:c r="D17" s="58" t="n">
        <x:v>2019</x:v>
      </x:c>
      <x:c r="E17" s="46" t="str">
        <x:v>Cancer pagurus</x:v>
      </x:c>
      <x:c r="F17" s="46" t="str">
        <x:v>Edible crab</x:v>
      </x:c>
      <x:c r="G17" s="46" t="str">
        <x:v>Lobsters, crabs</x:v>
      </x:c>
      <x:c r="H17" s="46" t="str">
        <x:v>Crustaceans</x:v>
      </x:c>
      <x:c r="I17" s="60" t="n">
        <x:v>22780.4458481384</x:v>
      </x:c>
      <x:c r="J17" s="60" t="n">
        <x:v>21529.1901233379</x:v>
      </x:c>
      <x:c r="K17" s="60" t="n">
        <x:v>1251.2557248005</x:v>
      </x:c>
      <x:c r="L17" s="60" t="n">
        <x:v>21527.5144853643</x:v>
      </x:c>
      <x:c r="M17" s="60" t="n">
        <x:v>1252.9313627740999</x:v>
      </x:c>
      <x:c r="N17" s="46" t="str">
        <x:v>cancer pagurus</x:v>
      </x:c>
      <x:c r="O17" s="62" t="n">
        <x:v>3.1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Cancer pagurus</x:v>
      </x:c>
      <x:c r="T17" s="62" t="n">
        <x:f>IF(O17="","",(1/'Metadata'!$B$5)^(O17-1))</x:f>
        <x:v>539.7131390694254</x:v>
      </x:c>
      <x:c r="U17" s="60" t="n">
        <x:f>IF(T17="","",I17*T17)</x:f>
        <x:v>12294905.938099835</x:v>
      </x:c>
    </x:row>
    <x:row r="18" ht="18" customHeight="1">
      <x:c r="A18" s="46" t="str">
        <x:v>LME_022</x:v>
      </x:c>
      <x:c r="B18" s="46" t="str">
        <x:v>North Sea</x:v>
      </x:c>
      <x:c r="C18" s="46" t="str">
        <x:v>LME</x:v>
      </x:c>
      <x:c r="D18" s="58" t="n">
        <x:v>2019</x:v>
      </x:c>
      <x:c r="E18" s="46" t="str">
        <x:v>Cerastoderma edule</x:v>
      </x:c>
      <x:c r="F18" s="46" t="str">
        <x:v>Common cockle</x:v>
      </x:c>
      <x:c r="G18" s="46" t="str">
        <x:v>Other demersal invertebrates</x:v>
      </x:c>
      <x:c r="H18" s="46" t="str">
        <x:v>Molluscs</x:v>
      </x:c>
      <x:c r="I18" s="60" t="n">
        <x:v>19634.197577418498</x:v>
      </x:c>
      <x:c r="J18" s="60" t="n">
        <x:v>19634.1761410709</x:v>
      </x:c>
      <x:c r="K18" s="60" t="n">
        <x:v>0.0214363476</x:v>
      </x:c>
      <x:c r="L18" s="60" t="n">
        <x:v>19634.1259298814</x:v>
      </x:c>
      <x:c r="M18" s="60" t="n">
        <x:v>0.0716475371</x:v>
      </x:c>
      <x:c r="N18" s="46" t="str">
        <x:v>cerastoderma edule</x:v>
      </x:c>
      <x:c r="O18" s="62" t="n">
        <x:v>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Cerastoderma edule</x:v>
      </x:c>
      <x:c r="T18" s="62" t="n">
        <x:f>IF(O18="","",(1/'Metadata'!$B$5)^(O18-1))</x:f>
        <x:v>20</x:v>
      </x:c>
      <x:c r="U18" s="60" t="n">
        <x:f>IF(T18="","",I18*T18)</x:f>
        <x:v>392683.95154836995</x:v>
      </x:c>
    </x:row>
    <x:row r="19" ht="18" customHeight="1">
      <x:c r="A19" s="46" t="str">
        <x:v>LME_022</x:v>
      </x:c>
      <x:c r="B19" s="46" t="str">
        <x:v>North Sea</x:v>
      </x:c>
      <x:c r="C19" s="46" t="str">
        <x:v>LME</x:v>
      </x:c>
      <x:c r="D19" s="58" t="n">
        <x:v>2019</x:v>
      </x:c>
      <x:c r="E19" s="46" t="str">
        <x:v>Sebastes norvegicus</x:v>
      </x:c>
      <x:c r="F19" s="46" t="str">
        <x:v>Golden redfish</x:v>
      </x:c>
      <x:c r="G19" s="46" t="str">
        <x:v>Medium benthopelagics (30 - 89 cm)</x:v>
      </x:c>
      <x:c r="H19" s="46" t="str">
        <x:v>Scorpionfishes</x:v>
      </x:c>
      <x:c r="I19" s="60" t="n">
        <x:v>18948.1761292704</x:v>
      </x:c>
      <x:c r="J19" s="60" t="n">
        <x:v>18948.1761141484</x:v>
      </x:c>
      <x:c r="K19" s="60" t="n">
        <x:v>0.000015122</x:v>
      </x:c>
      <x:c r="L19" s="60" t="n">
        <x:v>18948.1761141484</x:v>
      </x:c>
      <x:c r="M19" s="60" t="n">
        <x:v>0.000015122</x:v>
      </x:c>
      <x:c r="N19" s="46" t="str">
        <x:v>sebastes norvegicus</x:v>
      </x:c>
      <x:c r="O19" s="62" t="n">
        <x:v>4.04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norvegicus</x:v>
      </x:c>
      <x:c r="T19" s="62" t="n">
        <x:f>IF(O19="","",(1/'Metadata'!$B$5)^(O19-1))</x:f>
        <x:v>9018.435152653688</x:v>
      </x:c>
      <x:c r="U19" s="60" t="n">
        <x:f>IF(T19="","",I19*T19)</x:f>
        <x:v>170882897.68288568</x:v>
      </x:c>
    </x:row>
    <x:row r="20" ht="18" customHeight="1">
      <x:c r="A20" s="46" t="str">
        <x:v>LME_022</x:v>
      </x:c>
      <x:c r="B20" s="46" t="str">
        <x:v>North Sea</x:v>
      </x:c>
      <x:c r="C20" s="46" t="str">
        <x:v>LME</x:v>
      </x:c>
      <x:c r="D20" s="58" t="n">
        <x:v>2019</x:v>
      </x:c>
      <x:c r="E20" s="46" t="str">
        <x:v>Merluccius merluccius</x:v>
      </x:c>
      <x:c r="F20" s="46" t="str">
        <x:v>European hake</x:v>
      </x:c>
      <x:c r="G20" s="46" t="str">
        <x:v>Large demersals (&gt;=90 cm)</x:v>
      </x:c>
      <x:c r="H20" s="46" t="str">
        <x:v>Cod-likes</x:v>
      </x:c>
      <x:c r="I20" s="60" t="n">
        <x:v>13095.06020498</x:v>
      </x:c>
      <x:c r="J20" s="60" t="n">
        <x:v>13041.4376277176</x:v>
      </x:c>
      <x:c r="K20" s="60" t="n">
        <x:v>53.6225772624</x:v>
      </x:c>
      <x:c r="L20" s="60" t="n">
        <x:v>13038.6238014892</x:v>
      </x:c>
      <x:c r="M20" s="60" t="n">
        <x:v>56.436403490800004</x:v>
      </x:c>
      <x:c r="N20" s="46" t="str">
        <x:v>merluccius merluccius</x:v>
      </x:c>
      <x:c r="O20" s="62" t="n">
        <x:v>4.42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Merluccius merluccius</x:v>
      </x:c>
      <x:c r="T20" s="62" t="n">
        <x:f>IF(O20="","",(1/'Metadata'!$B$5)^(O20-1))</x:f>
        <x:v>28152.864182630117</x:v>
      </x:c>
      <x:c r="U20" s="60" t="n">
        <x:f>IF(T20="","",I20*T20)</x:f>
        <x:v>368663451.41416645</x:v>
      </x:c>
    </x:row>
    <x:row r="21" ht="18" customHeight="1">
      <x:c r="A21" s="46" t="str">
        <x:v>LME_022</x:v>
      </x:c>
      <x:c r="B21" s="46" t="str">
        <x:v>North Sea</x:v>
      </x:c>
      <x:c r="C21" s="46" t="str">
        <x:v>LME</x:v>
      </x:c>
      <x:c r="D21" s="58" t="n">
        <x:v>2019</x:v>
      </x:c>
      <x:c r="E21" s="46" t="str">
        <x:v>Solea solea</x:v>
      </x:c>
      <x:c r="F21" s="46" t="str">
        <x:v>Common sole</x:v>
      </x:c>
      <x:c r="G21" s="46" t="str">
        <x:v>Small to medium flatfishes (&lt;90 cm)</x:v>
      </x:c>
      <x:c r="H21" s="46" t="str">
        <x:v>Flatfishes</x:v>
      </x:c>
      <x:c r="I21" s="60" t="n">
        <x:v>12397.332052931999</x:v>
      </x:c>
      <x:c r="J21" s="60" t="n">
        <x:v>9859.679979090699</x:v>
      </x:c>
      <x:c r="K21" s="60" t="n">
        <x:v>2537.6520738412996</x:v>
      </x:c>
      <x:c r="L21" s="60" t="n">
        <x:v>9634.8317993206</x:v>
      </x:c>
      <x:c r="M21" s="60" t="n">
        <x:v>2762.5002536114</x:v>
      </x:c>
      <x:c r="N21" s="46" t="str">
        <x:v>solea solea</x:v>
      </x:c>
      <x:c r="O21" s="62" t="n">
        <x:v>3.21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Solea solea</x:v>
      </x:c>
      <x:c r="T21" s="62" t="n">
        <x:f>IF(O21="","",(1/'Metadata'!$B$5)^(O21-1))</x:f>
        <x:v>750.3714304613432</x:v>
      </x:c>
      <x:c r="U21" s="60" t="n">
        <x:f>IF(T21="","",I21*T21)</x:f>
        <x:v>9302603.786462843</x:v>
      </x:c>
    </x:row>
    <x:row r="22" ht="18" customHeight="1">
      <x:c r="A22" s="46" t="str">
        <x:v>LME_022</x:v>
      </x:c>
      <x:c r="B22" s="46" t="str">
        <x:v>North Sea</x:v>
      </x:c>
      <x:c r="C22" s="46" t="str">
        <x:v>LME</x:v>
      </x:c>
      <x:c r="D22" s="58" t="n">
        <x:v>2019</x:v>
      </x:c>
      <x:c r="E22" s="46" t="str">
        <x:v>Reinhardtius hippoglossoides</x:v>
      </x:c>
      <x:c r="F22" s="46" t="str">
        <x:v>Greenland halibut</x:v>
      </x:c>
      <x:c r="G22" s="46" t="str">
        <x:v>Small to medium flatfishes (&lt;90 cm)</x:v>
      </x:c>
      <x:c r="H22" s="46" t="str">
        <x:v>Flatfishes</x:v>
      </x:c>
      <x:c r="I22" s="60" t="n">
        <x:v>12093.7188672623</x:v>
      </x:c>
      <x:c r="J22" s="60" t="n">
        <x:v>12093.7187713988</x:v>
      </x:c>
      <x:c r="K22" s="60" t="n">
        <x:v>0.00009586350000000001</x:v>
      </x:c>
      <x:c r="L22" s="60" t="n">
        <x:v>12093.7187713988</x:v>
      </x:c>
      <x:c r="M22" s="60" t="n">
        <x:v>0.00009586350000000001</x:v>
      </x:c>
      <x:c r="N22" s="46" t="str">
        <x:v>reinhardtius hippoglossoides</x:v>
      </x:c>
      <x:c r="O22" s="62" t="n">
        <x:v>4.38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Reinhardtius hippoglossoides</x:v>
      </x:c>
      <x:c r="T22" s="62" t="n">
        <x:f>IF(O22="","",(1/'Metadata'!$B$5)^(O22-1))</x:f>
        <x:v>24973.6134538561</x:v>
      </x:c>
      <x:c r="U22" s="60" t="n">
        <x:f>IF(T22="","",I22*T22)</x:f>
        <x:v>302023860.2106151</x:v>
      </x:c>
    </x:row>
    <x:row r="23" ht="18" customHeight="1">
      <x:c r="A23" s="46" t="str">
        <x:v>LME_022</x:v>
      </x:c>
      <x:c r="B23" s="46" t="str">
        <x:v>North Sea</x:v>
      </x:c>
      <x:c r="C23" s="46" t="str">
        <x:v>LME</x:v>
      </x:c>
      <x:c r="D23" s="58" t="n">
        <x:v>2019</x:v>
      </x:c>
      <x:c r="E23" s="46" t="str">
        <x:v>Molva molva</x:v>
      </x:c>
      <x:c r="F23" s="46" t="str">
        <x:v>Ling</x:v>
      </x:c>
      <x:c r="G23" s="46" t="str">
        <x:v>Large demersals (&gt;=90 cm)</x:v>
      </x:c>
      <x:c r="H23" s="46" t="str">
        <x:v>Cod-likes</x:v>
      </x:c>
      <x:c r="I23" s="60" t="n">
        <x:v>9596.4355054869</x:v>
      </x:c>
      <x:c r="J23" s="60" t="n">
        <x:v>9589.0388163484</x:v>
      </x:c>
      <x:c r="K23" s="60" t="n">
        <x:v>7.3966891385</x:v>
      </x:c>
      <x:c r="L23" s="60" t="n">
        <x:v>9586.700157229801</x:v>
      </x:c>
      <x:c r="M23" s="60" t="n">
        <x:v>9.7353482571</x:v>
      </x:c>
      <x:c r="N23" s="46" t="str">
        <x:v>molva molva</x:v>
      </x:c>
      <x:c r="O23" s="62" t="n">
        <x:v>4.4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Molva molva</x:v>
      </x:c>
      <x:c r="T23" s="62" t="n">
        <x:f>IF(O23="","",(1/'Metadata'!$B$5)^(O23-1))</x:f>
        <x:v>26515.632138719924</x:v>
      </x:c>
      <x:c r="U23" s="60" t="n">
        <x:f>IF(T23="","",I23*T23)</x:f>
        <x:v>254455553.7064414</x:v>
      </x:c>
    </x:row>
    <x:row r="24" ht="18" customHeight="1">
      <x:c r="A24" s="46" t="str">
        <x:v>LME_022</x:v>
      </x:c>
      <x:c r="B24" s="46" t="str">
        <x:v>North Sea</x:v>
      </x:c>
      <x:c r="C24" s="46" t="str">
        <x:v>LME</x:v>
      </x:c>
      <x:c r="D24" s="58" t="n">
        <x:v>2019</x:v>
      </x:c>
      <x:c r="E24" s="46" t="str">
        <x:v>Lophiidae</x:v>
      </x:c>
      <x:c r="F24" s="46" t="str">
        <x:v>Goosefishes</x:v>
      </x:c>
      <x:c r="G24" s="46" t="str">
        <x:v>Medium bathydemersals (30 - 89 cm)</x:v>
      </x:c>
      <x:c r="H24" s="46" t="str">
        <x:v>Other fishes &amp; inverts</x:v>
      </x:c>
      <x:c r="I24" s="60" t="n">
        <x:v>8915.3048922328</x:v>
      </x:c>
      <x:c r="J24" s="60" t="n">
        <x:v>8914.310644893</x:v>
      </x:c>
      <x:c r="K24" s="60" t="n">
        <x:v>0.9942473398</x:v>
      </x:c>
      <x:c r="L24" s="60" t="n">
        <x:v>8911.442644919</x:v>
      </x:c>
      <x:c r="M24" s="60" t="n">
        <x:v>3.8622473138</x:v>
      </x:c>
      <x:c r="N24" s="46" t="str">
        <x:v>lophiidae</x:v>
      </x:c>
      <x:c r="O24" s="62" t="n">
        <x:v>4.46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Lophiidae</x:v>
      </x:c>
      <x:c r="T24" s="62" t="n">
        <x:f>IF(O24="","",(1/'Metadata'!$B$5)^(O24-1))</x:f>
        <x:v>31736.84749906455</x:v>
      </x:c>
      <x:c r="U24" s="60" t="n">
        <x:f>IF(T24="","",I24*T24)</x:f>
        <x:v>282943671.77245647</x:v>
      </x:c>
    </x:row>
    <x:row r="25" ht="18" customHeight="1">
      <x:c r="A25" s="46" t="str">
        <x:v>LME_022</x:v>
      </x:c>
      <x:c r="B25" s="46" t="str">
        <x:v>North Sea</x:v>
      </x:c>
      <x:c r="C25" s="46" t="str">
        <x:v>LME</x:v>
      </x:c>
      <x:c r="D25" s="58" t="n">
        <x:v>2019</x:v>
      </x:c>
      <x:c r="E25" s="46" t="str">
        <x:v>Buccinum undatum</x:v>
      </x:c>
      <x:c r="F25" s="46" t="str">
        <x:v>Whelk</x:v>
      </x:c>
      <x:c r="G25" s="46" t="str">
        <x:v>Other demersal invertebrates</x:v>
      </x:c>
      <x:c r="H25" s="46" t="str">
        <x:v>Molluscs</x:v>
      </x:c>
      <x:c r="I25" s="60" t="n">
        <x:v>7290.315958404601</x:v>
      </x:c>
      <x:c r="J25" s="60" t="n">
        <x:v>7290.3049358747</x:v>
      </x:c>
      <x:c r="K25" s="60" t="n">
        <x:v>0.0110225299</x:v>
      </x:c>
      <x:c r="L25" s="60" t="n">
        <x:v>7289.808151150501</x:v>
      </x:c>
      <x:c r="M25" s="60" t="n">
        <x:v>0.5078072541</x:v>
      </x:c>
      <x:c r="N25" s="46" t="str">
        <x:v>buccinum undatum</x:v>
      </x:c>
      <x:c r="O25" s="62" t="n">
        <x:v>3.75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Buccinum undatum</x:v>
      </x:c>
      <x:c r="T25" s="62" t="n">
        <x:f>IF(O25="","",(1/'Metadata'!$B$5)^(O25-1))</x:f>
        <x:v>3782.966436012703</x:v>
      </x:c>
      <x:c r="U25" s="60" t="n">
        <x:f>IF(T25="","",I25*T25)</x:f>
        <x:v>27579020.578572385</x:v>
      </x:c>
    </x:row>
    <x:row r="26" ht="18" customHeight="1">
      <x:c r="A26" s="46" t="str">
        <x:v>LME_022</x:v>
      </x:c>
      <x:c r="B26" s="46" t="str">
        <x:v>North Sea</x:v>
      </x:c>
      <x:c r="C26" s="46" t="str">
        <x:v>LME</x:v>
      </x:c>
      <x:c r="D26" s="58" t="n">
        <x:v>2019</x:v>
      </x:c>
      <x:c r="E26" s="46" t="str">
        <x:v>Spisula solida</x:v>
      </x:c>
      <x:c r="F26" s="46" t="str">
        <x:v>Surf clam</x:v>
      </x:c>
      <x:c r="G26" s="46" t="str">
        <x:v>Other demersal invertebrates</x:v>
      </x:c>
      <x:c r="H26" s="46" t="str">
        <x:v>Molluscs</x:v>
      </x:c>
      <x:c r="I26" s="60" t="n">
        <x:v>6187.0913371517</x:v>
      </x:c>
      <x:c r="J26" s="60" t="n">
        <x:v>6187.0913371517</x:v>
      </x:c>
      <x:c r="K26" s="60" t="n">
        <x:v>0</x:v>
      </x:c>
      <x:c r="L26" s="60" t="n">
        <x:v>6187.0913371517</x:v>
      </x:c>
      <x:c r="M26" s="60" t="n">
        <x:v>0</x:v>
      </x:c>
      <x:c r="N26" s="46" t="str">
        <x:v>spisula solida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Spisula solida</x:v>
      </x:c>
      <x:c r="T26" s="62" t="n">
        <x:f>IF(O26="","",(1/'Metadata'!$B$5)^(O26-1))</x:f>
        <x:v>20</x:v>
      </x:c>
      <x:c r="U26" s="60" t="n">
        <x:f>IF(T26="","",I26*T26)</x:f>
        <x:v>123741.826743034</x:v>
      </x:c>
    </x:row>
    <x:row r="27" ht="18" customHeight="1">
      <x:c r="A27" s="46" t="str">
        <x:v>LME_022</x:v>
      </x:c>
      <x:c r="B27" s="46" t="str">
        <x:v>North Sea</x:v>
      </x:c>
      <x:c r="C27" s="46" t="str">
        <x:v>LME</x:v>
      </x:c>
      <x:c r="D27" s="58" t="n">
        <x:v>2019</x:v>
      </x:c>
      <x:c r="E27" s="46" t="str">
        <x:v>Ensis siliqua</x:v>
      </x:c>
      <x:c r="F27" s="46" t="str">
        <x:v>Sword razor shell</x:v>
      </x:c>
      <x:c r="G27" s="46" t="str">
        <x:v>Other demersal invertebrates</x:v>
      </x:c>
      <x:c r="H27" s="46" t="str">
        <x:v>Molluscs</x:v>
      </x:c>
      <x:c r="I27" s="60" t="n">
        <x:v>6173.2903199318</x:v>
      </x:c>
      <x:c r="J27" s="60" t="n">
        <x:v>6173.2903199318</x:v>
      </x:c>
      <x:c r="K27" s="60" t="n">
        <x:v>0</x:v>
      </x:c>
      <x:c r="L27" s="60" t="n">
        <x:v>6173.2903199318</x:v>
      </x:c>
      <x:c r="M27" s="60" t="n">
        <x:v>0</x:v>
      </x:c>
      <x:c r="N27" s="46" t="str">
        <x:v>ensis siliqua</x:v>
      </x:c>
      <x:c r="O27" s="62" t="n">
        <x:v>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Ensis siliqua</x:v>
      </x:c>
      <x:c r="T27" s="62" t="n">
        <x:f>IF(O27="","",(1/'Metadata'!$B$5)^(O27-1))</x:f>
        <x:v>20</x:v>
      </x:c>
      <x:c r="U27" s="60" t="n">
        <x:f>IF(T27="","",I27*T27)</x:f>
        <x:v>123465.80639863599</x:v>
      </x:c>
    </x:row>
    <x:row r="28" ht="18" customHeight="1">
      <x:c r="A28" s="46" t="str">
        <x:v>LME_022</x:v>
      </x:c>
      <x:c r="B28" s="46" t="str">
        <x:v>North Sea</x:v>
      </x:c>
      <x:c r="C28" s="46" t="str">
        <x:v>LME</x:v>
      </x:c>
      <x:c r="D28" s="58" t="n">
        <x:v>2019</x:v>
      </x:c>
      <x:c r="E28" s="46" t="str">
        <x:v>Pecten maximus</x:v>
      </x:c>
      <x:c r="F28" s="46" t="str">
        <x:v>Great Atlantic scallop</x:v>
      </x:c>
      <x:c r="G28" s="46" t="str">
        <x:v>Other demersal invertebrates</x:v>
      </x:c>
      <x:c r="H28" s="46" t="str">
        <x:v>Molluscs</x:v>
      </x:c>
      <x:c r="I28" s="60" t="n">
        <x:v>6080.2103002732</x:v>
      </x:c>
      <x:c r="J28" s="60" t="n">
        <x:v>6080.2102879413</x:v>
      </x:c>
      <x:c r="K28" s="60" t="n">
        <x:v>0.0000123319</x:v>
      </x:c>
      <x:c r="L28" s="60" t="n">
        <x:v>6080.2021012781</x:v>
      </x:c>
      <x:c r="M28" s="60" t="n">
        <x:v>0.0081989951</x:v>
      </x:c>
      <x:c r="N28" s="46" t="str">
        <x:v>pecten maximus</x:v>
      </x:c>
      <x:c r="O28" s="62" t="n">
        <x:v>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Pecten maximus</x:v>
      </x:c>
      <x:c r="T28" s="62" t="n">
        <x:f>IF(O28="","",(1/'Metadata'!$B$5)^(O28-1))</x:f>
        <x:v>20</x:v>
      </x:c>
      <x:c r="U28" s="60" t="n">
        <x:f>IF(T28="","",I28*T28)</x:f>
        <x:v>121604.206005464</x:v>
      </x:c>
    </x:row>
    <x:row r="29" ht="18" customHeight="1">
      <x:c r="A29" s="46" t="str">
        <x:v>LME_022</x:v>
      </x:c>
      <x:c r="B29" s="46" t="str">
        <x:v>North Sea</x:v>
      </x:c>
      <x:c r="C29" s="46" t="str">
        <x:v>LME</x:v>
      </x:c>
      <x:c r="D29" s="58" t="n">
        <x:v>2019</x:v>
      </x:c>
      <x:c r="E29" s="46" t="str">
        <x:v>Eutrigla gurnardus</x:v>
      </x:c>
      <x:c r="F29" s="46" t="str">
        <x:v>Grey gurnard</x:v>
      </x:c>
      <x:c r="G29" s="46" t="str">
        <x:v>Medium demersals (30 - 89 cm)</x:v>
      </x:c>
      <x:c r="H29" s="46" t="str">
        <x:v>Scorpionfishes</x:v>
      </x:c>
      <x:c r="I29" s="60" t="n">
        <x:v>4408.765702537</x:v>
      </x:c>
      <x:c r="J29" s="60" t="n">
        <x:v>1392.2441474925</x:v>
      </x:c>
      <x:c r="K29" s="60" t="n">
        <x:v>3016.5215550445</x:v>
      </x:c>
      <x:c r="L29" s="60" t="n">
        <x:v>1391.5132274052</x:v>
      </x:c>
      <x:c r="M29" s="60" t="n">
        <x:v>3017.2524751317997</x:v>
      </x:c>
      <x:c r="N29" s="46" t="str">
        <x:v>eutrigla gurnardus</x:v>
      </x:c>
      <x:c r="O29" s="62" t="n">
        <x:v>3.87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Eutrigla gurnardus</x:v>
      </x:c>
      <x:c r="T29" s="62" t="n">
        <x:f>IF(O29="","",(1/'Metadata'!$B$5)^(O29-1))</x:f>
        <x:v>5419.460903023396</x:v>
      </x:c>
      <x:c r="U29" s="60" t="n">
        <x:f>IF(T29="","",I29*T29)</x:f>
        <x:v>23893133.355489746</x:v>
      </x:c>
    </x:row>
    <x:row r="30" ht="18" customHeight="1">
      <x:c r="A30" s="46" t="str">
        <x:v>LME_022</x:v>
      </x:c>
      <x:c r="B30" s="46" t="str">
        <x:v>North Sea</x:v>
      </x:c>
      <x:c r="C30" s="46" t="str">
        <x:v>LME</x:v>
      </x:c>
      <x:c r="D30" s="58" t="n">
        <x:v>2019</x:v>
      </x:c>
      <x:c r="E30" s="46" t="str">
        <x:v>Lophius piscatorius</x:v>
      </x:c>
      <x:c r="F30" s="46" t="str">
        <x:v>Angler</x:v>
      </x:c>
      <x:c r="G30" s="46" t="str">
        <x:v>Large bathydemersals (&gt;=90 cm)</x:v>
      </x:c>
      <x:c r="H30" s="46" t="str">
        <x:v>Other fishes &amp; inverts</x:v>
      </x:c>
      <x:c r="I30" s="60" t="n">
        <x:v>3856.4059859588</x:v>
      </x:c>
      <x:c r="J30" s="60" t="n">
        <x:v>3503.0147746251</x:v>
      </x:c>
      <x:c r="K30" s="60" t="n">
        <x:v>353.39121133369997</x:v>
      </x:c>
      <x:c r="L30" s="60" t="n">
        <x:v>3500.5192436435</x:v>
      </x:c>
      <x:c r="M30" s="60" t="n">
        <x:v>355.8867423153</x:v>
      </x:c>
      <x:c r="N30" s="46" t="str">
        <x:v>lophius piscatorius</x:v>
      </x:c>
      <x:c r="O30" s="62" t="n">
        <x:v>4.45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Lophius piscatorius</x:v>
      </x:c>
      <x:c r="T30" s="62" t="n">
        <x:f>IF(O30="","",(1/'Metadata'!$B$5)^(O30-1))</x:f>
        <x:v>30800.19634445362</x:v>
      </x:c>
      <x:c r="U30" s="60" t="n">
        <x:f>IF(T30="","",I30*T30)</x:f>
        <x:v>118778061.55145729</x:v>
      </x:c>
    </x:row>
    <x:row r="31" ht="18" customHeight="1">
      <x:c r="A31" s="46" t="str">
        <x:v>LME_022</x:v>
      </x:c>
      <x:c r="B31" s="46" t="str">
        <x:v>North Sea</x:v>
      </x:c>
      <x:c r="C31" s="46" t="str">
        <x:v>LME</x:v>
      </x:c>
      <x:c r="D31" s="58" t="n">
        <x:v>2019</x:v>
      </x:c>
      <x:c r="E31" s="46" t="str">
        <x:v>Scophthalmus maximus</x:v>
      </x:c>
      <x:c r="F31" s="46" t="str">
        <x:v>Turbot</x:v>
      </x:c>
      <x:c r="G31" s="46" t="str">
        <x:v>Large flatfishes (&gt;=90 cm)</x:v>
      </x:c>
      <x:c r="H31" s="46" t="str">
        <x:v>Flatfishes</x:v>
      </x:c>
      <x:c r="I31" s="60" t="n">
        <x:v>3383.8208053058997</x:v>
      </x:c>
      <x:c r="J31" s="60" t="n">
        <x:v>3337.9176969792998</x:v>
      </x:c>
      <x:c r="K31" s="60" t="n">
        <x:v>45.9031083266</x:v>
      </x:c>
      <x:c r="L31" s="60" t="n">
        <x:v>3334.7256615962</x:v>
      </x:c>
      <x:c r="M31" s="60" t="n">
        <x:v>49.095143709700004</x:v>
      </x:c>
      <x:c r="N31" s="46" t="str">
        <x:v>scophthalmus maximus</x:v>
      </x:c>
      <x:c r="O31" s="62" t="n">
        <x:v>4.36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Scophthalmus maximus</x:v>
      </x:c>
      <x:c r="T31" s="62" t="n">
        <x:f>IF(O31="","",(1/'Metadata'!$B$5)^(O31-1))</x:f>
        <x:v>23521.270987610445</x:v>
      </x:c>
      <x:c r="U31" s="60" t="n">
        <x:f>IF(T31="","",I31*T31)</x:f>
        <x:v>79591766.13511427</x:v>
      </x:c>
    </x:row>
    <x:row r="32" ht="18" customHeight="1">
      <x:c r="A32" s="46" t="str">
        <x:v>LME_022</x:v>
      </x:c>
      <x:c r="B32" s="46" t="str">
        <x:v>North Sea</x:v>
      </x:c>
      <x:c r="C32" s="46" t="str">
        <x:v>LME</x:v>
      </x:c>
      <x:c r="D32" s="58" t="n">
        <x:v>2019</x:v>
      </x:c>
      <x:c r="E32" s="46" t="str">
        <x:v>Pandalus borealis</x:v>
      </x:c>
      <x:c r="F32" s="46" t="str">
        <x:v>Northern prawn</x:v>
      </x:c>
      <x:c r="G32" s="46" t="str">
        <x:v>Shrimps</x:v>
      </x:c>
      <x:c r="H32" s="46" t="str">
        <x:v>Crustaceans</x:v>
      </x:c>
      <x:c r="I32" s="60" t="n">
        <x:v>3344.0473043697</x:v>
      </x:c>
      <x:c r="J32" s="60" t="n">
        <x:v>3243.0336916611</x:v>
      </x:c>
      <x:c r="K32" s="60" t="n">
        <x:v>101.0136127086</x:v>
      </x:c>
      <x:c r="L32" s="60" t="n">
        <x:v>2985.5445554758003</x:v>
      </x:c>
      <x:c r="M32" s="60" t="n">
        <x:v>358.5027488939</x:v>
      </x:c>
      <x:c r="N32" s="46" t="str">
        <x:v>pandalus borealis</x:v>
      </x:c>
      <x:c r="O32" s="62" t="n">
        <x:v>3.07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Pandalus borealis</x:v>
      </x:c>
      <x:c r="T32" s="62" t="n">
        <x:f>IF(O32="","",(1/'Metadata'!$B$5)^(O32-1))</x:f>
        <x:v>493.32382598718914</x:v>
      </x:c>
      <x:c r="U32" s="60" t="n">
        <x:f>IF(T32="","",I32*T32)</x:f>
        <x:v>1649698.2104738068</x:v>
      </x:c>
    </x:row>
    <x:row r="33" ht="18" customHeight="1">
      <x:c r="A33" s="46" t="str">
        <x:v>LME_022</x:v>
      </x:c>
      <x:c r="B33" s="46" t="str">
        <x:v>North Sea</x:v>
      </x:c>
      <x:c r="C33" s="46" t="str">
        <x:v>LME</x:v>
      </x:c>
      <x:c r="D33" s="58" t="n">
        <x:v>2019</x:v>
      </x:c>
      <x:c r="E33" s="46" t="str">
        <x:v>Microstomus kitt</x:v>
      </x:c>
      <x:c r="F33" s="46" t="str">
        <x:v>Lemon sole</x:v>
      </x:c>
      <x:c r="G33" s="46" t="str">
        <x:v>Small to medium flatfishes (&lt;90 cm)</x:v>
      </x:c>
      <x:c r="H33" s="46" t="str">
        <x:v>Flatfishes</x:v>
      </x:c>
      <x:c r="I33" s="60" t="n">
        <x:v>3118.5687371925</x:v>
      </x:c>
      <x:c r="J33" s="60" t="n">
        <x:v>2961.7681698240003</x:v>
      </x:c>
      <x:c r="K33" s="60" t="n">
        <x:v>156.8005673685</x:v>
      </x:c>
      <x:c r="L33" s="60" t="n">
        <x:v>2961.3934362951</x:v>
      </x:c>
      <x:c r="M33" s="60" t="n">
        <x:v>157.1753008974</x:v>
      </x:c>
      <x:c r="N33" s="46" t="str">
        <x:v>microstomus kitt</x:v>
      </x:c>
      <x:c r="O33" s="62" t="n">
        <x:v>3.22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Microstomus kitt</x:v>
      </x:c>
      <x:c r="T33" s="62" t="n">
        <x:f>IF(O33="","",(1/'Metadata'!$B$5)^(O33-1))</x:f>
        <x:v>773.1906443023378</x:v>
      </x:c>
      <x:c r="U33" s="60" t="n">
        <x:f>IF(T33="","",I33*T33)</x:f>
        <x:v>2411248.171210997</x:v>
      </x:c>
    </x:row>
    <x:row r="34" ht="18" customHeight="1">
      <x:c r="A34" s="46" t="str">
        <x:v>LME_022</x:v>
      </x:c>
      <x:c r="B34" s="46" t="str">
        <x:v>North Sea</x:v>
      </x:c>
      <x:c r="C34" s="46" t="str">
        <x:v>LME</x:v>
      </x:c>
      <x:c r="D34" s="58" t="n">
        <x:v>2019</x:v>
      </x:c>
      <x:c r="E34" s="46" t="str">
        <x:v>Brosme brosme</x:v>
      </x:c>
      <x:c r="F34" s="46" t="str">
        <x:v>Tusk</x:v>
      </x:c>
      <x:c r="G34" s="46" t="str">
        <x:v>Large demersals (&gt;=90 cm)</x:v>
      </x:c>
      <x:c r="H34" s="46" t="str">
        <x:v>Cod-likes</x:v>
      </x:c>
      <x:c r="I34" s="60" t="n">
        <x:v>3001.968978168</x:v>
      </x:c>
      <x:c r="J34" s="60" t="n">
        <x:v>3001.8321730687003</x:v>
      </x:c>
      <x:c r="K34" s="60" t="n">
        <x:v>0.1368050993</x:v>
      </x:c>
      <x:c r="L34" s="60" t="n">
        <x:v>3001.6224179419</x:v>
      </x:c>
      <x:c r="M34" s="60" t="n">
        <x:v>0.3465602261</x:v>
      </x:c>
      <x:c r="N34" s="46" t="str">
        <x:v>brosme brosme</x:v>
      </x:c>
      <x:c r="O34" s="62" t="n">
        <x:v>3.9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Brosme brosme</x:v>
      </x:c>
      <x:c r="T34" s="62" t="n">
        <x:f>IF(O34="","",(1/'Metadata'!$B$5)^(O34-1))</x:f>
        <x:v>5929.07559285558</x:v>
      </x:c>
      <x:c r="U34" s="60" t="n">
        <x:f>IF(T34="","",I34*T34)</x:f>
        <x:v>17798900.998965494</x:v>
      </x:c>
    </x:row>
    <x:row r="35" ht="18" customHeight="1">
      <x:c r="A35" s="46" t="str">
        <x:v>LME_022</x:v>
      </x:c>
      <x:c r="B35" s="46" t="str">
        <x:v>North Sea</x:v>
      </x:c>
      <x:c r="C35" s="46" t="str">
        <x:v>LME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2499.7033653486</x:v>
      </x:c>
      <x:c r="J35" s="60" t="n">
        <x:v>2331.4097178919</x:v>
      </x:c>
      <x:c r="K35" s="60" t="n">
        <x:v>168.29364745669997</x:v>
      </x:c>
      <x:c r="L35" s="60" t="n">
        <x:v>2329.8141283004998</x:v>
      </x:c>
      <x:c r="M35" s="60" t="n">
        <x:v>169.8892370481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665.6333767532121</x:v>
      </x:c>
      <x:c r="U35" s="60" t="n">
        <x:f>IF(T35="","",I35*T35)</x:f>
        <x:v>1663885.991958357</x:v>
      </x:c>
    </x:row>
    <x:row r="36" ht="18" customHeight="1">
      <x:c r="A36" s="46" t="str">
        <x:v>LME_022</x:v>
      </x:c>
      <x:c r="B36" s="46" t="str">
        <x:v>North Sea</x:v>
      </x:c>
      <x:c r="C36" s="46" t="str">
        <x:v>LME</x:v>
      </x:c>
      <x:c r="D36" s="58" t="n">
        <x:v>2019</x:v>
      </x:c>
      <x:c r="E36" s="46" t="str">
        <x:v>Platichthys flesus</x:v>
      </x:c>
      <x:c r="F36" s="46" t="str">
        <x:v>European flounder</x:v>
      </x:c>
      <x:c r="G36" s="46" t="str">
        <x:v>Small to medium flatfishes (&lt;90 cm)</x:v>
      </x:c>
      <x:c r="H36" s="46" t="str">
        <x:v>Flatfishes</x:v>
      </x:c>
      <x:c r="I36" s="60" t="n">
        <x:v>2430.2208116858</x:v>
      </x:c>
      <x:c r="J36" s="60" t="n">
        <x:v>2189.2427177323</x:v>
      </x:c>
      <x:c r="K36" s="60" t="n">
        <x:v>240.97809395350004</x:v>
      </x:c>
      <x:c r="L36" s="60" t="n">
        <x:v>1935.0748509845</x:v>
      </x:c>
      <x:c r="M36" s="60" t="n">
        <x:v>495.1459607013</x:v>
      </x:c>
      <x:c r="N36" s="46" t="str">
        <x:v>platichthys flesus</x:v>
      </x:c>
      <x:c r="O36" s="62" t="n">
        <x:v>3.32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Platichthys flesus</x:v>
      </x:c>
      <x:c r="T36" s="62" t="n">
        <x:f>IF(O36="","",(1/'Metadata'!$B$5)^(O36-1))</x:f>
        <x:v>1043.2528743388143</x:v>
      </x:c>
      <x:c r="U36" s="60" t="n">
        <x:f>IF(T36="","",I36*T36)</x:f>
        <x:v>2535334.8470692174</x:v>
      </x:c>
    </x:row>
    <x:row r="37" ht="18" customHeight="1">
      <x:c r="A37" s="46" t="str">
        <x:v>LME_022</x:v>
      </x:c>
      <x:c r="B37" s="46" t="str">
        <x:v>North Sea</x:v>
      </x:c>
      <x:c r="C37" s="46" t="str">
        <x:v>LME</x:v>
      </x:c>
      <x:c r="D37" s="58" t="n">
        <x:v>2019</x:v>
      </x:c>
      <x:c r="E37" s="46" t="str">
        <x:v>Chelidonichthys lucerna</x:v>
      </x:c>
      <x:c r="F37" s="46" t="str">
        <x:v>Tub gurnard</x:v>
      </x:c>
      <x:c r="G37" s="46" t="str">
        <x:v>Medium demersals (30 - 89 cm)</x:v>
      </x:c>
      <x:c r="H37" s="46" t="str">
        <x:v>Scorpionfishes</x:v>
      </x:c>
      <x:c r="I37" s="60" t="n">
        <x:v>2346.4484213419</x:v>
      </x:c>
      <x:c r="J37" s="60" t="n">
        <x:v>1969.6898318882002</x:v>
      </x:c>
      <x:c r="K37" s="60" t="n">
        <x:v>376.75858945370004</x:v>
      </x:c>
      <x:c r="L37" s="60" t="n">
        <x:v>1968.3113639896</x:v>
      </x:c>
      <x:c r="M37" s="60" t="n">
        <x:v>378.1370573523</x:v>
      </x:c>
      <x:c r="N37" s="46" t="str">
        <x:v>chelidonichthys lucerna</x:v>
      </x:c>
      <x:c r="O37" s="62" t="n">
        <x:v>3.98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Chelidonichthys lucerna</x:v>
      </x:c>
      <x:c r="T37" s="62" t="n">
        <x:f>IF(O37="","",(1/'Metadata'!$B$5)^(O37-1))</x:f>
        <x:v>7534.759367064222</x:v>
      </x:c>
      <x:c r="U37" s="60" t="n">
        <x:f>IF(T37="","",I37*T37)</x:f>
        <x:v>17679924.222038936</x:v>
      </x:c>
    </x:row>
    <x:row r="38" ht="18" customHeight="1">
      <x:c r="A38" s="46" t="str">
        <x:v>LME_022</x:v>
      </x:c>
      <x:c r="B38" s="46" t="str">
        <x:v>North Sea</x:v>
      </x:c>
      <x:c r="C38" s="46" t="str">
        <x:v>LME</x:v>
      </x:c>
      <x:c r="D38" s="58" t="n">
        <x:v>2019</x:v>
      </x:c>
      <x:c r="E38" s="46" t="str">
        <x:v>Asterias rubens</x:v>
      </x:c>
      <x:c r="F38" s="46" t="str">
        <x:v>Red starfish</x:v>
      </x:c>
      <x:c r="G38" s="46" t="str">
        <x:v>Other demersal invertebrates</x:v>
      </x:c>
      <x:c r="H38" s="46" t="str">
        <x:v>Other fishes &amp; inverts</x:v>
      </x:c>
      <x:c r="I38" s="60" t="n">
        <x:v>2149.5259787627</x:v>
      </x:c>
      <x:c r="J38" s="60" t="n">
        <x:v>885.6697248329</x:v>
      </x:c>
      <x:c r="K38" s="60" t="n">
        <x:v>1263.8562539298</x:v>
      </x:c>
      <x:c r="L38" s="60" t="n">
        <x:v>885.6697248329</x:v>
      </x:c>
      <x:c r="M38" s="60" t="n">
        <x:v>1263.8562539298</x:v>
      </x:c>
      <x:c r="N38" s="46" t="str">
        <x:v>asterias rubens</x:v>
      </x:c>
      <x:c r="O38" s="62" t="n">
        <x:v>3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Asterias rubens</x:v>
      </x:c>
      <x:c r="T38" s="62" t="n">
        <x:f>IF(O38="","",(1/'Metadata'!$B$5)^(O38-1))</x:f>
        <x:v>400</x:v>
      </x:c>
      <x:c r="U38" s="60" t="n">
        <x:f>IF(T38="","",I38*T38)</x:f>
        <x:v>859810.39150508</x:v>
      </x:c>
    </x:row>
    <x:row r="39" ht="18" customHeight="1">
      <x:c r="A39" s="46" t="str">
        <x:v>LME_022</x:v>
      </x:c>
      <x:c r="B39" s="46" t="str">
        <x:v>North Sea</x:v>
      </x:c>
      <x:c r="C39" s="46" t="str">
        <x:v>LME</x:v>
      </x:c>
      <x:c r="D39" s="58" t="n">
        <x:v>2019</x:v>
      </x:c>
      <x:c r="E39" s="46" t="str">
        <x:v>Homarus gammarus</x:v>
      </x:c>
      <x:c r="F39" s="46" t="str">
        <x:v>European lobster</x:v>
      </x:c>
      <x:c r="G39" s="46" t="str">
        <x:v>Lobsters, crabs</x:v>
      </x:c>
      <x:c r="H39" s="46" t="str">
        <x:v>Crustaceans</x:v>
      </x:c>
      <x:c r="I39" s="60" t="n">
        <x:v>2122.5350985893</x:v>
      </x:c>
      <x:c r="J39" s="60" t="n">
        <x:v>2121.140200597</x:v>
      </x:c>
      <x:c r="K39" s="60" t="n">
        <x:v>1.3948979923</x:v>
      </x:c>
      <x:c r="L39" s="60" t="n">
        <x:v>2121.1246728592</x:v>
      </x:c>
      <x:c r="M39" s="60" t="n">
        <x:v>1.4104257301</x:v>
      </x:c>
      <x:c r="N39" s="46" t="str">
        <x:v>homarus gammarus</x:v>
      </x:c>
      <x:c r="O39" s="62" t="n">
        <x:v>3.7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Homarus gammarus</x:v>
      </x:c>
      <x:c r="T39" s="62" t="n">
        <x:f>IF(O39="","",(1/'Metadata'!$B$5)^(O39-1))</x:f>
        <x:v>3256.724252295237</x:v>
      </x:c>
      <x:c r="U39" s="60" t="n">
        <x:f>IF(T39="","",I39*T39)</x:f>
        <x:v>6912511.531923636</x:v>
      </x:c>
    </x:row>
    <x:row r="40" ht="18" customHeight="1">
      <x:c r="A40" s="46" t="str">
        <x:v>LME_022</x:v>
      </x:c>
      <x:c r="B40" s="46" t="str">
        <x:v>North Sea</x:v>
      </x:c>
      <x:c r="C40" s="46" t="str">
        <x:v>LME</x:v>
      </x:c>
      <x:c r="D40" s="58" t="n">
        <x:v>2019</x:v>
      </x:c>
      <x:c r="E40" s="46" t="str">
        <x:v>Loligo</x:v>
      </x:c>
      <x:c r="F40" s="46" t="str">
        <x:v>Common squids</x:v>
      </x:c>
      <x:c r="G40" s="46" t="str">
        <x:v>Cephalopods</x:v>
      </x:c>
      <x:c r="H40" s="46" t="str">
        <x:v>Other fishes &amp; inverts</x:v>
      </x:c>
      <x:c r="I40" s="60" t="n">
        <x:v>2099.6429809958</x:v>
      </x:c>
      <x:c r="J40" s="60" t="n">
        <x:v>2095.2092914178</x:v>
      </x:c>
      <x:c r="K40" s="60" t="n">
        <x:v>4.433689578</x:v>
      </x:c>
      <x:c r="L40" s="60" t="n">
        <x:v>2094.8954515959003</x:v>
      </x:c>
      <x:c r="M40" s="60" t="n">
        <x:v>4.7475293999</x:v>
      </x:c>
      <x:c r="N40" s="46" t="str">
        <x:v>loligo</x:v>
      </x:c>
      <x:c r="O40" s="62" t="n">
        <x:v>3.99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Loligo</x:v>
      </x:c>
      <x:c r="T40" s="62" t="n">
        <x:f>IF(O40="","",(1/'Metadata'!$B$5)^(O40-1))</x:f>
        <x:v>7763.895603143686</x:v>
      </x:c>
      <x:c r="U40" s="60" t="n">
        <x:f>IF(T40="","",I40*T40)</x:f>
        <x:v>16301408.908324791</x:v>
      </x:c>
    </x:row>
    <x:row r="41" ht="18" customHeight="1">
      <x:c r="A41" s="46" t="str">
        <x:v>LME_022</x:v>
      </x:c>
      <x:c r="B41" s="46" t="str">
        <x:v>North Sea</x:v>
      </x:c>
      <x:c r="C41" s="46" t="str">
        <x:v>LME</x:v>
      </x:c>
      <x:c r="D41" s="58" t="n">
        <x:v>2019</x:v>
      </x:c>
      <x:c r="E41" s="46" t="str">
        <x:v>Trachurus trachurus</x:v>
      </x:c>
      <x:c r="F41" s="46" t="str">
        <x:v>Atlantic horse mackerel</x:v>
      </x:c>
      <x:c r="G41" s="46" t="str">
        <x:v>Medium pelagics (30 - 89 cm)</x:v>
      </x:c>
      <x:c r="H41" s="46" t="str">
        <x:v>Perch-likes</x:v>
      </x:c>
      <x:c r="I41" s="60" t="n">
        <x:v>2025.0922774715002</x:v>
      </x:c>
      <x:c r="J41" s="60" t="n">
        <x:v>1890.8495691131</x:v>
      </x:c>
      <x:c r="K41" s="60" t="n">
        <x:v>134.2427083584</x:v>
      </x:c>
      <x:c r="L41" s="60" t="n">
        <x:v>1886.3975885938</x:v>
      </x:c>
      <x:c r="M41" s="60" t="n">
        <x:v>138.6946888777</x:v>
      </x:c>
      <x:c r="N41" s="46" t="str">
        <x:v>trachurus trachurus</x:v>
      </x:c>
      <x:c r="O41" s="62" t="n">
        <x:v>3.71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Trachurus trachurus</x:v>
      </x:c>
      <x:c r="T41" s="62" t="n">
        <x:f>IF(O41="","",(1/'Metadata'!$B$5)^(O41-1))</x:f>
        <x:v>3355.7630537706395</x:v>
      </x:c>
      <x:c r="U41" s="60" t="n">
        <x:f>IF(T41="","",I41*T41)</x:f>
        <x:v>6795729.845215101</x:v>
      </x:c>
    </x:row>
    <x:row r="42" ht="18" customHeight="1">
      <x:c r="A42" s="46" t="str">
        <x:v>LME_022</x:v>
      </x:c>
      <x:c r="B42" s="46" t="str">
        <x:v>North Sea</x:v>
      </x:c>
      <x:c r="C42" s="46" t="str">
        <x:v>LME</x:v>
      </x:c>
      <x:c r="D42" s="58" t="n">
        <x:v>2019</x:v>
      </x:c>
      <x:c r="E42" s="46" t="str">
        <x:v>Scophthalmus rhombus</x:v>
      </x:c>
      <x:c r="F42" s="46" t="str">
        <x:v>Brill</x:v>
      </x:c>
      <x:c r="G42" s="46" t="str">
        <x:v>Small to medium flatfishes (&lt;90 cm)</x:v>
      </x:c>
      <x:c r="H42" s="46" t="str">
        <x:v>Flatfishes</x:v>
      </x:c>
      <x:c r="I42" s="60" t="n">
        <x:v>1586.2689572993</x:v>
      </x:c>
      <x:c r="J42" s="60" t="n">
        <x:v>1566.4462242435</x:v>
      </x:c>
      <x:c r="K42" s="60" t="n">
        <x:v>19.8227330558</x:v>
      </x:c>
      <x:c r="L42" s="60" t="n">
        <x:v>1564.6528278597</x:v>
      </x:c>
      <x:c r="M42" s="60" t="n">
        <x:v>21.616129439599998</x:v>
      </x:c>
      <x:c r="N42" s="46" t="str">
        <x:v>scophthalmus rhombus</x:v>
      </x:c>
      <x:c r="O42" s="62" t="n">
        <x:v>4.42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Scophthalmus rhombus</x:v>
      </x:c>
      <x:c r="T42" s="62" t="n">
        <x:f>IF(O42="","",(1/'Metadata'!$B$5)^(O42-1))</x:f>
        <x:v>28152.864182630117</x:v>
      </x:c>
      <x:c r="U42" s="60" t="n">
        <x:f>IF(T42="","",I42*T42)</x:f>
        <x:v>44658014.511969484</x:v>
      </x:c>
    </x:row>
    <x:row r="43" ht="18" customHeight="1">
      <x:c r="A43" s="46" t="str">
        <x:v>LME_022</x:v>
      </x:c>
      <x:c r="B43" s="46" t="str">
        <x:v>North Sea</x:v>
      </x:c>
      <x:c r="C43" s="46" t="str">
        <x:v>LME</x:v>
      </x:c>
      <x:c r="D43" s="58" t="n">
        <x:v>2019</x:v>
      </x:c>
      <x:c r="E43" s="46" t="str">
        <x:v>Lepidorhombus</x:v>
      </x:c>
      <x:c r="F43" s="46" t="str">
        <x:v>Megrims</x:v>
      </x:c>
      <x:c r="G43" s="46" t="str">
        <x:v>Small to medium flatfishes (&lt;90 cm)</x:v>
      </x:c>
      <x:c r="H43" s="46" t="str">
        <x:v>Flatfishes</x:v>
      </x:c>
      <x:c r="I43" s="60" t="n">
        <x:v>1574.9436943660999</x:v>
      </x:c>
      <x:c r="J43" s="60" t="n">
        <x:v>1574.7670778063</x:v>
      </x:c>
      <x:c r="K43" s="60" t="n">
        <x:v>0.1766165598</x:v>
      </x:c>
      <x:c r="L43" s="60" t="n">
        <x:v>1574.7670778063</x:v>
      </x:c>
      <x:c r="M43" s="60" t="n">
        <x:v>0.1766165598</x:v>
      </x:c>
      <x:c r="N43" s="46" t="str">
        <x:v>lepidorhombus</x:v>
      </x:c>
      <x:c r="O43" s="62" t="n">
        <x:v>3.96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Lepidorhombus</x:v>
      </x:c>
      <x:c r="T43" s="62" t="n">
        <x:f>IF(O43="","",(1/'Metadata'!$B$5)^(O43-1))</x:f>
        <x:v>7096.574839945253</x:v>
      </x:c>
      <x:c r="U43" s="60" t="n">
        <x:f>IF(T43="","",I43*T43)</x:f>
        <x:v>11176705.79576889</x:v>
      </x:c>
    </x:row>
    <x:row r="44" ht="18" customHeight="1">
      <x:c r="A44" s="46" t="str">
        <x:v>LME_022</x:v>
      </x:c>
      <x:c r="B44" s="46" t="str">
        <x:v>North Sea</x:v>
      </x:c>
      <x:c r="C44" s="46" t="str">
        <x:v>LME</x:v>
      </x:c>
      <x:c r="D44" s="58" t="n">
        <x:v>2019</x:v>
      </x:c>
      <x:c r="E44" s="46" t="str">
        <x:v>Pollachius pollachius</x:v>
      </x:c>
      <x:c r="F44" s="46" t="str">
        <x:v>Pollack</x:v>
      </x:c>
      <x:c r="G44" s="46" t="str">
        <x:v>Large benthopelagics (&gt;=90 cm)</x:v>
      </x:c>
      <x:c r="H44" s="46" t="str">
        <x:v>Cod-likes</x:v>
      </x:c>
      <x:c r="I44" s="60" t="n">
        <x:v>1394.2786724469001</x:v>
      </x:c>
      <x:c r="J44" s="60" t="n">
        <x:v>1388.2377966286</x:v>
      </x:c>
      <x:c r="K44" s="60" t="n">
        <x:v>6.0408758183</x:v>
      </x:c>
      <x:c r="L44" s="60" t="n">
        <x:v>1195.6555900993</x:v>
      </x:c>
      <x:c r="M44" s="60" t="n">
        <x:v>198.62308234760002</x:v>
      </x:c>
      <x:c r="N44" s="46" t="str">
        <x:v>pollachius pollachius</x:v>
      </x:c>
      <x:c r="O44" s="62" t="n">
        <x:v>4.32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Pollachius pollachius</x:v>
      </x:c>
      <x:c r="T44" s="62" t="n">
        <x:f>IF(O44="","",(1/'Metadata'!$B$5)^(O44-1))</x:f>
        <x:v>20865.057486776313</x:v>
      </x:c>
      <x:c r="U44" s="60" t="n">
        <x:f>IF(T44="","",I44*T44)</x:f>
        <x:v>29091704.653190732</x:v>
      </x:c>
    </x:row>
    <x:row r="45" ht="18" customHeight="1">
      <x:c r="A45" s="46" t="str">
        <x:v>LME_022</x:v>
      </x:c>
      <x:c r="B45" s="46" t="str">
        <x:v>North Sea</x:v>
      </x:c>
      <x:c r="C45" s="46" t="str">
        <x:v>LME</x:v>
      </x:c>
      <x:c r="D45" s="58" t="n">
        <x:v>2019</x:v>
      </x:c>
      <x:c r="E45" s="46" t="str">
        <x:v>Elasmobranchii</x:v>
      </x:c>
      <x:c r="F45" s="46" t="str">
        <x:v>Sharks, rays, skates</x:v>
      </x:c>
      <x:c r="G45" s="46" t="str">
        <x:v>Large sharks (&gt;=90 cm)</x:v>
      </x:c>
      <x:c r="H45" s="46" t="str">
        <x:v>Sharks &amp; rays</x:v>
      </x:c>
      <x:c r="I45" s="60" t="n">
        <x:v>1255.3129505991</x:v>
      </x:c>
      <x:c r="J45" s="60" t="n">
        <x:v>1.714214915</x:v>
      </x:c>
      <x:c r="K45" s="60" t="n">
        <x:v>1253.5987356841001</x:v>
      </x:c>
      <x:c r="L45" s="60" t="n">
        <x:v>1.714214915</x:v>
      </x:c>
      <x:c r="M45" s="60" t="n">
        <x:v>1253.5987356841001</x:v>
      </x:c>
      <x:c r="N45" s="46" t="str">
        <x:v>elasmobranchii</x:v>
      </x:c>
      <x:c r="O45" s="62" t="n">
        <x:v>4.05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Elasmobranchii</x:v>
      </x:c>
      <x:c r="T45" s="62" t="n">
        <x:f>IF(O45="","",(1/'Metadata'!$B$5)^(O45-1))</x:f>
        <x:v>9292.690797132333</x:v>
      </x:c>
      <x:c r="U45" s="60" t="n">
        <x:f>IF(T45="","",I45*T45)</x:f>
        <x:v>11665235.103553291</x:v>
      </x:c>
    </x:row>
    <x:row r="46" ht="18" customHeight="1">
      <x:c r="A46" s="46" t="str">
        <x:v>LME_022</x:v>
      </x:c>
      <x:c r="B46" s="46" t="str">
        <x:v>North Sea</x:v>
      </x:c>
      <x:c r="C46" s="46" t="str">
        <x:v>LME</x:v>
      </x:c>
      <x:c r="D46" s="58" t="n">
        <x:v>2019</x:v>
      </x:c>
      <x:c r="E46" s="46" t="str">
        <x:v>Mullus surmuletus</x:v>
      </x:c>
      <x:c r="F46" s="46" t="str">
        <x:v>Surmullet</x:v>
      </x:c>
      <x:c r="G46" s="46" t="str">
        <x:v>Medium demersals (30 - 89 cm)</x:v>
      </x:c>
      <x:c r="H46" s="46" t="str">
        <x:v>Perch-likes</x:v>
      </x:c>
      <x:c r="I46" s="60" t="n">
        <x:v>1158.7233919315</x:v>
      </x:c>
      <x:c r="J46" s="60" t="n">
        <x:v>1158.7233919315</x:v>
      </x:c>
      <x:c r="K46" s="60" t="n">
        <x:v>0</x:v>
      </x:c>
      <x:c r="L46" s="60" t="n">
        <x:v>1158.4592701806998</x:v>
      </x:c>
      <x:c r="M46" s="60" t="n">
        <x:v>0.2641217508</x:v>
      </x:c>
      <x:c r="N46" s="46" t="str">
        <x:v>mullus surmuletus</x:v>
      </x:c>
      <x:c r="O46" s="62" t="n">
        <x:v>3.45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Mullus surmuletus</x:v>
      </x:c>
      <x:c r="T46" s="62" t="n">
        <x:f>IF(O46="","",(1/'Metadata'!$B$5)^(O46-1))</x:f>
        <x:v>1540.009817222681</x:v>
      </x:c>
      <x:c r="U46" s="60" t="n">
        <x:f>IF(T46="","",I46*T46)</x:f>
        <x:v>1784445.3990200742</x:v>
      </x:c>
    </x:row>
    <x:row r="47" ht="18" customHeight="1">
      <x:c r="A47" s="46" t="str">
        <x:v>LME_022</x:v>
      </x:c>
      <x:c r="B47" s="46" t="str">
        <x:v>North Sea</x:v>
      </x:c>
      <x:c r="C47" s="46" t="str">
        <x:v>LME</x:v>
      </x:c>
      <x:c r="D47" s="58" t="n">
        <x:v>2019</x:v>
      </x:c>
      <x:c r="E47" s="46" t="str">
        <x:v>Necora puber</x:v>
      </x:c>
      <x:c r="F47" s="46" t="str">
        <x:v>Velvet swimcrab</x:v>
      </x:c>
      <x:c r="G47" s="46" t="str">
        <x:v>Lobsters, crabs</x:v>
      </x:c>
      <x:c r="H47" s="46" t="str">
        <x:v>Crustaceans</x:v>
      </x:c>
      <x:c r="I47" s="60" t="n">
        <x:v>1124.4721277805</x:v>
      </x:c>
      <x:c r="J47" s="60" t="n">
        <x:v>1124.4721277805</x:v>
      </x:c>
      <x:c r="K47" s="60" t="n">
        <x:v>0</x:v>
      </x:c>
      <x:c r="L47" s="60" t="n">
        <x:v>1124.4703646682</x:v>
      </x:c>
      <x:c r="M47" s="60" t="n">
        <x:v>0.0017631123</x:v>
      </x:c>
      <x:c r="N47" s="46" t="str">
        <x:v>necora puber</x:v>
      </x:c>
      <x:c r="O47" s="62" t="n">
        <x:v>2.6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Necora puber</x:v>
      </x:c>
      <x:c r="T47" s="62" t="n">
        <x:f>IF(O47="","",(1/'Metadata'!$B$5)^(O47-1))</x:f>
        <x:v>120.6835267309033</x:v>
      </x:c>
      <x:c r="U47" s="60" t="n">
        <x:f>IF(T47="","",I47*T47)</x:f>
        <x:v>135705.26209115368</x:v>
      </x:c>
    </x:row>
    <x:row r="48" ht="18" customHeight="1">
      <x:c r="A48" s="46" t="str">
        <x:v>LME_022</x:v>
      </x:c>
      <x:c r="B48" s="46" t="str">
        <x:v>North Sea</x:v>
      </x:c>
      <x:c r="C48" s="46" t="str">
        <x:v>LME</x:v>
      </x:c>
      <x:c r="D48" s="58" t="n">
        <x:v>2019</x:v>
      </x:c>
      <x:c r="E48" s="46" t="str">
        <x:v>Anarhichas</x:v>
      </x:c>
      <x:c r="F48" s="46" t="str">
        <x:v>Wolffishes</x:v>
      </x:c>
      <x:c r="G48" s="46" t="str">
        <x:v>Large demersals (&gt;=90 cm)</x:v>
      </x:c>
      <x:c r="H48" s="46" t="str">
        <x:v>Perch-likes</x:v>
      </x:c>
      <x:c r="I48" s="60" t="n">
        <x:v>894.2730970164</x:v>
      </x:c>
      <x:c r="J48" s="60" t="n">
        <x:v>893.8510261189</x:v>
      </x:c>
      <x:c r="K48" s="60" t="n">
        <x:v>0.4220708975</x:v>
      </x:c>
      <x:c r="L48" s="60" t="n">
        <x:v>892.6981601857</x:v>
      </x:c>
      <x:c r="M48" s="60" t="n">
        <x:v>1.5749368307</x:v>
      </x:c>
      <x:c r="N48" s="46" t="str">
        <x:v>anarhichas</x:v>
      </x:c>
      <x:c r="O48" s="62" t="n">
        <x:v>3.35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Anarhichas</x:v>
      </x:c>
      <x:c r="T48" s="62" t="n">
        <x:f>IF(O48="","",(1/'Metadata'!$B$5)^(O48-1))</x:f>
        <x:v>1141.3543275066227</x:v>
      </x:c>
      <x:c r="U48" s="60" t="n">
        <x:f>IF(T48="","",I48*T48)</x:f>
        <x:v>1020682.4692524179</x:v>
      </x:c>
    </x:row>
    <x:row r="49" ht="18" customHeight="1">
      <x:c r="A49" s="46" t="str">
        <x:v>LME_022</x:v>
      </x:c>
      <x:c r="B49" s="46" t="str">
        <x:v>North Sea</x:v>
      </x:c>
      <x:c r="C49" s="46" t="str">
        <x:v>LME</x:v>
      </x:c>
      <x:c r="D49" s="58" t="n">
        <x:v>2019</x:v>
      </x:c>
      <x:c r="E49" s="46" t="str">
        <x:v>Raja clavata</x:v>
      </x:c>
      <x:c r="F49" s="46" t="str">
        <x:v>Thornback ray</x:v>
      </x:c>
      <x:c r="G49" s="46" t="str">
        <x:v>Large rays (&gt;=90 cm)</x:v>
      </x:c>
      <x:c r="H49" s="46" t="str">
        <x:v>Sharks &amp; rays</x:v>
      </x:c>
      <x:c r="I49" s="60" t="n">
        <x:v>866.0434376193</x:v>
      </x:c>
      <x:c r="J49" s="60" t="n">
        <x:v>866.0418523716</x:v>
      </x:c>
      <x:c r="K49" s="60" t="n">
        <x:v>0.0015852477000000002</x:v>
      </x:c>
      <x:c r="L49" s="60" t="n">
        <x:v>866.0164626819001</x:v>
      </x:c>
      <x:c r="M49" s="60" t="n">
        <x:v>0.026974937400000003</x:v>
      </x:c>
      <x:c r="N49" s="46" t="str">
        <x:v>raja clavata</x:v>
      </x:c>
      <x:c r="O49" s="62" t="n">
        <x:v>3.84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Raja clavata</x:v>
      </x:c>
      <x:c r="T49" s="62" t="n">
        <x:f>IF(O49="","",(1/'Metadata'!$B$5)^(O49-1))</x:f>
        <x:v>4953.648510535111</x:v>
      </x:c>
      <x:c r="U49" s="60" t="n">
        <x:f>IF(T49="","",I49*T49)</x:f>
        <x:v>4290074.784821553</x:v>
      </x:c>
    </x:row>
    <x:row r="50" ht="18" customHeight="1">
      <x:c r="A50" s="46" t="str">
        <x:v>LME_022</x:v>
      </x:c>
      <x:c r="B50" s="46" t="str">
        <x:v>North Sea</x:v>
      </x:c>
      <x:c r="C50" s="46" t="str">
        <x:v>LME</x:v>
      </x:c>
      <x:c r="D50" s="58" t="n">
        <x:v>2019</x:v>
      </x:c>
      <x:c r="E50" s="46" t="str">
        <x:v>Sepia officinalis</x:v>
      </x:c>
      <x:c r="F50" s="46" t="str">
        <x:v>Common cuttlefish</x:v>
      </x:c>
      <x:c r="G50" s="46" t="str">
        <x:v>Cephalopods</x:v>
      </x:c>
      <x:c r="H50" s="46" t="str">
        <x:v>Other fishes &amp; inverts</x:v>
      </x:c>
      <x:c r="I50" s="60" t="n">
        <x:v>805.9606851279</x:v>
      </x:c>
      <x:c r="J50" s="60" t="n">
        <x:v>805.9604834146</x:v>
      </x:c>
      <x:c r="K50" s="60" t="n">
        <x:v>0.00020171329999999998</x:v>
      </x:c>
      <x:c r="L50" s="60" t="n">
        <x:v>805.959740771</x:v>
      </x:c>
      <x:c r="M50" s="60" t="n">
        <x:v>0.0009443568999999999</x:v>
      </x:c>
      <x:c r="N50" s="46" t="str">
        <x:v>sepia officinalis</x:v>
      </x:c>
      <x:c r="O50" s="62" t="n">
        <x:v>4.27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Sepia officinalis</x:v>
      </x:c>
      <x:c r="T50" s="62" t="n">
        <x:f>IF(O50="","",(1/'Metadata'!$B$5)^(O50-1))</x:f>
        <x:v>17962.55396184286</x:v>
      </x:c>
      <x:c r="U50" s="60" t="n">
        <x:f>IF(T50="","",I50*T50)</x:f>
        <x:v>14477112.297733745</x:v>
      </x:c>
    </x:row>
    <x:row r="51" ht="18" customHeight="1">
      <x:c r="A51" s="46" t="str">
        <x:v>LME_022</x:v>
      </x:c>
      <x:c r="B51" s="46" t="str">
        <x:v>North Sea</x:v>
      </x:c>
      <x:c r="C51" s="46" t="str">
        <x:v>LME</x:v>
      </x:c>
      <x:c r="D51" s="58" t="n">
        <x:v>2019</x:v>
      </x:c>
      <x:c r="E51" s="46" t="str">
        <x:v>Triglidae</x:v>
      </x:c>
      <x:c r="F51" s="46" t="str">
        <x:v>Searobins, gurnards</x:v>
      </x:c>
      <x:c r="G51" s="46" t="str">
        <x:v>Medium demersals (30 - 89 cm)</x:v>
      </x:c>
      <x:c r="H51" s="46" t="str">
        <x:v>Scorpionfishes</x:v>
      </x:c>
      <x:c r="I51" s="60" t="n">
        <x:v>797.8349118548</x:v>
      </x:c>
      <x:c r="J51" s="60" t="n">
        <x:v>101.5307926497</x:v>
      </x:c>
      <x:c r="K51" s="60" t="n">
        <x:v>696.3041192051</x:v>
      </x:c>
      <x:c r="L51" s="60" t="n">
        <x:v>89.6904614172</x:v>
      </x:c>
      <x:c r="M51" s="60" t="n">
        <x:v>708.1444504376</x:v>
      </x:c>
      <x:c r="N51" s="46" t="str">
        <x:v>triglidae</x:v>
      </x:c>
      <x:c r="O51" s="62" t="n">
        <x:v>3.74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Triglidae</x:v>
      </x:c>
      <x:c r="T51" s="62" t="n">
        <x:f>IF(O51="","",(1/'Metadata'!$B$5)^(O51-1))</x:f>
        <x:v>3671.3195599248957</x:v>
      </x:c>
      <x:c r="U51" s="60" t="n">
        <x:f>IF(T51="","",I51*T51)</x:f>
        <x:v>2929106.917483482</x:v>
      </x:c>
    </x:row>
    <x:row r="52" ht="18" customHeight="1">
      <x:c r="A52" s="46" t="str">
        <x:v>LME_022</x:v>
      </x:c>
      <x:c r="B52" s="46" t="str">
        <x:v>North Sea</x:v>
      </x:c>
      <x:c r="C52" s="46" t="str">
        <x:v>LME</x:v>
      </x:c>
      <x:c r="D52" s="58" t="n">
        <x:v>2019</x:v>
      </x:c>
      <x:c r="E52" s="46" t="str">
        <x:v>Scombridae</x:v>
      </x:c>
      <x:c r="F52" s="46" t="str">
        <x:v>Mackerels, tunas, bonitos</x:v>
      </x:c>
      <x:c r="G52" s="46" t="str">
        <x:v>Medium pelagics (30 - 89 cm)</x:v>
      </x:c>
      <x:c r="H52" s="46" t="str">
        <x:v>Perch-likes</x:v>
      </x:c>
      <x:c r="I52" s="60" t="n">
        <x:v>781.7010055749</x:v>
      </x:c>
      <x:c r="J52" s="60" t="n">
        <x:v>23.785059012100003</x:v>
      </x:c>
      <x:c r="K52" s="60" t="n">
        <x:v>757.9159465628001</x:v>
      </x:c>
      <x:c r="L52" s="60" t="n">
        <x:v>0.0860901959</x:v>
      </x:c>
      <x:c r="M52" s="60" t="n">
        <x:v>781.6149153790001</x:v>
      </x:c>
      <x:c r="N52" s="46" t="str">
        <x:v>scombridae</x:v>
      </x:c>
      <x:c r="O52" s="62" t="n">
        <x:v>4.26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Scombridae</x:v>
      </x:c>
      <x:c r="T52" s="62" t="n">
        <x:f>IF(O52="","",(1/'Metadata'!$B$5)^(O52-1))</x:f>
        <x:v>17432.42421569787</x:v>
      </x:c>
      <x:c r="U52" s="60" t="n">
        <x:f>IF(T52="","",I52*T52)</x:f>
        <x:v>13626943.539019262</x:v>
      </x:c>
    </x:row>
    <x:row r="53" ht="18" customHeight="1">
      <x:c r="A53" s="46" t="str">
        <x:v>LME_022</x:v>
      </x:c>
      <x:c r="B53" s="46" t="str">
        <x:v>North Sea</x:v>
      </x:c>
      <x:c r="C53" s="46" t="str">
        <x:v>LME</x:v>
      </x:c>
      <x:c r="D53" s="58" t="n">
        <x:v>2019</x:v>
      </x:c>
      <x:c r="E53" s="46" t="str">
        <x:v>Squalidae</x:v>
      </x:c>
      <x:c r="F53" s="46" t="str">
        <x:v>Dogfish sharks</x:v>
      </x:c>
      <x:c r="G53" s="46" t="str">
        <x:v>Large sharks (&gt;=90 cm)</x:v>
      </x:c>
      <x:c r="H53" s="46" t="str">
        <x:v>Sharks &amp; rays</x:v>
      </x:c>
      <x:c r="I53" s="60" t="n">
        <x:v>744.0958958932999</x:v>
      </x:c>
      <x:c r="J53" s="60" t="n">
        <x:v>1.0278360688000001</x:v>
      </x:c>
      <x:c r="K53" s="60" t="n">
        <x:v>743.0680598245</x:v>
      </x:c>
      <x:c r="L53" s="60" t="n">
        <x:v>1.0278360688000001</x:v>
      </x:c>
      <x:c r="M53" s="60" t="n">
        <x:v>743.0680598245</x:v>
      </x:c>
      <x:c r="N53" s="46" t="str">
        <x:v>squalidae</x:v>
      </x:c>
      <x:c r="O53" s="62" t="n">
        <x:v>4.23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Squalidae</x:v>
      </x:c>
      <x:c r="T53" s="62" t="n">
        <x:f>IF(O53="","",(1/'Metadata'!$B$5)^(O53-1))</x:f>
        <x:v>15934.076063346663</x:v>
      </x:c>
      <x:c r="U53" s="60" t="n">
        <x:f>IF(T53="","",I53*T53)</x:f>
        <x:v>11856480.603587922</x:v>
      </x:c>
    </x:row>
    <x:row r="54" ht="18" customHeight="1">
      <x:c r="A54" s="46" t="str">
        <x:v>LME_022</x:v>
      </x:c>
      <x:c r="B54" s="46" t="str">
        <x:v>North Sea</x:v>
      </x:c>
      <x:c r="C54" s="46" t="str">
        <x:v>LME</x:v>
      </x:c>
      <x:c r="D54" s="58" t="n">
        <x:v>2019</x:v>
      </x:c>
      <x:c r="E54" s="46" t="str">
        <x:v>Gadidae</x:v>
      </x:c>
      <x:c r="F54" s="46" t="str">
        <x:v>Cods, haddocks</x:v>
      </x:c>
      <x:c r="G54" s="46" t="str">
        <x:v>Medium demersals (30 - 89 cm)</x:v>
      </x:c>
      <x:c r="H54" s="46" t="str">
        <x:v>Cod-likes</x:v>
      </x:c>
      <x:c r="I54" s="60" t="n">
        <x:v>719.3486818268</x:v>
      </x:c>
      <x:c r="J54" s="60" t="n">
        <x:v>23.6282867532</x:v>
      </x:c>
      <x:c r="K54" s="60" t="n">
        <x:v>695.7203950736</x:v>
      </x:c>
      <x:c r="L54" s="60" t="n">
        <x:v>0</x:v>
      </x:c>
      <x:c r="M54" s="60" t="n">
        <x:v>719.3486818268</x:v>
      </x:c>
      <x:c r="N54" s="46" t="str">
        <x:v>gadidae</x:v>
      </x:c>
      <x:c r="O54" s="62" t="n">
        <x:v>3.84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Gadidae</x:v>
      </x:c>
      <x:c r="T54" s="62" t="n">
        <x:f>IF(O54="","",(1/'Metadata'!$B$5)^(O54-1))</x:f>
        <x:v>4953.648510535111</x:v>
      </x:c>
      <x:c r="U54" s="60" t="n">
        <x:f>IF(T54="","",I54*T54)</x:f>
        <x:v>3563400.526286723</x:v>
      </x:c>
    </x:row>
    <x:row r="55" ht="18" customHeight="1">
      <x:c r="A55" s="46" t="str">
        <x:v>LME_022</x:v>
      </x:c>
      <x:c r="B55" s="46" t="str">
        <x:v>North Sea</x:v>
      </x:c>
      <x:c r="C55" s="46" t="str">
        <x:v>LME</x:v>
      </x:c>
      <x:c r="D55" s="58" t="n">
        <x:v>2019</x:v>
      </x:c>
      <x:c r="E55" s="46" t="str">
        <x:v>Buglossidium luteum</x:v>
      </x:c>
      <x:c r="F55" s="46" t="str">
        <x:v>Solenette</x:v>
      </x:c>
      <x:c r="G55" s="46" t="str">
        <x:v>Small to medium flatfishes (&lt;90 cm)</x:v>
      </x:c>
      <x:c r="H55" s="46" t="str">
        <x:v>Flatfishes</x:v>
      </x:c>
      <x:c r="I55" s="60" t="n">
        <x:v>701.2609656122</x:v>
      </x:c>
      <x:c r="J55" s="60" t="n">
        <x:v>0.0004082741</x:v>
      </x:c>
      <x:c r="K55" s="60" t="n">
        <x:v>701.2605573380999</x:v>
      </x:c>
      <x:c r="L55" s="60" t="n">
        <x:v>0.0004082741</x:v>
      </x:c>
      <x:c r="M55" s="60" t="n">
        <x:v>701.2605573380999</x:v>
      </x:c>
      <x:c r="N55" s="46" t="str">
        <x:v>buglossidium luteum</x:v>
      </x:c>
      <x:c r="O55" s="62" t="n">
        <x:v>3.31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Buglossidium luteum</x:v>
      </x:c>
      <x:c r="T55" s="62" t="n">
        <x:f>IF(O55="","",(1/'Metadata'!$B$5)^(O55-1))</x:f>
        <x:v>1012.4633005057666</x:v>
      </x:c>
      <x:c r="U55" s="60" t="n">
        <x:f>IF(T55="","",I55*T55)</x:f>
        <x:v>710000.991759589</x:v>
      </x:c>
    </x:row>
    <x:row r="56" ht="18" customHeight="1">
      <x:c r="A56" s="46" t="str">
        <x:v>LME_022</x:v>
      </x:c>
      <x:c r="B56" s="46" t="str">
        <x:v>North Sea</x:v>
      </x:c>
      <x:c r="C56" s="46" t="str">
        <x:v>LME</x:v>
      </x:c>
      <x:c r="D56" s="58" t="n">
        <x:v>2019</x:v>
      </x:c>
      <x:c r="E56" s="46" t="str">
        <x:v>Scyliorhinus canicula</x:v>
      </x:c>
      <x:c r="F56" s="46" t="str">
        <x:v>Small-spotted catshark</x:v>
      </x:c>
      <x:c r="G56" s="46" t="str">
        <x:v>Small to medium sharks (&lt;90 cm)</x:v>
      </x:c>
      <x:c r="H56" s="46" t="str">
        <x:v>Sharks &amp; rays</x:v>
      </x:c>
      <x:c r="I56" s="60" t="n">
        <x:v>676.2671507854</x:v>
      </x:c>
      <x:c r="J56" s="60" t="n">
        <x:v>644.8886152878999</x:v>
      </x:c>
      <x:c r="K56" s="60" t="n">
        <x:v>31.3785354975</x:v>
      </x:c>
      <x:c r="L56" s="60" t="n">
        <x:v>643.6655183629</x:v>
      </x:c>
      <x:c r="M56" s="60" t="n">
        <x:v>32.601632422499996</x:v>
      </x:c>
      <x:c r="N56" s="46" t="str">
        <x:v>scyliorhinus canicula</x:v>
      </x:c>
      <x:c r="O56" s="62" t="n">
        <x:v>3.82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Scyliorhinus canicula</x:v>
      </x:c>
      <x:c r="T56" s="62" t="n">
        <x:f>IF(O56="","",(1/'Metadata'!$B$5)^(O56-1))</x:f>
        <x:v>4665.56868948727</x:v>
      </x:c>
      <x:c r="U56" s="60" t="n">
        <x:f>IF(T56="","",I56*T56)</x:f>
        <x:v>3155170.8444331284</x:v>
      </x:c>
    </x:row>
    <x:row r="57" ht="18" customHeight="1">
      <x:c r="A57" s="46" t="str">
        <x:v>LME_022</x:v>
      </x:c>
      <x:c r="B57" s="46" t="str">
        <x:v>North Sea</x:v>
      </x:c>
      <x:c r="C57" s="46" t="str">
        <x:v>LME</x:v>
      </x:c>
      <x:c r="D57" s="58" t="n">
        <x:v>2019</x:v>
      </x:c>
      <x:c r="E57" s="46" t="str">
        <x:v>Teuthida</x:v>
      </x:c>
      <x:c r="F57" s="46" t="str">
        <x:v>Squids</x:v>
      </x:c>
      <x:c r="G57" s="46" t="str">
        <x:v>Cephalopods</x:v>
      </x:c>
      <x:c r="H57" s="46" t="str">
        <x:v>Other fishes &amp; inverts</x:v>
      </x:c>
      <x:c r="I57" s="60" t="n">
        <x:v>654.3641816467999</x:v>
      </x:c>
      <x:c r="J57" s="60" t="n">
        <x:v>654.3641816467999</x:v>
      </x:c>
      <x:c r="K57" s="60" t="n">
        <x:v>0</x:v>
      </x:c>
      <x:c r="L57" s="60" t="n">
        <x:v>654.3631217697</x:v>
      </x:c>
      <x:c r="M57" s="60" t="n">
        <x:v>0.0010598771</x:v>
      </x:c>
      <x:c r="N57" s="46" t="str">
        <x:v>teuthida</x:v>
      </x:c>
      <x:c r="O57" s="62" t="n">
        <x:v>4.13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Teuthida</x:v>
      </x:c>
      <x:c r="T57" s="62" t="n">
        <x:f>IF(O57="","",(1/'Metadata'!$B$5)^(O57-1))</x:f>
        <x:v>11809.292685236613</x:v>
      </x:c>
      <x:c r="U57" s="60" t="n">
        <x:f>IF(T57="","",I57*T57)</x:f>
        <x:v>7727578.143802396</x:v>
      </x:c>
    </x:row>
    <x:row r="58" ht="18" customHeight="1">
      <x:c r="A58" s="46" t="str">
        <x:v>LME_022</x:v>
      </x:c>
      <x:c r="B58" s="46" t="str">
        <x:v>North Sea</x:v>
      </x:c>
      <x:c r="C58" s="46" t="str">
        <x:v>LME</x:v>
      </x:c>
      <x:c r="D58" s="58" t="n">
        <x:v>2019</x:v>
      </x:c>
      <x:c r="E58" s="46" t="str">
        <x:v>Argentina silus</x:v>
      </x:c>
      <x:c r="F58" s="46" t="str">
        <x:v>Greater argentine</x:v>
      </x:c>
      <x:c r="G58" s="46" t="str">
        <x:v>Medium bathydemersals (30 - 89 cm)</x:v>
      </x:c>
      <x:c r="H58" s="46" t="str">
        <x:v>Salmon, smelts, etc</x:v>
      </x:c>
      <x:c r="I58" s="60" t="n">
        <x:v>621.654645553</x:v>
      </x:c>
      <x:c r="J58" s="60" t="n">
        <x:v>621.654645553</x:v>
      </x:c>
      <x:c r="K58" s="60" t="n">
        <x:v>0</x:v>
      </x:c>
      <x:c r="L58" s="60" t="n">
        <x:v>621.654645553</x:v>
      </x:c>
      <x:c r="M58" s="60" t="n">
        <x:v>0</x:v>
      </x:c>
      <x:c r="N58" s="46" t="str">
        <x:v>argentina silus</x:v>
      </x:c>
      <x:c r="O58" s="62" t="n">
        <x:v>3.32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Argentina silus</x:v>
      </x:c>
      <x:c r="T58" s="62" t="n">
        <x:f>IF(O58="","",(1/'Metadata'!$B$5)^(O58-1))</x:f>
        <x:v>1043.2528743388143</x:v>
      </x:c>
      <x:c r="U58" s="60" t="n">
        <x:f>IF(T58="","",I58*T58)</x:f>
        <x:v>648542.9958192441</x:v>
      </x:c>
    </x:row>
    <x:row r="59" ht="18" customHeight="1">
      <x:c r="A59" s="46" t="str">
        <x:v>LME_022</x:v>
      </x:c>
      <x:c r="B59" s="46" t="str">
        <x:v>North Sea</x:v>
      </x:c>
      <x:c r="C59" s="46" t="str">
        <x:v>LME</x:v>
      </x:c>
      <x:c r="D59" s="58" t="n">
        <x:v>2019</x:v>
      </x:c>
      <x:c r="E59" s="46" t="str">
        <x:v>Clupeidae</x:v>
      </x:c>
      <x:c r="F59" s="46" t="str">
        <x:v>Herrings, sardines, menhadens</x:v>
      </x:c>
      <x:c r="G59" s="46" t="str">
        <x:v>Small pelagics (&lt;30 cm)</x:v>
      </x:c>
      <x:c r="H59" s="46" t="str">
        <x:v>Herring-likes</x:v>
      </x:c>
      <x:c r="I59" s="60" t="n">
        <x:v>614.0294127945</x:v>
      </x:c>
      <x:c r="J59" s="60" t="n">
        <x:v>12.575627485499998</x:v>
      </x:c>
      <x:c r="K59" s="60" t="n">
        <x:v>601.453785309</x:v>
      </x:c>
      <x:c r="L59" s="60" t="n">
        <x:v>0.7379507433</x:v>
      </x:c>
      <x:c r="M59" s="60" t="n">
        <x:v>613.2914620512</x:v>
      </x:c>
      <x:c r="N59" s="46" t="str">
        <x:v>clupeidae</x:v>
      </x:c>
      <x:c r="O59" s="62" t="n">
        <x:v>3.16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Clupeidae</x:v>
      </x:c>
      <x:c r="T59" s="62" t="n">
        <x:f>IF(O59="","",(1/'Metadata'!$B$5)^(O59-1))</x:f>
        <x:v>645.9885058849935</x:v>
      </x:c>
      <x:c r="U59" s="60" t="n">
        <x:f>IF(T59="","",I59*T59)</x:f>
        <x:v>396655.94294055895</x:v>
      </x:c>
    </x:row>
    <x:row r="60" ht="18" customHeight="1">
      <x:c r="A60" s="46" t="str">
        <x:v>LME_022</x:v>
      </x:c>
      <x:c r="B60" s="46" t="str">
        <x:v>North Sea</x:v>
      </x:c>
      <x:c r="C60" s="46" t="str">
        <x:v>LME</x:v>
      </x:c>
      <x:c r="D60" s="58" t="n">
        <x:v>2019</x:v>
      </x:c>
      <x:c r="E60" s="46" t="str">
        <x:v>Trisopterus luscus</x:v>
      </x:c>
      <x:c r="F60" s="46" t="str">
        <x:v>Pouting</x:v>
      </x:c>
      <x:c r="G60" s="46" t="str">
        <x:v>Medium benthopelagics (30 - 89 cm)</x:v>
      </x:c>
      <x:c r="H60" s="46" t="str">
        <x:v>Cod-likes</x:v>
      </x:c>
      <x:c r="I60" s="60" t="n">
        <x:v>603.9938443019</x:v>
      </x:c>
      <x:c r="J60" s="60" t="n">
        <x:v>335.4615683905</x:v>
      </x:c>
      <x:c r="K60" s="60" t="n">
        <x:v>268.5322759114</x:v>
      </x:c>
      <x:c r="L60" s="60" t="n">
        <x:v>335.4615683905</x:v>
      </x:c>
      <x:c r="M60" s="60" t="n">
        <x:v>268.5322759114</x:v>
      </x:c>
      <x:c r="N60" s="46" t="str">
        <x:v>trisopterus luscus</x:v>
      </x:c>
      <x:c r="O60" s="62" t="n">
        <x:v>3.73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Trisopterus luscus</x:v>
      </x:c>
      <x:c r="T60" s="62" t="n">
        <x:f>IF(O60="","",(1/'Metadata'!$B$5)^(O60-1))</x:f>
        <x:v>3562.967723629534</x:v>
      </x:c>
      <x:c r="U60" s="60" t="n">
        <x:f>IF(T60="","",I60*T60)</x:f>
        <x:v>2152010.572518592</x:v>
      </x:c>
    </x:row>
    <x:row r="61" ht="18" customHeight="1">
      <x:c r="A61" s="46" t="str">
        <x:v>LME_022</x:v>
      </x:c>
      <x:c r="B61" s="46" t="str">
        <x:v>North Sea</x:v>
      </x:c>
      <x:c r="C61" s="46" t="str">
        <x:v>LME</x:v>
      </x:c>
      <x:c r="D61" s="58" t="n">
        <x:v>2019</x:v>
      </x:c>
      <x:c r="E61" s="46" t="str">
        <x:v>Squaliformes</x:v>
      </x:c>
      <x:c r="F61" s="46" t="str">
        <x:v>Bramble, sleeper, dogfish sharks</x:v>
      </x:c>
      <x:c r="G61" s="46" t="str">
        <x:v>Large sharks (&gt;=90 cm)</x:v>
      </x:c>
      <x:c r="H61" s="46" t="str">
        <x:v>Sharks &amp; rays</x:v>
      </x:c>
      <x:c r="I61" s="60" t="n">
        <x:v>590.7891481879</x:v>
      </x:c>
      <x:c r="J61" s="60" t="n">
        <x:v>9.1576518021</x:v>
      </x:c>
      <x:c r="K61" s="60" t="n">
        <x:v>581.6314963858</x:v>
      </x:c>
      <x:c r="L61" s="60" t="n">
        <x:v>9.1576518021</x:v>
      </x:c>
      <x:c r="M61" s="60" t="n">
        <x:v>581.6314963858</x:v>
      </x:c>
      <x:c r="N61" s="46" t="str">
        <x:v>squaliformes</x:v>
      </x:c>
      <x:c r="O61" s="62" t="n">
        <x:v>4.19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Squaliformes</x:v>
      </x:c>
      <x:c r="T61" s="62" t="n">
        <x:f>IF(O61="","",(1/'Metadata'!$B$5)^(O61-1))</x:f>
        <x:v>14134.67041111498</x:v>
      </x:c>
      <x:c r="U61" s="60" t="n">
        <x:f>IF(T61="","",I61*T61)</x:f>
        <x:v>8350609.892099332</x:v>
      </x:c>
    </x:row>
    <x:row r="62" ht="18" customHeight="1">
      <x:c r="A62" s="46" t="str">
        <x:v>LME_022</x:v>
      </x:c>
      <x:c r="B62" s="46" t="str">
        <x:v>North Sea</x:v>
      </x:c>
      <x:c r="C62" s="46" t="str">
        <x:v>LME</x:v>
      </x:c>
      <x:c r="D62" s="58" t="n">
        <x:v>2019</x:v>
      </x:c>
      <x:c r="E62" s="46" t="str">
        <x:v>Argentina</x:v>
      </x:c>
      <x:c r="F62" s="46" t="str">
        <x:v>Argentines</x:v>
      </x:c>
      <x:c r="G62" s="46" t="str">
        <x:v>Medium bathydemersals (30 - 89 cm)</x:v>
      </x:c>
      <x:c r="H62" s="46" t="str">
        <x:v>Salmon, smelts, etc</x:v>
      </x:c>
      <x:c r="I62" s="60" t="n">
        <x:v>578.3000369044</x:v>
      </x:c>
      <x:c r="J62" s="60" t="n">
        <x:v>568.7422609658</x:v>
      </x:c>
      <x:c r="K62" s="60" t="n">
        <x:v>9.557775938599999</x:v>
      </x:c>
      <x:c r="L62" s="60" t="n">
        <x:v>568.6993995498</x:v>
      </x:c>
      <x:c r="M62" s="60" t="n">
        <x:v>9.6006373546</x:v>
      </x:c>
      <x:c r="N62" s="46" t="str">
        <x:v>argentina</x:v>
      </x:c>
      <x:c r="O62" s="62" t="n">
        <x:v>3.35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Argentina</x:v>
      </x:c>
      <x:c r="T62" s="62" t="n">
        <x:f>IF(O62="","",(1/'Metadata'!$B$5)^(O62-1))</x:f>
        <x:v>1141.3543275066227</x:v>
      </x:c>
      <x:c r="U62" s="60" t="n">
        <x:f>IF(T62="","",I62*T62)</x:f>
        <x:v>660045.2497180765</x:v>
      </x:c>
    </x:row>
    <x:row r="63" ht="18" customHeight="1">
      <x:c r="A63" s="46" t="str">
        <x:v>LME_022</x:v>
      </x:c>
      <x:c r="B63" s="46" t="str">
        <x:v>North Sea</x:v>
      </x:c>
      <x:c r="C63" s="46" t="str">
        <x:v>LME</x:v>
      </x:c>
      <x:c r="D63" s="58" t="n">
        <x:v>2019</x:v>
      </x:c>
      <x:c r="E63" s="46" t="str">
        <x:v>Merlucciidae</x:v>
      </x:c>
      <x:c r="F63" s="46" t="str">
        <x:v>Merluccid hakes</x:v>
      </x:c>
      <x:c r="G63" s="46" t="str">
        <x:v>Large bathydemersals (&gt;=90 cm)</x:v>
      </x:c>
      <x:c r="H63" s="46" t="str">
        <x:v>Cod-likes</x:v>
      </x:c>
      <x:c r="I63" s="60" t="n">
        <x:v>566.4069741455</x:v>
      </x:c>
      <x:c r="J63" s="60" t="n">
        <x:v>0</x:v>
      </x:c>
      <x:c r="K63" s="60" t="n">
        <x:v>566.4069741455</x:v>
      </x:c>
      <x:c r="L63" s="60" t="n">
        <x:v>0</x:v>
      </x:c>
      <x:c r="M63" s="60" t="n">
        <x:v>566.4069741455</x:v>
      </x:c>
      <x:c r="N63" s="46" t="str">
        <x:v>merlucciidae</x:v>
      </x:c>
      <x:c r="O63" s="62" t="n">
        <x:v>4.35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Merlucciidae</x:v>
      </x:c>
      <x:c r="T63" s="62" t="n">
        <x:f>IF(O63="","",(1/'Metadata'!$B$5)^(O63-1))</x:f>
        <x:v>22827.086550132422</x:v>
      </x:c>
      <x:c r="U63" s="60" t="n">
        <x:f>IF(T63="","",I63*T63)</x:f>
        <x:v>12929421.021417947</x:v>
      </x:c>
    </x:row>
    <x:row r="64" ht="18" customHeight="1">
      <x:c r="A64" s="46" t="str">
        <x:v>LME_022</x:v>
      </x:c>
      <x:c r="B64" s="46" t="str">
        <x:v>North Sea</x:v>
      </x:c>
      <x:c r="C64" s="46" t="str">
        <x:v>LME</x:v>
      </x:c>
      <x:c r="D64" s="58" t="n">
        <x:v>2019</x:v>
      </x:c>
      <x:c r="E64" s="46" t="str">
        <x:v>Miscellaneous marine crustaceans</x:v>
      </x:c>
      <x:c r="F64" s="46" t="str">
        <x:v>Marine crabs, shrimps, lobsters nei</x:v>
      </x:c>
      <x:c r="G64" s="46" t="str">
        <x:v>Shrimps</x:v>
      </x:c>
      <x:c r="H64" s="46" t="str">
        <x:v>Crustaceans</x:v>
      </x:c>
      <x:c r="I64" s="60" t="n">
        <x:v>563.4569497614</x:v>
      </x:c>
      <x:c r="J64" s="60" t="n">
        <x:v>4.6323428281000005</x:v>
      </x:c>
      <x:c r="K64" s="60" t="n">
        <x:v>558.8246069333</x:v>
      </x:c>
      <x:c r="L64" s="60" t="n">
        <x:v>0.9989752115</x:v>
      </x:c>
      <x:c r="M64" s="60" t="n">
        <x:v>562.4579745499</x:v>
      </x:c>
      <x:c r="N64" s="46" t="str">
        <x:v>miscellaneous marine crustaceans</x:v>
      </x:c>
      <x:c r="O64" s="62" t="n">
        <x:v>2.7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Miscellaneous marine crustaceans</x:v>
      </x:c>
      <x:c r="T64" s="62" t="n">
        <x:f>IF(O64="","",(1/'Metadata'!$B$5)^(O64-1))</x:f>
        <x:v>162.83621261476185</x:v>
      </x:c>
      <x:c r="U64" s="60" t="n">
        <x:f>IF(T64="","",I64*T64)</x:f>
        <x:v>91751.1956706125</x:v>
      </x:c>
    </x:row>
    <x:row r="65" ht="18" customHeight="1">
      <x:c r="A65" s="46" t="str">
        <x:v>LME_022</x:v>
      </x:c>
      <x:c r="B65" s="46" t="str">
        <x:v>North Sea</x:v>
      </x:c>
      <x:c r="C65" s="46" t="str">
        <x:v>LME</x:v>
      </x:c>
      <x:c r="D65" s="58" t="n">
        <x:v>2019</x:v>
      </x:c>
      <x:c r="E65" s="46" t="str">
        <x:v>Pleuronectidae</x:v>
      </x:c>
      <x:c r="F65" s="46" t="str">
        <x:v>Righteye flounders</x:v>
      </x:c>
      <x:c r="G65" s="46" t="str">
        <x:v>Small to medium flatfishes (&lt;90 cm)</x:v>
      </x:c>
      <x:c r="H65" s="46" t="str">
        <x:v>Flatfishes</x:v>
      </x:c>
      <x:c r="I65" s="60" t="n">
        <x:v>541.9969597245</x:v>
      </x:c>
      <x:c r="J65" s="60" t="n">
        <x:v>0.0005032069</x:v>
      </x:c>
      <x:c r="K65" s="60" t="n">
        <x:v>541.9964565176</x:v>
      </x:c>
      <x:c r="L65" s="60" t="n">
        <x:v>0.0005032069</x:v>
      </x:c>
      <x:c r="M65" s="60" t="n">
        <x:v>541.9964565176</x:v>
      </x:c>
      <x:c r="N65" s="46" t="str">
        <x:v>pleuronectidae</x:v>
      </x:c>
      <x:c r="O65" s="62" t="n">
        <x:v>3.49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Pleuronectidae</x:v>
      </x:c>
      <x:c r="T65" s="62" t="n">
        <x:f>IF(O65="","",(1/'Metadata'!$B$5)^(O65-1))</x:f>
        <x:v>1736.059833884101</x:v>
      </x:c>
      <x:c r="U65" s="60" t="n">
        <x:f>IF(T65="","",I65*T65)</x:f>
        <x:v>940939.1518650033</x:v>
      </x:c>
    </x:row>
    <x:row r="66" ht="18" customHeight="1">
      <x:c r="A66" s="46" t="str">
        <x:v>LME_022</x:v>
      </x:c>
      <x:c r="B66" s="46" t="str">
        <x:v>North Sea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538.2202391545</x:v>
      </x:c>
      <x:c r="J66" s="60" t="n">
        <x:v>0.0070945882</x:v>
      </x:c>
      <x:c r="K66" s="60" t="n">
        <x:v>538.2131445663</x:v>
      </x:c>
      <x:c r="L66" s="60" t="n">
        <x:v>0.0070945882</x:v>
      </x:c>
      <x:c r="M66" s="60" t="n">
        <x:v>538.2131445663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2141.099198485972</x:v>
      </x:c>
      <x:c r="U66" s="60" t="n">
        <x:f>IF(T66="","",I66*T66)</x:f>
        <x:v>1152382.922662628</x:v>
      </x:c>
    </x:row>
    <x:row r="67" ht="18" customHeight="1">
      <x:c r="A67" s="46" t="str">
        <x:v>LME_022</x:v>
      </x:c>
      <x:c r="B67" s="46" t="str">
        <x:v>North Sea</x:v>
      </x:c>
      <x:c r="C67" s="46" t="str">
        <x:v>LME</x:v>
      </x:c>
      <x:c r="D67" s="58" t="n">
        <x:v>2019</x:v>
      </x:c>
      <x:c r="E67" s="46" t="str">
        <x:v>Loliginidae</x:v>
      </x:c>
      <x:c r="F67" s="46" t="str">
        <x:v>Common pencil squids</x:v>
      </x:c>
      <x:c r="G67" s="46" t="str">
        <x:v>Cephalopods</x:v>
      </x:c>
      <x:c r="H67" s="46" t="str">
        <x:v>Other fishes &amp; inverts</x:v>
      </x:c>
      <x:c r="I67" s="60" t="n">
        <x:v>520.0029980159</x:v>
      </x:c>
      <x:c r="J67" s="60" t="n">
        <x:v>519.9425225173</x:v>
      </x:c>
      <x:c r="K67" s="60" t="n">
        <x:v>0.0604754986</x:v>
      </x:c>
      <x:c r="L67" s="60" t="n">
        <x:v>511.4983106633</x:v>
      </x:c>
      <x:c r="M67" s="60" t="n">
        <x:v>8.5046873526</x:v>
      </x:c>
      <x:c r="N67" s="46" t="str">
        <x:v>loliginidae</x:v>
      </x:c>
      <x:c r="O67" s="62" t="n">
        <x:v>3.9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Loliginidae</x:v>
      </x:c>
      <x:c r="T67" s="62" t="n">
        <x:f>IF(O67="","",(1/'Metadata'!$B$5)^(O67-1))</x:f>
        <x:v>5929.07559285558</x:v>
      </x:c>
      <x:c r="U67" s="60" t="n">
        <x:f>IF(T67="","",I67*T67)</x:f>
        <x:v>3083137.083747801</x:v>
      </x:c>
    </x:row>
    <x:row r="68" ht="18" customHeight="1">
      <x:c r="A68" s="46" t="str">
        <x:v>LME_022</x:v>
      </x:c>
      <x:c r="B68" s="46" t="str">
        <x:v>North Sea</x:v>
      </x:c>
      <x:c r="C68" s="46" t="str">
        <x:v>LME</x:v>
      </x:c>
      <x:c r="D68" s="58" t="n">
        <x:v>2019</x:v>
      </x:c>
      <x:c r="E68" s="46" t="str">
        <x:v>Marine finfishes not identified</x:v>
      </x:c>
      <x:c r="F68" s="46" t="str">
        <x:v>Finfishes</x:v>
      </x:c>
      <x:c r="G68" s="46" t="str">
        <x:v>Medium demersals (30 - 89 cm)</x:v>
      </x:c>
      <x:c r="H68" s="46" t="str">
        <x:v>Other fishes &amp; inverts</x:v>
      </x:c>
      <x:c r="I68" s="60" t="n">
        <x:v>509.22112566589993</x:v>
      </x:c>
      <x:c r="J68" s="60" t="n">
        <x:v>57.7320383657</x:v>
      </x:c>
      <x:c r="K68" s="60" t="n">
        <x:v>451.48908730019997</x:v>
      </x:c>
      <x:c r="L68" s="60" t="n">
        <x:v>5.9617276485</x:v>
      </x:c>
      <x:c r="M68" s="60" t="n">
        <x:v>503.2593980174</x:v>
      </x:c>
      <x:c r="N68" s="46" t="str">
        <x:v>marine finfishes not identified</x:v>
      </x:c>
      <x:c r="O68" s="62" t="n">
        <x:v>3.23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Marine finfishes not identified</x:v>
      </x:c>
      <x:c r="T68" s="62" t="n">
        <x:f>IF(O68="","",(1/'Metadata'!$B$5)^(O68-1))</x:f>
        <x:v>796.7038031673321</x:v>
      </x:c>
      <x:c r="U68" s="60" t="n">
        <x:f>IF(T68="","",I68*T68)</x:f>
        <x:v>405698.40747117245</x:v>
      </x:c>
    </x:row>
    <x:row r="69" ht="18" customHeight="1">
      <x:c r="A69" s="46" t="str">
        <x:v>LME_022</x:v>
      </x:c>
      <x:c r="B69" s="46" t="str">
        <x:v>North Sea</x:v>
      </x:c>
      <x:c r="C69" s="46" t="str">
        <x:v>LME</x:v>
      </x:c>
      <x:c r="D69" s="58" t="n">
        <x:v>2019</x:v>
      </x:c>
      <x:c r="E69" s="46" t="str">
        <x:v>Callionymus lyra</x:v>
      </x:c>
      <x:c r="F69" s="46" t="str">
        <x:v>Dragonet</x:v>
      </x:c>
      <x:c r="G69" s="46" t="str">
        <x:v>Large reef assoc. fish (&gt;=90 cm)</x:v>
      </x:c>
      <x:c r="H69" s="46" t="str">
        <x:v>Perch-likes</x:v>
      </x:c>
      <x:c r="I69" s="60" t="n">
        <x:v>505.2452476944</x:v>
      </x:c>
      <x:c r="J69" s="60" t="n">
        <x:v>0</x:v>
      </x:c>
      <x:c r="K69" s="60" t="n">
        <x:v>505.2452476944</x:v>
      </x:c>
      <x:c r="L69" s="60" t="n">
        <x:v>0</x:v>
      </x:c>
      <x:c r="M69" s="60" t="n">
        <x:v>505.2452476944</x:v>
      </x:c>
      <x:c r="N69" s="46" t="str">
        <x:v>callionymus lyra</x:v>
      </x:c>
      <x:c r="O69" s="62" t="n">
        <x:v>3.27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Callionymus lyra</x:v>
      </x:c>
      <x:c r="T69" s="62" t="n">
        <x:f>IF(O69="","",(1/'Metadata'!$B$5)^(O69-1))</x:f>
        <x:v>898.1276980921442</x:v>
      </x:c>
      <x:c r="U69" s="60" t="n">
        <x:f>IF(T69="","",I69*T69)</x:f>
        <x:v>453774.7512837667</x:v>
      </x:c>
    </x:row>
    <x:row r="70" ht="18" customHeight="1">
      <x:c r="A70" s="46" t="str">
        <x:v>LME_022</x:v>
      </x:c>
      <x:c r="B70" s="46" t="str">
        <x:v>North Sea</x:v>
      </x:c>
      <x:c r="C70" s="46" t="str">
        <x:v>LME</x:v>
      </x:c>
      <x:c r="D70" s="58" t="n">
        <x:v>2019</x:v>
      </x:c>
      <x:c r="E70" s="46" t="str">
        <x:v>Carcinus maenas</x:v>
      </x:c>
      <x:c r="F70" s="46" t="str">
        <x:v>Green crab</x:v>
      </x:c>
      <x:c r="G70" s="46" t="str">
        <x:v>Lobsters, crabs</x:v>
      </x:c>
      <x:c r="H70" s="46" t="str">
        <x:v>Crustaceans</x:v>
      </x:c>
      <x:c r="I70" s="60" t="n">
        <x:v>497.6818285332</x:v>
      </x:c>
      <x:c r="J70" s="60" t="n">
        <x:v>111.88580030639999</x:v>
      </x:c>
      <x:c r="K70" s="60" t="n">
        <x:v>385.7960282268</x:v>
      </x:c>
      <x:c r="L70" s="60" t="n">
        <x:v>111.88580030639999</x:v>
      </x:c>
      <x:c r="M70" s="60" t="n">
        <x:v>385.7960282268</x:v>
      </x:c>
      <x:c r="N70" s="46" t="str">
        <x:v>carcinus maenas</x:v>
      </x:c>
      <x:c r="O70" s="62" t="n">
        <x:v>3.5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Carcinus maenas</x:v>
      </x:c>
      <x:c r="T70" s="62" t="n">
        <x:f>IF(O70="","",(1/'Metadata'!$B$5)^(O70-1))</x:f>
        <x:v>1788.8543819998317</x:v>
      </x:c>
      <x:c r="U70" s="60" t="n">
        <x:f>IF(T70="","",I70*T70)</x:f>
        <x:v>890280.3198133038</x:v>
      </x:c>
    </x:row>
    <x:row r="71" ht="18" customHeight="1">
      <x:c r="A71" s="46" t="str">
        <x:v>LME_022</x:v>
      </x:c>
      <x:c r="B71" s="46" t="str">
        <x:v>North Sea</x:v>
      </x:c>
      <x:c r="C71" s="46" t="str">
        <x:v>LME</x:v>
      </x:c>
      <x:c r="D71" s="58" t="n">
        <x:v>2019</x:v>
      </x:c>
      <x:c r="E71" s="46" t="str">
        <x:v>Dicentrarchus labrax</x:v>
      </x:c>
      <x:c r="F71" s="46" t="str">
        <x:v>European seabass</x:v>
      </x:c>
      <x:c r="G71" s="46" t="str">
        <x:v>Large demersals (&gt;=90 cm)</x:v>
      </x:c>
      <x:c r="H71" s="46" t="str">
        <x:v>Perch-likes</x:v>
      </x:c>
      <x:c r="I71" s="60" t="n">
        <x:v>490.26841820180005</x:v>
      </x:c>
      <x:c r="J71" s="60" t="n">
        <x:v>490.26841820180005</x:v>
      </x:c>
      <x:c r="K71" s="60" t="n">
        <x:v>0</x:v>
      </x:c>
      <x:c r="L71" s="60" t="n">
        <x:v>269.948420921</x:v>
      </x:c>
      <x:c r="M71" s="60" t="n">
        <x:v>220.3199972808</x:v>
      </x:c>
      <x:c r="N71" s="46" t="str">
        <x:v>dicentrarchus labrax</x:v>
      </x:c>
      <x:c r="O71" s="62" t="n">
        <x:v>3.79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Dicentrarchus labrax</x:v>
      </x:c>
      <x:c r="T71" s="62" t="n">
        <x:f>IF(O71="","",(1/'Metadata'!$B$5)^(O71-1))</x:f>
        <x:v>4264.554685980751</x:v>
      </x:c>
      <x:c r="U71" s="60" t="n">
        <x:f>IF(T71="","",I71*T71)</x:f>
        <x:v>2090776.480230857</x:v>
      </x:c>
    </x:row>
    <x:row r="72" ht="18" customHeight="1">
      <x:c r="A72" s="46" t="str">
        <x:v>LME_022</x:v>
      </x:c>
      <x:c r="B72" s="46" t="str">
        <x:v>North Sea</x:v>
      </x:c>
      <x:c r="C72" s="46" t="str">
        <x:v>LME</x:v>
      </x:c>
      <x:c r="D72" s="58" t="n">
        <x:v>2019</x:v>
      </x:c>
      <x:c r="E72" s="46" t="str">
        <x:v>Pectinidae</x:v>
      </x:c>
      <x:c r="F72" s="46" t="str">
        <x:v>Scallops</x:v>
      </x:c>
      <x:c r="G72" s="46" t="str">
        <x:v>Other demersal invertebrates</x:v>
      </x:c>
      <x:c r="H72" s="46" t="str">
        <x:v>Molluscs</x:v>
      </x:c>
      <x:c r="I72" s="60" t="n">
        <x:v>488.747599966</x:v>
      </x:c>
      <x:c r="J72" s="60" t="n">
        <x:v>0</x:v>
      </x:c>
      <x:c r="K72" s="60" t="n">
        <x:v>488.747599966</x:v>
      </x:c>
      <x:c r="L72" s="60" t="n">
        <x:v>0</x:v>
      </x:c>
      <x:c r="M72" s="60" t="n">
        <x:v>488.747599966</x:v>
      </x:c>
      <x:c r="N72" s="46" t="str">
        <x:v>pectinidae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Pectinidae</x:v>
      </x:c>
      <x:c r="T72" s="62" t="n">
        <x:f>IF(O72="","",(1/'Metadata'!$B$5)^(O72-1))</x:f>
        <x:v>20</x:v>
      </x:c>
      <x:c r="U72" s="60" t="n">
        <x:f>IF(T72="","",I72*T72)</x:f>
        <x:v>9774.95199932</x:v>
      </x:c>
    </x:row>
    <x:row r="73" ht="18" customHeight="1">
      <x:c r="A73" s="46" t="str">
        <x:v>LME_022</x:v>
      </x:c>
      <x:c r="B73" s="46" t="str">
        <x:v>North Sea</x:v>
      </x:c>
      <x:c r="C73" s="46" t="str">
        <x:v>LME</x:v>
      </x:c>
      <x:c r="D73" s="58" t="n">
        <x:v>2019</x:v>
      </x:c>
      <x:c r="E73" s="46" t="str">
        <x:v>Trachinus draco</x:v>
      </x:c>
      <x:c r="F73" s="46" t="str">
        <x:v>Greater weever</x:v>
      </x:c>
      <x:c r="G73" s="46" t="str">
        <x:v>Medium demersals (30 - 89 cm)</x:v>
      </x:c>
      <x:c r="H73" s="46" t="str">
        <x:v>Perch-likes</x:v>
      </x:c>
      <x:c r="I73" s="60" t="n">
        <x:v>486.37024528949996</x:v>
      </x:c>
      <x:c r="J73" s="60" t="n">
        <x:v>431.97376011209997</x:v>
      </x:c>
      <x:c r="K73" s="60" t="n">
        <x:v>54.3964851774</x:v>
      </x:c>
      <x:c r="L73" s="60" t="n">
        <x:v>430.9415132387</x:v>
      </x:c>
      <x:c r="M73" s="60" t="n">
        <x:v>55.4287320508</x:v>
      </x:c>
      <x:c r="N73" s="46" t="str">
        <x:v>trachinus draco</x:v>
      </x:c>
      <x:c r="O73" s="62" t="n">
        <x:v>4.18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Trachinus draco</x:v>
      </x:c>
      <x:c r="T73" s="62" t="n">
        <x:f>IF(O73="","",(1/'Metadata'!$B$5)^(O73-1))</x:f>
        <x:v>13717.513182092556</x:v>
      </x:c>
      <x:c r="U73" s="60" t="n">
        <x:f>IF(T73="","",I73*T73)</x:f>
        <x:v>6671790.251136306</x:v>
      </x:c>
    </x:row>
    <x:row r="74" ht="18" customHeight="1">
      <x:c r="A74" s="46" t="str">
        <x:v>LME_022</x:v>
      </x:c>
      <x:c r="B74" s="46" t="str">
        <x:v>North Sea</x:v>
      </x:c>
      <x:c r="C74" s="46" t="str">
        <x:v>LME</x:v>
      </x:c>
      <x:c r="D74" s="58" t="n">
        <x:v>2019</x:v>
      </x:c>
      <x:c r="E74" s="46" t="str">
        <x:v>Carangidae</x:v>
      </x:c>
      <x:c r="F74" s="46" t="str">
        <x:v>Jacks, pompanos</x:v>
      </x:c>
      <x:c r="G74" s="46" t="str">
        <x:v>Medium pelagics (30 - 89 cm)</x:v>
      </x:c>
      <x:c r="H74" s="46" t="str">
        <x:v>Perch-likes</x:v>
      </x:c>
      <x:c r="I74" s="60" t="n">
        <x:v>476.4359357666</x:v>
      </x:c>
      <x:c r="J74" s="60" t="n">
        <x:v>23.907150500700002</x:v>
      </x:c>
      <x:c r="K74" s="60" t="n">
        <x:v>452.5287852659</x:v>
      </x:c>
      <x:c r="L74" s="60" t="n">
        <x:v>0.21929950590000002</x:v>
      </x:c>
      <x:c r="M74" s="60" t="n">
        <x:v>476.2166362607</x:v>
      </x:c>
      <x:c r="N74" s="46" t="str">
        <x:v>carangidae</x:v>
      </x:c>
      <x:c r="O74" s="62" t="n">
        <x:v>4.05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Carangidae</x:v>
      </x:c>
      <x:c r="T74" s="62" t="n">
        <x:f>IF(O74="","",(1/'Metadata'!$B$5)^(O74-1))</x:f>
        <x:v>9292.690797132333</x:v>
      </x:c>
      <x:c r="U74" s="60" t="n">
        <x:f>IF(T74="","",I74*T74)</x:f>
        <x:v>4427371.835721415</x:v>
      </x:c>
    </x:row>
    <x:row r="75" ht="18" customHeight="1">
      <x:c r="A75" s="46" t="str">
        <x:v>LME_022</x:v>
      </x:c>
      <x:c r="B75" s="46" t="str">
        <x:v>North Sea</x:v>
      </x:c>
      <x:c r="C75" s="46" t="str">
        <x:v>LME</x:v>
      </x:c>
      <x:c r="D75" s="58" t="n">
        <x:v>2019</x:v>
      </x:c>
      <x:c r="E75" s="46" t="str">
        <x:v>Hippoglossus hippoglossus</x:v>
      </x:c>
      <x:c r="F75" s="46" t="str">
        <x:v>Atlantic halibut</x:v>
      </x:c>
      <x:c r="G75" s="46" t="str">
        <x:v>Large flatfishes (&gt;=90 cm)</x:v>
      </x:c>
      <x:c r="H75" s="46" t="str">
        <x:v>Flatfishes</x:v>
      </x:c>
      <x:c r="I75" s="60" t="n">
        <x:v>437.3922468839</x:v>
      </x:c>
      <x:c r="J75" s="60" t="n">
        <x:v>437.02817469689995</x:v>
      </x:c>
      <x:c r="K75" s="60" t="n">
        <x:v>0.36407218700000005</x:v>
      </x:c>
      <x:c r="L75" s="60" t="n">
        <x:v>436.77319193179994</x:v>
      </x:c>
      <x:c r="M75" s="60" t="n">
        <x:v>0.6190549521</x:v>
      </x:c>
      <x:c r="N75" s="46" t="str">
        <x:v>hippoglossus hippoglossus</x:v>
      </x:c>
      <x:c r="O75" s="62" t="n">
        <x:v>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Hippoglossus hippoglossus</x:v>
      </x:c>
      <x:c r="T75" s="62" t="n">
        <x:f>IF(O75="","",(1/'Metadata'!$B$5)^(O75-1))</x:f>
        <x:v>8000</x:v>
      </x:c>
      <x:c r="U75" s="60" t="n">
        <x:f>IF(T75="","",I75*T75)</x:f>
        <x:v>3499137.9750711997</x:v>
      </x:c>
    </x:row>
    <x:row r="76" ht="18" customHeight="1">
      <x:c r="A76" s="46" t="str">
        <x:v>LME_022</x:v>
      </x:c>
      <x:c r="B76" s="46" t="str">
        <x:v>North Sea</x:v>
      </x:c>
      <x:c r="C76" s="46" t="str">
        <x:v>LME</x:v>
      </x:c>
      <x:c r="D76" s="58" t="n">
        <x:v>2019</x:v>
      </x:c>
      <x:c r="E76" s="46" t="str">
        <x:v>Miscellaneous aquatic invertebrates</x:v>
      </x:c>
      <x:c r="F76" s="46" t="str">
        <x:v>Aquatic invertebrates</x:v>
      </x:c>
      <x:c r="G76" s="46" t="str">
        <x:v>Other demersal invertebrates</x:v>
      </x:c>
      <x:c r="H76" s="46" t="str">
        <x:v>Other fishes &amp; inverts</x:v>
      </x:c>
      <x:c r="I76" s="60" t="n">
        <x:v>419.1105458055</x:v>
      </x:c>
      <x:c r="J76" s="60" t="n">
        <x:v>2.0015692306</x:v>
      </x:c>
      <x:c r="K76" s="60" t="n">
        <x:v>417.1089765749</x:v>
      </x:c>
      <x:c r="L76" s="60" t="n">
        <x:v>2.0015692306</x:v>
      </x:c>
      <x:c r="M76" s="60" t="n">
        <x:v>417.1089765749</x:v>
      </x:c>
      <x:c r="N76" s="46" t="str">
        <x:v>miscellaneous aquatic invertebrates</x:v>
      </x:c>
      <x:c r="O76" s="62" t="n">
        <x:v>2.43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Miscellaneous aquatic invertebrates</x:v>
      </x:c>
      <x:c r="T76" s="62" t="n">
        <x:f>IF(O76="","",(1/'Metadata'!$B$5)^(O76-1))</x:f>
        <x:v>72.52252122305909</x:v>
      </x:c>
      <x:c r="U76" s="60" t="n">
        <x:f>IF(T76="","",I76*T76)</x:f>
        <x:v>30394.95345298725</x:v>
      </x:c>
    </x:row>
    <x:row r="77" ht="18" customHeight="1">
      <x:c r="A77" s="46" t="str">
        <x:v>LME_022</x:v>
      </x:c>
      <x:c r="B77" s="46" t="str">
        <x:v>North Sea</x:v>
      </x:c>
      <x:c r="C77" s="46" t="str">
        <x:v>LME</x:v>
      </x:c>
      <x:c r="D77" s="58" t="n">
        <x:v>2019</x:v>
      </x:c>
      <x:c r="E77" s="46" t="str">
        <x:v>Cephalopoda</x:v>
      </x:c>
      <x:c r="F77" s="46" t="str">
        <x:v>Squids, cuttlefishes, octopuses</x:v>
      </x:c>
      <x:c r="G77" s="46" t="str">
        <x:v>Cephalopods</x:v>
      </x:c>
      <x:c r="H77" s="46" t="str">
        <x:v>Other fishes &amp; inverts</x:v>
      </x:c>
      <x:c r="I77" s="60" t="n">
        <x:v>414.9553304885</x:v>
      </x:c>
      <x:c r="J77" s="60" t="n">
        <x:v>208.6133104297</x:v>
      </x:c>
      <x:c r="K77" s="60" t="n">
        <x:v>206.3420200588</x:v>
      </x:c>
      <x:c r="L77" s="60" t="n">
        <x:v>205.0908279509</x:v>
      </x:c>
      <x:c r="M77" s="60" t="n">
        <x:v>209.86450253759998</x:v>
      </x:c>
      <x:c r="N77" s="46" t="str">
        <x:v>cephalopoda</x:v>
      </x:c>
      <x:c r="O77" s="62" t="n">
        <x:v>3.81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Cephalopoda</x:v>
      </x:c>
      <x:c r="T77" s="62" t="n">
        <x:f>IF(O77="","",(1/'Metadata'!$B$5)^(O77-1))</x:f>
        <x:v>4527.873529309382</x:v>
      </x:c>
      <x:c r="U77" s="60" t="n">
        <x:f>IF(T77="","",I77*T77)</x:f>
        <x:v>1878865.2567647058</x:v>
      </x:c>
    </x:row>
    <x:row r="78" ht="18" customHeight="1">
      <x:c r="A78" s="46" t="str">
        <x:v>LME_022</x:v>
      </x:c>
      <x:c r="B78" s="46" t="str">
        <x:v>North Sea</x:v>
      </x:c>
      <x:c r="C78" s="46" t="str">
        <x:v>LME</x:v>
      </x:c>
      <x:c r="D78" s="58" t="n">
        <x:v>2019</x:v>
      </x:c>
      <x:c r="E78" s="46" t="str">
        <x:v>Soleidae</x:v>
      </x:c>
      <x:c r="F78" s="46" t="str">
        <x:v>Soles</x:v>
      </x:c>
      <x:c r="G78" s="46" t="str">
        <x:v>Small to medium flatfishes (&lt;90 cm)</x:v>
      </x:c>
      <x:c r="H78" s="46" t="str">
        <x:v>Flatfishes</x:v>
      </x:c>
      <x:c r="I78" s="60" t="n">
        <x:v>400.08989958160004</x:v>
      </x:c>
      <x:c r="J78" s="60" t="n">
        <x:v>11.863336852</x:v>
      </x:c>
      <x:c r="K78" s="60" t="n">
        <x:v>388.2265627296</x:v>
      </x:c>
      <x:c r="L78" s="60" t="n">
        <x:v>0.035132257</x:v>
      </x:c>
      <x:c r="M78" s="60" t="n">
        <x:v>400.0547673246</x:v>
      </x:c>
      <x:c r="N78" s="46" t="str">
        <x:v>soleidae</x:v>
      </x:c>
      <x:c r="O78" s="62" t="n">
        <x:v>3.15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Soleidae</x:v>
      </x:c>
      <x:c r="T78" s="62" t="n">
        <x:f>IF(O78="","",(1/'Metadata'!$B$5)^(O78-1))</x:f>
        <x:v>626.9234150652317</x:v>
      </x:c>
      <x:c r="U78" s="60" t="n">
        <x:f>IF(T78="","",I78*T78)</x:f>
        <x:v>250825.7261788023</x:v>
      </x:c>
    </x:row>
    <x:row r="79" ht="18" customHeight="1">
      <x:c r="A79" s="46" t="str">
        <x:v>LME_022</x:v>
      </x:c>
      <x:c r="B79" s="46" t="str">
        <x:v>North Sea</x:v>
      </x:c>
      <x:c r="C79" s="46" t="str">
        <x:v>LME</x:v>
      </x:c>
      <x:c r="D79" s="58" t="n">
        <x:v>2019</x:v>
      </x:c>
      <x:c r="E79" s="46" t="str">
        <x:v>Raja</x:v>
      </x:c>
      <x:c r="F79" s="46" t="str">
        <x:v>Stingrays, skates</x:v>
      </x:c>
      <x:c r="G79" s="46" t="str">
        <x:v>Small to medium rays (&lt;90 cm)</x:v>
      </x:c>
      <x:c r="H79" s="46" t="str">
        <x:v>Sharks &amp; rays</x:v>
      </x:c>
      <x:c r="I79" s="60" t="n">
        <x:v>396.1442408241</x:v>
      </x:c>
      <x:c r="J79" s="60" t="n">
        <x:v>164.206346346</x:v>
      </x:c>
      <x:c r="K79" s="60" t="n">
        <x:v>231.93789447810002</x:v>
      </x:c>
      <x:c r="L79" s="60" t="n">
        <x:v>164.205262316</x:v>
      </x:c>
      <x:c r="M79" s="60" t="n">
        <x:v>231.9389785081</x:v>
      </x:c>
      <x:c r="N79" s="46" t="str">
        <x:v>raja</x:v>
      </x:c>
      <x:c r="O79" s="62" t="n">
        <x:v>3.8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Raja</x:v>
      </x:c>
      <x:c r="T79" s="62" t="n">
        <x:f>IF(O79="","",(1/'Metadata'!$B$5)^(O79-1))</x:f>
        <x:v>4394.242173224468</x:v>
      </x:c>
      <x:c r="U79" s="60" t="n">
        <x:f>IF(T79="","",I79*T79)</x:f>
        <x:v>1740753.7297092504</x:v>
      </x:c>
    </x:row>
    <x:row r="80" ht="18" customHeight="1">
      <x:c r="A80" s="46" t="str">
        <x:v>LME_022</x:v>
      </x:c>
      <x:c r="B80" s="46" t="str">
        <x:v>North Sea</x:v>
      </x:c>
      <x:c r="C80" s="46" t="str">
        <x:v>LME</x:v>
      </x:c>
      <x:c r="D80" s="58" t="n">
        <x:v>2019</x:v>
      </x:c>
      <x:c r="E80" s="46" t="str">
        <x:v>Asterozoa</x:v>
      </x:c>
      <x:c r="F80" s="46" t="str">
        <x:v>Starfishes and brittlestars</x:v>
      </x:c>
      <x:c r="G80" s="46" t="str">
        <x:v>Other demersal invertebrates</x:v>
      </x:c>
      <x:c r="H80" s="46" t="str">
        <x:v>Other fishes &amp; inverts</x:v>
      </x:c>
      <x:c r="I80" s="60" t="n">
        <x:v>394.7030160251</x:v>
      </x:c>
      <x:c r="J80" s="60" t="n">
        <x:v>0</x:v>
      </x:c>
      <x:c r="K80" s="60" t="n">
        <x:v>394.7030160251</x:v>
      </x:c>
      <x:c r="L80" s="60" t="n">
        <x:v>0</x:v>
      </x:c>
      <x:c r="M80" s="60" t="n">
        <x:v>394.7030160251</x:v>
      </x:c>
      <x:c r="N80" s="46" t="str">
        <x:v>asterozoa</x:v>
      </x:c>
      <x:c r="O80" s="62" t="n">
        <x:v>2.38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Asterozoa</x:v>
      </x:c>
      <x:c r="T80" s="62" t="n">
        <x:f>IF(O80="","",(1/'Metadata'!$B$5)^(O80-1))</x:f>
        <x:v>62.434033634640244</x:v>
      </x:c>
      <x:c r="U80" s="60" t="n">
        <x:f>IF(T80="","",I80*T80)</x:f>
        <x:v>24642.90137820504</x:v>
      </x:c>
    </x:row>
    <x:row r="81" ht="18" customHeight="1">
      <x:c r="A81" s="46" t="str">
        <x:v>LME_022</x:v>
      </x:c>
      <x:c r="B81" s="46" t="str">
        <x:v>North Sea</x:v>
      </x:c>
      <x:c r="C81" s="46" t="str">
        <x:v>LME</x:v>
      </x:c>
      <x:c r="D81" s="58" t="n">
        <x:v>2019</x:v>
      </x:c>
      <x:c r="E81" s="46" t="str">
        <x:v>Trachurus</x:v>
      </x:c>
      <x:c r="F81" s="46" t="str">
        <x:v>Jacks, horse mackerels</x:v>
      </x:c>
      <x:c r="G81" s="46" t="str">
        <x:v>Medium pelagics (30 - 89 cm)</x:v>
      </x:c>
      <x:c r="H81" s="46" t="str">
        <x:v>Perch-likes</x:v>
      </x:c>
      <x:c r="I81" s="60" t="n">
        <x:v>382.5044032317</x:v>
      </x:c>
      <x:c r="J81" s="60" t="n">
        <x:v>382.5033962362</x:v>
      </x:c>
      <x:c r="K81" s="60" t="n">
        <x:v>0.0010069955</x:v>
      </x:c>
      <x:c r="L81" s="60" t="n">
        <x:v>382.4997017248</x:v>
      </x:c>
      <x:c r="M81" s="60" t="n">
        <x:v>0.0047015069</x:v>
      </x:c>
      <x:c r="N81" s="46" t="str">
        <x:v>trachurus</x:v>
      </x:c>
      <x:c r="O81" s="62" t="n">
        <x:v>3.69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Trachurus</x:v>
      </x:c>
      <x:c r="T81" s="62" t="n">
        <x:f>IF(O81="","",(1/'Metadata'!$B$5)^(O81-1))</x:f>
        <x:v>3160.6083878807954</x:v>
      </x:c>
      <x:c r="U81" s="60" t="n">
        <x:f>IF(T81="","",I81*T81)</x:f>
        <x:v>1208946.625255449</x:v>
      </x:c>
    </x:row>
    <x:row r="82" ht="18" customHeight="1">
      <x:c r="A82" s="46" t="str">
        <x:v>LME_022</x:v>
      </x:c>
      <x:c r="B82" s="46" t="str">
        <x:v>North Sea</x:v>
      </x:c>
      <x:c r="C82" s="46" t="str">
        <x:v>LME</x:v>
      </x:c>
      <x:c r="D82" s="58" t="n">
        <x:v>2019</x:v>
      </x:c>
      <x:c r="E82" s="46" t="str">
        <x:v>Raja montagui</x:v>
      </x:c>
      <x:c r="F82" s="46" t="str">
        <x:v>Spotted ray</x:v>
      </x:c>
      <x:c r="G82" s="46" t="str">
        <x:v>Small to medium rays (&lt;90 cm)</x:v>
      </x:c>
      <x:c r="H82" s="46" t="str">
        <x:v>Sharks &amp; rays</x:v>
      </x:c>
      <x:c r="I82" s="60" t="n">
        <x:v>371.0125085282</x:v>
      </x:c>
      <x:c r="J82" s="60" t="n">
        <x:v>365.6960368379</x:v>
      </x:c>
      <x:c r="K82" s="60" t="n">
        <x:v>5.3164716903</x:v>
      </x:c>
      <x:c r="L82" s="60" t="n">
        <x:v>365.6399264603</x:v>
      </x:c>
      <x:c r="M82" s="60" t="n">
        <x:v>5.3725820679</x:v>
      </x:c>
      <x:c r="N82" s="46" t="str">
        <x:v>raja montagui</x:v>
      </x:c>
      <x:c r="O82" s="62" t="n">
        <x:v>3.88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Raja montagui</x:v>
      </x:c>
      <x:c r="T82" s="62" t="n">
        <x:f>IF(O82="","",(1/'Metadata'!$B$5)^(O82-1))</x:f>
        <x:v>5584.269732662554</x:v>
      </x:c>
      <x:c r="U82" s="60" t="n">
        <x:f>IF(T82="","",I82*T82)</x:f>
        <x:v>2071833.921813235</x:v>
      </x:c>
    </x:row>
    <x:row r="83" ht="18" customHeight="1">
      <x:c r="A83" s="46" t="str">
        <x:v>LME_022</x:v>
      </x:c>
      <x:c r="B83" s="46" t="str">
        <x:v>North Sea</x:v>
      </x:c>
      <x:c r="C83" s="46" t="str">
        <x:v>LME</x:v>
      </x:c>
      <x:c r="D83" s="58" t="n">
        <x:v>2019</x:v>
      </x:c>
      <x:c r="E83" s="46" t="str">
        <x:v>Hippoglossoides platessoides</x:v>
      </x:c>
      <x:c r="F83" s="46" t="str">
        <x:v>American plaice</x:v>
      </x:c>
      <x:c r="G83" s="46" t="str">
        <x:v>Small to medium flatfishes (&lt;90 cm)</x:v>
      </x:c>
      <x:c r="H83" s="46" t="str">
        <x:v>Flatfishes</x:v>
      </x:c>
      <x:c r="I83" s="60" t="n">
        <x:v>364.1393267343</x:v>
      </x:c>
      <x:c r="J83" s="60" t="n">
        <x:v>76.678888711</x:v>
      </x:c>
      <x:c r="K83" s="60" t="n">
        <x:v>287.4604380233</x:v>
      </x:c>
      <x:c r="L83" s="60" t="n">
        <x:v>76.66040317689999</x:v>
      </x:c>
      <x:c r="M83" s="60" t="n">
        <x:v>287.4789235574</x:v>
      </x:c>
      <x:c r="N83" s="46" t="str">
        <x:v>hippoglossoides platessoides</x:v>
      </x:c>
      <x:c r="O83" s="62" t="n">
        <x:v>4.08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Hippoglossoides platessoides</x:v>
      </x:c>
      <x:c r="T83" s="62" t="n">
        <x:f>IF(O83="","",(1/'Metadata'!$B$5)^(O83-1))</x:f>
        <x:v>10166.521575327472</x:v>
      </x:c>
      <x:c r="U83" s="60" t="n">
        <x:f>IF(T83="","",I83*T83)</x:f>
        <x:v>3702030.3216694808</x:v>
      </x:c>
    </x:row>
    <x:row r="84" ht="18" customHeight="1">
      <x:c r="A84" s="46" t="str">
        <x:v>LME_022</x:v>
      </x:c>
      <x:c r="B84" s="46" t="str">
        <x:v>North Sea</x:v>
      </x:c>
      <x:c r="C84" s="46" t="str">
        <x:v>LME</x:v>
      </x:c>
      <x:c r="D84" s="58" t="n">
        <x:v>2019</x:v>
      </x:c>
      <x:c r="E84" s="46" t="str">
        <x:v>Lepidorhombus whiffiagonis</x:v>
      </x:c>
      <x:c r="F84" s="46" t="str">
        <x:v>Megrim</x:v>
      </x:c>
      <x:c r="G84" s="46" t="str">
        <x:v>Small to medium flatfishes (&lt;90 cm)</x:v>
      </x:c>
      <x:c r="H84" s="46" t="str">
        <x:v>Flatfishes</x:v>
      </x:c>
      <x:c r="I84" s="60" t="n">
        <x:v>359.6542198725</x:v>
      </x:c>
      <x:c r="J84" s="60" t="n">
        <x:v>71.519928575</x:v>
      </x:c>
      <x:c r="K84" s="60" t="n">
        <x:v>288.1342912975</x:v>
      </x:c>
      <x:c r="L84" s="60" t="n">
        <x:v>71.519928575</x:v>
      </x:c>
      <x:c r="M84" s="60" t="n">
        <x:v>288.1342912975</x:v>
      </x:c>
      <x:c r="N84" s="46" t="str">
        <x:v>lepidorhombus whiffiagonis</x:v>
      </x:c>
      <x:c r="O84" s="62" t="n">
        <x:v>4.34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Lepidorhombus whiffiagonis</x:v>
      </x:c>
      <x:c r="T84" s="62" t="n">
        <x:f>IF(O84="","",(1/'Metadata'!$B$5)^(O84-1))</x:f>
        <x:v>22153.389612394185</x:v>
      </x:c>
      <x:c r="U84" s="60" t="n">
        <x:f>IF(T84="","",I84*T84)</x:f>
        <x:v>7967560.058577175</x:v>
      </x:c>
    </x:row>
    <x:row r="85" ht="18" customHeight="1">
      <x:c r="A85" s="46" t="str">
        <x:v>LME_022</x:v>
      </x:c>
      <x:c r="B85" s="46" t="str">
        <x:v>North Sea</x:v>
      </x:c>
      <x:c r="C85" s="46" t="str">
        <x:v>LME</x:v>
      </x:c>
      <x:c r="D85" s="58" t="n">
        <x:v>2019</x:v>
      </x:c>
      <x:c r="E85" s="46" t="str">
        <x:v>Belone belone</x:v>
      </x:c>
      <x:c r="F85" s="46" t="str">
        <x:v>Garfish</x:v>
      </x:c>
      <x:c r="G85" s="46" t="str">
        <x:v>Medium pelagics (30 - 89 cm)</x:v>
      </x:c>
      <x:c r="H85" s="46" t="str">
        <x:v>Other fishes &amp; inverts</x:v>
      </x:c>
      <x:c r="I85" s="60" t="n">
        <x:v>353.2530672975</x:v>
      </x:c>
      <x:c r="J85" s="60" t="n">
        <x:v>351.45753688869996</x:v>
      </x:c>
      <x:c r="K85" s="60" t="n">
        <x:v>1.7955304088</x:v>
      </x:c>
      <x:c r="L85" s="60" t="n">
        <x:v>97.4614897775</x:v>
      </x:c>
      <x:c r="M85" s="60" t="n">
        <x:v>255.79157752</x:v>
      </x:c>
      <x:c r="N85" s="46" t="str">
        <x:v>belone belone</x:v>
      </x:c>
      <x:c r="O85" s="62" t="n">
        <x:v>4.16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Belone belone</x:v>
      </x:c>
      <x:c r="T85" s="62" t="n">
        <x:f>IF(O85="","",(1/'Metadata'!$B$5)^(O85-1))</x:f>
        <x:v>12919.77011769987</x:v>
      </x:c>
      <x:c r="U85" s="60" t="n">
        <x:f>IF(T85="","",I85*T85)</x:f>
        <x:v>4563948.422856063</x:v>
      </x:c>
    </x:row>
    <x:row r="86" ht="18" customHeight="1">
      <x:c r="A86" s="46" t="str">
        <x:v>LME_022</x:v>
      </x:c>
      <x:c r="B86" s="46" t="str">
        <x:v>North Sea</x:v>
      </x:c>
      <x:c r="C86" s="46" t="str">
        <x:v>LME</x:v>
      </x:c>
      <x:c r="D86" s="58" t="n">
        <x:v>2019</x:v>
      </x:c>
      <x:c r="E86" s="46" t="str">
        <x:v>Macrouridae</x:v>
      </x:c>
      <x:c r="F86" s="46" t="str">
        <x:v>Grenadiers, rattails</x:v>
      </x:c>
      <x:c r="G86" s="46" t="str">
        <x:v>Medium benthopelagics (30 - 89 cm)</x:v>
      </x:c>
      <x:c r="H86" s="46" t="str">
        <x:v>Cod-likes</x:v>
      </x:c>
      <x:c r="I86" s="60" t="n">
        <x:v>334.2651359689</x:v>
      </x:c>
      <x:c r="J86" s="60" t="n">
        <x:v>0</x:v>
      </x:c>
      <x:c r="K86" s="60" t="n">
        <x:v>334.2651359689</x:v>
      </x:c>
      <x:c r="L86" s="60" t="n">
        <x:v>0</x:v>
      </x:c>
      <x:c r="M86" s="60" t="n">
        <x:v>334.2651359689</x:v>
      </x:c>
      <x:c r="N86" s="46" t="str">
        <x:v>macrouridae</x:v>
      </x:c>
      <x:c r="O86" s="62" t="n">
        <x:v>3.88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Macrouridae</x:v>
      </x:c>
      <x:c r="T86" s="62" t="n">
        <x:f>IF(O86="","",(1/'Metadata'!$B$5)^(O86-1))</x:f>
        <x:v>5584.269732662554</x:v>
      </x:c>
      <x:c r="U86" s="60" t="n">
        <x:f>IF(T86="","",I86*T86)</x:f>
        <x:v>1866626.6814754612</x:v>
      </x:c>
    </x:row>
    <x:row r="87" ht="18" customHeight="1">
      <x:c r="A87" s="46" t="str">
        <x:v>LME_022</x:v>
      </x:c>
      <x:c r="B87" s="46" t="str">
        <x:v>North Sea</x:v>
      </x:c>
      <x:c r="C87" s="46" t="str">
        <x:v>LME</x:v>
      </x:c>
      <x:c r="D87" s="58" t="n">
        <x:v>2019</x:v>
      </x:c>
      <x:c r="E87" s="46" t="str">
        <x:v>Argentina sphyraena</x:v>
      </x:c>
      <x:c r="F87" s="46" t="str">
        <x:v>European argentine</x:v>
      </x:c>
      <x:c r="G87" s="46" t="str">
        <x:v>Medium pelagics (30 - 89 cm)</x:v>
      </x:c>
      <x:c r="H87" s="46" t="str">
        <x:v>Salmon, smelts, etc</x:v>
      </x:c>
      <x:c r="I87" s="60" t="n">
        <x:v>297.67029294459996</x:v>
      </x:c>
      <x:c r="J87" s="60" t="n">
        <x:v>297.67029294459996</x:v>
      </x:c>
      <x:c r="K87" s="60" t="n">
        <x:v>0</x:v>
      </x:c>
      <x:c r="L87" s="60" t="n">
        <x:v>297.67029294459996</x:v>
      </x:c>
      <x:c r="M87" s="60" t="n">
        <x:v>0</x:v>
      </x:c>
      <x:c r="N87" s="46" t="str">
        <x:v>argentina sphyraena</x:v>
      </x:c>
      <x:c r="O87" s="62" t="n">
        <x:v>3.62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Argentina sphyraena</x:v>
      </x:c>
      <x:c r="T87" s="62" t="n">
        <x:f>IF(O87="","",(1/'Metadata'!$B$5)^(O87-1))</x:f>
        <x:v>2562.7048371775754</x:v>
      </x:c>
      <x:c r="U87" s="60" t="n">
        <x:f>IF(T87="","",I87*T87)</x:f>
        <x:v>762841.0996131923</x:v>
      </x:c>
    </x:row>
    <x:row r="88" ht="18" customHeight="1">
      <x:c r="A88" s="46" t="str">
        <x:v>LME_022</x:v>
      </x:c>
      <x:c r="B88" s="46" t="str">
        <x:v>North Sea</x:v>
      </x:c>
      <x:c r="C88" s="46" t="str">
        <x:v>LME</x:v>
      </x:c>
      <x:c r="D88" s="58" t="n">
        <x:v>2019</x:v>
      </x:c>
      <x:c r="E88" s="46" t="str">
        <x:v>Ostrea edulis</x:v>
      </x:c>
      <x:c r="F88" s="46" t="str">
        <x:v>European flat oyster</x:v>
      </x:c>
      <x:c r="G88" s="46" t="str">
        <x:v>Other demersal invertebrates</x:v>
      </x:c>
      <x:c r="H88" s="46" t="str">
        <x:v>Molluscs</x:v>
      </x:c>
      <x:c r="I88" s="60" t="n">
        <x:v>292.0334122591</x:v>
      </x:c>
      <x:c r="J88" s="60" t="n">
        <x:v>291.4710370475</x:v>
      </x:c>
      <x:c r="K88" s="60" t="n">
        <x:v>0.5623752116</x:v>
      </x:c>
      <x:c r="L88" s="60" t="n">
        <x:v>290.83314527019996</x:v>
      </x:c>
      <x:c r="M88" s="60" t="n">
        <x:v>1.2002669889</x:v>
      </x:c>
      <x:c r="N88" s="46" t="str">
        <x:v>ostrea edulis</x:v>
      </x:c>
      <x:c r="O88" s="62" t="n">
        <x:v>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Ostrea edulis</x:v>
      </x:c>
      <x:c r="T88" s="62" t="n">
        <x:f>IF(O88="","",(1/'Metadata'!$B$5)^(O88-1))</x:f>
        <x:v>20</x:v>
      </x:c>
      <x:c r="U88" s="60" t="n">
        <x:f>IF(T88="","",I88*T88)</x:f>
        <x:v>5840.668245182</x:v>
      </x:c>
    </x:row>
    <x:row r="89" ht="18" customHeight="1">
      <x:c r="A89" s="46" t="str">
        <x:v>LME_022</x:v>
      </x:c>
      <x:c r="B89" s="46" t="str">
        <x:v>North Sea</x:v>
      </x:c>
      <x:c r="C89" s="46" t="str">
        <x:v>LME</x:v>
      </x:c>
      <x:c r="D89" s="58" t="n">
        <x:v>2019</x:v>
      </x:c>
      <x:c r="E89" s="46" t="str">
        <x:v>Chelidonichthys cuculus</x:v>
      </x:c>
      <x:c r="F89" s="46" t="str">
        <x:v>Red gurnard</x:v>
      </x:c>
      <x:c r="G89" s="46" t="str">
        <x:v>Medium demersals (30 - 89 cm)</x:v>
      </x:c>
      <x:c r="H89" s="46" t="str">
        <x:v>Scorpionfishes</x:v>
      </x:c>
      <x:c r="I89" s="60" t="n">
        <x:v>274.491507884</x:v>
      </x:c>
      <x:c r="J89" s="60" t="n">
        <x:v>274.491507884</x:v>
      </x:c>
      <x:c r="K89" s="60" t="n">
        <x:v>0</x:v>
      </x:c>
      <x:c r="L89" s="60" t="n">
        <x:v>274.4564694397</x:v>
      </x:c>
      <x:c r="M89" s="60" t="n">
        <x:v>0.035038444300000006</x:v>
      </x:c>
      <x:c r="N89" s="46" t="str">
        <x:v>chelidonichthys cuculus</x:v>
      </x:c>
      <x:c r="O89" s="62" t="n">
        <x:v>3.81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Chelidonichthys cuculus</x:v>
      </x:c>
      <x:c r="T89" s="62" t="n">
        <x:f>IF(O89="","",(1/'Metadata'!$B$5)^(O89-1))</x:f>
        <x:v>4527.873529309382</x:v>
      </x:c>
      <x:c r="U89" s="60" t="n">
        <x:f>IF(T89="","",I89*T89)</x:f>
        <x:v>1242862.8325681812</x:v>
      </x:c>
    </x:row>
    <x:row r="90" ht="18" customHeight="1">
      <x:c r="A90" s="46" t="str">
        <x:v>LME_022</x:v>
      </x:c>
      <x:c r="B90" s="46" t="str">
        <x:v>North Sea</x:v>
      </x:c>
      <x:c r="C90" s="46" t="str">
        <x:v>LME</x:v>
      </x:c>
      <x:c r="D90" s="58" t="n">
        <x:v>2019</x:v>
      </x:c>
      <x:c r="E90" s="46" t="str">
        <x:v>Bivalvia</x:v>
      </x:c>
      <x:c r="F90" s="46" t="str">
        <x:v>Clams</x:v>
      </x:c>
      <x:c r="G90" s="46" t="str">
        <x:v>Other demersal invertebrates</x:v>
      </x:c>
      <x:c r="H90" s="46" t="str">
        <x:v>Molluscs</x:v>
      </x:c>
      <x:c r="I90" s="60" t="n">
        <x:v>261.4067094184</x:v>
      </x:c>
      <x:c r="J90" s="60" t="n">
        <x:v>26.8669539915</x:v>
      </x:c>
      <x:c r="K90" s="60" t="n">
        <x:v>234.53975542689997</x:v>
      </x:c>
      <x:c r="L90" s="60" t="n">
        <x:v>24.6876426855</x:v>
      </x:c>
      <x:c r="M90" s="60" t="n">
        <x:v>236.7190667329</x:v>
      </x:c>
      <x:c r="N90" s="46" t="str">
        <x:v>bivalvia</x:v>
      </x:c>
      <x:c r="O90" s="62" t="n">
        <x:v>2.23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Bivalvia</x:v>
      </x:c>
      <x:c r="T90" s="62" t="n">
        <x:f>IF(O90="","",(1/'Metadata'!$B$5)^(O90-1))</x:f>
        <x:v>39.83519015836661</x:v>
      </x:c>
      <x:c r="U90" s="60" t="n">
        <x:f>IF(T90="","",I90*T90)</x:f>
        <x:v>10413.185978354848</x:v>
      </x:c>
    </x:row>
    <x:row r="91" ht="18" customHeight="1">
      <x:c r="A91" s="46" t="str">
        <x:v>LME_022</x:v>
      </x:c>
      <x:c r="B91" s="46" t="str">
        <x:v>North Sea</x:v>
      </x:c>
      <x:c r="C91" s="46" t="str">
        <x:v>LME</x:v>
      </x:c>
      <x:c r="D91" s="58" t="n">
        <x:v>2019</x:v>
      </x:c>
      <x:c r="E91" s="46" t="str">
        <x:v>Leucoraja naevus</x:v>
      </x:c>
      <x:c r="F91" s="46" t="str">
        <x:v>Cuckoo ray</x:v>
      </x:c>
      <x:c r="G91" s="46" t="str">
        <x:v>Small to medium rays (&lt;90 cm)</x:v>
      </x:c>
      <x:c r="H91" s="46" t="str">
        <x:v>Sharks &amp; rays</x:v>
      </x:c>
      <x:c r="I91" s="60" t="n">
        <x:v>257.5718968816</x:v>
      </x:c>
      <x:c r="J91" s="60" t="n">
        <x:v>253.3045792301</x:v>
      </x:c>
      <x:c r="K91" s="60" t="n">
        <x:v>4.2673176515</x:v>
      </x:c>
      <x:c r="L91" s="60" t="n">
        <x:v>253.3045792301</x:v>
      </x:c>
      <x:c r="M91" s="60" t="n">
        <x:v>4.2673176515</x:v>
      </x:c>
      <x:c r="N91" s="46" t="str">
        <x:v>leucoraja naevus</x:v>
      </x:c>
      <x:c r="O91" s="62" t="n">
        <x:v>4.21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Leucoraja naevus</x:v>
      </x:c>
      <x:c r="T91" s="62" t="n">
        <x:f>IF(O91="","",(1/'Metadata'!$B$5)^(O91-1))</x:f>
        <x:v>15007.428609226863</x:v>
      </x:c>
      <x:c r="U91" s="60" t="n">
        <x:f>IF(T91="","",I91*T91)</x:f>
        <x:v>3865491.8541937554</x:v>
      </x:c>
    </x:row>
    <x:row r="92" ht="18" customHeight="1">
      <x:c r="A92" s="46" t="str">
        <x:v>LME_022</x:v>
      </x:c>
      <x:c r="B92" s="46" t="str">
        <x:v>North Sea</x:v>
      </x:c>
      <x:c r="C92" s="46" t="str">
        <x:v>LME</x:v>
      </x:c>
      <x:c r="D92" s="58" t="n">
        <x:v>2019</x:v>
      </x:c>
      <x:c r="E92" s="46" t="str">
        <x:v>Crangon</x:v>
      </x:c>
      <x:c r="F92" s="46" t="str">
        <x:v>Snapping shrimps</x:v>
      </x:c>
      <x:c r="G92" s="46" t="str">
        <x:v>Shrimps</x:v>
      </x:c>
      <x:c r="H92" s="46" t="str">
        <x:v>Crustaceans</x:v>
      </x:c>
      <x:c r="I92" s="60" t="n">
        <x:v>248.741094247</x:v>
      </x:c>
      <x:c r="J92" s="60" t="n">
        <x:v>0</x:v>
      </x:c>
      <x:c r="K92" s="60" t="n">
        <x:v>248.741094247</x:v>
      </x:c>
      <x:c r="L92" s="60" t="n">
        <x:v>0</x:v>
      </x:c>
      <x:c r="M92" s="60" t="n">
        <x:v>248.741094247</x:v>
      </x:c>
      <x:c r="N92" s="46" t="str">
        <x:v>crangon</x:v>
      </x:c>
      <x:c r="O92" s="62" t="n">
        <x:v>3.19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Crangon</x:v>
      </x:c>
      <x:c r="T92" s="62" t="n">
        <x:f>IF(O92="","",(1/'Metadata'!$B$5)^(O92-1))</x:f>
        <x:v>706.7335205557481</x:v>
      </x:c>
      <x:c r="U92" s="60" t="n">
        <x:f>IF(T92="","",I92*T92)</x:f>
        <x:v>175793.66924407147</x:v>
      </x:c>
    </x:row>
    <x:row r="93" ht="18" customHeight="1">
      <x:c r="A93" s="46" t="str">
        <x:v>LME_022</x:v>
      </x:c>
      <x:c r="B93" s="46" t="str">
        <x:v>North Sea</x:v>
      </x:c>
      <x:c r="C93" s="46" t="str">
        <x:v>LME</x:v>
      </x:c>
      <x:c r="D93" s="58" t="n">
        <x:v>2019</x:v>
      </x:c>
      <x:c r="E93" s="46" t="str">
        <x:v>Crangonidae</x:v>
      </x:c>
      <x:c r="F93" s="46" t="str">
        <x:v>Brown shrimps</x:v>
      </x:c>
      <x:c r="G93" s="46" t="str">
        <x:v>Shrimps</x:v>
      </x:c>
      <x:c r="H93" s="46" t="str">
        <x:v>Crustaceans</x:v>
      </x:c>
      <x:c r="I93" s="60" t="n">
        <x:v>238.5909321269</x:v>
      </x:c>
      <x:c r="J93" s="60" t="n">
        <x:v>0</x:v>
      </x:c>
      <x:c r="K93" s="60" t="n">
        <x:v>238.5909321269</x:v>
      </x:c>
      <x:c r="L93" s="60" t="n">
        <x:v>0</x:v>
      </x:c>
      <x:c r="M93" s="60" t="n">
        <x:v>238.5909321269</x:v>
      </x:c>
      <x:c r="N93" s="46" t="str">
        <x:v>crangonidae</x:v>
      </x:c>
      <x:c r="O93" s="62" t="n">
        <x:v>3.19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Crangonidae</x:v>
      </x:c>
      <x:c r="T93" s="62" t="n">
        <x:f>IF(O93="","",(1/'Metadata'!$B$5)^(O93-1))</x:f>
        <x:v>706.7335205557481</x:v>
      </x:c>
      <x:c r="U93" s="60" t="n">
        <x:f>IF(T93="","",I93*T93)</x:f>
        <x:v>168620.20943472156</x:v>
      </x:c>
    </x:row>
    <x:row r="94" ht="18" customHeight="1">
      <x:c r="A94" s="46" t="str">
        <x:v>LME_022</x:v>
      </x:c>
      <x:c r="B94" s="46" t="str">
        <x:v>North Sea</x:v>
      </x:c>
      <x:c r="C94" s="46" t="str">
        <x:v>LME</x:v>
      </x:c>
      <x:c r="D94" s="58" t="n">
        <x:v>2019</x:v>
      </x:c>
      <x:c r="E94" s="46" t="str">
        <x:v>Scophthalmidae</x:v>
      </x:c>
      <x:c r="F94" s="46" t="str">
        <x:v>Turbots</x:v>
      </x:c>
      <x:c r="G94" s="46" t="str">
        <x:v>Small to medium flatfishes (&lt;90 cm)</x:v>
      </x:c>
      <x:c r="H94" s="46" t="str">
        <x:v>Flatfishes</x:v>
      </x:c>
      <x:c r="I94" s="60" t="n">
        <x:v>228.91122773150002</x:v>
      </x:c>
      <x:c r="J94" s="60" t="n">
        <x:v>0.001357601</x:v>
      </x:c>
      <x:c r="K94" s="60" t="n">
        <x:v>228.90987013050002</x:v>
      </x:c>
      <x:c r="L94" s="60" t="n">
        <x:v>0.001357601</x:v>
      </x:c>
      <x:c r="M94" s="60" t="n">
        <x:v>228.90987013050002</x:v>
      </x:c>
      <x:c r="N94" s="46" t="str">
        <x:v>scophthalmidae</x:v>
      </x:c>
      <x:c r="O94" s="62" t="n">
        <x:v>3.71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Scophthalmidae</x:v>
      </x:c>
      <x:c r="T94" s="62" t="n">
        <x:f>IF(O94="","",(1/'Metadata'!$B$5)^(O94-1))</x:f>
        <x:v>3355.7630537706395</x:v>
      </x:c>
      <x:c r="U94" s="60" t="n">
        <x:f>IF(T94="","",I94*T94)</x:f>
        <x:v>768171.8406146448</x:v>
      </x:c>
    </x:row>
    <x:row r="95" ht="18" customHeight="1">
      <x:c r="A95" s="46" t="str">
        <x:v>LME_022</x:v>
      </x:c>
      <x:c r="B95" s="46" t="str">
        <x:v>North Sea</x:v>
      </x:c>
      <x:c r="C95" s="46" t="str">
        <x:v>LME</x:v>
      </x:c>
      <x:c r="D95" s="58" t="n">
        <x:v>2019</x:v>
      </x:c>
      <x:c r="E95" s="46" t="str">
        <x:v>Raja brachyura</x:v>
      </x:c>
      <x:c r="F95" s="46" t="str">
        <x:v>Blonde ray</x:v>
      </x:c>
      <x:c r="G95" s="46" t="str">
        <x:v>Large rays (&gt;=90 cm)</x:v>
      </x:c>
      <x:c r="H95" s="46" t="str">
        <x:v>Sharks &amp; rays</x:v>
      </x:c>
      <x:c r="I95" s="60" t="n">
        <x:v>228.3767110083</x:v>
      </x:c>
      <x:c r="J95" s="60" t="n">
        <x:v>228.3767110083</x:v>
      </x:c>
      <x:c r="K95" s="60" t="n">
        <x:v>0</x:v>
      </x:c>
      <x:c r="L95" s="60" t="n">
        <x:v>228.37571872979998</x:v>
      </x:c>
      <x:c r="M95" s="60" t="n">
        <x:v>0.0009922785</x:v>
      </x:c>
      <x:c r="N95" s="46" t="str">
        <x:v>raja brachyura</x:v>
      </x:c>
      <x:c r="O95" s="62" t="n">
        <x:v>3.89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Raja brachyura</x:v>
      </x:c>
      <x:c r="T95" s="62" t="n">
        <x:f>IF(O95="","",(1/'Metadata'!$B$5)^(O95-1))</x:f>
        <x:v>5754.090490759748</x:v>
      </x:c>
      <x:c r="U95" s="60" t="n">
        <x:f>IF(T95="","",I95*T95)</x:f>
        <x:v>1314100.261123846</x:v>
      </x:c>
    </x:row>
    <x:row r="96" ht="18" customHeight="1">
      <x:c r="A96" s="46" t="str">
        <x:v>LME_022</x:v>
      </x:c>
      <x:c r="B96" s="46" t="str">
        <x:v>North Sea</x:v>
      </x:c>
      <x:c r="C96" s="46" t="str">
        <x:v>LME</x:v>
      </x:c>
      <x:c r="D96" s="58" t="n">
        <x:v>2019</x:v>
      </x:c>
      <x:c r="E96" s="46" t="str">
        <x:v>Squalus acanthias</x:v>
      </x:c>
      <x:c r="F96" s="46" t="str">
        <x:v>Picked dogfish</x:v>
      </x:c>
      <x:c r="G96" s="46" t="str">
        <x:v>Large sharks (&gt;=90 cm)</x:v>
      </x:c>
      <x:c r="H96" s="46" t="str">
        <x:v>Sharks &amp; rays</x:v>
      </x:c>
      <x:c r="I96" s="60" t="n">
        <x:v>220.2810058312</x:v>
      </x:c>
      <x:c r="J96" s="60" t="n">
        <x:v>214.76809742179998</x:v>
      </x:c>
      <x:c r="K96" s="60" t="n">
        <x:v>5.5129084094</x:v>
      </x:c>
      <x:c r="L96" s="60" t="n">
        <x:v>214.3612882197</x:v>
      </x:c>
      <x:c r="M96" s="60" t="n">
        <x:v>5.919717611499999</x:v>
      </x:c>
      <x:c r="N96" s="46" t="str">
        <x:v>squalus acanthias</x:v>
      </x:c>
      <x:c r="O96" s="62" t="n">
        <x:v>4.37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Squalus acanthias</x:v>
      </x:c>
      <x:c r="T96" s="62" t="n">
        <x:f>IF(O96="","",(1/'Metadata'!$B$5)^(O96-1))</x:f>
        <x:v>24236.56596112542</x:v>
      </x:c>
      <x:c r="U96" s="60" t="n">
        <x:f>IF(T96="","",I96*T96)</x:f>
        <x:v>5338855.127810932</x:v>
      </x:c>
    </x:row>
    <x:row r="97" ht="18" customHeight="1">
      <x:c r="A97" s="46" t="str">
        <x:v>LME_022</x:v>
      </x:c>
      <x:c r="B97" s="46" t="str">
        <x:v>North Sea</x:v>
      </x:c>
      <x:c r="C97" s="46" t="str">
        <x:v>LME</x:v>
      </x:c>
      <x:c r="D97" s="58" t="n">
        <x:v>2019</x:v>
      </x:c>
      <x:c r="E97" s="46" t="str">
        <x:v>Gastropoda</x:v>
      </x:c>
      <x:c r="F97" s="46" t="str">
        <x:v>Sea snails</x:v>
      </x:c>
      <x:c r="G97" s="46" t="str">
        <x:v>Other demersal invertebrates</x:v>
      </x:c>
      <x:c r="H97" s="46" t="str">
        <x:v>Molluscs</x:v>
      </x:c>
      <x:c r="I97" s="60" t="n">
        <x:v>218.2125814499</x:v>
      </x:c>
      <x:c r="J97" s="60" t="n">
        <x:v>14.0834086383</x:v>
      </x:c>
      <x:c r="K97" s="60" t="n">
        <x:v>204.1291728116</x:v>
      </x:c>
      <x:c r="L97" s="60" t="n">
        <x:v>11.901846852099998</x:v>
      </x:c>
      <x:c r="M97" s="60" t="n">
        <x:v>206.31073459779998</x:v>
      </x:c>
      <x:c r="N97" s="46" t="str">
        <x:v>gastropoda</x:v>
      </x:c>
      <x:c r="O97" s="62" t="n">
        <x:v>3.06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Gastropoda</x:v>
      </x:c>
      <x:c r="T97" s="62" t="n">
        <x:f>IF(O97="","",(1/'Metadata'!$B$5)^(O97-1))</x:f>
        <x:v>478.7643354384948</x:v>
      </x:c>
      <x:c r="U97" s="60" t="n">
        <x:f>IF(T97="","",I97*T97)</x:f>
        <x:v>104472.4015421798</x:v>
      </x:c>
    </x:row>
    <x:row r="98" ht="18" customHeight="1">
      <x:c r="A98" s="46" t="str">
        <x:v>LME_022</x:v>
      </x:c>
      <x:c r="B98" s="46" t="str">
        <x:v>North Sea</x:v>
      </x:c>
      <x:c r="C98" s="46" t="str">
        <x:v>LME</x:v>
      </x:c>
      <x:c r="D98" s="58" t="n">
        <x:v>2019</x:v>
      </x:c>
      <x:c r="E98" s="46" t="str">
        <x:v>Sebastidae</x:v>
      </x:c>
      <x:c r="F98" s="46" t="str">
        <x:v>Rockfishes, rockcods, thornyheads</x:v>
      </x:c>
      <x:c r="G98" s="46" t="str">
        <x:v>Medium demersals (30 - 89 cm)</x:v>
      </x:c>
      <x:c r="H98" s="46" t="str">
        <x:v>Scorpionfishes</x:v>
      </x:c>
      <x:c r="I98" s="60" t="n">
        <x:v>202.4524115199</x:v>
      </x:c>
      <x:c r="J98" s="60" t="n">
        <x:v>0.0157826202</x:v>
      </x:c>
      <x:c r="K98" s="60" t="n">
        <x:v>202.4366288997</x:v>
      </x:c>
      <x:c r="L98" s="60" t="n">
        <x:v>0.0157826202</x:v>
      </x:c>
      <x:c r="M98" s="60" t="n">
        <x:v>202.4366288997</x:v>
      </x:c>
      <x:c r="N98" s="46" t="str">
        <x:v>sebastidae</x:v>
      </x:c>
      <x:c r="O98" s="62" t="n">
        <x:v>3.74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Sebastidae</x:v>
      </x:c>
      <x:c r="T98" s="62" t="n">
        <x:f>IF(O98="","",(1/'Metadata'!$B$5)^(O98-1))</x:f>
        <x:v>3671.3195599248957</x:v>
      </x:c>
      <x:c r="U98" s="60" t="n">
        <x:f>IF(T98="","",I98*T98)</x:f>
        <x:v>743267.4983669731</x:v>
      </x:c>
    </x:row>
    <x:row r="99" ht="18" customHeight="1">
      <x:c r="A99" s="46" t="str">
        <x:v>LME_022</x:v>
      </x:c>
      <x:c r="B99" s="46" t="str">
        <x:v>North Sea</x:v>
      </x:c>
      <x:c r="C99" s="46" t="str">
        <x:v>LME</x:v>
      </x:c>
      <x:c r="D99" s="58" t="n">
        <x:v>2019</x:v>
      </x:c>
      <x:c r="E99" s="46" t="str">
        <x:v>Cyclopterus lumpus</x:v>
      </x:c>
      <x:c r="F99" s="46" t="str">
        <x:v>Lumpfish</x:v>
      </x:c>
      <x:c r="G99" s="46" t="str">
        <x:v>Medium benthopelagics (30 - 89 cm)</x:v>
      </x:c>
      <x:c r="H99" s="46" t="str">
        <x:v>Scorpionfishes</x:v>
      </x:c>
      <x:c r="I99" s="60" t="n">
        <x:v>193.78402838399998</x:v>
      </x:c>
      <x:c r="J99" s="60" t="n">
        <x:v>181.0624354163</x:v>
      </x:c>
      <x:c r="K99" s="60" t="n">
        <x:v>12.7215929677</x:v>
      </x:c>
      <x:c r="L99" s="60" t="n">
        <x:v>178.2009202477</x:v>
      </x:c>
      <x:c r="M99" s="60" t="n">
        <x:v>15.5831081363</x:v>
      </x:c>
      <x:c r="N99" s="46" t="str">
        <x:v>cyclopterus lumpus</x:v>
      </x:c>
      <x:c r="O99" s="62" t="n">
        <x:v>3.89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Cyclopterus lumpus</x:v>
      </x:c>
      <x:c r="T99" s="62" t="n">
        <x:f>IF(O99="","",(1/'Metadata'!$B$5)^(O99-1))</x:f>
        <x:v>5754.090490759748</x:v>
      </x:c>
      <x:c r="U99" s="60" t="n">
        <x:f>IF(T99="","",I99*T99)</x:f>
        <x:v>1115050.8349854914</x:v>
      </x:c>
    </x:row>
    <x:row r="100" ht="18" customHeight="1">
      <x:c r="A100" s="46" t="str">
        <x:v>LME_022</x:v>
      </x:c>
      <x:c r="B100" s="46" t="str">
        <x:v>North Sea</x:v>
      </x:c>
      <x:c r="C100" s="46" t="str">
        <x:v>LME</x:v>
      </x:c>
      <x:c r="D100" s="58" t="n">
        <x:v>2019</x:v>
      </x:c>
      <x:c r="E100" s="46" t="str">
        <x:v>Amblyraja radiata</x:v>
      </x:c>
      <x:c r="F100" s="46" t="str">
        <x:v>Starry ray</x:v>
      </x:c>
      <x:c r="G100" s="46" t="str">
        <x:v>Large rays (&gt;=90 cm)</x:v>
      </x:c>
      <x:c r="H100" s="46" t="str">
        <x:v>Sharks &amp; rays</x:v>
      </x:c>
      <x:c r="I100" s="60" t="n">
        <x:v>192.7056402968</x:v>
      </x:c>
      <x:c r="J100" s="60" t="n">
        <x:v>4.5981946628</x:v>
      </x:c>
      <x:c r="K100" s="60" t="n">
        <x:v>188.107445634</x:v>
      </x:c>
      <x:c r="L100" s="60" t="n">
        <x:v>4.5981946628</x:v>
      </x:c>
      <x:c r="M100" s="60" t="n">
        <x:v>188.107445634</x:v>
      </x:c>
      <x:c r="N100" s="46" t="str">
        <x:v>amblyraja radiata</x:v>
      </x:c>
      <x:c r="O100" s="62" t="n">
        <x:v>4.2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Amblyraja radiata</x:v>
      </x:c>
      <x:c r="T100" s="62" t="n">
        <x:f>IF(O100="","",(1/'Metadata'!$B$5)^(O100-1))</x:f>
        <x:v>14564.51362420865</x:v>
      </x:c>
      <x:c r="U100" s="60" t="n">
        <x:f>IF(T100="","",I100*T100)</x:f>
        <x:v>2806663.923564595</x:v>
      </x:c>
    </x:row>
    <x:row r="101" ht="18" customHeight="1">
      <x:c r="A101" s="46" t="str">
        <x:v>LME_022</x:v>
      </x:c>
      <x:c r="B101" s="46" t="str">
        <x:v>North Sea</x:v>
      </x:c>
      <x:c r="C101" s="46" t="str">
        <x:v>LME</x:v>
      </x:c>
      <x:c r="D101" s="58" t="n">
        <x:v>2019</x:v>
      </x:c>
      <x:c r="E101" s="46" t="str">
        <x:v>Salmo trutta</x:v>
      </x:c>
      <x:c r="F101" s="46" t="str">
        <x:v>Sea trout</x:v>
      </x:c>
      <x:c r="G101" s="46" t="str">
        <x:v>Large pelagics (&gt;=90 cm)</x:v>
      </x:c>
      <x:c r="H101" s="46" t="str">
        <x:v>Salmon, smelts, etc</x:v>
      </x:c>
      <x:c r="I101" s="60" t="n">
        <x:v>190.0143836661</x:v>
      </x:c>
      <x:c r="J101" s="60" t="n">
        <x:v>189.9716724775</x:v>
      </x:c>
      <x:c r="K101" s="60" t="n">
        <x:v>0.0427111886</x:v>
      </x:c>
      <x:c r="L101" s="60" t="n">
        <x:v>4.9253189468</x:v>
      </x:c>
      <x:c r="M101" s="60" t="n">
        <x:v>185.0890647193</x:v>
      </x:c>
      <x:c r="N101" s="46" t="str">
        <x:v>salmo trutta</x:v>
      </x:c>
      <x:c r="O101" s="62" t="n">
        <x:v>3.36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Salmo trutta</x:v>
      </x:c>
      <x:c r="T101" s="62" t="n">
        <x:f>IF(O101="","",(1/'Metadata'!$B$5)^(O101-1))</x:f>
        <x:v>1176.0635493805207</x:v>
      </x:c>
      <x:c r="U101" s="60" t="n">
        <x:f>IF(T101="","",I101*T101)</x:f>
        <x:v>223468.99048770563</x:v>
      </x:c>
    </x:row>
    <x:row r="102" ht="18" customHeight="1">
      <x:c r="A102" s="46" t="str">
        <x:v>LME_022</x:v>
      </x:c>
      <x:c r="B102" s="46" t="str">
        <x:v>North Sea</x:v>
      </x:c>
      <x:c r="C102" s="46" t="str">
        <x:v>LME</x:v>
      </x:c>
      <x:c r="D102" s="58" t="n">
        <x:v>2019</x:v>
      </x:c>
      <x:c r="E102" s="46" t="str">
        <x:v>Molva dypterygia</x:v>
      </x:c>
      <x:c r="F102" s="46" t="str">
        <x:v>Blue ling</x:v>
      </x:c>
      <x:c r="G102" s="46" t="str">
        <x:v>Large demersals (&gt;=90 cm)</x:v>
      </x:c>
      <x:c r="H102" s="46" t="str">
        <x:v>Cod-likes</x:v>
      </x:c>
      <x:c r="I102" s="60" t="n">
        <x:v>188.9832114607</x:v>
      </x:c>
      <x:c r="J102" s="60" t="n">
        <x:v>188.9817230954</x:v>
      </x:c>
      <x:c r="K102" s="60" t="n">
        <x:v>0.0014883653</x:v>
      </x:c>
      <x:c r="L102" s="60" t="n">
        <x:v>188.9784065355</x:v>
      </x:c>
      <x:c r="M102" s="60" t="n">
        <x:v>0.0048049252</x:v>
      </x:c>
      <x:c r="N102" s="46" t="str">
        <x:v>molva dypterygia</x:v>
      </x:c>
      <x:c r="O102" s="62" t="n">
        <x:v>4.49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Molva dypterygia</x:v>
      </x:c>
      <x:c r="T102" s="62" t="n">
        <x:f>IF(O102="","",(1/'Metadata'!$B$5)^(O102-1))</x:f>
        <x:v>34721.19667768202</x:v>
      </x:c>
      <x:c r="U102" s="60" t="n">
        <x:f>IF(T102="","",I102*T102)</x:f>
        <x:v>6561723.253906935</x:v>
      </x:c>
    </x:row>
    <x:row r="103" ht="18" customHeight="1">
      <x:c r="A103" s="46" t="str">
        <x:v>LME_022</x:v>
      </x:c>
      <x:c r="B103" s="46" t="str">
        <x:v>North Sea</x:v>
      </x:c>
      <x:c r="C103" s="46" t="str">
        <x:v>LME</x:v>
      </x:c>
      <x:c r="D103" s="58" t="n">
        <x:v>2019</x:v>
      </x:c>
      <x:c r="E103" s="46" t="str">
        <x:v>Trisopterus minutus</x:v>
      </x:c>
      <x:c r="F103" s="46" t="str">
        <x:v>Poor cod</x:v>
      </x:c>
      <x:c r="G103" s="46" t="str">
        <x:v>Medium benthopelagics (30 - 89 cm)</x:v>
      </x:c>
      <x:c r="H103" s="46" t="str">
        <x:v>Cod-likes</x:v>
      </x:c>
      <x:c r="I103" s="60" t="n">
        <x:v>183.2662287485</x:v>
      </x:c>
      <x:c r="J103" s="60" t="n">
        <x:v>0.534455051</x:v>
      </x:c>
      <x:c r="K103" s="60" t="n">
        <x:v>182.7317736975</x:v>
      </x:c>
      <x:c r="L103" s="60" t="n">
        <x:v>0.5337343170000001</x:v>
      </x:c>
      <x:c r="M103" s="60" t="n">
        <x:v>182.7324944315</x:v>
      </x:c>
      <x:c r="N103" s="46" t="str">
        <x:v>trisopterus minutus</x:v>
      </x:c>
      <x:c r="O103" s="62" t="n">
        <x:v>3.73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Trisopterus minutus</x:v>
      </x:c>
      <x:c r="T103" s="62" t="n">
        <x:f>IF(O103="","",(1/'Metadata'!$B$5)^(O103-1))</x:f>
        <x:v>3562.967723629534</x:v>
      </x:c>
      <x:c r="U103" s="60" t="n">
        <x:f>IF(T103="","",I103*T103)</x:f>
        <x:v>652971.6578622125</x:v>
      </x:c>
    </x:row>
    <x:row r="104" ht="18" customHeight="1">
      <x:c r="A104" s="46" t="str">
        <x:v>LME_022</x:v>
      </x:c>
      <x:c r="B104" s="46" t="str">
        <x:v>North Sea</x:v>
      </x:c>
      <x:c r="C104" s="46" t="str">
        <x:v>LME</x:v>
      </x:c>
      <x:c r="D104" s="58" t="n">
        <x:v>2019</x:v>
      </x:c>
      <x:c r="E104" s="46" t="str">
        <x:v>Rajiformes</x:v>
      </x:c>
      <x:c r="F104" s="46" t="str">
        <x:v>Skates and rays</x:v>
      </x:c>
      <x:c r="G104" s="46" t="str">
        <x:v>Large rays (&gt;=90 cm)</x:v>
      </x:c>
      <x:c r="H104" s="46" t="str">
        <x:v>Sharks &amp; rays</x:v>
      </x:c>
      <x:c r="I104" s="60" t="n">
        <x:v>182.1989941743</x:v>
      </x:c>
      <x:c r="J104" s="60" t="n">
        <x:v>12.176937914899998</x:v>
      </x:c>
      <x:c r="K104" s="60" t="n">
        <x:v>170.0220562594</x:v>
      </x:c>
      <x:c r="L104" s="60" t="n">
        <x:v>12.176821278299998</x:v>
      </x:c>
      <x:c r="M104" s="60" t="n">
        <x:v>170.022172896</x:v>
      </x:c>
      <x:c r="N104" s="46" t="str">
        <x:v>rajiformes</x:v>
      </x:c>
      <x:c r="O104" s="62" t="n">
        <x:v>3.61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Rajiformes</x:v>
      </x:c>
      <x:c r="T104" s="62" t="n">
        <x:f>IF(O104="","",(1/'Metadata'!$B$5)^(O104-1))</x:f>
        <x:v>2487.0716021897506</x:v>
      </x:c>
      <x:c r="U104" s="60" t="n">
        <x:f>IF(T104="","",I104*T104)</x:f>
        <x:v>453141.9443584373</x:v>
      </x:c>
    </x:row>
    <x:row r="105" ht="18" customHeight="1">
      <x:c r="A105" s="46" t="str">
        <x:v>LME_022</x:v>
      </x:c>
      <x:c r="B105" s="46" t="str">
        <x:v>North Sea</x:v>
      </x:c>
      <x:c r="C105" s="46" t="str">
        <x:v>LME</x:v>
      </x:c>
      <x:c r="D105" s="58" t="n">
        <x:v>2019</x:v>
      </x:c>
      <x:c r="E105" s="46" t="str">
        <x:v>Aphanopus carbo</x:v>
      </x:c>
      <x:c r="F105" s="46" t="str">
        <x:v>Black scabbardfish</x:v>
      </x:c>
      <x:c r="G105" s="46" t="str">
        <x:v>Large benthopelagics (&gt;=90 cm)</x:v>
      </x:c>
      <x:c r="H105" s="46" t="str">
        <x:v>Perch-likes</x:v>
      </x:c>
      <x:c r="I105" s="60" t="n">
        <x:v>182.1830632055</x:v>
      </x:c>
      <x:c r="J105" s="60" t="n">
        <x:v>182.1830632055</x:v>
      </x:c>
      <x:c r="K105" s="60" t="n">
        <x:v>0</x:v>
      </x:c>
      <x:c r="L105" s="60" t="n">
        <x:v>182.1830632055</x:v>
      </x:c>
      <x:c r="M105" s="60" t="n">
        <x:v>0</x:v>
      </x:c>
      <x:c r="N105" s="46" t="str">
        <x:v>aphanopus carbo</x:v>
      </x:c>
      <x:c r="O105" s="62" t="n">
        <x:v>4.48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Aphanopus carbo</x:v>
      </x:c>
      <x:c r="T105" s="62" t="n">
        <x:f>IF(O105="","",(1/'Metadata'!$B$5)^(O105-1))</x:f>
        <x:v>33696.468277717824</x:v>
      </x:c>
      <x:c r="U105" s="60" t="n">
        <x:f>IF(T105="","",I105*T105)</x:f>
        <x:v>6138925.8100415915</x:v>
      </x:c>
    </x:row>
    <x:row r="106" ht="18" customHeight="1">
      <x:c r="A106" s="46" t="str">
        <x:v>LME_022</x:v>
      </x:c>
      <x:c r="B106" s="46" t="str">
        <x:v>North Sea</x:v>
      </x:c>
      <x:c r="C106" s="46" t="str">
        <x:v>LME</x:v>
      </x:c>
      <x:c r="D106" s="58" t="n">
        <x:v>2019</x:v>
      </x:c>
      <x:c r="E106" s="46" t="str">
        <x:v>Sciaenidae</x:v>
      </x:c>
      <x:c r="F106" s="46" t="str">
        <x:v>Drums, croakers</x:v>
      </x:c>
      <x:c r="G106" s="46" t="str">
        <x:v>Medium demersals (30 - 89 cm)</x:v>
      </x:c>
      <x:c r="H106" s="46" t="str">
        <x:v>Perch-likes</x:v>
      </x:c>
      <x:c r="I106" s="60" t="n">
        <x:v>181.4685543631</x:v>
      </x:c>
      <x:c r="J106" s="60" t="n">
        <x:v>23.670133547200003</x:v>
      </x:c>
      <x:c r="K106" s="60" t="n">
        <x:v>157.7984208159</x:v>
      </x:c>
      <x:c r="L106" s="60" t="n">
        <x:v>0.0060303236</x:v>
      </x:c>
      <x:c r="M106" s="60" t="n">
        <x:v>181.4625240395</x:v>
      </x:c>
      <x:c r="N106" s="46" t="str">
        <x:v>sciaenidae</x:v>
      </x:c>
      <x:c r="O106" s="62" t="n">
        <x:v>3.76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Sciaenidae</x:v>
      </x:c>
      <x:c r="T106" s="62" t="n">
        <x:f>IF(O106="","",(1/'Metadata'!$B$5)^(O106-1))</x:f>
        <x:v>3898.0085558913897</x:v>
      </x:c>
      <x:c r="U106" s="60" t="n">
        <x:f>IF(T106="","",I106*T106)</x:f>
        <x:v>707365.9775326055</x:v>
      </x:c>
    </x:row>
    <x:row r="107" ht="18" customHeight="1">
      <x:c r="A107" s="46" t="str">
        <x:v>LME_022</x:v>
      </x:c>
      <x:c r="B107" s="46" t="str">
        <x:v>North Sea</x:v>
      </x:c>
      <x:c r="C107" s="46" t="str">
        <x:v>LME</x:v>
      </x:c>
      <x:c r="D107" s="58" t="n">
        <x:v>2019</x:v>
      </x:c>
      <x:c r="E107" s="46" t="str">
        <x:v>Congridae</x:v>
      </x:c>
      <x:c r="F107" s="46" t="str">
        <x:v>Conger, garden eels</x:v>
      </x:c>
      <x:c r="G107" s="46" t="str">
        <x:v>Large demersals (&gt;=90 cm)</x:v>
      </x:c>
      <x:c r="H107" s="46" t="str">
        <x:v>Other fishes &amp; inverts</x:v>
      </x:c>
      <x:c r="I107" s="60" t="n">
        <x:v>179.6840335581</x:v>
      </x:c>
      <x:c r="J107" s="60" t="n">
        <x:v>0.0005114451000000001</x:v>
      </x:c>
      <x:c r="K107" s="60" t="n">
        <x:v>179.683522113</x:v>
      </x:c>
      <x:c r="L107" s="60" t="n">
        <x:v>0.0005114451000000001</x:v>
      </x:c>
      <x:c r="M107" s="60" t="n">
        <x:v>179.683522113</x:v>
      </x:c>
      <x:c r="N107" s="46" t="str">
        <x:v>congridae</x:v>
      </x:c>
      <x:c r="O107" s="62" t="n">
        <x:v>4.18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Congridae</x:v>
      </x:c>
      <x:c r="T107" s="62" t="n">
        <x:f>IF(O107="","",(1/'Metadata'!$B$5)^(O107-1))</x:f>
        <x:v>13717.513182092556</x:v>
      </x:c>
      <x:c r="U107" s="60" t="n">
        <x:f>IF(T107="","",I107*T107)</x:f>
        <x:v>2464818.098944798</x:v>
      </x:c>
    </x:row>
    <x:row r="108" ht="18" customHeight="1">
      <x:c r="A108" s="46" t="str">
        <x:v>LME_022</x:v>
      </x:c>
      <x:c r="B108" s="46" t="str">
        <x:v>North Sea</x:v>
      </x:c>
      <x:c r="C108" s="46" t="str">
        <x:v>LME</x:v>
      </x:c>
      <x:c r="D108" s="58" t="n">
        <x:v>2019</x:v>
      </x:c>
      <x:c r="E108" s="46" t="str">
        <x:v>Solen</x:v>
      </x:c>
      <x:c r="F108" s="46" t="str">
        <x:v>Razor clams</x:v>
      </x:c>
      <x:c r="G108" s="46" t="str">
        <x:v>Other demersal invertebrates</x:v>
      </x:c>
      <x:c r="H108" s="46" t="str">
        <x:v>Molluscs</x:v>
      </x:c>
      <x:c r="I108" s="60" t="n">
        <x:v>161.432802823</x:v>
      </x:c>
      <x:c r="J108" s="60" t="n">
        <x:v>161.432802823</x:v>
      </x:c>
      <x:c r="K108" s="60" t="n">
        <x:v>0</x:v>
      </x:c>
      <x:c r="L108" s="60" t="n">
        <x:v>161.43278840669998</x:v>
      </x:c>
      <x:c r="M108" s="60" t="n">
        <x:v>0.0000144163</x:v>
      </x:c>
      <x:c r="N108" s="46" t="str">
        <x:v>solen</x:v>
      </x:c>
      <x:c r="O108" s="62" t="n">
        <x:v>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Solen</x:v>
      </x:c>
      <x:c r="T108" s="62" t="n">
        <x:f>IF(O108="","",(1/'Metadata'!$B$5)^(O108-1))</x:f>
        <x:v>20</x:v>
      </x:c>
      <x:c r="U108" s="60" t="n">
        <x:f>IF(T108="","",I108*T108)</x:f>
        <x:v>3228.65605646</x:v>
      </x:c>
    </x:row>
    <x:row r="109" ht="18" customHeight="1">
      <x:c r="A109" s="46" t="str">
        <x:v>LME_022</x:v>
      </x:c>
      <x:c r="B109" s="46" t="str">
        <x:v>North Sea</x:v>
      </x:c>
      <x:c r="C109" s="46" t="str">
        <x:v>LME</x:v>
      </x:c>
      <x:c r="D109" s="58" t="n">
        <x:v>2019</x:v>
      </x:c>
      <x:c r="E109" s="46" t="str">
        <x:v>Callionymus maculatus</x:v>
      </x:c>
      <x:c r="F109" s="46" t="str">
        <x:v>Spotted dragonet</x:v>
      </x:c>
      <x:c r="G109" s="46" t="str">
        <x:v>Large reef assoc. fish (&gt;=90 cm)</x:v>
      </x:c>
      <x:c r="H109" s="46" t="str">
        <x:v>Perch-likes</x:v>
      </x:c>
      <x:c r="I109" s="60" t="n">
        <x:v>161.2513879059</x:v>
      </x:c>
      <x:c r="J109" s="60" t="n">
        <x:v>0</x:v>
      </x:c>
      <x:c r="K109" s="60" t="n">
        <x:v>161.2513879059</x:v>
      </x:c>
      <x:c r="L109" s="60" t="n">
        <x:v>0</x:v>
      </x:c>
      <x:c r="M109" s="60" t="n">
        <x:v>161.2513879059</x:v>
      </x:c>
      <x:c r="N109" s="46" t="str">
        <x:v>callionymus maculatus</x:v>
      </x:c>
      <x:c r="O109" s="62" t="n">
        <x:v>3.25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Callionymus maculatus</x:v>
      </x:c>
      <x:c r="T109" s="62" t="n">
        <x:f>IF(O109="","",(1/'Metadata'!$B$5)^(O109-1))</x:f>
        <x:v>845.8970107524513</x:v>
      </x:c>
      <x:c r="U109" s="60" t="n">
        <x:f>IF(T109="","",I109*T109)</x:f>
        <x:v>136402.06700928477</x:v>
      </x:c>
    </x:row>
    <x:row r="110" ht="18" customHeight="1">
      <x:c r="A110" s="46" t="str">
        <x:v>LME_022</x:v>
      </x:c>
      <x:c r="B110" s="46" t="str">
        <x:v>North Sea</x:v>
      </x:c>
      <x:c r="C110" s="46" t="str">
        <x:v>LME</x:v>
      </x:c>
      <x:c r="D110" s="58" t="n">
        <x:v>2019</x:v>
      </x:c>
      <x:c r="E110" s="46" t="str">
        <x:v>Lophius</x:v>
      </x:c>
      <x:c r="F110" s="46" t="str">
        <x:v>Frogfishes</x:v>
      </x:c>
      <x:c r="G110" s="46" t="str">
        <x:v>Medium bathydemersals (30 - 89 cm)</x:v>
      </x:c>
      <x:c r="H110" s="46" t="str">
        <x:v>Other fishes &amp; inverts</x:v>
      </x:c>
      <x:c r="I110" s="60" t="n">
        <x:v>160.7451675465</x:v>
      </x:c>
      <x:c r="J110" s="60" t="n">
        <x:v>30.9188514474</x:v>
      </x:c>
      <x:c r="K110" s="60" t="n">
        <x:v>129.8263160991</x:v>
      </x:c>
      <x:c r="L110" s="60" t="n">
        <x:v>30.915056659</x:v>
      </x:c>
      <x:c r="M110" s="60" t="n">
        <x:v>129.8301108875</x:v>
      </x:c>
      <x:c r="N110" s="46" t="str">
        <x:v>lophius</x:v>
      </x:c>
      <x:c r="O110" s="62" t="n">
        <x:v>4.46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Lophius</x:v>
      </x:c>
      <x:c r="T110" s="62" t="n">
        <x:f>IF(O110="","",(1/'Metadata'!$B$5)^(O110-1))</x:f>
        <x:v>31736.84749906455</x:v>
      </x:c>
      <x:c r="U110" s="60" t="n">
        <x:f>IF(T110="","",I110*T110)</x:f>
        <x:v>5101544.868634851</x:v>
      </x:c>
    </x:row>
    <x:row r="111" ht="18" customHeight="1">
      <x:c r="A111" s="46" t="str">
        <x:v>LME_022</x:v>
      </x:c>
      <x:c r="B111" s="46" t="str">
        <x:v>North Sea</x:v>
      </x:c>
      <x:c r="C111" s="46" t="str">
        <x:v>LME</x:v>
      </x:c>
      <x:c r="D111" s="58" t="n">
        <x:v>2019</x:v>
      </x:c>
      <x:c r="E111" s="46" t="str">
        <x:v>Anarhichas lupus</x:v>
      </x:c>
      <x:c r="F111" s="46" t="str">
        <x:v>Atlantic wolffish</x:v>
      </x:c>
      <x:c r="G111" s="46" t="str">
        <x:v>Large demersals (&gt;=90 cm)</x:v>
      </x:c>
      <x:c r="H111" s="46" t="str">
        <x:v>Perch-likes</x:v>
      </x:c>
      <x:c r="I111" s="60" t="n">
        <x:v>157.6614803332</x:v>
      </x:c>
      <x:c r="J111" s="60" t="n">
        <x:v>156.693906085</x:v>
      </x:c>
      <x:c r="K111" s="60" t="n">
        <x:v>0.9675742481999999</x:v>
      </x:c>
      <x:c r="L111" s="60" t="n">
        <x:v>155.2591744891</x:v>
      </x:c>
      <x:c r="M111" s="60" t="n">
        <x:v>2.4023058441</x:v>
      </x:c>
      <x:c r="N111" s="46" t="str">
        <x:v>anarhichas lupus</x:v>
      </x:c>
      <x:c r="O111" s="62" t="n">
        <x:v>3.55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Anarhichas lupus</x:v>
      </x:c>
      <x:c r="T111" s="62" t="n">
        <x:f>IF(O111="","",(1/'Metadata'!$B$5)^(O111-1))</x:f>
        <x:v>2077.9088316274606</x:v>
      </x:c>
      <x:c r="U111" s="60" t="n">
        <x:f>IF(T111="","",I111*T111)</x:f>
        <x:v>327606.18239181547</x:v>
      </x:c>
    </x:row>
    <x:row r="112" ht="18" customHeight="1">
      <x:c r="A112" s="46" t="str">
        <x:v>LME_022</x:v>
      </x:c>
      <x:c r="B112" s="46" t="str">
        <x:v>North Sea</x:v>
      </x:c>
      <x:c r="C112" s="46" t="str">
        <x:v>LME</x:v>
      </x:c>
      <x:c r="D112" s="58" t="n">
        <x:v>2019</x:v>
      </x:c>
      <x:c r="E112" s="46" t="str">
        <x:v>Anguilla anguilla</x:v>
      </x:c>
      <x:c r="F112" s="46" t="str">
        <x:v>European eel</x:v>
      </x:c>
      <x:c r="G112" s="46" t="str">
        <x:v>Large demersals (&gt;=90 cm)</x:v>
      </x:c>
      <x:c r="H112" s="46" t="str">
        <x:v>Other fishes &amp; inverts</x:v>
      </x:c>
      <x:c r="I112" s="60" t="n">
        <x:v>151.2446239068</x:v>
      </x:c>
      <x:c r="J112" s="60" t="n">
        <x:v>149.1556345137</x:v>
      </x:c>
      <x:c r="K112" s="60" t="n">
        <x:v>2.0889893931</x:v>
      </x:c>
      <x:c r="L112" s="60" t="n">
        <x:v>80.6113379003</x:v>
      </x:c>
      <x:c r="M112" s="60" t="n">
        <x:v>70.6332860065</x:v>
      </x:c>
      <x:c r="N112" s="46" t="str">
        <x:v>anguilla anguilla</x:v>
      </x:c>
      <x:c r="O112" s="62" t="n">
        <x:v>3.55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Anguilla anguilla</x:v>
      </x:c>
      <x:c r="T112" s="62" t="n">
        <x:f>IF(O112="","",(1/'Metadata'!$B$5)^(O112-1))</x:f>
        <x:v>2077.9088316274606</x:v>
      </x:c>
      <x:c r="U112" s="60" t="n">
        <x:f>IF(T112="","",I112*T112)</x:f>
        <x:v>314272.53975211346</x:v>
      </x:c>
    </x:row>
    <x:row r="113" ht="18" customHeight="1">
      <x:c r="A113" s="46" t="str">
        <x:v>LME_022</x:v>
      </x:c>
      <x:c r="B113" s="46" t="str">
        <x:v>North Sea</x:v>
      </x:c>
      <x:c r="C113" s="46" t="str">
        <x:v>LME</x:v>
      </x:c>
      <x:c r="D113" s="58" t="n">
        <x:v>2019</x:v>
      </x:c>
      <x:c r="E113" s="46" t="str">
        <x:v>Agonus cataphractus</x:v>
      </x:c>
      <x:c r="F113" s="46" t="str">
        <x:v>Hooknose</x:v>
      </x:c>
      <x:c r="G113" s="46" t="str">
        <x:v>Large reef assoc. fish (&gt;=90 cm)</x:v>
      </x:c>
      <x:c r="H113" s="46" t="str">
        <x:v>Scorpionfishes</x:v>
      </x:c>
      <x:c r="I113" s="60" t="n">
        <x:v>151.0606655421</x:v>
      </x:c>
      <x:c r="J113" s="60" t="n">
        <x:v>0</x:v>
      </x:c>
      <x:c r="K113" s="60" t="n">
        <x:v>151.0606655421</x:v>
      </x:c>
      <x:c r="L113" s="60" t="n">
        <x:v>0</x:v>
      </x:c>
      <x:c r="M113" s="60" t="n">
        <x:v>151.0606655421</x:v>
      </x:c>
      <x:c r="N113" s="46" t="str">
        <x:v>agonus cataphractus</x:v>
      </x:c>
      <x:c r="O113" s="62" t="n">
        <x:v>3.43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Agonus cataphractus</x:v>
      </x:c>
      <x:c r="T113" s="62" t="n">
        <x:f>IF(O113="","",(1/'Metadata'!$B$5)^(O113-1))</x:f>
        <x:v>1450.450424461182</x:v>
      </x:c>
      <x:c r="U113" s="60" t="n">
        <x:f>IF(T113="","",I113*T113)</x:f>
        <x:v>219106.00645492758</x:v>
      </x:c>
    </x:row>
    <x:row r="114" ht="18" customHeight="1">
      <x:c r="A114" s="46" t="str">
        <x:v>LME_022</x:v>
      </x:c>
      <x:c r="B114" s="46" t="str">
        <x:v>North Sea</x:v>
      </x:c>
      <x:c r="C114" s="46" t="str">
        <x:v>LME</x:v>
      </x:c>
      <x:c r="D114" s="58" t="n">
        <x:v>2019</x:v>
      </x:c>
      <x:c r="E114" s="46" t="str">
        <x:v>Illex</x:v>
      </x:c>
      <x:c r="F114" s="46" t="str">
        <x:v>Shortfin squid</x:v>
      </x:c>
      <x:c r="G114" s="46" t="str">
        <x:v>Cephalopods</x:v>
      </x:c>
      <x:c r="H114" s="46" t="str">
        <x:v>Other fishes &amp; inverts</x:v>
      </x:c>
      <x:c r="I114" s="60" t="n">
        <x:v>147.3912704722</x:v>
      </x:c>
      <x:c r="J114" s="60" t="n">
        <x:v>147.3912704722</x:v>
      </x:c>
      <x:c r="K114" s="60" t="n">
        <x:v>0</x:v>
      </x:c>
      <x:c r="L114" s="60" t="n">
        <x:v>147.3912704722</x:v>
      </x:c>
      <x:c r="M114" s="60" t="n">
        <x:v>0</x:v>
      </x:c>
      <x:c r="N114" s="46" t="str">
        <x:v>illex</x:v>
      </x:c>
      <x:c r="O114" s="62" t="n">
        <x:v>3.98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Illex</x:v>
      </x:c>
      <x:c r="T114" s="62" t="n">
        <x:f>IF(O114="","",(1/'Metadata'!$B$5)^(O114-1))</x:f>
        <x:v>7534.759367064222</x:v>
      </x:c>
      <x:c r="U114" s="60" t="n">
        <x:f>IF(T114="","",I114*T114)</x:f>
        <x:v>1110557.7558139053</x:v>
      </x:c>
    </x:row>
    <x:row r="115" ht="18" customHeight="1">
      <x:c r="A115" s="46" t="str">
        <x:v>LME_022</x:v>
      </x:c>
      <x:c r="B115" s="46" t="str">
        <x:v>North Sea</x:v>
      </x:c>
      <x:c r="C115" s="46" t="str">
        <x:v>LME</x:v>
      </x:c>
      <x:c r="D115" s="58" t="n">
        <x:v>2019</x:v>
      </x:c>
      <x:c r="E115" s="46" t="str">
        <x:v>Perciformes</x:v>
      </x:c>
      <x:c r="F115" s="46" t="str">
        <x:v>Perch-likes</x:v>
      </x:c>
      <x:c r="G115" s="46" t="str">
        <x:v>Medium demersals (30 - 89 cm)</x:v>
      </x:c>
      <x:c r="H115" s="46" t="str">
        <x:v>Perch-likes</x:v>
      </x:c>
      <x:c r="I115" s="60" t="n">
        <x:v>119.9365822871</x:v>
      </x:c>
      <x:c r="J115" s="60" t="n">
        <x:v>51.2794889324</x:v>
      </x:c>
      <x:c r="K115" s="60" t="n">
        <x:v>68.6570933547</x:v>
      </x:c>
      <x:c r="L115" s="60" t="n">
        <x:v>51.2794889324</x:v>
      </x:c>
      <x:c r="M115" s="60" t="n">
        <x:v>68.6570933547</x:v>
      </x:c>
      <x:c r="N115" s="46" t="str">
        <x:v>perciformes</x:v>
      </x:c>
      <x:c r="O115" s="62" t="n">
        <x:v>3.53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Perciformes</x:v>
      </x:c>
      <x:c r="T115" s="62" t="n">
        <x:f>IF(O115="","",(1/'Metadata'!$B$5)^(O115-1))</x:f>
        <x:v>1957.0678791263101</x:v>
      </x:c>
      <x:c r="U115" s="60" t="n">
        <x:f>IF(T115="","",I115*T115)</x:f>
        <x:v>234724.03272627297</x:v>
      </x:c>
    </x:row>
    <x:row r="116" ht="18" customHeight="1">
      <x:c r="A116" s="46" t="str">
        <x:v>LME_022</x:v>
      </x:c>
      <x:c r="B116" s="46" t="str">
        <x:v>North Sea</x:v>
      </x:c>
      <x:c r="C116" s="46" t="str">
        <x:v>LME</x:v>
      </x:c>
      <x:c r="D116" s="58" t="n">
        <x:v>2019</x:v>
      </x:c>
      <x:c r="E116" s="46" t="str">
        <x:v>Sardina pilchardus</x:v>
      </x:c>
      <x:c r="F116" s="46" t="str">
        <x:v>European pilchard</x:v>
      </x:c>
      <x:c r="G116" s="46" t="str">
        <x:v>Small pelagics (&lt;30 cm)</x:v>
      </x:c>
      <x:c r="H116" s="46" t="str">
        <x:v>Herring-likes</x:v>
      </x:c>
      <x:c r="I116" s="60" t="n">
        <x:v>114.52750873260001</x:v>
      </x:c>
      <x:c r="J116" s="60" t="n">
        <x:v>114.52750873260001</x:v>
      </x:c>
      <x:c r="K116" s="60" t="n">
        <x:v>0</x:v>
      </x:c>
      <x:c r="L116" s="60" t="n">
        <x:v>113.0103908444</x:v>
      </x:c>
      <x:c r="M116" s="60" t="n">
        <x:v>1.5171178881999998</x:v>
      </x:c>
      <x:c r="N116" s="46" t="str">
        <x:v>sardina pilchardus</x:v>
      </x:c>
      <x:c r="O116" s="62" t="n">
        <x:v>3.06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Sardina pilchardus</x:v>
      </x:c>
      <x:c r="T116" s="62" t="n">
        <x:f>IF(O116="","",(1/'Metadata'!$B$5)^(O116-1))</x:f>
        <x:v>478.7643354384948</x:v>
      </x:c>
      <x:c r="U116" s="60" t="n">
        <x:f>IF(T116="","",I116*T116)</x:f>
        <x:v>54831.686607789656</x:v>
      </x:c>
    </x:row>
    <x:row r="117" ht="18" customHeight="1">
      <x:c r="A117" s="46" t="str">
        <x:v>LME_022</x:v>
      </x:c>
      <x:c r="B117" s="46" t="str">
        <x:v>North Sea</x:v>
      </x:c>
      <x:c r="C117" s="46" t="str">
        <x:v>LME</x:v>
      </x:c>
      <x:c r="D117" s="58" t="n">
        <x:v>2019</x:v>
      </x:c>
      <x:c r="E117" s="46" t="str">
        <x:v>Scyliorhinus</x:v>
      </x:c>
      <x:c r="F117" s="46" t="str">
        <x:v>Catsharks</x:v>
      </x:c>
      <x:c r="G117" s="46" t="str">
        <x:v>Small to medium sharks (&lt;90 cm)</x:v>
      </x:c>
      <x:c r="H117" s="46" t="str">
        <x:v>Sharks &amp; rays</x:v>
      </x:c>
      <x:c r="I117" s="60" t="n">
        <x:v>105.00134915240001</x:v>
      </x:c>
      <x:c r="J117" s="60" t="n">
        <x:v>105.00134915240001</x:v>
      </x:c>
      <x:c r="K117" s="60" t="n">
        <x:v>0</x:v>
      </x:c>
      <x:c r="L117" s="60" t="n">
        <x:v>104.9524305151</x:v>
      </x:c>
      <x:c r="M117" s="60" t="n">
        <x:v>0.0489186373</x:v>
      </x:c>
      <x:c r="N117" s="46" t="str">
        <x:v>scyliorhinus</x:v>
      </x:c>
      <x:c r="O117" s="62" t="n">
        <x:v>3.86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Scyliorhinus</x:v>
      </x:c>
      <x:c r="T117" s="62" t="n">
        <x:f>IF(O117="","",(1/'Metadata'!$B$5)^(O117-1))</x:f>
        <x:v>5259.51608454905</x:v>
      </x:c>
      <x:c r="U117" s="60" t="n">
        <x:f>IF(T117="","",I117*T117)</x:f>
        <x:v>552256.2847663986</x:v>
      </x:c>
    </x:row>
    <x:row r="118" ht="18" customHeight="1">
      <x:c r="A118" s="46" t="str">
        <x:v>LME_022</x:v>
      </x:c>
      <x:c r="B118" s="46" t="str">
        <x:v>North Sea</x:v>
      </x:c>
      <x:c r="C118" s="46" t="str">
        <x:v>LME</x:v>
      </x:c>
      <x:c r="D118" s="58" t="n">
        <x:v>2019</x:v>
      </x:c>
      <x:c r="E118" s="46" t="str">
        <x:v>Brachyura</x:v>
      </x:c>
      <x:c r="F118" s="46" t="str">
        <x:v>Marine crabs</x:v>
      </x:c>
      <x:c r="G118" s="46" t="str">
        <x:v>Lobsters, crabs</x:v>
      </x:c>
      <x:c r="H118" s="46" t="str">
        <x:v>Crustaceans</x:v>
      </x:c>
      <x:c r="I118" s="60" t="n">
        <x:v>104.6947911012</x:v>
      </x:c>
      <x:c r="J118" s="60" t="n">
        <x:v>104.6700753185</x:v>
      </x:c>
      <x:c r="K118" s="60" t="n">
        <x:v>0.024715782699999998</x:v>
      </x:c>
      <x:c r="L118" s="60" t="n">
        <x:v>104.6301506442</x:v>
      </x:c>
      <x:c r="M118" s="60" t="n">
        <x:v>0.064640457</x:v>
      </x:c>
      <x:c r="N118" s="46" t="str">
        <x:v>brachyura</x:v>
      </x:c>
      <x:c r="O118" s="62" t="n">
        <x:v>2.6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Brachyura</x:v>
      </x:c>
      <x:c r="T118" s="62" t="n">
        <x:f>IF(O118="","",(1/'Metadata'!$B$5)^(O118-1))</x:f>
        <x:v>120.6835267309033</x:v>
      </x:c>
      <x:c r="U118" s="60" t="n">
        <x:f>IF(T118="","",I118*T118)</x:f>
        <x:v>12634.936620448007</x:v>
      </x:c>
    </x:row>
    <x:row r="119" ht="18" customHeight="1">
      <x:c r="A119" s="46" t="str">
        <x:v>LME_022</x:v>
      </x:c>
      <x:c r="B119" s="46" t="str">
        <x:v>North Sea</x:v>
      </x:c>
      <x:c r="C119" s="46" t="str">
        <x:v>LME</x:v>
      </x:c>
      <x:c r="D119" s="58" t="n">
        <x:v>2019</x:v>
      </x:c>
      <x:c r="E119" s="46" t="str">
        <x:v>Arnoglossus laterna</x:v>
      </x:c>
      <x:c r="F119" s="46" t="str">
        <x:v>Mediterranean scaldfish</x:v>
      </x:c>
      <x:c r="G119" s="46" t="str">
        <x:v>Small to medium flatfishes (&lt;90 cm)</x:v>
      </x:c>
      <x:c r="H119" s="46" t="str">
        <x:v>Flatfishes</x:v>
      </x:c>
      <x:c r="I119" s="60" t="n">
        <x:v>103.12777729929999</x:v>
      </x:c>
      <x:c r="J119" s="60" t="n">
        <x:v>0</x:v>
      </x:c>
      <x:c r="K119" s="60" t="n">
        <x:v>103.12777729929999</x:v>
      </x:c>
      <x:c r="L119" s="60" t="n">
        <x:v>0</x:v>
      </x:c>
      <x:c r="M119" s="60" t="n">
        <x:v>103.12777729929999</x:v>
      </x:c>
      <x:c r="N119" s="46" t="str">
        <x:v>arnoglossus laterna</x:v>
      </x:c>
      <x:c r="O119" s="62" t="n">
        <x:v>3.59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Arnoglossus laterna</x:v>
      </x:c>
      <x:c r="T119" s="62" t="n">
        <x:f>IF(O119="","",(1/'Metadata'!$B$5)^(O119-1))</x:f>
        <x:v>2342.4357563948306</x:v>
      </x:c>
      <x:c r="U119" s="60" t="n">
        <x:f>IF(T119="","",I119*T119)</x:f>
        <x:v>241570.1930234034</x:v>
      </x:c>
    </x:row>
    <x:row r="120" ht="18" customHeight="1">
      <x:c r="A120" s="46" t="str">
        <x:v>LME_022</x:v>
      </x:c>
      <x:c r="B120" s="46" t="str">
        <x:v>North Sea</x:v>
      </x:c>
      <x:c r="C120" s="46" t="str">
        <x:v>LME</x:v>
      </x:c>
      <x:c r="D120" s="58" t="n">
        <x:v>2019</x:v>
      </x:c>
      <x:c r="E120" s="46" t="str">
        <x:v>Pleuronectiformes</x:v>
      </x:c>
      <x:c r="F120" s="46" t="str">
        <x:v>Flatfishes</x:v>
      </x:c>
      <x:c r="G120" s="46" t="str">
        <x:v>Small to medium flatfishes (&lt;90 cm)</x:v>
      </x:c>
      <x:c r="H120" s="46" t="str">
        <x:v>Flatfishes</x:v>
      </x:c>
      <x:c r="I120" s="60" t="n">
        <x:v>94.240682845</x:v>
      </x:c>
      <x:c r="J120" s="60" t="n">
        <x:v>94.240682845</x:v>
      </x:c>
      <x:c r="K120" s="60" t="n">
        <x:v>0</x:v>
      </x:c>
      <x:c r="L120" s="60" t="n">
        <x:v>0.19126527840000002</x:v>
      </x:c>
      <x:c r="M120" s="60" t="n">
        <x:v>94.0494175666</x:v>
      </x:c>
      <x:c r="N120" s="46" t="str">
        <x:v>pleuronectiformes</x:v>
      </x:c>
      <x:c r="O120" s="62" t="n">
        <x:v>3.57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Pleuronectiformes</x:v>
      </x:c>
      <x:c r="T120" s="62" t="n">
        <x:f>IF(O120="","",(1/'Metadata'!$B$5)^(O120-1))</x:f>
        <x:v>2206.2112196552644</x:v>
      </x:c>
      <x:c r="U120" s="60" t="n">
        <x:f>IF(T120="","",I120*T120)</x:f>
        <x:v>207914.8518406124</x:v>
      </x:c>
    </x:row>
    <x:row r="121" ht="18" customHeight="1">
      <x:c r="A121" s="46" t="str">
        <x:v>LME_022</x:v>
      </x:c>
      <x:c r="B121" s="46" t="str">
        <x:v>North Sea</x:v>
      </x:c>
      <x:c r="C121" s="46" t="str">
        <x:v>LME</x:v>
      </x:c>
      <x:c r="D121" s="58" t="n">
        <x:v>2019</x:v>
      </x:c>
      <x:c r="E121" s="46" t="str">
        <x:v>Zoarces viviparus</x:v>
      </x:c>
      <x:c r="F121" s="46" t="str">
        <x:v>Eelpout</x:v>
      </x:c>
      <x:c r="G121" s="46" t="str">
        <x:v>Medium demersals (30 - 89 cm)</x:v>
      </x:c>
      <x:c r="H121" s="46" t="str">
        <x:v>Perch-likes</x:v>
      </x:c>
      <x:c r="I121" s="60" t="n">
        <x:v>82.8097940155</x:v>
      </x:c>
      <x:c r="J121" s="60" t="n">
        <x:v>0.0039793673</x:v>
      </x:c>
      <x:c r="K121" s="60" t="n">
        <x:v>82.80581464820001</x:v>
      </x:c>
      <x:c r="L121" s="60" t="n">
        <x:v>0</x:v>
      </x:c>
      <x:c r="M121" s="60" t="n">
        <x:v>82.8097940155</x:v>
      </x:c>
      <x:c r="N121" s="46" t="str">
        <x:v>zoarces viviparus</x:v>
      </x:c>
      <x:c r="O121" s="62" t="n">
        <x:v>3.47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Zoarces viviparus</x:v>
      </x:c>
      <x:c r="T121" s="62" t="n">
        <x:f>IF(O121="","",(1/'Metadata'!$B$5)^(O121-1))</x:f>
        <x:v>1635.0991368927735</x:v>
      </x:c>
      <x:c r="U121" s="60" t="n">
        <x:f>IF(T121="","",I121*T121)</x:f>
        <x:v>135402.22272101243</x:v>
      </x:c>
    </x:row>
    <x:row r="122" ht="18" customHeight="1">
      <x:c r="A122" s="46" t="str">
        <x:v>LME_022</x:v>
      </x:c>
      <x:c r="B122" s="46" t="str">
        <x:v>North Sea</x:v>
      </x:c>
      <x:c r="C122" s="46" t="str">
        <x:v>LME</x:v>
      </x:c>
      <x:c r="D122" s="58" t="n">
        <x:v>2019</x:v>
      </x:c>
      <x:c r="E122" s="46" t="str">
        <x:v>Phycis blennoides</x:v>
      </x:c>
      <x:c r="F122" s="46" t="str">
        <x:v>Greater forkbeard</x:v>
      </x:c>
      <x:c r="G122" s="46" t="str">
        <x:v>Large benthopelagics (&gt;=90 cm)</x:v>
      </x:c>
      <x:c r="H122" s="46" t="str">
        <x:v>Cod-likes</x:v>
      </x:c>
      <x:c r="I122" s="60" t="n">
        <x:v>82.28426868070001</x:v>
      </x:c>
      <x:c r="J122" s="60" t="n">
        <x:v>82.2841180289</x:v>
      </x:c>
      <x:c r="K122" s="60" t="n">
        <x:v>0.00015065180000000002</x:v>
      </x:c>
      <x:c r="L122" s="60" t="n">
        <x:v>82.2834153381</x:v>
      </x:c>
      <x:c r="M122" s="60" t="n">
        <x:v>0.0008533426</x:v>
      </x:c>
      <x:c r="N122" s="46" t="str">
        <x:v>phycis blennoides</x:v>
      </x:c>
      <x:c r="O122" s="62" t="n">
        <x:v>3.87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Phycis blennoides</x:v>
      </x:c>
      <x:c r="T122" s="62" t="n">
        <x:f>IF(O122="","",(1/'Metadata'!$B$5)^(O122-1))</x:f>
        <x:v>5419.460903023396</x:v>
      </x:c>
      <x:c r="U122" s="60" t="n">
        <x:f>IF(T122="","",I122*T122)</x:f>
        <x:v>445936.3770489262</x:v>
      </x:c>
    </x:row>
    <x:row r="123" ht="18" customHeight="1">
      <x:c r="A123" s="46" t="str">
        <x:v>LME_022</x:v>
      </x:c>
      <x:c r="B123" s="46" t="str">
        <x:v>North Sea</x:v>
      </x:c>
      <x:c r="C123" s="46" t="str">
        <x:v>LME</x:v>
      </x:c>
      <x:c r="D123" s="58" t="n">
        <x:v>2019</x:v>
      </x:c>
      <x:c r="E123" s="46" t="str">
        <x:v>Gobiidae</x:v>
      </x:c>
      <x:c r="F123" s="46" t="str">
        <x:v>Gobies</x:v>
      </x:c>
      <x:c r="G123" s="46" t="str">
        <x:v>Small reef assoc. fish (&lt;30 cm)</x:v>
      </x:c>
      <x:c r="H123" s="46" t="str">
        <x:v>Perch-likes</x:v>
      </x:c>
      <x:c r="I123" s="60" t="n">
        <x:v>75.1215175325</x:v>
      </x:c>
      <x:c r="J123" s="60" t="n">
        <x:v>0.3579440521</x:v>
      </x:c>
      <x:c r="K123" s="60" t="n">
        <x:v>74.7635734804</x:v>
      </x:c>
      <x:c r="L123" s="60" t="n">
        <x:v>0.29961069</x:v>
      </x:c>
      <x:c r="M123" s="60" t="n">
        <x:v>74.8219068425</x:v>
      </x:c>
      <x:c r="N123" s="46" t="str">
        <x:v>gobiidae</x:v>
      </x:c>
      <x:c r="O123" s="62" t="n">
        <x:v>3.11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Gobiidae</x:v>
      </x:c>
      <x:c r="T123" s="62" t="n">
        <x:f>IF(O123="","",(1/'Metadata'!$B$5)^(O123-1))</x:f>
        <x:v>556.1261167405597</x:v>
      </x:c>
      <x:c r="U123" s="60" t="n">
        <x:f>IF(T123="","",I123*T123)</x:f>
        <x:v>41777.037829007095</x:v>
      </x:c>
    </x:row>
    <x:row r="124" ht="18" customHeight="1">
      <x:c r="A124" s="46" t="str">
        <x:v>LME_022</x:v>
      </x:c>
      <x:c r="B124" s="46" t="str">
        <x:v>North Sea</x:v>
      </x:c>
      <x:c r="C124" s="46" t="str">
        <x:v>LME</x:v>
      </x:c>
      <x:c r="D124" s="58" t="n">
        <x:v>2019</x:v>
      </x:c>
      <x:c r="E124" s="46" t="str">
        <x:v>Mustelus</x:v>
      </x:c>
      <x:c r="F124" s="46" t="str">
        <x:v>Smoothhounds</x:v>
      </x:c>
      <x:c r="G124" s="46" t="str">
        <x:v>Large sharks (&gt;=90 cm)</x:v>
      </x:c>
      <x:c r="H124" s="46" t="str">
        <x:v>Sharks &amp; rays</x:v>
      </x:c>
      <x:c r="I124" s="60" t="n">
        <x:v>66.2915762206</x:v>
      </x:c>
      <x:c r="J124" s="60" t="n">
        <x:v>66.2915762206</x:v>
      </x:c>
      <x:c r="K124" s="60" t="n">
        <x:v>0</x:v>
      </x:c>
      <x:c r="L124" s="60" t="n">
        <x:v>66.2527656513</x:v>
      </x:c>
      <x:c r="M124" s="60" t="n">
        <x:v>0.0388105693</x:v>
      </x:c>
      <x:c r="N124" s="46" t="str">
        <x:v>mustelus</x:v>
      </x:c>
      <x:c r="O124" s="62" t="n">
        <x:v>3.73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Mustelus</x:v>
      </x:c>
      <x:c r="T124" s="62" t="n">
        <x:f>IF(O124="","",(1/'Metadata'!$B$5)^(O124-1))</x:f>
        <x:v>3562.967723629534</x:v>
      </x:c>
      <x:c r="U124" s="60" t="n">
        <x:f>IF(T124="","",I124*T124)</x:f>
        <x:v>236194.74642252494</x:v>
      </x:c>
    </x:row>
    <x:row r="125" ht="18" customHeight="1">
      <x:c r="A125" s="46" t="str">
        <x:v>LME_022</x:v>
      </x:c>
      <x:c r="B125" s="46" t="str">
        <x:v>North Sea</x:v>
      </x:c>
      <x:c r="C125" s="46" t="str">
        <x:v>LME</x:v>
      </x:c>
      <x:c r="D125" s="58" t="n">
        <x:v>2019</x:v>
      </x:c>
      <x:c r="E125" s="46" t="str">
        <x:v>Mustelus mustelus</x:v>
      </x:c>
      <x:c r="F125" s="46" t="str">
        <x:v>Smooth-hound</x:v>
      </x:c>
      <x:c r="G125" s="46" t="str">
        <x:v>Large sharks (&gt;=90 cm)</x:v>
      </x:c>
      <x:c r="H125" s="46" t="str">
        <x:v>Sharks &amp; rays</x:v>
      </x:c>
      <x:c r="I125" s="60" t="n">
        <x:v>66.1199131699</x:v>
      </x:c>
      <x:c r="J125" s="60" t="n">
        <x:v>66.1199131699</x:v>
      </x:c>
      <x:c r="K125" s="60" t="n">
        <x:v>0</x:v>
      </x:c>
      <x:c r="L125" s="60" t="n">
        <x:v>66.0298896205</x:v>
      </x:c>
      <x:c r="M125" s="60" t="n">
        <x:v>0.0900235494</x:v>
      </x:c>
      <x:c r="N125" s="46" t="str">
        <x:v>mustelus mustelus</x:v>
      </x:c>
      <x:c r="O125" s="62" t="n">
        <x:v>3.75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Mustelus mustelus</x:v>
      </x:c>
      <x:c r="T125" s="62" t="n">
        <x:f>IF(O125="","",(1/'Metadata'!$B$5)^(O125-1))</x:f>
        <x:v>3782.966436012703</x:v>
      </x:c>
      <x:c r="U125" s="60" t="n">
        <x:f>IF(T125="","",I125*T125)</x:f>
        <x:v>250129.412273806</x:v>
      </x:c>
    </x:row>
    <x:row r="126" ht="18" customHeight="1">
      <x:c r="A126" s="46" t="str">
        <x:v>LME_022</x:v>
      </x:c>
      <x:c r="B126" s="46" t="str">
        <x:v>North Sea</x:v>
      </x:c>
      <x:c r="C126" s="46" t="str">
        <x:v>LME</x:v>
      </x:c>
      <x:c r="D126" s="58" t="n">
        <x:v>2019</x:v>
      </x:c>
      <x:c r="E126" s="46" t="str">
        <x:v>Coregonus</x:v>
      </x:c>
      <x:c r="F126" s="46" t="str">
        <x:v>Whitefishes</x:v>
      </x:c>
      <x:c r="G126" s="46" t="str">
        <x:v>Medium pelagics (30 - 89 cm)</x:v>
      </x:c>
      <x:c r="H126" s="46" t="str">
        <x:v>Salmon, smelts, etc</x:v>
      </x:c>
      <x:c r="I126" s="60" t="n">
        <x:v>57.974528954200004</x:v>
      </x:c>
      <x:c r="J126" s="60" t="n">
        <x:v>55.662595996700006</x:v>
      </x:c>
      <x:c r="K126" s="60" t="n">
        <x:v>2.3119329575</x:v>
      </x:c>
      <x:c r="L126" s="60" t="n">
        <x:v>50.277026389300005</x:v>
      </x:c>
      <x:c r="M126" s="60" t="n">
        <x:v>7.6975025649</x:v>
      </x:c>
      <x:c r="N126" s="46" t="str">
        <x:v>coregonus</x:v>
      </x:c>
      <x:c r="O126" s="62" t="n">
        <x:v>3.3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Coregonus</x:v>
      </x:c>
      <x:c r="T126" s="62" t="n">
        <x:f>IF(O126="","",(1/'Metadata'!$B$5)^(O126-1))</x:f>
        <x:v>982.5824208926318</x:v>
      </x:c>
      <x:c r="U126" s="60" t="n">
        <x:f>IF(T126="","",I126*T126)</x:f>
        <x:v>56964.753009927816</x:v>
      </x:c>
    </x:row>
    <x:row r="127" ht="18" customHeight="1">
      <x:c r="A127" s="46" t="str">
        <x:v>LME_022</x:v>
      </x:c>
      <x:c r="B127" s="46" t="str">
        <x:v>North Sea</x:v>
      </x:c>
      <x:c r="C127" s="46" t="str">
        <x:v>LME</x:v>
      </x:c>
      <x:c r="D127" s="58" t="n">
        <x:v>2019</x:v>
      </x:c>
      <x:c r="E127" s="46" t="str">
        <x:v>Chelon ramada</x:v>
      </x:c>
      <x:c r="F127" s="46" t="str">
        <x:v>Thinlip grey mullet</x:v>
      </x:c>
      <x:c r="G127" s="46" t="str">
        <x:v>Medium pelagics (30 - 89 cm)</x:v>
      </x:c>
      <x:c r="H127" s="46" t="str">
        <x:v>Perch-likes</x:v>
      </x:c>
      <x:c r="I127" s="60" t="n">
        <x:v>49.103785326700006</x:v>
      </x:c>
      <x:c r="J127" s="60" t="n">
        <x:v>49.103785326700006</x:v>
      </x:c>
      <x:c r="K127" s="60" t="n">
        <x:v>0</x:v>
      </x:c>
      <x:c r="L127" s="60" t="n">
        <x:v>49.1037531252</x:v>
      </x:c>
      <x:c r="M127" s="60" t="n">
        <x:v>0.0000322015</x:v>
      </x:c>
      <x:c r="N127" s="46" t="str">
        <x:v>chelon ramada</x:v>
      </x:c>
      <x:c r="O127" s="62" t="n">
        <x:v>2.3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Chelon ramada</x:v>
      </x:c>
      <x:c r="T127" s="62" t="n">
        <x:f>IF(O127="","",(1/'Metadata'!$B$5)^(O127-1))</x:f>
        <x:v>49.12912104463159</x:v>
      </x:c>
      <x:c r="U127" s="60" t="n">
        <x:f>IF(T127="","",I127*T127)</x:f>
        <x:v>2412.425813065049</x:v>
      </x:c>
    </x:row>
    <x:row r="128" ht="18" customHeight="1">
      <x:c r="A128" s="46" t="str">
        <x:v>LME_022</x:v>
      </x:c>
      <x:c r="B128" s="46" t="str">
        <x:v>North Sea</x:v>
      </x:c>
      <x:c r="C128" s="46" t="str">
        <x:v>LME</x:v>
      </x:c>
      <x:c r="D128" s="58" t="n">
        <x:v>2019</x:v>
      </x:c>
      <x:c r="E128" s="46" t="str">
        <x:v>Thunnus thynnus</x:v>
      </x:c>
      <x:c r="F128" s="46" t="str">
        <x:v>Atlantic bluefin tuna</x:v>
      </x:c>
      <x:c r="G128" s="46" t="str">
        <x:v>Large pelagics (&gt;=90 cm)</x:v>
      </x:c>
      <x:c r="H128" s="46" t="str">
        <x:v>Tuna &amp; billfishes</x:v>
      </x:c>
      <x:c r="I128" s="60" t="n">
        <x:v>47.1846319591</x:v>
      </x:c>
      <x:c r="J128" s="60" t="n">
        <x:v>47.1846319591</x:v>
      </x:c>
      <x:c r="K128" s="60" t="n">
        <x:v>0</x:v>
      </x:c>
      <x:c r="L128" s="60" t="n">
        <x:v>47.1846319591</x:v>
      </x:c>
      <x:c r="M128" s="60" t="n">
        <x:v>0</x:v>
      </x:c>
      <x:c r="N128" s="46" t="str">
        <x:v>thunnus thynnus</x:v>
      </x:c>
      <x:c r="O128" s="62" t="n">
        <x:v>4.45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Thunnus thynnus</x:v>
      </x:c>
      <x:c r="T128" s="62" t="n">
        <x:f>IF(O128="","",(1/'Metadata'!$B$5)^(O128-1))</x:f>
        <x:v>30800.19634445362</x:v>
      </x:c>
      <x:c r="U128" s="60" t="n">
        <x:f>IF(T128="","",I128*T128)</x:f>
        <x:v>1453295.9287810614</x:v>
      </x:c>
    </x:row>
    <x:row r="129" ht="18" customHeight="1">
      <x:c r="A129" s="46" t="str">
        <x:v>LME_022</x:v>
      </x:c>
      <x:c r="B129" s="46" t="str">
        <x:v>North Sea</x:v>
      </x:c>
      <x:c r="C129" s="46" t="str">
        <x:v>LME</x:v>
      </x:c>
      <x:c r="D129" s="58" t="n">
        <x:v>2019</x:v>
      </x:c>
      <x:c r="E129" s="46" t="str">
        <x:v>Osteichthyes</x:v>
      </x:c>
      <x:c r="F129" s="46" t="str">
        <x:v>Bony fishes</x:v>
      </x:c>
      <x:c r="G129" s="46" t="str">
        <x:v>Medium demersals (30 - 89 cm)</x:v>
      </x:c>
      <x:c r="H129" s="46" t="str">
        <x:v>Other fishes &amp; inverts</x:v>
      </x:c>
      <x:c r="I129" s="60" t="n">
        <x:v>45.1322398467</x:v>
      </x:c>
      <x:c r="J129" s="60" t="n">
        <x:v>45.1322398467</x:v>
      </x:c>
      <x:c r="K129" s="60" t="n">
        <x:v>0</x:v>
      </x:c>
      <x:c r="L129" s="60" t="n">
        <x:v>45.1214508743</x:v>
      </x:c>
      <x:c r="M129" s="60" t="n">
        <x:v>0.0107889724</x:v>
      </x:c>
      <x:c r="N129" s="46" t="str">
        <x:v>osteichthyes</x:v>
      </x:c>
      <x:c r="O129" s="62" t="n">
        <x:v>3.79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Osteichthyes</x:v>
      </x:c>
      <x:c r="T129" s="62" t="n">
        <x:f>IF(O129="","",(1/'Metadata'!$B$5)^(O129-1))</x:f>
        <x:v>4264.554685980751</x:v>
      </x:c>
      <x:c r="U129" s="60" t="n">
        <x:f>IF(T129="","",I129*T129)</x:f>
        <x:v>192468.90492705166</x:v>
      </x:c>
    </x:row>
    <x:row r="130" ht="18" customHeight="1">
      <x:c r="A130" s="46" t="str">
        <x:v>LME_022</x:v>
      </x:c>
      <x:c r="B130" s="46" t="str">
        <x:v>North Sea</x:v>
      </x:c>
      <x:c r="C130" s="46" t="str">
        <x:v>LME</x:v>
      </x:c>
      <x:c r="D130" s="58" t="n">
        <x:v>2019</x:v>
      </x:c>
      <x:c r="E130" s="46" t="str">
        <x:v>Engraulis encrasicolus</x:v>
      </x:c>
      <x:c r="F130" s="46" t="str">
        <x:v>European anchovy</x:v>
      </x:c>
      <x:c r="G130" s="46" t="str">
        <x:v>Small pelagics (&lt;30 cm)</x:v>
      </x:c>
      <x:c r="H130" s="46" t="str">
        <x:v>Anchovies</x:v>
      </x:c>
      <x:c r="I130" s="60" t="n">
        <x:v>44.1975200296</x:v>
      </x:c>
      <x:c r="J130" s="60" t="n">
        <x:v>44.1725163391</x:v>
      </x:c>
      <x:c r="K130" s="60" t="n">
        <x:v>0.025003690500000002</x:v>
      </x:c>
      <x:c r="L130" s="60" t="n">
        <x:v>44.095664103</x:v>
      </x:c>
      <x:c r="M130" s="60" t="n">
        <x:v>0.1018559266</x:v>
      </x:c>
      <x:c r="N130" s="46" t="str">
        <x:v>engraulis encrasicolus</x:v>
      </x:c>
      <x:c r="O130" s="62" t="n">
        <x:v>3.11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Engraulis encrasicolus</x:v>
      </x:c>
      <x:c r="T130" s="62" t="n">
        <x:f>IF(O130="","",(1/'Metadata'!$B$5)^(O130-1))</x:f>
        <x:v>556.1261167405597</x:v>
      </x:c>
      <x:c r="U130" s="60" t="n">
        <x:f>IF(T130="","",I130*T130)</x:f>
        <x:v>24579.395183624558</x:v>
      </x:c>
    </x:row>
    <x:row r="131" ht="18" customHeight="1">
      <x:c r="A131" s="46" t="str">
        <x:v>LME_022</x:v>
      </x:c>
      <x:c r="B131" s="46" t="str">
        <x:v>North Sea</x:v>
      </x:c>
      <x:c r="C131" s="46" t="str">
        <x:v>LME</x:v>
      </x:c>
      <x:c r="D131" s="58" t="n">
        <x:v>2019</x:v>
      </x:c>
      <x:c r="E131" s="46" t="str">
        <x:v>Conger conger</x:v>
      </x:c>
      <x:c r="F131" s="46" t="str">
        <x:v>European conger</x:v>
      </x:c>
      <x:c r="G131" s="46" t="str">
        <x:v>Large demersals (&gt;=90 cm)</x:v>
      </x:c>
      <x:c r="H131" s="46" t="str">
        <x:v>Other fishes &amp; inverts</x:v>
      </x:c>
      <x:c r="I131" s="60" t="n">
        <x:v>43.7940427307</x:v>
      </x:c>
      <x:c r="J131" s="60" t="n">
        <x:v>43.7931610866</x:v>
      </x:c>
      <x:c r="K131" s="60" t="n">
        <x:v>0.0008816441</x:v>
      </x:c>
      <x:c r="L131" s="60" t="n">
        <x:v>43.7532497361</x:v>
      </x:c>
      <x:c r="M131" s="60" t="n">
        <x:v>0.0407929946</x:v>
      </x:c>
      <x:c r="N131" s="46" t="str">
        <x:v>conger conger</x:v>
      </x:c>
      <x:c r="O131" s="62" t="n">
        <x:v>4.31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Conger conger</x:v>
      </x:c>
      <x:c r="T131" s="62" t="n">
        <x:f>IF(O131="","",(1/'Metadata'!$B$5)^(O131-1))</x:f>
        <x:v>20249.266010115305</x:v>
      </x:c>
      <x:c r="U131" s="60" t="n">
        <x:f>IF(T131="","",I131*T131)</x:f>
        <x:v>886797.2209123007</x:v>
      </x:c>
    </x:row>
    <x:row r="132" ht="18" customHeight="1">
      <x:c r="A132" s="46" t="str">
        <x:v>LME_022</x:v>
      </x:c>
      <x:c r="B132" s="46" t="str">
        <x:v>North Sea</x:v>
      </x:c>
      <x:c r="C132" s="46" t="str">
        <x:v>LME</x:v>
      </x:c>
      <x:c r="D132" s="58" t="n">
        <x:v>2019</x:v>
      </x:c>
      <x:c r="E132" s="46" t="str">
        <x:v>Palaemon serratus</x:v>
      </x:c>
      <x:c r="F132" s="46" t="str">
        <x:v>Common prawn</x:v>
      </x:c>
      <x:c r="G132" s="46" t="str">
        <x:v>Shrimps</x:v>
      </x:c>
      <x:c r="H132" s="46" t="str">
        <x:v>Crustaceans</x:v>
      </x:c>
      <x:c r="I132" s="60" t="n">
        <x:v>41.4222750443</x:v>
      </x:c>
      <x:c r="J132" s="60" t="n">
        <x:v>41.4116201683</x:v>
      </x:c>
      <x:c r="K132" s="60" t="n">
        <x:v>0.010654876</x:v>
      </x:c>
      <x:c r="L132" s="60" t="n">
        <x:v>41.394423883099996</x:v>
      </x:c>
      <x:c r="M132" s="60" t="n">
        <x:v>0.027851161200000002</x:v>
      </x:c>
      <x:c r="N132" s="46" t="str">
        <x:v>palaemon serratus</x:v>
      </x:c>
      <x:c r="O132" s="62" t="n">
        <x:v>2.69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Palaemon serratus</x:v>
      </x:c>
      <x:c r="T132" s="62" t="n">
        <x:f>IF(O132="","",(1/'Metadata'!$B$5)^(O132-1))</x:f>
        <x:v>158.03041939403977</x:v>
      </x:c>
      <x:c r="U132" s="60" t="n">
        <x:f>IF(T132="","",I132*T132)</x:f>
        <x:v>6545.979497505997</x:v>
      </x:c>
    </x:row>
    <x:row r="133" ht="18" customHeight="1">
      <x:c r="A133" s="46" t="str">
        <x:v>LME_022</x:v>
      </x:c>
      <x:c r="B133" s="46" t="str">
        <x:v>North Sea</x:v>
      </x:c>
      <x:c r="C133" s="46" t="str">
        <x:v>LME</x:v>
      </x:c>
      <x:c r="D133" s="58" t="n">
        <x:v>2019</x:v>
      </x:c>
      <x:c r="E133" s="46" t="str">
        <x:v>Capros aper</x:v>
      </x:c>
      <x:c r="F133" s="46" t="str">
        <x:v>Boarfish</x:v>
      </x:c>
      <x:c r="G133" s="46" t="str">
        <x:v>Small demersals (&lt;30 cm)</x:v>
      </x:c>
      <x:c r="H133" s="46" t="str">
        <x:v>Perch-likes</x:v>
      </x:c>
      <x:c r="I133" s="60" t="n">
        <x:v>38.9289785734</x:v>
      </x:c>
      <x:c r="J133" s="60" t="n">
        <x:v>38.11862602830001</x:v>
      </x:c>
      <x:c r="K133" s="60" t="n">
        <x:v>0.8103525451</x:v>
      </x:c>
      <x:c r="L133" s="60" t="n">
        <x:v>38.11862602830001</x:v>
      </x:c>
      <x:c r="M133" s="60" t="n">
        <x:v>0.8103525451</x:v>
      </x:c>
      <x:c r="N133" s="46" t="str">
        <x:v>capros aper</x:v>
      </x:c>
      <x:c r="O133" s="62" t="n">
        <x:v>3.14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Capros aper</x:v>
      </x:c>
      <x:c r="T133" s="62" t="n">
        <x:f>IF(O133="","",(1/'Metadata'!$B$5)^(O133-1))</x:f>
        <x:v>608.420993216597</x:v>
      </x:c>
      <x:c r="U133" s="60" t="n">
        <x:f>IF(T133="","",I133*T133)</x:f>
        <x:v>23685.207808535655</x:v>
      </x:c>
    </x:row>
    <x:row r="134" ht="18" customHeight="1">
      <x:c r="A134" s="46" t="str">
        <x:v>LME_022</x:v>
      </x:c>
      <x:c r="B134" s="46" t="str">
        <x:v>North Sea</x:v>
      </x:c>
      <x:c r="C134" s="46" t="str">
        <x:v>LME</x:v>
      </x:c>
      <x:c r="D134" s="58" t="n">
        <x:v>2019</x:v>
      </x:c>
      <x:c r="E134" s="46" t="str">
        <x:v>Osmerus eperlanus</x:v>
      </x:c>
      <x:c r="F134" s="46" t="str">
        <x:v>European smelt</x:v>
      </x:c>
      <x:c r="G134" s="46" t="str">
        <x:v>Medium pelagics (30 - 89 cm)</x:v>
      </x:c>
      <x:c r="H134" s="46" t="str">
        <x:v>Salmon, smelts, etc</x:v>
      </x:c>
      <x:c r="I134" s="60" t="n">
        <x:v>38.4736515658</x:v>
      </x:c>
      <x:c r="J134" s="60" t="n">
        <x:v>38.4736515658</x:v>
      </x:c>
      <x:c r="K134" s="60" t="n">
        <x:v>0</x:v>
      </x:c>
      <x:c r="L134" s="60" t="n">
        <x:v>38.4736515658</x:v>
      </x:c>
      <x:c r="M134" s="60" t="n">
        <x:v>0</x:v>
      </x:c>
      <x:c r="N134" s="46" t="str">
        <x:v>osmerus eperlanus</x:v>
      </x:c>
      <x:c r="O134" s="62" t="n">
        <x:v>3.46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Osmerus eperlanus</x:v>
      </x:c>
      <x:c r="T134" s="62" t="n">
        <x:f>IF(O134="","",(1/'Metadata'!$B$5)^(O134-1))</x:f>
        <x:v>1586.8423749532276</x:v>
      </x:c>
      <x:c r="U134" s="60" t="n">
        <x:f>IF(T134="","",I134*T134)</x:f>
        <x:v>61051.62062379703</x:v>
      </x:c>
    </x:row>
    <x:row r="135" ht="18" customHeight="1">
      <x:c r="A135" s="46" t="str">
        <x:v>LME_022</x:v>
      </x:c>
      <x:c r="B135" s="46" t="str">
        <x:v>North Sea</x:v>
      </x:c>
      <x:c r="C135" s="46" t="str">
        <x:v>LME</x:v>
      </x:c>
      <x:c r="D135" s="58" t="n">
        <x:v>2019</x:v>
      </x:c>
      <x:c r="E135" s="46" t="str">
        <x:v>Magallana gigas</x:v>
      </x:c>
      <x:c r="F135" s="46" t="str">
        <x:v>Pacific cupped oyster</x:v>
      </x:c>
      <x:c r="G135" s="46" t="str">
        <x:v>Other demersal invertebrates</x:v>
      </x:c>
      <x:c r="H135" s="46" t="str">
        <x:v>Molluscs</x:v>
      </x:c>
      <x:c r="I135" s="60" t="n">
        <x:v>37.1554228468</x:v>
      </x:c>
      <x:c r="J135" s="60" t="n">
        <x:v>37.1554228468</x:v>
      </x:c>
      <x:c r="K135" s="60" t="n">
        <x:v>0</x:v>
      </x:c>
      <x:c r="L135" s="60" t="n">
        <x:v>37.1554228468</x:v>
      </x:c>
      <x:c r="M135" s="60" t="n">
        <x:v>0</x:v>
      </x:c>
      <x:c r="N135" s="46" t="str">
        <x:v>magallana gigas</x:v>
      </x:c>
      <x:c r="O135" s="62" t="n">
        <x:v>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Magallana gigas</x:v>
      </x:c>
      <x:c r="T135" s="62" t="n">
        <x:f>IF(O135="","",(1/'Metadata'!$B$5)^(O135-1))</x:f>
        <x:v>20</x:v>
      </x:c>
      <x:c r="U135" s="60" t="n">
        <x:f>IF(T135="","",I135*T135)</x:f>
        <x:v>743.108456936</x:v>
      </x:c>
    </x:row>
    <x:row r="136" ht="18" customHeight="1">
      <x:c r="A136" s="46" t="str">
        <x:v>LME_022</x:v>
      </x:c>
      <x:c r="B136" s="46" t="str">
        <x:v>North Sea</x:v>
      </x:c>
      <x:c r="C136" s="46" t="str">
        <x:v>LME</x:v>
      </x:c>
      <x:c r="D136" s="58" t="n">
        <x:v>2019</x:v>
      </x:c>
      <x:c r="E136" s="46" t="str">
        <x:v>Sebastes</x:v>
      </x:c>
      <x:c r="F136" s="46" t="str">
        <x:v>Redfishes</x:v>
      </x:c>
      <x:c r="G136" s="46" t="str">
        <x:v>Large reef assoc. fish (&gt;=90 cm)</x:v>
      </x:c>
      <x:c r="H136" s="46" t="str">
        <x:v>Scorpionfishes</x:v>
      </x:c>
      <x:c r="I136" s="60" t="n">
        <x:v>35.4252717775</x:v>
      </x:c>
      <x:c r="J136" s="60" t="n">
        <x:v>35.4243104564</x:v>
      </x:c>
      <x:c r="K136" s="60" t="n">
        <x:v>0.0009613211</x:v>
      </x:c>
      <x:c r="L136" s="60" t="n">
        <x:v>35.4226517492</x:v>
      </x:c>
      <x:c r="M136" s="60" t="n">
        <x:v>0.0026200283</x:v>
      </x:c>
      <x:c r="N136" s="46" t="str">
        <x:v>sebastes</x:v>
      </x:c>
      <x:c r="O136" s="62" t="n">
        <x:v>3.79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Sebastes</x:v>
      </x:c>
      <x:c r="T136" s="62" t="n">
        <x:f>IF(O136="","",(1/'Metadata'!$B$5)^(O136-1))</x:f>
        <x:v>4264.554685980751</x:v>
      </x:c>
      <x:c r="U136" s="60" t="n">
        <x:f>IF(T136="","",I136*T136)</x:f>
        <x:v>151073.00876087928</x:v>
      </x:c>
    </x:row>
    <x:row r="137" ht="18" customHeight="1">
      <x:c r="A137" s="46" t="str">
        <x:v>LME_022</x:v>
      </x:c>
      <x:c r="B137" s="46" t="str">
        <x:v>North Sea</x:v>
      </x:c>
      <x:c r="C137" s="46" t="str">
        <x:v>LME</x:v>
      </x:c>
      <x:c r="D137" s="58" t="n">
        <x:v>2019</x:v>
      </x:c>
      <x:c r="E137" s="46" t="str">
        <x:v>Leucoraja circularis</x:v>
      </x:c>
      <x:c r="F137" s="46" t="str">
        <x:v>Sandy ray</x:v>
      </x:c>
      <x:c r="G137" s="46" t="str">
        <x:v>Large rays (&gt;=90 cm)</x:v>
      </x:c>
      <x:c r="H137" s="46" t="str">
        <x:v>Sharks &amp; rays</x:v>
      </x:c>
      <x:c r="I137" s="60" t="n">
        <x:v>34.4353589009</x:v>
      </x:c>
      <x:c r="J137" s="60" t="n">
        <x:v>34.4353589009</x:v>
      </x:c>
      <x:c r="K137" s="60" t="n">
        <x:v>0</x:v>
      </x:c>
      <x:c r="L137" s="60" t="n">
        <x:v>34.4353589009</x:v>
      </x:c>
      <x:c r="M137" s="60" t="n">
        <x:v>0</x:v>
      </x:c>
      <x:c r="N137" s="46" t="str">
        <x:v>leucoraja circularis</x:v>
      </x:c>
      <x:c r="O137" s="62" t="n">
        <x:v>3.5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Leucoraja circularis</x:v>
      </x:c>
      <x:c r="T137" s="62" t="n">
        <x:f>IF(O137="","",(1/'Metadata'!$B$5)^(O137-1))</x:f>
        <x:v>1788.8543819998317</x:v>
      </x:c>
      <x:c r="U137" s="60" t="n">
        <x:f>IF(T137="","",I137*T137)</x:f>
        <x:v>61599.842665611875</x:v>
      </x:c>
    </x:row>
    <x:row r="138" ht="18" customHeight="1">
      <x:c r="A138" s="46" t="str">
        <x:v>LME_022</x:v>
      </x:c>
      <x:c r="B138" s="46" t="str">
        <x:v>North Sea</x:v>
      </x:c>
      <x:c r="C138" s="46" t="str">
        <x:v>LME</x:v>
      </x:c>
      <x:c r="D138" s="58" t="n">
        <x:v>2019</x:v>
      </x:c>
      <x:c r="E138" s="46" t="str">
        <x:v>Aequipecten opercularis</x:v>
      </x:c>
      <x:c r="F138" s="46" t="str">
        <x:v>Queen scallop</x:v>
      </x:c>
      <x:c r="G138" s="46" t="str">
        <x:v>Other demersal invertebrates</x:v>
      </x:c>
      <x:c r="H138" s="46" t="str">
        <x:v>Molluscs</x:v>
      </x:c>
      <x:c r="I138" s="60" t="n">
        <x:v>34.006287259699995</x:v>
      </x:c>
      <x:c r="J138" s="60" t="n">
        <x:v>34.006287259699995</x:v>
      </x:c>
      <x:c r="K138" s="60" t="n">
        <x:v>0</x:v>
      </x:c>
      <x:c r="L138" s="60" t="n">
        <x:v>34.006287259699995</x:v>
      </x:c>
      <x:c r="M138" s="60" t="n">
        <x:v>0</x:v>
      </x:c>
      <x:c r="N138" s="46" t="str">
        <x:v>aequipecten opercularis</x:v>
      </x:c>
      <x:c r="O138" s="62" t="n">
        <x:v>2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Aequipecten opercularis</x:v>
      </x:c>
      <x:c r="T138" s="62" t="n">
        <x:f>IF(O138="","",(1/'Metadata'!$B$5)^(O138-1))</x:f>
        <x:v>20</x:v>
      </x:c>
      <x:c r="U138" s="60" t="n">
        <x:f>IF(T138="","",I138*T138)</x:f>
        <x:v>680.1257451939999</x:v>
      </x:c>
    </x:row>
    <x:row r="139" ht="18" customHeight="1">
      <x:c r="A139" s="46" t="str">
        <x:v>LME_022</x:v>
      </x:c>
      <x:c r="B139" s="46" t="str">
        <x:v>North Sea</x:v>
      </x:c>
      <x:c r="C139" s="46" t="str">
        <x:v>LME</x:v>
      </x:c>
      <x:c r="D139" s="58" t="n">
        <x:v>2019</x:v>
      </x:c>
      <x:c r="E139" s="46" t="str">
        <x:v>Coryphaenoides rupestris</x:v>
      </x:c>
      <x:c r="F139" s="46" t="str">
        <x:v>Roundnose grenadier</x:v>
      </x:c>
      <x:c r="G139" s="46" t="str">
        <x:v>Large bathypelagics (&gt;=90 cm)</x:v>
      </x:c>
      <x:c r="H139" s="46" t="str">
        <x:v>Cod-likes</x:v>
      </x:c>
      <x:c r="I139" s="60" t="n">
        <x:v>30.1586449575</x:v>
      </x:c>
      <x:c r="J139" s="60" t="n">
        <x:v>30.158334990700002</x:v>
      </x:c>
      <x:c r="K139" s="60" t="n">
        <x:v>0.0003099668</x:v>
      </x:c>
      <x:c r="L139" s="60" t="n">
        <x:v>30.1575133149</x:v>
      </x:c>
      <x:c r="M139" s="60" t="n">
        <x:v>0.0011316426</x:v>
      </x:c>
      <x:c r="N139" s="46" t="str">
        <x:v>coryphaenoides rupestris</x:v>
      </x:c>
      <x:c r="O139" s="62" t="n">
        <x:v>3.54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Coryphaenoides rupestris</x:v>
      </x:c>
      <x:c r="T139" s="62" t="n">
        <x:f>IF(O139="","",(1/'Metadata'!$B$5)^(O139-1))</x:f>
        <x:v>2016.5834052007342</x:v>
      </x:c>
      <x:c r="U139" s="60" t="n">
        <x:f>IF(T139="","",I139*T139)</x:f>
        <x:v>60817.422944635306</x:v>
      </x:c>
    </x:row>
    <x:row r="140" ht="18" customHeight="1">
      <x:c r="A140" s="46" t="str">
        <x:v>LME_022</x:v>
      </x:c>
      <x:c r="B140" s="46" t="str">
        <x:v>North Sea</x:v>
      </x:c>
      <x:c r="C140" s="46" t="str">
        <x:v>LME</x:v>
      </x:c>
      <x:c r="D140" s="58" t="n">
        <x:v>2019</x:v>
      </x:c>
      <x:c r="E140" s="46" t="str">
        <x:v>Mugilidae</x:v>
      </x:c>
      <x:c r="F140" s="46" t="str">
        <x:v>Mullets, grey mullets</x:v>
      </x:c>
      <x:c r="G140" s="46" t="str">
        <x:v>Medium reef assoc. fish (30 - 89 cm)</x:v>
      </x:c>
      <x:c r="H140" s="46" t="str">
        <x:v>Perch-likes</x:v>
      </x:c>
      <x:c r="I140" s="60" t="n">
        <x:v>30.058084846899998</x:v>
      </x:c>
      <x:c r="J140" s="60" t="n">
        <x:v>30.0268946882</x:v>
      </x:c>
      <x:c r="K140" s="60" t="n">
        <x:v>0.0311901587</x:v>
      </x:c>
      <x:c r="L140" s="60" t="n">
        <x:v>6.319672483100001</x:v>
      </x:c>
      <x:c r="M140" s="60" t="n">
        <x:v>23.7384123638</x:v>
      </x:c>
      <x:c r="N140" s="46" t="str">
        <x:v>mugilidae</x:v>
      </x:c>
      <x:c r="O140" s="62" t="n">
        <x:v>2.53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Mugilidae</x:v>
      </x:c>
      <x:c r="T140" s="62" t="n">
        <x:f>IF(O140="","",(1/'Metadata'!$B$5)^(O140-1))</x:f>
        <x:v>97.8533939563155</x:v>
      </x:c>
      <x:c r="U140" s="60" t="n">
        <x:f>IF(T140="","",I140*T140)</x:f>
        <x:v>2941.285618096063</x:v>
      </x:c>
    </x:row>
    <x:row r="141" ht="18" customHeight="1">
      <x:c r="A141" s="46" t="str">
        <x:v>LME_022</x:v>
      </x:c>
      <x:c r="B141" s="46" t="str">
        <x:v>North Sea</x:v>
      </x:c>
      <x:c r="C141" s="46" t="str">
        <x:v>LME</x:v>
      </x:c>
      <x:c r="D141" s="58" t="n">
        <x:v>2019</x:v>
      </x:c>
      <x:c r="E141" s="46" t="str">
        <x:v>Scyliorhinus stellaris</x:v>
      </x:c>
      <x:c r="F141" s="46" t="str">
        <x:v>Nursehound</x:v>
      </x:c>
      <x:c r="G141" s="46" t="str">
        <x:v>Large sharks (&gt;=90 cm)</x:v>
      </x:c>
      <x:c r="H141" s="46" t="str">
        <x:v>Sharks &amp; rays</x:v>
      </x:c>
      <x:c r="I141" s="60" t="n">
        <x:v>29.0246402565</x:v>
      </x:c>
      <x:c r="J141" s="60" t="n">
        <x:v>29.0246402565</x:v>
      </x:c>
      <x:c r="K141" s="60" t="n">
        <x:v>0</x:v>
      </x:c>
      <x:c r="L141" s="60" t="n">
        <x:v>29.0039583078</x:v>
      </x:c>
      <x:c r="M141" s="60" t="n">
        <x:v>0.020681948699999998</x:v>
      </x:c>
      <x:c r="N141" s="46" t="str">
        <x:v>scyliorhinus stellaris</x:v>
      </x:c>
      <x:c r="O141" s="62" t="n">
        <x:v>4.03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Scyliorhinus stellaris</x:v>
      </x:c>
      <x:c r="T141" s="62" t="n">
        <x:f>IF(O141="","",(1/'Metadata'!$B$5)^(O141-1))</x:f>
        <x:v>8752.273628615554</x:v>
      </x:c>
      <x:c r="U141" s="60" t="n">
        <x:f>IF(T141="","",I141*T141)</x:f>
        <x:v>254031.59349701833</x:v>
      </x:c>
    </x:row>
    <x:row r="142" ht="18" customHeight="1">
      <x:c r="A142" s="46" t="str">
        <x:v>LME_022</x:v>
      </x:c>
      <x:c r="B142" s="46" t="str">
        <x:v>North Sea</x:v>
      </x:c>
      <x:c r="C142" s="46" t="str">
        <x:v>LME</x:v>
      </x:c>
      <x:c r="D142" s="58" t="n">
        <x:v>2019</x:v>
      </x:c>
      <x:c r="E142" s="46" t="str">
        <x:v>Gadiformes</x:v>
      </x:c>
      <x:c r="F142" s="46" t="str">
        <x:v>Cods</x:v>
      </x:c>
      <x:c r="G142" s="46" t="str">
        <x:v>Medium benthopelagics (30 - 89 cm)</x:v>
      </x:c>
      <x:c r="H142" s="46" t="str">
        <x:v>Cod-likes</x:v>
      </x:c>
      <x:c r="I142" s="60" t="n">
        <x:v>28.5981040124</x:v>
      </x:c>
      <x:c r="J142" s="60" t="n">
        <x:v>0.2193502613</x:v>
      </x:c>
      <x:c r="K142" s="60" t="n">
        <x:v>28.378753751100003</x:v>
      </x:c>
      <x:c r="L142" s="60" t="n">
        <x:v>0.2193502613</x:v>
      </x:c>
      <x:c r="M142" s="60" t="n">
        <x:v>28.378753751100003</x:v>
      </x:c>
      <x:c r="N142" s="46" t="str">
        <x:v>gadiformes</x:v>
      </x:c>
      <x:c r="O142" s="62" t="n">
        <x:v>3.91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Gadiformes</x:v>
      </x:c>
      <x:c r="T142" s="62" t="n">
        <x:f>IF(O142="","",(1/'Metadata'!$B$5)^(O142-1))</x:f>
        <x:v>6109.382089532312</x:v>
      </x:c>
      <x:c r="U142" s="60" t="n">
        <x:f>IF(T142="","",I142*T142)</x:f>
        <x:v>174716.74444793872</x:v>
      </x:c>
    </x:row>
    <x:row r="143" ht="18" customHeight="1">
      <x:c r="A143" s="46" t="str">
        <x:v>LME_022</x:v>
      </x:c>
      <x:c r="B143" s="46" t="str">
        <x:v>North Sea</x:v>
      </x:c>
      <x:c r="C143" s="46" t="str">
        <x:v>LME</x:v>
      </x:c>
      <x:c r="D143" s="58" t="n">
        <x:v>2019</x:v>
      </x:c>
      <x:c r="E143" s="46" t="str">
        <x:v>Octopodidae</x:v>
      </x:c>
      <x:c r="F143" s="46" t="str">
        <x:v>Octopuses</x:v>
      </x:c>
      <x:c r="G143" s="46" t="str">
        <x:v>Cephalopods</x:v>
      </x:c>
      <x:c r="H143" s="46" t="str">
        <x:v>Other fishes &amp; inverts</x:v>
      </x:c>
      <x:c r="I143" s="60" t="n">
        <x:v>28.274121360200002</x:v>
      </x:c>
      <x:c r="J143" s="60" t="n">
        <x:v>28.156730228100002</x:v>
      </x:c>
      <x:c r="K143" s="60" t="n">
        <x:v>0.1173911321</x:v>
      </x:c>
      <x:c r="L143" s="60" t="n">
        <x:v>27.7469297747</x:v>
      </x:c>
      <x:c r="M143" s="60" t="n">
        <x:v>0.5271915855</x:v>
      </x:c>
      <x:c r="N143" s="46" t="str">
        <x:v>octopodidae</x:v>
      </x:c>
      <x:c r="O143" s="62" t="n">
        <x:v>3.59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Octopodidae</x:v>
      </x:c>
      <x:c r="T143" s="62" t="n">
        <x:f>IF(O143="","",(1/'Metadata'!$B$5)^(O143-1))</x:f>
        <x:v>2342.4357563948306</x:v>
      </x:c>
      <x:c r="U143" s="60" t="n">
        <x:f>IF(T143="","",I143*T143)</x:f>
        <x:v>66230.31285477933</x:v>
      </x:c>
    </x:row>
    <x:row r="144" ht="18" customHeight="1">
      <x:c r="A144" s="46" t="str">
        <x:v>LME_022</x:v>
      </x:c>
      <x:c r="B144" s="46" t="str">
        <x:v>North Sea</x:v>
      </x:c>
      <x:c r="C144" s="46" t="str">
        <x:v>LME</x:v>
      </x:c>
      <x:c r="D144" s="58" t="n">
        <x:v>2019</x:v>
      </x:c>
      <x:c r="E144" s="46" t="str">
        <x:v>Labrus bergylta</x:v>
      </x:c>
      <x:c r="F144" s="46" t="str">
        <x:v>Ballan wrasse</x:v>
      </x:c>
      <x:c r="G144" s="46" t="str">
        <x:v>Medium reef assoc. fish (30 - 89 cm)</x:v>
      </x:c>
      <x:c r="H144" s="46" t="str">
        <x:v>Perch-likes</x:v>
      </x:c>
      <x:c r="I144" s="60" t="n">
        <x:v>28.2122046982</x:v>
      </x:c>
      <x:c r="J144" s="60" t="n">
        <x:v>28.0705220038</x:v>
      </x:c>
      <x:c r="K144" s="60" t="n">
        <x:v>0.1416826944</x:v>
      </x:c>
      <x:c r="L144" s="60" t="n">
        <x:v>27.7384538505</x:v>
      </x:c>
      <x:c r="M144" s="60" t="n">
        <x:v>0.47375084770000003</x:v>
      </x:c>
      <x:c r="N144" s="46" t="str">
        <x:v>labrus bergylta</x:v>
      </x:c>
      <x:c r="O144" s="62" t="n">
        <x:v>3.2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Labrus bergylta</x:v>
      </x:c>
      <x:c r="T144" s="62" t="n">
        <x:f>IF(O144="","",(1/'Metadata'!$B$5)^(O144-1))</x:f>
        <x:v>728.2256812104325</x:v>
      </x:c>
      <x:c r="U144" s="60" t="n">
        <x:f>IF(T144="","",I144*T144)</x:f>
        <x:v>20544.85198479486</x:v>
      </x:c>
    </x:row>
    <x:row r="145" ht="18" customHeight="1">
      <x:c r="A145" s="46" t="str">
        <x:v>LME_022</x:v>
      </x:c>
      <x:c r="B145" s="46" t="str">
        <x:v>North Sea</x:v>
      </x:c>
      <x:c r="C145" s="46" t="str">
        <x:v>LME</x:v>
      </x:c>
      <x:c r="D145" s="58" t="n">
        <x:v>2019</x:v>
      </x:c>
      <x:c r="E145" s="46" t="str">
        <x:v>Rutilus rutilus</x:v>
      </x:c>
      <x:c r="F145" s="46" t="str">
        <x:v>Roach</x:v>
      </x:c>
      <x:c r="G145" s="46" t="str">
        <x:v>Medium benthopelagics (30 - 89 cm)</x:v>
      </x:c>
      <x:c r="H145" s="46" t="str">
        <x:v>Other fishes &amp; inverts</x:v>
      </x:c>
      <x:c r="I145" s="60" t="n">
        <x:v>27.131639110300004</x:v>
      </x:c>
      <x:c r="J145" s="60" t="n">
        <x:v>27.1184520212</x:v>
      </x:c>
      <x:c r="K145" s="60" t="n">
        <x:v>0.0131870891</x:v>
      </x:c>
      <x:c r="L145" s="60" t="n">
        <x:v>27.0971689065</x:v>
      </x:c>
      <x:c r="M145" s="60" t="n">
        <x:v>0.034470203799999995</x:v>
      </x:c>
      <x:c r="N145" s="46" t="str">
        <x:v>rutilus rutilus</x:v>
      </x:c>
      <x:c r="O145" s="62" t="n">
        <x:v>2.96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Rutilus rutilus</x:v>
      </x:c>
      <x:c r="T145" s="62" t="n">
        <x:f>IF(O145="","",(1/'Metadata'!$B$5)^(O145-1))</x:f>
        <x:v>354.8287419972627</x:v>
      </x:c>
      <x:c r="U145" s="60" t="n">
        <x:f>IF(T145="","",I145*T145)</x:f>
        <x:v>9627.085373831482</x:v>
      </x:c>
    </x:row>
    <x:row r="146" ht="18" customHeight="1">
      <x:c r="A146" s="46" t="str">
        <x:v>LME_022</x:v>
      </x:c>
      <x:c r="B146" s="46" t="str">
        <x:v>North Sea</x:v>
      </x:c>
      <x:c r="C146" s="46" t="str">
        <x:v>LME</x:v>
      </x:c>
      <x:c r="D146" s="58" t="n">
        <x:v>2019</x:v>
      </x:c>
      <x:c r="E146" s="46" t="str">
        <x:v>Octopus vulgaris</x:v>
      </x:c>
      <x:c r="F146" s="46" t="str">
        <x:v>Common octopus</x:v>
      </x:c>
      <x:c r="G146" s="46" t="str">
        <x:v>Cephalopods</x:v>
      </x:c>
      <x:c r="H146" s="46" t="str">
        <x:v>Other fishes &amp; inverts</x:v>
      </x:c>
      <x:c r="I146" s="60" t="n">
        <x:v>26.0978470311</x:v>
      </x:c>
      <x:c r="J146" s="60" t="n">
        <x:v>26.0978470311</x:v>
      </x:c>
      <x:c r="K146" s="60" t="n">
        <x:v>0</x:v>
      </x:c>
      <x:c r="L146" s="60" t="n">
        <x:v>26.0978470311</x:v>
      </x:c>
      <x:c r="M146" s="60" t="n">
        <x:v>0</x:v>
      </x:c>
      <x:c r="N146" s="46" t="str">
        <x:v>octopus vulgaris</x:v>
      </x:c>
      <x:c r="O146" s="62" t="n">
        <x:v>3.6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Octopus vulgaris</x:v>
      </x:c>
      <x:c r="T146" s="62" t="n">
        <x:f>IF(O146="","",(1/'Metadata'!$B$5)^(O146-1))</x:f>
        <x:v>2413.670534618066</x:v>
      </x:c>
      <x:c r="U146" s="60" t="n">
        <x:f>IF(T146="","",I146*T146)</x:f>
        <x:v>62991.60439593564</x:v>
      </x:c>
    </x:row>
    <x:row r="147" ht="18" customHeight="1">
      <x:c r="A147" s="46" t="str">
        <x:v>LME_022</x:v>
      </x:c>
      <x:c r="B147" s="46" t="str">
        <x:v>North Sea</x:v>
      </x:c>
      <x:c r="C147" s="46" t="str">
        <x:v>LME</x:v>
      </x:c>
      <x:c r="D147" s="58" t="n">
        <x:v>2019</x:v>
      </x:c>
      <x:c r="E147" s="46" t="str">
        <x:v>Balistidae</x:v>
      </x:c>
      <x:c r="F147" s="46" t="str">
        <x:v>Triggerfishes</x:v>
      </x:c>
      <x:c r="G147" s="46" t="str">
        <x:v>Medium reef assoc. fish (30 - 89 cm)</x:v>
      </x:c>
      <x:c r="H147" s="46" t="str">
        <x:v>Other fishes &amp; inverts</x:v>
      </x:c>
      <x:c r="I147" s="60" t="n">
        <x:v>24.333714020600002</x:v>
      </x:c>
      <x:c r="J147" s="60" t="n">
        <x:v>0.0000082294</x:v>
      </x:c>
      <x:c r="K147" s="60" t="n">
        <x:v>24.3337057912</x:v>
      </x:c>
      <x:c r="L147" s="60" t="n">
        <x:v>0.0000082294</x:v>
      </x:c>
      <x:c r="M147" s="60" t="n">
        <x:v>24.3337057912</x:v>
      </x:c>
      <x:c r="N147" s="46" t="str">
        <x:v>balistidae</x:v>
      </x:c>
      <x:c r="O147" s="62" t="n">
        <x:v>3.25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Balistidae</x:v>
      </x:c>
      <x:c r="T147" s="62" t="n">
        <x:f>IF(O147="","",(1/'Metadata'!$B$5)^(O147-1))</x:f>
        <x:v>845.8970107524513</x:v>
      </x:c>
      <x:c r="U147" s="60" t="n">
        <x:f>IF(T147="","",I147*T147)</x:f>
        <x:v>20583.815950530552</x:v>
      </x:c>
    </x:row>
    <x:row r="148" ht="18" customHeight="1">
      <x:c r="A148" s="46" t="str">
        <x:v>LME_022</x:v>
      </x:c>
      <x:c r="B148" s="46" t="str">
        <x:v>North Sea</x:v>
      </x:c>
      <x:c r="C148" s="46" t="str">
        <x:v>LME</x:v>
      </x:c>
      <x:c r="D148" s="58" t="n">
        <x:v>2019</x:v>
      </x:c>
      <x:c r="E148" s="46" t="str">
        <x:v>Moronidae</x:v>
      </x:c>
      <x:c r="F148" s="46" t="str">
        <x:v>Temperate basses</x:v>
      </x:c>
      <x:c r="G148" s="46" t="str">
        <x:v>Medium demersals (30 - 89 cm)</x:v>
      </x:c>
      <x:c r="H148" s="46" t="str">
        <x:v>Perch-likes</x:v>
      </x:c>
      <x:c r="I148" s="60" t="n">
        <x:v>24.1358623134</x:v>
      </x:c>
      <x:c r="J148" s="60" t="n">
        <x:v>24.1358623134</x:v>
      </x:c>
      <x:c r="K148" s="60" t="n">
        <x:v>0</x:v>
      </x:c>
      <x:c r="L148" s="60" t="n">
        <x:v>0</x:v>
      </x:c>
      <x:c r="M148" s="60" t="n">
        <x:v>24.1358623134</x:v>
      </x:c>
      <x:c r="N148" s="46" t="str">
        <x:v>moronidae</x:v>
      </x:c>
      <x:c r="O148" s="62" t="n">
        <x:v>3.87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Moronidae</x:v>
      </x:c>
      <x:c r="T148" s="62" t="n">
        <x:f>IF(O148="","",(1/'Metadata'!$B$5)^(O148-1))</x:f>
        <x:v>5419.460903023396</x:v>
      </x:c>
      <x:c r="U148" s="60" t="n">
        <x:f>IF(T148="","",I148*T148)</x:f>
        <x:v>130803.36216822712</x:v>
      </x:c>
    </x:row>
    <x:row r="149" ht="18" customHeight="1">
      <x:c r="A149" s="46" t="str">
        <x:v>LME_022</x:v>
      </x:c>
      <x:c r="B149" s="46" t="str">
        <x:v>North Sea</x:v>
      </x:c>
      <x:c r="C149" s="46" t="str">
        <x:v>LME</x:v>
      </x:c>
      <x:c r="D149" s="58" t="n">
        <x:v>2019</x:v>
      </x:c>
      <x:c r="E149" s="46" t="str">
        <x:v>Sparidae</x:v>
      </x:c>
      <x:c r="F149" s="46" t="str">
        <x:v>Porgies, seabreams</x:v>
      </x:c>
      <x:c r="G149" s="46" t="str">
        <x:v>Medium benthopelagics (30 - 89 cm)</x:v>
      </x:c>
      <x:c r="H149" s="46" t="str">
        <x:v>Perch-likes</x:v>
      </x:c>
      <x:c r="I149" s="60" t="n">
        <x:v>24.040793406000002</x:v>
      </x:c>
      <x:c r="J149" s="60" t="n">
        <x:v>24.040793406000002</x:v>
      </x:c>
      <x:c r="K149" s="60" t="n">
        <x:v>0</x:v>
      </x:c>
      <x:c r="L149" s="60" t="n">
        <x:v>0.37205440359999997</x:v>
      </x:c>
      <x:c r="M149" s="60" t="n">
        <x:v>23.668739002400002</x:v>
      </x:c>
      <x:c r="N149" s="46" t="str">
        <x:v>sparidae</x:v>
      </x:c>
      <x:c r="O149" s="62" t="n">
        <x:v>3.31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Sparidae</x:v>
      </x:c>
      <x:c r="T149" s="62" t="n">
        <x:f>IF(O149="","",(1/'Metadata'!$B$5)^(O149-1))</x:f>
        <x:v>1012.4633005057666</x:v>
      </x:c>
      <x:c r="U149" s="60" t="n">
        <x:f>IF(T149="","",I149*T149)</x:f>
        <x:v>24340.421038616034</x:v>
      </x:c>
    </x:row>
    <x:row r="150" ht="18" customHeight="1">
      <x:c r="A150" s="46" t="str">
        <x:v>LME_022</x:v>
      </x:c>
      <x:c r="B150" s="46" t="str">
        <x:v>North Sea</x:v>
      </x:c>
      <x:c r="C150" s="46" t="str">
        <x:v>LME</x:v>
      </x:c>
      <x:c r="D150" s="58" t="n">
        <x:v>2019</x:v>
      </x:c>
      <x:c r="E150" s="46" t="str">
        <x:v>Myxine glutinosa</x:v>
      </x:c>
      <x:c r="F150" s="46" t="str">
        <x:v>Hagfish</x:v>
      </x:c>
      <x:c r="G150" s="46" t="str">
        <x:v>Medium demersals (30 - 89 cm)</x:v>
      </x:c>
      <x:c r="H150" s="46" t="str">
        <x:v>Other fishes &amp; inverts</x:v>
      </x:c>
      <x:c r="I150" s="60" t="n">
        <x:v>23.8785478333</x:v>
      </x:c>
      <x:c r="J150" s="60" t="n">
        <x:v>23.8785478333</x:v>
      </x:c>
      <x:c r="K150" s="60" t="n">
        <x:v>0</x:v>
      </x:c>
      <x:c r="L150" s="60" t="n">
        <x:v>23.8785478333</x:v>
      </x:c>
      <x:c r="M150" s="60" t="n">
        <x:v>0</x:v>
      </x:c>
      <x:c r="N150" s="46" t="str">
        <x:v>myxine glutinosa</x:v>
      </x:c>
      <x:c r="O150" s="62" t="n">
        <x:v>4.54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Myxine glutinosa</x:v>
      </x:c>
      <x:c r="T150" s="62" t="n">
        <x:f>IF(O150="","",(1/'Metadata'!$B$5)^(O150-1))</x:f>
        <x:v>40331.66810401469</x:v>
      </x:c>
      <x:c r="U150" s="60" t="n">
        <x:f>IF(T150="","",I150*T150)</x:f>
        <x:v>963061.6660184946</x:v>
      </x:c>
    </x:row>
    <x:row r="151" ht="18" customHeight="1">
      <x:c r="A151" s="46" t="str">
        <x:v>LME_022</x:v>
      </x:c>
      <x:c r="B151" s="46" t="str">
        <x:v>North Sea</x:v>
      </x:c>
      <x:c r="C151" s="46" t="str">
        <x:v>LME</x:v>
      </x:c>
      <x:c r="D151" s="58" t="n">
        <x:v>2019</x:v>
      </x:c>
      <x:c r="E151" s="46" t="str">
        <x:v>Esox lucius</x:v>
      </x:c>
      <x:c r="F151" s="46" t="str">
        <x:v>Northern pike</x:v>
      </x:c>
      <x:c r="G151" s="46" t="str">
        <x:v>Large demersals (&gt;=90 cm)</x:v>
      </x:c>
      <x:c r="H151" s="46" t="str">
        <x:v>Salmon, smelts, etc</x:v>
      </x:c>
      <x:c r="I151" s="60" t="n">
        <x:v>23.2387761785</x:v>
      </x:c>
      <x:c r="J151" s="60" t="n">
        <x:v>23.202117714099998</x:v>
      </x:c>
      <x:c r="K151" s="60" t="n">
        <x:v>0.0366584644</x:v>
      </x:c>
      <x:c r="L151" s="60" t="n">
        <x:v>3.387916347</x:v>
      </x:c>
      <x:c r="M151" s="60" t="n">
        <x:v>19.8508598315</x:v>
      </x:c>
      <x:c r="N151" s="46" t="str">
        <x:v>esox lucius</x:v>
      </x:c>
      <x:c r="O151" s="62" t="n">
        <x:v>4.07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Esox lucius</x:v>
      </x:c>
      <x:c r="T151" s="62" t="n">
        <x:f>IF(O151="","",(1/'Metadata'!$B$5)^(O151-1))</x:f>
        <x:v>9866.476519743796</x:v>
      </x:c>
      <x:c r="U151" s="60" t="n">
        <x:f>IF(T151="","",I151*T151)</x:f>
        <x:v>229284.8395127517</x:v>
      </x:c>
    </x:row>
    <x:row r="152" ht="18" customHeight="1">
      <x:c r="A152" s="46" t="str">
        <x:v>LME_022</x:v>
      </x:c>
      <x:c r="B152" s="46" t="str">
        <x:v>North Sea</x:v>
      </x:c>
      <x:c r="C152" s="46" t="str">
        <x:v>LME</x:v>
      </x:c>
      <x:c r="D152" s="58" t="n">
        <x:v>2019</x:v>
      </x:c>
      <x:c r="E152" s="46" t="str">
        <x:v>Chamelea gallina</x:v>
      </x:c>
      <x:c r="F152" s="46" t="str">
        <x:v>Striped venus</x:v>
      </x:c>
      <x:c r="G152" s="46" t="str">
        <x:v>Other demersal invertebrates</x:v>
      </x:c>
      <x:c r="H152" s="46" t="str">
        <x:v>Molluscs</x:v>
      </x:c>
      <x:c r="I152" s="60" t="n">
        <x:v>19.947730758200002</x:v>
      </x:c>
      <x:c r="J152" s="60" t="n">
        <x:v>19.947730758200002</x:v>
      </x:c>
      <x:c r="K152" s="60" t="n">
        <x:v>0</x:v>
      </x:c>
      <x:c r="L152" s="60" t="n">
        <x:v>19.947730758200002</x:v>
      </x:c>
      <x:c r="M152" s="60" t="n">
        <x:v>0</x:v>
      </x:c>
      <x:c r="N152" s="46" t="str">
        <x:v>chamelea gallina</x:v>
      </x:c>
      <x:c r="O152" s="62" t="n">
        <x:v>2.1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Chamelea gallina</x:v>
      </x:c>
      <x:c r="T152" s="62" t="n">
        <x:f>IF(O152="","",(1/'Metadata'!$B$5)^(O152-1))</x:f>
        <x:v>26.985656953471274</x:v>
      </x:c>
      <x:c r="U152" s="60" t="n">
        <x:f>IF(T152="","",I152*T152)</x:f>
        <x:v>538.3026192409927</x:v>
      </x:c>
    </x:row>
    <x:row r="153" ht="18" customHeight="1">
      <x:c r="A153" s="46" t="str">
        <x:v>LME_022</x:v>
      </x:c>
      <x:c r="B153" s="46" t="str">
        <x:v>North Sea</x:v>
      </x:c>
      <x:c r="C153" s="46" t="str">
        <x:v>LME</x:v>
      </x:c>
      <x:c r="D153" s="58" t="n">
        <x:v>2019</x:v>
      </x:c>
      <x:c r="E153" s="46" t="str">
        <x:v>Zeus faber</x:v>
      </x:c>
      <x:c r="F153" s="46" t="str">
        <x:v>John dory</x:v>
      </x:c>
      <x:c r="G153" s="46" t="str">
        <x:v>Medium benthopelagics (30 - 89 cm)</x:v>
      </x:c>
      <x:c r="H153" s="46" t="str">
        <x:v>Other fishes &amp; inverts</x:v>
      </x:c>
      <x:c r="I153" s="60" t="n">
        <x:v>18.7962577745</x:v>
      </x:c>
      <x:c r="J153" s="60" t="n">
        <x:v>17.5467240328</x:v>
      </x:c>
      <x:c r="K153" s="60" t="n">
        <x:v>1.2495337417</x:v>
      </x:c>
      <x:c r="L153" s="60" t="n">
        <x:v>17.5467240328</x:v>
      </x:c>
      <x:c r="M153" s="60" t="n">
        <x:v>1.2495337417</x:v>
      </x:c>
      <x:c r="N153" s="46" t="str">
        <x:v>zeus faber</x:v>
      </x:c>
      <x:c r="O153" s="62" t="n">
        <x:v>4.5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Zeus faber</x:v>
      </x:c>
      <x:c r="T153" s="62" t="n">
        <x:f>IF(O153="","",(1/'Metadata'!$B$5)^(O153-1))</x:f>
        <x:v>35777.08763999664</x:v>
      </x:c>
      <x:c r="U153" s="60" t="n">
        <x:f>IF(T153="","",I153*T153)</x:f>
        <x:v>672475.3617022546</x:v>
      </x:c>
    </x:row>
    <x:row r="154" ht="18" customHeight="1">
      <x:c r="A154" s="46" t="str">
        <x:v>LME_022</x:v>
      </x:c>
      <x:c r="B154" s="46" t="str">
        <x:v>North Sea</x:v>
      </x:c>
      <x:c r="C154" s="46" t="str">
        <x:v>LME</x:v>
      </x:c>
      <x:c r="D154" s="58" t="n">
        <x:v>2019</x:v>
      </x:c>
      <x:c r="E154" s="46" t="str">
        <x:v>Octopus</x:v>
      </x:c>
      <x:c r="F154" s="46" t="str">
        <x:v>Octopuses, pikas</x:v>
      </x:c>
      <x:c r="G154" s="46" t="str">
        <x:v>Cephalopods</x:v>
      </x:c>
      <x:c r="H154" s="46" t="str">
        <x:v>Other fishes &amp; inverts</x:v>
      </x:c>
      <x:c r="I154" s="60" t="n">
        <x:v>18.4382249822</x:v>
      </x:c>
      <x:c r="J154" s="60" t="n">
        <x:v>18.4382249822</x:v>
      </x:c>
      <x:c r="K154" s="60" t="n">
        <x:v>0</x:v>
      </x:c>
      <x:c r="L154" s="60" t="n">
        <x:v>18.4382249822</x:v>
      </x:c>
      <x:c r="M154" s="60" t="n">
        <x:v>0</x:v>
      </x:c>
      <x:c r="N154" s="46" t="str">
        <x:v>octopus</x:v>
      </x:c>
      <x:c r="O154" s="62" t="n">
        <x:v>3.8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Octopus</x:v>
      </x:c>
      <x:c r="T154" s="62" t="n">
        <x:f>IF(O154="","",(1/'Metadata'!$B$5)^(O154-1))</x:f>
        <x:v>4394.242173224468</x:v>
      </x:c>
      <x:c r="U154" s="60" t="n">
        <x:f>IF(T154="","",I154*T154)</x:f>
        <x:v>81022.02581618422</x:v>
      </x:c>
    </x:row>
    <x:row r="155" ht="18" customHeight="1">
      <x:c r="A155" s="46" t="str">
        <x:v>LME_022</x:v>
      </x:c>
      <x:c r="B155" s="46" t="str">
        <x:v>North Sea</x:v>
      </x:c>
      <x:c r="C155" s="46" t="str">
        <x:v>LME</x:v>
      </x:c>
      <x:c r="D155" s="58" t="n">
        <x:v>2019</x:v>
      </x:c>
      <x:c r="E155" s="46" t="str">
        <x:v>Sepiidae</x:v>
      </x:c>
      <x:c r="F155" s="46" t="str">
        <x:v>Cuttlefishes</x:v>
      </x:c>
      <x:c r="G155" s="46" t="str">
        <x:v>Cephalopods</x:v>
      </x:c>
      <x:c r="H155" s="46" t="str">
        <x:v>Other fishes &amp; inverts</x:v>
      </x:c>
      <x:c r="I155" s="60" t="n">
        <x:v>18.1132524359</x:v>
      </x:c>
      <x:c r="J155" s="60" t="n">
        <x:v>18.1132524359</x:v>
      </x:c>
      <x:c r="K155" s="60" t="n">
        <x:v>0</x:v>
      </x:c>
      <x:c r="L155" s="60" t="n">
        <x:v>6.2773566025</x:v>
      </x:c>
      <x:c r="M155" s="60" t="n">
        <x:v>11.8358958334</x:v>
      </x:c>
      <x:c r="N155" s="46" t="str">
        <x:v>sepiidae</x:v>
      </x:c>
      <x:c r="O155" s="62" t="n">
        <x:v>3.6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Sepiidae</x:v>
      </x:c>
      <x:c r="T155" s="62" t="n">
        <x:f>IF(O155="","",(1/'Metadata'!$B$5)^(O155-1))</x:f>
        <x:v>2413.670534618066</x:v>
      </x:c>
      <x:c r="U155" s="60" t="n">
        <x:f>IF(T155="","",I155*T155)</x:f>
        <x:v>43719.42369063074</x:v>
      </x:c>
    </x:row>
    <x:row r="156" ht="18" customHeight="1">
      <x:c r="A156" s="46" t="str">
        <x:v>LME_022</x:v>
      </x:c>
      <x:c r="B156" s="46" t="str">
        <x:v>North Sea</x:v>
      </x:c>
      <x:c r="C156" s="46" t="str">
        <x:v>LME</x:v>
      </x:c>
      <x:c r="D156" s="58" t="n">
        <x:v>2019</x:v>
      </x:c>
      <x:c r="E156" s="46" t="str">
        <x:v>Solea</x:v>
      </x:c>
      <x:c r="F156" s="46" t="str">
        <x:v>Soles</x:v>
      </x:c>
      <x:c r="G156" s="46" t="str">
        <x:v>Small to medium flatfishes (&lt;90 cm)</x:v>
      </x:c>
      <x:c r="H156" s="46" t="str">
        <x:v>Flatfishes</x:v>
      </x:c>
      <x:c r="I156" s="60" t="n">
        <x:v>18.1010948116</x:v>
      </x:c>
      <x:c r="J156" s="60" t="n">
        <x:v>18.1010948116</x:v>
      </x:c>
      <x:c r="K156" s="60" t="n">
        <x:v>0</x:v>
      </x:c>
      <x:c r="L156" s="60" t="n">
        <x:v>18.0954432564</x:v>
      </x:c>
      <x:c r="M156" s="60" t="n">
        <x:v>0.0056515552</x:v>
      </x:c>
      <x:c r="N156" s="46" t="str">
        <x:v>solea</x:v>
      </x:c>
      <x:c r="O156" s="62" t="n">
        <x:v>3.13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Solea</x:v>
      </x:c>
      <x:c r="T156" s="62" t="n">
        <x:f>IF(O156="","",(1/'Metadata'!$B$5)^(O156-1))</x:f>
        <x:v>590.4646342618306</x:v>
      </x:c>
      <x:c r="U156" s="60" t="n">
        <x:f>IF(T156="","",I156*T156)</x:f>
        <x:v>10688.056327670114</x:v>
      </x:c>
    </x:row>
    <x:row r="157" ht="18" customHeight="1">
      <x:c r="A157" s="46" t="str">
        <x:v>LME_022</x:v>
      </x:c>
      <x:c r="B157" s="46" t="str">
        <x:v>North Sea</x:v>
      </x:c>
      <x:c r="C157" s="46" t="str">
        <x:v>LME</x:v>
      </x:c>
      <x:c r="D157" s="58" t="n">
        <x:v>2019</x:v>
      </x:c>
      <x:c r="E157" s="46" t="str">
        <x:v>Sarda sarda</x:v>
      </x:c>
      <x:c r="F157" s="46" t="str">
        <x:v>Atlantic bonito</x:v>
      </x:c>
      <x:c r="G157" s="46" t="str">
        <x:v>Medium pelagics (30 - 89 cm)</x:v>
      </x:c>
      <x:c r="H157" s="46" t="str">
        <x:v>Tuna &amp; billfishes</x:v>
      </x:c>
      <x:c r="I157" s="60" t="n">
        <x:v>16.3574866344</x:v>
      </x:c>
      <x:c r="J157" s="60" t="n">
        <x:v>16.3574866344</x:v>
      </x:c>
      <x:c r="K157" s="60" t="n">
        <x:v>0</x:v>
      </x:c>
      <x:c r="L157" s="60" t="n">
        <x:v>16.3574686062</x:v>
      </x:c>
      <x:c r="M157" s="60" t="n">
        <x:v>0.000018028199999999998</x:v>
      </x:c>
      <x:c r="N157" s="46" t="str">
        <x:v>sarda sarda</x:v>
      </x:c>
      <x:c r="O157" s="62" t="n">
        <x:v>4.5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Sarda sarda</x:v>
      </x:c>
      <x:c r="T157" s="62" t="n">
        <x:f>IF(O157="","",(1/'Metadata'!$B$5)^(O157-1))</x:f>
        <x:v>35777.08763999664</x:v>
      </x:c>
      <x:c r="U157" s="60" t="n">
        <x:f>IF(T157="","",I157*T157)</x:f>
        <x:v>585223.2328890024</x:v>
      </x:c>
    </x:row>
    <x:row r="158" ht="18" customHeight="1">
      <x:c r="A158" s="46" t="str">
        <x:v>LME_022</x:v>
      </x:c>
      <x:c r="B158" s="46" t="str">
        <x:v>North Sea</x:v>
      </x:c>
      <x:c r="C158" s="46" t="str">
        <x:v>LME</x:v>
      </x:c>
      <x:c r="D158" s="58" t="n">
        <x:v>2019</x:v>
      </x:c>
      <x:c r="E158" s="46" t="str">
        <x:v>Chelon labrosus</x:v>
      </x:c>
      <x:c r="F158" s="46" t="str">
        <x:v>Thicklip grey mullet</x:v>
      </x:c>
      <x:c r="G158" s="46" t="str">
        <x:v>Medium demersals (30 - 89 cm)</x:v>
      </x:c>
      <x:c r="H158" s="46" t="str">
        <x:v>Perch-likes</x:v>
      </x:c>
      <x:c r="I158" s="60" t="n">
        <x:v>15.8318255871</x:v>
      </x:c>
      <x:c r="J158" s="60" t="n">
        <x:v>15.831019469600001</x:v>
      </x:c>
      <x:c r="K158" s="60" t="n">
        <x:v>0.0008061174999999999</x:v>
      </x:c>
      <x:c r="L158" s="60" t="n">
        <x:v>15.824415999800001</x:v>
      </x:c>
      <x:c r="M158" s="60" t="n">
        <x:v>0.007409587299999999</x:v>
      </x:c>
      <x:c r="N158" s="46" t="str">
        <x:v>chelon labrosus</x:v>
      </x:c>
      <x:c r="O158" s="62" t="n">
        <x:v>2.59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Chelon labrosus</x:v>
      </x:c>
      <x:c r="T158" s="62" t="n">
        <x:f>IF(O158="","",(1/'Metadata'!$B$5)^(O158-1))</x:f>
        <x:v>117.12178781974153</x:v>
      </x:c>
      <x:c r="U158" s="60" t="n">
        <x:f>IF(T158="","",I158*T158)</x:f>
        <x:v>1854.251717211481</x:v>
      </x:c>
    </x:row>
    <x:row r="159" ht="18" customHeight="1">
      <x:c r="A159" s="46" t="str">
        <x:v>LME_022</x:v>
      </x:c>
      <x:c r="B159" s="46" t="str">
        <x:v>North Sea</x:v>
      </x:c>
      <x:c r="C159" s="46" t="str">
        <x:v>LME</x:v>
      </x:c>
      <x:c r="D159" s="58" t="n">
        <x:v>2019</x:v>
      </x:c>
      <x:c r="E159" s="46" t="str">
        <x:v>Dipturus batis</x:v>
      </x:c>
      <x:c r="F159" s="46" t="str">
        <x:v>Blue skate</x:v>
      </x:c>
      <x:c r="G159" s="46" t="str">
        <x:v>Large rays (&gt;=90 cm)</x:v>
      </x:c>
      <x:c r="H159" s="46" t="str">
        <x:v>Sharks &amp; rays</x:v>
      </x:c>
      <x:c r="I159" s="60" t="n">
        <x:v>14.2576030032</x:v>
      </x:c>
      <x:c r="J159" s="60" t="n">
        <x:v>14.2576030032</x:v>
      </x:c>
      <x:c r="K159" s="60" t="n">
        <x:v>0</x:v>
      </x:c>
      <x:c r="L159" s="60" t="n">
        <x:v>14.2576030032</x:v>
      </x:c>
      <x:c r="M159" s="60" t="n">
        <x:v>0</x:v>
      </x:c>
      <x:c r="N159" s="46" t="str">
        <x:v>dipturus batis</x:v>
      </x:c>
      <x:c r="O159" s="62" t="n">
        <x:v>3.52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Dipturus batis</x:v>
      </x:c>
      <x:c r="T159" s="62" t="n">
        <x:f>IF(O159="","",(1/'Metadata'!$B$5)^(O159-1))</x:f>
        <x:v>1899.308837725312</x:v>
      </x:c>
      <x:c r="U159" s="60" t="n">
        <x:f>IF(T159="","",I159*T159)</x:f>
        <x:v>27079.59138875671</x:v>
      </x:c>
    </x:row>
    <x:row r="160" ht="18" customHeight="1">
      <x:c r="A160" s="46" t="str">
        <x:v>LME_022</x:v>
      </x:c>
      <x:c r="B160" s="46" t="str">
        <x:v>North Sea</x:v>
      </x:c>
      <x:c r="C160" s="46" t="str">
        <x:v>LME</x:v>
      </x:c>
      <x:c r="D160" s="58" t="n">
        <x:v>2019</x:v>
      </x:c>
      <x:c r="E160" s="46" t="str">
        <x:v>Mullidae</x:v>
      </x:c>
      <x:c r="F160" s="46" t="str">
        <x:v>Goatfishes</x:v>
      </x:c>
      <x:c r="G160" s="46" t="str">
        <x:v>Medium reef assoc. fish (30 - 89 cm)</x:v>
      </x:c>
      <x:c r="H160" s="46" t="str">
        <x:v>Perch-likes</x:v>
      </x:c>
      <x:c r="I160" s="60" t="n">
        <x:v>14.1917124759</x:v>
      </x:c>
      <x:c r="J160" s="60" t="n">
        <x:v>0</x:v>
      </x:c>
      <x:c r="K160" s="60" t="n">
        <x:v>14.1917124759</x:v>
      </x:c>
      <x:c r="L160" s="60" t="n">
        <x:v>0</x:v>
      </x:c>
      <x:c r="M160" s="60" t="n">
        <x:v>14.1917124759</x:v>
      </x:c>
      <x:c r="N160" s="46" t="str">
        <x:v>mullidae</x:v>
      </x:c>
      <x:c r="O160" s="62" t="n">
        <x:v>3.46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Mullidae</x:v>
      </x:c>
      <x:c r="T160" s="62" t="n">
        <x:f>IF(O160="","",(1/'Metadata'!$B$5)^(O160-1))</x:f>
        <x:v>1586.8423749532276</x:v>
      </x:c>
      <x:c r="U160" s="60" t="n">
        <x:f>IF(T160="","",I160*T160)</x:f>
        <x:v>22520.010729910504</x:v>
      </x:c>
    </x:row>
    <x:row r="161" ht="18" customHeight="1">
      <x:c r="A161" s="46" t="str">
        <x:v>LME_022</x:v>
      </x:c>
      <x:c r="B161" s="46" t="str">
        <x:v>North Sea</x:v>
      </x:c>
      <x:c r="C161" s="46" t="str">
        <x:v>LME</x:v>
      </x:c>
      <x:c r="D161" s="58" t="n">
        <x:v>2019</x:v>
      </x:c>
      <x:c r="E161" s="46" t="str">
        <x:v>Labridae</x:v>
      </x:c>
      <x:c r="F161" s="46" t="str">
        <x:v>Wrasses, gropers, tuskfishes</x:v>
      </x:c>
      <x:c r="G161" s="46" t="str">
        <x:v>Medium reef assoc. fish (30 - 89 cm)</x:v>
      </x:c>
      <x:c r="H161" s="46" t="str">
        <x:v>Perch-likes</x:v>
      </x:c>
      <x:c r="I161" s="60" t="n">
        <x:v>13.4598953962</x:v>
      </x:c>
      <x:c r="J161" s="60" t="n">
        <x:v>13.4598953962</x:v>
      </x:c>
      <x:c r="K161" s="60" t="n">
        <x:v>0</x:v>
      </x:c>
      <x:c r="L161" s="60" t="n">
        <x:v>1.5564493094</x:v>
      </x:c>
      <x:c r="M161" s="60" t="n">
        <x:v>11.9034460868</x:v>
      </x:c>
      <x:c r="N161" s="46" t="str">
        <x:v>labridae</x:v>
      </x:c>
      <x:c r="O161" s="62" t="n">
        <x:v>3.46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Labridae</x:v>
      </x:c>
      <x:c r="T161" s="62" t="n">
        <x:f>IF(O161="","",(1/'Metadata'!$B$5)^(O161-1))</x:f>
        <x:v>1586.8423749532276</x:v>
      </x:c>
      <x:c r="U161" s="60" t="n">
        <x:f>IF(T161="","",I161*T161)</x:f>
        <x:v>21358.732377128024</x:v>
      </x:c>
    </x:row>
    <x:row r="162" ht="18" customHeight="1">
      <x:c r="A162" s="46" t="str">
        <x:v>LME_022</x:v>
      </x:c>
      <x:c r="B162" s="46" t="str">
        <x:v>North Sea</x:v>
      </x:c>
      <x:c r="C162" s="46" t="str">
        <x:v>LME</x:v>
      </x:c>
      <x:c r="D162" s="58" t="n">
        <x:v>2019</x:v>
      </x:c>
      <x:c r="E162" s="46" t="str">
        <x:v>Helicolenus dactylopterus</x:v>
      </x:c>
      <x:c r="F162" s="46" t="str">
        <x:v>Blackbelly rosefish</x:v>
      </x:c>
      <x:c r="G162" s="46" t="str">
        <x:v>Medium bathydemersals (30 - 89 cm)</x:v>
      </x:c>
      <x:c r="H162" s="46" t="str">
        <x:v>Scorpionfishes</x:v>
      </x:c>
      <x:c r="I162" s="60" t="n">
        <x:v>12.7693602034</x:v>
      </x:c>
      <x:c r="J162" s="60" t="n">
        <x:v>12.7693602034</x:v>
      </x:c>
      <x:c r="K162" s="60" t="n">
        <x:v>0</x:v>
      </x:c>
      <x:c r="L162" s="60" t="n">
        <x:v>12.7693602034</x:v>
      </x:c>
      <x:c r="M162" s="60" t="n">
        <x:v>0</x:v>
      </x:c>
      <x:c r="N162" s="46" t="str">
        <x:v>helicolenus dactylopterus</x:v>
      </x:c>
      <x:c r="O162" s="62" t="n">
        <x:v>3.54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Helicolenus dactylopterus</x:v>
      </x:c>
      <x:c r="T162" s="62" t="n">
        <x:f>IF(O162="","",(1/'Metadata'!$B$5)^(O162-1))</x:f>
        <x:v>2016.5834052007342</x:v>
      </x:c>
      <x:c r="U162" s="60" t="n">
        <x:f>IF(T162="","",I162*T162)</x:f>
        <x:v>25750.479881207113</x:v>
      </x:c>
    </x:row>
    <x:row r="163" ht="18" customHeight="1">
      <x:c r="A163" s="46" t="str">
        <x:v>LME_022</x:v>
      </x:c>
      <x:c r="B163" s="46" t="str">
        <x:v>North Sea</x:v>
      </x:c>
      <x:c r="C163" s="46" t="str">
        <x:v>LME</x:v>
      </x:c>
      <x:c r="D163" s="58" t="n">
        <x:v>2019</x:v>
      </x:c>
      <x:c r="E163" s="46" t="str">
        <x:v>Rajidae</x:v>
      </x:c>
      <x:c r="F163" s="46" t="str">
        <x:v>Stingrays</x:v>
      </x:c>
      <x:c r="G163" s="46" t="str">
        <x:v>Large rays (&gt;=90 cm)</x:v>
      </x:c>
      <x:c r="H163" s="46" t="str">
        <x:v>Sharks &amp; rays</x:v>
      </x:c>
      <x:c r="I163" s="60" t="n">
        <x:v>12.6507301746</x:v>
      </x:c>
      <x:c r="J163" s="60" t="n">
        <x:v>12.644732680099999</x:v>
      </x:c>
      <x:c r="K163" s="60" t="n">
        <x:v>0.0059974945</x:v>
      </x:c>
      <x:c r="L163" s="60" t="n">
        <x:v>12.6316417408</x:v>
      </x:c>
      <x:c r="M163" s="60" t="n">
        <x:v>0.0190884338</x:v>
      </x:c>
      <x:c r="N163" s="46" t="str">
        <x:v>rajidae</x:v>
      </x:c>
      <x:c r="O163" s="62" t="n">
        <x:v>3.82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Rajidae</x:v>
      </x:c>
      <x:c r="T163" s="62" t="n">
        <x:f>IF(O163="","",(1/'Metadata'!$B$5)^(O163-1))</x:f>
        <x:v>4665.56868948727</x:v>
      </x:c>
      <x:c r="U163" s="60" t="n">
        <x:f>IF(T163="","",I163*T163)</x:f>
        <x:v>59022.85060176558</x:v>
      </x:c>
    </x:row>
    <x:row r="164" ht="18" customHeight="1">
      <x:c r="A164" s="46" t="str">
        <x:v>LME_022</x:v>
      </x:c>
      <x:c r="B164" s="46" t="str">
        <x:v>North Sea</x:v>
      </x:c>
      <x:c r="C164" s="46" t="str">
        <x:v>LME</x:v>
      </x:c>
      <x:c r="D164" s="58" t="n">
        <x:v>2019</x:v>
      </x:c>
      <x:c r="E164" s="46" t="str">
        <x:v>Auxis thazard</x:v>
      </x:c>
      <x:c r="F164" s="46" t="str">
        <x:v>Frigate tuna</x:v>
      </x:c>
      <x:c r="G164" s="46" t="str">
        <x:v>Medium pelagics (30 - 89 cm)</x:v>
      </x:c>
      <x:c r="H164" s="46" t="str">
        <x:v>Tuna &amp; billfishes</x:v>
      </x:c>
      <x:c r="I164" s="60" t="n">
        <x:v>12.5837085898</x:v>
      </x:c>
      <x:c r="J164" s="60" t="n">
        <x:v>12.5837085898</x:v>
      </x:c>
      <x:c r="K164" s="60" t="n">
        <x:v>0</x:v>
      </x:c>
      <x:c r="L164" s="60" t="n">
        <x:v>12.5837085898</x:v>
      </x:c>
      <x:c r="M164" s="60" t="n">
        <x:v>0</x:v>
      </x:c>
      <x:c r="N164" s="46" t="str">
        <x:v>auxis thazard</x:v>
      </x:c>
      <x:c r="O164" s="62" t="n">
        <x:v>4.37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Auxis thazard</x:v>
      </x:c>
      <x:c r="T164" s="62" t="n">
        <x:f>IF(O164="","",(1/'Metadata'!$B$5)^(O164-1))</x:f>
        <x:v>24236.56596112542</x:v>
      </x:c>
      <x:c r="U164" s="60" t="n">
        <x:f>IF(T164="","",I164*T164)</x:f>
        <x:v>304985.8832722682</x:v>
      </x:c>
    </x:row>
    <x:row r="165" ht="18" customHeight="1">
      <x:c r="A165" s="46" t="str">
        <x:v>LME_022</x:v>
      </x:c>
      <x:c r="B165" s="46" t="str">
        <x:v>North Sea</x:v>
      </x:c>
      <x:c r="C165" s="46" t="str">
        <x:v>LME</x:v>
      </x:c>
      <x:c r="D165" s="58" t="n">
        <x:v>2019</x:v>
      </x:c>
      <x:c r="E165" s="46" t="str">
        <x:v>Perca fluviatilis</x:v>
      </x:c>
      <x:c r="F165" s="46" t="str">
        <x:v>European perch</x:v>
      </x:c>
      <x:c r="G165" s="46" t="str">
        <x:v>Medium demersals (30 - 89 cm)</x:v>
      </x:c>
      <x:c r="H165" s="46" t="str">
        <x:v>Perch-likes</x:v>
      </x:c>
      <x:c r="I165" s="60" t="n">
        <x:v>11.424093796400001</x:v>
      </x:c>
      <x:c r="J165" s="60" t="n">
        <x:v>11.3279139012</x:v>
      </x:c>
      <x:c r="K165" s="60" t="n">
        <x:v>0.0961798952</x:v>
      </x:c>
      <x:c r="L165" s="60" t="n">
        <x:v>11.1837161287</x:v>
      </x:c>
      <x:c r="M165" s="60" t="n">
        <x:v>0.2403776677</x:v>
      </x:c>
      <x:c r="N165" s="46" t="str">
        <x:v>perca fluviatilis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Perca fluviatilis</x:v>
      </x:c>
      <x:c r="T165" s="62" t="n">
        <x:f>IF(O165="","",(1/'Metadata'!$B$5)^(O165-1))</x:f>
        <x:v>22827.086550132422</x:v>
      </x:c>
      <x:c r="U165" s="60" t="n">
        <x:f>IF(T165="","",I165*T165)</x:f>
        <x:v>260778.77784725372</x:v>
      </x:c>
    </x:row>
    <x:row r="166" ht="18" customHeight="1">
      <x:c r="A166" s="46" t="str">
        <x:v>LME_022</x:v>
      </x:c>
      <x:c r="B166" s="46" t="str">
        <x:v>North Sea</x:v>
      </x:c>
      <x:c r="C166" s="46" t="str">
        <x:v>LME</x:v>
      </x:c>
      <x:c r="D166" s="58" t="n">
        <x:v>2019</x:v>
      </x:c>
      <x:c r="E166" s="46" t="str">
        <x:v>Spondyliosoma cantharus</x:v>
      </x:c>
      <x:c r="F166" s="46" t="str">
        <x:v>Black seabream</x:v>
      </x:c>
      <x:c r="G166" s="46" t="str">
        <x:v>Medium benthopelagics (30 - 89 cm)</x:v>
      </x:c>
      <x:c r="H166" s="46" t="str">
        <x:v>Perch-likes</x:v>
      </x:c>
      <x:c r="I166" s="60" t="n">
        <x:v>10.0768493663</x:v>
      </x:c>
      <x:c r="J166" s="60" t="n">
        <x:v>10.0768493663</x:v>
      </x:c>
      <x:c r="K166" s="60" t="n">
        <x:v>0</x:v>
      </x:c>
      <x:c r="L166" s="60" t="n">
        <x:v>10.0496941796</x:v>
      </x:c>
      <x:c r="M166" s="60" t="n">
        <x:v>0.0271551867</x:v>
      </x:c>
      <x:c r="N166" s="46" t="str">
        <x:v>spondyliosoma cantharus</x:v>
      </x:c>
      <x:c r="O166" s="62" t="n">
        <x:v>3.34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Spondyliosoma cantharus</x:v>
      </x:c>
      <x:c r="T166" s="62" t="n">
        <x:f>IF(O166="","",(1/'Metadata'!$B$5)^(O166-1))</x:f>
        <x:v>1107.6694806197092</x:v>
      </x:c>
      <x:c r="U166" s="60" t="n">
        <x:f>IF(T166="","",I166*T166)</x:f>
        <x:v>11161.818503852566</x:v>
      </x:c>
    </x:row>
    <x:row r="167" ht="18" customHeight="1">
      <x:c r="A167" s="46" t="str">
        <x:v>LME_022</x:v>
      </x:c>
      <x:c r="B167" s="46" t="str">
        <x:v>North Sea</x:v>
      </x:c>
      <x:c r="C167" s="46" t="str">
        <x:v>LME</x:v>
      </x:c>
      <x:c r="D167" s="58" t="n">
        <x:v>2019</x:v>
      </x:c>
      <x:c r="E167" s="46" t="str">
        <x:v>Ctenolabrus rupestris</x:v>
      </x:c>
      <x:c r="F167" s="46" t="str">
        <x:v>Goldsinny-wrasse</x:v>
      </x:c>
      <x:c r="G167" s="46" t="str">
        <x:v>Small reef assoc. fish (&lt;30 cm)</x:v>
      </x:c>
      <x:c r="H167" s="46" t="str">
        <x:v>Perch-likes</x:v>
      </x:c>
      <x:c r="I167" s="60" t="n">
        <x:v>9.7499373078</x:v>
      </x:c>
      <x:c r="J167" s="60" t="n">
        <x:v>9.6589380333</x:v>
      </x:c>
      <x:c r="K167" s="60" t="n">
        <x:v>0.0909992745</x:v>
      </x:c>
      <x:c r="L167" s="60" t="n">
        <x:v>9.2282458148</x:v>
      </x:c>
      <x:c r="M167" s="60" t="n">
        <x:v>0.5216914930000001</x:v>
      </x:c>
      <x:c r="N167" s="46" t="str">
        <x:v>ctenolabrus rupestris</x:v>
      </x:c>
      <x:c r="O167" s="62" t="n">
        <x:v>3.58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Ctenolabrus rupestris</x:v>
      </x:c>
      <x:c r="T167" s="62" t="n">
        <x:f>IF(O167="","",(1/'Metadata'!$B$5)^(O167-1))</x:f>
        <x:v>2273.3033337150473</x:v>
      </x:c>
      <x:c r="U167" s="60" t="n">
        <x:f>IF(T167="","",I167*T167)</x:f>
        <x:v>22164.56498533445</x:v>
      </x:c>
    </x:row>
    <x:row r="168" ht="18" customHeight="1">
      <x:c r="A168" s="46" t="str">
        <x:v>LME_022</x:v>
      </x:c>
      <x:c r="B168" s="46" t="str">
        <x:v>North Sea</x:v>
      </x:c>
      <x:c r="C168" s="46" t="str">
        <x:v>LME</x:v>
      </x:c>
      <x:c r="D168" s="58" t="n">
        <x:v>2019</x:v>
      </x:c>
      <x:c r="E168" s="46" t="str">
        <x:v>Mercenaria mercenaria</x:v>
      </x:c>
      <x:c r="F168" s="46" t="str">
        <x:v>Northern quahog</x:v>
      </x:c>
      <x:c r="G168" s="46" t="str">
        <x:v>Other demersal invertebrates</x:v>
      </x:c>
      <x:c r="H168" s="46" t="str">
        <x:v>Molluscs</x:v>
      </x:c>
      <x:c r="I168" s="60" t="n">
        <x:v>9.1940712862</x:v>
      </x:c>
      <x:c r="J168" s="60" t="n">
        <x:v>9.1940712862</x:v>
      </x:c>
      <x:c r="K168" s="60" t="n">
        <x:v>0</x:v>
      </x:c>
      <x:c r="L168" s="60" t="n">
        <x:v>9.1940712862</x:v>
      </x:c>
      <x:c r="M168" s="60" t="n">
        <x:v>0</x:v>
      </x:c>
      <x:c r="N168" s="46" t="str">
        <x:v>mercenaria mercenaria</x:v>
      </x:c>
      <x:c r="O168" s="62" t="n">
        <x:v>2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Mercenaria mercenaria</x:v>
      </x:c>
      <x:c r="T168" s="62" t="n">
        <x:f>IF(O168="","",(1/'Metadata'!$B$5)^(O168-1))</x:f>
        <x:v>20</x:v>
      </x:c>
      <x:c r="U168" s="60" t="n">
        <x:f>IF(T168="","",I168*T168)</x:f>
        <x:v>183.881425724</x:v>
      </x:c>
    </x:row>
    <x:row r="169" ht="18" customHeight="1">
      <x:c r="A169" s="46" t="str">
        <x:v>LME_022</x:v>
      </x:c>
      <x:c r="B169" s="46" t="str">
        <x:v>North Sea</x:v>
      </x:c>
      <x:c r="C169" s="46" t="str">
        <x:v>LME</x:v>
      </x:c>
      <x:c r="D169" s="58" t="n">
        <x:v>2019</x:v>
      </x:c>
      <x:c r="E169" s="46" t="str">
        <x:v>Boops boops</x:v>
      </x:c>
      <x:c r="F169" s="46" t="str">
        <x:v>Bogue</x:v>
      </x:c>
      <x:c r="G169" s="46" t="str">
        <x:v>Medium demersals (30 - 89 cm)</x:v>
      </x:c>
      <x:c r="H169" s="46" t="str">
        <x:v>Perch-likes</x:v>
      </x:c>
      <x:c r="I169" s="60" t="n">
        <x:v>8.896500502</x:v>
      </x:c>
      <x:c r="J169" s="60" t="n">
        <x:v>8.896500502</x:v>
      </x:c>
      <x:c r="K169" s="60" t="n">
        <x:v>0</x:v>
      </x:c>
      <x:c r="L169" s="60" t="n">
        <x:v>8.896500502</x:v>
      </x:c>
      <x:c r="M169" s="60" t="n">
        <x:v>0</x:v>
      </x:c>
      <x:c r="N169" s="46" t="str">
        <x:v>boops boops</x:v>
      </x:c>
      <x:c r="O169" s="62" t="n">
        <x:v>2.79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Boops boops</x:v>
      </x:c>
      <x:c r="T169" s="62" t="n">
        <x:f>IF(O169="","",(1/'Metadata'!$B$5)^(O169-1))</x:f>
        <x:v>213.22773429903754</x:v>
      </x:c>
      <x:c r="U169" s="60" t="n">
        <x:f>IF(T169="","",I169*T169)</x:f>
        <x:v>1896.98064523171</x:v>
      </x:c>
    </x:row>
    <x:row r="170" ht="18" customHeight="1">
      <x:c r="A170" s="46" t="str">
        <x:v>LME_022</x:v>
      </x:c>
      <x:c r="B170" s="46" t="str">
        <x:v>North Sea</x:v>
      </x:c>
      <x:c r="C170" s="46" t="str">
        <x:v>LME</x:v>
      </x:c>
      <x:c r="D170" s="58" t="n">
        <x:v>2019</x:v>
      </x:c>
      <x:c r="E170" s="46" t="str">
        <x:v>Trachinus</x:v>
      </x:c>
      <x:c r="F170" s="46" t="str">
        <x:v>Weevers</x:v>
      </x:c>
      <x:c r="G170" s="46" t="str">
        <x:v>Medium demersals (30 - 89 cm)</x:v>
      </x:c>
      <x:c r="H170" s="46" t="str">
        <x:v>Perch-likes</x:v>
      </x:c>
      <x:c r="I170" s="60" t="n">
        <x:v>8.420008810899999</x:v>
      </x:c>
      <x:c r="J170" s="60" t="n">
        <x:v>8.420008810899999</x:v>
      </x:c>
      <x:c r="K170" s="60" t="n">
        <x:v>0</x:v>
      </x:c>
      <x:c r="L170" s="60" t="n">
        <x:v>8.420008810899999</x:v>
      </x:c>
      <x:c r="M170" s="60" t="n">
        <x:v>0</x:v>
      </x:c>
      <x:c r="N170" s="46" t="str">
        <x:v>trachinus</x:v>
      </x:c>
      <x:c r="O170" s="62" t="n">
        <x:v>3.95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Trachinus</x:v>
      </x:c>
      <x:c r="T170" s="62" t="n">
        <x:f>IF(O170="","",(1/'Metadata'!$B$5)^(O170-1))</x:f>
        <x:v>6887.133274653882</x:v>
      </x:c>
      <x:c r="U170" s="60" t="n">
        <x:f>IF(T170="","",I170*T170)</x:f>
        <x:v>57989.72285442825</x:v>
      </x:c>
    </x:row>
    <x:row r="171" ht="18" customHeight="1">
      <x:c r="A171" s="46" t="str">
        <x:v>LME_022</x:v>
      </x:c>
      <x:c r="B171" s="46" t="str">
        <x:v>North Sea</x:v>
      </x:c>
      <x:c r="C171" s="46" t="str">
        <x:v>LME</x:v>
      </x:c>
      <x:c r="D171" s="58" t="n">
        <x:v>2019</x:v>
      </x:c>
      <x:c r="E171" s="46" t="str">
        <x:v>Chimaera monstrosa</x:v>
      </x:c>
      <x:c r="F171" s="46" t="str">
        <x:v>Rabbit fish</x:v>
      </x:c>
      <x:c r="G171" s="46" t="str">
        <x:v>Large rays (&gt;=90 cm)</x:v>
      </x:c>
      <x:c r="H171" s="46" t="str">
        <x:v>Sharks &amp; rays</x:v>
      </x:c>
      <x:c r="I171" s="60" t="n">
        <x:v>8.129116592099999</x:v>
      </x:c>
      <x:c r="J171" s="60" t="n">
        <x:v>8.1287123654</x:v>
      </x:c>
      <x:c r="K171" s="60" t="n">
        <x:v>0.0004042267</x:v>
      </x:c>
      <x:c r="L171" s="60" t="n">
        <x:v>8.1272251098</x:v>
      </x:c>
      <x:c r="M171" s="60" t="n">
        <x:v>0.0018914823</x:v>
      </x:c>
      <x:c r="N171" s="46" t="str">
        <x:v>chimaera monstrosa</x:v>
      </x:c>
      <x:c r="O171" s="62" t="n">
        <x:v>3.52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Chimaera monstrosa</x:v>
      </x:c>
      <x:c r="T171" s="62" t="n">
        <x:f>IF(O171="","",(1/'Metadata'!$B$5)^(O171-1))</x:f>
        <x:v>1899.308837725312</x:v>
      </x:c>
      <x:c r="U171" s="60" t="n">
        <x:f>IF(T171="","",I171*T171)</x:f>
        <x:v>15439.702986274999</x:v>
      </x:c>
    </x:row>
    <x:row r="172" ht="18" customHeight="1">
      <x:c r="A172" s="46" t="str">
        <x:v>LME_022</x:v>
      </x:c>
      <x:c r="B172" s="46" t="str">
        <x:v>North Sea</x:v>
      </x:c>
      <x:c r="C172" s="46" t="str">
        <x:v>LME</x:v>
      </x:c>
      <x:c r="D172" s="58" t="n">
        <x:v>2019</x:v>
      </x:c>
      <x:c r="E172" s="46" t="str">
        <x:v>Todarodes sagittatus</x:v>
      </x:c>
      <x:c r="F172" s="46" t="str">
        <x:v>European flying squid</x:v>
      </x:c>
      <x:c r="G172" s="46" t="str">
        <x:v>Cephalopods</x:v>
      </x:c>
      <x:c r="H172" s="46" t="str">
        <x:v>Other fishes &amp; inverts</x:v>
      </x:c>
      <x:c r="I172" s="60" t="n">
        <x:v>7.9928764566999995</x:v>
      </x:c>
      <x:c r="J172" s="60" t="n">
        <x:v>7.9928764566999995</x:v>
      </x:c>
      <x:c r="K172" s="60" t="n">
        <x:v>0</x:v>
      </x:c>
      <x:c r="L172" s="60" t="n">
        <x:v>7.9928764566999995</x:v>
      </x:c>
      <x:c r="M172" s="60" t="n">
        <x:v>0</x:v>
      </x:c>
      <x:c r="N172" s="46" t="str">
        <x:v>todarodes sagittatus</x:v>
      </x:c>
      <x:c r="O172" s="62" t="n">
        <x:v>4.01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Todarodes sagittatus</x:v>
      </x:c>
      <x:c r="T172" s="62" t="n">
        <x:f>IF(O172="","",(1/'Metadata'!$B$5)^(O172-1))</x:f>
        <x:v>8243.284463290014</x:v>
      </x:c>
      <x:c r="U172" s="60" t="n">
        <x:f>IF(T172="","",I172*T172)</x:f>
        <x:v>65887.55431251164</x:v>
      </x:c>
    </x:row>
    <x:row r="173" ht="18" customHeight="1">
      <x:c r="A173" s="46" t="str">
        <x:v>LME_022</x:v>
      </x:c>
      <x:c r="B173" s="46" t="str">
        <x:v>North Sea</x:v>
      </x:c>
      <x:c r="C173" s="46" t="str">
        <x:v>LME</x:v>
      </x:c>
      <x:c r="D173" s="58" t="n">
        <x:v>2019</x:v>
      </x:c>
      <x:c r="E173" s="46" t="str">
        <x:v>Spisula</x:v>
      </x:c>
      <x:c r="F173" s="46" t="str">
        <x:v>Surf clams</x:v>
      </x:c>
      <x:c r="G173" s="46" t="str">
        <x:v>Other demersal invertebrates</x:v>
      </x:c>
      <x:c r="H173" s="46" t="str">
        <x:v>Molluscs</x:v>
      </x:c>
      <x:c r="I173" s="60" t="n">
        <x:v>7.681488176699999</x:v>
      </x:c>
      <x:c r="J173" s="60" t="n">
        <x:v>7.63574749</x:v>
      </x:c>
      <x:c r="K173" s="60" t="n">
        <x:v>0.0457406867</x:v>
      </x:c>
      <x:c r="L173" s="60" t="n">
        <x:v>7.518427801</x:v>
      </x:c>
      <x:c r="M173" s="60" t="n">
        <x:v>0.1630603757</x:v>
      </x:c>
      <x:c r="N173" s="46" t="str">
        <x:v>spisula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Spisula</x:v>
      </x:c>
      <x:c r="T173" s="62" t="n">
        <x:f>IF(O173="","",(1/'Metadata'!$B$5)^(O173-1))</x:f>
        <x:v>20</x:v>
      </x:c>
      <x:c r="U173" s="60" t="n">
        <x:f>IF(T173="","",I173*T173)</x:f>
        <x:v>153.62976353399998</x:v>
      </x:c>
    </x:row>
    <x:row r="174" ht="18" customHeight="1">
      <x:c r="A174" s="46" t="str">
        <x:v>LME_022</x:v>
      </x:c>
      <x:c r="B174" s="46" t="str">
        <x:v>North Sea</x:v>
      </x:c>
      <x:c r="C174" s="46" t="str">
        <x:v>LME</x:v>
      </x:c>
      <x:c r="D174" s="58" t="n">
        <x:v>2019</x:v>
      </x:c>
      <x:c r="E174" s="46" t="str">
        <x:v>Symphodus melops</x:v>
      </x:c>
      <x:c r="F174" s="46" t="str">
        <x:v>Corkwing wrasse</x:v>
      </x:c>
      <x:c r="G174" s="46" t="str">
        <x:v>Small reef assoc. fish (&lt;30 cm)</x:v>
      </x:c>
      <x:c r="H174" s="46" t="str">
        <x:v>Perch-likes</x:v>
      </x:c>
      <x:c r="I174" s="60" t="n">
        <x:v>7.2226385394</x:v>
      </x:c>
      <x:c r="J174" s="60" t="n">
        <x:v>6.9888700369</x:v>
      </x:c>
      <x:c r="K174" s="60" t="n">
        <x:v>0.2337685025</x:v>
      </x:c>
      <x:c r="L174" s="60" t="n">
        <x:v>5.9913491602</x:v>
      </x:c>
      <x:c r="M174" s="60" t="n">
        <x:v>1.2312893792</x:v>
      </x:c>
      <x:c r="N174" s="46" t="str">
        <x:v>symphodus melops</x:v>
      </x:c>
      <x:c r="O174" s="62" t="n">
        <x:v>3.38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Symphodus melops</x:v>
      </x:c>
      <x:c r="T174" s="62" t="n">
        <x:f>IF(O174="","",(1/'Metadata'!$B$5)^(O174-1))</x:f>
        <x:v>1248.6806726928048</x:v>
      </x:c>
      <x:c r="U174" s="60" t="n">
        <x:f>IF(T174="","",I174*T174)</x:f>
        <x:v>9018.769149994969</x:v>
      </x:c>
    </x:row>
    <x:row r="175" ht="18" customHeight="1">
      <x:c r="A175" s="46" t="str">
        <x:v>LME_022</x:v>
      </x:c>
      <x:c r="B175" s="46" t="str">
        <x:v>North Sea</x:v>
      </x:c>
      <x:c r="C175" s="46" t="str">
        <x:v>LME</x:v>
      </x:c>
      <x:c r="D175" s="58" t="n">
        <x:v>2019</x:v>
      </x:c>
      <x:c r="E175" s="46" t="str">
        <x:v>Etmopterus spinax</x:v>
      </x:c>
      <x:c r="F175" s="46" t="str">
        <x:v>Velvet belly</x:v>
      </x:c>
      <x:c r="G175" s="46" t="str">
        <x:v>Small to medium sharks (&lt;90 cm)</x:v>
      </x:c>
      <x:c r="H175" s="46" t="str">
        <x:v>Sharks &amp; rays</x:v>
      </x:c>
      <x:c r="I175" s="60" t="n">
        <x:v>6.779473761099999</x:v>
      </x:c>
      <x:c r="J175" s="60" t="n">
        <x:v>6.779473761099999</x:v>
      </x:c>
      <x:c r="K175" s="60" t="n">
        <x:v>0</x:v>
      </x:c>
      <x:c r="L175" s="60" t="n">
        <x:v>6.779473761099999</x:v>
      </x:c>
      <x:c r="M175" s="60" t="n">
        <x:v>0</x:v>
      </x:c>
      <x:c r="N175" s="46" t="str">
        <x:v>etmopterus spinax</x:v>
      </x:c>
      <x:c r="O175" s="62" t="n">
        <x:v>4.14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Etmopterus spinax</x:v>
      </x:c>
      <x:c r="T175" s="62" t="n">
        <x:f>IF(O175="","",(1/'Metadata'!$B$5)^(O175-1))</x:f>
        <x:v>12168.419864331923</x:v>
      </x:c>
      <x:c r="U175" s="60" t="n">
        <x:f>IF(T175="","",I175*T175)</x:f>
        <x:v>82495.48318428629</x:v>
      </x:c>
    </x:row>
    <x:row r="176" ht="18" customHeight="1">
      <x:c r="A176" s="46" t="str">
        <x:v>LME_022</x:v>
      </x:c>
      <x:c r="B176" s="46" t="str">
        <x:v>North Sea</x:v>
      </x:c>
      <x:c r="C176" s="46" t="str">
        <x:v>LME</x:v>
      </x:c>
      <x:c r="D176" s="58" t="n">
        <x:v>2019</x:v>
      </x:c>
      <x:c r="E176" s="46" t="str">
        <x:v>Mullus</x:v>
      </x:c>
      <x:c r="F176" s="46" t="str">
        <x:v>Atlantic goatfishes</x:v>
      </x:c>
      <x:c r="G176" s="46" t="str">
        <x:v>Medium demersals (30 - 89 cm)</x:v>
      </x:c>
      <x:c r="H176" s="46" t="str">
        <x:v>Perch-likes</x:v>
      </x:c>
      <x:c r="I176" s="60" t="n">
        <x:v>5.9923354031</x:v>
      </x:c>
      <x:c r="J176" s="60" t="n">
        <x:v>5.9923354031</x:v>
      </x:c>
      <x:c r="K176" s="60" t="n">
        <x:v>0</x:v>
      </x:c>
      <x:c r="L176" s="60" t="n">
        <x:v>5.9923354031</x:v>
      </x:c>
      <x:c r="M176" s="60" t="n">
        <x:v>0</x:v>
      </x:c>
      <x:c r="N176" s="46" t="str">
        <x:v>mullus</x:v>
      </x:c>
      <x:c r="O176" s="62" t="n">
        <x:v>3.29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Mullus</x:v>
      </x:c>
      <x:c r="T176" s="62" t="n">
        <x:f>IF(O176="","",(1/'Metadata'!$B$5)^(O176-1))</x:f>
        <x:v>953.5834171618228</x:v>
      </x:c>
      <x:c r="U176" s="60" t="n">
        <x:f>IF(T176="","",I176*T176)</x:f>
        <x:v>5714.191670467867</x:v>
      </x:c>
    </x:row>
    <x:row r="177" ht="18" customHeight="1">
      <x:c r="A177" s="46" t="str">
        <x:v>LME_022</x:v>
      </x:c>
      <x:c r="B177" s="46" t="str">
        <x:v>North Sea</x:v>
      </x:c>
      <x:c r="C177" s="46" t="str">
        <x:v>LME</x:v>
      </x:c>
      <x:c r="D177" s="58" t="n">
        <x:v>2019</x:v>
      </x:c>
      <x:c r="E177" s="46" t="str">
        <x:v>Mora moro</x:v>
      </x:c>
      <x:c r="F177" s="46" t="str">
        <x:v>Common mora</x:v>
      </x:c>
      <x:c r="G177" s="46" t="str">
        <x:v>Medium bathypelagics (30 - 89 cm)</x:v>
      </x:c>
      <x:c r="H177" s="46" t="str">
        <x:v>Cod-likes</x:v>
      </x:c>
      <x:c r="I177" s="60" t="n">
        <x:v>5.6218914281</x:v>
      </x:c>
      <x:c r="J177" s="60" t="n">
        <x:v>5.6218914281</x:v>
      </x:c>
      <x:c r="K177" s="60" t="n">
        <x:v>0</x:v>
      </x:c>
      <x:c r="L177" s="60" t="n">
        <x:v>5.6218914281</x:v>
      </x:c>
      <x:c r="M177" s="60" t="n">
        <x:v>0</x:v>
      </x:c>
      <x:c r="N177" s="46" t="str">
        <x:v>mora moro</x:v>
      </x:c>
      <x:c r="O177" s="62" t="n">
        <x:v>3.75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Mora moro</x:v>
      </x:c>
      <x:c r="T177" s="62" t="n">
        <x:f>IF(O177="","",(1/'Metadata'!$B$5)^(O177-1))</x:f>
        <x:v>3782.966436012703</x:v>
      </x:c>
      <x:c r="U177" s="60" t="n">
        <x:f>IF(T177="","",I177*T177)</x:f>
        <x:v>21267.42657940982</x:v>
      </x:c>
    </x:row>
    <x:row r="178" ht="18" customHeight="1">
      <x:c r="A178" s="46" t="str">
        <x:v>LME_022</x:v>
      </x:c>
      <x:c r="B178" s="46" t="str">
        <x:v>North Sea</x:v>
      </x:c>
      <x:c r="C178" s="46" t="str">
        <x:v>LME</x:v>
      </x:c>
      <x:c r="D178" s="58" t="n">
        <x:v>2019</x:v>
      </x:c>
      <x:c r="E178" s="46" t="str">
        <x:v>Mollusca</x:v>
      </x:c>
      <x:c r="F178" s="46" t="str">
        <x:v>Clams, seasnails, squids, octopuses</x:v>
      </x:c>
      <x:c r="G178" s="46" t="str">
        <x:v>Other demersal invertebrates</x:v>
      </x:c>
      <x:c r="H178" s="46" t="str">
        <x:v>Molluscs</x:v>
      </x:c>
      <x:c r="I178" s="60" t="n">
        <x:v>5.0027202609</x:v>
      </x:c>
      <x:c r="J178" s="60" t="n">
        <x:v>5.0027202609</x:v>
      </x:c>
      <x:c r="K178" s="60" t="n">
        <x:v>0</x:v>
      </x:c>
      <x:c r="L178" s="60" t="n">
        <x:v>0.0268887394</x:v>
      </x:c>
      <x:c r="M178" s="60" t="n">
        <x:v>4.9758315215</x:v>
      </x:c>
      <x:c r="N178" s="46" t="str">
        <x:v>mollusca</x:v>
      </x:c>
      <x:c r="O178" s="62" t="n">
        <x:v>2.1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Mollusca</x:v>
      </x:c>
      <x:c r="T178" s="62" t="n">
        <x:f>IF(O178="","",(1/'Metadata'!$B$5)^(O178-1))</x:f>
        <x:v>26.985656953471274</x:v>
      </x:c>
      <x:c r="U178" s="60" t="n">
        <x:f>IF(T178="","",I178*T178)</x:f>
        <x:v>135.00169279482773</x:v>
      </x:c>
    </x:row>
    <x:row r="179" ht="18" customHeight="1">
      <x:c r="A179" s="46" t="str">
        <x:v>LME_022</x:v>
      </x:c>
      <x:c r="B179" s="46" t="str">
        <x:v>North Sea</x:v>
      </x:c>
      <x:c r="C179" s="46" t="str">
        <x:v>LME</x:v>
      </x:c>
      <x:c r="D179" s="58" t="n">
        <x:v>2019</x:v>
      </x:c>
      <x:c r="E179" s="46" t="str">
        <x:v>Gadiculus thori</x:v>
      </x:c>
      <x:c r="F179" s="46" t="str">
        <x:v>Silvery cod</x:v>
      </x:c>
      <x:c r="G179" s="46" t="str">
        <x:v>Small pelagics (&lt;30 cm)</x:v>
      </x:c>
      <x:c r="H179" s="46" t="str">
        <x:v>Cod-likes</x:v>
      </x:c>
      <x:c r="I179" s="60" t="n">
        <x:v>4.7140307318</x:v>
      </x:c>
      <x:c r="J179" s="60" t="n">
        <x:v>4.7140307318</x:v>
      </x:c>
      <x:c r="K179" s="60" t="n">
        <x:v>0</x:v>
      </x:c>
      <x:c r="L179" s="60" t="n">
        <x:v>4.7140307318</x:v>
      </x:c>
      <x:c r="M179" s="60" t="n">
        <x:v>0</x:v>
      </x:c>
      <x:c r="N179" s="46" t="str">
        <x:v>gadiculus thori</x:v>
      </x:c>
      <x:c r="O179" s="62" t="n">
        <x:v>3.51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Gadiculus thori</x:v>
      </x:c>
      <x:c r="T179" s="62" t="n">
        <x:f>IF(O179="","",(1/'Metadata'!$B$5)^(O179-1))</x:f>
        <x:v>1843.2544417784343</x:v>
      </x:c>
      <x:c r="U179" s="60" t="n">
        <x:f>IF(T179="","",I179*T179)</x:f>
        <x:v>8689.158085070394</x:v>
      </x:c>
    </x:row>
    <x:row r="180" ht="18" customHeight="1">
      <x:c r="A180" s="46" t="str">
        <x:v>LME_022</x:v>
      </x:c>
      <x:c r="B180" s="46" t="str">
        <x:v>North Sea</x:v>
      </x:c>
      <x:c r="C180" s="46" t="str">
        <x:v>LME</x:v>
      </x:c>
      <x:c r="D180" s="58" t="n">
        <x:v>2019</x:v>
      </x:c>
      <x:c r="E180" s="46" t="str">
        <x:v>Lamna nasus</x:v>
      </x:c>
      <x:c r="F180" s="46" t="str">
        <x:v>Porbeagle</x:v>
      </x:c>
      <x:c r="G180" s="46" t="str">
        <x:v>Large sharks (&gt;=90 cm)</x:v>
      </x:c>
      <x:c r="H180" s="46" t="str">
        <x:v>Sharks &amp; rays</x:v>
      </x:c>
      <x:c r="I180" s="60" t="n">
        <x:v>4.5529971601999994</x:v>
      </x:c>
      <x:c r="J180" s="60" t="n">
        <x:v>4.5529971601999994</x:v>
      </x:c>
      <x:c r="K180" s="60" t="n">
        <x:v>0</x:v>
      </x:c>
      <x:c r="L180" s="60" t="n">
        <x:v>4.5529971601999994</x:v>
      </x:c>
      <x:c r="M180" s="60" t="n">
        <x:v>0</x:v>
      </x:c>
      <x:c r="N180" s="46" t="str">
        <x:v>lamna nasus</x:v>
      </x:c>
      <x:c r="O180" s="62" t="n">
        <x:v>4.57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Lamna nasus</x:v>
      </x:c>
      <x:c r="T180" s="62" t="n">
        <x:f>IF(O180="","",(1/'Metadata'!$B$5)^(O180-1))</x:f>
        <x:v>44124.224393105345</x:v>
      </x:c>
      <x:c r="U180" s="60" t="n">
        <x:f>IF(T180="","",I180*T180)</x:f>
        <x:v>200897.4683578362</x:v>
      </x:c>
    </x:row>
    <x:row r="181" ht="18" customHeight="1">
      <x:c r="A181" s="46" t="str">
        <x:v>LME_022</x:v>
      </x:c>
      <x:c r="B181" s="46" t="str">
        <x:v>North Sea</x:v>
      </x:c>
      <x:c r="C181" s="46" t="str">
        <x:v>LME</x:v>
      </x:c>
      <x:c r="D181" s="58" t="n">
        <x:v>2019</x:v>
      </x:c>
      <x:c r="E181" s="46" t="str">
        <x:v>Brama brama</x:v>
      </x:c>
      <x:c r="F181" s="46" t="str">
        <x:v>Atlantic pomfret</x:v>
      </x:c>
      <x:c r="G181" s="46" t="str">
        <x:v>Medium bathypelagics (30 - 89 cm)</x:v>
      </x:c>
      <x:c r="H181" s="46" t="str">
        <x:v>Perch-likes</x:v>
      </x:c>
      <x:c r="I181" s="60" t="n">
        <x:v>4.1937058094</x:v>
      </x:c>
      <x:c r="J181" s="60" t="n">
        <x:v>4.1937058094</x:v>
      </x:c>
      <x:c r="K181" s="60" t="n">
        <x:v>0</x:v>
      </x:c>
      <x:c r="L181" s="60" t="n">
        <x:v>4.1937058094</x:v>
      </x:c>
      <x:c r="M181" s="60" t="n">
        <x:v>0</x:v>
      </x:c>
      <x:c r="N181" s="46" t="str">
        <x:v>brama brama</x:v>
      </x:c>
      <x:c r="O181" s="62" t="n">
        <x:v>4.08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Brama brama</x:v>
      </x:c>
      <x:c r="T181" s="62" t="n">
        <x:f>IF(O181="","",(1/'Metadata'!$B$5)^(O181-1))</x:f>
        <x:v>10166.521575327472</x:v>
      </x:c>
      <x:c r="U181" s="60" t="n">
        <x:f>IF(T181="","",I181*T181)</x:f>
        <x:v>42635.40059184126</x:v>
      </x:c>
    </x:row>
    <x:row r="182" ht="18" customHeight="1">
      <x:c r="A182" s="46" t="str">
        <x:v>LME_022</x:v>
      </x:c>
      <x:c r="B182" s="46" t="str">
        <x:v>North Sea</x:v>
      </x:c>
      <x:c r="C182" s="46" t="str">
        <x:v>LME</x:v>
      </x:c>
      <x:c r="D182" s="58" t="n">
        <x:v>2019</x:v>
      </x:c>
      <x:c r="E182" s="46" t="str">
        <x:v>Decapoda</x:v>
      </x:c>
      <x:c r="F182" s="46" t="str">
        <x:v>Crabs, lobsters, shrimps</x:v>
      </x:c>
      <x:c r="G182" s="46" t="str">
        <x:v>Lobsters, crabs</x:v>
      </x:c>
      <x:c r="H182" s="46" t="str">
        <x:v>Crustaceans</x:v>
      </x:c>
      <x:c r="I182" s="60" t="n">
        <x:v>4.0597086444</x:v>
      </x:c>
      <x:c r="J182" s="60" t="n">
        <x:v>4.0597086444</x:v>
      </x:c>
      <x:c r="K182" s="60" t="n">
        <x:v>0</x:v>
      </x:c>
      <x:c r="L182" s="60" t="n">
        <x:v>4.0597086444</x:v>
      </x:c>
      <x:c r="M182" s="60" t="n">
        <x:v>0</x:v>
      </x:c>
      <x:c r="N182" s="46" t="str">
        <x:v>decapoda</x:v>
      </x:c>
      <x:c r="O182" s="62" t="n">
        <x:v>3.43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Decapoda</x:v>
      </x:c>
      <x:c r="T182" s="62" t="n">
        <x:f>IF(O182="","",(1/'Metadata'!$B$5)^(O182-1))</x:f>
        <x:v>1450.450424461182</x:v>
      </x:c>
      <x:c r="U182" s="60" t="n">
        <x:f>IF(T182="","",I182*T182)</x:f>
        <x:v>5888.406126458709</x:v>
      </x:c>
    </x:row>
    <x:row r="183" ht="18" customHeight="1">
      <x:c r="A183" s="46" t="str">
        <x:v>LME_022</x:v>
      </x:c>
      <x:c r="B183" s="46" t="str">
        <x:v>North Sea</x:v>
      </x:c>
      <x:c r="C183" s="46" t="str">
        <x:v>LME</x:v>
      </x:c>
      <x:c r="D183" s="58" t="n">
        <x:v>2019</x:v>
      </x:c>
      <x:c r="E183" s="46" t="str">
        <x:v>Rajella lintea</x:v>
      </x:c>
      <x:c r="F183" s="46" t="str">
        <x:v>Sailray</x:v>
      </x:c>
      <x:c r="G183" s="46" t="str">
        <x:v>Large rays (&gt;=90 cm)</x:v>
      </x:c>
      <x:c r="H183" s="46" t="str">
        <x:v>Sharks &amp; rays</x:v>
      </x:c>
      <x:c r="I183" s="60" t="n">
        <x:v>3.5776530871000003</x:v>
      </x:c>
      <x:c r="J183" s="60" t="n">
        <x:v>3.5776530871000003</x:v>
      </x:c>
      <x:c r="K183" s="60" t="n">
        <x:v>0</x:v>
      </x:c>
      <x:c r="L183" s="60" t="n">
        <x:v>3.5776530871000003</x:v>
      </x:c>
      <x:c r="M183" s="60" t="n">
        <x:v>0</x:v>
      </x:c>
      <x:c r="N183" s="46" t="str">
        <x:v>rajella lintea</x:v>
      </x:c>
      <x:c r="O183" s="62" t="n">
        <x:v>3.62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Rajella lintea</x:v>
      </x:c>
      <x:c r="T183" s="62" t="n">
        <x:f>IF(O183="","",(1/'Metadata'!$B$5)^(O183-1))</x:f>
        <x:v>2562.7048371775754</x:v>
      </x:c>
      <x:c r="U183" s="60" t="n">
        <x:f>IF(T183="","",I183*T183)</x:f>
        <x:v>9168.468872054456</x:v>
      </x:c>
    </x:row>
    <x:row r="184" ht="18" customHeight="1">
      <x:c r="A184" s="46" t="str">
        <x:v>LME_022</x:v>
      </x:c>
      <x:c r="B184" s="46" t="str">
        <x:v>North Sea</x:v>
      </x:c>
      <x:c r="C184" s="46" t="str">
        <x:v>LME</x:v>
      </x:c>
      <x:c r="D184" s="58" t="n">
        <x:v>2019</x:v>
      </x:c>
      <x:c r="E184" s="46" t="str">
        <x:v>Alepocephalus bairdii</x:v>
      </x:c>
      <x:c r="F184" s="46" t="str">
        <x:v>Baird's slickhead</x:v>
      </x:c>
      <x:c r="G184" s="46" t="str">
        <x:v>Large bathydemersals (&gt;=90 cm)</x:v>
      </x:c>
      <x:c r="H184" s="46" t="str">
        <x:v>Salmon, smelts, etc</x:v>
      </x:c>
      <x:c r="I184" s="60" t="n">
        <x:v>3.5445413344000003</x:v>
      </x:c>
      <x:c r="J184" s="60" t="n">
        <x:v>3.5445413344000003</x:v>
      </x:c>
      <x:c r="K184" s="60" t="n">
        <x:v>0</x:v>
      </x:c>
      <x:c r="L184" s="60" t="n">
        <x:v>3.5445413344000003</x:v>
      </x:c>
      <x:c r="M184" s="60" t="n">
        <x:v>0</x:v>
      </x:c>
      <x:c r="N184" s="46" t="str">
        <x:v>alepocephalus bairdii</x:v>
      </x:c>
      <x:c r="O184" s="62" t="n">
        <x:v>3.69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Alepocephalus bairdii</x:v>
      </x:c>
      <x:c r="T184" s="62" t="n">
        <x:f>IF(O184="","",(1/'Metadata'!$B$5)^(O184-1))</x:f>
        <x:v>3160.6083878807954</x:v>
      </x:c>
      <x:c r="U184" s="60" t="n">
        <x:f>IF(T184="","",I184*T184)</x:f>
        <x:v>11202.907072694828</x:v>
      </x:c>
    </x:row>
    <x:row r="185" ht="18" customHeight="1">
      <x:c r="A185" s="46" t="str">
        <x:v>LME_022</x:v>
      </x:c>
      <x:c r="B185" s="46" t="str">
        <x:v>North Sea</x:v>
      </x:c>
      <x:c r="C185" s="46" t="str">
        <x:v>LME</x:v>
      </x:c>
      <x:c r="D185" s="58" t="n">
        <x:v>2019</x:v>
      </x:c>
      <x:c r="E185" s="46" t="str">
        <x:v>Leucoraja fullonica</x:v>
      </x:c>
      <x:c r="F185" s="46" t="str">
        <x:v>Shagreen ray</x:v>
      </x:c>
      <x:c r="G185" s="46" t="str">
        <x:v>Large rays (&gt;=90 cm)</x:v>
      </x:c>
      <x:c r="H185" s="46" t="str">
        <x:v>Sharks &amp; rays</x:v>
      </x:c>
      <x:c r="I185" s="60" t="n">
        <x:v>3.5273664909</x:v>
      </x:c>
      <x:c r="J185" s="60" t="n">
        <x:v>2.282385709</x:v>
      </x:c>
      <x:c r="K185" s="60" t="n">
        <x:v>1.2449807819</x:v>
      </x:c>
      <x:c r="L185" s="60" t="n">
        <x:v>2.282385709</x:v>
      </x:c>
      <x:c r="M185" s="60" t="n">
        <x:v>1.2449807819</x:v>
      </x:c>
      <x:c r="N185" s="46" t="str">
        <x:v>leucoraja fullonica</x:v>
      </x:c>
      <x:c r="O185" s="62" t="n">
        <x:v>3.5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Leucoraja fullonica</x:v>
      </x:c>
      <x:c r="T185" s="62" t="n">
        <x:f>IF(O185="","",(1/'Metadata'!$B$5)^(O185-1))</x:f>
        <x:v>1788.8543819998317</x:v>
      </x:c>
      <x:c r="U185" s="60" t="n">
        <x:f>IF(T185="","",I185*T185)</x:f>
        <x:v>6309.945004165835</x:v>
      </x:c>
    </x:row>
    <x:row r="186" ht="18" customHeight="1">
      <x:c r="A186" s="46" t="str">
        <x:v>LME_022</x:v>
      </x:c>
      <x:c r="B186" s="46" t="str">
        <x:v>North Sea</x:v>
      </x:c>
      <x:c r="C186" s="46" t="str">
        <x:v>LME</x:v>
      </x:c>
      <x:c r="D186" s="58" t="n">
        <x:v>2019</x:v>
      </x:c>
      <x:c r="E186" s="46" t="str">
        <x:v>Alosa alosa</x:v>
      </x:c>
      <x:c r="F186" s="46" t="str">
        <x:v>Allis shad</x:v>
      </x:c>
      <x:c r="G186" s="46" t="str">
        <x:v>Medium pelagics (30 - 89 cm)</x:v>
      </x:c>
      <x:c r="H186" s="46" t="str">
        <x:v>Herring-likes</x:v>
      </x:c>
      <x:c r="I186" s="60" t="n">
        <x:v>2.7182727928</x:v>
      </x:c>
      <x:c r="J186" s="60" t="n">
        <x:v>2.7182727928</x:v>
      </x:c>
      <x:c r="K186" s="60" t="n">
        <x:v>0</x:v>
      </x:c>
      <x:c r="L186" s="60" t="n">
        <x:v>2.7182536592</x:v>
      </x:c>
      <x:c r="M186" s="60" t="n">
        <x:v>0.000019133600000000003</x:v>
      </x:c>
      <x:c r="N186" s="46" t="str">
        <x:v>alosa alosa</x:v>
      </x:c>
      <x:c r="O186" s="62" t="n">
        <x:v>2.95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Alosa alosa</x:v>
      </x:c>
      <x:c r="T186" s="62" t="n">
        <x:f>IF(O186="","",(1/'Metadata'!$B$5)^(O186-1))</x:f>
        <x:v>344.3566637326941</x:v>
      </x:c>
      <x:c r="U186" s="60" t="n">
        <x:f>IF(T186="","",I186*T186)</x:f>
        <x:v>936.0553500439609</x:v>
      </x:c>
    </x:row>
    <x:row r="187" ht="18" customHeight="1">
      <x:c r="A187" s="46" t="str">
        <x:v>LME_022</x:v>
      </x:c>
      <x:c r="B187" s="46" t="str">
        <x:v>North Sea</x:v>
      </x:c>
      <x:c r="C187" s="46" t="str">
        <x:v>LME</x:v>
      </x:c>
      <x:c r="D187" s="58" t="n">
        <x:v>2019</x:v>
      </x:c>
      <x:c r="E187" s="46" t="str">
        <x:v>Marine pelagic fishes not identified</x:v>
      </x:c>
      <x:c r="F187" s="46" t="str">
        <x:v>Pelagic fishes</x:v>
      </x:c>
      <x:c r="G187" s="46" t="str">
        <x:v>Medium pelagics (30 - 89 cm)</x:v>
      </x:c>
      <x:c r="H187" s="46" t="str">
        <x:v>Other fishes &amp; inverts</x:v>
      </x:c>
      <x:c r="I187" s="60" t="n">
        <x:v>2.6931037012</x:v>
      </x:c>
      <x:c r="J187" s="60" t="n">
        <x:v>2.6931037012</x:v>
      </x:c>
      <x:c r="K187" s="60" t="n">
        <x:v>0</x:v>
      </x:c>
      <x:c r="L187" s="60" t="n">
        <x:v>2.6931037012</x:v>
      </x:c>
      <x:c r="M187" s="60" t="n">
        <x:v>0</x:v>
      </x:c>
      <x:c r="N187" s="46" t="str">
        <x:v>marine pelagic fishes not identified</x:v>
      </x:c>
      <x:c r="O187" s="62" t="n">
        <x:v>3.35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Marine pelagic fishes not identified</x:v>
      </x:c>
      <x:c r="T187" s="62" t="n">
        <x:f>IF(O187="","",(1/'Metadata'!$B$5)^(O187-1))</x:f>
        <x:v>1141.3543275066227</x:v>
      </x:c>
      <x:c r="U187" s="60" t="n">
        <x:f>IF(T187="","",I187*T187)</x:f>
        <x:v>3073.7855637887224</x:v>
      </x:c>
    </x:row>
    <x:row r="188" ht="18" customHeight="1">
      <x:c r="A188" s="46" t="str">
        <x:v>LME_022</x:v>
      </x:c>
      <x:c r="B188" s="46" t="str">
        <x:v>North Sea</x:v>
      </x:c>
      <x:c r="C188" s="46" t="str">
        <x:v>LME</x:v>
      </x:c>
      <x:c r="D188" s="58" t="n">
        <x:v>2019</x:v>
      </x:c>
      <x:c r="E188" s="46" t="str">
        <x:v>Notoscopelus</x:v>
      </x:c>
      <x:c r="F188" s="46" t="str">
        <x:v>Lampfish</x:v>
      </x:c>
      <x:c r="G188" s="46" t="str">
        <x:v>Small pelagics (&lt;30 cm)</x:v>
      </x:c>
      <x:c r="H188" s="46" t="str">
        <x:v>Other fishes &amp; inverts</x:v>
      </x:c>
      <x:c r="I188" s="60" t="n">
        <x:v>2.5267976728</x:v>
      </x:c>
      <x:c r="J188" s="60" t="n">
        <x:v>2.5267976728</x:v>
      </x:c>
      <x:c r="K188" s="60" t="n">
        <x:v>0</x:v>
      </x:c>
      <x:c r="L188" s="60" t="n">
        <x:v>2.5267976728</x:v>
      </x:c>
      <x:c r="M188" s="60" t="n">
        <x:v>0</x:v>
      </x:c>
      <x:c r="N188" s="46" t="str">
        <x:v>notoscopelus</x:v>
      </x:c>
      <x:c r="O188" s="62" t="n">
        <x:v>3.15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Notoscopelus</x:v>
      </x:c>
      <x:c r="T188" s="62" t="n">
        <x:f>IF(O188="","",(1/'Metadata'!$B$5)^(O188-1))</x:f>
        <x:v>626.9234150652317</x:v>
      </x:c>
      <x:c r="U188" s="60" t="n">
        <x:f>IF(T188="","",I188*T188)</x:f>
        <x:v>1584.1086262106558</x:v>
      </x:c>
    </x:row>
    <x:row r="189" ht="18" customHeight="1">
      <x:c r="A189" s="46" t="str">
        <x:v>LME_022</x:v>
      </x:c>
      <x:c r="B189" s="46" t="str">
        <x:v>North Sea</x:v>
      </x:c>
      <x:c r="C189" s="46" t="str">
        <x:v>LME</x:v>
      </x:c>
      <x:c r="D189" s="58" t="n">
        <x:v>2019</x:v>
      </x:c>
      <x:c r="E189" s="46" t="str">
        <x:v>Prionace glauca</x:v>
      </x:c>
      <x:c r="F189" s="46" t="str">
        <x:v>Blue shark</x:v>
      </x:c>
      <x:c r="G189" s="46" t="str">
        <x:v>Large sharks (&gt;=90 cm)</x:v>
      </x:c>
      <x:c r="H189" s="46" t="str">
        <x:v>Sharks &amp; rays</x:v>
      </x:c>
      <x:c r="I189" s="60" t="n">
        <x:v>2.5148926478</x:v>
      </x:c>
      <x:c r="J189" s="60" t="n">
        <x:v>2.5148926478</x:v>
      </x:c>
      <x:c r="K189" s="60" t="n">
        <x:v>0</x:v>
      </x:c>
      <x:c r="L189" s="60" t="n">
        <x:v>2.5148926478</x:v>
      </x:c>
      <x:c r="M189" s="60" t="n">
        <x:v>0</x:v>
      </x:c>
      <x:c r="N189" s="46" t="str">
        <x:v>prionace glauca</x:v>
      </x:c>
      <x:c r="O189" s="62" t="n">
        <x:v>4.35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Prionace glauca</x:v>
      </x:c>
      <x:c r="T189" s="62" t="n">
        <x:f>IF(O189="","",(1/'Metadata'!$B$5)^(O189-1))</x:f>
        <x:v>22827.086550132422</x:v>
      </x:c>
      <x:c r="U189" s="60" t="n">
        <x:f>IF(T189="","",I189*T189)</x:f>
        <x:v>57407.67213562229</x:v>
      </x:c>
    </x:row>
    <x:row r="190" ht="18" customHeight="1">
      <x:c r="A190" s="46" t="str">
        <x:v>LME_022</x:v>
      </x:c>
      <x:c r="B190" s="46" t="str">
        <x:v>North Sea</x:v>
      </x:c>
      <x:c r="C190" s="46" t="str">
        <x:v>LME</x:v>
      </x:c>
      <x:c r="D190" s="58" t="n">
        <x:v>2019</x:v>
      </x:c>
      <x:c r="E190" s="46" t="str">
        <x:v>Salmo salar</x:v>
      </x:c>
      <x:c r="F190" s="46" t="str">
        <x:v>Atlantic salmon</x:v>
      </x:c>
      <x:c r="G190" s="46" t="str">
        <x:v>Large benthopelagics (&gt;=90 cm)</x:v>
      </x:c>
      <x:c r="H190" s="46" t="str">
        <x:v>Salmon, smelts, etc</x:v>
      </x:c>
      <x:c r="I190" s="60" t="n">
        <x:v>2.4626552737</x:v>
      </x:c>
      <x:c r="J190" s="60" t="n">
        <x:v>0.0257292008</x:v>
      </x:c>
      <x:c r="K190" s="60" t="n">
        <x:v>2.4369260729</x:v>
      </x:c>
      <x:c r="L190" s="60" t="n">
        <x:v>0.0019241688</x:v>
      </x:c>
      <x:c r="M190" s="60" t="n">
        <x:v>2.4607311049</x:v>
      </x:c>
      <x:c r="N190" s="46" t="str">
        <x:v>salmo salar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Salmo salar</x:v>
      </x:c>
      <x:c r="T190" s="62" t="n">
        <x:f>IF(O190="","",(1/'Metadata'!$B$5)^(O190-1))</x:f>
        <x:v>35777.08763999664</x:v>
      </x:c>
      <x:c r="U190" s="60" t="n">
        <x:f>IF(T190="","",I190*T190)</x:f>
        <x:v>88106.6335542648</x:v>
      </x:c>
    </x:row>
    <x:row r="191" ht="18" customHeight="1">
      <x:c r="A191" s="46" t="str">
        <x:v>LME_022</x:v>
      </x:c>
      <x:c r="B191" s="46" t="str">
        <x:v>North Sea</x:v>
      </x:c>
      <x:c r="C191" s="46" t="str">
        <x:v>LME</x:v>
      </x:c>
      <x:c r="D191" s="58" t="n">
        <x:v>2019</x:v>
      </x:c>
      <x:c r="E191" s="46" t="str">
        <x:v>Pandalus</x:v>
      </x:c>
      <x:c r="F191" s="46" t="str">
        <x:v>Seabed shrimps</x:v>
      </x:c>
      <x:c r="G191" s="46" t="str">
        <x:v>Shrimps</x:v>
      </x:c>
      <x:c r="H191" s="46" t="str">
        <x:v>Crustaceans</x:v>
      </x:c>
      <x:c r="I191" s="60" t="n">
        <x:v>2.2125075904</x:v>
      </x:c>
      <x:c r="J191" s="60" t="n">
        <x:v>1.618489365</x:v>
      </x:c>
      <x:c r="K191" s="60" t="n">
        <x:v>0.5940182254</x:v>
      </x:c>
      <x:c r="L191" s="60" t="n">
        <x:v>0.00047508559999999997</x:v>
      </x:c>
      <x:c r="M191" s="60" t="n">
        <x:v>2.2120325048000002</x:v>
      </x:c>
      <x:c r="N191" s="46" t="str">
        <x:v>pandalus</x:v>
      </x:c>
      <x:c r="O191" s="62" t="n">
        <x:v>2.6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Pandalus</x:v>
      </x:c>
      <x:c r="T191" s="62" t="n">
        <x:f>IF(O191="","",(1/'Metadata'!$B$5)^(O191-1))</x:f>
        <x:v>120.6835267309033</x:v>
      </x:c>
      <x:c r="U191" s="60" t="n">
        <x:f>IF(T191="","",I191*T191)</x:f>
        <x:v>267.01321892836484</x:v>
      </x:c>
    </x:row>
    <x:row r="192" ht="18" customHeight="1">
      <x:c r="A192" s="46" t="str">
        <x:v>LME_022</x:v>
      </x:c>
      <x:c r="B192" s="46" t="str">
        <x:v>North Sea</x:v>
      </x:c>
      <x:c r="C192" s="46" t="str">
        <x:v>LME</x:v>
      </x:c>
      <x:c r="D192" s="58" t="n">
        <x:v>2019</x:v>
      </x:c>
      <x:c r="E192" s="46" t="str">
        <x:v>Mustelus asterias</x:v>
      </x:c>
      <x:c r="F192" s="46" t="str">
        <x:v>Starry smooth-hound</x:v>
      </x:c>
      <x:c r="G192" s="46" t="str">
        <x:v>Large sharks (&gt;=90 cm)</x:v>
      </x:c>
      <x:c r="H192" s="46" t="str">
        <x:v>Sharks &amp; rays</x:v>
      </x:c>
      <x:c r="I192" s="60" t="n">
        <x:v>2.0822007240000002</x:v>
      </x:c>
      <x:c r="J192" s="60" t="n">
        <x:v>2.0822007240000002</x:v>
      </x:c>
      <x:c r="K192" s="60" t="n">
        <x:v>0</x:v>
      </x:c>
      <x:c r="L192" s="60" t="n">
        <x:v>2.0822007240000002</x:v>
      </x:c>
      <x:c r="M192" s="60" t="n">
        <x:v>0</x:v>
      </x:c>
      <x:c r="N192" s="46" t="str">
        <x:v>mustelus asterias</x:v>
      </x:c>
      <x:c r="O192" s="62" t="n">
        <x:v>3.62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Mustelus asterias</x:v>
      </x:c>
      <x:c r="T192" s="62" t="n">
        <x:f>IF(O192="","",(1/'Metadata'!$B$5)^(O192-1))</x:f>
        <x:v>2562.7048371775754</x:v>
      </x:c>
      <x:c r="U192" s="60" t="n">
        <x:f>IF(T192="","",I192*T192)</x:f>
        <x:v>5336.065867369451</x:v>
      </x:c>
    </x:row>
    <x:row r="193" ht="18" customHeight="1">
      <x:c r="A193" s="46" t="str">
        <x:v>LME_022</x:v>
      </x:c>
      <x:c r="B193" s="46" t="str">
        <x:v>North Sea</x:v>
      </x:c>
      <x:c r="C193" s="46" t="str">
        <x:v>LME</x:v>
      </x:c>
      <x:c r="D193" s="58" t="n">
        <x:v>2019</x:v>
      </x:c>
      <x:c r="E193" s="46" t="str">
        <x:v>Polyprion americanus</x:v>
      </x:c>
      <x:c r="F193" s="46" t="str">
        <x:v>Wreckfish</x:v>
      </x:c>
      <x:c r="G193" s="46" t="str">
        <x:v>Large bathydemersals (&gt;=90 cm)</x:v>
      </x:c>
      <x:c r="H193" s="46" t="str">
        <x:v>Perch-likes</x:v>
      </x:c>
      <x:c r="I193" s="60" t="n">
        <x:v>1.8521249730999998</x:v>
      </x:c>
      <x:c r="J193" s="60" t="n">
        <x:v>1.8521249730999998</x:v>
      </x:c>
      <x:c r="K193" s="60" t="n">
        <x:v>0</x:v>
      </x:c>
      <x:c r="L193" s="60" t="n">
        <x:v>1.8521249730999998</x:v>
      </x:c>
      <x:c r="M193" s="60" t="n">
        <x:v>0</x:v>
      </x:c>
      <x:c r="N193" s="46" t="str">
        <x:v>polyprion americanus</x:v>
      </x:c>
      <x:c r="O193" s="62" t="n">
        <x:v>4.14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Polyprion americanus</x:v>
      </x:c>
      <x:c r="T193" s="62" t="n">
        <x:f>IF(O193="","",(1/'Metadata'!$B$5)^(O193-1))</x:f>
        <x:v>12168.419864331923</x:v>
      </x:c>
      <x:c r="U193" s="60" t="n">
        <x:f>IF(T193="","",I193*T193)</x:f>
        <x:v>22537.434313895268</x:v>
      </x:c>
    </x:row>
    <x:row r="194" ht="18" customHeight="1">
      <x:c r="A194" s="46" t="str">
        <x:v>LME_022</x:v>
      </x:c>
      <x:c r="B194" s="46" t="str">
        <x:v>North Sea</x:v>
      </x:c>
      <x:c r="C194" s="46" t="str">
        <x:v>LME</x:v>
      </x:c>
      <x:c r="D194" s="58" t="n">
        <x:v>2019</x:v>
      </x:c>
      <x:c r="E194" s="46" t="str">
        <x:v>Eledone</x:v>
      </x:c>
      <x:c r="F194" s="46" t="str">
        <x:v>Horned, musky octopuses</x:v>
      </x:c>
      <x:c r="G194" s="46" t="str">
        <x:v>Cephalopods</x:v>
      </x:c>
      <x:c r="H194" s="46" t="str">
        <x:v>Other fishes &amp; inverts</x:v>
      </x:c>
      <x:c r="I194" s="60" t="n">
        <x:v>1.6572545332000002</x:v>
      </x:c>
      <x:c r="J194" s="60" t="n">
        <x:v>1.6572545332000002</x:v>
      </x:c>
      <x:c r="K194" s="60" t="n">
        <x:v>0</x:v>
      </x:c>
      <x:c r="L194" s="60" t="n">
        <x:v>1.6572545332000002</x:v>
      </x:c>
      <x:c r="M194" s="60" t="n">
        <x:v>0</x:v>
      </x:c>
      <x:c r="N194" s="46" t="str">
        <x:v>eledone</x:v>
      </x:c>
      <x:c r="O194" s="62" t="n">
        <x:v>3.67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Eledone</x:v>
      </x:c>
      <x:c r="T194" s="62" t="n">
        <x:f>IF(O194="","",(1/'Metadata'!$B$5)^(O194-1))</x:f>
        <x:v>2976.8029570258213</x:v>
      </x:c>
      <x:c r="U194" s="60" t="n">
        <x:f>IF(T194="","",I194*T194)</x:f>
        <x:v>4933.320194974208</x:v>
      </x:c>
    </x:row>
    <x:row r="195" ht="18" customHeight="1">
      <x:c r="A195" s="46" t="str">
        <x:v>LME_022</x:v>
      </x:c>
      <x:c r="B195" s="46" t="str">
        <x:v>North Sea</x:v>
      </x:c>
      <x:c r="C195" s="46" t="str">
        <x:v>LME</x:v>
      </x:c>
      <x:c r="D195" s="58" t="n">
        <x:v>2019</x:v>
      </x:c>
      <x:c r="E195" s="46" t="str">
        <x:v>Hydrolagus</x:v>
      </x:c>
      <x:c r="F195" s="46" t="str">
        <x:v>Ghostsharks</x:v>
      </x:c>
      <x:c r="G195" s="46" t="str">
        <x:v>Small to medium rays (&lt;90 cm)</x:v>
      </x:c>
      <x:c r="H195" s="46" t="str">
        <x:v>Sharks &amp; rays</x:v>
      </x:c>
      <x:c r="I195" s="60" t="n">
        <x:v>1.6112659192</x:v>
      </x:c>
      <x:c r="J195" s="60" t="n">
        <x:v>1.6112659192</x:v>
      </x:c>
      <x:c r="K195" s="60" t="n">
        <x:v>0</x:v>
      </x:c>
      <x:c r="L195" s="60" t="n">
        <x:v>1.6112659192</x:v>
      </x:c>
      <x:c r="M195" s="60" t="n">
        <x:v>0</x:v>
      </x:c>
      <x:c r="N195" s="46" t="str">
        <x:v>hydrolagus</x:v>
      </x:c>
      <x:c r="O195" s="62" t="n">
        <x:v>3.51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Hydrolagus</x:v>
      </x:c>
      <x:c r="T195" s="62" t="n">
        <x:f>IF(O195="","",(1/'Metadata'!$B$5)^(O195-1))</x:f>
        <x:v>1843.2544417784343</x:v>
      </x:c>
      <x:c r="U195" s="60" t="n">
        <x:f>IF(T195="","",I195*T195)</x:f>
        <x:v>2969.973062451612</x:v>
      </x:c>
    </x:row>
    <x:row r="196" ht="18" customHeight="1">
      <x:c r="A196" s="46" t="str">
        <x:v>LME_022</x:v>
      </x:c>
      <x:c r="B196" s="46" t="str">
        <x:v>North Sea</x:v>
      </x:c>
      <x:c r="C196" s="46" t="str">
        <x:v>LME</x:v>
      </x:c>
      <x:c r="D196" s="58" t="n">
        <x:v>2019</x:v>
      </x:c>
      <x:c r="E196" s="46" t="str">
        <x:v>Littorina littorea</x:v>
      </x:c>
      <x:c r="F196" s="46" t="str">
        <x:v>Common periwinkle</x:v>
      </x:c>
      <x:c r="G196" s="46" t="str">
        <x:v>Other demersal invertebrates</x:v>
      </x:c>
      <x:c r="H196" s="46" t="str">
        <x:v>Molluscs</x:v>
      </x:c>
      <x:c r="I196" s="60" t="n">
        <x:v>1.474234113</x:v>
      </x:c>
      <x:c r="J196" s="60" t="n">
        <x:v>1.474234113</x:v>
      </x:c>
      <x:c r="K196" s="60" t="n">
        <x:v>0</x:v>
      </x:c>
      <x:c r="L196" s="60" t="n">
        <x:v>1.4742016964</x:v>
      </x:c>
      <x:c r="M196" s="60" t="n">
        <x:v>0.0000324166</x:v>
      </x:c>
      <x:c r="N196" s="46" t="str">
        <x:v>littorina littorea</x:v>
      </x:c>
      <x:c r="O196" s="62" t="n">
        <x:v>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Littorina littorea</x:v>
      </x:c>
      <x:c r="T196" s="62" t="n">
        <x:f>IF(O196="","",(1/'Metadata'!$B$5)^(O196-1))</x:f>
        <x:v>20</x:v>
      </x:c>
      <x:c r="U196" s="60" t="n">
        <x:f>IF(T196="","",I196*T196)</x:f>
        <x:v>29.48468226</x:v>
      </x:c>
    </x:row>
    <x:row r="197" ht="18" customHeight="1">
      <x:c r="A197" s="46" t="str">
        <x:v>LME_022</x:v>
      </x:c>
      <x:c r="B197" s="46" t="str">
        <x:v>North Sea</x:v>
      </x:c>
      <x:c r="C197" s="46" t="str">
        <x:v>LME</x:v>
      </x:c>
      <x:c r="D197" s="58" t="n">
        <x:v>2019</x:v>
      </x:c>
      <x:c r="E197" s="46" t="str">
        <x:v>Sander lucioperca</x:v>
      </x:c>
      <x:c r="F197" s="46" t="str">
        <x:v>Pike-perch</x:v>
      </x:c>
      <x:c r="G197" s="46" t="str">
        <x:v>Large pelagics (&gt;=90 cm)</x:v>
      </x:c>
      <x:c r="H197" s="46" t="str">
        <x:v>Perch-likes</x:v>
      </x:c>
      <x:c r="I197" s="60" t="n">
        <x:v>1.4539123378</x:v>
      </x:c>
      <x:c r="J197" s="60" t="n">
        <x:v>1.4535679516</x:v>
      </x:c>
      <x:c r="K197" s="60" t="n">
        <x:v>0.0003443862</x:v>
      </x:c>
      <x:c r="L197" s="60" t="n">
        <x:v>1.4534146407</x:v>
      </x:c>
      <x:c r="M197" s="60" t="n">
        <x:v>0.0004976971</x:v>
      </x:c>
      <x:c r="N197" s="46" t="str">
        <x:v>sander lucioperca</x:v>
      </x:c>
      <x:c r="O197" s="62" t="n">
        <x:v>4.04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Sander lucioperca</x:v>
      </x:c>
      <x:c r="T197" s="62" t="n">
        <x:f>IF(O197="","",(1/'Metadata'!$B$5)^(O197-1))</x:f>
        <x:v>9018.435152653688</x:v>
      </x:c>
      <x:c r="U197" s="60" t="n">
        <x:f>IF(T197="","",I197*T197)</x:f>
        <x:v>13112.014136092424</x:v>
      </x:c>
    </x:row>
    <x:row r="198" ht="18" customHeight="1">
      <x:c r="A198" s="46" t="str">
        <x:v>LME_022</x:v>
      </x:c>
      <x:c r="B198" s="46" t="str">
        <x:v>North Sea</x:v>
      </x:c>
      <x:c r="C198" s="46" t="str">
        <x:v>LME</x:v>
      </x:c>
      <x:c r="D198" s="58" t="n">
        <x:v>2019</x:v>
      </x:c>
      <x:c r="E198" s="46" t="str">
        <x:v>Glycymeris glycymeris</x:v>
      </x:c>
      <x:c r="F198" s="46" t="str">
        <x:v>Dog cockle</x:v>
      </x:c>
      <x:c r="G198" s="46" t="str">
        <x:v>Other demersal invertebrates</x:v>
      </x:c>
      <x:c r="H198" s="46" t="str">
        <x:v>Molluscs</x:v>
      </x:c>
      <x:c r="I198" s="60" t="n">
        <x:v>1.43052964</x:v>
      </x:c>
      <x:c r="J198" s="60" t="n">
        <x:v>1.43052964</x:v>
      </x:c>
      <x:c r="K198" s="60" t="n">
        <x:v>0</x:v>
      </x:c>
      <x:c r="L198" s="60" t="n">
        <x:v>1.4302272217</x:v>
      </x:c>
      <x:c r="M198" s="60" t="n">
        <x:v>0.0003024183</x:v>
      </x:c>
      <x:c r="N198" s="46" t="str">
        <x:v>glycymeris glycymeris</x:v>
      </x:c>
      <x:c r="O198" s="62" t="n">
        <x:v>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Glycymeris glycymeris</x:v>
      </x:c>
      <x:c r="T198" s="62" t="n">
        <x:f>IF(O198="","",(1/'Metadata'!$B$5)^(O198-1))</x:f>
        <x:v>20</x:v>
      </x:c>
      <x:c r="U198" s="60" t="n">
        <x:f>IF(T198="","",I198*T198)</x:f>
        <x:v>28.6105928</x:v>
      </x:c>
    </x:row>
    <x:row r="199" ht="18" customHeight="1">
      <x:c r="A199" s="46" t="str">
        <x:v>LME_022</x:v>
      </x:c>
      <x:c r="B199" s="46" t="str">
        <x:v>North Sea</x:v>
      </x:c>
      <x:c r="C199" s="46" t="str">
        <x:v>LME</x:v>
      </x:c>
      <x:c r="D199" s="58" t="n">
        <x:v>2019</x:v>
      </x:c>
      <x:c r="E199" s="46" t="str">
        <x:v>Scyliorhinidae</x:v>
      </x:c>
      <x:c r="F199" s="46" t="str">
        <x:v>Cat/swellsharks</x:v>
      </x:c>
      <x:c r="G199" s="46" t="str">
        <x:v>Large sharks (&gt;=90 cm)</x:v>
      </x:c>
      <x:c r="H199" s="46" t="str">
        <x:v>Sharks &amp; rays</x:v>
      </x:c>
      <x:c r="I199" s="60" t="n">
        <x:v>1.4279531278</x:v>
      </x:c>
      <x:c r="J199" s="60" t="n">
        <x:v>1.4279531278</x:v>
      </x:c>
      <x:c r="K199" s="60" t="n">
        <x:v>0</x:v>
      </x:c>
      <x:c r="L199" s="60" t="n">
        <x:v>1.4279223797</x:v>
      </x:c>
      <x:c r="M199" s="60" t="n">
        <x:v>0.0000307481</x:v>
      </x:c>
      <x:c r="N199" s="46" t="str">
        <x:v>scyliorhinidae</x:v>
      </x:c>
      <x:c r="O199" s="62" t="n">
        <x:v>3.97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Scyliorhinidae</x:v>
      </x:c>
      <x:c r="T199" s="62" t="n">
        <x:f>IF(O199="","",(1/'Metadata'!$B$5)^(O199-1))</x:f>
        <x:v>7312.385640086951</x:v>
      </x:c>
      <x:c r="U199" s="60" t="n">
        <x:f>IF(T199="","",I199*T199)</x:f>
        <x:v>10441.743946441966</x:v>
      </x:c>
    </x:row>
    <x:row r="200" ht="18" customHeight="1">
      <x:c r="A200" s="46" t="str">
        <x:v>LME_022</x:v>
      </x:c>
      <x:c r="B200" s="46" t="str">
        <x:v>North Sea</x:v>
      </x:c>
      <x:c r="C200" s="46" t="str">
        <x:v>LME</x:v>
      </x:c>
      <x:c r="D200" s="58" t="n">
        <x:v>2019</x:v>
      </x:c>
      <x:c r="E200" s="46" t="str">
        <x:v>Amblyraja hyperborea</x:v>
      </x:c>
      <x:c r="F200" s="46" t="str">
        <x:v>Arctic skate</x:v>
      </x:c>
      <x:c r="G200" s="46" t="str">
        <x:v>Small to medium rays (&lt;90 cm)</x:v>
      </x:c>
      <x:c r="H200" s="46" t="str">
        <x:v>Sharks &amp; rays</x:v>
      </x:c>
      <x:c r="I200" s="60" t="n">
        <x:v>1.3937876422</x:v>
      </x:c>
      <x:c r="J200" s="60" t="n">
        <x:v>1.3937876422</x:v>
      </x:c>
      <x:c r="K200" s="60" t="n">
        <x:v>0</x:v>
      </x:c>
      <x:c r="L200" s="60" t="n">
        <x:v>1.3937876422</x:v>
      </x:c>
      <x:c r="M200" s="60" t="n">
        <x:v>0</x:v>
      </x:c>
      <x:c r="N200" s="46" t="str">
        <x:v>amblyraja hyperborea</x:v>
      </x:c>
      <x:c r="O200" s="62" t="n">
        <x:v>4.31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Amblyraja hyperborea</x:v>
      </x:c>
      <x:c r="T200" s="62" t="n">
        <x:f>IF(O200="","",(1/'Metadata'!$B$5)^(O200-1))</x:f>
        <x:v>20249.266010115305</x:v>
      </x:c>
      <x:c r="U200" s="60" t="n">
        <x:f>IF(T200="","",I200*T200)</x:f>
        <x:v>28223.17672851921</x:v>
      </x:c>
    </x:row>
    <x:row r="201" ht="18" customHeight="1">
      <x:c r="A201" s="46" t="str">
        <x:v>LME_022</x:v>
      </x:c>
      <x:c r="B201" s="46" t="str">
        <x:v>North Sea</x:v>
      </x:c>
      <x:c r="C201" s="46" t="str">
        <x:v>LME</x:v>
      </x:c>
      <x:c r="D201" s="58" t="n">
        <x:v>2019</x:v>
      </x:c>
      <x:c r="E201" s="46" t="str">
        <x:v>Macrourus berglax</x:v>
      </x:c>
      <x:c r="F201" s="46" t="str">
        <x:v>Roughhead grenadier</x:v>
      </x:c>
      <x:c r="G201" s="46" t="str">
        <x:v>Large benthopelagics (&gt;=90 cm)</x:v>
      </x:c>
      <x:c r="H201" s="46" t="str">
        <x:v>Cod-likes</x:v>
      </x:c>
      <x:c r="I201" s="60" t="n">
        <x:v>1.2723147692</x:v>
      </x:c>
      <x:c r="J201" s="60" t="n">
        <x:v>1.2723147692</x:v>
      </x:c>
      <x:c r="K201" s="60" t="n">
        <x:v>0</x:v>
      </x:c>
      <x:c r="L201" s="60" t="n">
        <x:v>1.2723147692</x:v>
      </x:c>
      <x:c r="M201" s="60" t="n">
        <x:v>0</x:v>
      </x:c>
      <x:c r="N201" s="46" t="str">
        <x:v>macrourus berglax</x:v>
      </x:c>
      <x:c r="O201" s="62" t="n">
        <x:v>4.48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Macrourus berglax</x:v>
      </x:c>
      <x:c r="T201" s="62" t="n">
        <x:f>IF(O201="","",(1/'Metadata'!$B$5)^(O201-1))</x:f>
        <x:v>33696.468277717824</x:v>
      </x:c>
      <x:c r="U201" s="60" t="n">
        <x:f>IF(T201="","",I201*T201)</x:f>
        <x:v>42872.514259619675</x:v>
      </x:c>
    </x:row>
    <x:row r="202" ht="18" customHeight="1">
      <x:c r="A202" s="46" t="str">
        <x:v>LME_022</x:v>
      </x:c>
      <x:c r="B202" s="46" t="str">
        <x:v>North Sea</x:v>
      </x:c>
      <x:c r="C202" s="46" t="str">
        <x:v>LME</x:v>
      </x:c>
      <x:c r="D202" s="58" t="n">
        <x:v>2019</x:v>
      </x:c>
      <x:c r="E202" s="46" t="str">
        <x:v>Scorpaeniformes</x:v>
      </x:c>
      <x:c r="F202" s="46" t="str">
        <x:v>Scorpionfishes, flatheads</x:v>
      </x:c>
      <x:c r="G202" s="46" t="str">
        <x:v>Medium demersals (30 - 89 cm)</x:v>
      </x:c>
      <x:c r="H202" s="46" t="str">
        <x:v>Scorpionfishes</x:v>
      </x:c>
      <x:c r="I202" s="60" t="n">
        <x:v>1.2466972361</x:v>
      </x:c>
      <x:c r="J202" s="60" t="n">
        <x:v>0</x:v>
      </x:c>
      <x:c r="K202" s="60" t="n">
        <x:v>1.2466972361</x:v>
      </x:c>
      <x:c r="L202" s="60" t="n">
        <x:v>0</x:v>
      </x:c>
      <x:c r="M202" s="60" t="n">
        <x:v>1.2466972361</x:v>
      </x:c>
      <x:c r="N202" s="46" t="str">
        <x:v>scorpaeniformes</x:v>
      </x:c>
      <x:c r="O202" s="62" t="n">
        <x:v>3.78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Scorpaeniformes</x:v>
      </x:c>
      <x:c r="T202" s="62" t="n">
        <x:f>IF(O202="","",(1/'Metadata'!$B$5)^(O202-1))</x:f>
        <x:v>4138.694671981463</x:v>
      </x:c>
      <x:c r="U202" s="60" t="n">
        <x:f>IF(T202="","",I202*T202)</x:f>
        <x:v>5159.699208621086</x:v>
      </x:c>
    </x:row>
    <x:row r="203" ht="18" customHeight="1">
      <x:c r="A203" s="46" t="str">
        <x:v>LME_022</x:v>
      </x:c>
      <x:c r="B203" s="46" t="str">
        <x:v>North Sea</x:v>
      </x:c>
      <x:c r="C203" s="46" t="str">
        <x:v>LME</x:v>
      </x:c>
      <x:c r="D203" s="58" t="n">
        <x:v>2019</x:v>
      </x:c>
      <x:c r="E203" s="46" t="str">
        <x:v>Caproidae</x:v>
      </x:c>
      <x:c r="F203" s="46" t="str">
        <x:v>Boarfishes</x:v>
      </x:c>
      <x:c r="G203" s="46" t="str">
        <x:v>Small bathydemersals (&lt;30 cm)</x:v>
      </x:c>
      <x:c r="H203" s="46" t="str">
        <x:v>Perch-likes</x:v>
      </x:c>
      <x:c r="I203" s="60" t="n">
        <x:v>1.0098579548</x:v>
      </x:c>
      <x:c r="J203" s="60" t="n">
        <x:v>1.0098579548</x:v>
      </x:c>
      <x:c r="K203" s="60" t="n">
        <x:v>0</x:v>
      </x:c>
      <x:c r="L203" s="60" t="n">
        <x:v>1.0098579548</x:v>
      </x:c>
      <x:c r="M203" s="60" t="n">
        <x:v>0</x:v>
      </x:c>
      <x:c r="N203" s="46" t="str">
        <x:v>caproidae</x:v>
      </x:c>
      <x:c r="O203" s="62" t="n">
        <x:v>3.54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Caproidae</x:v>
      </x:c>
      <x:c r="T203" s="62" t="n">
        <x:f>IF(O203="","",(1/'Metadata'!$B$5)^(O203-1))</x:f>
        <x:v>2016.5834052007342</x:v>
      </x:c>
      <x:c r="U203" s="60" t="n">
        <x:f>IF(T203="","",I203*T203)</x:f>
        <x:v>2036.4627932596331</x:v>
      </x:c>
    </x:row>
    <x:row r="204" ht="18" customHeight="1">
      <x:c r="A204" s="46" t="str">
        <x:v>LME_022</x:v>
      </x:c>
      <x:c r="B204" s="46" t="str">
        <x:v>North Sea</x:v>
      </x:c>
      <x:c r="C204" s="46" t="str">
        <x:v>LME</x:v>
      </x:c>
      <x:c r="D204" s="58" t="n">
        <x:v>2019</x:v>
      </x:c>
      <x:c r="E204" s="46" t="str">
        <x:v>Echinus esculentus</x:v>
      </x:c>
      <x:c r="F204" s="46" t="str">
        <x:v>European edible sea urchin</x:v>
      </x:c>
      <x:c r="G204" s="46" t="str">
        <x:v>Other demersal invertebrates</x:v>
      </x:c>
      <x:c r="H204" s="46" t="str">
        <x:v>Other fishes &amp; inverts</x:v>
      </x:c>
      <x:c r="I204" s="60" t="n">
        <x:v>0.9864359063</x:v>
      </x:c>
      <x:c r="J204" s="60" t="n">
        <x:v>0.9864359063</x:v>
      </x:c>
      <x:c r="K204" s="60" t="n">
        <x:v>0</x:v>
      </x:c>
      <x:c r="L204" s="60" t="n">
        <x:v>0.9864359063</x:v>
      </x:c>
      <x:c r="M204" s="60" t="n">
        <x:v>0</x:v>
      </x:c>
      <x:c r="N204" s="46" t="str">
        <x:v>echinus esculentus</x:v>
      </x:c>
      <x:c r="O204" s="62" t="n">
        <x:v>2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Echinus esculentus</x:v>
      </x:c>
      <x:c r="T204" s="62" t="n">
        <x:f>IF(O204="","",(1/'Metadata'!$B$5)^(O204-1))</x:f>
        <x:v>20</x:v>
      </x:c>
      <x:c r="U204" s="60" t="n">
        <x:f>IF(T204="","",I204*T204)</x:f>
        <x:v>19.728718126</x:v>
      </x:c>
    </x:row>
    <x:row r="205" ht="18" customHeight="1">
      <x:c r="A205" s="46" t="str">
        <x:v>LME_022</x:v>
      </x:c>
      <x:c r="B205" s="46" t="str">
        <x:v>North Sea</x:v>
      </x:c>
      <x:c r="C205" s="46" t="str">
        <x:v>LME</x:v>
      </x:c>
      <x:c r="D205" s="58" t="n">
        <x:v>2019</x:v>
      </x:c>
      <x:c r="E205" s="46" t="str">
        <x:v>Scomberesox saurus</x:v>
      </x:c>
      <x:c r="F205" s="46" t="str">
        <x:v>Atlantic saury</x:v>
      </x:c>
      <x:c r="G205" s="46" t="str">
        <x:v>Medium pelagics (30 - 89 cm)</x:v>
      </x:c>
      <x:c r="H205" s="46" t="str">
        <x:v>Other fishes &amp; inverts</x:v>
      </x:c>
      <x:c r="I205" s="60" t="n">
        <x:v>0.9767414523000001</x:v>
      </x:c>
      <x:c r="J205" s="60" t="n">
        <x:v>0.9767414523000001</x:v>
      </x:c>
      <x:c r="K205" s="60" t="n">
        <x:v>0</x:v>
      </x:c>
      <x:c r="L205" s="60" t="n">
        <x:v>0.9767414523000001</x:v>
      </x:c>
      <x:c r="M205" s="60" t="n">
        <x:v>0</x:v>
      </x:c>
      <x:c r="N205" s="46" t="str">
        <x:v>scomberesox saurus</x:v>
      </x:c>
      <x:c r="O205" s="62" t="n">
        <x:v>3.91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Scomberesox saurus</x:v>
      </x:c>
      <x:c r="T205" s="62" t="n">
        <x:f>IF(O205="","",(1/'Metadata'!$B$5)^(O205-1))</x:f>
        <x:v>6109.382089532312</x:v>
      </x:c>
      <x:c r="U205" s="60" t="n">
        <x:f>IF(T205="","",I205*T205)</x:f>
        <x:v>5967.2867347854</x:v>
      </x:c>
    </x:row>
    <x:row r="206" ht="18" customHeight="1">
      <x:c r="A206" s="46" t="str">
        <x:v>LME_022</x:v>
      </x:c>
      <x:c r="B206" s="46" t="str">
        <x:v>North Sea</x:v>
      </x:c>
      <x:c r="C206" s="46" t="str">
        <x:v>LME</x:v>
      </x:c>
      <x:c r="D206" s="58" t="n">
        <x:v>2019</x:v>
      </x:c>
      <x:c r="E206" s="46" t="str">
        <x:v>Cepola macrophthalma</x:v>
      </x:c>
      <x:c r="F206" s="46" t="str">
        <x:v>Red bandfish</x:v>
      </x:c>
      <x:c r="G206" s="46" t="str">
        <x:v>Medium demersals (30 - 89 cm)</x:v>
      </x:c>
      <x:c r="H206" s="46" t="str">
        <x:v>Perch-likes</x:v>
      </x:c>
      <x:c r="I206" s="60" t="n">
        <x:v>0.9570839254</x:v>
      </x:c>
      <x:c r="J206" s="60" t="n">
        <x:v>0.0043559954</x:v>
      </x:c>
      <x:c r="K206" s="60" t="n">
        <x:v>0.95272793</x:v>
      </x:c>
      <x:c r="L206" s="60" t="n">
        <x:v>0.0043559954</x:v>
      </x:c>
      <x:c r="M206" s="60" t="n">
        <x:v>0.95272793</x:v>
      </x:c>
      <x:c r="N206" s="46" t="str">
        <x:v>cepola macrophthalma</x:v>
      </x:c>
      <x:c r="O206" s="62" t="n">
        <x:v>3.13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Cepola macrophthalma</x:v>
      </x:c>
      <x:c r="T206" s="62" t="n">
        <x:f>IF(O206="","",(1/'Metadata'!$B$5)^(O206-1))</x:f>
        <x:v>590.4646342618306</x:v>
      </x:c>
      <x:c r="U206" s="60" t="n">
        <x:f>IF(T206="","",I206*T206)</x:f>
        <x:v>565.1242099691882</x:v>
      </x:c>
    </x:row>
    <x:row r="207" ht="18" customHeight="1">
      <x:c r="A207" s="46" t="str">
        <x:v>LME_022</x:v>
      </x:c>
      <x:c r="B207" s="46" t="str">
        <x:v>North Sea</x:v>
      </x:c>
      <x:c r="C207" s="46" t="str">
        <x:v>LME</x:v>
      </x:c>
      <x:c r="D207" s="58" t="n">
        <x:v>2019</x:v>
      </x:c>
      <x:c r="E207" s="46" t="str">
        <x:v>Scorpaena</x:v>
      </x:c>
      <x:c r="F207" s="46" t="str">
        <x:v>Scorpionfishes</x:v>
      </x:c>
      <x:c r="G207" s="46" t="str">
        <x:v>Large reef assoc. fish (&gt;=90 cm)</x:v>
      </x:c>
      <x:c r="H207" s="46" t="str">
        <x:v>Scorpionfishes</x:v>
      </x:c>
      <x:c r="I207" s="60" t="n">
        <x:v>0.7867643683</x:v>
      </x:c>
      <x:c r="J207" s="60" t="n">
        <x:v>0.7867643683</x:v>
      </x:c>
      <x:c r="K207" s="60" t="n">
        <x:v>0</x:v>
      </x:c>
      <x:c r="L207" s="60" t="n">
        <x:v>0.7864477052</x:v>
      </x:c>
      <x:c r="M207" s="60" t="n">
        <x:v>0.0003166631</x:v>
      </x:c>
      <x:c r="N207" s="46" t="str">
        <x:v>scorpaena</x:v>
      </x:c>
      <x:c r="O207" s="62" t="n">
        <x:v>3.87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Scorpaena</x:v>
      </x:c>
      <x:c r="T207" s="62" t="n">
        <x:f>IF(O207="","",(1/'Metadata'!$B$5)^(O207-1))</x:f>
        <x:v>5419.460903023396</x:v>
      </x:c>
      <x:c r="U207" s="60" t="n">
        <x:f>IF(T207="","",I207*T207)</x:f>
        <x:v>4263.838733893749</x:v>
      </x:c>
    </x:row>
    <x:row r="208" ht="18" customHeight="1">
      <x:c r="A208" s="46" t="str">
        <x:v>LME_022</x:v>
      </x:c>
      <x:c r="B208" s="46" t="str">
        <x:v>North Sea</x:v>
      </x:c>
      <x:c r="C208" s="46" t="str">
        <x:v>LME</x:v>
      </x:c>
      <x:c r="D208" s="58" t="n">
        <x:v>2019</x:v>
      </x:c>
      <x:c r="E208" s="46" t="str">
        <x:v>Anarhichas denticulatus</x:v>
      </x:c>
      <x:c r="F208" s="46" t="str">
        <x:v>Northern wolffish</x:v>
      </x:c>
      <x:c r="G208" s="46" t="str">
        <x:v>Large benthopelagics (&gt;=90 cm)</x:v>
      </x:c>
      <x:c r="H208" s="46" t="str">
        <x:v>Perch-likes</x:v>
      </x:c>
      <x:c r="I208" s="60" t="n">
        <x:v>0.6136022277</x:v>
      </x:c>
      <x:c r="J208" s="60" t="n">
        <x:v>0.6136022277</x:v>
      </x:c>
      <x:c r="K208" s="60" t="n">
        <x:v>0</x:v>
      </x:c>
      <x:c r="L208" s="60" t="n">
        <x:v>0.6136022277</x:v>
      </x:c>
      <x:c r="M208" s="60" t="n">
        <x:v>0</x:v>
      </x:c>
      <x:c r="N208" s="46" t="str">
        <x:v>anarhichas denticulatus</x:v>
      </x:c>
      <x:c r="O208" s="62" t="n">
        <x:v>3.75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Anarhichas denticulatus</x:v>
      </x:c>
      <x:c r="T208" s="62" t="n">
        <x:f>IF(O208="","",(1/'Metadata'!$B$5)^(O208-1))</x:f>
        <x:v>3782.966436012703</x:v>
      </x:c>
      <x:c r="U208" s="60" t="n">
        <x:f>IF(T208="","",I208*T208)</x:f>
        <x:v>2321.236632451724</x:v>
      </x:c>
    </x:row>
    <x:row r="209" ht="18" customHeight="1">
      <x:c r="A209" s="46" t="str">
        <x:v>LME_022</x:v>
      </x:c>
      <x:c r="B209" s="46" t="str">
        <x:v>North Sea</x:v>
      </x:c>
      <x:c r="C209" s="46" t="str">
        <x:v>LME</x:v>
      </x:c>
      <x:c r="D209" s="58" t="n">
        <x:v>2019</x:v>
      </x:c>
      <x:c r="E209" s="46" t="str">
        <x:v>Centrolophus niger</x:v>
      </x:c>
      <x:c r="F209" s="46" t="str">
        <x:v>Rudderfish</x:v>
      </x:c>
      <x:c r="G209" s="46" t="str">
        <x:v>Large bathypelagics (&gt;=90 cm)</x:v>
      </x:c>
      <x:c r="H209" s="46" t="str">
        <x:v>Perch-likes</x:v>
      </x:c>
      <x:c r="I209" s="60" t="n">
        <x:v>0.6052678468</x:v>
      </x:c>
      <x:c r="J209" s="60" t="n">
        <x:v>0.6052678468</x:v>
      </x:c>
      <x:c r="K209" s="60" t="n">
        <x:v>0</x:v>
      </x:c>
      <x:c r="L209" s="60" t="n">
        <x:v>0.6052678468</x:v>
      </x:c>
      <x:c r="M209" s="60" t="n">
        <x:v>0</x:v>
      </x:c>
      <x:c r="N209" s="46" t="str">
        <x:v>centrolophus niger</x:v>
      </x:c>
      <x:c r="O209" s="62" t="n">
        <x:v>3.92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Centrolophus niger</x:v>
      </x:c>
      <x:c r="T209" s="62" t="n">
        <x:f>IF(O209="","",(1/'Metadata'!$B$5)^(O209-1))</x:f>
        <x:v>6295.1718073679995</x:v>
      </x:c>
      <x:c r="U209" s="60" t="n">
        <x:f>IF(T209="","",I209*T209)</x:f>
        <x:v>3810.2650850816935</x:v>
      </x:c>
    </x:row>
    <x:row r="210" ht="18" customHeight="1">
      <x:c r="A210" s="46" t="str">
        <x:v>LME_022</x:v>
      </x:c>
      <x:c r="B210" s="46" t="str">
        <x:v>North Sea</x:v>
      </x:c>
      <x:c r="C210" s="46" t="str">
        <x:v>LME</x:v>
      </x:c>
      <x:c r="D210" s="58" t="n">
        <x:v>2019</x:v>
      </x:c>
      <x:c r="E210" s="46" t="str">
        <x:v>Epigonus telescopus</x:v>
      </x:c>
      <x:c r="F210" s="46" t="str">
        <x:v>Black cardinal fish</x:v>
      </x:c>
      <x:c r="G210" s="46" t="str">
        <x:v>Medium bathydemersals (30 - 89 cm)</x:v>
      </x:c>
      <x:c r="H210" s="46" t="str">
        <x:v>Perch-likes</x:v>
      </x:c>
      <x:c r="I210" s="60" t="n">
        <x:v>0.5824030867000001</x:v>
      </x:c>
      <x:c r="J210" s="60" t="n">
        <x:v>0.5824030867000001</x:v>
      </x:c>
      <x:c r="K210" s="60" t="n">
        <x:v>0</x:v>
      </x:c>
      <x:c r="L210" s="60" t="n">
        <x:v>0.5824030867000001</x:v>
      </x:c>
      <x:c r="M210" s="60" t="n">
        <x:v>0</x:v>
      </x:c>
      <x:c r="N210" s="46" t="str">
        <x:v>epigonus telescopus</x:v>
      </x:c>
      <x:c r="O210" s="62" t="n">
        <x:v>3.59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Epigonus telescopus</x:v>
      </x:c>
      <x:c r="T210" s="62" t="n">
        <x:f>IF(O210="","",(1/'Metadata'!$B$5)^(O210-1))</x:f>
        <x:v>2342.4357563948306</x:v>
      </x:c>
      <x:c r="U210" s="60" t="n">
        <x:f>IF(T210="","",I210*T210)</x:f>
        <x:v>1364.2418149207988</x:v>
      </x:c>
    </x:row>
    <x:row r="211" ht="18" customHeight="1">
      <x:c r="A211" s="46" t="str">
        <x:v>LME_022</x:v>
      </x:c>
      <x:c r="B211" s="46" t="str">
        <x:v>North Sea</x:v>
      </x:c>
      <x:c r="C211" s="46" t="str">
        <x:v>LME</x:v>
      </x:c>
      <x:c r="D211" s="58" t="n">
        <x:v>2019</x:v>
      </x:c>
      <x:c r="E211" s="46" t="str">
        <x:v>Pandalus montagui</x:v>
      </x:c>
      <x:c r="F211" s="46" t="str">
        <x:v>Aesop shrimp</x:v>
      </x:c>
      <x:c r="G211" s="46" t="str">
        <x:v>Shrimps</x:v>
      </x:c>
      <x:c r="H211" s="46" t="str">
        <x:v>Crustaceans</x:v>
      </x:c>
      <x:c r="I211" s="60" t="n">
        <x:v>0.5507614673000001</x:v>
      </x:c>
      <x:c r="J211" s="60" t="n">
        <x:v>0.5404555182</x:v>
      </x:c>
      <x:c r="K211" s="60" t="n">
        <x:v>0.0103059491</x:v>
      </x:c>
      <x:c r="L211" s="60" t="n">
        <x:v>0.5174905258</x:v>
      </x:c>
      <x:c r="M211" s="60" t="n">
        <x:v>0.0332709415</x:v>
      </x:c>
      <x:c r="N211" s="46" t="str">
        <x:v>pandalus montagui</x:v>
      </x:c>
      <x:c r="O211" s="62" t="n">
        <x:v>2.3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Pandalus montagui</x:v>
      </x:c>
      <x:c r="T211" s="62" t="n">
        <x:f>IF(O211="","",(1/'Metadata'!$B$5)^(O211-1))</x:f>
        <x:v>49.12912104463159</x:v>
      </x:c>
      <x:c r="U211" s="60" t="n">
        <x:f>IF(T211="","",I211*T211)</x:f>
        <x:v>27.058426793700608</x:v>
      </x:c>
    </x:row>
    <x:row r="212" ht="18" customHeight="1">
      <x:c r="A212" s="46" t="str">
        <x:v>LME_022</x:v>
      </x:c>
      <x:c r="B212" s="46" t="str">
        <x:v>North Sea</x:v>
      </x:c>
      <x:c r="C212" s="46" t="str">
        <x:v>LME</x:v>
      </x:c>
      <x:c r="D212" s="58" t="n">
        <x:v>2019</x:v>
      </x:c>
      <x:c r="E212" s="46" t="str">
        <x:v>Chondrichthyes</x:v>
      </x:c>
      <x:c r="F212" s="46" t="str">
        <x:v>Sharks, rays, chimaeras</x:v>
      </x:c>
      <x:c r="G212" s="46" t="str">
        <x:v>Large sharks (&gt;=90 cm)</x:v>
      </x:c>
      <x:c r="H212" s="46" t="str">
        <x:v>Sharks &amp; rays</x:v>
      </x:c>
      <x:c r="I212" s="60" t="n">
        <x:v>0.5260711903999999</x:v>
      </x:c>
      <x:c r="J212" s="60" t="n">
        <x:v>0.5247444284</x:v>
      </x:c>
      <x:c r="K212" s="60" t="n">
        <x:v>0.001326762</x:v>
      </x:c>
      <x:c r="L212" s="60" t="n">
        <x:v>0.521787973</x:v>
      </x:c>
      <x:c r="M212" s="60" t="n">
        <x:v>0.0042832174</x:v>
      </x:c>
      <x:c r="N212" s="46" t="str">
        <x:v>chondrichthyes</x:v>
      </x:c>
      <x:c r="O212" s="62" t="n">
        <x:v>4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Chondrichthyes</x:v>
      </x:c>
      <x:c r="T212" s="62" t="n">
        <x:f>IF(O212="","",(1/'Metadata'!$B$5)^(O212-1))</x:f>
        <x:v>8000</x:v>
      </x:c>
      <x:c r="U212" s="60" t="n">
        <x:f>IF(T212="","",I212*T212)</x:f>
        <x:v>4208.5695232</x:v>
      </x:c>
    </x:row>
    <x:row r="213" ht="18" customHeight="1">
      <x:c r="A213" s="46" t="str">
        <x:v>LME_022</x:v>
      </x:c>
      <x:c r="B213" s="46" t="str">
        <x:v>North Sea</x:v>
      </x:c>
      <x:c r="C213" s="46" t="str">
        <x:v>LME</x:v>
      </x:c>
      <x:c r="D213" s="58" t="n">
        <x:v>2019</x:v>
      </x:c>
      <x:c r="E213" s="46" t="str">
        <x:v>Clupeiformes</x:v>
      </x:c>
      <x:c r="F213" s="46" t="str">
        <x:v>Herrings, shads, anchovies</x:v>
      </x:c>
      <x:c r="G213" s="46" t="str">
        <x:v>Small pelagics (&lt;30 cm)</x:v>
      </x:c>
      <x:c r="H213" s="46" t="str">
        <x:v>Other fishes &amp; inverts</x:v>
      </x:c>
      <x:c r="I213" s="60" t="n">
        <x:v>0.4847840647</x:v>
      </x:c>
      <x:c r="J213" s="60" t="n">
        <x:v>0.4847840647</x:v>
      </x:c>
      <x:c r="K213" s="60" t="n">
        <x:v>0</x:v>
      </x:c>
      <x:c r="L213" s="60" t="n">
        <x:v>0.4847840647</x:v>
      </x:c>
      <x:c r="M213" s="60" t="n">
        <x:v>0</x:v>
      </x:c>
      <x:c r="N213" s="46" t="str">
        <x:v>clupeiformes</x:v>
      </x:c>
      <x:c r="O213" s="62" t="n">
        <x:v>3.24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Clupeiformes</x:v>
      </x:c>
      <x:c r="T213" s="62" t="n">
        <x:f>IF(O213="","",(1/'Metadata'!$B$5)^(O213-1))</x:f>
        <x:v>820.9320103116679</x:v>
      </x:c>
      <x:c r="U213" s="60" t="n">
        <x:f>IF(T213="","",I213*T213)</x:f>
        <x:v>397.9747568012327</x:v>
      </x:c>
    </x:row>
    <x:row r="214" ht="18" customHeight="1">
      <x:c r="A214" s="46" t="str">
        <x:v>LME_022</x:v>
      </x:c>
      <x:c r="B214" s="46" t="str">
        <x:v>North Sea</x:v>
      </x:c>
      <x:c r="C214" s="46" t="str">
        <x:v>LME</x:v>
      </x:c>
      <x:c r="D214" s="58" t="n">
        <x:v>2019</x:v>
      </x:c>
      <x:c r="E214" s="46" t="str">
        <x:v>Alosa fallax</x:v>
      </x:c>
      <x:c r="F214" s="46" t="str">
        <x:v>Twaite shad</x:v>
      </x:c>
      <x:c r="G214" s="46" t="str">
        <x:v>Medium pelagics (30 - 89 cm)</x:v>
      </x:c>
      <x:c r="H214" s="46" t="str">
        <x:v>Herring-likes</x:v>
      </x:c>
      <x:c r="I214" s="60" t="n">
        <x:v>0.44720310490000004</x:v>
      </x:c>
      <x:c r="J214" s="60" t="n">
        <x:v>0.44720310490000004</x:v>
      </x:c>
      <x:c r="K214" s="60" t="n">
        <x:v>0</x:v>
      </x:c>
      <x:c r="L214" s="60" t="n">
        <x:v>0.44720310490000004</x:v>
      </x:c>
      <x:c r="M214" s="60" t="n">
        <x:v>0</x:v>
      </x:c>
      <x:c r="N214" s="46" t="str">
        <x:v>alosa fallax</x:v>
      </x:c>
      <x:c r="O214" s="62" t="n">
        <x:v>4.03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Alosa fallax</x:v>
      </x:c>
      <x:c r="T214" s="62" t="n">
        <x:f>IF(O214="","",(1/'Metadata'!$B$5)^(O214-1))</x:f>
        <x:v>8752.273628615554</x:v>
      </x:c>
      <x:c r="U214" s="60" t="n">
        <x:f>IF(T214="","",I214*T214)</x:f>
        <x:v>3914.0439416512654</x:v>
      </x:c>
    </x:row>
    <x:row r="215" ht="18" customHeight="1">
      <x:c r="A215" s="46" t="str">
        <x:v>LME_022</x:v>
      </x:c>
      <x:c r="B215" s="46" t="str">
        <x:v>North Sea</x:v>
      </x:c>
      <x:c r="C215" s="46" t="str">
        <x:v>LME</x:v>
      </x:c>
      <x:c r="D215" s="58" t="n">
        <x:v>2019</x:v>
      </x:c>
      <x:c r="E215" s="46" t="str">
        <x:v>Lepidopus caudatus</x:v>
      </x:c>
      <x:c r="F215" s="46" t="str">
        <x:v>Silver scabbardfish</x:v>
      </x:c>
      <x:c r="G215" s="46" t="str">
        <x:v>Large bathydemersals (&gt;=90 cm)</x:v>
      </x:c>
      <x:c r="H215" s="46" t="str">
        <x:v>Perch-likes</x:v>
      </x:c>
      <x:c r="I215" s="60" t="n">
        <x:v>0.43149512900000003</x:v>
      </x:c>
      <x:c r="J215" s="60" t="n">
        <x:v>0.43149512900000003</x:v>
      </x:c>
      <x:c r="K215" s="60" t="n">
        <x:v>0</x:v>
      </x:c>
      <x:c r="L215" s="60" t="n">
        <x:v>0.43149512900000003</x:v>
      </x:c>
      <x:c r="M215" s="60" t="n">
        <x:v>0</x:v>
      </x:c>
      <x:c r="N215" s="46" t="str">
        <x:v>lepidopus caudatus</x:v>
      </x:c>
      <x:c r="O215" s="62" t="n">
        <x:v>3.82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Lepidopus caudatus</x:v>
      </x:c>
      <x:c r="T215" s="62" t="n">
        <x:f>IF(O215="","",(1/'Metadata'!$B$5)^(O215-1))</x:f>
        <x:v>4665.56868948727</x:v>
      </x:c>
      <x:c r="U215" s="60" t="n">
        <x:f>IF(T215="","",I215*T215)</x:f>
        <x:v>2013.1701635286706</x:v>
      </x:c>
    </x:row>
    <x:row r="216" ht="18" customHeight="1">
      <x:c r="A216" s="46" t="str">
        <x:v>LME_022</x:v>
      </x:c>
      <x:c r="B216" s="46" t="str">
        <x:v>North Sea</x:v>
      </x:c>
      <x:c r="C216" s="46" t="str">
        <x:v>LME</x:v>
      </x:c>
      <x:c r="D216" s="58" t="n">
        <x:v>2019</x:v>
      </x:c>
      <x:c r="E216" s="46" t="str">
        <x:v>Veneridae</x:v>
      </x:c>
      <x:c r="F216" s="46" t="str">
        <x:v>Venus clams</x:v>
      </x:c>
      <x:c r="G216" s="46" t="str">
        <x:v>Other demersal invertebrates</x:v>
      </x:c>
      <x:c r="H216" s="46" t="str">
        <x:v>Molluscs</x:v>
      </x:c>
      <x:c r="I216" s="60" t="n">
        <x:v>0.32213826689999997</x:v>
      </x:c>
      <x:c r="J216" s="60" t="n">
        <x:v>0.32213826689999997</x:v>
      </x:c>
      <x:c r="K216" s="60" t="n">
        <x:v>0</x:v>
      </x:c>
      <x:c r="L216" s="60" t="n">
        <x:v>0.32213826689999997</x:v>
      </x:c>
      <x:c r="M216" s="60" t="n">
        <x:v>0</x:v>
      </x:c>
      <x:c r="N216" s="46" t="str">
        <x:v>veneridae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Veneridae</x:v>
      </x:c>
      <x:c r="T216" s="62" t="n">
        <x:f>IF(O216="","",(1/'Metadata'!$B$5)^(O216-1))</x:f>
        <x:v>20</x:v>
      </x:c>
      <x:c r="U216" s="60" t="n">
        <x:f>IF(T216="","",I216*T216)</x:f>
        <x:v>6.442765337999999</x:v>
      </x:c>
    </x:row>
    <x:row r="217" ht="18" customHeight="1">
      <x:c r="A217" s="46" t="str">
        <x:v>LME_022</x:v>
      </x:c>
      <x:c r="B217" s="46" t="str">
        <x:v>North Sea</x:v>
      </x:c>
      <x:c r="C217" s="46" t="str">
        <x:v>LME</x:v>
      </x:c>
      <x:c r="D217" s="58" t="n">
        <x:v>2019</x:v>
      </x:c>
      <x:c r="E217" s="46" t="str">
        <x:v>Palinurus</x:v>
      </x:c>
      <x:c r="F217" s="46" t="str">
        <x:v>Spiny lobsters</x:v>
      </x:c>
      <x:c r="G217" s="46" t="str">
        <x:v>Lobsters, crabs</x:v>
      </x:c>
      <x:c r="H217" s="46" t="str">
        <x:v>Crustaceans</x:v>
      </x:c>
      <x:c r="I217" s="60" t="n">
        <x:v>0.3217363241</x:v>
      </x:c>
      <x:c r="J217" s="60" t="n">
        <x:v>0.3217363241</x:v>
      </x:c>
      <x:c r="K217" s="60" t="n">
        <x:v>0</x:v>
      </x:c>
      <x:c r="L217" s="60" t="n">
        <x:v>0.3217363241</x:v>
      </x:c>
      <x:c r="M217" s="60" t="n">
        <x:v>0</x:v>
      </x:c>
      <x:c r="N217" s="46" t="str">
        <x:v>palinurus</x:v>
      </x:c>
      <x:c r="O217" s="62" t="n">
        <x:v>2.7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Palinurus</x:v>
      </x:c>
      <x:c r="T217" s="62" t="n">
        <x:f>IF(O217="","",(1/'Metadata'!$B$5)^(O217-1))</x:f>
        <x:v>162.83621261476185</x:v>
      </x:c>
      <x:c r="U217" s="60" t="n">
        <x:f>IF(T217="","",I217*T217)</x:f>
        <x:v>52.39032447703953</x:v>
      </x:c>
    </x:row>
    <x:row r="218" ht="18" customHeight="1">
      <x:c r="A218" s="46" t="str">
        <x:v>LME_022</x:v>
      </x:c>
      <x:c r="B218" s="46" t="str">
        <x:v>North Sea</x:v>
      </x:c>
      <x:c r="C218" s="46" t="str">
        <x:v>LME</x:v>
      </x:c>
      <x:c r="D218" s="58" t="n">
        <x:v>2019</x:v>
      </x:c>
      <x:c r="E218" s="46" t="str">
        <x:v>Chaceon affinis</x:v>
      </x:c>
      <x:c r="F218" s="46" t="str">
        <x:v>Deepsea red crab</x:v>
      </x:c>
      <x:c r="G218" s="46" t="str">
        <x:v>Lobsters, crabs</x:v>
      </x:c>
      <x:c r="H218" s="46" t="str">
        <x:v>Crustaceans</x:v>
      </x:c>
      <x:c r="I218" s="60" t="n">
        <x:v>0.26528352850000003</x:v>
      </x:c>
      <x:c r="J218" s="60" t="n">
        <x:v>0.26528352850000003</x:v>
      </x:c>
      <x:c r="K218" s="60" t="n">
        <x:v>0</x:v>
      </x:c>
      <x:c r="L218" s="60" t="n">
        <x:v>0.26528352850000003</x:v>
      </x:c>
      <x:c r="M218" s="60" t="n">
        <x:v>0</x:v>
      </x:c>
      <x:c r="N218" s="46" t="str">
        <x:v>chaceon affinis</x:v>
      </x:c>
      <x:c r="O218" s="62" t="n">
        <x:v>3.1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Chaceon affinis</x:v>
      </x:c>
      <x:c r="T218" s="62" t="n">
        <x:f>IF(O218="","",(1/'Metadata'!$B$5)^(O218-1))</x:f>
        <x:v>539.7131390694254</x:v>
      </x:c>
      <x:c r="U218" s="60" t="n">
        <x:f>IF(T218="","",I218*T218)</x:f>
        <x:v>143.1770059101484</x:v>
      </x:c>
    </x:row>
    <x:row r="219" ht="18" customHeight="1">
      <x:c r="A219" s="46" t="str">
        <x:v>LME_022</x:v>
      </x:c>
      <x:c r="B219" s="46" t="str">
        <x:v>North Sea</x:v>
      </x:c>
      <x:c r="C219" s="46" t="str">
        <x:v>LME</x:v>
      </x:c>
      <x:c r="D219" s="58" t="n">
        <x:v>2019</x:v>
      </x:c>
      <x:c r="E219" s="46" t="str">
        <x:v>Malacostraca</x:v>
      </x:c>
      <x:c r="F219" s="46" t="str">
        <x:v>Lobsters, crabs, shrimps, krill</x:v>
      </x:c>
      <x:c r="G219" s="46" t="str">
        <x:v>Shrimps</x:v>
      </x:c>
      <x:c r="H219" s="46" t="str">
        <x:v>Crustaceans</x:v>
      </x:c>
      <x:c r="I219" s="60" t="n">
        <x:v>0.2541089805</x:v>
      </x:c>
      <x:c r="J219" s="60" t="n">
        <x:v>0.2541089805</x:v>
      </x:c>
      <x:c r="K219" s="60" t="n">
        <x:v>0</x:v>
      </x:c>
      <x:c r="L219" s="60" t="n">
        <x:v>0.2541089805</x:v>
      </x:c>
      <x:c r="M219" s="60" t="n">
        <x:v>0</x:v>
      </x:c>
      <x:c r="N219" s="46" t="str">
        <x:v>malacostraca</x:v>
      </x:c>
      <x:c r="O219" s="62" t="n">
        <x:v>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Malacostraca</x:v>
      </x:c>
      <x:c r="T219" s="62" t="n">
        <x:f>IF(O219="","",(1/'Metadata'!$B$5)^(O219-1))</x:f>
        <x:v>400</x:v>
      </x:c>
      <x:c r="U219" s="60" t="n">
        <x:f>IF(T219="","",I219*T219)</x:f>
        <x:v>101.64359220000001</x:v>
      </x:c>
    </x:row>
    <x:row r="220" ht="18" customHeight="1">
      <x:c r="A220" s="46" t="str">
        <x:v>LME_022</x:v>
      </x:c>
      <x:c r="B220" s="46" t="str">
        <x:v>North Sea</x:v>
      </x:c>
      <x:c r="C220" s="46" t="str">
        <x:v>LME</x:v>
      </x:c>
      <x:c r="D220" s="58" t="n">
        <x:v>2019</x:v>
      </x:c>
      <x:c r="E220" s="46" t="str">
        <x:v>Pagellus bogaraveo</x:v>
      </x:c>
      <x:c r="F220" s="46" t="str">
        <x:v>Blackspot seabream</x:v>
      </x:c>
      <x:c r="G220" s="46" t="str">
        <x:v>Medium benthopelagics (30 - 89 cm)</x:v>
      </x:c>
      <x:c r="H220" s="46" t="str">
        <x:v>Perch-likes</x:v>
      </x:c>
      <x:c r="I220" s="60" t="n">
        <x:v>0.25347228709999997</x:v>
      </x:c>
      <x:c r="J220" s="60" t="n">
        <x:v>0.25347228709999997</x:v>
      </x:c>
      <x:c r="K220" s="60" t="n">
        <x:v>0</x:v>
      </x:c>
      <x:c r="L220" s="60" t="n">
        <x:v>0.2534263954</x:v>
      </x:c>
      <x:c r="M220" s="60" t="n">
        <x:v>0.0000458917</x:v>
      </x:c>
      <x:c r="N220" s="46" t="str">
        <x:v>pagellus bogaraveo</x:v>
      </x:c>
      <x:c r="O220" s="62" t="n">
        <x:v>4.21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Pagellus bogaraveo</x:v>
      </x:c>
      <x:c r="T220" s="62" t="n">
        <x:f>IF(O220="","",(1/'Metadata'!$B$5)^(O220-1))</x:f>
        <x:v>15007.428609226863</x:v>
      </x:c>
      <x:c r="U220" s="60" t="n">
        <x:f>IF(T220="","",I220*T220)</x:f>
        <x:v>3803.967253070705</x:v>
      </x:c>
    </x:row>
    <x:row r="221" ht="18" customHeight="1">
      <x:c r="A221" s="46" t="str">
        <x:v>LME_022</x:v>
      </x:c>
      <x:c r="B221" s="46" t="str">
        <x:v>North Sea</x:v>
      </x:c>
      <x:c r="C221" s="46" t="str">
        <x:v>LME</x:v>
      </x:c>
      <x:c r="D221" s="58" t="n">
        <x:v>2019</x:v>
      </x:c>
      <x:c r="E221" s="46" t="str">
        <x:v>Trachinidae</x:v>
      </x:c>
      <x:c r="F221" s="46" t="str">
        <x:v>Weeverfishes</x:v>
      </x:c>
      <x:c r="G221" s="46" t="str">
        <x:v>Medium demersals (30 - 89 cm)</x:v>
      </x:c>
      <x:c r="H221" s="46" t="str">
        <x:v>Perch-likes</x:v>
      </x:c>
      <x:c r="I221" s="60" t="n">
        <x:v>0.2308032305</x:v>
      </x:c>
      <x:c r="J221" s="60" t="n">
        <x:v>0.2308032305</x:v>
      </x:c>
      <x:c r="K221" s="60" t="n">
        <x:v>0</x:v>
      </x:c>
      <x:c r="L221" s="60" t="n">
        <x:v>0.2308032305</x:v>
      </x:c>
      <x:c r="M221" s="60" t="n">
        <x:v>0</x:v>
      </x:c>
      <x:c r="N221" s="46" t="str">
        <x:v>trachinidae</x:v>
      </x:c>
      <x:c r="O221" s="62" t="n">
        <x:v>3.95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Trachinidae</x:v>
      </x:c>
      <x:c r="T221" s="62" t="n">
        <x:f>IF(O221="","",(1/'Metadata'!$B$5)^(O221-1))</x:f>
        <x:v>6887.133274653882</x:v>
      </x:c>
      <x:c r="U221" s="60" t="n">
        <x:f>IF(T221="","",I221*T221)</x:f>
        <x:v>1589.5726086741597</x:v>
      </x:c>
    </x:row>
    <x:row r="222" ht="18" customHeight="1">
      <x:c r="A222" s="46" t="str">
        <x:v>LME_022</x:v>
      </x:c>
      <x:c r="B222" s="46" t="str">
        <x:v>North Sea</x:v>
      </x:c>
      <x:c r="C222" s="46" t="str">
        <x:v>LME</x:v>
      </x:c>
      <x:c r="D222" s="58" t="n">
        <x:v>2019</x:v>
      </x:c>
      <x:c r="E222" s="46" t="str">
        <x:v>Alopias vulpinus</x:v>
      </x:c>
      <x:c r="F222" s="46" t="str">
        <x:v>Thresher</x:v>
      </x:c>
      <x:c r="G222" s="46" t="str">
        <x:v>Large sharks (&gt;=90 cm)</x:v>
      </x:c>
      <x:c r="H222" s="46" t="str">
        <x:v>Sharks &amp; rays</x:v>
      </x:c>
      <x:c r="I222" s="60" t="n">
        <x:v>0.2107964846</x:v>
      </x:c>
      <x:c r="J222" s="60" t="n">
        <x:v>0.2107964846</x:v>
      </x:c>
      <x:c r="K222" s="60" t="n">
        <x:v>0</x:v>
      </x:c>
      <x:c r="L222" s="60" t="n">
        <x:v>0.2107964846</x:v>
      </x:c>
      <x:c r="M222" s="60" t="n">
        <x:v>0</x:v>
      </x:c>
      <x:c r="N222" s="46" t="str">
        <x:v>alopias vulpinus</x:v>
      </x:c>
      <x:c r="O222" s="62" t="n">
        <x:v>4.5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Alopias vulpinus</x:v>
      </x:c>
      <x:c r="T222" s="62" t="n">
        <x:f>IF(O222="","",(1/'Metadata'!$B$5)^(O222-1))</x:f>
        <x:v>35777.08763999664</x:v>
      </x:c>
      <x:c r="U222" s="60" t="n">
        <x:f>IF(T222="","",I222*T222)</x:f>
        <x:v>7541.684303737401</x:v>
      </x:c>
    </x:row>
    <x:row r="223" ht="18" customHeight="1">
      <x:c r="A223" s="46" t="str">
        <x:v>LME_022</x:v>
      </x:c>
      <x:c r="B223" s="46" t="str">
        <x:v>North Sea</x:v>
      </x:c>
      <x:c r="C223" s="46" t="str">
        <x:v>LME</x:v>
      </x:c>
      <x:c r="D223" s="58" t="n">
        <x:v>2019</x:v>
      </x:c>
      <x:c r="E223" s="46" t="str">
        <x:v>Acanthocardia tuberculata</x:v>
      </x:c>
      <x:c r="F223" s="46" t="str">
        <x:v>Tuberculate cockle</x:v>
      </x:c>
      <x:c r="G223" s="46" t="str">
        <x:v>Other demersal invertebrates</x:v>
      </x:c>
      <x:c r="H223" s="46" t="str">
        <x:v>Molluscs</x:v>
      </x:c>
      <x:c r="I223" s="60" t="n">
        <x:v>0.17582783519999998</x:v>
      </x:c>
      <x:c r="J223" s="60" t="n">
        <x:v>0.17582783519999998</x:v>
      </x:c>
      <x:c r="K223" s="60" t="n">
        <x:v>0</x:v>
      </x:c>
      <x:c r="L223" s="60" t="n">
        <x:v>0.17582783519999998</x:v>
      </x:c>
      <x:c r="M223" s="60" t="n">
        <x:v>0</x:v>
      </x:c>
      <x:c r="N223" s="46" t="str">
        <x:v>acanthocardia tuberculata</x:v>
      </x:c>
      <x:c r="O223" s="62" t="n">
        <x:v>2.5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Acanthocardia tuberculata</x:v>
      </x:c>
      <x:c r="T223" s="62" t="n">
        <x:f>IF(O223="","",(1/'Metadata'!$B$5)^(O223-1))</x:f>
        <x:v>89.44271909999159</x:v>
      </x:c>
      <x:c r="U223" s="60" t="n">
        <x:f>IF(T223="","",I223*T223)</x:f>
        <x:v>15.726519673753211</x:v>
      </x:c>
    </x:row>
    <x:row r="224" ht="18" customHeight="1">
      <x:c r="A224" s="46" t="str">
        <x:v>LME_022</x:v>
      </x:c>
      <x:c r="B224" s="46" t="str">
        <x:v>North Sea</x:v>
      </x:c>
      <x:c r="C224" s="46" t="str">
        <x:v>LME</x:v>
      </x:c>
      <x:c r="D224" s="58" t="n">
        <x:v>2019</x:v>
      </x:c>
      <x:c r="E224" s="46" t="str">
        <x:v>Alosa</x:v>
      </x:c>
      <x:c r="F224" s="46" t="str">
        <x:v>Shads</x:v>
      </x:c>
      <x:c r="G224" s="46" t="str">
        <x:v>Medium pelagics (30 - 89 cm)</x:v>
      </x:c>
      <x:c r="H224" s="46" t="str">
        <x:v>Herring-likes</x:v>
      </x:c>
      <x:c r="I224" s="60" t="n">
        <x:v>0.1745350706</x:v>
      </x:c>
      <x:c r="J224" s="60" t="n">
        <x:v>0.1745350706</x:v>
      </x:c>
      <x:c r="K224" s="60" t="n">
        <x:v>0</x:v>
      </x:c>
      <x:c r="L224" s="60" t="n">
        <x:v>0.1745168812</x:v>
      </x:c>
      <x:c r="M224" s="60" t="n">
        <x:v>0.0000181894</x:v>
      </x:c>
      <x:c r="N224" s="46" t="str">
        <x:v>alosa</x:v>
      </x:c>
      <x:c r="O224" s="62" t="n">
        <x:v>3.89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Alosa</x:v>
      </x:c>
      <x:c r="T224" s="62" t="n">
        <x:f>IF(O224="","",(1/'Metadata'!$B$5)^(O224-1))</x:f>
        <x:v>5754.090490759748</x:v>
      </x:c>
      <x:c r="U224" s="60" t="n">
        <x:f>IF(T224="","",I224*T224)</x:f>
        <x:v>1004.2905900435413</x:v>
      </x:c>
    </x:row>
    <x:row r="225" ht="18" customHeight="1">
      <x:c r="A225" s="46" t="str">
        <x:v>LME_022</x:v>
      </x:c>
      <x:c r="B225" s="46" t="str">
        <x:v>North Sea</x:v>
      </x:c>
      <x:c r="C225" s="46" t="str">
        <x:v>LME</x:v>
      </x:c>
      <x:c r="D225" s="58" t="n">
        <x:v>2019</x:v>
      </x:c>
      <x:c r="E225" s="46" t="str">
        <x:v>Dasyatis pastinaca</x:v>
      </x:c>
      <x:c r="F225" s="46" t="str">
        <x:v>Common stingray</x:v>
      </x:c>
      <x:c r="G225" s="46" t="str">
        <x:v>Large rays (&gt;=90 cm)</x:v>
      </x:c>
      <x:c r="H225" s="46" t="str">
        <x:v>Sharks &amp; rays</x:v>
      </x:c>
      <x:c r="I225" s="60" t="n">
        <x:v>0.1720539038</x:v>
      </x:c>
      <x:c r="J225" s="60" t="n">
        <x:v>0.1720539038</x:v>
      </x:c>
      <x:c r="K225" s="60" t="n">
        <x:v>0</x:v>
      </x:c>
      <x:c r="L225" s="60" t="n">
        <x:v>0.1720539038</x:v>
      </x:c>
      <x:c r="M225" s="60" t="n">
        <x:v>0</x:v>
      </x:c>
      <x:c r="N225" s="46" t="str">
        <x:v>dasyatis pastinaca</x:v>
      </x:c>
      <x:c r="O225" s="62" t="n">
        <x:v>4.05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Dasyatis pastinaca</x:v>
      </x:c>
      <x:c r="T225" s="62" t="n">
        <x:f>IF(O225="","",(1/'Metadata'!$B$5)^(O225-1))</x:f>
        <x:v>9292.690797132333</x:v>
      </x:c>
      <x:c r="U225" s="60" t="n">
        <x:f>IF(T225="","",I225*T225)</x:f>
        <x:v>1598.8437284529516</x:v>
      </x:c>
    </x:row>
    <x:row r="226" ht="18" customHeight="1">
      <x:c r="A226" s="46" t="str">
        <x:v>LME_022</x:v>
      </x:c>
      <x:c r="B226" s="46" t="str">
        <x:v>North Sea</x:v>
      </x:c>
      <x:c r="C226" s="46" t="str">
        <x:v>LME</x:v>
      </x:c>
      <x:c r="D226" s="58" t="n">
        <x:v>2019</x:v>
      </x:c>
      <x:c r="E226" s="46" t="str">
        <x:v>Scorpaenidae</x:v>
      </x:c>
      <x:c r="F226" s="46" t="str">
        <x:v>Scorpionfishes, rockfishes</x:v>
      </x:c>
      <x:c r="G226" s="46" t="str">
        <x:v>Large reef assoc. fish (&gt;=90 cm)</x:v>
      </x:c>
      <x:c r="H226" s="46" t="str">
        <x:v>Scorpionfishes</x:v>
      </x:c>
      <x:c r="I226" s="60" t="n">
        <x:v>0.1688142551</x:v>
      </x:c>
      <x:c r="J226" s="60" t="n">
        <x:v>0.1688142551</x:v>
      </x:c>
      <x:c r="K226" s="60" t="n">
        <x:v>0</x:v>
      </x:c>
      <x:c r="L226" s="60" t="n">
        <x:v>0.1688142551</x:v>
      </x:c>
      <x:c r="M226" s="60" t="n">
        <x:v>0</x:v>
      </x:c>
      <x:c r="N226" s="46" t="str">
        <x:v>scorpaenidae</x:v>
      </x:c>
      <x:c r="O226" s="62" t="n">
        <x:v>3.92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Scorpaenidae</x:v>
      </x:c>
      <x:c r="T226" s="62" t="n">
        <x:f>IF(O226="","",(1/'Metadata'!$B$5)^(O226-1))</x:f>
        <x:v>6295.1718073679995</x:v>
      </x:c>
      <x:c r="U226" s="60" t="n">
        <x:f>IF(T226="","",I226*T226)</x:f>
        <x:v>1062.7147393873495</x:v>
      </x:c>
    </x:row>
    <x:row r="227" ht="18" customHeight="1">
      <x:c r="A227" s="46" t="str">
        <x:v>LME_022</x:v>
      </x:c>
      <x:c r="B227" s="46" t="str">
        <x:v>North Sea</x:v>
      </x:c>
      <x:c r="C227" s="46" t="str">
        <x:v>LME</x:v>
      </x:c>
      <x:c r="D227" s="58" t="n">
        <x:v>2019</x:v>
      </x:c>
      <x:c r="E227" s="46" t="str">
        <x:v>Gasterosteus aculeatus</x:v>
      </x:c>
      <x:c r="F227" s="46" t="str">
        <x:v>Three-spined stickleback</x:v>
      </x:c>
      <x:c r="G227" s="46" t="str">
        <x:v>Small benthopelagics (&lt;30 cm)</x:v>
      </x:c>
      <x:c r="H227" s="46" t="str">
        <x:v>Other fishes &amp; inverts</x:v>
      </x:c>
      <x:c r="I227" s="60" t="n">
        <x:v>0.167775376</x:v>
      </x:c>
      <x:c r="J227" s="60" t="n">
        <x:v>0.1319100376</x:v>
      </x:c>
      <x:c r="K227" s="60" t="n">
        <x:v>0.0358653384</x:v>
      </x:c>
      <x:c r="L227" s="60" t="n">
        <x:v>0</x:v>
      </x:c>
      <x:c r="M227" s="60" t="n">
        <x:v>0.167775376</x:v>
      </x:c>
      <x:c r="N227" s="46" t="str">
        <x:v>gasterosteus aculeatus</x:v>
      </x:c>
      <x:c r="O227" s="62" t="n">
        <x:v>3.31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Gasterosteus aculeatus</x:v>
      </x:c>
      <x:c r="T227" s="62" t="n">
        <x:f>IF(O227="","",(1/'Metadata'!$B$5)^(O227-1))</x:f>
        <x:v>1012.4633005057666</x:v>
      </x:c>
      <x:c r="U227" s="60" t="n">
        <x:f>IF(T227="","",I227*T227)</x:f>
        <x:v>169.86641092855598</x:v>
      </x:c>
    </x:row>
    <x:row r="228" ht="18" customHeight="1">
      <x:c r="A228" s="46" t="str">
        <x:v>LME_022</x:v>
      </x:c>
      <x:c r="B228" s="46" t="str">
        <x:v>North Sea</x:v>
      </x:c>
      <x:c r="C228" s="46" t="str">
        <x:v>LME</x:v>
      </x:c>
      <x:c r="D228" s="58" t="n">
        <x:v>2019</x:v>
      </x:c>
      <x:c r="E228" s="46" t="str">
        <x:v>Dipturus oxyrinchus</x:v>
      </x:c>
      <x:c r="F228" s="46" t="str">
        <x:v>Longnosed skate</x:v>
      </x:c>
      <x:c r="G228" s="46" t="str">
        <x:v>Large rays (&gt;=90 cm)</x:v>
      </x:c>
      <x:c r="H228" s="46" t="str">
        <x:v>Sharks &amp; rays</x:v>
      </x:c>
      <x:c r="I228" s="60" t="n">
        <x:v>0.1489675023</x:v>
      </x:c>
      <x:c r="J228" s="60" t="n">
        <x:v>0.1489675023</x:v>
      </x:c>
      <x:c r="K228" s="60" t="n">
        <x:v>0</x:v>
      </x:c>
      <x:c r="L228" s="60" t="n">
        <x:v>0.1489675023</x:v>
      </x:c>
      <x:c r="M228" s="60" t="n">
        <x:v>0</x:v>
      </x:c>
      <x:c r="N228" s="46" t="str">
        <x:v>dipturus oxyrinchus</x:v>
      </x:c>
      <x:c r="O228" s="62" t="n">
        <x:v>3.5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Dipturus oxyrinchus</x:v>
      </x:c>
      <x:c r="T228" s="62" t="n">
        <x:f>IF(O228="","",(1/'Metadata'!$B$5)^(O228-1))</x:f>
        <x:v>1788.8543819998317</x:v>
      </x:c>
      <x:c r="U228" s="60" t="n">
        <x:f>IF(T228="","",I228*T228)</x:f>
        <x:v>266.48116926492503</x:v>
      </x:c>
    </x:row>
    <x:row r="229" ht="18" customHeight="1">
      <x:c r="A229" s="46" t="str">
        <x:v>LME_022</x:v>
      </x:c>
      <x:c r="B229" s="46" t="str">
        <x:v>North Sea</x:v>
      </x:c>
      <x:c r="C229" s="46" t="str">
        <x:v>LME</x:v>
      </x:c>
      <x:c r="D229" s="58" t="n">
        <x:v>2019</x:v>
      </x:c>
      <x:c r="E229" s="46" t="str">
        <x:v>Venerupis corrugata</x:v>
      </x:c>
      <x:c r="F229" s="46" t="str">
        <x:v>Corrugated venus</x:v>
      </x:c>
      <x:c r="G229" s="46" t="str">
        <x:v>Other demersal invertebrates</x:v>
      </x:c>
      <x:c r="H229" s="46" t="str">
        <x:v>Molluscs</x:v>
      </x:c>
      <x:c r="I229" s="60" t="n">
        <x:v>0.1453057992</x:v>
      </x:c>
      <x:c r="J229" s="60" t="n">
        <x:v>0.1453057992</x:v>
      </x:c>
      <x:c r="K229" s="60" t="n">
        <x:v>0</x:v>
      </x:c>
      <x:c r="L229" s="60" t="n">
        <x:v>0.1453057992</x:v>
      </x:c>
      <x:c r="M229" s="60" t="n">
        <x:v>0</x:v>
      </x:c>
      <x:c r="N229" s="46" t="str">
        <x:v>venerupis corrugata</x:v>
      </x:c>
      <x:c r="O229" s="62" t="n">
        <x:v>2.1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Venerupis corrugata</x:v>
      </x:c>
      <x:c r="T229" s="62" t="n">
        <x:f>IF(O229="","",(1/'Metadata'!$B$5)^(O229-1))</x:f>
        <x:v>26.985656953471274</x:v>
      </x:c>
      <x:c r="U229" s="60" t="n">
        <x:f>IF(T229="","",I229*T229)</x:f>
        <x:v>3.9211724505611807</x:v>
      </x:c>
    </x:row>
    <x:row r="230" ht="18" customHeight="1">
      <x:c r="A230" s="46" t="str">
        <x:v>LME_022</x:v>
      </x:c>
      <x:c r="B230" s="46" t="str">
        <x:v>North Sea</x:v>
      </x:c>
      <x:c r="C230" s="46" t="str">
        <x:v>LME</x:v>
      </x:c>
      <x:c r="D230" s="58" t="n">
        <x:v>2019</x:v>
      </x:c>
      <x:c r="E230" s="46" t="str">
        <x:v>Berycidae</x:v>
      </x:c>
      <x:c r="F230" s="46" t="str">
        <x:v>Alfonsinos, redfishes</x:v>
      </x:c>
      <x:c r="G230" s="46" t="str">
        <x:v>Medium benthopelagics (30 - 89 cm)</x:v>
      </x:c>
      <x:c r="H230" s="46" t="str">
        <x:v>Other fishes &amp; inverts</x:v>
      </x:c>
      <x:c r="I230" s="60" t="n">
        <x:v>0.1406099576</x:v>
      </x:c>
      <x:c r="J230" s="60" t="n">
        <x:v>0.1406099576</x:v>
      </x:c>
      <x:c r="K230" s="60" t="n">
        <x:v>0</x:v>
      </x:c>
      <x:c r="L230" s="60" t="n">
        <x:v>0.1406099576</x:v>
      </x:c>
      <x:c r="M230" s="60" t="n">
        <x:v>0</x:v>
      </x:c>
      <x:c r="N230" s="46" t="str">
        <x:v>berycidae</x:v>
      </x:c>
      <x:c r="O230" s="62" t="n">
        <x:v>3.99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Berycidae</x:v>
      </x:c>
      <x:c r="T230" s="62" t="n">
        <x:f>IF(O230="","",(1/'Metadata'!$B$5)^(O230-1))</x:f>
        <x:v>7763.895603143686</x:v>
      </x:c>
      <x:c r="U230" s="60" t="n">
        <x:f>IF(T230="","",I230*T230)</x:f>
        <x:v>1091.6810315688601</x:v>
      </x:c>
    </x:row>
    <x:row r="231" ht="18" customHeight="1">
      <x:c r="A231" s="46" t="str">
        <x:v>LME_022</x:v>
      </x:c>
      <x:c r="B231" s="46" t="str">
        <x:v>North Sea</x:v>
      </x:c>
      <x:c r="C231" s="46" t="str">
        <x:v>LME</x:v>
      </x:c>
      <x:c r="D231" s="58" t="n">
        <x:v>2019</x:v>
      </x:c>
      <x:c r="E231" s="46" t="str">
        <x:v>Galeorhinus galeus</x:v>
      </x:c>
      <x:c r="F231" s="46" t="str">
        <x:v>Tope shark</x:v>
      </x:c>
      <x:c r="G231" s="46" t="str">
        <x:v>Large sharks (&gt;=90 cm)</x:v>
      </x:c>
      <x:c r="H231" s="46" t="str">
        <x:v>Sharks &amp; rays</x:v>
      </x:c>
      <x:c r="I231" s="60" t="n">
        <x:v>0.1313272062</x:v>
      </x:c>
      <x:c r="J231" s="60" t="n">
        <x:v>0.1313272062</x:v>
      </x:c>
      <x:c r="K231" s="60" t="n">
        <x:v>0</x:v>
      </x:c>
      <x:c r="L231" s="60" t="n">
        <x:v>0.0206229851</x:v>
      </x:c>
      <x:c r="M231" s="60" t="n">
        <x:v>0.1107042211</x:v>
      </x:c>
      <x:c r="N231" s="46" t="str">
        <x:v>galeorhinus galeus</x:v>
      </x:c>
      <x:c r="O231" s="62" t="n">
        <x:v>4.34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Galeorhinus galeus</x:v>
      </x:c>
      <x:c r="T231" s="62" t="n">
        <x:f>IF(O231="","",(1/'Metadata'!$B$5)^(O231-1))</x:f>
        <x:v>22153.389612394185</x:v>
      </x:c>
      <x:c r="U231" s="60" t="n">
        <x:f>IF(T231="","",I231*T231)</x:f>
        <x:v>2909.3427656558288</x:v>
      </x:c>
    </x:row>
    <x:row r="232" ht="18" customHeight="1">
      <x:c r="A232" s="46" t="str">
        <x:v>LME_022</x:v>
      </x:c>
      <x:c r="B232" s="46" t="str">
        <x:v>North Sea</x:v>
      </x:c>
      <x:c r="C232" s="46" t="str">
        <x:v>LME</x:v>
      </x:c>
      <x:c r="D232" s="58" t="n">
        <x:v>2019</x:v>
      </x:c>
      <x:c r="E232" s="46" t="str">
        <x:v>Mugil cephalus</x:v>
      </x:c>
      <x:c r="F232" s="46" t="str">
        <x:v>Flathead grey mullet</x:v>
      </x:c>
      <x:c r="G232" s="46" t="str">
        <x:v>Large benthopelagics (&gt;=90 cm)</x:v>
      </x:c>
      <x:c r="H232" s="46" t="str">
        <x:v>Perch-likes</x:v>
      </x:c>
      <x:c r="I232" s="60" t="n">
        <x:v>0.1238048581</x:v>
      </x:c>
      <x:c r="J232" s="60" t="n">
        <x:v>0.1238048581</x:v>
      </x:c>
      <x:c r="K232" s="60" t="n">
        <x:v>0</x:v>
      </x:c>
      <x:c r="L232" s="60" t="n">
        <x:v>0.1202521598</x:v>
      </x:c>
      <x:c r="M232" s="60" t="n">
        <x:v>0.0035526982999999996</x:v>
      </x:c>
      <x:c r="N232" s="46" t="str">
        <x:v>mugil cephalus</x:v>
      </x:c>
      <x:c r="O232" s="62" t="n">
        <x:v>2.14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Mugil cephalus</x:v>
      </x:c>
      <x:c r="T232" s="62" t="n">
        <x:f>IF(O232="","",(1/'Metadata'!$B$5)^(O232-1))</x:f>
        <x:v>30.421049660829848</x:v>
      </x:c>
      <x:c r="U232" s="60" t="n">
        <x:f>IF(T232="","",I232*T232)</x:f>
        <x:v>3.766273736512092</x:v>
      </x:c>
    </x:row>
    <x:row r="233" ht="18" customHeight="1">
      <x:c r="A233" s="46" t="str">
        <x:v>LME_022</x:v>
      </x:c>
      <x:c r="B233" s="46" t="str">
        <x:v>North Sea</x:v>
      </x:c>
      <x:c r="C233" s="46" t="str">
        <x:v>LME</x:v>
      </x:c>
      <x:c r="D233" s="58" t="n">
        <x:v>2019</x:v>
      </x:c>
      <x:c r="E233" s="46" t="str">
        <x:v>Atherinidae</x:v>
      </x:c>
      <x:c r="F233" s="46" t="str">
        <x:v>Silversides</x:v>
      </x:c>
      <x:c r="G233" s="46" t="str">
        <x:v>Small pelagics (&lt;30 cm)</x:v>
      </x:c>
      <x:c r="H233" s="46" t="str">
        <x:v>Other fishes &amp; inverts</x:v>
      </x:c>
      <x:c r="I233" s="60" t="n">
        <x:v>0.1187588976</x:v>
      </x:c>
      <x:c r="J233" s="60" t="n">
        <x:v>0.1187588976</x:v>
      </x:c>
      <x:c r="K233" s="60" t="n">
        <x:v>0</x:v>
      </x:c>
      <x:c r="L233" s="60" t="n">
        <x:v>0.1187588976</x:v>
      </x:c>
      <x:c r="M233" s="60" t="n">
        <x:v>0</x:v>
      </x:c>
      <x:c r="N233" s="46" t="str">
        <x:v>atherinidae</x:v>
      </x:c>
      <x:c r="O233" s="62" t="n">
        <x:v>3.2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Atherinidae</x:v>
      </x:c>
      <x:c r="T233" s="62" t="n">
        <x:f>IF(O233="","",(1/'Metadata'!$B$5)^(O233-1))</x:f>
        <x:v>728.2256812104325</x:v>
      </x:c>
      <x:c r="U233" s="60" t="n">
        <x:f>IF(T233="","",I233*T233)</x:f>
        <x:v>86.48327910456</x:v>
      </x:c>
    </x:row>
    <x:row r="234" ht="18" customHeight="1">
      <x:c r="A234" s="46" t="str">
        <x:v>LME_022</x:v>
      </x:c>
      <x:c r="B234" s="46" t="str">
        <x:v>North Sea</x:v>
      </x:c>
      <x:c r="C234" s="46" t="str">
        <x:v>LME</x:v>
      </x:c>
      <x:c r="D234" s="58" t="n">
        <x:v>2019</x:v>
      </x:c>
      <x:c r="E234" s="46" t="str">
        <x:v>Anarhichas minor</x:v>
      </x:c>
      <x:c r="F234" s="46" t="str">
        <x:v>Spotted wolffish</x:v>
      </x:c>
      <x:c r="G234" s="46" t="str">
        <x:v>Large demersals (&gt;=90 cm)</x:v>
      </x:c>
      <x:c r="H234" s="46" t="str">
        <x:v>Perch-likes</x:v>
      </x:c>
      <x:c r="I234" s="60" t="n">
        <x:v>0.1163814552</x:v>
      </x:c>
      <x:c r="J234" s="60" t="n">
        <x:v>0.1163814552</x:v>
      </x:c>
      <x:c r="K234" s="60" t="n">
        <x:v>0</x:v>
      </x:c>
      <x:c r="L234" s="60" t="n">
        <x:v>0.1163814552</x:v>
      </x:c>
      <x:c r="M234" s="60" t="n">
        <x:v>0</x:v>
      </x:c>
      <x:c r="N234" s="46" t="str">
        <x:v>anarhichas minor</x:v>
      </x:c>
      <x:c r="O234" s="62" t="n">
        <x:v>3.45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Anarhichas minor</x:v>
      </x:c>
      <x:c r="T234" s="62" t="n">
        <x:f>IF(O234="","",(1/'Metadata'!$B$5)^(O234-1))</x:f>
        <x:v>1540.009817222681</x:v>
      </x:c>
      <x:c r="U234" s="60" t="n">
        <x:f>IF(T234="","",I234*T234)</x:f>
        <x:v>179.22858355066163</x:v>
      </x:c>
    </x:row>
    <x:row r="235" ht="18" customHeight="1">
      <x:c r="A235" s="46" t="str">
        <x:v>LME_022</x:v>
      </x:c>
      <x:c r="B235" s="46" t="str">
        <x:v>North Sea</x:v>
      </x:c>
      <x:c r="C235" s="46" t="str">
        <x:v>LME</x:v>
      </x:c>
      <x:c r="D235" s="58" t="n">
        <x:v>2019</x:v>
      </x:c>
      <x:c r="E235" s="46" t="str">
        <x:v>Auxis rochei</x:v>
      </x:c>
      <x:c r="F235" s="46" t="str">
        <x:v>Bullet tuna</x:v>
      </x:c>
      <x:c r="G235" s="46" t="str">
        <x:v>Medium pelagics (30 - 89 cm)</x:v>
      </x:c>
      <x:c r="H235" s="46" t="str">
        <x:v>Tuna &amp; billfishes</x:v>
      </x:c>
      <x:c r="I235" s="60" t="n">
        <x:v>0.1120194303</x:v>
      </x:c>
      <x:c r="J235" s="60" t="n">
        <x:v>0.1120194303</x:v>
      </x:c>
      <x:c r="K235" s="60" t="n">
        <x:v>0</x:v>
      </x:c>
      <x:c r="L235" s="60" t="n">
        <x:v>0.1120194303</x:v>
      </x:c>
      <x:c r="M235" s="60" t="n">
        <x:v>0</x:v>
      </x:c>
      <x:c r="N235" s="46" t="str">
        <x:v>auxis rochei</x:v>
      </x:c>
      <x:c r="O235" s="62" t="n">
        <x:v>4.13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Auxis rochei</x:v>
      </x:c>
      <x:c r="T235" s="62" t="n">
        <x:f>IF(O235="","",(1/'Metadata'!$B$5)^(O235-1))</x:f>
        <x:v>11809.292685236613</x:v>
      </x:c>
      <x:c r="U235" s="60" t="n">
        <x:f>IF(T235="","",I235*T235)</x:f>
        <x:v>1322.8702388461625</x:v>
      </x:c>
    </x:row>
    <x:row r="236" ht="18" customHeight="1">
      <x:c r="A236" s="46" t="str">
        <x:v>LME_022</x:v>
      </x:c>
      <x:c r="B236" s="46" t="str">
        <x:v>North Sea</x:v>
      </x:c>
      <x:c r="C236" s="46" t="str">
        <x:v>LME</x:v>
      </x:c>
      <x:c r="D236" s="58" t="n">
        <x:v>2019</x:v>
      </x:c>
      <x:c r="E236" s="46" t="str">
        <x:v>Echinoidea</x:v>
      </x:c>
      <x:c r="F236" s="46" t="str">
        <x:v>Sea urchins, sea hedgehogs</x:v>
      </x:c>
      <x:c r="G236" s="46" t="str">
        <x:v>Other demersal invertebrates</x:v>
      </x:c>
      <x:c r="H236" s="46" t="str">
        <x:v>Other fishes &amp; inverts</x:v>
      </x:c>
      <x:c r="I236" s="60" t="n">
        <x:v>0.1015142847</x:v>
      </x:c>
      <x:c r="J236" s="60" t="n">
        <x:v>0.1015142847</x:v>
      </x:c>
      <x:c r="K236" s="60" t="n">
        <x:v>0</x:v>
      </x:c>
      <x:c r="L236" s="60" t="n">
        <x:v>0.1015142847</x:v>
      </x:c>
      <x:c r="M236" s="60" t="n">
        <x:v>0</x:v>
      </x:c>
      <x:c r="N236" s="46" t="str">
        <x:v>echinoidea</x:v>
      </x:c>
      <x:c r="O236" s="62" t="n">
        <x:v>2.51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Echinoidea</x:v>
      </x:c>
      <x:c r="T236" s="62" t="n">
        <x:f>IF(O236="","",(1/'Metadata'!$B$5)^(O236-1))</x:f>
        <x:v>92.16272208892171</x:v>
      </x:c>
      <x:c r="U236" s="60" t="n">
        <x:f>IF(T236="","",I236*T236)</x:f>
        <x:v>9.355832808861777</x:v>
      </x:c>
    </x:row>
    <x:row r="237" ht="18" customHeight="1">
      <x:c r="A237" s="46" t="str">
        <x:v>LME_022</x:v>
      </x:c>
      <x:c r="B237" s="46" t="str">
        <x:v>North Sea</x:v>
      </x:c>
      <x:c r="C237" s="46" t="str">
        <x:v>LME</x:v>
      </x:c>
      <x:c r="D237" s="58" t="n">
        <x:v>2019</x:v>
      </x:c>
      <x:c r="E237" s="46" t="str">
        <x:v>Scardinius erythrophthalmus</x:v>
      </x:c>
      <x:c r="F237" s="46" t="str">
        <x:v>Rudd</x:v>
      </x:c>
      <x:c r="G237" s="46" t="str">
        <x:v>Medium benthopelagics (30 - 89 cm)</x:v>
      </x:c>
      <x:c r="H237" s="46" t="str">
        <x:v>Other fishes &amp; inverts</x:v>
      </x:c>
      <x:c r="I237" s="60" t="n">
        <x:v>0.0878868525</x:v>
      </x:c>
      <x:c r="J237" s="60" t="n">
        <x:v>0.0878868525</x:v>
      </x:c>
      <x:c r="K237" s="60" t="n">
        <x:v>0</x:v>
      </x:c>
      <x:c r="L237" s="60" t="n">
        <x:v>0.0878868525</x:v>
      </x:c>
      <x:c r="M237" s="60" t="n">
        <x:v>0</x:v>
      </x:c>
      <x:c r="N237" s="46" t="str">
        <x:v>scardinius erythrophthalmus</x:v>
      </x:c>
      <x:c r="O237" s="62" t="n">
        <x:v>2.89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Scardinius erythrophthalmus</x:v>
      </x:c>
      <x:c r="T237" s="62" t="n">
        <x:f>IF(O237="","",(1/'Metadata'!$B$5)^(O237-1))</x:f>
        <x:v>287.70452453798737</x:v>
      </x:c>
      <x:c r="U237" s="60" t="n">
        <x:f>IF(T237="","",I237*T237)</x:f>
        <x:v>25.285445111652727</x:v>
      </x:c>
    </x:row>
    <x:row r="238" ht="18" customHeight="1">
      <x:c r="A238" s="46" t="str">
        <x:v>LME_022</x:v>
      </x:c>
      <x:c r="B238" s="46" t="str">
        <x:v>North Sea</x:v>
      </x:c>
      <x:c r="C238" s="46" t="str">
        <x:v>LME</x:v>
      </x:c>
      <x:c r="D238" s="58" t="n">
        <x:v>2019</x:v>
      </x:c>
      <x:c r="E238" s="46" t="str">
        <x:v>Ruditapes decussatus</x:v>
      </x:c>
      <x:c r="F238" s="46" t="str">
        <x:v>Grooved carpet shell</x:v>
      </x:c>
      <x:c r="G238" s="46" t="str">
        <x:v>Other demersal invertebrates</x:v>
      </x:c>
      <x:c r="H238" s="46" t="str">
        <x:v>Molluscs</x:v>
      </x:c>
      <x:c r="I238" s="60" t="n">
        <x:v>0.08420818840000001</x:v>
      </x:c>
      <x:c r="J238" s="60" t="n">
        <x:v>0.08420818840000001</x:v>
      </x:c>
      <x:c r="K238" s="60" t="n">
        <x:v>0</x:v>
      </x:c>
      <x:c r="L238" s="60" t="n">
        <x:v>0.08420818840000001</x:v>
      </x:c>
      <x:c r="M238" s="60" t="n">
        <x:v>0</x:v>
      </x:c>
      <x:c r="N238" s="46" t="str">
        <x:v>ruditapes decussatus</x:v>
      </x:c>
      <x:c r="O238" s="62" t="n">
        <x:v>2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Ruditapes decussatus</x:v>
      </x:c>
      <x:c r="T238" s="62" t="n">
        <x:f>IF(O238="","",(1/'Metadata'!$B$5)^(O238-1))</x:f>
        <x:v>20</x:v>
      </x:c>
      <x:c r="U238" s="60" t="n">
        <x:f>IF(T238="","",I238*T238)</x:f>
        <x:v>1.6841637680000001</x:v>
      </x:c>
    </x:row>
    <x:row r="239" ht="18" customHeight="1">
      <x:c r="A239" s="46" t="str">
        <x:v>LME_022</x:v>
      </x:c>
      <x:c r="B239" s="46" t="str">
        <x:v>North Sea</x:v>
      </x:c>
      <x:c r="C239" s="46" t="str">
        <x:v>LME</x:v>
      </x:c>
      <x:c r="D239" s="58" t="n">
        <x:v>2019</x:v>
      </x:c>
      <x:c r="E239" s="46" t="str">
        <x:v>Squatina squatina</x:v>
      </x:c>
      <x:c r="F239" s="46" t="str">
        <x:v>Angelshark</x:v>
      </x:c>
      <x:c r="G239" s="46" t="str">
        <x:v>Large sharks (&gt;=90 cm)</x:v>
      </x:c>
      <x:c r="H239" s="46" t="str">
        <x:v>Sharks &amp; rays</x:v>
      </x:c>
      <x:c r="I239" s="60" t="n">
        <x:v>0.0752108801</x:v>
      </x:c>
      <x:c r="J239" s="60" t="n">
        <x:v>0.0752108801</x:v>
      </x:c>
      <x:c r="K239" s="60" t="n">
        <x:v>0</x:v>
      </x:c>
      <x:c r="L239" s="60" t="n">
        <x:v>0.0752108801</x:v>
      </x:c>
      <x:c r="M239" s="60" t="n">
        <x:v>0</x:v>
      </x:c>
      <x:c r="N239" s="46" t="str">
        <x:v>squatina squatina</x:v>
      </x:c>
      <x:c r="O239" s="62" t="n">
        <x:v>4.05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Squatina squatina</x:v>
      </x:c>
      <x:c r="T239" s="62" t="n">
        <x:f>IF(O239="","",(1/'Metadata'!$B$5)^(O239-1))</x:f>
        <x:v>9292.690797132333</x:v>
      </x:c>
      <x:c r="U239" s="60" t="n">
        <x:f>IF(T239="","",I239*T239)</x:f>
        <x:v>698.9114533494933</x:v>
      </x:c>
    </x:row>
    <x:row r="240" ht="18" customHeight="1">
      <x:c r="A240" s="46" t="str">
        <x:v>LME_022</x:v>
      </x:c>
      <x:c r="B240" s="46" t="str">
        <x:v>North Sea</x:v>
      </x:c>
      <x:c r="C240" s="46" t="str">
        <x:v>LME</x:v>
      </x:c>
      <x:c r="D240" s="58" t="n">
        <x:v>2019</x:v>
      </x:c>
      <x:c r="E240" s="46" t="str">
        <x:v>Auxis</x:v>
      </x:c>
      <x:c r="F240" s="46" t="str">
        <x:v>Bullet and frigate tunas</x:v>
      </x:c>
      <x:c r="G240" s="46" t="str">
        <x:v>Medium pelagics (30 - 89 cm)</x:v>
      </x:c>
      <x:c r="H240" s="46" t="str">
        <x:v>Tuna &amp; billfishes</x:v>
      </x:c>
      <x:c r="I240" s="60" t="n">
        <x:v>0.0737616976</x:v>
      </x:c>
      <x:c r="J240" s="60" t="n">
        <x:v>0.0737616976</x:v>
      </x:c>
      <x:c r="K240" s="60" t="n">
        <x:v>0</x:v>
      </x:c>
      <x:c r="L240" s="60" t="n">
        <x:v>0.0737616976</x:v>
      </x:c>
      <x:c r="M240" s="60" t="n">
        <x:v>0</x:v>
      </x:c>
      <x:c r="N240" s="46" t="str">
        <x:v>auxis</x:v>
      </x:c>
      <x:c r="O240" s="62" t="n">
        <x:v>4.24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Auxis</x:v>
      </x:c>
      <x:c r="T240" s="62" t="n">
        <x:f>IF(O240="","",(1/'Metadata'!$B$5)^(O240-1))</x:f>
        <x:v>16418.64020623336</x:v>
      </x:c>
      <x:c r="U240" s="60" t="n">
        <x:f>IF(T240="","",I240*T240)</x:f>
        <x:v>1211.0667738953866</x:v>
      </x:c>
    </x:row>
    <x:row r="241" ht="18" customHeight="1">
      <x:c r="A241" s="46" t="str">
        <x:v>LME_022</x:v>
      </x:c>
      <x:c r="B241" s="46" t="str">
        <x:v>North Sea</x:v>
      </x:c>
      <x:c r="C241" s="46" t="str">
        <x:v>LME</x:v>
      </x:c>
      <x:c r="D241" s="58" t="n">
        <x:v>2019</x:v>
      </x:c>
      <x:c r="E241" s="46" t="str">
        <x:v>Cyprinidae</x:v>
      </x:c>
      <x:c r="F241" s="46" t="str">
        <x:v>Carps, barbels, other cyprinids</x:v>
      </x:c>
      <x:c r="G241" s="46" t="str">
        <x:v>Medium demersals (30 - 89 cm)</x:v>
      </x:c>
      <x:c r="H241" s="46" t="str">
        <x:v>Other fishes &amp; inverts</x:v>
      </x:c>
      <x:c r="I241" s="60" t="n">
        <x:v>0.0671200736</x:v>
      </x:c>
      <x:c r="J241" s="60" t="n">
        <x:v>0.0671200736</x:v>
      </x:c>
      <x:c r="K241" s="60" t="n">
        <x:v>0</x:v>
      </x:c>
      <x:c r="L241" s="60" t="n">
        <x:v>0.0671200736</x:v>
      </x:c>
      <x:c r="M241" s="60" t="n">
        <x:v>0</x:v>
      </x:c>
      <x:c r="N241" s="46" t="str">
        <x:v>cyprinidae</x:v>
      </x:c>
      <x:c r="O241" s="62" t="n">
        <x:v>2.8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Cyprinidae</x:v>
      </x:c>
      <x:c r="T241" s="62" t="n">
        <x:f>IF(O241="","",(1/'Metadata'!$B$5)^(O241-1))</x:f>
        <x:v>219.71210866122343</x:v>
      </x:c>
      <x:c r="U241" s="60" t="n">
        <x:f>IF(T241="","",I241*T241)</x:f>
        <x:v>14.747092904152513</x:v>
      </x:c>
    </x:row>
    <x:row r="242" ht="18" customHeight="1">
      <x:c r="A242" s="46" t="str">
        <x:v>LME_022</x:v>
      </x:c>
      <x:c r="B242" s="46" t="str">
        <x:v>North Sea</x:v>
      </x:c>
      <x:c r="C242" s="46" t="str">
        <x:v>LME</x:v>
      </x:c>
      <x:c r="D242" s="58" t="n">
        <x:v>2019</x:v>
      </x:c>
      <x:c r="E242" s="46" t="str">
        <x:v>Liocarcinus depurator</x:v>
      </x:c>
      <x:c r="F242" s="46" t="str">
        <x:v>Blueleg swimcrab</x:v>
      </x:c>
      <x:c r="G242" s="46" t="str">
        <x:v>Lobsters, crabs</x:v>
      </x:c>
      <x:c r="H242" s="46" t="str">
        <x:v>Crustaceans</x:v>
      </x:c>
      <x:c r="I242" s="60" t="n">
        <x:v>0.0656736775</x:v>
      </x:c>
      <x:c r="J242" s="60" t="n">
        <x:v>0.0635548712</x:v>
      </x:c>
      <x:c r="K242" s="60" t="n">
        <x:v>0.0021188063</x:v>
      </x:c>
      <x:c r="L242" s="60" t="n">
        <x:v>0.058995995499999995</x:v>
      </x:c>
      <x:c r="M242" s="60" t="n">
        <x:v>0.006677682</x:v>
      </x:c>
      <x:c r="N242" s="46" t="str">
        <x:v>liocarcinus depurator</x:v>
      </x:c>
      <x:c r="O242" s="62" t="n">
        <x:v>2.6</x:v>
      </x:c>
      <x:c r="P242" s="46" t="str">
        <x:v>exact_sea_around_us</x:v>
      </x:c>
      <x:c r="Q242" s="62" t="str">
        <x:v>Sea Around Us exploited organisms</x:v>
      </x:c>
      <x:c r="R242" s="46" t="str">
        <x:v>high</x:v>
      </x:c>
      <x:c r="S242" s="46" t="str">
        <x:v>Liocarcinus depurator</x:v>
      </x:c>
      <x:c r="T242" s="62" t="n">
        <x:f>IF(O242="","",(1/'Metadata'!$B$5)^(O242-1))</x:f>
        <x:v>120.6835267309033</x:v>
      </x:c>
      <x:c r="U242" s="60" t="n">
        <x:f>IF(T242="","",I242*T242)</x:f>
        <x:v>7.925731014087972</x:v>
      </x:c>
    </x:row>
    <x:row r="243" ht="18" customHeight="1">
      <x:c r="A243" s="46" t="str">
        <x:v>LME_022</x:v>
      </x:c>
      <x:c r="B243" s="46" t="str">
        <x:v>North Sea</x:v>
      </x:c>
      <x:c r="C243" s="46" t="str">
        <x:v>LME</x:v>
      </x:c>
      <x:c r="D243" s="58" t="n">
        <x:v>2019</x:v>
      </x:c>
      <x:c r="E243" s="46" t="str">
        <x:v>Argyrosomus regius</x:v>
      </x:c>
      <x:c r="F243" s="46" t="str">
        <x:v>Meagre</x:v>
      </x:c>
      <x:c r="G243" s="46" t="str">
        <x:v>Large benthopelagics (&gt;=90 cm)</x:v>
      </x:c>
      <x:c r="H243" s="46" t="str">
        <x:v>Perch-likes</x:v>
      </x:c>
      <x:c r="I243" s="60" t="n">
        <x:v>0.06455049819999999</x:v>
      </x:c>
      <x:c r="J243" s="60" t="n">
        <x:v>0.06455049819999999</x:v>
      </x:c>
      <x:c r="K243" s="60" t="n">
        <x:v>0</x:v>
      </x:c>
      <x:c r="L243" s="60" t="n">
        <x:v>0.06455049819999999</x:v>
      </x:c>
      <x:c r="M243" s="60" t="n">
        <x:v>0</x:v>
      </x:c>
      <x:c r="N243" s="46" t="str">
        <x:v>argyrosomus regius</x:v>
      </x:c>
      <x:c r="O243" s="62" t="n">
        <x:v>4.29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Argyrosomus regius</x:v>
      </x:c>
      <x:c r="T243" s="62" t="n">
        <x:f>IF(O243="","",(1/'Metadata'!$B$5)^(O243-1))</x:f>
        <x:v>19071.668343236455</x:v>
      </x:c>
      <x:c r="U243" s="60" t="n">
        <x:f>IF(T243="","",I243*T243)</x:f>
        <x:v>1231.0856930610814</x:v>
      </x:c>
    </x:row>
    <x:row r="244" ht="18" customHeight="1">
      <x:c r="A244" s="46" t="str">
        <x:v>LME_022</x:v>
      </x:c>
      <x:c r="B244" s="46" t="str">
        <x:v>North Sea</x:v>
      </x:c>
      <x:c r="C244" s="46" t="str">
        <x:v>LME</x:v>
      </x:c>
      <x:c r="D244" s="58" t="n">
        <x:v>2019</x:v>
      </x:c>
      <x:c r="E244" s="46" t="str">
        <x:v>Beryx</x:v>
      </x:c>
      <x:c r="F244" s="46" t="str">
        <x:v>Alfonsinos</x:v>
      </x:c>
      <x:c r="G244" s="46" t="str">
        <x:v>Medium benthopelagics (30 - 89 cm)</x:v>
      </x:c>
      <x:c r="H244" s="46" t="str">
        <x:v>Other fishes &amp; inverts</x:v>
      </x:c>
      <x:c r="I244" s="60" t="n">
        <x:v>0.061075051799999995</x:v>
      </x:c>
      <x:c r="J244" s="60" t="n">
        <x:v>0.061075051799999995</x:v>
      </x:c>
      <x:c r="K244" s="60" t="n">
        <x:v>0</x:v>
      </x:c>
      <x:c r="L244" s="60" t="n">
        <x:v>0.061075051799999995</x:v>
      </x:c>
      <x:c r="M244" s="60" t="n">
        <x:v>0</x:v>
      </x:c>
      <x:c r="N244" s="46" t="str">
        <x:v>beryx</x:v>
      </x:c>
      <x:c r="O244" s="62" t="n">
        <x:v>3.97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Beryx</x:v>
      </x:c>
      <x:c r="T244" s="62" t="n">
        <x:f>IF(O244="","",(1/'Metadata'!$B$5)^(O244-1))</x:f>
        <x:v>7312.385640086951</x:v>
      </x:c>
      <x:c r="U244" s="60" t="n">
        <x:f>IF(T244="","",I244*T244)</x:f>
        <x:v>446.6043317498866</x:v>
      </x:c>
    </x:row>
    <x:row r="245" ht="18" customHeight="1">
      <x:c r="A245" s="46" t="str">
        <x:v>LME_022</x:v>
      </x:c>
      <x:c r="B245" s="46" t="str">
        <x:v>North Sea</x:v>
      </x:c>
      <x:c r="C245" s="46" t="str">
        <x:v>LME</x:v>
      </x:c>
      <x:c r="D245" s="58" t="n">
        <x:v>2019</x:v>
      </x:c>
      <x:c r="E245" s="46" t="str">
        <x:v>Galeus</x:v>
      </x:c>
      <x:c r="F245" s="46" t="str">
        <x:v>Sawtail catsharks</x:v>
      </x:c>
      <x:c r="G245" s="46" t="str">
        <x:v>Small to medium sharks (&lt;90 cm)</x:v>
      </x:c>
      <x:c r="H245" s="46" t="str">
        <x:v>Sharks &amp; rays</x:v>
      </x:c>
      <x:c r="I245" s="60" t="n">
        <x:v>0.0597246388</x:v>
      </x:c>
      <x:c r="J245" s="60" t="n">
        <x:v>0.0597246388</x:v>
      </x:c>
      <x:c r="K245" s="60" t="n">
        <x:v>0</x:v>
      </x:c>
      <x:c r="L245" s="60" t="n">
        <x:v>0.0597246388</x:v>
      </x:c>
      <x:c r="M245" s="60" t="n">
        <x:v>0</x:v>
      </x:c>
      <x:c r="N245" s="46" t="str">
        <x:v>galeus</x:v>
      </x:c>
      <x:c r="O245" s="62" t="n">
        <x:v>4.04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Galeus</x:v>
      </x:c>
      <x:c r="T245" s="62" t="n">
        <x:f>IF(O245="","",(1/'Metadata'!$B$5)^(O245-1))</x:f>
        <x:v>9018.435152653688</x:v>
      </x:c>
      <x:c r="U245" s="60" t="n">
        <x:f>IF(T245="","",I245*T245)</x:f>
        <x:v>538.6227820334644</x:v>
      </x:c>
    </x:row>
    <x:row r="246" ht="18" customHeight="1">
      <x:c r="A246" s="46" t="str">
        <x:v>LME_022</x:v>
      </x:c>
      <x:c r="B246" s="46" t="str">
        <x:v>North Sea</x:v>
      </x:c>
      <x:c r="C246" s="46" t="str">
        <x:v>LME</x:v>
      </x:c>
      <x:c r="D246" s="58" t="n">
        <x:v>2019</x:v>
      </x:c>
      <x:c r="E246" s="46" t="str">
        <x:v>Carcharhinidae</x:v>
      </x:c>
      <x:c r="F246" s="46" t="str">
        <x:v>Requiem sharks</x:v>
      </x:c>
      <x:c r="G246" s="46" t="str">
        <x:v>Large sharks (&gt;=90 cm)</x:v>
      </x:c>
      <x:c r="H246" s="46" t="str">
        <x:v>Sharks &amp; rays</x:v>
      </x:c>
      <x:c r="I246" s="60" t="n">
        <x:v>0.0589271045</x:v>
      </x:c>
      <x:c r="J246" s="60" t="n">
        <x:v>0.0589271045</x:v>
      </x:c>
      <x:c r="K246" s="60" t="n">
        <x:v>0</x:v>
      </x:c>
      <x:c r="L246" s="60" t="n">
        <x:v>0.0589271045</x:v>
      </x:c>
      <x:c r="M246" s="60" t="n">
        <x:v>0</x:v>
      </x:c>
      <x:c r="N246" s="46" t="str">
        <x:v>carcharhinidae</x:v>
      </x:c>
      <x:c r="O246" s="62" t="n">
        <x:v>4.24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Carcharhinidae</x:v>
      </x:c>
      <x:c r="T246" s="62" t="n">
        <x:f>IF(O246="","",(1/'Metadata'!$B$5)^(O246-1))</x:f>
        <x:v>16418.64020623336</x:v>
      </x:c>
      <x:c r="U246" s="60" t="n">
        <x:f>IF(T246="","",I246*T246)</x:f>
        <x:v>967.5029271806146</x:v>
      </x:c>
    </x:row>
    <x:row r="247" ht="18" customHeight="1">
      <x:c r="A247" s="46" t="str">
        <x:v>LME_022</x:v>
      </x:c>
      <x:c r="B247" s="46" t="str">
        <x:v>North Sea</x:v>
      </x:c>
      <x:c r="C247" s="46" t="str">
        <x:v>LME</x:v>
      </x:c>
      <x:c r="D247" s="58" t="n">
        <x:v>2019</x:v>
      </x:c>
      <x:c r="E247" s="46" t="str">
        <x:v>Venus verrucosa</x:v>
      </x:c>
      <x:c r="F247" s="46" t="str">
        <x:v>Warty venus</x:v>
      </x:c>
      <x:c r="G247" s="46" t="str">
        <x:v>Other demersal invertebrates</x:v>
      </x:c>
      <x:c r="H247" s="46" t="str">
        <x:v>Molluscs</x:v>
      </x:c>
      <x:c r="I247" s="60" t="n">
        <x:v>0.0575915288</x:v>
      </x:c>
      <x:c r="J247" s="60" t="n">
        <x:v>0.0575915288</x:v>
      </x:c>
      <x:c r="K247" s="60" t="n">
        <x:v>0</x:v>
      </x:c>
      <x:c r="L247" s="60" t="n">
        <x:v>0.0575915288</x:v>
      </x:c>
      <x:c r="M247" s="60" t="n">
        <x:v>0</x:v>
      </x:c>
      <x:c r="N247" s="46" t="str">
        <x:v>venus verrucosa</x:v>
      </x:c>
      <x:c r="O247" s="62" t="n">
        <x:v>2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Venus verrucosa</x:v>
      </x:c>
      <x:c r="T247" s="62" t="n">
        <x:f>IF(O247="","",(1/'Metadata'!$B$5)^(O247-1))</x:f>
        <x:v>20</x:v>
      </x:c>
      <x:c r="U247" s="60" t="n">
        <x:f>IF(T247="","",I247*T247)</x:f>
        <x:v>1.151830576</x:v>
      </x:c>
    </x:row>
    <x:row r="248" ht="18" customHeight="1">
      <x:c r="A248" s="46" t="str">
        <x:v>LME_022</x:v>
      </x:c>
      <x:c r="B248" s="46" t="str">
        <x:v>North Sea</x:v>
      </x:c>
      <x:c r="C248" s="46" t="str">
        <x:v>LME</x:v>
      </x:c>
      <x:c r="D248" s="58" t="n">
        <x:v>2019</x:v>
      </x:c>
      <x:c r="E248" s="46" t="str">
        <x:v>Sparus aurata</x:v>
      </x:c>
      <x:c r="F248" s="46" t="str">
        <x:v>Gilthead seabream</x:v>
      </x:c>
      <x:c r="G248" s="46" t="str">
        <x:v>Medium demersals (30 - 89 cm)</x:v>
      </x:c>
      <x:c r="H248" s="46" t="str">
        <x:v>Perch-likes</x:v>
      </x:c>
      <x:c r="I248" s="60" t="n">
        <x:v>0.057225969</x:v>
      </x:c>
      <x:c r="J248" s="60" t="n">
        <x:v>0.057225969</x:v>
      </x:c>
      <x:c r="K248" s="60" t="n">
        <x:v>0</x:v>
      </x:c>
      <x:c r="L248" s="60" t="n">
        <x:v>0.057225969</x:v>
      </x:c>
      <x:c r="M248" s="60" t="n">
        <x:v>0</x:v>
      </x:c>
      <x:c r="N248" s="46" t="str">
        <x:v>sparus aurata</x:v>
      </x:c>
      <x:c r="O248" s="62" t="n">
        <x:v>3.7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Sparus aurata</x:v>
      </x:c>
      <x:c r="T248" s="62" t="n">
        <x:f>IF(O248="","",(1/'Metadata'!$B$5)^(O248-1))</x:f>
        <x:v>3256.724252295237</x:v>
      </x:c>
      <x:c r="U248" s="60" t="n">
        <x:f>IF(T248="","",I248*T248)</x:f>
        <x:v>186.36920110339543</x:v>
      </x:c>
    </x:row>
    <x:row r="249" ht="18" customHeight="1">
      <x:c r="A249" s="46" t="str">
        <x:v>LME_022</x:v>
      </x:c>
      <x:c r="B249" s="46" t="str">
        <x:v>North Sea</x:v>
      </x:c>
      <x:c r="C249" s="46" t="str">
        <x:v>LME</x:v>
      </x:c>
      <x:c r="D249" s="58" t="n">
        <x:v>2019</x:v>
      </x:c>
      <x:c r="E249" s="46" t="str">
        <x:v>Trigla</x:v>
      </x:c>
      <x:c r="F249" s="46" t="str">
        <x:v>Piper gurnards</x:v>
      </x:c>
      <x:c r="G249" s="46" t="str">
        <x:v>Medium bathydemersals (30 - 89 cm)</x:v>
      </x:c>
      <x:c r="H249" s="46" t="str">
        <x:v>Scorpionfishes</x:v>
      </x:c>
      <x:c r="I249" s="60" t="n">
        <x:v>0.055068256100000004</x:v>
      </x:c>
      <x:c r="J249" s="60" t="n">
        <x:v>0.055068256100000004</x:v>
      </x:c>
      <x:c r="K249" s="60" t="n">
        <x:v>0</x:v>
      </x:c>
      <x:c r="L249" s="60" t="n">
        <x:v>0.055068256100000004</x:v>
      </x:c>
      <x:c r="M249" s="60" t="n">
        <x:v>0</x:v>
      </x:c>
      <x:c r="N249" s="46" t="str">
        <x:v>trigla</x:v>
      </x:c>
      <x:c r="O249" s="62" t="n">
        <x:v>3.51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Trigla</x:v>
      </x:c>
      <x:c r="T249" s="62" t="n">
        <x:f>IF(O249="","",(1/'Metadata'!$B$5)^(O249-1))</x:f>
        <x:v>1843.2544417784343</x:v>
      </x:c>
      <x:c r="U249" s="60" t="n">
        <x:f>IF(T249="","",I249*T249)</x:f>
        <x:v>101.50480765731737</x:v>
      </x:c>
    </x:row>
    <x:row r="250" ht="18" customHeight="1">
      <x:c r="A250" s="46" t="str">
        <x:v>LME_022</x:v>
      </x:c>
      <x:c r="B250" s="46" t="str">
        <x:v>North Sea</x:v>
      </x:c>
      <x:c r="C250" s="46" t="str">
        <x:v>LME</x:v>
      </x:c>
      <x:c r="D250" s="58" t="n">
        <x:v>2019</x:v>
      </x:c>
      <x:c r="E250" s="46" t="str">
        <x:v>Mytilus</x:v>
      </x:c>
      <x:c r="F250" s="46" t="str">
        <x:v>Edible sea mussels</x:v>
      </x:c>
      <x:c r="G250" s="46" t="str">
        <x:v>Other demersal invertebrates</x:v>
      </x:c>
      <x:c r="H250" s="46" t="str">
        <x:v>Molluscs</x:v>
      </x:c>
      <x:c r="I250" s="60" t="n">
        <x:v>0.0488990056</x:v>
      </x:c>
      <x:c r="J250" s="60" t="n">
        <x:v>0.0488990056</x:v>
      </x:c>
      <x:c r="K250" s="60" t="n">
        <x:v>0</x:v>
      </x:c>
      <x:c r="L250" s="60" t="n">
        <x:v>0.0132408415</x:v>
      </x:c>
      <x:c r="M250" s="60" t="n">
        <x:v>0.0356581641</x:v>
      </x:c>
      <x:c r="N250" s="46" t="str">
        <x:v>mytilus</x:v>
      </x:c>
      <x:c r="O250" s="62" t="n">
        <x:v>2.03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Mytilus</x:v>
      </x:c>
      <x:c r="T250" s="62" t="n">
        <x:f>IF(O250="","",(1/'Metadata'!$B$5)^(O250-1))</x:f>
        <x:v>21.880684071538855</x:v>
      </x:c>
      <x:c r="U250" s="60" t="n">
        <x:f>IF(T250="","",I250*T250)</x:f>
        <x:v>1.0699436929460093</x:v>
      </x:c>
    </x:row>
    <x:row r="251" ht="18" customHeight="1">
      <x:c r="A251" s="46" t="str">
        <x:v>LME_022</x:v>
      </x:c>
      <x:c r="B251" s="46" t="str">
        <x:v>North Sea</x:v>
      </x:c>
      <x:c r="C251" s="46" t="str">
        <x:v>LME</x:v>
      </x:c>
      <x:c r="D251" s="58" t="n">
        <x:v>2019</x:v>
      </x:c>
      <x:c r="E251" s="46" t="str">
        <x:v>Beryx decadactylus</x:v>
      </x:c>
      <x:c r="F251" s="46" t="str">
        <x:v>Alfonsino</x:v>
      </x:c>
      <x:c r="G251" s="46" t="str">
        <x:v>Medium bathydemersals (30 - 89 cm)</x:v>
      </x:c>
      <x:c r="H251" s="46" t="str">
        <x:v>Other fishes &amp; inverts</x:v>
      </x:c>
      <x:c r="I251" s="60" t="n">
        <x:v>0.043649285700000005</x:v>
      </x:c>
      <x:c r="J251" s="60" t="n">
        <x:v>0.043649285700000005</x:v>
      </x:c>
      <x:c r="K251" s="60" t="n">
        <x:v>0</x:v>
      </x:c>
      <x:c r="L251" s="60" t="n">
        <x:v>0.043649285700000005</x:v>
      </x:c>
      <x:c r="M251" s="60" t="n">
        <x:v>0</x:v>
      </x:c>
      <x:c r="N251" s="46" t="str">
        <x:v>beryx decadactylus</x:v>
      </x:c>
      <x:c r="O251" s="62" t="n">
        <x:v>4.13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Beryx decadactylus</x:v>
      </x:c>
      <x:c r="T251" s="62" t="n">
        <x:f>IF(O251="","",(1/'Metadata'!$B$5)^(O251-1))</x:f>
        <x:v>11809.292685236613</x:v>
      </x:c>
      <x:c r="U251" s="60" t="n">
        <x:f>IF(T251="","",I251*T251)</x:f>
        <x:v>515.4671903328132</x:v>
      </x:c>
    </x:row>
    <x:row r="252" ht="18" customHeight="1">
      <x:c r="A252" s="46" t="str">
        <x:v>LME_022</x:v>
      </x:c>
      <x:c r="B252" s="46" t="str">
        <x:v>North Sea</x:v>
      </x:c>
      <x:c r="C252" s="46" t="str">
        <x:v>LME</x:v>
      </x:c>
      <x:c r="D252" s="58" t="n">
        <x:v>2019</x:v>
      </x:c>
      <x:c r="E252" s="46" t="str">
        <x:v>Microchirus variegatus</x:v>
      </x:c>
      <x:c r="F252" s="46" t="str">
        <x:v>Thickback sole</x:v>
      </x:c>
      <x:c r="G252" s="46" t="str">
        <x:v>Small to medium flatfishes (&lt;90 cm)</x:v>
      </x:c>
      <x:c r="H252" s="46" t="str">
        <x:v>Flatfishes</x:v>
      </x:c>
      <x:c r="I252" s="60" t="n">
        <x:v>0.0431291863</x:v>
      </x:c>
      <x:c r="J252" s="60" t="n">
        <x:v>0.0431291863</x:v>
      </x:c>
      <x:c r="K252" s="60" t="n">
        <x:v>0</x:v>
      </x:c>
      <x:c r="L252" s="60" t="n">
        <x:v>0.0421569435</x:v>
      </x:c>
      <x:c r="M252" s="60" t="n">
        <x:v>0.0009722428</x:v>
      </x:c>
      <x:c r="N252" s="46" t="str">
        <x:v>microchirus variegatus</x:v>
      </x:c>
      <x:c r="O252" s="62" t="n">
        <x:v>3.28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Microchirus variegatus</x:v>
      </x:c>
      <x:c r="T252" s="62" t="n">
        <x:f>IF(O252="","",(1/'Metadata'!$B$5)^(O252-1))</x:f>
        <x:v>925.4402624666747</x:v>
      </x:c>
      <x:c r="U252" s="60" t="n">
        <x:f>IF(T252="","",I252*T252)</x:f>
        <x:v>39.9134854894461</x:v>
      </x:c>
    </x:row>
    <x:row r="253" ht="18" customHeight="1">
      <x:c r="A253" s="46" t="str">
        <x:v>LME_022</x:v>
      </x:c>
      <x:c r="B253" s="46" t="str">
        <x:v>North Sea</x:v>
      </x:c>
      <x:c r="C253" s="46" t="str">
        <x:v>LME</x:v>
      </x:c>
      <x:c r="D253" s="58" t="n">
        <x:v>2019</x:v>
      </x:c>
      <x:c r="E253" s="46" t="str">
        <x:v>Scorpaena scrofa</x:v>
      </x:c>
      <x:c r="F253" s="46" t="str">
        <x:v>Red scorpionfish</x:v>
      </x:c>
      <x:c r="G253" s="46" t="str">
        <x:v>Medium demersals (30 - 89 cm)</x:v>
      </x:c>
      <x:c r="H253" s="46" t="str">
        <x:v>Scorpionfishes</x:v>
      </x:c>
      <x:c r="I253" s="60" t="n">
        <x:v>0.0418320362</x:v>
      </x:c>
      <x:c r="J253" s="60" t="n">
        <x:v>0.0418320362</x:v>
      </x:c>
      <x:c r="K253" s="60" t="n">
        <x:v>0</x:v>
      </x:c>
      <x:c r="L253" s="60" t="n">
        <x:v>0.0418320362</x:v>
      </x:c>
      <x:c r="M253" s="60" t="n">
        <x:v>0</x:v>
      </x:c>
      <x:c r="N253" s="46" t="str">
        <x:v>scorpaena scrofa</x:v>
      </x:c>
      <x:c r="O253" s="62" t="n">
        <x:v>4.25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Scorpaena scrofa</x:v>
      </x:c>
      <x:c r="T253" s="62" t="n">
        <x:f>IF(O253="","",(1/'Metadata'!$B$5)^(O253-1))</x:f>
        <x:v>16917.940215049024</x:v>
      </x:c>
      <x:c r="U253" s="60" t="n">
        <x:f>IF(T253="","",I253*T253)</x:f>
        <x:v>707.7118875053666</x:v>
      </x:c>
    </x:row>
    <x:row r="254" ht="18" customHeight="1">
      <x:c r="A254" s="46" t="str">
        <x:v>LME_022</x:v>
      </x:c>
      <x:c r="B254" s="46" t="str">
        <x:v>North Sea</x:v>
      </x:c>
      <x:c r="C254" s="46" t="str">
        <x:v>LME</x:v>
      </x:c>
      <x:c r="D254" s="58" t="n">
        <x:v>2019</x:v>
      </x:c>
      <x:c r="E254" s="46" t="str">
        <x:v>Illex coindetii</x:v>
      </x:c>
      <x:c r="F254" s="46" t="str">
        <x:v>Broadtail shortfin squid</x:v>
      </x:c>
      <x:c r="G254" s="46" t="str">
        <x:v>Cephalopods</x:v>
      </x:c>
      <x:c r="H254" s="46" t="str">
        <x:v>Other fishes &amp; inverts</x:v>
      </x:c>
      <x:c r="I254" s="60" t="n">
        <x:v>0.0412590493</x:v>
      </x:c>
      <x:c r="J254" s="60" t="n">
        <x:v>0.0412590493</x:v>
      </x:c>
      <x:c r="K254" s="60" t="n">
        <x:v>0</x:v>
      </x:c>
      <x:c r="L254" s="60" t="n">
        <x:v>0.0412590493</x:v>
      </x:c>
      <x:c r="M254" s="60" t="n">
        <x:v>0</x:v>
      </x:c>
      <x:c r="N254" s="46" t="str">
        <x:v>illex coindetii</x:v>
      </x:c>
      <x:c r="O254" s="62" t="n">
        <x:v>4.11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Illex coindetii</x:v>
      </x:c>
      <x:c r="T254" s="62" t="n">
        <x:f>IF(O254="","",(1/'Metadata'!$B$5)^(O254-1))</x:f>
        <x:v>11122.52233481121</x:v>
      </x:c>
      <x:c r="U254" s="60" t="n">
        <x:f>IF(T254="","",I254*T254)</x:f>
        <x:v>458.9046973523269</x:v>
      </x:c>
    </x:row>
    <x:row r="255" ht="18" customHeight="1">
      <x:c r="A255" s="46" t="str">
        <x:v>LME_022</x:v>
      </x:c>
      <x:c r="B255" s="46" t="str">
        <x:v>North Sea</x:v>
      </x:c>
      <x:c r="C255" s="46" t="str">
        <x:v>LME</x:v>
      </x:c>
      <x:c r="D255" s="58" t="n">
        <x:v>2019</x:v>
      </x:c>
      <x:c r="E255" s="46" t="str">
        <x:v>Isurus oxyrinchus</x:v>
      </x:c>
      <x:c r="F255" s="46" t="str">
        <x:v>Shortfin mako</x:v>
      </x:c>
      <x:c r="G255" s="46" t="str">
        <x:v>Large sharks (&gt;=90 cm)</x:v>
      </x:c>
      <x:c r="H255" s="46" t="str">
        <x:v>Sharks &amp; rays</x:v>
      </x:c>
      <x:c r="I255" s="60" t="n">
        <x:v>0.039615841</x:v>
      </x:c>
      <x:c r="J255" s="60" t="n">
        <x:v>0.039615841</x:v>
      </x:c>
      <x:c r="K255" s="60" t="n">
        <x:v>0</x:v>
      </x:c>
      <x:c r="L255" s="60" t="n">
        <x:v>0.039615841</x:v>
      </x:c>
      <x:c r="M255" s="60" t="n">
        <x:v>0</x:v>
      </x:c>
      <x:c r="N255" s="46" t="str">
        <x:v>isurus oxyrinchus</x:v>
      </x:c>
      <x:c r="O255" s="62" t="n">
        <x:v>4.5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Isurus oxyrinchus</x:v>
      </x:c>
      <x:c r="T255" s="62" t="n">
        <x:f>IF(O255="","",(1/'Metadata'!$B$5)^(O255-1))</x:f>
        <x:v>35777.08763999664</x:v>
      </x:c>
      <x:c r="U255" s="60" t="n">
        <x:f>IF(T255="","",I255*T255)</x:f>
        <x:v>1417.339415389172</x:v>
      </x:c>
    </x:row>
    <x:row r="256" ht="18" customHeight="1">
      <x:c r="A256" s="46" t="str">
        <x:v>LME_022</x:v>
      </x:c>
      <x:c r="B256" s="46" t="str">
        <x:v>North Sea</x:v>
      </x:c>
      <x:c r="C256" s="46" t="str">
        <x:v>LME</x:v>
      </x:c>
      <x:c r="D256" s="58" t="n">
        <x:v>2019</x:v>
      </x:c>
      <x:c r="E256" s="46" t="str">
        <x:v>Scomber</x:v>
      </x:c>
      <x:c r="F256" s="46" t="str">
        <x:v>Chub mackerels</x:v>
      </x:c>
      <x:c r="G256" s="46" t="str">
        <x:v>Medium pelagics (30 - 89 cm)</x:v>
      </x:c>
      <x:c r="H256" s="46" t="str">
        <x:v>Perch-likes</x:v>
      </x:c>
      <x:c r="I256" s="60" t="n">
        <x:v>0.0390917806</x:v>
      </x:c>
      <x:c r="J256" s="60" t="n">
        <x:v>0.0390917806</x:v>
      </x:c>
      <x:c r="K256" s="60" t="n">
        <x:v>0</x:v>
      </x:c>
      <x:c r="L256" s="60" t="n">
        <x:v>0.0390917806</x:v>
      </x:c>
      <x:c r="M256" s="60" t="n">
        <x:v>0</x:v>
      </x:c>
      <x:c r="N256" s="46" t="str">
        <x:v>scomber</x:v>
      </x:c>
      <x:c r="O256" s="62" t="n">
        <x:v>3.65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Scomber</x:v>
      </x:c>
      <x:c r="T256" s="62" t="n">
        <x:f>IF(O256="","",(1/'Metadata'!$B$5)^(O256-1))</x:f>
        <x:v>2803.6867455443476</x:v>
      </x:c>
      <x:c r="U256" s="60" t="n">
        <x:f>IF(T256="","",I256*T256)</x:f>
        <x:v>109.60110712794767</x:v>
      </x:c>
    </x:row>
    <x:row r="257" ht="18" customHeight="1">
      <x:c r="A257" s="46" t="str">
        <x:v>LME_022</x:v>
      </x:c>
      <x:c r="B257" s="46" t="str">
        <x:v>North Sea</x:v>
      </x:c>
      <x:c r="C257" s="46" t="str">
        <x:v>LME</x:v>
      </x:c>
      <x:c r="D257" s="58" t="n">
        <x:v>2019</x:v>
      </x:c>
      <x:c r="E257" s="46" t="str">
        <x:v>Callista chione</x:v>
      </x:c>
      <x:c r="F257" s="46" t="str">
        <x:v>Smooth callista</x:v>
      </x:c>
      <x:c r="G257" s="46" t="str">
        <x:v>Other demersal invertebrates</x:v>
      </x:c>
      <x:c r="H257" s="46" t="str">
        <x:v>Molluscs</x:v>
      </x:c>
      <x:c r="I257" s="60" t="n">
        <x:v>0.0387425118</x:v>
      </x:c>
      <x:c r="J257" s="60" t="n">
        <x:v>0.0387425118</x:v>
      </x:c>
      <x:c r="K257" s="60" t="n">
        <x:v>0</x:v>
      </x:c>
      <x:c r="L257" s="60" t="n">
        <x:v>0.0387425118</x:v>
      </x:c>
      <x:c r="M257" s="60" t="n">
        <x:v>0</x:v>
      </x:c>
      <x:c r="N257" s="46" t="str">
        <x:v>callista chione</x:v>
      </x:c>
      <x:c r="O257" s="62" t="n">
        <x:v>2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Callista chione</x:v>
      </x:c>
      <x:c r="T257" s="62" t="n">
        <x:f>IF(O257="","",(1/'Metadata'!$B$5)^(O257-1))</x:f>
        <x:v>20</x:v>
      </x:c>
      <x:c r="U257" s="60" t="n">
        <x:f>IF(T257="","",I257*T257)</x:f>
        <x:v>0.7748502359999999</x:v>
      </x:c>
    </x:row>
    <x:row r="258" ht="18" customHeight="1">
      <x:c r="A258" s="46" t="str">
        <x:v>LME_022</x:v>
      </x:c>
      <x:c r="B258" s="46" t="str">
        <x:v>North Sea</x:v>
      </x:c>
      <x:c r="C258" s="46" t="str">
        <x:v>LME</x:v>
      </x:c>
      <x:c r="D258" s="58" t="n">
        <x:v>2019</x:v>
      </x:c>
      <x:c r="E258" s="46" t="str">
        <x:v>Molva macrophthalma</x:v>
      </x:c>
      <x:c r="F258" s="46" t="str">
        <x:v>Spanish ling</x:v>
      </x:c>
      <x:c r="G258" s="46" t="str">
        <x:v>Medium demersals (30 - 89 cm)</x:v>
      </x:c>
      <x:c r="H258" s="46" t="str">
        <x:v>Cod-likes</x:v>
      </x:c>
      <x:c r="I258" s="60" t="n">
        <x:v>0.036620488</x:v>
      </x:c>
      <x:c r="J258" s="60" t="n">
        <x:v>0.036620488</x:v>
      </x:c>
      <x:c r="K258" s="60" t="n">
        <x:v>0</x:v>
      </x:c>
      <x:c r="L258" s="60" t="n">
        <x:v>0.036620488</x:v>
      </x:c>
      <x:c r="M258" s="60" t="n">
        <x:v>0</x:v>
      </x:c>
      <x:c r="N258" s="46" t="str">
        <x:v>molva macrophthalma</x:v>
      </x:c>
      <x:c r="O258" s="62" t="n">
        <x:v>4.5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Molva macrophthalma</x:v>
      </x:c>
      <x:c r="T258" s="62" t="n">
        <x:f>IF(O258="","",(1/'Metadata'!$B$5)^(O258-1))</x:f>
        <x:v>35777.08763999664</x:v>
      </x:c>
      <x:c r="U258" s="60" t="n">
        <x:f>IF(T258="","",I258*T258)</x:f>
        <x:v>1310.1744085954451</x:v>
      </x:c>
    </x:row>
    <x:row r="259" ht="18" customHeight="1">
      <x:c r="A259" s="46" t="str">
        <x:v>LME_022</x:v>
      </x:c>
      <x:c r="B259" s="46" t="str">
        <x:v>North Sea</x:v>
      </x:c>
      <x:c r="C259" s="46" t="str">
        <x:v>LME</x:v>
      </x:c>
      <x:c r="D259" s="58" t="n">
        <x:v>2019</x:v>
      </x:c>
      <x:c r="E259" s="46" t="str">
        <x:v>Raja microocellata</x:v>
      </x:c>
      <x:c r="F259" s="46" t="str">
        <x:v>Small-eyed ray</x:v>
      </x:c>
      <x:c r="G259" s="46" t="str">
        <x:v>Small to medium rays (&lt;90 cm)</x:v>
      </x:c>
      <x:c r="H259" s="46" t="str">
        <x:v>Sharks &amp; rays</x:v>
      </x:c>
      <x:c r="I259" s="60" t="n">
        <x:v>0.03513998</x:v>
      </x:c>
      <x:c r="J259" s="60" t="n">
        <x:v>0.03513998</x:v>
      </x:c>
      <x:c r="K259" s="60" t="n">
        <x:v>0</x:v>
      </x:c>
      <x:c r="L259" s="60" t="n">
        <x:v>0.034909403900000004</x:v>
      </x:c>
      <x:c r="M259" s="60" t="n">
        <x:v>0.0002305761</x:v>
      </x:c>
      <x:c r="N259" s="46" t="str">
        <x:v>raja microocellata</x:v>
      </x:c>
      <x:c r="O259" s="62" t="n">
        <x:v>3.94</x:v>
      </x:c>
      <x:c r="P259" s="46" t="str">
        <x:v>exact_2020_supplement</x:v>
      </x:c>
      <x:c r="Q259" s="62" t="str">
        <x:v>2020 supplement MeanTL</x:v>
      </x:c>
      <x:c r="R259" s="46" t="str">
        <x:v>high</x:v>
      </x:c>
      <x:c r="S259" s="46" t="str">
        <x:v>Raja microocellata</x:v>
      </x:c>
      <x:c r="T259" s="62" t="n">
        <x:f>IF(O259="","",(1/'Metadata'!$B$5)^(O259-1))</x:f>
        <x:v>6683.872968668722</x:v>
      </x:c>
      <x:c r="U259" s="60" t="n">
        <x:f>IF(T259="","",I259*T259)</x:f>
        <x:v>234.87116244155953</x:v>
      </x:c>
    </x:row>
    <x:row r="260" ht="18" customHeight="1">
      <x:c r="A260" s="46" t="str">
        <x:v>LME_022</x:v>
      </x:c>
      <x:c r="B260" s="46" t="str">
        <x:v>North Sea</x:v>
      </x:c>
      <x:c r="C260" s="46" t="str">
        <x:v>LME</x:v>
      </x:c>
      <x:c r="D260" s="58" t="n">
        <x:v>2019</x:v>
      </x:c>
      <x:c r="E260" s="46" t="str">
        <x:v>Mugil</x:v>
      </x:c>
      <x:c r="F260" s="46" t="str">
        <x:v>Grey mullets</x:v>
      </x:c>
      <x:c r="G260" s="46" t="str">
        <x:v>Medium demersals (30 - 89 cm)</x:v>
      </x:c>
      <x:c r="H260" s="46" t="str">
        <x:v>Perch-likes</x:v>
      </x:c>
      <x:c r="I260" s="60" t="n">
        <x:v>0.0334479793</x:v>
      </x:c>
      <x:c r="J260" s="60" t="n">
        <x:v>0.0334479793</x:v>
      </x:c>
      <x:c r="K260" s="60" t="n">
        <x:v>0</x:v>
      </x:c>
      <x:c r="L260" s="60" t="n">
        <x:v>0.0268946824</x:v>
      </x:c>
      <x:c r="M260" s="60" t="n">
        <x:v>0.006553296900000001</x:v>
      </x:c>
      <x:c r="N260" s="46" t="str">
        <x:v>mugil</x:v>
      </x:c>
      <x:c r="O260" s="62" t="n">
        <x:v>2.26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Mugil</x:v>
      </x:c>
      <x:c r="T260" s="62" t="n">
        <x:f>IF(O260="","",(1/'Metadata'!$B$5)^(O260-1))</x:f>
        <x:v>43.581060539244675</x:v>
      </x:c>
      <x:c r="U260" s="60" t="n">
        <x:f>IF(T260="","",I260*T260)</x:f>
        <x:v>1.4576984107887028</x:v>
      </x:c>
    </x:row>
    <x:row r="261" ht="18" customHeight="1">
      <x:c r="A261" s="46" t="str">
        <x:v>LME_022</x:v>
      </x:c>
      <x:c r="B261" s="46" t="str">
        <x:v>North Sea</x:v>
      </x:c>
      <x:c r="C261" s="46" t="str">
        <x:v>LME</x:v>
      </x:c>
      <x:c r="D261" s="58" t="n">
        <x:v>2019</x:v>
      </x:c>
      <x:c r="E261" s="46" t="str">
        <x:v>Scomberesocidae</x:v>
      </x:c>
      <x:c r="F261" s="46" t="str">
        <x:v>Sauries</x:v>
      </x:c>
      <x:c r="G261" s="46" t="str">
        <x:v>Medium pelagics (30 - 89 cm)</x:v>
      </x:c>
      <x:c r="H261" s="46" t="str">
        <x:v>Other fishes &amp; inverts</x:v>
      </x:c>
      <x:c r="I261" s="60" t="n">
        <x:v>0.0303303643</x:v>
      </x:c>
      <x:c r="J261" s="60" t="n">
        <x:v>0.0303303643</x:v>
      </x:c>
      <x:c r="K261" s="60" t="n">
        <x:v>0</x:v>
      </x:c>
      <x:c r="L261" s="60" t="n">
        <x:v>0.0303303643</x:v>
      </x:c>
      <x:c r="M261" s="60" t="n">
        <x:v>0</x:v>
      </x:c>
      <x:c r="N261" s="46" t="str">
        <x:v>scomberesocidae</x:v>
      </x:c>
      <x:c r="O261" s="62" t="n">
        <x:v>4.01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Scomberesocidae</x:v>
      </x:c>
      <x:c r="T261" s="62" t="n">
        <x:f>IF(O261="","",(1/'Metadata'!$B$5)^(O261-1))</x:f>
        <x:v>8243.284463290014</x:v>
      </x:c>
      <x:c r="U261" s="60" t="n">
        <x:f>IF(T261="","",I261*T261)</x:f>
        <x:v>250.0218208001161</x:v>
      </x:c>
    </x:row>
    <x:row r="262" ht="18" customHeight="1">
      <x:c r="A262" s="46" t="str">
        <x:v>LME_022</x:v>
      </x:c>
      <x:c r="B262" s="46" t="str">
        <x:v>North Sea</x:v>
      </x:c>
      <x:c r="C262" s="46" t="str">
        <x:v>LME</x:v>
      </x:c>
      <x:c r="D262" s="58" t="n">
        <x:v>2019</x:v>
      </x:c>
      <x:c r="E262" s="46" t="str">
        <x:v>Palinuridae</x:v>
      </x:c>
      <x:c r="F262" s="46" t="str">
        <x:v>Spiny lobsters</x:v>
      </x:c>
      <x:c r="G262" s="46" t="str">
        <x:v>Lobsters, crabs</x:v>
      </x:c>
      <x:c r="H262" s="46" t="str">
        <x:v>Crustaceans</x:v>
      </x:c>
      <x:c r="I262" s="60" t="n">
        <x:v>0.0296941732</x:v>
      </x:c>
      <x:c r="J262" s="60" t="n">
        <x:v>0.0296941732</x:v>
      </x:c>
      <x:c r="K262" s="60" t="n">
        <x:v>0</x:v>
      </x:c>
      <x:c r="L262" s="60" t="n">
        <x:v>0.0296941732</x:v>
      </x:c>
      <x:c r="M262" s="60" t="n">
        <x:v>0</x:v>
      </x:c>
      <x:c r="N262" s="46" t="str">
        <x:v>palinuridae</x:v>
      </x:c>
      <x:c r="O262" s="62" t="n">
        <x:v>3.14</x:v>
      </x:c>
      <x:c r="P262" s="46" t="str">
        <x:v>exact_sea_around_us</x:v>
      </x:c>
      <x:c r="Q262" s="62" t="str">
        <x:v>Sea Around Us exploited organisms</x:v>
      </x:c>
      <x:c r="R262" s="46" t="str">
        <x:v>high</x:v>
      </x:c>
      <x:c r="S262" s="46" t="str">
        <x:v>Palinuridae</x:v>
      </x:c>
      <x:c r="T262" s="62" t="n">
        <x:f>IF(O262="","",(1/'Metadata'!$B$5)^(O262-1))</x:f>
        <x:v>608.420993216597</x:v>
      </x:c>
      <x:c r="U262" s="60" t="n">
        <x:f>IF(T262="","",I262*T262)</x:f>
        <x:v>18.066558351089657</x:v>
      </x:c>
    </x:row>
    <x:row r="263" ht="18" customHeight="1">
      <x:c r="A263" s="46" t="str">
        <x:v>LME_022</x:v>
      </x:c>
      <x:c r="B263" s="46" t="str">
        <x:v>North Sea</x:v>
      </x:c>
      <x:c r="C263" s="46" t="str">
        <x:v>LME</x:v>
      </x:c>
      <x:c r="D263" s="58" t="n">
        <x:v>2019</x:v>
      </x:c>
      <x:c r="E263" s="46" t="str">
        <x:v>Salmo</x:v>
      </x:c>
      <x:c r="F263" s="46" t="str">
        <x:v>Trouts</x:v>
      </x:c>
      <x:c r="G263" s="46" t="str">
        <x:v>Large benthopelagics (&gt;=90 cm)</x:v>
      </x:c>
      <x:c r="H263" s="46" t="str">
        <x:v>Salmon, smelts, etc</x:v>
      </x:c>
      <x:c r="I263" s="60" t="n">
        <x:v>0.0290624134</x:v>
      </x:c>
      <x:c r="J263" s="60" t="n">
        <x:v>0</x:v>
      </x:c>
      <x:c r="K263" s="60" t="n">
        <x:v>0.0290624134</x:v>
      </x:c>
      <x:c r="L263" s="60" t="n">
        <x:v>0</x:v>
      </x:c>
      <x:c r="M263" s="60" t="n">
        <x:v>0.0290624134</x:v>
      </x:c>
      <x:c r="N263" s="46" t="str">
        <x:v>salmo</x:v>
      </x:c>
      <x:c r="O263" s="62" t="n">
        <x:v>4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Salmo</x:v>
      </x:c>
      <x:c r="T263" s="62" t="n">
        <x:f>IF(O263="","",(1/'Metadata'!$B$5)^(O263-1))</x:f>
        <x:v>8000</x:v>
      </x:c>
      <x:c r="U263" s="60" t="n">
        <x:f>IF(T263="","",I263*T263)</x:f>
        <x:v>232.4993072</x:v>
      </x:c>
    </x:row>
    <x:row r="264" ht="18" customHeight="1">
      <x:c r="A264" s="46" t="str">
        <x:v>LME_022</x:v>
      </x:c>
      <x:c r="B264" s="46" t="str">
        <x:v>North Sea</x:v>
      </x:c>
      <x:c r="C264" s="46" t="str">
        <x:v>LME</x:v>
      </x:c>
      <x:c r="D264" s="58" t="n">
        <x:v>2019</x:v>
      </x:c>
      <x:c r="E264" s="46" t="str">
        <x:v>Gaidropsarus</x:v>
      </x:c>
      <x:c r="F264" s="46" t="str">
        <x:v>Rocklings</x:v>
      </x:c>
      <x:c r="G264" s="46" t="str">
        <x:v>Medium benthopelagics (30 - 89 cm)</x:v>
      </x:c>
      <x:c r="H264" s="46" t="str">
        <x:v>Cod-likes</x:v>
      </x:c>
      <x:c r="I264" s="60" t="n">
        <x:v>0.0269604814</x:v>
      </x:c>
      <x:c r="J264" s="60" t="n">
        <x:v>0.0269604814</x:v>
      </x:c>
      <x:c r="K264" s="60" t="n">
        <x:v>0</x:v>
      </x:c>
      <x:c r="L264" s="60" t="n">
        <x:v>0.0239093388</x:v>
      </x:c>
      <x:c r="M264" s="60" t="n">
        <x:v>0.0030511426</x:v>
      </x:c>
      <x:c r="N264" s="46" t="str">
        <x:v>gaidropsarus</x:v>
      </x:c>
      <x:c r="O264" s="62" t="n">
        <x:v>3.4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Gaidropsarus</x:v>
      </x:c>
      <x:c r="T264" s="62" t="n">
        <x:f>IF(O264="","",(1/'Metadata'!$B$5)^(O264-1))</x:f>
        <x:v>1325.7816069359944</x:v>
      </x:c>
      <x:c r="U264" s="60" t="n">
        <x:f>IF(T264="","",I264*T264)</x:f>
        <x:v>35.74371035425999</x:v>
      </x:c>
    </x:row>
    <x:row r="265" ht="18" customHeight="1">
      <x:c r="A265" s="46" t="str">
        <x:v>LME_022</x:v>
      </x:c>
      <x:c r="B265" s="46" t="str">
        <x:v>North Sea</x:v>
      </x:c>
      <x:c r="C265" s="46" t="str">
        <x:v>LME</x:v>
      </x:c>
      <x:c r="D265" s="58" t="n">
        <x:v>2019</x:v>
      </x:c>
      <x:c r="E265" s="46" t="str">
        <x:v>Chelidonichthys lastoviza</x:v>
      </x:c>
      <x:c r="F265" s="46" t="str">
        <x:v>Streaked gurnard</x:v>
      </x:c>
      <x:c r="G265" s="46" t="str">
        <x:v>Medium demersals (30 - 89 cm)</x:v>
      </x:c>
      <x:c r="H265" s="46" t="str">
        <x:v>Scorpionfishes</x:v>
      </x:c>
      <x:c r="I265" s="60" t="n">
        <x:v>0.0256362333</x:v>
      </x:c>
      <x:c r="J265" s="60" t="n">
        <x:v>0.0256362333</x:v>
      </x:c>
      <x:c r="K265" s="60" t="n">
        <x:v>0</x:v>
      </x:c>
      <x:c r="L265" s="60" t="n">
        <x:v>0.0228416268</x:v>
      </x:c>
      <x:c r="M265" s="60" t="n">
        <x:v>0.0027946065</x:v>
      </x:c>
      <x:c r="N265" s="46" t="str">
        <x:v>chelidonichthys lastoviza</x:v>
      </x:c>
      <x:c r="O265" s="62" t="n">
        <x:v>3.49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Chelidonichthys lastoviza</x:v>
      </x:c>
      <x:c r="T265" s="62" t="n">
        <x:f>IF(O265="","",(1/'Metadata'!$B$5)^(O265-1))</x:f>
        <x:v>1736.059833884101</x:v>
      </x:c>
      <x:c r="U265" s="60" t="n">
        <x:f>IF(T265="","",I265*T265)</x:f>
        <x:v>44.50603492421205</x:v>
      </x:c>
    </x:row>
    <x:row r="266" ht="18" customHeight="1">
      <x:c r="A266" s="46" t="str">
        <x:v>LME_022</x:v>
      </x:c>
      <x:c r="B266" s="46" t="str">
        <x:v>North Sea</x:v>
      </x:c>
      <x:c r="C266" s="46" t="str">
        <x:v>LME</x:v>
      </x:c>
      <x:c r="D266" s="58" t="n">
        <x:v>2019</x:v>
      </x:c>
      <x:c r="E266" s="46" t="str">
        <x:v>Polititapes rhomboides</x:v>
      </x:c>
      <x:c r="F266" s="46" t="str">
        <x:v>Banded carpet shell</x:v>
      </x:c>
      <x:c r="G266" s="46" t="str">
        <x:v>Other demersal invertebrates</x:v>
      </x:c>
      <x:c r="H266" s="46" t="str">
        <x:v>Molluscs</x:v>
      </x:c>
      <x:c r="I266" s="60" t="n">
        <x:v>0.0255806575</x:v>
      </x:c>
      <x:c r="J266" s="60" t="n">
        <x:v>0.0255806575</x:v>
      </x:c>
      <x:c r="K266" s="60" t="n">
        <x:v>0</x:v>
      </x:c>
      <x:c r="L266" s="60" t="n">
        <x:v>0.0255806575</x:v>
      </x:c>
      <x:c r="M266" s="60" t="n">
        <x:v>0</x:v>
      </x:c>
      <x:c r="N266" s="46" t="str">
        <x:v>polititapes rhomboides</x:v>
      </x:c>
      <x:c r="O266" s="62" t="n">
        <x:v>2</x:v>
      </x:c>
      <x:c r="P266" s="46" t="str">
        <x:v>exact_sea_around_us</x:v>
      </x:c>
      <x:c r="Q266" s="62" t="str">
        <x:v>Sea Around Us exploited organisms</x:v>
      </x:c>
      <x:c r="R266" s="46" t="str">
        <x:v>high</x:v>
      </x:c>
      <x:c r="S266" s="46" t="str">
        <x:v>Polititapes rhomboides</x:v>
      </x:c>
      <x:c r="T266" s="62" t="n">
        <x:f>IF(O266="","",(1/'Metadata'!$B$5)^(O266-1))</x:f>
        <x:v>20</x:v>
      </x:c>
      <x:c r="U266" s="60" t="n">
        <x:f>IF(T266="","",I266*T266)</x:f>
        <x:v>0.51161315</x:v>
      </x:c>
    </x:row>
    <x:row r="267" ht="18" customHeight="1">
      <x:c r="A267" s="46" t="str">
        <x:v>LME_022</x:v>
      </x:c>
      <x:c r="B267" s="46" t="str">
        <x:v>North Sea</x:v>
      </x:c>
      <x:c r="C267" s="46" t="str">
        <x:v>LME</x:v>
      </x:c>
      <x:c r="D267" s="58" t="n">
        <x:v>2019</x:v>
      </x:c>
      <x:c r="E267" s="46" t="str">
        <x:v>Trigla lyra</x:v>
      </x:c>
      <x:c r="F267" s="46" t="str">
        <x:v>Piper gurnard</x:v>
      </x:c>
      <x:c r="G267" s="46" t="str">
        <x:v>Medium bathydemersals (30 - 89 cm)</x:v>
      </x:c>
      <x:c r="H267" s="46" t="str">
        <x:v>Scorpionfishes</x:v>
      </x:c>
      <x:c r="I267" s="60" t="n">
        <x:v>0.025225572300000002</x:v>
      </x:c>
      <x:c r="J267" s="60" t="n">
        <x:v>0.025225572300000002</x:v>
      </x:c>
      <x:c r="K267" s="60" t="n">
        <x:v>0</x:v>
      </x:c>
      <x:c r="L267" s="60" t="n">
        <x:v>0.025225572300000002</x:v>
      </x:c>
      <x:c r="M267" s="60" t="n">
        <x:v>0</x:v>
      </x:c>
      <x:c r="N267" s="46" t="str">
        <x:v>trigla lyra</x:v>
      </x:c>
      <x:c r="O267" s="62" t="n">
        <x:v>3.65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Trigla lyra</x:v>
      </x:c>
      <x:c r="T267" s="62" t="n">
        <x:f>IF(O267="","",(1/'Metadata'!$B$5)^(O267-1))</x:f>
        <x:v>2803.6867455443476</x:v>
      </x:c>
      <x:c r="U267" s="60" t="n">
        <x:f>IF(T267="","",I267*T267)</x:f>
        <x:v>70.72460270628065</x:v>
      </x:c>
    </x:row>
    <x:row r="268" ht="18" customHeight="1">
      <x:c r="A268" s="46" t="str">
        <x:v>LME_022</x:v>
      </x:c>
      <x:c r="B268" s="46" t="str">
        <x:v>North Sea</x:v>
      </x:c>
      <x:c r="C268" s="46" t="str">
        <x:v>LME</x:v>
      </x:c>
      <x:c r="D268" s="58" t="n">
        <x:v>2019</x:v>
      </x:c>
      <x:c r="E268" s="46" t="str">
        <x:v>Ensis ensis</x:v>
      </x:c>
      <x:c r="F268" s="46" t="str">
        <x:v>Pod razor</x:v>
      </x:c>
      <x:c r="G268" s="46" t="str">
        <x:v>Other demersal invertebrates</x:v>
      </x:c>
      <x:c r="H268" s="46" t="str">
        <x:v>Molluscs</x:v>
      </x:c>
      <x:c r="I268" s="60" t="n">
        <x:v>0.02482763</x:v>
      </x:c>
      <x:c r="J268" s="60" t="n">
        <x:v>0.02482763</x:v>
      </x:c>
      <x:c r="K268" s="60" t="n">
        <x:v>0</x:v>
      </x:c>
      <x:c r="L268" s="60" t="n">
        <x:v>0.02482763</x:v>
      </x:c>
      <x:c r="M268" s="60" t="n">
        <x:v>0</x:v>
      </x:c>
      <x:c r="N268" s="46" t="str">
        <x:v>ensis ensis</x:v>
      </x:c>
      <x:c r="O268" s="62" t="n">
        <x:v>2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Ensis ensis</x:v>
      </x:c>
      <x:c r="T268" s="62" t="n">
        <x:f>IF(O268="","",(1/'Metadata'!$B$5)^(O268-1))</x:f>
        <x:v>20</x:v>
      </x:c>
      <x:c r="U268" s="60" t="n">
        <x:f>IF(T268="","",I268*T268)</x:f>
        <x:v>0.4965526</x:v>
      </x:c>
    </x:row>
    <x:row r="269" ht="18" customHeight="1">
      <x:c r="A269" s="46" t="str">
        <x:v>LME_022</x:v>
      </x:c>
      <x:c r="B269" s="46" t="str">
        <x:v>North Sea</x:v>
      </x:c>
      <x:c r="C269" s="46" t="str">
        <x:v>LME</x:v>
      </x:c>
      <x:c r="D269" s="58" t="n">
        <x:v>2019</x:v>
      </x:c>
      <x:c r="E269" s="46" t="str">
        <x:v>Ommastrephidae</x:v>
      </x:c>
      <x:c r="F269" s="46" t="str">
        <x:v>Arrow squids</x:v>
      </x:c>
      <x:c r="G269" s="46" t="str">
        <x:v>Cephalopods</x:v>
      </x:c>
      <x:c r="H269" s="46" t="str">
        <x:v>Other fishes &amp; inverts</x:v>
      </x:c>
      <x:c r="I269" s="60" t="n">
        <x:v>0.0210771421</x:v>
      </x:c>
      <x:c r="J269" s="60" t="n">
        <x:v>0.0210771421</x:v>
      </x:c>
      <x:c r="K269" s="60" t="n">
        <x:v>0</x:v>
      </x:c>
      <x:c r="L269" s="60" t="n">
        <x:v>0.0210771421</x:v>
      </x:c>
      <x:c r="M269" s="60" t="n">
        <x:v>0</x:v>
      </x:c>
      <x:c r="N269" s="46" t="str">
        <x:v>ommastrephidae</x:v>
      </x:c>
      <x:c r="O269" s="62" t="n">
        <x:v>4.09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Ommastrephidae</x:v>
      </x:c>
      <x:c r="T269" s="62" t="n">
        <x:f>IF(O269="","",(1/'Metadata'!$B$5)^(O269-1))</x:f>
        <x:v>10475.691168449957</x:v>
      </x:c>
      <x:c r="U269" s="60" t="n">
        <x:f>IF(T269="","",I269*T269)</x:f>
        <x:v>220.7976313531348</x:v>
      </x:c>
    </x:row>
    <x:row r="270" ht="18" customHeight="1">
      <x:c r="A270" s="46" t="str">
        <x:v>LME_022</x:v>
      </x:c>
      <x:c r="B270" s="46" t="str">
        <x:v>North Sea</x:v>
      </x:c>
      <x:c r="C270" s="46" t="str">
        <x:v>LME</x:v>
      </x:c>
      <x:c r="D270" s="58" t="n">
        <x:v>2019</x:v>
      </x:c>
      <x:c r="E270" s="46" t="str">
        <x:v>Anarhichadidae</x:v>
      </x:c>
      <x:c r="F270" s="46" t="str">
        <x:v>Wolffishes, wolfeels</x:v>
      </x:c>
      <x:c r="G270" s="46" t="str">
        <x:v>Large demersals (&gt;=90 cm)</x:v>
      </x:c>
      <x:c r="H270" s="46" t="str">
        <x:v>Perch-likes</x:v>
      </x:c>
      <x:c r="I270" s="60" t="n">
        <x:v>0.018559594999999998</x:v>
      </x:c>
      <x:c r="J270" s="60" t="n">
        <x:v>0.018559594999999998</x:v>
      </x:c>
      <x:c r="K270" s="60" t="n">
        <x:v>0</x:v>
      </x:c>
      <x:c r="L270" s="60" t="n">
        <x:v>0.018559594999999998</x:v>
      </x:c>
      <x:c r="M270" s="60" t="n">
        <x:v>0</x:v>
      </x:c>
      <x:c r="N270" s="46" t="str">
        <x:v>anarhichadidae</x:v>
      </x:c>
      <x:c r="O270" s="62" t="n">
        <x:v>3.47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Anarhichadidae</x:v>
      </x:c>
      <x:c r="T270" s="62" t="n">
        <x:f>IF(O270="","",(1/'Metadata'!$B$5)^(O270-1))</x:f>
        <x:v>1635.0991368927735</x:v>
      </x:c>
      <x:c r="U270" s="60" t="n">
        <x:f>IF(T270="","",I270*T270)</x:f>
        <x:v>30.346777765579432</x:v>
      </x:c>
    </x:row>
    <x:row r="271" ht="18" customHeight="1">
      <x:c r="A271" s="46" t="str">
        <x:v>LME_022</x:v>
      </x:c>
      <x:c r="B271" s="46" t="str">
        <x:v>North Sea</x:v>
      </x:c>
      <x:c r="C271" s="46" t="str">
        <x:v>LME</x:v>
      </x:c>
      <x:c r="D271" s="58" t="n">
        <x:v>2019</x:v>
      </x:c>
      <x:c r="E271" s="46" t="str">
        <x:v>Phycis</x:v>
      </x:c>
      <x:c r="F271" s="46" t="str">
        <x:v>Gunnels, forkbeards</x:v>
      </x:c>
      <x:c r="G271" s="46" t="str">
        <x:v>Medium benthopelagics (30 - 89 cm)</x:v>
      </x:c>
      <x:c r="H271" s="46" t="str">
        <x:v>Cod-likes</x:v>
      </x:c>
      <x:c r="I271" s="60" t="n">
        <x:v>0.0179418099</x:v>
      </x:c>
      <x:c r="J271" s="60" t="n">
        <x:v>0.0179418099</x:v>
      </x:c>
      <x:c r="K271" s="60" t="n">
        <x:v>0</x:v>
      </x:c>
      <x:c r="L271" s="60" t="n">
        <x:v>0.0179418099</x:v>
      </x:c>
      <x:c r="M271" s="60" t="n">
        <x:v>0</x:v>
      </x:c>
      <x:c r="N271" s="46" t="str">
        <x:v>phycis</x:v>
      </x:c>
      <x:c r="O271" s="62" t="n">
        <x:v>3.99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Phycis</x:v>
      </x:c>
      <x:c r="T271" s="62" t="n">
        <x:f>IF(O271="","",(1/'Metadata'!$B$5)^(O271-1))</x:f>
        <x:v>7763.895603143686</x:v>
      </x:c>
      <x:c r="U271" s="60" t="n">
        <x:f>IF(T271="","",I271*T271)</x:f>
        <x:v>139.29833899504985</x:v>
      </x:c>
    </x:row>
    <x:row r="272" ht="18" customHeight="1">
      <x:c r="A272" s="46" t="str">
        <x:v>LME_022</x:v>
      </x:c>
      <x:c r="B272" s="46" t="str">
        <x:v>North Sea</x:v>
      </x:c>
      <x:c r="C272" s="46" t="str">
        <x:v>LME</x:v>
      </x:c>
      <x:c r="D272" s="58" t="n">
        <x:v>2019</x:v>
      </x:c>
      <x:c r="E272" s="46" t="str">
        <x:v>Diplodus</x:v>
      </x:c>
      <x:c r="F272" s="46" t="str">
        <x:v>Two-toothed seabreams</x:v>
      </x:c>
      <x:c r="G272" s="46" t="str">
        <x:v>Medium benthopelagics (30 - 89 cm)</x:v>
      </x:c>
      <x:c r="H272" s="46" t="str">
        <x:v>Perch-likes</x:v>
      </x:c>
      <x:c r="I272" s="60" t="n">
        <x:v>0.014409649699999999</x:v>
      </x:c>
      <x:c r="J272" s="60" t="n">
        <x:v>0.014409649699999999</x:v>
      </x:c>
      <x:c r="K272" s="60" t="n">
        <x:v>0</x:v>
      </x:c>
      <x:c r="L272" s="60" t="n">
        <x:v>0.014409649699999999</x:v>
      </x:c>
      <x:c r="M272" s="60" t="n">
        <x:v>0</x:v>
      </x:c>
      <x:c r="N272" s="46" t="str">
        <x:v>diplodus</x:v>
      </x:c>
      <x:c r="O272" s="62" t="n">
        <x:v>2.97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Diplodus</x:v>
      </x:c>
      <x:c r="T272" s="62" t="n">
        <x:f>IF(O272="","",(1/'Metadata'!$B$5)^(O272-1))</x:f>
        <x:v>365.61928200434755</x:v>
      </x:c>
      <x:c r="U272" s="60" t="n">
        <x:f>IF(T272="","",I272*T272)</x:f>
        <x:v>5.268445777248162</x:v>
      </x:c>
    </x:row>
    <x:row r="273" ht="18" customHeight="1">
      <x:c r="A273" s="46" t="str">
        <x:v>LME_022</x:v>
      </x:c>
      <x:c r="B273" s="46" t="str">
        <x:v>North Sea</x:v>
      </x:c>
      <x:c r="C273" s="46" t="str">
        <x:v>LME</x:v>
      </x:c>
      <x:c r="D273" s="58" t="n">
        <x:v>2019</x:v>
      </x:c>
      <x:c r="E273" s="46" t="str">
        <x:v>Ammodytes tobianus</x:v>
      </x:c>
      <x:c r="F273" s="46" t="str">
        <x:v>Small sandeel</x:v>
      </x:c>
      <x:c r="G273" s="46" t="str">
        <x:v>Small demersals (&lt;30 cm)</x:v>
      </x:c>
      <x:c r="H273" s="46" t="str">
        <x:v>Perch-likes</x:v>
      </x:c>
      <x:c r="I273" s="60" t="n">
        <x:v>0.0119695869</x:v>
      </x:c>
      <x:c r="J273" s="60" t="n">
        <x:v>0.0119695869</x:v>
      </x:c>
      <x:c r="K273" s="60" t="n">
        <x:v>0</x:v>
      </x:c>
      <x:c r="L273" s="60" t="n">
        <x:v>0.0119695869</x:v>
      </x:c>
      <x:c r="M273" s="60" t="n">
        <x:v>0</x:v>
      </x:c>
      <x:c r="N273" s="46" t="str">
        <x:v>ammodytes tobianus</x:v>
      </x:c>
      <x:c r="O273" s="62" t="n">
        <x:v>3.08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Ammodytes tobianus</x:v>
      </x:c>
      <x:c r="T273" s="62" t="n">
        <x:f>IF(O273="","",(1/'Metadata'!$B$5)^(O273-1))</x:f>
        <x:v>508.32607876637354</x:v>
      </x:c>
      <x:c r="U273" s="60" t="n">
        <x:f>IF(T273="","",I273*T273)</x:f>
        <x:v>6.0844531733303535</x:v>
      </x:c>
    </x:row>
    <x:row r="274" ht="18" customHeight="1">
      <x:c r="A274" s="46" t="str">
        <x:v>LME_022</x:v>
      </x:c>
      <x:c r="B274" s="46" t="str">
        <x:v>North Sea</x:v>
      </x:c>
      <x:c r="C274" s="46" t="str">
        <x:v>LME</x:v>
      </x:c>
      <x:c r="D274" s="58" t="n">
        <x:v>2019</x:v>
      </x:c>
      <x:c r="E274" s="46" t="str">
        <x:v>Beryx splendens</x:v>
      </x:c>
      <x:c r="F274" s="46" t="str">
        <x:v>Splendid alfonsino</x:v>
      </x:c>
      <x:c r="G274" s="46" t="str">
        <x:v>Medium benthopelagics (30 - 89 cm)</x:v>
      </x:c>
      <x:c r="H274" s="46" t="str">
        <x:v>Other fishes &amp; inverts</x:v>
      </x:c>
      <x:c r="I274" s="60" t="n">
        <x:v>0.0107007298</x:v>
      </x:c>
      <x:c r="J274" s="60" t="n">
        <x:v>0.0107007298</x:v>
      </x:c>
      <x:c r="K274" s="60" t="n">
        <x:v>0</x:v>
      </x:c>
      <x:c r="L274" s="60" t="n">
        <x:v>0.0107007298</x:v>
      </x:c>
      <x:c r="M274" s="60" t="n">
        <x:v>0</x:v>
      </x:c>
      <x:c r="N274" s="46" t="str">
        <x:v>beryx splendens</x:v>
      </x:c>
      <x:c r="O274" s="62" t="n">
        <x:v>4.27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Beryx splendens</x:v>
      </x:c>
      <x:c r="T274" s="62" t="n">
        <x:f>IF(O274="","",(1/'Metadata'!$B$5)^(O274-1))</x:f>
        <x:v>17962.55396184286</x:v>
      </x:c>
      <x:c r="U274" s="60" t="n">
        <x:f>IF(T274="","",I274*T274)</x:f>
        <x:v>192.21243646359994</x:v>
      </x:c>
    </x:row>
    <x:row r="275" ht="18" customHeight="1">
      <x:c r="A275" s="46" t="str">
        <x:v>LME_022</x:v>
      </x:c>
      <x:c r="B275" s="46" t="str">
        <x:v>North Sea</x:v>
      </x:c>
      <x:c r="C275" s="46" t="str">
        <x:v>LME</x:v>
      </x:c>
      <x:c r="D275" s="58" t="n">
        <x:v>2019</x:v>
      </x:c>
      <x:c r="E275" s="46" t="str">
        <x:v>Anomura</x:v>
      </x:c>
      <x:c r="F275" s="46" t="str">
        <x:v>Craylets, squat lobsters, hermits</x:v>
      </x:c>
      <x:c r="G275" s="46" t="str">
        <x:v>Lobsters, crabs</x:v>
      </x:c>
      <x:c r="H275" s="46" t="str">
        <x:v>Crustaceans</x:v>
      </x:c>
      <x:c r="I275" s="60" t="n">
        <x:v>0.0088229513</x:v>
      </x:c>
      <x:c r="J275" s="60" t="n">
        <x:v>0.0088229513</x:v>
      </x:c>
      <x:c r="K275" s="60" t="n">
        <x:v>0</x:v>
      </x:c>
      <x:c r="L275" s="60" t="n">
        <x:v>0.0088229513</x:v>
      </x:c>
      <x:c r="M275" s="60" t="n">
        <x:v>0</x:v>
      </x:c>
      <x:c r="N275" s="46" t="str">
        <x:v>anomura</x:v>
      </x:c>
      <x:c r="O275" s="62" t="n">
        <x:v>3.1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Anomura</x:v>
      </x:c>
      <x:c r="T275" s="62" t="n">
        <x:f>IF(O275="","",(1/'Metadata'!$B$5)^(O275-1))</x:f>
        <x:v>539.7131390694254</x:v>
      </x:c>
      <x:c r="U275" s="60" t="n">
        <x:f>IF(T275="","",I275*T275)</x:f>
        <x:v>4.761862741979668</x:v>
      </x:c>
    </x:row>
    <x:row r="276" ht="18" customHeight="1">
      <x:c r="A276" s="46" t="str">
        <x:v>LME_022</x:v>
      </x:c>
      <x:c r="B276" s="46" t="str">
        <x:v>North Sea</x:v>
      </x:c>
      <x:c r="C276" s="46" t="str">
        <x:v>LME</x:v>
      </x:c>
      <x:c r="D276" s="58" t="n">
        <x:v>2019</x:v>
      </x:c>
      <x:c r="E276" s="46" t="str">
        <x:v>Donax</x:v>
      </x:c>
      <x:c r="F276" s="46" t="str">
        <x:v>Bean clams</x:v>
      </x:c>
      <x:c r="G276" s="46" t="str">
        <x:v>Other demersal invertebrates</x:v>
      </x:c>
      <x:c r="H276" s="46" t="str">
        <x:v>Molluscs</x:v>
      </x:c>
      <x:c r="I276" s="60" t="n">
        <x:v>0.007194127200000001</x:v>
      </x:c>
      <x:c r="J276" s="60" t="n">
        <x:v>0.007194127200000001</x:v>
      </x:c>
      <x:c r="K276" s="60" t="n">
        <x:v>0</x:v>
      </x:c>
      <x:c r="L276" s="60" t="n">
        <x:v>0.007194127200000001</x:v>
      </x:c>
      <x:c r="M276" s="60" t="n">
        <x:v>0</x:v>
      </x:c>
      <x:c r="N276" s="46" t="str">
        <x:v>donax</x:v>
      </x:c>
      <x:c r="O276" s="62" t="n">
        <x:v>2</x:v>
      </x:c>
      <x:c r="P276" s="46" t="str">
        <x:v>exact_sea_around_us</x:v>
      </x:c>
      <x:c r="Q276" s="62" t="str">
        <x:v>Sea Around Us exploited organisms</x:v>
      </x:c>
      <x:c r="R276" s="46" t="str">
        <x:v>high</x:v>
      </x:c>
      <x:c r="S276" s="46" t="str">
        <x:v>Donax</x:v>
      </x:c>
      <x:c r="T276" s="62" t="n">
        <x:f>IF(O276="","",(1/'Metadata'!$B$5)^(O276-1))</x:f>
        <x:v>20</x:v>
      </x:c>
      <x:c r="U276" s="60" t="n">
        <x:f>IF(T276="","",I276*T276)</x:f>
        <x:v>0.143882544</x:v>
      </x:c>
    </x:row>
    <x:row r="277" ht="18" customHeight="1">
      <x:c r="A277" s="46" t="str">
        <x:v>LME_022</x:v>
      </x:c>
      <x:c r="B277" s="46" t="str">
        <x:v>North Sea</x:v>
      </x:c>
      <x:c r="C277" s="46" t="str">
        <x:v>LME</x:v>
      </x:c>
      <x:c r="D277" s="58" t="n">
        <x:v>2019</x:v>
      </x:c>
      <x:c r="E277" s="46" t="str">
        <x:v>Lota lota</x:v>
      </x:c>
      <x:c r="F277" s="46" t="str">
        <x:v>Burbot</x:v>
      </x:c>
      <x:c r="G277" s="46" t="str">
        <x:v>Large demersals (&gt;=90 cm)</x:v>
      </x:c>
      <x:c r="H277" s="46" t="str">
        <x:v>Cod-likes</x:v>
      </x:c>
      <x:c r="I277" s="60" t="n">
        <x:v>0.0066469819</x:v>
      </x:c>
      <x:c r="J277" s="60" t="n">
        <x:v>0.0022183073</x:v>
      </x:c>
      <x:c r="K277" s="60" t="n">
        <x:v>0.0044286746</x:v>
      </x:c>
      <x:c r="L277" s="60" t="n">
        <x:v>0</x:v>
      </x:c>
      <x:c r="M277" s="60" t="n">
        <x:v>0.0066469819</x:v>
      </x:c>
      <x:c r="N277" s="46" t="str">
        <x:v>lota lota</x:v>
      </x:c>
      <x:c r="O277" s="62" t="n">
        <x:v>3.84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Lota lota</x:v>
      </x:c>
      <x:c r="T277" s="62" t="n">
        <x:f>IF(O277="","",(1/'Metadata'!$B$5)^(O277-1))</x:f>
        <x:v>4953.648510535111</x:v>
      </x:c>
      <x:c r="U277" s="60" t="n">
        <x:f>IF(T277="","",I277*T277)</x:f>
        <x:v>32.92681198848884</x:v>
      </x:c>
    </x:row>
    <x:row r="278" ht="18" customHeight="1">
      <x:c r="A278" s="46" t="str">
        <x:v>LME_022</x:v>
      </x:c>
      <x:c r="B278" s="46" t="str">
        <x:v>North Sea</x:v>
      </x:c>
      <x:c r="C278" s="46" t="str">
        <x:v>LME</x:v>
      </x:c>
      <x:c r="D278" s="58" t="n">
        <x:v>2019</x:v>
      </x:c>
      <x:c r="E278" s="46" t="str">
        <x:v>Mullus barbatus</x:v>
      </x:c>
      <x:c r="F278" s="46" t="str">
        <x:v>Red mullet</x:v>
      </x:c>
      <x:c r="G278" s="46" t="str">
        <x:v>Medium demersals (30 - 89 cm)</x:v>
      </x:c>
      <x:c r="H278" s="46" t="str">
        <x:v>Perch-likes</x:v>
      </x:c>
      <x:c r="I278" s="60" t="n">
        <x:v>0.0059934234000000005</x:v>
      </x:c>
      <x:c r="J278" s="60" t="n">
        <x:v>0.0059934234000000005</x:v>
      </x:c>
      <x:c r="K278" s="60" t="n">
        <x:v>0</x:v>
      </x:c>
      <x:c r="L278" s="60" t="n">
        <x:v>0.0059934234000000005</x:v>
      </x:c>
      <x:c r="M278" s="60" t="n">
        <x:v>0</x:v>
      </x:c>
      <x:c r="N278" s="46" t="str">
        <x:v>mullus barbatus</x:v>
      </x:c>
      <x:c r="O278" s="62" t="n">
        <x:v>3.14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Mullus barbatus</x:v>
      </x:c>
      <x:c r="T278" s="62" t="n">
        <x:f>IF(O278="","",(1/'Metadata'!$B$5)^(O278-1))</x:f>
        <x:v>608.420993216597</x:v>
      </x:c>
      <x:c r="U278" s="60" t="n">
        <x:f>IF(T278="","",I278*T278)</x:f>
        <x:v>3.646524617795594</x:v>
      </x:c>
    </x:row>
    <x:row r="279" ht="18" customHeight="1">
      <x:c r="A279" s="46" t="str">
        <x:v>LME_022</x:v>
      </x:c>
      <x:c r="B279" s="46" t="str">
        <x:v>North Sea</x:v>
      </x:c>
      <x:c r="C279" s="46" t="str">
        <x:v>LME</x:v>
      </x:c>
      <x:c r="D279" s="58" t="n">
        <x:v>2019</x:v>
      </x:c>
      <x:c r="E279" s="46" t="str">
        <x:v>Trachichthyidae</x:v>
      </x:c>
      <x:c r="F279" s="46" t="str">
        <x:v>Slimeheads</x:v>
      </x:c>
      <x:c r="G279" s="46" t="str">
        <x:v>Medium bathypelagics (30 - 89 cm)</x:v>
      </x:c>
      <x:c r="H279" s="46" t="str">
        <x:v>Other fishes &amp; inverts</x:v>
      </x:c>
      <x:c r="I279" s="60" t="n">
        <x:v>0.0050788603</x:v>
      </x:c>
      <x:c r="J279" s="60" t="n">
        <x:v>0.0050788603</x:v>
      </x:c>
      <x:c r="K279" s="60" t="n">
        <x:v>0</x:v>
      </x:c>
      <x:c r="L279" s="60" t="n">
        <x:v>0.0050788603</x:v>
      </x:c>
      <x:c r="M279" s="60" t="n">
        <x:v>0</x:v>
      </x:c>
      <x:c r="N279" s="46" t="str">
        <x:v>trachichthyidae</x:v>
      </x:c>
      <x:c r="O279" s="62" t="n">
        <x:v>3.72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Trachichthyidae</x:v>
      </x:c>
      <x:c r="T279" s="62" t="n">
        <x:f>IF(O279="","",(1/'Metadata'!$B$5)^(O279-1))</x:f>
        <x:v>3457.8136804537753</x:v>
      </x:c>
      <x:c r="U279" s="60" t="n">
        <x:f>IF(T279="","",I279*T279)</x:f>
        <x:v>17.561752626453565</x:v>
      </x:c>
    </x:row>
    <x:row r="280" ht="18" customHeight="1">
      <x:c r="A280" s="46" t="str">
        <x:v>LME_022</x:v>
      </x:c>
      <x:c r="B280" s="46" t="str">
        <x:v>North Sea</x:v>
      </x:c>
      <x:c r="C280" s="46" t="str">
        <x:v>LME</x:v>
      </x:c>
      <x:c r="D280" s="58" t="n">
        <x:v>2019</x:v>
      </x:c>
      <x:c r="E280" s="46" t="str">
        <x:v>Galeus melastomus</x:v>
      </x:c>
      <x:c r="F280" s="46" t="str">
        <x:v>Blackmouth catshark</x:v>
      </x:c>
      <x:c r="G280" s="46" t="str">
        <x:v>Small to medium sharks (&lt;90 cm)</x:v>
      </x:c>
      <x:c r="H280" s="46" t="str">
        <x:v>Sharks &amp; rays</x:v>
      </x:c>
      <x:c r="I280" s="60" t="n">
        <x:v>0.0048961767</x:v>
      </x:c>
      <x:c r="J280" s="60" t="n">
        <x:v>0.0048961767</x:v>
      </x:c>
      <x:c r="K280" s="60" t="n">
        <x:v>0</x:v>
      </x:c>
      <x:c r="L280" s="60" t="n">
        <x:v>0.0048961767</x:v>
      </x:c>
      <x:c r="M280" s="60" t="n">
        <x:v>0</x:v>
      </x:c>
      <x:c r="N280" s="46" t="str">
        <x:v>galeus melastomus</x:v>
      </x:c>
      <x:c r="O280" s="62" t="n">
        <x:v>4.17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Galeus melastomus</x:v>
      </x:c>
      <x:c r="T280" s="62" t="n">
        <x:f>IF(O280="","",(1/'Metadata'!$B$5)^(O280-1))</x:f>
        <x:v>13312.667535064244</x:v>
      </x:c>
      <x:c r="U280" s="60" t="n">
        <x:f>IF(T280="","",I280*T280)</x:f>
        <x:v>65.18117260002798</x:v>
      </x:c>
    </x:row>
    <x:row r="281" ht="18" customHeight="1">
      <x:c r="A281" s="46" t="str">
        <x:v>LME_022</x:v>
      </x:c>
      <x:c r="B281" s="46" t="str">
        <x:v>North Sea</x:v>
      </x:c>
      <x:c r="C281" s="46" t="str">
        <x:v>LME</x:v>
      </x:c>
      <x:c r="D281" s="58" t="n">
        <x:v>2019</x:v>
      </x:c>
      <x:c r="E281" s="46" t="str">
        <x:v>Pagellus</x:v>
      </x:c>
      <x:c r="F281" s="46" t="str">
        <x:v>Pandoras</x:v>
      </x:c>
      <x:c r="G281" s="46" t="str">
        <x:v>Medium benthopelagics (30 - 89 cm)</x:v>
      </x:c>
      <x:c r="H281" s="46" t="str">
        <x:v>Perch-likes</x:v>
      </x:c>
      <x:c r="I281" s="60" t="n">
        <x:v>0.0048281290000000004</x:v>
      </x:c>
      <x:c r="J281" s="60" t="n">
        <x:v>0.0048281290000000004</x:v>
      </x:c>
      <x:c r="K281" s="60" t="n">
        <x:v>0</x:v>
      </x:c>
      <x:c r="L281" s="60" t="n">
        <x:v>0.0048281290000000004</x:v>
      </x:c>
      <x:c r="M281" s="60" t="n">
        <x:v>0</x:v>
      </x:c>
      <x:c r="N281" s="46" t="str">
        <x:v>pagellus</x:v>
      </x:c>
      <x:c r="O281" s="62" t="n">
        <x:v>3.44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Pagellus</x:v>
      </x:c>
      <x:c r="T281" s="62" t="n">
        <x:f>IF(O281="","",(1/'Metadata'!$B$5)^(O281-1))</x:f>
        <x:v>1494.5594310916586</x:v>
      </x:c>
      <x:c r="U281" s="60" t="n">
        <x:f>IF(T281="","",I281*T281)</x:f>
        <x:v>7.215925731477139</x:v>
      </x:c>
    </x:row>
    <x:row r="282" ht="18" customHeight="1">
      <x:c r="A282" s="46" t="str">
        <x:v>LME_022</x:v>
      </x:c>
      <x:c r="B282" s="46" t="str">
        <x:v>North Sea</x:v>
      </x:c>
      <x:c r="C282" s="46" t="str">
        <x:v>LME</x:v>
      </x:c>
      <x:c r="D282" s="58" t="n">
        <x:v>2019</x:v>
      </x:c>
      <x:c r="E282" s="46" t="str">
        <x:v>Torpedo marmorata</x:v>
      </x:c>
      <x:c r="F282" s="46" t="str">
        <x:v>Marbled electric ray</x:v>
      </x:c>
      <x:c r="G282" s="46" t="str">
        <x:v>Large rays (&gt;=90 cm)</x:v>
      </x:c>
      <x:c r="H282" s="46" t="str">
        <x:v>Sharks &amp; rays</x:v>
      </x:c>
      <x:c r="I282" s="60" t="n">
        <x:v>0.0046885764</x:v>
      </x:c>
      <x:c r="J282" s="60" t="n">
        <x:v>0.0046885764</x:v>
      </x:c>
      <x:c r="K282" s="60" t="n">
        <x:v>0</x:v>
      </x:c>
      <x:c r="L282" s="60" t="n">
        <x:v>0.0046885764</x:v>
      </x:c>
      <x:c r="M282" s="60" t="n">
        <x:v>0</x:v>
      </x:c>
      <x:c r="N282" s="46" t="str">
        <x:v>torpedo marmorata</x:v>
      </x:c>
      <x:c r="O282" s="62" t="n">
        <x:v>4.5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Torpedo marmorata</x:v>
      </x:c>
      <x:c r="T282" s="62" t="n">
        <x:f>IF(O282="","",(1/'Metadata'!$B$5)^(O282-1))</x:f>
        <x:v>35777.08763999664</x:v>
      </x:c>
      <x:c r="U282" s="60" t="n">
        <x:f>IF(T282="","",I282*T282)</x:f>
        <x:v>167.74360876961993</x:v>
      </x:c>
    </x:row>
    <x:row r="283" ht="18" customHeight="1">
      <x:c r="A283" s="46" t="str">
        <x:v>LME_022</x:v>
      </x:c>
      <x:c r="B283" s="46" t="str">
        <x:v>North Sea</x:v>
      </x:c>
      <x:c r="C283" s="46" t="str">
        <x:v>LME</x:v>
      </x:c>
      <x:c r="D283" s="58" t="n">
        <x:v>2019</x:v>
      </x:c>
      <x:c r="E283" s="46" t="str">
        <x:v>Mimachlamys varia</x:v>
      </x:c>
      <x:c r="F283" s="46" t="str">
        <x:v>Variegated scallop</x:v>
      </x:c>
      <x:c r="G283" s="46" t="str">
        <x:v>Other demersal invertebrates</x:v>
      </x:c>
      <x:c r="H283" s="46" t="str">
        <x:v>Molluscs</x:v>
      </x:c>
      <x:c r="I283" s="60" t="n">
        <x:v>0.0044013396</x:v>
      </x:c>
      <x:c r="J283" s="60" t="n">
        <x:v>0.0044013396</x:v>
      </x:c>
      <x:c r="K283" s="60" t="n">
        <x:v>0</x:v>
      </x:c>
      <x:c r="L283" s="60" t="n">
        <x:v>0.0044013396</x:v>
      </x:c>
      <x:c r="M283" s="60" t="n">
        <x:v>0</x:v>
      </x:c>
      <x:c r="N283" s="46" t="str">
        <x:v>mimachlamys varia</x:v>
      </x:c>
      <x:c r="O283" s="62" t="n">
        <x:v>2.1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Mimachlamys varia</x:v>
      </x:c>
      <x:c r="T283" s="62" t="n">
        <x:f>IF(O283="","",(1/'Metadata'!$B$5)^(O283-1))</x:f>
        <x:v>26.985656953471274</x:v>
      </x:c>
      <x:c r="U283" s="60" t="n">
        <x:f>IF(T283="","",I283*T283)</x:f>
        <x:v>0.11877304058132848</x:v>
      </x:c>
    </x:row>
    <x:row r="284" ht="18" customHeight="1">
      <x:c r="A284" s="46" t="str">
        <x:v>LME_022</x:v>
      </x:c>
      <x:c r="B284" s="46" t="str">
        <x:v>North Sea</x:v>
      </x:c>
      <x:c r="C284" s="46" t="str">
        <x:v>LME</x:v>
      </x:c>
      <x:c r="D284" s="58" t="n">
        <x:v>2019</x:v>
      </x:c>
      <x:c r="E284" s="46" t="str">
        <x:v>Dentex</x:v>
      </x:c>
      <x:c r="F284" s="46" t="str">
        <x:v>Toothed seabreams</x:v>
      </x:c>
      <x:c r="G284" s="46" t="str">
        <x:v>Large benthopelagics (&gt;=90 cm)</x:v>
      </x:c>
      <x:c r="H284" s="46" t="str">
        <x:v>Perch-likes</x:v>
      </x:c>
      <x:c r="I284" s="60" t="n">
        <x:v>0.0036746148000000004</x:v>
      </x:c>
      <x:c r="J284" s="60" t="n">
        <x:v>0.0036746148000000004</x:v>
      </x:c>
      <x:c r="K284" s="60" t="n">
        <x:v>0</x:v>
      </x:c>
      <x:c r="L284" s="60" t="n">
        <x:v>0.0036746148000000004</x:v>
      </x:c>
      <x:c r="M284" s="60" t="n">
        <x:v>0</x:v>
      </x:c>
      <x:c r="N284" s="46" t="str">
        <x:v>dentex</x:v>
      </x:c>
      <x:c r="O284" s="62" t="n">
        <x:v>3.96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Dentex</x:v>
      </x:c>
      <x:c r="T284" s="62" t="n">
        <x:f>IF(O284="","",(1/'Metadata'!$B$5)^(O284-1))</x:f>
        <x:v>7096.574839945253</x:v>
      </x:c>
      <x:c r="U284" s="60" t="n">
        <x:f>IF(T284="","",I284*T284)</x:f>
        <x:v>26.077178936170462</x:v>
      </x:c>
    </x:row>
    <x:row r="285" ht="18" customHeight="1">
      <x:c r="A285" s="46" t="str">
        <x:v>LME_022</x:v>
      </x:c>
      <x:c r="B285" s="46" t="str">
        <x:v>North Sea</x:v>
      </x:c>
      <x:c r="C285" s="46" t="str">
        <x:v>LME</x:v>
      </x:c>
      <x:c r="D285" s="58" t="n">
        <x:v>2019</x:v>
      </x:c>
      <x:c r="E285" s="46" t="str">
        <x:v>Sepiida</x:v>
      </x:c>
      <x:c r="F285" s="46" t="str">
        <x:v>Cuttlefishes, bobtail squids</x:v>
      </x:c>
      <x:c r="G285" s="46" t="str">
        <x:v>Cephalopods</x:v>
      </x:c>
      <x:c r="H285" s="46" t="str">
        <x:v>Other fishes &amp; inverts</x:v>
      </x:c>
      <x:c r="I285" s="60" t="n">
        <x:v>0.0035529153</x:v>
      </x:c>
      <x:c r="J285" s="60" t="n">
        <x:v>0.0035529153</x:v>
      </x:c>
      <x:c r="K285" s="60" t="n">
        <x:v>0</x:v>
      </x:c>
      <x:c r="L285" s="60" t="n">
        <x:v>0.0035529153</x:v>
      </x:c>
      <x:c r="M285" s="60" t="n">
        <x:v>0</x:v>
      </x:c>
      <x:c r="N285" s="46" t="str">
        <x:v>sepiida</x:v>
      </x:c>
      <x:c r="O285" s="62" t="n">
        <x:v>3.7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Sepiida</x:v>
      </x:c>
      <x:c r="T285" s="62" t="n">
        <x:f>IF(O285="","",(1/'Metadata'!$B$5)^(O285-1))</x:f>
        <x:v>3256.724252295237</x:v>
      </x:c>
      <x:c r="U285" s="60" t="n">
        <x:f>IF(T285="","",I285*T285)</x:f>
        <x:v>11.570865423860807</x:v>
      </x:c>
    </x:row>
    <x:row r="286" ht="18" customHeight="1">
      <x:c r="A286" s="46" t="str">
        <x:v>LME_022</x:v>
      </x:c>
      <x:c r="B286" s="46" t="str">
        <x:v>North Sea</x:v>
      </x:c>
      <x:c r="C286" s="46" t="str">
        <x:v>LME</x:v>
      </x:c>
      <x:c r="D286" s="58" t="n">
        <x:v>2019</x:v>
      </x:c>
      <x:c r="E286" s="46" t="str">
        <x:v>Chlamys</x:v>
      </x:c>
      <x:c r="F286" s="46" t="str">
        <x:v>Cloak scallops</x:v>
      </x:c>
      <x:c r="G286" s="46" t="str">
        <x:v>Other demersal invertebrates</x:v>
      </x:c>
      <x:c r="H286" s="46" t="str">
        <x:v>Molluscs</x:v>
      </x:c>
      <x:c r="I286" s="60" t="n">
        <x:v>0.0033814407999999997</x:v>
      </x:c>
      <x:c r="J286" s="60" t="n">
        <x:v>0.0033814407999999997</x:v>
      </x:c>
      <x:c r="K286" s="60" t="n">
        <x:v>0</x:v>
      </x:c>
      <x:c r="L286" s="60" t="n">
        <x:v>0.0033814407999999997</x:v>
      </x:c>
      <x:c r="M286" s="60" t="n">
        <x:v>0</x:v>
      </x:c>
      <x:c r="N286" s="46" t="str">
        <x:v>chlamys</x:v>
      </x:c>
      <x:c r="O286" s="62" t="n">
        <x:v>2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Chlamys</x:v>
      </x:c>
      <x:c r="T286" s="62" t="n">
        <x:f>IF(O286="","",(1/'Metadata'!$B$5)^(O286-1))</x:f>
        <x:v>20</x:v>
      </x:c>
      <x:c r="U286" s="60" t="n">
        <x:f>IF(T286="","",I286*T286)</x:f>
        <x:v>0.067628816</x:v>
      </x:c>
    </x:row>
    <x:row r="287" ht="18" customHeight="1">
      <x:c r="A287" s="46" t="str">
        <x:v>LME_022</x:v>
      </x:c>
      <x:c r="B287" s="46" t="str">
        <x:v>North Sea</x:v>
      </x:c>
      <x:c r="C287" s="46" t="str">
        <x:v>LME</x:v>
      </x:c>
      <x:c r="D287" s="58" t="n">
        <x:v>2019</x:v>
      </x:c>
      <x:c r="E287" s="46" t="str">
        <x:v>Lepidorhombus boscii</x:v>
      </x:c>
      <x:c r="F287" s="46" t="str">
        <x:v>Four-spot megrim</x:v>
      </x:c>
      <x:c r="G287" s="46" t="str">
        <x:v>Small to medium flatfishes (&lt;90 cm)</x:v>
      </x:c>
      <x:c r="H287" s="46" t="str">
        <x:v>Flatfishes</x:v>
      </x:c>
      <x:c r="I287" s="60" t="n">
        <x:v>0.0029525734</x:v>
      </x:c>
      <x:c r="J287" s="60" t="n">
        <x:v>0.0029525734</x:v>
      </x:c>
      <x:c r="K287" s="60" t="n">
        <x:v>0</x:v>
      </x:c>
      <x:c r="L287" s="60" t="n">
        <x:v>0.0029525734</x:v>
      </x:c>
      <x:c r="M287" s="60" t="n">
        <x:v>0</x:v>
      </x:c>
      <x:c r="N287" s="46" t="str">
        <x:v>lepidorhombus boscii</x:v>
      </x:c>
      <x:c r="O287" s="62" t="n">
        <x:v>3.74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Lepidorhombus boscii</x:v>
      </x:c>
      <x:c r="T287" s="62" t="n">
        <x:f>IF(O287="","",(1/'Metadata'!$B$5)^(O287-1))</x:f>
        <x:v>3671.3195599248957</x:v>
      </x:c>
      <x:c r="U287" s="60" t="n">
        <x:f>IF(T287="","",I287*T287)</x:f>
        <x:v>10.839840475533954</x:v>
      </x:c>
    </x:row>
    <x:row r="288" ht="18" customHeight="1">
      <x:c r="A288" s="46" t="str">
        <x:v>LME_022</x:v>
      </x:c>
      <x:c r="B288" s="46" t="str">
        <x:v>North Sea</x:v>
      </x:c>
      <x:c r="C288" s="46" t="str">
        <x:v>LME</x:v>
      </x:c>
      <x:c r="D288" s="58" t="n">
        <x:v>2019</x:v>
      </x:c>
      <x:c r="E288" s="46" t="str">
        <x:v>Chelon auratus</x:v>
      </x:c>
      <x:c r="F288" s="46" t="str">
        <x:v>Golden grey mullet</x:v>
      </x:c>
      <x:c r="G288" s="46" t="str">
        <x:v>Medium pelagics (30 - 89 cm)</x:v>
      </x:c>
      <x:c r="H288" s="46" t="str">
        <x:v>Other fishes &amp; inverts</x:v>
      </x:c>
      <x:c r="I288" s="60" t="n">
        <x:v>0.0029136665000000003</x:v>
      </x:c>
      <x:c r="J288" s="60" t="n">
        <x:v>0.0029136665000000003</x:v>
      </x:c>
      <x:c r="K288" s="60" t="n">
        <x:v>0</x:v>
      </x:c>
      <x:c r="L288" s="60" t="n">
        <x:v>0.0026796178000000003</x:v>
      </x:c>
      <x:c r="M288" s="60" t="n">
        <x:v>0.0002340487</x:v>
      </x:c>
      <x:c r="N288" s="46" t="str">
        <x:v>chelon auratus</x:v>
      </x:c>
      <x:c r="O288" s="62" t="n">
        <x:v>2.8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Chelon auratus</x:v>
      </x:c>
      <x:c r="T288" s="62" t="n">
        <x:f>IF(O288="","",(1/'Metadata'!$B$5)^(O288-1))</x:f>
        <x:v>219.71210866122343</x:v>
      </x:c>
      <x:c r="U288" s="60" t="n">
        <x:f>IF(T288="","",I288*T288)</x:f>
        <x:v>0.6401678106505666</x:v>
      </x:c>
    </x:row>
    <x:row r="289" ht="18" customHeight="1">
      <x:c r="A289" s="46" t="str">
        <x:v>LME_022</x:v>
      </x:c>
      <x:c r="B289" s="46" t="str">
        <x:v>North Sea</x:v>
      </x:c>
      <x:c r="C289" s="46" t="str">
        <x:v>LME</x:v>
      </x:c>
      <x:c r="D289" s="58" t="n">
        <x:v>2019</x:v>
      </x:c>
      <x:c r="E289" s="46" t="str">
        <x:v>Palinurus elephas</x:v>
      </x:c>
      <x:c r="F289" s="46" t="str">
        <x:v>Common spiny lobster</x:v>
      </x:c>
      <x:c r="G289" s="46" t="str">
        <x:v>Lobsters, crabs</x:v>
      </x:c>
      <x:c r="H289" s="46" t="str">
        <x:v>Crustaceans</x:v>
      </x:c>
      <x:c r="I289" s="60" t="n">
        <x:v>0.0025589667</x:v>
      </x:c>
      <x:c r="J289" s="60" t="n">
        <x:v>0.0025589667</x:v>
      </x:c>
      <x:c r="K289" s="60" t="n">
        <x:v>0</x:v>
      </x:c>
      <x:c r="L289" s="60" t="n">
        <x:v>0.0025589667</x:v>
      </x:c>
      <x:c r="M289" s="60" t="n">
        <x:v>0</x:v>
      </x:c>
      <x:c r="N289" s="46" t="str">
        <x:v>palinurus elephas</x:v>
      </x:c>
      <x:c r="O289" s="62" t="n">
        <x:v>3.34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Palinurus elephas</x:v>
      </x:c>
      <x:c r="T289" s="62" t="n">
        <x:f>IF(O289="","",(1/'Metadata'!$B$5)^(O289-1))</x:f>
        <x:v>1107.6694806197092</x:v>
      </x:c>
      <x:c r="U289" s="60" t="n">
        <x:f>IF(T289="","",I289*T289)</x:f>
        <x:v>2.834489315512131</x:v>
      </x:c>
    </x:row>
    <x:row r="290" ht="18" customHeight="1">
      <x:c r="A290" s="46" t="str">
        <x:v>LME_022</x:v>
      </x:c>
      <x:c r="B290" s="46" t="str">
        <x:v>North Sea</x:v>
      </x:c>
      <x:c r="C290" s="46" t="str">
        <x:v>LME</x:v>
      </x:c>
      <x:c r="D290" s="58" t="n">
        <x:v>2019</x:v>
      </x:c>
      <x:c r="E290" s="46" t="str">
        <x:v>Trachipterus</x:v>
      </x:c>
      <x:c r="F290" s="46" t="str">
        <x:v>Ribbonfishes</x:v>
      </x:c>
      <x:c r="G290" s="46" t="str">
        <x:v>Large bathypelagics (&gt;=90 cm)</x:v>
      </x:c>
      <x:c r="H290" s="46" t="str">
        <x:v>Other fishes &amp; inverts</x:v>
      </x:c>
      <x:c r="I290" s="60" t="n">
        <x:v>0.0022362902</x:v>
      </x:c>
      <x:c r="J290" s="60" t="n">
        <x:v>0.001646407</x:v>
      </x:c>
      <x:c r="K290" s="60" t="n">
        <x:v>0.0005898832</x:v>
      </x:c>
      <x:c r="L290" s="60" t="n">
        <x:v>0</x:v>
      </x:c>
      <x:c r="M290" s="60" t="n">
        <x:v>0.0022362902</x:v>
      </x:c>
      <x:c r="N290" s="46" t="str">
        <x:v>trachipterus</x:v>
      </x:c>
      <x:c r="O290" s="62" t="n">
        <x:v>4.5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Trachipterus</x:v>
      </x:c>
      <x:c r="T290" s="62" t="n">
        <x:f>IF(O290="","",(1/'Metadata'!$B$5)^(O290-1))</x:f>
        <x:v>35777.08763999664</x:v>
      </x:c>
      <x:c r="U290" s="60" t="n">
        <x:f>IF(T290="","",I290*T290)</x:f>
        <x:v>80.0079504738656</x:v>
      </x:c>
    </x:row>
    <x:row r="291" ht="18" customHeight="1">
      <x:c r="A291" s="46" t="str">
        <x:v>LME_022</x:v>
      </x:c>
      <x:c r="B291" s="46" t="str">
        <x:v>North Sea</x:v>
      </x:c>
      <x:c r="C291" s="46" t="str">
        <x:v>LME</x:v>
      </x:c>
      <x:c r="D291" s="58" t="n">
        <x:v>2019</x:v>
      </x:c>
      <x:c r="E291" s="46" t="str">
        <x:v>Palaemon longirostris</x:v>
      </x:c>
      <x:c r="F291" s="46" t="str">
        <x:v>Delta prawn</x:v>
      </x:c>
      <x:c r="G291" s="46" t="str">
        <x:v>Shrimps</x:v>
      </x:c>
      <x:c r="H291" s="46" t="str">
        <x:v>Crustaceans</x:v>
      </x:c>
      <x:c r="I291" s="60" t="n">
        <x:v>0.0020785902</x:v>
      </x:c>
      <x:c r="J291" s="60" t="n">
        <x:v>0.0020785902</x:v>
      </x:c>
      <x:c r="K291" s="60" t="n">
        <x:v>0</x:v>
      </x:c>
      <x:c r="L291" s="60" t="n">
        <x:v>0.0020370625</x:v>
      </x:c>
      <x:c r="M291" s="60" t="n">
        <x:v>0.0000415277</x:v>
      </x:c>
      <x:c r="N291" s="46" t="str">
        <x:v>palaemon longirostris</x:v>
      </x:c>
      <x:c r="O291" s="62" t="n">
        <x:v>2.6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Palaemon longirostris</x:v>
      </x:c>
      <x:c r="T291" s="62" t="n">
        <x:f>IF(O291="","",(1/'Metadata'!$B$5)^(O291-1))</x:f>
        <x:v>120.6835267309033</x:v>
      </x:c>
      <x:c r="U291" s="60" t="n">
        <x:f>IF(T291="","",I291*T291)</x:f>
        <x:v>0.2508515959642936</x:v>
      </x:c>
    </x:row>
    <x:row r="292" ht="18" customHeight="1">
      <x:c r="A292" s="46" t="str">
        <x:v>LME_022</x:v>
      </x:c>
      <x:c r="B292" s="46" t="str">
        <x:v>North Sea</x:v>
      </x:c>
      <x:c r="C292" s="46" t="str">
        <x:v>LME</x:v>
      </x:c>
      <x:c r="D292" s="58" t="n">
        <x:v>2019</x:v>
      </x:c>
      <x:c r="E292" s="46" t="str">
        <x:v>Leuciscus idus</x:v>
      </x:c>
      <x:c r="F292" s="46" t="str">
        <x:v>Ide</x:v>
      </x:c>
      <x:c r="G292" s="46" t="str">
        <x:v>Medium benthopelagics (30 - 89 cm)</x:v>
      </x:c>
      <x:c r="H292" s="46" t="str">
        <x:v>Other fishes &amp; inverts</x:v>
      </x:c>
      <x:c r="I292" s="60" t="n">
        <x:v>0.0018004160999999998</x:v>
      </x:c>
      <x:c r="J292" s="60" t="n">
        <x:v>0.0012114995</x:v>
      </x:c>
      <x:c r="K292" s="60" t="n">
        <x:v>0.0005889166</x:v>
      </x:c>
      <x:c r="L292" s="60" t="n">
        <x:v>0</x:v>
      </x:c>
      <x:c r="M292" s="60" t="n">
        <x:v>0.0018004160999999998</x:v>
      </x:c>
      <x:c r="N292" s="46" t="str">
        <x:v>leuciscus idus</x:v>
      </x:c>
      <x:c r="O292" s="62" t="n">
        <x:v>3.79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Leuciscus idus</x:v>
      </x:c>
      <x:c r="T292" s="62" t="n">
        <x:f>IF(O292="","",(1/'Metadata'!$B$5)^(O292-1))</x:f>
        <x:v>4264.554685980751</x:v>
      </x:c>
      <x:c r="U292" s="60" t="n">
        <x:f>IF(T292="","",I292*T292)</x:f>
        <x:v>7.677972915970187</x:v>
      </x:c>
    </x:row>
    <x:row r="293" ht="18" customHeight="1">
      <x:c r="A293" s="46" t="str">
        <x:v>LME_022</x:v>
      </x:c>
      <x:c r="B293" s="46" t="str">
        <x:v>North Sea</x:v>
      </x:c>
      <x:c r="C293" s="46" t="str">
        <x:v>LME</x:v>
      </x:c>
      <x:c r="D293" s="58" t="n">
        <x:v>2019</x:v>
      </x:c>
      <x:c r="E293" s="46" t="str">
        <x:v>Murex</x:v>
      </x:c>
      <x:c r="F293" s="46" t="str">
        <x:v>Murex shells</x:v>
      </x:c>
      <x:c r="G293" s="46" t="str">
        <x:v>Other demersal invertebrates</x:v>
      </x:c>
      <x:c r="H293" s="46" t="str">
        <x:v>Molluscs</x:v>
      </x:c>
      <x:c r="I293" s="60" t="n">
        <x:v>0.0017427744</x:v>
      </x:c>
      <x:c r="J293" s="60" t="n">
        <x:v>0.0017427744</x:v>
      </x:c>
      <x:c r="K293" s="60" t="n">
        <x:v>0</x:v>
      </x:c>
      <x:c r="L293" s="60" t="n">
        <x:v>0.0017427744</x:v>
      </x:c>
      <x:c r="M293" s="60" t="n">
        <x:v>0</x:v>
      </x:c>
      <x:c r="N293" s="46" t="str">
        <x:v>murex</x:v>
      </x:c>
      <x:c r="O293" s="62" t="n">
        <x:v>2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Murex</x:v>
      </x:c>
      <x:c r="T293" s="62" t="n">
        <x:f>IF(O293="","",(1/'Metadata'!$B$5)^(O293-1))</x:f>
        <x:v>20</x:v>
      </x:c>
      <x:c r="U293" s="60" t="n">
        <x:f>IF(T293="","",I293*T293)</x:f>
        <x:v>0.034855488000000004</x:v>
      </x:c>
    </x:row>
    <x:row r="294" ht="18" customHeight="1">
      <x:c r="A294" s="46" t="str">
        <x:v>LME_022</x:v>
      </x:c>
      <x:c r="B294" s="46" t="str">
        <x:v>North Sea</x:v>
      </x:c>
      <x:c r="C294" s="46" t="str">
        <x:v>LME</x:v>
      </x:c>
      <x:c r="D294" s="58" t="n">
        <x:v>2019</x:v>
      </x:c>
      <x:c r="E294" s="46" t="str">
        <x:v>Trichiuridae</x:v>
      </x:c>
      <x:c r="F294" s="46" t="str">
        <x:v>Cutlassfishes</x:v>
      </x:c>
      <x:c r="G294" s="46" t="str">
        <x:v>Large benthopelagics (&gt;=90 cm)</x:v>
      </x:c>
      <x:c r="H294" s="46" t="str">
        <x:v>Perch-likes</x:v>
      </x:c>
      <x:c r="I294" s="60" t="n">
        <x:v>0.0013200937</x:v>
      </x:c>
      <x:c r="J294" s="60" t="n">
        <x:v>0.0013200937</x:v>
      </x:c>
      <x:c r="K294" s="60" t="n">
        <x:v>0</x:v>
      </x:c>
      <x:c r="L294" s="60" t="n">
        <x:v>0.0013200937</x:v>
      </x:c>
      <x:c r="M294" s="60" t="n">
        <x:v>0</x:v>
      </x:c>
      <x:c r="N294" s="46" t="str">
        <x:v>trichiuridae</x:v>
      </x:c>
      <x:c r="O294" s="62" t="n">
        <x:v>4.15</x:v>
      </x:c>
      <x:c r="P294" s="46" t="str">
        <x:v>exact_sea_around_us</x:v>
      </x:c>
      <x:c r="Q294" s="62" t="str">
        <x:v>Sea Around Us exploited organisms</x:v>
      </x:c>
      <x:c r="R294" s="46" t="str">
        <x:v>high</x:v>
      </x:c>
      <x:c r="S294" s="46" t="str">
        <x:v>Trichiuridae</x:v>
      </x:c>
      <x:c r="T294" s="62" t="n">
        <x:f>IF(O294="","",(1/'Metadata'!$B$5)^(O294-1))</x:f>
        <x:v>12538.46830130465</x:v>
      </x:c>
      <x:c r="U294" s="60" t="n">
        <x:f>IF(T294="","",I294*T294)</x:f>
        <x:v>16.55195301220197</x:v>
      </x:c>
    </x:row>
    <x:row r="295" ht="18" customHeight="1">
      <x:c r="A295" s="46" t="str">
        <x:v>LME_022</x:v>
      </x:c>
      <x:c r="B295" s="46" t="str">
        <x:v>North Sea</x:v>
      </x:c>
      <x:c r="C295" s="46" t="str">
        <x:v>LME</x:v>
      </x:c>
      <x:c r="D295" s="58" t="n">
        <x:v>2019</x:v>
      </x:c>
      <x:c r="E295" s="46" t="str">
        <x:v>Acipenser sturio</x:v>
      </x:c>
      <x:c r="F295" s="46" t="str">
        <x:v>Sturgeon</x:v>
      </x:c>
      <x:c r="G295" s="46" t="str">
        <x:v>Large demersals (&gt;=90 cm)</x:v>
      </x:c>
      <x:c r="H295" s="46" t="str">
        <x:v>Other fishes &amp; inverts</x:v>
      </x:c>
      <x:c r="I295" s="60" t="n">
        <x:v>0.0012560641</x:v>
      </x:c>
      <x:c r="J295" s="60" t="n">
        <x:v>0.0012560641</x:v>
      </x:c>
      <x:c r="K295" s="60" t="n">
        <x:v>0</x:v>
      </x:c>
      <x:c r="L295" s="60" t="n">
        <x:v>0.0008035198</x:v>
      </x:c>
      <x:c r="M295" s="60" t="n">
        <x:v>0.0004525443</x:v>
      </x:c>
      <x:c r="N295" s="46" t="str">
        <x:v>acipenser sturio</x:v>
      </x:c>
      <x:c r="O295" s="62" t="n">
        <x:v>3.51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Acipenser sturio</x:v>
      </x:c>
      <x:c r="T295" s="62" t="n">
        <x:f>IF(O295="","",(1/'Metadata'!$B$5)^(O295-1))</x:f>
        <x:v>1843.2544417784343</x:v>
      </x:c>
      <x:c r="U295" s="60" t="n">
        <x:f>IF(T295="","",I295*T295)</x:f>
        <x:v>2.315245731483431</x:v>
      </x:c>
    </x:row>
    <x:row r="296" ht="18" customHeight="1">
      <x:c r="A296" s="46" t="str">
        <x:v>LME_022</x:v>
      </x:c>
      <x:c r="B296" s="46" t="str">
        <x:v>North Sea</x:v>
      </x:c>
      <x:c r="C296" s="46" t="str">
        <x:v>LME</x:v>
      </x:c>
      <x:c r="D296" s="58" t="n">
        <x:v>2019</x:v>
      </x:c>
      <x:c r="E296" s="46" t="str">
        <x:v>Trichiurus</x:v>
      </x:c>
      <x:c r="F296" s="46" t="str">
        <x:v>Hairtails</x:v>
      </x:c>
      <x:c r="G296" s="46" t="str">
        <x:v>Large benthopelagics (&gt;=90 cm)</x:v>
      </x:c>
      <x:c r="H296" s="46" t="str">
        <x:v>Perch-likes</x:v>
      </x:c>
      <x:c r="I296" s="60" t="n">
        <x:v>0.0011583544999999998</x:v>
      </x:c>
      <x:c r="J296" s="60" t="n">
        <x:v>0.0011583544999999998</x:v>
      </x:c>
      <x:c r="K296" s="60" t="n">
        <x:v>0</x:v>
      </x:c>
      <x:c r="L296" s="60" t="n">
        <x:v>0.0011583544999999998</x:v>
      </x:c>
      <x:c r="M296" s="60" t="n">
        <x:v>0</x:v>
      </x:c>
      <x:c r="N296" s="46" t="str">
        <x:v>trichiurus</x:v>
      </x:c>
      <x:c r="O296" s="62" t="n">
        <x:v>4.42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Trichiurus</x:v>
      </x:c>
      <x:c r="T296" s="62" t="n">
        <x:f>IF(O296="","",(1/'Metadata'!$B$5)^(O296-1))</x:f>
        <x:v>28152.864182630117</x:v>
      </x:c>
      <x:c r="U296" s="60" t="n">
        <x:f>IF(T296="","",I296*T296)</x:f>
        <x:v>32.61099691383841</x:v>
      </x:c>
    </x:row>
    <x:row r="297" ht="18" customHeight="1">
      <x:c r="A297" s="46" t="str">
        <x:v>LME_022</x:v>
      </x:c>
      <x:c r="B297" s="46" t="str">
        <x:v>North Sea</x:v>
      </x:c>
      <x:c r="C297" s="46" t="str">
        <x:v>LME</x:v>
      </x:c>
      <x:c r="D297" s="58" t="n">
        <x:v>2019</x:v>
      </x:c>
      <x:c r="E297" s="46" t="str">
        <x:v>Molva</x:v>
      </x:c>
      <x:c r="F297" s="46" t="str">
        <x:v>Lings</x:v>
      </x:c>
      <x:c r="G297" s="46" t="str">
        <x:v>Large demersals (&gt;=90 cm)</x:v>
      </x:c>
      <x:c r="H297" s="46" t="str">
        <x:v>Cod-likes</x:v>
      </x:c>
      <x:c r="I297" s="60" t="n">
        <x:v>0.0009790793</x:v>
      </x:c>
      <x:c r="J297" s="60" t="n">
        <x:v>0.0009790793</x:v>
      </x:c>
      <x:c r="K297" s="60" t="n">
        <x:v>0</x:v>
      </x:c>
      <x:c r="L297" s="60" t="n">
        <x:v>0.0009790793</x:v>
      </x:c>
      <x:c r="M297" s="60" t="n">
        <x:v>0</x:v>
      </x:c>
      <x:c r="N297" s="46" t="str">
        <x:v>molva</x:v>
      </x:c>
      <x:c r="O297" s="62" t="n">
        <x:v>4.19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Molva</x:v>
      </x:c>
      <x:c r="T297" s="62" t="n">
        <x:f>IF(O297="","",(1/'Metadata'!$B$5)^(O297-1))</x:f>
        <x:v>14134.67041111498</x:v>
      </x:c>
      <x:c r="U297" s="60" t="n">
        <x:f>IF(T297="","",I297*T297)</x:f>
        <x:v>13.838963211845167</x:v>
      </x:c>
    </x:row>
    <x:row r="298" ht="18" customHeight="1">
      <x:c r="A298" s="46" t="str">
        <x:v>LME_022</x:v>
      </x:c>
      <x:c r="B298" s="46" t="str">
        <x:v>North Sea</x:v>
      </x:c>
      <x:c r="C298" s="46" t="str">
        <x:v>LME</x:v>
      </x:c>
      <x:c r="D298" s="58" t="n">
        <x:v>2019</x:v>
      </x:c>
      <x:c r="E298" s="46" t="str">
        <x:v>Bramidae</x:v>
      </x:c>
      <x:c r="F298" s="46" t="str">
        <x:v>Pomfrets</x:v>
      </x:c>
      <x:c r="G298" s="46" t="str">
        <x:v>Medium pelagics (30 - 89 cm)</x:v>
      </x:c>
      <x:c r="H298" s="46" t="str">
        <x:v>Perch-likes</x:v>
      </x:c>
      <x:c r="I298" s="60" t="n">
        <x:v>0.0009429877</x:v>
      </x:c>
      <x:c r="J298" s="60" t="n">
        <x:v>0.0007412747</x:v>
      </x:c>
      <x:c r="K298" s="60" t="n">
        <x:v>0.00020171299999999998</x:v>
      </x:c>
      <x:c r="L298" s="60" t="n">
        <x:v>0</x:v>
      </x:c>
      <x:c r="M298" s="60" t="n">
        <x:v>0.0009429877</x:v>
      </x:c>
      <x:c r="N298" s="46" t="str">
        <x:v>bramidae</x:v>
      </x:c>
      <x:c r="O298" s="62" t="n">
        <x:v>4.14</x:v>
      </x:c>
      <x:c r="P298" s="46" t="str">
        <x:v>exact_sea_around_us</x:v>
      </x:c>
      <x:c r="Q298" s="62" t="str">
        <x:v>Sea Around Us exploited organisms</x:v>
      </x:c>
      <x:c r="R298" s="46" t="str">
        <x:v>high</x:v>
      </x:c>
      <x:c r="S298" s="46" t="str">
        <x:v>Bramidae</x:v>
      </x:c>
      <x:c r="T298" s="62" t="n">
        <x:f>IF(O298="","",(1/'Metadata'!$B$5)^(O298-1))</x:f>
        <x:v>12168.419864331923</x:v>
      </x:c>
      <x:c r="U298" s="60" t="n">
        <x:f>IF(T298="","",I298*T298)</x:f>
        <x:v>11.474670260500671</x:v>
      </x:c>
    </x:row>
    <x:row r="299" ht="18" customHeight="1">
      <x:c r="A299" s="46" t="str">
        <x:v>LME_022</x:v>
      </x:c>
      <x:c r="B299" s="46" t="str">
        <x:v>North Sea</x:v>
      </x:c>
      <x:c r="C299" s="46" t="str">
        <x:v>LME</x:v>
      </x:c>
      <x:c r="D299" s="58" t="n">
        <x:v>2019</x:v>
      </x:c>
      <x:c r="E299" s="46" t="str">
        <x:v>Spisula ovalis</x:v>
      </x:c>
      <x:c r="F299" s="46" t="str">
        <x:v>Venus clam</x:v>
      </x:c>
      <x:c r="G299" s="46" t="str">
        <x:v>Other demersal invertebrates</x:v>
      </x:c>
      <x:c r="H299" s="46" t="str">
        <x:v>Molluscs</x:v>
      </x:c>
      <x:c r="I299" s="60" t="n">
        <x:v>0.0009030243</x:v>
      </x:c>
      <x:c r="J299" s="60" t="n">
        <x:v>0.0009030243</x:v>
      </x:c>
      <x:c r="K299" s="60" t="n">
        <x:v>0</x:v>
      </x:c>
      <x:c r="L299" s="60" t="n">
        <x:v>0.0008278156</x:v>
      </x:c>
      <x:c r="M299" s="60" t="n">
        <x:v>0.0000752087</x:v>
      </x:c>
      <x:c r="N299" s="46" t="str">
        <x:v>spisula ovalis</x:v>
      </x:c>
      <x:c r="O299" s="62" t="n">
        <x:v>2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Spisula ovalis</x:v>
      </x:c>
      <x:c r="T299" s="62" t="n">
        <x:f>IF(O299="","",(1/'Metadata'!$B$5)^(O299-1))</x:f>
        <x:v>20</x:v>
      </x:c>
      <x:c r="U299" s="60" t="n">
        <x:f>IF(T299="","",I299*T299)</x:f>
        <x:v>0.018060486</x:v>
      </x:c>
    </x:row>
    <x:row r="300" ht="18" customHeight="1">
      <x:c r="A300" s="46" t="str">
        <x:v>LME_022</x:v>
      </x:c>
      <x:c r="B300" s="46" t="str">
        <x:v>North Sea</x:v>
      </x:c>
      <x:c r="C300" s="46" t="str">
        <x:v>LME</x:v>
      </x:c>
      <x:c r="D300" s="58" t="n">
        <x:v>2019</x:v>
      </x:c>
      <x:c r="E300" s="46" t="str">
        <x:v>Dendrobranchiata</x:v>
      </x:c>
      <x:c r="F300" s="46" t="str">
        <x:v>Shrimps and prawns</x:v>
      </x:c>
      <x:c r="G300" s="46" t="str">
        <x:v>Shrimps</x:v>
      </x:c>
      <x:c r="H300" s="46" t="str">
        <x:v>Crustaceans</x:v>
      </x:c>
      <x:c r="I300" s="60" t="n">
        <x:v>0.0008700660000000001</x:v>
      </x:c>
      <x:c r="J300" s="60" t="n">
        <x:v>0.0008700660000000001</x:v>
      </x:c>
      <x:c r="K300" s="60" t="n">
        <x:v>0</x:v>
      </x:c>
      <x:c r="L300" s="60" t="n">
        <x:v>0.000844902</x:v>
      </x:c>
      <x:c r="M300" s="60" t="n">
        <x:v>0.000025164</x:v>
      </x:c>
      <x:c r="N300" s="46" t="str">
        <x:v>dendrobranchiata</x:v>
      </x:c>
      <x:c r="O300" s="62" t="n">
        <x:v>3.24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Dendrobranchiata</x:v>
      </x:c>
      <x:c r="T300" s="62" t="n">
        <x:f>IF(O300="","",(1/'Metadata'!$B$5)^(O300-1))</x:f>
        <x:v>820.9320103116679</x:v>
      </x:c>
      <x:c r="U300" s="60" t="n">
        <x:f>IF(T300="","",I300*T300)</x:f>
        <x:v>0.7142650304838317</x:v>
      </x:c>
    </x:row>
    <x:row r="301" ht="18" customHeight="1">
      <x:c r="A301" s="46" t="str">
        <x:v>LME_022</x:v>
      </x:c>
      <x:c r="B301" s="46" t="str">
        <x:v>North Sea</x:v>
      </x:c>
      <x:c r="C301" s="46" t="str">
        <x:v>LME</x:v>
      </x:c>
      <x:c r="D301" s="58" t="n">
        <x:v>2019</x:v>
      </x:c>
      <x:c r="E301" s="46" t="str">
        <x:v>Solen vagina</x:v>
      </x:c>
      <x:c r="F301" s="46" t="str">
        <x:v>European razor clam</x:v>
      </x:c>
      <x:c r="G301" s="46" t="str">
        <x:v>Other demersal invertebrates</x:v>
      </x:c>
      <x:c r="H301" s="46" t="str">
        <x:v>Molluscs</x:v>
      </x:c>
      <x:c r="I301" s="60" t="n">
        <x:v>0.0006228907</x:v>
      </x:c>
      <x:c r="J301" s="60" t="n">
        <x:v>0.0006228907</x:v>
      </x:c>
      <x:c r="K301" s="60" t="n">
        <x:v>0</x:v>
      </x:c>
      <x:c r="L301" s="60" t="n">
        <x:v>0.0006228907</x:v>
      </x:c>
      <x:c r="M301" s="60" t="n">
        <x:v>0</x:v>
      </x:c>
      <x:c r="N301" s="46" t="str">
        <x:v>solen vagina</x:v>
      </x:c>
      <x:c r="O301" s="62" t="n">
        <x:v>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Solen vagina</x:v>
      </x:c>
      <x:c r="T301" s="62" t="n">
        <x:f>IF(O301="","",(1/'Metadata'!$B$5)^(O301-1))</x:f>
        <x:v>20</x:v>
      </x:c>
      <x:c r="U301" s="60" t="n">
        <x:f>IF(T301="","",I301*T301)</x:f>
        <x:v>0.012457814</x:v>
      </x:c>
    </x:row>
    <x:row r="302" ht="18" customHeight="1">
      <x:c r="A302" s="46" t="str">
        <x:v>LME_022</x:v>
      </x:c>
      <x:c r="B302" s="46" t="str">
        <x:v>North Sea</x:v>
      </x:c>
      <x:c r="C302" s="46" t="str">
        <x:v>LME</x:v>
      </x:c>
      <x:c r="D302" s="58" t="n">
        <x:v>2019</x:v>
      </x:c>
      <x:c r="E302" s="46" t="str">
        <x:v>Chimaeriformes</x:v>
      </x:c>
      <x:c r="F302" s="46" t="str">
        <x:v>Chimaeras</x:v>
      </x:c>
      <x:c r="G302" s="46" t="str">
        <x:v>Large rays (&gt;=90 cm)</x:v>
      </x:c>
      <x:c r="H302" s="46" t="str">
        <x:v>Sharks &amp; rays</x:v>
      </x:c>
      <x:c r="I302" s="60" t="n">
        <x:v>0.0004551251</x:v>
      </x:c>
      <x:c r="J302" s="60" t="n">
        <x:v>0.0004551251</x:v>
      </x:c>
      <x:c r="K302" s="60" t="n">
        <x:v>0</x:v>
      </x:c>
      <x:c r="L302" s="60" t="n">
        <x:v>0.0004551251</x:v>
      </x:c>
      <x:c r="M302" s="60" t="n">
        <x:v>0</x:v>
      </x:c>
      <x:c r="N302" s="46" t="str">
        <x:v>chimaeriformes</x:v>
      </x:c>
      <x:c r="O302" s="62" t="n">
        <x:v>3.37</x:v>
      </x:c>
      <x:c r="P302" s="46" t="str">
        <x:v>exact_sea_around_us</x:v>
      </x:c>
      <x:c r="Q302" s="62" t="str">
        <x:v>Sea Around Us exploited organisms</x:v>
      </x:c>
      <x:c r="R302" s="46" t="str">
        <x:v>high</x:v>
      </x:c>
      <x:c r="S302" s="46" t="str">
        <x:v>Chimaeriformes</x:v>
      </x:c>
      <x:c r="T302" s="62" t="n">
        <x:f>IF(O302="","",(1/'Metadata'!$B$5)^(O302-1))</x:f>
        <x:v>1211.828298056271</x:v>
      </x:c>
      <x:c r="U302" s="60" t="n">
        <x:f>IF(T302="","",I302*T302)</x:f>
        <x:v>0.5515334753356902</x:v>
      </x:c>
    </x:row>
    <x:row r="303" ht="18" customHeight="1">
      <x:c r="A303" s="46" t="str">
        <x:v>LME_022</x:v>
      </x:c>
      <x:c r="B303" s="46" t="str">
        <x:v>North Sea</x:v>
      </x:c>
      <x:c r="C303" s="46" t="str">
        <x:v>LME</x:v>
      </x:c>
      <x:c r="D303" s="58" t="n">
        <x:v>2019</x:v>
      </x:c>
      <x:c r="E303" s="46" t="str">
        <x:v>Pagellus erythrinus</x:v>
      </x:c>
      <x:c r="F303" s="46" t="str">
        <x:v>Common pandora</x:v>
      </x:c>
      <x:c r="G303" s="46" t="str">
        <x:v>Medium benthopelagics (30 - 89 cm)</x:v>
      </x:c>
      <x:c r="H303" s="46" t="str">
        <x:v>Perch-likes</x:v>
      </x:c>
      <x:c r="I303" s="60" t="n">
        <x:v>0.0004503942</x:v>
      </x:c>
      <x:c r="J303" s="60" t="n">
        <x:v>0.0004503942</x:v>
      </x:c>
      <x:c r="K303" s="60" t="n">
        <x:v>0</x:v>
      </x:c>
      <x:c r="L303" s="60" t="n">
        <x:v>0.0004503942</x:v>
      </x:c>
      <x:c r="M303" s="60" t="n">
        <x:v>0</x:v>
      </x:c>
      <x:c r="N303" s="46" t="str">
        <x:v>pagellus erythrinus</x:v>
      </x:c>
      <x:c r="O303" s="62" t="n">
        <x:v>3.48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Pagellus erythrinus</x:v>
      </x:c>
      <x:c r="T303" s="62" t="n">
        <x:f>IF(O303="","",(1/'Metadata'!$B$5)^(O303-1))</x:f>
        <x:v>1684.8234138858888</x:v>
      </x:c>
      <x:c r="U303" s="60" t="n">
        <x:f>IF(T303="","",I303*T303)</x:f>
        <x:v>0.7588346936384038</x:v>
      </x:c>
    </x:row>
    <x:row r="304" ht="18" customHeight="1">
      <x:c r="A304" s="46" t="str">
        <x:v>LME_022</x:v>
      </x:c>
      <x:c r="B304" s="46" t="str">
        <x:v>North Sea</x:v>
      </x:c>
      <x:c r="C304" s="46" t="str">
        <x:v>LME</x:v>
      </x:c>
      <x:c r="D304" s="58" t="n">
        <x:v>2019</x:v>
      </x:c>
      <x:c r="E304" s="46" t="str">
        <x:v>Littorina</x:v>
      </x:c>
      <x:c r="F304" s="46" t="str">
        <x:v>Periwinkles</x:v>
      </x:c>
      <x:c r="G304" s="46" t="str">
        <x:v>Other demersal invertebrates</x:v>
      </x:c>
      <x:c r="H304" s="46" t="str">
        <x:v>Molluscs</x:v>
      </x:c>
      <x:c r="I304" s="60" t="n">
        <x:v>0.00043809389999999995</x:v>
      </x:c>
      <x:c r="J304" s="60" t="n">
        <x:v>0.00043809389999999995</x:v>
      </x:c>
      <x:c r="K304" s="60" t="n">
        <x:v>0</x:v>
      </x:c>
      <x:c r="L304" s="60" t="n">
        <x:v>0.00043809389999999995</x:v>
      </x:c>
      <x:c r="M304" s="60" t="n">
        <x:v>0</x:v>
      </x:c>
      <x:c r="N304" s="46" t="str">
        <x:v>littorina</x:v>
      </x:c>
      <x:c r="O304" s="62" t="n">
        <x:v>2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Littorina</x:v>
      </x:c>
      <x:c r="T304" s="62" t="n">
        <x:f>IF(O304="","",(1/'Metadata'!$B$5)^(O304-1))</x:f>
        <x:v>20</x:v>
      </x:c>
      <x:c r="U304" s="60" t="n">
        <x:f>IF(T304="","",I304*T304)</x:f>
        <x:v>0.008761877999999999</x:v>
      </x:c>
    </x:row>
    <x:row r="305" ht="18" customHeight="1">
      <x:c r="A305" s="46" t="str">
        <x:v>LME_022</x:v>
      </x:c>
      <x:c r="B305" s="46" t="str">
        <x:v>North Sea</x:v>
      </x:c>
      <x:c r="C305" s="46" t="str">
        <x:v>LME</x:v>
      </x:c>
      <x:c r="D305" s="58" t="n">
        <x:v>2019</x:v>
      </x:c>
      <x:c r="E305" s="46" t="str">
        <x:v>Lamnidae</x:v>
      </x:c>
      <x:c r="F305" s="46" t="str">
        <x:v>Mackerel/white sharks</x:v>
      </x:c>
      <x:c r="G305" s="46" t="str">
        <x:v>Large sharks (&gt;=90 cm)</x:v>
      </x:c>
      <x:c r="H305" s="46" t="str">
        <x:v>Sharks &amp; rays</x:v>
      </x:c>
      <x:c r="I305" s="60" t="n">
        <x:v>0.0003626479</x:v>
      </x:c>
      <x:c r="J305" s="60" t="n">
        <x:v>0.0003626479</x:v>
      </x:c>
      <x:c r="K305" s="60" t="n">
        <x:v>0</x:v>
      </x:c>
      <x:c r="L305" s="60" t="n">
        <x:v>0.0003626479</x:v>
      </x:c>
      <x:c r="M305" s="60" t="n">
        <x:v>0</x:v>
      </x:c>
      <x:c r="N305" s="46" t="str">
        <x:v>lamnidae</x:v>
      </x:c>
      <x:c r="O305" s="62" t="n">
        <x:v>4.5</x:v>
      </x:c>
      <x:c r="P305" s="46" t="str">
        <x:v>exact_sea_around_us</x:v>
      </x:c>
      <x:c r="Q305" s="62" t="str">
        <x:v>Sea Around Us exploited organisms</x:v>
      </x:c>
      <x:c r="R305" s="46" t="str">
        <x:v>high</x:v>
      </x:c>
      <x:c r="S305" s="46" t="str">
        <x:v>Lamnidae</x:v>
      </x:c>
      <x:c r="T305" s="62" t="n">
        <x:f>IF(O305="","",(1/'Metadata'!$B$5)^(O305-1))</x:f>
        <x:v>35777.08763999664</x:v>
      </x:c>
      <x:c r="U305" s="60" t="n">
        <x:f>IF(T305="","",I305*T305)</x:f>
        <x:v>12.974485700760736</x:v>
      </x:c>
    </x:row>
    <x:row r="306" ht="18" customHeight="1">
      <x:c r="A306" s="46" t="str">
        <x:v>LME_022</x:v>
      </x:c>
      <x:c r="B306" s="46" t="str">
        <x:v>North Sea</x:v>
      </x:c>
      <x:c r="C306" s="46" t="str">
        <x:v>LME</x:v>
      </x:c>
      <x:c r="D306" s="58" t="n">
        <x:v>2019</x:v>
      </x:c>
      <x:c r="E306" s="46" t="str">
        <x:v>Mallotus villosus</x:v>
      </x:c>
      <x:c r="F306" s="46" t="str">
        <x:v>Capelin</x:v>
      </x:c>
      <x:c r="G306" s="46" t="str">
        <x:v>Small pelagics (&lt;30 cm)</x:v>
      </x:c>
      <x:c r="H306" s="46" t="str">
        <x:v>Salmon, smelts, etc</x:v>
      </x:c>
      <x:c r="I306" s="60" t="n">
        <x:v>0.0001572302</x:v>
      </x:c>
      <x:c r="J306" s="60" t="n">
        <x:v>0.0001572302</x:v>
      </x:c>
      <x:c r="K306" s="60" t="n">
        <x:v>0</x:v>
      </x:c>
      <x:c r="L306" s="60" t="n">
        <x:v>0.0001572302</x:v>
      </x:c>
      <x:c r="M306" s="60" t="n">
        <x:v>0</x:v>
      </x:c>
      <x:c r="N306" s="46" t="str">
        <x:v>mallotus villosus</x:v>
      </x:c>
      <x:c r="O306" s="62" t="n">
        <x:v>3.15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Mallotus villosus</x:v>
      </x:c>
      <x:c r="T306" s="62" t="n">
        <x:f>IF(O306="","",(1/'Metadata'!$B$5)^(O306-1))</x:f>
        <x:v>626.9234150652317</x:v>
      </x:c>
      <x:c r="U306" s="60" t="n">
        <x:f>IF(T306="","",I306*T306)</x:f>
        <x:v>0.09857129393538938</x:v>
      </x:c>
    </x:row>
    <x:row r="307" ht="18" customHeight="1">
      <x:c r="A307" s="46" t="str">
        <x:v>LME_022</x:v>
      </x:c>
      <x:c r="B307" s="46" t="str">
        <x:v>North Sea</x:v>
      </x:c>
      <x:c r="C307" s="46" t="str">
        <x:v>LME</x:v>
      </x:c>
      <x:c r="D307" s="58" t="n">
        <x:v>2019</x:v>
      </x:c>
      <x:c r="E307" s="46" t="str">
        <x:v>Ostreidae</x:v>
      </x:c>
      <x:c r="F307" s="46" t="str">
        <x:v>True oysters</x:v>
      </x:c>
      <x:c r="G307" s="46" t="str">
        <x:v>Other demersal invertebrates</x:v>
      </x:c>
      <x:c r="H307" s="46" t="str">
        <x:v>Molluscs</x:v>
      </x:c>
      <x:c r="I307" s="60" t="n">
        <x:v>0.0001415771</x:v>
      </x:c>
      <x:c r="J307" s="60" t="n">
        <x:v>0.0001415771</x:v>
      </x:c>
      <x:c r="K307" s="60" t="n">
        <x:v>0</x:v>
      </x:c>
      <x:c r="L307" s="60" t="n">
        <x:v>0</x:v>
      </x:c>
      <x:c r="M307" s="60" t="n">
        <x:v>0.0001415771</x:v>
      </x:c>
      <x:c r="N307" s="46" t="str">
        <x:v>ostreidae</x:v>
      </x:c>
      <x:c r="O307" s="62" t="n">
        <x:v>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Ostreidae</x:v>
      </x:c>
      <x:c r="T307" s="62" t="n">
        <x:f>IF(O307="","",(1/'Metadata'!$B$5)^(O307-1))</x:f>
        <x:v>20</x:v>
      </x:c>
      <x:c r="U307" s="60" t="n">
        <x:f>IF(T307="","",I307*T307)</x:f>
        <x:v>0.002831542</x:v>
      </x:c>
    </x:row>
    <x:row r="308" ht="18" customHeight="1">
      <x:c r="A308" s="46" t="str">
        <x:v>LME_022</x:v>
      </x:c>
      <x:c r="B308" s="46" t="str">
        <x:v>North Sea</x:v>
      </x:c>
      <x:c r="C308" s="46" t="str">
        <x:v>LME</x:v>
      </x:c>
      <x:c r="D308" s="58" t="n">
        <x:v>2019</x:v>
      </x:c>
      <x:c r="E308" s="46" t="str">
        <x:v>Merluccius</x:v>
      </x:c>
      <x:c r="F308" s="46" t="str">
        <x:v>Hakes</x:v>
      </x:c>
      <x:c r="G308" s="46" t="str">
        <x:v>Medium bathydemersals (30 - 89 cm)</x:v>
      </x:c>
      <x:c r="H308" s="46" t="str">
        <x:v>Cod-likes</x:v>
      </x:c>
      <x:c r="I308" s="60" t="n">
        <x:v>0.0000925858</x:v>
      </x:c>
      <x:c r="J308" s="60" t="n">
        <x:v>0.0000925858</x:v>
      </x:c>
      <x:c r="K308" s="60" t="n">
        <x:v>0</x:v>
      </x:c>
      <x:c r="L308" s="60" t="n">
        <x:v>0.0000925858</x:v>
      </x:c>
      <x:c r="M308" s="60" t="n">
        <x:v>0</x:v>
      </x:c>
      <x:c r="N308" s="46" t="str">
        <x:v>merluccius</x:v>
      </x:c>
      <x:c r="O308" s="62" t="n">
        <x:v>4.27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Merluccius</x:v>
      </x:c>
      <x:c r="T308" s="62" t="n">
        <x:f>IF(O308="","",(1/'Metadata'!$B$5)^(O308-1))</x:f>
        <x:v>17962.55396184286</x:v>
      </x:c>
      <x:c r="U308" s="60" t="n">
        <x:f>IF(T308="","",I308*T308)</x:f>
        <x:v>1.6630774286003907</x:v>
      </x:c>
    </x:row>
    <x:row r="309" ht="18" customHeight="1">
      <x:c r="A309" s="46" t="str">
        <x:v>LME_022</x:v>
      </x:c>
      <x:c r="B309" s="46" t="str">
        <x:v>North Sea</x:v>
      </x:c>
      <x:c r="C309" s="46" t="str">
        <x:v>LME</x:v>
      </x:c>
      <x:c r="D309" s="58" t="n">
        <x:v>2019</x:v>
      </x:c>
      <x:c r="E309" s="46" t="str">
        <x:v>Pandalidae</x:v>
      </x:c>
      <x:c r="F309" s="46" t="str">
        <x:v>Northern shrimps</x:v>
      </x:c>
      <x:c r="G309" s="46" t="str">
        <x:v>Shrimps</x:v>
      </x:c>
      <x:c r="H309" s="46" t="str">
        <x:v>Crustaceans</x:v>
      </x:c>
      <x:c r="I309" s="60" t="n">
        <x:v>0.00008782589999999999</x:v>
      </x:c>
      <x:c r="J309" s="60" t="n">
        <x:v>0.00008782589999999999</x:v>
      </x:c>
      <x:c r="K309" s="60" t="n">
        <x:v>0</x:v>
      </x:c>
      <x:c r="L309" s="60" t="n">
        <x:v>0.00008782589999999999</x:v>
      </x:c>
      <x:c r="M309" s="60" t="n">
        <x:v>0</x:v>
      </x:c>
      <x:c r="N309" s="46" t="str">
        <x:v>pandalidae</x:v>
      </x:c>
      <x:c r="O309" s="62" t="n">
        <x:v>2.7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Pandalidae</x:v>
      </x:c>
      <x:c r="T309" s="62" t="n">
        <x:f>IF(O309="","",(1/'Metadata'!$B$5)^(O309-1))</x:f>
        <x:v>162.83621261476185</x:v>
      </x:c>
      <x:c r="U309" s="60" t="n">
        <x:f>IF(T309="","",I309*T309)</x:f>
        <x:v>0.01430123692548281</x:v>
      </x:c>
    </x:row>
    <x:row r="310" ht="18" customHeight="1">
      <x:c r="A310" s="46" t="str">
        <x:v>LME_022</x:v>
      </x:c>
      <x:c r="B310" s="46" t="str">
        <x:v>North Sea</x:v>
      </x:c>
      <x:c r="C310" s="46" t="str">
        <x:v>LME</x:v>
      </x:c>
      <x:c r="D310" s="58" t="n">
        <x:v>2019</x:v>
      </x:c>
      <x:c r="E310" s="46" t="str">
        <x:v>Ruditapes</x:v>
      </x:c>
      <x:c r="F310" s="46" t="str">
        <x:v>Carpet shells</x:v>
      </x:c>
      <x:c r="G310" s="46" t="str">
        <x:v>Other demersal invertebrates</x:v>
      </x:c>
      <x:c r="H310" s="46" t="str">
        <x:v>Molluscs</x:v>
      </x:c>
      <x:c r="I310" s="60" t="n">
        <x:v>0.0000838831</x:v>
      </x:c>
      <x:c r="J310" s="60" t="n">
        <x:v>0.0000838831</x:v>
      </x:c>
      <x:c r="K310" s="60" t="n">
        <x:v>0</x:v>
      </x:c>
      <x:c r="L310" s="60" t="n">
        <x:v>0</x:v>
      </x:c>
      <x:c r="M310" s="60" t="n">
        <x:v>0.0000838831</x:v>
      </x:c>
      <x:c r="N310" s="46" t="str">
        <x:v>ruditapes</x:v>
      </x:c>
      <x:c r="O310" s="62" t="n">
        <x:v>2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Ruditapes</x:v>
      </x:c>
      <x:c r="T310" s="62" t="n">
        <x:f>IF(O310="","",(1/'Metadata'!$B$5)^(O310-1))</x:f>
        <x:v>20</x:v>
      </x:c>
      <x:c r="U310" s="60" t="n">
        <x:f>IF(T310="","",I310*T310)</x:f>
        <x:v>0.0016776620000000001</x:v>
      </x:c>
    </x:row>
    <x:row r="311" ht="18" customHeight="1">
      <x:c r="A311" s="46" t="str">
        <x:v>LME_022</x:v>
      </x:c>
      <x:c r="B311" s="46" t="str">
        <x:v>North Sea</x:v>
      </x:c>
      <x:c r="C311" s="46" t="str">
        <x:v>LME</x:v>
      </x:c>
      <x:c r="D311" s="58" t="n">
        <x:v>2019</x:v>
      </x:c>
      <x:c r="E311" s="46" t="str">
        <x:v>Crassostrea</x:v>
      </x:c>
      <x:c r="F311" s="46" t="str">
        <x:v>Cupped oysters</x:v>
      </x:c>
      <x:c r="G311" s="46" t="str">
        <x:v>Other demersal invertebrates</x:v>
      </x:c>
      <x:c r="H311" s="46" t="str">
        <x:v>Molluscs</x:v>
      </x:c>
      <x:c r="I311" s="60" t="n">
        <x:v>0.0000368333</x:v>
      </x:c>
      <x:c r="J311" s="60" t="n">
        <x:v>0.0000368333</x:v>
      </x:c>
      <x:c r="K311" s="60" t="n">
        <x:v>0</x:v>
      </x:c>
      <x:c r="L311" s="60" t="n">
        <x:v>0.0000368333</x:v>
      </x:c>
      <x:c r="M311" s="60" t="n">
        <x:v>0</x:v>
      </x:c>
      <x:c r="N311" s="46" t="str">
        <x:v>crassostrea</x:v>
      </x:c>
      <x:c r="O311" s="62" t="n">
        <x:v>2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Crassostrea</x:v>
      </x:c>
      <x:c r="T311" s="62" t="n">
        <x:f>IF(O311="","",(1/'Metadata'!$B$5)^(O311-1))</x:f>
        <x:v>20</x:v>
      </x:c>
      <x:c r="U311" s="60" t="n">
        <x:f>IF(T311="","",I311*T311)</x:f>
        <x:v>0.000736666</x:v>
      </x:c>
    </x:row>
    <x:row r="312" ht="18" customHeight="1">
      <x:c r="A312" s="46" t="str">
        <x:v>LME_022</x:v>
      </x:c>
      <x:c r="B312" s="46" t="str">
        <x:v>North Sea</x:v>
      </x:c>
      <x:c r="C312" s="46" t="str">
        <x:v>LME</x:v>
      </x:c>
      <x:c r="D312" s="58" t="n">
        <x:v>2019</x:v>
      </x:c>
      <x:c r="E312" s="46" t="str">
        <x:v>Dicentrarchus punctatus</x:v>
      </x:c>
      <x:c r="F312" s="46" t="str">
        <x:v>Spotted seabass</x:v>
      </x:c>
      <x:c r="G312" s="46" t="str">
        <x:v>Medium pelagics (30 - 89 cm)</x:v>
      </x:c>
      <x:c r="H312" s="46" t="str">
        <x:v>Perch-likes</x:v>
      </x:c>
      <x:c r="I312" s="60" t="n">
        <x:v>0.0000098654</x:v>
      </x:c>
      <x:c r="J312" s="60" t="n">
        <x:v>0.0000098654</x:v>
      </x:c>
      <x:c r="K312" s="60" t="n">
        <x:v>0</x:v>
      </x:c>
      <x:c r="L312" s="60" t="n">
        <x:v>0.0000098654</x:v>
      </x:c>
      <x:c r="M312" s="60" t="n">
        <x:v>0</x:v>
      </x:c>
      <x:c r="N312" s="46" t="str">
        <x:v>dicentrarchus punctatus</x:v>
      </x:c>
      <x:c r="O312" s="62" t="n">
        <x:v>3.94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Dicentrarchus punctatus</x:v>
      </x:c>
      <x:c r="T312" s="62" t="n">
        <x:f>IF(O312="","",(1/'Metadata'!$B$5)^(O312-1))</x:f>
        <x:v>6683.872968668722</x:v>
      </x:c>
      <x:c r="U312" s="60" t="n">
        <x:f>IF(T312="","",I312*T312)</x:f>
        <x:v>0.06593908038510442</x:v>
      </x:c>
    </x:row>
    <x:row r="313" ht="18" customHeight="1">
      <x:c r="A313" s="46" t="str">
        <x:v>LME_022</x:v>
      </x:c>
      <x:c r="B313" s="46" t="str">
        <x:v>North Sea</x:v>
      </x:c>
      <x:c r="C313" s="46" t="str">
        <x:v>LME</x:v>
      </x:c>
      <x:c r="D313" s="58" t="n">
        <x:v>2019</x:v>
      </x:c>
      <x:c r="E313" s="46" t="str">
        <x:v>Dicentrarchus</x:v>
      </x:c>
      <x:c r="F313" s="46" t="str">
        <x:v>Seabasses</x:v>
      </x:c>
      <x:c r="G313" s="46" t="str">
        <x:v>Large demersals (&gt;=90 cm)</x:v>
      </x:c>
      <x:c r="H313" s="46" t="str">
        <x:v>Perch-likes</x:v>
      </x:c>
      <x:c r="I313" s="60" t="n">
        <x:v>0.0000042568</x:v>
      </x:c>
      <x:c r="J313" s="60" t="n">
        <x:v>0.0000042568</x:v>
      </x:c>
      <x:c r="K313" s="60" t="n">
        <x:v>0</x:v>
      </x:c>
      <x:c r="L313" s="60" t="n">
        <x:v>0.0000042568</x:v>
      </x:c>
      <x:c r="M313" s="60" t="n">
        <x:v>0</x:v>
      </x:c>
      <x:c r="N313" s="46" t="str">
        <x:v>dicentrarchus</x:v>
      </x:c>
      <x:c r="O313" s="62" t="n">
        <x:v>3.94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Dicentrarchus</x:v>
      </x:c>
      <x:c r="T313" s="62" t="n">
        <x:f>IF(O313="","",(1/'Metadata'!$B$5)^(O313-1))</x:f>
        <x:v>6683.872968668722</x:v>
      </x:c>
      <x:c r="U313" s="60" t="n">
        <x:f>IF(T313="","",I313*T313)</x:f>
        <x:v>0.028451910453029014</x:v>
      </x:c>
    </x:row>
  </x:sheetData>
  <x:conditionalFormatting sqref="R2:R3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428157737b244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44.1975200296</x:v>
      </x:c>
      <x:c r="E2" s="60" t="n">
        <x:v>44.1975200296</x:v>
      </x:c>
      <x:c r="F2" s="62" t="n">
        <x:v>0</x:v>
      </x:c>
      <x:c r="G2" s="66" t="n">
        <x:v>1</x:v>
      </x:c>
      <x:c r="H2" s="62" t="n">
        <x:f>IF(E2=0,"",I2/E2)</x:f>
        <x:v>556.1261167405597</x:v>
      </x:c>
      <x:c r="I2" s="60" t="n">
        <x:f>SUMIF('Species'!$H$2:$H$313,A2,'Species'!$U$2:$U$313)</x:f>
        <x:v>24579.395183624558</x:v>
      </x:c>
      <x:c r="J2" s="62" t="n">
        <x:v>3.11</x:v>
      </x:c>
      <x:c r="K2" s="62" t="n">
        <x:f>IF(J2="","",(1/'Metadata'!$B$5)^(J2-1))</x:f>
        <x:v>556.1261167405597</x:v>
      </x:c>
      <x:c r="L2" s="60" t="n">
        <x:f>IF(E2=0,"",E2*K2)</x:f>
        <x:v>24579.395183624558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28</x:v>
      </x:c>
      <x:c r="C3" s="64" t="n">
        <x:v>28</x:v>
      </x:c>
      <x:c r="D3" s="60" t="n">
        <x:v>804817.8387178982</x:v>
      </x:c>
      <x:c r="E3" s="60" t="n">
        <x:v>804817.8387178982</x:v>
      </x:c>
      <x:c r="F3" s="62" t="n">
        <x:v>0</x:v>
      </x:c>
      <x:c r="G3" s="66" t="n">
        <x:v>1</x:v>
      </x:c>
      <x:c r="H3" s="62" t="n">
        <x:f>IF(E3=0,"",I3/E3)</x:f>
        <x:v>13215.844486633578</x:v>
      </x:c>
      <x:c r="I3" s="60" t="n">
        <x:f>SUMIF('Species'!$H$2:$H$313,A3,'Species'!$U$2:$U$313)</x:f>
        <x:v>10636347396.564287</x:v>
      </x:c>
      <x:c r="J3" s="62" t="n">
        <x:v>4.089373948458418</x:v>
      </x:c>
      <x:c r="K3" s="62" t="n">
        <x:f>IF(J3="","",(1/'Metadata'!$B$5)^(J3-1))</x:f>
        <x:v>10456.06260203429</x:v>
      </x:c>
      <x:c r="L3" s="60" t="n">
        <x:f>IF(E3=0,"",E3*K3)</x:f>
        <x:v>8415225704.86828</x:v>
      </x:c>
      <x:c r="M3" s="60" t="n">
        <x:f>I3-L3</x:f>
        <x:v>2221121691.696007</x:v>
      </x:c>
      <x:c r="N3" s="62" t="n">
        <x:f>IF(L3=0,"",I3/L3)</x:f>
        <x:v>1.2639408341015819</x:v>
      </x:c>
      <x:c r="O3" s="66" t="n">
        <x:f>IF(L3=0,"",M3/L3)</x:f>
        <x:v>0.2639408341015819</x:v>
      </x:c>
    </x:row>
    <x:row r="4" ht="18" customHeight="1">
      <x:c r="A4" s="46" t="str">
        <x:v>Crustaceans</x:v>
      </x:c>
      <x:c r="B4" s="64" t="n">
        <x:v>26</x:v>
      </x:c>
      <x:c r="C4" s="64" t="n">
        <x:v>26</x:v>
      </x:c>
      <x:c r="D4" s="60" t="n">
        <x:v>106858.8179571575</x:v>
      </x:c>
      <x:c r="E4" s="60" t="n">
        <x:v>106858.8179571575</x:v>
      </x:c>
      <x:c r="F4" s="62" t="n">
        <x:v>0</x:v>
      </x:c>
      <x:c r="G4" s="66" t="n">
        <x:v>1</x:v>
      </x:c>
      <x:c r="H4" s="62" t="n">
        <x:f>IF(E4=0,"",I4/E4)</x:f>
        <x:v>588.1443365578815</x:v>
      </x:c>
      <x:c r="I4" s="60" t="n">
        <x:f>SUMIF('Species'!$H$2:$H$313,A4,'Species'!$U$2:$U$313)</x:f>
        <x:v>62848408.59277183</x:v>
      </x:c>
      <x:c r="J4" s="62" t="n">
        <x:v>3.075891256664645</x:v>
      </x:c>
      <x:c r="K4" s="62" t="n">
        <x:f>IF(J4="","",(1/'Metadata'!$B$5)^(J4-1))</x:f>
        <x:v>502.1075973015315</x:v>
      </x:c>
      <x:c r="L4" s="60" t="n">
        <x:f>IF(E4=0,"",E4*K4)</x:f>
        <x:v>53654624.3349501</x:v>
      </x:c>
      <x:c r="M4" s="60" t="n">
        <x:f>I4-L4</x:f>
        <x:v>9193784.257821731</x:v>
      </x:c>
      <x:c r="N4" s="62" t="n">
        <x:f>IF(L4=0,"",I4/L4)</x:f>
        <x:v>1.1713511998598225</x:v>
      </x:c>
      <x:c r="O4" s="66" t="n">
        <x:f>IF(L4=0,"",M4/L4)</x:f>
        <x:v>0.17135119985982253</x:v>
      </x:c>
    </x:row>
    <x:row r="5" ht="18" customHeight="1">
      <x:c r="A5" s="46" t="str">
        <x:v>Flatfishes</x:v>
      </x:c>
      <x:c r="B5" s="64" t="n">
        <x:v>22</x:v>
      </x:c>
      <x:c r="C5" s="64" t="n">
        <x:v>22</x:v>
      </x:c>
      <x:c r="D5" s="60" t="n">
        <x:v>165666.69996181587</x:v>
      </x:c>
      <x:c r="E5" s="60" t="n">
        <x:v>165666.69996181587</x:v>
      </x:c>
      <x:c r="F5" s="62" t="n">
        <x:v>0</x:v>
      </x:c>
      <x:c r="G5" s="66" t="n">
        <x:v>1</x:v>
      </x:c>
      <x:c r="H5" s="62" t="n">
        <x:f>IF(E5=0,"",I5/E5)</x:f>
        <x:v>3515.6643745123506</x:v>
      </x:c>
      <x:c r="I5" s="60" t="n">
        <x:f>SUMIF('Species'!$H$2:$H$313,A5,'Species'!$U$2:$U$313)</x:f>
        <x:v>582428515.0987827</x:v>
      </x:c>
      <x:c r="J5" s="62" t="n">
        <x:v>3.3920230206599467</x:v>
      </x:c>
      <x:c r="K5" s="62" t="n">
        <x:f>IF(J5="","",(1/'Metadata'!$B$5)^(J5-1))</x:f>
        <x:v>1294.475097792234</x:v>
      </x:c>
      <x:c r="L5" s="60" t="n">
        <x:f>IF(E5=0,"",E5*K5)</x:f>
        <x:v>214451417.6339883</x:v>
      </x:c>
      <x:c r="M5" s="60" t="n">
        <x:f>I5-L5</x:f>
        <x:v>367977097.4647944</x:v>
      </x:c>
      <x:c r="N5" s="62" t="n">
        <x:f>IF(L5=0,"",I5/L5)</x:f>
        <x:v>2.715899580075678</x:v>
      </x:c>
      <x:c r="O5" s="66" t="n">
        <x:f>IF(L5=0,"",M5/L5)</x:f>
        <x:v>1.7158995800756782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914865.848949436</x:v>
      </x:c>
      <x:c r="E6" s="60" t="n">
        <x:v>914865.848949436</x:v>
      </x:c>
      <x:c r="F6" s="62" t="n">
        <x:v>0</x:v>
      </x:c>
      <x:c r="G6" s="66" t="n">
        <x:v>1</x:v>
      </x:c>
      <x:c r="H6" s="62" t="n">
        <x:f>IF(E6=0,"",I6/E6)</x:f>
        <x:v>1120.532313589122</x:v>
      </x:c>
      <x:c r="I6" s="60" t="n">
        <x:f>SUMIF('Species'!$H$2:$H$313,A6,'Species'!$U$2:$U$313)</x:f>
        <x:v>1025136746.3469877</x:v>
      </x:c>
      <x:c r="J6" s="62" t="n">
        <x:v>3.323350792572964</x:v>
      </x:c>
      <x:c r="K6" s="62" t="n">
        <x:f>IF(J6="","",(1/'Metadata'!$B$5)^(J6-1))</x:f>
        <x:v>1053.7778644499458</x:v>
      </x:c>
      <x:c r="L6" s="60" t="n">
        <x:f>IF(E6=0,"",E6*K6)</x:f>
        <x:v>964065380.5641234</x:v>
      </x:c>
      <x:c r="M6" s="60" t="n">
        <x:f>I6-L6</x:f>
        <x:v>61071365.78286433</x:v>
      </x:c>
      <x:c r="N6" s="62" t="n">
        <x:f>IF(L6=0,"",I6/L6)</x:f>
        <x:v>1.0633477428129703</x:v>
      </x:c>
      <x:c r="O6" s="66" t="n">
        <x:f>IF(L6=0,"",M6/L6)</x:f>
        <x:v>0.0633477428129702</x:v>
      </x:c>
    </x:row>
    <x:row r="7" ht="18" customHeight="1">
      <x:c r="A7" s="46" t="str">
        <x:v>Molluscs</x:v>
      </x:c>
      <x:c r="B7" s="64" t="n">
        <x:v>38</x:v>
      </x:c>
      <x:c r="C7" s="64" t="n">
        <x:v>38</x:v>
      </x:c>
      <x:c r="D7" s="60" t="n">
        <x:v>72701.2747054144</x:v>
      </x:c>
      <x:c r="E7" s="60" t="n">
        <x:v>72701.2747054144</x:v>
      </x:c>
      <x:c r="F7" s="62" t="n">
        <x:v>0</x:v>
      </x:c>
      <x:c r="G7" s="66" t="n">
        <x:v>1</x:v>
      </x:c>
      <x:c r="H7" s="62" t="n">
        <x:f>IF(E7=0,"",I7/E7)</x:f>
        <x:v>398.7924656853017</x:v>
      </x:c>
      <x:c r="I7" s="60" t="n">
        <x:f>SUMIF('Species'!$H$2:$H$313,A7,'Species'!$U$2:$U$313)</x:f>
        <x:v>28992720.59823666</x:v>
      </x:c>
      <x:c r="J7" s="62" t="n">
        <x:v>2.179530293743841</x:v>
      </x:c>
      <x:c r="K7" s="62" t="n">
        <x:f>IF(J7="","",(1/'Metadata'!$B$5)^(J7-1))</x:f>
        <x:v>34.24556162100175</x:v>
      </x:c>
      <x:c r="L7" s="60" t="n">
        <x:f>IF(E7=0,"",E7*K7)</x:f>
        <x:v>2489695.9828496445</x:v>
      </x:c>
      <x:c r="M7" s="60" t="n">
        <x:f>I7-L7</x:f>
        <x:v>26503024.615387015</x:v>
      </x:c>
      <x:c r="N7" s="62" t="n">
        <x:f>IF(L7=0,"",I7/L7)</x:f>
        <x:v>11.645084700282284</x:v>
      </x:c>
      <x:c r="O7" s="66" t="n">
        <x:f>IF(L7=0,"",M7/L7)</x:f>
        <x:v>10.645084700282284</x:v>
      </x:c>
    </x:row>
    <x:row r="8" ht="18" customHeight="1">
      <x:c r="A8" s="46" t="str">
        <x:v>Other fishes &amp; inverts</x:v>
      </x:c>
      <x:c r="B8" s="64" t="n">
        <x:v>52</x:v>
      </x:c>
      <x:c r="C8" s="64" t="n">
        <x:v>52</x:v>
      </x:c>
      <x:c r="D8" s="60" t="n">
        <x:v>340332.64567051164</x:v>
      </x:c>
      <x:c r="E8" s="60" t="n">
        <x:v>340332.64567051164</x:v>
      </x:c>
      <x:c r="F8" s="62" t="n">
        <x:v>0</x:v>
      </x:c>
      <x:c r="G8" s="66" t="n">
        <x:v>1</x:v>
      </x:c>
      <x:c r="H8" s="62" t="n">
        <x:f>IF(E8=0,"",I8/E8)</x:f>
        <x:v>2226.427172517636</x:v>
      </x:c>
      <x:c r="I8" s="60" t="n">
        <x:f>SUMIF('Species'!$H$2:$H$313,A8,'Species'!$U$2:$U$313)</x:f>
        <x:v>757725850.0156436</x:v>
      </x:c>
      <x:c r="J8" s="62" t="n">
        <x:v>3.332997353098918</x:v>
      </x:c>
      <x:c r="K8" s="62" t="n">
        <x:f>IF(J8="","",(1/'Metadata'!$B$5)^(J8-1))</x:f>
        <x:v>1084.6747644750294</x:v>
      </x:c>
      <x:c r="L8" s="60" t="n">
        <x:f>IF(E8=0,"",E8*K8)</x:f>
        <x:v>369150232.28582585</x:v>
      </x:c>
      <x:c r="M8" s="60" t="n">
        <x:f>I8-L8</x:f>
        <x:v>388575617.72981775</x:v>
      </x:c>
      <x:c r="N8" s="62" t="n">
        <x:f>IF(L8=0,"",I8/L8)</x:f>
        <x:v>2.0526218968459196</x:v>
      </x:c>
      <x:c r="O8" s="66" t="n">
        <x:f>IF(L8=0,"",M8/L8)</x:f>
        <x:v>1.0526218968459193</x:v>
      </x:c>
    </x:row>
    <x:row r="9" ht="18" customHeight="1">
      <x:c r="A9" s="46" t="str">
        <x:v>Perch-likes</x:v>
      </x:c>
      <x:c r="B9" s="64" t="n">
        <x:v>62</x:v>
      </x:c>
      <x:c r="C9" s="64" t="n">
        <x:v>62</x:v>
      </x:c>
      <x:c r="D9" s="60" t="n">
        <x:v>276364.4962383876</x:v>
      </x:c>
      <x:c r="E9" s="60" t="n">
        <x:v>276364.4962383876</x:v>
      </x:c>
      <x:c r="F9" s="62" t="n">
        <x:v>0</x:v>
      </x:c>
      <x:c r="G9" s="66" t="n">
        <x:v>1</x:v>
      </x:c>
      <x:c r="H9" s="62" t="n">
        <x:f>IF(E9=0,"",I9/E9)</x:f>
        <x:v>2728.0014174125945</x:v>
      </x:c>
      <x:c r="I9" s="60" t="n">
        <x:f>SUMIF('Species'!$H$2:$H$313,A9,'Species'!$U$2:$U$313)</x:f>
        <x:v>753922737.460839</x:v>
      </x:c>
      <x:c r="J9" s="62" t="n">
        <x:v>3.6316991633069238</x:v>
      </x:c>
      <x:c r="K9" s="62" t="n">
        <x:f>IF(J9="","",(1/'Metadata'!$B$5)^(J9-1))</x:f>
        <x:v>2654.113866769536</x:v>
      </x:c>
      <x:c r="L9" s="60" t="n">
        <x:f>IF(E9=0,"",E9*K9)</x:f>
        <x:v>733502841.7490817</x:v>
      </x:c>
      <x:c r="M9" s="60" t="n">
        <x:f>I9-L9</x:f>
        <x:v>20419895.711757302</x:v>
      </x:c>
      <x:c r="N9" s="62" t="n">
        <x:f>IF(L9=0,"",I9/L9)</x:f>
        <x:v>1.0278388774378362</x:v>
      </x:c>
      <x:c r="O9" s="66" t="n">
        <x:f>IF(L9=0,"",M9/L9)</x:f>
        <x:v>0.027838877437836272</x:v>
      </x:c>
    </x:row>
    <x:row r="10" ht="18" customHeight="1">
      <x:c r="A10" s="46" t="str">
        <x:v>Salmon, smelts, etc</x:v>
      </x:c>
      <x:c r="B10" s="64" t="n">
        <x:v>11</x:v>
      </x:c>
      <x:c r="C10" s="64" t="n">
        <x:v>11</x:v>
      </x:c>
      <x:c r="D10" s="60" t="n">
        <x:v>1813.3627320183</x:v>
      </x:c>
      <x:c r="E10" s="60" t="n">
        <x:v>1813.3627320183</x:v>
      </x:c>
      <x:c r="F10" s="62" t="n">
        <x:v>0</x:v>
      </x:c>
      <x:c r="G10" s="66" t="n">
        <x:v>1</x:v>
      </x:c>
      <x:c r="H10" s="62" t="n">
        <x:f>IF(E10=0,"",I10/E10)</x:f>
        <x:v>1511.9653883250096</x:v>
      </x:c>
      <x:c r="I10" s="60" t="n">
        <x:f>SUMIF('Species'!$H$2:$H$313,A10,'Species'!$U$2:$U$313)</x:f>
        <x:v>2741741.6872901493</x:v>
      </x:c>
      <x:c r="J10" s="62" t="n">
        <x:v>3.397283884721646</x:v>
      </x:c>
      <x:c r="K10" s="62" t="n">
        <x:f>IF(J10="","",(1/'Metadata'!$B$5)^(J10-1))</x:f>
        <x:v>1315.0378169451087</x:v>
      </x:c>
      <x:c r="L10" s="60" t="n">
        <x:f>IF(E10=0,"",E10*K10)</x:f>
        <x:v>2384640.5684429635</x:v>
      </x:c>
      <x:c r="M10" s="60" t="n">
        <x:f>I10-L10</x:f>
        <x:v>357101.11884718575</x:v>
      </x:c>
      <x:c r="N10" s="62" t="n">
        <x:f>IF(L10=0,"",I10/L10)</x:f>
        <x:v>1.1497505005881674</x:v>
      </x:c>
      <x:c r="O10" s="66" t="n">
        <x:f>IF(L10=0,"",M10/L10)</x:f>
        <x:v>0.14975050058816736</x:v>
      </x:c>
    </x:row>
    <x:row r="11" ht="18" customHeight="1">
      <x:c r="A11" s="46" t="str">
        <x:v>Scorpionfishes</x:v>
      </x:c>
      <x:c r="B11" s="64" t="n">
        <x:v>17</x:v>
      </x:c>
      <x:c r="C11" s="64" t="n">
        <x:v>17</x:v>
      </x:c>
      <x:c r="D11" s="60" t="n">
        <x:v>27373.5584482724</x:v>
      </x:c>
      <x:c r="E11" s="60" t="n">
        <x:v>27373.5584482724</x:v>
      </x:c>
      <x:c r="F11" s="62" t="n">
        <x:v>0</x:v>
      </x:c>
      <x:c r="G11" s="66" t="n">
        <x:v>1</x:v>
      </x:c>
      <x:c r="H11" s="62" t="n">
        <x:f>IF(E11=0,"",I11/E11)</x:f>
        <x:v>7996.533733550631</x:v>
      </x:c>
      <x:c r="I11" s="60" t="n">
        <x:f>SUMIF('Species'!$H$2:$H$313,A11,'Species'!$U$2:$U$313)</x:f>
        <x:v>218893583.53893012</x:v>
      </x:c>
      <x:c r="J11" s="62" t="n">
        <x:v>3.9892037391582207</x:v>
      </x:c>
      <x:c r="K11" s="62" t="n">
        <x:f>IF(J11="","",(1/'Metadata'!$B$5)^(J11-1))</x:f>
        <x:v>7745.397799406921</x:v>
      </x:c>
      <x:c r="L11" s="60" t="n">
        <x:f>IF(E11=0,"",E11*K11)</x:f>
        <x:v>212019099.36718577</x:v>
      </x:c>
      <x:c r="M11" s="60" t="n">
        <x:f>I11-L11</x:f>
        <x:v>6874484.171744347</x:v>
      </x:c>
      <x:c r="N11" s="62" t="n">
        <x:f>IF(L11=0,"",I11/L11)</x:f>
        <x:v>1.0324238910186048</x:v>
      </x:c>
      <x:c r="O11" s="66" t="n">
        <x:f>IF(L11=0,"",M11/L11)</x:f>
        <x:v>0.03242389101860468</x:v>
      </x:c>
    </x:row>
    <x:row r="12" ht="18" customHeight="1">
      <x:c r="A12" s="46" t="str">
        <x:v>Sharks &amp; rays</x:v>
      </x:c>
      <x:c r="B12" s="64" t="n">
        <x:v>43</x:v>
      </x:c>
      <x:c r="C12" s="64" t="n">
        <x:v>43</x:v>
      </x:c>
      <x:c r="D12" s="60" t="n">
        <x:v>6345.645695917801</x:v>
      </x:c>
      <x:c r="E12" s="60" t="n">
        <x:v>6345.645695917801</x:v>
      </x:c>
      <x:c r="F12" s="62" t="n">
        <x:v>0</x:v>
      </x:c>
      <x:c r="G12" s="66" t="n">
        <x:v>1</x:v>
      </x:c>
      <x:c r="H12" s="62" t="n">
        <x:f>IF(E12=0,"",I12/E12)</x:f>
        <x:v>9264.312482917258</x:v>
      </x:c>
      <x:c r="I12" s="60" t="n">
        <x:f>SUMIF('Species'!$H$2:$H$313,A12,'Species'!$U$2:$U$313)</x:f>
        <x:v>58788044.63286145</x:v>
      </x:c>
      <x:c r="J12" s="62" t="n">
        <x:v>3.9939808937173495</x:v>
      </x:c>
      <x:c r="K12" s="62" t="n">
        <x:f>IF(J12="","",(1/'Metadata'!$B$5)^(J12-1))</x:f>
        <x:v>7857.0397293137285</x:v>
      </x:c>
      <x:c r="L12" s="60" t="n">
        <x:f>IF(E12=0,"",E12*K12)</x:f>
        <x:v>49857990.34097483</x:v>
      </x:c>
      <x:c r="M12" s="60" t="n">
        <x:f>I12-L12</x:f>
        <x:v>8930054.29188662</x:v>
      </x:c>
      <x:c r="N12" s="62" t="n">
        <x:f>IF(L12=0,"",I12/L12)</x:f>
        <x:v>1.1791097922482372</x:v>
      </x:c>
      <x:c r="O12" s="66" t="n">
        <x:f>IF(L12=0,"",M12/L12)</x:f>
        <x:v>0.17910979224823723</x:v>
      </x:c>
    </x:row>
    <x:row r="13" ht="18" customHeight="1">
      <x:c r="A13" s="46" t="str">
        <x:v>Tuna &amp; billfishes</x:v>
      </x:c>
      <x:c r="B13" s="64" t="n">
        <x:v>5</x:v>
      </x:c>
      <x:c r="C13" s="64" t="n">
        <x:v>5</x:v>
      </x:c>
      <x:c r="D13" s="60" t="n">
        <x:v>76.3116083112</x:v>
      </x:c>
      <x:c r="E13" s="60" t="n">
        <x:v>76.3116083112</x:v>
      </x:c>
      <x:c r="F13" s="62" t="n">
        <x:v>0</x:v>
      </x:c>
      <x:c r="G13" s="66" t="n">
        <x:v>1</x:v>
      </x:c>
      <x:c r="H13" s="62" t="n">
        <x:f>IF(E13=0,"",I13/E13)</x:f>
        <x:v>30742.884783503545</x:v>
      </x:c>
      <x:c r="I13" s="60" t="n">
        <x:f>SUMIF('Species'!$H$2:$H$313,A13,'Species'!$U$2:$U$313)</x:f>
        <x:v>2346038.9819550733</x:v>
      </x:c>
      <x:c r="J13" s="62" t="n">
        <x:v>4.446852922707688</x:v>
      </x:c>
      <x:c r="K13" s="62" t="n">
        <x:f>IF(J13="","",(1/'Metadata'!$B$5)^(J13-1))</x:f>
        <x:v>30511.18274425226</x:v>
      </x:c>
      <x:c r="L13" s="60" t="n">
        <x:f>IF(E13=0,"",E13*K13)</x:f>
        <x:v>2328357.426690823</x:v>
      </x:c>
      <x:c r="M13" s="60" t="n">
        <x:f>I13-L13</x:f>
        <x:v>17681.555264250375</x:v>
      </x:c>
      <x:c r="N13" s="62" t="n">
        <x:f>IF(L13=0,"",I13/L13)</x:f>
        <x:v>1.0075940038507663</x:v>
      </x:c>
      <x:c r="O13" s="66" t="n">
        <x:f>IF(L13=0,"",M13/L13)</x:f>
        <x:v>0.00759400385076628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e694bb91e1345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15</x:v>
      </x:c>
      <x:c r="C2" s="64" t="n">
        <x:v>15</x:v>
      </x:c>
      <x:c r="D2" s="60" t="n">
        <x:v>4742.9569126531005</x:v>
      </x:c>
      <x:c r="E2" s="60" t="n">
        <x:v>4742.9569126531005</x:v>
      </x:c>
      <x:c r="F2" s="62" t="n">
        <x:v>0</x:v>
      </x:c>
      <x:c r="G2" s="66" t="n">
        <x:v>1</x:v>
      </x:c>
      <x:c r="H2" s="62" t="n">
        <x:f>IF(E2=0,"",I2/E2)</x:f>
        <x:v>9467.54014164724</x:v>
      </x:c>
      <x:c r="I2" s="60" t="n">
        <x:f>SUMIF('Species'!$G$2:$G$313,A2,'Species'!$U$2:$U$313)</x:f>
        <x:v>44904134.96064649</x:v>
      </x:c>
      <x:c r="J2" s="62" t="n">
        <x:v>4.024133592753238</x:v>
      </x:c>
      <x:c r="K2" s="62" t="n">
        <x:f>IF(J2="","",(1/'Metadata'!$B$5)^(J2-1))</x:f>
        <x:v>8599.803243780076</x:v>
      </x:c>
      <x:c r="L2" s="60" t="n">
        <x:f>IF(E2=0,"",E2*K2)</x:f>
        <x:v>40788496.242543265</x:v>
      </x:c>
      <x:c r="M2" s="60" t="n">
        <x:f>I2-L2</x:f>
        <x:v>4115638.7181032225</x:v>
      </x:c>
      <x:c r="N2" s="62" t="n">
        <x:f>IF(L2=0,"",I2/L2)</x:f>
        <x:v>1.1009019477852318</x:v>
      </x:c>
      <x:c r="O2" s="66" t="n">
        <x:f>IF(L2=0,"",M2/L2)</x:f>
        <x:v>0.10090194778523176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4428.6411215408</x:v>
      </x:c>
      <x:c r="E3" s="60" t="n">
        <x:v>4428.6411215408</x:v>
      </x:c>
      <x:c r="F3" s="62" t="n">
        <x:v>0</x:v>
      </x:c>
      <x:c r="G3" s="66" t="n">
        <x:v>1</x:v>
      </x:c>
      <x:c r="H3" s="62" t="n">
        <x:f>IF(E3=0,"",I3/E3)</x:f>
        <x:v>29748.004516245295</x:v>
      </x:c>
      <x:c r="I3" s="60" t="n">
        <x:f>SUMIF('Species'!$G$2:$G$313,A3,'Species'!$U$2:$U$313)</x:f>
        <x:v>131743236.08442535</x:v>
      </x:c>
      <x:c r="J3" s="62" t="n">
        <x:v>4.436411057511771</x:v>
      </x:c>
      <x:c r="K3" s="62" t="n">
        <x:f>IF(J3="","",(1/'Metadata'!$B$5)^(J3-1))</x:f>
        <x:v>29571.534644144416</x:v>
      </x:c>
      <x:c r="L3" s="60" t="n">
        <x:f>IF(E3=0,"",E3*K3)</x:f>
        <x:v>130961714.35212635</x:v>
      </x:c>
      <x:c r="M3" s="60" t="n">
        <x:f>I3-L3</x:f>
        <x:v>781521.732299</x:v>
      </x:c>
      <x:c r="N3" s="62" t="n">
        <x:f>IF(L3=0,"",I3/L3)</x:f>
        <x:v>1.005967558810338</x:v>
      </x:c>
      <x:c r="O3" s="66" t="n">
        <x:f>IF(L3=0,"",M3/L3)</x:f>
        <x:v>0.005967558810337999</x:v>
      </x:c>
    </x:row>
    <x:row r="4" ht="18" customHeight="1">
      <x:c r="A4" s="46" t="str">
        <x:v>Large bathypelagics (&gt;=90 cm)</x:v>
      </x:c>
      <x:c r="B4" s="64" t="n">
        <x:v>3</x:v>
      </x:c>
      <x:c r="C4" s="64" t="n">
        <x:v>3</x:v>
      </x:c>
      <x:c r="D4" s="60" t="n">
        <x:v>30.7661490945</x:v>
      </x:c>
      <x:c r="E4" s="60" t="n">
        <x:v>30.7661490945</x:v>
      </x:c>
      <x:c r="F4" s="62" t="n">
        <x:v>0</x:v>
      </x:c>
      <x:c r="G4" s="66" t="n">
        <x:v>1</x:v>
      </x:c>
      <x:c r="H4" s="62" t="n">
        <x:f>IF(E4=0,"",I4/E4)</x:f>
        <x:v>2103.2107652289355</x:v>
      </x:c>
      <x:c r="I4" s="60" t="n">
        <x:f>SUMIF('Species'!$G$2:$G$313,A4,'Species'!$U$2:$U$313)</x:f>
        <x:v>64707.69598019087</x:v>
      </x:c>
      <x:c r="J4" s="62" t="n">
        <x:v>3.5475455858860645</x:v>
      </x:c>
      <x:c r="K4" s="62" t="n">
        <x:f>IF(J4="","",(1/'Metadata'!$B$5)^(J4-1))</x:f>
        <x:v>2062.6864827263603</x:v>
      </x:c>
      <x:c r="L4" s="60" t="n">
        <x:f>IF(E4=0,"",E4*K4)</x:f>
        <x:v>63460.919862769</x:v>
      </x:c>
      <x:c r="M4" s="60" t="n">
        <x:f>I4-L4</x:f>
        <x:v>1246.7761174218685</x:v>
      </x:c>
      <x:c r="N4" s="62" t="n">
        <x:f>IF(L4=0,"",I4/L4)</x:f>
        <x:v>1.0196463606282096</x:v>
      </x:c>
      <x:c r="O4" s="66" t="n">
        <x:f>IF(L4=0,"",M4/L4)</x:f>
        <x:v>0.019646360628209587</x:v>
      </x:c>
    </x:row>
    <x:row r="5" ht="18" customHeight="1">
      <x:c r="A5" s="46" t="str">
        <x:v>Large benthopelagics (&gt;=90 cm)</x:v>
      </x:c>
      <x:c r="B5" s="64" t="n">
        <x:v>13</x:v>
      </x:c>
      <x:c r="C5" s="64" t="n">
        <x:v>13</x:v>
      </x:c>
      <x:c r="D5" s="60" t="n">
        <x:v>312973.69058766955</x:v>
      </x:c>
      <x:c r="E5" s="60" t="n">
        <x:v>312973.69058766955</x:v>
      </x:c>
      <x:c r="F5" s="62" t="n">
        <x:v>0</x:v>
      </x:c>
      <x:c r="G5" s="66" t="n">
        <x:v>1</x:v>
      </x:c>
      <x:c r="H5" s="62" t="n">
        <x:f>IF(E5=0,"",I5/E5)</x:f>
        <x:v>10534.440523880383</x:v>
      </x:c>
      <x:c r="I5" s="60" t="n">
        <x:f>SUMIF('Species'!$G$2:$G$313,A5,'Species'!$U$2:$U$313)</x:f>
        <x:v>3297002729.0351467</x:v>
      </x:c>
      <x:c r="J5" s="62" t="n">
        <x:v>4.091197222280685</x:v>
      </x:c>
      <x:c r="K5" s="62" t="n">
        <x:f>IF(J5="","",(1/'Metadata'!$B$5)^(J5-1))</x:f>
        <x:v>10513.330293485207</x:v>
      </x:c>
      <x:c r="L5" s="60" t="n">
        <x:f>IF(E5=0,"",E5*K5)</x:f>
        <x:v>3290395782.3192124</x:v>
      </x:c>
      <x:c r="M5" s="60" t="n">
        <x:f>I5-L5</x:f>
        <x:v>6606946.715934277</x:v>
      </x:c>
      <x:c r="N5" s="62" t="n">
        <x:f>IF(L5=0,"",I5/L5)</x:f>
        <x:v>1.002007948937765</x:v>
      </x:c>
      <x:c r="O5" s="66" t="n">
        <x:f>IF(L5=0,"",M5/L5)</x:f>
        <x:v>0.002007948937764993</x:v>
      </x:c>
    </x:row>
    <x:row r="6" ht="18" customHeight="1">
      <x:c r="A6" s="46" t="str">
        <x:v>Large demersals (&gt;=90 cm)</x:v>
      </x:c>
      <x:c r="B6" s="64" t="n">
        <x:v>18</x:v>
      </x:c>
      <x:c r="C6" s="64" t="n">
        <x:v>18</x:v>
      </x:c>
      <x:c r="D6" s="60" t="n">
        <x:v>255005.9897411661</x:v>
      </x:c>
      <x:c r="E6" s="60" t="n">
        <x:v>255005.9897411661</x:v>
      </x:c>
      <x:c r="F6" s="62" t="n">
        <x:v>0</x:v>
      </x:c>
      <x:c r="G6" s="66" t="n">
        <x:v>1</x:v>
      </x:c>
      <x:c r="H6" s="62" t="n">
        <x:f>IF(E6=0,"",I6/E6)</x:f>
        <x:v>20607.782037777208</x:v>
      </x:c>
      <x:c r="I6" s="60" t="n">
        <x:f>SUMIF('Species'!$G$2:$G$313,A6,'Species'!$U$2:$U$313)</x:f>
        <x:v>5255107854.913602</x:v>
      </x:c>
      <x:c r="J6" s="62" t="n">
        <x:v>4.308941511013935</x:v>
      </x:c>
      <x:c r="K6" s="62" t="n">
        <x:f>IF(J6="","",(1/'Metadata'!$B$5)^(J6-1))</x:f>
        <x:v>20185.15830269259</x:v>
      </x:c>
      <x:c r="L6" s="60" t="n">
        <x:f>IF(E6=0,"",E6*K6)</x:f>
        <x:v>5147336271.060241</x:v>
      </x:c>
      <x:c r="M6" s="60" t="n">
        <x:f>I6-L6</x:f>
        <x:v>107771583.85336113</x:v>
      </x:c>
      <x:c r="N6" s="62" t="n">
        <x:f>IF(L6=0,"",I6/L6)</x:f>
        <x:v>1.0209373505397894</x:v>
      </x:c>
      <x:c r="O6" s="66" t="n">
        <x:f>IF(L6=0,"",M6/L6)</x:f>
        <x:v>0.020937350539789484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87301.792971763</x:v>
      </x:c>
      <x:c r="E7" s="60" t="n">
        <x:v>87301.792971763</x:v>
      </x:c>
      <x:c r="F7" s="62" t="n">
        <x:v>0</x:v>
      </x:c>
      <x:c r="G7" s="66" t="n">
        <x:v>1</x:v>
      </x:c>
      <x:c r="H7" s="62" t="n">
        <x:f>IF(E7=0,"",I7/E7)</x:f>
        <x:v>1785.2365106306424</x:v>
      </x:c>
      <x:c r="I7" s="60" t="n">
        <x:f>SUMIF('Species'!$G$2:$G$313,A7,'Species'!$U$2:$U$313)</x:f>
        <x:v>155854348.25670892</x:v>
      </x:c>
      <x:c r="J7" s="62" t="n">
        <x:v>3.3063435287043776</x:v>
      </x:c>
      <x:c r="K7" s="62" t="n">
        <x:f>IF(J7="","",(1/'Metadata'!$B$5)^(J7-1))</x:f>
        <x:v>1001.4334903263843</x:v>
      </x:c>
      <x:c r="L7" s="60" t="n">
        <x:f>IF(E7=0,"",E7*K7)</x:f>
        <x:v>87426939.24746403</x:v>
      </x:c>
      <x:c r="M7" s="60" t="n">
        <x:f>I7-L7</x:f>
        <x:v>68427409.00924489</x:v>
      </x:c>
      <x:c r="N7" s="62" t="n">
        <x:f>IF(L7=0,"",I7/L7)</x:f>
        <x:v>1.7826810545838678</x:v>
      </x:c>
      <x:c r="O7" s="66" t="n">
        <x:f>IF(L7=0,"",M7/L7)</x:f>
        <x:v>0.7826810545838678</x:v>
      </x:c>
    </x:row>
    <x:row r="8" ht="18" customHeight="1">
      <x:c r="A8" s="46" t="str">
        <x:v>Large pelagics (&gt;=90 cm)</x:v>
      </x:c>
      <x:c r="B8" s="64" t="n">
        <x:v>3</x:v>
      </x:c>
      <x:c r="C8" s="64" t="n">
        <x:v>3</x:v>
      </x:c>
      <x:c r="D8" s="60" t="n">
        <x:v>238.652927963</x:v>
      </x:c>
      <x:c r="E8" s="60" t="n">
        <x:v>238.652927963</x:v>
      </x:c>
      <x:c r="F8" s="62" t="n">
        <x:v>0</x:v>
      </x:c>
      <x:c r="G8" s="66" t="n">
        <x:v>1</x:v>
      </x:c>
      <x:c r="H8" s="62" t="n">
        <x:f>IF(E8=0,"",I8/E8)</x:f>
        <x:v>7080.897552058749</x:v>
      </x:c>
      <x:c r="I8" s="60" t="n">
        <x:f>SUMIF('Species'!$G$2:$G$313,A8,'Species'!$U$2:$U$313)</x:f>
        <x:v>1689876.9334048596</x:v>
      </x:c>
      <x:c r="J8" s="62" t="n">
        <x:v>3.5796491351375757</x:v>
      </x:c>
      <x:c r="K8" s="62" t="n">
        <x:f>IF(J8="","",(1/'Metadata'!$B$5)^(J8-1))</x:f>
        <x:v>2270.9151263032954</x:v>
      </x:c>
      <x:c r="L8" s="60" t="n">
        <x:f>IF(E8=0,"",E8*K8)</x:f>
        <x:v>541960.5440477474</x:v>
      </x:c>
      <x:c r="M8" s="60" t="n">
        <x:f>I8-L8</x:f>
        <x:v>1147916.3893571123</x:v>
      </x:c>
      <x:c r="N8" s="62" t="n">
        <x:f>IF(L8=0,"",I8/L8)</x:f>
        <x:v>3.1180811074984445</x:v>
      </x:c>
      <x:c r="O8" s="66" t="n">
        <x:f>IF(L8=0,"",M8/L8)</x:f>
        <x:v>2.1180811074984445</x:v>
      </x:c>
    </x:row>
    <x:row r="9" ht="18" customHeight="1">
      <x:c r="A9" s="46" t="str">
        <x:v>Large rays (&gt;=90 cm)</x:v>
      </x:c>
      <x:c r="B9" s="64" t="n">
        <x:v>14</x:v>
      </x:c>
      <x:c r="C9" s="64" t="n">
        <x:v>14</x:v>
      </x:c>
      <x:c r="D9" s="60" t="n">
        <x:v>1546.2287764551</x:v>
      </x:c>
      <x:c r="E9" s="60" t="n">
        <x:v>1546.2287764551</x:v>
      </x:c>
      <x:c r="F9" s="62" t="n">
        <x:v>0</x:v>
      </x:c>
      <x:c r="G9" s="66" t="n">
        <x:v>1</x:v>
      </x:c>
      <x:c r="H9" s="62" t="n">
        <x:f>IF(E9=0,"",I9/E9)</x:f>
        <x:v>5849.4804088194805</x:v>
      </x:c>
      <x:c r="I9" s="60" t="n">
        <x:f>SUMIF('Species'!$G$2:$G$313,A9,'Species'!$U$2:$U$313)</x:f>
        <x:v>9044634.935427023</x:v>
      </x:c>
      <x:c r="J9" s="62" t="n">
        <x:v>3.8514887818684773</x:v>
      </x:c>
      <x:c r="K9" s="62" t="n">
        <x:f>IF(J9="","",(1/'Metadata'!$B$5)^(J9-1))</x:f>
        <x:v>5127.1076667813295</x:v>
      </x:c>
      <x:c r="L9" s="60" t="n">
        <x:f>IF(E9=0,"",E9*K9)</x:f>
        <x:v>7927681.414360858</x:v>
      </x:c>
      <x:c r="M9" s="60" t="n">
        <x:f>I9-L9</x:f>
        <x:v>1116953.5210661655</x:v>
      </x:c>
      <x:c r="N9" s="62" t="n">
        <x:f>IF(L9=0,"",I9/L9)</x:f>
        <x:v>1.140892836465757</x:v>
      </x:c>
      <x:c r="O9" s="66" t="n">
        <x:f>IF(L9=0,"",M9/L9)</x:f>
        <x:v>0.140892836465757</x:v>
      </x:c>
    </x:row>
    <x:row r="10" ht="18" customHeight="1">
      <x:c r="A10" s="46" t="str">
        <x:v>Large reef assoc. fish (&gt;=90 cm)</x:v>
      </x:c>
      <x:c r="B10" s="64" t="n">
        <x:v>6</x:v>
      </x:c>
      <x:c r="C10" s="64" t="n">
        <x:v>6</x:v>
      </x:c>
      <x:c r="D10" s="60" t="n">
        <x:v>853.9381515433</x:v>
      </x:c>
      <x:c r="E10" s="60" t="n">
        <x:v>853.9381515433</x:v>
      </x:c>
      <x:c r="F10" s="62" t="n">
        <x:v>0</x:v>
      </x:c>
      <x:c r="G10" s="66" t="n">
        <x:v>1</x:v>
      </x:c>
      <x:c r="H10" s="62" t="n">
        <x:f>IF(E10=0,"",I10/E10)</x:f>
        <x:v>1130.8575278395595</x:v>
      </x:c>
      <x:c r="I10" s="60" t="n">
        <x:f>SUMIF('Species'!$G$2:$G$313,A10,'Species'!$U$2:$U$313)</x:f>
        <x:v>965682.3869821394</x:v>
      </x:c>
      <x:c r="J10" s="62" t="n">
        <x:v>3.3167804464146693</x:v>
      </x:c>
      <x:c r="K10" s="62" t="n">
        <x:f>IF(J10="","",(1/'Metadata'!$B$5)^(J10-1))</x:f>
        <x:v>1033.2391516256803</x:v>
      </x:c>
      <x:c r="L10" s="60" t="n">
        <x:f>IF(E10=0,"",E10*K10)</x:f>
        <x:v>882322.3312414009</x:v>
      </x:c>
      <x:c r="M10" s="60" t="n">
        <x:f>I10-L10</x:f>
        <x:v>83360.05574073852</x:v>
      </x:c>
      <x:c r="N10" s="62" t="n">
        <x:f>IF(L10=0,"",I10/L10)</x:f>
        <x:v>1.0944780074005986</x:v>
      </x:c>
      <x:c r="O10" s="66" t="n">
        <x:f>IF(L10=0,"",M10/L10)</x:f>
        <x:v>0.09447800740059864</x:v>
      </x:c>
    </x:row>
    <x:row r="11" ht="18" customHeight="1">
      <x:c r="A11" s="46" t="str">
        <x:v>Large sharks (&gt;=90 cm)</x:v>
      </x:c>
      <x:c r="B11" s="64" t="n">
        <x:v>18</x:v>
      </x:c>
      <x:c r="C11" s="64" t="n">
        <x:v>18</x:v>
      </x:c>
      <x:c r="D11" s="60" t="n">
        <x:v>2983.535485173</x:v>
      </x:c>
      <x:c r="E11" s="60" t="n">
        <x:v>2983.535485173</x:v>
      </x:c>
      <x:c r="F11" s="62" t="n">
        <x:v>0</x:v>
      </x:c>
      <x:c r="G11" s="66" t="n">
        <x:v>1</x:v>
      </x:c>
      <x:c r="H11" s="62" t="n">
        <x:f>IF(E11=0,"",I11/E11)</x:f>
        <x:v>12818.140070557525</x:v>
      </x:c>
      <x:c r="I11" s="60" t="n">
        <x:f>SUMIF('Species'!$G$2:$G$313,A11,'Species'!$U$2:$U$313)</x:f>
        <x:v>38243375.754426315</x:v>
      </x:c>
      <x:c r="J11" s="62" t="n">
        <x:v>4.133041131547438</x:v>
      </x:c>
      <x:c r="K11" s="62" t="n">
        <x:f>IF(J11="","",(1/'Metadata'!$B$5)^(J11-1))</x:f>
        <x:v>11917.37182880852</x:v>
      </x:c>
      <x:c r="L11" s="60" t="n">
        <x:f>IF(E11=0,"",E11*K11)</x:f>
        <x:v>35555901.74125127</x:v>
      </x:c>
      <x:c r="M11" s="60" t="n">
        <x:f>I11-L11</x:f>
        <x:v>2687474.013175048</x:v>
      </x:c>
      <x:c r="N11" s="62" t="n">
        <x:f>IF(L11=0,"",I11/L11)</x:f>
        <x:v>1.0755844706944133</x:v>
      </x:c>
      <x:c r="O11" s="66" t="n">
        <x:f>IF(L11=0,"",M11/L11)</x:f>
        <x:v>0.07558447069441337</x:v>
      </x:c>
    </x:row>
    <x:row r="12" ht="18" customHeight="1">
      <x:c r="A12" s="46" t="str">
        <x:v>Lobsters, crabs</x:v>
      </x:c>
      <x:c r="B12" s="64" t="n">
        <x:v>14</x:v>
      </x:c>
      <x:c r="C12" s="64" t="n">
        <x:v>14</x:v>
      </x:c>
      <x:c r="D12" s="60" t="n">
        <x:v>58906.581401164694</x:v>
      </x:c>
      <x:c r="E12" s="60" t="n">
        <x:v>58906.581401164694</x:v>
      </x:c>
      <x:c r="F12" s="62" t="n">
        <x:v>0</x:v>
      </x:c>
      <x:c r="G12" s="66" t="n">
        <x:v>1</x:v>
      </x:c>
      <x:c r="H12" s="62" t="n">
        <x:f>IF(E12=0,"",I12/E12)</x:f>
        <x:v>509.34099748503894</x:v>
      </x:c>
      <x:c r="I12" s="60" t="n">
        <x:f>SUMIF('Species'!$G$2:$G$313,A12,'Species'!$U$2:$U$313)</x:f>
        <x:v>30003536.929302868</x:v>
      </x:c>
      <x:c r="J12" s="62" t="n">
        <x:v>2.9948844564599755</x:v>
      </x:c>
      <x:c r="K12" s="62" t="n">
        <x:f>IF(J12="","",(1/'Metadata'!$B$5)^(J12-1))</x:f>
        <x:v>393.9168113220021</x:v>
      </x:c>
      <x:c r="L12" s="60" t="n">
        <x:f>IF(E12=0,"",E12*K12)</x:f>
        <x:v>23204292.71142675</x:v>
      </x:c>
      <x:c r="M12" s="60" t="n">
        <x:f>I12-L12</x:f>
        <x:v>6799244.217876118</x:v>
      </x:c>
      <x:c r="N12" s="62" t="n">
        <x:f>IF(L12=0,"",I12/L12)</x:f>
        <x:v>1.2930166543937747</x:v>
      </x:c>
      <x:c r="O12" s="66" t="n">
        <x:f>IF(L12=0,"",M12/L12)</x:f>
        <x:v>0.2930166543937747</x:v>
      </x:c>
    </x:row>
    <x:row r="13" ht="18" customHeight="1">
      <x:c r="A13" s="46" t="str">
        <x:v>Medium bathydemersals (30 - 89 cm)</x:v>
      </x:c>
      <x:c r="B13" s="64" t="n">
        <x:v>10</x:v>
      </x:c>
      <x:c r="C13" s="64" t="n">
        <x:v>10</x:v>
      </x:c>
      <x:c r="D13" s="60" t="n">
        <x:v>10289.480541226701</x:v>
      </x:c>
      <x:c r="E13" s="60" t="n">
        <x:v>10289.480541226701</x:v>
      </x:c>
      <x:c r="F13" s="62" t="n">
        <x:v>0</x:v>
      </x:c>
      <x:c r="G13" s="66" t="n">
        <x:v>1</x:v>
      </x:c>
      <x:c r="H13" s="62" t="n">
        <x:f>IF(E13=0,"",I13/E13)</x:f>
        <x:v>28124.025096169054</x:v>
      </x:c>
      <x:c r="I13" s="60" t="n">
        <x:f>SUMIF('Species'!$G$2:$G$313,A13,'Species'!$U$2:$U$313)</x:f>
        <x:v>289381608.9680029</x:v>
      </x:c>
      <x:c r="J13" s="62" t="n">
        <x:v>4.327540348327747</x:v>
      </x:c>
      <x:c r="K13" s="62" t="n">
        <x:f>IF(J13="","",(1/'Metadata'!$B$5)^(J13-1))</x:f>
        <x:v>21341.73902867463</x:v>
      </x:c>
      <x:c r="L13" s="60" t="n">
        <x:f>IF(E13=0,"",E13*K13)</x:f>
        <x:v>219595408.45148605</x:v>
      </x:c>
      <x:c r="M13" s="60" t="n">
        <x:f>I13-L13</x:f>
        <x:v>69786200.51651686</x:v>
      </x:c>
      <x:c r="N13" s="62" t="n">
        <x:f>IF(L13=0,"",I13/L13)</x:f>
        <x:v>1.317794443010562</x:v>
      </x:c>
      <x:c r="O13" s="66" t="n">
        <x:f>IF(L13=0,"",M13/L13)</x:f>
        <x:v>0.317794443010562</x:v>
      </x:c>
    </x:row>
    <x:row r="14" ht="18" customHeight="1">
      <x:c r="A14" s="46" t="str">
        <x:v>Medium bathypelagics (30 - 89 cm)</x:v>
      </x:c>
      <x:c r="B14" s="64" t="n">
        <x:v>3</x:v>
      </x:c>
      <x:c r="C14" s="64" t="n">
        <x:v>3</x:v>
      </x:c>
      <x:c r="D14" s="60" t="n">
        <x:v>9.8206760978</x:v>
      </x:c>
      <x:c r="E14" s="60" t="n">
        <x:v>9.8206760978</x:v>
      </x:c>
      <x:c r="F14" s="62" t="n">
        <x:v>0</x:v>
      </x:c>
      <x:c r="G14" s="66" t="n">
        <x:v>1</x:v>
      </x:c>
      <x:c r="H14" s="62" t="n">
        <x:f>IF(E14=0,"",I14/E14)</x:f>
        <x:v>6508.756452948977</x:v>
      </x:c>
      <x:c r="I14" s="60" t="n">
        <x:f>SUMIF('Species'!$G$2:$G$313,A14,'Species'!$U$2:$U$313)</x:f>
        <x:v>63920.38892387753</x:v>
      </x:c>
      <x:c r="J14" s="62" t="n">
        <x:v>3.8909037970005937</x:v>
      </x:c>
      <x:c r="K14" s="62" t="n">
        <x:f>IF(J14="","",(1/'Metadata'!$B$5)^(J14-1))</x:f>
        <x:v>5769.690995418478</x:v>
      </x:c>
      <x:c r="L14" s="60" t="n">
        <x:f>IF(E14=0,"",E14*K14)</x:f>
        <x:v>56662.26645039814</x:v>
      </x:c>
      <x:c r="M14" s="60" t="n">
        <x:f>I14-L14</x:f>
        <x:v>7258.122473479387</x:v>
      </x:c>
      <x:c r="N14" s="62" t="n">
        <x:f>IF(L14=0,"",I14/L14)</x:f>
        <x:v>1.1280944608848837</x:v>
      </x:c>
      <x:c r="O14" s="66" t="n">
        <x:f>IF(L14=0,"",M14/L14)</x:f>
        <x:v>0.12809446088488377</x:v>
      </x:c>
    </x:row>
    <x:row r="15" ht="18" customHeight="1">
      <x:c r="A15" s="46" t="str">
        <x:v>Medium benthopelagics (30 - 89 cm)</x:v>
      </x:c>
      <x:c r="B15" s="64" t="n">
        <x:v>24</x:v>
      </x:c>
      <x:c r="C15" s="64" t="n">
        <x:v>24</x:v>
      </x:c>
      <x:c r="D15" s="60" t="n">
        <x:v>154594.7645502373</x:v>
      </x:c>
      <x:c r="E15" s="60" t="n">
        <x:v>154594.7645502373</x:v>
      </x:c>
      <x:c r="F15" s="62" t="n">
        <x:v>0</x:v>
      </x:c>
      <x:c r="G15" s="66" t="n">
        <x:v>1</x:v>
      </x:c>
      <x:c r="H15" s="62" t="n">
        <x:f>IF(E15=0,"",I15/E15)</x:f>
        <x:v>8789.967762730601</x:v>
      </x:c>
      <x:c r="I15" s="60" t="n">
        <x:f>SUMIF('Species'!$G$2:$G$313,A15,'Species'!$U$2:$U$313)</x:f>
        <x:v>1358882996.6835134</x:v>
      </x:c>
      <x:c r="J15" s="62" t="n">
        <x:v>3.7508258129558434</x:v>
      </x:c>
      <x:c r="K15" s="62" t="n">
        <x:f>IF(J15="","",(1/'Metadata'!$B$5)^(J15-1))</x:f>
        <x:v>3792.336757529758</x:v>
      </x:c>
      <x:c r="L15" s="60" t="n">
        <x:f>IF(E15=0,"",E15*K15)</x:f>
        <x:v>586275408.1255233</x:v>
      </x:c>
      <x:c r="M15" s="60" t="n">
        <x:f>I15-L15</x:f>
        <x:v>772607588.5579901</x:v>
      </x:c>
      <x:c r="N15" s="62" t="n">
        <x:f>IF(L15=0,"",I15/L15)</x:f>
        <x:v>2.3178236334834845</x:v>
      </x:c>
      <x:c r="O15" s="66" t="n">
        <x:f>IF(L15=0,"",M15/L15)</x:f>
        <x:v>1.3178236334834847</x:v>
      </x:c>
    </x:row>
    <x:row r="16" ht="18" customHeight="1">
      <x:c r="A16" s="46" t="str">
        <x:v>Medium demersals (30 - 89 cm)</x:v>
      </x:c>
      <x:c r="B16" s="64" t="n">
        <x:v>32</x:v>
      </x:c>
      <x:c r="C16" s="64" t="n">
        <x:v>32</x:v>
      </x:c>
      <x:c r="D16" s="60" t="n">
        <x:v>432008.6699142967</x:v>
      </x:c>
      <x:c r="E16" s="60" t="n">
        <x:v>432008.6699142967</x:v>
      </x:c>
      <x:c r="F16" s="62" t="n">
        <x:v>0</x:v>
      </x:c>
      <x:c r="G16" s="66" t="n">
        <x:v>1</x:v>
      </x:c>
      <x:c r="H16" s="62" t="n">
        <x:f>IF(E16=0,"",I16/E16)</x:f>
        <x:v>2896.345912397349</x:v>
      </x:c>
      <x:c r="I16" s="60" t="n">
        <x:f>SUMIF('Species'!$G$2:$G$313,A16,'Species'!$U$2:$U$313)</x:f>
        <x:v>1251246545.2264888</x:v>
      </x:c>
      <x:c r="J16" s="62" t="n">
        <x:v>3.4715794504011996</x:v>
      </x:c>
      <x:c r="K16" s="62" t="n">
        <x:f>IF(J16="","",(1/'Metadata'!$B$5)^(J16-1))</x:f>
        <x:v>1642.8541215202545</x:v>
      </x:c>
      <x:c r="L16" s="60" t="n">
        <x:f>IF(E16=0,"",E16*K16)</x:f>
        <x:v>709727223.9011855</x:v>
      </x:c>
      <x:c r="M16" s="60" t="n">
        <x:f>I16-L16</x:f>
        <x:v>541519321.3253033</x:v>
      </x:c>
      <x:c r="N16" s="62" t="n">
        <x:f>IF(L16=0,"",I16/L16)</x:f>
        <x:v>1.762996406349911</x:v>
      </x:c>
      <x:c r="O16" s="66" t="n">
        <x:f>IF(L16=0,"",M16/L16)</x:f>
        <x:v>0.7629964063499112</x:v>
      </x:c>
    </x:row>
    <x:row r="17" ht="18" customHeight="1">
      <x:c r="A17" s="46" t="str">
        <x:v>Medium pelagics (30 - 89 cm)</x:v>
      </x:c>
      <x:c r="B17" s="64" t="n">
        <x:v>25</x:v>
      </x:c>
      <x:c r="C17" s="64" t="n">
        <x:v>25</x:v>
      </x:c>
      <x:c r="D17" s="60" t="n">
        <x:v>1046918.2565423957</x:v>
      </x:c>
      <x:c r="E17" s="60" t="n">
        <x:v>1046918.2565423957</x:v>
      </x:c>
      <x:c r="F17" s="62" t="n">
        <x:v>0</x:v>
      </x:c>
      <x:c r="G17" s="66" t="n">
        <x:v>1</x:v>
      </x:c>
      <x:c r="H17" s="62" t="n">
        <x:f>IF(E17=0,"",I17/E17)</x:f>
        <x:v>1630.458365019316</x:v>
      </x:c>
      <x:c r="I17" s="60" t="n">
        <x:f>SUMIF('Species'!$G$2:$G$313,A17,'Species'!$U$2:$U$313)</x:f>
        <x:v>1706956628.8709874</x:v>
      </x:c>
      <x:c r="J17" s="62" t="n">
        <x:v>3.445993413778415</x:v>
      </x:c>
      <x:c r="K17" s="62" t="n">
        <x:f>IF(J17="","",(1/'Metadata'!$B$5)^(J17-1))</x:f>
        <x:v>1521.6360909014068</x:v>
      </x:c>
      <x:c r="L17" s="60" t="n">
        <x:f>IF(E17=0,"",E17*K17)</x:f>
        <x:v>1593028603.378487</x:v>
      </x:c>
      <x:c r="M17" s="60" t="n">
        <x:f>I17-L17</x:f>
        <x:v>113928025.4925003</x:v>
      </x:c>
      <x:c r="N17" s="62" t="n">
        <x:f>IF(L17=0,"",I17/L17)</x:f>
        <x:v>1.071516622646249</x:v>
      </x:c>
      <x:c r="O17" s="66" t="n">
        <x:f>IF(L17=0,"",M17/L17)</x:f>
        <x:v>0.07151662264624899</x:v>
      </x:c>
    </x:row>
    <x:row r="18" ht="18" customHeight="1">
      <x:c r="A18" s="46" t="str">
        <x:v>Medium reef assoc. fish (30 - 89 cm)</x:v>
      </x:c>
      <x:c r="B18" s="64" t="n">
        <x:v>5</x:v>
      </x:c>
      <x:c r="C18" s="64" t="n">
        <x:v>5</x:v>
      </x:c>
      <x:c r="D18" s="60" t="n">
        <x:v>110.2556114378</x:v>
      </x:c>
      <x:c r="E18" s="60" t="n">
        <x:v>110.2556114378</x:v>
      </x:c>
      <x:c r="F18" s="62" t="n">
        <x:v>0</x:v>
      </x:c>
      <x:c r="G18" s="66" t="n">
        <x:v>1</x:v>
      </x:c>
      <x:c r="H18" s="62" t="n">
        <x:f>IF(E18=0,"",I18/E18)</x:f>
        <x:v>797.680004795726</x:v>
      </x:c>
      <x:c r="I18" s="60" t="n">
        <x:f>SUMIF('Species'!$G$2:$G$313,A18,'Species'!$U$2:$U$313)</x:f>
        <x:v>87948.69666046</x:v>
      </x:c>
      <x:c r="J18" s="62" t="n">
        <x:v>3.0935853427626587</x:v>
      </x:c>
      <x:c r="K18" s="62" t="n">
        <x:f>IF(J18="","",(1/'Metadata'!$B$5)^(J18-1))</x:f>
        <x:v>529.4407065807127</x:v>
      </x:c>
      <x:c r="L18" s="60" t="n">
        <x:f>IF(E18=0,"",E18*K18)</x:f>
        <x:v>58373.80882411734</x:v>
      </x:c>
      <x:c r="M18" s="60" t="n">
        <x:f>I18-L18</x:f>
        <x:v>29574.887836342663</x:v>
      </x:c>
      <x:c r="N18" s="62" t="n">
        <x:f>IF(L18=0,"",I18/L18)</x:f>
        <x:v>1.5066465326162457</x:v>
      </x:c>
      <x:c r="O18" s="66" t="n">
        <x:f>IF(L18=0,"",M18/L18)</x:f>
        <x:v>0.5066465326162458</x:v>
      </x:c>
    </x:row>
    <x:row r="19" ht="18" customHeight="1">
      <x:c r="A19" s="46" t="str">
        <x:v>Other demersal invertebrates</x:v>
      </x:c>
      <x:c r="B19" s="64" t="n">
        <x:v>43</x:v>
      </x:c>
      <x:c r="C19" s="64" t="n">
        <x:v>43</x:v>
      </x:c>
      <x:c r="D19" s="60" t="n">
        <x:v>75665.70219619869</x:v>
      </x:c>
      <x:c r="E19" s="60" t="n">
        <x:v>75665.70219619869</x:v>
      </x:c>
      <x:c r="F19" s="62" t="n">
        <x:v>0</x:v>
      </x:c>
      <x:c r="G19" s="66" t="n">
        <x:v>1</x:v>
      </x:c>
      <x:c r="H19" s="62" t="n">
        <x:f>IF(E19=0,"",I19/E19)</x:f>
        <x:v>395.2596362824261</x:v>
      </x:c>
      <x:c r="I19" s="60" t="n">
        <x:f>SUMIF('Species'!$G$2:$G$313,A19,'Species'!$U$2:$U$313)</x:f>
        <x:v>29907597.929123864</x:v>
      </x:c>
      <x:c r="J19" s="62" t="n">
        <x:v>2.2052695367179034</x:v>
      </x:c>
      <x:c r="K19" s="62" t="n">
        <x:f>IF(J19="","",(1/'Metadata'!$B$5)^(J19-1))</x:f>
        <x:v>36.99063784748137</x:v>
      </x:c>
      <x:c r="L19" s="60" t="n">
        <x:f>IF(E19=0,"",E19*K19)</x:f>
        <x:v>2798922.587414962</x:v>
      </x:c>
      <x:c r="M19" s="60" t="n">
        <x:f>I19-L19</x:f>
        <x:v>27108675.341708902</x:v>
      </x:c>
      <x:c r="N19" s="62" t="n">
        <x:f>IF(L19=0,"",I19/L19)</x:f>
        <x:v>10.685396610681549</x:v>
      </x:c>
      <x:c r="O19" s="66" t="n">
        <x:f>IF(L19=0,"",M19/L19)</x:f>
        <x:v>9.685396610681549</x:v>
      </x:c>
    </x:row>
    <x:row r="20" ht="18" customHeight="1">
      <x:c r="A20" s="46" t="str">
        <x:v>Shrimps</x:v>
      </x:c>
      <x:c r="B20" s="64" t="n">
        <x:v>12</x:v>
      </x:c>
      <x:c r="C20" s="64" t="n">
        <x:v>12</x:v>
      </x:c>
      <x:c r="D20" s="60" t="n">
        <x:v>47952.2365559928</x:v>
      </x:c>
      <x:c r="E20" s="60" t="n">
        <x:v>47952.2365559928</x:v>
      </x:c>
      <x:c r="F20" s="62" t="n">
        <x:v>0</x:v>
      </x:c>
      <x:c r="G20" s="66" t="n">
        <x:v>1</x:v>
      </x:c>
      <x:c r="H20" s="62" t="n">
        <x:f>IF(E20=0,"",I20/E20)</x:f>
        <x:v>684.9497337859665</x:v>
      </x:c>
      <x:c r="I20" s="60" t="n">
        <x:f>SUMIF('Species'!$G$2:$G$313,A20,'Species'!$U$2:$U$313)</x:f>
        <x:v>32844871.663468957</x:v>
      </x:c>
      <x:c r="J20" s="62" t="n">
        <x:v>3.1754034799314845</x:v>
      </x:c>
      <x:c r="K20" s="62" t="n">
        <x:f>IF(J20="","",(1/'Metadata'!$B$5)^(J20-1))</x:f>
        <x:v>676.4959174847088</x:v>
      </x:c>
      <x:c r="L20" s="60" t="n">
        <x:f>IF(E20=0,"",E20*K20)</x:f>
        <x:v>32439492.26439014</x:v>
      </x:c>
      <x:c r="M20" s="60" t="n">
        <x:f>I20-L20</x:f>
        <x:v>405379.3990788162</x:v>
      </x:c>
      <x:c r="N20" s="62" t="n">
        <x:f>IF(L20=0,"",I20/L20)</x:f>
        <x:v>1.0124964779280412</x:v>
      </x:c>
      <x:c r="O20" s="66" t="n">
        <x:f>IF(L20=0,"",M20/L20)</x:f>
        <x:v>0.012496477928041247</x:v>
      </x:c>
    </x:row>
    <x:row r="21" ht="18" customHeight="1">
      <x:c r="A21" s="46" t="str">
        <x:v>Small bathydemersals (&lt;30 cm)</x:v>
      </x:c>
      <x:c r="B21" s="64" t="n">
        <x:v>1</x:v>
      </x:c>
      <x:c r="C21" s="64" t="n">
        <x:v>1</x:v>
      </x:c>
      <x:c r="D21" s="60" t="n">
        <x:v>1.0098579548</x:v>
      </x:c>
      <x:c r="E21" s="60" t="n">
        <x:v>1.0098579548</x:v>
      </x:c>
      <x:c r="F21" s="62" t="n">
        <x:v>0</x:v>
      </x:c>
      <x:c r="G21" s="66" t="n">
        <x:v>1</x:v>
      </x:c>
      <x:c r="H21" s="62" t="n">
        <x:f>IF(E21=0,"",I21/E21)</x:f>
        <x:v>2016.5834052007342</x:v>
      </x:c>
      <x:c r="I21" s="60" t="n">
        <x:f>SUMIF('Species'!$G$2:$G$313,A21,'Species'!$U$2:$U$313)</x:f>
        <x:v>2036.4627932596331</x:v>
      </x:c>
      <x:c r="J21" s="62" t="n">
        <x:v>3.54</x:v>
      </x:c>
      <x:c r="K21" s="62" t="n">
        <x:f>IF(J21="","",(1/'Metadata'!$B$5)^(J21-1))</x:f>
        <x:v>2016.5834052007342</x:v>
      </x:c>
      <x:c r="L21" s="60" t="n">
        <x:f>IF(E21=0,"",E21*K21)</x:f>
        <x:v>2036.4627932596331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0.167775376</x:v>
      </x:c>
      <x:c r="E22" s="60" t="n">
        <x:v>0.167775376</x:v>
      </x:c>
      <x:c r="F22" s="62" t="n">
        <x:v>0</x:v>
      </x:c>
      <x:c r="G22" s="66" t="n">
        <x:v>1</x:v>
      </x:c>
      <x:c r="H22" s="62" t="n">
        <x:f>IF(E22=0,"",I22/E22)</x:f>
        <x:v>1012.4633005057666</x:v>
      </x:c>
      <x:c r="I22" s="60" t="n">
        <x:f>SUMIF('Species'!$G$2:$G$313,A22,'Species'!$U$2:$U$313)</x:f>
        <x:v>169.86641092855598</x:v>
      </x:c>
      <x:c r="J22" s="62" t="n">
        <x:v>3.31</x:v>
      </x:c>
      <x:c r="K22" s="62" t="n">
        <x:f>IF(J22="","",(1/'Metadata'!$B$5)^(J22-1))</x:f>
        <x:v>1012.4633005057666</x:v>
      </x:c>
      <x:c r="L22" s="60" t="n">
        <x:f>IF(E22=0,"",E22*K22)</x:f>
        <x:v>169.86641092855598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2</x:v>
      </x:c>
      <x:c r="C23" s="64" t="n">
        <x:v>2</x:v>
      </x:c>
      <x:c r="D23" s="60" t="n">
        <x:v>38.9409481603</x:v>
      </x:c>
      <x:c r="E23" s="60" t="n">
        <x:v>38.9409481603</x:v>
      </x:c>
      <x:c r="F23" s="62" t="n">
        <x:v>0</x:v>
      </x:c>
      <x:c r="G23" s="66" t="n">
        <x:v>1</x:v>
      </x:c>
      <x:c r="H23" s="62" t="n">
        <x:f>IF(E23=0,"",I23/E23)</x:f>
        <x:v>608.3902262519143</x:v>
      </x:c>
      <x:c r="I23" s="60" t="n">
        <x:f>SUMIF('Species'!$G$2:$G$313,A23,'Species'!$U$2:$U$313)</x:f>
        <x:v>23691.292261708986</x:v>
      </x:c>
      <x:c r="J23" s="62" t="n">
        <x:v>3.139981557325953</x:v>
      </x:c>
      <x:c r="K23" s="62" t="n">
        <x:f>IF(J23="","",(1/'Metadata'!$B$5)^(J23-1))</x:f>
        <x:v>608.3873793027692</x:v>
      </x:c>
      <x:c r="L23" s="60" t="n">
        <x:f>IF(E23=0,"",E23*K23)</x:f>
        <x:v>23691.18139880991</x:v>
      </x:c>
      <x:c r="M23" s="60" t="n">
        <x:f>I23-L23</x:f>
        <x:v>0.11086289907689206</x:v>
      </x:c>
      <x:c r="N23" s="62" t="n">
        <x:f>IF(L23=0,"",I23/L23)</x:f>
        <x:v>1.0000046795006636</x:v>
      </x:c>
      <x:c r="O23" s="66" t="n">
        <x:f>IF(L23=0,"",M23/L23)</x:f>
        <x:v>0.000004679500663587047</x:v>
      </x:c>
    </x:row>
    <x:row r="24" ht="18" customHeight="1">
      <x:c r="A24" s="46" t="str">
        <x:v>Small pelagics (&lt;30 cm)</x:v>
      </x:c>
      <x:c r="B24" s="64" t="n">
        <x:v>9</x:v>
      </x:c>
      <x:c r="C24" s="64" t="n">
        <x:v>9</x:v>
      </x:c>
      <x:c r="D24" s="60" t="n">
        <x:v>140385.7362918877</x:v>
      </x:c>
      <x:c r="E24" s="60" t="n">
        <x:v>140385.7362918877</x:v>
      </x:c>
      <x:c r="F24" s="62" t="n">
        <x:v>0</x:v>
      </x:c>
      <x:c r="G24" s="66" t="n">
        <x:v>1</x:v>
      </x:c>
      <x:c r="H24" s="62" t="n">
        <x:f>IF(E24=0,"",I24/E24)</x:f>
        <x:v>413.3401964811256</x:v>
      </x:c>
      <x:c r="I24" s="60" t="n">
        <x:f>SUMIF('Species'!$G$2:$G$313,A24,'Species'!$U$2:$U$313)</x:f>
        <x:v>58027067.82203635</x:v>
      </x:c>
      <x:c r="J24" s="62" t="n">
        <x:v>3.0107486187394277</x:v>
      </x:c>
      <x:c r="K24" s="62" t="n">
        <x:f>IF(J24="","",(1/'Metadata'!$B$5)^(J24-1))</x:f>
        <x:v>413.0896051959657</x:v>
      </x:c>
      <x:c r="L24" s="60" t="n">
        <x:f>IF(E24=0,"",E24*K24)</x:f>
        <x:v>57991888.37996084</x:v>
      </x:c>
      <x:c r="M24" s="60" t="n">
        <x:f>I24-L24</x:f>
        <x:v>35179.44207550585</x:v>
      </x:c>
      <x:c r="N24" s="62" t="n">
        <x:f>IF(L24=0,"",I24/L24)</x:f>
        <x:v>1.0006066269448757</x:v>
      </x:c>
      <x:c r="O24" s="66" t="n">
        <x:f>IF(L24=0,"",M24/L24)</x:f>
        <x:v>0.0006066269448756586</x:v>
      </x:c>
    </x:row>
    <x:row r="25" ht="18" customHeight="1">
      <x:c r="A25" s="46" t="str">
        <x:v>Small reef assoc. fish (&lt;30 cm)</x:v>
      </x:c>
      <x:c r="B25" s="64" t="n">
        <x:v>3</x:v>
      </x:c>
      <x:c r="C25" s="64" t="n">
        <x:v>3</x:v>
      </x:c>
      <x:c r="D25" s="60" t="n">
        <x:v>92.09409337969998</x:v>
      </x:c>
      <x:c r="E25" s="60" t="n">
        <x:v>92.09409337969998</x:v>
      </x:c>
      <x:c r="F25" s="62" t="n">
        <x:v>0</x:v>
      </x:c>
      <x:c r="G25" s="66" t="n">
        <x:v>1</x:v>
      </x:c>
      <x:c r="H25" s="62" t="n">
        <x:f>IF(E25=0,"",I25/E25)</x:f>
        <x:v>792.2372574267499</x:v>
      </x:c>
      <x:c r="I25" s="60" t="n">
        <x:f>SUMIF('Species'!$G$2:$G$313,A25,'Species'!$U$2:$U$313)</x:f>
        <x:v>72960.37196433652</x:v>
      </x:c>
      <x:c r="J25" s="62" t="n">
        <x:v>3.1809337884827253</x:v>
      </x:c>
      <x:c r="K25" s="62" t="n">
        <x:f>IF(J25="","",(1/'Metadata'!$B$5)^(J25-1))</x:f>
        <x:v>687.7970002658213</x:v>
      </x:c>
      <x:c r="L25" s="60" t="n">
        <x:f>IF(E25=0,"",E25*K25)</x:f>
        <x:v>63342.041168758085</x:v>
      </x:c>
      <x:c r="M25" s="60" t="n">
        <x:f>I25-L25</x:f>
        <x:v>9618.330795578433</x:v>
      </x:c>
      <x:c r="N25" s="62" t="n">
        <x:f>IF(L25=0,"",I25/L25)</x:f>
        <x:v>1.1518475031449167</x:v>
      </x:c>
      <x:c r="O25" s="66" t="n">
        <x:f>IF(L25=0,"",M25/L25)</x:f>
        <x:v>0.15184750314491666</x:v>
      </x:c>
    </x:row>
    <x:row r="26" ht="18" customHeight="1">
      <x:c r="A26" s="46" t="str">
        <x:v>Small to medium flatfishes (&lt;90 cm)</x:v>
      </x:c>
      <x:c r="B26" s="64" t="n">
        <x:v>19</x:v>
      </x:c>
      <x:c r="C26" s="64" t="n">
        <x:v>19</x:v>
      </x:c>
      <x:c r="D26" s="60" t="n">
        <x:v>78364.9069900529</x:v>
      </x:c>
      <x:c r="E26" s="60" t="n">
        <x:v>78364.9069900529</x:v>
      </x:c>
      <x:c r="F26" s="62" t="n">
        <x:v>0</x:v>
      </x:c>
      <x:c r="G26" s="66" t="n">
        <x:v>1</x:v>
      </x:c>
      <x:c r="H26" s="62" t="n">
        <x:f>IF(E26=0,"",I26/E26)</x:f>
        <x:v>5443.4335881521565</x:v>
      </x:c>
      <x:c r="I26" s="60" t="n">
        <x:f>SUMIF('Species'!$G$2:$G$313,A26,'Species'!$U$2:$U$313)</x:f>
        <x:v>426574166.8420737</x:v>
      </x:c>
      <x:c r="J26" s="62" t="n">
        <x:v>3.4874735680533164</x:v>
      </x:c>
      <x:c r="K26" s="62" t="n">
        <x:f>IF(J26="","",(1/'Metadata'!$B$5)^(J26-1))</x:f>
        <x:v>1722.9700388444562</x:v>
      </x:c>
      <x:c r="L26" s="60" t="n">
        <x:f>IF(E26=0,"",E26*K26)</x:f>
        <x:v>135020386.84069365</x:v>
      </x:c>
      <x:c r="M26" s="60" t="n">
        <x:f>I26-L26</x:f>
        <x:v>291553780.00138</x:v>
      </x:c>
      <x:c r="N26" s="62" t="n">
        <x:f>IF(L26=0,"",I26/L26)</x:f>
        <x:v>3.1593315411351566</x:v>
      </x:c>
      <x:c r="O26" s="66" t="n">
        <x:f>IF(L26=0,"",M26/L26)</x:f>
        <x:v>2.1593315411351566</x:v>
      </x:c>
    </x:row>
    <x:row r="27" ht="18" customHeight="1">
      <x:c r="A27" s="46" t="str">
        <x:v>Small to medium rays (&lt;90 cm)</x:v>
      </x:c>
      <x:c r="B27" s="64" t="n">
        <x:v>6</x:v>
      </x:c>
      <x:c r="C27" s="64" t="n">
        <x:v>6</x:v>
      </x:c>
      <x:c r="D27" s="60" t="n">
        <x:v>1027.7688397753</x:v>
      </x:c>
      <x:c r="E27" s="60" t="n">
        <x:v>1027.7688397753</x:v>
      </x:c>
      <x:c r="F27" s="62" t="n">
        <x:v>0</x:v>
      </x:c>
      <x:c r="G27" s="66" t="n">
        <x:v>1</x:v>
      </x:c>
      <x:c r="H27" s="62" t="n">
        <x:f>IF(E27=0,"",I27/E27)</x:f>
        <x:v>7501.207692145225</x:v>
      </x:c>
      <x:c r="I27" s="60" t="n">
        <x:f>SUMIF('Species'!$G$2:$G$313,A27,'Species'!$U$2:$U$313)</x:f>
        <x:v>7709507.526669654</x:v>
      </x:c>
      <x:c r="J27" s="62" t="n">
        <x:v>3.9318720293285967</x:v>
      </x:c>
      <x:c r="K27" s="62" t="n">
        <x:f>IF(J27="","",(1/'Metadata'!$B$5)^(J27-1))</x:f>
        <x:v>6523.091246931049</x:v>
      </x:c>
      <x:c r="L27" s="60" t="n">
        <x:f>IF(E27=0,"",E27*K27)</x:f>
        <x:v>6704229.922606738</x:v>
      </x:c>
      <x:c r="M27" s="60" t="n">
        <x:f>I27-L27</x:f>
        <x:v>1005277.6040629158</x:v>
      </x:c>
      <x:c r="N27" s="62" t="n">
        <x:f>IF(L27=0,"",I27/L27)</x:f>
        <x:v>1.1499467672898729</x:v>
      </x:c>
      <x:c r="O27" s="66" t="n">
        <x:f>IF(L27=0,"",M27/L27)</x:f>
        <x:v>0.149946767289873</x:v>
      </x:c>
    </x:row>
    <x:row r="28" ht="18" customHeight="1">
      <x:c r="A28" s="46" t="str">
        <x:v>Small to medium sharks (&lt;90 cm)</x:v>
      </x:c>
      <x:c r="B28" s="64" t="n">
        <x:v>5</x:v>
      </x:c>
      <x:c r="C28" s="64" t="n">
        <x:v>5</x:v>
      </x:c>
      <x:c r="D28" s="60" t="n">
        <x:v>788.1125945144</x:v>
      </x:c>
      <x:c r="E28" s="60" t="n">
        <x:v>788.1125945144</x:v>
      </x:c>
      <x:c r="F28" s="62" t="n">
        <x:v>0</x:v>
      </x:c>
      <x:c r="G28" s="66" t="n">
        <x:v>1</x:v>
      </x:c>
      <x:c r="H28" s="62" t="n">
        <x:f>IF(E28=0,"",I28/E28)</x:f>
        <x:v>4809.625480828664</x:v>
      </x:c>
      <x:c r="I28" s="60" t="n">
        <x:f>SUMIF('Species'!$G$2:$G$313,A28,'Species'!$U$2:$U$313)</x:f>
        <x:v>3790526.416338447</x:v>
      </x:c>
      <x:c r="J28" s="62" t="n">
        <x:v>3.8281007951103265</x:v>
      </x:c>
      <x:c r="K28" s="62" t="n">
        <x:f>IF(J28="","",(1/'Metadata'!$B$5)^(J28-1))</x:f>
        <x:v>4780.176859879012</x:v>
      </x:c>
      <x:c r="L28" s="60" t="n">
        <x:f>IF(E28=0,"",E28*K28)</x:f>
        <x:v>3767317.587276946</x:v>
      </x:c>
      <x:c r="M28" s="60" t="n">
        <x:f>I28-L28</x:f>
        <x:v>23208.829061501194</x:v>
      </x:c>
      <x:c r="N28" s="62" t="n">
        <x:f>IF(L28=0,"",I28/L28)</x:f>
        <x:v>1.0061605714208652</x:v>
      </x:c>
      <x:c r="O28" s="66" t="n">
        <x:f>IF(L28=0,"",M28/L28)</x:f>
        <x:v>0.0061605714208652</x:v>
      </x:c>
    </x:row>
  </x:sheetData>
  <x:conditionalFormatting sqref="G2:G28">
    <x:cfRule type="cellIs" dxfId="2" priority="1" operator="lessThan">
      <x:formula>0.9</x:formula>
    </x:cfRule>
  </x:conditionalFormatting>
  <x:conditionalFormatting sqref="O2:O2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cb4e76cf93540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LME_022</x:v>
      </x:c>
      <x:c r="B2" s="46" t="str">
        <x:v>raw_filtered_tonnes</x:v>
      </x:c>
      <x:c r="C2" s="46" t="n">
        <x:v>2717260.6982051707</x:v>
      </x:c>
      <x:c r="D2" s="46" t="str">
        <x:v>tonnes</x:v>
      </x:c>
    </x:row>
    <x:row r="3" ht="18" customHeight="1">
      <x:c r="A3" s="46" t="str">
        <x:v>LME_022</x:v>
      </x:c>
      <x:c r="B3" s="46" t="str">
        <x:v>species_catch_tonnes</x:v>
      </x:c>
      <x:c r="C3" s="46" t="n">
        <x:v>2717260.698205171</x:v>
      </x:c>
      <x:c r="D3" s="46" t="str">
        <x:v>tonnes</x:v>
      </x:c>
    </x:row>
    <x:row r="4" ht="18" customHeight="1">
      <x:c r="A4" s="46" t="str">
        <x:v>LME_022</x:v>
      </x:c>
      <x:c r="B4" s="46" t="str">
        <x:v>catch_difference_tonnes</x:v>
      </x:c>
      <x:c r="C4" s="46" t="n">
        <x:v>4.656612873077393e-10</x:v>
      </x:c>
      <x:c r="D4" s="46" t="str">
        <x:v>tonnes</x:v>
      </x:c>
    </x:row>
    <x:row r="5" ht="18" customHeight="1">
      <x:c r="A5" s="46" t="str">
        <x:v>LME_022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LME_022</x:v>
      </x:c>
      <x:c r="B6" s="46" t="str">
        <x:v>matched_catch_tonnes</x:v>
      </x:c>
      <x:c r="C6" s="46" t="n">
        <x:v>2717260.698205171</x:v>
      </x:c>
      <x:c r="D6" s="46" t="str">
        <x:v>tonnes</x:v>
      </x:c>
    </x:row>
    <x:row r="7" ht="18" customHeight="1">
      <x:c r="A7" s="46" t="str">
        <x:v>LME_022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LME_022</x:v>
      </x:c>
      <x:c r="B8" s="46" t="str">
        <x:v>taxa_count</x:v>
      </x:c>
      <x:c r="C8" s="46" t="n">
        <x:v>312</x:v>
      </x:c>
      <x:c r="D8" s="46" t="str">
        <x:v>count</x:v>
      </x:c>
    </x:row>
    <x:row r="9" ht="18" customHeight="1">
      <x:c r="A9" s="46" t="str">
        <x:v>LME_022</x:v>
      </x:c>
      <x:c r="B9" s="46" t="str">
        <x:v>matched_taxa_count</x:v>
      </x:c>
      <x:c r="C9" s="46" t="n">
        <x:v>312</x:v>
      </x:c>
      <x:c r="D9" s="46" t="str">
        <x:v>count</x:v>
      </x:c>
    </x:row>
    <x:row r="10" ht="18" customHeight="1">
      <x:c r="A10" s="46" t="str">
        <x:v>LME_022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LME_022</x:v>
      </x:c>
      <x:c r="B11" s="46" t="str">
        <x:v>species_ppr</x:v>
      </x:c>
      <x:c r="C11" s="46" t="n">
        <x:v>14130196362.913773</x:v>
      </x:c>
      <x:c r="D11" s="46" t="str">
        <x:v>tonnes_primary_production_equivalent</x:v>
      </x:c>
    </x:row>
    <x:row r="12" ht="18" customHeight="1">
      <x:c r="A12" s="46" t="str">
        <x:v>LME_022</x:v>
      </x:c>
      <x:c r="B12" s="46" t="str">
        <x:v>commercial_ppr</x:v>
      </x:c>
      <x:c r="C12" s="46" t="n">
        <x:v>14130196362.913774</x:v>
      </x:c>
      <x:c r="D12" s="46" t="str">
        <x:v>tonnes_primary_production_equivalent</x:v>
      </x:c>
    </x:row>
    <x:row r="13" ht="18" customHeight="1">
      <x:c r="A13" s="46" t="str">
        <x:v>LME_022</x:v>
      </x:c>
      <x:c r="B13" s="46" t="str">
        <x:v>functional_ppr</x:v>
      </x:c>
      <x:c r="C13" s="46" t="n">
        <x:v>14130196362.91377</x:v>
      </x:c>
      <x:c r="D13" s="46" t="str">
        <x:v>tonnes_primary_production_equivalent</x:v>
      </x:c>
    </x:row>
    <x:row r="14" ht="18" customHeight="1">
      <x:c r="A14" s="46" t="str">
        <x:v>LME_022</x:v>
      </x:c>
      <x:c r="B14" s="46" t="str">
        <x:v>commercial_ppr_difference</x:v>
      </x:c>
      <x:c r="C14" s="46" t="n">
        <x:v>0.0000019073486328125</x:v>
      </x:c>
      <x:c r="D14" s="46" t="str">
        <x:v>tonnes_primary_production_equivalent</x:v>
      </x:c>
    </x:row>
    <x:row r="15" ht="18" customHeight="1">
      <x:c r="A15" s="46" t="str">
        <x:v>LME_022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LME_022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LME_022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LME_022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LME_022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76608288e8445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LME_022 - North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LME_022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raw_data/SAU_downloads/LME_022-catch.zip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