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b07fa37ae54f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f19864de8214435c"/>
    <x:sheet xmlns:r="http://schemas.openxmlformats.org/officeDocument/2006/relationships" name="Commercial" sheetId="2" r:id="R46811ac440a0482f"/>
    <x:sheet xmlns:r="http://schemas.openxmlformats.org/officeDocument/2006/relationships" name="Functional" sheetId="3" r:id="Rb97929d8db914ae2"/>
    <x:sheet xmlns:r="http://schemas.openxmlformats.org/officeDocument/2006/relationships" name="Missing TL" sheetId="4" r:id="R04f3e0b487ab4c48"/>
    <x:sheet xmlns:r="http://schemas.openxmlformats.org/officeDocument/2006/relationships" name="Validation" sheetId="5" r:id="R52d58636f2a34363"/>
    <x:sheet xmlns:r="http://schemas.openxmlformats.org/officeDocument/2006/relationships" name="Metadata" sheetId="6" r:id="Rcffe304d4b8041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489aa0e0c04600" /><Relationship Type="http://schemas.openxmlformats.org/officeDocument/2006/relationships/theme" Target="/xl/theme/theme1.xml" Id="R832ba5ef088741c2" /><Relationship Type="http://schemas.openxmlformats.org/officeDocument/2006/relationships/sharedStrings" Target="/xl/sharedStrings.xml" Id="R8e0e329cdd2a4920" /><Relationship Type="http://schemas.openxmlformats.org/officeDocument/2006/relationships/worksheet" Target="/xl/worksheets/sheet1.xml" Id="Rf19864de8214435c" /><Relationship Type="http://schemas.openxmlformats.org/officeDocument/2006/relationships/worksheet" Target="/xl/worksheets/sheet2.xml" Id="R46811ac440a0482f" /><Relationship Type="http://schemas.openxmlformats.org/officeDocument/2006/relationships/worksheet" Target="/xl/worksheets/sheet3.xml" Id="Rb97929d8db914ae2" /><Relationship Type="http://schemas.openxmlformats.org/officeDocument/2006/relationships/worksheet" Target="/xl/worksheets/sheet4.xml" Id="R04f3e0b487ab4c48" /><Relationship Type="http://schemas.openxmlformats.org/officeDocument/2006/relationships/worksheet" Target="/xl/worksheets/sheet5.xml" Id="R52d58636f2a34363" /><Relationship Type="http://schemas.openxmlformats.org/officeDocument/2006/relationships/worksheet" Target="/xl/worksheets/sheet6.xml" Id="Rcffe304d4b804157" /></Relationships>
</file>

<file path=xl/tables/table1.xml><?xml version="1.0" encoding="utf-8"?>
<x:table xmlns:x="http://schemas.openxmlformats.org/spreadsheetml/2006/main" id="1" name="LME010SpeciesTable" displayName="LME010SpeciesTable" ref="A1:U141" headerRowCount="1" totalsRowCount="0" totalsRowShown="0">
  <x:autoFilter ref="A1:U141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10CommercialTable" displayName="LME010CommercialTable" ref="A1:O10" headerRowCount="1" totalsRowCount="0" totalsRowShown="0">
  <x:autoFilter ref="A1:O10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10FunctionalTable" displayName="LME010FunctionalTable" ref="A1:O22" headerRowCount="1" totalsRowCount="0" totalsRowShown="0">
  <x:autoFilter ref="A1:O22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10ValidationTable" displayName="LME010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cd1b00175c84d4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2c94ddf5a9647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5a69dea39dc42b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50994eb5c91432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LME_010</x:v>
      </x:c>
      <x:c r="B2" s="46" t="str">
        <x:v>Insular Pacific-Hawaiian</x:v>
      </x:c>
      <x:c r="C2" s="46" t="str">
        <x:v>LME</x:v>
      </x:c>
      <x:c r="D2" s="58" t="n">
        <x:v>2019</x:v>
      </x:c>
      <x:c r="E2" s="46" t="str">
        <x:v>Acanthocybium solandri</x:v>
      </x:c>
      <x:c r="F2" s="46" t="str">
        <x:v>Wahoo</x:v>
      </x:c>
      <x:c r="G2" s="46" t="str">
        <x:v>Large pelagics (&gt;=90 cm)</x:v>
      </x:c>
      <x:c r="H2" s="46" t="str">
        <x:v>Perch-likes</x:v>
      </x:c>
      <x:c r="I2" s="60" t="n">
        <x:v>5543.9004621671</x:v>
      </x:c>
      <x:c r="J2" s="60" t="n">
        <x:v>5541.720419853001</x:v>
      </x:c>
      <x:c r="K2" s="60" t="n">
        <x:v>2.1800423141</x:v>
      </x:c>
      <x:c r="L2" s="60" t="n">
        <x:v>347.7701110892</x:v>
      </x:c>
      <x:c r="M2" s="60" t="n">
        <x:v>5196.130351077901</x:v>
      </x:c>
      <x:c r="N2" s="46" t="str">
        <x:v>acanthocybium solandri</x:v>
      </x:c>
      <x:c r="O2" s="62" t="n">
        <x:v>4.26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Acanthocybium solandri</x:v>
      </x:c>
      <x:c r="T2" s="62" t="n">
        <x:f>IF(O2="","",(1/'Metadata'!$B$5)^(O2-1))</x:f>
        <x:v>17432.42421569787</x:v>
      </x:c>
      <x:c r="U2" s="60" t="n">
        <x:f>IF(T2="","",I2*T2)</x:f>
        <x:v>96643624.66610037</x:v>
      </x:c>
    </x:row>
    <x:row r="3" ht="18" customHeight="1">
      <x:c r="A3" s="46" t="str">
        <x:v>LME_010</x:v>
      </x:c>
      <x:c r="B3" s="46" t="str">
        <x:v>Insular Pacific-Hawaiian</x:v>
      </x:c>
      <x:c r="C3" s="46" t="str">
        <x:v>LME</x:v>
      </x:c>
      <x:c r="D3" s="58" t="n">
        <x:v>2019</x:v>
      </x:c>
      <x:c r="E3" s="46" t="str">
        <x:v>Thunnus albacares</x:v>
      </x:c>
      <x:c r="F3" s="46" t="str">
        <x:v>Yellowfin tuna</x:v>
      </x:c>
      <x:c r="G3" s="46" t="str">
        <x:v>Large pelagics (&gt;=90 cm)</x:v>
      </x:c>
      <x:c r="H3" s="46" t="str">
        <x:v>Tuna &amp; billfishes</x:v>
      </x:c>
      <x:c r="I3" s="60" t="n">
        <x:v>3553.8052751091</x:v>
      </x:c>
      <x:c r="J3" s="60" t="n">
        <x:v>3553.6660455684</x:v>
      </x:c>
      <x:c r="K3" s="60" t="n">
        <x:v>0.1392295407</x:v>
      </x:c>
      <x:c r="L3" s="60" t="n">
        <x:v>7.115988354300001</x:v>
      </x:c>
      <x:c r="M3" s="60" t="n">
        <x:v>3546.6892867548</x:v>
      </x:c>
      <x:c r="N3" s="46" t="str">
        <x:v>thunnus albacares</x:v>
      </x:c>
      <x:c r="O3" s="62" t="n">
        <x:v>4.41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Thunnus albacares</x:v>
      </x:c>
      <x:c r="T3" s="62" t="n">
        <x:f>IF(O3="","",(1/'Metadata'!$B$5)^(O3-1))</x:f>
        <x:v>27321.987305427916</x:v>
      </x:c>
      <x:c r="U3" s="60" t="n">
        <x:f>IF(T3="","",I3*T3)</x:f>
        <x:v>97097022.61249359</x:v>
      </x:c>
    </x:row>
    <x:row r="4" ht="18" customHeight="1">
      <x:c r="A4" s="46" t="str">
        <x:v>LME_010</x:v>
      </x:c>
      <x:c r="B4" s="46" t="str">
        <x:v>Insular Pacific-Hawaiian</x:v>
      </x:c>
      <x:c r="C4" s="46" t="str">
        <x:v>LME</x:v>
      </x:c>
      <x:c r="D4" s="58" t="n">
        <x:v>2019</x:v>
      </x:c>
      <x:c r="E4" s="46" t="str">
        <x:v>Coryphaena hippurus</x:v>
      </x:c>
      <x:c r="F4" s="46" t="str">
        <x:v>Common dolphinfish</x:v>
      </x:c>
      <x:c r="G4" s="46" t="str">
        <x:v>Large pelagics (&gt;=90 cm)</x:v>
      </x:c>
      <x:c r="H4" s="46" t="str">
        <x:v>Perch-likes</x:v>
      </x:c>
      <x:c r="I4" s="60" t="n">
        <x:v>2319.1291549915</x:v>
      </x:c>
      <x:c r="J4" s="60" t="n">
        <x:v>2314.715350438</x:v>
      </x:c>
      <x:c r="K4" s="60" t="n">
        <x:v>4.4138045535</x:v>
      </x:c>
      <x:c r="L4" s="60" t="n">
        <x:v>202.2203627214</x:v>
      </x:c>
      <x:c r="M4" s="60" t="n">
        <x:v>2116.9087922701</x:v>
      </x:c>
      <x:c r="N4" s="46" t="str">
        <x:v>coryphaena hippurus</x:v>
      </x:c>
      <x:c r="O4" s="62" t="n">
        <x:v>4.37</x:v>
      </x:c>
      <x:c r="P4" s="46" t="str">
        <x:v>exact_2020_supplement</x:v>
      </x:c>
      <x:c r="Q4" s="62" t="str">
        <x:v>2020 supplement MeanTL</x:v>
      </x:c>
      <x:c r="R4" s="46" t="str">
        <x:v>high</x:v>
      </x:c>
      <x:c r="S4" s="46" t="str">
        <x:v>Coryphaena hippurus</x:v>
      </x:c>
      <x:c r="T4" s="62" t="n">
        <x:f>IF(O4="","",(1/'Metadata'!$B$5)^(O4-1))</x:f>
        <x:v>24236.56596112542</x:v>
      </x:c>
      <x:c r="U4" s="60" t="n">
        <x:f>IF(T4="","",I4*T4)</x:f>
        <x:v>56207726.73732054</x:v>
      </x:c>
    </x:row>
    <x:row r="5" ht="18" customHeight="1">
      <x:c r="A5" s="46" t="str">
        <x:v>LME_010</x:v>
      </x:c>
      <x:c r="B5" s="46" t="str">
        <x:v>Insular Pacific-Hawaiian</x:v>
      </x:c>
      <x:c r="C5" s="46" t="str">
        <x:v>LME</x:v>
      </x:c>
      <x:c r="D5" s="58" t="n">
        <x:v>2019</x:v>
      </x:c>
      <x:c r="E5" s="46" t="str">
        <x:v>Thunnus obesus</x:v>
      </x:c>
      <x:c r="F5" s="46" t="str">
        <x:v>Bigeye tuna</x:v>
      </x:c>
      <x:c r="G5" s="46" t="str">
        <x:v>Large pelagics (&gt;=90 cm)</x:v>
      </x:c>
      <x:c r="H5" s="46" t="str">
        <x:v>Tuna &amp; billfishes</x:v>
      </x:c>
      <x:c r="I5" s="60" t="n">
        <x:v>1660.8804439759</x:v>
      </x:c>
      <x:c r="J5" s="60" t="n">
        <x:v>1659.7500526692</x:v>
      </x:c>
      <x:c r="K5" s="60" t="n">
        <x:v>1.1303913067</x:v>
      </x:c>
      <x:c r="L5" s="60" t="n">
        <x:v>70.71874033659999</x:v>
      </x:c>
      <x:c r="M5" s="60" t="n">
        <x:v>1590.1617036393</x:v>
      </x:c>
      <x:c r="N5" s="46" t="str">
        <x:v>thunnus obesus</x:v>
      </x:c>
      <x:c r="O5" s="62" t="n">
        <x:v>4.49</x:v>
      </x:c>
      <x:c r="P5" s="46" t="str">
        <x:v>exact_2020_supplement</x:v>
      </x:c>
      <x:c r="Q5" s="62" t="str">
        <x:v>2020 supplement MeanTL</x:v>
      </x:c>
      <x:c r="R5" s="46" t="str">
        <x:v>high</x:v>
      </x:c>
      <x:c r="S5" s="46" t="str">
        <x:v>Thunnus obesus</x:v>
      </x:c>
      <x:c r="T5" s="62" t="n">
        <x:f>IF(O5="","",(1/'Metadata'!$B$5)^(O5-1))</x:f>
        <x:v>34721.19667768202</x:v>
      </x:c>
      <x:c r="U5" s="60" t="n">
        <x:f>IF(T5="","",I5*T5)</x:f>
        <x:v>57667756.55340306</x:v>
      </x:c>
    </x:row>
    <x:row r="6" ht="18" customHeight="1">
      <x:c r="A6" s="46" t="str">
        <x:v>LME_010</x:v>
      </x:c>
      <x:c r="B6" s="46" t="str">
        <x:v>Insular Pacific-Hawaiian</x:v>
      </x:c>
      <x:c r="C6" s="46" t="str">
        <x:v>LME</x:v>
      </x:c>
      <x:c r="D6" s="58" t="n">
        <x:v>2019</x:v>
      </x:c>
      <x:c r="E6" s="46" t="str">
        <x:v>Katsuwonus pelamis</x:v>
      </x:c>
      <x:c r="F6" s="46" t="str">
        <x:v>Skipjack tuna</x:v>
      </x:c>
      <x:c r="G6" s="46" t="str">
        <x:v>Large pelagics (&gt;=90 cm)</x:v>
      </x:c>
      <x:c r="H6" s="46" t="str">
        <x:v>Tuna &amp; billfishes</x:v>
      </x:c>
      <x:c r="I6" s="60" t="n">
        <x:v>1542.1946997917</x:v>
      </x:c>
      <x:c r="J6" s="60" t="n">
        <x:v>1542.1946997917</x:v>
      </x:c>
      <x:c r="K6" s="60" t="n">
        <x:v>0</x:v>
      </x:c>
      <x:c r="L6" s="60" t="n">
        <x:v>3.8207721188</x:v>
      </x:c>
      <x:c r="M6" s="60" t="n">
        <x:v>1538.3739276729</x:v>
      </x:c>
      <x:c r="N6" s="46" t="str">
        <x:v>katsuwonus pelamis</x:v>
      </x:c>
      <x:c r="O6" s="62" t="n">
        <x:v>4.43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Katsuwonus pelamis</x:v>
      </x:c>
      <x:c r="T6" s="62" t="n">
        <x:f>IF(O6="","",(1/'Metadata'!$B$5)^(O6-1))</x:f>
        <x:v>29009.008489223597</x:v>
      </x:c>
      <x:c r="U6" s="60" t="n">
        <x:f>IF(T6="","",I6*T6)</x:f>
        <x:v>44737539.138293065</x:v>
      </x:c>
    </x:row>
    <x:row r="7" ht="18" customHeight="1">
      <x:c r="A7" s="46" t="str">
        <x:v>LME_010</x:v>
      </x:c>
      <x:c r="B7" s="46" t="str">
        <x:v>Insular Pacific-Hawaiian</x:v>
      </x:c>
      <x:c r="C7" s="46" t="str">
        <x:v>LME</x:v>
      </x:c>
      <x:c r="D7" s="58" t="n">
        <x:v>2019</x:v>
      </x:c>
      <x:c r="E7" s="46" t="str">
        <x:v>Caranx melampygus</x:v>
      </x:c>
      <x:c r="F7" s="46" t="str">
        <x:v>Bluefin trevally</x:v>
      </x:c>
      <x:c r="G7" s="46" t="str">
        <x:v>Large reef assoc. fish (&gt;=90 cm)</x:v>
      </x:c>
      <x:c r="H7" s="46" t="str">
        <x:v>Perch-likes</x:v>
      </x:c>
      <x:c r="I7" s="60" t="n">
        <x:v>1414.7690200171999</x:v>
      </x:c>
      <x:c r="J7" s="60" t="n">
        <x:v>1414.7690200171999</x:v>
      </x:c>
      <x:c r="K7" s="60" t="n">
        <x:v>0</x:v>
      </x:c>
      <x:c r="L7" s="60" t="n">
        <x:v>1.1533355738000002</x:v>
      </x:c>
      <x:c r="M7" s="60" t="n">
        <x:v>1413.6156844434</x:v>
      </x:c>
      <x:c r="N7" s="46" t="str">
        <x:v>caranx melampygus</x:v>
      </x:c>
      <x:c r="O7" s="62" t="n">
        <x:v>4.49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Caranx melampygus</x:v>
      </x:c>
      <x:c r="T7" s="62" t="n">
        <x:f>IF(O7="","",(1/'Metadata'!$B$5)^(O7-1))</x:f>
        <x:v>34721.19667768202</x:v>
      </x:c>
      <x:c r="U7" s="60" t="n">
        <x:f>IF(T7="","",I7*T7)</x:f>
        <x:v>49122473.39750864</x:v>
      </x:c>
    </x:row>
    <x:row r="8" ht="18" customHeight="1">
      <x:c r="A8" s="46" t="str">
        <x:v>LME_010</x:v>
      </x:c>
      <x:c r="B8" s="46" t="str">
        <x:v>Insular Pacific-Hawaiian</x:v>
      </x:c>
      <x:c r="C8" s="46" t="str">
        <x:v>LME</x:v>
      </x:c>
      <x:c r="D8" s="58" t="n">
        <x:v>2019</x:v>
      </x:c>
      <x:c r="E8" s="46" t="str">
        <x:v>Marine fishes not identified</x:v>
      </x:c>
      <x:c r="F8" s="46" t="str">
        <x:v>Marine fishes nei</x:v>
      </x:c>
      <x:c r="G8" s="46" t="str">
        <x:v>Medium demersals (30 - 89 cm)</x:v>
      </x:c>
      <x:c r="H8" s="46" t="str">
        <x:v>Other fishes &amp; inverts</x:v>
      </x:c>
      <x:c r="I8" s="60" t="n">
        <x:v>781.3974237634</x:v>
      </x:c>
      <x:c r="J8" s="60" t="n">
        <x:v>736.2749562096001</x:v>
      </x:c>
      <x:c r="K8" s="60" t="n">
        <x:v>45.1224675538</x:v>
      </x:c>
      <x:c r="L8" s="60" t="n">
        <x:v>84.5646783222</x:v>
      </x:c>
      <x:c r="M8" s="60" t="n">
        <x:v>696.8327454412</x:v>
      </x:c>
      <x:c r="N8" s="46" t="str">
        <x:v>marine fishes not identified</x:v>
      </x:c>
      <x:c r="O8" s="62" t="n">
        <x:v>3.28</x:v>
      </x:c>
      <x:c r="P8" s="46" t="str">
        <x:v>exact_sea_around_us</x:v>
      </x:c>
      <x:c r="Q8" s="62" t="str">
        <x:v>Sea Around Us exploited organisms</x:v>
      </x:c>
      <x:c r="R8" s="46" t="str">
        <x:v>high</x:v>
      </x:c>
      <x:c r="S8" s="46" t="str">
        <x:v>Marine fishes not identified</x:v>
      </x:c>
      <x:c r="T8" s="62" t="n">
        <x:f>IF(O8="","",(1/'Metadata'!$B$5)^(O8-1))</x:f>
        <x:v>925.4402624666747</x:v>
      </x:c>
      <x:c r="U8" s="60" t="n">
        <x:f>IF(T8="","",I8*T8)</x:f>
        <x:v>723136.6369383843</x:v>
      </x:c>
    </x:row>
    <x:row r="9" ht="18" customHeight="1">
      <x:c r="A9" s="46" t="str">
        <x:v>LME_010</x:v>
      </x:c>
      <x:c r="B9" s="46" t="str">
        <x:v>Insular Pacific-Hawaiian</x:v>
      </x:c>
      <x:c r="C9" s="46" t="str">
        <x:v>LME</x:v>
      </x:c>
      <x:c r="D9" s="58" t="n">
        <x:v>2019</x:v>
      </x:c>
      <x:c r="E9" s="46" t="str">
        <x:v>Decapterus macarellus</x:v>
      </x:c>
      <x:c r="F9" s="46" t="str">
        <x:v>Mackerel scad</x:v>
      </x:c>
      <x:c r="G9" s="46" t="str">
        <x:v>Medium pelagics (30 - 89 cm)</x:v>
      </x:c>
      <x:c r="H9" s="46" t="str">
        <x:v>Perch-likes</x:v>
      </x:c>
      <x:c r="I9" s="60" t="n">
        <x:v>423.1130872138</x:v>
      </x:c>
      <x:c r="J9" s="60" t="n">
        <x:v>423.1130872138</x:v>
      </x:c>
      <x:c r="K9" s="60" t="n">
        <x:v>0</x:v>
      </x:c>
      <x:c r="L9" s="60" t="n">
        <x:v>37.7566258084</x:v>
      </x:c>
      <x:c r="M9" s="60" t="n">
        <x:v>385.3564614054</x:v>
      </x:c>
      <x:c r="N9" s="46" t="str">
        <x:v>decapterus macarellus</x:v>
      </x:c>
      <x:c r="O9" s="62" t="n">
        <x:v>3.96</x:v>
      </x:c>
      <x:c r="P9" s="46" t="str">
        <x:v>exact_2020_supplement</x:v>
      </x:c>
      <x:c r="Q9" s="62" t="str">
        <x:v>2020 supplement MeanTL</x:v>
      </x:c>
      <x:c r="R9" s="46" t="str">
        <x:v>high</x:v>
      </x:c>
      <x:c r="S9" s="46" t="str">
        <x:v>Decapterus macarellus</x:v>
      </x:c>
      <x:c r="T9" s="62" t="n">
        <x:f>IF(O9="","",(1/'Metadata'!$B$5)^(O9-1))</x:f>
        <x:v>7096.574839945253</x:v>
      </x:c>
      <x:c r="U9" s="60" t="n">
        <x:f>IF(T9="","",I9*T9)</x:f>
        <x:v>3002653.6891730144</x:v>
      </x:c>
    </x:row>
    <x:row r="10" ht="18" customHeight="1">
      <x:c r="A10" s="46" t="str">
        <x:v>LME_010</x:v>
      </x:c>
      <x:c r="B10" s="46" t="str">
        <x:v>Insular Pacific-Hawaiian</x:v>
      </x:c>
      <x:c r="C10" s="46" t="str">
        <x:v>LME</x:v>
      </x:c>
      <x:c r="D10" s="58" t="n">
        <x:v>2019</x:v>
      </x:c>
      <x:c r="E10" s="46" t="str">
        <x:v>Taractichthys steindachneri</x:v>
      </x:c>
      <x:c r="F10" s="46" t="str">
        <x:v>Sickle pomfret</x:v>
      </x:c>
      <x:c r="G10" s="46" t="str">
        <x:v>Medium benthopelagics (30 - 89 cm)</x:v>
      </x:c>
      <x:c r="H10" s="46" t="str">
        <x:v>Perch-likes</x:v>
      </x:c>
      <x:c r="I10" s="60" t="n">
        <x:v>300.84424721259995</x:v>
      </x:c>
      <x:c r="J10" s="60" t="n">
        <x:v>300.63869496549995</x:v>
      </x:c>
      <x:c r="K10" s="60" t="n">
        <x:v>0.2055522471</x:v>
      </x:c>
      <x:c r="L10" s="60" t="n">
        <x:v>300.63869496549995</x:v>
      </x:c>
      <x:c r="M10" s="60" t="n">
        <x:v>0.2055522471</x:v>
      </x:c>
      <x:c r="N10" s="46" t="str">
        <x:v>taractichthys steindachneri</x:v>
      </x:c>
      <x:c r="O10" s="62" t="n">
        <x:v>4.09</x:v>
      </x:c>
      <x:c r="P10" s="46" t="str">
        <x:v>exact_sea_around_us</x:v>
      </x:c>
      <x:c r="Q10" s="62" t="str">
        <x:v>Sea Around Us exploited organisms</x:v>
      </x:c>
      <x:c r="R10" s="46" t="str">
        <x:v>high</x:v>
      </x:c>
      <x:c r="S10" s="46" t="str">
        <x:v>Taractichthys steindachneri</x:v>
      </x:c>
      <x:c r="T10" s="62" t="n">
        <x:f>IF(O10="","",(1/'Metadata'!$B$5)^(O10-1))</x:f>
        <x:v>10475.691168449957</x:v>
      </x:c>
      <x:c r="U10" s="60" t="n">
        <x:f>IF(T10="","",I10*T10)</x:f>
        <x:v>3151551.423604009</x:v>
      </x:c>
    </x:row>
    <x:row r="11" ht="18" customHeight="1">
      <x:c r="A11" s="46" t="str">
        <x:v>LME_010</x:v>
      </x:c>
      <x:c r="B11" s="46" t="str">
        <x:v>Insular Pacific-Hawaiian</x:v>
      </x:c>
      <x:c r="C11" s="46" t="str">
        <x:v>LME</x:v>
      </x:c>
      <x:c r="D11" s="58" t="n">
        <x:v>2019</x:v>
      </x:c>
      <x:c r="E11" s="46" t="str">
        <x:v>Selar crumenophthalmus</x:v>
      </x:c>
      <x:c r="F11" s="46" t="str">
        <x:v>Bigeye scad</x:v>
      </x:c>
      <x:c r="G11" s="46" t="str">
        <x:v>Medium pelagics (30 - 89 cm)</x:v>
      </x:c>
      <x:c r="H11" s="46" t="str">
        <x:v>Perch-likes</x:v>
      </x:c>
      <x:c r="I11" s="60" t="n">
        <x:v>285.77006023729996</x:v>
      </x:c>
      <x:c r="J11" s="60" t="n">
        <x:v>285.77006023729996</x:v>
      </x:c>
      <x:c r="K11" s="60" t="n">
        <x:v>0</x:v>
      </x:c>
      <x:c r="L11" s="60" t="n">
        <x:v>101.9137782757</x:v>
      </x:c>
      <x:c r="M11" s="60" t="n">
        <x:v>183.8562819616</x:v>
      </x:c>
      <x:c r="N11" s="46" t="str">
        <x:v>selar crumenophthalmus</x:v>
      </x:c>
      <x:c r="O11" s="62" t="n">
        <x:v>3.81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Selar crumenophthalmus</x:v>
      </x:c>
      <x:c r="T11" s="62" t="n">
        <x:f>IF(O11="","",(1/'Metadata'!$B$5)^(O11-1))</x:f>
        <x:v>4527.873529309382</x:v>
      </x:c>
      <x:c r="U11" s="60" t="n">
        <x:f>IF(T11="","",I11*T11)</x:f>
        <x:v>1293930.691217618</x:v>
      </x:c>
    </x:row>
    <x:row r="12" ht="18" customHeight="1">
      <x:c r="A12" s="46" t="str">
        <x:v>LME_010</x:v>
      </x:c>
      <x:c r="B12" s="46" t="str">
        <x:v>Insular Pacific-Hawaiian</x:v>
      </x:c>
      <x:c r="C12" s="46" t="str">
        <x:v>LME</x:v>
      </x:c>
      <x:c r="D12" s="58" t="n">
        <x:v>2019</x:v>
      </x:c>
      <x:c r="E12" s="46" t="str">
        <x:v>Lampris guttatus</x:v>
      </x:c>
      <x:c r="F12" s="46" t="str">
        <x:v>Opah</x:v>
      </x:c>
      <x:c r="G12" s="46" t="str">
        <x:v>Large bathypelagics (&gt;=90 cm)</x:v>
      </x:c>
      <x:c r="H12" s="46" t="str">
        <x:v>Other fishes &amp; inverts</x:v>
      </x:c>
      <x:c r="I12" s="60" t="n">
        <x:v>280.0678282609</x:v>
      </x:c>
      <x:c r="J12" s="60" t="n">
        <x:v>277.0933835013</x:v>
      </x:c>
      <x:c r="K12" s="60" t="n">
        <x:v>2.9744447596</x:v>
      </x:c>
      <x:c r="L12" s="60" t="n">
        <x:v>277.0933835013</x:v>
      </x:c>
      <x:c r="M12" s="60" t="n">
        <x:v>2.9744447596</x:v>
      </x:c>
      <x:c r="N12" s="46" t="str">
        <x:v>lampris guttatus</x:v>
      </x:c>
      <x:c r="O12" s="62" t="n">
        <x:v>4.22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Lampris guttatus</x:v>
      </x:c>
      <x:c r="T12" s="62" t="n">
        <x:f>IF(O12="","",(1/'Metadata'!$B$5)^(O12-1))</x:f>
        <x:v>15463.812886046735</x:v>
      </x:c>
      <x:c r="U12" s="60" t="n">
        <x:f>IF(T12="","",I12*T12)</x:f>
        <x:v>4330916.491628029</x:v>
      </x:c>
    </x:row>
    <x:row r="13" ht="18" customHeight="1">
      <x:c r="A13" s="46" t="str">
        <x:v>LME_010</x:v>
      </x:c>
      <x:c r="B13" s="46" t="str">
        <x:v>Insular Pacific-Hawaiian</x:v>
      </x:c>
      <x:c r="C13" s="46" t="str">
        <x:v>LME</x:v>
      </x:c>
      <x:c r="D13" s="58" t="n">
        <x:v>2019</x:v>
      </x:c>
      <x:c r="E13" s="46" t="str">
        <x:v>Pristipomoides filamentosus</x:v>
      </x:c>
      <x:c r="F13" s="46" t="str">
        <x:v>Crimson jobfish</x:v>
      </x:c>
      <x:c r="G13" s="46" t="str">
        <x:v>Medium demersals (30 - 89 cm)</x:v>
      </x:c>
      <x:c r="H13" s="46" t="str">
        <x:v>Perch-likes</x:v>
      </x:c>
      <x:c r="I13" s="60" t="n">
        <x:v>263.6097977698</x:v>
      </x:c>
      <x:c r="J13" s="60" t="n">
        <x:v>263.6097977698</x:v>
      </x:c>
      <x:c r="K13" s="60" t="n">
        <x:v>0</x:v>
      </x:c>
      <x:c r="L13" s="60" t="n">
        <x:v>27.777749384499998</x:v>
      </x:c>
      <x:c r="M13" s="60" t="n">
        <x:v>235.8320483853</x:v>
      </x:c>
      <x:c r="N13" s="46" t="str">
        <x:v>pristipomoides filamentosus</x:v>
      </x:c>
      <x:c r="O13" s="62" t="n">
        <x:v>4.19</x:v>
      </x:c>
      <x:c r="P13" s="46" t="str">
        <x:v>exact_2020_supplement</x:v>
      </x:c>
      <x:c r="Q13" s="62" t="str">
        <x:v>2020 supplement MeanTL</x:v>
      </x:c>
      <x:c r="R13" s="46" t="str">
        <x:v>high</x:v>
      </x:c>
      <x:c r="S13" s="46" t="str">
        <x:v>Pristipomoides filamentosus</x:v>
      </x:c>
      <x:c r="T13" s="62" t="n">
        <x:f>IF(O13="","",(1/'Metadata'!$B$5)^(O13-1))</x:f>
        <x:v>14134.67041111498</x:v>
      </x:c>
      <x:c r="U13" s="60" t="n">
        <x:f>IF(T13="","",I13*T13)</x:f>
        <x:v>3726037.608616796</x:v>
      </x:c>
    </x:row>
    <x:row r="14" ht="18" customHeight="1">
      <x:c r="A14" s="46" t="str">
        <x:v>LME_010</x:v>
      </x:c>
      <x:c r="B14" s="46" t="str">
        <x:v>Insular Pacific-Hawaiian</x:v>
      </x:c>
      <x:c r="C14" s="46" t="str">
        <x:v>LME</x:v>
      </x:c>
      <x:c r="D14" s="58" t="n">
        <x:v>2019</x:v>
      </x:c>
      <x:c r="E14" s="46" t="str">
        <x:v>Mulloidichthys vanicolensis</x:v>
      </x:c>
      <x:c r="F14" s="46" t="str">
        <x:v>Yellowfin goatfish</x:v>
      </x:c>
      <x:c r="G14" s="46" t="str">
        <x:v>Medium reef assoc. fish (30 - 89 cm)</x:v>
      </x:c>
      <x:c r="H14" s="46" t="str">
        <x:v>Perch-likes</x:v>
      </x:c>
      <x:c r="I14" s="60" t="n">
        <x:v>204.9073480834</x:v>
      </x:c>
      <x:c r="J14" s="60" t="n">
        <x:v>204.9073480834</x:v>
      </x:c>
      <x:c r="K14" s="60" t="n">
        <x:v>0</x:v>
      </x:c>
      <x:c r="L14" s="60" t="n">
        <x:v>7.531198036699999</x:v>
      </x:c>
      <x:c r="M14" s="60" t="n">
        <x:v>197.3761500467</x:v>
      </x:c>
      <x:c r="N14" s="46" t="str">
        <x:v>mulloidichthys vanicolensis</x:v>
      </x:c>
      <x:c r="O14" s="62" t="n">
        <x:v>3.6</x:v>
      </x:c>
      <x:c r="P14" s="46" t="str">
        <x:v>exact_2020_supplement</x:v>
      </x:c>
      <x:c r="Q14" s="62" t="str">
        <x:v>2020 supplement MeanTL</x:v>
      </x:c>
      <x:c r="R14" s="46" t="str">
        <x:v>high</x:v>
      </x:c>
      <x:c r="S14" s="46" t="str">
        <x:v>Mulloidichthys vanicolensis</x:v>
      </x:c>
      <x:c r="T14" s="62" t="n">
        <x:f>IF(O14="","",(1/'Metadata'!$B$5)^(O14-1))</x:f>
        <x:v>2413.670534618066</x:v>
      </x:c>
      <x:c r="U14" s="60" t="n">
        <x:f>IF(T14="","",I14*T14)</x:f>
        <x:v>494578.82839563023</x:v>
      </x:c>
    </x:row>
    <x:row r="15" ht="18" customHeight="1">
      <x:c r="A15" s="46" t="str">
        <x:v>LME_010</x:v>
      </x:c>
      <x:c r="B15" s="46" t="str">
        <x:v>Insular Pacific-Hawaiian</x:v>
      </x:c>
      <x:c r="C15" s="46" t="str">
        <x:v>LME</x:v>
      </x:c>
      <x:c r="D15" s="58" t="n">
        <x:v>2019</x:v>
      </x:c>
      <x:c r="E15" s="46" t="str">
        <x:v>Euthynnus affinis</x:v>
      </x:c>
      <x:c r="F15" s="46" t="str">
        <x:v>Kawakawa</x:v>
      </x:c>
      <x:c r="G15" s="46" t="str">
        <x:v>Large pelagics (&gt;=90 cm)</x:v>
      </x:c>
      <x:c r="H15" s="46" t="str">
        <x:v>Tuna &amp; billfishes</x:v>
      </x:c>
      <x:c r="I15" s="60" t="n">
        <x:v>203.4604106994</x:v>
      </x:c>
      <x:c r="J15" s="60" t="n">
        <x:v>203.4604106994</x:v>
      </x:c>
      <x:c r="K15" s="60" t="n">
        <x:v>0</x:v>
      </x:c>
      <x:c r="L15" s="60" t="n">
        <x:v>0</x:v>
      </x:c>
      <x:c r="M15" s="60" t="n">
        <x:v>203.4604106994</x:v>
      </x:c>
      <x:c r="N15" s="46" t="str">
        <x:v>euthynnus affinis</x:v>
      </x:c>
      <x:c r="O15" s="62" t="n">
        <x:v>4.5</x:v>
      </x:c>
      <x:c r="P15" s="46" t="str">
        <x:v>exact_2020_supplement</x:v>
      </x:c>
      <x:c r="Q15" s="62" t="str">
        <x:v>2020 supplement MeanTL</x:v>
      </x:c>
      <x:c r="R15" s="46" t="str">
        <x:v>high</x:v>
      </x:c>
      <x:c r="S15" s="46" t="str">
        <x:v>Euthynnus affinis</x:v>
      </x:c>
      <x:c r="T15" s="62" t="n">
        <x:f>IF(O15="","",(1/'Metadata'!$B$5)^(O15-1))</x:f>
        <x:v>35777.08763999664</x:v>
      </x:c>
      <x:c r="U15" s="60" t="n">
        <x:f>IF(T15="","",I15*T15)</x:f>
        <x:v>7279220.944862143</x:v>
      </x:c>
    </x:row>
    <x:row r="16" ht="18" customHeight="1">
      <x:c r="A16" s="46" t="str">
        <x:v>LME_010</x:v>
      </x:c>
      <x:c r="B16" s="46" t="str">
        <x:v>Insular Pacific-Hawaiian</x:v>
      </x:c>
      <x:c r="C16" s="46" t="str">
        <x:v>LME</x:v>
      </x:c>
      <x:c r="D16" s="58" t="n">
        <x:v>2019</x:v>
      </x:c>
      <x:c r="E16" s="46" t="str">
        <x:v>Tetrapturus angustirostris</x:v>
      </x:c>
      <x:c r="F16" s="46" t="str">
        <x:v>Shortbill spearfish</x:v>
      </x:c>
      <x:c r="G16" s="46" t="str">
        <x:v>Large pelagics (&gt;=90 cm)</x:v>
      </x:c>
      <x:c r="H16" s="46" t="str">
        <x:v>Tuna &amp; billfishes</x:v>
      </x:c>
      <x:c r="I16" s="60" t="n">
        <x:v>201.2446888242</x:v>
      </x:c>
      <x:c r="J16" s="60" t="n">
        <x:v>201.2446888242</x:v>
      </x:c>
      <x:c r="K16" s="60" t="n">
        <x:v>0</x:v>
      </x:c>
      <x:c r="L16" s="60" t="n">
        <x:v>0</x:v>
      </x:c>
      <x:c r="M16" s="60" t="n">
        <x:v>201.2446888242</x:v>
      </x:c>
      <x:c r="N16" s="46" t="str">
        <x:v>tetrapturus angustirostris</x:v>
      </x:c>
      <x:c r="O16" s="62" t="n">
        <x:v>4.5</x:v>
      </x:c>
      <x:c r="P16" s="46" t="str">
        <x:v>exact_2020_supplement</x:v>
      </x:c>
      <x:c r="Q16" s="62" t="str">
        <x:v>2020 supplement MeanTL</x:v>
      </x:c>
      <x:c r="R16" s="46" t="str">
        <x:v>high</x:v>
      </x:c>
      <x:c r="S16" s="46" t="str">
        <x:v>Tetrapturus angustirostris</x:v>
      </x:c>
      <x:c r="T16" s="62" t="n">
        <x:f>IF(O16="","",(1/'Metadata'!$B$5)^(O16-1))</x:f>
        <x:v>35777.08763999664</x:v>
      </x:c>
      <x:c r="U16" s="60" t="n">
        <x:f>IF(T16="","",I16*T16)</x:f>
        <x:v>7199948.869147255</x:v>
      </x:c>
    </x:row>
    <x:row r="17" ht="18" customHeight="1">
      <x:c r="A17" s="46" t="str">
        <x:v>LME_010</x:v>
      </x:c>
      <x:c r="B17" s="46" t="str">
        <x:v>Insular Pacific-Hawaiian</x:v>
      </x:c>
      <x:c r="C17" s="46" t="str">
        <x:v>LME</x:v>
      </x:c>
      <x:c r="D17" s="58" t="n">
        <x:v>2019</x:v>
      </x:c>
      <x:c r="E17" s="46" t="str">
        <x:v>Ferdauia orthogrammus</x:v>
      </x:c>
      <x:c r="F17" s="46" t="str">
        <x:v>Island trevally</x:v>
      </x:c>
      <x:c r="G17" s="46" t="str">
        <x:v>Medium pelagics (30 - 89 cm)</x:v>
      </x:c>
      <x:c r="H17" s="46" t="str">
        <x:v>Perch-likes</x:v>
      </x:c>
      <x:c r="I17" s="60" t="n">
        <x:v>154.8531341294</x:v>
      </x:c>
      <x:c r="J17" s="60" t="n">
        <x:v>154.8531341294</x:v>
      </x:c>
      <x:c r="K17" s="60" t="n">
        <x:v>0</x:v>
      </x:c>
      <x:c r="L17" s="60" t="n">
        <x:v>2.5266769294</x:v>
      </x:c>
      <x:c r="M17" s="60" t="n">
        <x:v>152.3264572</x:v>
      </x:c>
      <x:c r="N17" s="46" t="str">
        <x:v>ferdauia orthogrammus</x:v>
      </x:c>
      <x:c r="O17" s="62" t="n">
        <x:v>4.48</x:v>
      </x:c>
      <x:c r="P17" s="46" t="str">
        <x:v>exact_sea_around_us</x:v>
      </x:c>
      <x:c r="Q17" s="62" t="str">
        <x:v>Sea Around Us exploited organisms</x:v>
      </x:c>
      <x:c r="R17" s="46" t="str">
        <x:v>high</x:v>
      </x:c>
      <x:c r="S17" s="46" t="str">
        <x:v>Ferdauia orthogrammus</x:v>
      </x:c>
      <x:c r="T17" s="62" t="n">
        <x:f>IF(O17="","",(1/'Metadata'!$B$5)^(O17-1))</x:f>
        <x:v>33696.468277717824</x:v>
      </x:c>
      <x:c r="U17" s="60" t="n">
        <x:f>IF(T17="","",I17*T17)</x:f>
        <x:v>5218003.72189651</x:v>
      </x:c>
    </x:row>
    <x:row r="18" ht="18" customHeight="1">
      <x:c r="A18" s="46" t="str">
        <x:v>LME_010</x:v>
      </x:c>
      <x:c r="B18" s="46" t="str">
        <x:v>Insular Pacific-Hawaiian</x:v>
      </x:c>
      <x:c r="C18" s="46" t="str">
        <x:v>LME</x:v>
      </x:c>
      <x:c r="D18" s="58" t="n">
        <x:v>2019</x:v>
      </x:c>
      <x:c r="E18" s="46" t="str">
        <x:v>Kajikia audax</x:v>
      </x:c>
      <x:c r="F18" s="46" t="str">
        <x:v>Striped marlin</x:v>
      </x:c>
      <x:c r="G18" s="46" t="str">
        <x:v>Large pelagics (&gt;=90 cm)</x:v>
      </x:c>
      <x:c r="H18" s="46" t="str">
        <x:v>Tuna &amp; billfishes</x:v>
      </x:c>
      <x:c r="I18" s="60" t="n">
        <x:v>153.80275642380002</x:v>
      </x:c>
      <x:c r="J18" s="60" t="n">
        <x:v>153.80275642380002</x:v>
      </x:c>
      <x:c r="K18" s="60" t="n">
        <x:v>0</x:v>
      </x:c>
      <x:c r="L18" s="60" t="n">
        <x:v>13.8986690199</x:v>
      </x:c>
      <x:c r="M18" s="60" t="n">
        <x:v>139.9040874039</x:v>
      </x:c>
      <x:c r="N18" s="46" t="str">
        <x:v>kajikia audax</x:v>
      </x:c>
      <x:c r="O18" s="62" t="n">
        <x:v>4.58</x:v>
      </x:c>
      <x:c r="P18" s="46" t="str">
        <x:v>exact_2020_supplement</x:v>
      </x:c>
      <x:c r="Q18" s="62" t="str">
        <x:v>2020 supplement MeanTL</x:v>
      </x:c>
      <x:c r="R18" s="46" t="str">
        <x:v>high</x:v>
      </x:c>
      <x:c r="S18" s="46" t="str">
        <x:v>Kajikia audax</x:v>
      </x:c>
      <x:c r="T18" s="62" t="n">
        <x:f>IF(O18="","",(1/'Metadata'!$B$5)^(O18-1))</x:f>
        <x:v>45466.06667430095</x:v>
      </x:c>
      <x:c r="U18" s="60" t="n">
        <x:f>IF(T18="","",I18*T18)</x:f>
        <x:v>6992806.37825576</x:v>
      </x:c>
    </x:row>
    <x:row r="19" ht="18" customHeight="1">
      <x:c r="A19" s="46" t="str">
        <x:v>LME_010</x:v>
      </x:c>
      <x:c r="B19" s="46" t="str">
        <x:v>Insular Pacific-Hawaiian</x:v>
      </x:c>
      <x:c r="C19" s="46" t="str">
        <x:v>LME</x:v>
      </x:c>
      <x:c r="D19" s="58" t="n">
        <x:v>2019</x:v>
      </x:c>
      <x:c r="E19" s="46" t="str">
        <x:v>Caranx ignobilis</x:v>
      </x:c>
      <x:c r="F19" s="46" t="str">
        <x:v>Giant trevally</x:v>
      </x:c>
      <x:c r="G19" s="46" t="str">
        <x:v>Large reef assoc. fish (&gt;=90 cm)</x:v>
      </x:c>
      <x:c r="H19" s="46" t="str">
        <x:v>Perch-likes</x:v>
      </x:c>
      <x:c r="I19" s="60" t="n">
        <x:v>151.1022896446</x:v>
      </x:c>
      <x:c r="J19" s="60" t="n">
        <x:v>151.1022896446</x:v>
      </x:c>
      <x:c r="K19" s="60" t="n">
        <x:v>0</x:v>
      </x:c>
      <x:c r="L19" s="60" t="n">
        <x:v>2.723472028</x:v>
      </x:c>
      <x:c r="M19" s="60" t="n">
        <x:v>148.3788176166</x:v>
      </x:c>
      <x:c r="N19" s="46" t="str">
        <x:v>caranx ignobilis</x:v>
      </x:c>
      <x:c r="O19" s="62" t="n">
        <x:v>4.22</x:v>
      </x:c>
      <x:c r="P19" s="46" t="str">
        <x:v>exact_2020_supplement</x:v>
      </x:c>
      <x:c r="Q19" s="62" t="str">
        <x:v>2020 supplement MeanTL</x:v>
      </x:c>
      <x:c r="R19" s="46" t="str">
        <x:v>high</x:v>
      </x:c>
      <x:c r="S19" s="46" t="str">
        <x:v>Caranx ignobilis</x:v>
      </x:c>
      <x:c r="T19" s="62" t="n">
        <x:f>IF(O19="","",(1/'Metadata'!$B$5)^(O19-1))</x:f>
        <x:v>15463.812886046735</x:v>
      </x:c>
      <x:c r="U19" s="60" t="n">
        <x:f>IF(T19="","",I19*T19)</x:f>
        <x:v>2336617.5337173315</x:v>
      </x:c>
    </x:row>
    <x:row r="20" ht="18" customHeight="1">
      <x:c r="A20" s="46" t="str">
        <x:v>LME_010</x:v>
      </x:c>
      <x:c r="B20" s="46" t="str">
        <x:v>Insular Pacific-Hawaiian</x:v>
      </x:c>
      <x:c r="C20" s="46" t="str">
        <x:v>LME</x:v>
      </x:c>
      <x:c r="D20" s="58" t="n">
        <x:v>2019</x:v>
      </x:c>
      <x:c r="E20" s="46" t="str">
        <x:v>Lutjanus kasmira</x:v>
      </x:c>
      <x:c r="F20" s="46" t="str">
        <x:v>Common bluestripe snapper</x:v>
      </x:c>
      <x:c r="G20" s="46" t="str">
        <x:v>Medium reef assoc. fish (30 - 89 cm)</x:v>
      </x:c>
      <x:c r="H20" s="46" t="str">
        <x:v>Perch-likes</x:v>
      </x:c>
      <x:c r="I20" s="60" t="n">
        <x:v>140.1500998294</x:v>
      </x:c>
      <x:c r="J20" s="60" t="n">
        <x:v>140.1500998294</x:v>
      </x:c>
      <x:c r="K20" s="60" t="n">
        <x:v>0</x:v>
      </x:c>
      <x:c r="L20" s="60" t="n">
        <x:v>13.5581441439</x:v>
      </x:c>
      <x:c r="M20" s="60" t="n">
        <x:v>126.5919556855</x:v>
      </x:c>
      <x:c r="N20" s="46" t="str">
        <x:v>lutjanus kasmira</x:v>
      </x:c>
      <x:c r="O20" s="62" t="n">
        <x:v>3.87</x:v>
      </x:c>
      <x:c r="P20" s="46" t="str">
        <x:v>exact_2020_supplement</x:v>
      </x:c>
      <x:c r="Q20" s="62" t="str">
        <x:v>2020 supplement MeanTL</x:v>
      </x:c>
      <x:c r="R20" s="46" t="str">
        <x:v>high</x:v>
      </x:c>
      <x:c r="S20" s="46" t="str">
        <x:v>Lutjanus kasmira</x:v>
      </x:c>
      <x:c r="T20" s="62" t="n">
        <x:f>IF(O20="","",(1/'Metadata'!$B$5)^(O20-1))</x:f>
        <x:v>5419.460903023396</x:v>
      </x:c>
      <x:c r="U20" s="60" t="n">
        <x:f>IF(T20="","",I20*T20)</x:f>
        <x:v>759537.9865802593</x:v>
      </x:c>
    </x:row>
    <x:row r="21" ht="18" customHeight="1">
      <x:c r="A21" s="46" t="str">
        <x:v>LME_010</x:v>
      </x:c>
      <x:c r="B21" s="46" t="str">
        <x:v>Insular Pacific-Hawaiian</x:v>
      </x:c>
      <x:c r="C21" s="46" t="str">
        <x:v>LME</x:v>
      </x:c>
      <x:c r="D21" s="58" t="n">
        <x:v>2019</x:v>
      </x:c>
      <x:c r="E21" s="46" t="str">
        <x:v>Sphyrna lewini</x:v>
      </x:c>
      <x:c r="F21" s="46" t="str">
        <x:v>Scalloped hammerhead</x:v>
      </x:c>
      <x:c r="G21" s="46" t="str">
        <x:v>Large sharks (&gt;=90 cm)</x:v>
      </x:c>
      <x:c r="H21" s="46" t="str">
        <x:v>Sharks &amp; rays</x:v>
      </x:c>
      <x:c r="I21" s="60" t="n">
        <x:v>120.77976292</x:v>
      </x:c>
      <x:c r="J21" s="60" t="n">
        <x:v>120.77976292</x:v>
      </x:c>
      <x:c r="K21" s="60" t="n">
        <x:v>0</x:v>
      </x:c>
      <x:c r="L21" s="60" t="n">
        <x:v>0</x:v>
      </x:c>
      <x:c r="M21" s="60" t="n">
        <x:v>120.77976292</x:v>
      </x:c>
      <x:c r="N21" s="46" t="str">
        <x:v>sphyrna lewini</x:v>
      </x:c>
      <x:c r="O21" s="62" t="n">
        <x:v>4.08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Sphyrna lewini</x:v>
      </x:c>
      <x:c r="T21" s="62" t="n">
        <x:f>IF(O21="","",(1/'Metadata'!$B$5)^(O21-1))</x:f>
        <x:v>10166.521575327472</x:v>
      </x:c>
      <x:c r="U21" s="60" t="n">
        <x:f>IF(T21="","",I21*T21)</x:f>
        <x:v>1227910.065589117</x:v>
      </x:c>
    </x:row>
    <x:row r="22" ht="18" customHeight="1">
      <x:c r="A22" s="46" t="str">
        <x:v>LME_010</x:v>
      </x:c>
      <x:c r="B22" s="46" t="str">
        <x:v>Insular Pacific-Hawaiian</x:v>
      </x:c>
      <x:c r="C22" s="46" t="str">
        <x:v>LME</x:v>
      </x:c>
      <x:c r="D22" s="58" t="n">
        <x:v>2019</x:v>
      </x:c>
      <x:c r="E22" s="46" t="str">
        <x:v>Ruvettus pretiosus</x:v>
      </x:c>
      <x:c r="F22" s="46" t="str">
        <x:v>Oilfish</x:v>
      </x:c>
      <x:c r="G22" s="46" t="str">
        <x:v>Large benthopelagics (&gt;=90 cm)</x:v>
      </x:c>
      <x:c r="H22" s="46" t="str">
        <x:v>Perch-likes</x:v>
      </x:c>
      <x:c r="I22" s="60" t="n">
        <x:v>106.0262446238</x:v>
      </x:c>
      <x:c r="J22" s="60" t="n">
        <x:v>102.772091063</x:v>
      </x:c>
      <x:c r="K22" s="60" t="n">
        <x:v>3.2541535608000003</x:v>
      </x:c>
      <x:c r="L22" s="60" t="n">
        <x:v>102.772091063</x:v>
      </x:c>
      <x:c r="M22" s="60" t="n">
        <x:v>3.2541535608000003</x:v>
      </x:c>
      <x:c r="N22" s="46" t="str">
        <x:v>ruvettus pretiosus</x:v>
      </x:c>
      <x:c r="O22" s="62" t="n">
        <x:v>4.18</x:v>
      </x:c>
      <x:c r="P22" s="46" t="str">
        <x:v>exact_2020_supplement</x:v>
      </x:c>
      <x:c r="Q22" s="62" t="str">
        <x:v>2020 supplement MeanTL</x:v>
      </x:c>
      <x:c r="R22" s="46" t="str">
        <x:v>high</x:v>
      </x:c>
      <x:c r="S22" s="46" t="str">
        <x:v>Ruvettus pretiosus</x:v>
      </x:c>
      <x:c r="T22" s="62" t="n">
        <x:f>IF(O22="","",(1/'Metadata'!$B$5)^(O22-1))</x:f>
        <x:v>13717.513182092556</x:v>
      </x:c>
      <x:c r="U22" s="60" t="n">
        <x:f>IF(T22="","",I22*T22)</x:f>
        <x:v>1454416.4082747465</x:v>
      </x:c>
    </x:row>
    <x:row r="23" ht="18" customHeight="1">
      <x:c r="A23" s="46" t="str">
        <x:v>LME_010</x:v>
      </x:c>
      <x:c r="B23" s="46" t="str">
        <x:v>Insular Pacific-Hawaiian</x:v>
      </x:c>
      <x:c r="C23" s="46" t="str">
        <x:v>LME</x:v>
      </x:c>
      <x:c r="D23" s="58" t="n">
        <x:v>2019</x:v>
      </x:c>
      <x:c r="E23" s="46" t="str">
        <x:v>Acanthurus triostegus</x:v>
      </x:c>
      <x:c r="F23" s="46" t="str">
        <x:v>Convict surgeonfish</x:v>
      </x:c>
      <x:c r="G23" s="46" t="str">
        <x:v>Small reef assoc. fish (&lt;30 cm)</x:v>
      </x:c>
      <x:c r="H23" s="46" t="str">
        <x:v>Perch-likes</x:v>
      </x:c>
      <x:c r="I23" s="60" t="n">
        <x:v>92.2235036492</x:v>
      </x:c>
      <x:c r="J23" s="60" t="n">
        <x:v>92.2235036492</x:v>
      </x:c>
      <x:c r="K23" s="60" t="n">
        <x:v>0</x:v>
      </x:c>
      <x:c r="L23" s="60" t="n">
        <x:v>4.1293039729</x:v>
      </x:c>
      <x:c r="M23" s="60" t="n">
        <x:v>88.0941996763</x:v>
      </x:c>
      <x:c r="N23" s="46" t="str">
        <x:v>acanthurus triostegus</x:v>
      </x:c>
      <x:c r="O23" s="62" t="n">
        <x:v>2.78</x:v>
      </x:c>
      <x:c r="P23" s="46" t="str">
        <x:v>exact_2020_supplement</x:v>
      </x:c>
      <x:c r="Q23" s="62" t="str">
        <x:v>2020 supplement MeanTL</x:v>
      </x:c>
      <x:c r="R23" s="46" t="str">
        <x:v>high</x:v>
      </x:c>
      <x:c r="S23" s="46" t="str">
        <x:v>Acanthurus triostegus</x:v>
      </x:c>
      <x:c r="T23" s="62" t="n">
        <x:f>IF(O23="","",(1/'Metadata'!$B$5)^(O23-1))</x:f>
        <x:v>206.93473359907316</x:v>
      </x:c>
      <x:c r="U23" s="60" t="n">
        <x:f>IF(T23="","",I23*T23)</x:f>
        <x:v>19084.24615922035</x:v>
      </x:c>
    </x:row>
    <x:row r="24" ht="18" customHeight="1">
      <x:c r="A24" s="46" t="str">
        <x:v>LME_010</x:v>
      </x:c>
      <x:c r="B24" s="46" t="str">
        <x:v>Insular Pacific-Hawaiian</x:v>
      </x:c>
      <x:c r="C24" s="46" t="str">
        <x:v>LME</x:v>
      </x:c>
      <x:c r="D24" s="58" t="n">
        <x:v>2019</x:v>
      </x:c>
      <x:c r="E24" s="46" t="str">
        <x:v>Aprion virescens</x:v>
      </x:c>
      <x:c r="F24" s="46" t="str">
        <x:v>Green jobfish</x:v>
      </x:c>
      <x:c r="G24" s="46" t="str">
        <x:v>Large reef assoc. fish (&gt;=90 cm)</x:v>
      </x:c>
      <x:c r="H24" s="46" t="str">
        <x:v>Perch-likes</x:v>
      </x:c>
      <x:c r="I24" s="60" t="n">
        <x:v>86.6355398172</x:v>
      </x:c>
      <x:c r="J24" s="60" t="n">
        <x:v>86.6355398172</x:v>
      </x:c>
      <x:c r="K24" s="60" t="n">
        <x:v>0</x:v>
      </x:c>
      <x:c r="L24" s="60" t="n">
        <x:v>37.0826781835</x:v>
      </x:c>
      <x:c r="M24" s="60" t="n">
        <x:v>49.5528616337</x:v>
      </x:c>
      <x:c r="N24" s="46" t="str">
        <x:v>aprion virescens</x:v>
      </x:c>
      <x:c r="O24" s="62" t="n">
        <x:v>4.28</x:v>
      </x:c>
      <x:c r="P24" s="46" t="str">
        <x:v>exact_2020_supplement</x:v>
      </x:c>
      <x:c r="Q24" s="62" t="str">
        <x:v>2020 supplement MeanTL</x:v>
      </x:c>
      <x:c r="R24" s="46" t="str">
        <x:v>high</x:v>
      </x:c>
      <x:c r="S24" s="46" t="str">
        <x:v>Aprion virescens</x:v>
      </x:c>
      <x:c r="T24" s="62" t="n">
        <x:f>IF(O24="","",(1/'Metadata'!$B$5)^(O24-1))</x:f>
        <x:v>18508.805249333516</x:v>
      </x:c>
      <x:c r="U24" s="60" t="n">
        <x:f>IF(T24="","",I24*T24)</x:f>
        <x:v>1603520.3341474342</x:v>
      </x:c>
    </x:row>
    <x:row r="25" ht="18" customHeight="1">
      <x:c r="A25" s="46" t="str">
        <x:v>LME_010</x:v>
      </x:c>
      <x:c r="B25" s="46" t="str">
        <x:v>Insular Pacific-Hawaiian</x:v>
      </x:c>
      <x:c r="C25" s="46" t="str">
        <x:v>LME</x:v>
      </x:c>
      <x:c r="D25" s="58" t="n">
        <x:v>2019</x:v>
      </x:c>
      <x:c r="E25" s="46" t="str">
        <x:v>Parupeneus multifasciatus</x:v>
      </x:c>
      <x:c r="F25" s="46" t="str">
        <x:v>Manybar goatfish</x:v>
      </x:c>
      <x:c r="G25" s="46" t="str">
        <x:v>Medium reef assoc. fish (30 - 89 cm)</x:v>
      </x:c>
      <x:c r="H25" s="46" t="str">
        <x:v>Perch-likes</x:v>
      </x:c>
      <x:c r="I25" s="60" t="n">
        <x:v>76.2729532928</x:v>
      </x:c>
      <x:c r="J25" s="60" t="n">
        <x:v>76.2729532928</x:v>
      </x:c>
      <x:c r="K25" s="60" t="n">
        <x:v>0</x:v>
      </x:c>
      <x:c r="L25" s="60" t="n">
        <x:v>0.8647794031</x:v>
      </x:c>
      <x:c r="M25" s="60" t="n">
        <x:v>75.4081738897</x:v>
      </x:c>
      <x:c r="N25" s="46" t="str">
        <x:v>parupeneus multifasciatus</x:v>
      </x:c>
      <x:c r="O25" s="62" t="n">
        <x:v>3.5</x:v>
      </x:c>
      <x:c r="P25" s="46" t="str">
        <x:v>exact_2020_supplement</x:v>
      </x:c>
      <x:c r="Q25" s="62" t="str">
        <x:v>2020 supplement MeanTL</x:v>
      </x:c>
      <x:c r="R25" s="46" t="str">
        <x:v>high</x:v>
      </x:c>
      <x:c r="S25" s="46" t="str">
        <x:v>Parupeneus multifasciatus</x:v>
      </x:c>
      <x:c r="T25" s="62" t="n">
        <x:f>IF(O25="","",(1/'Metadata'!$B$5)^(O25-1))</x:f>
        <x:v>1788.8543819998317</x:v>
      </x:c>
      <x:c r="U25" s="60" t="n">
        <x:f>IF(T25="","",I25*T25)</x:f>
        <x:v>136441.20672589378</x:v>
      </x:c>
    </x:row>
    <x:row r="26" ht="18" customHeight="1">
      <x:c r="A26" s="46" t="str">
        <x:v>LME_010</x:v>
      </x:c>
      <x:c r="B26" s="46" t="str">
        <x:v>Insular Pacific-Hawaiian</x:v>
      </x:c>
      <x:c r="C26" s="46" t="str">
        <x:v>LME</x:v>
      </x:c>
      <x:c r="D26" s="58" t="n">
        <x:v>2019</x:v>
      </x:c>
      <x:c r="E26" s="46" t="str">
        <x:v>Etelis coruscans</x:v>
      </x:c>
      <x:c r="F26" s="46" t="str">
        <x:v>Deepwater longtail red snapper</x:v>
      </x:c>
      <x:c r="G26" s="46" t="str">
        <x:v>Large bathydemersals (&gt;=90 cm)</x:v>
      </x:c>
      <x:c r="H26" s="46" t="str">
        <x:v>Perch-likes</x:v>
      </x:c>
      <x:c r="I26" s="60" t="n">
        <x:v>76.1312414689</x:v>
      </x:c>
      <x:c r="J26" s="60" t="n">
        <x:v>76.1312414689</x:v>
      </x:c>
      <x:c r="K26" s="60" t="n">
        <x:v>0</x:v>
      </x:c>
      <x:c r="L26" s="60" t="n">
        <x:v>24.3021124535</x:v>
      </x:c>
      <x:c r="M26" s="60" t="n">
        <x:v>51.8291290154</x:v>
      </x:c>
      <x:c r="N26" s="46" t="str">
        <x:v>etelis coruscans</x:v>
      </x:c>
      <x:c r="O26" s="62" t="n">
        <x:v>4.42</x:v>
      </x:c>
      <x:c r="P26" s="46" t="str">
        <x:v>exact_2020_supplement</x:v>
      </x:c>
      <x:c r="Q26" s="62" t="str">
        <x:v>2020 supplement MeanTL</x:v>
      </x:c>
      <x:c r="R26" s="46" t="str">
        <x:v>high</x:v>
      </x:c>
      <x:c r="S26" s="46" t="str">
        <x:v>Etelis coruscans</x:v>
      </x:c>
      <x:c r="T26" s="62" t="n">
        <x:f>IF(O26="","",(1/'Metadata'!$B$5)^(O26-1))</x:f>
        <x:v>28152.864182630117</x:v>
      </x:c>
      <x:c r="U26" s="60" t="n">
        <x:f>IF(T26="","",I26*T26)</x:f>
        <x:v>2143312.5011289595</x:v>
      </x:c>
    </x:row>
    <x:row r="27" ht="18" customHeight="1">
      <x:c r="A27" s="46" t="str">
        <x:v>LME_010</x:v>
      </x:c>
      <x:c r="B27" s="46" t="str">
        <x:v>Insular Pacific-Hawaiian</x:v>
      </x:c>
      <x:c r="C27" s="46" t="str">
        <x:v>LME</x:v>
      </x:c>
      <x:c r="D27" s="58" t="n">
        <x:v>2019</x:v>
      </x:c>
      <x:c r="E27" s="46" t="str">
        <x:v>Prionace glauca</x:v>
      </x:c>
      <x:c r="F27" s="46" t="str">
        <x:v>Blue shark</x:v>
      </x:c>
      <x:c r="G27" s="46" t="str">
        <x:v>Large sharks (&gt;=90 cm)</x:v>
      </x:c>
      <x:c r="H27" s="46" t="str">
        <x:v>Sharks &amp; rays</x:v>
      </x:c>
      <x:c r="I27" s="60" t="n">
        <x:v>74.4389890098</x:v>
      </x:c>
      <x:c r="J27" s="60" t="n">
        <x:v>0</x:v>
      </x:c>
      <x:c r="K27" s="60" t="n">
        <x:v>74.4389890098</x:v>
      </x:c>
      <x:c r="L27" s="60" t="n">
        <x:v>0</x:v>
      </x:c>
      <x:c r="M27" s="60" t="n">
        <x:v>74.4389890098</x:v>
      </x:c>
      <x:c r="N27" s="46" t="str">
        <x:v>prionace glauca</x:v>
      </x:c>
      <x:c r="O27" s="62" t="n">
        <x:v>4.35</x:v>
      </x:c>
      <x:c r="P27" s="46" t="str">
        <x:v>exact_2020_supplement</x:v>
      </x:c>
      <x:c r="Q27" s="62" t="str">
        <x:v>2020 supplement MeanTL</x:v>
      </x:c>
      <x:c r="R27" s="46" t="str">
        <x:v>high</x:v>
      </x:c>
      <x:c r="S27" s="46" t="str">
        <x:v>Prionace glauca</x:v>
      </x:c>
      <x:c r="T27" s="62" t="n">
        <x:f>IF(O27="","",(1/'Metadata'!$B$5)^(O27-1))</x:f>
        <x:v>22827.086550132422</x:v>
      </x:c>
      <x:c r="U27" s="60" t="n">
        <x:f>IF(T27="","",I27*T27)</x:f>
        <x:v>1699225.2448310608</x:v>
      </x:c>
    </x:row>
    <x:row r="28" ht="18" customHeight="1">
      <x:c r="A28" s="46" t="str">
        <x:v>LME_010</x:v>
      </x:c>
      <x:c r="B28" s="46" t="str">
        <x:v>Insular Pacific-Hawaiian</x:v>
      </x:c>
      <x:c r="C28" s="46" t="str">
        <x:v>LME</x:v>
      </x:c>
      <x:c r="D28" s="58" t="n">
        <x:v>2019</x:v>
      </x:c>
      <x:c r="E28" s="46" t="str">
        <x:v>Acanthurus xanthopterus</x:v>
      </x:c>
      <x:c r="F28" s="46" t="str">
        <x:v>Yellowfin surgeonfish</x:v>
      </x:c>
      <x:c r="G28" s="46" t="str">
        <x:v>Medium reef assoc. fish (30 - 89 cm)</x:v>
      </x:c>
      <x:c r="H28" s="46" t="str">
        <x:v>Perch-likes</x:v>
      </x:c>
      <x:c r="I28" s="60" t="n">
        <x:v>71.5454380623</x:v>
      </x:c>
      <x:c r="J28" s="60" t="n">
        <x:v>71.5454380623</x:v>
      </x:c>
      <x:c r="K28" s="60" t="n">
        <x:v>0</x:v>
      </x:c>
      <x:c r="L28" s="60" t="n">
        <x:v>0</x:v>
      </x:c>
      <x:c r="M28" s="60" t="n">
        <x:v>71.5454380623</x:v>
      </x:c>
      <x:c r="N28" s="46" t="str">
        <x:v>acanthurus xanthopterus</x:v>
      </x:c>
      <x:c r="O28" s="62" t="n">
        <x:v>2.87</x:v>
      </x:c>
      <x:c r="P28" s="46" t="str">
        <x:v>exact_2020_supplement</x:v>
      </x:c>
      <x:c r="Q28" s="62" t="str">
        <x:v>2020 supplement MeanTL</x:v>
      </x:c>
      <x:c r="R28" s="46" t="str">
        <x:v>high</x:v>
      </x:c>
      <x:c r="S28" s="46" t="str">
        <x:v>Acanthurus xanthopterus</x:v>
      </x:c>
      <x:c r="T28" s="62" t="n">
        <x:f>IF(O28="","",(1/'Metadata'!$B$5)^(O28-1))</x:f>
        <x:v>270.9730451511698</x:v>
      </x:c>
      <x:c r="U28" s="60" t="n">
        <x:f>IF(T28="","",I28*T28)</x:f>
        <x:v>19386.88521841584</x:v>
      </x:c>
    </x:row>
    <x:row r="29" ht="18" customHeight="1">
      <x:c r="A29" s="46" t="str">
        <x:v>LME_010</x:v>
      </x:c>
      <x:c r="B29" s="46" t="str">
        <x:v>Insular Pacific-Hawaiian</x:v>
      </x:c>
      <x:c r="C29" s="46" t="str">
        <x:v>LME</x:v>
      </x:c>
      <x:c r="D29" s="58" t="n">
        <x:v>2019</x:v>
      </x:c>
      <x:c r="E29" s="46" t="str">
        <x:v>Etelis carbunculus</x:v>
      </x:c>
      <x:c r="F29" s="46" t="str">
        <x:v>Deep-water red snapper</x:v>
      </x:c>
      <x:c r="G29" s="46" t="str">
        <x:v>Large demersals (&gt;=90 cm)</x:v>
      </x:c>
      <x:c r="H29" s="46" t="str">
        <x:v>Perch-likes</x:v>
      </x:c>
      <x:c r="I29" s="60" t="n">
        <x:v>71.18616095189999</x:v>
      </x:c>
      <x:c r="J29" s="60" t="n">
        <x:v>71.18616095189999</x:v>
      </x:c>
      <x:c r="K29" s="60" t="n">
        <x:v>0</x:v>
      </x:c>
      <x:c r="L29" s="60" t="n">
        <x:v>11.0821105647</x:v>
      </x:c>
      <x:c r="M29" s="60" t="n">
        <x:v>60.1040503872</x:v>
      </x:c>
      <x:c r="N29" s="46" t="str">
        <x:v>etelis carbunculus</x:v>
      </x:c>
      <x:c r="O29" s="62" t="n">
        <x:v>4.49</x:v>
      </x:c>
      <x:c r="P29" s="46" t="str">
        <x:v>exact_2020_supplement</x:v>
      </x:c>
      <x:c r="Q29" s="62" t="str">
        <x:v>2020 supplement MeanTL</x:v>
      </x:c>
      <x:c r="R29" s="46" t="str">
        <x:v>high</x:v>
      </x:c>
      <x:c r="S29" s="46" t="str">
        <x:v>Etelis carbunculus</x:v>
      </x:c>
      <x:c r="T29" s="62" t="n">
        <x:f>IF(O29="","",(1/'Metadata'!$B$5)^(O29-1))</x:f>
        <x:v>34721.19667768202</x:v>
      </x:c>
      <x:c r="U29" s="60" t="n">
        <x:f>IF(T29="","",I29*T29)</x:f>
        <x:v>2471668.6951400475</x:v>
      </x:c>
    </x:row>
    <x:row r="30" ht="18" customHeight="1">
      <x:c r="A30" s="46" t="str">
        <x:v>LME_010</x:v>
      </x:c>
      <x:c r="B30" s="46" t="str">
        <x:v>Insular Pacific-Hawaiian</x:v>
      </x:c>
      <x:c r="C30" s="46" t="str">
        <x:v>LME</x:v>
      </x:c>
      <x:c r="D30" s="58" t="n">
        <x:v>2019</x:v>
      </x:c>
      <x:c r="E30" s="46" t="str">
        <x:v>Mulloidichthys flavolineatus</x:v>
      </x:c>
      <x:c r="F30" s="46" t="str">
        <x:v>Yellowstripe goatfish</x:v>
      </x:c>
      <x:c r="G30" s="46" t="str">
        <x:v>Medium reef assoc. fish (30 - 89 cm)</x:v>
      </x:c>
      <x:c r="H30" s="46" t="str">
        <x:v>Perch-likes</x:v>
      </x:c>
      <x:c r="I30" s="60" t="n">
        <x:v>68.3777460293</x:v>
      </x:c>
      <x:c r="J30" s="60" t="n">
        <x:v>68.3777460293</x:v>
      </x:c>
      <x:c r="K30" s="60" t="n">
        <x:v>0</x:v>
      </x:c>
      <x:c r="L30" s="60" t="n">
        <x:v>1.3173323554</x:v>
      </x:c>
      <x:c r="M30" s="60" t="n">
        <x:v>67.0604136739</x:v>
      </x:c>
      <x:c r="N30" s="46" t="str">
        <x:v>mulloidichthys flavolineatus</x:v>
      </x:c>
      <x:c r="O30" s="62" t="n">
        <x:v>3.84</x:v>
      </x:c>
      <x:c r="P30" s="46" t="str">
        <x:v>exact_2020_supplement</x:v>
      </x:c>
      <x:c r="Q30" s="62" t="str">
        <x:v>2020 supplement MeanTL</x:v>
      </x:c>
      <x:c r="R30" s="46" t="str">
        <x:v>high</x:v>
      </x:c>
      <x:c r="S30" s="46" t="str">
        <x:v>Mulloidichthys flavolineatus</x:v>
      </x:c>
      <x:c r="T30" s="62" t="n">
        <x:f>IF(O30="","",(1/'Metadata'!$B$5)^(O30-1))</x:f>
        <x:v>4953.648510535111</x:v>
      </x:c>
      <x:c r="U30" s="60" t="n">
        <x:f>IF(T30="","",I30*T30)</x:f>
        <x:v>338719.31977179006</x:v>
      </x:c>
    </x:row>
    <x:row r="31" ht="18" customHeight="1">
      <x:c r="A31" s="46" t="str">
        <x:v>LME_010</x:v>
      </x:c>
      <x:c r="B31" s="46" t="str">
        <x:v>Insular Pacific-Hawaiian</x:v>
      </x:c>
      <x:c r="C31" s="46" t="str">
        <x:v>LME</x:v>
      </x:c>
      <x:c r="D31" s="58" t="n">
        <x:v>2019</x:v>
      </x:c>
      <x:c r="E31" s="46" t="str">
        <x:v>Thunnus alalunga</x:v>
      </x:c>
      <x:c r="F31" s="46" t="str">
        <x:v>Albacore</x:v>
      </x:c>
      <x:c r="G31" s="46" t="str">
        <x:v>Large pelagics (&gt;=90 cm)</x:v>
      </x:c>
      <x:c r="H31" s="46" t="str">
        <x:v>Tuna &amp; billfishes</x:v>
      </x:c>
      <x:c r="I31" s="60" t="n">
        <x:v>62.841021705</x:v>
      </x:c>
      <x:c r="J31" s="60" t="n">
        <x:v>62.841021705</x:v>
      </x:c>
      <x:c r="K31" s="60" t="n">
        <x:v>0</x:v>
      </x:c>
      <x:c r="L31" s="60" t="n">
        <x:v>0.2077725109</x:v>
      </x:c>
      <x:c r="M31" s="60" t="n">
        <x:v>62.6332491941</x:v>
      </x:c>
      <x:c r="N31" s="46" t="str">
        <x:v>thunnus alalunga</x:v>
      </x:c>
      <x:c r="O31" s="62" t="n">
        <x:v>4.3</x:v>
      </x:c>
      <x:c r="P31" s="46" t="str">
        <x:v>exact_2020_supplement</x:v>
      </x:c>
      <x:c r="Q31" s="62" t="str">
        <x:v>2020 supplement MeanTL</x:v>
      </x:c>
      <x:c r="R31" s="46" t="str">
        <x:v>high</x:v>
      </x:c>
      <x:c r="S31" s="46" t="str">
        <x:v>Thunnus alalunga</x:v>
      </x:c>
      <x:c r="T31" s="62" t="n">
        <x:f>IF(O31="","",(1/'Metadata'!$B$5)^(O31-1))</x:f>
        <x:v>19651.648417852637</x:v>
      </x:c>
      <x:c r="U31" s="60" t="n">
        <x:f>IF(T31="","",I31*T31)</x:f>
        <x:v>1234929.6647653065</x:v>
      </x:c>
    </x:row>
    <x:row r="32" ht="18" customHeight="1">
      <x:c r="A32" s="46" t="str">
        <x:v>LME_010</x:v>
      </x:c>
      <x:c r="B32" s="46" t="str">
        <x:v>Insular Pacific-Hawaiian</x:v>
      </x:c>
      <x:c r="C32" s="46" t="str">
        <x:v>LME</x:v>
      </x:c>
      <x:c r="D32" s="58" t="n">
        <x:v>2019</x:v>
      </x:c>
      <x:c r="E32" s="46" t="str">
        <x:v>Myripristis</x:v>
      </x:c>
      <x:c r="F32" s="46" t="str">
        <x:v>Soldierfishes</x:v>
      </x:c>
      <x:c r="G32" s="46" t="str">
        <x:v>Small reef assoc. fish (&lt;30 cm)</x:v>
      </x:c>
      <x:c r="H32" s="46" t="str">
        <x:v>Other fishes &amp; inverts</x:v>
      </x:c>
      <x:c r="I32" s="60" t="n">
        <x:v>43.6440585427</x:v>
      </x:c>
      <x:c r="J32" s="60" t="n">
        <x:v>43.6440585427</x:v>
      </x:c>
      <x:c r="K32" s="60" t="n">
        <x:v>0</x:v>
      </x:c>
      <x:c r="L32" s="60" t="n">
        <x:v>20.7316290659</x:v>
      </x:c>
      <x:c r="M32" s="60" t="n">
        <x:v>22.9124294768</x:v>
      </x:c>
      <x:c r="N32" s="46" t="str">
        <x:v>myripristis</x:v>
      </x:c>
      <x:c r="O32" s="62" t="n">
        <x:v>3.42</x:v>
      </x:c>
      <x:c r="P32" s="46" t="str">
        <x:v>exact_sea_around_us</x:v>
      </x:c>
      <x:c r="Q32" s="62" t="str">
        <x:v>Sea Around Us exploited organisms</x:v>
      </x:c>
      <x:c r="R32" s="46" t="str">
        <x:v>high</x:v>
      </x:c>
      <x:c r="S32" s="46" t="str">
        <x:v>Myripristis</x:v>
      </x:c>
      <x:c r="T32" s="62" t="n">
        <x:f>IF(O32="","",(1/'Metadata'!$B$5)^(O32-1))</x:f>
        <x:v>1407.643209131506</x:v>
      </x:c>
      <x:c r="U32" s="60" t="n">
        <x:f>IF(T32="","",I32*T32)</x:f>
        <x:v>61435.26262656955</x:v>
      </x:c>
    </x:row>
    <x:row r="33" ht="18" customHeight="1">
      <x:c r="A33" s="46" t="str">
        <x:v>LME_010</x:v>
      </x:c>
      <x:c r="B33" s="46" t="str">
        <x:v>Insular Pacific-Hawaiian</x:v>
      </x:c>
      <x:c r="C33" s="46" t="str">
        <x:v>LME</x:v>
      </x:c>
      <x:c r="D33" s="58" t="n">
        <x:v>2019</x:v>
      </x:c>
      <x:c r="E33" s="46" t="str">
        <x:v>Chanos chanos</x:v>
      </x:c>
      <x:c r="F33" s="46" t="str">
        <x:v>Milkfish</x:v>
      </x:c>
      <x:c r="G33" s="46" t="str">
        <x:v>Large benthopelagics (&gt;=90 cm)</x:v>
      </x:c>
      <x:c r="H33" s="46" t="str">
        <x:v>Other fishes &amp; inverts</x:v>
      </x:c>
      <x:c r="I33" s="60" t="n">
        <x:v>40.5698842973</x:v>
      </x:c>
      <x:c r="J33" s="60" t="n">
        <x:v>40.5698842973</x:v>
      </x:c>
      <x:c r="K33" s="60" t="n">
        <x:v>0</x:v>
      </x:c>
      <x:c r="L33" s="60" t="n">
        <x:v>0.656850297</x:v>
      </x:c>
      <x:c r="M33" s="60" t="n">
        <x:v>39.9130340003</x:v>
      </x:c>
      <x:c r="N33" s="46" t="str">
        <x:v>chanos chanos</x:v>
      </x:c>
      <x:c r="O33" s="62" t="n">
        <x:v>2.03</x:v>
      </x:c>
      <x:c r="P33" s="46" t="str">
        <x:v>exact_2020_supplement</x:v>
      </x:c>
      <x:c r="Q33" s="62" t="str">
        <x:v>2020 supplement MeanTL</x:v>
      </x:c>
      <x:c r="R33" s="46" t="str">
        <x:v>high</x:v>
      </x:c>
      <x:c r="S33" s="46" t="str">
        <x:v>Chanos chanos</x:v>
      </x:c>
      <x:c r="T33" s="62" t="n">
        <x:f>IF(O33="","",(1/'Metadata'!$B$5)^(O33-1))</x:f>
        <x:v>21.880684071538855</x:v>
      </x:c>
      <x:c r="U33" s="60" t="n">
        <x:f>IF(T33="","",I33*T33)</x:f>
        <x:v>887.6968211281064</x:v>
      </x:c>
    </x:row>
    <x:row r="34" ht="18" customHeight="1">
      <x:c r="A34" s="46" t="str">
        <x:v>LME_010</x:v>
      </x:c>
      <x:c r="B34" s="46" t="str">
        <x:v>Insular Pacific-Hawaiian</x:v>
      </x:c>
      <x:c r="C34" s="46" t="str">
        <x:v>LME</x:v>
      </x:c>
      <x:c r="D34" s="58" t="n">
        <x:v>2019</x:v>
      </x:c>
      <x:c r="E34" s="46" t="str">
        <x:v>Acanthurus dussumieri</x:v>
      </x:c>
      <x:c r="F34" s="46" t="str">
        <x:v>Eyestripe surgeonfish</x:v>
      </x:c>
      <x:c r="G34" s="46" t="str">
        <x:v>Medium reef assoc. fish (30 - 89 cm)</x:v>
      </x:c>
      <x:c r="H34" s="46" t="str">
        <x:v>Perch-likes</x:v>
      </x:c>
      <x:c r="I34" s="60" t="n">
        <x:v>40.2148881224</x:v>
      </x:c>
      <x:c r="J34" s="60" t="n">
        <x:v>40.2148881224</x:v>
      </x:c>
      <x:c r="K34" s="60" t="n">
        <x:v>0</x:v>
      </x:c>
      <x:c r="L34" s="60" t="n">
        <x:v>12.571115015</x:v>
      </x:c>
      <x:c r="M34" s="60" t="n">
        <x:v>27.6437731074</x:v>
      </x:c>
      <x:c r="N34" s="46" t="str">
        <x:v>acanthurus dussumieri</x:v>
      </x:c>
      <x:c r="O34" s="62" t="n">
        <x:v>2.02</x:v>
      </x:c>
      <x:c r="P34" s="46" t="str">
        <x:v>exact_2020_supplement</x:v>
      </x:c>
      <x:c r="Q34" s="62" t="str">
        <x:v>2020 supplement MeanTL</x:v>
      </x:c>
      <x:c r="R34" s="46" t="str">
        <x:v>high</x:v>
      </x:c>
      <x:c r="S34" s="46" t="str">
        <x:v>Acanthurus dussumieri</x:v>
      </x:c>
      <x:c r="T34" s="62" t="n">
        <x:f>IF(O34="","",(1/'Metadata'!$B$5)^(O34-1))</x:f>
        <x:v>21.234918357099573</x:v>
      </x:c>
      <x:c r="U34" s="60" t="n">
        <x:f>IF(T34="","",I34*T34)</x:f>
        <x:v>853.9598660190574</x:v>
      </x:c>
    </x:row>
    <x:row r="35" ht="18" customHeight="1">
      <x:c r="A35" s="46" t="str">
        <x:v>LME_010</x:v>
      </x:c>
      <x:c r="B35" s="46" t="str">
        <x:v>Insular Pacific-Hawaiian</x:v>
      </x:c>
      <x:c r="C35" s="46" t="str">
        <x:v>LME</x:v>
      </x:c>
      <x:c r="D35" s="58" t="n">
        <x:v>2019</x:v>
      </x:c>
      <x:c r="E35" s="46" t="str">
        <x:v>Herklotsichthys quadrimaculatus</x:v>
      </x:c>
      <x:c r="F35" s="46" t="str">
        <x:v>Bluestripe herring</x:v>
      </x:c>
      <x:c r="G35" s="46" t="str">
        <x:v>Small pelagics (&lt;30 cm)</x:v>
      </x:c>
      <x:c r="H35" s="46" t="str">
        <x:v>Herring-likes</x:v>
      </x:c>
      <x:c r="I35" s="60" t="n">
        <x:v>39.9542555294</x:v>
      </x:c>
      <x:c r="J35" s="60" t="n">
        <x:v>39.9542555294</x:v>
      </x:c>
      <x:c r="K35" s="60" t="n">
        <x:v>0</x:v>
      </x:c>
      <x:c r="L35" s="60" t="n">
        <x:v>0</x:v>
      </x:c>
      <x:c r="M35" s="60" t="n">
        <x:v>39.9542555294</x:v>
      </x:c>
      <x:c r="N35" s="46" t="str">
        <x:v>herklotsichthys quadrimaculatus</x:v>
      </x:c>
      <x:c r="O35" s="62" t="n">
        <x:v>3.57</x:v>
      </x:c>
      <x:c r="P35" s="46" t="str">
        <x:v>exact_2020_supplement</x:v>
      </x:c>
      <x:c r="Q35" s="62" t="str">
        <x:v>2020 supplement MeanTL</x:v>
      </x:c>
      <x:c r="R35" s="46" t="str">
        <x:v>high</x:v>
      </x:c>
      <x:c r="S35" s="46" t="str">
        <x:v>Herklotsichthys quadrimaculatus</x:v>
      </x:c>
      <x:c r="T35" s="62" t="n">
        <x:f>IF(O35="","",(1/'Metadata'!$B$5)^(O35-1))</x:f>
        <x:v>2206.2112196552644</x:v>
      </x:c>
      <x:c r="U35" s="60" t="n">
        <x:f>IF(T35="","",I35*T35)</x:f>
        <x:v>88147.52682193567</x:v>
      </x:c>
    </x:row>
    <x:row r="36" ht="18" customHeight="1">
      <x:c r="A36" s="46" t="str">
        <x:v>LME_010</x:v>
      </x:c>
      <x:c r="B36" s="46" t="str">
        <x:v>Insular Pacific-Hawaiian</x:v>
      </x:c>
      <x:c r="C36" s="46" t="str">
        <x:v>LME</x:v>
      </x:c>
      <x:c r="D36" s="58" t="n">
        <x:v>2019</x:v>
      </x:c>
      <x:c r="E36" s="46" t="str">
        <x:v>Scombridae</x:v>
      </x:c>
      <x:c r="F36" s="46" t="str">
        <x:v>Mackerels, tunas, bonitos</x:v>
      </x:c>
      <x:c r="G36" s="46" t="str">
        <x:v>Medium pelagics (30 - 89 cm)</x:v>
      </x:c>
      <x:c r="H36" s="46" t="str">
        <x:v>Perch-likes</x:v>
      </x:c>
      <x:c r="I36" s="60" t="n">
        <x:v>37.415170263300006</x:v>
      </x:c>
      <x:c r="J36" s="60" t="n">
        <x:v>32.5048138013</x:v>
      </x:c>
      <x:c r="K36" s="60" t="n">
        <x:v>4.910356462</x:v>
      </x:c>
      <x:c r="L36" s="60" t="n">
        <x:v>0</x:v>
      </x:c>
      <x:c r="M36" s="60" t="n">
        <x:v>37.415170263300006</x:v>
      </x:c>
      <x:c r="N36" s="46" t="str">
        <x:v>scombridae</x:v>
      </x:c>
      <x:c r="O36" s="62" t="n">
        <x:v>4.26</x:v>
      </x:c>
      <x:c r="P36" s="46" t="str">
        <x:v>exact_sea_around_us</x:v>
      </x:c>
      <x:c r="Q36" s="62" t="str">
        <x:v>Sea Around Us exploited organisms</x:v>
      </x:c>
      <x:c r="R36" s="46" t="str">
        <x:v>high</x:v>
      </x:c>
      <x:c r="S36" s="46" t="str">
        <x:v>Scombridae</x:v>
      </x:c>
      <x:c r="T36" s="62" t="n">
        <x:f>IF(O36="","",(1/'Metadata'!$B$5)^(O36-1))</x:f>
        <x:v>17432.42421569787</x:v>
      </x:c>
      <x:c r="U36" s="60" t="n">
        <x:f>IF(T36="","",I36*T36)</x:f>
        <x:v>652237.1201324099</x:v>
      </x:c>
    </x:row>
    <x:row r="37" ht="18" customHeight="1">
      <x:c r="A37" s="46" t="str">
        <x:v>LME_010</x:v>
      </x:c>
      <x:c r="B37" s="46" t="str">
        <x:v>Insular Pacific-Hawaiian</x:v>
      </x:c>
      <x:c r="C37" s="46" t="str">
        <x:v>LME</x:v>
      </x:c>
      <x:c r="D37" s="58" t="n">
        <x:v>2019</x:v>
      </x:c>
      <x:c r="E37" s="46" t="str">
        <x:v>Kyphosus bigibbus</x:v>
      </x:c>
      <x:c r="F37" s="46" t="str">
        <x:v>Brown chub</x:v>
      </x:c>
      <x:c r="G37" s="46" t="str">
        <x:v>Medium reef assoc. fish (30 - 89 cm)</x:v>
      </x:c>
      <x:c r="H37" s="46" t="str">
        <x:v>Perch-likes</x:v>
      </x:c>
      <x:c r="I37" s="60" t="n">
        <x:v>32.2926308118</x:v>
      </x:c>
      <x:c r="J37" s="60" t="n">
        <x:v>32.2926308118</x:v>
      </x:c>
      <x:c r="K37" s="60" t="n">
        <x:v>0</x:v>
      </x:c>
      <x:c r="L37" s="60" t="n">
        <x:v>0</x:v>
      </x:c>
      <x:c r="M37" s="60" t="n">
        <x:v>32.2926308118</x:v>
      </x:c>
      <x:c r="N37" s="46" t="str">
        <x:v>kyphosus bigibbus</x:v>
      </x:c>
      <x:c r="O37" s="62" t="n">
        <x:v>2</x:v>
      </x:c>
      <x:c r="P37" s="46" t="str">
        <x:v>exact_2020_supplement</x:v>
      </x:c>
      <x:c r="Q37" s="62" t="str">
        <x:v>2020 supplement MeanTL</x:v>
      </x:c>
      <x:c r="R37" s="46" t="str">
        <x:v>high</x:v>
      </x:c>
      <x:c r="S37" s="46" t="str">
        <x:v>Kyphosus bigibbus</x:v>
      </x:c>
      <x:c r="T37" s="62" t="n">
        <x:f>IF(O37="","",(1/'Metadata'!$B$5)^(O37-1))</x:f>
        <x:v>20</x:v>
      </x:c>
      <x:c r="U37" s="60" t="n">
        <x:f>IF(T37="","",I37*T37)</x:f>
        <x:v>645.852616236</x:v>
      </x:c>
    </x:row>
    <x:row r="38" ht="18" customHeight="1">
      <x:c r="A38" s="46" t="str">
        <x:v>LME_010</x:v>
      </x:c>
      <x:c r="B38" s="46" t="str">
        <x:v>Insular Pacific-Hawaiian</x:v>
      </x:c>
      <x:c r="C38" s="46" t="str">
        <x:v>LME</x:v>
      </x:c>
      <x:c r="D38" s="58" t="n">
        <x:v>2019</x:v>
      </x:c>
      <x:c r="E38" s="46" t="str">
        <x:v>Iniistius pavo</x:v>
      </x:c>
      <x:c r="F38" s="46" t="str">
        <x:v>Peacock wrasse</x:v>
      </x:c>
      <x:c r="G38" s="46" t="str">
        <x:v>Medium reef assoc. fish (30 - 89 cm)</x:v>
      </x:c>
      <x:c r="H38" s="46" t="str">
        <x:v>Perch-likes</x:v>
      </x:c>
      <x:c r="I38" s="60" t="n">
        <x:v>29.0312471123</x:v>
      </x:c>
      <x:c r="J38" s="60" t="n">
        <x:v>29.0312471123</x:v>
      </x:c>
      <x:c r="K38" s="60" t="n">
        <x:v>0</x:v>
      </x:c>
      <x:c r="L38" s="60" t="n">
        <x:v>0.3584037136</x:v>
      </x:c>
      <x:c r="M38" s="60" t="n">
        <x:v>28.6728433987</x:v>
      </x:c>
      <x:c r="N38" s="46" t="str">
        <x:v>iniistius pavo</x:v>
      </x:c>
      <x:c r="O38" s="62" t="n">
        <x:v>3.54</x:v>
      </x:c>
      <x:c r="P38" s="46" t="str">
        <x:v>exact_2020_supplement</x:v>
      </x:c>
      <x:c r="Q38" s="62" t="str">
        <x:v>2020 supplement MeanTL</x:v>
      </x:c>
      <x:c r="R38" s="46" t="str">
        <x:v>high</x:v>
      </x:c>
      <x:c r="S38" s="46" t="str">
        <x:v>Iniistius pavo</x:v>
      </x:c>
      <x:c r="T38" s="62" t="n">
        <x:f>IF(O38="","",(1/'Metadata'!$B$5)^(O38-1))</x:f>
        <x:v>2016.5834052007342</x:v>
      </x:c>
      <x:c r="U38" s="60" t="n">
        <x:f>IF(T38="","",I38*T38)</x:f>
        <x:v>58543.93115894592</x:v>
      </x:c>
    </x:row>
    <x:row r="39" ht="18" customHeight="1">
      <x:c r="A39" s="46" t="str">
        <x:v>LME_010</x:v>
      </x:c>
      <x:c r="B39" s="46" t="str">
        <x:v>Insular Pacific-Hawaiian</x:v>
      </x:c>
      <x:c r="C39" s="46" t="str">
        <x:v>LME</x:v>
      </x:c>
      <x:c r="D39" s="58" t="n">
        <x:v>2019</x:v>
      </x:c>
      <x:c r="E39" s="46" t="str">
        <x:v>Acanthurus blochii</x:v>
      </x:c>
      <x:c r="F39" s="46" t="str">
        <x:v>Ringtail surgeonfish</x:v>
      </x:c>
      <x:c r="G39" s="46" t="str">
        <x:v>Medium reef assoc. fish (30 - 89 cm)</x:v>
      </x:c>
      <x:c r="H39" s="46" t="str">
        <x:v>Perch-likes</x:v>
      </x:c>
      <x:c r="I39" s="60" t="n">
        <x:v>24.830730791100002</x:v>
      </x:c>
      <x:c r="J39" s="60" t="n">
        <x:v>24.830730791100002</x:v>
      </x:c>
      <x:c r="K39" s="60" t="n">
        <x:v>0</x:v>
      </x:c>
      <x:c r="L39" s="60" t="n">
        <x:v>0.8962677930999999</x:v>
      </x:c>
      <x:c r="M39" s="60" t="n">
        <x:v>23.934462998</x:v>
      </x:c>
      <x:c r="N39" s="46" t="str">
        <x:v>acanthurus blochii</x:v>
      </x:c>
      <x:c r="O39" s="62" t="n">
        <x:v>2</x:v>
      </x:c>
      <x:c r="P39" s="46" t="str">
        <x:v>exact_2020_supplement</x:v>
      </x:c>
      <x:c r="Q39" s="62" t="str">
        <x:v>2020 supplement MeanTL</x:v>
      </x:c>
      <x:c r="R39" s="46" t="str">
        <x:v>high</x:v>
      </x:c>
      <x:c r="S39" s="46" t="str">
        <x:v>Acanthurus blochii</x:v>
      </x:c>
      <x:c r="T39" s="62" t="n">
        <x:f>IF(O39="","",(1/'Metadata'!$B$5)^(O39-1))</x:f>
        <x:v>20</x:v>
      </x:c>
      <x:c r="U39" s="60" t="n">
        <x:f>IF(T39="","",I39*T39)</x:f>
        <x:v>496.614615822</x:v>
      </x:c>
    </x:row>
    <x:row r="40" ht="18" customHeight="1">
      <x:c r="A40" s="46" t="str">
        <x:v>LME_010</x:v>
      </x:c>
      <x:c r="B40" s="46" t="str">
        <x:v>Insular Pacific-Hawaiian</x:v>
      </x:c>
      <x:c r="C40" s="46" t="str">
        <x:v>LME</x:v>
      </x:c>
      <x:c r="D40" s="58" t="n">
        <x:v>2019</x:v>
      </x:c>
      <x:c r="E40" s="46" t="str">
        <x:v>Marine pelagic fishes not identified</x:v>
      </x:c>
      <x:c r="F40" s="46" t="str">
        <x:v>Pelagic fishes</x:v>
      </x:c>
      <x:c r="G40" s="46" t="str">
        <x:v>Medium pelagics (30 - 89 cm)</x:v>
      </x:c>
      <x:c r="H40" s="46" t="str">
        <x:v>Other fishes &amp; inverts</x:v>
      </x:c>
      <x:c r="I40" s="60" t="n">
        <x:v>21.884498309</x:v>
      </x:c>
      <x:c r="J40" s="60" t="n">
        <x:v>21.8009332393</x:v>
      </x:c>
      <x:c r="K40" s="60" t="n">
        <x:v>0.0835650697</x:v>
      </x:c>
      <x:c r="L40" s="60" t="n">
        <x:v>21.8009332393</x:v>
      </x:c>
      <x:c r="M40" s="60" t="n">
        <x:v>0.0835650697</x:v>
      </x:c>
      <x:c r="N40" s="46" t="str">
        <x:v>marine pelagic fishes not identified</x:v>
      </x:c>
      <x:c r="O40" s="62" t="n">
        <x:v>3.35</x:v>
      </x:c>
      <x:c r="P40" s="46" t="str">
        <x:v>exact_sea_around_us</x:v>
      </x:c>
      <x:c r="Q40" s="62" t="str">
        <x:v>Sea Around Us exploited organisms</x:v>
      </x:c>
      <x:c r="R40" s="46" t="str">
        <x:v>high</x:v>
      </x:c>
      <x:c r="S40" s="46" t="str">
        <x:v>Marine pelagic fishes not identified</x:v>
      </x:c>
      <x:c r="T40" s="62" t="n">
        <x:f>IF(O40="","",(1/'Metadata'!$B$5)^(O40-1))</x:f>
        <x:v>1141.3543275066227</x:v>
      </x:c>
      <x:c r="U40" s="60" t="n">
        <x:f>IF(T40="","",I40*T40)</x:f>
        <x:v>24977.966850288518</x:v>
      </x:c>
    </x:row>
    <x:row r="41" ht="18" customHeight="1">
      <x:c r="A41" s="46" t="str">
        <x:v>LME_010</x:v>
      </x:c>
      <x:c r="B41" s="46" t="str">
        <x:v>Insular Pacific-Hawaiian</x:v>
      </x:c>
      <x:c r="C41" s="46" t="str">
        <x:v>LME</x:v>
      </x:c>
      <x:c r="D41" s="58" t="n">
        <x:v>2019</x:v>
      </x:c>
      <x:c r="E41" s="46" t="str">
        <x:v>Scaridae</x:v>
      </x:c>
      <x:c r="F41" s="46" t="str">
        <x:v>Parrotfishes</x:v>
      </x:c>
      <x:c r="G41" s="46" t="str">
        <x:v>Medium reef assoc. fish (30 - 89 cm)</x:v>
      </x:c>
      <x:c r="H41" s="46" t="str">
        <x:v>Perch-likes</x:v>
      </x:c>
      <x:c r="I41" s="60" t="n">
        <x:v>21.7074269597</x:v>
      </x:c>
      <x:c r="J41" s="60" t="n">
        <x:v>21.7074269597</x:v>
      </x:c>
      <x:c r="K41" s="60" t="n">
        <x:v>0</x:v>
      </x:c>
      <x:c r="L41" s="60" t="n">
        <x:v>19.0247242572</x:v>
      </x:c>
      <x:c r="M41" s="60" t="n">
        <x:v>2.6827027025</x:v>
      </x:c>
      <x:c r="N41" s="46" t="str">
        <x:v>scaridae</x:v>
      </x:c>
      <x:c r="O41" s="62" t="n">
        <x:v>2</x:v>
      </x:c>
      <x:c r="P41" s="46" t="str">
        <x:v>exact_sea_around_us</x:v>
      </x:c>
      <x:c r="Q41" s="62" t="str">
        <x:v>Sea Around Us exploited organisms</x:v>
      </x:c>
      <x:c r="R41" s="46" t="str">
        <x:v>high</x:v>
      </x:c>
      <x:c r="S41" s="46" t="str">
        <x:v>Scaridae</x:v>
      </x:c>
      <x:c r="T41" s="62" t="n">
        <x:f>IF(O41="","",(1/'Metadata'!$B$5)^(O41-1))</x:f>
        <x:v>20</x:v>
      </x:c>
      <x:c r="U41" s="60" t="n">
        <x:f>IF(T41="","",I41*T41)</x:f>
        <x:v>434.148539194</x:v>
      </x:c>
    </x:row>
    <x:row r="42" ht="18" customHeight="1">
      <x:c r="A42" s="46" t="str">
        <x:v>LME_010</x:v>
      </x:c>
      <x:c r="B42" s="46" t="str">
        <x:v>Insular Pacific-Hawaiian</x:v>
      </x:c>
      <x:c r="C42" s="46" t="str">
        <x:v>LME</x:v>
      </x:c>
      <x:c r="D42" s="58" t="n">
        <x:v>2019</x:v>
      </x:c>
      <x:c r="E42" s="46" t="str">
        <x:v>Pristipomoides sieboldii</x:v>
      </x:c>
      <x:c r="F42" s="46" t="str">
        <x:v>Lavender jobfish</x:v>
      </x:c>
      <x:c r="G42" s="46" t="str">
        <x:v>Medium bathydemersals (30 - 89 cm)</x:v>
      </x:c>
      <x:c r="H42" s="46" t="str">
        <x:v>Perch-likes</x:v>
      </x:c>
      <x:c r="I42" s="60" t="n">
        <x:v>21.249301938000002</x:v>
      </x:c>
      <x:c r="J42" s="60" t="n">
        <x:v>21.249301938000002</x:v>
      </x:c>
      <x:c r="K42" s="60" t="n">
        <x:v>0</x:v>
      </x:c>
      <x:c r="L42" s="60" t="n">
        <x:v>3.9953382782</x:v>
      </x:c>
      <x:c r="M42" s="60" t="n">
        <x:v>17.2539636598</x:v>
      </x:c>
      <x:c r="N42" s="46" t="str">
        <x:v>pristipomoides sieboldii</x:v>
      </x:c>
      <x:c r="O42" s="62" t="n">
        <x:v>3.67</x:v>
      </x:c>
      <x:c r="P42" s="46" t="str">
        <x:v>exact_2020_supplement</x:v>
      </x:c>
      <x:c r="Q42" s="62" t="str">
        <x:v>2020 supplement MeanTL</x:v>
      </x:c>
      <x:c r="R42" s="46" t="str">
        <x:v>high</x:v>
      </x:c>
      <x:c r="S42" s="46" t="str">
        <x:v>Pristipomoides sieboldii</x:v>
      </x:c>
      <x:c r="T42" s="62" t="n">
        <x:f>IF(O42="","",(1/'Metadata'!$B$5)^(O42-1))</x:f>
        <x:v>2976.8029570258213</x:v>
      </x:c>
      <x:c r="U42" s="60" t="n">
        <x:f>IF(T42="","",I42*T42)</x:f>
        <x:v>63254.98484377292</x:v>
      </x:c>
    </x:row>
    <x:row r="43" ht="18" customHeight="1">
      <x:c r="A43" s="46" t="str">
        <x:v>LME_010</x:v>
      </x:c>
      <x:c r="B43" s="46" t="str">
        <x:v>Insular Pacific-Hawaiian</x:v>
      </x:c>
      <x:c r="C43" s="46" t="str">
        <x:v>LME</x:v>
      </x:c>
      <x:c r="D43" s="58" t="n">
        <x:v>2019</x:v>
      </x:c>
      <x:c r="E43" s="46" t="str">
        <x:v>Cephalopholis argus</x:v>
      </x:c>
      <x:c r="F43" s="46" t="str">
        <x:v>Peacock hind</x:v>
      </x:c>
      <x:c r="G43" s="46" t="str">
        <x:v>Medium reef assoc. fish (30 - 89 cm)</x:v>
      </x:c>
      <x:c r="H43" s="46" t="str">
        <x:v>Perch-likes</x:v>
      </x:c>
      <x:c r="I43" s="60" t="n">
        <x:v>20.727463862</x:v>
      </x:c>
      <x:c r="J43" s="60" t="n">
        <x:v>20.727463862</x:v>
      </x:c>
      <x:c r="K43" s="60" t="n">
        <x:v>0</x:v>
      </x:c>
      <x:c r="L43" s="60" t="n">
        <x:v>2.0234852112</x:v>
      </x:c>
      <x:c r="M43" s="60" t="n">
        <x:v>18.7039786508</x:v>
      </x:c>
      <x:c r="N43" s="46" t="str">
        <x:v>cephalopholis argus</x:v>
      </x:c>
      <x:c r="O43" s="62" t="n">
        <x:v>4.48</x:v>
      </x:c>
      <x:c r="P43" s="46" t="str">
        <x:v>exact_2020_supplement</x:v>
      </x:c>
      <x:c r="Q43" s="62" t="str">
        <x:v>2020 supplement MeanTL</x:v>
      </x:c>
      <x:c r="R43" s="46" t="str">
        <x:v>high</x:v>
      </x:c>
      <x:c r="S43" s="46" t="str">
        <x:v>Cephalopholis argus</x:v>
      </x:c>
      <x:c r="T43" s="62" t="n">
        <x:f>IF(O43="","",(1/'Metadata'!$B$5)^(O43-1))</x:f>
        <x:v>33696.468277717824</x:v>
      </x:c>
      <x:c r="U43" s="60" t="n">
        <x:f>IF(T43="","",I43*T43)</x:f>
        <x:v>698442.3285034256</x:v>
      </x:c>
    </x:row>
    <x:row r="44" ht="18" customHeight="1">
      <x:c r="A44" s="46" t="str">
        <x:v>LME_010</x:v>
      </x:c>
      <x:c r="B44" s="46" t="str">
        <x:v>Insular Pacific-Hawaiian</x:v>
      </x:c>
      <x:c r="C44" s="46" t="str">
        <x:v>LME</x:v>
      </x:c>
      <x:c r="D44" s="58" t="n">
        <x:v>2019</x:v>
      </x:c>
      <x:c r="E44" s="46" t="str">
        <x:v>Seriola dumerili</x:v>
      </x:c>
      <x:c r="F44" s="46" t="str">
        <x:v>Greater amberjack</x:v>
      </x:c>
      <x:c r="G44" s="46" t="str">
        <x:v>Large reef assoc. fish (&gt;=90 cm)</x:v>
      </x:c>
      <x:c r="H44" s="46" t="str">
        <x:v>Perch-likes</x:v>
      </x:c>
      <x:c r="I44" s="60" t="n">
        <x:v>20.5178396449</x:v>
      </x:c>
      <x:c r="J44" s="60" t="n">
        <x:v>20.5178396449</x:v>
      </x:c>
      <x:c r="K44" s="60" t="n">
        <x:v>0</x:v>
      </x:c>
      <x:c r="L44" s="60" t="n">
        <x:v>0</x:v>
      </x:c>
      <x:c r="M44" s="60" t="n">
        <x:v>20.5178396449</x:v>
      </x:c>
      <x:c r="N44" s="46" t="str">
        <x:v>seriola dumerili</x:v>
      </x:c>
      <x:c r="O44" s="62" t="n">
        <x:v>4.5</x:v>
      </x:c>
      <x:c r="P44" s="46" t="str">
        <x:v>exact_2020_supplement</x:v>
      </x:c>
      <x:c r="Q44" s="62" t="str">
        <x:v>2020 supplement MeanTL</x:v>
      </x:c>
      <x:c r="R44" s="46" t="str">
        <x:v>high</x:v>
      </x:c>
      <x:c r="S44" s="46" t="str">
        <x:v>Seriola dumerili</x:v>
      </x:c>
      <x:c r="T44" s="62" t="n">
        <x:f>IF(O44="","",(1/'Metadata'!$B$5)^(O44-1))</x:f>
        <x:v>35777.08763999664</x:v>
      </x:c>
      <x:c r="U44" s="60" t="n">
        <x:f>IF(T44="","",I44*T44)</x:f>
        <x:v>734068.5471589848</x:v>
      </x:c>
    </x:row>
    <x:row r="45" ht="18" customHeight="1">
      <x:c r="A45" s="46" t="str">
        <x:v>LME_010</x:v>
      </x:c>
      <x:c r="B45" s="46" t="str">
        <x:v>Insular Pacific-Hawaiian</x:v>
      </x:c>
      <x:c r="C45" s="46" t="str">
        <x:v>LME</x:v>
      </x:c>
      <x:c r="D45" s="58" t="n">
        <x:v>2019</x:v>
      </x:c>
      <x:c r="E45" s="46" t="str">
        <x:v>Neomyxus leuciscus</x:v>
      </x:c>
      <x:c r="F45" s="46" t="str">
        <x:v>Acute-jawed mullet</x:v>
      </x:c>
      <x:c r="G45" s="46" t="str">
        <x:v>Medium demersals (30 - 89 cm)</x:v>
      </x:c>
      <x:c r="H45" s="46" t="str">
        <x:v>Perch-likes</x:v>
      </x:c>
      <x:c r="I45" s="60" t="n">
        <x:v>18.816685672200002</x:v>
      </x:c>
      <x:c r="J45" s="60" t="n">
        <x:v>18.816685672200002</x:v>
      </x:c>
      <x:c r="K45" s="60" t="n">
        <x:v>0</x:v>
      </x:c>
      <x:c r="L45" s="60" t="n">
        <x:v>0.254570002</x:v>
      </x:c>
      <x:c r="M45" s="60" t="n">
        <x:v>18.5621156702</x:v>
      </x:c>
      <x:c r="N45" s="46" t="str">
        <x:v>neomyxus leuciscus</x:v>
      </x:c>
      <x:c r="O45" s="62" t="n">
        <x:v>2.85</x:v>
      </x:c>
      <x:c r="P45" s="46" t="str">
        <x:v>exact_2020_supplement</x:v>
      </x:c>
      <x:c r="Q45" s="62" t="str">
        <x:v>2020 supplement MeanTL</x:v>
      </x:c>
      <x:c r="R45" s="46" t="str">
        <x:v>high</x:v>
      </x:c>
      <x:c r="S45" s="46" t="str">
        <x:v>Neomyxus leuciscus</x:v>
      </x:c>
      <x:c r="T45" s="62" t="n">
        <x:f>IF(O45="","",(1/'Metadata'!$B$5)^(O45-1))</x:f>
        <x:v>255.21458627183662</x:v>
      </x:c>
      <x:c r="U45" s="60" t="n">
        <x:f>IF(T45="","",I45*T45)</x:f>
        <x:v>4802.29264883772</x:v>
      </x:c>
    </x:row>
    <x:row r="46" ht="18" customHeight="1">
      <x:c r="A46" s="46" t="str">
        <x:v>LME_010</x:v>
      </x:c>
      <x:c r="B46" s="46" t="str">
        <x:v>Insular Pacific-Hawaiian</x:v>
      </x:c>
      <x:c r="C46" s="46" t="str">
        <x:v>LME</x:v>
      </x:c>
      <x:c r="D46" s="58" t="n">
        <x:v>2019</x:v>
      </x:c>
      <x:c r="E46" s="46" t="str">
        <x:v>Labridae</x:v>
      </x:c>
      <x:c r="F46" s="46" t="str">
        <x:v>Wrasses, gropers, tuskfishes</x:v>
      </x:c>
      <x:c r="G46" s="46" t="str">
        <x:v>Medium reef assoc. fish (30 - 89 cm)</x:v>
      </x:c>
      <x:c r="H46" s="46" t="str">
        <x:v>Perch-likes</x:v>
      </x:c>
      <x:c r="I46" s="60" t="n">
        <x:v>18.1699758207</x:v>
      </x:c>
      <x:c r="J46" s="60" t="n">
        <x:v>18.1699758207</x:v>
      </x:c>
      <x:c r="K46" s="60" t="n">
        <x:v>0</x:v>
      </x:c>
      <x:c r="L46" s="60" t="n">
        <x:v>0</x:v>
      </x:c>
      <x:c r="M46" s="60" t="n">
        <x:v>18.1699758207</x:v>
      </x:c>
      <x:c r="N46" s="46" t="str">
        <x:v>labridae</x:v>
      </x:c>
      <x:c r="O46" s="62" t="n">
        <x:v>3.46</x:v>
      </x:c>
      <x:c r="P46" s="46" t="str">
        <x:v>exact_sea_around_us</x:v>
      </x:c>
      <x:c r="Q46" s="62" t="str">
        <x:v>Sea Around Us exploited organisms</x:v>
      </x:c>
      <x:c r="R46" s="46" t="str">
        <x:v>high</x:v>
      </x:c>
      <x:c r="S46" s="46" t="str">
        <x:v>Labridae</x:v>
      </x:c>
      <x:c r="T46" s="62" t="n">
        <x:f>IF(O46="","",(1/'Metadata'!$B$5)^(O46-1))</x:f>
        <x:v>1586.8423749532276</x:v>
      </x:c>
      <x:c r="U46" s="60" t="n">
        <x:f>IF(T46="","",I46*T46)</x:f>
        <x:v>28832.88758416231</x:v>
      </x:c>
    </x:row>
    <x:row r="47" ht="18" customHeight="1">
      <x:c r="A47" s="46" t="str">
        <x:v>LME_010</x:v>
      </x:c>
      <x:c r="B47" s="46" t="str">
        <x:v>Insular Pacific-Hawaiian</x:v>
      </x:c>
      <x:c r="C47" s="46" t="str">
        <x:v>LME</x:v>
      </x:c>
      <x:c r="D47" s="58" t="n">
        <x:v>2019</x:v>
      </x:c>
      <x:c r="E47" s="46" t="str">
        <x:v>Scarus rubroviolaceus</x:v>
      </x:c>
      <x:c r="F47" s="46" t="str">
        <x:v>Ember parrotfish</x:v>
      </x:c>
      <x:c r="G47" s="46" t="str">
        <x:v>Medium reef assoc. fish (30 - 89 cm)</x:v>
      </x:c>
      <x:c r="H47" s="46" t="str">
        <x:v>Perch-likes</x:v>
      </x:c>
      <x:c r="I47" s="60" t="n">
        <x:v>15.3662141722</x:v>
      </x:c>
      <x:c r="J47" s="60" t="n">
        <x:v>15.3662141722</x:v>
      </x:c>
      <x:c r="K47" s="60" t="n">
        <x:v>0</x:v>
      </x:c>
      <x:c r="L47" s="60" t="n">
        <x:v>0</x:v>
      </x:c>
      <x:c r="M47" s="60" t="n">
        <x:v>15.3662141722</x:v>
      </x:c>
      <x:c r="N47" s="46" t="str">
        <x:v>scarus rubroviolaceus</x:v>
      </x:c>
      <x:c r="O47" s="62" t="n">
        <x:v>2</x:v>
      </x:c>
      <x:c r="P47" s="46" t="str">
        <x:v>exact_2020_supplement</x:v>
      </x:c>
      <x:c r="Q47" s="62" t="str">
        <x:v>2020 supplement MeanTL</x:v>
      </x:c>
      <x:c r="R47" s="46" t="str">
        <x:v>high</x:v>
      </x:c>
      <x:c r="S47" s="46" t="str">
        <x:v>Scarus rubroviolaceus</x:v>
      </x:c>
      <x:c r="T47" s="62" t="n">
        <x:f>IF(O47="","",(1/'Metadata'!$B$5)^(O47-1))</x:f>
        <x:v>20</x:v>
      </x:c>
      <x:c r="U47" s="60" t="n">
        <x:f>IF(T47="","",I47*T47)</x:f>
        <x:v>307.324283444</x:v>
      </x:c>
    </x:row>
    <x:row r="48" ht="18" customHeight="1">
      <x:c r="A48" s="46" t="str">
        <x:v>LME_010</x:v>
      </x:c>
      <x:c r="B48" s="46" t="str">
        <x:v>Insular Pacific-Hawaiian</x:v>
      </x:c>
      <x:c r="C48" s="46" t="str">
        <x:v>LME</x:v>
      </x:c>
      <x:c r="D48" s="58" t="n">
        <x:v>2019</x:v>
      </x:c>
      <x:c r="E48" s="46" t="str">
        <x:v>Caranx sexfasciatus</x:v>
      </x:c>
      <x:c r="F48" s="46" t="str">
        <x:v>Bigeye trevally</x:v>
      </x:c>
      <x:c r="G48" s="46" t="str">
        <x:v>Large reef assoc. fish (&gt;=90 cm)</x:v>
      </x:c>
      <x:c r="H48" s="46" t="str">
        <x:v>Perch-likes</x:v>
      </x:c>
      <x:c r="I48" s="60" t="n">
        <x:v>13.9161147665</x:v>
      </x:c>
      <x:c r="J48" s="60" t="n">
        <x:v>13.9161147665</x:v>
      </x:c>
      <x:c r="K48" s="60" t="n">
        <x:v>0</x:v>
      </x:c>
      <x:c r="L48" s="60" t="n">
        <x:v>0.1640728766</x:v>
      </x:c>
      <x:c r="M48" s="60" t="n">
        <x:v>13.7520418899</x:v>
      </x:c>
      <x:c r="N48" s="46" t="str">
        <x:v>caranx sexfasciatus</x:v>
      </x:c>
      <x:c r="O48" s="62" t="n">
        <x:v>4.5</x:v>
      </x:c>
      <x:c r="P48" s="46" t="str">
        <x:v>exact_2020_supplement</x:v>
      </x:c>
      <x:c r="Q48" s="62" t="str">
        <x:v>2020 supplement MeanTL</x:v>
      </x:c>
      <x:c r="R48" s="46" t="str">
        <x:v>high</x:v>
      </x:c>
      <x:c r="S48" s="46" t="str">
        <x:v>Caranx sexfasciatus</x:v>
      </x:c>
      <x:c r="T48" s="62" t="n">
        <x:f>IF(O48="","",(1/'Metadata'!$B$5)^(O48-1))</x:f>
        <x:v>35777.08763999664</x:v>
      </x:c>
      <x:c r="U48" s="60" t="n">
        <x:f>IF(T48="","",I48*T48)</x:f>
        <x:v>497878.05760932184</x:v>
      </x:c>
    </x:row>
    <x:row r="49" ht="18" customHeight="1">
      <x:c r="A49" s="46" t="str">
        <x:v>LME_010</x:v>
      </x:c>
      <x:c r="B49" s="46" t="str">
        <x:v>Insular Pacific-Hawaiian</x:v>
      </x:c>
      <x:c r="C49" s="46" t="str">
        <x:v>LME</x:v>
      </x:c>
      <x:c r="D49" s="58" t="n">
        <x:v>2019</x:v>
      </x:c>
      <x:c r="E49" s="46" t="str">
        <x:v>Balistidae</x:v>
      </x:c>
      <x:c r="F49" s="46" t="str">
        <x:v>Triggerfishes</x:v>
      </x:c>
      <x:c r="G49" s="46" t="str">
        <x:v>Medium reef assoc. fish (30 - 89 cm)</x:v>
      </x:c>
      <x:c r="H49" s="46" t="str">
        <x:v>Other fishes &amp; inverts</x:v>
      </x:c>
      <x:c r="I49" s="60" t="n">
        <x:v>12.1383254627</x:v>
      </x:c>
      <x:c r="J49" s="60" t="n">
        <x:v>10.2524678246</x:v>
      </x:c>
      <x:c r="K49" s="60" t="n">
        <x:v>1.8858576381</x:v>
      </x:c>
      <x:c r="L49" s="60" t="n">
        <x:v>0</x:v>
      </x:c>
      <x:c r="M49" s="60" t="n">
        <x:v>12.1383254627</x:v>
      </x:c>
      <x:c r="N49" s="46" t="str">
        <x:v>balistidae</x:v>
      </x:c>
      <x:c r="O49" s="62" t="n">
        <x:v>3.25</x:v>
      </x:c>
      <x:c r="P49" s="46" t="str">
        <x:v>exact_sea_around_us</x:v>
      </x:c>
      <x:c r="Q49" s="62" t="str">
        <x:v>Sea Around Us exploited organisms</x:v>
      </x:c>
      <x:c r="R49" s="46" t="str">
        <x:v>high</x:v>
      </x:c>
      <x:c r="S49" s="46" t="str">
        <x:v>Balistidae</x:v>
      </x:c>
      <x:c r="T49" s="62" t="n">
        <x:f>IF(O49="","",(1/'Metadata'!$B$5)^(O49-1))</x:f>
        <x:v>845.8970107524513</x:v>
      </x:c>
      <x:c r="U49" s="60" t="n">
        <x:f>IF(T49="","",I49*T49)</x:f>
        <x:v>10267.773224438293</x:v>
      </x:c>
    </x:row>
    <x:row r="50" ht="18" customHeight="1">
      <x:c r="A50" s="46" t="str">
        <x:v>LME_010</x:v>
      </x:c>
      <x:c r="B50" s="46" t="str">
        <x:v>Insular Pacific-Hawaiian</x:v>
      </x:c>
      <x:c r="C50" s="46" t="str">
        <x:v>LME</x:v>
      </x:c>
      <x:c r="D50" s="58" t="n">
        <x:v>2019</x:v>
      </x:c>
      <x:c r="E50" s="46" t="str">
        <x:v>Mugil cephalus</x:v>
      </x:c>
      <x:c r="F50" s="46" t="str">
        <x:v>Flathead grey mullet</x:v>
      </x:c>
      <x:c r="G50" s="46" t="str">
        <x:v>Large benthopelagics (&gt;=90 cm)</x:v>
      </x:c>
      <x:c r="H50" s="46" t="str">
        <x:v>Perch-likes</x:v>
      </x:c>
      <x:c r="I50" s="60" t="n">
        <x:v>12.129411269399998</x:v>
      </x:c>
      <x:c r="J50" s="60" t="n">
        <x:v>12.129411269399998</x:v>
      </x:c>
      <x:c r="K50" s="60" t="n">
        <x:v>0</x:v>
      </x:c>
      <x:c r="L50" s="60" t="n">
        <x:v>0.9549010604</x:v>
      </x:c>
      <x:c r="M50" s="60" t="n">
        <x:v>11.174510209</x:v>
      </x:c>
      <x:c r="N50" s="46" t="str">
        <x:v>mugil cephalus</x:v>
      </x:c>
      <x:c r="O50" s="62" t="n">
        <x:v>2.14</x:v>
      </x:c>
      <x:c r="P50" s="46" t="str">
        <x:v>exact_2020_supplement</x:v>
      </x:c>
      <x:c r="Q50" s="62" t="str">
        <x:v>2020 supplement MeanTL</x:v>
      </x:c>
      <x:c r="R50" s="46" t="str">
        <x:v>high</x:v>
      </x:c>
      <x:c r="S50" s="46" t="str">
        <x:v>Mugil cephalus</x:v>
      </x:c>
      <x:c r="T50" s="62" t="n">
        <x:f>IF(O50="","",(1/'Metadata'!$B$5)^(O50-1))</x:f>
        <x:v>30.421049660829848</x:v>
      </x:c>
      <x:c r="U50" s="60" t="n">
        <x:f>IF(T50="","",I50*T50)</x:f>
        <x:v>368.9894225830466</x:v>
      </x:c>
    </x:row>
    <x:row r="51" ht="18" customHeight="1">
      <x:c r="A51" s="46" t="str">
        <x:v>LME_010</x:v>
      </x:c>
      <x:c r="B51" s="46" t="str">
        <x:v>Insular Pacific-Hawaiian</x:v>
      </x:c>
      <x:c r="C51" s="46" t="str">
        <x:v>LME</x:v>
      </x:c>
      <x:c r="D51" s="58" t="n">
        <x:v>2019</x:v>
      </x:c>
      <x:c r="E51" s="46" t="str">
        <x:v>Lutjanus fulvus</x:v>
      </x:c>
      <x:c r="F51" s="46" t="str">
        <x:v>Blacktail snapper</x:v>
      </x:c>
      <x:c r="G51" s="46" t="str">
        <x:v>Medium reef assoc. fish (30 - 89 cm)</x:v>
      </x:c>
      <x:c r="H51" s="46" t="str">
        <x:v>Perch-likes</x:v>
      </x:c>
      <x:c r="I51" s="60" t="n">
        <x:v>10.5251772004</x:v>
      </x:c>
      <x:c r="J51" s="60" t="n">
        <x:v>10.5251772004</x:v>
      </x:c>
      <x:c r="K51" s="60" t="n">
        <x:v>0</x:v>
      </x:c>
      <x:c r="L51" s="60" t="n">
        <x:v>2.6730494851</x:v>
      </x:c>
      <x:c r="M51" s="60" t="n">
        <x:v>7.8521277153</x:v>
      </x:c>
      <x:c r="N51" s="46" t="str">
        <x:v>lutjanus fulvus</x:v>
      </x:c>
      <x:c r="O51" s="62" t="n">
        <x:v>3.61</x:v>
      </x:c>
      <x:c r="P51" s="46" t="str">
        <x:v>exact_2020_supplement</x:v>
      </x:c>
      <x:c r="Q51" s="62" t="str">
        <x:v>2020 supplement MeanTL</x:v>
      </x:c>
      <x:c r="R51" s="46" t="str">
        <x:v>high</x:v>
      </x:c>
      <x:c r="S51" s="46" t="str">
        <x:v>Lutjanus fulvus</x:v>
      </x:c>
      <x:c r="T51" s="62" t="n">
        <x:f>IF(O51="","",(1/'Metadata'!$B$5)^(O51-1))</x:f>
        <x:v>2487.0716021897506</x:v>
      </x:c>
      <x:c r="U51" s="60" t="n">
        <x:f>IF(T51="","",I51*T51)</x:f>
        <x:v>26176.86932312986</x:v>
      </x:c>
    </x:row>
    <x:row r="52" ht="18" customHeight="1">
      <x:c r="A52" s="46" t="str">
        <x:v>LME_010</x:v>
      </x:c>
      <x:c r="B52" s="46" t="str">
        <x:v>Insular Pacific-Hawaiian</x:v>
      </x:c>
      <x:c r="C52" s="46" t="str">
        <x:v>LME</x:v>
      </x:c>
      <x:c r="D52" s="58" t="n">
        <x:v>2019</x:v>
      </x:c>
      <x:c r="E52" s="46" t="str">
        <x:v>Istiophoridae</x:v>
      </x:c>
      <x:c r="F52" s="46" t="str">
        <x:v>Billfishes</x:v>
      </x:c>
      <x:c r="G52" s="46" t="str">
        <x:v>Large pelagics (&gt;=90 cm)</x:v>
      </x:c>
      <x:c r="H52" s="46" t="str">
        <x:v>Tuna &amp; billfishes</x:v>
      </x:c>
      <x:c r="I52" s="60" t="n">
        <x:v>10.3618076981</x:v>
      </x:c>
      <x:c r="J52" s="60" t="n">
        <x:v>10.3618076981</x:v>
      </x:c>
      <x:c r="K52" s="60" t="n">
        <x:v>0</x:v>
      </x:c>
      <x:c r="L52" s="60" t="n">
        <x:v>0</x:v>
      </x:c>
      <x:c r="M52" s="60" t="n">
        <x:v>10.3618076981</x:v>
      </x:c>
      <x:c r="N52" s="46" t="str">
        <x:v>istiophoridae</x:v>
      </x:c>
      <x:c r="O52" s="62" t="n">
        <x:v>4.48</x:v>
      </x:c>
      <x:c r="P52" s="46" t="str">
        <x:v>exact_sea_around_us</x:v>
      </x:c>
      <x:c r="Q52" s="62" t="str">
        <x:v>Sea Around Us exploited organisms</x:v>
      </x:c>
      <x:c r="R52" s="46" t="str">
        <x:v>high</x:v>
      </x:c>
      <x:c r="S52" s="46" t="str">
        <x:v>Istiophoridae</x:v>
      </x:c>
      <x:c r="T52" s="62" t="n">
        <x:f>IF(O52="","",(1/'Metadata'!$B$5)^(O52-1))</x:f>
        <x:v>33696.468277717824</x:v>
      </x:c>
      <x:c r="U52" s="60" t="n">
        <x:f>IF(T52="","",I52*T52)</x:f>
        <x:v>349156.324398839</x:v>
      </x:c>
    </x:row>
    <x:row r="53" ht="18" customHeight="1">
      <x:c r="A53" s="46" t="str">
        <x:v>LME_010</x:v>
      </x:c>
      <x:c r="B53" s="46" t="str">
        <x:v>Insular Pacific-Hawaiian</x:v>
      </x:c>
      <x:c r="C53" s="46" t="str">
        <x:v>LME</x:v>
      </x:c>
      <x:c r="D53" s="58" t="n">
        <x:v>2019</x:v>
      </x:c>
      <x:c r="E53" s="46" t="str">
        <x:v>Kyphosidae</x:v>
      </x:c>
      <x:c r="F53" s="46" t="str">
        <x:v>Sea chubs, knifefishes, niblers</x:v>
      </x:c>
      <x:c r="G53" s="46" t="str">
        <x:v>Medium reef assoc. fish (30 - 89 cm)</x:v>
      </x:c>
      <x:c r="H53" s="46" t="str">
        <x:v>Perch-likes</x:v>
      </x:c>
      <x:c r="I53" s="60" t="n">
        <x:v>9.7574746544</x:v>
      </x:c>
      <x:c r="J53" s="60" t="n">
        <x:v>9.7574746544</x:v>
      </x:c>
      <x:c r="K53" s="60" t="n">
        <x:v>0</x:v>
      </x:c>
      <x:c r="L53" s="60" t="n">
        <x:v>0</x:v>
      </x:c>
      <x:c r="M53" s="60" t="n">
        <x:v>9.7574746544</x:v>
      </x:c>
      <x:c r="N53" s="46" t="str">
        <x:v>kyphosidae</x:v>
      </x:c>
      <x:c r="O53" s="62" t="n">
        <x:v>2.19</x:v>
      </x:c>
      <x:c r="P53" s="46" t="str">
        <x:v>exact_sea_around_us</x:v>
      </x:c>
      <x:c r="Q53" s="62" t="str">
        <x:v>Sea Around Us exploited organisms</x:v>
      </x:c>
      <x:c r="R53" s="46" t="str">
        <x:v>high</x:v>
      </x:c>
      <x:c r="S53" s="46" t="str">
        <x:v>Kyphosidae</x:v>
      </x:c>
      <x:c r="T53" s="62" t="n">
        <x:f>IF(O53="","",(1/'Metadata'!$B$5)^(O53-1))</x:f>
        <x:v>35.336676027787405</x:v>
      </x:c>
      <x:c r="U53" s="60" t="n">
        <x:f>IF(T53="","",I53*T53)</x:f>
        <x:v>344.79672071187963</x:v>
      </x:c>
    </x:row>
    <x:row r="54" ht="18" customHeight="1">
      <x:c r="A54" s="46" t="str">
        <x:v>LME_010</x:v>
      </x:c>
      <x:c r="B54" s="46" t="str">
        <x:v>Insular Pacific-Hawaiian</x:v>
      </x:c>
      <x:c r="C54" s="46" t="str">
        <x:v>LME</x:v>
      </x:c>
      <x:c r="D54" s="58" t="n">
        <x:v>2019</x:v>
      </x:c>
      <x:c r="E54" s="46" t="str">
        <x:v>Sphyraena barracuda</x:v>
      </x:c>
      <x:c r="F54" s="46" t="str">
        <x:v>Great barracuda</x:v>
      </x:c>
      <x:c r="G54" s="46" t="str">
        <x:v>Large pelagics (&gt;=90 cm)</x:v>
      </x:c>
      <x:c r="H54" s="46" t="str">
        <x:v>Perch-likes</x:v>
      </x:c>
      <x:c r="I54" s="60" t="n">
        <x:v>9.6438348852</x:v>
      </x:c>
      <x:c r="J54" s="60" t="n">
        <x:v>9.6438348852</x:v>
      </x:c>
      <x:c r="K54" s="60" t="n">
        <x:v>0</x:v>
      </x:c>
      <x:c r="L54" s="60" t="n">
        <x:v>1.4643246162999999</x:v>
      </x:c>
      <x:c r="M54" s="60" t="n">
        <x:v>8.1795102689</x:v>
      </x:c>
      <x:c r="N54" s="46" t="str">
        <x:v>sphyraena barracuda</x:v>
      </x:c>
      <x:c r="O54" s="62" t="n">
        <x:v>4.49</x:v>
      </x:c>
      <x:c r="P54" s="46" t="str">
        <x:v>exact_2020_supplement</x:v>
      </x:c>
      <x:c r="Q54" s="62" t="str">
        <x:v>2020 supplement MeanTL</x:v>
      </x:c>
      <x:c r="R54" s="46" t="str">
        <x:v>high</x:v>
      </x:c>
      <x:c r="S54" s="46" t="str">
        <x:v>Sphyraena barracuda</x:v>
      </x:c>
      <x:c r="T54" s="62" t="n">
        <x:f>IF(O54="","",(1/'Metadata'!$B$5)^(O54-1))</x:f>
        <x:v>34721.19667768202</x:v>
      </x:c>
      <x:c r="U54" s="60" t="n">
        <x:f>IF(T54="","",I54*T54)</x:f>
        <x:v>334845.4877761202</x:v>
      </x:c>
    </x:row>
    <x:row r="55" ht="18" customHeight="1">
      <x:c r="A55" s="46" t="str">
        <x:v>LME_010</x:v>
      </x:c>
      <x:c r="B55" s="46" t="str">
        <x:v>Insular Pacific-Hawaiian</x:v>
      </x:c>
      <x:c r="C55" s="46" t="str">
        <x:v>LME</x:v>
      </x:c>
      <x:c r="D55" s="58" t="n">
        <x:v>2019</x:v>
      </x:c>
      <x:c r="E55" s="46" t="str">
        <x:v>Serranidae</x:v>
      </x:c>
      <x:c r="F55" s="46" t="str">
        <x:v>Basses, groupers, hinds</x:v>
      </x:c>
      <x:c r="G55" s="46" t="str">
        <x:v>Medium reef assoc. fish (30 - 89 cm)</x:v>
      </x:c>
      <x:c r="H55" s="46" t="str">
        <x:v>Perch-likes</x:v>
      </x:c>
      <x:c r="I55" s="60" t="n">
        <x:v>9.5725495089</x:v>
      </x:c>
      <x:c r="J55" s="60" t="n">
        <x:v>9.5725495089</x:v>
      </x:c>
      <x:c r="K55" s="60" t="n">
        <x:v>0</x:v>
      </x:c>
      <x:c r="L55" s="60" t="n">
        <x:v>3.019256762</x:v>
      </x:c>
      <x:c r="M55" s="60" t="n">
        <x:v>6.5532927469</x:v>
      </x:c>
      <x:c r="N55" s="46" t="str">
        <x:v>serranidae</x:v>
      </x:c>
      <x:c r="O55" s="62" t="n">
        <x:v>3.98</x:v>
      </x:c>
      <x:c r="P55" s="46" t="str">
        <x:v>exact_sea_around_us</x:v>
      </x:c>
      <x:c r="Q55" s="62" t="str">
        <x:v>Sea Around Us exploited organisms</x:v>
      </x:c>
      <x:c r="R55" s="46" t="str">
        <x:v>high</x:v>
      </x:c>
      <x:c r="S55" s="46" t="str">
        <x:v>Serranidae</x:v>
      </x:c>
      <x:c r="T55" s="62" t="n">
        <x:f>IF(O55="","",(1/'Metadata'!$B$5)^(O55-1))</x:f>
        <x:v>7534.759367064222</x:v>
      </x:c>
      <x:c r="U55" s="60" t="n">
        <x:f>IF(T55="","",I55*T55)</x:f>
        <x:v>72126.8570788703</x:v>
      </x:c>
    </x:row>
    <x:row r="56" ht="18" customHeight="1">
      <x:c r="A56" s="46" t="str">
        <x:v>LME_010</x:v>
      </x:c>
      <x:c r="B56" s="46" t="str">
        <x:v>Insular Pacific-Hawaiian</x:v>
      </x:c>
      <x:c r="C56" s="46" t="str">
        <x:v>LME</x:v>
      </x:c>
      <x:c r="D56" s="58" t="n">
        <x:v>2019</x:v>
      </x:c>
      <x:c r="E56" s="46" t="str">
        <x:v>Holocentridae</x:v>
      </x:c>
      <x:c r="F56" s="46" t="str">
        <x:v>Squirrel-, soldierfishes</x:v>
      </x:c>
      <x:c r="G56" s="46" t="str">
        <x:v>Small reef assoc. fish (&lt;30 cm)</x:v>
      </x:c>
      <x:c r="H56" s="46" t="str">
        <x:v>Other fishes &amp; inverts</x:v>
      </x:c>
      <x:c r="I56" s="60" t="n">
        <x:v>9.2733734324</x:v>
      </x:c>
      <x:c r="J56" s="60" t="n">
        <x:v>1.4625016068</x:v>
      </x:c>
      <x:c r="K56" s="60" t="n">
        <x:v>7.8108718256</x:v>
      </x:c>
      <x:c r="L56" s="60" t="n">
        <x:v>0</x:v>
      </x:c>
      <x:c r="M56" s="60" t="n">
        <x:v>9.2733734324</x:v>
      </x:c>
      <x:c r="N56" s="46" t="str">
        <x:v>holocentridae</x:v>
      </x:c>
      <x:c r="O56" s="62" t="n">
        <x:v>3.49</x:v>
      </x:c>
      <x:c r="P56" s="46" t="str">
        <x:v>exact_sea_around_us</x:v>
      </x:c>
      <x:c r="Q56" s="62" t="str">
        <x:v>Sea Around Us exploited organisms</x:v>
      </x:c>
      <x:c r="R56" s="46" t="str">
        <x:v>high</x:v>
      </x:c>
      <x:c r="S56" s="46" t="str">
        <x:v>Holocentridae</x:v>
      </x:c>
      <x:c r="T56" s="62" t="n">
        <x:f>IF(O56="","",(1/'Metadata'!$B$5)^(O56-1))</x:f>
        <x:v>1736.059833884101</x:v>
      </x:c>
      <x:c r="U56" s="60" t="n">
        <x:f>IF(T56="","",I56*T56)</x:f>
        <x:v>16099.13114059758</x:v>
      </x:c>
    </x:row>
    <x:row r="57" ht="18" customHeight="1">
      <x:c r="A57" s="46" t="str">
        <x:v>LME_010</x:v>
      </x:c>
      <x:c r="B57" s="46" t="str">
        <x:v>Insular Pacific-Hawaiian</x:v>
      </x:c>
      <x:c r="C57" s="46" t="str">
        <x:v>LME</x:v>
      </x:c>
      <x:c r="D57" s="58" t="n">
        <x:v>2019</x:v>
      </x:c>
      <x:c r="E57" s="46" t="str">
        <x:v>Elagatis bipinnulata</x:v>
      </x:c>
      <x:c r="F57" s="46" t="str">
        <x:v>Rainbow runner</x:v>
      </x:c>
      <x:c r="G57" s="46" t="str">
        <x:v>Large pelagics (&gt;=90 cm)</x:v>
      </x:c>
      <x:c r="H57" s="46" t="str">
        <x:v>Perch-likes</x:v>
      </x:c>
      <x:c r="I57" s="60" t="n">
        <x:v>8.1213703784</x:v>
      </x:c>
      <x:c r="J57" s="60" t="n">
        <x:v>8.1213703784</x:v>
      </x:c>
      <x:c r="K57" s="60" t="n">
        <x:v>0</x:v>
      </x:c>
      <x:c r="L57" s="60" t="n">
        <x:v>1.8268236842999999</x:v>
      </x:c>
      <x:c r="M57" s="60" t="n">
        <x:v>6.2945466941</x:v>
      </x:c>
      <x:c r="N57" s="46" t="str">
        <x:v>elagatis bipinnulata</x:v>
      </x:c>
      <x:c r="O57" s="62" t="n">
        <x:v>4.27</x:v>
      </x:c>
      <x:c r="P57" s="46" t="str">
        <x:v>exact_2020_supplement</x:v>
      </x:c>
      <x:c r="Q57" s="62" t="str">
        <x:v>2020 supplement MeanTL</x:v>
      </x:c>
      <x:c r="R57" s="46" t="str">
        <x:v>high</x:v>
      </x:c>
      <x:c r="S57" s="46" t="str">
        <x:v>Elagatis bipinnulata</x:v>
      </x:c>
      <x:c r="T57" s="62" t="n">
        <x:f>IF(O57="","",(1/'Metadata'!$B$5)^(O57-1))</x:f>
        <x:v>17962.55396184286</x:v>
      </x:c>
      <x:c r="U57" s="60" t="n">
        <x:f>IF(T57="","",I57*T57)</x:f>
        <x:v>145880.55366612217</x:v>
      </x:c>
    </x:row>
    <x:row r="58" ht="18" customHeight="1">
      <x:c r="A58" s="46" t="str">
        <x:v>LME_010</x:v>
      </x:c>
      <x:c r="B58" s="46" t="str">
        <x:v>Insular Pacific-Hawaiian</x:v>
      </x:c>
      <x:c r="C58" s="46" t="str">
        <x:v>LME</x:v>
      </x:c>
      <x:c r="D58" s="58" t="n">
        <x:v>2019</x:v>
      </x:c>
      <x:c r="E58" s="46" t="str">
        <x:v>Upeneus taeniopterus</x:v>
      </x:c>
      <x:c r="F58" s="46" t="str">
        <x:v>Finstripe goatfish</x:v>
      </x:c>
      <x:c r="G58" s="46" t="str">
        <x:v>Small reef assoc. fish (&lt;30 cm)</x:v>
      </x:c>
      <x:c r="H58" s="46" t="str">
        <x:v>Perch-likes</x:v>
      </x:c>
      <x:c r="I58" s="60" t="n">
        <x:v>6.5903176447</x:v>
      </x:c>
      <x:c r="J58" s="60" t="n">
        <x:v>6.5903176447</x:v>
      </x:c>
      <x:c r="K58" s="60" t="n">
        <x:v>0</x:v>
      </x:c>
      <x:c r="L58" s="60" t="n">
        <x:v>0</x:v>
      </x:c>
      <x:c r="M58" s="60" t="n">
        <x:v>6.5903176447</x:v>
      </x:c>
      <x:c r="N58" s="46" t="str">
        <x:v>upeneus taeniopterus</x:v>
      </x:c>
      <x:c r="O58" s="62" t="n">
        <x:v>3.54</x:v>
      </x:c>
      <x:c r="P58" s="46" t="str">
        <x:v>exact_2020_supplement</x:v>
      </x:c>
      <x:c r="Q58" s="62" t="str">
        <x:v>2020 supplement MeanTL</x:v>
      </x:c>
      <x:c r="R58" s="46" t="str">
        <x:v>high</x:v>
      </x:c>
      <x:c r="S58" s="46" t="str">
        <x:v>Upeneus taeniopterus</x:v>
      </x:c>
      <x:c r="T58" s="62" t="n">
        <x:f>IF(O58="","",(1/'Metadata'!$B$5)^(O58-1))</x:f>
        <x:v>2016.5834052007342</x:v>
      </x:c>
      <x:c r="U58" s="60" t="n">
        <x:f>IF(T58="","",I58*T58)</x:f>
        <x:v>13289.925197303608</x:v>
      </x:c>
    </x:row>
    <x:row r="59" ht="18" customHeight="1">
      <x:c r="A59" s="46" t="str">
        <x:v>LME_010</x:v>
      </x:c>
      <x:c r="B59" s="46" t="str">
        <x:v>Insular Pacific-Hawaiian</x:v>
      </x:c>
      <x:c r="C59" s="46" t="str">
        <x:v>LME</x:v>
      </x:c>
      <x:c r="D59" s="58" t="n">
        <x:v>2019</x:v>
      </x:c>
      <x:c r="E59" s="46" t="str">
        <x:v>Muraenidae</x:v>
      </x:c>
      <x:c r="F59" s="46" t="str">
        <x:v>Moray eels</x:v>
      </x:c>
      <x:c r="G59" s="46" t="str">
        <x:v>Large reef assoc. fish (&gt;=90 cm)</x:v>
      </x:c>
      <x:c r="H59" s="46" t="str">
        <x:v>Other fishes &amp; inverts</x:v>
      </x:c>
      <x:c r="I59" s="60" t="n">
        <x:v>6.348386666900001</x:v>
      </x:c>
      <x:c r="J59" s="60" t="n">
        <x:v>5.5400350831</x:v>
      </x:c>
      <x:c r="K59" s="60" t="n">
        <x:v>0.8083515838</x:v>
      </x:c>
      <x:c r="L59" s="60" t="n">
        <x:v>0.2626874755</x:v>
      </x:c>
      <x:c r="M59" s="60" t="n">
        <x:v>6.085699191400001</x:v>
      </x:c>
      <x:c r="N59" s="46" t="str">
        <x:v>muraenidae</x:v>
      </x:c>
      <x:c r="O59" s="62" t="n">
        <x:v>4.07</x:v>
      </x:c>
      <x:c r="P59" s="46" t="str">
        <x:v>exact_sea_around_us</x:v>
      </x:c>
      <x:c r="Q59" s="62" t="str">
        <x:v>Sea Around Us exploited organisms</x:v>
      </x:c>
      <x:c r="R59" s="46" t="str">
        <x:v>high</x:v>
      </x:c>
      <x:c r="S59" s="46" t="str">
        <x:v>Muraenidae</x:v>
      </x:c>
      <x:c r="T59" s="62" t="n">
        <x:f>IF(O59="","",(1/'Metadata'!$B$5)^(O59-1))</x:f>
        <x:v>9866.476519743796</x:v>
      </x:c>
      <x:c r="U59" s="60" t="n">
        <x:f>IF(T59="","",I59*T59)</x:f>
        <x:v>62636.20798722343</x:v>
      </x:c>
    </x:row>
    <x:row r="60" ht="18" customHeight="1">
      <x:c r="A60" s="46" t="str">
        <x:v>LME_010</x:v>
      </x:c>
      <x:c r="B60" s="46" t="str">
        <x:v>Insular Pacific-Hawaiian</x:v>
      </x:c>
      <x:c r="C60" s="46" t="str">
        <x:v>LME</x:v>
      </x:c>
      <x:c r="D60" s="58" t="n">
        <x:v>2019</x:v>
      </x:c>
      <x:c r="E60" s="46" t="str">
        <x:v>Aphareus rutilans</x:v>
      </x:c>
      <x:c r="F60" s="46" t="str">
        <x:v>Rusty jobfish</x:v>
      </x:c>
      <x:c r="G60" s="46" t="str">
        <x:v>Medium reef assoc. fish (30 - 89 cm)</x:v>
      </x:c>
      <x:c r="H60" s="46" t="str">
        <x:v>Perch-likes</x:v>
      </x:c>
      <x:c r="I60" s="60" t="n">
        <x:v>6.174896302900001</x:v>
      </x:c>
      <x:c r="J60" s="60" t="n">
        <x:v>6.174896302900001</x:v>
      </x:c>
      <x:c r="K60" s="60" t="n">
        <x:v>0</x:v>
      </x:c>
      <x:c r="L60" s="60" t="n">
        <x:v>3.4989286113</x:v>
      </x:c>
      <x:c r="M60" s="60" t="n">
        <x:v>2.6759676916</x:v>
      </x:c>
      <x:c r="N60" s="46" t="str">
        <x:v>aphareus rutilans</x:v>
      </x:c>
      <x:c r="O60" s="62" t="n">
        <x:v>4.11</x:v>
      </x:c>
      <x:c r="P60" s="46" t="str">
        <x:v>exact_2020_supplement</x:v>
      </x:c>
      <x:c r="Q60" s="62" t="str">
        <x:v>2020 supplement MeanTL</x:v>
      </x:c>
      <x:c r="R60" s="46" t="str">
        <x:v>high</x:v>
      </x:c>
      <x:c r="S60" s="46" t="str">
        <x:v>Aphareus rutilans</x:v>
      </x:c>
      <x:c r="T60" s="62" t="n">
        <x:f>IF(O60="","",(1/'Metadata'!$B$5)^(O60-1))</x:f>
        <x:v>11122.52233481121</x:v>
      </x:c>
      <x:c r="U60" s="60" t="n">
        <x:f>IF(T60="","",I60*T60)</x:f>
        <x:v>68680.42204414842</x:v>
      </x:c>
    </x:row>
    <x:row r="61" ht="18" customHeight="1">
      <x:c r="A61" s="46" t="str">
        <x:v>LME_010</x:v>
      </x:c>
      <x:c r="B61" s="46" t="str">
        <x:v>Insular Pacific-Hawaiian</x:v>
      </x:c>
      <x:c r="C61" s="46" t="str">
        <x:v>LME</x:v>
      </x:c>
      <x:c r="D61" s="58" t="n">
        <x:v>2019</x:v>
      </x:c>
      <x:c r="E61" s="46" t="str">
        <x:v>Naso lituratus</x:v>
      </x:c>
      <x:c r="F61" s="46" t="str">
        <x:v>Orangespine unicornfish</x:v>
      </x:c>
      <x:c r="G61" s="46" t="str">
        <x:v>Medium reef assoc. fish (30 - 89 cm)</x:v>
      </x:c>
      <x:c r="H61" s="46" t="str">
        <x:v>Perch-likes</x:v>
      </x:c>
      <x:c r="I61" s="60" t="n">
        <x:v>5.812062045199999</x:v>
      </x:c>
      <x:c r="J61" s="60" t="n">
        <x:v>5.812062045199999</x:v>
      </x:c>
      <x:c r="K61" s="60" t="n">
        <x:v>0</x:v>
      </x:c>
      <x:c r="L61" s="60" t="n">
        <x:v>1.2587944777</x:v>
      </x:c>
      <x:c r="M61" s="60" t="n">
        <x:v>4.5532675675</x:v>
      </x:c>
      <x:c r="N61" s="46" t="str">
        <x:v>naso lituratus</x:v>
      </x:c>
      <x:c r="O61" s="62" t="n">
        <x:v>2.32</x:v>
      </x:c>
      <x:c r="P61" s="46" t="str">
        <x:v>exact_2020_supplement</x:v>
      </x:c>
      <x:c r="Q61" s="62" t="str">
        <x:v>2020 supplement MeanTL</x:v>
      </x:c>
      <x:c r="R61" s="46" t="str">
        <x:v>high</x:v>
      </x:c>
      <x:c r="S61" s="46" t="str">
        <x:v>Naso lituratus</x:v>
      </x:c>
      <x:c r="T61" s="62" t="n">
        <x:f>IF(O61="","",(1/'Metadata'!$B$5)^(O61-1))</x:f>
        <x:v>52.162643716940714</x:v>
      </x:c>
      <x:c r="U61" s="60" t="n">
        <x:f>IF(T61="","",I61*T61)</x:f>
        <x:v>303.17252172452135</x:v>
      </x:c>
    </x:row>
    <x:row r="62" ht="18" customHeight="1">
      <x:c r="A62" s="46" t="str">
        <x:v>LME_010</x:v>
      </x:c>
      <x:c r="B62" s="46" t="str">
        <x:v>Insular Pacific-Hawaiian</x:v>
      </x:c>
      <x:c r="C62" s="46" t="str">
        <x:v>LME</x:v>
      </x:c>
      <x:c r="D62" s="58" t="n">
        <x:v>2019</x:v>
      </x:c>
      <x:c r="E62" s="46" t="str">
        <x:v>Elasmobranchii</x:v>
      </x:c>
      <x:c r="F62" s="46" t="str">
        <x:v>Sharks, rays, skates</x:v>
      </x:c>
      <x:c r="G62" s="46" t="str">
        <x:v>Large sharks (&gt;=90 cm)</x:v>
      </x:c>
      <x:c r="H62" s="46" t="str">
        <x:v>Sharks &amp; rays</x:v>
      </x:c>
      <x:c r="I62" s="60" t="n">
        <x:v>5.6836662574</x:v>
      </x:c>
      <x:c r="J62" s="60" t="n">
        <x:v>0</x:v>
      </x:c>
      <x:c r="K62" s="60" t="n">
        <x:v>5.6836662574</x:v>
      </x:c>
      <x:c r="L62" s="60" t="n">
        <x:v>0</x:v>
      </x:c>
      <x:c r="M62" s="60" t="n">
        <x:v>5.6836662574</x:v>
      </x:c>
      <x:c r="N62" s="46" t="str">
        <x:v>elasmobranchii</x:v>
      </x:c>
      <x:c r="O62" s="62" t="n">
        <x:v>4.05</x:v>
      </x:c>
      <x:c r="P62" s="46" t="str">
        <x:v>exact_sea_around_us</x:v>
      </x:c>
      <x:c r="Q62" s="62" t="str">
        <x:v>Sea Around Us exploited organisms</x:v>
      </x:c>
      <x:c r="R62" s="46" t="str">
        <x:v>high</x:v>
      </x:c>
      <x:c r="S62" s="46" t="str">
        <x:v>Elasmobranchii</x:v>
      </x:c>
      <x:c r="T62" s="62" t="n">
        <x:f>IF(O62="","",(1/'Metadata'!$B$5)^(O62-1))</x:f>
        <x:v>9292.690797132333</x:v>
      </x:c>
      <x:c r="U62" s="60" t="n">
        <x:f>IF(T62="","",I62*T62)</x:f>
        <x:v>52816.55312411254</x:v>
      </x:c>
    </x:row>
    <x:row r="63" ht="18" customHeight="1">
      <x:c r="A63" s="46" t="str">
        <x:v>LME_010</x:v>
      </x:c>
      <x:c r="B63" s="46" t="str">
        <x:v>Insular Pacific-Hawaiian</x:v>
      </x:c>
      <x:c r="C63" s="46" t="str">
        <x:v>LME</x:v>
      </x:c>
      <x:c r="D63" s="58" t="n">
        <x:v>2019</x:v>
      </x:c>
      <x:c r="E63" s="46" t="str">
        <x:v>Monotaxis grandoculis</x:v>
      </x:c>
      <x:c r="F63" s="46" t="str">
        <x:v>Humpnose big-eye bream</x:v>
      </x:c>
      <x:c r="G63" s="46" t="str">
        <x:v>Medium reef assoc. fish (30 - 89 cm)</x:v>
      </x:c>
      <x:c r="H63" s="46" t="str">
        <x:v>Perch-likes</x:v>
      </x:c>
      <x:c r="I63" s="60" t="n">
        <x:v>5.6024973407</x:v>
      </x:c>
      <x:c r="J63" s="60" t="n">
        <x:v>5.6024973407</x:v>
      </x:c>
      <x:c r="K63" s="60" t="n">
        <x:v>0</x:v>
      </x:c>
      <x:c r="L63" s="60" t="n">
        <x:v>2.9818756083</x:v>
      </x:c>
      <x:c r="M63" s="60" t="n">
        <x:v>2.6206217324</x:v>
      </x:c>
      <x:c r="N63" s="46" t="str">
        <x:v>monotaxis grandoculis</x:v>
      </x:c>
      <x:c r="O63" s="62" t="n">
        <x:v>3.37</x:v>
      </x:c>
      <x:c r="P63" s="46" t="str">
        <x:v>exact_2020_supplement</x:v>
      </x:c>
      <x:c r="Q63" s="62" t="str">
        <x:v>2020 supplement MeanTL</x:v>
      </x:c>
      <x:c r="R63" s="46" t="str">
        <x:v>high</x:v>
      </x:c>
      <x:c r="S63" s="46" t="str">
        <x:v>Monotaxis grandoculis</x:v>
      </x:c>
      <x:c r="T63" s="62" t="n">
        <x:f>IF(O63="","",(1/'Metadata'!$B$5)^(O63-1))</x:f>
        <x:v>1211.828298056271</x:v>
      </x:c>
      <x:c r="U63" s="60" t="n">
        <x:f>IF(T63="","",I63*T63)</x:f>
        <x:v>6789.2648172452655</x:v>
      </x:c>
    </x:row>
    <x:row r="64" ht="18" customHeight="1">
      <x:c r="A64" s="46" t="str">
        <x:v>LME_010</x:v>
      </x:c>
      <x:c r="B64" s="46" t="str">
        <x:v>Insular Pacific-Hawaiian</x:v>
      </x:c>
      <x:c r="C64" s="46" t="str">
        <x:v>LME</x:v>
      </x:c>
      <x:c r="D64" s="58" t="n">
        <x:v>2019</x:v>
      </x:c>
      <x:c r="E64" s="46" t="str">
        <x:v>Calotomus carolinus</x:v>
      </x:c>
      <x:c r="F64" s="46" t="str">
        <x:v>Carolines parrotfish</x:v>
      </x:c>
      <x:c r="G64" s="46" t="str">
        <x:v>Medium reef assoc. fish (30 - 89 cm)</x:v>
      </x:c>
      <x:c r="H64" s="46" t="str">
        <x:v>Perch-likes</x:v>
      </x:c>
      <x:c r="I64" s="60" t="n">
        <x:v>5.4583305963</x:v>
      </x:c>
      <x:c r="J64" s="60" t="n">
        <x:v>5.4583305963</x:v>
      </x:c>
      <x:c r="K64" s="60" t="n">
        <x:v>0</x:v>
      </x:c>
      <x:c r="L64" s="60" t="n">
        <x:v>1.184724284</x:v>
      </x:c>
      <x:c r="M64" s="60" t="n">
        <x:v>4.2736063123</x:v>
      </x:c>
      <x:c r="N64" s="46" t="str">
        <x:v>calotomus carolinus</x:v>
      </x:c>
      <x:c r="O64" s="62" t="n">
        <x:v>2</x:v>
      </x:c>
      <x:c r="P64" s="46" t="str">
        <x:v>exact_2020_supplement</x:v>
      </x:c>
      <x:c r="Q64" s="62" t="str">
        <x:v>2020 supplement MeanTL</x:v>
      </x:c>
      <x:c r="R64" s="46" t="str">
        <x:v>high</x:v>
      </x:c>
      <x:c r="S64" s="46" t="str">
        <x:v>Calotomus carolinus</x:v>
      </x:c>
      <x:c r="T64" s="62" t="n">
        <x:f>IF(O64="","",(1/'Metadata'!$B$5)^(O64-1))</x:f>
        <x:v>20</x:v>
      </x:c>
      <x:c r="U64" s="60" t="n">
        <x:f>IF(T64="","",I64*T64)</x:f>
        <x:v>109.166611926</x:v>
      </x:c>
    </x:row>
    <x:row r="65" ht="18" customHeight="1">
      <x:c r="A65" s="46" t="str">
        <x:v>LME_010</x:v>
      </x:c>
      <x:c r="B65" s="46" t="str">
        <x:v>Insular Pacific-Hawaiian</x:v>
      </x:c>
      <x:c r="C65" s="46" t="str">
        <x:v>LME</x:v>
      </x:c>
      <x:c r="D65" s="58" t="n">
        <x:v>2019</x:v>
      </x:c>
      <x:c r="E65" s="46" t="str">
        <x:v>Xiphias gladius</x:v>
      </x:c>
      <x:c r="F65" s="46" t="str">
        <x:v>Swordfish</x:v>
      </x:c>
      <x:c r="G65" s="46" t="str">
        <x:v>Large pelagics (&gt;=90 cm)</x:v>
      </x:c>
      <x:c r="H65" s="46" t="str">
        <x:v>Tuna &amp; billfishes</x:v>
      </x:c>
      <x:c r="I65" s="60" t="n">
        <x:v>5.4135859861</x:v>
      </x:c>
      <x:c r="J65" s="60" t="n">
        <x:v>1.9393584575</x:v>
      </x:c>
      <x:c r="K65" s="60" t="n">
        <x:v>3.4742275286</x:v>
      </x:c>
      <x:c r="L65" s="60" t="n">
        <x:v>1.9393584575</x:v>
      </x:c>
      <x:c r="M65" s="60" t="n">
        <x:v>3.4742275286</x:v>
      </x:c>
      <x:c r="N65" s="46" t="str">
        <x:v>xiphias gladius</x:v>
      </x:c>
      <x:c r="O65" s="62" t="n">
        <x:v>4.53</x:v>
      </x:c>
      <x:c r="P65" s="46" t="str">
        <x:v>exact_2020_supplement</x:v>
      </x:c>
      <x:c r="Q65" s="62" t="str">
        <x:v>2020 supplement MeanTL</x:v>
      </x:c>
      <x:c r="R65" s="46" t="str">
        <x:v>high</x:v>
      </x:c>
      <x:c r="S65" s="46" t="str">
        <x:v>Xiphias gladius</x:v>
      </x:c>
      <x:c r="T65" s="62" t="n">
        <x:f>IF(O65="","",(1/'Metadata'!$B$5)^(O65-1))</x:f>
        <x:v>39141.35758252625</x:v>
      </x:c>
      <x:c r="U65" s="60" t="n">
        <x:f>IF(T65="","",I65*T65)</x:f>
        <x:v>211895.10488569312</x:v>
      </x:c>
    </x:row>
    <x:row r="66" ht="18" customHeight="1">
      <x:c r="A66" s="46" t="str">
        <x:v>LME_010</x:v>
      </x:c>
      <x:c r="B66" s="46" t="str">
        <x:v>Insular Pacific-Hawaiian</x:v>
      </x:c>
      <x:c r="C66" s="46" t="str">
        <x:v>LME</x:v>
      </x:c>
      <x:c r="D66" s="58" t="n">
        <x:v>2019</x:v>
      </x:c>
      <x:c r="E66" s="46" t="str">
        <x:v>Gastropoda</x:v>
      </x:c>
      <x:c r="F66" s="46" t="str">
        <x:v>Sea snails</x:v>
      </x:c>
      <x:c r="G66" s="46" t="str">
        <x:v>Other demersal invertebrates</x:v>
      </x:c>
      <x:c r="H66" s="46" t="str">
        <x:v>Molluscs</x:v>
      </x:c>
      <x:c r="I66" s="60" t="n">
        <x:v>5.263133777899999</x:v>
      </x:c>
      <x:c r="J66" s="60" t="n">
        <x:v>5.263133777899999</x:v>
      </x:c>
      <x:c r="K66" s="60" t="n">
        <x:v>0</x:v>
      </x:c>
      <x:c r="L66" s="60" t="n">
        <x:v>5.263133777899999</x:v>
      </x:c>
      <x:c r="M66" s="60" t="n">
        <x:v>0</x:v>
      </x:c>
      <x:c r="N66" s="46" t="str">
        <x:v>gastropoda</x:v>
      </x:c>
      <x:c r="O66" s="62" t="n">
        <x:v>3.06</x:v>
      </x:c>
      <x:c r="P66" s="46" t="str">
        <x:v>exact_sea_around_us</x:v>
      </x:c>
      <x:c r="Q66" s="62" t="str">
        <x:v>Sea Around Us exploited organisms</x:v>
      </x:c>
      <x:c r="R66" s="46" t="str">
        <x:v>high</x:v>
      </x:c>
      <x:c r="S66" s="46" t="str">
        <x:v>Gastropoda</x:v>
      </x:c>
      <x:c r="T66" s="62" t="n">
        <x:f>IF(O66="","",(1/'Metadata'!$B$5)^(O66-1))</x:f>
        <x:v>478.7643354384948</x:v>
      </x:c>
      <x:c r="U66" s="60" t="n">
        <x:f>IF(T66="","",I66*T66)</x:f>
        <x:v>2519.8007455001875</x:v>
      </x:c>
    </x:row>
    <x:row r="67" ht="18" customHeight="1">
      <x:c r="A67" s="46" t="str">
        <x:v>LME_010</x:v>
      </x:c>
      <x:c r="B67" s="46" t="str">
        <x:v>Insular Pacific-Hawaiian</x:v>
      </x:c>
      <x:c r="C67" s="46" t="str">
        <x:v>LME</x:v>
      </x:c>
      <x:c r="D67" s="58" t="n">
        <x:v>2019</x:v>
      </x:c>
      <x:c r="E67" s="46" t="str">
        <x:v>Scorpaenidae</x:v>
      </x:c>
      <x:c r="F67" s="46" t="str">
        <x:v>Scorpionfishes, rockfishes</x:v>
      </x:c>
      <x:c r="G67" s="46" t="str">
        <x:v>Large reef assoc. fish (&gt;=90 cm)</x:v>
      </x:c>
      <x:c r="H67" s="46" t="str">
        <x:v>Scorpionfishes</x:v>
      </x:c>
      <x:c r="I67" s="60" t="n">
        <x:v>5.0688877340000005</x:v>
      </x:c>
      <x:c r="J67" s="60" t="n">
        <x:v>0.4884030539</x:v>
      </x:c>
      <x:c r="K67" s="60" t="n">
        <x:v>4.5804846801</x:v>
      </x:c>
      <x:c r="L67" s="60" t="n">
        <x:v>0.4558754223</x:v>
      </x:c>
      <x:c r="M67" s="60" t="n">
        <x:v>4.6130123117</x:v>
      </x:c>
      <x:c r="N67" s="46" t="str">
        <x:v>scorpaenidae</x:v>
      </x:c>
      <x:c r="O67" s="62" t="n">
        <x:v>3.92</x:v>
      </x:c>
      <x:c r="P67" s="46" t="str">
        <x:v>exact_sea_around_us</x:v>
      </x:c>
      <x:c r="Q67" s="62" t="str">
        <x:v>Sea Around Us exploited organisms</x:v>
      </x:c>
      <x:c r="R67" s="46" t="str">
        <x:v>high</x:v>
      </x:c>
      <x:c r="S67" s="46" t="str">
        <x:v>Scorpaenidae</x:v>
      </x:c>
      <x:c r="T67" s="62" t="n">
        <x:f>IF(O67="","",(1/'Metadata'!$B$5)^(O67-1))</x:f>
        <x:v>6295.1718073679995</x:v>
      </x:c>
      <x:c r="U67" s="60" t="n">
        <x:f>IF(T67="","",I67*T67)</x:f>
        <x:v>31909.519157790266</x:v>
      </x:c>
    </x:row>
    <x:row r="68" ht="18" customHeight="1">
      <x:c r="A68" s="46" t="str">
        <x:v>LME_010</x:v>
      </x:c>
      <x:c r="B68" s="46" t="str">
        <x:v>Insular Pacific-Hawaiian</x:v>
      </x:c>
      <x:c r="C68" s="46" t="str">
        <x:v>LME</x:v>
      </x:c>
      <x:c r="D68" s="58" t="n">
        <x:v>2019</x:v>
      </x:c>
      <x:c r="E68" s="46" t="str">
        <x:v>Kyphosus</x:v>
      </x:c>
      <x:c r="F68" s="46" t="str">
        <x:v>Sea chubs</x:v>
      </x:c>
      <x:c r="G68" s="46" t="str">
        <x:v>Medium reef assoc. fish (30 - 89 cm)</x:v>
      </x:c>
      <x:c r="H68" s="46" t="str">
        <x:v>Perch-likes</x:v>
      </x:c>
      <x:c r="I68" s="60" t="n">
        <x:v>4.9938275778</x:v>
      </x:c>
      <x:c r="J68" s="60" t="n">
        <x:v>4.9938275778</x:v>
      </x:c>
      <x:c r="K68" s="60" t="n">
        <x:v>0</x:v>
      </x:c>
      <x:c r="L68" s="60" t="n">
        <x:v>4.9938275778</x:v>
      </x:c>
      <x:c r="M68" s="60" t="n">
        <x:v>0</x:v>
      </x:c>
      <x:c r="N68" s="46" t="str">
        <x:v>kyphosus</x:v>
      </x:c>
      <x:c r="O68" s="62" t="n">
        <x:v>2.05</x:v>
      </x:c>
      <x:c r="P68" s="46" t="str">
        <x:v>exact_sea_around_us</x:v>
      </x:c>
      <x:c r="Q68" s="62" t="str">
        <x:v>Sea Around Us exploited organisms</x:v>
      </x:c>
      <x:c r="R68" s="46" t="str">
        <x:v>high</x:v>
      </x:c>
      <x:c r="S68" s="46" t="str">
        <x:v>Kyphosus</x:v>
      </x:c>
      <x:c r="T68" s="62" t="n">
        <x:f>IF(O68="","",(1/'Metadata'!$B$5)^(O68-1))</x:f>
        <x:v>23.231726992830833</x:v>
      </x:c>
      <x:c r="U68" s="60" t="n">
        <x:f>IF(T68="","",I68*T68)</x:f>
        <x:v>116.01523893671929</x:v>
      </x:c>
    </x:row>
    <x:row r="69" ht="18" customHeight="1">
      <x:c r="A69" s="46" t="str">
        <x:v>LME_010</x:v>
      </x:c>
      <x:c r="B69" s="46" t="str">
        <x:v>Insular Pacific-Hawaiian</x:v>
      </x:c>
      <x:c r="C69" s="46" t="str">
        <x:v>LME</x:v>
      </x:c>
      <x:c r="D69" s="58" t="n">
        <x:v>2019</x:v>
      </x:c>
      <x:c r="E69" s="46" t="str">
        <x:v>Octopus cyanea</x:v>
      </x:c>
      <x:c r="F69" s="46" t="str">
        <x:v>Big blue octopus</x:v>
      </x:c>
      <x:c r="G69" s="46" t="str">
        <x:v>Cephalopods</x:v>
      </x:c>
      <x:c r="H69" s="46" t="str">
        <x:v>Other fishes &amp; inverts</x:v>
      </x:c>
      <x:c r="I69" s="60" t="n">
        <x:v>4.1874867189</x:v>
      </x:c>
      <x:c r="J69" s="60" t="n">
        <x:v>4.1874867189</x:v>
      </x:c>
      <x:c r="K69" s="60" t="n">
        <x:v>0</x:v>
      </x:c>
      <x:c r="L69" s="60" t="n">
        <x:v>4.1874867189</x:v>
      </x:c>
      <x:c r="M69" s="60" t="n">
        <x:v>0</x:v>
      </x:c>
      <x:c r="N69" s="46" t="str">
        <x:v>octopus cyanea</x:v>
      </x:c>
      <x:c r="O69" s="62" t="n">
        <x:v>3.6</x:v>
      </x:c>
      <x:c r="P69" s="46" t="str">
        <x:v>exact_2020_supplement</x:v>
      </x:c>
      <x:c r="Q69" s="62" t="str">
        <x:v>2020 supplement MeanTL</x:v>
      </x:c>
      <x:c r="R69" s="46" t="str">
        <x:v>high</x:v>
      </x:c>
      <x:c r="S69" s="46" t="str">
        <x:v>Octopus cyanea</x:v>
      </x:c>
      <x:c r="T69" s="62" t="n">
        <x:f>IF(O69="","",(1/'Metadata'!$B$5)^(O69-1))</x:f>
        <x:v>2413.670534618066</x:v>
      </x:c>
      <x:c r="U69" s="60" t="n">
        <x:f>IF(T69="","",I69*T69)</x:f>
        <x:v>10107.213307513413</x:v>
      </x:c>
    </x:row>
    <x:row r="70" ht="18" customHeight="1">
      <x:c r="A70" s="46" t="str">
        <x:v>LME_010</x:v>
      </x:c>
      <x:c r="B70" s="46" t="str">
        <x:v>Insular Pacific-Hawaiian</x:v>
      </x:c>
      <x:c r="C70" s="46" t="str">
        <x:v>LME</x:v>
      </x:c>
      <x:c r="D70" s="58" t="n">
        <x:v>2019</x:v>
      </x:c>
      <x:c r="E70" s="46" t="str">
        <x:v>Naso</x:v>
      </x:c>
      <x:c r="F70" s="46" t="str">
        <x:v>Unicornfishes</x:v>
      </x:c>
      <x:c r="G70" s="46" t="str">
        <x:v>Medium reef assoc. fish (30 - 89 cm)</x:v>
      </x:c>
      <x:c r="H70" s="46" t="str">
        <x:v>Perch-likes</x:v>
      </x:c>
      <x:c r="I70" s="60" t="n">
        <x:v>4.17914403</x:v>
      </x:c>
      <x:c r="J70" s="60" t="n">
        <x:v>4.17914403</x:v>
      </x:c>
      <x:c r="K70" s="60" t="n">
        <x:v>0</x:v>
      </x:c>
      <x:c r="L70" s="60" t="n">
        <x:v>4.17914403</x:v>
      </x:c>
      <x:c r="M70" s="60" t="n">
        <x:v>0</x:v>
      </x:c>
      <x:c r="N70" s="46" t="str">
        <x:v>naso</x:v>
      </x:c>
      <x:c r="O70" s="62" t="n">
        <x:v>3.28</x:v>
      </x:c>
      <x:c r="P70" s="46" t="str">
        <x:v>exact_sea_around_us</x:v>
      </x:c>
      <x:c r="Q70" s="62" t="str">
        <x:v>Sea Around Us exploited organisms</x:v>
      </x:c>
      <x:c r="R70" s="46" t="str">
        <x:v>high</x:v>
      </x:c>
      <x:c r="S70" s="46" t="str">
        <x:v>Naso</x:v>
      </x:c>
      <x:c r="T70" s="62" t="n">
        <x:f>IF(O70="","",(1/'Metadata'!$B$5)^(O70-1))</x:f>
        <x:v>925.4402624666747</x:v>
      </x:c>
      <x:c r="U70" s="60" t="n">
        <x:f>IF(T70="","",I70*T70)</x:f>
        <x:v>3867.5481480092362</x:v>
      </x:c>
    </x:row>
    <x:row r="71" ht="18" customHeight="1">
      <x:c r="A71" s="46" t="str">
        <x:v>LME_010</x:v>
      </x:c>
      <x:c r="B71" s="46" t="str">
        <x:v>Insular Pacific-Hawaiian</x:v>
      </x:c>
      <x:c r="C71" s="46" t="str">
        <x:v>LME</x:v>
      </x:c>
      <x:c r="D71" s="58" t="n">
        <x:v>2019</x:v>
      </x:c>
      <x:c r="E71" s="46" t="str">
        <x:v>Mulloidichthys pfluegeri</x:v>
      </x:c>
      <x:c r="F71" s="46" t="str">
        <x:v>Orange goatfish</x:v>
      </x:c>
      <x:c r="G71" s="46" t="str">
        <x:v>Medium demersals (30 - 89 cm)</x:v>
      </x:c>
      <x:c r="H71" s="46" t="str">
        <x:v>Perch-likes</x:v>
      </x:c>
      <x:c r="I71" s="60" t="n">
        <x:v>4.0609524835</x:v>
      </x:c>
      <x:c r="J71" s="60" t="n">
        <x:v>4.0609524835</x:v>
      </x:c>
      <x:c r="K71" s="60" t="n">
        <x:v>0</x:v>
      </x:c>
      <x:c r="L71" s="60" t="n">
        <x:v>0.4651073399</x:v>
      </x:c>
      <x:c r="M71" s="60" t="n">
        <x:v>3.5958451436</x:v>
      </x:c>
      <x:c r="N71" s="46" t="str">
        <x:v>mulloidichthys pfluegeri</x:v>
      </x:c>
      <x:c r="O71" s="62" t="n">
        <x:v>3.88</x:v>
      </x:c>
      <x:c r="P71" s="46" t="str">
        <x:v>exact_2020_supplement</x:v>
      </x:c>
      <x:c r="Q71" s="62" t="str">
        <x:v>2020 supplement MeanTL</x:v>
      </x:c>
      <x:c r="R71" s="46" t="str">
        <x:v>high</x:v>
      </x:c>
      <x:c r="S71" s="46" t="str">
        <x:v>Mulloidichthys pfluegeri</x:v>
      </x:c>
      <x:c r="T71" s="62" t="n">
        <x:f>IF(O71="","",(1/'Metadata'!$B$5)^(O71-1))</x:f>
        <x:v>5584.269732662554</x:v>
      </x:c>
      <x:c r="U71" s="60" t="n">
        <x:f>IF(T71="","",I71*T71)</x:f>
        <x:v>22677.454039389882</x:v>
      </x:c>
    </x:row>
    <x:row r="72" ht="18" customHeight="1">
      <x:c r="A72" s="46" t="str">
        <x:v>LME_010</x:v>
      </x:c>
      <x:c r="B72" s="46" t="str">
        <x:v>Insular Pacific-Hawaiian</x:v>
      </x:c>
      <x:c r="C72" s="46" t="str">
        <x:v>LME</x:v>
      </x:c>
      <x:c r="D72" s="58" t="n">
        <x:v>2019</x:v>
      </x:c>
      <x:c r="E72" s="46" t="str">
        <x:v>Carangidae</x:v>
      </x:c>
      <x:c r="F72" s="46" t="str">
        <x:v>Jacks, pompanos</x:v>
      </x:c>
      <x:c r="G72" s="46" t="str">
        <x:v>Medium pelagics (30 - 89 cm)</x:v>
      </x:c>
      <x:c r="H72" s="46" t="str">
        <x:v>Perch-likes</x:v>
      </x:c>
      <x:c r="I72" s="60" t="n">
        <x:v>3.7091359102</x:v>
      </x:c>
      <x:c r="J72" s="60" t="n">
        <x:v>3.7091359102</x:v>
      </x:c>
      <x:c r="K72" s="60" t="n">
        <x:v>0</x:v>
      </x:c>
      <x:c r="L72" s="60" t="n">
        <x:v>0.0233168113</x:v>
      </x:c>
      <x:c r="M72" s="60" t="n">
        <x:v>3.6858190989</x:v>
      </x:c>
      <x:c r="N72" s="46" t="str">
        <x:v>carangidae</x:v>
      </x:c>
      <x:c r="O72" s="62" t="n">
        <x:v>4.05</x:v>
      </x:c>
      <x:c r="P72" s="46" t="str">
        <x:v>exact_sea_around_us</x:v>
      </x:c>
      <x:c r="Q72" s="62" t="str">
        <x:v>Sea Around Us exploited organisms</x:v>
      </x:c>
      <x:c r="R72" s="46" t="str">
        <x:v>high</x:v>
      </x:c>
      <x:c r="S72" s="46" t="str">
        <x:v>Carangidae</x:v>
      </x:c>
      <x:c r="T72" s="62" t="n">
        <x:f>IF(O72="","",(1/'Metadata'!$B$5)^(O72-1))</x:f>
        <x:v>9292.690797132333</x:v>
      </x:c>
      <x:c r="U72" s="60" t="n">
        <x:f>IF(T72="","",I72*T72)</x:f>
        <x:v>34467.8531380286</x:v>
      </x:c>
    </x:row>
    <x:row r="73" ht="18" customHeight="1">
      <x:c r="A73" s="46" t="str">
        <x:v>LME_010</x:v>
      </x:c>
      <x:c r="B73" s="46" t="str">
        <x:v>Insular Pacific-Hawaiian</x:v>
      </x:c>
      <x:c r="C73" s="46" t="str">
        <x:v>LME</x:v>
      </x:c>
      <x:c r="D73" s="58" t="n">
        <x:v>2019</x:v>
      </x:c>
      <x:c r="E73" s="46" t="str">
        <x:v>Pomacentridae</x:v>
      </x:c>
      <x:c r="F73" s="46" t="str">
        <x:v>Damselfishes</x:v>
      </x:c>
      <x:c r="G73" s="46" t="str">
        <x:v>Small reef assoc. fish (&lt;30 cm)</x:v>
      </x:c>
      <x:c r="H73" s="46" t="str">
        <x:v>Perch-likes</x:v>
      </x:c>
      <x:c r="I73" s="60" t="n">
        <x:v>3.4152799582</x:v>
      </x:c>
      <x:c r="J73" s="60" t="n">
        <x:v>3.4152799582</x:v>
      </x:c>
      <x:c r="K73" s="60" t="n">
        <x:v>0</x:v>
      </x:c>
      <x:c r="L73" s="60" t="n">
        <x:v>0</x:v>
      </x:c>
      <x:c r="M73" s="60" t="n">
        <x:v>3.4152799582</x:v>
      </x:c>
      <x:c r="N73" s="46" t="str">
        <x:v>pomacentridae</x:v>
      </x:c>
      <x:c r="O73" s="62" t="n">
        <x:v>2.57</x:v>
      </x:c>
      <x:c r="P73" s="46" t="str">
        <x:v>exact_sea_around_us</x:v>
      </x:c>
      <x:c r="Q73" s="62" t="str">
        <x:v>Sea Around Us exploited organisms</x:v>
      </x:c>
      <x:c r="R73" s="46" t="str">
        <x:v>high</x:v>
      </x:c>
      <x:c r="S73" s="46" t="str">
        <x:v>Pomacentridae</x:v>
      </x:c>
      <x:c r="T73" s="62" t="n">
        <x:f>IF(O73="","",(1/'Metadata'!$B$5)^(O73-1))</x:f>
        <x:v>110.31056098276322</x:v>
      </x:c>
      <x:c r="U73" s="60" t="n">
        <x:f>IF(T73="","",I73*T73)</x:f>
        <x:v>376.74144810223015</x:v>
      </x:c>
    </x:row>
    <x:row r="74" ht="18" customHeight="1">
      <x:c r="A74" s="46" t="str">
        <x:v>LME_010</x:v>
      </x:c>
      <x:c r="B74" s="46" t="str">
        <x:v>Insular Pacific-Hawaiian</x:v>
      </x:c>
      <x:c r="C74" s="46" t="str">
        <x:v>LME</x:v>
      </x:c>
      <x:c r="D74" s="58" t="n">
        <x:v>2019</x:v>
      </x:c>
      <x:c r="E74" s="46" t="str">
        <x:v>Acanthuridae</x:v>
      </x:c>
      <x:c r="F74" s="46" t="str">
        <x:v>Surgeons, tangs, unicornfishes</x:v>
      </x:c>
      <x:c r="G74" s="46" t="str">
        <x:v>Small reef assoc. fish (&lt;30 cm)</x:v>
      </x:c>
      <x:c r="H74" s="46" t="str">
        <x:v>Perch-likes</x:v>
      </x:c>
      <x:c r="I74" s="60" t="n">
        <x:v>3.3319544669</x:v>
      </x:c>
      <x:c r="J74" s="60" t="n">
        <x:v>3.3319544669</x:v>
      </x:c>
      <x:c r="K74" s="60" t="n">
        <x:v>0</x:v>
      </x:c>
      <x:c r="L74" s="60" t="n">
        <x:v>0</x:v>
      </x:c>
      <x:c r="M74" s="60" t="n">
        <x:v>3.3319544669</x:v>
      </x:c>
      <x:c r="N74" s="46" t="str">
        <x:v>acanthuridae</x:v>
      </x:c>
      <x:c r="O74" s="62" t="n">
        <x:v>2.28</x:v>
      </x:c>
      <x:c r="P74" s="46" t="str">
        <x:v>exact_sea_around_us</x:v>
      </x:c>
      <x:c r="Q74" s="62" t="str">
        <x:v>Sea Around Us exploited organisms</x:v>
      </x:c>
      <x:c r="R74" s="46" t="str">
        <x:v>high</x:v>
      </x:c>
      <x:c r="S74" s="46" t="str">
        <x:v>Acanthuridae</x:v>
      </x:c>
      <x:c r="T74" s="62" t="n">
        <x:f>IF(O74="","",(1/'Metadata'!$B$5)^(O74-1))</x:f>
        <x:v>46.27201312333373</x:v>
      </x:c>
      <x:c r="U74" s="60" t="n">
        <x:f>IF(T74="","",I74*T74)</x:f>
        <x:v>154.17624081874723</x:v>
      </x:c>
    </x:row>
    <x:row r="75" ht="18" customHeight="1">
      <x:c r="A75" s="46" t="str">
        <x:v>LME_010</x:v>
      </x:c>
      <x:c r="B75" s="46" t="str">
        <x:v>Insular Pacific-Hawaiian</x:v>
      </x:c>
      <x:c r="C75" s="46" t="str">
        <x:v>LME</x:v>
      </x:c>
      <x:c r="D75" s="58" t="n">
        <x:v>2019</x:v>
      </x:c>
      <x:c r="E75" s="46" t="str">
        <x:v>Isurus</x:v>
      </x:c>
      <x:c r="F75" s="46" t="str">
        <x:v>Mako sharks</x:v>
      </x:c>
      <x:c r="G75" s="46" t="str">
        <x:v>Large sharks (&gt;=90 cm)</x:v>
      </x:c>
      <x:c r="H75" s="46" t="str">
        <x:v>Sharks &amp; rays</x:v>
      </x:c>
      <x:c r="I75" s="60" t="n">
        <x:v>3.3151674655</x:v>
      </x:c>
      <x:c r="J75" s="60" t="n">
        <x:v>0.2856906308</x:v>
      </x:c>
      <x:c r="K75" s="60" t="n">
        <x:v>3.0294768347</x:v>
      </x:c>
      <x:c r="L75" s="60" t="n">
        <x:v>0.2856906308</x:v>
      </x:c>
      <x:c r="M75" s="60" t="n">
        <x:v>3.0294768347</x:v>
      </x:c>
      <x:c r="N75" s="46" t="str">
        <x:v>isurus</x:v>
      </x:c>
      <x:c r="O75" s="62" t="n">
        <x:v>4.5</x:v>
      </x:c>
      <x:c r="P75" s="46" t="str">
        <x:v>exact_sea_around_us</x:v>
      </x:c>
      <x:c r="Q75" s="62" t="str">
        <x:v>Sea Around Us exploited organisms</x:v>
      </x:c>
      <x:c r="R75" s="46" t="str">
        <x:v>high</x:v>
      </x:c>
      <x:c r="S75" s="46" t="str">
        <x:v>Isurus</x:v>
      </x:c>
      <x:c r="T75" s="62" t="n">
        <x:f>IF(O75="","",(1/'Metadata'!$B$5)^(O75-1))</x:f>
        <x:v>35777.08763999664</x:v>
      </x:c>
      <x:c r="U75" s="60" t="n">
        <x:f>IF(T75="","",I75*T75)</x:f>
        <x:v>118607.03695445902</x:v>
      </x:c>
    </x:row>
    <x:row r="76" ht="18" customHeight="1">
      <x:c r="A76" s="46" t="str">
        <x:v>LME_010</x:v>
      </x:c>
      <x:c r="B76" s="46" t="str">
        <x:v>Insular Pacific-Hawaiian</x:v>
      </x:c>
      <x:c r="C76" s="46" t="str">
        <x:v>LME</x:v>
      </x:c>
      <x:c r="D76" s="58" t="n">
        <x:v>2019</x:v>
      </x:c>
      <x:c r="E76" s="46" t="str">
        <x:v>Albulidae</x:v>
      </x:c>
      <x:c r="F76" s="46" t="str">
        <x:v>Bonefishes</x:v>
      </x:c>
      <x:c r="G76" s="46" t="str">
        <x:v>Medium reef assoc. fish (30 - 89 cm)</x:v>
      </x:c>
      <x:c r="H76" s="46" t="str">
        <x:v>Other fishes &amp; inverts</x:v>
      </x:c>
      <x:c r="I76" s="60" t="n">
        <x:v>3.0501252565</x:v>
      </x:c>
      <x:c r="J76" s="60" t="n">
        <x:v>3.0501252565</x:v>
      </x:c>
      <x:c r="K76" s="60" t="n">
        <x:v>0</x:v>
      </x:c>
      <x:c r="L76" s="60" t="n">
        <x:v>3.0501252565</x:v>
      </x:c>
      <x:c r="M76" s="60" t="n">
        <x:v>0</x:v>
      </x:c>
      <x:c r="N76" s="46" t="str">
        <x:v>albulidae</x:v>
      </x:c>
      <x:c r="O76" s="62" t="n">
        <x:v>3.47</x:v>
      </x:c>
      <x:c r="P76" s="46" t="str">
        <x:v>exact_sea_around_us</x:v>
      </x:c>
      <x:c r="Q76" s="62" t="str">
        <x:v>Sea Around Us exploited organisms</x:v>
      </x:c>
      <x:c r="R76" s="46" t="str">
        <x:v>high</x:v>
      </x:c>
      <x:c r="S76" s="46" t="str">
        <x:v>Albulidae</x:v>
      </x:c>
      <x:c r="T76" s="62" t="n">
        <x:f>IF(O76="","",(1/'Metadata'!$B$5)^(O76-1))</x:f>
        <x:v>1635.0991368927735</x:v>
      </x:c>
      <x:c r="U76" s="60" t="n">
        <x:f>IF(T76="","",I76*T76)</x:f>
        <x:v>4987.257174317999</x:v>
      </x:c>
    </x:row>
    <x:row r="77" ht="18" customHeight="1">
      <x:c r="A77" s="46" t="str">
        <x:v>LME_010</x:v>
      </x:c>
      <x:c r="B77" s="46" t="str">
        <x:v>Insular Pacific-Hawaiian</x:v>
      </x:c>
      <x:c r="C77" s="46" t="str">
        <x:v>LME</x:v>
      </x:c>
      <x:c r="D77" s="58" t="n">
        <x:v>2019</x:v>
      </x:c>
      <x:c r="E77" s="46" t="str">
        <x:v>Myripristis amaena</x:v>
      </x:c>
      <x:c r="F77" s="46" t="str">
        <x:v>Brick soldierfish</x:v>
      </x:c>
      <x:c r="G77" s="46" t="str">
        <x:v>Small reef assoc. fish (&lt;30 cm)</x:v>
      </x:c>
      <x:c r="H77" s="46" t="str">
        <x:v>Other fishes &amp; inverts</x:v>
      </x:c>
      <x:c r="I77" s="60" t="n">
        <x:v>2.9231018889</x:v>
      </x:c>
      <x:c r="J77" s="60" t="n">
        <x:v>2.9231018889</x:v>
      </x:c>
      <x:c r="K77" s="60" t="n">
        <x:v>0</x:v>
      </x:c>
      <x:c r="L77" s="60" t="n">
        <x:v>0</x:v>
      </x:c>
      <x:c r="M77" s="60" t="n">
        <x:v>2.9231018889</x:v>
      </x:c>
      <x:c r="N77" s="46" t="str">
        <x:v>myripristis amaena</x:v>
      </x:c>
      <x:c r="O77" s="62" t="n">
        <x:v>3.62</x:v>
      </x:c>
      <x:c r="P77" s="46" t="str">
        <x:v>exact_2020_supplement</x:v>
      </x:c>
      <x:c r="Q77" s="62" t="str">
        <x:v>2020 supplement MeanTL</x:v>
      </x:c>
      <x:c r="R77" s="46" t="str">
        <x:v>high</x:v>
      </x:c>
      <x:c r="S77" s="46" t="str">
        <x:v>Myripristis amaena</x:v>
      </x:c>
      <x:c r="T77" s="62" t="n">
        <x:f>IF(O77="","",(1/'Metadata'!$B$5)^(O77-1))</x:f>
        <x:v>2562.7048371775754</x:v>
      </x:c>
      <x:c r="U77" s="60" t="n">
        <x:f>IF(T77="","",I77*T77)</x:f>
        <x:v>7491.047350246937</x:v>
      </x:c>
    </x:row>
    <x:row r="78" ht="18" customHeight="1">
      <x:c r="A78" s="46" t="str">
        <x:v>LME_010</x:v>
      </x:c>
      <x:c r="B78" s="46" t="str">
        <x:v>Insular Pacific-Hawaiian</x:v>
      </x:c>
      <x:c r="C78" s="46" t="str">
        <x:v>LME</x:v>
      </x:c>
      <x:c r="D78" s="58" t="n">
        <x:v>2019</x:v>
      </x:c>
      <x:c r="E78" s="46" t="str">
        <x:v>Mullidae</x:v>
      </x:c>
      <x:c r="F78" s="46" t="str">
        <x:v>Goatfishes</x:v>
      </x:c>
      <x:c r="G78" s="46" t="str">
        <x:v>Medium reef assoc. fish (30 - 89 cm)</x:v>
      </x:c>
      <x:c r="H78" s="46" t="str">
        <x:v>Perch-likes</x:v>
      </x:c>
      <x:c r="I78" s="60" t="n">
        <x:v>2.7006166953</x:v>
      </x:c>
      <x:c r="J78" s="60" t="n">
        <x:v>0.006618795</x:v>
      </x:c>
      <x:c r="K78" s="60" t="n">
        <x:v>2.6939979003</x:v>
      </x:c>
      <x:c r="L78" s="60" t="n">
        <x:v>0</x:v>
      </x:c>
      <x:c r="M78" s="60" t="n">
        <x:v>2.7006166953</x:v>
      </x:c>
      <x:c r="N78" s="46" t="str">
        <x:v>mullidae</x:v>
      </x:c>
      <x:c r="O78" s="62" t="n">
        <x:v>3.46</x:v>
      </x:c>
      <x:c r="P78" s="46" t="str">
        <x:v>exact_sea_around_us</x:v>
      </x:c>
      <x:c r="Q78" s="62" t="str">
        <x:v>Sea Around Us exploited organisms</x:v>
      </x:c>
      <x:c r="R78" s="46" t="str">
        <x:v>high</x:v>
      </x:c>
      <x:c r="S78" s="46" t="str">
        <x:v>Mullidae</x:v>
      </x:c>
      <x:c r="T78" s="62" t="n">
        <x:f>IF(O78="","",(1/'Metadata'!$B$5)^(O78-1))</x:f>
        <x:v>1586.8423749532276</x:v>
      </x:c>
      <x:c r="U78" s="60" t="n">
        <x:f>IF(T78="","",I78*T78)</x:f>
        <x:v>4285.453010608189</x:v>
      </x:c>
    </x:row>
    <x:row r="79" ht="18" customHeight="1">
      <x:c r="A79" s="46" t="str">
        <x:v>LME_010</x:v>
      </x:c>
      <x:c r="B79" s="46" t="str">
        <x:v>Insular Pacific-Hawaiian</x:v>
      </x:c>
      <x:c r="C79" s="46" t="str">
        <x:v>LME</x:v>
      </x:c>
      <x:c r="D79" s="58" t="n">
        <x:v>2019</x:v>
      </x:c>
      <x:c r="E79" s="46" t="str">
        <x:v>Scomberoides lysan</x:v>
      </x:c>
      <x:c r="F79" s="46" t="str">
        <x:v>Doublespotted queenfish</x:v>
      </x:c>
      <x:c r="G79" s="46" t="str">
        <x:v>Medium reef assoc. fish (30 - 89 cm)</x:v>
      </x:c>
      <x:c r="H79" s="46" t="str">
        <x:v>Perch-likes</x:v>
      </x:c>
      <x:c r="I79" s="60" t="n">
        <x:v>2.4301368373</x:v>
      </x:c>
      <x:c r="J79" s="60" t="n">
        <x:v>2.4301368373</x:v>
      </x:c>
      <x:c r="K79" s="60" t="n">
        <x:v>0</x:v>
      </x:c>
      <x:c r="L79" s="60" t="n">
        <x:v>0.11162034979999999</x:v>
      </x:c>
      <x:c r="M79" s="60" t="n">
        <x:v>2.3185164875</x:v>
      </x:c>
      <x:c r="N79" s="46" t="str">
        <x:v>scomberoides lysan</x:v>
      </x:c>
      <x:c r="O79" s="62" t="n">
        <x:v>4.38</x:v>
      </x:c>
      <x:c r="P79" s="46" t="str">
        <x:v>exact_2020_supplement</x:v>
      </x:c>
      <x:c r="Q79" s="62" t="str">
        <x:v>2020 supplement MeanTL</x:v>
      </x:c>
      <x:c r="R79" s="46" t="str">
        <x:v>high</x:v>
      </x:c>
      <x:c r="S79" s="46" t="str">
        <x:v>Scomberoides lysan</x:v>
      </x:c>
      <x:c r="T79" s="62" t="n">
        <x:f>IF(O79="","",(1/'Metadata'!$B$5)^(O79-1))</x:f>
        <x:v>24973.6134538561</x:v>
      </x:c>
      <x:c r="U79" s="60" t="n">
        <x:f>IF(T79="","",I79*T79)</x:f>
        <x:v>60689.29801470659</x:v>
      </x:c>
    </x:row>
    <x:row r="80" ht="18" customHeight="1">
      <x:c r="A80" s="46" t="str">
        <x:v>LME_010</x:v>
      </x:c>
      <x:c r="B80" s="46" t="str">
        <x:v>Insular Pacific-Hawaiian</x:v>
      </x:c>
      <x:c r="C80" s="46" t="str">
        <x:v>LME</x:v>
      </x:c>
      <x:c r="D80" s="58" t="n">
        <x:v>2019</x:v>
      </x:c>
      <x:c r="E80" s="46" t="str">
        <x:v>Naso hexacanthus</x:v>
      </x:c>
      <x:c r="F80" s="46" t="str">
        <x:v>Sleek unicornfish</x:v>
      </x:c>
      <x:c r="G80" s="46" t="str">
        <x:v>Medium reef assoc. fish (30 - 89 cm)</x:v>
      </x:c>
      <x:c r="H80" s="46" t="str">
        <x:v>Perch-likes</x:v>
      </x:c>
      <x:c r="I80" s="60" t="n">
        <x:v>2.3894236544000003</x:v>
      </x:c>
      <x:c r="J80" s="60" t="n">
        <x:v>2.3894236544000003</x:v>
      </x:c>
      <x:c r="K80" s="60" t="n">
        <x:v>0</x:v>
      </x:c>
      <x:c r="L80" s="60" t="n">
        <x:v>0.5744389304</x:v>
      </x:c>
      <x:c r="M80" s="60" t="n">
        <x:v>1.814984724</x:v>
      </x:c>
      <x:c r="N80" s="46" t="str">
        <x:v>naso hexacanthus</x:v>
      </x:c>
      <x:c r="O80" s="62" t="n">
        <x:v>3.28</x:v>
      </x:c>
      <x:c r="P80" s="46" t="str">
        <x:v>exact_2020_supplement</x:v>
      </x:c>
      <x:c r="Q80" s="62" t="str">
        <x:v>2020 supplement MeanTL</x:v>
      </x:c>
      <x:c r="R80" s="46" t="str">
        <x:v>high</x:v>
      </x:c>
      <x:c r="S80" s="46" t="str">
        <x:v>Naso hexacanthus</x:v>
      </x:c>
      <x:c r="T80" s="62" t="n">
        <x:f>IF(O80="","",(1/'Metadata'!$B$5)^(O80-1))</x:f>
        <x:v>925.4402624666747</x:v>
      </x:c>
      <x:c r="U80" s="60" t="n">
        <x:f>IF(T80="","",I80*T80)</x:f>
        <x:v>2211.268853872017</x:v>
      </x:c>
    </x:row>
    <x:row r="81" ht="18" customHeight="1">
      <x:c r="A81" s="46" t="str">
        <x:v>LME_010</x:v>
      </x:c>
      <x:c r="B81" s="46" t="str">
        <x:v>Insular Pacific-Hawaiian</x:v>
      </x:c>
      <x:c r="C81" s="46" t="str">
        <x:v>LME</x:v>
      </x:c>
      <x:c r="D81" s="58" t="n">
        <x:v>2019</x:v>
      </x:c>
      <x:c r="E81" s="46" t="str">
        <x:v>Carcharhinus falciformis</x:v>
      </x:c>
      <x:c r="F81" s="46" t="str">
        <x:v>Silky shark</x:v>
      </x:c>
      <x:c r="G81" s="46" t="str">
        <x:v>Large sharks (&gt;=90 cm)</x:v>
      </x:c>
      <x:c r="H81" s="46" t="str">
        <x:v>Sharks &amp; rays</x:v>
      </x:c>
      <x:c r="I81" s="60" t="n">
        <x:v>2.2235865365</x:v>
      </x:c>
      <x:c r="J81" s="60" t="n">
        <x:v>0</x:v>
      </x:c>
      <x:c r="K81" s="60" t="n">
        <x:v>2.2235865365</x:v>
      </x:c>
      <x:c r="L81" s="60" t="n">
        <x:v>0</x:v>
      </x:c>
      <x:c r="M81" s="60" t="n">
        <x:v>2.2235865365</x:v>
      </x:c>
      <x:c r="N81" s="46" t="str">
        <x:v>carcharhinus falciformis</x:v>
      </x:c>
      <x:c r="O81" s="62" t="n">
        <x:v>4.51</x:v>
      </x:c>
      <x:c r="P81" s="46" t="str">
        <x:v>exact_2020_supplement</x:v>
      </x:c>
      <x:c r="Q81" s="62" t="str">
        <x:v>2020 supplement MeanTL</x:v>
      </x:c>
      <x:c r="R81" s="46" t="str">
        <x:v>high</x:v>
      </x:c>
      <x:c r="S81" s="46" t="str">
        <x:v>Carcharhinus falciformis</x:v>
      </x:c>
      <x:c r="T81" s="62" t="n">
        <x:f>IF(O81="","",(1/'Metadata'!$B$5)^(O81-1))</x:f>
        <x:v>36865.088835568684</x:v>
      </x:c>
      <x:c r="U81" s="60" t="n">
        <x:f>IF(T81="","",I81*T81)</x:f>
        <x:v>81972.71520164699</x:v>
      </x:c>
    </x:row>
    <x:row r="82" ht="18" customHeight="1">
      <x:c r="A82" s="46" t="str">
        <x:v>LME_010</x:v>
      </x:c>
      <x:c r="B82" s="46" t="str">
        <x:v>Insular Pacific-Hawaiian</x:v>
      </x:c>
      <x:c r="C82" s="46" t="str">
        <x:v>LME</x:v>
      </x:c>
      <x:c r="D82" s="58" t="n">
        <x:v>2019</x:v>
      </x:c>
      <x:c r="E82" s="46" t="str">
        <x:v>Myripristis chryseres</x:v>
      </x:c>
      <x:c r="F82" s="46" t="str">
        <x:v>Yellowfin soldierfish</x:v>
      </x:c>
      <x:c r="G82" s="46" t="str">
        <x:v>Small reef assoc. fish (&lt;30 cm)</x:v>
      </x:c>
      <x:c r="H82" s="46" t="str">
        <x:v>Other fishes &amp; inverts</x:v>
      </x:c>
      <x:c r="I82" s="60" t="n">
        <x:v>2.1287581528</x:v>
      </x:c>
      <x:c r="J82" s="60" t="n">
        <x:v>2.1287581528</x:v>
      </x:c>
      <x:c r="K82" s="60" t="n">
        <x:v>0</x:v>
      </x:c>
      <x:c r="L82" s="60" t="n">
        <x:v>0</x:v>
      </x:c>
      <x:c r="M82" s="60" t="n">
        <x:v>2.1287581528</x:v>
      </x:c>
      <x:c r="N82" s="46" t="str">
        <x:v>myripristis chryseres</x:v>
      </x:c>
      <x:c r="O82" s="62" t="n">
        <x:v>4.04</x:v>
      </x:c>
      <x:c r="P82" s="46" t="str">
        <x:v>exact_2020_supplement</x:v>
      </x:c>
      <x:c r="Q82" s="62" t="str">
        <x:v>2020 supplement MeanTL</x:v>
      </x:c>
      <x:c r="R82" s="46" t="str">
        <x:v>high</x:v>
      </x:c>
      <x:c r="S82" s="46" t="str">
        <x:v>Myripristis chryseres</x:v>
      </x:c>
      <x:c r="T82" s="62" t="n">
        <x:f>IF(O82="","",(1/'Metadata'!$B$5)^(O82-1))</x:f>
        <x:v>9018.435152653688</x:v>
      </x:c>
      <x:c r="U82" s="60" t="n">
        <x:f>IF(T82="","",I82*T82)</x:f>
        <x:v>19198.067356709653</x:v>
      </x:c>
    </x:row>
    <x:row r="83" ht="18" customHeight="1">
      <x:c r="A83" s="46" t="str">
        <x:v>LME_010</x:v>
      </x:c>
      <x:c r="B83" s="46" t="str">
        <x:v>Insular Pacific-Hawaiian</x:v>
      </x:c>
      <x:c r="C83" s="46" t="str">
        <x:v>LME</x:v>
      </x:c>
      <x:c r="D83" s="58" t="n">
        <x:v>2019</x:v>
      </x:c>
      <x:c r="E83" s="46" t="str">
        <x:v>Acanthurus olivaceus</x:v>
      </x:c>
      <x:c r="F83" s="46" t="str">
        <x:v>Orangespot surgeonfish</x:v>
      </x:c>
      <x:c r="G83" s="46" t="str">
        <x:v>Small reef assoc. fish (&lt;30 cm)</x:v>
      </x:c>
      <x:c r="H83" s="46" t="str">
        <x:v>Perch-likes</x:v>
      </x:c>
      <x:c r="I83" s="60" t="n">
        <x:v>2.083800043</x:v>
      </x:c>
      <x:c r="J83" s="60" t="n">
        <x:v>2.083800043</x:v>
      </x:c>
      <x:c r="K83" s="60" t="n">
        <x:v>0</x:v>
      </x:c>
      <x:c r="L83" s="60" t="n">
        <x:v>2.083800043</x:v>
      </x:c>
      <x:c r="M83" s="60" t="n">
        <x:v>0</x:v>
      </x:c>
      <x:c r="N83" s="46" t="str">
        <x:v>acanthurus olivaceus</x:v>
      </x:c>
      <x:c r="O83" s="62" t="n">
        <x:v>2.2</x:v>
      </x:c>
      <x:c r="P83" s="46" t="str">
        <x:v>exact_2020_supplement</x:v>
      </x:c>
      <x:c r="Q83" s="62" t="str">
        <x:v>2020 supplement MeanTL</x:v>
      </x:c>
      <x:c r="R83" s="46" t="str">
        <x:v>high</x:v>
      </x:c>
      <x:c r="S83" s="46" t="str">
        <x:v>Acanthurus olivaceus</x:v>
      </x:c>
      <x:c r="T83" s="62" t="n">
        <x:f>IF(O83="","",(1/'Metadata'!$B$5)^(O83-1))</x:f>
        <x:v>36.41128406052162</x:v>
      </x:c>
      <x:c r="U83" s="60" t="n">
        <x:f>IF(T83="","",I83*T83)</x:f>
        <x:v>75.87383529100018</x:v>
      </x:c>
    </x:row>
    <x:row r="84" ht="18" customHeight="1">
      <x:c r="A84" s="46" t="str">
        <x:v>LME_010</x:v>
      </x:c>
      <x:c r="B84" s="46" t="str">
        <x:v>Insular Pacific-Hawaiian</x:v>
      </x:c>
      <x:c r="C84" s="46" t="str">
        <x:v>LME</x:v>
      </x:c>
      <x:c r="D84" s="58" t="n">
        <x:v>2019</x:v>
      </x:c>
      <x:c r="E84" s="46" t="str">
        <x:v>Pristipomoides zonatus</x:v>
      </x:c>
      <x:c r="F84" s="46" t="str">
        <x:v>Oblique-banded snapper</x:v>
      </x:c>
      <x:c r="G84" s="46" t="str">
        <x:v>Medium demersals (30 - 89 cm)</x:v>
      </x:c>
      <x:c r="H84" s="46" t="str">
        <x:v>Perch-likes</x:v>
      </x:c>
      <x:c r="I84" s="60" t="n">
        <x:v>1.6142149817</x:v>
      </x:c>
      <x:c r="J84" s="60" t="n">
        <x:v>1.6142149817</x:v>
      </x:c>
      <x:c r="K84" s="60" t="n">
        <x:v>0</x:v>
      </x:c>
      <x:c r="L84" s="60" t="n">
        <x:v>1.6142149817</x:v>
      </x:c>
      <x:c r="M84" s="60" t="n">
        <x:v>0</x:v>
      </x:c>
      <x:c r="N84" s="46" t="str">
        <x:v>pristipomoides zonatus</x:v>
      </x:c>
      <x:c r="O84" s="62" t="n">
        <x:v>4.04</x:v>
      </x:c>
      <x:c r="P84" s="46" t="str">
        <x:v>exact_2020_supplement</x:v>
      </x:c>
      <x:c r="Q84" s="62" t="str">
        <x:v>2020 supplement MeanTL</x:v>
      </x:c>
      <x:c r="R84" s="46" t="str">
        <x:v>high</x:v>
      </x:c>
      <x:c r="S84" s="46" t="str">
        <x:v>Pristipomoides zonatus</x:v>
      </x:c>
      <x:c r="T84" s="62" t="n">
        <x:f>IF(O84="","",(1/'Metadata'!$B$5)^(O84-1))</x:f>
        <x:v>9018.435152653688</x:v>
      </x:c>
      <x:c r="U84" s="60" t="n">
        <x:f>IF(T84="","",I84*T84)</x:f>
        <x:v>14557.69313490351</x:v>
      </x:c>
    </x:row>
    <x:row r="85" ht="18" customHeight="1">
      <x:c r="A85" s="46" t="str">
        <x:v>LME_010</x:v>
      </x:c>
      <x:c r="B85" s="46" t="str">
        <x:v>Insular Pacific-Hawaiian</x:v>
      </x:c>
      <x:c r="C85" s="46" t="str">
        <x:v>LME</x:v>
      </x:c>
      <x:c r="D85" s="58" t="n">
        <x:v>2019</x:v>
      </x:c>
      <x:c r="E85" s="46" t="str">
        <x:v>Panulirus penicillatus</x:v>
      </x:c>
      <x:c r="F85" s="46" t="str">
        <x:v>Pronghorn spiny lobster</x:v>
      </x:c>
      <x:c r="G85" s="46" t="str">
        <x:v>Lobsters, crabs</x:v>
      </x:c>
      <x:c r="H85" s="46" t="str">
        <x:v>Crustaceans</x:v>
      </x:c>
      <x:c r="I85" s="60" t="n">
        <x:v>1.5011826784</x:v>
      </x:c>
      <x:c r="J85" s="60" t="n">
        <x:v>1.5011826784</x:v>
      </x:c>
      <x:c r="K85" s="60" t="n">
        <x:v>0</x:v>
      </x:c>
      <x:c r="L85" s="60" t="n">
        <x:v>1.5011826784</x:v>
      </x:c>
      <x:c r="M85" s="60" t="n">
        <x:v>0</x:v>
      </x:c>
      <x:c r="N85" s="46" t="str">
        <x:v>panulirus penicillatus</x:v>
      </x:c>
      <x:c r="O85" s="62" t="n">
        <x:v>3.57</x:v>
      </x:c>
      <x:c r="P85" s="46" t="str">
        <x:v>exact_sea_around_us</x:v>
      </x:c>
      <x:c r="Q85" s="62" t="str">
        <x:v>Sea Around Us exploited organisms</x:v>
      </x:c>
      <x:c r="R85" s="46" t="str">
        <x:v>high</x:v>
      </x:c>
      <x:c r="S85" s="46" t="str">
        <x:v>Panulirus penicillatus</x:v>
      </x:c>
      <x:c r="T85" s="62" t="n">
        <x:f>IF(O85="","",(1/'Metadata'!$B$5)^(O85-1))</x:f>
        <x:v>2206.2112196552644</x:v>
      </x:c>
      <x:c r="U85" s="60" t="n">
        <x:f>IF(T85="","",I85*T85)</x:f>
        <x:v>3311.92606783822</x:v>
      </x:c>
    </x:row>
    <x:row r="86" ht="18" customHeight="1">
      <x:c r="A86" s="46" t="str">
        <x:v>LME_010</x:v>
      </x:c>
      <x:c r="B86" s="46" t="str">
        <x:v>Insular Pacific-Hawaiian</x:v>
      </x:c>
      <x:c r="C86" s="46" t="str">
        <x:v>LME</x:v>
      </x:c>
      <x:c r="D86" s="58" t="n">
        <x:v>2019</x:v>
      </x:c>
      <x:c r="E86" s="46" t="str">
        <x:v>Monacanthidae</x:v>
      </x:c>
      <x:c r="F86" s="46" t="str">
        <x:v>Filefishes</x:v>
      </x:c>
      <x:c r="G86" s="46" t="str">
        <x:v>Medium reef assoc. fish (30 - 89 cm)</x:v>
      </x:c>
      <x:c r="H86" s="46" t="str">
        <x:v>Other fishes &amp; inverts</x:v>
      </x:c>
      <x:c r="I86" s="60" t="n">
        <x:v>1.4477107175</x:v>
      </x:c>
      <x:c r="J86" s="60" t="n">
        <x:v>1.4477107175</x:v>
      </x:c>
      <x:c r="K86" s="60" t="n">
        <x:v>0</x:v>
      </x:c>
      <x:c r="L86" s="60" t="n">
        <x:v>0</x:v>
      </x:c>
      <x:c r="M86" s="60" t="n">
        <x:v>1.4477107175</x:v>
      </x:c>
      <x:c r="N86" s="46" t="str">
        <x:v>monacanthidae</x:v>
      </x:c>
      <x:c r="O86" s="62" t="n">
        <x:v>3</x:v>
      </x:c>
      <x:c r="P86" s="46" t="str">
        <x:v>exact_sea_around_us</x:v>
      </x:c>
      <x:c r="Q86" s="62" t="str">
        <x:v>Sea Around Us exploited organisms</x:v>
      </x:c>
      <x:c r="R86" s="46" t="str">
        <x:v>high</x:v>
      </x:c>
      <x:c r="S86" s="46" t="str">
        <x:v>Monacanthidae</x:v>
      </x:c>
      <x:c r="T86" s="62" t="n">
        <x:f>IF(O86="","",(1/'Metadata'!$B$5)^(O86-1))</x:f>
        <x:v>400</x:v>
      </x:c>
      <x:c r="U86" s="60" t="n">
        <x:f>IF(T86="","",I86*T86)</x:f>
        <x:v>579.084287</x:v>
      </x:c>
    </x:row>
    <x:row r="87" ht="18" customHeight="1">
      <x:c r="A87" s="46" t="str">
        <x:v>LME_010</x:v>
      </x:c>
      <x:c r="B87" s="46" t="str">
        <x:v>Insular Pacific-Hawaiian</x:v>
      </x:c>
      <x:c r="C87" s="46" t="str">
        <x:v>LME</x:v>
      </x:c>
      <x:c r="D87" s="58" t="n">
        <x:v>2019</x:v>
      </x:c>
      <x:c r="E87" s="46" t="str">
        <x:v>Myliobatidae</x:v>
      </x:c>
      <x:c r="F87" s="46" t="str">
        <x:v>Eagle/manta rays</x:v>
      </x:c>
      <x:c r="G87" s="46" t="str">
        <x:v>Large rays (&gt;=90 cm)</x:v>
      </x:c>
      <x:c r="H87" s="46" t="str">
        <x:v>Sharks &amp; rays</x:v>
      </x:c>
      <x:c r="I87" s="60" t="n">
        <x:v>1.4475016023</x:v>
      </x:c>
      <x:c r="J87" s="60" t="n">
        <x:v>1.4475016023</x:v>
      </x:c>
      <x:c r="K87" s="60" t="n">
        <x:v>0</x:v>
      </x:c>
      <x:c r="L87" s="60" t="n">
        <x:v>0</x:v>
      </x:c>
      <x:c r="M87" s="60" t="n">
        <x:v>1.4475016023</x:v>
      </x:c>
      <x:c r="N87" s="46" t="str">
        <x:v>myliobatidae</x:v>
      </x:c>
      <x:c r="O87" s="62" t="n">
        <x:v>3.36</x:v>
      </x:c>
      <x:c r="P87" s="46" t="str">
        <x:v>exact_sea_around_us</x:v>
      </x:c>
      <x:c r="Q87" s="62" t="str">
        <x:v>Sea Around Us exploited organisms</x:v>
      </x:c>
      <x:c r="R87" s="46" t="str">
        <x:v>high</x:v>
      </x:c>
      <x:c r="S87" s="46" t="str">
        <x:v>Myliobatidae</x:v>
      </x:c>
      <x:c r="T87" s="62" t="n">
        <x:f>IF(O87="","",(1/'Metadata'!$B$5)^(O87-1))</x:f>
        <x:v>1176.0635493805207</x:v>
      </x:c>
      <x:c r="U87" s="60" t="n">
        <x:f>IF(T87="","",I87*T87)</x:f>
        <x:v>1702.353872134929</x:v>
      </x:c>
    </x:row>
    <x:row r="88" ht="18" customHeight="1">
      <x:c r="A88" s="46" t="str">
        <x:v>LME_010</x:v>
      </x:c>
      <x:c r="B88" s="46" t="str">
        <x:v>Insular Pacific-Hawaiian</x:v>
      </x:c>
      <x:c r="C88" s="46" t="str">
        <x:v>LME</x:v>
      </x:c>
      <x:c r="D88" s="58" t="n">
        <x:v>2019</x:v>
      </x:c>
      <x:c r="E88" s="46" t="str">
        <x:v>Seriola</x:v>
      </x:c>
      <x:c r="F88" s="46" t="str">
        <x:v>Amberjacks</x:v>
      </x:c>
      <x:c r="G88" s="46" t="str">
        <x:v>Large benthopelagics (&gt;=90 cm)</x:v>
      </x:c>
      <x:c r="H88" s="46" t="str">
        <x:v>Perch-likes</x:v>
      </x:c>
      <x:c r="I88" s="60" t="n">
        <x:v>1.4317978117</x:v>
      </x:c>
      <x:c r="J88" s="60" t="n">
        <x:v>1.4317978117</x:v>
      </x:c>
      <x:c r="K88" s="60" t="n">
        <x:v>0</x:v>
      </x:c>
      <x:c r="L88" s="60" t="n">
        <x:v>1.4317978117</x:v>
      </x:c>
      <x:c r="M88" s="60" t="n">
        <x:v>0</x:v>
      </x:c>
      <x:c r="N88" s="46" t="str">
        <x:v>seriola</x:v>
      </x:c>
      <x:c r="O88" s="62" t="n">
        <x:v>4.39</x:v>
      </x:c>
      <x:c r="P88" s="46" t="str">
        <x:v>exact_sea_around_us</x:v>
      </x:c>
      <x:c r="Q88" s="62" t="str">
        <x:v>Sea Around Us exploited organisms</x:v>
      </x:c>
      <x:c r="R88" s="46" t="str">
        <x:v>high</x:v>
      </x:c>
      <x:c r="S88" s="46" t="str">
        <x:v>Seriola</x:v>
      </x:c>
      <x:c r="T88" s="62" t="n">
        <x:f>IF(O88="","",(1/'Metadata'!$B$5)^(O88-1))</x:f>
        <x:v>25733.07497204781</x:v>
      </x:c>
      <x:c r="U88" s="60" t="n">
        <x:f>IF(T88="","",I88*T88)</x:f>
        <x:v>36844.56043329009</x:v>
      </x:c>
    </x:row>
    <x:row r="89" ht="18" customHeight="1">
      <x:c r="A89" s="46" t="str">
        <x:v>LME_010</x:v>
      </x:c>
      <x:c r="B89" s="46" t="str">
        <x:v>Insular Pacific-Hawaiian</x:v>
      </x:c>
      <x:c r="C89" s="46" t="str">
        <x:v>LME</x:v>
      </x:c>
      <x:c r="D89" s="58" t="n">
        <x:v>2019</x:v>
      </x:c>
      <x:c r="E89" s="46" t="str">
        <x:v>Kyphosus vaigiensis</x:v>
      </x:c>
      <x:c r="F89" s="46" t="str">
        <x:v>Brassy chub</x:v>
      </x:c>
      <x:c r="G89" s="46" t="str">
        <x:v>Medium reef assoc. fish (30 - 89 cm)</x:v>
      </x:c>
      <x:c r="H89" s="46" t="str">
        <x:v>Perch-likes</x:v>
      </x:c>
      <x:c r="I89" s="60" t="n">
        <x:v>1.4006284251</x:v>
      </x:c>
      <x:c r="J89" s="60" t="n">
        <x:v>1.4006284251</x:v>
      </x:c>
      <x:c r="K89" s="60" t="n">
        <x:v>0</x:v>
      </x:c>
      <x:c r="L89" s="60" t="n">
        <x:v>0</x:v>
      </x:c>
      <x:c r="M89" s="60" t="n">
        <x:v>1.4006284251</x:v>
      </x:c>
      <x:c r="N89" s="46" t="str">
        <x:v>kyphosus vaigiensis</x:v>
      </x:c>
      <x:c r="O89" s="62" t="n">
        <x:v>2</x:v>
      </x:c>
      <x:c r="P89" s="46" t="str">
        <x:v>exact_2020_supplement</x:v>
      </x:c>
      <x:c r="Q89" s="62" t="str">
        <x:v>2020 supplement MeanTL</x:v>
      </x:c>
      <x:c r="R89" s="46" t="str">
        <x:v>high</x:v>
      </x:c>
      <x:c r="S89" s="46" t="str">
        <x:v>Kyphosus vaigiensis</x:v>
      </x:c>
      <x:c r="T89" s="62" t="n">
        <x:f>IF(O89="","",(1/'Metadata'!$B$5)^(O89-1))</x:f>
        <x:v>20</x:v>
      </x:c>
      <x:c r="U89" s="60" t="n">
        <x:f>IF(T89="","",I89*T89)</x:f>
        <x:v>28.012568502</x:v>
      </x:c>
    </x:row>
    <x:row r="90" ht="18" customHeight="1">
      <x:c r="A90" s="46" t="str">
        <x:v>LME_010</x:v>
      </x:c>
      <x:c r="B90" s="46" t="str">
        <x:v>Insular Pacific-Hawaiian</x:v>
      </x:c>
      <x:c r="C90" s="46" t="str">
        <x:v>LME</x:v>
      </x:c>
      <x:c r="D90" s="58" t="n">
        <x:v>2019</x:v>
      </x:c>
      <x:c r="E90" s="46" t="str">
        <x:v>Ranina ranina</x:v>
      </x:c>
      <x:c r="F90" s="46" t="str">
        <x:v>Kona crab </x:v>
      </x:c>
      <x:c r="G90" s="46" t="str">
        <x:v>Lobsters, crabs</x:v>
      </x:c>
      <x:c r="H90" s="46" t="str">
        <x:v>Crustaceans</x:v>
      </x:c>
      <x:c r="I90" s="60" t="n">
        <x:v>1.1063341684999999</x:v>
      </x:c>
      <x:c r="J90" s="60" t="n">
        <x:v>1.1063341684999999</x:v>
      </x:c>
      <x:c r="K90" s="60" t="n">
        <x:v>0</x:v>
      </x:c>
      <x:c r="L90" s="60" t="n">
        <x:v>1.1063341684999999</x:v>
      </x:c>
      <x:c r="M90" s="60" t="n">
        <x:v>0</x:v>
      </x:c>
      <x:c r="N90" s="46" t="str">
        <x:v>ranina ranina</x:v>
      </x:c>
      <x:c r="O90" s="62" t="n">
        <x:v>3.92</x:v>
      </x:c>
      <x:c r="P90" s="46" t="str">
        <x:v>exact_2020_supplement</x:v>
      </x:c>
      <x:c r="Q90" s="62" t="str">
        <x:v>2020 supplement MeanTL</x:v>
      </x:c>
      <x:c r="R90" s="46" t="str">
        <x:v>high</x:v>
      </x:c>
      <x:c r="S90" s="46" t="str">
        <x:v>Ranina ranina</x:v>
      </x:c>
      <x:c r="T90" s="62" t="n">
        <x:f>IF(O90="","",(1/'Metadata'!$B$5)^(O90-1))</x:f>
        <x:v>6295.1718073679995</x:v>
      </x:c>
      <x:c r="U90" s="60" t="n">
        <x:f>IF(T90="","",I90*T90)</x:f>
        <x:v>6964.563667069117</x:v>
      </x:c>
    </x:row>
    <x:row r="91" ht="18" customHeight="1">
      <x:c r="A91" s="46" t="str">
        <x:v>LME_010</x:v>
      </x:c>
      <x:c r="B91" s="46" t="str">
        <x:v>Insular Pacific-Hawaiian</x:v>
      </x:c>
      <x:c r="C91" s="46" t="str">
        <x:v>LME</x:v>
      </x:c>
      <x:c r="D91" s="58" t="n">
        <x:v>2019</x:v>
      </x:c>
      <x:c r="E91" s="46" t="str">
        <x:v>Heteropriacanthus cruentatus</x:v>
      </x:c>
      <x:c r="F91" s="46" t="str">
        <x:v>Glasseye</x:v>
      </x:c>
      <x:c r="G91" s="46" t="str">
        <x:v>Medium reef assoc. fish (30 - 89 cm)</x:v>
      </x:c>
      <x:c r="H91" s="46" t="str">
        <x:v>Perch-likes</x:v>
      </x:c>
      <x:c r="I91" s="60" t="n">
        <x:v>1.0364228507</x:v>
      </x:c>
      <x:c r="J91" s="60" t="n">
        <x:v>1.0364228507</x:v>
      </x:c>
      <x:c r="K91" s="60" t="n">
        <x:v>0</x:v>
      </x:c>
      <x:c r="L91" s="60" t="n">
        <x:v>0.7116165605</x:v>
      </x:c>
      <x:c r="M91" s="60" t="n">
        <x:v>0.3248062902</x:v>
      </x:c>
      <x:c r="N91" s="46" t="str">
        <x:v>heteropriacanthus cruentatus</x:v>
      </x:c>
      <x:c r="O91" s="62" t="n">
        <x:v>3.61</x:v>
      </x:c>
      <x:c r="P91" s="46" t="str">
        <x:v>exact_2020_supplement</x:v>
      </x:c>
      <x:c r="Q91" s="62" t="str">
        <x:v>2020 supplement MeanTL</x:v>
      </x:c>
      <x:c r="R91" s="46" t="str">
        <x:v>high</x:v>
      </x:c>
      <x:c r="S91" s="46" t="str">
        <x:v>Heteropriacanthus cruentatus</x:v>
      </x:c>
      <x:c r="T91" s="62" t="n">
        <x:f>IF(O91="","",(1/'Metadata'!$B$5)^(O91-1))</x:f>
        <x:v>2487.0716021897506</x:v>
      </x:c>
      <x:c r="U91" s="60" t="n">
        <x:f>IF(T91="","",I91*T91)</x:f>
        <x:v>2577.6578398365177</x:v>
      </x:c>
    </x:row>
    <x:row r="92" ht="18" customHeight="1">
      <x:c r="A92" s="46" t="str">
        <x:v>LME_010</x:v>
      </x:c>
      <x:c r="B92" s="46" t="str">
        <x:v>Insular Pacific-Hawaiian</x:v>
      </x:c>
      <x:c r="C92" s="46" t="str">
        <x:v>LME</x:v>
      </x:c>
      <x:c r="D92" s="58" t="n">
        <x:v>2019</x:v>
      </x:c>
      <x:c r="E92" s="46" t="str">
        <x:v>Heterocarpus laevigatus</x:v>
      </x:c>
      <x:c r="F92" s="46" t="str">
        <x:v>Smooth nylon shrimp</x:v>
      </x:c>
      <x:c r="G92" s="46" t="str">
        <x:v>Shrimps</x:v>
      </x:c>
      <x:c r="H92" s="46" t="str">
        <x:v>Crustaceans</x:v>
      </x:c>
      <x:c r="I92" s="60" t="n">
        <x:v>1.0031491007</x:v>
      </x:c>
      <x:c r="J92" s="60" t="n">
        <x:v>1.0031491007</x:v>
      </x:c>
      <x:c r="K92" s="60" t="n">
        <x:v>0</x:v>
      </x:c>
      <x:c r="L92" s="60" t="n">
        <x:v>1.0031491007</x:v>
      </x:c>
      <x:c r="M92" s="60" t="n">
        <x:v>0</x:v>
      </x:c>
      <x:c r="N92" s="46" t="str">
        <x:v>heterocarpus laevigatus</x:v>
      </x:c>
      <x:c r="O92" s="62" t="n">
        <x:v>2.5</x:v>
      </x:c>
      <x:c r="P92" s="46" t="str">
        <x:v>exact_sea_around_us</x:v>
      </x:c>
      <x:c r="Q92" s="62" t="str">
        <x:v>Sea Around Us exploited organisms</x:v>
      </x:c>
      <x:c r="R92" s="46" t="str">
        <x:v>high</x:v>
      </x:c>
      <x:c r="S92" s="46" t="str">
        <x:v>Heterocarpus laevigatus</x:v>
      </x:c>
      <x:c r="T92" s="62" t="n">
        <x:f>IF(O92="","",(1/'Metadata'!$B$5)^(O92-1))</x:f>
        <x:v>89.44271909999159</x:v>
      </x:c>
      <x:c r="U92" s="60" t="n">
        <x:f>IF(T92="","",I92*T92)</x:f>
        <x:v>89.72438322931927</x:v>
      </x:c>
    </x:row>
    <x:row r="93" ht="18" customHeight="1">
      <x:c r="A93" s="46" t="str">
        <x:v>LME_010</x:v>
      </x:c>
      <x:c r="B93" s="46" t="str">
        <x:v>Insular Pacific-Hawaiian</x:v>
      </x:c>
      <x:c r="C93" s="46" t="str">
        <x:v>LME</x:v>
      </x:c>
      <x:c r="D93" s="58" t="n">
        <x:v>2019</x:v>
      </x:c>
      <x:c r="E93" s="46" t="str">
        <x:v>Melichthys vidua</x:v>
      </x:c>
      <x:c r="F93" s="46" t="str">
        <x:v>Pinktail triggerfish</x:v>
      </x:c>
      <x:c r="G93" s="46" t="str">
        <x:v>Medium reef assoc. fish (30 - 89 cm)</x:v>
      </x:c>
      <x:c r="H93" s="46" t="str">
        <x:v>Other fishes &amp; inverts</x:v>
      </x:c>
      <x:c r="I93" s="60" t="n">
        <x:v>0.9481839726</x:v>
      </x:c>
      <x:c r="J93" s="60" t="n">
        <x:v>0.9481839726</x:v>
      </x:c>
      <x:c r="K93" s="60" t="n">
        <x:v>0</x:v>
      </x:c>
      <x:c r="L93" s="60" t="n">
        <x:v>0</x:v>
      </x:c>
      <x:c r="M93" s="60" t="n">
        <x:v>0.9481839726</x:v>
      </x:c>
      <x:c r="N93" s="46" t="str">
        <x:v>melichthys vidua</x:v>
      </x:c>
      <x:c r="O93" s="62" t="n">
        <x:v>3.38</x:v>
      </x:c>
      <x:c r="P93" s="46" t="str">
        <x:v>exact_2020_supplement</x:v>
      </x:c>
      <x:c r="Q93" s="62" t="str">
        <x:v>2020 supplement MeanTL</x:v>
      </x:c>
      <x:c r="R93" s="46" t="str">
        <x:v>high</x:v>
      </x:c>
      <x:c r="S93" s="46" t="str">
        <x:v>Melichthys vidua</x:v>
      </x:c>
      <x:c r="T93" s="62" t="n">
        <x:f>IF(O93="","",(1/'Metadata'!$B$5)^(O93-1))</x:f>
        <x:v>1248.6806726928048</x:v>
      </x:c>
      <x:c r="U93" s="60" t="n">
        <x:f>IF(T93="","",I93*T93)</x:f>
        <x:v>1183.9790007427039</x:v>
      </x:c>
    </x:row>
    <x:row r="94" ht="18" customHeight="1">
      <x:c r="A94" s="46" t="str">
        <x:v>LME_010</x:v>
      </x:c>
      <x:c r="B94" s="46" t="str">
        <x:v>Insular Pacific-Hawaiian</x:v>
      </x:c>
      <x:c r="C94" s="46" t="str">
        <x:v>LME</x:v>
      </x:c>
      <x:c r="D94" s="58" t="n">
        <x:v>2019</x:v>
      </x:c>
      <x:c r="E94" s="46" t="str">
        <x:v>Aulostomus chinensis</x:v>
      </x:c>
      <x:c r="F94" s="46" t="str">
        <x:v>Chinese trumpetfish</x:v>
      </x:c>
      <x:c r="G94" s="46" t="str">
        <x:v>Medium reef assoc. fish (30 - 89 cm)</x:v>
      </x:c>
      <x:c r="H94" s="46" t="str">
        <x:v>Other fishes &amp; inverts</x:v>
      </x:c>
      <x:c r="I94" s="60" t="n">
        <x:v>0.9091002399</x:v>
      </x:c>
      <x:c r="J94" s="60" t="n">
        <x:v>0.9091002399</x:v>
      </x:c>
      <x:c r="K94" s="60" t="n">
        <x:v>0</x:v>
      </x:c>
      <x:c r="L94" s="60" t="n">
        <x:v>0</x:v>
      </x:c>
      <x:c r="M94" s="60" t="n">
        <x:v>0.9091002399</x:v>
      </x:c>
      <x:c r="N94" s="46" t="str">
        <x:v>aulostomus chinensis</x:v>
      </x:c>
      <x:c r="O94" s="62" t="n">
        <x:v>4.24</x:v>
      </x:c>
      <x:c r="P94" s="46" t="str">
        <x:v>exact_2020_supplement</x:v>
      </x:c>
      <x:c r="Q94" s="62" t="str">
        <x:v>2020 supplement MeanTL</x:v>
      </x:c>
      <x:c r="R94" s="46" t="str">
        <x:v>high</x:v>
      </x:c>
      <x:c r="S94" s="46" t="str">
        <x:v>Aulostomus chinensis</x:v>
      </x:c>
      <x:c r="T94" s="62" t="n">
        <x:f>IF(O94="","",(1/'Metadata'!$B$5)^(O94-1))</x:f>
        <x:v>16418.64020623336</x:v>
      </x:c>
      <x:c r="U94" s="60" t="n">
        <x:f>IF(T94="","",I94*T94)</x:f>
        <x:v>14926.189750318532</x:v>
      </x:c>
    </x:row>
    <x:row r="95" ht="18" customHeight="1">
      <x:c r="A95" s="46" t="str">
        <x:v>LME_010</x:v>
      </x:c>
      <x:c r="B95" s="46" t="str">
        <x:v>Insular Pacific-Hawaiian</x:v>
      </x:c>
      <x:c r="C95" s="46" t="str">
        <x:v>LME</x:v>
      </x:c>
      <x:c r="D95" s="58" t="n">
        <x:v>2019</x:v>
      </x:c>
      <x:c r="E95" s="46" t="str">
        <x:v>Octopus</x:v>
      </x:c>
      <x:c r="F95" s="46" t="str">
        <x:v>Octopuses, pikas</x:v>
      </x:c>
      <x:c r="G95" s="46" t="str">
        <x:v>Cephalopods</x:v>
      </x:c>
      <x:c r="H95" s="46" t="str">
        <x:v>Other fishes &amp; inverts</x:v>
      </x:c>
      <x:c r="I95" s="60" t="n">
        <x:v>0.8788895972</x:v>
      </x:c>
      <x:c r="J95" s="60" t="n">
        <x:v>0.8788895972</x:v>
      </x:c>
      <x:c r="K95" s="60" t="n">
        <x:v>0</x:v>
      </x:c>
      <x:c r="L95" s="60" t="n">
        <x:v>0.8788895972</x:v>
      </x:c>
      <x:c r="M95" s="60" t="n">
        <x:v>0</x:v>
      </x:c>
      <x:c r="N95" s="46" t="str">
        <x:v>octopus</x:v>
      </x:c>
      <x:c r="O95" s="62" t="n">
        <x:v>3.8</x:v>
      </x:c>
      <x:c r="P95" s="46" t="str">
        <x:v>exact_sea_around_us</x:v>
      </x:c>
      <x:c r="Q95" s="62" t="str">
        <x:v>Sea Around Us exploited organisms</x:v>
      </x:c>
      <x:c r="R95" s="46" t="str">
        <x:v>high</x:v>
      </x:c>
      <x:c r="S95" s="46" t="str">
        <x:v>Octopus</x:v>
      </x:c>
      <x:c r="T95" s="62" t="n">
        <x:f>IF(O95="","",(1/'Metadata'!$B$5)^(O95-1))</x:f>
        <x:v>4394.242173224468</x:v>
      </x:c>
      <x:c r="U95" s="60" t="n">
        <x:f>IF(T95="","",I95*T95)</x:f>
        <x:v>3862.0537336245056</x:v>
      </x:c>
    </x:row>
    <x:row r="96" ht="18" customHeight="1">
      <x:c r="A96" s="46" t="str">
        <x:v>LME_010</x:v>
      </x:c>
      <x:c r="B96" s="46" t="str">
        <x:v>Insular Pacific-Hawaiian</x:v>
      </x:c>
      <x:c r="C96" s="46" t="str">
        <x:v>LME</x:v>
      </x:c>
      <x:c r="D96" s="58" t="n">
        <x:v>2019</x:v>
      </x:c>
      <x:c r="E96" s="46" t="str">
        <x:v>Uraspis helvola</x:v>
      </x:c>
      <x:c r="F96" s="46" t="str">
        <x:v>Whitetongue jack</x:v>
      </x:c>
      <x:c r="G96" s="46" t="str">
        <x:v>Medium benthopelagics (30 - 89 cm)</x:v>
      </x:c>
      <x:c r="H96" s="46" t="str">
        <x:v>Perch-likes</x:v>
      </x:c>
      <x:c r="I96" s="60" t="n">
        <x:v>0.8515100479000001</x:v>
      </x:c>
      <x:c r="J96" s="60" t="n">
        <x:v>0.8515100479000001</x:v>
      </x:c>
      <x:c r="K96" s="60" t="n">
        <x:v>0</x:v>
      </x:c>
      <x:c r="L96" s="60" t="n">
        <x:v>0.8515100479000001</x:v>
      </x:c>
      <x:c r="M96" s="60" t="n">
        <x:v>0</x:v>
      </x:c>
      <x:c r="N96" s="46" t="str">
        <x:v>uraspis helvola</x:v>
      </x:c>
      <x:c r="O96" s="62" t="n">
        <x:v>3.78</x:v>
      </x:c>
      <x:c r="P96" s="46" t="str">
        <x:v>exact_2020_supplement</x:v>
      </x:c>
      <x:c r="Q96" s="62" t="str">
        <x:v>2020 supplement MeanTL</x:v>
      </x:c>
      <x:c r="R96" s="46" t="str">
        <x:v>high</x:v>
      </x:c>
      <x:c r="S96" s="46" t="str">
        <x:v>Uraspis helvola</x:v>
      </x:c>
      <x:c r="T96" s="62" t="n">
        <x:f>IF(O96="","",(1/'Metadata'!$B$5)^(O96-1))</x:f>
        <x:v>4138.694671981463</x:v>
      </x:c>
      <x:c r="U96" s="60" t="n">
        <x:f>IF(T96="","",I96*T96)</x:f>
        <x:v>3524.140098382411</x:v>
      </x:c>
    </x:row>
    <x:row r="97" ht="18" customHeight="1">
      <x:c r="A97" s="46" t="str">
        <x:v>LME_010</x:v>
      </x:c>
      <x:c r="B97" s="46" t="str">
        <x:v>Insular Pacific-Hawaiian</x:v>
      </x:c>
      <x:c r="C97" s="46" t="str">
        <x:v>LME</x:v>
      </x:c>
      <x:c r="D97" s="58" t="n">
        <x:v>2019</x:v>
      </x:c>
      <x:c r="E97" s="46" t="str">
        <x:v>Berycidae</x:v>
      </x:c>
      <x:c r="F97" s="46" t="str">
        <x:v>Alfonsinos, redfishes</x:v>
      </x:c>
      <x:c r="G97" s="46" t="str">
        <x:v>Medium benthopelagics (30 - 89 cm)</x:v>
      </x:c>
      <x:c r="H97" s="46" t="str">
        <x:v>Other fishes &amp; inverts</x:v>
      </x:c>
      <x:c r="I97" s="60" t="n">
        <x:v>0.8084089123</x:v>
      </x:c>
      <x:c r="J97" s="60" t="n">
        <x:v>0</x:v>
      </x:c>
      <x:c r="K97" s="60" t="n">
        <x:v>0.8084089123</x:v>
      </x:c>
      <x:c r="L97" s="60" t="n">
        <x:v>0</x:v>
      </x:c>
      <x:c r="M97" s="60" t="n">
        <x:v>0.8084089123</x:v>
      </x:c>
      <x:c r="N97" s="46" t="str">
        <x:v>berycidae</x:v>
      </x:c>
      <x:c r="O97" s="62" t="n">
        <x:v>3.99</x:v>
      </x:c>
      <x:c r="P97" s="46" t="str">
        <x:v>exact_sea_around_us</x:v>
      </x:c>
      <x:c r="Q97" s="62" t="str">
        <x:v>Sea Around Us exploited organisms</x:v>
      </x:c>
      <x:c r="R97" s="46" t="str">
        <x:v>high</x:v>
      </x:c>
      <x:c r="S97" s="46" t="str">
        <x:v>Berycidae</x:v>
      </x:c>
      <x:c r="T97" s="62" t="n">
        <x:f>IF(O97="","",(1/'Metadata'!$B$5)^(O97-1))</x:f>
        <x:v>7763.895603143686</x:v>
      </x:c>
      <x:c r="U97" s="60" t="n">
        <x:f>IF(T97="","",I97*T97)</x:f>
        <x:v>6276.402399748139</x:v>
      </x:c>
    </x:row>
    <x:row r="98" ht="18" customHeight="1">
      <x:c r="A98" s="46" t="str">
        <x:v>LME_010</x:v>
      </x:c>
      <x:c r="B98" s="46" t="str">
        <x:v>Insular Pacific-Hawaiian</x:v>
      </x:c>
      <x:c r="C98" s="46" t="str">
        <x:v>LME</x:v>
      </x:c>
      <x:c r="D98" s="58" t="n">
        <x:v>2019</x:v>
      </x:c>
      <x:c r="E98" s="46" t="str">
        <x:v>Cephalopoda</x:v>
      </x:c>
      <x:c r="F98" s="46" t="str">
        <x:v>Squids, cuttlefishes, octopuses</x:v>
      </x:c>
      <x:c r="G98" s="46" t="str">
        <x:v>Cephalopods</x:v>
      </x:c>
      <x:c r="H98" s="46" t="str">
        <x:v>Other fishes &amp; inverts</x:v>
      </x:c>
      <x:c r="I98" s="60" t="n">
        <x:v>0.7129326001</x:v>
      </x:c>
      <x:c r="J98" s="60" t="n">
        <x:v>0.7129326001</x:v>
      </x:c>
      <x:c r="K98" s="60" t="n">
        <x:v>0</x:v>
      </x:c>
      <x:c r="L98" s="60" t="n">
        <x:v>0.7129326001</x:v>
      </x:c>
      <x:c r="M98" s="60" t="n">
        <x:v>0</x:v>
      </x:c>
      <x:c r="N98" s="46" t="str">
        <x:v>cephalopoda</x:v>
      </x:c>
      <x:c r="O98" s="62" t="n">
        <x:v>3.81</x:v>
      </x:c>
      <x:c r="P98" s="46" t="str">
        <x:v>exact_sea_around_us</x:v>
      </x:c>
      <x:c r="Q98" s="62" t="str">
        <x:v>Sea Around Us exploited organisms</x:v>
      </x:c>
      <x:c r="R98" s="46" t="str">
        <x:v>high</x:v>
      </x:c>
      <x:c r="S98" s="46" t="str">
        <x:v>Cephalopoda</x:v>
      </x:c>
      <x:c r="T98" s="62" t="n">
        <x:f>IF(O98="","",(1/'Metadata'!$B$5)^(O98-1))</x:f>
        <x:v>4527.873529309382</x:v>
      </x:c>
      <x:c r="U98" s="60" t="n">
        <x:f>IF(T98="","",I98*T98)</x:f>
        <x:v>3228.0686481745015</x:v>
      </x:c>
    </x:row>
    <x:row r="99" ht="18" customHeight="1">
      <x:c r="A99" s="46" t="str">
        <x:v>LME_010</x:v>
      </x:c>
      <x:c r="B99" s="46" t="str">
        <x:v>Insular Pacific-Hawaiian</x:v>
      </x:c>
      <x:c r="C99" s="46" t="str">
        <x:v>LME</x:v>
      </x:c>
      <x:c r="D99" s="58" t="n">
        <x:v>2019</x:v>
      </x:c>
      <x:c r="E99" s="46" t="str">
        <x:v>Gnathanodon speciosus</x:v>
      </x:c>
      <x:c r="F99" s="46" t="str">
        <x:v>Golden trevally</x:v>
      </x:c>
      <x:c r="G99" s="46" t="str">
        <x:v>Large reef assoc. fish (&gt;=90 cm)</x:v>
      </x:c>
      <x:c r="H99" s="46" t="str">
        <x:v>Perch-likes</x:v>
      </x:c>
      <x:c r="I99" s="60" t="n">
        <x:v>0.6842854279</x:v>
      </x:c>
      <x:c r="J99" s="60" t="n">
        <x:v>0.6842854279</x:v>
      </x:c>
      <x:c r="K99" s="60" t="n">
        <x:v>0</x:v>
      </x:c>
      <x:c r="L99" s="60" t="n">
        <x:v>0</x:v>
      </x:c>
      <x:c r="M99" s="60" t="n">
        <x:v>0.6842854279</x:v>
      </x:c>
      <x:c r="N99" s="46" t="str">
        <x:v>gnathanodon speciosus</x:v>
      </x:c>
      <x:c r="O99" s="62" t="n">
        <x:v>3.84</x:v>
      </x:c>
      <x:c r="P99" s="46" t="str">
        <x:v>exact_2020_supplement</x:v>
      </x:c>
      <x:c r="Q99" s="62" t="str">
        <x:v>2020 supplement MeanTL</x:v>
      </x:c>
      <x:c r="R99" s="46" t="str">
        <x:v>high</x:v>
      </x:c>
      <x:c r="S99" s="46" t="str">
        <x:v>Gnathanodon speciosus</x:v>
      </x:c>
      <x:c r="T99" s="62" t="n">
        <x:f>IF(O99="","",(1/'Metadata'!$B$5)^(O99-1))</x:f>
        <x:v>4953.648510535111</x:v>
      </x:c>
      <x:c r="U99" s="60" t="n">
        <x:f>IF(T99="","",I99*T99)</x:f>
        <x:v>3389.7094906977163</x:v>
      </x:c>
    </x:row>
    <x:row r="100" ht="18" customHeight="1">
      <x:c r="A100" s="46" t="str">
        <x:v>LME_010</x:v>
      </x:c>
      <x:c r="B100" s="46" t="str">
        <x:v>Insular Pacific-Hawaiian</x:v>
      </x:c>
      <x:c r="C100" s="46" t="str">
        <x:v>LME</x:v>
      </x:c>
      <x:c r="D100" s="58" t="n">
        <x:v>2019</x:v>
      </x:c>
      <x:c r="E100" s="46" t="str">
        <x:v>Ctenochaetus strigosus</x:v>
      </x:c>
      <x:c r="F100" s="46" t="str">
        <x:v>Spotted surgeonfish</x:v>
      </x:c>
      <x:c r="G100" s="46" t="str">
        <x:v>Small reef assoc. fish (&lt;30 cm)</x:v>
      </x:c>
      <x:c r="H100" s="46" t="str">
        <x:v>Perch-likes</x:v>
      </x:c>
      <x:c r="I100" s="60" t="n">
        <x:v>0.6661805258</x:v>
      </x:c>
      <x:c r="J100" s="60" t="n">
        <x:v>0.6661805258</x:v>
      </x:c>
      <x:c r="K100" s="60" t="n">
        <x:v>0</x:v>
      </x:c>
      <x:c r="L100" s="60" t="n">
        <x:v>0.6661805258</x:v>
      </x:c>
      <x:c r="M100" s="60" t="n">
        <x:v>0</x:v>
      </x:c>
      <x:c r="N100" s="46" t="str">
        <x:v>ctenochaetus strigosus</x:v>
      </x:c>
      <x:c r="O100" s="62" t="n">
        <x:v>2</x:v>
      </x:c>
      <x:c r="P100" s="46" t="str">
        <x:v>exact_2020_supplement</x:v>
      </x:c>
      <x:c r="Q100" s="62" t="str">
        <x:v>2020 supplement MeanTL</x:v>
      </x:c>
      <x:c r="R100" s="46" t="str">
        <x:v>high</x:v>
      </x:c>
      <x:c r="S100" s="46" t="str">
        <x:v>Ctenochaetus strigosus</x:v>
      </x:c>
      <x:c r="T100" s="62" t="n">
        <x:f>IF(O100="","",(1/'Metadata'!$B$5)^(O100-1))</x:f>
        <x:v>20</x:v>
      </x:c>
      <x:c r="U100" s="60" t="n">
        <x:f>IF(T100="","",I100*T100)</x:f>
        <x:v>13.323610515999999</x:v>
      </x:c>
    </x:row>
    <x:row r="101" ht="18" customHeight="1">
      <x:c r="A101" s="46" t="str">
        <x:v>LME_010</x:v>
      </x:c>
      <x:c r="B101" s="46" t="str">
        <x:v>Insular Pacific-Hawaiian</x:v>
      </x:c>
      <x:c r="C101" s="46" t="str">
        <x:v>LME</x:v>
      </x:c>
      <x:c r="D101" s="58" t="n">
        <x:v>2019</x:v>
      </x:c>
      <x:c r="E101" s="46" t="str">
        <x:v>Priacanthidae</x:v>
      </x:c>
      <x:c r="F101" s="46" t="str">
        <x:v>Bigeyes, catalufas</x:v>
      </x:c>
      <x:c r="G101" s="46" t="str">
        <x:v>Medium reef assoc. fish (30 - 89 cm)</x:v>
      </x:c>
      <x:c r="H101" s="46" t="str">
        <x:v>Perch-likes</x:v>
      </x:c>
      <x:c r="I101" s="60" t="n">
        <x:v>0.6491642669</x:v>
      </x:c>
      <x:c r="J101" s="60" t="n">
        <x:v>0.6491642669</x:v>
      </x:c>
      <x:c r="K101" s="60" t="n">
        <x:v>0</x:v>
      </x:c>
      <x:c r="L101" s="60" t="n">
        <x:v>0</x:v>
      </x:c>
      <x:c r="M101" s="60" t="n">
        <x:v>0.6491642669</x:v>
      </x:c>
      <x:c r="N101" s="46" t="str">
        <x:v>priacanthidae</x:v>
      </x:c>
      <x:c r="O101" s="62" t="n">
        <x:v>3.79</x:v>
      </x:c>
      <x:c r="P101" s="46" t="str">
        <x:v>exact_sea_around_us</x:v>
      </x:c>
      <x:c r="Q101" s="62" t="str">
        <x:v>Sea Around Us exploited organisms</x:v>
      </x:c>
      <x:c r="R101" s="46" t="str">
        <x:v>high</x:v>
      </x:c>
      <x:c r="S101" s="46" t="str">
        <x:v>Priacanthidae</x:v>
      </x:c>
      <x:c r="T101" s="62" t="n">
        <x:f>IF(O101="","",(1/'Metadata'!$B$5)^(O101-1))</x:f>
        <x:v>4264.554685980751</x:v>
      </x:c>
      <x:c r="U101" s="60" t="n">
        <x:f>IF(T101="","",I101*T101)</x:f>
        <x:v>2768.396516379654</x:v>
      </x:c>
    </x:row>
    <x:row r="102" ht="18" customHeight="1">
      <x:c r="A102" s="46" t="str">
        <x:v>LME_010</x:v>
      </x:c>
      <x:c r="B102" s="46" t="str">
        <x:v>Insular Pacific-Hawaiian</x:v>
      </x:c>
      <x:c r="C102" s="46" t="str">
        <x:v>LME</x:v>
      </x:c>
      <x:c r="D102" s="58" t="n">
        <x:v>2019</x:v>
      </x:c>
      <x:c r="E102" s="46" t="str">
        <x:v>Parupeneus porphyreus</x:v>
      </x:c>
      <x:c r="F102" s="46" t="str">
        <x:v>Whitesaddle goatfish</x:v>
      </x:c>
      <x:c r="G102" s="46" t="str">
        <x:v>Medium reef assoc. fish (30 - 89 cm)</x:v>
      </x:c>
      <x:c r="H102" s="46" t="str">
        <x:v>Perch-likes</x:v>
      </x:c>
      <x:c r="I102" s="60" t="n">
        <x:v>0.606278922</x:v>
      </x:c>
      <x:c r="J102" s="60" t="n">
        <x:v>0.606278922</x:v>
      </x:c>
      <x:c r="K102" s="60" t="n">
        <x:v>0</x:v>
      </x:c>
      <x:c r="L102" s="60" t="n">
        <x:v>0.606278922</x:v>
      </x:c>
      <x:c r="M102" s="60" t="n">
        <x:v>0</x:v>
      </x:c>
      <x:c r="N102" s="46" t="str">
        <x:v>parupeneus porphyreus</x:v>
      </x:c>
      <x:c r="O102" s="62" t="n">
        <x:v>3.5</x:v>
      </x:c>
      <x:c r="P102" s="46" t="str">
        <x:v>exact_2020_supplement</x:v>
      </x:c>
      <x:c r="Q102" s="62" t="str">
        <x:v>2020 supplement MeanTL</x:v>
      </x:c>
      <x:c r="R102" s="46" t="str">
        <x:v>high</x:v>
      </x:c>
      <x:c r="S102" s="46" t="str">
        <x:v>Parupeneus porphyreus</x:v>
      </x:c>
      <x:c r="T102" s="62" t="n">
        <x:f>IF(O102="","",(1/'Metadata'!$B$5)^(O102-1))</x:f>
        <x:v>1788.8543819998317</x:v>
      </x:c>
      <x:c r="U102" s="60" t="n">
        <x:f>IF(T102="","",I102*T102)</x:f>
        <x:v>1084.5447063338343</x:v>
      </x:c>
    </x:row>
    <x:row r="103" ht="18" customHeight="1">
      <x:c r="A103" s="46" t="str">
        <x:v>LME_010</x:v>
      </x:c>
      <x:c r="B103" s="46" t="str">
        <x:v>Insular Pacific-Hawaiian</x:v>
      </x:c>
      <x:c r="C103" s="46" t="str">
        <x:v>LME</x:v>
      </x:c>
      <x:c r="D103" s="58" t="n">
        <x:v>2019</x:v>
      </x:c>
      <x:c r="E103" s="46" t="str">
        <x:v>Bothus mancus</x:v>
      </x:c>
      <x:c r="F103" s="46" t="str">
        <x:v>Flowery flounder</x:v>
      </x:c>
      <x:c r="G103" s="46" t="str">
        <x:v>Small to medium flatfishes (&lt;90 cm)</x:v>
      </x:c>
      <x:c r="H103" s="46" t="str">
        <x:v>Flatfishes</x:v>
      </x:c>
      <x:c r="I103" s="60" t="n">
        <x:v>0.5535286523</x:v>
      </x:c>
      <x:c r="J103" s="60" t="n">
        <x:v>0.5535286523</x:v>
      </x:c>
      <x:c r="K103" s="60" t="n">
        <x:v>0</x:v>
      </x:c>
      <x:c r="L103" s="60" t="n">
        <x:v>0</x:v>
      </x:c>
      <x:c r="M103" s="60" t="n">
        <x:v>0.5535286523</x:v>
      </x:c>
      <x:c r="N103" s="46" t="str">
        <x:v>bothus mancus</x:v>
      </x:c>
      <x:c r="O103" s="62" t="n">
        <x:v>4.38</x:v>
      </x:c>
      <x:c r="P103" s="46" t="str">
        <x:v>exact_2020_supplement</x:v>
      </x:c>
      <x:c r="Q103" s="62" t="str">
        <x:v>2020 supplement MeanTL</x:v>
      </x:c>
      <x:c r="R103" s="46" t="str">
        <x:v>high</x:v>
      </x:c>
      <x:c r="S103" s="46" t="str">
        <x:v>Bothus mancus</x:v>
      </x:c>
      <x:c r="T103" s="62" t="n">
        <x:f>IF(O103="","",(1/'Metadata'!$B$5)^(O103-1))</x:f>
        <x:v>24973.6134538561</x:v>
      </x:c>
      <x:c r="U103" s="60" t="n">
        <x:f>IF(T103="","",I103*T103)</x:f>
        <x:v>13823.610598174115</x:v>
      </x:c>
    </x:row>
    <x:row r="104" ht="18" customHeight="1">
      <x:c r="A104" s="46" t="str">
        <x:v>LME_010</x:v>
      </x:c>
      <x:c r="B104" s="46" t="str">
        <x:v>Insular Pacific-Hawaiian</x:v>
      </x:c>
      <x:c r="C104" s="46" t="str">
        <x:v>LME</x:v>
      </x:c>
      <x:c r="D104" s="58" t="n">
        <x:v>2019</x:v>
      </x:c>
      <x:c r="E104" s="46" t="str">
        <x:v>Elops machnata</x:v>
      </x:c>
      <x:c r="F104" s="46" t="str">
        <x:v>Tenpounder</x:v>
      </x:c>
      <x:c r="G104" s="46" t="str">
        <x:v>Large pelagics (&gt;=90 cm)</x:v>
      </x:c>
      <x:c r="H104" s="46" t="str">
        <x:v>Other fishes &amp; inverts</x:v>
      </x:c>
      <x:c r="I104" s="60" t="n">
        <x:v>0.5124729084</x:v>
      </x:c>
      <x:c r="J104" s="60" t="n">
        <x:v>0.5124729084</x:v>
      </x:c>
      <x:c r="K104" s="60" t="n">
        <x:v>0</x:v>
      </x:c>
      <x:c r="L104" s="60" t="n">
        <x:v>0</x:v>
      </x:c>
      <x:c r="M104" s="60" t="n">
        <x:v>0.5124729084</x:v>
      </x:c>
      <x:c r="N104" s="46" t="str">
        <x:v>elops machnata</x:v>
      </x:c>
      <x:c r="O104" s="62" t="n">
        <x:v>3.97</x:v>
      </x:c>
      <x:c r="P104" s="46" t="str">
        <x:v>exact_2020_supplement</x:v>
      </x:c>
      <x:c r="Q104" s="62" t="str">
        <x:v>2020 supplement MeanTL</x:v>
      </x:c>
      <x:c r="R104" s="46" t="str">
        <x:v>high</x:v>
      </x:c>
      <x:c r="S104" s="46" t="str">
        <x:v>Elops machnata</x:v>
      </x:c>
      <x:c r="T104" s="62" t="n">
        <x:f>IF(O104="","",(1/'Metadata'!$B$5)^(O104-1))</x:f>
        <x:v>7312.385640086951</x:v>
      </x:c>
      <x:c r="U104" s="60" t="n">
        <x:f>IF(T104="","",I104*T104)</x:f>
        <x:v>3747.3995363177555</x:v>
      </x:c>
    </x:row>
    <x:row r="105" ht="18" customHeight="1">
      <x:c r="A105" s="46" t="str">
        <x:v>LME_010</x:v>
      </x:c>
      <x:c r="B105" s="46" t="str">
        <x:v>Insular Pacific-Hawaiian</x:v>
      </x:c>
      <x:c r="C105" s="46" t="str">
        <x:v>LME</x:v>
      </x:c>
      <x:c r="D105" s="58" t="n">
        <x:v>2019</x:v>
      </x:c>
      <x:c r="E105" s="46" t="str">
        <x:v>Istiompax indica</x:v>
      </x:c>
      <x:c r="F105" s="46" t="str">
        <x:v>Black marlin</x:v>
      </x:c>
      <x:c r="G105" s="46" t="str">
        <x:v>Large pelagics (&gt;=90 cm)</x:v>
      </x:c>
      <x:c r="H105" s="46" t="str">
        <x:v>Tuna &amp; billfishes</x:v>
      </x:c>
      <x:c r="I105" s="60" t="n">
        <x:v>0.4952322702</x:v>
      </x:c>
      <x:c r="J105" s="60" t="n">
        <x:v>0.4952322702</x:v>
      </x:c>
      <x:c r="K105" s="60" t="n">
        <x:v>0</x:v>
      </x:c>
      <x:c r="L105" s="60" t="n">
        <x:v>0.0033854625</x:v>
      </x:c>
      <x:c r="M105" s="60" t="n">
        <x:v>0.4918468077</x:v>
      </x:c>
      <x:c r="N105" s="46" t="str">
        <x:v>istiompax indica</x:v>
      </x:c>
      <x:c r="O105" s="62" t="n">
        <x:v>4.5</x:v>
      </x:c>
      <x:c r="P105" s="46" t="str">
        <x:v>exact_2020_supplement</x:v>
      </x:c>
      <x:c r="Q105" s="62" t="str">
        <x:v>2020 supplement MeanTL</x:v>
      </x:c>
      <x:c r="R105" s="46" t="str">
        <x:v>high</x:v>
      </x:c>
      <x:c r="S105" s="46" t="str">
        <x:v>Istiompax indica</x:v>
      </x:c>
      <x:c r="T105" s="62" t="n">
        <x:f>IF(O105="","",(1/'Metadata'!$B$5)^(O105-1))</x:f>
        <x:v>35777.08763999664</x:v>
      </x:c>
      <x:c r="U105" s="60" t="n">
        <x:f>IF(T105="","",I105*T105)</x:f>
        <x:v>17717.968333099896</x:v>
      </x:c>
    </x:row>
    <x:row r="106" ht="18" customHeight="1">
      <x:c r="A106" s="46" t="str">
        <x:v>LME_010</x:v>
      </x:c>
      <x:c r="B106" s="46" t="str">
        <x:v>Insular Pacific-Hawaiian</x:v>
      </x:c>
      <x:c r="C106" s="46" t="str">
        <x:v>LME</x:v>
      </x:c>
      <x:c r="D106" s="58" t="n">
        <x:v>2019</x:v>
      </x:c>
      <x:c r="E106" s="46" t="str">
        <x:v>Scarus psittacus</x:v>
      </x:c>
      <x:c r="F106" s="46" t="str">
        <x:v>Common parrotfish</x:v>
      </x:c>
      <x:c r="G106" s="46" t="str">
        <x:v>Medium reef assoc. fish (30 - 89 cm)</x:v>
      </x:c>
      <x:c r="H106" s="46" t="str">
        <x:v>Perch-likes</x:v>
      </x:c>
      <x:c r="I106" s="60" t="n">
        <x:v>0.45320311809999997</x:v>
      </x:c>
      <x:c r="J106" s="60" t="n">
        <x:v>0.45320311809999997</x:v>
      </x:c>
      <x:c r="K106" s="60" t="n">
        <x:v>0</x:v>
      </x:c>
      <x:c r="L106" s="60" t="n">
        <x:v>0.3907476601</x:v>
      </x:c>
      <x:c r="M106" s="60" t="n">
        <x:v>0.062455458</x:v>
      </x:c>
      <x:c r="N106" s="46" t="str">
        <x:v>scarus psittacus</x:v>
      </x:c>
      <x:c r="O106" s="62" t="n">
        <x:v>2</x:v>
      </x:c>
      <x:c r="P106" s="46" t="str">
        <x:v>exact_2020_supplement</x:v>
      </x:c>
      <x:c r="Q106" s="62" t="str">
        <x:v>2020 supplement MeanTL</x:v>
      </x:c>
      <x:c r="R106" s="46" t="str">
        <x:v>high</x:v>
      </x:c>
      <x:c r="S106" s="46" t="str">
        <x:v>Scarus psittacus</x:v>
      </x:c>
      <x:c r="T106" s="62" t="n">
        <x:f>IF(O106="","",(1/'Metadata'!$B$5)^(O106-1))</x:f>
        <x:v>20</x:v>
      </x:c>
      <x:c r="U106" s="60" t="n">
        <x:f>IF(T106="","",I106*T106)</x:f>
        <x:v>9.064062362</x:v>
      </x:c>
    </x:row>
    <x:row r="107" ht="18" customHeight="1">
      <x:c r="A107" s="46" t="str">
        <x:v>LME_010</x:v>
      </x:c>
      <x:c r="B107" s="46" t="str">
        <x:v>Insular Pacific-Hawaiian</x:v>
      </x:c>
      <x:c r="C107" s="46" t="str">
        <x:v>LME</x:v>
      </x:c>
      <x:c r="D107" s="58" t="n">
        <x:v>2019</x:v>
      </x:c>
      <x:c r="E107" s="46" t="str">
        <x:v>Sarda orientalis</x:v>
      </x:c>
      <x:c r="F107" s="46" t="str">
        <x:v>Striped bonito</x:v>
      </x:c>
      <x:c r="G107" s="46" t="str">
        <x:v>Large pelagics (&gt;=90 cm)</x:v>
      </x:c>
      <x:c r="H107" s="46" t="str">
        <x:v>Tuna &amp; billfishes</x:v>
      </x:c>
      <x:c r="I107" s="60" t="n">
        <x:v>0.3773741665</x:v>
      </x:c>
      <x:c r="J107" s="60" t="n">
        <x:v>0.3773741665</x:v>
      </x:c>
      <x:c r="K107" s="60" t="n">
        <x:v>0</x:v>
      </x:c>
      <x:c r="L107" s="60" t="n">
        <x:v>0</x:v>
      </x:c>
      <x:c r="M107" s="60" t="n">
        <x:v>0.3773741665</x:v>
      </x:c>
      <x:c r="N107" s="46" t="str">
        <x:v>sarda orientalis</x:v>
      </x:c>
      <x:c r="O107" s="62" t="n">
        <x:v>4.21</x:v>
      </x:c>
      <x:c r="P107" s="46" t="str">
        <x:v>exact_2020_supplement</x:v>
      </x:c>
      <x:c r="Q107" s="62" t="str">
        <x:v>2020 supplement MeanTL</x:v>
      </x:c>
      <x:c r="R107" s="46" t="str">
        <x:v>high</x:v>
      </x:c>
      <x:c r="S107" s="46" t="str">
        <x:v>Sarda orientalis</x:v>
      </x:c>
      <x:c r="T107" s="62" t="n">
        <x:f>IF(O107="","",(1/'Metadata'!$B$5)^(O107-1))</x:f>
        <x:v>15007.428609226863</x:v>
      </x:c>
      <x:c r="U107" s="60" t="n">
        <x:f>IF(T107="","",I107*T107)</x:f>
        <x:v>5663.415862715242</x:v>
      </x:c>
    </x:row>
    <x:row r="108" ht="18" customHeight="1">
      <x:c r="A108" s="46" t="str">
        <x:v>LME_010</x:v>
      </x:c>
      <x:c r="B108" s="46" t="str">
        <x:v>Insular Pacific-Hawaiian</x:v>
      </x:c>
      <x:c r="C108" s="46" t="str">
        <x:v>LME</x:v>
      </x:c>
      <x:c r="D108" s="58" t="n">
        <x:v>2019</x:v>
      </x:c>
      <x:c r="E108" s="46" t="str">
        <x:v>Sphyraena helleri</x:v>
      </x:c>
      <x:c r="F108" s="46" t="str">
        <x:v>Heller's barracuda</x:v>
      </x:c>
      <x:c r="G108" s="46" t="str">
        <x:v>Medium reef assoc. fish (30 - 89 cm)</x:v>
      </x:c>
      <x:c r="H108" s="46" t="str">
        <x:v>Perch-likes</x:v>
      </x:c>
      <x:c r="I108" s="60" t="n">
        <x:v>0.3434707374</x:v>
      </x:c>
      <x:c r="J108" s="60" t="n">
        <x:v>0.3434707374</x:v>
      </x:c>
      <x:c r="K108" s="60" t="n">
        <x:v>0</x:v>
      </x:c>
      <x:c r="L108" s="60" t="n">
        <x:v>0.3434707374</x:v>
      </x:c>
      <x:c r="M108" s="60" t="n">
        <x:v>0</x:v>
      </x:c>
      <x:c r="N108" s="46" t="str">
        <x:v>sphyraena helleri</x:v>
      </x:c>
      <x:c r="O108" s="62" t="n">
        <x:v>4.5</x:v>
      </x:c>
      <x:c r="P108" s="46" t="str">
        <x:v>exact_2020_supplement</x:v>
      </x:c>
      <x:c r="Q108" s="62" t="str">
        <x:v>2020 supplement MeanTL</x:v>
      </x:c>
      <x:c r="R108" s="46" t="str">
        <x:v>high</x:v>
      </x:c>
      <x:c r="S108" s="46" t="str">
        <x:v>Sphyraena helleri</x:v>
      </x:c>
      <x:c r="T108" s="62" t="n">
        <x:f>IF(O108="","",(1/'Metadata'!$B$5)^(O108-1))</x:f>
        <x:v>35777.08763999664</x:v>
      </x:c>
      <x:c r="U108" s="60" t="n">
        <x:f>IF(T108="","",I108*T108)</x:f>
        <x:v>12288.382673734071</x:v>
      </x:c>
    </x:row>
    <x:row r="109" ht="18" customHeight="1">
      <x:c r="A109" s="46" t="str">
        <x:v>LME_010</x:v>
      </x:c>
      <x:c r="B109" s="46" t="str">
        <x:v>Insular Pacific-Hawaiian</x:v>
      </x:c>
      <x:c r="C109" s="46" t="str">
        <x:v>LME</x:v>
      </x:c>
      <x:c r="D109" s="58" t="n">
        <x:v>2019</x:v>
      </x:c>
      <x:c r="E109" s="46" t="str">
        <x:v>Elops hawaiensis</x:v>
      </x:c>
      <x:c r="F109" s="46" t="str">
        <x:v>Hawaiian ladyfish</x:v>
      </x:c>
      <x:c r="G109" s="46" t="str">
        <x:v>Large pelagics (&gt;=90 cm)</x:v>
      </x:c>
      <x:c r="H109" s="46" t="str">
        <x:v>Other fishes &amp; inverts</x:v>
      </x:c>
      <x:c r="I109" s="60" t="n">
        <x:v>0.3291111194</x:v>
      </x:c>
      <x:c r="J109" s="60" t="n">
        <x:v>0.3291111194</x:v>
      </x:c>
      <x:c r="K109" s="60" t="n">
        <x:v>0</x:v>
      </x:c>
      <x:c r="L109" s="60" t="n">
        <x:v>0.3291111194</x:v>
      </x:c>
      <x:c r="M109" s="60" t="n">
        <x:v>0</x:v>
      </x:c>
      <x:c r="N109" s="46" t="str">
        <x:v>elops hawaiensis</x:v>
      </x:c>
      <x:c r="O109" s="62" t="n">
        <x:v>4.03</x:v>
      </x:c>
      <x:c r="P109" s="46" t="str">
        <x:v>exact_2020_supplement</x:v>
      </x:c>
      <x:c r="Q109" s="62" t="str">
        <x:v>2020 supplement MeanTL</x:v>
      </x:c>
      <x:c r="R109" s="46" t="str">
        <x:v>high</x:v>
      </x:c>
      <x:c r="S109" s="46" t="str">
        <x:v>Elops hawaiensis</x:v>
      </x:c>
      <x:c r="T109" s="62" t="n">
        <x:f>IF(O109="","",(1/'Metadata'!$B$5)^(O109-1))</x:f>
        <x:v>8752.273628615554</x:v>
      </x:c>
      <x:c r="U109" s="60" t="n">
        <x:f>IF(T109="","",I109*T109)</x:f>
        <x:v>2880.470571208765</x:v>
      </x:c>
    </x:row>
    <x:row r="110" ht="18" customHeight="1">
      <x:c r="A110" s="46" t="str">
        <x:v>LME_010</x:v>
      </x:c>
      <x:c r="B110" s="46" t="str">
        <x:v>Insular Pacific-Hawaiian</x:v>
      </x:c>
      <x:c r="C110" s="46" t="str">
        <x:v>LME</x:v>
      </x:c>
      <x:c r="D110" s="58" t="n">
        <x:v>2019</x:v>
      </x:c>
      <x:c r="E110" s="46" t="str">
        <x:v>Clupeidae</x:v>
      </x:c>
      <x:c r="F110" s="46" t="str">
        <x:v>Herrings, sardines, menhadens</x:v>
      </x:c>
      <x:c r="G110" s="46" t="str">
        <x:v>Small pelagics (&lt;30 cm)</x:v>
      </x:c>
      <x:c r="H110" s="46" t="str">
        <x:v>Herring-likes</x:v>
      </x:c>
      <x:c r="I110" s="60" t="n">
        <x:v>0.300294361</x:v>
      </x:c>
      <x:c r="J110" s="60" t="n">
        <x:v>0.300294361</x:v>
      </x:c>
      <x:c r="K110" s="60" t="n">
        <x:v>0</x:v>
      </x:c>
      <x:c r="L110" s="60" t="n">
        <x:v>0</x:v>
      </x:c>
      <x:c r="M110" s="60" t="n">
        <x:v>0.300294361</x:v>
      </x:c>
      <x:c r="N110" s="46" t="str">
        <x:v>clupeidae</x:v>
      </x:c>
      <x:c r="O110" s="62" t="n">
        <x:v>3.16</x:v>
      </x:c>
      <x:c r="P110" s="46" t="str">
        <x:v>exact_sea_around_us</x:v>
      </x:c>
      <x:c r="Q110" s="62" t="str">
        <x:v>Sea Around Us exploited organisms</x:v>
      </x:c>
      <x:c r="R110" s="46" t="str">
        <x:v>high</x:v>
      </x:c>
      <x:c r="S110" s="46" t="str">
        <x:v>Clupeidae</x:v>
      </x:c>
      <x:c r="T110" s="62" t="n">
        <x:f>IF(O110="","",(1/'Metadata'!$B$5)^(O110-1))</x:f>
        <x:v>645.9885058849935</x:v>
      </x:c>
      <x:c r="U110" s="60" t="n">
        <x:f>IF(T110="","",I110*T110)</x:f>
        <x:v>193.98670558807888</x:v>
      </x:c>
    </x:row>
    <x:row r="111" ht="18" customHeight="1">
      <x:c r="A111" s="46" t="str">
        <x:v>LME_010</x:v>
      </x:c>
      <x:c r="B111" s="46" t="str">
        <x:v>Insular Pacific-Hawaiian</x:v>
      </x:c>
      <x:c r="C111" s="46" t="str">
        <x:v>LME</x:v>
      </x:c>
      <x:c r="D111" s="58" t="n">
        <x:v>2019</x:v>
      </x:c>
      <x:c r="E111" s="46" t="str">
        <x:v>Oxycheilinus unifasciatus</x:v>
      </x:c>
      <x:c r="F111" s="46" t="str">
        <x:v>Ringtail maori wrasse</x:v>
      </x:c>
      <x:c r="G111" s="46" t="str">
        <x:v>Medium reef assoc. fish (30 - 89 cm)</x:v>
      </x:c>
      <x:c r="H111" s="46" t="str">
        <x:v>Perch-likes</x:v>
      </x:c>
      <x:c r="I111" s="60" t="n">
        <x:v>0.2747132741</x:v>
      </x:c>
      <x:c r="J111" s="60" t="n">
        <x:v>0.2747132741</x:v>
      </x:c>
      <x:c r="K111" s="60" t="n">
        <x:v>0</x:v>
      </x:c>
      <x:c r="L111" s="60" t="n">
        <x:v>0</x:v>
      </x:c>
      <x:c r="M111" s="60" t="n">
        <x:v>0.2747132741</x:v>
      </x:c>
      <x:c r="N111" s="46" t="str">
        <x:v>oxycheilinus unifasciatus</x:v>
      </x:c>
      <x:c r="O111" s="62" t="n">
        <x:v>4.06</x:v>
      </x:c>
      <x:c r="P111" s="46" t="str">
        <x:v>exact_2020_supplement</x:v>
      </x:c>
      <x:c r="Q111" s="62" t="str">
        <x:v>2020 supplement MeanTL</x:v>
      </x:c>
      <x:c r="R111" s="46" t="str">
        <x:v>high</x:v>
      </x:c>
      <x:c r="S111" s="46" t="str">
        <x:v>Oxycheilinus unifasciatus</x:v>
      </x:c>
      <x:c r="T111" s="62" t="n">
        <x:f>IF(O111="","",(1/'Metadata'!$B$5)^(O111-1))</x:f>
        <x:v>9575.286708769883</x:v>
      </x:c>
      <x:c r="U111" s="60" t="n">
        <x:f>IF(T111="","",I111*T111)</x:f>
        <x:v>2630.458362212388</x:v>
      </x:c>
    </x:row>
    <x:row r="112" ht="18" customHeight="1">
      <x:c r="A112" s="46" t="str">
        <x:v>LME_010</x:v>
      </x:c>
      <x:c r="B112" s="46" t="str">
        <x:v>Insular Pacific-Hawaiian</x:v>
      </x:c>
      <x:c r="C112" s="46" t="str">
        <x:v>LME</x:v>
      </x:c>
      <x:c r="D112" s="58" t="n">
        <x:v>2019</x:v>
      </x:c>
      <x:c r="E112" s="46" t="str">
        <x:v>Hemiramphidae</x:v>
      </x:c>
      <x:c r="F112" s="46" t="str">
        <x:v>Halfbeaks, garfishes</x:v>
      </x:c>
      <x:c r="G112" s="46" t="str">
        <x:v>Medium pelagics (30 - 89 cm)</x:v>
      </x:c>
      <x:c r="H112" s="46" t="str">
        <x:v>Other fishes &amp; inverts</x:v>
      </x:c>
      <x:c r="I112" s="60" t="n">
        <x:v>0.2745679024</x:v>
      </x:c>
      <x:c r="J112" s="60" t="n">
        <x:v>0.2745679024</x:v>
      </x:c>
      <x:c r="K112" s="60" t="n">
        <x:v>0</x:v>
      </x:c>
      <x:c r="L112" s="60" t="n">
        <x:v>0</x:v>
      </x:c>
      <x:c r="M112" s="60" t="n">
        <x:v>0.2745679024</x:v>
      </x:c>
      <x:c r="N112" s="46" t="str">
        <x:v>hemiramphidae</x:v>
      </x:c>
      <x:c r="O112" s="62" t="n">
        <x:v>2.82</x:v>
      </x:c>
      <x:c r="P112" s="46" t="str">
        <x:v>exact_sea_around_us</x:v>
      </x:c>
      <x:c r="Q112" s="62" t="str">
        <x:v>Sea Around Us exploited organisms</x:v>
      </x:c>
      <x:c r="R112" s="46" t="str">
        <x:v>high</x:v>
      </x:c>
      <x:c r="S112" s="46" t="str">
        <x:v>Hemiramphidae</x:v>
      </x:c>
      <x:c r="T112" s="62" t="n">
        <x:f>IF(O112="","",(1/'Metadata'!$B$5)^(O112-1))</x:f>
        <x:v>233.27843447436348</x:v>
      </x:c>
      <x:c r="U112" s="60" t="n">
        <x:f>IF(T112="","",I112*T112)</x:f>
        <x:v>64.05077042878183</x:v>
      </x:c>
    </x:row>
    <x:row r="113" ht="18" customHeight="1">
      <x:c r="A113" s="46" t="str">
        <x:v>LME_010</x:v>
      </x:c>
      <x:c r="B113" s="46" t="str">
        <x:v>Insular Pacific-Hawaiian</x:v>
      </x:c>
      <x:c r="C113" s="46" t="str">
        <x:v>LME</x:v>
      </x:c>
      <x:c r="D113" s="58" t="n">
        <x:v>2019</x:v>
      </x:c>
      <x:c r="E113" s="46" t="str">
        <x:v>Pontinus macrocephalus</x:v>
      </x:c>
      <x:c r="F113" s="46" t="str">
        <x:v>Large-headed scorpionfish</x:v>
      </x:c>
      <x:c r="G113" s="46" t="str">
        <x:v>Medium demersals (30 - 89 cm)</x:v>
      </x:c>
      <x:c r="H113" s="46" t="str">
        <x:v>Scorpionfishes</x:v>
      </x:c>
      <x:c r="I113" s="60" t="n">
        <x:v>0.2711447564</x:v>
      </x:c>
      <x:c r="J113" s="60" t="n">
        <x:v>0.2711447564</x:v>
      </x:c>
      <x:c r="K113" s="60" t="n">
        <x:v>0</x:v>
      </x:c>
      <x:c r="L113" s="60" t="n">
        <x:v>0.25244732880000004</x:v>
      </x:c>
      <x:c r="M113" s="60" t="n">
        <x:v>0.0186974276</x:v>
      </x:c>
      <x:c r="N113" s="46" t="str">
        <x:v>pontinus macrocephalus</x:v>
      </x:c>
      <x:c r="O113" s="62" t="n">
        <x:v>3.75</x:v>
      </x:c>
      <x:c r="P113" s="46" t="str">
        <x:v>exact_sea_around_us</x:v>
      </x:c>
      <x:c r="Q113" s="62" t="str">
        <x:v>Sea Around Us exploited organisms</x:v>
      </x:c>
      <x:c r="R113" s="46" t="str">
        <x:v>high</x:v>
      </x:c>
      <x:c r="S113" s="46" t="str">
        <x:v>Pontinus macrocephalus</x:v>
      </x:c>
      <x:c r="T113" s="62" t="n">
        <x:f>IF(O113="","",(1/'Metadata'!$B$5)^(O113-1))</x:f>
        <x:v>3782.966436012703</x:v>
      </x:c>
      <x:c r="U113" s="60" t="n">
        <x:f>IF(T113="","",I113*T113)</x:f>
        <x:v>1025.7315127620407</x:v>
      </x:c>
    </x:row>
    <x:row r="114" ht="18" customHeight="1">
      <x:c r="A114" s="46" t="str">
        <x:v>LME_010</x:v>
      </x:c>
      <x:c r="B114" s="46" t="str">
        <x:v>Insular Pacific-Hawaiian</x:v>
      </x:c>
      <x:c r="C114" s="46" t="str">
        <x:v>LME</x:v>
      </x:c>
      <x:c r="D114" s="58" t="n">
        <x:v>2019</x:v>
      </x:c>
      <x:c r="E114" s="46" t="str">
        <x:v>Polydactylus sexfilis</x:v>
      </x:c>
      <x:c r="F114" s="46" t="str">
        <x:v>Sixfinger threadfin</x:v>
      </x:c>
      <x:c r="G114" s="46" t="str">
        <x:v>Medium demersals (30 - 89 cm)</x:v>
      </x:c>
      <x:c r="H114" s="46" t="str">
        <x:v>Perch-likes</x:v>
      </x:c>
      <x:c r="I114" s="60" t="n">
        <x:v>0.1904424418</x:v>
      </x:c>
      <x:c r="J114" s="60" t="n">
        <x:v>0.1904424418</x:v>
      </x:c>
      <x:c r="K114" s="60" t="n">
        <x:v>0</x:v>
      </x:c>
      <x:c r="L114" s="60" t="n">
        <x:v>0.1904424418</x:v>
      </x:c>
      <x:c r="M114" s="60" t="n">
        <x:v>0</x:v>
      </x:c>
      <x:c r="N114" s="46" t="str">
        <x:v>polydactylus sexfilis</x:v>
      </x:c>
      <x:c r="O114" s="62" t="n">
        <x:v>3.43</x:v>
      </x:c>
      <x:c r="P114" s="46" t="str">
        <x:v>exact_2020_supplement</x:v>
      </x:c>
      <x:c r="Q114" s="62" t="str">
        <x:v>2020 supplement MeanTL</x:v>
      </x:c>
      <x:c r="R114" s="46" t="str">
        <x:v>high</x:v>
      </x:c>
      <x:c r="S114" s="46" t="str">
        <x:v>Polydactylus sexfilis</x:v>
      </x:c>
      <x:c r="T114" s="62" t="n">
        <x:f>IF(O114="","",(1/'Metadata'!$B$5)^(O114-1))</x:f>
        <x:v>1450.450424461182</x:v>
      </x:c>
      <x:c r="U114" s="60" t="n">
        <x:f>IF(T114="","",I114*T114)</x:f>
        <x:v>276.2273205442339</x:v>
      </x:c>
    </x:row>
    <x:row r="115" ht="18" customHeight="1">
      <x:c r="A115" s="46" t="str">
        <x:v>LME_010</x:v>
      </x:c>
      <x:c r="B115" s="46" t="str">
        <x:v>Insular Pacific-Hawaiian</x:v>
      </x:c>
      <x:c r="C115" s="46" t="str">
        <x:v>LME</x:v>
      </x:c>
      <x:c r="D115" s="58" t="n">
        <x:v>2019</x:v>
      </x:c>
      <x:c r="E115" s="46" t="str">
        <x:v>Parupeneus insularis</x:v>
      </x:c>
      <x:c r="F115" s="46" t="str">
        <x:v>Twosaddle goatfish</x:v>
      </x:c>
      <x:c r="G115" s="46" t="str">
        <x:v>Medium reef assoc. fish (30 - 89 cm)</x:v>
      </x:c>
      <x:c r="H115" s="46" t="str">
        <x:v>Perch-likes</x:v>
      </x:c>
      <x:c r="I115" s="60" t="n">
        <x:v>0.1846835647</x:v>
      </x:c>
      <x:c r="J115" s="60" t="n">
        <x:v>0.1846835647</x:v>
      </x:c>
      <x:c r="K115" s="60" t="n">
        <x:v>0</x:v>
      </x:c>
      <x:c r="L115" s="60" t="n">
        <x:v>0.1846835647</x:v>
      </x:c>
      <x:c r="M115" s="60" t="n">
        <x:v>0</x:v>
      </x:c>
      <x:c r="N115" s="46" t="str">
        <x:v>parupeneus insularis</x:v>
      </x:c>
      <x:c r="O115" s="62" t="n">
        <x:v>3.65</x:v>
      </x:c>
      <x:c r="P115" s="46" t="str">
        <x:v>exact_2020_supplement</x:v>
      </x:c>
      <x:c r="Q115" s="62" t="str">
        <x:v>2020 supplement MeanTL</x:v>
      </x:c>
      <x:c r="R115" s="46" t="str">
        <x:v>high</x:v>
      </x:c>
      <x:c r="S115" s="46" t="str">
        <x:v>Parupeneus insularis</x:v>
      </x:c>
      <x:c r="T115" s="62" t="n">
        <x:f>IF(O115="","",(1/'Metadata'!$B$5)^(O115-1))</x:f>
        <x:v>2803.6867455443476</x:v>
      </x:c>
      <x:c r="U115" s="60" t="n">
        <x:f>IF(T115="","",I115*T115)</x:f>
        <x:v>517.794862469272</x:v>
      </x:c>
    </x:row>
    <x:row r="116" ht="18" customHeight="1">
      <x:c r="A116" s="46" t="str">
        <x:v>LME_010</x:v>
      </x:c>
      <x:c r="B116" s="46" t="str">
        <x:v>Insular Pacific-Hawaiian</x:v>
      </x:c>
      <x:c r="C116" s="46" t="str">
        <x:v>LME</x:v>
      </x:c>
      <x:c r="D116" s="58" t="n">
        <x:v>2019</x:v>
      </x:c>
      <x:c r="E116" s="46" t="str">
        <x:v>Acanthurus</x:v>
      </x:c>
      <x:c r="F116" s="46" t="str">
        <x:v>Surgeonfishes</x:v>
      </x:c>
      <x:c r="G116" s="46" t="str">
        <x:v>Small reef assoc. fish (&lt;30 cm)</x:v>
      </x:c>
      <x:c r="H116" s="46" t="str">
        <x:v>Perch-likes</x:v>
      </x:c>
      <x:c r="I116" s="60" t="n">
        <x:v>0.1785587162</x:v>
      </x:c>
      <x:c r="J116" s="60" t="n">
        <x:v>0.1785587162</x:v>
      </x:c>
      <x:c r="K116" s="60" t="n">
        <x:v>0</x:v>
      </x:c>
      <x:c r="L116" s="60" t="n">
        <x:v>0</x:v>
      </x:c>
      <x:c r="M116" s="60" t="n">
        <x:v>0.1785587162</x:v>
      </x:c>
      <x:c r="N116" s="46" t="str">
        <x:v>acanthurus</x:v>
      </x:c>
      <x:c r="O116" s="62" t="n">
        <x:v>2.03</x:v>
      </x:c>
      <x:c r="P116" s="46" t="str">
        <x:v>exact_sea_around_us</x:v>
      </x:c>
      <x:c r="Q116" s="62" t="str">
        <x:v>Sea Around Us exploited organisms</x:v>
      </x:c>
      <x:c r="R116" s="46" t="str">
        <x:v>high</x:v>
      </x:c>
      <x:c r="S116" s="46" t="str">
        <x:v>Acanthurus</x:v>
      </x:c>
      <x:c r="T116" s="62" t="n">
        <x:f>IF(O116="","",(1/'Metadata'!$B$5)^(O116-1))</x:f>
        <x:v>21.880684071538855</x:v>
      </x:c>
      <x:c r="U116" s="60" t="n">
        <x:f>IF(T116="","",I116*T116)</x:f>
        <x:v>3.9069868573917668</x:v>
      </x:c>
    </x:row>
    <x:row r="117" ht="18" customHeight="1">
      <x:c r="A117" s="46" t="str">
        <x:v>LME_010</x:v>
      </x:c>
      <x:c r="B117" s="46" t="str">
        <x:v>Insular Pacific-Hawaiian</x:v>
      </x:c>
      <x:c r="C117" s="46" t="str">
        <x:v>LME</x:v>
      </x:c>
      <x:c r="D117" s="58" t="n">
        <x:v>2019</x:v>
      </x:c>
      <x:c r="E117" s="46" t="str">
        <x:v>Myripristis vittata</x:v>
      </x:c>
      <x:c r="F117" s="46" t="str">
        <x:v>Whitetip soldierfish</x:v>
      </x:c>
      <x:c r="G117" s="46" t="str">
        <x:v>Small reef assoc. fish (&lt;30 cm)</x:v>
      </x:c>
      <x:c r="H117" s="46" t="str">
        <x:v>Other fishes &amp; inverts</x:v>
      </x:c>
      <x:c r="I117" s="60" t="n">
        <x:v>0.176151101</x:v>
      </x:c>
      <x:c r="J117" s="60" t="n">
        <x:v>0.176151101</x:v>
      </x:c>
      <x:c r="K117" s="60" t="n">
        <x:v>0</x:v>
      </x:c>
      <x:c r="L117" s="60" t="n">
        <x:v>0</x:v>
      </x:c>
      <x:c r="M117" s="60" t="n">
        <x:v>0.176151101</x:v>
      </x:c>
      <x:c r="N117" s="46" t="str">
        <x:v>myripristis vittata</x:v>
      </x:c>
      <x:c r="O117" s="62" t="n">
        <x:v>3.8</x:v>
      </x:c>
      <x:c r="P117" s="46" t="str">
        <x:v>exact_2020_supplement</x:v>
      </x:c>
      <x:c r="Q117" s="62" t="str">
        <x:v>2020 supplement MeanTL</x:v>
      </x:c>
      <x:c r="R117" s="46" t="str">
        <x:v>high</x:v>
      </x:c>
      <x:c r="S117" s="46" t="str">
        <x:v>Myripristis vittata</x:v>
      </x:c>
      <x:c r="T117" s="62" t="n">
        <x:f>IF(O117="","",(1/'Metadata'!$B$5)^(O117-1))</x:f>
        <x:v>4394.242173224468</x:v>
      </x:c>
      <x:c r="U117" s="60" t="n">
        <x:f>IF(T117="","",I117*T117)</x:f>
        <x:v>774.0505968741229</x:v>
      </x:c>
    </x:row>
    <x:row r="118" ht="18" customHeight="1">
      <x:c r="A118" s="46" t="str">
        <x:v>LME_010</x:v>
      </x:c>
      <x:c r="B118" s="46" t="str">
        <x:v>Insular Pacific-Hawaiian</x:v>
      </x:c>
      <x:c r="C118" s="46" t="str">
        <x:v>LME</x:v>
      </x:c>
      <x:c r="D118" s="58" t="n">
        <x:v>2019</x:v>
      </x:c>
      <x:c r="E118" s="46" t="str">
        <x:v>Cirrhitidae</x:v>
      </x:c>
      <x:c r="F118" s="46" t="str">
        <x:v>Hawkfishes</x:v>
      </x:c>
      <x:c r="G118" s="46" t="str">
        <x:v>Small reef assoc. fish (&lt;30 cm)</x:v>
      </x:c>
      <x:c r="H118" s="46" t="str">
        <x:v>Perch-likes</x:v>
      </x:c>
      <x:c r="I118" s="60" t="n">
        <x:v>0.1749883902</x:v>
      </x:c>
      <x:c r="J118" s="60" t="n">
        <x:v>0.1749883902</x:v>
      </x:c>
      <x:c r="K118" s="60" t="n">
        <x:v>0</x:v>
      </x:c>
      <x:c r="L118" s="60" t="n">
        <x:v>0</x:v>
      </x:c>
      <x:c r="M118" s="60" t="n">
        <x:v>0.1749883902</x:v>
      </x:c>
      <x:c r="N118" s="46" t="str">
        <x:v>cirrhitidae</x:v>
      </x:c>
      <x:c r="O118" s="62" t="n">
        <x:v>3.83</x:v>
      </x:c>
      <x:c r="P118" s="46" t="str">
        <x:v>exact_sea_around_us</x:v>
      </x:c>
      <x:c r="Q118" s="62" t="str">
        <x:v>Sea Around Us exploited organisms</x:v>
      </x:c>
      <x:c r="R118" s="46" t="str">
        <x:v>high</x:v>
      </x:c>
      <x:c r="S118" s="46" t="str">
        <x:v>Cirrhitidae</x:v>
      </x:c>
      <x:c r="T118" s="62" t="n">
        <x:f>IF(O118="","",(1/'Metadata'!$B$5)^(O118-1))</x:f>
        <x:v>4807.451236307852</x:v>
      </x:c>
      <x:c r="U118" s="60" t="n">
        <x:f>IF(T118="","",I118*T118)</x:f>
        <x:v>841.2481528065109</x:v>
      </x:c>
    </x:row>
    <x:row r="119" ht="18" customHeight="1">
      <x:c r="A119" s="46" t="str">
        <x:v>LME_010</x:v>
      </x:c>
      <x:c r="B119" s="46" t="str">
        <x:v>Insular Pacific-Hawaiian</x:v>
      </x:c>
      <x:c r="C119" s="46" t="str">
        <x:v>LME</x:v>
      </x:c>
      <x:c r="D119" s="58" t="n">
        <x:v>2019</x:v>
      </x:c>
      <x:c r="E119" s="46" t="str">
        <x:v>Abudefduf abdominalis</x:v>
      </x:c>
      <x:c r="F119" s="46" t="str">
        <x:v>Green damselfish</x:v>
      </x:c>
      <x:c r="G119" s="46" t="str">
        <x:v>Small reef assoc. fish (&lt;30 cm)</x:v>
      </x:c>
      <x:c r="H119" s="46" t="str">
        <x:v>Perch-likes</x:v>
      </x:c>
      <x:c r="I119" s="60" t="n">
        <x:v>0.16044169149999998</x:v>
      </x:c>
      <x:c r="J119" s="60" t="n">
        <x:v>0.16044169149999998</x:v>
      </x:c>
      <x:c r="K119" s="60" t="n">
        <x:v>0</x:v>
      </x:c>
      <x:c r="L119" s="60" t="n">
        <x:v>0.16044169149999998</x:v>
      </x:c>
      <x:c r="M119" s="60" t="n">
        <x:v>0</x:v>
      </x:c>
      <x:c r="N119" s="46" t="str">
        <x:v>abudefduf abdominalis</x:v>
      </x:c>
      <x:c r="O119" s="62" t="n">
        <x:v>3.01</x:v>
      </x:c>
      <x:c r="P119" s="46" t="str">
        <x:v>exact_2020_supplement</x:v>
      </x:c>
      <x:c r="Q119" s="62" t="str">
        <x:v>2020 supplement MeanTL</x:v>
      </x:c>
      <x:c r="R119" s="46" t="str">
        <x:v>high</x:v>
      </x:c>
      <x:c r="S119" s="46" t="str">
        <x:v>Abudefduf abdominalis</x:v>
      </x:c>
      <x:c r="T119" s="62" t="n">
        <x:f>IF(O119="","",(1/'Metadata'!$B$5)^(O119-1))</x:f>
        <x:v>412.16422316450075</x:v>
      </x:c>
      <x:c r="U119" s="60" t="n">
        <x:f>IF(T119="","",I119*T119)</x:f>
        <x:v>66.12832514029597</x:v>
      </x:c>
    </x:row>
    <x:row r="120" ht="18" customHeight="1">
      <x:c r="A120" s="46" t="str">
        <x:v>LME_010</x:v>
      </x:c>
      <x:c r="B120" s="46" t="str">
        <x:v>Insular Pacific-Hawaiian</x:v>
      </x:c>
      <x:c r="C120" s="46" t="str">
        <x:v>LME</x:v>
      </x:c>
      <x:c r="D120" s="58" t="n">
        <x:v>2019</x:v>
      </x:c>
      <x:c r="E120" s="46" t="str">
        <x:v>Pseudocaranx dentex</x:v>
      </x:c>
      <x:c r="F120" s="46" t="str">
        <x:v>White trevally</x:v>
      </x:c>
      <x:c r="G120" s="46" t="str">
        <x:v>Large reef assoc. fish (&gt;=90 cm)</x:v>
      </x:c>
      <x:c r="H120" s="46" t="str">
        <x:v>Perch-likes</x:v>
      </x:c>
      <x:c r="I120" s="60" t="n">
        <x:v>0.1393303201</x:v>
      </x:c>
      <x:c r="J120" s="60" t="n">
        <x:v>0.1393303201</x:v>
      </x:c>
      <x:c r="K120" s="60" t="n">
        <x:v>0</x:v>
      </x:c>
      <x:c r="L120" s="60" t="n">
        <x:v>0</x:v>
      </x:c>
      <x:c r="M120" s="60" t="n">
        <x:v>0.1393303201</x:v>
      </x:c>
      <x:c r="N120" s="46" t="str">
        <x:v>pseudocaranx dentex</x:v>
      </x:c>
      <x:c r="O120" s="62" t="n">
        <x:v>3.92</x:v>
      </x:c>
      <x:c r="P120" s="46" t="str">
        <x:v>exact_2020_supplement</x:v>
      </x:c>
      <x:c r="Q120" s="62" t="str">
        <x:v>2020 supplement MeanTL</x:v>
      </x:c>
      <x:c r="R120" s="46" t="str">
        <x:v>high</x:v>
      </x:c>
      <x:c r="S120" s="46" t="str">
        <x:v>Pseudocaranx dentex</x:v>
      </x:c>
      <x:c r="T120" s="62" t="n">
        <x:f>IF(O120="","",(1/'Metadata'!$B$5)^(O120-1))</x:f>
        <x:v>6295.1718073679995</x:v>
      </x:c>
      <x:c r="U120" s="60" t="n">
        <x:f>IF(T120="","",I120*T120)</x:f>
        <x:v>877.1083030050788</x:v>
      </x:c>
    </x:row>
    <x:row r="121" ht="18" customHeight="1">
      <x:c r="A121" s="46" t="str">
        <x:v>LME_010</x:v>
      </x:c>
      <x:c r="B121" s="46" t="str">
        <x:v>Insular Pacific-Hawaiian</x:v>
      </x:c>
      <x:c r="C121" s="46" t="str">
        <x:v>LME</x:v>
      </x:c>
      <x:c r="D121" s="58" t="n">
        <x:v>2019</x:v>
      </x:c>
      <x:c r="E121" s="46" t="str">
        <x:v>Acanthurus nigrofuscus</x:v>
      </x:c>
      <x:c r="F121" s="46" t="str">
        <x:v>Brown surgeonfish</x:v>
      </x:c>
      <x:c r="G121" s="46" t="str">
        <x:v>Small reef assoc. fish (&lt;30 cm)</x:v>
      </x:c>
      <x:c r="H121" s="46" t="str">
        <x:v>Perch-likes</x:v>
      </x:c>
      <x:c r="I121" s="60" t="n">
        <x:v>0.1325786971</x:v>
      </x:c>
      <x:c r="J121" s="60" t="n">
        <x:v>0.1325786971</x:v>
      </x:c>
      <x:c r="K121" s="60" t="n">
        <x:v>0</x:v>
      </x:c>
      <x:c r="L121" s="60" t="n">
        <x:v>0</x:v>
      </x:c>
      <x:c r="M121" s="60" t="n">
        <x:v>0.1325786971</x:v>
      </x:c>
      <x:c r="N121" s="46" t="str">
        <x:v>acanthurus nigrofuscus</x:v>
      </x:c>
      <x:c r="O121" s="62" t="n">
        <x:v>2</x:v>
      </x:c>
      <x:c r="P121" s="46" t="str">
        <x:v>exact_2020_supplement</x:v>
      </x:c>
      <x:c r="Q121" s="62" t="str">
        <x:v>2020 supplement MeanTL</x:v>
      </x:c>
      <x:c r="R121" s="46" t="str">
        <x:v>high</x:v>
      </x:c>
      <x:c r="S121" s="46" t="str">
        <x:v>Acanthurus nigrofuscus</x:v>
      </x:c>
      <x:c r="T121" s="62" t="n">
        <x:f>IF(O121="","",(1/'Metadata'!$B$5)^(O121-1))</x:f>
        <x:v>20</x:v>
      </x:c>
      <x:c r="U121" s="60" t="n">
        <x:f>IF(T121="","",I121*T121)</x:f>
        <x:v>2.651573942</x:v>
      </x:c>
    </x:row>
    <x:row r="122" ht="18" customHeight="1">
      <x:c r="A122" s="46" t="str">
        <x:v>LME_010</x:v>
      </x:c>
      <x:c r="B122" s="46" t="str">
        <x:v>Insular Pacific-Hawaiian</x:v>
      </x:c>
      <x:c r="C122" s="46" t="str">
        <x:v>LME</x:v>
      </x:c>
      <x:c r="D122" s="58" t="n">
        <x:v>2019</x:v>
      </x:c>
      <x:c r="E122" s="46" t="str">
        <x:v>Synodontidae</x:v>
      </x:c>
      <x:c r="F122" s="46" t="str">
        <x:v>Lizardfishes, sauries</x:v>
      </x:c>
      <x:c r="G122" s="46" t="str">
        <x:v>Medium demersals (30 - 89 cm)</x:v>
      </x:c>
      <x:c r="H122" s="46" t="str">
        <x:v>Other fishes &amp; inverts</x:v>
      </x:c>
      <x:c r="I122" s="60" t="n">
        <x:v>0.1298639712</x:v>
      </x:c>
      <x:c r="J122" s="60" t="n">
        <x:v>0.1298639712</x:v>
      </x:c>
      <x:c r="K122" s="60" t="n">
        <x:v>0</x:v>
      </x:c>
      <x:c r="L122" s="60" t="n">
        <x:v>0</x:v>
      </x:c>
      <x:c r="M122" s="60" t="n">
        <x:v>0.1298639712</x:v>
      </x:c>
      <x:c r="N122" s="46" t="str">
        <x:v>synodontidae</x:v>
      </x:c>
      <x:c r="O122" s="62" t="n">
        <x:v>4.3</x:v>
      </x:c>
      <x:c r="P122" s="46" t="str">
        <x:v>exact_sea_around_us</x:v>
      </x:c>
      <x:c r="Q122" s="62" t="str">
        <x:v>Sea Around Us exploited organisms</x:v>
      </x:c>
      <x:c r="R122" s="46" t="str">
        <x:v>high</x:v>
      </x:c>
      <x:c r="S122" s="46" t="str">
        <x:v>Synodontidae</x:v>
      </x:c>
      <x:c r="T122" s="62" t="n">
        <x:f>IF(O122="","",(1/'Metadata'!$B$5)^(O122-1))</x:f>
        <x:v>19651.648417852637</x:v>
      </x:c>
      <x:c r="U122" s="60" t="n">
        <x:f>IF(T122="","",I122*T122)</x:f>
        <x:v>2552.0411041685406</x:v>
      </x:c>
    </x:row>
    <x:row r="123" ht="18" customHeight="1">
      <x:c r="A123" s="46" t="str">
        <x:v>LME_010</x:v>
      </x:c>
      <x:c r="B123" s="46" t="str">
        <x:v>Insular Pacific-Hawaiian</x:v>
      </x:c>
      <x:c r="C123" s="46" t="str">
        <x:v>LME</x:v>
      </x:c>
      <x:c r="D123" s="58" t="n">
        <x:v>2019</x:v>
      </x:c>
      <x:c r="E123" s="46" t="str">
        <x:v>Cirrhitus pinnulatus</x:v>
      </x:c>
      <x:c r="F123" s="46" t="str">
        <x:v>Stocky hawkfish</x:v>
      </x:c>
      <x:c r="G123" s="46" t="str">
        <x:v>Small reef assoc. fish (&lt;30 cm)</x:v>
      </x:c>
      <x:c r="H123" s="46" t="str">
        <x:v>Perch-likes</x:v>
      </x:c>
      <x:c r="I123" s="60" t="n">
        <x:v>0.1263563684</x:v>
      </x:c>
      <x:c r="J123" s="60" t="n">
        <x:v>0.1263563684</x:v>
      </x:c>
      <x:c r="K123" s="60" t="n">
        <x:v>0</x:v>
      </x:c>
      <x:c r="L123" s="60" t="n">
        <x:v>0.1263563684</x:v>
      </x:c>
      <x:c r="M123" s="60" t="n">
        <x:v>0</x:v>
      </x:c>
      <x:c r="N123" s="46" t="str">
        <x:v>cirrhitus pinnulatus</x:v>
      </x:c>
      <x:c r="O123" s="62" t="n">
        <x:v>3.68</x:v>
      </x:c>
      <x:c r="P123" s="46" t="str">
        <x:v>exact_2020_supplement</x:v>
      </x:c>
      <x:c r="Q123" s="62" t="str">
        <x:v>2020 supplement MeanTL</x:v>
      </x:c>
      <x:c r="R123" s="46" t="str">
        <x:v>high</x:v>
      </x:c>
      <x:c r="S123" s="46" t="str">
        <x:v>Cirrhitus pinnulatus</x:v>
      </x:c>
      <x:c r="T123" s="62" t="n">
        <x:f>IF(O123="","",(1/'Metadata'!$B$5)^(O123-1))</x:f>
        <x:v>3067.3291957408446</x:v>
      </x:c>
      <x:c r="U123" s="60" t="n">
        <x:f>IF(T123="","",I123*T123)</x:f>
        <x:v>387.5765778611059</x:v>
      </x:c>
    </x:row>
    <x:row r="124" ht="18" customHeight="1">
      <x:c r="A124" s="46" t="str">
        <x:v>LME_010</x:v>
      </x:c>
      <x:c r="B124" s="46" t="str">
        <x:v>Insular Pacific-Hawaiian</x:v>
      </x:c>
      <x:c r="C124" s="46" t="str">
        <x:v>LME</x:v>
      </x:c>
      <x:c r="D124" s="58" t="n">
        <x:v>2019</x:v>
      </x:c>
      <x:c r="E124" s="46" t="str">
        <x:v>Abudefduf sordidus</x:v>
      </x:c>
      <x:c r="F124" s="46" t="str">
        <x:v>Blackspot sergeant</x:v>
      </x:c>
      <x:c r="G124" s="46" t="str">
        <x:v>Small reef assoc. fish (&lt;30 cm)</x:v>
      </x:c>
      <x:c r="H124" s="46" t="str">
        <x:v>Perch-likes</x:v>
      </x:c>
      <x:c r="I124" s="60" t="n">
        <x:v>0.0933623257</x:v>
      </x:c>
      <x:c r="J124" s="60" t="n">
        <x:v>0.0933623257</x:v>
      </x:c>
      <x:c r="K124" s="60" t="n">
        <x:v>0</x:v>
      </x:c>
      <x:c r="L124" s="60" t="n">
        <x:v>0</x:v>
      </x:c>
      <x:c r="M124" s="60" t="n">
        <x:v>0.0933623257</x:v>
      </x:c>
      <x:c r="N124" s="46" t="str">
        <x:v>abudefduf sordidus</x:v>
      </x:c>
      <x:c r="O124" s="62" t="n">
        <x:v>2.88</x:v>
      </x:c>
      <x:c r="P124" s="46" t="str">
        <x:v>exact_2020_supplement</x:v>
      </x:c>
      <x:c r="Q124" s="62" t="str">
        <x:v>2020 supplement MeanTL</x:v>
      </x:c>
      <x:c r="R124" s="46" t="str">
        <x:v>high</x:v>
      </x:c>
      <x:c r="S124" s="46" t="str">
        <x:v>Abudefduf sordidus</x:v>
      </x:c>
      <x:c r="T124" s="62" t="n">
        <x:f>IF(O124="","",(1/'Metadata'!$B$5)^(O124-1))</x:f>
        <x:v>279.21348663312773</x:v>
      </x:c>
      <x:c r="U124" s="60" t="n">
        <x:f>IF(T124="","",I124*T124)</x:f>
        <x:v>26.06802047887467</x:v>
      </x:c>
    </x:row>
    <x:row r="125" ht="18" customHeight="1">
      <x:c r="A125" s="46" t="str">
        <x:v>LME_010</x:v>
      </x:c>
      <x:c r="B125" s="46" t="str">
        <x:v>Insular Pacific-Hawaiian</x:v>
      </x:c>
      <x:c r="C125" s="46" t="str">
        <x:v>LME</x:v>
      </x:c>
      <x:c r="D125" s="58" t="n">
        <x:v>2019</x:v>
      </x:c>
      <x:c r="E125" s="46" t="str">
        <x:v>Parupeneus pleurostigma</x:v>
      </x:c>
      <x:c r="F125" s="46" t="str">
        <x:v>Sidespot goatfish</x:v>
      </x:c>
      <x:c r="G125" s="46" t="str">
        <x:v>Medium reef assoc. fish (30 - 89 cm)</x:v>
      </x:c>
      <x:c r="H125" s="46" t="str">
        <x:v>Perch-likes</x:v>
      </x:c>
      <x:c r="I125" s="60" t="n">
        <x:v>0.08255141360000001</x:v>
      </x:c>
      <x:c r="J125" s="60" t="n">
        <x:v>0.08255141360000001</x:v>
      </x:c>
      <x:c r="K125" s="60" t="n">
        <x:v>0</x:v>
      </x:c>
      <x:c r="L125" s="60" t="n">
        <x:v>0.008961605599999999</x:v>
      </x:c>
      <x:c r="M125" s="60" t="n">
        <x:v>0.073589808</x:v>
      </x:c>
      <x:c r="N125" s="46" t="str">
        <x:v>parupeneus pleurostigma</x:v>
      </x:c>
      <x:c r="O125" s="62" t="n">
        <x:v>3.41</x:v>
      </x:c>
      <x:c r="P125" s="46" t="str">
        <x:v>exact_2020_supplement</x:v>
      </x:c>
      <x:c r="Q125" s="62" t="str">
        <x:v>2020 supplement MeanTL</x:v>
      </x:c>
      <x:c r="R125" s="46" t="str">
        <x:v>high</x:v>
      </x:c>
      <x:c r="S125" s="46" t="str">
        <x:v>Parupeneus pleurostigma</x:v>
      </x:c>
      <x:c r="T125" s="62" t="n">
        <x:f>IF(O125="","",(1/'Metadata'!$B$5)^(O125-1))</x:f>
        <x:v>1366.0993652713958</x:v>
      </x:c>
      <x:c r="U125" s="60" t="n">
        <x:f>IF(T125="","",I125*T125)</x:f>
        <x:v>112.77343372121648</x:v>
      </x:c>
    </x:row>
    <x:row r="126" ht="18" customHeight="1">
      <x:c r="A126" s="46" t="str">
        <x:v>LME_010</x:v>
      </x:c>
      <x:c r="B126" s="46" t="str">
        <x:v>Insular Pacific-Hawaiian</x:v>
      </x:c>
      <x:c r="C126" s="46" t="str">
        <x:v>LME</x:v>
      </x:c>
      <x:c r="D126" s="58" t="n">
        <x:v>2019</x:v>
      </x:c>
      <x:c r="E126" s="46" t="str">
        <x:v>Sargocentron xantherythrum</x:v>
      </x:c>
      <x:c r="F126" s="46" t="str">
        <x:v>Hawaiian squirrelfish</x:v>
      </x:c>
      <x:c r="G126" s="46" t="str">
        <x:v>Small reef assoc. fish (&lt;30 cm)</x:v>
      </x:c>
      <x:c r="H126" s="46" t="str">
        <x:v>Other fishes &amp; inverts</x:v>
      </x:c>
      <x:c r="I126" s="60" t="n">
        <x:v>0.0704065379</x:v>
      </x:c>
      <x:c r="J126" s="60" t="n">
        <x:v>0.0704065379</x:v>
      </x:c>
      <x:c r="K126" s="60" t="n">
        <x:v>0</x:v>
      </x:c>
      <x:c r="L126" s="60" t="n">
        <x:v>0.0704065379</x:v>
      </x:c>
      <x:c r="M126" s="60" t="n">
        <x:v>0</x:v>
      </x:c>
      <x:c r="N126" s="46" t="str">
        <x:v>sargocentron xantherythrum</x:v>
      </x:c>
      <x:c r="O126" s="62" t="n">
        <x:v>3.48</x:v>
      </x:c>
      <x:c r="P126" s="46" t="str">
        <x:v>exact_2020_supplement</x:v>
      </x:c>
      <x:c r="Q126" s="62" t="str">
        <x:v>2020 supplement MeanTL</x:v>
      </x:c>
      <x:c r="R126" s="46" t="str">
        <x:v>high</x:v>
      </x:c>
      <x:c r="S126" s="46" t="str">
        <x:v>Sargocentron xantherythrum</x:v>
      </x:c>
      <x:c r="T126" s="62" t="n">
        <x:f>IF(O126="","",(1/'Metadata'!$B$5)^(O126-1))</x:f>
        <x:v>1684.8234138858888</x:v>
      </x:c>
      <x:c r="U126" s="60" t="n">
        <x:f>IF(T126="","",I126*T126)</x:f>
        <x:v>118.62258354456421</x:v>
      </x:c>
    </x:row>
    <x:row r="127" ht="18" customHeight="1">
      <x:c r="A127" s="46" t="str">
        <x:v>LME_010</x:v>
      </x:c>
      <x:c r="B127" s="46" t="str">
        <x:v>Insular Pacific-Hawaiian</x:v>
      </x:c>
      <x:c r="C127" s="46" t="str">
        <x:v>LME</x:v>
      </x:c>
      <x:c r="D127" s="58" t="n">
        <x:v>2019</x:v>
      </x:c>
      <x:c r="E127" s="46" t="str">
        <x:v>Scyllarides haanii</x:v>
      </x:c>
      <x:c r="F127" s="46" t="str">
        <x:v>Aesop slipper lobster</x:v>
      </x:c>
      <x:c r="G127" s="46" t="str">
        <x:v>Lobsters, crabs</x:v>
      </x:c>
      <x:c r="H127" s="46" t="str">
        <x:v>Crustaceans</x:v>
      </x:c>
      <x:c r="I127" s="60" t="n">
        <x:v>0.0600710179</x:v>
      </x:c>
      <x:c r="J127" s="60" t="n">
        <x:v>0.0600710179</x:v>
      </x:c>
      <x:c r="K127" s="60" t="n">
        <x:v>0</x:v>
      </x:c>
      <x:c r="L127" s="60" t="n">
        <x:v>0.0600710179</x:v>
      </x:c>
      <x:c r="M127" s="60" t="n">
        <x:v>0</x:v>
      </x:c>
      <x:c r="N127" s="46" t="str">
        <x:v>scyllarides haanii</x:v>
      </x:c>
      <x:c r="O127" s="62" t="n">
        <x:v>2.8</x:v>
      </x:c>
      <x:c r="P127" s="46" t="str">
        <x:v>exact_sea_around_us</x:v>
      </x:c>
      <x:c r="Q127" s="62" t="str">
        <x:v>Sea Around Us exploited organisms</x:v>
      </x:c>
      <x:c r="R127" s="46" t="str">
        <x:v>high</x:v>
      </x:c>
      <x:c r="S127" s="46" t="str">
        <x:v>Scyllarides haanii</x:v>
      </x:c>
      <x:c r="T127" s="62" t="n">
        <x:f>IF(O127="","",(1/'Metadata'!$B$5)^(O127-1))</x:f>
        <x:v>219.71210866122343</x:v>
      </x:c>
      <x:c r="U127" s="60" t="n">
        <x:f>IF(T127="","",I127*T127)</x:f>
        <x:v>13.198330012235099</x:v>
      </x:c>
    </x:row>
    <x:row r="128" ht="18" customHeight="1">
      <x:c r="A128" s="46" t="str">
        <x:v>LME_010</x:v>
      </x:c>
      <x:c r="B128" s="46" t="str">
        <x:v>Insular Pacific-Hawaiian</x:v>
      </x:c>
      <x:c r="C128" s="46" t="str">
        <x:v>LME</x:v>
      </x:c>
      <x:c r="D128" s="58" t="n">
        <x:v>2019</x:v>
      </x:c>
      <x:c r="E128" s="46" t="str">
        <x:v>Aluterus monoceros</x:v>
      </x:c>
      <x:c r="F128" s="46" t="str">
        <x:v>Unicorn leatherjacket filefish</x:v>
      </x:c>
      <x:c r="G128" s="46" t="str">
        <x:v>Medium reef assoc. fish (30 - 89 cm)</x:v>
      </x:c>
      <x:c r="H128" s="46" t="str">
        <x:v>Other fishes &amp; inverts</x:v>
      </x:c>
      <x:c r="I128" s="60" t="n">
        <x:v>0.0475014134</x:v>
      </x:c>
      <x:c r="J128" s="60" t="n">
        <x:v>0.0475014134</x:v>
      </x:c>
      <x:c r="K128" s="60" t="n">
        <x:v>0</x:v>
      </x:c>
      <x:c r="L128" s="60" t="n">
        <x:v>0.0475014134</x:v>
      </x:c>
      <x:c r="M128" s="60" t="n">
        <x:v>0</x:v>
      </x:c>
      <x:c r="N128" s="46" t="str">
        <x:v>aluterus monoceros</x:v>
      </x:c>
      <x:c r="O128" s="62" t="n">
        <x:v>3.84</x:v>
      </x:c>
      <x:c r="P128" s="46" t="str">
        <x:v>exact_2020_supplement</x:v>
      </x:c>
      <x:c r="Q128" s="62" t="str">
        <x:v>2020 supplement MeanTL</x:v>
      </x:c>
      <x:c r="R128" s="46" t="str">
        <x:v>high</x:v>
      </x:c>
      <x:c r="S128" s="46" t="str">
        <x:v>Aluterus monoceros</x:v>
      </x:c>
      <x:c r="T128" s="62" t="n">
        <x:f>IF(O128="","",(1/'Metadata'!$B$5)^(O128-1))</x:f>
        <x:v>4953.648510535111</x:v>
      </x:c>
      <x:c r="U128" s="60" t="n">
        <x:f>IF(T128="","",I128*T128)</x:f>
        <x:v>235.30530573722257</x:v>
      </x:c>
    </x:row>
    <x:row r="129" ht="18" customHeight="1">
      <x:c r="A129" s="46" t="str">
        <x:v>LME_010</x:v>
      </x:c>
      <x:c r="B129" s="46" t="str">
        <x:v>Insular Pacific-Hawaiian</x:v>
      </x:c>
      <x:c r="C129" s="46" t="str">
        <x:v>LME</x:v>
      </x:c>
      <x:c r="D129" s="58" t="n">
        <x:v>2019</x:v>
      </x:c>
      <x:c r="E129" s="46" t="str">
        <x:v>Aulostomidae</x:v>
      </x:c>
      <x:c r="F129" s="46" t="str">
        <x:v>Trumpetfishes</x:v>
      </x:c>
      <x:c r="G129" s="46" t="str">
        <x:v>Medium demersals (30 - 89 cm)</x:v>
      </x:c>
      <x:c r="H129" s="46" t="str">
        <x:v>Other fishes &amp; inverts</x:v>
      </x:c>
      <x:c r="I129" s="60" t="n">
        <x:v>0.0474991419</x:v>
      </x:c>
      <x:c r="J129" s="60" t="n">
        <x:v>0.0474991419</x:v>
      </x:c>
      <x:c r="K129" s="60" t="n">
        <x:v>0</x:v>
      </x:c>
      <x:c r="L129" s="60" t="n">
        <x:v>0.0474991419</x:v>
      </x:c>
      <x:c r="M129" s="60" t="n">
        <x:v>0</x:v>
      </x:c>
      <x:c r="N129" s="46" t="str">
        <x:v>aulostomidae</x:v>
      </x:c>
      <x:c r="O129" s="62" t="n">
        <x:v>4.34</x:v>
      </x:c>
      <x:c r="P129" s="46" t="str">
        <x:v>exact_sea_around_us</x:v>
      </x:c>
      <x:c r="Q129" s="62" t="str">
        <x:v>Sea Around Us exploited organisms</x:v>
      </x:c>
      <x:c r="R129" s="46" t="str">
        <x:v>high</x:v>
      </x:c>
      <x:c r="S129" s="46" t="str">
        <x:v>Aulostomidae</x:v>
      </x:c>
      <x:c r="T129" s="62" t="n">
        <x:f>IF(O129="","",(1/'Metadata'!$B$5)^(O129-1))</x:f>
        <x:v>22153.389612394185</x:v>
      </x:c>
      <x:c r="U129" s="60" t="n">
        <x:f>IF(T129="","",I129*T129)</x:f>
        <x:v>1052.2669967650975</x:v>
      </x:c>
    </x:row>
    <x:row r="130" ht="18" customHeight="1">
      <x:c r="A130" s="46" t="str">
        <x:v>LME_010</x:v>
      </x:c>
      <x:c r="B130" s="46" t="str">
        <x:v>Insular Pacific-Hawaiian</x:v>
      </x:c>
      <x:c r="C130" s="46" t="str">
        <x:v>LME</x:v>
      </x:c>
      <x:c r="D130" s="58" t="n">
        <x:v>2019</x:v>
      </x:c>
      <x:c r="E130" s="46" t="str">
        <x:v>Alopias</x:v>
      </x:c>
      <x:c r="F130" s="46" t="str">
        <x:v>Thresher sharks</x:v>
      </x:c>
      <x:c r="G130" s="46" t="str">
        <x:v>Large sharks (&gt;=90 cm)</x:v>
      </x:c>
      <x:c r="H130" s="46" t="str">
        <x:v>Sharks &amp; rays</x:v>
      </x:c>
      <x:c r="I130" s="60" t="n">
        <x:v>0.0434154663</x:v>
      </x:c>
      <x:c r="J130" s="60" t="n">
        <x:v>0.0434154663</x:v>
      </x:c>
      <x:c r="K130" s="60" t="n">
        <x:v>0</x:v>
      </x:c>
      <x:c r="L130" s="60" t="n">
        <x:v>0.0434154663</x:v>
      </x:c>
      <x:c r="M130" s="60" t="n">
        <x:v>0</x:v>
      </x:c>
      <x:c r="N130" s="46" t="str">
        <x:v>alopias</x:v>
      </x:c>
      <x:c r="O130" s="62" t="n">
        <x:v>4.5</x:v>
      </x:c>
      <x:c r="P130" s="46" t="str">
        <x:v>exact_sea_around_us</x:v>
      </x:c>
      <x:c r="Q130" s="62" t="str">
        <x:v>Sea Around Us exploited organisms</x:v>
      </x:c>
      <x:c r="R130" s="46" t="str">
        <x:v>high</x:v>
      </x:c>
      <x:c r="S130" s="46" t="str">
        <x:v>Alopias</x:v>
      </x:c>
      <x:c r="T130" s="62" t="n">
        <x:f>IF(O130="","",(1/'Metadata'!$B$5)^(O130-1))</x:f>
        <x:v>35777.08763999664</x:v>
      </x:c>
      <x:c r="U130" s="60" t="n">
        <x:f>IF(T130="","",I130*T130)</x:f>
        <x:v>1553.2789427464204</x:v>
      </x:c>
    </x:row>
    <x:row r="131" ht="18" customHeight="1">
      <x:c r="A131" s="46" t="str">
        <x:v>LME_010</x:v>
      </x:c>
      <x:c r="B131" s="46" t="str">
        <x:v>Insular Pacific-Hawaiian</x:v>
      </x:c>
      <x:c r="C131" s="46" t="str">
        <x:v>LME</x:v>
      </x:c>
      <x:c r="D131" s="58" t="n">
        <x:v>2019</x:v>
      </x:c>
      <x:c r="E131" s="46" t="str">
        <x:v>Aphareus furca</x:v>
      </x:c>
      <x:c r="F131" s="46" t="str">
        <x:v>Small toothed jobfish</x:v>
      </x:c>
      <x:c r="G131" s="46" t="str">
        <x:v>Medium reef assoc. fish (30 - 89 cm)</x:v>
      </x:c>
      <x:c r="H131" s="46" t="str">
        <x:v>Perch-likes</x:v>
      </x:c>
      <x:c r="I131" s="60" t="n">
        <x:v>0.0391381413</x:v>
      </x:c>
      <x:c r="J131" s="60" t="n">
        <x:v>0.0391381413</x:v>
      </x:c>
      <x:c r="K131" s="60" t="n">
        <x:v>0</x:v>
      </x:c>
      <x:c r="L131" s="60" t="n">
        <x:v>0</x:v>
      </x:c>
      <x:c r="M131" s="60" t="n">
        <x:v>0.0391381413</x:v>
      </x:c>
      <x:c r="N131" s="46" t="str">
        <x:v>aphareus furca</x:v>
      </x:c>
      <x:c r="O131" s="62" t="n">
        <x:v>4.14</x:v>
      </x:c>
      <x:c r="P131" s="46" t="str">
        <x:v>exact_2020_supplement</x:v>
      </x:c>
      <x:c r="Q131" s="62" t="str">
        <x:v>2020 supplement MeanTL</x:v>
      </x:c>
      <x:c r="R131" s="46" t="str">
        <x:v>high</x:v>
      </x:c>
      <x:c r="S131" s="46" t="str">
        <x:v>Aphareus furca</x:v>
      </x:c>
      <x:c r="T131" s="62" t="n">
        <x:f>IF(O131="","",(1/'Metadata'!$B$5)^(O131-1))</x:f>
        <x:v>12168.419864331923</x:v>
      </x:c>
      <x:c r="U131" s="60" t="n">
        <x:f>IF(T131="","",I131*T131)</x:f>
        <x:v>476.2493360479496</x:v>
      </x:c>
    </x:row>
    <x:row r="132" ht="18" customHeight="1">
      <x:c r="A132" s="46" t="str">
        <x:v>LME_010</x:v>
      </x:c>
      <x:c r="B132" s="46" t="str">
        <x:v>Insular Pacific-Hawaiian</x:v>
      </x:c>
      <x:c r="C132" s="46" t="str">
        <x:v>LME</x:v>
      </x:c>
      <x:c r="D132" s="58" t="n">
        <x:v>2019</x:v>
      </x:c>
      <x:c r="E132" s="46" t="str">
        <x:v>Zebrasoma flavescens</x:v>
      </x:c>
      <x:c r="F132" s="46" t="str">
        <x:v>Yellow tang</x:v>
      </x:c>
      <x:c r="G132" s="46" t="str">
        <x:v>Small reef assoc. fish (&lt;30 cm)</x:v>
      </x:c>
      <x:c r="H132" s="46" t="str">
        <x:v>Perch-likes</x:v>
      </x:c>
      <x:c r="I132" s="60" t="n">
        <x:v>0.0390516292</x:v>
      </x:c>
      <x:c r="J132" s="60" t="n">
        <x:v>0.0390516292</x:v>
      </x:c>
      <x:c r="K132" s="60" t="n">
        <x:v>0</x:v>
      </x:c>
      <x:c r="L132" s="60" t="n">
        <x:v>0</x:v>
      </x:c>
      <x:c r="M132" s="60" t="n">
        <x:v>0.0390516292</x:v>
      </x:c>
      <x:c r="N132" s="46" t="str">
        <x:v>zebrasoma flavescens</x:v>
      </x:c>
      <x:c r="O132" s="62" t="n">
        <x:v>2</x:v>
      </x:c>
      <x:c r="P132" s="46" t="str">
        <x:v>exact_2020_supplement</x:v>
      </x:c>
      <x:c r="Q132" s="62" t="str">
        <x:v>2020 supplement MeanTL</x:v>
      </x:c>
      <x:c r="R132" s="46" t="str">
        <x:v>high</x:v>
      </x:c>
      <x:c r="S132" s="46" t="str">
        <x:v>Zebrasoma flavescens</x:v>
      </x:c>
      <x:c r="T132" s="62" t="n">
        <x:f>IF(O132="","",(1/'Metadata'!$B$5)^(O132-1))</x:f>
        <x:v>20</x:v>
      </x:c>
      <x:c r="U132" s="60" t="n">
        <x:f>IF(T132="","",I132*T132)</x:f>
        <x:v>0.781032584</x:v>
      </x:c>
    </x:row>
    <x:row r="133" ht="18" customHeight="1">
      <x:c r="A133" s="46" t="str">
        <x:v>LME_010</x:v>
      </x:c>
      <x:c r="B133" s="46" t="str">
        <x:v>Insular Pacific-Hawaiian</x:v>
      </x:c>
      <x:c r="C133" s="46" t="str">
        <x:v>LME</x:v>
      </x:c>
      <x:c r="D133" s="58" t="n">
        <x:v>2019</x:v>
      </x:c>
      <x:c r="E133" s="46" t="str">
        <x:v>Erythrocles scintillans</x:v>
      </x:c>
      <x:c r="F133" s="46" t="str">
        <x:v>Golden kali kali</x:v>
      </x:c>
      <x:c r="G133" s="46" t="str">
        <x:v>Medium bathypelagics (30 - 89 cm)</x:v>
      </x:c>
      <x:c r="H133" s="46" t="str">
        <x:v>Perch-likes</x:v>
      </x:c>
      <x:c r="I133" s="60" t="n">
        <x:v>0.0296052851</x:v>
      </x:c>
      <x:c r="J133" s="60" t="n">
        <x:v>0.0296052851</x:v>
      </x:c>
      <x:c r="K133" s="60" t="n">
        <x:v>0</x:v>
      </x:c>
      <x:c r="L133" s="60" t="n">
        <x:v>0.0296052851</x:v>
      </x:c>
      <x:c r="M133" s="60" t="n">
        <x:v>0</x:v>
      </x:c>
      <x:c r="N133" s="46" t="str">
        <x:v>erythrocles scintillans</x:v>
      </x:c>
      <x:c r="O133" s="62" t="n">
        <x:v>3.4</x:v>
      </x:c>
      <x:c r="P133" s="46" t="str">
        <x:v>exact_2020_supplement</x:v>
      </x:c>
      <x:c r="Q133" s="62" t="str">
        <x:v>2020 supplement MeanTL</x:v>
      </x:c>
      <x:c r="R133" s="46" t="str">
        <x:v>high</x:v>
      </x:c>
      <x:c r="S133" s="46" t="str">
        <x:v>Erythrocles scintillans</x:v>
      </x:c>
      <x:c r="T133" s="62" t="n">
        <x:f>IF(O133="","",(1/'Metadata'!$B$5)^(O133-1))</x:f>
        <x:v>1325.7816069359944</x:v>
      </x:c>
      <x:c r="U133" s="60" t="n">
        <x:f>IF(T133="","",I133*T133)</x:f>
        <x:v>39.250142453676254</x:v>
      </x:c>
    </x:row>
    <x:row r="134" ht="18" customHeight="1">
      <x:c r="A134" s="46" t="str">
        <x:v>LME_010</x:v>
      </x:c>
      <x:c r="B134" s="46" t="str">
        <x:v>Insular Pacific-Hawaiian</x:v>
      </x:c>
      <x:c r="C134" s="46" t="str">
        <x:v>LME</x:v>
      </x:c>
      <x:c r="D134" s="58" t="n">
        <x:v>2019</x:v>
      </x:c>
      <x:c r="E134" s="46" t="str">
        <x:v>Gymnothorax rueppelliae</x:v>
      </x:c>
      <x:c r="F134" s="46" t="str">
        <x:v>Banded moray</x:v>
      </x:c>
      <x:c r="G134" s="46" t="str">
        <x:v>Medium reef assoc. fish (30 - 89 cm)</x:v>
      </x:c>
      <x:c r="H134" s="46" t="str">
        <x:v>Other fishes &amp; inverts</x:v>
      </x:c>
      <x:c r="I134" s="60" t="n">
        <x:v>0.027117587</x:v>
      </x:c>
      <x:c r="J134" s="60" t="n">
        <x:v>0.027117587</x:v>
      </x:c>
      <x:c r="K134" s="60" t="n">
        <x:v>0</x:v>
      </x:c>
      <x:c r="L134" s="60" t="n">
        <x:v>0</x:v>
      </x:c>
      <x:c r="M134" s="60" t="n">
        <x:v>0.027117587</x:v>
      </x:c>
      <x:c r="N134" s="46" t="str">
        <x:v>gymnothorax rueppelliae</x:v>
      </x:c>
      <x:c r="O134" s="62" t="n">
        <x:v>4.01</x:v>
      </x:c>
      <x:c r="P134" s="46" t="str">
        <x:v>exact_2020_supplement</x:v>
      </x:c>
      <x:c r="Q134" s="62" t="str">
        <x:v>2020 supplement MeanTL</x:v>
      </x:c>
      <x:c r="R134" s="46" t="str">
        <x:v>high</x:v>
      </x:c>
      <x:c r="S134" s="46" t="str">
        <x:v>Gymnothorax rueppelliae</x:v>
      </x:c>
      <x:c r="T134" s="62" t="n">
        <x:f>IF(O134="","",(1/'Metadata'!$B$5)^(O134-1))</x:f>
        <x:v>8243.284463290014</x:v>
      </x:c>
      <x:c r="U134" s="60" t="n">
        <x:f>IF(T134="","",I134*T134)</x:f>
        <x:v>223.53798359901526</x:v>
      </x:c>
    </x:row>
    <x:row r="135" ht="18" customHeight="1">
      <x:c r="A135" s="46" t="str">
        <x:v>LME_010</x:v>
      </x:c>
      <x:c r="B135" s="46" t="str">
        <x:v>Insular Pacific-Hawaiian</x:v>
      </x:c>
      <x:c r="C135" s="46" t="str">
        <x:v>LME</x:v>
      </x:c>
      <x:c r="D135" s="58" t="n">
        <x:v>2019</x:v>
      </x:c>
      <x:c r="E135" s="46" t="str">
        <x:v>Bothidae</x:v>
      </x:c>
      <x:c r="F135" s="46" t="str">
        <x:v>Lefteye flounders</x:v>
      </x:c>
      <x:c r="G135" s="46" t="str">
        <x:v>Small to medium flatfishes (&lt;90 cm)</x:v>
      </x:c>
      <x:c r="H135" s="46" t="str">
        <x:v>Flatfishes</x:v>
      </x:c>
      <x:c r="I135" s="60" t="n">
        <x:v>0.0134939811</x:v>
      </x:c>
      <x:c r="J135" s="60" t="n">
        <x:v>0.0134939811</x:v>
      </x:c>
      <x:c r="K135" s="60" t="n">
        <x:v>0</x:v>
      </x:c>
      <x:c r="L135" s="60" t="n">
        <x:v>0.0129978544</x:v>
      </x:c>
      <x:c r="M135" s="60" t="n">
        <x:v>0.0004961267</x:v>
      </x:c>
      <x:c r="N135" s="46" t="str">
        <x:v>bothidae</x:v>
      </x:c>
      <x:c r="O135" s="62" t="n">
        <x:v>3.77</x:v>
      </x:c>
      <x:c r="P135" s="46" t="str">
        <x:v>exact_sea_around_us</x:v>
      </x:c>
      <x:c r="Q135" s="62" t="str">
        <x:v>Sea Around Us exploited organisms</x:v>
      </x:c>
      <x:c r="R135" s="46" t="str">
        <x:v>high</x:v>
      </x:c>
      <x:c r="S135" s="46" t="str">
        <x:v>Bothidae</x:v>
      </x:c>
      <x:c r="T135" s="62" t="n">
        <x:f>IF(O135="","",(1/'Metadata'!$B$5)^(O135-1))</x:f>
        <x:v>4016.549170818885</x:v>
      </x:c>
      <x:c r="U135" s="60" t="n">
        <x:f>IF(T135="","",I135*T135)</x:f>
        <x:v>54.19923859825071</x:v>
      </x:c>
    </x:row>
    <x:row r="136" ht="18" customHeight="1">
      <x:c r="A136" s="46" t="str">
        <x:v>LME_010</x:v>
      </x:c>
      <x:c r="B136" s="46" t="str">
        <x:v>Insular Pacific-Hawaiian</x:v>
      </x:c>
      <x:c r="C136" s="46" t="str">
        <x:v>LME</x:v>
      </x:c>
      <x:c r="D136" s="58" t="n">
        <x:v>2019</x:v>
      </x:c>
      <x:c r="E136" s="46" t="str">
        <x:v>Caranx lugubris</x:v>
      </x:c>
      <x:c r="F136" s="46" t="str">
        <x:v>Black jack</x:v>
      </x:c>
      <x:c r="G136" s="46" t="str">
        <x:v>Large benthopelagics (&gt;=90 cm)</x:v>
      </x:c>
      <x:c r="H136" s="46" t="str">
        <x:v>Perch-likes</x:v>
      </x:c>
      <x:c r="I136" s="60" t="n">
        <x:v>0.01269776</x:v>
      </x:c>
      <x:c r="J136" s="60" t="n">
        <x:v>0.01269776</x:v>
      </x:c>
      <x:c r="K136" s="60" t="n">
        <x:v>0</x:v>
      </x:c>
      <x:c r="L136" s="60" t="n">
        <x:v>0</x:v>
      </x:c>
      <x:c r="M136" s="60" t="n">
        <x:v>0.01269776</x:v>
      </x:c>
      <x:c r="N136" s="46" t="str">
        <x:v>caranx lugubris</x:v>
      </x:c>
      <x:c r="O136" s="62" t="n">
        <x:v>4.5</x:v>
      </x:c>
      <x:c r="P136" s="46" t="str">
        <x:v>exact_2020_supplement</x:v>
      </x:c>
      <x:c r="Q136" s="62" t="str">
        <x:v>2020 supplement MeanTL</x:v>
      </x:c>
      <x:c r="R136" s="46" t="str">
        <x:v>high</x:v>
      </x:c>
      <x:c r="S136" s="46" t="str">
        <x:v>Caranx lugubris</x:v>
      </x:c>
      <x:c r="T136" s="62" t="n">
        <x:f>IF(O136="","",(1/'Metadata'!$B$5)^(O136-1))</x:f>
        <x:v>35777.08763999664</x:v>
      </x:c>
      <x:c r="U136" s="60" t="n">
        <x:f>IF(T136="","",I136*T136)</x:f>
        <x:v>454.2888723516437</x:v>
      </x:c>
    </x:row>
    <x:row r="137" ht="18" customHeight="1">
      <x:c r="A137" s="46" t="str">
        <x:v>LME_010</x:v>
      </x:c>
      <x:c r="B137" s="46" t="str">
        <x:v>Insular Pacific-Hawaiian</x:v>
      </x:c>
      <x:c r="C137" s="46" t="str">
        <x:v>LME</x:v>
      </x:c>
      <x:c r="D137" s="58" t="n">
        <x:v>2019</x:v>
      </x:c>
      <x:c r="E137" s="46" t="str">
        <x:v>Scorpaenopsis diabolus</x:v>
      </x:c>
      <x:c r="F137" s="46" t="str">
        <x:v>False stonefish</x:v>
      </x:c>
      <x:c r="G137" s="46" t="str">
        <x:v>Small reef assoc. fish (&lt;30 cm)</x:v>
      </x:c>
      <x:c r="H137" s="46" t="str">
        <x:v>Scorpionfishes</x:v>
      </x:c>
      <x:c r="I137" s="60" t="n">
        <x:v>0.0087583048</x:v>
      </x:c>
      <x:c r="J137" s="60" t="n">
        <x:v>0.0087583048</x:v>
      </x:c>
      <x:c r="K137" s="60" t="n">
        <x:v>0</x:v>
      </x:c>
      <x:c r="L137" s="60" t="n">
        <x:v>0</x:v>
      </x:c>
      <x:c r="M137" s="60" t="n">
        <x:v>0.0087583048</x:v>
      </x:c>
      <x:c r="N137" s="46" t="str">
        <x:v>scorpaenopsis diabolus</x:v>
      </x:c>
      <x:c r="O137" s="62" t="n">
        <x:v>4.2</x:v>
      </x:c>
      <x:c r="P137" s="46" t="str">
        <x:v>exact_2020_supplement</x:v>
      </x:c>
      <x:c r="Q137" s="62" t="str">
        <x:v>2020 supplement MeanTL</x:v>
      </x:c>
      <x:c r="R137" s="46" t="str">
        <x:v>high</x:v>
      </x:c>
      <x:c r="S137" s="46" t="str">
        <x:v>Scorpaenopsis diabolus</x:v>
      </x:c>
      <x:c r="T137" s="62" t="n">
        <x:f>IF(O137="","",(1/'Metadata'!$B$5)^(O137-1))</x:f>
        <x:v>14564.51362420865</x:v>
      </x:c>
      <x:c r="U137" s="60" t="n">
        <x:f>IF(T137="","",I137*T137)</x:f>
        <x:v>127.56044958457201</x:v>
      </x:c>
    </x:row>
    <x:row r="138" ht="18" customHeight="1">
      <x:c r="A138" s="46" t="str">
        <x:v>LME_010</x:v>
      </x:c>
      <x:c r="B138" s="46" t="str">
        <x:v>Insular Pacific-Hawaiian</x:v>
      </x:c>
      <x:c r="C138" s="46" t="str">
        <x:v>LME</x:v>
      </x:c>
      <x:c r="D138" s="58" t="n">
        <x:v>2019</x:v>
      </x:c>
      <x:c r="E138" s="46" t="str">
        <x:v>Chlorurus sordidus</x:v>
      </x:c>
      <x:c r="F138" s="46" t="str">
        <x:v>Daisy parrotfish</x:v>
      </x:c>
      <x:c r="G138" s="46" t="str">
        <x:v>Medium reef assoc. fish (30 - 89 cm)</x:v>
      </x:c>
      <x:c r="H138" s="46" t="str">
        <x:v>Perch-likes</x:v>
      </x:c>
      <x:c r="I138" s="60" t="n">
        <x:v>0.0077636989</x:v>
      </x:c>
      <x:c r="J138" s="60" t="n">
        <x:v>0.0077636989</x:v>
      </x:c>
      <x:c r="K138" s="60" t="n">
        <x:v>0</x:v>
      </x:c>
      <x:c r="L138" s="60" t="n">
        <x:v>0</x:v>
      </x:c>
      <x:c r="M138" s="60" t="n">
        <x:v>0.0077636989</x:v>
      </x:c>
      <x:c r="N138" s="46" t="str">
        <x:v>chlorurus sordidus</x:v>
      </x:c>
      <x:c r="O138" s="62" t="n">
        <x:v>2</x:v>
      </x:c>
      <x:c r="P138" s="46" t="str">
        <x:v>exact_2020_supplement</x:v>
      </x:c>
      <x:c r="Q138" s="62" t="str">
        <x:v>2020 supplement MeanTL</x:v>
      </x:c>
      <x:c r="R138" s="46" t="str">
        <x:v>high</x:v>
      </x:c>
      <x:c r="S138" s="46" t="str">
        <x:v>Chlorurus sordidus</x:v>
      </x:c>
      <x:c r="T138" s="62" t="n">
        <x:f>IF(O138="","",(1/'Metadata'!$B$5)^(O138-1))</x:f>
        <x:v>20</x:v>
      </x:c>
      <x:c r="U138" s="60" t="n">
        <x:f>IF(T138="","",I138*T138)</x:f>
        <x:v>0.155273978</x:v>
      </x:c>
    </x:row>
    <x:row r="139" ht="18" customHeight="1">
      <x:c r="A139" s="46" t="str">
        <x:v>LME_010</x:v>
      </x:c>
      <x:c r="B139" s="46" t="str">
        <x:v>Insular Pacific-Hawaiian</x:v>
      </x:c>
      <x:c r="C139" s="46" t="str">
        <x:v>LME</x:v>
      </x:c>
      <x:c r="D139" s="58" t="n">
        <x:v>2019</x:v>
      </x:c>
      <x:c r="E139" s="46" t="str">
        <x:v>Pristipomoides auricilla</x:v>
      </x:c>
      <x:c r="F139" s="46" t="str">
        <x:v>Goldflag jobfish</x:v>
      </x:c>
      <x:c r="G139" s="46" t="str">
        <x:v>Medium demersals (30 - 89 cm)</x:v>
      </x:c>
      <x:c r="H139" s="46" t="str">
        <x:v>Perch-likes</x:v>
      </x:c>
      <x:c r="I139" s="60" t="n">
        <x:v>0.006274017400000001</x:v>
      </x:c>
      <x:c r="J139" s="60" t="n">
        <x:v>0.006274017400000001</x:v>
      </x:c>
      <x:c r="K139" s="60" t="n">
        <x:v>0</x:v>
      </x:c>
      <x:c r="L139" s="60" t="n">
        <x:v>0.006274017400000001</x:v>
      </x:c>
      <x:c r="M139" s="60" t="n">
        <x:v>0</x:v>
      </x:c>
      <x:c r="N139" s="46" t="str">
        <x:v>pristipomoides auricilla</x:v>
      </x:c>
      <x:c r="O139" s="62" t="n">
        <x:v>3.86</x:v>
      </x:c>
      <x:c r="P139" s="46" t="str">
        <x:v>exact_2020_supplement</x:v>
      </x:c>
      <x:c r="Q139" s="62" t="str">
        <x:v>2020 supplement MeanTL</x:v>
      </x:c>
      <x:c r="R139" s="46" t="str">
        <x:v>high</x:v>
      </x:c>
      <x:c r="S139" s="46" t="str">
        <x:v>Pristipomoides auricilla</x:v>
      </x:c>
      <x:c r="T139" s="62" t="n">
        <x:f>IF(O139="","",(1/'Metadata'!$B$5)^(O139-1))</x:f>
        <x:v>5259.51608454905</x:v>
      </x:c>
      <x:c r="U139" s="60" t="n">
        <x:f>IF(T139="","",I139*T139)</x:f>
        <x:v>32.99829543004061</x:v>
      </x:c>
    </x:row>
    <x:row r="140" ht="18" customHeight="1">
      <x:c r="A140" s="46" t="str">
        <x:v>LME_010</x:v>
      </x:c>
      <x:c r="B140" s="46" t="str">
        <x:v>Insular Pacific-Hawaiian</x:v>
      </x:c>
      <x:c r="C140" s="46" t="str">
        <x:v>LME</x:v>
      </x:c>
      <x:c r="D140" s="58" t="n">
        <x:v>2019</x:v>
      </x:c>
      <x:c r="E140" s="46" t="str">
        <x:v>Cheilio inermis</x:v>
      </x:c>
      <x:c r="F140" s="46" t="str">
        <x:v>Cigar wrasse</x:v>
      </x:c>
      <x:c r="G140" s="46" t="str">
        <x:v>Medium reef assoc. fish (30 - 89 cm)</x:v>
      </x:c>
      <x:c r="H140" s="46" t="str">
        <x:v>Perch-likes</x:v>
      </x:c>
      <x:c r="I140" s="60" t="n">
        <x:v>0.0061221323</x:v>
      </x:c>
      <x:c r="J140" s="60" t="n">
        <x:v>0.0061221323</x:v>
      </x:c>
      <x:c r="K140" s="60" t="n">
        <x:v>0</x:v>
      </x:c>
      <x:c r="L140" s="60" t="n">
        <x:v>0</x:v>
      </x:c>
      <x:c r="M140" s="60" t="n">
        <x:v>0.0061221323</x:v>
      </x:c>
      <x:c r="N140" s="46" t="str">
        <x:v>cheilio inermis</x:v>
      </x:c>
      <x:c r="O140" s="62" t="n">
        <x:v>4.04</x:v>
      </x:c>
      <x:c r="P140" s="46" t="str">
        <x:v>exact_2020_supplement</x:v>
      </x:c>
      <x:c r="Q140" s="62" t="str">
        <x:v>2020 supplement MeanTL</x:v>
      </x:c>
      <x:c r="R140" s="46" t="str">
        <x:v>high</x:v>
      </x:c>
      <x:c r="S140" s="46" t="str">
        <x:v>Cheilio inermis</x:v>
      </x:c>
      <x:c r="T140" s="62" t="n">
        <x:f>IF(O140="","",(1/'Metadata'!$B$5)^(O140-1))</x:f>
        <x:v>9018.435152653688</x:v>
      </x:c>
      <x:c r="U140" s="60" t="n">
        <x:f>IF(T140="","",I140*T140)</x:f>
        <x:v>55.21205314351658</x:v>
      </x:c>
    </x:row>
    <x:row r="141" ht="18" customHeight="1">
      <x:c r="A141" s="46" t="str">
        <x:v>LME_010</x:v>
      </x:c>
      <x:c r="B141" s="46" t="str">
        <x:v>Insular Pacific-Hawaiian</x:v>
      </x:c>
      <x:c r="C141" s="46" t="str">
        <x:v>LME</x:v>
      </x:c>
      <x:c r="D141" s="58" t="n">
        <x:v>2019</x:v>
      </x:c>
      <x:c r="E141" s="46" t="str">
        <x:v>Randallichthys filamentosus</x:v>
      </x:c>
      <x:c r="F141" s="46" t="str">
        <x:v>Randall's snapper</x:v>
      </x:c>
      <x:c r="G141" s="46" t="str">
        <x:v>Medium bathypelagics (30 - 89 cm)</x:v>
      </x:c>
      <x:c r="H141" s="46" t="str">
        <x:v>Perch-likes</x:v>
      </x:c>
      <x:c r="I141" s="60" t="n">
        <x:v>0.005378359199999999</x:v>
      </x:c>
      <x:c r="J141" s="60" t="n">
        <x:v>0.005378359199999999</x:v>
      </x:c>
      <x:c r="K141" s="60" t="n">
        <x:v>0</x:v>
      </x:c>
      <x:c r="L141" s="60" t="n">
        <x:v>0.005378359199999999</x:v>
      </x:c>
      <x:c r="M141" s="60" t="n">
        <x:v>0</x:v>
      </x:c>
      <x:c r="N141" s="46" t="str">
        <x:v>randallichthys filamentosus</x:v>
      </x:c>
      <x:c r="O141" s="62" t="n">
        <x:v>3.99</x:v>
      </x:c>
      <x:c r="P141" s="46" t="str">
        <x:v>exact_sea_around_us</x:v>
      </x:c>
      <x:c r="Q141" s="62" t="str">
        <x:v>Sea Around Us exploited organisms</x:v>
      </x:c>
      <x:c r="R141" s="46" t="str">
        <x:v>high</x:v>
      </x:c>
      <x:c r="S141" s="46" t="str">
        <x:v>Randallichthys filamentosus</x:v>
      </x:c>
      <x:c r="T141" s="62" t="n">
        <x:f>IF(O141="","",(1/'Metadata'!$B$5)^(O141-1))</x:f>
        <x:v>7763.895603143686</x:v>
      </x:c>
      <x:c r="U141" s="60" t="n">
        <x:f>IF(T141="","",I141*T141)</x:f>
        <x:v>41.757019345007386</x:v>
      </x:c>
    </x:row>
  </x:sheetData>
  <x:conditionalFormatting sqref="R2:R141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4cd1b00175c84d4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Crustaceans</x:v>
      </x:c>
      <x:c r="B2" s="64" t="n">
        <x:v>4</x:v>
      </x:c>
      <x:c r="C2" s="64" t="n">
        <x:v>4</x:v>
      </x:c>
      <x:c r="D2" s="60" t="n">
        <x:v>3.6707369654999997</x:v>
      </x:c>
      <x:c r="E2" s="60" t="n">
        <x:v>3.6707369654999997</x:v>
      </x:c>
      <x:c r="F2" s="62" t="n">
        <x:v>0</x:v>
      </x:c>
      <x:c r="G2" s="66" t="n">
        <x:v>1</x:v>
      </x:c>
      <x:c r="H2" s="62" t="n">
        <x:f>IF(E2=0,"",I2/E2)</x:f>
        <x:v>2827.6099719760464</x:v>
      </x:c>
      <x:c r="I2" s="60" t="n">
        <x:f>SUMIF('Species'!$H$2:$H$141,A2,'Species'!$U$2:$U$141)</x:f>
        <x:v>10379.412448148893</x:v>
      </x:c>
      <x:c r="J2" s="62" t="n">
        <x:v>3.370474054817699</x:v>
      </x:c>
      <x:c r="K2" s="62" t="n">
        <x:f>IF(J2="","",(1/'Metadata'!$B$5)^(J2-1))</x:f>
        <x:v>1213.5504880783856</x:v>
      </x:c>
      <x:c r="L2" s="60" t="n">
        <x:f>IF(E2=0,"",E2*K2)</x:f>
        <x:v>4454.624636089897</x:v>
      </x:c>
      <x:c r="M2" s="60" t="n">
        <x:f>I2-L2</x:f>
        <x:v>5924.787812058996</x:v>
      </x:c>
      <x:c r="N2" s="62" t="n">
        <x:f>IF(L2=0,"",I2/L2)</x:f>
        <x:v>2.330030764895054</x:v>
      </x:c>
      <x:c r="O2" s="66" t="n">
        <x:f>IF(L2=0,"",M2/L2)</x:f>
        <x:v>1.3300307648950538</x:v>
      </x:c>
    </x:row>
    <x:row r="3" ht="18" customHeight="1">
      <x:c r="A3" s="46" t="str">
        <x:v>Flatfishes</x:v>
      </x:c>
      <x:c r="B3" s="64" t="n">
        <x:v>2</x:v>
      </x:c>
      <x:c r="C3" s="64" t="n">
        <x:v>2</x:v>
      </x:c>
      <x:c r="D3" s="60" t="n">
        <x:v>0.5670226334</x:v>
      </x:c>
      <x:c r="E3" s="60" t="n">
        <x:v>0.5670226334</x:v>
      </x:c>
      <x:c r="F3" s="62" t="n">
        <x:v>0</x:v>
      </x:c>
      <x:c r="G3" s="66" t="n">
        <x:v>1</x:v>
      </x:c>
      <x:c r="H3" s="62" t="n">
        <x:f>IF(E3=0,"",I3/E3)</x:f>
        <x:v>24474.878107700533</x:v>
      </x:c>
      <x:c r="I3" s="60" t="n">
        <x:f>SUMIF('Species'!$H$2:$H$141,A3,'Species'!$U$2:$U$141)</x:f>
        <x:v>13877.809836772365</x:v>
      </x:c>
      <x:c r="J3" s="62" t="n">
        <x:v>4.3654832453130785</x:v>
      </x:c>
      <x:c r="K3" s="62" t="n">
        <x:f>IF(J3="","",(1/'Metadata'!$B$5)^(J3-1))</x:f>
        <x:v>23910.830017472843</x:v>
      </x:c>
      <x:c r="L3" s="60" t="n">
        <x:f>IF(E3=0,"",E3*K3)</x:f>
        <x:v>13557.98180328722</x:v>
      </x:c>
      <x:c r="M3" s="60" t="n">
        <x:f>I3-L3</x:f>
        <x:v>319.82803348514426</x:v>
      </x:c>
      <x:c r="N3" s="62" t="n">
        <x:f>IF(L3=0,"",I3/L3)</x:f>
        <x:v>1.023589649117806</x:v>
      </x:c>
      <x:c r="O3" s="66" t="n">
        <x:f>IF(L3=0,"",M3/L3)</x:f>
        <x:v>0.023589649117806005</x:v>
      </x:c>
    </x:row>
    <x:row r="4" ht="18" customHeight="1">
      <x:c r="A4" s="46" t="str">
        <x:v>Herring-likes</x:v>
      </x:c>
      <x:c r="B4" s="64" t="n">
        <x:v>2</x:v>
      </x:c>
      <x:c r="C4" s="64" t="n">
        <x:v>2</x:v>
      </x:c>
      <x:c r="D4" s="60" t="n">
        <x:v>40.2545498904</x:v>
      </x:c>
      <x:c r="E4" s="60" t="n">
        <x:v>40.2545498904</x:v>
      </x:c>
      <x:c r="F4" s="62" t="n">
        <x:v>0</x:v>
      </x:c>
      <x:c r="G4" s="66" t="n">
        <x:v>1</x:v>
      </x:c>
      <x:c r="H4" s="62" t="n">
        <x:f>IF(E4=0,"",I4/E4)</x:f>
        <x:v>2194.572135772201</x:v>
      </x:c>
      <x:c r="I4" s="60" t="n">
        <x:f>SUMIF('Species'!$H$2:$H$141,A4,'Species'!$U$2:$U$141)</x:f>
        <x:v>88341.51352752374</x:v>
      </x:c>
      <x:c r="J4" s="62" t="n">
        <x:v>3.566941446660185</x:v>
      </x:c>
      <x:c r="K4" s="62" t="n">
        <x:f>IF(J4="","",(1/'Metadata'!$B$5)^(J4-1))</x:f>
        <x:v>2186.088900627776</x:v>
      </x:c>
      <x:c r="L4" s="60" t="n">
        <x:f>IF(E4=0,"",E4*K4)</x:f>
        <x:v>88000.0247151705</x:v>
      </x:c>
      <x:c r="M4" s="60" t="n">
        <x:f>I4-L4</x:f>
        <x:v>341.4888123532437</x:v>
      </x:c>
      <x:c r="N4" s="62" t="n">
        <x:f>IF(L4=0,"",I4/L4)</x:f>
        <x:v>1.0038805535959625</x:v>
      </x:c>
      <x:c r="O4" s="66" t="n">
        <x:f>IF(L4=0,"",M4/L4)</x:f>
        <x:v>0.0038805535959624995</x:v>
      </x:c>
    </x:row>
    <x:row r="5" ht="18" customHeight="1">
      <x:c r="A5" s="46" t="str">
        <x:v>Molluscs</x:v>
      </x:c>
      <x:c r="B5" s="64" t="n">
        <x:v>1</x:v>
      </x:c>
      <x:c r="C5" s="64" t="n">
        <x:v>1</x:v>
      </x:c>
      <x:c r="D5" s="60" t="n">
        <x:v>5.263133777899999</x:v>
      </x:c>
      <x:c r="E5" s="60" t="n">
        <x:v>5.263133777899999</x:v>
      </x:c>
      <x:c r="F5" s="62" t="n">
        <x:v>0</x:v>
      </x:c>
      <x:c r="G5" s="66" t="n">
        <x:v>1</x:v>
      </x:c>
      <x:c r="H5" s="62" t="n">
        <x:f>IF(E5=0,"",I5/E5)</x:f>
        <x:v>478.76433543849475</x:v>
      </x:c>
      <x:c r="I5" s="60" t="n">
        <x:f>SUMIF('Species'!$H$2:$H$141,A5,'Species'!$U$2:$U$141)</x:f>
        <x:v>2519.8007455001875</x:v>
      </x:c>
      <x:c r="J5" s="62" t="n">
        <x:v>3.06</x:v>
      </x:c>
      <x:c r="K5" s="62" t="n">
        <x:f>IF(J5="","",(1/'Metadata'!$B$5)^(J5-1))</x:f>
        <x:v>478.7643354384948</x:v>
      </x:c>
      <x:c r="L5" s="60" t="n">
        <x:f>IF(E5=0,"",E5*K5)</x:f>
        <x:v>2519.8007455001875</x:v>
      </x:c>
      <x:c r="M5" s="60" t="n">
        <x:f>I5-L5</x:f>
        <x:v>0</x:v>
      </x:c>
      <x:c r="N5" s="62" t="n">
        <x:f>IF(L5=0,"",I5/L5)</x:f>
        <x:v>1</x:v>
      </x:c>
      <x:c r="O5" s="66" t="n">
        <x:f>IF(L5=0,"",M5/L5)</x:f>
        <x:v>0</x:v>
      </x:c>
    </x:row>
    <x:row r="6" ht="18" customHeight="1">
      <x:c r="A6" s="46" t="str">
        <x:v>Other fishes &amp; inverts</x:v>
      </x:c>
      <x:c r="B6" s="64" t="n">
        <x:v>27</x:v>
      </x:c>
      <x:c r="C6" s="64" t="n">
        <x:v>27</x:v>
      </x:c>
      <x:c r="D6" s="60" t="n">
        <x:v>1214.9331684746</x:v>
      </x:c>
      <x:c r="E6" s="60" t="n">
        <x:v>1214.9331684746</x:v>
      </x:c>
      <x:c r="F6" s="62" t="n">
        <x:v>0</x:v>
      </x:c>
      <x:c r="G6" s="66" t="n">
        <x:v>1</x:v>
      </x:c>
      <x:c r="H6" s="62" t="n">
        <x:f>IF(E6=0,"",I6/E6)</x:f>
        <x:v>4373.774964383809</x:v>
      </x:c>
      <x:c r="I6" s="60" t="n">
        <x:f>SUMIF('Species'!$H$2:$H$141,A6,'Species'!$U$2:$U$141)</x:f>
        <x:v>5313844.275673701</x:v>
      </x:c>
      <x:c r="J6" s="62" t="n">
        <x:v>3.4726881864304127</x:v>
      </x:c>
      <x:c r="K6" s="62" t="n">
        <x:f>IF(J6="","",(1/'Metadata'!$B$5)^(J6-1))</x:f>
        <x:v>1648.3198947515646</x:v>
      </x:c>
      <x:c r="L6" s="60" t="n">
        <x:f>IF(E6=0,"",E6*K6)</x:f>
        <x:v>2002598.5123902375</x:v>
      </x:c>
      <x:c r="M6" s="60" t="n">
        <x:f>I6-L6</x:f>
        <x:v>3311245.763283464</x:v>
      </x:c>
      <x:c r="N6" s="62" t="n">
        <x:f>IF(L6=0,"",I6/L6)</x:f>
        <x:v>2.653474594531316</x:v>
      </x:c>
      <x:c r="O6" s="66" t="n">
        <x:f>IF(L6=0,"",M6/L6)</x:f>
        <x:v>1.6534745945313158</x:v>
      </x:c>
    </x:row>
    <x:row r="7" ht="18" customHeight="1">
      <x:c r="A7" s="46" t="str">
        <x:v>Perch-likes</x:v>
      </x:c>
      <x:c r="B7" s="64" t="n">
        <x:v>83</x:v>
      </x:c>
      <x:c r="C7" s="64" t="n">
        <x:v>83</x:v>
      </x:c>
      <x:c r="D7" s="60" t="n">
        <x:v>12299.106607953698</x:v>
      </x:c>
      <x:c r="E7" s="60" t="n">
        <x:v>12299.106607953698</x:v>
      </x:c>
      <x:c r="F7" s="62" t="n">
        <x:v>0</x:v>
      </x:c>
      <x:c r="G7" s="66" t="n">
        <x:v>1</x:v>
      </x:c>
      <x:c r="H7" s="62" t="n">
        <x:f>IF(E7=0,"",I7/E7)</x:f>
        <x:v>19006.73412207933</x:v>
      </x:c>
      <x:c r="I7" s="60" t="n">
        <x:f>SUMIF('Species'!$H$2:$H$141,A7,'Species'!$U$2:$U$141)</x:f>
        <x:v>233765849.23648494</x:v>
      </x:c>
      <x:c r="J7" s="62" t="n">
        <x:v>4.202485761456611</x:v>
      </x:c>
      <x:c r="K7" s="62" t="n">
        <x:f>IF(J7="","",(1/'Metadata'!$B$5)^(J7-1))</x:f>
        <x:v>14673.375662738117</x:v>
      </x:c>
      <x:c r="L7" s="60" t="n">
        <x:f>IF(E7=0,"",E7*K7)</x:f>
        <x:v>180469411.57456934</x:v>
      </x:c>
      <x:c r="M7" s="60" t="n">
        <x:f>I7-L7</x:f>
        <x:v>53296437.6619156</x:v>
      </x:c>
      <x:c r="N7" s="62" t="n">
        <x:f>IF(L7=0,"",I7/L7)</x:f>
        <x:v>1.2953211693710969</x:v>
      </x:c>
      <x:c r="O7" s="66" t="n">
        <x:f>IF(L7=0,"",M7/L7)</x:f>
        <x:v>0.295321169371097</x:v>
      </x:c>
    </x:row>
    <x:row r="8" ht="18" customHeight="1">
      <x:c r="A8" s="46" t="str">
        <x:v>Scorpionfishes</x:v>
      </x:c>
      <x:c r="B8" s="64" t="n">
        <x:v>3</x:v>
      </x:c>
      <x:c r="C8" s="64" t="n">
        <x:v>3</x:v>
      </x:c>
      <x:c r="D8" s="60" t="n">
        <x:v>5.3487907952</x:v>
      </x:c>
      <x:c r="E8" s="60" t="n">
        <x:v>5.3487907952</x:v>
      </x:c>
      <x:c r="F8" s="62" t="n">
        <x:v>0</x:v>
      </x:c>
      <x:c r="G8" s="66" t="n">
        <x:v>1</x:v>
      </x:c>
      <x:c r="H8" s="62" t="n">
        <x:f>IF(E8=0,"",I8/E8)</x:f>
        <x:v>6181.361804205804</x:v>
      </x:c>
      <x:c r="I8" s="60" t="n">
        <x:f>SUMIF('Species'!$H$2:$H$141,A8,'Species'!$U$2:$U$141)</x:f>
        <x:v>33062.811120136874</x:v>
      </x:c>
      <x:c r="J8" s="62" t="n">
        <x:v>3.9118407197224525</x:v>
      </x:c>
      <x:c r="K8" s="62" t="n">
        <x:f>IF(J8="","",(1/'Metadata'!$B$5)^(J8-1))</x:f>
        <x:v>6143.164133061596</x:v>
      </x:c>
      <x:c r="L8" s="60" t="n">
        <x:f>IF(E8=0,"",E8*K8)</x:f>
        <x:v>32858.499768322654</x:v>
      </x:c>
      <x:c r="M8" s="60" t="n">
        <x:f>I8-L8</x:f>
        <x:v>204.31135181421996</x:v>
      </x:c>
      <x:c r="N8" s="62" t="n">
        <x:f>IF(L8=0,"",I8/L8)</x:f>
        <x:v>1.006217914793882</x:v>
      </x:c>
      <x:c r="O8" s="66" t="n">
        <x:f>IF(L8=0,"",M8/L8)</x:f>
        <x:v>0.006217914793881947</x:v>
      </x:c>
    </x:row>
    <x:row r="9" ht="18" customHeight="1">
      <x:c r="A9" s="46" t="str">
        <x:v>Sharks &amp; rays</x:v>
      </x:c>
      <x:c r="B9" s="64" t="n">
        <x:v>7</x:v>
      </x:c>
      <x:c r="C9" s="64" t="n">
        <x:v>7</x:v>
      </x:c>
      <x:c r="D9" s="60" t="n">
        <x:v>207.9320892578</x:v>
      </x:c>
      <x:c r="E9" s="60" t="n">
        <x:v>207.9320892578</x:v>
      </x:c>
      <x:c r="F9" s="62" t="n">
        <x:v>0</x:v>
      </x:c>
      <x:c r="G9" s="66" t="n">
        <x:v>1</x:v>
      </x:c>
      <x:c r="H9" s="62" t="n">
        <x:f>IF(E9=0,"",I9/E9)</x:f>
        <x:v>15311.66863123243</x:v>
      </x:c>
      <x:c r="I9" s="60" t="n">
        <x:f>SUMIF('Species'!$H$2:$H$141,A9,'Species'!$U$2:$U$141)</x:f>
        <x:v>3183787.2485152776</x:v>
      </x:c>
      <x:c r="J9" s="62" t="n">
        <x:v>4.182209154003976</x:v>
      </x:c>
      <x:c r="K9" s="62" t="n">
        <x:f>IF(J9="","",(1/'Metadata'!$B$5)^(J9-1))</x:f>
        <x:v>13808.5972161702</x:v>
      </x:c>
      <x:c r="L9" s="60" t="n">
        <x:f>IF(E9=0,"",E9*K9)</x:f>
        <x:v>2871250.4688777104</x:v>
      </x:c>
      <x:c r="M9" s="60" t="n">
        <x:f>I9-L9</x:f>
        <x:v>312536.77963756723</x:v>
      </x:c>
      <x:c r="N9" s="62" t="n">
        <x:f>IF(L9=0,"",I9/L9)</x:f>
        <x:v>1.1088504061297477</x:v>
      </x:c>
      <x:c r="O9" s="66" t="n">
        <x:f>IF(L9=0,"",M9/L9)</x:f>
        <x:v>0.10885040612974768</x:v>
      </x:c>
    </x:row>
    <x:row r="10" ht="18" customHeight="1">
      <x:c r="A10" s="46" t="str">
        <x:v>Tuna &amp; billfishes</x:v>
      </x:c>
      <x:c r="B10" s="64" t="n">
        <x:v>11</x:v>
      </x:c>
      <x:c r="C10" s="64" t="n">
        <x:v>11</x:v>
      </x:c>
      <x:c r="D10" s="60" t="n">
        <x:v>7394.87729665</x:v>
      </x:c>
      <x:c r="E10" s="60" t="n">
        <x:v>7394.87729665</x:v>
      </x:c>
      <x:c r="F10" s="62" t="n">
        <x:v>0</x:v>
      </x:c>
      <x:c r="G10" s="66" t="n">
        <x:v>1</x:v>
      </x:c>
      <x:c r="H10" s="62" t="n">
        <x:f>IF(E10=0,"",I10/E10)</x:f>
        <x:v>30128.107342041993</x:v>
      </x:c>
      <x:c r="I10" s="60" t="n">
        <x:f>SUMIF('Species'!$H$2:$H$141,A10,'Species'!$U$2:$U$141)</x:f>
        <x:v>222793656.9747005</x:v>
      </x:c>
      <x:c r="J10" s="62" t="n">
        <x:v>4.439847121020348</x:v>
      </x:c>
      <x:c r="K10" s="62" t="n">
        <x:f>IF(J10="","",(1/'Metadata'!$B$5)^(J10-1))</x:f>
        <x:v>29877.502055315155</x:v>
      </x:c>
      <x:c r="L10" s="60" t="n">
        <x:f>IF(E10=0,"",E10*K10)</x:f>
        <x:v>220940461.62946376</x:v>
      </x:c>
      <x:c r="M10" s="60" t="n">
        <x:f>I10-L10</x:f>
        <x:v>1853195.3452367485</x:v>
      </x:c>
      <x:c r="N10" s="62" t="n">
        <x:f>IF(L10=0,"",I10/L10)</x:f>
        <x:v>1.0083877589988235</x:v>
      </x:c>
      <x:c r="O10" s="66" t="n">
        <x:f>IF(L10=0,"",M10/L10)</x:f>
        <x:v>0.00838775899882348</x:v>
      </x:c>
    </x:row>
  </x:sheetData>
  <x:conditionalFormatting sqref="G2:G10">
    <x:cfRule type="cellIs" dxfId="1" priority="1" operator="lessThan">
      <x:formula>0.9</x:formula>
    </x:cfRule>
  </x:conditionalFormatting>
  <x:conditionalFormatting sqref="O2:O10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b2c94ddf5a9647e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3</x:v>
      </x:c>
      <x:c r="C2" s="64" t="n">
        <x:v>3</x:v>
      </x:c>
      <x:c r="D2" s="60" t="n">
        <x:v>5.7793089162</x:v>
      </x:c>
      <x:c r="E2" s="60" t="n">
        <x:v>5.7793089162</x:v>
      </x:c>
      <x:c r="F2" s="62" t="n">
        <x:v>0</x:v>
      </x:c>
      <x:c r="G2" s="66" t="n">
        <x:v>1</x:v>
      </x:c>
      <x:c r="H2" s="62" t="n">
        <x:f>IF(E2=0,"",I2/E2)</x:f>
        <x:v>2975.673378716011</x:v>
      </x:c>
      <x:c r="I2" s="60" t="n">
        <x:f>SUMIF('Species'!$G$2:$G$141,A2,'Species'!$U$2:$U$141)</x:f>
        <x:v>17197.335689312422</x:v>
      </x:c>
      <x:c r="J2" s="62" t="n">
        <x:v>3.656320534198926</x:v>
      </x:c>
      <x:c r="K2" s="62" t="n">
        <x:f>IF(J2="","",(1/'Metadata'!$B$5)^(J2-1))</x:f>
        <x:v>2857.2792881803484</x:v>
      </x:c>
      <x:c r="L2" s="60" t="n">
        <x:f>IF(E2=0,"",E2*K2)</x:f>
        <x:v>16513.099666254275</x:v>
      </x:c>
      <x:c r="M2" s="60" t="n">
        <x:f>I2-L2</x:f>
        <x:v>684.2360230581471</x:v>
      </x:c>
      <x:c r="N2" s="62" t="n">
        <x:f>IF(L2=0,"",I2/L2)</x:f>
        <x:v>1.041435953084958</x:v>
      </x:c>
      <x:c r="O2" s="66" t="n">
        <x:f>IF(L2=0,"",M2/L2)</x:f>
        <x:v>0.04143595308495796</x:v>
      </x:c>
    </x:row>
    <x:row r="3" ht="18" customHeight="1">
      <x:c r="A3" s="46" t="str">
        <x:v>Large bathydemersals (&gt;=90 cm)</x:v>
      </x:c>
      <x:c r="B3" s="64" t="n">
        <x:v>1</x:v>
      </x:c>
      <x:c r="C3" s="64" t="n">
        <x:v>1</x:v>
      </x:c>
      <x:c r="D3" s="60" t="n">
        <x:v>76.1312414689</x:v>
      </x:c>
      <x:c r="E3" s="60" t="n">
        <x:v>76.1312414689</x:v>
      </x:c>
      <x:c r="F3" s="62" t="n">
        <x:v>0</x:v>
      </x:c>
      <x:c r="G3" s="66" t="n">
        <x:v>1</x:v>
      </x:c>
      <x:c r="H3" s="62" t="n">
        <x:f>IF(E3=0,"",I3/E3)</x:f>
        <x:v>28152.864182630117</x:v>
      </x:c>
      <x:c r="I3" s="60" t="n">
        <x:f>SUMIF('Species'!$G$2:$G$141,A3,'Species'!$U$2:$U$141)</x:f>
        <x:v>2143312.5011289595</x:v>
      </x:c>
      <x:c r="J3" s="62" t="n">
        <x:v>4.42</x:v>
      </x:c>
      <x:c r="K3" s="62" t="n">
        <x:f>IF(J3="","",(1/'Metadata'!$B$5)^(J3-1))</x:f>
        <x:v>28152.864182630117</x:v>
      </x:c>
      <x:c r="L3" s="60" t="n">
        <x:f>IF(E3=0,"",E3*K3)</x:f>
        <x:v>2143312.5011289595</x:v>
      </x:c>
      <x:c r="M3" s="60" t="n">
        <x:f>I3-L3</x:f>
        <x:v>0</x:v>
      </x:c>
      <x:c r="N3" s="62" t="n">
        <x:f>IF(L3=0,"",I3/L3)</x:f>
        <x:v>1</x:v>
      </x:c>
      <x:c r="O3" s="66" t="n">
        <x:f>IF(L3=0,"",M3/L3)</x:f>
        <x:v>0</x:v>
      </x:c>
    </x:row>
    <x:row r="4" ht="18" customHeight="1">
      <x:c r="A4" s="46" t="str">
        <x:v>Large bathypelagics (&gt;=90 cm)</x:v>
      </x:c>
      <x:c r="B4" s="64" t="n">
        <x:v>1</x:v>
      </x:c>
      <x:c r="C4" s="64" t="n">
        <x:v>1</x:v>
      </x:c>
      <x:c r="D4" s="60" t="n">
        <x:v>280.0678282609</x:v>
      </x:c>
      <x:c r="E4" s="60" t="n">
        <x:v>280.0678282609</x:v>
      </x:c>
      <x:c r="F4" s="62" t="n">
        <x:v>0</x:v>
      </x:c>
      <x:c r="G4" s="66" t="n">
        <x:v>1</x:v>
      </x:c>
      <x:c r="H4" s="62" t="n">
        <x:f>IF(E4=0,"",I4/E4)</x:f>
        <x:v>15463.812886046735</x:v>
      </x:c>
      <x:c r="I4" s="60" t="n">
        <x:f>SUMIF('Species'!$G$2:$G$141,A4,'Species'!$U$2:$U$141)</x:f>
        <x:v>4330916.491628029</x:v>
      </x:c>
      <x:c r="J4" s="62" t="n">
        <x:v>4.22</x:v>
      </x:c>
      <x:c r="K4" s="62" t="n">
        <x:f>IF(J4="","",(1/'Metadata'!$B$5)^(J4-1))</x:f>
        <x:v>15463.812886046735</x:v>
      </x:c>
      <x:c r="L4" s="60" t="n">
        <x:f>IF(E4=0,"",E4*K4)</x:f>
        <x:v>4330916.491628029</x:v>
      </x:c>
      <x:c r="M4" s="60" t="n">
        <x:f>I4-L4</x:f>
        <x:v>0</x:v>
      </x:c>
      <x:c r="N4" s="62" t="n">
        <x:f>IF(L4=0,"",I4/L4)</x:f>
        <x:v>1</x:v>
      </x:c>
      <x:c r="O4" s="66" t="n">
        <x:f>IF(L4=0,"",M4/L4)</x:f>
        <x:v>0</x:v>
      </x:c>
    </x:row>
    <x:row r="5" ht="18" customHeight="1">
      <x:c r="A5" s="46" t="str">
        <x:v>Large benthopelagics (&gt;=90 cm)</x:v>
      </x:c>
      <x:c r="B5" s="64" t="n">
        <x:v>5</x:v>
      </x:c>
      <x:c r="C5" s="64" t="n">
        <x:v>5</x:v>
      </x:c>
      <x:c r="D5" s="60" t="n">
        <x:v>160.1700357622</x:v>
      </x:c>
      <x:c r="E5" s="60" t="n">
        <x:v>160.1700357622</x:v>
      </x:c>
      <x:c r="F5" s="62" t="n">
        <x:v>0</x:v>
      </x:c>
      <x:c r="G5" s="66" t="n">
        <x:v>1</x:v>
      </x:c>
      <x:c r="H5" s="62" t="n">
        <x:f>IF(E5=0,"",I5/E5)</x:f>
        <x:v>9321.16882361613</x:v>
      </x:c>
      <x:c r="I5" s="60" t="n">
        <x:f>SUMIF('Species'!$G$2:$G$141,A5,'Species'!$U$2:$U$141)</x:f>
        <x:v>1492971.9438240994</x:v>
      </x:c>
      <x:c r="J5" s="62" t="n">
        <x:v>3.4828377069797303</x:v>
      </x:c>
      <x:c r="K5" s="62" t="n">
        <x:f>IF(J5="","",(1/'Metadata'!$B$5)^(J5-1))</x:f>
        <x:v>1699.2071668131023</x:v>
      </x:c>
      <x:c r="L5" s="60" t="n">
        <x:f>IF(E5=0,"",E5*K5)</x:f>
        <x:v>272162.07267584116</x:v>
      </x:c>
      <x:c r="M5" s="60" t="n">
        <x:f>I5-L5</x:f>
        <x:v>1220809.8711482582</x:v>
      </x:c>
      <x:c r="N5" s="62" t="n">
        <x:f>IF(L5=0,"",I5/L5)</x:f>
        <x:v>5.485598816710603</x:v>
      </x:c>
      <x:c r="O5" s="66" t="n">
        <x:f>IF(L5=0,"",M5/L5)</x:f>
        <x:v>4.485598816710603</x:v>
      </x:c>
    </x:row>
    <x:row r="6" ht="18" customHeight="1">
      <x:c r="A6" s="46" t="str">
        <x:v>Large demersals (&gt;=90 cm)</x:v>
      </x:c>
      <x:c r="B6" s="64" t="n">
        <x:v>1</x:v>
      </x:c>
      <x:c r="C6" s="64" t="n">
        <x:v>1</x:v>
      </x:c>
      <x:c r="D6" s="60" t="n">
        <x:v>71.18616095189999</x:v>
      </x:c>
      <x:c r="E6" s="60" t="n">
        <x:v>71.18616095189999</x:v>
      </x:c>
      <x:c r="F6" s="62" t="n">
        <x:v>0</x:v>
      </x:c>
      <x:c r="G6" s="66" t="n">
        <x:v>1</x:v>
      </x:c>
      <x:c r="H6" s="62" t="n">
        <x:f>IF(E6=0,"",I6/E6)</x:f>
        <x:v>34721.19667768202</x:v>
      </x:c>
      <x:c r="I6" s="60" t="n">
        <x:f>SUMIF('Species'!$G$2:$G$141,A6,'Species'!$U$2:$U$141)</x:f>
        <x:v>2471668.6951400475</x:v>
      </x:c>
      <x:c r="J6" s="62" t="n">
        <x:v>4.49</x:v>
      </x:c>
      <x:c r="K6" s="62" t="n">
        <x:f>IF(J6="","",(1/'Metadata'!$B$5)^(J6-1))</x:f>
        <x:v>34721.19667768202</x:v>
      </x:c>
      <x:c r="L6" s="60" t="n">
        <x:f>IF(E6=0,"",E6*K6)</x:f>
        <x:v>2471668.6951400475</x:v>
      </x:c>
      <x:c r="M6" s="60" t="n">
        <x:f>I6-L6</x:f>
        <x:v>0</x:v>
      </x:c>
      <x:c r="N6" s="62" t="n">
        <x:f>IF(L6=0,"",I6/L6)</x:f>
        <x:v>1</x:v>
      </x:c>
      <x:c r="O6" s="66" t="n">
        <x:f>IF(L6=0,"",M6/L6)</x:f>
        <x:v>0</x:v>
      </x:c>
    </x:row>
    <x:row r="7" ht="18" customHeight="1">
      <x:c r="A7" s="46" t="str">
        <x:v>Large pelagics (&gt;=90 cm)</x:v>
      </x:c>
      <x:c r="B7" s="64" t="n">
        <x:v>17</x:v>
      </x:c>
      <x:c r="C7" s="64" t="n">
        <x:v>17</x:v>
      </x:c>
      <x:c r="D7" s="60" t="n">
        <x:v>15276.5137031</x:v>
      </x:c>
      <x:c r="E7" s="60" t="n">
        <x:v>15276.5137031</x:v>
      </x:c>
      <x:c r="F7" s="62" t="n">
        <x:v>0</x:v>
      </x:c>
      <x:c r="G7" s="66" t="n">
        <x:v>1</x:v>
      </x:c>
      <x:c r="H7" s="62" t="n">
        <x:f>IF(E7=0,"",I7/E7)</x:f>
        <x:v>24621.609982475533</x:v>
      </x:c>
      <x:c r="I7" s="60" t="n">
        <x:f>SUMIF('Species'!$G$2:$G$141,A7,'Species'!$U$2:$U$141)</x:f>
        <x:v>376132362.28967124</x:v>
      </x:c>
      <x:c r="J7" s="62" t="n">
        <x:v>4.363893245083446</x:v>
      </x:c>
      <x:c r="K7" s="62" t="n">
        <x:f>IF(J7="","",(1/'Metadata'!$B$5)^(J7-1))</x:f>
        <x:v>23797.20841009759</x:v>
      </x:c>
      <x:c r="L7" s="60" t="n">
        <x:f>IF(E7=0,"",E7*K7)</x:f>
        <x:v>363538380.3723824</x:v>
      </x:c>
      <x:c r="M7" s="60" t="n">
        <x:f>I7-L7</x:f>
        <x:v>12593981.91728884</x:v>
      </x:c>
      <x:c r="N7" s="62" t="n">
        <x:f>IF(L7=0,"",I7/L7)</x:f>
        <x:v>1.034642784908676</x:v>
      </x:c>
      <x:c r="O7" s="66" t="n">
        <x:f>IF(L7=0,"",M7/L7)</x:f>
        <x:v>0.03464278490867588</x:v>
      </x:c>
    </x:row>
    <x:row r="8" ht="18" customHeight="1">
      <x:c r="A8" s="46" t="str">
        <x:v>Large rays (&gt;=90 cm)</x:v>
      </x:c>
      <x:c r="B8" s="64" t="n">
        <x:v>1</x:v>
      </x:c>
      <x:c r="C8" s="64" t="n">
        <x:v>1</x:v>
      </x:c>
      <x:c r="D8" s="60" t="n">
        <x:v>1.4475016023</x:v>
      </x:c>
      <x:c r="E8" s="60" t="n">
        <x:v>1.4475016023</x:v>
      </x:c>
      <x:c r="F8" s="62" t="n">
        <x:v>0</x:v>
      </x:c>
      <x:c r="G8" s="66" t="n">
        <x:v>1</x:v>
      </x:c>
      <x:c r="H8" s="62" t="n">
        <x:f>IF(E8=0,"",I8/E8)</x:f>
        <x:v>1176.0635493805207</x:v>
      </x:c>
      <x:c r="I8" s="60" t="n">
        <x:f>SUMIF('Species'!$G$2:$G$141,A8,'Species'!$U$2:$U$141)</x:f>
        <x:v>1702.353872134929</x:v>
      </x:c>
      <x:c r="J8" s="62" t="n">
        <x:v>3.3600000000000003</x:v>
      </x:c>
      <x:c r="K8" s="62" t="n">
        <x:f>IF(J8="","",(1/'Metadata'!$B$5)^(J8-1))</x:f>
        <x:v>1176.063549380522</x:v>
      </x:c>
      <x:c r="L8" s="60" t="n">
        <x:f>IF(E8=0,"",E8*K8)</x:f>
        <x:v>1702.353872134931</x:v>
      </x:c>
      <x:c r="M8" s="60" t="n">
        <x:f>I8-L8</x:f>
        <x:v>-2.0463630789890885e-12</x:v>
      </x:c>
      <x:c r="N8" s="62" t="n">
        <x:f>IF(L8=0,"",I8/L8)</x:f>
        <x:v>0.9999999999999988</x:v>
      </x:c>
      <x:c r="O8" s="66" t="n">
        <x:f>IF(L8=0,"",M8/L8)</x:f>
        <x:v>-1.2020785528115455e-15</x:v>
      </x:c>
    </x:row>
    <x:row r="9" ht="18" customHeight="1">
      <x:c r="A9" s="46" t="str">
        <x:v>Large reef assoc. fish (&gt;=90 cm)</x:v>
      </x:c>
      <x:c r="B9" s="64" t="n">
        <x:v>9</x:v>
      </x:c>
      <x:c r="C9" s="64" t="n">
        <x:v>9</x:v>
      </x:c>
      <x:c r="D9" s="60" t="n">
        <x:v>1699.1816940392998</x:v>
      </x:c>
      <x:c r="E9" s="60" t="n">
        <x:v>1699.1816940392998</x:v>
      </x:c>
      <x:c r="F9" s="62" t="n">
        <x:v>0</x:v>
      </x:c>
      <x:c r="G9" s="66" t="n">
        <x:v>1</x:v>
      </x:c>
      <x:c r="H9" s="62" t="n">
        <x:f>IF(E9=0,"",I9/E9)</x:f>
        <x:v>32011.509190507077</x:v>
      </x:c>
      <x:c r="I9" s="60" t="n">
        <x:f>SUMIF('Species'!$G$2:$G$141,A9,'Species'!$U$2:$U$141)</x:f>
        <x:v>54393370.41508043</x:v>
      </x:c>
      <x:c r="J9" s="62" t="n">
        <x:v>4.45190723189423</x:v>
      </x:c>
      <x:c r="K9" s="62" t="n">
        <x:f>IF(J9="","",(1/'Metadata'!$B$5)^(J9-1))</x:f>
        <x:v>30976.678686132695</x:v>
      </x:c>
      <x:c r="L9" s="60" t="n">
        <x:f>IF(E9=0,"",E9*K9)</x:f>
        <x:v>52635005.36561403</x:v>
      </x:c>
      <x:c r="M9" s="60" t="n">
        <x:f>I9-L9</x:f>
        <x:v>1758365.0494664013</x:v>
      </x:c>
      <x:c r="N9" s="62" t="n">
        <x:f>IF(L9=0,"",I9/L9)</x:f>
        <x:v>1.0334067610946824</x:v>
      </x:c>
      <x:c r="O9" s="66" t="n">
        <x:f>IF(L9=0,"",M9/L9)</x:f>
        <x:v>0.03340676109468254</x:v>
      </x:c>
    </x:row>
    <x:row r="10" ht="18" customHeight="1">
      <x:c r="A10" s="46" t="str">
        <x:v>Large sharks (&gt;=90 cm)</x:v>
      </x:c>
      <x:c r="B10" s="64" t="n">
        <x:v>6</x:v>
      </x:c>
      <x:c r="C10" s="64" t="n">
        <x:v>6</x:v>
      </x:c>
      <x:c r="D10" s="60" t="n">
        <x:v>206.48458765549998</x:v>
      </x:c>
      <x:c r="E10" s="60" t="n">
        <x:v>206.48458765549998</x:v>
      </x:c>
      <x:c r="F10" s="62" t="n">
        <x:v>0</x:v>
      </x:c>
      <x:c r="G10" s="66" t="n">
        <x:v>1</x:v>
      </x:c>
      <x:c r="H10" s="62" t="n">
        <x:f>IF(E10=0,"",I10/E10)</x:f>
        <x:v>15410.762279033392</x:v>
      </x:c>
      <x:c r="I10" s="60" t="n">
        <x:f>SUMIF('Species'!$G$2:$G$141,A10,'Species'!$U$2:$U$141)</x:f>
        <x:v>3182084.894643143</x:v>
      </x:c>
      <x:c r="J10" s="62" t="n">
        <x:v>4.187973017938616</x:v>
      </x:c>
      <x:c r="K10" s="62" t="n">
        <x:f>IF(J10="","",(1/'Metadata'!$B$5)^(J10-1))</x:f>
        <x:v>14049.100580050437</x:v>
      </x:c>
      <x:c r="L10" s="60" t="n">
        <x:f>IF(E10=0,"",E10*K10)</x:f>
        <x:v>2900922.7402023603</x:v>
      </x:c>
      <x:c r="M10" s="60" t="n">
        <x:f>I10-L10</x:f>
        <x:v>281162.1544407825</x:v>
      </x:c>
      <x:c r="N10" s="62" t="n">
        <x:f>IF(L10=0,"",I10/L10)</x:f>
        <x:v>1.0969216279166296</x:v>
      </x:c>
      <x:c r="O10" s="66" t="n">
        <x:f>IF(L10=0,"",M10/L10)</x:f>
        <x:v>0.09692162791662952</x:v>
      </x:c>
    </x:row>
    <x:row r="11" ht="18" customHeight="1">
      <x:c r="A11" s="46" t="str">
        <x:v>Lobsters, crabs</x:v>
      </x:c>
      <x:c r="B11" s="64" t="n">
        <x:v>3</x:v>
      </x:c>
      <x:c r="C11" s="64" t="n">
        <x:v>3</x:v>
      </x:c>
      <x:c r="D11" s="60" t="n">
        <x:v>2.6675878647999998</x:v>
      </x:c>
      <x:c r="E11" s="60" t="n">
        <x:v>2.6675878647999998</x:v>
      </x:c>
      <x:c r="F11" s="62" t="n">
        <x:v>0</x:v>
      </x:c>
      <x:c r="G11" s="66" t="n">
        <x:v>1</x:v>
      </x:c>
      <x:c r="H11" s="62" t="n">
        <x:f>IF(E11=0,"",I11/E11)</x:f>
        <x:v>3857.300522579426</x:v>
      </x:c>
      <x:c r="I11" s="60" t="n">
        <x:f>SUMIF('Species'!$G$2:$G$141,A11,'Species'!$U$2:$U$141)</x:f>
        <x:v>10289.688064919574</x:v>
      </x:c>
      <x:c r="J11" s="62" t="n">
        <x:v>3.6978166990077996</x:v>
      </x:c>
      <x:c r="K11" s="62" t="n">
        <x:f>IF(J11="","",(1/'Metadata'!$B$5)^(J11-1))</x:f>
        <x:v>3235.492878197489</x:v>
      </x:c>
      <x:c r="L11" s="60" t="n">
        <x:f>IF(E11=0,"",E11*K11)</x:f>
        <x:v>8630.961538526446</x:v>
      </x:c>
      <x:c r="M11" s="60" t="n">
        <x:f>I11-L11</x:f>
        <x:v>1658.7265263931276</x:v>
      </x:c>
      <x:c r="N11" s="62" t="n">
        <x:f>IF(L11=0,"",I11/L11)</x:f>
        <x:v>1.1921832832864552</x:v>
      </x:c>
      <x:c r="O11" s="66" t="n">
        <x:f>IF(L11=0,"",M11/L11)</x:f>
        <x:v>0.19218328328645526</x:v>
      </x:c>
    </x:row>
    <x:row r="12" ht="18" customHeight="1">
      <x:c r="A12" s="46" t="str">
        <x:v>Medium bathydemersals (30 - 89 cm)</x:v>
      </x:c>
      <x:c r="B12" s="64" t="n">
        <x:v>1</x:v>
      </x:c>
      <x:c r="C12" s="64" t="n">
        <x:v>1</x:v>
      </x:c>
      <x:c r="D12" s="60" t="n">
        <x:v>21.249301938000002</x:v>
      </x:c>
      <x:c r="E12" s="60" t="n">
        <x:v>21.249301938000002</x:v>
      </x:c>
      <x:c r="F12" s="62" t="n">
        <x:v>0</x:v>
      </x:c>
      <x:c r="G12" s="66" t="n">
        <x:v>1</x:v>
      </x:c>
      <x:c r="H12" s="62" t="n">
        <x:f>IF(E12=0,"",I12/E12)</x:f>
        <x:v>2976.8029570258213</x:v>
      </x:c>
      <x:c r="I12" s="60" t="n">
        <x:f>SUMIF('Species'!$G$2:$G$141,A12,'Species'!$U$2:$U$141)</x:f>
        <x:v>63254.98484377292</x:v>
      </x:c>
      <x:c r="J12" s="62" t="n">
        <x:v>3.6699999999999995</x:v>
      </x:c>
      <x:c r="K12" s="62" t="n">
        <x:f>IF(J12="","",(1/'Metadata'!$B$5)^(J12-1))</x:f>
        <x:v>2976.8029570258172</x:v>
      </x:c>
      <x:c r="L12" s="60" t="n">
        <x:f>IF(E12=0,"",E12*K12)</x:f>
        <x:v>63254.984843772836</x:v>
      </x:c>
      <x:c r="M12" s="60" t="n">
        <x:f>I12-L12</x:f>
        <x:v>8.731149137020111e-11</x:v>
      </x:c>
      <x:c r="N12" s="62" t="n">
        <x:f>IF(L12=0,"",I12/L12)</x:f>
        <x:v>1.0000000000000013</x:v>
      </x:c>
      <x:c r="O12" s="66" t="n">
        <x:f>IF(L12=0,"",M12/L12)</x:f>
        <x:v>1.3803100512290539e-15</x:v>
      </x:c>
    </x:row>
    <x:row r="13" ht="18" customHeight="1">
      <x:c r="A13" s="46" t="str">
        <x:v>Medium bathypelagics (30 - 89 cm)</x:v>
      </x:c>
      <x:c r="B13" s="64" t="n">
        <x:v>2</x:v>
      </x:c>
      <x:c r="C13" s="64" t="n">
        <x:v>2</x:v>
      </x:c>
      <x:c r="D13" s="60" t="n">
        <x:v>0.0349836443</x:v>
      </x:c>
      <x:c r="E13" s="60" t="n">
        <x:v>0.0349836443</x:v>
      </x:c>
      <x:c r="F13" s="62" t="n">
        <x:v>0</x:v>
      </x:c>
      <x:c r="G13" s="66" t="n">
        <x:v>1</x:v>
      </x:c>
      <x:c r="H13" s="62" t="n">
        <x:f>IF(E13=0,"",I13/E13)</x:f>
        <x:v>2315.5724173277067</x:v>
      </x:c>
      <x:c r="I13" s="60" t="n">
        <x:f>SUMIF('Species'!$G$2:$G$141,A13,'Species'!$U$2:$U$141)</x:f>
        <x:v>81.00716179868364</x:v>
      </x:c>
      <x:c r="J13" s="62" t="n">
        <x:v>3.490706156876858</x:v>
      </x:c>
      <x:c r="K13" s="62" t="n">
        <x:f>IF(J13="","",(1/'Metadata'!$B$5)^(J13-1))</x:f>
        <x:v>1739.7362810304712</x:v>
      </x:c>
      <x:c r="L13" s="60" t="n">
        <x:f>IF(E13=0,"",E13*K13)</x:f>
        <x:v>60.862315231374836</x:v>
      </x:c>
      <x:c r="M13" s="60" t="n">
        <x:f>I13-L13</x:f>
        <x:v>20.144846567308804</x:v>
      </x:c>
      <x:c r="N13" s="62" t="n">
        <x:f>IF(L13=0,"",I13/L13)</x:f>
        <x:v>1.3309904740022778</x:v>
      </x:c>
      <x:c r="O13" s="66" t="n">
        <x:f>IF(L13=0,"",M13/L13)</x:f>
        <x:v>0.3309904740022777</x:v>
      </x:c>
    </x:row>
    <x:row r="14" ht="18" customHeight="1">
      <x:c r="A14" s="46" t="str">
        <x:v>Medium benthopelagics (30 - 89 cm)</x:v>
      </x:c>
      <x:c r="B14" s="64" t="n">
        <x:v>3</x:v>
      </x:c>
      <x:c r="C14" s="64" t="n">
        <x:v>3</x:v>
      </x:c>
      <x:c r="D14" s="60" t="n">
        <x:v>302.50416617279996</x:v>
      </x:c>
      <x:c r="E14" s="60" t="n">
        <x:v>302.50416617279996</x:v>
      </x:c>
      <x:c r="F14" s="62" t="n">
        <x:v>0</x:v>
      </x:c>
      <x:c r="G14" s="66" t="n">
        <x:v>1</x:v>
      </x:c>
      <x:c r="H14" s="62" t="n">
        <x:f>IF(E14=0,"",I14/E14)</x:f>
        <x:v>10450.606370479787</x:v>
      </x:c>
      <x:c r="I14" s="60" t="n">
        <x:f>SUMIF('Species'!$G$2:$G$141,A14,'Species'!$U$2:$U$141)</x:f>
        <x:v>3161351.9661021396</x:v>
      </x:c>
      <x:c r="J14" s="62" t="n">
        <x:v>4.088860151215629</x:v>
      </x:c>
      <x:c r="K14" s="62" t="n">
        <x:f>IF(J14="","",(1/'Metadata'!$B$5)^(J14-1))</x:f>
        <x:v>10439.981020670308</x:v>
      </x:c>
      <x:c r="L14" s="60" t="n">
        <x:f>IF(E14=0,"",E14*K14)</x:f>
        <x:v>3158137.7535177283</x:v>
      </x:c>
      <x:c r="M14" s="60" t="n">
        <x:f>I14-L14</x:f>
        <x:v>3214.2125844112597</x:v>
      </x:c>
      <x:c r="N14" s="62" t="n">
        <x:f>IF(L14=0,"",I14/L14)</x:f>
        <x:v>1.0010177556633908</x:v>
      </x:c>
      <x:c r="O14" s="66" t="n">
        <x:f>IF(L14=0,"",M14/L14)</x:f>
        <x:v>0.001017755663390893</x:v>
      </x:c>
    </x:row>
    <x:row r="15" ht="18" customHeight="1">
      <x:c r="A15" s="46" t="str">
        <x:v>Medium demersals (30 - 89 cm)</x:v>
      </x:c>
      <x:c r="B15" s="64" t="n">
        <x:v>10</x:v>
      </x:c>
      <x:c r="C15" s="64" t="n">
        <x:v>10</x:v>
      </x:c>
      <x:c r="D15" s="60" t="n">
        <x:v>1070.1442989993002</x:v>
      </x:c>
      <x:c r="E15" s="60" t="n">
        <x:v>1070.1442989993002</x:v>
      </x:c>
      <x:c r="F15" s="62" t="n">
        <x:v>0</x:v>
      </x:c>
      <x:c r="G15" s="66" t="n">
        <x:v>1</x:v>
      </x:c>
      <x:c r="H15" s="62" t="n">
        <x:f>IF(E15=0,"",I15/E15)</x:f>
        <x:v>4201.443632239471</x:v>
      </x:c>
      <x:c r="I15" s="60" t="n">
        <x:f>SUMIF('Species'!$G$2:$G$141,A15,'Species'!$U$2:$U$141)</x:f>
        <x:v>4496150.950607982</x:v>
      </x:c>
      <x:c r="J15" s="62" t="n">
        <x:v>3.5003437143019585</x:v>
      </x:c>
      <x:c r="K15" s="62" t="n">
        <x:f>IF(J15="","",(1/'Metadata'!$B$5)^(J15-1))</x:f>
        <x:v>1790.6972710997736</x:v>
      </x:c>
      <x:c r="L15" s="60" t="n">
        <x:f>IF(E15=0,"",E15*K15)</x:f>
        <x:v>1916304.475901027</x:v>
      </x:c>
      <x:c r="M15" s="60" t="n">
        <x:f>I15-L15</x:f>
        <x:v>2579846.4747069553</x:v>
      </x:c>
      <x:c r="N15" s="62" t="n">
        <x:f>IF(L15=0,"",I15/L15)</x:f>
        <x:v>2.3462612581405873</x:v>
      </x:c>
      <x:c r="O15" s="66" t="n">
        <x:f>IF(L15=0,"",M15/L15)</x:f>
        <x:v>1.3462612581405873</x:v>
      </x:c>
    </x:row>
    <x:row r="16" ht="18" customHeight="1">
      <x:c r="A16" s="46" t="str">
        <x:v>Medium pelagics (30 - 89 cm)</x:v>
      </x:c>
      <x:c r="B16" s="64" t="n">
        <x:v>7</x:v>
      </x:c>
      <x:c r="C16" s="64" t="n">
        <x:v>7</x:v>
      </x:c>
      <x:c r="D16" s="60" t="n">
        <x:v>927.0196539653999</x:v>
      </x:c>
      <x:c r="E16" s="60" t="n">
        <x:v>927.0196539653999</x:v>
      </x:c>
      <x:c r="F16" s="62" t="n">
        <x:v>0</x:v>
      </x:c>
      <x:c r="G16" s="66" t="n">
        <x:v>1</x:v>
      </x:c>
      <x:c r="H16" s="62" t="n">
        <x:f>IF(E16=0,"",I16/E16)</x:f>
        <x:v>11031.411307661427</x:v>
      </x:c>
      <x:c r="I16" s="60" t="n">
        <x:f>SUMIF('Species'!$G$2:$G$141,A16,'Species'!$U$2:$U$141)</x:f>
        <x:v>10226335.093178296</x:v>
      </x:c>
      <x:c r="J16" s="62" t="n">
        <x:v>3.9983529545390866</x:v>
      </x:c>
      <x:c r="K16" s="62" t="n">
        <x:f>IF(J16="","",(1/'Metadata'!$B$5)^(J16-1))</x:f>
        <x:v>7960.624363744526</x:v>
      </x:c>
      <x:c r="L16" s="60" t="n">
        <x:f>IF(E16=0,"",E16*K16)</x:f>
        <x:v>7379655.243026982</x:v>
      </x:c>
      <x:c r="M16" s="60" t="n">
        <x:f>I16-L16</x:f>
        <x:v>2846679.8501513144</x:v>
      </x:c>
      <x:c r="N16" s="62" t="n">
        <x:f>IF(L16=0,"",I16/L16)</x:f>
        <x:v>1.3857469971705163</x:v>
      </x:c>
      <x:c r="O16" s="66" t="n">
        <x:f>IF(L16=0,"",M16/L16)</x:f>
        <x:v>0.3857469971705162</x:v>
      </x:c>
    </x:row>
    <x:row r="17" ht="18" customHeight="1">
      <x:c r="A17" s="46" t="str">
        <x:v>Medium reef assoc. fish (30 - 89 cm)</x:v>
      </x:c>
      <x:c r="B17" s="64" t="n">
        <x:v>44</x:v>
      </x:c>
      <x:c r="C17" s="64" t="n">
        <x:v>44</x:v>
      </x:c>
      <x:c r="D17" s="60" t="n">
        <x:v>856.8425045877001</x:v>
      </x:c>
      <x:c r="E17" s="60" t="n">
        <x:v>856.8425045877001</x:v>
      </x:c>
      <x:c r="F17" s="62" t="n">
        <x:v>0</x:v>
      </x:c>
      <x:c r="G17" s="66" t="n">
        <x:v>1</x:v>
      </x:c>
      <x:c r="H17" s="62" t="n">
        <x:f>IF(E17=0,"",I17/E17)</x:f>
        <x:v>3312.0126738151753</x:v>
      </x:c>
      <x:c r="I17" s="60" t="n">
        <x:f>SUMIF('Species'!$G$2:$G$141,A17,'Species'!$U$2:$U$141)</x:f>
        <x:v>2837873.234658</x:v>
      </x:c>
      <x:c r="J17" s="62" t="n">
        <x:v>3.3127508886372024</x:v>
      </x:c>
      <x:c r="K17" s="62" t="n">
        <x:f>IF(J17="","",(1/'Metadata'!$B$5)^(J17-1))</x:f>
        <x:v>1020.8414097864709</x:v>
      </x:c>
      <x:c r="L17" s="60" t="n">
        <x:f>IF(E17=0,"",E17*K17)</x:f>
        <x:v>874700.3103482784</x:v>
      </x:c>
      <x:c r="M17" s="60" t="n">
        <x:f>I17-L17</x:f>
        <x:v>1963172.9243097217</x:v>
      </x:c>
      <x:c r="N17" s="62" t="n">
        <x:f>IF(L17=0,"",I17/L17)</x:f>
        <x:v>3.2443949099869958</x:v>
      </x:c>
      <x:c r="O17" s="66" t="n">
        <x:f>IF(L17=0,"",M17/L17)</x:f>
        <x:v>2.2443949099869958</x:v>
      </x:c>
    </x:row>
    <x:row r="18" ht="18" customHeight="1">
      <x:c r="A18" s="46" t="str">
        <x:v>Other demersal invertebrates</x:v>
      </x:c>
      <x:c r="B18" s="64" t="n">
        <x:v>1</x:v>
      </x:c>
      <x:c r="C18" s="64" t="n">
        <x:v>1</x:v>
      </x:c>
      <x:c r="D18" s="60" t="n">
        <x:v>5.263133777899999</x:v>
      </x:c>
      <x:c r="E18" s="60" t="n">
        <x:v>5.263133777899999</x:v>
      </x:c>
      <x:c r="F18" s="62" t="n">
        <x:v>0</x:v>
      </x:c>
      <x:c r="G18" s="66" t="n">
        <x:v>1</x:v>
      </x:c>
      <x:c r="H18" s="62" t="n">
        <x:f>IF(E18=0,"",I18/E18)</x:f>
        <x:v>478.76433543849475</x:v>
      </x:c>
      <x:c r="I18" s="60" t="n">
        <x:f>SUMIF('Species'!$G$2:$G$141,A18,'Species'!$U$2:$U$141)</x:f>
        <x:v>2519.8007455001875</x:v>
      </x:c>
      <x:c r="J18" s="62" t="n">
        <x:v>3.06</x:v>
      </x:c>
      <x:c r="K18" s="62" t="n">
        <x:f>IF(J18="","",(1/'Metadata'!$B$5)^(J18-1))</x:f>
        <x:v>478.7643354384948</x:v>
      </x:c>
      <x:c r="L18" s="60" t="n">
        <x:f>IF(E18=0,"",E18*K18)</x:f>
        <x:v>2519.8007455001875</x:v>
      </x:c>
      <x:c r="M18" s="60" t="n">
        <x:f>I18-L18</x:f>
        <x:v>0</x:v>
      </x:c>
      <x:c r="N18" s="62" t="n">
        <x:f>IF(L18=0,"",I18/L18)</x:f>
        <x:v>1</x:v>
      </x:c>
      <x:c r="O18" s="66" t="n">
        <x:f>IF(L18=0,"",M18/L18)</x:f>
        <x:v>0</x:v>
      </x:c>
    </x:row>
    <x:row r="19" ht="18" customHeight="1">
      <x:c r="A19" s="46" t="str">
        <x:v>Shrimps</x:v>
      </x:c>
      <x:c r="B19" s="64" t="n">
        <x:v>1</x:v>
      </x:c>
      <x:c r="C19" s="64" t="n">
        <x:v>1</x:v>
      </x:c>
      <x:c r="D19" s="60" t="n">
        <x:v>1.0031491007</x:v>
      </x:c>
      <x:c r="E19" s="60" t="n">
        <x:v>1.0031491007</x:v>
      </x:c>
      <x:c r="F19" s="62" t="n">
        <x:v>0</x:v>
      </x:c>
      <x:c r="G19" s="66" t="n">
        <x:v>1</x:v>
      </x:c>
      <x:c r="H19" s="62" t="n">
        <x:f>IF(E19=0,"",I19/E19)</x:f>
        <x:v>89.44271909999159</x:v>
      </x:c>
      <x:c r="I19" s="60" t="n">
        <x:f>SUMIF('Species'!$G$2:$G$141,A19,'Species'!$U$2:$U$141)</x:f>
        <x:v>89.72438322931927</x:v>
      </x:c>
      <x:c r="J19" s="62" t="n">
        <x:v>2.5</x:v>
      </x:c>
      <x:c r="K19" s="62" t="n">
        <x:f>IF(J19="","",(1/'Metadata'!$B$5)^(J19-1))</x:f>
        <x:v>89.44271909999159</x:v>
      </x:c>
      <x:c r="L19" s="60" t="n">
        <x:f>IF(E19=0,"",E19*K19)</x:f>
        <x:v>89.72438322931927</x:v>
      </x:c>
      <x:c r="M19" s="60" t="n">
        <x:f>I19-L19</x:f>
        <x:v>0</x:v>
      </x:c>
      <x:c r="N19" s="62" t="n">
        <x:f>IF(L19=0,"",I19/L19)</x:f>
        <x:v>1</x:v>
      </x:c>
      <x:c r="O19" s="66" t="n">
        <x:f>IF(L19=0,"",M19/L19)</x:f>
        <x:v>0</x:v>
      </x:c>
    </x:row>
    <x:row r="20" ht="18" customHeight="1">
      <x:c r="A20" s="46" t="str">
        <x:v>Small pelagics (&lt;30 cm)</x:v>
      </x:c>
      <x:c r="B20" s="64" t="n">
        <x:v>2</x:v>
      </x:c>
      <x:c r="C20" s="64" t="n">
        <x:v>2</x:v>
      </x:c>
      <x:c r="D20" s="60" t="n">
        <x:v>40.2545498904</x:v>
      </x:c>
      <x:c r="E20" s="60" t="n">
        <x:v>40.2545498904</x:v>
      </x:c>
      <x:c r="F20" s="62" t="n">
        <x:v>0</x:v>
      </x:c>
      <x:c r="G20" s="66" t="n">
        <x:v>1</x:v>
      </x:c>
      <x:c r="H20" s="62" t="n">
        <x:f>IF(E20=0,"",I20/E20)</x:f>
        <x:v>2194.572135772201</x:v>
      </x:c>
      <x:c r="I20" s="60" t="n">
        <x:f>SUMIF('Species'!$G$2:$G$141,A20,'Species'!$U$2:$U$141)</x:f>
        <x:v>88341.51352752374</x:v>
      </x:c>
      <x:c r="J20" s="62" t="n">
        <x:v>3.566941446660185</x:v>
      </x:c>
      <x:c r="K20" s="62" t="n">
        <x:f>IF(J20="","",(1/'Metadata'!$B$5)^(J20-1))</x:f>
        <x:v>2186.088900627776</x:v>
      </x:c>
      <x:c r="L20" s="60" t="n">
        <x:f>IF(E20=0,"",E20*K20)</x:f>
        <x:v>88000.0247151705</x:v>
      </x:c>
      <x:c r="M20" s="60" t="n">
        <x:f>I20-L20</x:f>
        <x:v>341.4888123532437</x:v>
      </x:c>
      <x:c r="N20" s="62" t="n">
        <x:f>IF(L20=0,"",I20/L20)</x:f>
        <x:v>1.0038805535959625</x:v>
      </x:c>
      <x:c r="O20" s="66" t="n">
        <x:f>IF(L20=0,"",M20/L20)</x:f>
        <x:v>0.0038805535959624995</x:v>
      </x:c>
    </x:row>
    <x:row r="21" ht="18" customHeight="1">
      <x:c r="A21" s="46" t="str">
        <x:v>Small reef assoc. fish (&lt;30 cm)</x:v>
      </x:c>
      <x:c r="B21" s="64" t="n">
        <x:v>20</x:v>
      </x:c>
      <x:c r="C21" s="64" t="n">
        <x:v>20</x:v>
      </x:c>
      <x:c r="D21" s="60" t="n">
        <x:v>167.44098206660001</x:v>
      </x:c>
      <x:c r="E21" s="60" t="n">
        <x:v>167.44098206660001</x:v>
      </x:c>
      <x:c r="F21" s="62" t="n">
        <x:v>0</x:v>
      </x:c>
      <x:c r="G21" s="66" t="n">
        <x:v>1</x:v>
      </x:c>
      <x:c r="H21" s="62" t="n">
        <x:f>IF(E21=0,"",I21/E21)</x:f>
        <x:v>833.5258641133404</x:v>
      </x:c>
      <x:c r="I21" s="60" t="n">
        <x:f>SUMIF('Species'!$G$2:$G$141,A21,'Species'!$U$2:$U$141)</x:f>
        <x:v>139566.3892650491</x:v>
      </x:c>
      <x:c r="J21" s="62" t="n">
        <x:v>3.0240768363452584</x:v>
      </x:c>
      <x:c r="K21" s="62" t="n">
        <x:f>IF(J21="","",(1/'Metadata'!$B$5)^(J21-1))</x:f>
        <x:v>429.9170584653378</x:v>
      </x:c>
      <x:c r="L21" s="60" t="n">
        <x:f>IF(E21=0,"",E21*K21)</x:f>
        <x:v>71985.73447662005</x:v>
      </x:c>
      <x:c r="M21" s="60" t="n">
        <x:f>I21-L21</x:f>
        <x:v>67580.65478842905</x:v>
      </x:c>
      <x:c r="N21" s="62" t="n">
        <x:f>IF(L21=0,"",I21/L21)</x:f>
        <x:v>1.9388062132001762</x:v>
      </x:c>
      <x:c r="O21" s="66" t="n">
        <x:f>IF(L21=0,"",M21/L21)</x:f>
        <x:v>0.9388062132001763</x:v>
      </x:c>
    </x:row>
    <x:row r="22" ht="18" customHeight="1">
      <x:c r="A22" s="46" t="str">
        <x:v>Small to medium flatfishes (&lt;90 cm)</x:v>
      </x:c>
      <x:c r="B22" s="64" t="n">
        <x:v>2</x:v>
      </x:c>
      <x:c r="C22" s="64" t="n">
        <x:v>2</x:v>
      </x:c>
      <x:c r="D22" s="60" t="n">
        <x:v>0.5670226334</x:v>
      </x:c>
      <x:c r="E22" s="60" t="n">
        <x:v>0.5670226334</x:v>
      </x:c>
      <x:c r="F22" s="62" t="n">
        <x:v>0</x:v>
      </x:c>
      <x:c r="G22" s="66" t="n">
        <x:v>1</x:v>
      </x:c>
      <x:c r="H22" s="62" t="n">
        <x:f>IF(E22=0,"",I22/E22)</x:f>
        <x:v>24474.878107700533</x:v>
      </x:c>
      <x:c r="I22" s="60" t="n">
        <x:f>SUMIF('Species'!$G$2:$G$141,A22,'Species'!$U$2:$U$141)</x:f>
        <x:v>13877.809836772365</x:v>
      </x:c>
      <x:c r="J22" s="62" t="n">
        <x:v>4.3654832453130785</x:v>
      </x:c>
      <x:c r="K22" s="62" t="n">
        <x:f>IF(J22="","",(1/'Metadata'!$B$5)^(J22-1))</x:f>
        <x:v>23910.830017472843</x:v>
      </x:c>
      <x:c r="L22" s="60" t="n">
        <x:f>IF(E22=0,"",E22*K22)</x:f>
        <x:v>13557.98180328722</x:v>
      </x:c>
      <x:c r="M22" s="60" t="n">
        <x:f>I22-L22</x:f>
        <x:v>319.82803348514426</x:v>
      </x:c>
      <x:c r="N22" s="62" t="n">
        <x:f>IF(L22=0,"",I22/L22)</x:f>
        <x:v>1.023589649117806</x:v>
      </x:c>
      <x:c r="O22" s="66" t="n">
        <x:f>IF(L22=0,"",M22/L22)</x:f>
        <x:v>0.023589649117806005</x:v>
      </x:c>
    </x:row>
  </x:sheetData>
  <x:conditionalFormatting sqref="G2:G22">
    <x:cfRule type="cellIs" dxfId="2" priority="1" operator="lessThan">
      <x:formula>0.9</x:formula>
    </x:cfRule>
  </x:conditionalFormatting>
  <x:conditionalFormatting sqref="O2:O2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95a69dea39dc42b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LME_010</x:v>
      </x:c>
      <x:c r="B2" s="46" t="str">
        <x:v>raw_filtered_tonnes</x:v>
      </x:c>
      <x:c r="C2" s="46" t="n">
        <x:v>21171.953396398498</x:v>
      </x:c>
      <x:c r="D2" s="46" t="str">
        <x:v>tonnes</x:v>
      </x:c>
    </x:row>
    <x:row r="3" ht="18" customHeight="1">
      <x:c r="A3" s="46" t="str">
        <x:v>LME_010</x:v>
      </x:c>
      <x:c r="B3" s="46" t="str">
        <x:v>species_catch_tonnes</x:v>
      </x:c>
      <x:c r="C3" s="46" t="n">
        <x:v>21171.9533963985</x:v>
      </x:c>
      <x:c r="D3" s="46" t="str">
        <x:v>tonnes</x:v>
      </x:c>
    </x:row>
    <x:row r="4" ht="18" customHeight="1">
      <x:c r="A4" s="46" t="str">
        <x:v>LME_010</x:v>
      </x:c>
      <x:c r="B4" s="46" t="str">
        <x:v>catch_difference_tonnes</x:v>
      </x:c>
      <x:c r="C4" s="46" t="n">
        <x:v>3.637978807091713e-12</x:v>
      </x:c>
      <x:c r="D4" s="46" t="str">
        <x:v>tonnes</x:v>
      </x:c>
    </x:row>
    <x:row r="5" ht="18" customHeight="1">
      <x:c r="A5" s="46" t="str">
        <x:v>LME_010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LME_010</x:v>
      </x:c>
      <x:c r="B6" s="46" t="str">
        <x:v>matched_catch_tonnes</x:v>
      </x:c>
      <x:c r="C6" s="46" t="n">
        <x:v>21171.9533963985</x:v>
      </x:c>
      <x:c r="D6" s="46" t="str">
        <x:v>tonnes</x:v>
      </x:c>
    </x:row>
    <x:row r="7" ht="18" customHeight="1">
      <x:c r="A7" s="46" t="str">
        <x:v>LME_010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LME_010</x:v>
      </x:c>
      <x:c r="B8" s="46" t="str">
        <x:v>taxa_count</x:v>
      </x:c>
      <x:c r="C8" s="46" t="n">
        <x:v>140</x:v>
      </x:c>
      <x:c r="D8" s="46" t="str">
        <x:v>count</x:v>
      </x:c>
    </x:row>
    <x:row r="9" ht="18" customHeight="1">
      <x:c r="A9" s="46" t="str">
        <x:v>LME_010</x:v>
      </x:c>
      <x:c r="B9" s="46" t="str">
        <x:v>matched_taxa_count</x:v>
      </x:c>
      <x:c r="C9" s="46" t="n">
        <x:v>140</x:v>
      </x:c>
      <x:c r="D9" s="46" t="str">
        <x:v>count</x:v>
      </x:c>
    </x:row>
    <x:row r="10" ht="18" customHeight="1">
      <x:c r="A10" s="46" t="str">
        <x:v>LME_010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LME_010</x:v>
      </x:c>
      <x:c r="B11" s="46" t="str">
        <x:v>species_ppr</x:v>
      </x:c>
      <x:c r="C11" s="46" t="n">
        <x:v>465205319.0830524</x:v>
      </x:c>
      <x:c r="D11" s="46" t="str">
        <x:v>tonnes_primary_production_equivalent</x:v>
      </x:c>
    </x:row>
    <x:row r="12" ht="18" customHeight="1">
      <x:c r="A12" s="46" t="str">
        <x:v>LME_010</x:v>
      </x:c>
      <x:c r="B12" s="46" t="str">
        <x:v>commercial_ppr</x:v>
      </x:c>
      <x:c r="C12" s="46" t="n">
        <x:v>465205319.0830523</x:v>
      </x:c>
      <x:c r="D12" s="46" t="str">
        <x:v>tonnes_primary_production_equivalent</x:v>
      </x:c>
    </x:row>
    <x:row r="13" ht="18" customHeight="1">
      <x:c r="A13" s="46" t="str">
        <x:v>LME_010</x:v>
      </x:c>
      <x:c r="B13" s="46" t="str">
        <x:v>functional_ppr</x:v>
      </x:c>
      <x:c r="C13" s="46" t="n">
        <x:v>465205319.08305234</x:v>
      </x:c>
      <x:c r="D13" s="46" t="str">
        <x:v>tonnes_primary_production_equivalent</x:v>
      </x:c>
    </x:row>
    <x:row r="14" ht="18" customHeight="1">
      <x:c r="A14" s="46" t="str">
        <x:v>LME_010</x:v>
      </x:c>
      <x:c r="B14" s="46" t="str">
        <x:v>commercial_ppr_difference</x:v>
      </x:c>
      <x:c r="C14" s="46" t="n">
        <x:v>-1.1920928955078125e-7</x:v>
      </x:c>
      <x:c r="D14" s="46" t="str">
        <x:v>tonnes_primary_production_equivalent</x:v>
      </x:c>
    </x:row>
    <x:row r="15" ht="18" customHeight="1">
      <x:c r="A15" s="46" t="str">
        <x:v>LME_010</x:v>
      </x:c>
      <x:c r="B15" s="46" t="str">
        <x:v>functional_ppr_difference</x:v>
      </x:c>
      <x:c r="C15" s="46" t="n">
        <x:v>-5.960464477539063e-8</x:v>
      </x:c>
      <x:c r="D15" s="46" t="str">
        <x:v>tonnes_primary_production_equivalent</x:v>
      </x:c>
    </x:row>
    <x:row r="16" ht="18" customHeight="1">
      <x:c r="A16" s="46" t="str">
        <x:v>LME_010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LME_010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LME_010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LME_010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550994eb5c91432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LME_010 - Insular Pacific-Hawaiian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LME_010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raw_data/SAU_downloads/LME_010-catch.zip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