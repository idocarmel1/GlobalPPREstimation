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054413e5d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f892cfd42b8459d"/>
    <x:sheet xmlns:r="http://schemas.openxmlformats.org/officeDocument/2006/relationships" name="Commercial" sheetId="2" r:id="Rd3edf7ca1f0448b5"/>
    <x:sheet xmlns:r="http://schemas.openxmlformats.org/officeDocument/2006/relationships" name="Functional" sheetId="3" r:id="R637c1cce83bc44cb"/>
    <x:sheet xmlns:r="http://schemas.openxmlformats.org/officeDocument/2006/relationships" name="Missing TL" sheetId="4" r:id="Rc308d2d5807a4e4d"/>
    <x:sheet xmlns:r="http://schemas.openxmlformats.org/officeDocument/2006/relationships" name="Validation" sheetId="5" r:id="R0a984c63d4fc494b"/>
    <x:sheet xmlns:r="http://schemas.openxmlformats.org/officeDocument/2006/relationships" name="Metadata" sheetId="6" r:id="Raa3b2f9049d7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2b1e6e6b947ad" /><Relationship Type="http://schemas.openxmlformats.org/officeDocument/2006/relationships/theme" Target="/xl/theme/theme1.xml" Id="R9e151716b01c440d" /><Relationship Type="http://schemas.openxmlformats.org/officeDocument/2006/relationships/sharedStrings" Target="/xl/sharedStrings.xml" Id="Rf2a4b87fe29c4a24" /><Relationship Type="http://schemas.openxmlformats.org/officeDocument/2006/relationships/worksheet" Target="/xl/worksheets/sheet1.xml" Id="R5f892cfd42b8459d" /><Relationship Type="http://schemas.openxmlformats.org/officeDocument/2006/relationships/worksheet" Target="/xl/worksheets/sheet2.xml" Id="Rd3edf7ca1f0448b5" /><Relationship Type="http://schemas.openxmlformats.org/officeDocument/2006/relationships/worksheet" Target="/xl/worksheets/sheet3.xml" Id="R637c1cce83bc44cb" /><Relationship Type="http://schemas.openxmlformats.org/officeDocument/2006/relationships/worksheet" Target="/xl/worksheets/sheet4.xml" Id="Rc308d2d5807a4e4d" /><Relationship Type="http://schemas.openxmlformats.org/officeDocument/2006/relationships/worksheet" Target="/xl/worksheets/sheet5.xml" Id="R0a984c63d4fc494b" /><Relationship Type="http://schemas.openxmlformats.org/officeDocument/2006/relationships/worksheet" Target="/xl/worksheets/sheet6.xml" Id="Raa3b2f9049d74321" /></Relationships>
</file>

<file path=xl/tables/table1.xml><?xml version="1.0" encoding="utf-8"?>
<x:table xmlns:x="http://schemas.openxmlformats.org/spreadsheetml/2006/main" id="1" name="HS088SpeciesTable" displayName="HS088SpeciesTable" ref="A1:U33" headerRowCount="1" totalsRowCount="0" totalsRowShown="0">
  <x:autoFilter ref="A1:U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88CommercialTable" displayName="HS088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88FunctionalTable" displayName="HS088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88ValidationTable" displayName="HS08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94e844f6f343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bb95a8f24648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7b9e40524047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38b46dc64c48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HS_088</x:v>
      </x:c>
      <x:c r="B2" s="46" t="str">
        <x:v>Pacific, Antarctic</x:v>
      </x:c>
      <x:c r="C2" s="46" t="str">
        <x:v>High Seas</x:v>
      </x:c>
      <x:c r="D2" s="58" t="n">
        <x:v>2019</x:v>
      </x:c>
      <x:c r="E2" s="46" t="str">
        <x:v>Dissostichus mawsoni</x:v>
      </x:c>
      <x:c r="F2" s="46" t="str">
        <x:v>Antarctic toothfish</x:v>
      </x:c>
      <x:c r="G2" s="46" t="str">
        <x:v>Large benthopelagics (&gt;=90 cm)</x:v>
      </x:c>
      <x:c r="H2" s="46" t="str">
        <x:v>Perch-likes</x:v>
      </x:c>
      <x:c r="I2" s="60" t="n">
        <x:v>3332.822494</x:v>
      </x:c>
      <x:c r="J2" s="60" t="n">
        <x:v>3332.822494</x:v>
      </x:c>
      <x:c r="K2" s="60" t="n">
        <x:v>0</x:v>
      </x:c>
      <x:c r="L2" s="60" t="n">
        <x:v>3332.822494</x:v>
      </x:c>
      <x:c r="M2" s="60" t="n">
        <x:v>0</x:v>
      </x:c>
      <x:c r="N2" s="46" t="str">
        <x:v>dissostichus mawsoni</x:v>
      </x:c>
      <x:c r="O2" s="62" t="n">
        <x:v>4.21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Dissostichus mawsoni</x:v>
      </x:c>
      <x:c r="T2" s="62" t="n">
        <x:f>IF(O2="","",(1/'Metadata'!$B$5)^(O2-1))</x:f>
        <x:v>15007.428609226863</x:v>
      </x:c>
      <x:c r="U2" s="60" t="n">
        <x:f>IF(T2="","",I2*T2)</x:f>
        <x:v>50017095.645930424</x:v>
      </x:c>
    </x:row>
    <x:row r="3" ht="18" customHeight="1">
      <x:c r="A3" s="46" t="str">
        <x:v>HS_088</x:v>
      </x:c>
      <x:c r="B3" s="46" t="str">
        <x:v>Pacific, Antarctic</x:v>
      </x:c>
      <x:c r="C3" s="46" t="str">
        <x:v>High Seas</x:v>
      </x:c>
      <x:c r="D3" s="58" t="n">
        <x:v>2019</x:v>
      </x:c>
      <x:c r="E3" s="46" t="str">
        <x:v>Macrourus</x:v>
      </x:c>
      <x:c r="F3" s="46" t="str">
        <x:v>Rattails</x:v>
      </x:c>
      <x:c r="G3" s="46" t="str">
        <x:v>Medium benthopelagics (30 - 89 cm)</x:v>
      </x:c>
      <x:c r="H3" s="46" t="str">
        <x:v>Cod-likes</x:v>
      </x:c>
      <x:c r="I3" s="60" t="n">
        <x:v>115.382472</x:v>
      </x:c>
      <x:c r="J3" s="60" t="n">
        <x:v>115.382472</x:v>
      </x:c>
      <x:c r="K3" s="60" t="n">
        <x:v>0</x:v>
      </x:c>
      <x:c r="L3" s="60" t="n">
        <x:v>115.382472</x:v>
      </x:c>
      <x:c r="M3" s="60" t="n">
        <x:v>0</x:v>
      </x:c>
      <x:c r="N3" s="46" t="str">
        <x:v>macrourus</x:v>
      </x:c>
      <x:c r="O3" s="62" t="n">
        <x:v>3.58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Macrourus</x:v>
      </x:c>
      <x:c r="T3" s="62" t="n">
        <x:f>IF(O3="","",(1/'Metadata'!$B$5)^(O3-1))</x:f>
        <x:v>2273.3033337150473</x:v>
      </x:c>
      <x:c r="U3" s="60" t="n">
        <x:f>IF(T3="","",I3*T3)</x:f>
        <x:v>262299.3582498831</x:v>
      </x:c>
    </x:row>
    <x:row r="4" ht="18" customHeight="1">
      <x:c r="A4" s="46" t="str">
        <x:v>HS_088</x:v>
      </x:c>
      <x:c r="B4" s="46" t="str">
        <x:v>Pacific, Antarctic</x:v>
      </x:c>
      <x:c r="C4" s="46" t="str">
        <x:v>High Seas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84.39631800000001</x:v>
      </x:c>
      <x:c r="J4" s="60" t="n">
        <x:v>84.39631800000001</x:v>
      </x:c>
      <x:c r="K4" s="60" t="n">
        <x:v>0</x:v>
      </x:c>
      <x:c r="L4" s="60" t="n">
        <x:v>84.39631800000001</x:v>
      </x:c>
      <x:c r="M4" s="60" t="n">
        <x:v>0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925.4402624666747</x:v>
      </x:c>
      <x:c r="U4" s="60" t="n">
        <x:f>IF(T4="","",I4*T4)</x:f>
        <x:v>78103.75068114094</x:v>
      </x:c>
    </x:row>
    <x:row r="5" ht="18" customHeight="1">
      <x:c r="A5" s="46" t="str">
        <x:v>HS_088</x:v>
      </x:c>
      <x:c r="B5" s="46" t="str">
        <x:v>Pacific, Antarctic</x:v>
      </x:c>
      <x:c r="C5" s="46" t="str">
        <x:v>High Seas</x:v>
      </x:c>
      <x:c r="D5" s="58" t="n">
        <x:v>2019</x:v>
      </x:c>
      <x:c r="E5" s="46" t="str">
        <x:v>Channichthyidae</x:v>
      </x:c>
      <x:c r="F5" s="46" t="str">
        <x:v>Crocodile icefishes</x:v>
      </x:c>
      <x:c r="G5" s="46" t="str">
        <x:v>Medium demersals (30 - 89 cm)</x:v>
      </x:c>
      <x:c r="H5" s="46" t="str">
        <x:v>Perch-likes</x:v>
      </x:c>
      <x:c r="I5" s="60" t="n">
        <x:v>16.093123000000002</x:v>
      </x:c>
      <x:c r="J5" s="60" t="n">
        <x:v>16.093123000000002</x:v>
      </x:c>
      <x:c r="K5" s="60" t="n">
        <x:v>0</x:v>
      </x:c>
      <x:c r="L5" s="60" t="n">
        <x:v>16.093123000000002</x:v>
      </x:c>
      <x:c r="M5" s="60" t="n">
        <x:v>0</x:v>
      </x:c>
      <x:c r="N5" s="46" t="str">
        <x:v>channichthyidae</x:v>
      </x:c>
      <x:c r="O5" s="62" t="n">
        <x:v>3.34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Channichthyidae</x:v>
      </x:c>
      <x:c r="T5" s="62" t="n">
        <x:f>IF(O5="","",(1/'Metadata'!$B$5)^(O5-1))</x:f>
        <x:v>1107.6694806197092</x:v>
      </x:c>
      <x:c r="U5" s="60" t="n">
        <x:f>IF(T5="","",I5*T5)</x:f>
        <x:v>17825.8611949591</x:v>
      </x:c>
    </x:row>
    <x:row r="6" ht="18" customHeight="1">
      <x:c r="A6" s="46" t="str">
        <x:v>HS_088</x:v>
      </x:c>
      <x:c r="B6" s="46" t="str">
        <x:v>Pacific, Antarctic</x:v>
      </x:c>
      <x:c r="C6" s="46" t="str">
        <x:v>High Seas</x:v>
      </x:c>
      <x:c r="D6" s="58" t="n">
        <x:v>2019</x:v>
      </x:c>
      <x:c r="E6" s="46" t="str">
        <x:v>Muraenolepis</x:v>
      </x:c>
      <x:c r="F6" s="46" t="str">
        <x:v>Moray cods</x:v>
      </x:c>
      <x:c r="G6" s="46" t="str">
        <x:v>Medium benthopelagics (30 - 89 cm)</x:v>
      </x:c>
      <x:c r="H6" s="46" t="str">
        <x:v>Cod-likes</x:v>
      </x:c>
      <x:c r="I6" s="60" t="n">
        <x:v>7.600755</x:v>
      </x:c>
      <x:c r="J6" s="60" t="n">
        <x:v>7.600755</x:v>
      </x:c>
      <x:c r="K6" s="60" t="n">
        <x:v>0</x:v>
      </x:c>
      <x:c r="L6" s="60" t="n">
        <x:v>7.600755</x:v>
      </x:c>
      <x:c r="M6" s="60" t="n">
        <x:v>0</x:v>
      </x:c>
      <x:c r="N6" s="46" t="str">
        <x:v>muraenolepis</x:v>
      </x:c>
      <x:c r="O6" s="62" t="n">
        <x:v>3.4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Muraenolepis</x:v>
      </x:c>
      <x:c r="T6" s="62" t="n">
        <x:f>IF(O6="","",(1/'Metadata'!$B$5)^(O6-1))</x:f>
        <x:v>1325.7816069359944</x:v>
      </x:c>
      <x:c r="U6" s="60" t="n">
        <x:f>IF(T6="","",I6*T6)</x:f>
        <x:v>10076.941177826795</x:v>
      </x:c>
    </x:row>
    <x:row r="7" ht="18" customHeight="1">
      <x:c r="A7" s="46" t="str">
        <x:v>HS_088</x:v>
      </x:c>
      <x:c r="B7" s="46" t="str">
        <x:v>Pacific, Antarctic</x:v>
      </x:c>
      <x:c r="C7" s="46" t="str">
        <x:v>High Seas</x:v>
      </x:c>
      <x:c r="D7" s="58" t="n">
        <x:v>2019</x:v>
      </x:c>
      <x:c r="E7" s="46" t="str">
        <x:v>Rajiformes</x:v>
      </x:c>
      <x:c r="F7" s="46" t="str">
        <x:v>Skates and rays</x:v>
      </x:c>
      <x:c r="G7" s="46" t="str">
        <x:v>Large rays (&gt;=90 cm)</x:v>
      </x:c>
      <x:c r="H7" s="46" t="str">
        <x:v>Sharks &amp; rays</x:v>
      </x:c>
      <x:c r="I7" s="60" t="n">
        <x:v>1.59718</x:v>
      </x:c>
      <x:c r="J7" s="60" t="n">
        <x:v>1.59718</x:v>
      </x:c>
      <x:c r="K7" s="60" t="n">
        <x:v>0</x:v>
      </x:c>
      <x:c r="L7" s="60" t="n">
        <x:v>1.59718</x:v>
      </x:c>
      <x:c r="M7" s="60" t="n">
        <x:v>0</x:v>
      </x:c>
      <x:c r="N7" s="46" t="str">
        <x:v>rajiformes</x:v>
      </x:c>
      <x:c r="O7" s="62" t="n">
        <x:v>3.61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Rajiformes</x:v>
      </x:c>
      <x:c r="T7" s="62" t="n">
        <x:f>IF(O7="","",(1/'Metadata'!$B$5)^(O7-1))</x:f>
        <x:v>2487.0716021897506</x:v>
      </x:c>
      <x:c r="U7" s="60" t="n">
        <x:f>IF(T7="","",I7*T7)</x:f>
        <x:v>3972.301021585426</x:v>
      </x:c>
    </x:row>
    <x:row r="8" ht="18" customHeight="1">
      <x:c r="A8" s="46" t="str">
        <x:v>HS_088</x:v>
      </x:c>
      <x:c r="B8" s="46" t="str">
        <x:v>Pacific, Antarctic</x:v>
      </x:c>
      <x:c r="C8" s="46" t="str">
        <x:v>High Seas</x:v>
      </x:c>
      <x:c r="D8" s="58" t="n">
        <x:v>2019</x:v>
      </x:c>
      <x:c r="E8" s="46" t="str">
        <x:v>Muraenolepis microps</x:v>
      </x:c>
      <x:c r="F8" s="46" t="str">
        <x:v>Smalleye moray cod</x:v>
      </x:c>
      <x:c r="G8" s="46" t="str">
        <x:v>Medium pelagics (30 - 89 cm)</x:v>
      </x:c>
      <x:c r="H8" s="46" t="str">
        <x:v>Cod-likes</x:v>
      </x:c>
      <x:c r="I8" s="60" t="n">
        <x:v>0.39734</x:v>
      </x:c>
      <x:c r="J8" s="60" t="n">
        <x:v>0.39734</x:v>
      </x:c>
      <x:c r="K8" s="60" t="n">
        <x:v>0</x:v>
      </x:c>
      <x:c r="L8" s="60" t="n">
        <x:v>0.39734</x:v>
      </x:c>
      <x:c r="M8" s="60" t="n">
        <x:v>0</x:v>
      </x:c>
      <x:c r="N8" s="46" t="str">
        <x:v>muraenolepis microps</x:v>
      </x:c>
      <x:c r="O8" s="62" t="n">
        <x:v>3.4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Muraenolepis microps</x:v>
      </x:c>
      <x:c r="T8" s="62" t="n">
        <x:f>IF(O8="","",(1/'Metadata'!$B$5)^(O8-1))</x:f>
        <x:v>1325.7816069359944</x:v>
      </x:c>
      <x:c r="U8" s="60" t="n">
        <x:f>IF(T8="","",I8*T8)</x:f>
        <x:v>526.786063699948</x:v>
      </x:c>
    </x:row>
    <x:row r="9" ht="18" customHeight="1">
      <x:c r="A9" s="46" t="str">
        <x:v>HS_088</x:v>
      </x:c>
      <x:c r="B9" s="46" t="str">
        <x:v>Pacific, Antarctic</x:v>
      </x:c>
      <x:c r="C9" s="46" t="str">
        <x:v>High Seas</x:v>
      </x:c>
      <x:c r="D9" s="58" t="n">
        <x:v>2019</x:v>
      </x:c>
      <x:c r="E9" s="46" t="str">
        <x:v>Bathyraja</x:v>
      </x:c>
      <x:c r="F9" s="46" t="str">
        <x:v>Deepwater stingrays/skates</x:v>
      </x:c>
      <x:c r="G9" s="46" t="str">
        <x:v>Small to medium rays (&lt;90 cm)</x:v>
      </x:c>
      <x:c r="H9" s="46" t="str">
        <x:v>Sharks &amp; rays</x:v>
      </x:c>
      <x:c r="I9" s="60" t="n">
        <x:v>0.26867699999999994</x:v>
      </x:c>
      <x:c r="J9" s="60" t="n">
        <x:v>0.26867699999999994</x:v>
      </x:c>
      <x:c r="K9" s="60" t="n">
        <x:v>0</x:v>
      </x:c>
      <x:c r="L9" s="60" t="n">
        <x:v>0.26867699999999994</x:v>
      </x:c>
      <x:c r="M9" s="60" t="n">
        <x:v>0</x:v>
      </x:c>
      <x:c r="N9" s="46" t="str">
        <x:v>bathyraja</x:v>
      </x:c>
      <x:c r="O9" s="62" t="n">
        <x:v>3.64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Bathyraja</x:v>
      </x:c>
      <x:c r="T9" s="62" t="n">
        <x:f>IF(O9="","",(1/'Metadata'!$B$5)^(O9-1))</x:f>
        <x:v>2720.9413995404984</x:v>
      </x:c>
      <x:c r="U9" s="60" t="n">
        <x:f>IF(T9="","",I9*T9)</x:f>
        <x:v>731.0543724043423</x:v>
      </x:c>
    </x:row>
    <x:row r="10" ht="18" customHeight="1">
      <x:c r="A10" s="46" t="str">
        <x:v>HS_088</x:v>
      </x:c>
      <x:c r="B10" s="46" t="str">
        <x:v>Pacific, Antarctic</x:v>
      </x:c>
      <x:c r="C10" s="46" t="str">
        <x:v>High Seas</x:v>
      </x:c>
      <x:c r="D10" s="58" t="n">
        <x:v>2019</x:v>
      </x:c>
      <x:c r="E10" s="46" t="str">
        <x:v>Nototheniidae</x:v>
      </x:c>
      <x:c r="F10" s="46" t="str">
        <x:v>Cod icefishes</x:v>
      </x:c>
      <x:c r="G10" s="46" t="str">
        <x:v>Large bathydemersals (&gt;=90 cm)</x:v>
      </x:c>
      <x:c r="H10" s="46" t="str">
        <x:v>Perch-likes</x:v>
      </x:c>
      <x:c r="I10" s="60" t="n">
        <x:v>0.263086</x:v>
      </x:c>
      <x:c r="J10" s="60" t="n">
        <x:v>0.263086</x:v>
      </x:c>
      <x:c r="K10" s="60" t="n">
        <x:v>0</x:v>
      </x:c>
      <x:c r="L10" s="60" t="n">
        <x:v>0.263086</x:v>
      </x:c>
      <x:c r="M10" s="60" t="n">
        <x:v>0</x:v>
      </x:c>
      <x:c r="N10" s="46" t="str">
        <x:v>nototheniidae</x:v>
      </x:c>
      <x:c r="O10" s="62" t="n">
        <x:v>3.43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Nototheniidae</x:v>
      </x:c>
      <x:c r="T10" s="62" t="n">
        <x:f>IF(O10="","",(1/'Metadata'!$B$5)^(O10-1))</x:f>
        <x:v>1450.450424461182</x:v>
      </x:c>
      <x:c r="U10" s="60" t="n">
        <x:f>IF(T10="","",I10*T10)</x:f>
        <x:v>381.5932003697945</x:v>
      </x:c>
    </x:row>
    <x:row r="11" ht="18" customHeight="1">
      <x:c r="A11" s="46" t="str">
        <x:v>HS_088</x:v>
      </x:c>
      <x:c r="B11" s="46" t="str">
        <x:v>Pacific, Antarctic</x:v>
      </x:c>
      <x:c r="C11" s="46" t="str">
        <x:v>High Seas</x:v>
      </x:c>
      <x:c r="D11" s="58" t="n">
        <x:v>2019</x:v>
      </x:c>
      <x:c r="E11" s="46" t="str">
        <x:v>Euphausia superba</x:v>
      </x:c>
      <x:c r="F11" s="46" t="str">
        <x:v>Antarctic krill</x:v>
      </x:c>
      <x:c r="G11" s="46" t="str">
        <x:v>Krill</x:v>
      </x:c>
      <x:c r="H11" s="46" t="str">
        <x:v>Crustaceans</x:v>
      </x:c>
      <x:c r="I11" s="60" t="n">
        <x:v>0.24525700000000003</x:v>
      </x:c>
      <x:c r="J11" s="60" t="n">
        <x:v>0.24525700000000003</x:v>
      </x:c>
      <x:c r="K11" s="60" t="n">
        <x:v>0</x:v>
      </x:c>
      <x:c r="L11" s="60" t="n">
        <x:v>0.24525700000000003</x:v>
      </x:c>
      <x:c r="M11" s="60" t="n">
        <x:v>0</x:v>
      </x:c>
      <x:c r="N11" s="46" t="str">
        <x:v>euphausia superba</x:v>
      </x:c>
      <x:c r="O11" s="62" t="n">
        <x:v>2.25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Euphausia superba</x:v>
      </x:c>
      <x:c r="T11" s="62" t="n">
        <x:f>IF(O11="","",(1/'Metadata'!$B$5)^(O11-1))</x:f>
        <x:v>42.294850537622565</x:v>
      </x:c>
      <x:c r="U11" s="60" t="n">
        <x:f>IF(T11="","",I11*T11)</x:f>
        <x:v>10.3731081583057</x:v>
      </x:c>
    </x:row>
    <x:row r="12" ht="18" customHeight="1">
      <x:c r="A12" s="46" t="str">
        <x:v>HS_088</x:v>
      </x:c>
      <x:c r="B12" s="46" t="str">
        <x:v>Pacific, Antarctic</x:v>
      </x:c>
      <x:c r="C12" s="46" t="str">
        <x:v>High Seas</x:v>
      </x:c>
      <x:c r="D12" s="58" t="n">
        <x:v>2019</x:v>
      </x:c>
      <x:c r="E12" s="46" t="str">
        <x:v>Macrourus whitsoni</x:v>
      </x:c>
      <x:c r="F12" s="46" t="str">
        <x:v>Whitson's grenadier</x:v>
      </x:c>
      <x:c r="G12" s="46" t="str">
        <x:v>Medium bathypelagics (30 - 89 cm)</x:v>
      </x:c>
      <x:c r="H12" s="46" t="str">
        <x:v>Cod-likes</x:v>
      </x:c>
      <x:c r="I12" s="60" t="n">
        <x:v>0.057662</x:v>
      </x:c>
      <x:c r="J12" s="60" t="n">
        <x:v>0.057662</x:v>
      </x:c>
      <x:c r="K12" s="60" t="n">
        <x:v>0</x:v>
      </x:c>
      <x:c r="L12" s="60" t="n">
        <x:v>0.057662</x:v>
      </x:c>
      <x:c r="M12" s="60" t="n">
        <x:v>0</x:v>
      </x:c>
      <x:c r="N12" s="46" t="str">
        <x:v>macrourus whitsoni</x:v>
      </x:c>
      <x:c r="O12" s="62" t="n">
        <x:v>3.47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Macrourus whitsoni</x:v>
      </x:c>
      <x:c r="T12" s="62" t="n">
        <x:f>IF(O12="","",(1/'Metadata'!$B$5)^(O12-1))</x:f>
        <x:v>1635.0991368927735</x:v>
      </x:c>
      <x:c r="U12" s="60" t="n">
        <x:f>IF(T12="","",I12*T12)</x:f>
        <x:v>94.2830864315111</x:v>
      </x:c>
    </x:row>
    <x:row r="13" ht="18" customHeight="1">
      <x:c r="A13" s="46" t="str">
        <x:v>HS_088</x:v>
      </x:c>
      <x:c r="B13" s="46" t="str">
        <x:v>Pacific, Antarctic</x:v>
      </x:c>
      <x:c r="C13" s="46" t="str">
        <x:v>High Seas</x:v>
      </x:c>
      <x:c r="D13" s="58" t="n">
        <x:v>2019</x:v>
      </x:c>
      <x:c r="E13" s="46" t="str">
        <x:v>Artedidraconidae</x:v>
      </x:c>
      <x:c r="F13" s="46" t="str">
        <x:v>Barbled plunderfishes</x:v>
      </x:c>
      <x:c r="G13" s="46" t="str">
        <x:v>Small demersals (&lt;30 cm)</x:v>
      </x:c>
      <x:c r="H13" s="46" t="str">
        <x:v>Perch-likes</x:v>
      </x:c>
      <x:c r="I13" s="60" t="n">
        <x:v>0.041723</x:v>
      </x:c>
      <x:c r="J13" s="60" t="n">
        <x:v>0.041723</x:v>
      </x:c>
      <x:c r="K13" s="60" t="n">
        <x:v>0</x:v>
      </x:c>
      <x:c r="L13" s="60" t="n">
        <x:v>0.041723</x:v>
      </x:c>
      <x:c r="M13" s="60" t="n">
        <x:v>0</x:v>
      </x:c>
      <x:c r="N13" s="46" t="str">
        <x:v>artedidraconidae</x:v>
      </x:c>
      <x:c r="O13" s="62" t="n">
        <x:v>3.1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Artedidraconidae</x:v>
      </x:c>
      <x:c r="T13" s="62" t="n">
        <x:f>IF(O13="","",(1/'Metadata'!$B$5)^(O13-1))</x:f>
        <x:v>539.7131390694254</x:v>
      </x:c>
      <x:c r="U13" s="60" t="n">
        <x:f>IF(T13="","",I13*T13)</x:f>
        <x:v>22.51845130139364</x:v>
      </x:c>
    </x:row>
    <x:row r="14" ht="18" customHeight="1">
      <x:c r="A14" s="46" t="str">
        <x:v>HS_088</x:v>
      </x:c>
      <x:c r="B14" s="46" t="str">
        <x:v>Pacific, Antarctic</x:v>
      </x:c>
      <x:c r="C14" s="46" t="str">
        <x:v>High Seas</x:v>
      </x:c>
      <x:c r="D14" s="58" t="n">
        <x:v>2019</x:v>
      </x:c>
      <x:c r="E14" s="46" t="str">
        <x:v>Trematomus</x:v>
      </x:c>
      <x:c r="F14" s="46" t="str">
        <x:v>Rockcods</x:v>
      </x:c>
      <x:c r="G14" s="46" t="str">
        <x:v>Large reef assoc. fish (&gt;=90 cm)</x:v>
      </x:c>
      <x:c r="H14" s="46" t="str">
        <x:v>Perch-likes</x:v>
      </x:c>
      <x:c r="I14" s="60" t="n">
        <x:v>0.033735</x:v>
      </x:c>
      <x:c r="J14" s="60" t="n">
        <x:v>0.033735</x:v>
      </x:c>
      <x:c r="K14" s="60" t="n">
        <x:v>0</x:v>
      </x:c>
      <x:c r="L14" s="60" t="n">
        <x:v>0.033735</x:v>
      </x:c>
      <x:c r="M14" s="60" t="n">
        <x:v>0</x:v>
      </x:c>
      <x:c r="N14" s="46" t="str">
        <x:v>trematomus</x:v>
      </x:c>
      <x:c r="O14" s="62" t="n">
        <x:v>3.29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Trematomus</x:v>
      </x:c>
      <x:c r="T14" s="62" t="n">
        <x:f>IF(O14="","",(1/'Metadata'!$B$5)^(O14-1))</x:f>
        <x:v>953.5834171618228</x:v>
      </x:c>
      <x:c r="U14" s="60" t="n">
        <x:f>IF(T14="","",I14*T14)</x:f>
        <x:v>32.16913657795409</x:v>
      </x:c>
    </x:row>
    <x:row r="15" ht="18" customHeight="1">
      <x:c r="A15" s="46" t="str">
        <x:v>HS_088</x:v>
      </x:c>
      <x:c r="B15" s="46" t="str">
        <x:v>Pacific, Antarctic</x:v>
      </x:c>
      <x:c r="C15" s="46" t="str">
        <x:v>High Seas</x:v>
      </x:c>
      <x:c r="D15" s="58" t="n">
        <x:v>2019</x:v>
      </x:c>
      <x:c r="E15" s="46" t="str">
        <x:v>Lepidonotothen squamifrons</x:v>
      </x:c>
      <x:c r="F15" s="46" t="str">
        <x:v>Grey rockcod</x:v>
      </x:c>
      <x:c r="G15" s="46" t="str">
        <x:v>Medium benthopelagics (30 - 89 cm)</x:v>
      </x:c>
      <x:c r="H15" s="46" t="str">
        <x:v>Perch-likes</x:v>
      </x:c>
      <x:c r="I15" s="60" t="n">
        <x:v>0.030574999999999998</x:v>
      </x:c>
      <x:c r="J15" s="60" t="n">
        <x:v>0.030574999999999998</x:v>
      </x:c>
      <x:c r="K15" s="60" t="n">
        <x:v>0</x:v>
      </x:c>
      <x:c r="L15" s="60" t="n">
        <x:v>0.030574999999999998</x:v>
      </x:c>
      <x:c r="M15" s="60" t="n">
        <x:v>0</x:v>
      </x:c>
      <x:c r="N15" s="46" t="str">
        <x:v>lepidonotothen squamifrons</x:v>
      </x:c>
      <x:c r="O15" s="62" t="n">
        <x:v>3.09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Lepidonotothen squamifrons</x:v>
      </x:c>
      <x:c r="T15" s="62" t="n">
        <x:f>IF(O15="","",(1/'Metadata'!$B$5)^(O15-1))</x:f>
        <x:v>523.7845584224979</x:v>
      </x:c>
      <x:c r="U15" s="60" t="n">
        <x:f>IF(T15="","",I15*T15)</x:f>
        <x:v>16.01471287376787</x:v>
      </x:c>
    </x:row>
    <x:row r="16" ht="18" customHeight="1">
      <x:c r="A16" s="46" t="str">
        <x:v>HS_088</x:v>
      </x:c>
      <x:c r="B16" s="46" t="str">
        <x:v>Pacific, Antarctic</x:v>
      </x:c>
      <x:c r="C16" s="46" t="str">
        <x:v>High Seas</x:v>
      </x:c>
      <x:c r="D16" s="58" t="n">
        <x:v>2019</x:v>
      </x:c>
      <x:c r="E16" s="46" t="str">
        <x:v>Pagetodes antarcticus</x:v>
      </x:c>
      <x:c r="F16" s="46" t="str">
        <x:v>Long-fingered icefish</x:v>
      </x:c>
      <x:c r="G16" s="46" t="str">
        <x:v>Medium bathydemersals (30 - 89 cm)</x:v>
      </x:c>
      <x:c r="H16" s="46" t="str">
        <x:v>Perch-likes</x:v>
      </x:c>
      <x:c r="I16" s="60" t="n">
        <x:v>0.02568</x:v>
      </x:c>
      <x:c r="J16" s="60" t="n">
        <x:v>0.02568</x:v>
      </x:c>
      <x:c r="K16" s="60" t="n">
        <x:v>0</x:v>
      </x:c>
      <x:c r="L16" s="60" t="n">
        <x:v>0.02568</x:v>
      </x:c>
      <x:c r="M16" s="60" t="n">
        <x:v>0</x:v>
      </x:c>
      <x:c r="N16" s="46" t="str">
        <x:v>pagetodes antarcticus</x:v>
      </x:c>
      <x:c r="O16" s="62" t="n">
        <x:v>3.57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Pagetodes antarcticus</x:v>
      </x:c>
      <x:c r="T16" s="62" t="n">
        <x:f>IF(O16="","",(1/'Metadata'!$B$5)^(O16-1))</x:f>
        <x:v>2206.2112196552644</x:v>
      </x:c>
      <x:c r="U16" s="60" t="n">
        <x:f>IF(T16="","",I16*T16)</x:f>
        <x:v>56.65550412074719</x:v>
      </x:c>
    </x:row>
    <x:row r="17" ht="18" customHeight="1">
      <x:c r="A17" s="46" t="str">
        <x:v>HS_088</x:v>
      </x:c>
      <x:c r="B17" s="46" t="str">
        <x:v>Pacific, Antarctic</x:v>
      </x:c>
      <x:c r="C17" s="46" t="str">
        <x:v>High Seas</x:v>
      </x:c>
      <x:c r="D17" s="58" t="n">
        <x:v>2019</x:v>
      </x:c>
      <x:c r="E17" s="46" t="str">
        <x:v>Pleuragramma antarcticum</x:v>
      </x:c>
      <x:c r="F17" s="46" t="str">
        <x:v>Antarctic silverfish</x:v>
      </x:c>
      <x:c r="G17" s="46" t="str">
        <x:v>Small pelagics (&lt;30 cm)</x:v>
      </x:c>
      <x:c r="H17" s="46" t="str">
        <x:v>Perch-likes</x:v>
      </x:c>
      <x:c r="I17" s="60" t="n">
        <x:v>0.02049</x:v>
      </x:c>
      <x:c r="J17" s="60" t="n">
        <x:v>0.02049</x:v>
      </x:c>
      <x:c r="K17" s="60" t="n">
        <x:v>0</x:v>
      </x:c>
      <x:c r="L17" s="60" t="n">
        <x:v>0.02049</x:v>
      </x:c>
      <x:c r="M17" s="60" t="n">
        <x:v>0</x:v>
      </x:c>
      <x:c r="N17" s="46" t="str">
        <x:v>pleuragramma antarcticum</x:v>
      </x:c>
      <x:c r="O17" s="62" t="n">
        <x:v>3.23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Pleuragramma antarcticum</x:v>
      </x:c>
      <x:c r="T17" s="62" t="n">
        <x:f>IF(O17="","",(1/'Metadata'!$B$5)^(O17-1))</x:f>
        <x:v>796.7038031673321</x:v>
      </x:c>
      <x:c r="U17" s="60" t="n">
        <x:f>IF(T17="","",I17*T17)</x:f>
        <x:v>16.324460926898638</x:v>
      </x:c>
    </x:row>
    <x:row r="18" ht="18" customHeight="1">
      <x:c r="A18" s="46" t="str">
        <x:v>HS_088</x:v>
      </x:c>
      <x:c r="B18" s="46" t="str">
        <x:v>Pacific, Antarctic</x:v>
      </x:c>
      <x:c r="C18" s="46" t="str">
        <x:v>High Seas</x:v>
      </x:c>
      <x:c r="D18" s="58" t="n">
        <x:v>2019</x:v>
      </x:c>
      <x:c r="E18" s="46" t="str">
        <x:v>Lithodidae</x:v>
      </x:c>
      <x:c r="F18" s="46" t="str">
        <x:v>Stone/king crabs</x:v>
      </x:c>
      <x:c r="G18" s="46" t="str">
        <x:v>Lobsters, crabs</x:v>
      </x:c>
      <x:c r="H18" s="46" t="str">
        <x:v>Crustaceans</x:v>
      </x:c>
      <x:c r="I18" s="60" t="n">
        <x:v>0.017135</x:v>
      </x:c>
      <x:c r="J18" s="60" t="n">
        <x:v>0.017135</x:v>
      </x:c>
      <x:c r="K18" s="60" t="n">
        <x:v>0</x:v>
      </x:c>
      <x:c r="L18" s="60" t="n">
        <x:v>0.017135</x:v>
      </x:c>
      <x:c r="M18" s="60" t="n">
        <x:v>0</x:v>
      </x:c>
      <x:c r="N18" s="46" t="str">
        <x:v>lithodidae</x:v>
      </x:c>
      <x:c r="O18" s="62" t="n">
        <x:v>2.82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Lithodidae</x:v>
      </x:c>
      <x:c r="T18" s="62" t="n">
        <x:f>IF(O18="","",(1/'Metadata'!$B$5)^(O18-1))</x:f>
        <x:v>233.27843447436348</x:v>
      </x:c>
      <x:c r="U18" s="60" t="n">
        <x:f>IF(T18="","",I18*T18)</x:f>
        <x:v>3.9972259747182184</x:v>
      </x:c>
    </x:row>
    <x:row r="19" ht="18" customHeight="1">
      <x:c r="A19" s="46" t="str">
        <x:v>HS_088</x:v>
      </x:c>
      <x:c r="B19" s="46" t="str">
        <x:v>Pacific, Antarctic</x:v>
      </x:c>
      <x:c r="C19" s="46" t="str">
        <x:v>High Seas</x:v>
      </x:c>
      <x:c r="D19" s="58" t="n">
        <x:v>2019</x:v>
      </x:c>
      <x:c r="E19" s="46" t="str">
        <x:v>Macrouridae</x:v>
      </x:c>
      <x:c r="F19" s="46" t="str">
        <x:v>Grenadiers, rattails</x:v>
      </x:c>
      <x:c r="G19" s="46" t="str">
        <x:v>Medium benthopelagics (30 - 89 cm)</x:v>
      </x:c>
      <x:c r="H19" s="46" t="str">
        <x:v>Cod-likes</x:v>
      </x:c>
      <x:c r="I19" s="60" t="n">
        <x:v>0.011586</x:v>
      </x:c>
      <x:c r="J19" s="60" t="n">
        <x:v>0.011586</x:v>
      </x:c>
      <x:c r="K19" s="60" t="n">
        <x:v>0</x:v>
      </x:c>
      <x:c r="L19" s="60" t="n">
        <x:v>0.011586</x:v>
      </x:c>
      <x:c r="M19" s="60" t="n">
        <x:v>0</x:v>
      </x:c>
      <x:c r="N19" s="46" t="str">
        <x:v>macrouridae</x:v>
      </x:c>
      <x:c r="O19" s="62" t="n">
        <x:v>3.88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Macrouridae</x:v>
      </x:c>
      <x:c r="T19" s="62" t="n">
        <x:f>IF(O19="","",(1/'Metadata'!$B$5)^(O19-1))</x:f>
        <x:v>5584.269732662554</x:v>
      </x:c>
      <x:c r="U19" s="60" t="n">
        <x:f>IF(T19="","",I19*T19)</x:f>
        <x:v>64.69934912262835</x:v>
      </x:c>
    </x:row>
    <x:row r="20" ht="18" customHeight="1">
      <x:c r="A20" s="46" t="str">
        <x:v>HS_088</x:v>
      </x:c>
      <x:c r="B20" s="46" t="str">
        <x:v>Pacific, Antarctic</x:v>
      </x:c>
      <x:c r="C20" s="46" t="str">
        <x:v>High Seas</x:v>
      </x:c>
      <x:c r="D20" s="58" t="n">
        <x:v>2019</x:v>
      </x:c>
      <x:c r="E20" s="46" t="str">
        <x:v>Myctophidae</x:v>
      </x:c>
      <x:c r="F20" s="46" t="str">
        <x:v>Lanternfishes</x:v>
      </x:c>
      <x:c r="G20" s="46" t="str">
        <x:v>Small pelagics (&lt;30 cm)</x:v>
      </x:c>
      <x:c r="H20" s="46" t="str">
        <x:v>Other fishes &amp; inverts</x:v>
      </x:c>
      <x:c r="I20" s="60" t="n">
        <x:v>0.009455</x:v>
      </x:c>
      <x:c r="J20" s="60" t="n">
        <x:v>0.009455</x:v>
      </x:c>
      <x:c r="K20" s="60" t="n">
        <x:v>0</x:v>
      </x:c>
      <x:c r="L20" s="60" t="n">
        <x:v>0.009455</x:v>
      </x:c>
      <x:c r="M20" s="60" t="n">
        <x:v>0</x:v>
      </x:c>
      <x:c r="N20" s="46" t="str">
        <x:v>myctophidae</x:v>
      </x:c>
      <x:c r="O20" s="62" t="n">
        <x:v>3.3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Myctophidae</x:v>
      </x:c>
      <x:c r="T20" s="62" t="n">
        <x:f>IF(O20="","",(1/'Metadata'!$B$5)^(O20-1))</x:f>
        <x:v>982.5824208926318</x:v>
      </x:c>
      <x:c r="U20" s="60" t="n">
        <x:f>IF(T20="","",I20*T20)</x:f>
        <x:v>9.290316789539833</x:v>
      </x:c>
    </x:row>
    <x:row r="21" ht="18" customHeight="1">
      <x:c r="A21" s="46" t="str">
        <x:v>HS_088</x:v>
      </x:c>
      <x:c r="B21" s="46" t="str">
        <x:v>Pacific, Antarctic</x:v>
      </x:c>
      <x:c r="C21" s="46" t="str">
        <x:v>High Seas</x:v>
      </x:c>
      <x:c r="D21" s="58" t="n">
        <x:v>2019</x:v>
      </x:c>
      <x:c r="E21" s="46" t="str">
        <x:v>Neopagetopsis ionah</x:v>
      </x:c>
      <x:c r="F21" s="46" t="str">
        <x:v>Jonah's icefish</x:v>
      </x:c>
      <x:c r="G21" s="46" t="str">
        <x:v>Medium benthopelagics (30 - 89 cm)</x:v>
      </x:c>
      <x:c r="H21" s="46" t="str">
        <x:v>Perch-likes</x:v>
      </x:c>
      <x:c r="I21" s="60" t="n">
        <x:v>0.006047</x:v>
      </x:c>
      <x:c r="J21" s="60" t="n">
        <x:v>0.006047</x:v>
      </x:c>
      <x:c r="K21" s="60" t="n">
        <x:v>0</x:v>
      </x:c>
      <x:c r="L21" s="60" t="n">
        <x:v>0.006047</x:v>
      </x:c>
      <x:c r="M21" s="60" t="n">
        <x:v>0</x:v>
      </x:c>
      <x:c r="N21" s="46" t="str">
        <x:v>neopagetopsis ionah</x:v>
      </x:c>
      <x:c r="O21" s="62" t="n">
        <x:v>3.42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Neopagetopsis ionah</x:v>
      </x:c>
      <x:c r="T21" s="62" t="n">
        <x:f>IF(O21="","",(1/'Metadata'!$B$5)^(O21-1))</x:f>
        <x:v>1407.643209131506</x:v>
      </x:c>
      <x:c r="U21" s="60" t="n">
        <x:f>IF(T21="","",I21*T21)</x:f>
        <x:v>8.512018485618217</x:v>
      </x:c>
    </x:row>
    <x:row r="22" ht="18" customHeight="1">
      <x:c r="A22" s="46" t="str">
        <x:v>HS_088</x:v>
      </x:c>
      <x:c r="B22" s="46" t="str">
        <x:v>Pacific, Antarctic</x:v>
      </x:c>
      <x:c r="C22" s="46" t="str">
        <x:v>High Seas</x:v>
      </x:c>
      <x:c r="D22" s="58" t="n">
        <x:v>2019</x:v>
      </x:c>
      <x:c r="E22" s="46" t="str">
        <x:v>Paralomis</x:v>
      </x:c>
      <x:c r="F22" s="46" t="str">
        <x:v>Spider crabs</x:v>
      </x:c>
      <x:c r="G22" s="46" t="str">
        <x:v>Lobsters, crabs</x:v>
      </x:c>
      <x:c r="H22" s="46" t="str">
        <x:v>Crustaceans</x:v>
      </x:c>
      <x:c r="I22" s="60" t="n">
        <x:v>0.0033</x:v>
      </x:c>
      <x:c r="J22" s="60" t="n">
        <x:v>0.0033</x:v>
      </x:c>
      <x:c r="K22" s="60" t="n">
        <x:v>0</x:v>
      </x:c>
      <x:c r="L22" s="60" t="n">
        <x:v>0.0033</x:v>
      </x:c>
      <x:c r="M22" s="60" t="n">
        <x:v>0</x:v>
      </x:c>
      <x:c r="N22" s="46" t="str">
        <x:v>paralomis</x:v>
      </x:c>
      <x:c r="O22" s="62" t="n">
        <x:v>2.3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Paralomis</x:v>
      </x:c>
      <x:c r="T22" s="62" t="n">
        <x:f>IF(O22="","",(1/'Metadata'!$B$5)^(O22-1))</x:f>
        <x:v>49.12912104463159</x:v>
      </x:c>
      <x:c r="U22" s="60" t="n">
        <x:f>IF(T22="","",I22*T22)</x:f>
        <x:v>0.16212609944728423</x:v>
      </x:c>
    </x:row>
    <x:row r="23" ht="18" customHeight="1">
      <x:c r="A23" s="46" t="str">
        <x:v>HS_088</x:v>
      </x:c>
      <x:c r="B23" s="46" t="str">
        <x:v>Pacific, Antarctic</x:v>
      </x:c>
      <x:c r="C23" s="46" t="str">
        <x:v>High Seas</x:v>
      </x:c>
      <x:c r="D23" s="58" t="n">
        <x:v>2019</x:v>
      </x:c>
      <x:c r="E23" s="46" t="str">
        <x:v>Pogonophryne permitini</x:v>
      </x:c>
      <x:c r="F23" s="46" t="str">
        <x:v>Plunderfish</x:v>
      </x:c>
      <x:c r="G23" s="46" t="str">
        <x:v>Small bathydemersals (&lt;30 cm)</x:v>
      </x:c>
      <x:c r="H23" s="46" t="str">
        <x:v>Perch-likes</x:v>
      </x:c>
      <x:c r="I23" s="60" t="n">
        <x:v>0.00157</x:v>
      </x:c>
      <x:c r="J23" s="60" t="n">
        <x:v>0.00157</x:v>
      </x:c>
      <x:c r="K23" s="60" t="n">
        <x:v>0</x:v>
      </x:c>
      <x:c r="L23" s="60" t="n">
        <x:v>0.00157</x:v>
      </x:c>
      <x:c r="M23" s="60" t="n">
        <x:v>0</x:v>
      </x:c>
      <x:c r="N23" s="46" t="str">
        <x:v>pogonophryne permitini</x:v>
      </x:c>
      <x:c r="O23" s="62" t="n">
        <x:v>3.29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Pogonophryne permitini</x:v>
      </x:c>
      <x:c r="T23" s="62" t="n">
        <x:f>IF(O23="","",(1/'Metadata'!$B$5)^(O23-1))</x:f>
        <x:v>953.5834171618228</x:v>
      </x:c>
      <x:c r="U23" s="60" t="n">
        <x:f>IF(T23="","",I23*T23)</x:f>
        <x:v>1.4971259649440618</x:v>
      </x:c>
    </x:row>
    <x:row r="24" ht="18" customHeight="1">
      <x:c r="A24" s="46" t="str">
        <x:v>HS_088</x:v>
      </x:c>
      <x:c r="B24" s="46" t="str">
        <x:v>Pacific, Antarctic</x:v>
      </x:c>
      <x:c r="C24" s="46" t="str">
        <x:v>High Seas</x:v>
      </x:c>
      <x:c r="D24" s="58" t="n">
        <x:v>2019</x:v>
      </x:c>
      <x:c r="E24" s="46" t="str">
        <x:v>Gymnoscopelus nicholsi</x:v>
      </x:c>
      <x:c r="F24" s="46" t="str">
        <x:v>Nichol's lanternfish</x:v>
      </x:c>
      <x:c r="G24" s="46" t="str">
        <x:v>Small bathypelagics (&lt;30 cm)</x:v>
      </x:c>
      <x:c r="H24" s="46" t="str">
        <x:v>Other fishes &amp; inverts</x:v>
      </x:c>
      <x:c r="I24" s="60" t="n">
        <x:v>0.000701</x:v>
      </x:c>
      <x:c r="J24" s="60" t="n">
        <x:v>0.000701</x:v>
      </x:c>
      <x:c r="K24" s="60" t="n">
        <x:v>0</x:v>
      </x:c>
      <x:c r="L24" s="60" t="n">
        <x:v>0.000701</x:v>
      </x:c>
      <x:c r="M24" s="60" t="n">
        <x:v>0</x:v>
      </x:c>
      <x:c r="N24" s="46" t="str">
        <x:v>gymnoscopelus nicholsi</x:v>
      </x:c>
      <x:c r="O24" s="62" t="n">
        <x:v>3.39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Gymnoscopelus nicholsi</x:v>
      </x:c>
      <x:c r="T24" s="62" t="n">
        <x:f>IF(O24="","",(1/'Metadata'!$B$5)^(O24-1))</x:f>
        <x:v>1286.6537486023922</x:v>
      </x:c>
      <x:c r="U24" s="60" t="n">
        <x:f>IF(T24="","",I24*T24)</x:f>
        <x:v>0.901944277770277</x:v>
      </x:c>
    </x:row>
    <x:row r="25" ht="18" customHeight="1">
      <x:c r="A25" s="46" t="str">
        <x:v>HS_088</x:v>
      </x:c>
      <x:c r="B25" s="46" t="str">
        <x:v>Pacific, Antarctic</x:v>
      </x:c>
      <x:c r="C25" s="46" t="str">
        <x:v>High Seas</x:v>
      </x:c>
      <x:c r="D25" s="58" t="n">
        <x:v>2019</x:v>
      </x:c>
      <x:c r="E25" s="46" t="str">
        <x:v>Mollusca</x:v>
      </x:c>
      <x:c r="F25" s="46" t="str">
        <x:v>Clams, seasnails, squids, octopuses</x:v>
      </x:c>
      <x:c r="G25" s="46" t="str">
        <x:v>Other demersal invertebrates</x:v>
      </x:c>
      <x:c r="H25" s="46" t="str">
        <x:v>Molluscs</x:v>
      </x:c>
      <x:c r="I25" s="60" t="n">
        <x:v>0.000397</x:v>
      </x:c>
      <x:c r="J25" s="60" t="n">
        <x:v>0.000397</x:v>
      </x:c>
      <x:c r="K25" s="60" t="n">
        <x:v>0</x:v>
      </x:c>
      <x:c r="L25" s="60" t="n">
        <x:v>0.000397</x:v>
      </x:c>
      <x:c r="M25" s="60" t="n">
        <x:v>0</x:v>
      </x:c>
      <x:c r="N25" s="46" t="str">
        <x:v>mollusca</x:v>
      </x:c>
      <x:c r="O25" s="62" t="n">
        <x:v>2.1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Mollusca</x:v>
      </x:c>
      <x:c r="T25" s="62" t="n">
        <x:f>IF(O25="","",(1/'Metadata'!$B$5)^(O25-1))</x:f>
        <x:v>26.985656953471274</x:v>
      </x:c>
      <x:c r="U25" s="60" t="n">
        <x:f>IF(T25="","",I25*T25)</x:f>
        <x:v>0.010713305810528095</x:v>
      </x:c>
    </x:row>
    <x:row r="26" ht="18" customHeight="1">
      <x:c r="A26" s="46" t="str">
        <x:v>HS_088</x:v>
      </x:c>
      <x:c r="B26" s="46" t="str">
        <x:v>Pacific, Antarctic</x:v>
      </x:c>
      <x:c r="C26" s="46" t="str">
        <x:v>High Seas</x:v>
      </x:c>
      <x:c r="D26" s="58" t="n">
        <x:v>2019</x:v>
      </x:c>
      <x:c r="E26" s="46" t="str">
        <x:v>Osteichthyes</x:v>
      </x:c>
      <x:c r="F26" s="46" t="str">
        <x:v>Bony fishes</x:v>
      </x:c>
      <x:c r="G26" s="46" t="str">
        <x:v>Medium demersals (30 - 89 cm)</x:v>
      </x:c>
      <x:c r="H26" s="46" t="str">
        <x:v>Other fishes &amp; inverts</x:v>
      </x:c>
      <x:c r="I26" s="60" t="n">
        <x:v>0.00024700000000000004</x:v>
      </x:c>
      <x:c r="J26" s="60" t="n">
        <x:v>0.00024700000000000004</x:v>
      </x:c>
      <x:c r="K26" s="60" t="n">
        <x:v>0</x:v>
      </x:c>
      <x:c r="L26" s="60" t="n">
        <x:v>0.00024700000000000004</x:v>
      </x:c>
      <x:c r="M26" s="60" t="n">
        <x:v>0</x:v>
      </x:c>
      <x:c r="N26" s="46" t="str">
        <x:v>osteichthyes</x:v>
      </x:c>
      <x:c r="O26" s="62" t="n">
        <x:v>3.79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Osteichthyes</x:v>
      </x:c>
      <x:c r="T26" s="62" t="n">
        <x:f>IF(O26="","",(1/'Metadata'!$B$5)^(O26-1))</x:f>
        <x:v>4264.554685980751</x:v>
      </x:c>
      <x:c r="U26" s="60" t="n">
        <x:f>IF(T26="","",I26*T26)</x:f>
        <x:v>1.0533450074372457</x:v>
      </x:c>
    </x:row>
    <x:row r="27" ht="18" customHeight="1">
      <x:c r="A27" s="46" t="str">
        <x:v>HS_088</x:v>
      </x:c>
      <x:c r="B27" s="46" t="str">
        <x:v>Pacific, Antarctic</x:v>
      </x:c>
      <x:c r="C27" s="46" t="str">
        <x:v>High Seas</x:v>
      </x:c>
      <x:c r="D27" s="58" t="n">
        <x:v>2019</x:v>
      </x:c>
      <x:c r="E27" s="46" t="str">
        <x:v>Trematomus eulepidotus</x:v>
      </x:c>
      <x:c r="F27" s="46" t="str">
        <x:v>Blunt scalyhead</x:v>
      </x:c>
      <x:c r="G27" s="46" t="str">
        <x:v>Small demersals (&lt;30 cm)</x:v>
      </x:c>
      <x:c r="H27" s="46" t="str">
        <x:v>Perch-likes</x:v>
      </x:c>
      <x:c r="I27" s="60" t="n">
        <x:v>0.000238</x:v>
      </x:c>
      <x:c r="J27" s="60" t="n">
        <x:v>0.000238</x:v>
      </x:c>
      <x:c r="K27" s="60" t="n">
        <x:v>0</x:v>
      </x:c>
      <x:c r="L27" s="60" t="n">
        <x:v>0.000238</x:v>
      </x:c>
      <x:c r="M27" s="60" t="n">
        <x:v>0</x:v>
      </x:c>
      <x:c r="N27" s="46" t="str">
        <x:v>trematomus eulepidotus</x:v>
      </x:c>
      <x:c r="O27" s="62" t="n">
        <x:v>3.35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Trematomus eulepidotus</x:v>
      </x:c>
      <x:c r="T27" s="62" t="n">
        <x:f>IF(O27="","",(1/'Metadata'!$B$5)^(O27-1))</x:f>
        <x:v>1141.3543275066227</x:v>
      </x:c>
      <x:c r="U27" s="60" t="n">
        <x:f>IF(T27="","",I27*T27)</x:f>
        <x:v>0.2716423299465762</x:v>
      </x:c>
    </x:row>
    <x:row r="28" ht="18" customHeight="1">
      <x:c r="A28" s="46" t="str">
        <x:v>HS_088</x:v>
      </x:c>
      <x:c r="B28" s="46" t="str">
        <x:v>Pacific, Antarctic</x:v>
      </x:c>
      <x:c r="C28" s="46" t="str">
        <x:v>High Seas</x:v>
      </x:c>
      <x:c r="D28" s="58" t="n">
        <x:v>2019</x:v>
      </x:c>
      <x:c r="E28" s="46" t="str">
        <x:v>Notothenia coriiceps</x:v>
      </x:c>
      <x:c r="F28" s="46" t="str">
        <x:v>Black rockcod</x:v>
      </x:c>
      <x:c r="G28" s="46" t="str">
        <x:v>Medium demersals (30 - 89 cm)</x:v>
      </x:c>
      <x:c r="H28" s="46" t="str">
        <x:v>Perch-likes</x:v>
      </x:c>
      <x:c r="I28" s="60" t="n">
        <x:v>0.0002</x:v>
      </x:c>
      <x:c r="J28" s="60" t="n">
        <x:v>0.0002</x:v>
      </x:c>
      <x:c r="K28" s="60" t="n">
        <x:v>0</x:v>
      </x:c>
      <x:c r="L28" s="60" t="n">
        <x:v>0.0002</x:v>
      </x:c>
      <x:c r="M28" s="60" t="n">
        <x:v>0</x:v>
      </x:c>
      <x:c r="N28" s="46" t="str">
        <x:v>notothenia coriiceps</x:v>
      </x:c>
      <x:c r="O28" s="62" t="n">
        <x:v>2.75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Notothenia coriiceps</x:v>
      </x:c>
      <x:c r="T28" s="62" t="n">
        <x:f>IF(O28="","",(1/'Metadata'!$B$5)^(O28-1))</x:f>
        <x:v>189.14832180063516</x:v>
      </x:c>
      <x:c r="U28" s="60" t="n">
        <x:f>IF(T28="","",I28*T28)</x:f>
        <x:v>0.03782966436012703</x:v>
      </x:c>
    </x:row>
    <x:row r="29" ht="18" customHeight="1">
      <x:c r="A29" s="46" t="str">
        <x:v>HS_088</x:v>
      </x:c>
      <x:c r="B29" s="46" t="str">
        <x:v>Pacific, Antarctic</x:v>
      </x:c>
      <x:c r="C29" s="46" t="str">
        <x:v>High Seas</x:v>
      </x:c>
      <x:c r="D29" s="58" t="n">
        <x:v>2019</x:v>
      </x:c>
      <x:c r="E29" s="46" t="str">
        <x:v>Gymnoscopelus bolini</x:v>
      </x:c>
      <x:c r="F29" s="46" t="str">
        <x:v>Grand lanternfish</x:v>
      </x:c>
      <x:c r="G29" s="46" t="str">
        <x:v>Small bathypelagics (&lt;30 cm)</x:v>
      </x:c>
      <x:c r="H29" s="46" t="str">
        <x:v>Other fishes &amp; inverts</x:v>
      </x:c>
      <x:c r="I29" s="60" t="n">
        <x:v>0.00018899999999999999</x:v>
      </x:c>
      <x:c r="J29" s="60" t="n">
        <x:v>0.00018899999999999999</x:v>
      </x:c>
      <x:c r="K29" s="60" t="n">
        <x:v>0</x:v>
      </x:c>
      <x:c r="L29" s="60" t="n">
        <x:v>0.00018899999999999999</x:v>
      </x:c>
      <x:c r="M29" s="60" t="n">
        <x:v>0</x:v>
      </x:c>
      <x:c r="N29" s="46" t="str">
        <x:v>gymnoscopelus bolini</x:v>
      </x:c>
      <x:c r="O29" s="62" t="n">
        <x:v>3.29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Gymnoscopelus bolini</x:v>
      </x:c>
      <x:c r="T29" s="62" t="n">
        <x:f>IF(O29="","",(1/'Metadata'!$B$5)^(O29-1))</x:f>
        <x:v>953.5834171618228</x:v>
      </x:c>
      <x:c r="U29" s="60" t="n">
        <x:f>IF(T29="","",I29*T29)</x:f>
        <x:v>0.1802272658435845</x:v>
      </x:c>
    </x:row>
    <x:row r="30" ht="18" customHeight="1">
      <x:c r="A30" s="46" t="str">
        <x:v>HS_088</x:v>
      </x:c>
      <x:c r="B30" s="46" t="str">
        <x:v>Pacific, Antarctic</x:v>
      </x:c>
      <x:c r="C30" s="46" t="str">
        <x:v>High Seas</x:v>
      </x:c>
      <x:c r="D30" s="58" t="n">
        <x:v>2019</x:v>
      </x:c>
      <x:c r="E30" s="46" t="str">
        <x:v>Gymnoscopelus fraseri</x:v>
      </x:c>
      <x:c r="F30" s="46" t="str">
        <x:v>Fraser’s lanternfish</x:v>
      </x:c>
      <x:c r="G30" s="46" t="str">
        <x:v>Large reef assoc. fish (&gt;=90 cm)</x:v>
      </x:c>
      <x:c r="H30" s="46" t="str">
        <x:v>Other fishes &amp; inverts</x:v>
      </x:c>
      <x:c r="I30" s="60" t="n">
        <x:v>0.000127</x:v>
      </x:c>
      <x:c r="J30" s="60" t="n">
        <x:v>0.000127</x:v>
      </x:c>
      <x:c r="K30" s="60" t="n">
        <x:v>0</x:v>
      </x:c>
      <x:c r="L30" s="60" t="n">
        <x:v>0.000127</x:v>
      </x:c>
      <x:c r="M30" s="60" t="n">
        <x:v>0</x:v>
      </x:c>
      <x:c r="N30" s="46" t="str">
        <x:v>gymnoscopelus fraseri</x:v>
      </x:c>
      <x:c r="O30" s="62" t="n">
        <x:v>3.2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Gymnoscopelus fraseri</x:v>
      </x:c>
      <x:c r="T30" s="62" t="n">
        <x:f>IF(O30="","",(1/'Metadata'!$B$5)^(O30-1))</x:f>
        <x:v>728.2256812104325</x:v>
      </x:c>
      <x:c r="U30" s="60" t="n">
        <x:f>IF(T30="","",I30*T30)</x:f>
        <x:v>0.09248466151372493</x:v>
      </x:c>
    </x:row>
    <x:row r="31" ht="18" customHeight="1">
      <x:c r="A31" s="46" t="str">
        <x:v>HS_088</x:v>
      </x:c>
      <x:c r="B31" s="46" t="str">
        <x:v>Pacific, Antarctic</x:v>
      </x:c>
      <x:c r="C31" s="46" t="str">
        <x:v>High Seas</x:v>
      </x:c>
      <x:c r="D31" s="58" t="n">
        <x:v>2019</x:v>
      </x:c>
      <x:c r="E31" s="46" t="str">
        <x:v>Miscellaneous marine crustaceans</x:v>
      </x:c>
      <x:c r="F31" s="46" t="str">
        <x:v>Marine crabs, shrimps, lobsters nei</x:v>
      </x:c>
      <x:c r="G31" s="46" t="str">
        <x:v>Shrimps</x:v>
      </x:c>
      <x:c r="H31" s="46" t="str">
        <x:v>Crustaceans</x:v>
      </x:c>
      <x:c r="I31" s="60" t="n">
        <x:v>0.000065</x:v>
      </x:c>
      <x:c r="J31" s="60" t="n">
        <x:v>0.000065</x:v>
      </x:c>
      <x:c r="K31" s="60" t="n">
        <x:v>0</x:v>
      </x:c>
      <x:c r="L31" s="60" t="n">
        <x:v>0.000065</x:v>
      </x:c>
      <x:c r="M31" s="60" t="n">
        <x:v>0</x:v>
      </x:c>
      <x:c r="N31" s="46" t="str">
        <x:v>miscellaneous marine crustaceans</x:v>
      </x:c>
      <x:c r="O31" s="62" t="n">
        <x:v>2.7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Miscellaneous marine crustaceans</x:v>
      </x:c>
      <x:c r="T31" s="62" t="n">
        <x:f>IF(O31="","",(1/'Metadata'!$B$5)^(O31-1))</x:f>
        <x:v>162.83621261476185</x:v>
      </x:c>
      <x:c r="U31" s="60" t="n">
        <x:f>IF(T31="","",I31*T31)</x:f>
        <x:v>0.01058435381995952</x:v>
      </x:c>
    </x:row>
    <x:row r="32" ht="18" customHeight="1">
      <x:c r="A32" s="46" t="str">
        <x:v>HS_088</x:v>
      </x:c>
      <x:c r="B32" s="46" t="str">
        <x:v>Pacific, Antarctic</x:v>
      </x:c>
      <x:c r="C32" s="46" t="str">
        <x:v>High Seas</x:v>
      </x:c>
      <x:c r="D32" s="58" t="n">
        <x:v>2019</x:v>
      </x:c>
      <x:c r="E32" s="46" t="str">
        <x:v>Chaenodraco wilsoni</x:v>
      </x:c>
      <x:c r="F32" s="46" t="str">
        <x:v>Spiny icefish</x:v>
      </x:c>
      <x:c r="G32" s="46" t="str">
        <x:v>Medium benthopelagics (30 - 89 cm)</x:v>
      </x:c>
      <x:c r="H32" s="46" t="str">
        <x:v>Perch-likes</x:v>
      </x:c>
      <x:c r="I32" s="60" t="n">
        <x:v>0.000027000000000000002</x:v>
      </x:c>
      <x:c r="J32" s="60" t="n">
        <x:v>0.000027000000000000002</x:v>
      </x:c>
      <x:c r="K32" s="60" t="n">
        <x:v>0</x:v>
      </x:c>
      <x:c r="L32" s="60" t="n">
        <x:v>0.000027000000000000002</x:v>
      </x:c>
      <x:c r="M32" s="60" t="n">
        <x:v>0</x:v>
      </x:c>
      <x:c r="N32" s="46" t="str">
        <x:v>chaenodraco wilsoni</x:v>
      </x:c>
      <x:c r="O32" s="62" t="n">
        <x:v>3.23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Chaenodraco wilsoni</x:v>
      </x:c>
      <x:c r="T32" s="62" t="n">
        <x:f>IF(O32="","",(1/'Metadata'!$B$5)^(O32-1))</x:f>
        <x:v>796.7038031673321</x:v>
      </x:c>
      <x:c r="U32" s="60" t="n">
        <x:f>IF(T32="","",I32*T32)</x:f>
        <x:v>0.02151100268551797</x:v>
      </x:c>
    </x:row>
    <x:row r="33" ht="18" customHeight="1">
      <x:c r="A33" s="46" t="str">
        <x:v>HS_088</x:v>
      </x:c>
      <x:c r="B33" s="46" t="str">
        <x:v>Pacific, Antarctic</x:v>
      </x:c>
      <x:c r="C33" s="46" t="str">
        <x:v>High Seas</x:v>
      </x:c>
      <x:c r="D33" s="58" t="n">
        <x:v>2019</x:v>
      </x:c>
      <x:c r="E33" s="46" t="str">
        <x:v>Euphausia</x:v>
      </x:c>
      <x:c r="F33" s="46" t="str">
        <x:v>Krills</x:v>
      </x:c>
      <x:c r="G33" s="46" t="str">
        <x:v>Krill</x:v>
      </x:c>
      <x:c r="H33" s="46" t="str">
        <x:v>Crustaceans</x:v>
      </x:c>
      <x:c r="I33" s="60" t="n">
        <x:v>0.000011999999999999999</x:v>
      </x:c>
      <x:c r="J33" s="60" t="n">
        <x:v>0.000011999999999999999</x:v>
      </x:c>
      <x:c r="K33" s="60" t="n">
        <x:v>0</x:v>
      </x:c>
      <x:c r="L33" s="60" t="n">
        <x:v>0.000011999999999999999</x:v>
      </x:c>
      <x:c r="M33" s="60" t="n">
        <x:v>0</x:v>
      </x:c>
      <x:c r="N33" s="46" t="str">
        <x:v>euphausia</x:v>
      </x:c>
      <x:c r="O33" s="62" t="n">
        <x:v>2.2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Euphausia</x:v>
      </x:c>
      <x:c r="T33" s="62" t="n">
        <x:f>IF(O33="","",(1/'Metadata'!$B$5)^(O33-1))</x:f>
        <x:v>36.41128406052162</x:v>
      </x:c>
      <x:c r="U33" s="60" t="n">
        <x:f>IF(T33="","",I33*T33)</x:f>
        <x:v>0.00043693540872625944</x:v>
      </x:c>
    </x:row>
  </x:sheetData>
  <x:conditionalFormatting sqref="R2:R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694e844f6f343b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5</x:v>
      </x:c>
      <x:c r="C2" s="64" t="n">
        <x:v>5</x:v>
      </x:c>
      <x:c r="D2" s="60" t="n">
        <x:v>123.449815</x:v>
      </x:c>
      <x:c r="E2" s="60" t="n">
        <x:v>123.449815</x:v>
      </x:c>
      <x:c r="F2" s="62" t="n">
        <x:v>0</x:v>
      </x:c>
      <x:c r="G2" s="66" t="n">
        <x:v>1</x:v>
      </x:c>
      <x:c r="H2" s="62" t="n">
        <x:f>IF(E2=0,"",I2/E2)</x:f>
        <x:v>2211.927720806742</x:v>
      </x:c>
      <x:c r="I2" s="60" t="n">
        <x:f>SUMIF('Species'!$H$2:$H$33,A2,'Species'!$U$2:$U$33)</x:f>
        <x:v>273062.06792696397</x:v>
      </x:c>
      <x:c r="J2" s="62" t="n">
        <x:v>3.5683148944370635</x:v>
      </x:c>
      <x:c r="K2" s="62" t="n">
        <x:f>IF(J2="","",(1/'Metadata'!$B$5)^(J2-1))</x:f>
        <x:v>2195.102053201857</x:v>
      </x:c>
      <x:c r="L2" s="60" t="n">
        <x:f>IF(E2=0,"",E2*K2)</x:f>
        <x:v>270984.9423738894</x:v>
      </x:c>
      <x:c r="M2" s="60" t="n">
        <x:f>I2-L2</x:f>
        <x:v>2077.125553074584</x:v>
      </x:c>
      <x:c r="N2" s="62" t="n">
        <x:f>IF(L2=0,"",I2/L2)</x:f>
        <x:v>1.0076650958347666</x:v>
      </x:c>
      <x:c r="O2" s="66" t="n">
        <x:f>IF(L2=0,"",M2/L2)</x:f>
        <x:v>0.007665095834766664</x:v>
      </x:c>
    </x:row>
    <x:row r="3" ht="18" customHeight="1">
      <x:c r="A3" s="46" t="str">
        <x:v>Crustaceans</x:v>
      </x:c>
      <x:c r="B3" s="64" t="n">
        <x:v>5</x:v>
      </x:c>
      <x:c r="C3" s="64" t="n">
        <x:v>5</x:v>
      </x:c>
      <x:c r="D3" s="60" t="n">
        <x:v>0.26576900000000003</x:v>
      </x:c>
      <x:c r="E3" s="60" t="n">
        <x:v>0.26576900000000003</x:v>
      </x:c>
      <x:c r="F3" s="62" t="n">
        <x:v>0</x:v>
      </x:c>
      <x:c r="G3" s="66" t="n">
        <x:v>1</x:v>
      </x:c>
      <x:c r="H3" s="62" t="n">
        <x:f>IF(E3=0,"",I3/E3)</x:f>
        <x:v>54.72226452934649</x:v>
      </x:c>
      <x:c r="I3" s="60" t="n">
        <x:f>SUMIF('Species'!$H$2:$H$33,A3,'Species'!$U$2:$U$33)</x:f>
        <x:v>14.543481521699889</x:v>
      </x:c>
      <x:c r="J3" s="62" t="n">
        <x:v>2.2874784117033964</x:v>
      </x:c>
      <x:c r="K3" s="62" t="n">
        <x:f>IF(J3="","",(1/'Metadata'!$B$5)^(J3-1))</x:f>
        <x:v>47.32035917595433</x:v>
      </x:c>
      <x:c r="L3" s="60" t="n">
        <x:f>IF(E3=0,"",E3*K3)</x:f>
        <x:v>12.576284537834209</x:v>
      </x:c>
      <x:c r="M3" s="60" t="n">
        <x:f>I3-L3</x:f>
        <x:v>1.96719698386568</x:v>
      </x:c>
      <x:c r="N3" s="62" t="n">
        <x:f>IF(L3=0,"",I3/L3)</x:f>
        <x:v>1.1564211574529513</x:v>
      </x:c>
      <x:c r="O3" s="66" t="n">
        <x:f>IF(L3=0,"",M3/L3)</x:f>
        <x:v>0.15642115745295118</x:v>
      </x:c>
    </x:row>
    <x:row r="4" ht="18" customHeight="1">
      <x:c r="A4" s="46" t="str">
        <x:v>Molluscs</x:v>
      </x:c>
      <x:c r="B4" s="64" t="n">
        <x:v>1</x:v>
      </x:c>
      <x:c r="C4" s="64" t="n">
        <x:v>1</x:v>
      </x:c>
      <x:c r="D4" s="60" t="n">
        <x:v>0.000397</x:v>
      </x:c>
      <x:c r="E4" s="60" t="n">
        <x:v>0.000397</x:v>
      </x:c>
      <x:c r="F4" s="62" t="n">
        <x:v>0</x:v>
      </x:c>
      <x:c r="G4" s="66" t="n">
        <x:v>1</x:v>
      </x:c>
      <x:c r="H4" s="62" t="n">
        <x:f>IF(E4=0,"",I4/E4)</x:f>
        <x:v>26.985656953471274</x:v>
      </x:c>
      <x:c r="I4" s="60" t="n">
        <x:f>SUMIF('Species'!$H$2:$H$33,A4,'Species'!$U$2:$U$33)</x:f>
        <x:v>0.010713305810528095</x:v>
      </x:c>
      <x:c r="J4" s="62" t="n">
        <x:v>2.1</x:v>
      </x:c>
      <x:c r="K4" s="62" t="n">
        <x:f>IF(J4="","",(1/'Metadata'!$B$5)^(J4-1))</x:f>
        <x:v>26.985656953471274</x:v>
      </x:c>
      <x:c r="L4" s="60" t="n">
        <x:f>IF(E4=0,"",E4*K4)</x:f>
        <x:v>0.010713305810528095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Other fishes &amp; inverts</x:v>
      </x:c>
      <x:c r="B5" s="64" t="n">
        <x:v>6</x:v>
      </x:c>
      <x:c r="C5" s="64" t="n">
        <x:v>6</x:v>
      </x:c>
      <x:c r="D5" s="60" t="n">
        <x:v>84.40703700000003</x:v>
      </x:c>
      <x:c r="E5" s="60" t="n">
        <x:v>84.40703700000003</x:v>
      </x:c>
      <x:c r="F5" s="62" t="n">
        <x:v>0</x:v>
      </x:c>
      <x:c r="G5" s="66" t="n">
        <x:v>1</x:v>
      </x:c>
      <x:c r="H5" s="62" t="n">
        <x:f>IF(E5=0,"",I5/E5)</x:f>
        <x:v>925.4592007434524</x:v>
      </x:c>
      <x:c r="I5" s="60" t="n">
        <x:f>SUMIF('Species'!$H$2:$H$33,A5,'Species'!$U$2:$U$33)</x:f>
        <x:v>78115.26899914304</x:v>
      </x:c>
      <x:c r="J5" s="62" t="n">
        <x:v>3.2800045483174567</x:v>
      </x:c>
      <x:c r="K5" s="62" t="n">
        <x:f>IF(J5="","",(1/'Metadata'!$B$5)^(J5-1))</x:f>
        <x:v>925.4528721771873</x:v>
      </x:c>
      <x:c r="L5" s="60" t="n">
        <x:f>IF(E5=0,"",E5*K5)</x:f>
        <x:v>78114.73482361615</x:v>
      </x:c>
      <x:c r="M5" s="60" t="n">
        <x:f>I5-L5</x:f>
        <x:v>0.5341755268891575</x:v>
      </x:c>
      <x:c r="N5" s="62" t="n">
        <x:f>IF(L5=0,"",I5/L5)</x:f>
        <x:v>1.0000068383452634</x:v>
      </x:c>
      <x:c r="O5" s="66" t="n">
        <x:f>IF(L5=0,"",M5/L5)</x:f>
        <x:v>0.000006838345263481098</x:v>
      </x:c>
    </x:row>
    <x:row r="6" ht="18" customHeight="1">
      <x:c r="A6" s="46" t="str">
        <x:v>Perch-likes</x:v>
      </x:c>
      <x:c r="B6" s="64" t="n">
        <x:v>13</x:v>
      </x:c>
      <x:c r="C6" s="64" t="n">
        <x:v>13</x:v>
      </x:c>
      <x:c r="D6" s="60" t="n">
        <x:v>3349.338988</x:v>
      </x:c>
      <x:c r="E6" s="60" t="n">
        <x:v>3349.338988</x:v>
      </x:c>
      <x:c r="F6" s="62" t="n">
        <x:v>0</x:v>
      </x:c>
      <x:c r="G6" s="66" t="n">
        <x:v>1</x:v>
      </x:c>
      <x:c r="H6" s="62" t="n">
        <x:f>IF(E6=0,"",I6/E6)</x:f>
        <x:v>14938.905050216137</x:v>
      </x:c>
      <x:c r="I6" s="60" t="n">
        <x:f>SUMIF('Species'!$H$2:$H$33,A6,'Species'!$U$2:$U$33)</x:f>
        <x:v>50035457.122719005</x:v>
      </x:c>
      <x:c r="J6" s="62" t="n">
        <x:v>4.205712265333115</x:v>
      </x:c>
      <x:c r="K6" s="62" t="n">
        <x:f>IF(J6="","",(1/'Metadata'!$B$5)^(J6-1))</x:f>
        <x:v>14815.892378453305</x:v>
      </x:c>
      <x:c r="L6" s="60" t="n">
        <x:f>IF(E6=0,"",E6*K6)</x:f>
        <x:v>49623445.98516571</x:v>
      </x:c>
      <x:c r="M6" s="60" t="n">
        <x:f>I6-L6</x:f>
        <x:v>412011.137553297</x:v>
      </x:c>
      <x:c r="N6" s="62" t="n">
        <x:f>IF(L6=0,"",I6/L6)</x:f>
        <x:v>1.0083027514388352</x:v>
      </x:c>
      <x:c r="O6" s="66" t="n">
        <x:f>IF(L6=0,"",M6/L6)</x:f>
        <x:v>0.008302751438835231</x:v>
      </x:c>
    </x:row>
    <x:row r="7" ht="18" customHeight="1">
      <x:c r="A7" s="46" t="str">
        <x:v>Sharks &amp; rays</x:v>
      </x:c>
      <x:c r="B7" s="64" t="n">
        <x:v>2</x:v>
      </x:c>
      <x:c r="C7" s="64" t="n">
        <x:v>2</x:v>
      </x:c>
      <x:c r="D7" s="60" t="n">
        <x:v>1.865857</x:v>
      </x:c>
      <x:c r="E7" s="60" t="n">
        <x:v>1.865857</x:v>
      </x:c>
      <x:c r="F7" s="62" t="n">
        <x:v>0</x:v>
      </x:c>
      <x:c r="G7" s="66" t="n">
        <x:v>1</x:v>
      </x:c>
      <x:c r="H7" s="62" t="n">
        <x:f>IF(E7=0,"",I7/E7)</x:f>
        <x:v>2520.7480498182704</x:v>
      </x:c>
      <x:c r="I7" s="60" t="n">
        <x:f>SUMIF('Species'!$H$2:$H$33,A7,'Species'!$U$2:$U$33)</x:f>
        <x:v>4703.355393989768</x:v>
      </x:c>
      <x:c r="J7" s="62" t="n">
        <x:v>3.6143198969695964</x:v>
      </x:c>
      <x:c r="K7" s="62" t="n">
        <x:f>IF(J7="","",(1/'Metadata'!$B$5)^(J7-1))</x:f>
        <x:v>2519.466593227454</x:v>
      </x:c>
      <x:c r="L7" s="60" t="n">
        <x:f>IF(E7=0,"",E7*K7)</x:f>
        <x:v>4700.964379239597</x:v>
      </x:c>
      <x:c r="M7" s="60" t="n">
        <x:f>I7-L7</x:f>
        <x:v>2.3910147501710526</x:v>
      </x:c>
      <x:c r="N7" s="62" t="n">
        <x:f>IF(L7=0,"",I7/L7)</x:f>
        <x:v>1.0005086221798936</x:v>
      </x:c>
      <x:c r="O7" s="66" t="n">
        <x:f>IF(L7=0,"",M7/L7)</x:f>
        <x:v>0.0005086221798936095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8bb95a8f24648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Krill</x:v>
      </x:c>
      <x:c r="B2" s="64" t="n">
        <x:v>2</x:v>
      </x:c>
      <x:c r="C2" s="64" t="n">
        <x:v>2</x:v>
      </x:c>
      <x:c r="D2" s="60" t="n">
        <x:v>0.24526900000000004</x:v>
      </x:c>
      <x:c r="E2" s="60" t="n">
        <x:v>0.24526900000000004</x:v>
      </x:c>
      <x:c r="F2" s="62" t="n">
        <x:v>0</x:v>
      </x:c>
      <x:c r="G2" s="66" t="n">
        <x:v>1</x:v>
      </x:c>
      <x:c r="H2" s="62" t="n">
        <x:f>IF(E2=0,"",I2/E2)</x:f>
        <x:v>42.294562678995</x:v>
      </x:c>
      <x:c r="I2" s="60" t="n">
        <x:f>SUMIF('Species'!$G$2:$G$33,A2,'Species'!$U$2:$U$33)</x:f>
        <x:v>10.373545093714426</x:v>
      </x:c>
      <x:c r="J2" s="62" t="n">
        <x:v>2.2499975537063386</x:v>
      </x:c>
      <x:c r="K2" s="62" t="n">
        <x:f>IF(J2="","",(1/'Metadata'!$B$5)^(J2-1))</x:f>
        <x:v>42.294540583446945</x:v>
      </x:c>
      <x:c r="L2" s="60" t="n">
        <x:f>IF(E2=0,"",E2*K2)</x:f>
        <x:v>10.373539674361451</x:v>
      </x:c>
      <x:c r="M2" s="60" t="n">
        <x:f>I2-L2</x:f>
        <x:v>0.000005419352975266634</x:v>
      </x:c>
      <x:c r="N2" s="62" t="n">
        <x:f>IF(L2=0,"",I2/L2)</x:f>
        <x:v>1.0000005224208077</x:v>
      </x:c>
      <x:c r="O2" s="66" t="n">
        <x:f>IF(L2=0,"",M2/L2)</x:f>
        <x:v>5.224208076883096e-7</x:v>
      </x:c>
    </x:row>
    <x:row r="3" ht="18" customHeight="1">
      <x:c r="A3" s="46" t="str">
        <x:v>Large bathydemersals (&gt;=90 cm)</x:v>
      </x:c>
      <x:c r="B3" s="64" t="n">
        <x:v>1</x:v>
      </x:c>
      <x:c r="C3" s="64" t="n">
        <x:v>1</x:v>
      </x:c>
      <x:c r="D3" s="60" t="n">
        <x:v>0.263086</x:v>
      </x:c>
      <x:c r="E3" s="60" t="n">
        <x:v>0.263086</x:v>
      </x:c>
      <x:c r="F3" s="62" t="n">
        <x:v>0</x:v>
      </x:c>
      <x:c r="G3" s="66" t="n">
        <x:v>1</x:v>
      </x:c>
      <x:c r="H3" s="62" t="n">
        <x:f>IF(E3=0,"",I3/E3)</x:f>
        <x:v>1450.450424461182</x:v>
      </x:c>
      <x:c r="I3" s="60" t="n">
        <x:f>SUMIF('Species'!$G$2:$G$33,A3,'Species'!$U$2:$U$33)</x:f>
        <x:v>381.5932003697945</x:v>
      </x:c>
      <x:c r="J3" s="62" t="n">
        <x:v>3.43</x:v>
      </x:c>
      <x:c r="K3" s="62" t="n">
        <x:f>IF(J3="","",(1/'Metadata'!$B$5)^(J3-1))</x:f>
        <x:v>1450.450424461182</x:v>
      </x:c>
      <x:c r="L3" s="60" t="n">
        <x:f>IF(E3=0,"",E3*K3)</x:f>
        <x:v>381.5932003697945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benthopelagics (&gt;=90 cm)</x:v>
      </x:c>
      <x:c r="B4" s="64" t="n">
        <x:v>1</x:v>
      </x:c>
      <x:c r="C4" s="64" t="n">
        <x:v>1</x:v>
      </x:c>
      <x:c r="D4" s="60" t="n">
        <x:v>3332.822494</x:v>
      </x:c>
      <x:c r="E4" s="60" t="n">
        <x:v>3332.822494</x:v>
      </x:c>
      <x:c r="F4" s="62" t="n">
        <x:v>0</x:v>
      </x:c>
      <x:c r="G4" s="66" t="n">
        <x:v>1</x:v>
      </x:c>
      <x:c r="H4" s="62" t="n">
        <x:f>IF(E4=0,"",I4/E4)</x:f>
        <x:v>15007.428609226863</x:v>
      </x:c>
      <x:c r="I4" s="60" t="n">
        <x:f>SUMIF('Species'!$G$2:$G$33,A4,'Species'!$U$2:$U$33)</x:f>
        <x:v>50017095.645930424</x:v>
      </x:c>
      <x:c r="J4" s="62" t="n">
        <x:v>4.21</x:v>
      </x:c>
      <x:c r="K4" s="62" t="n">
        <x:f>IF(J4="","",(1/'Metadata'!$B$5)^(J4-1))</x:f>
        <x:v>15007.428609226863</x:v>
      </x:c>
      <x:c r="L4" s="60" t="n">
        <x:f>IF(E4=0,"",E4*K4)</x:f>
        <x:v>50017095.645930424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rays (&gt;=90 cm)</x:v>
      </x:c>
      <x:c r="B5" s="64" t="n">
        <x:v>1</x:v>
      </x:c>
      <x:c r="C5" s="64" t="n">
        <x:v>1</x:v>
      </x:c>
      <x:c r="D5" s="60" t="n">
        <x:v>1.59718</x:v>
      </x:c>
      <x:c r="E5" s="60" t="n">
        <x:v>1.59718</x:v>
      </x:c>
      <x:c r="F5" s="62" t="n">
        <x:v>0</x:v>
      </x:c>
      <x:c r="G5" s="66" t="n">
        <x:v>1</x:v>
      </x:c>
      <x:c r="H5" s="62" t="n">
        <x:f>IF(E5=0,"",I5/E5)</x:f>
        <x:v>2487.0716021897506</x:v>
      </x:c>
      <x:c r="I5" s="60" t="n">
        <x:f>SUMIF('Species'!$G$2:$G$33,A5,'Species'!$U$2:$U$33)</x:f>
        <x:v>3972.301021585426</x:v>
      </x:c>
      <x:c r="J5" s="62" t="n">
        <x:v>3.61</x:v>
      </x:c>
      <x:c r="K5" s="62" t="n">
        <x:f>IF(J5="","",(1/'Metadata'!$B$5)^(J5-1))</x:f>
        <x:v>2487.0716021897506</x:v>
      </x:c>
      <x:c r="L5" s="60" t="n">
        <x:f>IF(E5=0,"",E5*K5)</x:f>
        <x:v>3972.301021585426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Large reef assoc. fish (&gt;=90 cm)</x:v>
      </x:c>
      <x:c r="B6" s="64" t="n">
        <x:v>2</x:v>
      </x:c>
      <x:c r="C6" s="64" t="n">
        <x:v>2</x:v>
      </x:c>
      <x:c r="D6" s="60" t="n">
        <x:v>0.033862</x:v>
      </x:c>
      <x:c r="E6" s="60" t="n">
        <x:v>0.033862</x:v>
      </x:c>
      <x:c r="F6" s="62" t="n">
        <x:v>0</x:v>
      </x:c>
      <x:c r="G6" s="66" t="n">
        <x:v>1</x:v>
      </x:c>
      <x:c r="H6" s="62" t="n">
        <x:f>IF(E6=0,"",I6/E6)</x:f>
        <x:v>952.738209186339</x:v>
      </x:c>
      <x:c r="I6" s="60" t="n">
        <x:f>SUMIF('Species'!$G$2:$G$33,A6,'Species'!$U$2:$U$33)</x:f>
        <x:v>32.261621239467814</x:v>
      </x:c>
      <x:c r="J6" s="62" t="n">
        <x:v>3.289662453487685</x:v>
      </x:c>
      <x:c r="K6" s="62" t="n">
        <x:f>IF(J6="","",(1/'Metadata'!$B$5)^(J6-1))</x:f>
        <x:v>952.619641948692</x:v>
      </x:c>
      <x:c r="L6" s="60" t="n">
        <x:f>IF(E6=0,"",E6*K6)</x:f>
        <x:v>32.257606315666614</x:v>
      </x:c>
      <x:c r="M6" s="60" t="n">
        <x:f>I6-L6</x:f>
        <x:v>0.004014923801200609</x:v>
      </x:c>
      <x:c r="N6" s="62" t="n">
        <x:f>IF(L6=0,"",I6/L6)</x:f>
        <x:v>1.0001244644057563</x:v>
      </x:c>
      <x:c r="O6" s="66" t="n">
        <x:f>IF(L6=0,"",M6/L6)</x:f>
        <x:v>0.00012446440575631534</x:v>
      </x:c>
    </x:row>
    <x:row r="7" ht="18" customHeight="1">
      <x:c r="A7" s="46" t="str">
        <x:v>Lobsters, crabs</x:v>
      </x:c>
      <x:c r="B7" s="64" t="n">
        <x:v>2</x:v>
      </x:c>
      <x:c r="C7" s="64" t="n">
        <x:v>2</x:v>
      </x:c>
      <x:c r="D7" s="60" t="n">
        <x:v>0.020435000000000002</x:v>
      </x:c>
      <x:c r="E7" s="60" t="n">
        <x:v>0.020435000000000002</x:v>
      </x:c>
      <x:c r="F7" s="62" t="n">
        <x:v>0</x:v>
      </x:c>
      <x:c r="G7" s="66" t="n">
        <x:v>1</x:v>
      </x:c>
      <x:c r="H7" s="62" t="n">
        <x:f>IF(E7=0,"",I7/E7)</x:f>
        <x:v>203.54059575069743</x:v>
      </x:c>
      <x:c r="I7" s="60" t="n">
        <x:f>SUMIF('Species'!$G$2:$G$33,A7,'Species'!$U$2:$U$33)</x:f>
        <x:v>4.159352074165502</x:v>
      </x:c>
      <x:c r="J7" s="62" t="n">
        <x:v>2.736026425250795</x:v>
      </x:c>
      <x:c r="K7" s="62" t="n">
        <x:f>IF(J7="","",(1/'Metadata'!$B$5)^(J7-1))</x:f>
        <x:v>181.39380569218142</x:v>
      </x:c>
      <x:c r="L7" s="60" t="n">
        <x:f>IF(E7=0,"",E7*K7)</x:f>
        <x:v>3.7067824193197274</x:v>
      </x:c>
      <x:c r="M7" s="60" t="n">
        <x:f>I7-L7</x:f>
        <x:v>0.45256965484577494</x:v>
      </x:c>
      <x:c r="N7" s="62" t="n">
        <x:f>IF(L7=0,"",I7/L7)</x:f>
        <x:v>1.1220923171770172</x:v>
      </x:c>
      <x:c r="O7" s="66" t="n">
        <x:f>IF(L7=0,"",M7/L7)</x:f>
        <x:v>0.1220923171770171</x:v>
      </x:c>
    </x:row>
    <x:row r="8" ht="18" customHeight="1">
      <x:c r="A8" s="46" t="str">
        <x:v>Medium bathydemersals (30 - 89 cm)</x:v>
      </x:c>
      <x:c r="B8" s="64" t="n">
        <x:v>1</x:v>
      </x:c>
      <x:c r="C8" s="64" t="n">
        <x:v>1</x:v>
      </x:c>
      <x:c r="D8" s="60" t="n">
        <x:v>0.02568</x:v>
      </x:c>
      <x:c r="E8" s="60" t="n">
        <x:v>0.02568</x:v>
      </x:c>
      <x:c r="F8" s="62" t="n">
        <x:v>0</x:v>
      </x:c>
      <x:c r="G8" s="66" t="n">
        <x:v>1</x:v>
      </x:c>
      <x:c r="H8" s="62" t="n">
        <x:f>IF(E8=0,"",I8/E8)</x:f>
        <x:v>2206.2112196552644</x:v>
      </x:c>
      <x:c r="I8" s="60" t="n">
        <x:f>SUMIF('Species'!$G$2:$G$33,A8,'Species'!$U$2:$U$33)</x:f>
        <x:v>56.65550412074719</x:v>
      </x:c>
      <x:c r="J8" s="62" t="n">
        <x:v>3.57</x:v>
      </x:c>
      <x:c r="K8" s="62" t="n">
        <x:f>IF(J8="","",(1/'Metadata'!$B$5)^(J8-1))</x:f>
        <x:v>2206.2112196552644</x:v>
      </x:c>
      <x:c r="L8" s="60" t="n">
        <x:f>IF(E8=0,"",E8*K8)</x:f>
        <x:v>56.65550412074719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Medium bathypelagics (30 - 89 cm)</x:v>
      </x:c>
      <x:c r="B9" s="64" t="n">
        <x:v>1</x:v>
      </x:c>
      <x:c r="C9" s="64" t="n">
        <x:v>1</x:v>
      </x:c>
      <x:c r="D9" s="60" t="n">
        <x:v>0.057662</x:v>
      </x:c>
      <x:c r="E9" s="60" t="n">
        <x:v>0.057662</x:v>
      </x:c>
      <x:c r="F9" s="62" t="n">
        <x:v>0</x:v>
      </x:c>
      <x:c r="G9" s="66" t="n">
        <x:v>1</x:v>
      </x:c>
      <x:c r="H9" s="62" t="n">
        <x:f>IF(E9=0,"",I9/E9)</x:f>
        <x:v>1635.0991368927735</x:v>
      </x:c>
      <x:c r="I9" s="60" t="n">
        <x:f>SUMIF('Species'!$G$2:$G$33,A9,'Species'!$U$2:$U$33)</x:f>
        <x:v>94.2830864315111</x:v>
      </x:c>
      <x:c r="J9" s="62" t="n">
        <x:v>3.47</x:v>
      </x:c>
      <x:c r="K9" s="62" t="n">
        <x:f>IF(J9="","",(1/'Metadata'!$B$5)^(J9-1))</x:f>
        <x:v>1635.0991368927735</x:v>
      </x:c>
      <x:c r="L9" s="60" t="n">
        <x:f>IF(E9=0,"",E9*K9)</x:f>
        <x:v>94.2830864315111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Medium benthopelagics (30 - 89 cm)</x:v>
      </x:c>
      <x:c r="B10" s="64" t="n">
        <x:v>6</x:v>
      </x:c>
      <x:c r="C10" s="64" t="n">
        <x:v>6</x:v>
      </x:c>
      <x:c r="D10" s="60" t="n">
        <x:v>123.031462</x:v>
      </x:c>
      <x:c r="E10" s="60" t="n">
        <x:v>123.031462</x:v>
      </x:c>
      <x:c r="F10" s="62" t="n">
        <x:v>0</x:v>
      </x:c>
      <x:c r="G10" s="66" t="n">
        <x:v>1</x:v>
      </x:c>
      <x:c r="H10" s="62" t="n">
        <x:f>IF(E10=0,"",I10/E10)</x:f>
        <x:v>2214.6005793151885</x:v>
      </x:c>
      <x:c r="I10" s="60" t="n">
        <x:f>SUMIF('Species'!$G$2:$G$33,A10,'Species'!$U$2:$U$33)</x:f>
        <x:v>272465.54701919464</x:v>
      </x:c>
      <x:c r="J10" s="62" t="n">
        <x:v>3.568778327124163</x:v>
      </x:c>
      <x:c r="K10" s="62" t="n">
        <x:f>IF(J10="","",(1/'Metadata'!$B$5)^(J10-1))</x:f>
        <x:v>2198.151674284832</x:v>
      </x:c>
      <x:c r="L10" s="60" t="n">
        <x:f>IF(E10=0,"",E10*K10)</x:f>
        <x:v>270441.81418501073</x:v>
      </x:c>
      <x:c r="M10" s="60" t="n">
        <x:f>I10-L10</x:f>
        <x:v>2023.732834183902</x:v>
      </x:c>
      <x:c r="N10" s="62" t="n">
        <x:f>IF(L10=0,"",I10/L10)</x:f>
        <x:v>1.0074830618936739</x:v>
      </x:c>
      <x:c r="O10" s="66" t="n">
        <x:f>IF(L10=0,"",M10/L10)</x:f>
        <x:v>0.00748306189367394</x:v>
      </x:c>
    </x:row>
    <x:row r="11" ht="18" customHeight="1">
      <x:c r="A11" s="46" t="str">
        <x:v>Medium demersals (30 - 89 cm)</x:v>
      </x:c>
      <x:c r="B11" s="64" t="n">
        <x:v>4</x:v>
      </x:c>
      <x:c r="C11" s="64" t="n">
        <x:v>4</x:v>
      </x:c>
      <x:c r="D11" s="60" t="n">
        <x:v>100.48988800000002</x:v>
      </x:c>
      <x:c r="E11" s="60" t="n">
        <x:v>100.48988800000002</x:v>
      </x:c>
      <x:c r="F11" s="62" t="n">
        <x:v>0</x:v>
      </x:c>
      <x:c r="G11" s="66" t="n">
        <x:v>1</x:v>
      </x:c>
      <x:c r="H11" s="62" t="n">
        <x:f>IF(E11=0,"",I11/E11)</x:f>
        <x:v>954.6304106814391</x:v>
      </x:c>
      <x:c r="I11" s="60" t="n">
        <x:f>SUMIF('Species'!$G$2:$G$33,A11,'Species'!$U$2:$U$33)</x:f>
        <x:v>95930.70305077184</x:v>
      </x:c>
      <x:c r="J11" s="62" t="n">
        <x:v>3.2896090001612888</x:v>
      </x:c>
      <x:c r="K11" s="62" t="n">
        <x:f>IF(J11="","",(1/'Metadata'!$B$5)^(J11-1))</x:f>
        <x:v>952.4671094112889</x:v>
      </x:c>
      <x:c r="L11" s="60" t="n">
        <x:f>IF(E11=0,"",E11*K11)</x:f>
        <x:v>95713.31314842419</x:v>
      </x:c>
      <x:c r="M11" s="60" t="n">
        <x:f>I11-L11</x:f>
        <x:v>217.38990234765515</x:v>
      </x:c>
      <x:c r="N11" s="62" t="n">
        <x:f>IF(L11=0,"",I11/L11)</x:f>
        <x:v>1.002271260864312</x:v>
      </x:c>
      <x:c r="O11" s="66" t="n">
        <x:f>IF(L11=0,"",M11/L11)</x:f>
        <x:v>0.002271260864312001</x:v>
      </x:c>
    </x:row>
    <x:row r="12" ht="18" customHeight="1">
      <x:c r="A12" s="46" t="str">
        <x:v>Medium pelagics (30 - 89 cm)</x:v>
      </x:c>
      <x:c r="B12" s="64" t="n">
        <x:v>1</x:v>
      </x:c>
      <x:c r="C12" s="64" t="n">
        <x:v>1</x:v>
      </x:c>
      <x:c r="D12" s="60" t="n">
        <x:v>0.39734</x:v>
      </x:c>
      <x:c r="E12" s="60" t="n">
        <x:v>0.39734</x:v>
      </x:c>
      <x:c r="F12" s="62" t="n">
        <x:v>0</x:v>
      </x:c>
      <x:c r="G12" s="66" t="n">
        <x:v>1</x:v>
      </x:c>
      <x:c r="H12" s="62" t="n">
        <x:f>IF(E12=0,"",I12/E12)</x:f>
        <x:v>1325.7816069359944</x:v>
      </x:c>
      <x:c r="I12" s="60" t="n">
        <x:f>SUMIF('Species'!$G$2:$G$33,A12,'Species'!$U$2:$U$33)</x:f>
        <x:v>526.786063699948</x:v>
      </x:c>
      <x:c r="J12" s="62" t="n">
        <x:v>3.4</x:v>
      </x:c>
      <x:c r="K12" s="62" t="n">
        <x:f>IF(J12="","",(1/'Metadata'!$B$5)^(J12-1))</x:f>
        <x:v>1325.7816069359944</x:v>
      </x:c>
      <x:c r="L12" s="60" t="n">
        <x:f>IF(E12=0,"",E12*K12)</x:f>
        <x:v>526.786063699948</x:v>
      </x:c>
      <x:c r="M12" s="60" t="n">
        <x:f>I12-L12</x:f>
        <x:v>0</x:v>
      </x:c>
      <x:c r="N12" s="62" t="n">
        <x:f>IF(L12=0,"",I12/L12)</x:f>
        <x:v>1</x:v>
      </x:c>
      <x:c r="O12" s="66" t="n">
        <x:f>IF(L12=0,"",M12/L12)</x:f>
        <x:v>0</x:v>
      </x:c>
    </x:row>
    <x:row r="13" ht="18" customHeight="1">
      <x:c r="A13" s="46" t="str">
        <x:v>Other demersal invertebrates</x:v>
      </x:c>
      <x:c r="B13" s="64" t="n">
        <x:v>1</x:v>
      </x:c>
      <x:c r="C13" s="64" t="n">
        <x:v>1</x:v>
      </x:c>
      <x:c r="D13" s="60" t="n">
        <x:v>0.000397</x:v>
      </x:c>
      <x:c r="E13" s="60" t="n">
        <x:v>0.000397</x:v>
      </x:c>
      <x:c r="F13" s="62" t="n">
        <x:v>0</x:v>
      </x:c>
      <x:c r="G13" s="66" t="n">
        <x:v>1</x:v>
      </x:c>
      <x:c r="H13" s="62" t="n">
        <x:f>IF(E13=0,"",I13/E13)</x:f>
        <x:v>26.985656953471274</x:v>
      </x:c>
      <x:c r="I13" s="60" t="n">
        <x:f>SUMIF('Species'!$G$2:$G$33,A13,'Species'!$U$2:$U$33)</x:f>
        <x:v>0.010713305810528095</x:v>
      </x:c>
      <x:c r="J13" s="62" t="n">
        <x:v>2.1</x:v>
      </x:c>
      <x:c r="K13" s="62" t="n">
        <x:f>IF(J13="","",(1/'Metadata'!$B$5)^(J13-1))</x:f>
        <x:v>26.985656953471274</x:v>
      </x:c>
      <x:c r="L13" s="60" t="n">
        <x:f>IF(E13=0,"",E13*K13)</x:f>
        <x:v>0.010713305810528095</x:v>
      </x:c>
      <x:c r="M13" s="60" t="n">
        <x:f>I13-L13</x:f>
        <x:v>0</x:v>
      </x:c>
      <x:c r="N13" s="62" t="n">
        <x:f>IF(L13=0,"",I13/L13)</x:f>
        <x:v>1</x:v>
      </x:c>
      <x:c r="O13" s="66" t="n">
        <x:f>IF(L13=0,"",M13/L13)</x:f>
        <x:v>0</x:v>
      </x:c>
    </x:row>
    <x:row r="14" ht="18" customHeight="1">
      <x:c r="A14" s="46" t="str">
        <x:v>Shrimps</x:v>
      </x:c>
      <x:c r="B14" s="64" t="n">
        <x:v>1</x:v>
      </x:c>
      <x:c r="C14" s="64" t="n">
        <x:v>1</x:v>
      </x:c>
      <x:c r="D14" s="60" t="n">
        <x:v>0.000065</x:v>
      </x:c>
      <x:c r="E14" s="60" t="n">
        <x:v>0.000065</x:v>
      </x:c>
      <x:c r="F14" s="62" t="n">
        <x:v>0</x:v>
      </x:c>
      <x:c r="G14" s="66" t="n">
        <x:v>1</x:v>
      </x:c>
      <x:c r="H14" s="62" t="n">
        <x:f>IF(E14=0,"",I14/E14)</x:f>
        <x:v>162.83621261476185</x:v>
      </x:c>
      <x:c r="I14" s="60" t="n">
        <x:f>SUMIF('Species'!$G$2:$G$33,A14,'Species'!$U$2:$U$33)</x:f>
        <x:v>0.01058435381995952</x:v>
      </x:c>
      <x:c r="J14" s="62" t="n">
        <x:v>2.7</x:v>
      </x:c>
      <x:c r="K14" s="62" t="n">
        <x:f>IF(J14="","",(1/'Metadata'!$B$5)^(J14-1))</x:f>
        <x:v>162.83621261476185</x:v>
      </x:c>
      <x:c r="L14" s="60" t="n">
        <x:f>IF(E14=0,"",E14*K14)</x:f>
        <x:v>0.01058435381995952</x:v>
      </x:c>
      <x:c r="M14" s="60" t="n">
        <x:f>I14-L14</x:f>
        <x:v>0</x:v>
      </x:c>
      <x:c r="N14" s="62" t="n">
        <x:f>IF(L14=0,"",I14/L14)</x:f>
        <x:v>1</x:v>
      </x:c>
      <x:c r="O14" s="66" t="n">
        <x:f>IF(L14=0,"",M14/L14)</x:f>
        <x:v>0</x:v>
      </x:c>
    </x:row>
    <x:row r="15" ht="18" customHeight="1">
      <x:c r="A15" s="46" t="str">
        <x:v>Small bathydemersals (&lt;30 cm)</x:v>
      </x:c>
      <x:c r="B15" s="64" t="n">
        <x:v>1</x:v>
      </x:c>
      <x:c r="C15" s="64" t="n">
        <x:v>1</x:v>
      </x:c>
      <x:c r="D15" s="60" t="n">
        <x:v>0.00157</x:v>
      </x:c>
      <x:c r="E15" s="60" t="n">
        <x:v>0.00157</x:v>
      </x:c>
      <x:c r="F15" s="62" t="n">
        <x:v>0</x:v>
      </x:c>
      <x:c r="G15" s="66" t="n">
        <x:v>1</x:v>
      </x:c>
      <x:c r="H15" s="62" t="n">
        <x:f>IF(E15=0,"",I15/E15)</x:f>
        <x:v>953.5834171618228</x:v>
      </x:c>
      <x:c r="I15" s="60" t="n">
        <x:f>SUMIF('Species'!$G$2:$G$33,A15,'Species'!$U$2:$U$33)</x:f>
        <x:v>1.4971259649440618</x:v>
      </x:c>
      <x:c r="J15" s="62" t="n">
        <x:v>3.29</x:v>
      </x:c>
      <x:c r="K15" s="62" t="n">
        <x:f>IF(J15="","",(1/'Metadata'!$B$5)^(J15-1))</x:f>
        <x:v>953.5834171618228</x:v>
      </x:c>
      <x:c r="L15" s="60" t="n">
        <x:f>IF(E15=0,"",E15*K15)</x:f>
        <x:v>1.4971259649440618</x:v>
      </x:c>
      <x:c r="M15" s="60" t="n">
        <x:f>I15-L15</x:f>
        <x:v>0</x:v>
      </x:c>
      <x:c r="N15" s="62" t="n">
        <x:f>IF(L15=0,"",I15/L15)</x:f>
        <x:v>1</x:v>
      </x:c>
      <x:c r="O15" s="66" t="n">
        <x:f>IF(L15=0,"",M15/L15)</x:f>
        <x:v>0</x:v>
      </x:c>
    </x:row>
    <x:row r="16" ht="18" customHeight="1">
      <x:c r="A16" s="46" t="str">
        <x:v>Small bathypelagics (&lt;30 cm)</x:v>
      </x:c>
      <x:c r="B16" s="64" t="n">
        <x:v>2</x:v>
      </x:c>
      <x:c r="C16" s="64" t="n">
        <x:v>2</x:v>
      </x:c>
      <x:c r="D16" s="60" t="n">
        <x:v>0.00089</x:v>
      </x:c>
      <x:c r="E16" s="60" t="n">
        <x:v>0.00089</x:v>
      </x:c>
      <x:c r="F16" s="62" t="n">
        <x:v>0</x:v>
      </x:c>
      <x:c r="G16" s="66" t="n">
        <x:v>1</x:v>
      </x:c>
      <x:c r="H16" s="62" t="n">
        <x:f>IF(E16=0,"",I16/E16)</x:f>
        <x:v>1215.923082712204</x:v>
      </x:c>
      <x:c r="I16" s="60" t="n">
        <x:f>SUMIF('Species'!$G$2:$G$33,A16,'Species'!$U$2:$U$33)</x:f>
        <x:v>1.0821715436138615</x:v>
      </x:c>
      <x:c r="J16" s="62" t="n">
        <x:v>3.3687640449438208</x:v>
      </x:c>
      <x:c r="K16" s="62" t="n">
        <x:f>IF(J16="","",(1/'Metadata'!$B$5)^(J16-1))</x:f>
        <x:v>1207.349690513552</x:v>
      </x:c>
      <x:c r="L16" s="60" t="n">
        <x:f>IF(E16=0,"",E16*K16)</x:f>
        <x:v>1.0745412245570614</x:v>
      </x:c>
      <x:c r="M16" s="60" t="n">
        <x:f>I16-L16</x:f>
        <x:v>0.007630319056800117</x:v>
      </x:c>
      <x:c r="N16" s="62" t="n">
        <x:f>IF(L16=0,"",I16/L16)</x:f>
        <x:v>1.0071010016948818</x:v>
      </x:c>
      <x:c r="O16" s="66" t="n">
        <x:f>IF(L16=0,"",M16/L16)</x:f>
        <x:v>0.007101001694881855</x:v>
      </x:c>
    </x:row>
    <x:row r="17" ht="18" customHeight="1">
      <x:c r="A17" s="46" t="str">
        <x:v>Small demersals (&lt;30 cm)</x:v>
      </x:c>
      <x:c r="B17" s="64" t="n">
        <x:v>2</x:v>
      </x:c>
      <x:c r="C17" s="64" t="n">
        <x:v>2</x:v>
      </x:c>
      <x:c r="D17" s="60" t="n">
        <x:v>0.041961000000000005</x:v>
      </x:c>
      <x:c r="E17" s="60" t="n">
        <x:v>0.041961000000000005</x:v>
      </x:c>
      <x:c r="F17" s="62" t="n">
        <x:v>0</x:v>
      </x:c>
      <x:c r="G17" s="66" t="n">
        <x:v>1</x:v>
      </x:c>
      <x:c r="H17" s="62" t="n">
        <x:f>IF(E17=0,"",I17/E17)</x:f>
        <x:v>543.1256078582544</x:v>
      </x:c>
      <x:c r="I17" s="60" t="n">
        <x:f>SUMIF('Species'!$G$2:$G$33,A17,'Species'!$U$2:$U$33)</x:f>
        <x:v>22.790093631340216</x:v>
      </x:c>
      <x:c r="J17" s="62" t="n">
        <x:v>3.101417983365506</x:v>
      </x:c>
      <x:c r="K17" s="62" t="n">
        <x:f>IF(J17="","",(1/'Metadata'!$B$5)^(J17-1))</x:f>
        <x:v>542.0106620877576</x:v>
      </x:c>
      <x:c r="L17" s="60" t="n">
        <x:f>IF(E17=0,"",E17*K17)</x:f>
        <x:v>22.7433093918644</x:v>
      </x:c>
      <x:c r="M17" s="60" t="n">
        <x:f>I17-L17</x:f>
        <x:v>0.04678423947581578</x:v>
      </x:c>
      <x:c r="N17" s="62" t="n">
        <x:f>IF(L17=0,"",I17/L17)</x:f>
        <x:v>1.0020570550516519</x:v>
      </x:c>
      <x:c r="O17" s="66" t="n">
        <x:f>IF(L17=0,"",M17/L17)</x:f>
        <x:v>0.0020570550516518567</x:v>
      </x:c>
    </x:row>
    <x:row r="18" ht="18" customHeight="1">
      <x:c r="A18" s="46" t="str">
        <x:v>Small pelagics (&lt;30 cm)</x:v>
      </x:c>
      <x:c r="B18" s="64" t="n">
        <x:v>2</x:v>
      </x:c>
      <x:c r="C18" s="64" t="n">
        <x:v>2</x:v>
      </x:c>
      <x:c r="D18" s="60" t="n">
        <x:v>0.029945</x:v>
      </x:c>
      <x:c r="E18" s="60" t="n">
        <x:v>0.029945</x:v>
      </x:c>
      <x:c r="F18" s="62" t="n">
        <x:v>0</x:v>
      </x:c>
      <x:c r="G18" s="66" t="n">
        <x:v>1</x:v>
      </x:c>
      <x:c r="H18" s="62" t="n">
        <x:f>IF(E18=0,"",I18/E18)</x:f>
        <x:v>855.3941464831682</x:v>
      </x:c>
      <x:c r="I18" s="60" t="n">
        <x:f>SUMIF('Species'!$G$2:$G$33,A18,'Species'!$U$2:$U$33)</x:f>
        <x:v>25.61477771643847</x:v>
      </x:c>
      <x:c r="J18" s="62" t="n">
        <x:v>3.252102187343463</x:v>
      </x:c>
      <x:c r="K18" s="62" t="n">
        <x:f>IF(J18="","",(1/'Metadata'!$B$5)^(J18-1))</x:f>
        <x:v>851.240932961149</x:v>
      </x:c>
      <x:c r="L18" s="60" t="n">
        <x:f>IF(E18=0,"",E18*K18)</x:f>
        <x:v>25.490409737521606</x:v>
      </x:c>
      <x:c r="M18" s="60" t="n">
        <x:f>I18-L18</x:f>
        <x:v>0.12436797891686524</x:v>
      </x:c>
      <x:c r="N18" s="62" t="n">
        <x:f>IF(L18=0,"",I18/L18)</x:f>
        <x:v>1.004879010584667</x:v>
      </x:c>
      <x:c r="O18" s="66" t="n">
        <x:f>IF(L18=0,"",M18/L18)</x:f>
        <x:v>0.004879010584666944</x:v>
      </x:c>
    </x:row>
    <x:row r="19" ht="18" customHeight="1">
      <x:c r="A19" s="46" t="str">
        <x:v>Small to medium rays (&lt;90 cm)</x:v>
      </x:c>
      <x:c r="B19" s="64" t="n">
        <x:v>1</x:v>
      </x:c>
      <x:c r="C19" s="64" t="n">
        <x:v>1</x:v>
      </x:c>
      <x:c r="D19" s="60" t="n">
        <x:v>0.26867699999999994</x:v>
      </x:c>
      <x:c r="E19" s="60" t="n">
        <x:v>0.26867699999999994</x:v>
      </x:c>
      <x:c r="F19" s="62" t="n">
        <x:v>0</x:v>
      </x:c>
      <x:c r="G19" s="66" t="n">
        <x:v>1</x:v>
      </x:c>
      <x:c r="H19" s="62" t="n">
        <x:f>IF(E19=0,"",I19/E19)</x:f>
        <x:v>2720.9413995404984</x:v>
      </x:c>
      <x:c r="I19" s="60" t="n">
        <x:f>SUMIF('Species'!$G$2:$G$33,A19,'Species'!$U$2:$U$33)</x:f>
        <x:v>731.0543724043423</x:v>
      </x:c>
      <x:c r="J19" s="62" t="n">
        <x:v>3.64</x:v>
      </x:c>
      <x:c r="K19" s="62" t="n">
        <x:f>IF(J19="","",(1/'Metadata'!$B$5)^(J19-1))</x:f>
        <x:v>2720.9413995404984</x:v>
      </x:c>
      <x:c r="L19" s="60" t="n">
        <x:f>IF(E19=0,"",E19*K19)</x:f>
        <x:v>731.0543724043423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a7b9e40524047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HS_088</x:v>
      </x:c>
      <x:c r="B2" s="46" t="str">
        <x:v>raw_filtered_tonnes</x:v>
      </x:c>
      <x:c r="C2" s="46" t="n">
        <x:v>3559.327863</x:v>
      </x:c>
      <x:c r="D2" s="46" t="str">
        <x:v>tonnes</x:v>
      </x:c>
    </x:row>
    <x:row r="3" ht="18" customHeight="1">
      <x:c r="A3" s="46" t="str">
        <x:v>HS_088</x:v>
      </x:c>
      <x:c r="B3" s="46" t="str">
        <x:v>species_catch_tonnes</x:v>
      </x:c>
      <x:c r="C3" s="46" t="n">
        <x:v>3559.327863</x:v>
      </x:c>
      <x:c r="D3" s="46" t="str">
        <x:v>tonnes</x:v>
      </x:c>
    </x:row>
    <x:row r="4" ht="18" customHeight="1">
      <x:c r="A4" s="46" t="str">
        <x:v>HS_088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HS_088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HS_088</x:v>
      </x:c>
      <x:c r="B6" s="46" t="str">
        <x:v>matched_catch_tonnes</x:v>
      </x:c>
      <x:c r="C6" s="46" t="n">
        <x:v>3559.327863</x:v>
      </x:c>
      <x:c r="D6" s="46" t="str">
        <x:v>tonnes</x:v>
      </x:c>
    </x:row>
    <x:row r="7" ht="18" customHeight="1">
      <x:c r="A7" s="46" t="str">
        <x:v>HS_088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HS_088</x:v>
      </x:c>
      <x:c r="B8" s="46" t="str">
        <x:v>taxa_count</x:v>
      </x:c>
      <x:c r="C8" s="46" t="n">
        <x:v>32</x:v>
      </x:c>
      <x:c r="D8" s="46" t="str">
        <x:v>count</x:v>
      </x:c>
    </x:row>
    <x:row r="9" ht="18" customHeight="1">
      <x:c r="A9" s="46" t="str">
        <x:v>HS_088</x:v>
      </x:c>
      <x:c r="B9" s="46" t="str">
        <x:v>matched_taxa_count</x:v>
      </x:c>
      <x:c r="C9" s="46" t="n">
        <x:v>32</x:v>
      </x:c>
      <x:c r="D9" s="46" t="str">
        <x:v>count</x:v>
      </x:c>
    </x:row>
    <x:row r="10" ht="18" customHeight="1">
      <x:c r="A10" s="46" t="str">
        <x:v>HS_088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HS_088</x:v>
      </x:c>
      <x:c r="B11" s="46" t="str">
        <x:v>species_ppr</x:v>
      </x:c>
      <x:c r="C11" s="46" t="n">
        <x:v>50391352.36923393</x:v>
      </x:c>
      <x:c r="D11" s="46" t="str">
        <x:v>tonnes_primary_production_equivalent</x:v>
      </x:c>
    </x:row>
    <x:row r="12" ht="18" customHeight="1">
      <x:c r="A12" s="46" t="str">
        <x:v>HS_088</x:v>
      </x:c>
      <x:c r="B12" s="46" t="str">
        <x:v>commercial_ppr</x:v>
      </x:c>
      <x:c r="C12" s="46" t="n">
        <x:v>50391352.369233936</x:v>
      </x:c>
      <x:c r="D12" s="46" t="str">
        <x:v>tonnes_primary_production_equivalent</x:v>
      </x:c>
    </x:row>
    <x:row r="13" ht="18" customHeight="1">
      <x:c r="A13" s="46" t="str">
        <x:v>HS_088</x:v>
      </x:c>
      <x:c r="B13" s="46" t="str">
        <x:v>functional_ppr</x:v>
      </x:c>
      <x:c r="C13" s="46" t="n">
        <x:v>50391352.36923393</x:v>
      </x:c>
      <x:c r="D13" s="46" t="str">
        <x:v>tonnes_primary_production_equivalent</x:v>
      </x:c>
    </x:row>
    <x:row r="14" ht="18" customHeight="1">
      <x:c r="A14" s="46" t="str">
        <x:v>HS_088</x:v>
      </x:c>
      <x:c r="B14" s="46" t="str">
        <x:v>commercial_ppr_difference</x:v>
      </x:c>
      <x:c r="C14" s="46" t="n">
        <x:v>7.450580596923828e-9</x:v>
      </x:c>
      <x:c r="D14" s="46" t="str">
        <x:v>tonnes_primary_production_equivalent</x:v>
      </x:c>
    </x:row>
    <x:row r="15" ht="18" customHeight="1">
      <x:c r="A15" s="46" t="str">
        <x:v>HS_088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HS_088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HS_088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HS_088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HS_088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f38b46dc64c48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HS_088 - Pacific, Antarctic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HS_088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raw_data/SAU_downloads/HS_088-catch.zip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