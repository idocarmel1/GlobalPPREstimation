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ff68999a3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60947e287eb4ea4"/>
    <x:sheet xmlns:r="http://schemas.openxmlformats.org/officeDocument/2006/relationships" name="Commercial" sheetId="2" r:id="R04ddb37c81194016"/>
    <x:sheet xmlns:r="http://schemas.openxmlformats.org/officeDocument/2006/relationships" name="Functional" sheetId="3" r:id="R026c4d84c3b04e79"/>
    <x:sheet xmlns:r="http://schemas.openxmlformats.org/officeDocument/2006/relationships" name="Missing TL" sheetId="4" r:id="R2a445df3426f4602"/>
    <x:sheet xmlns:r="http://schemas.openxmlformats.org/officeDocument/2006/relationships" name="Validation" sheetId="5" r:id="R8e24e25328904d18"/>
    <x:sheet xmlns:r="http://schemas.openxmlformats.org/officeDocument/2006/relationships" name="Metadata" sheetId="6" r:id="Rf922dca49b07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f163cc38d468a" /><Relationship Type="http://schemas.openxmlformats.org/officeDocument/2006/relationships/theme" Target="/xl/theme/theme1.xml" Id="R22155660087c4cf7" /><Relationship Type="http://schemas.openxmlformats.org/officeDocument/2006/relationships/sharedStrings" Target="/xl/sharedStrings.xml" Id="R79b0ec85f5064aeb" /><Relationship Type="http://schemas.openxmlformats.org/officeDocument/2006/relationships/worksheet" Target="/xl/worksheets/sheet1.xml" Id="Rd60947e287eb4ea4" /><Relationship Type="http://schemas.openxmlformats.org/officeDocument/2006/relationships/worksheet" Target="/xl/worksheets/sheet2.xml" Id="R04ddb37c81194016" /><Relationship Type="http://schemas.openxmlformats.org/officeDocument/2006/relationships/worksheet" Target="/xl/worksheets/sheet3.xml" Id="R026c4d84c3b04e79" /><Relationship Type="http://schemas.openxmlformats.org/officeDocument/2006/relationships/worksheet" Target="/xl/worksheets/sheet4.xml" Id="R2a445df3426f4602" /><Relationship Type="http://schemas.openxmlformats.org/officeDocument/2006/relationships/worksheet" Target="/xl/worksheets/sheet5.xml" Id="R8e24e25328904d18" /><Relationship Type="http://schemas.openxmlformats.org/officeDocument/2006/relationships/worksheet" Target="/xl/worksheets/sheet6.xml" Id="Rf922dca49b0749a5" /></Relationships>
</file>

<file path=xl/tables/table1.xml><?xml version="1.0" encoding="utf-8"?>
<x:table xmlns:x="http://schemas.openxmlformats.org/spreadsheetml/2006/main" id="1" name="LME026SpeciesTable" displayName="LME026SpeciesTable" ref="A1:U483" headerRowCount="1" totalsRowCount="0" totalsRowShown="0">
  <x:autoFilter ref="A1:U4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6CommercialTable" displayName="LME026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6FunctionalTable" displayName="LME026FunctionalTable" ref="A1:O29" headerRowCount="1" totalsRowCount="0" totalsRowShown="0">
  <x:autoFilter ref="A1:O2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6ValidationTable" displayName="LME02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7529f951b4d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4e980cfa144a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161afea48446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db6189ba16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LME_026</x:v>
      </x:c>
      <x:c r="B2" s="46" t="str">
        <x:v>Mediterranean Sea</x:v>
      </x:c>
      <x:c r="C2" s="46" t="str">
        <x:v>LME</x:v>
      </x:c>
      <x:c r="D2" s="58" t="n">
        <x:v>2019</x:v>
      </x:c>
      <x:c r="E2" s="46" t="str">
        <x:v>Sardina pilchardus</x:v>
      </x:c>
      <x:c r="F2" s="46" t="str">
        <x:v>European pilchard</x:v>
      </x:c>
      <x:c r="G2" s="46" t="str">
        <x:v>Small pelagics (&lt;30 cm)</x:v>
      </x:c>
      <x:c r="H2" s="46" t="str">
        <x:v>Herring-likes</x:v>
      </x:c>
      <x:c r="I2" s="60" t="n">
        <x:v>186123.17564124722</x:v>
      </x:c>
      <x:c r="J2" s="60" t="n">
        <x:v>183783.7482649439</x:v>
      </x:c>
      <x:c r="K2" s="60" t="n">
        <x:v>2339.4273763033</x:v>
      </x:c>
      <x:c r="L2" s="60" t="n">
        <x:v>137380.5976868267</x:v>
      </x:c>
      <x:c r="M2" s="60" t="n">
        <x:v>48742.5779544205</x:v>
      </x:c>
      <x:c r="N2" s="46" t="str">
        <x:v>sardina pilchardus</x:v>
      </x:c>
      <x:c r="O2" s="62" t="n">
        <x:v>3.06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Sardina pilchardus</x:v>
      </x:c>
      <x:c r="T2" s="62" t="n">
        <x:f>IF(O2="","",(1/'Metadata'!$B$5)^(O2-1))</x:f>
        <x:v>478.7643354384948</x:v>
      </x:c>
      <x:c r="U2" s="60" t="n">
        <x:f>IF(T2="","",I2*T2)</x:f>
        <x:v>89109138.49558397</x:v>
      </x:c>
    </x:row>
    <x:row r="3" ht="18" customHeight="1">
      <x:c r="A3" s="46" t="str">
        <x:v>LME_026</x:v>
      </x:c>
      <x:c r="B3" s="46" t="str">
        <x:v>Mediterranean Sea</x:v>
      </x:c>
      <x:c r="C3" s="46" t="str">
        <x:v>LME</x:v>
      </x:c>
      <x:c r="D3" s="58" t="n">
        <x:v>2019</x:v>
      </x:c>
      <x:c r="E3" s="46" t="str">
        <x:v>Engraulis encrasicolus</x:v>
      </x:c>
      <x:c r="F3" s="46" t="str">
        <x:v>European anchovy</x:v>
      </x:c>
      <x:c r="G3" s="46" t="str">
        <x:v>Small pelagics (&lt;30 cm)</x:v>
      </x:c>
      <x:c r="H3" s="46" t="str">
        <x:v>Anchovies</x:v>
      </x:c>
      <x:c r="I3" s="60" t="n">
        <x:v>161799.0815994544</x:v>
      </x:c>
      <x:c r="J3" s="60" t="n">
        <x:v>157904.7904879902</x:v>
      </x:c>
      <x:c r="K3" s="60" t="n">
        <x:v>3894.2911114641997</x:v>
      </x:c>
      <x:c r="L3" s="60" t="n">
        <x:v>132511.4412129077</x:v>
      </x:c>
      <x:c r="M3" s="60" t="n">
        <x:v>29287.6403865467</x:v>
      </x:c>
      <x:c r="N3" s="46" t="str">
        <x:v>engraulis encrasicolus</x:v>
      </x:c>
      <x:c r="O3" s="62" t="n">
        <x:v>3.11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Engraulis encrasicolus</x:v>
      </x:c>
      <x:c r="T3" s="62" t="n">
        <x:f>IF(O3="","",(1/'Metadata'!$B$5)^(O3-1))</x:f>
        <x:v>556.1261167405597</x:v>
      </x:c>
      <x:c r="U3" s="60" t="n">
        <x:f>IF(T3="","",I3*T3)</x:f>
        <x:v>89980694.94209352</x:v>
      </x:c>
    </x:row>
    <x:row r="4" ht="18" customHeight="1">
      <x:c r="A4" s="46" t="str">
        <x:v>LME_026</x:v>
      </x:c>
      <x:c r="B4" s="46" t="str">
        <x:v>Mediterranean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152670.9159480716</x:v>
      </x:c>
      <x:c r="J4" s="60" t="n">
        <x:v>113038.0444936671</x:v>
      </x:c>
      <x:c r="K4" s="60" t="n">
        <x:v>39632.8714544045</x:v>
      </x:c>
      <x:c r="L4" s="60" t="n">
        <x:v>83395.7465571897</x:v>
      </x:c>
      <x:c r="M4" s="60" t="n">
        <x:v>69275.1693908819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141287812.52601102</x:v>
      </x:c>
    </x:row>
    <x:row r="5" ht="18" customHeight="1">
      <x:c r="A5" s="46" t="str">
        <x:v>LME_026</x:v>
      </x:c>
      <x:c r="B5" s="46" t="str">
        <x:v>Mediterranean Sea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55324.6387035104</x:v>
      </x:c>
      <x:c r="J5" s="60" t="n">
        <x:v>55324.4899448428</x:v>
      </x:c>
      <x:c r="K5" s="60" t="n">
        <x:v>0.1487586676</x:v>
      </x:c>
      <x:c r="L5" s="60" t="n">
        <x:v>51213.973678278395</x:v>
      </x:c>
      <x:c r="M5" s="60" t="n">
        <x:v>4110.6650252320005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200.82745854094426</x:v>
      </x:c>
      <x:c r="U5" s="60" t="n">
        <x:f>IF(T5="","",I5*T5)</x:f>
        <x:v>11110706.585521955</x:v>
      </x:c>
    </x:row>
    <x:row r="6" ht="18" customHeight="1">
      <x:c r="A6" s="46" t="str">
        <x:v>LME_026</x:v>
      </x:c>
      <x:c r="B6" s="46" t="str">
        <x:v>Mediterranean Sea</x:v>
      </x:c>
      <x:c r="C6" s="46" t="str">
        <x:v>LME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36653.482217290206</x:v>
      </x:c>
      <x:c r="J6" s="60" t="n">
        <x:v>35952.4363036576</x:v>
      </x:c>
      <x:c r="K6" s="60" t="n">
        <x:v>701.0459136326</x:v>
      </x:c>
      <x:c r="L6" s="60" t="n">
        <x:v>34933.3861735941</x:v>
      </x:c>
      <x:c r="M6" s="60" t="n">
        <x:v>1720.0960436961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22827.086550132422</x:v>
      </x:c>
      <x:c r="U6" s="60" t="n">
        <x:f>IF(T6="","",I6*T6)</x:f>
        <x:v>836692210.9378232</x:v>
      </x:c>
    </x:row>
    <x:row r="7" ht="18" customHeight="1">
      <x:c r="A7" s="46" t="str">
        <x:v>LME_026</x:v>
      </x:c>
      <x:c r="B7" s="46" t="str">
        <x:v>Mediterranean Sea</x:v>
      </x:c>
      <x:c r="C7" s="46" t="str">
        <x:v>LME</x:v>
      </x:c>
      <x:c r="D7" s="58" t="n">
        <x:v>2019</x:v>
      </x:c>
      <x:c r="E7" s="46" t="str">
        <x:v>Mytilus galloprovincialis</x:v>
      </x:c>
      <x:c r="F7" s="46" t="str">
        <x:v>Mediterranean mussel</x:v>
      </x:c>
      <x:c r="G7" s="46" t="str">
        <x:v>Other demersal invertebrates</x:v>
      </x:c>
      <x:c r="H7" s="46" t="str">
        <x:v>Molluscs</x:v>
      </x:c>
      <x:c r="I7" s="60" t="n">
        <x:v>36542.9592023749</x:v>
      </x:c>
      <x:c r="J7" s="60" t="n">
        <x:v>36541.941780908295</x:v>
      </x:c>
      <x:c r="K7" s="60" t="n">
        <x:v>1.0174214666</x:v>
      </x:c>
      <x:c r="L7" s="60" t="n">
        <x:v>478.9622633475</x:v>
      </x:c>
      <x:c r="M7" s="60" t="n">
        <x:v>36063.9969390274</x:v>
      </x:c>
      <x:c r="N7" s="46" t="str">
        <x:v>mytilus galloprovincialis</x:v>
      </x:c>
      <x:c r="O7" s="62" t="n">
        <x:v>2.69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Mytilus galloprovincialis</x:v>
      </x:c>
      <x:c r="T7" s="62" t="n">
        <x:f>IF(O7="","",(1/'Metadata'!$B$5)^(O7-1))</x:f>
        <x:v>158.03041939403977</x:v>
      </x:c>
      <x:c r="U7" s="60" t="n">
        <x:f>IF(T7="","",I7*T7)</x:f>
        <x:v>5774899.16865059</x:v>
      </x:c>
    </x:row>
    <x:row r="8" ht="18" customHeight="1">
      <x:c r="A8" s="46" t="str">
        <x:v>LME_026</x:v>
      </x:c>
      <x:c r="B8" s="46" t="str">
        <x:v>Mediterranean Sea</x:v>
      </x:c>
      <x:c r="C8" s="46" t="str">
        <x:v>LME</x:v>
      </x:c>
      <x:c r="D8" s="58" t="n">
        <x:v>2019</x:v>
      </x:c>
      <x:c r="E8" s="46" t="str">
        <x:v>Trachurus trachurus</x:v>
      </x:c>
      <x:c r="F8" s="46" t="str">
        <x:v>Atlantic horse mackerel</x:v>
      </x:c>
      <x:c r="G8" s="46" t="str">
        <x:v>Medium pelagics (30 - 89 cm)</x:v>
      </x:c>
      <x:c r="H8" s="46" t="str">
        <x:v>Perch-likes</x:v>
      </x:c>
      <x:c r="I8" s="60" t="n">
        <x:v>34244.8835583518</x:v>
      </x:c>
      <x:c r="J8" s="60" t="n">
        <x:v>28747.2753410641</x:v>
      </x:c>
      <x:c r="K8" s="60" t="n">
        <x:v>5497.6082172877</x:v>
      </x:c>
      <x:c r="L8" s="60" t="n">
        <x:v>23382.955660706</x:v>
      </x:c>
      <x:c r="M8" s="60" t="n">
        <x:v>10861.9278976458</x:v>
      </x:c>
      <x:c r="N8" s="46" t="str">
        <x:v>trachurus trachurus</x:v>
      </x:c>
      <x:c r="O8" s="62" t="n">
        <x:v>3.71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Trachurus trachurus</x:v>
      </x:c>
      <x:c r="T8" s="62" t="n">
        <x:f>IF(O8="","",(1/'Metadata'!$B$5)^(O8-1))</x:f>
        <x:v>3355.7630537706395</x:v>
      </x:c>
      <x:c r="U8" s="60" t="n">
        <x:f>IF(T8="","",I8*T8)</x:f>
        <x:v>114917715.02579461</x:v>
      </x:c>
    </x:row>
    <x:row r="9" ht="18" customHeight="1">
      <x:c r="A9" s="46" t="str">
        <x:v>LME_026</x:v>
      </x:c>
      <x:c r="B9" s="46" t="str">
        <x:v>Mediterranean Sea</x:v>
      </x:c>
      <x:c r="C9" s="46" t="str">
        <x:v>LME</x:v>
      </x:c>
      <x:c r="D9" s="58" t="n">
        <x:v>2019</x:v>
      </x:c>
      <x:c r="E9" s="46" t="str">
        <x:v>Boops boops</x:v>
      </x:c>
      <x:c r="F9" s="46" t="str">
        <x:v>Bogue</x:v>
      </x:c>
      <x:c r="G9" s="46" t="str">
        <x:v>Medium demersals (30 - 89 cm)</x:v>
      </x:c>
      <x:c r="H9" s="46" t="str">
        <x:v>Perch-likes</x:v>
      </x:c>
      <x:c r="I9" s="60" t="n">
        <x:v>32910.711202999</x:v>
      </x:c>
      <x:c r="J9" s="60" t="n">
        <x:v>31210.7692780136</x:v>
      </x:c>
      <x:c r="K9" s="60" t="n">
        <x:v>1699.9419249854</x:v>
      </x:c>
      <x:c r="L9" s="60" t="n">
        <x:v>19086.3678537493</x:v>
      </x:c>
      <x:c r="M9" s="60" t="n">
        <x:v>13824.3433492497</x:v>
      </x:c>
      <x:c r="N9" s="46" t="str">
        <x:v>boops boops</x:v>
      </x:c>
      <x:c r="O9" s="62" t="n">
        <x:v>2.79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Boops boops</x:v>
      </x:c>
      <x:c r="T9" s="62" t="n">
        <x:f>IF(O9="","",(1/'Metadata'!$B$5)^(O9-1))</x:f>
        <x:v>213.22773429903754</x:v>
      </x:c>
      <x:c r="U9" s="60" t="n">
        <x:f>IF(T9="","",I9*T9)</x:f>
        <x:v>7017476.383985429</x:v>
      </x:c>
    </x:row>
    <x:row r="10" ht="18" customHeight="1">
      <x:c r="A10" s="46" t="str">
        <x:v>LME_026</x:v>
      </x:c>
      <x:c r="B10" s="46" t="str">
        <x:v>Mediterranean Sea</x:v>
      </x:c>
      <x:c r="C10" s="46" t="str">
        <x:v>LME</x:v>
      </x:c>
      <x:c r="D10" s="58" t="n">
        <x:v>2019</x:v>
      </x:c>
      <x:c r="E10" s="46" t="str">
        <x:v>Sarda sarda</x:v>
      </x:c>
      <x:c r="F10" s="46" t="str">
        <x:v>Atlantic bonito</x:v>
      </x:c>
      <x:c r="G10" s="46" t="str">
        <x:v>Medium pelagics (30 - 89 cm)</x:v>
      </x:c>
      <x:c r="H10" s="46" t="str">
        <x:v>Tuna &amp; billfishes</x:v>
      </x:c>
      <x:c r="I10" s="60" t="n">
        <x:v>31101.9008896925</x:v>
      </x:c>
      <x:c r="J10" s="60" t="n">
        <x:v>30857.3674517018</x:v>
      </x:c>
      <x:c r="K10" s="60" t="n">
        <x:v>244.53343799069998</x:v>
      </x:c>
      <x:c r="L10" s="60" t="n">
        <x:v>16113.461427345</x:v>
      </x:c>
      <x:c r="M10" s="60" t="n">
        <x:v>14988.439462347502</x:v>
      </x:c>
      <x:c r="N10" s="46" t="str">
        <x:v>sarda sarda</x:v>
      </x:c>
      <x:c r="O10" s="62" t="n">
        <x:v>4.5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Sarda sarda</x:v>
      </x:c>
      <x:c r="T10" s="62" t="n">
        <x:f>IF(O10="","",(1/'Metadata'!$B$5)^(O10-1))</x:f>
        <x:v>35777.08763999664</x:v>
      </x:c>
      <x:c r="U10" s="60" t="n">
        <x:f>IF(T10="","",I10*T10)</x:f>
        <x:v>1112735433.901018</x:v>
      </x:c>
    </x:row>
    <x:row r="11" ht="18" customHeight="1">
      <x:c r="A11" s="46" t="str">
        <x:v>LME_026</x:v>
      </x:c>
      <x:c r="B11" s="46" t="str">
        <x:v>Mediterranean Sea</x:v>
      </x:c>
      <x:c r="C11" s="46" t="str">
        <x:v>LME</x:v>
      </x:c>
      <x:c r="D11" s="58" t="n">
        <x:v>2019</x:v>
      </x:c>
      <x:c r="E11" s="46" t="str">
        <x:v>Trachurus</x:v>
      </x:c>
      <x:c r="F11" s="46" t="str">
        <x:v>Jacks, horse mackerels</x:v>
      </x:c>
      <x:c r="G11" s="46" t="str">
        <x:v>Medium pelagics (30 - 89 cm)</x:v>
      </x:c>
      <x:c r="H11" s="46" t="str">
        <x:v>Perch-likes</x:v>
      </x:c>
      <x:c r="I11" s="60" t="n">
        <x:v>25908.6581174867</x:v>
      </x:c>
      <x:c r="J11" s="60" t="n">
        <x:v>25839.1605724582</x:v>
      </x:c>
      <x:c r="K11" s="60" t="n">
        <x:v>69.4975450285</x:v>
      </x:c>
      <x:c r="L11" s="60" t="n">
        <x:v>16482.3616687206</x:v>
      </x:c>
      <x:c r="M11" s="60" t="n">
        <x:v>9426.2964487661</x:v>
      </x:c>
      <x:c r="N11" s="46" t="str">
        <x:v>trachurus</x:v>
      </x:c>
      <x:c r="O11" s="62" t="n">
        <x:v>3.69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Trachurus</x:v>
      </x:c>
      <x:c r="T11" s="62" t="n">
        <x:f>IF(O11="","",(1/'Metadata'!$B$5)^(O11-1))</x:f>
        <x:v>3160.6083878807954</x:v>
      </x:c>
      <x:c r="U11" s="60" t="n">
        <x:f>IF(T11="","",I11*T11)</x:f>
        <x:v>81887122.16486432</x:v>
      </x:c>
    </x:row>
    <x:row r="12" ht="18" customHeight="1">
      <x:c r="A12" s="46" t="str">
        <x:v>LME_026</x:v>
      </x:c>
      <x:c r="B12" s="46" t="str">
        <x:v>Mediterranean Sea</x:v>
      </x:c>
      <x:c r="C12" s="46" t="str">
        <x:v>LME</x:v>
      </x:c>
      <x:c r="D12" s="58" t="n">
        <x:v>2019</x:v>
      </x:c>
      <x:c r="E12" s="46" t="str">
        <x:v>Parapenaeus longirostris</x:v>
      </x:c>
      <x:c r="F12" s="46" t="str">
        <x:v>Deepwater rose shrimp</x:v>
      </x:c>
      <x:c r="G12" s="46" t="str">
        <x:v>Shrimps</x:v>
      </x:c>
      <x:c r="H12" s="46" t="str">
        <x:v>Crustaceans</x:v>
      </x:c>
      <x:c r="I12" s="60" t="n">
        <x:v>25282.3640645515</x:v>
      </x:c>
      <x:c r="J12" s="60" t="n">
        <x:v>23251.3435300036</x:v>
      </x:c>
      <x:c r="K12" s="60" t="n">
        <x:v>2031.0205345479</x:v>
      </x:c>
      <x:c r="L12" s="60" t="n">
        <x:v>18213.2207471162</x:v>
      </x:c>
      <x:c r="M12" s="60" t="n">
        <x:v>7069.1433174353</x:v>
      </x:c>
      <x:c r="N12" s="46" t="str">
        <x:v>parapenaeus longirostris</x:v>
      </x:c>
      <x:c r="O12" s="62" t="n">
        <x:v>3.3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Parapenaeus longirostris</x:v>
      </x:c>
      <x:c r="T12" s="62" t="n">
        <x:f>IF(O12="","",(1/'Metadata'!$B$5)^(O12-1))</x:f>
        <x:v>982.5824208926318</x:v>
      </x:c>
      <x:c r="U12" s="60" t="n">
        <x:f>IF(T12="","",I12*T12)</x:f>
        <x:v>24842006.488435894</x:v>
      </x:c>
    </x:row>
    <x:row r="13" ht="18" customHeight="1">
      <x:c r="A13" s="46" t="str">
        <x:v>LME_026</x:v>
      </x:c>
      <x:c r="B13" s="46" t="str">
        <x:v>Mediterranean Sea</x:v>
      </x:c>
      <x:c r="C13" s="46" t="str">
        <x:v>LME</x:v>
      </x:c>
      <x:c r="D13" s="58" t="n">
        <x:v>2019</x:v>
      </x:c>
      <x:c r="E13" s="46" t="str">
        <x:v>Thunnus thynnus</x:v>
      </x:c>
      <x:c r="F13" s="46" t="str">
        <x:v>Atlantic bluefin tuna</x:v>
      </x:c>
      <x:c r="G13" s="46" t="str">
        <x:v>Large pelagics (&gt;=90 cm)</x:v>
      </x:c>
      <x:c r="H13" s="46" t="str">
        <x:v>Tuna &amp; billfishes</x:v>
      </x:c>
      <x:c r="I13" s="60" t="n">
        <x:v>25020.8258314477</x:v>
      </x:c>
      <x:c r="J13" s="60" t="n">
        <x:v>24985.0418497635</x:v>
      </x:c>
      <x:c r="K13" s="60" t="n">
        <x:v>35.7839816842</x:v>
      </x:c>
      <x:c r="L13" s="60" t="n">
        <x:v>23210.8596388631</x:v>
      </x:c>
      <x:c r="M13" s="60" t="n">
        <x:v>1809.9661925846</x:v>
      </x:c>
      <x:c r="N13" s="46" t="str">
        <x:v>thunnus thynnus</x:v>
      </x:c>
      <x:c r="O13" s="62" t="n">
        <x:v>4.45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Thunnus thynnus</x:v>
      </x:c>
      <x:c r="T13" s="62" t="n">
        <x:f>IF(O13="","",(1/'Metadata'!$B$5)^(O13-1))</x:f>
        <x:v>30800.19634445362</x:v>
      </x:c>
      <x:c r="U13" s="60" t="n">
        <x:f>IF(T13="","",I13*T13)</x:f>
        <x:v>770646348.3089662</x:v>
      </x:c>
    </x:row>
    <x:row r="14" ht="18" customHeight="1">
      <x:c r="A14" s="46" t="str">
        <x:v>LME_026</x:v>
      </x:c>
      <x:c r="B14" s="46" t="str">
        <x:v>Mediterranean Sea</x:v>
      </x:c>
      <x:c r="C14" s="46" t="str">
        <x:v>LME</x:v>
      </x:c>
      <x:c r="D14" s="58" t="n">
        <x:v>2019</x:v>
      </x:c>
      <x:c r="E14" s="46" t="str">
        <x:v>Sparus aurata</x:v>
      </x:c>
      <x:c r="F14" s="46" t="str">
        <x:v>Gilthead seabream</x:v>
      </x:c>
      <x:c r="G14" s="46" t="str">
        <x:v>Medium demersals (30 - 89 cm)</x:v>
      </x:c>
      <x:c r="H14" s="46" t="str">
        <x:v>Perch-likes</x:v>
      </x:c>
      <x:c r="I14" s="60" t="n">
        <x:v>19837.1843722475</x:v>
      </x:c>
      <x:c r="J14" s="60" t="n">
        <x:v>19649.787356676</x:v>
      </x:c>
      <x:c r="K14" s="60" t="n">
        <x:v>187.3970155715</x:v>
      </x:c>
      <x:c r="L14" s="60" t="n">
        <x:v>4795.9081293536</x:v>
      </x:c>
      <x:c r="M14" s="60" t="n">
        <x:v>15041.2762428939</x:v>
      </x:c>
      <x:c r="N14" s="46" t="str">
        <x:v>sparus aurata</x:v>
      </x:c>
      <x:c r="O14" s="62" t="n">
        <x:v>3.7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Sparus aurata</x:v>
      </x:c>
      <x:c r="T14" s="62" t="n">
        <x:f>IF(O14="","",(1/'Metadata'!$B$5)^(O14-1))</x:f>
        <x:v>3256.724252295237</x:v>
      </x:c>
      <x:c r="U14" s="60" t="n">
        <x:f>IF(T14="","",I14*T14)</x:f>
        <x:v>64604239.44235049</x:v>
      </x:c>
    </x:row>
    <x:row r="15" ht="18" customHeight="1">
      <x:c r="A15" s="46" t="str">
        <x:v>LME_026</x:v>
      </x:c>
      <x:c r="B15" s="46" t="str">
        <x:v>Mediterranean Sea</x:v>
      </x:c>
      <x:c r="C15" s="46" t="str">
        <x:v>LME</x:v>
      </x:c>
      <x:c r="D15" s="58" t="n">
        <x:v>2019</x:v>
      </x:c>
      <x:c r="E15" s="46" t="str">
        <x:v>Pagellus erythrinus</x:v>
      </x:c>
      <x:c r="F15" s="46" t="str">
        <x:v>Common pandora</x:v>
      </x:c>
      <x:c r="G15" s="46" t="str">
        <x:v>Medium benthopelagics (30 - 89 cm)</x:v>
      </x:c>
      <x:c r="H15" s="46" t="str">
        <x:v>Perch-likes</x:v>
      </x:c>
      <x:c r="I15" s="60" t="n">
        <x:v>19272.6526648012</x:v>
      </x:c>
      <x:c r="J15" s="60" t="n">
        <x:v>18070.8377292688</x:v>
      </x:c>
      <x:c r="K15" s="60" t="n">
        <x:v>1201.8149355324</x:v>
      </x:c>
      <x:c r="L15" s="60" t="n">
        <x:v>12659.307976816699</x:v>
      </x:c>
      <x:c r="M15" s="60" t="n">
        <x:v>6613.3446879845</x:v>
      </x:c>
      <x:c r="N15" s="46" t="str">
        <x:v>pagellus erythrinus</x:v>
      </x:c>
      <x:c r="O15" s="62" t="n">
        <x:v>3.48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Pagellus erythrinus</x:v>
      </x:c>
      <x:c r="T15" s="62" t="n">
        <x:f>IF(O15="","",(1/'Metadata'!$B$5)^(O15-1))</x:f>
        <x:v>1684.8234138858888</x:v>
      </x:c>
      <x:c r="U15" s="60" t="n">
        <x:f>IF(T15="","",I15*T15)</x:f>
        <x:v>32471016.45734733</x:v>
      </x:c>
    </x:row>
    <x:row r="16" ht="18" customHeight="1">
      <x:c r="A16" s="46" t="str">
        <x:v>LME_026</x:v>
      </x:c>
      <x:c r="B16" s="46" t="str">
        <x:v>Mediterranean Sea</x:v>
      </x:c>
      <x:c r="C16" s="46" t="str">
        <x:v>LME</x:v>
      </x:c>
      <x:c r="D16" s="58" t="n">
        <x:v>2019</x:v>
      </x:c>
      <x:c r="E16" s="46" t="str">
        <x:v>Octopus vulgaris</x:v>
      </x:c>
      <x:c r="F16" s="46" t="str">
        <x:v>Common octopus</x:v>
      </x:c>
      <x:c r="G16" s="46" t="str">
        <x:v>Cephalopods</x:v>
      </x:c>
      <x:c r="H16" s="46" t="str">
        <x:v>Other fishes &amp; inverts</x:v>
      </x:c>
      <x:c r="I16" s="60" t="n">
        <x:v>18137.4525565957</x:v>
      </x:c>
      <x:c r="J16" s="60" t="n">
        <x:v>17346.001657092598</x:v>
      </x:c>
      <x:c r="K16" s="60" t="n">
        <x:v>791.4508995031</x:v>
      </x:c>
      <x:c r="L16" s="60" t="n">
        <x:v>12738.5796452059</x:v>
      </x:c>
      <x:c r="M16" s="60" t="n">
        <x:v>5398.8729113898</x:v>
      </x:c>
      <x:c r="N16" s="46" t="str">
        <x:v>octopus vulgaris</x:v>
      </x:c>
      <x:c r="O16" s="62" t="n">
        <x:v>3.6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Octopus vulgaris</x:v>
      </x:c>
      <x:c r="T16" s="62" t="n">
        <x:f>IF(O16="","",(1/'Metadata'!$B$5)^(O16-1))</x:f>
        <x:v>2413.670534618066</x:v>
      </x:c>
      <x:c r="U16" s="60" t="n">
        <x:f>IF(T16="","",I16*T16)</x:f>
        <x:v>43777834.80888815</x:v>
      </x:c>
    </x:row>
    <x:row r="17" ht="18" customHeight="1">
      <x:c r="A17" s="46" t="str">
        <x:v>LME_026</x:v>
      </x:c>
      <x:c r="B17" s="46" t="str">
        <x:v>Mediterranean Sea</x:v>
      </x:c>
      <x:c r="C17" s="46" t="str">
        <x:v>LME</x:v>
      </x:c>
      <x:c r="D17" s="58" t="n">
        <x:v>2019</x:v>
      </x:c>
      <x:c r="E17" s="46" t="str">
        <x:v>Mullus barbatus</x:v>
      </x:c>
      <x:c r="F17" s="46" t="str">
        <x:v>Red mullet</x:v>
      </x:c>
      <x:c r="G17" s="46" t="str">
        <x:v>Medium demersals (30 - 89 cm)</x:v>
      </x:c>
      <x:c r="H17" s="46" t="str">
        <x:v>Perch-likes</x:v>
      </x:c>
      <x:c r="I17" s="60" t="n">
        <x:v>17698.9879749676</x:v>
      </x:c>
      <x:c r="J17" s="60" t="n">
        <x:v>16190.3496578632</x:v>
      </x:c>
      <x:c r="K17" s="60" t="n">
        <x:v>1508.6383171044</x:v>
      </x:c>
      <x:c r="L17" s="60" t="n">
        <x:v>14443.129748311</x:v>
      </x:c>
      <x:c r="M17" s="60" t="n">
        <x:v>3255.8582266566</x:v>
      </x:c>
      <x:c r="N17" s="46" t="str">
        <x:v>mullus barbatus</x:v>
      </x:c>
      <x:c r="O17" s="62" t="n">
        <x:v>3.14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Mullus barbatus</x:v>
      </x:c>
      <x:c r="T17" s="62" t="n">
        <x:f>IF(O17="","",(1/'Metadata'!$B$5)^(O17-1))</x:f>
        <x:v>608.420993216597</x:v>
      </x:c>
      <x:c r="U17" s="60" t="n">
        <x:f>IF(T17="","",I17*T17)</x:f>
        <x:v>10768435.842658395</x:v>
      </x:c>
    </x:row>
    <x:row r="18" ht="18" customHeight="1">
      <x:c r="A18" s="46" t="str">
        <x:v>LME_026</x:v>
      </x:c>
      <x:c r="B18" s="46" t="str">
        <x:v>Mediterranean Sea</x:v>
      </x:c>
      <x:c r="C18" s="46" t="str">
        <x:v>LME</x:v>
      </x:c>
      <x:c r="D18" s="58" t="n">
        <x:v>2019</x:v>
      </x:c>
      <x:c r="E18" s="46" t="str">
        <x:v>Merluccius merluccius</x:v>
      </x:c>
      <x:c r="F18" s="46" t="str">
        <x:v>European hake</x:v>
      </x:c>
      <x:c r="G18" s="46" t="str">
        <x:v>Large demersals (&gt;=90 cm)</x:v>
      </x:c>
      <x:c r="H18" s="46" t="str">
        <x:v>Cod-likes</x:v>
      </x:c>
      <x:c r="I18" s="60" t="n">
        <x:v>16904.8497901833</x:v>
      </x:c>
      <x:c r="J18" s="60" t="n">
        <x:v>16104.6812053658</x:v>
      </x:c>
      <x:c r="K18" s="60" t="n">
        <x:v>800.1685848175</x:v>
      </x:c>
      <x:c r="L18" s="60" t="n">
        <x:v>12013.955882109201</x:v>
      </x:c>
      <x:c r="M18" s="60" t="n">
        <x:v>4890.8939080741</x:v>
      </x:c>
      <x:c r="N18" s="46" t="str">
        <x:v>merluccius merluccius</x:v>
      </x:c>
      <x:c r="O18" s="62" t="n">
        <x:v>4.42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Merluccius merluccius</x:v>
      </x:c>
      <x:c r="T18" s="62" t="n">
        <x:f>IF(O18="","",(1/'Metadata'!$B$5)^(O18-1))</x:f>
        <x:v>28152.864182630117</x:v>
      </x:c>
      <x:c r="U18" s="60" t="n">
        <x:f>IF(T18="","",I18*T18)</x:f>
        <x:v>475919940.17079365</x:v>
      </x:c>
    </x:row>
    <x:row r="19" ht="18" customHeight="1">
      <x:c r="A19" s="46" t="str">
        <x:v>LME_026</x:v>
      </x:c>
      <x:c r="B19" s="46" t="str">
        <x:v>Mediterranean Sea</x:v>
      </x:c>
      <x:c r="C19" s="46" t="str">
        <x:v>LME</x:v>
      </x:c>
      <x:c r="D19" s="58" t="n">
        <x:v>2019</x:v>
      </x:c>
      <x:c r="E19" s="46" t="str">
        <x:v>Mugilidae</x:v>
      </x:c>
      <x:c r="F19" s="46" t="str">
        <x:v>Mullets, grey mullets</x:v>
      </x:c>
      <x:c r="G19" s="46" t="str">
        <x:v>Medium reef assoc. fish (30 - 89 cm)</x:v>
      </x:c>
      <x:c r="H19" s="46" t="str">
        <x:v>Perch-likes</x:v>
      </x:c>
      <x:c r="I19" s="60" t="n">
        <x:v>15213.0200406992</x:v>
      </x:c>
      <x:c r="J19" s="60" t="n">
        <x:v>14591.267283484</x:v>
      </x:c>
      <x:c r="K19" s="60" t="n">
        <x:v>621.7527572152001</x:v>
      </x:c>
      <x:c r="L19" s="60" t="n">
        <x:v>5316.4852697331</x:v>
      </x:c>
      <x:c r="M19" s="60" t="n">
        <x:v>9896.5347709661</x:v>
      </x:c>
      <x:c r="N19" s="46" t="str">
        <x:v>mugilidae</x:v>
      </x:c>
      <x:c r="O19" s="62" t="n">
        <x:v>2.53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Mugilidae</x:v>
      </x:c>
      <x:c r="T19" s="62" t="n">
        <x:f>IF(O19="","",(1/'Metadata'!$B$5)^(O19-1))</x:f>
        <x:v>97.8533939563155</x:v>
      </x:c>
      <x:c r="U19" s="60" t="n">
        <x:f>IF(T19="","",I19*T19)</x:f>
        <x:v>1488645.6433078619</x:v>
      </x:c>
    </x:row>
    <x:row r="20" ht="18" customHeight="1">
      <x:c r="A20" s="46" t="str">
        <x:v>LME_026</x:v>
      </x:c>
      <x:c r="B20" s="46" t="str">
        <x:v>Mediterranean Sea</x:v>
      </x:c>
      <x:c r="C20" s="46" t="str">
        <x:v>LME</x:v>
      </x:c>
      <x:c r="D20" s="58" t="n">
        <x:v>2019</x:v>
      </x:c>
      <x:c r="E20" s="46" t="str">
        <x:v>Sepia officinalis</x:v>
      </x:c>
      <x:c r="F20" s="46" t="str">
        <x:v>Common cuttlefish</x:v>
      </x:c>
      <x:c r="G20" s="46" t="str">
        <x:v>Cephalopods</x:v>
      </x:c>
      <x:c r="H20" s="46" t="str">
        <x:v>Other fishes &amp; inverts</x:v>
      </x:c>
      <x:c r="I20" s="60" t="n">
        <x:v>13703.1936594702</x:v>
      </x:c>
      <x:c r="J20" s="60" t="n">
        <x:v>13387.9457413254</x:v>
      </x:c>
      <x:c r="K20" s="60" t="n">
        <x:v>315.2479181448</x:v>
      </x:c>
      <x:c r="L20" s="60" t="n">
        <x:v>11478.1915726865</x:v>
      </x:c>
      <x:c r="M20" s="60" t="n">
        <x:v>2225.0020867836997</x:v>
      </x:c>
      <x:c r="N20" s="46" t="str">
        <x:v>sepia officinalis</x:v>
      </x:c>
      <x:c r="O20" s="62" t="n">
        <x:v>4.27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Sepia officinalis</x:v>
      </x:c>
      <x:c r="T20" s="62" t="n">
        <x:f>IF(O20="","",(1/'Metadata'!$B$5)^(O20-1))</x:f>
        <x:v>17962.55396184286</x:v>
      </x:c>
      <x:c r="U20" s="60" t="n">
        <x:f>IF(T20="","",I20*T20)</x:f>
        <x:v>246144355.5578164</x:v>
      </x:c>
    </x:row>
    <x:row r="21" ht="18" customHeight="1">
      <x:c r="A21" s="46" t="str">
        <x:v>LME_026</x:v>
      </x:c>
      <x:c r="B21" s="46" t="str">
        <x:v>Mediterranean Sea</x:v>
      </x:c>
      <x:c r="C21" s="46" t="str">
        <x:v>LME</x:v>
      </x:c>
      <x:c r="D21" s="58" t="n">
        <x:v>2019</x:v>
      </x:c>
      <x:c r="E21" s="46" t="str">
        <x:v>Xiphias gladius</x:v>
      </x:c>
      <x:c r="F21" s="46" t="str">
        <x:v>Swordfish</x:v>
      </x:c>
      <x:c r="G21" s="46" t="str">
        <x:v>Large pelagics (&gt;=90 cm)</x:v>
      </x:c>
      <x:c r="H21" s="46" t="str">
        <x:v>Tuna &amp; billfishes</x:v>
      </x:c>
      <x:c r="I21" s="60" t="n">
        <x:v>13511.1793364639</x:v>
      </x:c>
      <x:c r="J21" s="60" t="n">
        <x:v>13464.7621327088</x:v>
      </x:c>
      <x:c r="K21" s="60" t="n">
        <x:v>46.4172037551</x:v>
      </x:c>
      <x:c r="L21" s="60" t="n">
        <x:v>10917.6198676223</x:v>
      </x:c>
      <x:c r="M21" s="60" t="n">
        <x:v>2593.5594688416</x:v>
      </x:c>
      <x:c r="N21" s="46" t="str">
        <x:v>xiphias gladius</x:v>
      </x:c>
      <x:c r="O21" s="62" t="n">
        <x:v>4.53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Xiphias gladius</x:v>
      </x:c>
      <x:c r="T21" s="62" t="n">
        <x:f>IF(O21="","",(1/'Metadata'!$B$5)^(O21-1))</x:f>
        <x:v>39141.35758252625</x:v>
      </x:c>
      <x:c r="U21" s="60" t="n">
        <x:f>IF(T21="","",I21*T21)</x:f>
        <x:v>528845901.7701733</x:v>
      </x:c>
    </x:row>
    <x:row r="22" ht="18" customHeight="1">
      <x:c r="A22" s="46" t="str">
        <x:v>LME_026</x:v>
      </x:c>
      <x:c r="B22" s="46" t="str">
        <x:v>Mediterranean Sea</x:v>
      </x:c>
      <x:c r="C22" s="46" t="str">
        <x:v>LME</x:v>
      </x:c>
      <x:c r="D22" s="58" t="n">
        <x:v>2019</x:v>
      </x:c>
      <x:c r="E22" s="46" t="str">
        <x:v>Pomatomus saltatrix</x:v>
      </x:c>
      <x:c r="F22" s="46" t="str">
        <x:v>Bluefish</x:v>
      </x:c>
      <x:c r="G22" s="46" t="str">
        <x:v>Large pelagics (&gt;=90 cm)</x:v>
      </x:c>
      <x:c r="H22" s="46" t="str">
        <x:v>Perch-likes</x:v>
      </x:c>
      <x:c r="I22" s="60" t="n">
        <x:v>13430.575997404501</x:v>
      </x:c>
      <x:c r="J22" s="60" t="n">
        <x:v>13179.0623852859</x:v>
      </x:c>
      <x:c r="K22" s="60" t="n">
        <x:v>251.5136121186</x:v>
      </x:c>
      <x:c r="L22" s="60" t="n">
        <x:v>1920.490283097</x:v>
      </x:c>
      <x:c r="M22" s="60" t="n">
        <x:v>11510.0857143075</x:v>
      </x:c>
      <x:c r="N22" s="46" t="str">
        <x:v>pomatomus saltatrix</x:v>
      </x:c>
      <x:c r="O22" s="62" t="n">
        <x:v>4.53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Pomatomus saltatrix</x:v>
      </x:c>
      <x:c r="T22" s="62" t="n">
        <x:f>IF(O22="","",(1/'Metadata'!$B$5)^(O22-1))</x:f>
        <x:v>39141.35758252625</x:v>
      </x:c>
      <x:c r="U22" s="60" t="n">
        <x:f>IF(T22="","",I22*T22)</x:f>
        <x:v>525690977.65370375</x:v>
      </x:c>
    </x:row>
    <x:row r="23" ht="18" customHeight="1">
      <x:c r="A23" s="46" t="str">
        <x:v>LME_026</x:v>
      </x:c>
      <x:c r="B23" s="46" t="str">
        <x:v>Mediterranean Sea</x:v>
      </x:c>
      <x:c r="C23" s="46" t="str">
        <x:v>LME</x:v>
      </x:c>
      <x:c r="D23" s="58" t="n">
        <x:v>2019</x:v>
      </x:c>
      <x:c r="E23" s="46" t="str">
        <x:v>Euthynnus alletteratus</x:v>
      </x:c>
      <x:c r="F23" s="46" t="str">
        <x:v>Little tunny </x:v>
      </x:c>
      <x:c r="G23" s="46" t="str">
        <x:v>Large pelagics (&gt;=90 cm)</x:v>
      </x:c>
      <x:c r="H23" s="46" t="str">
        <x:v>Tuna &amp; billfishes</x:v>
      </x:c>
      <x:c r="I23" s="60" t="n">
        <x:v>12429.1222033663</x:v>
      </x:c>
      <x:c r="J23" s="60" t="n">
        <x:v>12417.3704184426</x:v>
      </x:c>
      <x:c r="K23" s="60" t="n">
        <x:v>11.751784923699999</x:v>
      </x:c>
      <x:c r="L23" s="60" t="n">
        <x:v>5403.9528942906</x:v>
      </x:c>
      <x:c r="M23" s="60" t="n">
        <x:v>7025.1693090757</x:v>
      </x:c>
      <x:c r="N23" s="46" t="str">
        <x:v>euthynnus alletteratus</x:v>
      </x:c>
      <x:c r="O23" s="62" t="n">
        <x:v>4.49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Euthynnus alletteratus</x:v>
      </x:c>
      <x:c r="T23" s="62" t="n">
        <x:f>IF(O23="","",(1/'Metadata'!$B$5)^(O23-1))</x:f>
        <x:v>34721.19667768202</x:v>
      </x:c>
      <x:c r="U23" s="60" t="n">
        <x:f>IF(T23="","",I23*T23)</x:f>
        <x:v>431553996.55402577</x:v>
      </x:c>
    </x:row>
    <x:row r="24" ht="18" customHeight="1">
      <x:c r="A24" s="46" t="str">
        <x:v>LME_026</x:v>
      </x:c>
      <x:c r="B24" s="46" t="str">
        <x:v>Mediterranean Sea</x:v>
      </x:c>
      <x:c r="C24" s="46" t="str">
        <x:v>LME</x:v>
      </x:c>
      <x:c r="D24" s="58" t="n">
        <x:v>2019</x:v>
      </x:c>
      <x:c r="E24" s="46" t="str">
        <x:v>Thunnus</x:v>
      </x:c>
      <x:c r="F24" s="46" t="str">
        <x:v>Tunas</x:v>
      </x:c>
      <x:c r="G24" s="46" t="str">
        <x:v>Large pelagics (&gt;=90 cm)</x:v>
      </x:c>
      <x:c r="H24" s="46" t="str">
        <x:v>Tuna &amp; billfishes</x:v>
      </x:c>
      <x:c r="I24" s="60" t="n">
        <x:v>12055.0358927544</x:v>
      </x:c>
      <x:c r="J24" s="60" t="n">
        <x:v>12035.3906713558</x:v>
      </x:c>
      <x:c r="K24" s="60" t="n">
        <x:v>19.645221398599997</x:v>
      </x:c>
      <x:c r="L24" s="60" t="n">
        <x:v>1552.9311649105</x:v>
      </x:c>
      <x:c r="M24" s="60" t="n">
        <x:v>10502.1047278439</x:v>
      </x:c>
      <x:c r="N24" s="46" t="str">
        <x:v>thunnus</x:v>
      </x:c>
      <x:c r="O24" s="62" t="n">
        <x:v>4.34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Thunnus</x:v>
      </x:c>
      <x:c r="T24" s="62" t="n">
        <x:f>IF(O24="","",(1/'Metadata'!$B$5)^(O24-1))</x:f>
        <x:v>22153.389612394185</x:v>
      </x:c>
      <x:c r="U24" s="60" t="n">
        <x:f>IF(T24="","",I24*T24)</x:f>
        <x:v>267059906.9235844</x:v>
      </x:c>
    </x:row>
    <x:row r="25" ht="18" customHeight="1">
      <x:c r="A25" s="46" t="str">
        <x:v>LME_026</x:v>
      </x:c>
      <x:c r="B25" s="46" t="str">
        <x:v>Mediterranean Sea</x:v>
      </x:c>
      <x:c r="C25" s="46" t="str">
        <x:v>LME</x:v>
      </x:c>
      <x:c r="D25" s="58" t="n">
        <x:v>2019</x:v>
      </x:c>
      <x:c r="E25" s="46" t="str">
        <x:v>Trachurus mediterraneus</x:v>
      </x:c>
      <x:c r="F25" s="46" t="str">
        <x:v>Mediterranean horse mackerel</x:v>
      </x:c>
      <x:c r="G25" s="46" t="str">
        <x:v>Medium pelagics (30 - 89 cm)</x:v>
      </x:c>
      <x:c r="H25" s="46" t="str">
        <x:v>Perch-likes</x:v>
      </x:c>
      <x:c r="I25" s="60" t="n">
        <x:v>10752.8074997575</x:v>
      </x:c>
      <x:c r="J25" s="60" t="n">
        <x:v>9560.9650208419</x:v>
      </x:c>
      <x:c r="K25" s="60" t="n">
        <x:v>1191.8424789156</x:v>
      </x:c>
      <x:c r="L25" s="60" t="n">
        <x:v>5857.9750652127</x:v>
      </x:c>
      <x:c r="M25" s="60" t="n">
        <x:v>4894.8324345448</x:v>
      </x:c>
      <x:c r="N25" s="46" t="str">
        <x:v>trachurus mediterraneus</x:v>
      </x:c>
      <x:c r="O25" s="62" t="n">
        <x:v>3.77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Trachurus mediterraneus</x:v>
      </x:c>
      <x:c r="T25" s="62" t="n">
        <x:f>IF(O25="","",(1/'Metadata'!$B$5)^(O25-1))</x:f>
        <x:v>4016.549170818885</x:v>
      </x:c>
      <x:c r="U25" s="60" t="n">
        <x:f>IF(T25="","",I25*T25)</x:f>
        <x:v>43189180.04712608</x:v>
      </x:c>
    </x:row>
    <x:row r="26" ht="18" customHeight="1">
      <x:c r="A26" s="46" t="str">
        <x:v>LME_026</x:v>
      </x:c>
      <x:c r="B26" s="46" t="str">
        <x:v>Mediterranean Sea</x:v>
      </x:c>
      <x:c r="C26" s="46" t="str">
        <x:v>LME</x:v>
      </x:c>
      <x:c r="D26" s="58" t="n">
        <x:v>2019</x:v>
      </x:c>
      <x:c r="E26" s="46" t="str">
        <x:v>Scombridae</x:v>
      </x:c>
      <x:c r="F26" s="46" t="str">
        <x:v>Mackerels, tunas, bonitos</x:v>
      </x:c>
      <x:c r="G26" s="46" t="str">
        <x:v>Medium pelagics (30 - 89 cm)</x:v>
      </x:c>
      <x:c r="H26" s="46" t="str">
        <x:v>Perch-likes</x:v>
      </x:c>
      <x:c r="I26" s="60" t="n">
        <x:v>10647.919038022399</x:v>
      </x:c>
      <x:c r="J26" s="60" t="n">
        <x:v>10193.5753185018</x:v>
      </x:c>
      <x:c r="K26" s="60" t="n">
        <x:v>454.34371952059996</x:v>
      </x:c>
      <x:c r="L26" s="60" t="n">
        <x:v>5210.1717144684</x:v>
      </x:c>
      <x:c r="M26" s="60" t="n">
        <x:v>5437.747323554</x:v>
      </x:c>
      <x:c r="N26" s="46" t="str">
        <x:v>scombridae</x:v>
      </x:c>
      <x:c r="O26" s="62" t="n">
        <x:v>4.26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Scombridae</x:v>
      </x:c>
      <x:c r="T26" s="62" t="n">
        <x:f>IF(O26="","",(1/'Metadata'!$B$5)^(O26-1))</x:f>
        <x:v>17432.42421569787</x:v>
      </x:c>
      <x:c r="U26" s="60" t="n">
        <x:f>IF(T26="","",I26*T26)</x:f>
        <x:v>185619041.68521202</x:v>
      </x:c>
    </x:row>
    <x:row r="27" ht="18" customHeight="1">
      <x:c r="A27" s="46" t="str">
        <x:v>LME_026</x:v>
      </x:c>
      <x:c r="B27" s="46" t="str">
        <x:v>Mediterranean Sea</x:v>
      </x:c>
      <x:c r="C27" s="46" t="str">
        <x:v>LME</x:v>
      </x:c>
      <x:c r="D27" s="58" t="n">
        <x:v>2019</x:v>
      </x:c>
      <x:c r="E27" s="46" t="str">
        <x:v>Lithognathus mormyrus</x:v>
      </x:c>
      <x:c r="F27" s="46" t="str">
        <x:v>Sand steenbras</x:v>
      </x:c>
      <x:c r="G27" s="46" t="str">
        <x:v>Medium benthopelagics (30 - 89 cm)</x:v>
      </x:c>
      <x:c r="H27" s="46" t="str">
        <x:v>Perch-likes</x:v>
      </x:c>
      <x:c r="I27" s="60" t="n">
        <x:v>10502.2050421457</x:v>
      </x:c>
      <x:c r="J27" s="60" t="n">
        <x:v>10487.3595424739</x:v>
      </x:c>
      <x:c r="K27" s="60" t="n">
        <x:v>14.8454996718</x:v>
      </x:c>
      <x:c r="L27" s="60" t="n">
        <x:v>986.3441474819</x:v>
      </x:c>
      <x:c r="M27" s="60" t="n">
        <x:v>9515.8608946638</x:v>
      </x:c>
      <x:c r="N27" s="46" t="str">
        <x:v>lithognathus mormyrus</x:v>
      </x:c>
      <x:c r="O27" s="62" t="n">
        <x:v>3.42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Lithognathus mormyrus</x:v>
      </x:c>
      <x:c r="T27" s="62" t="n">
        <x:f>IF(O27="","",(1/'Metadata'!$B$5)^(O27-1))</x:f>
        <x:v>1407.643209131506</x:v>
      </x:c>
      <x:c r="U27" s="60" t="n">
        <x:f>IF(T27="","",I27*T27)</x:f>
        <x:v>14783357.608483057</x:v>
      </x:c>
    </x:row>
    <x:row r="28" ht="18" customHeight="1">
      <x:c r="A28" s="46" t="str">
        <x:v>LME_026</x:v>
      </x:c>
      <x:c r="B28" s="46" t="str">
        <x:v>Mediterranean Sea</x:v>
      </x:c>
      <x:c r="C28" s="46" t="str">
        <x:v>LME</x:v>
      </x:c>
      <x:c r="D28" s="58" t="n">
        <x:v>2019</x:v>
      </x:c>
      <x:c r="E28" s="46" t="str">
        <x:v>Thunnus alalunga</x:v>
      </x:c>
      <x:c r="F28" s="46" t="str">
        <x:v>Albacore</x:v>
      </x:c>
      <x:c r="G28" s="46" t="str">
        <x:v>Large pelagics (&gt;=90 cm)</x:v>
      </x:c>
      <x:c r="H28" s="46" t="str">
        <x:v>Tuna &amp; billfishes</x:v>
      </x:c>
      <x:c r="I28" s="60" t="n">
        <x:v>9829.8551142486</x:v>
      </x:c>
      <x:c r="J28" s="60" t="n">
        <x:v>9823.8709399457</x:v>
      </x:c>
      <x:c r="K28" s="60" t="n">
        <x:v>5.9841743029000005</x:v>
      </x:c>
      <x:c r="L28" s="60" t="n">
        <x:v>9461.698554135599</x:v>
      </x:c>
      <x:c r="M28" s="60" t="n">
        <x:v>368.156560113</x:v>
      </x:c>
      <x:c r="N28" s="46" t="str">
        <x:v>thunnus alalunga</x:v>
      </x:c>
      <x:c r="O28" s="62" t="n">
        <x:v>4.3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Thunnus alalunga</x:v>
      </x:c>
      <x:c r="T28" s="62" t="n">
        <x:f>IF(O28="","",(1/'Metadata'!$B$5)^(O28-1))</x:f>
        <x:v>19651.648417852637</x:v>
      </x:c>
      <x:c r="U28" s="60" t="n">
        <x:f>IF(T28="","",I28*T28)</x:f>
        <x:v>193172856.70364416</x:v>
      </x:c>
    </x:row>
    <x:row r="29" ht="18" customHeight="1">
      <x:c r="A29" s="46" t="str">
        <x:v>LME_026</x:v>
      </x:c>
      <x:c r="B29" s="46" t="str">
        <x:v>Mediterranean Sea</x:v>
      </x:c>
      <x:c r="C29" s="46" t="str">
        <x:v>LME</x:v>
      </x:c>
      <x:c r="D29" s="58" t="n">
        <x:v>2019</x:v>
      </x:c>
      <x:c r="E29" s="46" t="str">
        <x:v>Marine pelagic fishes not identified</x:v>
      </x:c>
      <x:c r="F29" s="46" t="str">
        <x:v>Pelagic fishes</x:v>
      </x:c>
      <x:c r="G29" s="46" t="str">
        <x:v>Medium pelagics (30 - 89 cm)</x:v>
      </x:c>
      <x:c r="H29" s="46" t="str">
        <x:v>Other fishes &amp; inverts</x:v>
      </x:c>
      <x:c r="I29" s="60" t="n">
        <x:v>9166.2025471388</x:v>
      </x:c>
      <x:c r="J29" s="60" t="n">
        <x:v>9166.2025471388</x:v>
      </x:c>
      <x:c r="K29" s="60" t="n">
        <x:v>0</x:v>
      </x:c>
      <x:c r="L29" s="60" t="n">
        <x:v>9166.2025471388</x:v>
      </x:c>
      <x:c r="M29" s="60" t="n">
        <x:v>0</x:v>
      </x:c>
      <x:c r="N29" s="46" t="str">
        <x:v>marine pelagic fishes not identified</x:v>
      </x:c>
      <x:c r="O29" s="62" t="n">
        <x:v>3.35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Marine pelagic fishes not identified</x:v>
      </x:c>
      <x:c r="T29" s="62" t="n">
        <x:f>IF(O29="","",(1/'Metadata'!$B$5)^(O29-1))</x:f>
        <x:v>1141.3543275066227</x:v>
      </x:c>
      <x:c r="U29" s="60" t="n">
        <x:f>IF(T29="","",I29*T29)</x:f>
        <x:v>10461884.943979098</x:v>
      </x:c>
    </x:row>
    <x:row r="30" ht="18" customHeight="1">
      <x:c r="A30" s="46" t="str">
        <x:v>LME_026</x:v>
      </x:c>
      <x:c r="B30" s="46" t="str">
        <x:v>Mediterranean Sea</x:v>
      </x:c>
      <x:c r="C30" s="46" t="str">
        <x:v>LME</x:v>
      </x:c>
      <x:c r="D30" s="58" t="n">
        <x:v>2019</x:v>
      </x:c>
      <x:c r="E30" s="46" t="str">
        <x:v>Sepiida</x:v>
      </x:c>
      <x:c r="F30" s="46" t="str">
        <x:v>Cuttlefishes, bobtail squids</x:v>
      </x:c>
      <x:c r="G30" s="46" t="str">
        <x:v>Cephalopods</x:v>
      </x:c>
      <x:c r="H30" s="46" t="str">
        <x:v>Other fishes &amp; inverts</x:v>
      </x:c>
      <x:c r="I30" s="60" t="n">
        <x:v>8729.1110820825</x:v>
      </x:c>
      <x:c r="J30" s="60" t="n">
        <x:v>8728.1931069449</x:v>
      </x:c>
      <x:c r="K30" s="60" t="n">
        <x:v>0.9179751376</x:v>
      </x:c>
      <x:c r="L30" s="60" t="n">
        <x:v>6869.7073359857</x:v>
      </x:c>
      <x:c r="M30" s="60" t="n">
        <x:v>1859.4037460968</x:v>
      </x:c>
      <x:c r="N30" s="46" t="str">
        <x:v>sepiida</x:v>
      </x:c>
      <x:c r="O30" s="62" t="n">
        <x:v>3.7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Sepiida</x:v>
      </x:c>
      <x:c r="T30" s="62" t="n">
        <x:f>IF(O30="","",(1/'Metadata'!$B$5)^(O30-1))</x:f>
        <x:v>3256.724252295237</x:v>
      </x:c>
      <x:c r="U30" s="60" t="n">
        <x:f>IF(T30="","",I30*T30)</x:f>
        <x:v>28428307.761997197</x:v>
      </x:c>
    </x:row>
    <x:row r="31" ht="18" customHeight="1">
      <x:c r="A31" s="46" t="str">
        <x:v>LME_026</x:v>
      </x:c>
      <x:c r="B31" s="46" t="str">
        <x:v>Mediterranean Sea</x:v>
      </x:c>
      <x:c r="C31" s="46" t="str">
        <x:v>LME</x:v>
      </x:c>
      <x:c r="D31" s="58" t="n">
        <x:v>2019</x:v>
      </x:c>
      <x:c r="E31" s="46" t="str">
        <x:v>Scomber scombrus</x:v>
      </x:c>
      <x:c r="F31" s="46" t="str">
        <x:v>Atlantic mackerel</x:v>
      </x:c>
      <x:c r="G31" s="46" t="str">
        <x:v>Medium pelagics (30 - 89 cm)</x:v>
      </x:c>
      <x:c r="H31" s="46" t="str">
        <x:v>Perch-likes</x:v>
      </x:c>
      <x:c r="I31" s="60" t="n">
        <x:v>8333.4221419375</x:v>
      </x:c>
      <x:c r="J31" s="60" t="n">
        <x:v>8024.5976540667</x:v>
      </x:c>
      <x:c r="K31" s="60" t="n">
        <x:v>308.8244878708</x:v>
      </x:c>
      <x:c r="L31" s="60" t="n">
        <x:v>4970.76577298</x:v>
      </x:c>
      <x:c r="M31" s="60" t="n">
        <x:v>3362.6563689575</x:v>
      </x:c>
      <x:c r="N31" s="46" t="str">
        <x:v>scomber scombrus</x:v>
      </x:c>
      <x:c r="O31" s="62" t="n">
        <x:v>3.63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Scomber scombrus</x:v>
      </x:c>
      <x:c r="T31" s="62" t="n">
        <x:f>IF(O31="","",(1/'Metadata'!$B$5)^(O31-1))</x:f>
        <x:v>2640.638121038009</x:v>
      </x:c>
      <x:c r="U31" s="60" t="n">
        <x:f>IF(T31="","",I31*T31)</x:f>
        <x:v>22005552.18670238</x:v>
      </x:c>
    </x:row>
    <x:row r="32" ht="18" customHeight="1">
      <x:c r="A32" s="46" t="str">
        <x:v>LME_026</x:v>
      </x:c>
      <x:c r="B32" s="46" t="str">
        <x:v>Mediterranean Sea</x:v>
      </x:c>
      <x:c r="C32" s="46" t="str">
        <x:v>LME</x:v>
      </x:c>
      <x:c r="D32" s="58" t="n">
        <x:v>2019</x:v>
      </x:c>
      <x:c r="E32" s="46" t="str">
        <x:v>Decapoda</x:v>
      </x:c>
      <x:c r="F32" s="46" t="str">
        <x:v>Crabs, lobsters, shrimps</x:v>
      </x:c>
      <x:c r="G32" s="46" t="str">
        <x:v>Lobsters, crabs</x:v>
      </x:c>
      <x:c r="H32" s="46" t="str">
        <x:v>Crustaceans</x:v>
      </x:c>
      <x:c r="I32" s="60" t="n">
        <x:v>8316.5667741298</x:v>
      </x:c>
      <x:c r="J32" s="60" t="n">
        <x:v>4730.554939087199</x:v>
      </x:c>
      <x:c r="K32" s="60" t="n">
        <x:v>3586.0118350425996</x:v>
      </x:c>
      <x:c r="L32" s="60" t="n">
        <x:v>3934.8611528281</x:v>
      </x:c>
      <x:c r="M32" s="60" t="n">
        <x:v>4381.7056213017</x:v>
      </x:c>
      <x:c r="N32" s="46" t="str">
        <x:v>decapoda</x:v>
      </x:c>
      <x:c r="O32" s="62" t="n">
        <x:v>3.43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Decapoda</x:v>
      </x:c>
      <x:c r="T32" s="62" t="n">
        <x:f>IF(O32="","",(1/'Metadata'!$B$5)^(O32-1))</x:f>
        <x:v>1450.450424461182</x:v>
      </x:c>
      <x:c r="U32" s="60" t="n">
        <x:f>IF(T32="","",I32*T32)</x:f>
        <x:v>12062767.807596331</x:v>
      </x:c>
    </x:row>
    <x:row r="33" ht="18" customHeight="1">
      <x:c r="A33" s="46" t="str">
        <x:v>LME_026</x:v>
      </x:c>
      <x:c r="B33" s="46" t="str">
        <x:v>Mediterranean Sea</x:v>
      </x:c>
      <x:c r="C33" s="46" t="str">
        <x:v>LME</x:v>
      </x:c>
      <x:c r="D33" s="58" t="n">
        <x:v>2019</x:v>
      </x:c>
      <x:c r="E33" s="46" t="str">
        <x:v>Mullus</x:v>
      </x:c>
      <x:c r="F33" s="46" t="str">
        <x:v>Atlantic goatfishes</x:v>
      </x:c>
      <x:c r="G33" s="46" t="str">
        <x:v>Medium demersals (30 - 89 cm)</x:v>
      </x:c>
      <x:c r="H33" s="46" t="str">
        <x:v>Perch-likes</x:v>
      </x:c>
      <x:c r="I33" s="60" t="n">
        <x:v>8315.7195148031</x:v>
      </x:c>
      <x:c r="J33" s="60" t="n">
        <x:v>8308.5351154371</x:v>
      </x:c>
      <x:c r="K33" s="60" t="n">
        <x:v>7.184399366000001</x:v>
      </x:c>
      <x:c r="L33" s="60" t="n">
        <x:v>5160.6701973234</x:v>
      </x:c>
      <x:c r="M33" s="60" t="n">
        <x:v>3155.0493174796998</x:v>
      </x:c>
      <x:c r="N33" s="46" t="str">
        <x:v>mullus</x:v>
      </x:c>
      <x:c r="O33" s="62" t="n">
        <x:v>3.29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Mullus</x:v>
      </x:c>
      <x:c r="T33" s="62" t="n">
        <x:f>IF(O33="","",(1/'Metadata'!$B$5)^(O33-1))</x:f>
        <x:v>953.5834171618228</x:v>
      </x:c>
      <x:c r="U33" s="60" t="n">
        <x:f>IF(T33="","",I33*T33)</x:f>
        <x:v>7929732.231085196</x:v>
      </x:c>
    </x:row>
    <x:row r="34" ht="18" customHeight="1">
      <x:c r="A34" s="46" t="str">
        <x:v>LME_026</x:v>
      </x:c>
      <x:c r="B34" s="46" t="str">
        <x:v>Mediterranean Sea</x:v>
      </x:c>
      <x:c r="C34" s="46" t="str">
        <x:v>LME</x:v>
      </x:c>
      <x:c r="D34" s="58" t="n">
        <x:v>2019</x:v>
      </x:c>
      <x:c r="E34" s="46" t="str">
        <x:v>Mullus surmuletus</x:v>
      </x:c>
      <x:c r="F34" s="46" t="str">
        <x:v>Surmullet</x:v>
      </x:c>
      <x:c r="G34" s="46" t="str">
        <x:v>Medium demersals (30 - 89 cm)</x:v>
      </x:c>
      <x:c r="H34" s="46" t="str">
        <x:v>Perch-likes</x:v>
      </x:c>
      <x:c r="I34" s="60" t="n">
        <x:v>8273.5737429401</x:v>
      </x:c>
      <x:c r="J34" s="60" t="n">
        <x:v>7789.8115776804</x:v>
      </x:c>
      <x:c r="K34" s="60" t="n">
        <x:v>483.7621652597</x:v>
      </x:c>
      <x:c r="L34" s="60" t="n">
        <x:v>5928.552938736</x:v>
      </x:c>
      <x:c r="M34" s="60" t="n">
        <x:v>2345.0208042041</x:v>
      </x:c>
      <x:c r="N34" s="46" t="str">
        <x:v>mullus surmuletus</x:v>
      </x:c>
      <x:c r="O34" s="62" t="n">
        <x:v>3.45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Mullus surmuletus</x:v>
      </x:c>
      <x:c r="T34" s="62" t="n">
        <x:f>IF(O34="","",(1/'Metadata'!$B$5)^(O34-1))</x:f>
        <x:v>1540.009817222681</x:v>
      </x:c>
      <x:c r="U34" s="60" t="n">
        <x:f>IF(T34="","",I34*T34)</x:f>
        <x:v>12741384.787643556</x:v>
      </x:c>
    </x:row>
    <x:row r="35" ht="18" customHeight="1">
      <x:c r="A35" s="46" t="str">
        <x:v>LME_026</x:v>
      </x:c>
      <x:c r="B35" s="46" t="str">
        <x:v>Mediterranean Sea</x:v>
      </x:c>
      <x:c r="C35" s="46" t="str">
        <x:v>LME</x:v>
      </x:c>
      <x:c r="D35" s="58" t="n">
        <x:v>2019</x:v>
      </x:c>
      <x:c r="E35" s="46" t="str">
        <x:v>Squilla mantis</x:v>
      </x:c>
      <x:c r="F35" s="46" t="str">
        <x:v>Spottail mantis squillid</x:v>
      </x:c>
      <x:c r="G35" s="46" t="str">
        <x:v>Shrimps</x:v>
      </x:c>
      <x:c r="H35" s="46" t="str">
        <x:v>Crustaceans</x:v>
      </x:c>
      <x:c r="I35" s="60" t="n">
        <x:v>8258.0542892794</x:v>
      </x:c>
      <x:c r="J35" s="60" t="n">
        <x:v>6059.9522075179</x:v>
      </x:c>
      <x:c r="K35" s="60" t="n">
        <x:v>2198.1020817615</x:v>
      </x:c>
      <x:c r="L35" s="60" t="n">
        <x:v>6141.0121703815</x:v>
      </x:c>
      <x:c r="M35" s="60" t="n">
        <x:v>2117.0421188979</x:v>
      </x:c>
      <x:c r="N35" s="46" t="str">
        <x:v>squilla mantis</x:v>
      </x:c>
      <x:c r="O35" s="62" t="n">
        <x:v>3.62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Squilla mantis</x:v>
      </x:c>
      <x:c r="T35" s="62" t="n">
        <x:f>IF(O35="","",(1/'Metadata'!$B$5)^(O35-1))</x:f>
        <x:v>2562.7048371775754</x:v>
      </x:c>
      <x:c r="U35" s="60" t="n">
        <x:f>IF(T35="","",I35*T35)</x:f>
        <x:v>21162955.672811344</x:v>
      </x:c>
    </x:row>
    <x:row r="36" ht="18" customHeight="1">
      <x:c r="A36" s="46" t="str">
        <x:v>LME_026</x:v>
      </x:c>
      <x:c r="B36" s="46" t="str">
        <x:v>Mediterranean Sea</x:v>
      </x:c>
      <x:c r="C36" s="46" t="str">
        <x:v>LME</x:v>
      </x:c>
      <x:c r="D36" s="58" t="n">
        <x:v>2019</x:v>
      </x:c>
      <x:c r="E36" s="46" t="str">
        <x:v>Dicentrarchus labrax</x:v>
      </x:c>
      <x:c r="F36" s="46" t="str">
        <x:v>European seabass</x:v>
      </x:c>
      <x:c r="G36" s="46" t="str">
        <x:v>Large demersals (&gt;=90 cm)</x:v>
      </x:c>
      <x:c r="H36" s="46" t="str">
        <x:v>Perch-likes</x:v>
      </x:c>
      <x:c r="I36" s="60" t="n">
        <x:v>7998.9645228514</x:v>
      </x:c>
      <x:c r="J36" s="60" t="n">
        <x:v>7975.9772792051</x:v>
      </x:c>
      <x:c r="K36" s="60" t="n">
        <x:v>22.987243646299998</x:v>
      </x:c>
      <x:c r="L36" s="60" t="n">
        <x:v>954.2252581179999</x:v>
      </x:c>
      <x:c r="M36" s="60" t="n">
        <x:v>7044.7392647334</x:v>
      </x:c>
      <x:c r="N36" s="46" t="str">
        <x:v>dicentrarchus labrax</x:v>
      </x:c>
      <x:c r="O36" s="62" t="n">
        <x:v>3.79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Dicentrarchus labrax</x:v>
      </x:c>
      <x:c r="T36" s="62" t="n">
        <x:f>IF(O36="","",(1/'Metadata'!$B$5)^(O36-1))</x:f>
        <x:v>4264.554685980751</x:v>
      </x:c>
      <x:c r="U36" s="60" t="n">
        <x:f>IF(T36="","",I36*T36)</x:f>
        <x:v>34112021.63891972</x:v>
      </x:c>
    </x:row>
    <x:row r="37" ht="18" customHeight="1">
      <x:c r="A37" s="46" t="str">
        <x:v>LME_026</x:v>
      </x:c>
      <x:c r="B37" s="46" t="str">
        <x:v>Mediterranean Sea</x:v>
      </x:c>
      <x:c r="C37" s="46" t="str">
        <x:v>LME</x:v>
      </x:c>
      <x:c r="D37" s="58" t="n">
        <x:v>2019</x:v>
      </x:c>
      <x:c r="E37" s="46" t="str">
        <x:v>Sardinella aurita</x:v>
      </x:c>
      <x:c r="F37" s="46" t="str">
        <x:v>Round sardinella</x:v>
      </x:c>
      <x:c r="G37" s="46" t="str">
        <x:v>Small pelagics (&lt;30 cm)</x:v>
      </x:c>
      <x:c r="H37" s="46" t="str">
        <x:v>Herring-likes</x:v>
      </x:c>
      <x:c r="I37" s="60" t="n">
        <x:v>7860.347576705701</x:v>
      </x:c>
      <x:c r="J37" s="60" t="n">
        <x:v>7243.9764979959</x:v>
      </x:c>
      <x:c r="K37" s="60" t="n">
        <x:v>616.3710787098</x:v>
      </x:c>
      <x:c r="L37" s="60" t="n">
        <x:v>6450.3155610344</x:v>
      </x:c>
      <x:c r="M37" s="60" t="n">
        <x:v>1410.0320156713</x:v>
      </x:c>
      <x:c r="N37" s="46" t="str">
        <x:v>sardinella aurita</x:v>
      </x:c>
      <x:c r="O37" s="62" t="n">
        <x:v>3.4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Sardinella aurita</x:v>
      </x:c>
      <x:c r="T37" s="62" t="n">
        <x:f>IF(O37="","",(1/'Metadata'!$B$5)^(O37-1))</x:f>
        <x:v>1325.7816069359944</x:v>
      </x:c>
      <x:c r="U37" s="60" t="n">
        <x:f>IF(T37="","",I37*T37)</x:f>
        <x:v>10421104.241320334</x:v>
      </x:c>
    </x:row>
    <x:row r="38" ht="18" customHeight="1">
      <x:c r="A38" s="46" t="str">
        <x:v>LME_026</x:v>
      </x:c>
      <x:c r="B38" s="46" t="str">
        <x:v>Mediterranean Sea</x:v>
      </x:c>
      <x:c r="C38" s="46" t="str">
        <x:v>LME</x:v>
      </x:c>
      <x:c r="D38" s="58" t="n">
        <x:v>2019</x:v>
      </x:c>
      <x:c r="E38" s="46" t="str">
        <x:v>Diplodus</x:v>
      </x:c>
      <x:c r="F38" s="46" t="str">
        <x:v>Two-toothed seabreams</x:v>
      </x:c>
      <x:c r="G38" s="46" t="str">
        <x:v>Medium benthopelagics (30 - 89 cm)</x:v>
      </x:c>
      <x:c r="H38" s="46" t="str">
        <x:v>Perch-likes</x:v>
      </x:c>
      <x:c r="I38" s="60" t="n">
        <x:v>7855.8350724543</x:v>
      </x:c>
      <x:c r="J38" s="60" t="n">
        <x:v>7798.7920926805</x:v>
      </x:c>
      <x:c r="K38" s="60" t="n">
        <x:v>57.0429797738</x:v>
      </x:c>
      <x:c r="L38" s="60" t="n">
        <x:v>1431.1379354478</x:v>
      </x:c>
      <x:c r="M38" s="60" t="n">
        <x:v>6424.697137006499</x:v>
      </x:c>
      <x:c r="N38" s="46" t="str">
        <x:v>diplodus</x:v>
      </x:c>
      <x:c r="O38" s="62" t="n">
        <x:v>2.97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Diplodus</x:v>
      </x:c>
      <x:c r="T38" s="62" t="n">
        <x:f>IF(O38="","",(1/'Metadata'!$B$5)^(O38-1))</x:f>
        <x:v>365.61928200434755</x:v>
      </x:c>
      <x:c r="U38" s="60" t="n">
        <x:f>IF(T38="","",I38*T38)</x:f>
        <x:v>2872244.7787353126</x:v>
      </x:c>
    </x:row>
    <x:row r="39" ht="18" customHeight="1">
      <x:c r="A39" s="46" t="str">
        <x:v>LME_026</x:v>
      </x:c>
      <x:c r="B39" s="46" t="str">
        <x:v>Mediterranean Sea</x:v>
      </x:c>
      <x:c r="C39" s="46" t="str">
        <x:v>LME</x:v>
      </x:c>
      <x:c r="D39" s="58" t="n">
        <x:v>2019</x:v>
      </x:c>
      <x:c r="E39" s="46" t="str">
        <x:v>Diplodus vulgaris</x:v>
      </x:c>
      <x:c r="F39" s="46" t="str">
        <x:v>Common two-banded seabream</x:v>
      </x:c>
      <x:c r="G39" s="46" t="str">
        <x:v>Medium benthopelagics (30 - 89 cm)</x:v>
      </x:c>
      <x:c r="H39" s="46" t="str">
        <x:v>Perch-likes</x:v>
      </x:c>
      <x:c r="I39" s="60" t="n">
        <x:v>7680.1395499163</x:v>
      </x:c>
      <x:c r="J39" s="60" t="n">
        <x:v>7649.0600521624</x:v>
      </x:c>
      <x:c r="K39" s="60" t="n">
        <x:v>31.0794977539</x:v>
      </x:c>
      <x:c r="L39" s="60" t="n">
        <x:v>481.8334861085</x:v>
      </x:c>
      <x:c r="M39" s="60" t="n">
        <x:v>7198.3060638078005</x:v>
      </x:c>
      <x:c r="N39" s="46" t="str">
        <x:v>diplodus vulgaris</x:v>
      </x:c>
      <x:c r="O39" s="62" t="n">
        <x:v>3.52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Diplodus vulgaris</x:v>
      </x:c>
      <x:c r="T39" s="62" t="n">
        <x:f>IF(O39="","",(1/'Metadata'!$B$5)^(O39-1))</x:f>
        <x:v>1899.308837725312</x:v>
      </x:c>
      <x:c r="U39" s="60" t="n">
        <x:f>IF(T39="","",I39*T39)</x:f>
        <x:v>14586956.92211973</x:v>
      </x:c>
    </x:row>
    <x:row r="40" ht="18" customHeight="1">
      <x:c r="A40" s="46" t="str">
        <x:v>LME_026</x:v>
      </x:c>
      <x:c r="B40" s="46" t="str">
        <x:v>Mediterranean Sea</x:v>
      </x:c>
      <x:c r="C40" s="46" t="str">
        <x:v>LME</x:v>
      </x:c>
      <x:c r="D40" s="58" t="n">
        <x:v>2019</x:v>
      </x:c>
      <x:c r="E40" s="46" t="str">
        <x:v>Aristeus antennatus</x:v>
      </x:c>
      <x:c r="F40" s="46" t="str">
        <x:v>Blue and red shrimp</x:v>
      </x:c>
      <x:c r="G40" s="46" t="str">
        <x:v>Shrimps</x:v>
      </x:c>
      <x:c r="H40" s="46" t="str">
        <x:v>Crustaceans</x:v>
      </x:c>
      <x:c r="I40" s="60" t="n">
        <x:v>7590.2769521691</x:v>
      </x:c>
      <x:c r="J40" s="60" t="n">
        <x:v>6559.2745654943</x:v>
      </x:c>
      <x:c r="K40" s="60" t="n">
        <x:v>1031.0023866748</x:v>
      </x:c>
      <x:c r="L40" s="60" t="n">
        <x:v>3975.6692253476003</x:v>
      </x:c>
      <x:c r="M40" s="60" t="n">
        <x:v>3614.6077268215</x:v>
      </x:c>
      <x:c r="N40" s="46" t="str">
        <x:v>aristeus antennatus</x:v>
      </x:c>
      <x:c r="O40" s="62" t="n">
        <x:v>3.3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Aristeus antennatus</x:v>
      </x:c>
      <x:c r="T40" s="62" t="n">
        <x:f>IF(O40="","",(1/'Metadata'!$B$5)^(O40-1))</x:f>
        <x:v>982.5824208926318</x:v>
      </x:c>
      <x:c r="U40" s="60" t="n">
        <x:f>IF(T40="","",I40*T40)</x:f>
        <x:v>7458072.702907861</x:v>
      </x:c>
    </x:row>
    <x:row r="41" ht="18" customHeight="1">
      <x:c r="A41" s="46" t="str">
        <x:v>LME_026</x:v>
      </x:c>
      <x:c r="B41" s="46" t="str">
        <x:v>Mediterranean Sea</x:v>
      </x:c>
      <x:c r="C41" s="46" t="str">
        <x:v>LME</x:v>
      </x:c>
      <x:c r="D41" s="58" t="n">
        <x:v>2019</x:v>
      </x:c>
      <x:c r="E41" s="46" t="str">
        <x:v>Donax</x:v>
      </x:c>
      <x:c r="F41" s="46" t="str">
        <x:v>Bean clams</x:v>
      </x:c>
      <x:c r="G41" s="46" t="str">
        <x:v>Other demersal invertebrates</x:v>
      </x:c>
      <x:c r="H41" s="46" t="str">
        <x:v>Molluscs</x:v>
      </x:c>
      <x:c r="I41" s="60" t="n">
        <x:v>7055.198853112201</x:v>
      </x:c>
      <x:c r="J41" s="60" t="n">
        <x:v>7055.1971326772</x:v>
      </x:c>
      <x:c r="K41" s="60" t="n">
        <x:v>0.001720435</x:v>
      </x:c>
      <x:c r="L41" s="60" t="n">
        <x:v>5227.857415051901</x:v>
      </x:c>
      <x:c r="M41" s="60" t="n">
        <x:v>1827.3414380603</x:v>
      </x:c>
      <x:c r="N41" s="46" t="str">
        <x:v>donax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Donax</x:v>
      </x:c>
      <x:c r="T41" s="62" t="n">
        <x:f>IF(O41="","",(1/'Metadata'!$B$5)^(O41-1))</x:f>
        <x:v>20</x:v>
      </x:c>
      <x:c r="U41" s="60" t="n">
        <x:f>IF(T41="","",I41*T41)</x:f>
        <x:v>141103.97706224403</x:v>
      </x:c>
    </x:row>
    <x:row r="42" ht="18" customHeight="1">
      <x:c r="A42" s="46" t="str">
        <x:v>LME_026</x:v>
      </x:c>
      <x:c r="B42" s="46" t="str">
        <x:v>Mediterranean Sea</x:v>
      </x:c>
      <x:c r="C42" s="46" t="str">
        <x:v>LME</x:v>
      </x:c>
      <x:c r="D42" s="58" t="n">
        <x:v>2019</x:v>
      </x:c>
      <x:c r="E42" s="46" t="str">
        <x:v>Sparidae</x:v>
      </x:c>
      <x:c r="F42" s="46" t="str">
        <x:v>Porgies, seabreams</x:v>
      </x:c>
      <x:c r="G42" s="46" t="str">
        <x:v>Medium benthopelagics (30 - 89 cm)</x:v>
      </x:c>
      <x:c r="H42" s="46" t="str">
        <x:v>Perch-likes</x:v>
      </x:c>
      <x:c r="I42" s="60" t="n">
        <x:v>6758.9473861867</x:v>
      </x:c>
      <x:c r="J42" s="60" t="n">
        <x:v>6060.3138007282005</x:v>
      </x:c>
      <x:c r="K42" s="60" t="n">
        <x:v>698.6335854585</x:v>
      </x:c>
      <x:c r="L42" s="60" t="n">
        <x:v>3143.4311809255</x:v>
      </x:c>
      <x:c r="M42" s="60" t="n">
        <x:v>3615.5162052612</x:v>
      </x:c>
      <x:c r="N42" s="46" t="str">
        <x:v>sparidae</x:v>
      </x:c>
      <x:c r="O42" s="62" t="n">
        <x:v>3.31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Sparidae</x:v>
      </x:c>
      <x:c r="T42" s="62" t="n">
        <x:f>IF(O42="","",(1/'Metadata'!$B$5)^(O42-1))</x:f>
        <x:v>1012.4633005057666</x:v>
      </x:c>
      <x:c r="U42" s="60" t="n">
        <x:f>IF(T42="","",I42*T42)</x:f>
        <x:v>6843186.17856341</x:v>
      </x:c>
    </x:row>
    <x:row r="43" ht="18" customHeight="1">
      <x:c r="A43" s="46" t="str">
        <x:v>LME_026</x:v>
      </x:c>
      <x:c r="B43" s="46" t="str">
        <x:v>Mediterranean Sea</x:v>
      </x:c>
      <x:c r="C43" s="46" t="str">
        <x:v>LME</x:v>
      </x:c>
      <x:c r="D43" s="58" t="n">
        <x:v>2019</x:v>
      </x:c>
      <x:c r="E43" s="46" t="str">
        <x:v>Spicara smaris</x:v>
      </x:c>
      <x:c r="F43" s="46" t="str">
        <x:v>Picarel</x:v>
      </x:c>
      <x:c r="G43" s="46" t="str">
        <x:v>Small demersals (&lt;30 cm)</x:v>
      </x:c>
      <x:c r="H43" s="46" t="str">
        <x:v>Perch-likes</x:v>
      </x:c>
      <x:c r="I43" s="60" t="n">
        <x:v>6409.3908212593</x:v>
      </x:c>
      <x:c r="J43" s="60" t="n">
        <x:v>5610.4992351911</x:v>
      </x:c>
      <x:c r="K43" s="60" t="n">
        <x:v>798.8915860682</x:v>
      </x:c>
      <x:c r="L43" s="60" t="n">
        <x:v>2146.5306800664</x:v>
      </x:c>
      <x:c r="M43" s="60" t="n">
        <x:v>4262.860141192899</x:v>
      </x:c>
      <x:c r="N43" s="46" t="str">
        <x:v>spicara smaris</x:v>
      </x:c>
      <x:c r="O43" s="62" t="n">
        <x:v>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Spicara smaris</x:v>
      </x:c>
      <x:c r="T43" s="62" t="n">
        <x:f>IF(O43="","",(1/'Metadata'!$B$5)^(O43-1))</x:f>
        <x:v>400</x:v>
      </x:c>
      <x:c r="U43" s="60" t="n">
        <x:f>IF(T43="","",I43*T43)</x:f>
        <x:v>2563756.32850372</x:v>
      </x:c>
    </x:row>
    <x:row r="44" ht="18" customHeight="1">
      <x:c r="A44" s="46" t="str">
        <x:v>LME_026</x:v>
      </x:c>
      <x:c r="B44" s="46" t="str">
        <x:v>Mediterranean Sea</x:v>
      </x:c>
      <x:c r="C44" s="46" t="str">
        <x:v>LME</x:v>
      </x:c>
      <x:c r="D44" s="58" t="n">
        <x:v>2019</x:v>
      </x:c>
      <x:c r="E44" s="46" t="str">
        <x:v>Mullidae</x:v>
      </x:c>
      <x:c r="F44" s="46" t="str">
        <x:v>Goatfishes</x:v>
      </x:c>
      <x:c r="G44" s="46" t="str">
        <x:v>Medium reef assoc. fish (30 - 89 cm)</x:v>
      </x:c>
      <x:c r="H44" s="46" t="str">
        <x:v>Perch-likes</x:v>
      </x:c>
      <x:c r="I44" s="60" t="n">
        <x:v>6384.61831678</x:v>
      </x:c>
      <x:c r="J44" s="60" t="n">
        <x:v>5879.0423479345</x:v>
      </x:c>
      <x:c r="K44" s="60" t="n">
        <x:v>505.57596884550003</x:v>
      </x:c>
      <x:c r="L44" s="60" t="n">
        <x:v>961.8269455373</x:v>
      </x:c>
      <x:c r="M44" s="60" t="n">
        <x:v>5422.7913712427</x:v>
      </x:c>
      <x:c r="N44" s="46" t="str">
        <x:v>mullidae</x:v>
      </x:c>
      <x:c r="O44" s="62" t="n">
        <x:v>3.46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Mullidae</x:v>
      </x:c>
      <x:c r="T44" s="62" t="n">
        <x:f>IF(O44="","",(1/'Metadata'!$B$5)^(O44-1))</x:f>
        <x:v>1586.8423749532276</x:v>
      </x:c>
      <x:c r="U44" s="60" t="n">
        <x:f>IF(T44="","",I44*T44)</x:f>
        <x:v>10131382.892969053</x:v>
      </x:c>
    </x:row>
    <x:row r="45" ht="18" customHeight="1">
      <x:c r="A45" s="46" t="str">
        <x:v>LME_026</x:v>
      </x:c>
      <x:c r="B45" s="46" t="str">
        <x:v>Mediterranean Sea</x:v>
      </x:c>
      <x:c r="C45" s="46" t="str">
        <x:v>LME</x:v>
      </x:c>
      <x:c r="D45" s="58" t="n">
        <x:v>2019</x:v>
      </x:c>
      <x:c r="E45" s="46" t="str">
        <x:v>Sarpa salpa</x:v>
      </x:c>
      <x:c r="F45" s="46" t="str">
        <x:v>Salema</x:v>
      </x:c>
      <x:c r="G45" s="46" t="str">
        <x:v>Medium benthopelagics (30 - 89 cm)</x:v>
      </x:c>
      <x:c r="H45" s="46" t="str">
        <x:v>Perch-likes</x:v>
      </x:c>
      <x:c r="I45" s="60" t="n">
        <x:v>6283.4599752279</x:v>
      </x:c>
      <x:c r="J45" s="60" t="n">
        <x:v>6193.7327001039</x:v>
      </x:c>
      <x:c r="K45" s="60" t="n">
        <x:v>89.727275124</x:v>
      </x:c>
      <x:c r="L45" s="60" t="n">
        <x:v>3890.4441155044</x:v>
      </x:c>
      <x:c r="M45" s="60" t="n">
        <x:v>2393.0158597235</x:v>
      </x:c>
      <x:c r="N45" s="46" t="str">
        <x:v>sarpa salpa</x:v>
      </x:c>
      <x:c r="O45" s="62" t="n">
        <x:v>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Sarpa salpa</x:v>
      </x:c>
      <x:c r="T45" s="62" t="n">
        <x:f>IF(O45="","",(1/'Metadata'!$B$5)^(O45-1))</x:f>
        <x:v>20</x:v>
      </x:c>
      <x:c r="U45" s="60" t="n">
        <x:f>IF(T45="","",I45*T45)</x:f>
        <x:v>125669.199504558</x:v>
      </x:c>
    </x:row>
    <x:row r="46" ht="18" customHeight="1">
      <x:c r="A46" s="46" t="str">
        <x:v>LME_026</x:v>
      </x:c>
      <x:c r="B46" s="46" t="str">
        <x:v>Mediterranean Sea</x:v>
      </x:c>
      <x:c r="C46" s="46" t="str">
        <x:v>LME</x:v>
      </x:c>
      <x:c r="D46" s="58" t="n">
        <x:v>2019</x:v>
      </x:c>
      <x:c r="E46" s="46" t="str">
        <x:v>Dentex dentex</x:v>
      </x:c>
      <x:c r="F46" s="46" t="str">
        <x:v>Common dentex</x:v>
      </x:c>
      <x:c r="G46" s="46" t="str">
        <x:v>Large benthopelagics (&gt;=90 cm)</x:v>
      </x:c>
      <x:c r="H46" s="46" t="str">
        <x:v>Perch-likes</x:v>
      </x:c>
      <x:c r="I46" s="60" t="n">
        <x:v>5851.7984888990995</x:v>
      </x:c>
      <x:c r="J46" s="60" t="n">
        <x:v>5813.336824873</x:v>
      </x:c>
      <x:c r="K46" s="60" t="n">
        <x:v>38.4616640261</x:v>
      </x:c>
      <x:c r="L46" s="60" t="n">
        <x:v>1104.3746259637999</x:v>
      </x:c>
      <x:c r="M46" s="60" t="n">
        <x:v>4747.423862935299</x:v>
      </x:c>
      <x:c r="N46" s="46" t="str">
        <x:v>dentex dentex</x:v>
      </x:c>
      <x:c r="O46" s="62" t="n">
        <x:v>4.53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Dentex dentex</x:v>
      </x:c>
      <x:c r="T46" s="62" t="n">
        <x:f>IF(O46="","",(1/'Metadata'!$B$5)^(O46-1))</x:f>
        <x:v>39141.35758252625</x:v>
      </x:c>
      <x:c r="U46" s="60" t="n">
        <x:f>IF(T46="","",I46*T46)</x:f>
        <x:v>229047337.15488642</x:v>
      </x:c>
    </x:row>
    <x:row r="47" ht="18" customHeight="1">
      <x:c r="A47" s="46" t="str">
        <x:v>LME_026</x:v>
      </x:c>
      <x:c r="B47" s="46" t="str">
        <x:v>Mediterranean Sea</x:v>
      </x:c>
      <x:c r="C47" s="46" t="str">
        <x:v>LME</x:v>
      </x:c>
      <x:c r="D47" s="58" t="n">
        <x:v>2019</x:v>
      </x:c>
      <x:c r="E47" s="46" t="str">
        <x:v>Scomber</x:v>
      </x:c>
      <x:c r="F47" s="46" t="str">
        <x:v>Chub mackerels</x:v>
      </x:c>
      <x:c r="G47" s="46" t="str">
        <x:v>Medium pelagics (30 - 89 cm)</x:v>
      </x:c>
      <x:c r="H47" s="46" t="str">
        <x:v>Perch-likes</x:v>
      </x:c>
      <x:c r="I47" s="60" t="n">
        <x:v>5426.282060820599</x:v>
      </x:c>
      <x:c r="J47" s="60" t="n">
        <x:v>5425.3136250054995</x:v>
      </x:c>
      <x:c r="K47" s="60" t="n">
        <x:v>0.9684358151</x:v>
      </x:c>
      <x:c r="L47" s="60" t="n">
        <x:v>31.0154830785</x:v>
      </x:c>
      <x:c r="M47" s="60" t="n">
        <x:v>5395.2665777421</x:v>
      </x:c>
      <x:c r="N47" s="46" t="str">
        <x:v>scomber</x:v>
      </x:c>
      <x:c r="O47" s="62" t="n">
        <x:v>3.65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Scomber</x:v>
      </x:c>
      <x:c r="T47" s="62" t="n">
        <x:f>IF(O47="","",(1/'Metadata'!$B$5)^(O47-1))</x:f>
        <x:v>2803.6867455443476</x:v>
      </x:c>
      <x:c r="U47" s="60" t="n">
        <x:f>IF(T47="","",I47*T47)</x:f>
        <x:v>15213595.091507781</x:v>
      </x:c>
    </x:row>
    <x:row r="48" ht="18" customHeight="1">
      <x:c r="A48" s="46" t="str">
        <x:v>LME_026</x:v>
      </x:c>
      <x:c r="B48" s="46" t="str">
        <x:v>Mediterranean Sea</x:v>
      </x:c>
      <x:c r="C48" s="46" t="str">
        <x:v>LME</x:v>
      </x:c>
      <x:c r="D48" s="58" t="n">
        <x:v>2019</x:v>
      </x:c>
      <x:c r="E48" s="46" t="str">
        <x:v>Solea solea</x:v>
      </x:c>
      <x:c r="F48" s="46" t="str">
        <x:v>Common sole</x:v>
      </x:c>
      <x:c r="G48" s="46" t="str">
        <x:v>Small to medium flatfishes (&lt;90 cm)</x:v>
      </x:c>
      <x:c r="H48" s="46" t="str">
        <x:v>Flatfishes</x:v>
      </x:c>
      <x:c r="I48" s="60" t="n">
        <x:v>5364.5514247884</x:v>
      </x:c>
      <x:c r="J48" s="60" t="n">
        <x:v>5192.9270399481</x:v>
      </x:c>
      <x:c r="K48" s="60" t="n">
        <x:v>171.6243848403</x:v>
      </x:c>
      <x:c r="L48" s="60" t="n">
        <x:v>4176.98408209</x:v>
      </x:c>
      <x:c r="M48" s="60" t="n">
        <x:v>1187.5673426984</x:v>
      </x:c>
      <x:c r="N48" s="46" t="str">
        <x:v>solea solea</x:v>
      </x:c>
      <x:c r="O48" s="62" t="n">
        <x:v>3.21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Solea solea</x:v>
      </x:c>
      <x:c r="T48" s="62" t="n">
        <x:f>IF(O48="","",(1/'Metadata'!$B$5)^(O48-1))</x:f>
        <x:v>750.3714304613432</x:v>
      </x:c>
      <x:c r="U48" s="60" t="n">
        <x:f>IF(T48="","",I48*T48)</x:f>
        <x:v>4025406.126401908</x:v>
      </x:c>
    </x:row>
    <x:row r="49" ht="18" customHeight="1">
      <x:c r="A49" s="46" t="str">
        <x:v>LME_026</x:v>
      </x:c>
      <x:c r="B49" s="46" t="str">
        <x:v>Mediterranean Sea</x:v>
      </x:c>
      <x:c r="C49" s="46" t="str">
        <x:v>LME</x:v>
      </x:c>
      <x:c r="D49" s="58" t="n">
        <x:v>2019</x:v>
      </x:c>
      <x:c r="E49" s="46" t="str">
        <x:v>Coryphaena hippurus</x:v>
      </x:c>
      <x:c r="F49" s="46" t="str">
        <x:v>Common dolphinfish</x:v>
      </x:c>
      <x:c r="G49" s="46" t="str">
        <x:v>Large pelagics (&gt;=90 cm)</x:v>
      </x:c>
      <x:c r="H49" s="46" t="str">
        <x:v>Perch-likes</x:v>
      </x:c>
      <x:c r="I49" s="60" t="n">
        <x:v>5291.9111248882</x:v>
      </x:c>
      <x:c r="J49" s="60" t="n">
        <x:v>5281.3064511369</x:v>
      </x:c>
      <x:c r="K49" s="60" t="n">
        <x:v>10.604673751299998</x:v>
      </x:c>
      <x:c r="L49" s="60" t="n">
        <x:v>3675.4714027552</x:v>
      </x:c>
      <x:c r="M49" s="60" t="n">
        <x:v>1616.439722133</x:v>
      </x:c>
      <x:c r="N49" s="46" t="str">
        <x:v>coryphaena hippurus</x:v>
      </x:c>
      <x:c r="O49" s="62" t="n">
        <x:v>4.37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Coryphaena hippurus</x:v>
      </x:c>
      <x:c r="T49" s="62" t="n">
        <x:f>IF(O49="","",(1/'Metadata'!$B$5)^(O49-1))</x:f>
        <x:v>24236.56596112542</x:v>
      </x:c>
      <x:c r="U49" s="60" t="n">
        <x:f>IF(T49="","",I49*T49)</x:f>
        <x:v>128257753.03876628</x:v>
      </x:c>
    </x:row>
    <x:row r="50" ht="18" customHeight="1">
      <x:c r="A50" s="46" t="str">
        <x:v>LME_026</x:v>
      </x:c>
      <x:c r="B50" s="46" t="str">
        <x:v>Mediterranean Sea</x:v>
      </x:c>
      <x:c r="C50" s="46" t="str">
        <x:v>LME</x:v>
      </x:c>
      <x:c r="D50" s="58" t="n">
        <x:v>2019</x:v>
      </x:c>
      <x:c r="E50" s="46" t="str">
        <x:v>Clupeiformes</x:v>
      </x:c>
      <x:c r="F50" s="46" t="str">
        <x:v>Herrings, shads, anchovies</x:v>
      </x:c>
      <x:c r="G50" s="46" t="str">
        <x:v>Small pelagics (&lt;30 cm)</x:v>
      </x:c>
      <x:c r="H50" s="46" t="str">
        <x:v>Other fishes &amp; inverts</x:v>
      </x:c>
      <x:c r="I50" s="60" t="n">
        <x:v>5288.4525234795</x:v>
      </x:c>
      <x:c r="J50" s="60" t="n">
        <x:v>5274.5876703435</x:v>
      </x:c>
      <x:c r="K50" s="60" t="n">
        <x:v>13.864853136</x:v>
      </x:c>
      <x:c r="L50" s="60" t="n">
        <x:v>5046.0827960642</x:v>
      </x:c>
      <x:c r="M50" s="60" t="n">
        <x:v>242.3697274153</x:v>
      </x:c>
      <x:c r="N50" s="46" t="str">
        <x:v>clupeiformes</x:v>
      </x:c>
      <x:c r="O50" s="62" t="n">
        <x:v>3.24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Clupeiformes</x:v>
      </x:c>
      <x:c r="T50" s="62" t="n">
        <x:f>IF(O50="","",(1/'Metadata'!$B$5)^(O50-1))</x:f>
        <x:v>820.9320103116679</x:v>
      </x:c>
      <x:c r="U50" s="60" t="n">
        <x:f>IF(T50="","",I50*T50)</x:f>
        <x:v>4341459.961537839</x:v>
      </x:c>
    </x:row>
    <x:row r="51" ht="18" customHeight="1">
      <x:c r="A51" s="46" t="str">
        <x:v>LME_026</x:v>
      </x:c>
      <x:c r="B51" s="46" t="str">
        <x:v>Mediterranean Sea</x:v>
      </x:c>
      <x:c r="C51" s="46" t="str">
        <x:v>LME</x:v>
      </x:c>
      <x:c r="D51" s="58" t="n">
        <x:v>2019</x:v>
      </x:c>
      <x:c r="E51" s="46" t="str">
        <x:v>Osteichthyes</x:v>
      </x:c>
      <x:c r="F51" s="46" t="str">
        <x:v>Bony fishes</x:v>
      </x:c>
      <x:c r="G51" s="46" t="str">
        <x:v>Medium demersals (30 - 89 cm)</x:v>
      </x:c>
      <x:c r="H51" s="46" t="str">
        <x:v>Other fishes &amp; inverts</x:v>
      </x:c>
      <x:c r="I51" s="60" t="n">
        <x:v>5218.2199752895</x:v>
      </x:c>
      <x:c r="J51" s="60" t="n">
        <x:v>4725.7096480571</x:v>
      </x:c>
      <x:c r="K51" s="60" t="n">
        <x:v>492.5103272324</x:v>
      </x:c>
      <x:c r="L51" s="60" t="n">
        <x:v>4404.7551376607</x:v>
      </x:c>
      <x:c r="M51" s="60" t="n">
        <x:v>813.4648376288001</x:v>
      </x:c>
      <x:c r="N51" s="46" t="str">
        <x:v>osteichthyes</x:v>
      </x:c>
      <x:c r="O51" s="62" t="n">
        <x:v>3.79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Osteichthyes</x:v>
      </x:c>
      <x:c r="T51" s="62" t="n">
        <x:f>IF(O51="","",(1/'Metadata'!$B$5)^(O51-1))</x:f>
        <x:v>4264.554685980751</x:v>
      </x:c>
      <x:c r="U51" s="60" t="n">
        <x:f>IF(T51="","",I51*T51)</x:f>
        <x:v>22253384.448099196</x:v>
      </x:c>
    </x:row>
    <x:row r="52" ht="18" customHeight="1">
      <x:c r="A52" s="46" t="str">
        <x:v>LME_026</x:v>
      </x:c>
      <x:c r="B52" s="46" t="str">
        <x:v>Mediterranean Sea</x:v>
      </x:c>
      <x:c r="C52" s="46" t="str">
        <x:v>LME</x:v>
      </x:c>
      <x:c r="D52" s="58" t="n">
        <x:v>2019</x:v>
      </x:c>
      <x:c r="E52" s="46" t="str">
        <x:v>Penaeus kerathurus</x:v>
      </x:c>
      <x:c r="F52" s="46" t="str">
        <x:v>Caramote prawn</x:v>
      </x:c>
      <x:c r="G52" s="46" t="str">
        <x:v>Shrimps</x:v>
      </x:c>
      <x:c r="H52" s="46" t="str">
        <x:v>Crustaceans</x:v>
      </x:c>
      <x:c r="I52" s="60" t="n">
        <x:v>5203.8069582278</x:v>
      </x:c>
      <x:c r="J52" s="60" t="n">
        <x:v>4667.0666156372</x:v>
      </x:c>
      <x:c r="K52" s="60" t="n">
        <x:v>536.7403425906</x:v>
      </x:c>
      <x:c r="L52" s="60" t="n">
        <x:v>3985.0329360984</x:v>
      </x:c>
      <x:c r="M52" s="60" t="n">
        <x:v>1218.7740221294</x:v>
      </x:c>
      <x:c r="N52" s="46" t="str">
        <x:v>penaeus kerathurus</x:v>
      </x:c>
      <x:c r="O52" s="62" t="n">
        <x:v>2.7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Penaeus kerathurus</x:v>
      </x:c>
      <x:c r="T52" s="62" t="n">
        <x:f>IF(O52="","",(1/'Metadata'!$B$5)^(O52-1))</x:f>
        <x:v>162.83621261476185</x:v>
      </x:c>
      <x:c r="U52" s="60" t="n">
        <x:f>IF(T52="","",I52*T52)</x:f>
        <x:v>847368.2162561592</x:v>
      </x:c>
    </x:row>
    <x:row r="53" ht="18" customHeight="1">
      <x:c r="A53" s="46" t="str">
        <x:v>LME_026</x:v>
      </x:c>
      <x:c r="B53" s="46" t="str">
        <x:v>Mediterranean Sea</x:v>
      </x:c>
      <x:c r="C53" s="46" t="str">
        <x:v>LME</x:v>
      </x:c>
      <x:c r="D53" s="58" t="n">
        <x:v>2019</x:v>
      </x:c>
      <x:c r="E53" s="46" t="str">
        <x:v>Mugil cephalus</x:v>
      </x:c>
      <x:c r="F53" s="46" t="str">
        <x:v>Flathead grey mullet</x:v>
      </x:c>
      <x:c r="G53" s="46" t="str">
        <x:v>Large benthopelagics (&gt;=90 cm)</x:v>
      </x:c>
      <x:c r="H53" s="46" t="str">
        <x:v>Perch-likes</x:v>
      </x:c>
      <x:c r="I53" s="60" t="n">
        <x:v>5156.1933582637</x:v>
      </x:c>
      <x:c r="J53" s="60" t="n">
        <x:v>5135.1769551521</x:v>
      </x:c>
      <x:c r="K53" s="60" t="n">
        <x:v>21.0164031116</x:v>
      </x:c>
      <x:c r="L53" s="60" t="n">
        <x:v>4403.4360694053</x:v>
      </x:c>
      <x:c r="M53" s="60" t="n">
        <x:v>752.7572888583999</x:v>
      </x:c>
      <x:c r="N53" s="46" t="str">
        <x:v>mugil cephalus</x:v>
      </x:c>
      <x:c r="O53" s="62" t="n">
        <x:v>2.14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Mugil cephalus</x:v>
      </x:c>
      <x:c r="T53" s="62" t="n">
        <x:f>IF(O53="","",(1/'Metadata'!$B$5)^(O53-1))</x:f>
        <x:v>30.421049660829848</x:v>
      </x:c>
      <x:c r="U53" s="60" t="n">
        <x:f>IF(T53="","",I53*T53)</x:f>
        <x:v>156856.81421258106</x:v>
      </x:c>
    </x:row>
    <x:row r="54" ht="18" customHeight="1">
      <x:c r="A54" s="46" t="str">
        <x:v>LME_026</x:v>
      </x:c>
      <x:c r="B54" s="46" t="str">
        <x:v>Mediterranean Sea</x:v>
      </x:c>
      <x:c r="C54" s="46" t="str">
        <x:v>LME</x:v>
      </x:c>
      <x:c r="D54" s="58" t="n">
        <x:v>2019</x:v>
      </x:c>
      <x:c r="E54" s="46" t="str">
        <x:v>Penaeidae</x:v>
      </x:c>
      <x:c r="F54" s="46" t="str">
        <x:v>Commercial shrimps and prawns</x:v>
      </x:c>
      <x:c r="G54" s="46" t="str">
        <x:v>Shrimps</x:v>
      </x:c>
      <x:c r="H54" s="46" t="str">
        <x:v>Crustaceans</x:v>
      </x:c>
      <x:c r="I54" s="60" t="n">
        <x:v>5080.972473189</x:v>
      </x:c>
      <x:c r="J54" s="60" t="n">
        <x:v>5018.0135823969</x:v>
      </x:c>
      <x:c r="K54" s="60" t="n">
        <x:v>62.9588907921</x:v>
      </x:c>
      <x:c r="L54" s="60" t="n">
        <x:v>4640.5385720379</x:v>
      </x:c>
      <x:c r="M54" s="60" t="n">
        <x:v>440.4339011511</x:v>
      </x:c>
      <x:c r="N54" s="46" t="str">
        <x:v>penaeidae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Penaeidae</x:v>
      </x:c>
      <x:c r="T54" s="62" t="n">
        <x:f>IF(O54="","",(1/'Metadata'!$B$5)^(O54-1))</x:f>
        <x:v>1012.4633005057666</x:v>
      </x:c>
      <x:c r="U54" s="60" t="n">
        <x:f>IF(T54="","",I54*T54)</x:f>
        <x:v>5144298.159983883</x:v>
      </x:c>
    </x:row>
    <x:row r="55" ht="18" customHeight="1">
      <x:c r="A55" s="46" t="str">
        <x:v>LME_026</x:v>
      </x:c>
      <x:c r="B55" s="46" t="str">
        <x:v>Mediterranean Sea</x:v>
      </x:c>
      <x:c r="C55" s="46" t="str">
        <x:v>LME</x:v>
      </x:c>
      <x:c r="D55" s="58" t="n">
        <x:v>2019</x:v>
      </x:c>
      <x:c r="E55" s="46" t="str">
        <x:v>Mollusca</x:v>
      </x:c>
      <x:c r="F55" s="46" t="str">
        <x:v>Clams, seasnails, squids, octopuses</x:v>
      </x:c>
      <x:c r="G55" s="46" t="str">
        <x:v>Other demersal invertebrates</x:v>
      </x:c>
      <x:c r="H55" s="46" t="str">
        <x:v>Molluscs</x:v>
      </x:c>
      <x:c r="I55" s="60" t="n">
        <x:v>5045.9133827783</x:v>
      </x:c>
      <x:c r="J55" s="60" t="n">
        <x:v>5001.0796558892</x:v>
      </x:c>
      <x:c r="K55" s="60" t="n">
        <x:v>44.8337268891</x:v>
      </x:c>
      <x:c r="L55" s="60" t="n">
        <x:v>4824.8231437661</x:v>
      </x:c>
      <x:c r="M55" s="60" t="n">
        <x:v>221.09023901220002</x:v>
      </x:c>
      <x:c r="N55" s="46" t="str">
        <x:v>mollusca</x:v>
      </x:c>
      <x:c r="O55" s="62" t="n">
        <x:v>2.1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Mollusca</x:v>
      </x:c>
      <x:c r="T55" s="62" t="n">
        <x:f>IF(O55="","",(1/'Metadata'!$B$5)^(O55-1))</x:f>
        <x:v>26.985656953471274</x:v>
      </x:c>
      <x:c r="U55" s="60" t="n">
        <x:f>IF(T55="","",I55*T55)</x:f>
        <x:v>136167.28756458499</x:v>
      </x:c>
    </x:row>
    <x:row r="56" ht="18" customHeight="1">
      <x:c r="A56" s="46" t="str">
        <x:v>LME_026</x:v>
      </x:c>
      <x:c r="B56" s="46" t="str">
        <x:v>Mediterranean Sea</x:v>
      </x:c>
      <x:c r="C56" s="46" t="str">
        <x:v>LME</x:v>
      </x:c>
      <x:c r="D56" s="58" t="n">
        <x:v>2019</x:v>
      </x:c>
      <x:c r="E56" s="46" t="str">
        <x:v>Squalidae</x:v>
      </x:c>
      <x:c r="F56" s="46" t="str">
        <x:v>Dogfish sharks</x:v>
      </x:c>
      <x:c r="G56" s="46" t="str">
        <x:v>Large sharks (&gt;=90 cm)</x:v>
      </x:c>
      <x:c r="H56" s="46" t="str">
        <x:v>Sharks &amp; rays</x:v>
      </x:c>
      <x:c r="I56" s="60" t="n">
        <x:v>5010.7593918905995</x:v>
      </x:c>
      <x:c r="J56" s="60" t="n">
        <x:v>4797.6077923804</x:v>
      </x:c>
      <x:c r="K56" s="60" t="n">
        <x:v>213.15159951020001</x:v>
      </x:c>
      <x:c r="L56" s="60" t="n">
        <x:v>3954.4557643970998</x:v>
      </x:c>
      <x:c r="M56" s="60" t="n">
        <x:v>1056.3036274935</x:v>
      </x:c>
      <x:c r="N56" s="46" t="str">
        <x:v>squalidae</x:v>
      </x:c>
      <x:c r="O56" s="62" t="n">
        <x:v>4.23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Squalidae</x:v>
      </x:c>
      <x:c r="T56" s="62" t="n">
        <x:f>IF(O56="","",(1/'Metadata'!$B$5)^(O56-1))</x:f>
        <x:v>15934.076063346663</x:v>
      </x:c>
      <x:c r="U56" s="60" t="n">
        <x:f>IF(T56="","",I56*T56)</x:f>
        <x:v>79841821.28551349</x:v>
      </x:c>
    </x:row>
    <x:row r="57" ht="18" customHeight="1">
      <x:c r="A57" s="46" t="str">
        <x:v>LME_026</x:v>
      </x:c>
      <x:c r="B57" s="46" t="str">
        <x:v>Mediterranean Sea</x:v>
      </x:c>
      <x:c r="C57" s="46" t="str">
        <x:v>LME</x:v>
      </x:c>
      <x:c r="D57" s="58" t="n">
        <x:v>2019</x:v>
      </x:c>
      <x:c r="E57" s="46" t="str">
        <x:v>Gastropoda</x:v>
      </x:c>
      <x:c r="F57" s="46" t="str">
        <x:v>Sea snails</x:v>
      </x:c>
      <x:c r="G57" s="46" t="str">
        <x:v>Other demersal invertebrates</x:v>
      </x:c>
      <x:c r="H57" s="46" t="str">
        <x:v>Molluscs</x:v>
      </x:c>
      <x:c r="I57" s="60" t="n">
        <x:v>4916.5021585769</x:v>
      </x:c>
      <x:c r="J57" s="60" t="n">
        <x:v>4896.7764199443</x:v>
      </x:c>
      <x:c r="K57" s="60" t="n">
        <x:v>19.7257386326</x:v>
      </x:c>
      <x:c r="L57" s="60" t="n">
        <x:v>3852.4829908876</x:v>
      </x:c>
      <x:c r="M57" s="60" t="n">
        <x:v>1064.0191676893</x:v>
      </x:c>
      <x:c r="N57" s="46" t="str">
        <x:v>gastropoda</x:v>
      </x:c>
      <x:c r="O57" s="62" t="n">
        <x:v>3.06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Gastropoda</x:v>
      </x:c>
      <x:c r="T57" s="62" t="n">
        <x:f>IF(O57="","",(1/'Metadata'!$B$5)^(O57-1))</x:f>
        <x:v>478.7643354384948</x:v>
      </x:c>
      <x:c r="U57" s="60" t="n">
        <x:f>IF(T57="","",I57*T57)</x:f>
        <x:v>2353845.8886329946</x:v>
      </x:c>
    </x:row>
    <x:row r="58" ht="18" customHeight="1">
      <x:c r="A58" s="46" t="str">
        <x:v>LME_026</x:v>
      </x:c>
      <x:c r="B58" s="46" t="str">
        <x:v>Mediterranean Sea</x:v>
      </x:c>
      <x:c r="C58" s="46" t="str">
        <x:v>LME</x:v>
      </x:c>
      <x:c r="D58" s="58" t="n">
        <x:v>2019</x:v>
      </x:c>
      <x:c r="E58" s="46" t="str">
        <x:v>Scorpaena</x:v>
      </x:c>
      <x:c r="F58" s="46" t="str">
        <x:v>Scorpionfishes</x:v>
      </x:c>
      <x:c r="G58" s="46" t="str">
        <x:v>Large reef assoc. fish (&gt;=90 cm)</x:v>
      </x:c>
      <x:c r="H58" s="46" t="str">
        <x:v>Scorpionfishes</x:v>
      </x:c>
      <x:c r="I58" s="60" t="n">
        <x:v>4866.9654944448</x:v>
      </x:c>
      <x:c r="J58" s="60" t="n">
        <x:v>4788.3227196343</x:v>
      </x:c>
      <x:c r="K58" s="60" t="n">
        <x:v>78.6427748105</x:v>
      </x:c>
      <x:c r="L58" s="60" t="n">
        <x:v>179.730302247</x:v>
      </x:c>
      <x:c r="M58" s="60" t="n">
        <x:v>4687.2351921978</x:v>
      </x:c>
      <x:c r="N58" s="46" t="str">
        <x:v>scorpaena</x:v>
      </x:c>
      <x:c r="O58" s="62" t="n">
        <x:v>3.87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Scorpaena</x:v>
      </x:c>
      <x:c r="T58" s="62" t="n">
        <x:f>IF(O58="","",(1/'Metadata'!$B$5)^(O58-1))</x:f>
        <x:v>5419.460903023396</x:v>
      </x:c>
      <x:c r="U58" s="60" t="n">
        <x:f>IF(T58="","",I58*T58)</x:f>
        <x:v>26376329.213507526</x:v>
      </x:c>
    </x:row>
    <x:row r="59" ht="18" customHeight="1">
      <x:c r="A59" s="46" t="str">
        <x:v>LME_026</x:v>
      </x:c>
      <x:c r="B59" s="46" t="str">
        <x:v>Mediterranean Sea</x:v>
      </x:c>
      <x:c r="C59" s="46" t="str">
        <x:v>LME</x:v>
      </x:c>
      <x:c r="D59" s="58" t="n">
        <x:v>2019</x:v>
      </x:c>
      <x:c r="E59" s="46" t="str">
        <x:v>Diplodus sargus</x:v>
      </x:c>
      <x:c r="F59" s="46" t="str">
        <x:v>White seabream</x:v>
      </x:c>
      <x:c r="G59" s="46" t="str">
        <x:v>Medium demersals (30 - 89 cm)</x:v>
      </x:c>
      <x:c r="H59" s="46" t="str">
        <x:v>Perch-likes</x:v>
      </x:c>
      <x:c r="I59" s="60" t="n">
        <x:v>4740.9964067918</x:v>
      </x:c>
      <x:c r="J59" s="60" t="n">
        <x:v>4708.252322906999</x:v>
      </x:c>
      <x:c r="K59" s="60" t="n">
        <x:v>32.7440838848</x:v>
      </x:c>
      <x:c r="L59" s="60" t="n">
        <x:v>2199.1154939022</x:v>
      </x:c>
      <x:c r="M59" s="60" t="n">
        <x:v>2541.8809128896</x:v>
      </x:c>
      <x:c r="N59" s="46" t="str">
        <x:v>diplodus sargus</x:v>
      </x:c>
      <x:c r="O59" s="62" t="n">
        <x:v>3.38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Diplodus sargus</x:v>
      </x:c>
      <x:c r="T59" s="62" t="n">
        <x:f>IF(O59="","",(1/'Metadata'!$B$5)^(O59-1))</x:f>
        <x:v>1248.6806726928048</x:v>
      </x:c>
      <x:c r="U59" s="60" t="n">
        <x:f>IF(T59="","",I59*T59)</x:f>
        <x:v>5919990.582466955</x:v>
      </x:c>
    </x:row>
    <x:row r="60" ht="18" customHeight="1">
      <x:c r="A60" s="46" t="str">
        <x:v>LME_026</x:v>
      </x:c>
      <x:c r="B60" s="46" t="str">
        <x:v>Mediterranean Sea</x:v>
      </x:c>
      <x:c r="C60" s="46" t="str">
        <x:v>LME</x:v>
      </x:c>
      <x:c r="D60" s="58" t="n">
        <x:v>2019</x:v>
      </x:c>
      <x:c r="E60" s="46" t="str">
        <x:v>Pagellus acarne</x:v>
      </x:c>
      <x:c r="F60" s="46" t="str">
        <x:v>Axillary seabream</x:v>
      </x:c>
      <x:c r="G60" s="46" t="str">
        <x:v>Medium benthopelagics (30 - 89 cm)</x:v>
      </x:c>
      <x:c r="H60" s="46" t="str">
        <x:v>Perch-likes</x:v>
      </x:c>
      <x:c r="I60" s="60" t="n">
        <x:v>4666.123869806</x:v>
      </x:c>
      <x:c r="J60" s="60" t="n">
        <x:v>4147.6782435094</x:v>
      </x:c>
      <x:c r="K60" s="60" t="n">
        <x:v>518.4456262966</x:v>
      </x:c>
      <x:c r="L60" s="60" t="n">
        <x:v>1394.663917944</x:v>
      </x:c>
      <x:c r="M60" s="60" t="n">
        <x:v>3271.4599518620003</x:v>
      </x:c>
      <x:c r="N60" s="46" t="str">
        <x:v>pagellus acarne</x:v>
      </x:c>
      <x:c r="O60" s="62" t="n">
        <x:v>3.81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Pagellus acarne</x:v>
      </x:c>
      <x:c r="T60" s="62" t="n">
        <x:f>IF(O60="","",(1/'Metadata'!$B$5)^(O60-1))</x:f>
        <x:v>4527.873529309382</x:v>
      </x:c>
      <x:c r="U60" s="60" t="n">
        <x:f>IF(T60="","",I60*T60)</x:f>
        <x:v>21127618.754573245</x:v>
      </x:c>
    </x:row>
    <x:row r="61" ht="18" customHeight="1">
      <x:c r="A61" s="46" t="str">
        <x:v>LME_026</x:v>
      </x:c>
      <x:c r="B61" s="46" t="str">
        <x:v>Mediterranean Sea</x:v>
      </x:c>
      <x:c r="C61" s="46" t="str">
        <x:v>LME</x:v>
      </x:c>
      <x:c r="D61" s="58" t="n">
        <x:v>2019</x:v>
      </x:c>
      <x:c r="E61" s="46" t="str">
        <x:v>Elasmobranchii</x:v>
      </x:c>
      <x:c r="F61" s="46" t="str">
        <x:v>Sharks, rays, skates</x:v>
      </x:c>
      <x:c r="G61" s="46" t="str">
        <x:v>Large sharks (&gt;=90 cm)</x:v>
      </x:c>
      <x:c r="H61" s="46" t="str">
        <x:v>Sharks &amp; rays</x:v>
      </x:c>
      <x:c r="I61" s="60" t="n">
        <x:v>4483.7194037065</x:v>
      </x:c>
      <x:c r="J61" s="60" t="n">
        <x:v>4084.8228841583</x:v>
      </x:c>
      <x:c r="K61" s="60" t="n">
        <x:v>398.89651954820005</x:v>
      </x:c>
      <x:c r="L61" s="60" t="n">
        <x:v>1041.7813776803</x:v>
      </x:c>
      <x:c r="M61" s="60" t="n">
        <x:v>3441.9380260262</x:v>
      </x:c>
      <x:c r="N61" s="46" t="str">
        <x:v>elasmobranchii</x:v>
      </x:c>
      <x:c r="O61" s="62" t="n">
        <x:v>4.05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Elasmobranchii</x:v>
      </x:c>
      <x:c r="T61" s="62" t="n">
        <x:f>IF(O61="","",(1/'Metadata'!$B$5)^(O61-1))</x:f>
        <x:v>9292.690797132333</x:v>
      </x:c>
      <x:c r="U61" s="60" t="n">
        <x:f>IF(T61="","",I61*T61)</x:f>
        <x:v>41665818.03974707</x:v>
      </x:c>
    </x:row>
    <x:row r="62" ht="18" customHeight="1">
      <x:c r="A62" s="46" t="str">
        <x:v>LME_026</x:v>
      </x:c>
      <x:c r="B62" s="46" t="str">
        <x:v>Mediterranean Sea</x:v>
      </x:c>
      <x:c r="C62" s="46" t="str">
        <x:v>LME</x:v>
      </x:c>
      <x:c r="D62" s="58" t="n">
        <x:v>2019</x:v>
      </x:c>
      <x:c r="E62" s="46" t="str">
        <x:v>Lophius</x:v>
      </x:c>
      <x:c r="F62" s="46" t="str">
        <x:v>Frogfishes</x:v>
      </x:c>
      <x:c r="G62" s="46" t="str">
        <x:v>Medium bathydemersals (30 - 89 cm)</x:v>
      </x:c>
      <x:c r="H62" s="46" t="str">
        <x:v>Other fishes &amp; inverts</x:v>
      </x:c>
      <x:c r="I62" s="60" t="n">
        <x:v>4408.0771862218</x:v>
      </x:c>
      <x:c r="J62" s="60" t="n">
        <x:v>4316.5344261943</x:v>
      </x:c>
      <x:c r="K62" s="60" t="n">
        <x:v>91.5427600275</x:v>
      </x:c>
      <x:c r="L62" s="60" t="n">
        <x:v>3112.188177738</x:v>
      </x:c>
      <x:c r="M62" s="60" t="n">
        <x:v>1295.8890084838</x:v>
      </x:c>
      <x:c r="N62" s="46" t="str">
        <x:v>lophius</x:v>
      </x:c>
      <x:c r="O62" s="62" t="n">
        <x:v>4.46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Lophius</x:v>
      </x:c>
      <x:c r="T62" s="62" t="n">
        <x:f>IF(O62="","",(1/'Metadata'!$B$5)^(O62-1))</x:f>
        <x:v>31736.84749906455</x:v>
      </x:c>
      <x:c r="U62" s="60" t="n">
        <x:f>IF(T62="","",I62*T62)</x:f>
        <x:v>139898473.42322683</x:v>
      </x:c>
    </x:row>
    <x:row r="63" ht="18" customHeight="1">
      <x:c r="A63" s="46" t="str">
        <x:v>LME_026</x:v>
      </x:c>
      <x:c r="B63" s="46" t="str">
        <x:v>Mediterranean Sea</x:v>
      </x:c>
      <x:c r="C63" s="46" t="str">
        <x:v>LME</x:v>
      </x:c>
      <x:c r="D63" s="58" t="n">
        <x:v>2019</x:v>
      </x:c>
      <x:c r="E63" s="46" t="str">
        <x:v>Pagrus</x:v>
      </x:c>
      <x:c r="F63" s="46" t="str">
        <x:v>Subtropical seabreams</x:v>
      </x:c>
      <x:c r="G63" s="46" t="str">
        <x:v>Medium benthopelagics (30 - 89 cm)</x:v>
      </x:c>
      <x:c r="H63" s="46" t="str">
        <x:v>Perch-likes</x:v>
      </x:c>
      <x:c r="I63" s="60" t="n">
        <x:v>4402.5940818902</x:v>
      </x:c>
      <x:c r="J63" s="60" t="n">
        <x:v>4395.8896539398</x:v>
      </x:c>
      <x:c r="K63" s="60" t="n">
        <x:v>6.7044279503999995</x:v>
      </x:c>
      <x:c r="L63" s="60" t="n">
        <x:v>361.93692244470003</x:v>
      </x:c>
      <x:c r="M63" s="60" t="n">
        <x:v>4040.6571594455</x:v>
      </x:c>
      <x:c r="N63" s="46" t="str">
        <x:v>pagrus</x:v>
      </x:c>
      <x:c r="O63" s="62" t="n">
        <x:v>3.55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Pagrus</x:v>
      </x:c>
      <x:c r="T63" s="62" t="n">
        <x:f>IF(O63="","",(1/'Metadata'!$B$5)^(O63-1))</x:f>
        <x:v>2077.9088316274606</x:v>
      </x:c>
      <x:c r="U63" s="60" t="n">
        <x:f>IF(T63="","",I63*T63)</x:f>
        <x:v>9148189.124830438</x:v>
      </x:c>
    </x:row>
    <x:row r="64" ht="18" customHeight="1">
      <x:c r="A64" s="46" t="str">
        <x:v>LME_026</x:v>
      </x:c>
      <x:c r="B64" s="46" t="str">
        <x:v>Mediterranean Sea</x:v>
      </x:c>
      <x:c r="C64" s="46" t="str">
        <x:v>LME</x:v>
      </x:c>
      <x:c r="D64" s="58" t="n">
        <x:v>2019</x:v>
      </x:c>
      <x:c r="E64" s="46" t="str">
        <x:v>Oblada melanurus</x:v>
      </x:c>
      <x:c r="F64" s="46" t="str">
        <x:v>Saddled seabream</x:v>
      </x:c>
      <x:c r="G64" s="46" t="str">
        <x:v>Small benthopelagics (&lt;30 cm)</x:v>
      </x:c>
      <x:c r="H64" s="46" t="str">
        <x:v>Perch-likes</x:v>
      </x:c>
      <x:c r="I64" s="60" t="n">
        <x:v>4397.8001982796995</x:v>
      </x:c>
      <x:c r="J64" s="60" t="n">
        <x:v>4287.7816945638</x:v>
      </x:c>
      <x:c r="K64" s="60" t="n">
        <x:v>110.0185037159</x:v>
      </x:c>
      <x:c r="L64" s="60" t="n">
        <x:v>1103.8650567389</x:v>
      </x:c>
      <x:c r="M64" s="60" t="n">
        <x:v>3293.9351415408</x:v>
      </x:c>
      <x:c r="N64" s="46" t="str">
        <x:v>oblada melanurus</x:v>
      </x:c>
      <x:c r="O64" s="62" t="n">
        <x:v>3.38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Oblada melanurus</x:v>
      </x:c>
      <x:c r="T64" s="62" t="n">
        <x:f>IF(O64="","",(1/'Metadata'!$B$5)^(O64-1))</x:f>
        <x:v>1248.6806726928048</x:v>
      </x:c>
      <x:c r="U64" s="60" t="n">
        <x:f>IF(T64="","",I64*T64)</x:f>
        <x:v>5491448.109956446</x:v>
      </x:c>
    </x:row>
    <x:row r="65" ht="18" customHeight="1">
      <x:c r="A65" s="46" t="str">
        <x:v>LME_026</x:v>
      </x:c>
      <x:c r="B65" s="46" t="str">
        <x:v>Mediterranean Sea</x:v>
      </x:c>
      <x:c r="C65" s="46" t="str">
        <x:v>LME</x:v>
      </x:c>
      <x:c r="D65" s="58" t="n">
        <x:v>2019</x:v>
      </x:c>
      <x:c r="E65" s="46" t="str">
        <x:v>Scomber colias</x:v>
      </x:c>
      <x:c r="F65" s="46" t="str">
        <x:v>Atlantic chub mackerel</x:v>
      </x:c>
      <x:c r="G65" s="46" t="str">
        <x:v>Medium pelagics (30 - 89 cm)</x:v>
      </x:c>
      <x:c r="H65" s="46" t="str">
        <x:v>Perch-likes</x:v>
      </x:c>
      <x:c r="I65" s="60" t="n">
        <x:v>4394.424187164</x:v>
      </x:c>
      <x:c r="J65" s="60" t="n">
        <x:v>4394.4235141582</x:v>
      </x:c>
      <x:c r="K65" s="60" t="n">
        <x:v>0.0006730058</x:v>
      </x:c>
      <x:c r="L65" s="60" t="n">
        <x:v>3067.6488750374</x:v>
      </x:c>
      <x:c r="M65" s="60" t="n">
        <x:v>1326.7753121266</x:v>
      </x:c>
      <x:c r="N65" s="46" t="str">
        <x:v>scomber colias</x:v>
      </x:c>
      <x:c r="O65" s="62" t="n">
        <x:v>3.91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Scomber colias</x:v>
      </x:c>
      <x:c r="T65" s="62" t="n">
        <x:f>IF(O65="","",(1/'Metadata'!$B$5)^(O65-1))</x:f>
        <x:v>6109.382089532312</x:v>
      </x:c>
      <x:c r="U65" s="60" t="n">
        <x:f>IF(T65="","",I65*T65)</x:f>
        <x:v>26847216.42286733</x:v>
      </x:c>
    </x:row>
    <x:row r="66" ht="18" customHeight="1">
      <x:c r="A66" s="46" t="str">
        <x:v>LME_026</x:v>
      </x:c>
      <x:c r="B66" s="46" t="str">
        <x:v>Mediterranean Sea</x:v>
      </x:c>
      <x:c r="C66" s="46" t="str">
        <x:v>LME</x:v>
      </x:c>
      <x:c r="D66" s="58" t="n">
        <x:v>2019</x:v>
      </x:c>
      <x:c r="E66" s="46" t="str">
        <x:v>Epinephelus</x:v>
      </x:c>
      <x:c r="F66" s="46" t="str">
        <x:v>Seabasses, hinds</x:v>
      </x:c>
      <x:c r="G66" s="46" t="str">
        <x:v>Medium reef assoc. fish (30 - 89 cm)</x:v>
      </x:c>
      <x:c r="H66" s="46" t="str">
        <x:v>Perch-likes</x:v>
      </x:c>
      <x:c r="I66" s="60" t="n">
        <x:v>4354.638544163199</x:v>
      </x:c>
      <x:c r="J66" s="60" t="n">
        <x:v>4339.790477032</x:v>
      </x:c>
      <x:c r="K66" s="60" t="n">
        <x:v>14.8480671312</x:v>
      </x:c>
      <x:c r="L66" s="60" t="n">
        <x:v>100.5383378018</x:v>
      </x:c>
      <x:c r="M66" s="60" t="n">
        <x:v>4254.1002063614</x:v>
      </x:c>
      <x:c r="N66" s="46" t="str">
        <x:v>epinephelus</x:v>
      </x:c>
      <x:c r="O66" s="62" t="n">
        <x:v>3.84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Epinephelus</x:v>
      </x:c>
      <x:c r="T66" s="62" t="n">
        <x:f>IF(O66="","",(1/'Metadata'!$B$5)^(O66-1))</x:f>
        <x:v>4953.648510535111</x:v>
      </x:c>
      <x:c r="U66" s="60" t="n">
        <x:f>IF(T66="","",I66*T66)</x:f>
        <x:v>21571348.738212816</x:v>
      </x:c>
    </x:row>
    <x:row r="67" ht="18" customHeight="1">
      <x:c r="A67" s="46" t="str">
        <x:v>LME_026</x:v>
      </x:c>
      <x:c r="B67" s="46" t="str">
        <x:v>Mediterranean Sea</x:v>
      </x:c>
      <x:c r="C67" s="46" t="str">
        <x:v>LME</x:v>
      </x:c>
      <x:c r="D67" s="58" t="n">
        <x:v>2019</x:v>
      </x:c>
      <x:c r="E67" s="46" t="str">
        <x:v>Serranidae</x:v>
      </x:c>
      <x:c r="F67" s="46" t="str">
        <x:v>Basses, groupers, hinds</x:v>
      </x:c>
      <x:c r="G67" s="46" t="str">
        <x:v>Medium reef assoc. fish (30 - 89 cm)</x:v>
      </x:c>
      <x:c r="H67" s="46" t="str">
        <x:v>Perch-likes</x:v>
      </x:c>
      <x:c r="I67" s="60" t="n">
        <x:v>4347.2318946559</x:v>
      </x:c>
      <x:c r="J67" s="60" t="n">
        <x:v>4296.7117170155</x:v>
      </x:c>
      <x:c r="K67" s="60" t="n">
        <x:v>50.5201776404</x:v>
      </x:c>
      <x:c r="L67" s="60" t="n">
        <x:v>2156.8971150457</x:v>
      </x:c>
      <x:c r="M67" s="60" t="n">
        <x:v>2190.3347796102</x:v>
      </x:c>
      <x:c r="N67" s="46" t="str">
        <x:v>serranidae</x:v>
      </x:c>
      <x:c r="O67" s="62" t="n">
        <x:v>3.98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Serranidae</x:v>
      </x:c>
      <x:c r="T67" s="62" t="n">
        <x:f>IF(O67="","",(1/'Metadata'!$B$5)^(O67-1))</x:f>
        <x:v>7534.759367064222</x:v>
      </x:c>
      <x:c r="U67" s="60" t="n">
        <x:f>IF(T67="","",I67*T67)</x:f>
        <x:v>32755346.239058886</x:v>
      </x:c>
    </x:row>
    <x:row r="68" ht="18" customHeight="1">
      <x:c r="A68" s="46" t="str">
        <x:v>LME_026</x:v>
      </x:c>
      <x:c r="B68" s="46" t="str">
        <x:v>Mediterranean Sea</x:v>
      </x:c>
      <x:c r="C68" s="46" t="str">
        <x:v>LME</x:v>
      </x:c>
      <x:c r="D68" s="58" t="n">
        <x:v>2019</x:v>
      </x:c>
      <x:c r="E68" s="46" t="str">
        <x:v>Cephalopoda</x:v>
      </x:c>
      <x:c r="F68" s="46" t="str">
        <x:v>Squids, cuttlefishes, octopuses</x:v>
      </x:c>
      <x:c r="G68" s="46" t="str">
        <x:v>Cephalopods</x:v>
      </x:c>
      <x:c r="H68" s="46" t="str">
        <x:v>Other fishes &amp; inverts</x:v>
      </x:c>
      <x:c r="I68" s="60" t="n">
        <x:v>4319.8221221137</x:v>
      </x:c>
      <x:c r="J68" s="60" t="n">
        <x:v>3363.7991959072</x:v>
      </x:c>
      <x:c r="K68" s="60" t="n">
        <x:v>956.0229262065001</x:v>
      </x:c>
      <x:c r="L68" s="60" t="n">
        <x:v>1327.2600469547</x:v>
      </x:c>
      <x:c r="M68" s="60" t="n">
        <x:v>2992.562075159</x:v>
      </x:c>
      <x:c r="N68" s="46" t="str">
        <x:v>cephalopoda</x:v>
      </x:c>
      <x:c r="O68" s="62" t="n">
        <x:v>3.81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Cephalopoda</x:v>
      </x:c>
      <x:c r="T68" s="62" t="n">
        <x:f>IF(O68="","",(1/'Metadata'!$B$5)^(O68-1))</x:f>
        <x:v>4527.873529309382</x:v>
      </x:c>
      <x:c r="U68" s="60" t="n">
        <x:f>IF(T68="","",I68*T68)</x:f>
        <x:v>19559608.238043703</x:v>
      </x:c>
    </x:row>
    <x:row r="69" ht="18" customHeight="1">
      <x:c r="A69" s="46" t="str">
        <x:v>LME_026</x:v>
      </x:c>
      <x:c r="B69" s="46" t="str">
        <x:v>Mediterranean Sea</x:v>
      </x:c>
      <x:c r="C69" s="46" t="str">
        <x:v>LME</x:v>
      </x:c>
      <x:c r="D69" s="58" t="n">
        <x:v>2019</x:v>
      </x:c>
      <x:c r="E69" s="46" t="str">
        <x:v>Octopus</x:v>
      </x:c>
      <x:c r="F69" s="46" t="str">
        <x:v>Octopuses, pikas</x:v>
      </x:c>
      <x:c r="G69" s="46" t="str">
        <x:v>Cephalopods</x:v>
      </x:c>
      <x:c r="H69" s="46" t="str">
        <x:v>Other fishes &amp; inverts</x:v>
      </x:c>
      <x:c r="I69" s="60" t="n">
        <x:v>4281.1828305025</x:v>
      </x:c>
      <x:c r="J69" s="60" t="n">
        <x:v>4181.5717344942</x:v>
      </x:c>
      <x:c r="K69" s="60" t="n">
        <x:v>99.6110960083</x:v>
      </x:c>
      <x:c r="L69" s="60" t="n">
        <x:v>3514.4594680707</x:v>
      </x:c>
      <x:c r="M69" s="60" t="n">
        <x:v>766.7233624318</x:v>
      </x:c>
      <x:c r="N69" s="46" t="str">
        <x:v>octopus</x:v>
      </x:c>
      <x:c r="O69" s="62" t="n">
        <x:v>3.8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Octopus</x:v>
      </x:c>
      <x:c r="T69" s="62" t="n">
        <x:f>IF(O69="","",(1/'Metadata'!$B$5)^(O69-1))</x:f>
        <x:v>4394.242173224468</x:v>
      </x:c>
      <x:c r="U69" s="60" t="n">
        <x:f>IF(T69="","",I69*T69)</x:f>
        <x:v>18812554.14507859</x:v>
      </x:c>
    </x:row>
    <x:row r="70" ht="18" customHeight="1">
      <x:c r="A70" s="46" t="str">
        <x:v>LME_026</x:v>
      </x:c>
      <x:c r="B70" s="46" t="str">
        <x:v>Mediterranean Sea</x:v>
      </x:c>
      <x:c r="C70" s="46" t="str">
        <x:v>LME</x:v>
      </x:c>
      <x:c r="D70" s="58" t="n">
        <x:v>2019</x:v>
      </x:c>
      <x:c r="E70" s="46" t="str">
        <x:v>Auxis rochei</x:v>
      </x:c>
      <x:c r="F70" s="46" t="str">
        <x:v>Bullet tuna</x:v>
      </x:c>
      <x:c r="G70" s="46" t="str">
        <x:v>Medium pelagics (30 - 89 cm)</x:v>
      </x:c>
      <x:c r="H70" s="46" t="str">
        <x:v>Tuna &amp; billfishes</x:v>
      </x:c>
      <x:c r="I70" s="60" t="n">
        <x:v>4144.9853547671</x:v>
      </x:c>
      <x:c r="J70" s="60" t="n">
        <x:v>4122.955631448</x:v>
      </x:c>
      <x:c r="K70" s="60" t="n">
        <x:v>22.0297233191</x:v>
      </x:c>
      <x:c r="L70" s="60" t="n">
        <x:v>3700.7259303066</x:v>
      </x:c>
      <x:c r="M70" s="60" t="n">
        <x:v>444.2594244605</x:v>
      </x:c>
      <x:c r="N70" s="46" t="str">
        <x:v>auxis rochei</x:v>
      </x:c>
      <x:c r="O70" s="62" t="n">
        <x:v>4.13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Auxis rochei</x:v>
      </x:c>
      <x:c r="T70" s="62" t="n">
        <x:f>IF(O70="","",(1/'Metadata'!$B$5)^(O70-1))</x:f>
        <x:v>11809.292685236613</x:v>
      </x:c>
      <x:c r="U70" s="60" t="n">
        <x:f>IF(T70="","",I70*T70)</x:f>
        <x:v>48949345.230464004</x:v>
      </x:c>
    </x:row>
    <x:row r="71" ht="18" customHeight="1">
      <x:c r="A71" s="46" t="str">
        <x:v>LME_026</x:v>
      </x:c>
      <x:c r="B71" s="46" t="str">
        <x:v>Mediterranean Sea</x:v>
      </x:c>
      <x:c r="C71" s="46" t="str">
        <x:v>LME</x:v>
      </x:c>
      <x:c r="D71" s="58" t="n">
        <x:v>2019</x:v>
      </x:c>
      <x:c r="E71" s="46" t="str">
        <x:v>Pagellus</x:v>
      </x:c>
      <x:c r="F71" s="46" t="str">
        <x:v>Pandoras</x:v>
      </x:c>
      <x:c r="G71" s="46" t="str">
        <x:v>Medium benthopelagics (30 - 89 cm)</x:v>
      </x:c>
      <x:c r="H71" s="46" t="str">
        <x:v>Perch-likes</x:v>
      </x:c>
      <x:c r="I71" s="60" t="n">
        <x:v>4123.6294217828</x:v>
      </x:c>
      <x:c r="J71" s="60" t="n">
        <x:v>4120.5199280623</x:v>
      </x:c>
      <x:c r="K71" s="60" t="n">
        <x:v>3.1094937205</x:v>
      </x:c>
      <x:c r="L71" s="60" t="n">
        <x:v>14.085506622799999</x:v>
      </x:c>
      <x:c r="M71" s="60" t="n">
        <x:v>4109.54391516</x:v>
      </x:c>
      <x:c r="N71" s="46" t="str">
        <x:v>pagellus</x:v>
      </x:c>
      <x:c r="O71" s="62" t="n">
        <x:v>3.44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Pagellus</x:v>
      </x:c>
      <x:c r="T71" s="62" t="n">
        <x:f>IF(O71="","",(1/'Metadata'!$B$5)^(O71-1))</x:f>
        <x:v>1494.5594310916586</x:v>
      </x:c>
      <x:c r="U71" s="60" t="n">
        <x:f>IF(T71="","",I71*T71)</x:f>
        <x:v>6163009.242652526</x:v>
      </x:c>
    </x:row>
    <x:row r="72" ht="18" customHeight="1">
      <x:c r="A72" s="46" t="str">
        <x:v>LME_026</x:v>
      </x:c>
      <x:c r="B72" s="46" t="str">
        <x:v>Mediterranean Sea</x:v>
      </x:c>
      <x:c r="C72" s="46" t="str">
        <x:v>LME</x:v>
      </x:c>
      <x:c r="D72" s="58" t="n">
        <x:v>2019</x:v>
      </x:c>
      <x:c r="E72" s="46" t="str">
        <x:v>Loligo</x:v>
      </x:c>
      <x:c r="F72" s="46" t="str">
        <x:v>Common squids</x:v>
      </x:c>
      <x:c r="G72" s="46" t="str">
        <x:v>Cephalopods</x:v>
      </x:c>
      <x:c r="H72" s="46" t="str">
        <x:v>Other fishes &amp; inverts</x:v>
      </x:c>
      <x:c r="I72" s="60" t="n">
        <x:v>4057.2016315282003</x:v>
      </x:c>
      <x:c r="J72" s="60" t="n">
        <x:v>3932.879084435</x:v>
      </x:c>
      <x:c r="K72" s="60" t="n">
        <x:v>124.3225470932</x:v>
      </x:c>
      <x:c r="L72" s="60" t="n">
        <x:v>2700.7352129326</x:v>
      </x:c>
      <x:c r="M72" s="60" t="n">
        <x:v>1356.4664185956</x:v>
      </x:c>
      <x:c r="N72" s="46" t="str">
        <x:v>loligo</x:v>
      </x:c>
      <x:c r="O72" s="62" t="n">
        <x:v>3.99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Loligo</x:v>
      </x:c>
      <x:c r="T72" s="62" t="n">
        <x:f>IF(O72="","",(1/'Metadata'!$B$5)^(O72-1))</x:f>
        <x:v>7763.895603143686</x:v>
      </x:c>
      <x:c r="U72" s="60" t="n">
        <x:f>IF(T72="","",I72*T72)</x:f>
        <x:v>31499689.908089183</x:v>
      </x:c>
    </x:row>
    <x:row r="73" ht="18" customHeight="1">
      <x:c r="A73" s="46" t="str">
        <x:v>LME_026</x:v>
      </x:c>
      <x:c r="B73" s="46" t="str">
        <x:v>Mediterranean Sea</x:v>
      </x:c>
      <x:c r="C73" s="46" t="str">
        <x:v>LME</x:v>
      </x:c>
      <x:c r="D73" s="58" t="n">
        <x:v>2019</x:v>
      </x:c>
      <x:c r="E73" s="46" t="str">
        <x:v>Pectinidae</x:v>
      </x:c>
      <x:c r="F73" s="46" t="str">
        <x:v>Scallops</x:v>
      </x:c>
      <x:c r="G73" s="46" t="str">
        <x:v>Other demersal invertebrates</x:v>
      </x:c>
      <x:c r="H73" s="46" t="str">
        <x:v>Molluscs</x:v>
      </x:c>
      <x:c r="I73" s="60" t="n">
        <x:v>3913.9612360694</x:v>
      </x:c>
      <x:c r="J73" s="60" t="n">
        <x:v>3913.4779185091</x:v>
      </x:c>
      <x:c r="K73" s="60" t="n">
        <x:v>0.4833175603</x:v>
      </x:c>
      <x:c r="L73" s="60" t="n">
        <x:v>3912.6024675227004</x:v>
      </x:c>
      <x:c r="M73" s="60" t="n">
        <x:v>1.3587685467</x:v>
      </x:c>
      <x:c r="N73" s="46" t="str">
        <x:v>pectinidae</x:v>
      </x:c>
      <x:c r="O73" s="62" t="n">
        <x:v>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Pectinidae</x:v>
      </x:c>
      <x:c r="T73" s="62" t="n">
        <x:f>IF(O73="","",(1/'Metadata'!$B$5)^(O73-1))</x:f>
        <x:v>20</x:v>
      </x:c>
      <x:c r="U73" s="60" t="n">
        <x:f>IF(T73="","",I73*T73)</x:f>
        <x:v>78279.224721388</x:v>
      </x:c>
    </x:row>
    <x:row r="74" ht="18" customHeight="1">
      <x:c r="A74" s="46" t="str">
        <x:v>LME_026</x:v>
      </x:c>
      <x:c r="B74" s="46" t="str">
        <x:v>Mediterranean Sea</x:v>
      </x:c>
      <x:c r="C74" s="46" t="str">
        <x:v>LME</x:v>
      </x:c>
      <x:c r="D74" s="58" t="n">
        <x:v>2019</x:v>
      </x:c>
      <x:c r="E74" s="46" t="str">
        <x:v>Nephrops norvegicus</x:v>
      </x:c>
      <x:c r="F74" s="46" t="str">
        <x:v>Norway lobster</x:v>
      </x:c>
      <x:c r="G74" s="46" t="str">
        <x:v>Lobsters, crabs</x:v>
      </x:c>
      <x:c r="H74" s="46" t="str">
        <x:v>Crustaceans</x:v>
      </x:c>
      <x:c r="I74" s="60" t="n">
        <x:v>3846.3350263974</x:v>
      </x:c>
      <x:c r="J74" s="60" t="n">
        <x:v>3292.5732623008</x:v>
      </x:c>
      <x:c r="K74" s="60" t="n">
        <x:v>553.7617640966</x:v>
      </x:c>
      <x:c r="L74" s="60" t="n">
        <x:v>2500.4946972925</x:v>
      </x:c>
      <x:c r="M74" s="60" t="n">
        <x:v>1345.8403291049</x:v>
      </x:c>
      <x:c r="N74" s="46" t="str">
        <x:v>nephrops norvegicus</x:v>
      </x:c>
      <x:c r="O74" s="62" t="n">
        <x:v>2.87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Nephrops norvegicus</x:v>
      </x:c>
      <x:c r="T74" s="62" t="n">
        <x:f>IF(O74="","",(1/'Metadata'!$B$5)^(O74-1))</x:f>
        <x:v>270.9730451511698</x:v>
      </x:c>
      <x:c r="U74" s="60" t="n">
        <x:f>IF(T74="","",I74*T74)</x:f>
        <x:v>1042253.1147745085</x:v>
      </x:c>
    </x:row>
    <x:row r="75" ht="18" customHeight="1">
      <x:c r="A75" s="46" t="str">
        <x:v>LME_026</x:v>
      </x:c>
      <x:c r="B75" s="46" t="str">
        <x:v>Mediterranean Sea</x:v>
      </x:c>
      <x:c r="C75" s="46" t="str">
        <x:v>LME</x:v>
      </x:c>
      <x:c r="D75" s="58" t="n">
        <x:v>2019</x:v>
      </x:c>
      <x:c r="E75" s="46" t="str">
        <x:v>Seriola dumerili</x:v>
      </x:c>
      <x:c r="F75" s="46" t="str">
        <x:v>Greater amberjack</x:v>
      </x:c>
      <x:c r="G75" s="46" t="str">
        <x:v>Large reef assoc. fish (&gt;=90 cm)</x:v>
      </x:c>
      <x:c r="H75" s="46" t="str">
        <x:v>Perch-likes</x:v>
      </x:c>
      <x:c r="I75" s="60" t="n">
        <x:v>3764.7895327835</x:v>
      </x:c>
      <x:c r="J75" s="60" t="n">
        <x:v>3719.1076786706</x:v>
      </x:c>
      <x:c r="K75" s="60" t="n">
        <x:v>45.6818541129</x:v>
      </x:c>
      <x:c r="L75" s="60" t="n">
        <x:v>2907.4224785878</x:v>
      </x:c>
      <x:c r="M75" s="60" t="n">
        <x:v>857.3670541957</x:v>
      </x:c>
      <x:c r="N75" s="46" t="str">
        <x:v>seriola dumerili</x:v>
      </x:c>
      <x:c r="O75" s="62" t="n">
        <x:v>4.5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Seriola dumerili</x:v>
      </x:c>
      <x:c r="T75" s="62" t="n">
        <x:f>IF(O75="","",(1/'Metadata'!$B$5)^(O75-1))</x:f>
        <x:v>35777.08763999664</x:v>
      </x:c>
      <x:c r="U75" s="60" t="n">
        <x:f>IF(T75="","",I75*T75)</x:f>
        <x:v>134693205.06053728</x:v>
      </x:c>
    </x:row>
    <x:row r="76" ht="18" customHeight="1">
      <x:c r="A76" s="46" t="str">
        <x:v>LME_026</x:v>
      </x:c>
      <x:c r="B76" s="46" t="str">
        <x:v>Mediterranean Sea</x:v>
      </x:c>
      <x:c r="C76" s="46" t="str">
        <x:v>LME</x:v>
      </x:c>
      <x:c r="D76" s="58" t="n">
        <x:v>2019</x:v>
      </x:c>
      <x:c r="E76" s="46" t="str">
        <x:v>Illex coindetii</x:v>
      </x:c>
      <x:c r="F76" s="46" t="str">
        <x:v>Broadtail shortfin squid</x:v>
      </x:c>
      <x:c r="G76" s="46" t="str">
        <x:v>Cephalopods</x:v>
      </x:c>
      <x:c r="H76" s="46" t="str">
        <x:v>Other fishes &amp; inverts</x:v>
      </x:c>
      <x:c r="I76" s="60" t="n">
        <x:v>3554.6453866206</x:v>
      </x:c>
      <x:c r="J76" s="60" t="n">
        <x:v>2954.6867845635998</x:v>
      </x:c>
      <x:c r="K76" s="60" t="n">
        <x:v>599.958602057</x:v>
      </x:c>
      <x:c r="L76" s="60" t="n">
        <x:v>2626.7255531969</x:v>
      </x:c>
      <x:c r="M76" s="60" t="n">
        <x:v>927.9198334237</x:v>
      </x:c>
      <x:c r="N76" s="46" t="str">
        <x:v>illex coindetii</x:v>
      </x:c>
      <x:c r="O76" s="62" t="n">
        <x:v>4.11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Illex coindetii</x:v>
      </x:c>
      <x:c r="T76" s="62" t="n">
        <x:f>IF(O76="","",(1/'Metadata'!$B$5)^(O76-1))</x:f>
        <x:v>11122.52233481121</x:v>
      </x:c>
      <x:c r="U76" s="60" t="n">
        <x:f>IF(T76="","",I76*T76)</x:f>
        <x:v>39536622.705021255</x:v>
      </x:c>
    </x:row>
    <x:row r="77" ht="18" customHeight="1">
      <x:c r="A77" s="46" t="str">
        <x:v>LME_026</x:v>
      </x:c>
      <x:c r="B77" s="46" t="str">
        <x:v>Mediterranean Sea</x:v>
      </x:c>
      <x:c r="C77" s="46" t="str">
        <x:v>LME</x:v>
      </x:c>
      <x:c r="D77" s="58" t="n">
        <x:v>2019</x:v>
      </x:c>
      <x:c r="E77" s="46" t="str">
        <x:v>Pagrus pagrus</x:v>
      </x:c>
      <x:c r="F77" s="46" t="str">
        <x:v>Red porgy</x:v>
      </x:c>
      <x:c r="G77" s="46" t="str">
        <x:v>Medium benthopelagics (30 - 89 cm)</x:v>
      </x:c>
      <x:c r="H77" s="46" t="str">
        <x:v>Perch-likes</x:v>
      </x:c>
      <x:c r="I77" s="60" t="n">
        <x:v>3524.4629069155</x:v>
      </x:c>
      <x:c r="J77" s="60" t="n">
        <x:v>3468.2297813438</x:v>
      </x:c>
      <x:c r="K77" s="60" t="n">
        <x:v>56.2331255717</x:v>
      </x:c>
      <x:c r="L77" s="60" t="n">
        <x:v>1682.835846254</x:v>
      </x:c>
      <x:c r="M77" s="60" t="n">
        <x:v>1841.6270606615</x:v>
      </x:c>
      <x:c r="N77" s="46" t="str">
        <x:v>pagrus pagrus</x:v>
      </x:c>
      <x:c r="O77" s="62" t="n">
        <x:v>3.86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Pagrus pagrus</x:v>
      </x:c>
      <x:c r="T77" s="62" t="n">
        <x:f>IF(O77="","",(1/'Metadata'!$B$5)^(O77-1))</x:f>
        <x:v>5259.51608454905</x:v>
      </x:c>
      <x:c r="U77" s="60" t="n">
        <x:f>IF(T77="","",I77*T77)</x:f>
        <x:v>18536969.348318573</x:v>
      </x:c>
    </x:row>
    <x:row r="78" ht="18" customHeight="1">
      <x:c r="A78" s="46" t="str">
        <x:v>LME_026</x:v>
      </x:c>
      <x:c r="B78" s="46" t="str">
        <x:v>Mediterranean Sea</x:v>
      </x:c>
      <x:c r="C78" s="46" t="str">
        <x:v>LME</x:v>
      </x:c>
      <x:c r="D78" s="58" t="n">
        <x:v>2019</x:v>
      </x:c>
      <x:c r="E78" s="46" t="str">
        <x:v>Isurus oxyrinchus</x:v>
      </x:c>
      <x:c r="F78" s="46" t="str">
        <x:v>Shortfin mako</x:v>
      </x:c>
      <x:c r="G78" s="46" t="str">
        <x:v>Large sharks (&gt;=90 cm)</x:v>
      </x:c>
      <x:c r="H78" s="46" t="str">
        <x:v>Sharks &amp; rays</x:v>
      </x:c>
      <x:c r="I78" s="60" t="n">
        <x:v>3507.8716318143</x:v>
      </x:c>
      <x:c r="J78" s="60" t="n">
        <x:v>2746.1479269203996</x:v>
      </x:c>
      <x:c r="K78" s="60" t="n">
        <x:v>761.7237048939</x:v>
      </x:c>
      <x:c r="L78" s="60" t="n">
        <x:v>1982.3816708135998</x:v>
      </x:c>
      <x:c r="M78" s="60" t="n">
        <x:v>1525.4899610007</x:v>
      </x:c>
      <x:c r="N78" s="46" t="str">
        <x:v>isurus oxyrinchus</x:v>
      </x:c>
      <x:c r="O78" s="62" t="n">
        <x:v>4.5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Isurus oxyrinchus</x:v>
      </x:c>
      <x:c r="T78" s="62" t="n">
        <x:f>IF(O78="","",(1/'Metadata'!$B$5)^(O78-1))</x:f>
        <x:v>35777.08763999664</x:v>
      </x:c>
      <x:c r="U78" s="60" t="n">
        <x:f>IF(T78="","",I78*T78)</x:f>
        <x:v>125501430.80127823</x:v>
      </x:c>
    </x:row>
    <x:row r="79" ht="18" customHeight="1">
      <x:c r="A79" s="46" t="str">
        <x:v>LME_026</x:v>
      </x:c>
      <x:c r="B79" s="46" t="str">
        <x:v>Mediterranean Sea</x:v>
      </x:c>
      <x:c r="C79" s="46" t="str">
        <x:v>LME</x:v>
      </x:c>
      <x:c r="D79" s="58" t="n">
        <x:v>2019</x:v>
      </x:c>
      <x:c r="E79" s="46" t="str">
        <x:v>Gobiidae</x:v>
      </x:c>
      <x:c r="F79" s="46" t="str">
        <x:v>Gobies</x:v>
      </x:c>
      <x:c r="G79" s="46" t="str">
        <x:v>Small reef assoc. fish (&lt;30 cm)</x:v>
      </x:c>
      <x:c r="H79" s="46" t="str">
        <x:v>Perch-likes</x:v>
      </x:c>
      <x:c r="I79" s="60" t="n">
        <x:v>3427.8711690574996</x:v>
      </x:c>
      <x:c r="J79" s="60" t="n">
        <x:v>3173.1035458716997</x:v>
      </x:c>
      <x:c r="K79" s="60" t="n">
        <x:v>254.7676231858</x:v>
      </x:c>
      <x:c r="L79" s="60" t="n">
        <x:v>368.79374111669995</x:v>
      </x:c>
      <x:c r="M79" s="60" t="n">
        <x:v>3059.0774279408</x:v>
      </x:c>
      <x:c r="N79" s="46" t="str">
        <x:v>gobiidae</x:v>
      </x:c>
      <x:c r="O79" s="62" t="n">
        <x:v>3.11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Gobiidae</x:v>
      </x:c>
      <x:c r="T79" s="62" t="n">
        <x:f>IF(O79="","",(1/'Metadata'!$B$5)^(O79-1))</x:f>
        <x:v>556.1261167405597</x:v>
      </x:c>
      <x:c r="U79" s="60" t="n">
        <x:f>IF(T79="","",I79*T79)</x:f>
        <x:v>1906328.68193487</x:v>
      </x:c>
    </x:row>
    <x:row r="80" ht="18" customHeight="1">
      <x:c r="A80" s="46" t="str">
        <x:v>LME_026</x:v>
      </x:c>
      <x:c r="B80" s="46" t="str">
        <x:v>Mediterranean Sea</x:v>
      </x:c>
      <x:c r="C80" s="46" t="str">
        <x:v>LME</x:v>
      </x:c>
      <x:c r="D80" s="58" t="n">
        <x:v>2019</x:v>
      </x:c>
      <x:c r="E80" s="46" t="str">
        <x:v>Diplodus annularis</x:v>
      </x:c>
      <x:c r="F80" s="46" t="str">
        <x:v>Annular seabream</x:v>
      </x:c>
      <x:c r="G80" s="46" t="str">
        <x:v>Small benthopelagics (&lt;30 cm)</x:v>
      </x:c>
      <x:c r="H80" s="46" t="str">
        <x:v>Perch-likes</x:v>
      </x:c>
      <x:c r="I80" s="60" t="n">
        <x:v>3311.2763212354</x:v>
      </x:c>
      <x:c r="J80" s="60" t="n">
        <x:v>2685.545757298</x:v>
      </x:c>
      <x:c r="K80" s="60" t="n">
        <x:v>625.7305639374</x:v>
      </x:c>
      <x:c r="L80" s="60" t="n">
        <x:v>693.3991086769</x:v>
      </x:c>
      <x:c r="M80" s="60" t="n">
        <x:v>2617.8772125584997</x:v>
      </x:c>
      <x:c r="N80" s="46" t="str">
        <x:v>diplodus annularis</x:v>
      </x:c>
      <x:c r="O80" s="62" t="n">
        <x:v>3.64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Diplodus annularis</x:v>
      </x:c>
      <x:c r="T80" s="62" t="n">
        <x:f>IF(O80="","",(1/'Metadata'!$B$5)^(O80-1))</x:f>
        <x:v>2720.9413995404984</x:v>
      </x:c>
      <x:c r="U80" s="60" t="n">
        <x:f>IF(T80="","",I80*T80)</x:f>
        <x:v>9009788.827767562</x:v>
      </x:c>
    </x:row>
    <x:row r="81" ht="18" customHeight="1">
      <x:c r="A81" s="46" t="str">
        <x:v>LME_026</x:v>
      </x:c>
      <x:c r="B81" s="46" t="str">
        <x:v>Mediterranean Sea</x:v>
      </x:c>
      <x:c r="C81" s="46" t="str">
        <x:v>LME</x:v>
      </x:c>
      <x:c r="D81" s="58" t="n">
        <x:v>2019</x:v>
      </x:c>
      <x:c r="E81" s="46" t="str">
        <x:v>Chelon auratus</x:v>
      </x:c>
      <x:c r="F81" s="46" t="str">
        <x:v>Golden grey mullet</x:v>
      </x:c>
      <x:c r="G81" s="46" t="str">
        <x:v>Medium pelagics (30 - 89 cm)</x:v>
      </x:c>
      <x:c r="H81" s="46" t="str">
        <x:v>Other fishes &amp; inverts</x:v>
      </x:c>
      <x:c r="I81" s="60" t="n">
        <x:v>3311.0088453088997</x:v>
      </x:c>
      <x:c r="J81" s="60" t="n">
        <x:v>3267.2689997809002</x:v>
      </x:c>
      <x:c r="K81" s="60" t="n">
        <x:v>43.739845528</x:v>
      </x:c>
      <x:c r="L81" s="60" t="n">
        <x:v>2897.5344801996</x:v>
      </x:c>
      <x:c r="M81" s="60" t="n">
        <x:v>413.47436510930004</x:v>
      </x:c>
      <x:c r="N81" s="46" t="str">
        <x:v>chelon auratus</x:v>
      </x:c>
      <x:c r="O81" s="62" t="n">
        <x:v>2.8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Chelon auratus</x:v>
      </x:c>
      <x:c r="T81" s="62" t="n">
        <x:f>IF(O81="","",(1/'Metadata'!$B$5)^(O81-1))</x:f>
        <x:v>219.71210866122343</x:v>
      </x:c>
      <x:c r="U81" s="60" t="n">
        <x:f>IF(T81="","",I81*T81)</x:f>
        <x:v>727468.7351987809</x:v>
      </x:c>
    </x:row>
    <x:row r="82" ht="18" customHeight="1">
      <x:c r="A82" s="46" t="str">
        <x:v>LME_026</x:v>
      </x:c>
      <x:c r="B82" s="46" t="str">
        <x:v>Mediterranean Sea</x:v>
      </x:c>
      <x:c r="C82" s="46" t="str">
        <x:v>LME</x:v>
      </x:c>
      <x:c r="D82" s="58" t="n">
        <x:v>2019</x:v>
      </x:c>
      <x:c r="E82" s="46" t="str">
        <x:v>Scophthalmus maximus</x:v>
      </x:c>
      <x:c r="F82" s="46" t="str">
        <x:v>Turbot</x:v>
      </x:c>
      <x:c r="G82" s="46" t="str">
        <x:v>Large flatfishes (&gt;=90 cm)</x:v>
      </x:c>
      <x:c r="H82" s="46" t="str">
        <x:v>Flatfishes</x:v>
      </x:c>
      <x:c r="I82" s="60" t="n">
        <x:v>3278.3091123327</x:v>
      </x:c>
      <x:c r="J82" s="60" t="n">
        <x:v>3262.7939152299996</x:v>
      </x:c>
      <x:c r="K82" s="60" t="n">
        <x:v>15.5151971027</x:v>
      </x:c>
      <x:c r="L82" s="60" t="n">
        <x:v>376.4276110838</x:v>
      </x:c>
      <x:c r="M82" s="60" t="n">
        <x:v>2901.8815012489</x:v>
      </x:c>
      <x:c r="N82" s="46" t="str">
        <x:v>scophthalmus maximus</x:v>
      </x:c>
      <x:c r="O82" s="62" t="n">
        <x:v>4.36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Scophthalmus maximus</x:v>
      </x:c>
      <x:c r="T82" s="62" t="n">
        <x:f>IF(O82="","",(1/'Metadata'!$B$5)^(O82-1))</x:f>
        <x:v>23521.270987610445</x:v>
      </x:c>
      <x:c r="U82" s="60" t="n">
        <x:f>IF(T82="","",I82*T82)</x:f>
        <x:v>77109997.01233009</x:v>
      </x:c>
    </x:row>
    <x:row r="83" ht="18" customHeight="1">
      <x:c r="A83" s="46" t="str">
        <x:v>LME_026</x:v>
      </x:c>
      <x:c r="B83" s="46" t="str">
        <x:v>Mediterranean Sea</x:v>
      </x:c>
      <x:c r="C83" s="46" t="str">
        <x:v>LME</x:v>
      </x:c>
      <x:c r="D83" s="58" t="n">
        <x:v>2019</x:v>
      </x:c>
      <x:c r="E83" s="46" t="str">
        <x:v>Chelidonichthys lucerna</x:v>
      </x:c>
      <x:c r="F83" s="46" t="str">
        <x:v>Tub gurnard</x:v>
      </x:c>
      <x:c r="G83" s="46" t="str">
        <x:v>Medium demersals (30 - 89 cm)</x:v>
      </x:c>
      <x:c r="H83" s="46" t="str">
        <x:v>Scorpionfishes</x:v>
      </x:c>
      <x:c r="I83" s="60" t="n">
        <x:v>3175.1825872116</x:v>
      </x:c>
      <x:c r="J83" s="60" t="n">
        <x:v>3079.4231778996</x:v>
      </x:c>
      <x:c r="K83" s="60" t="n">
        <x:v>95.75940931199999</x:v>
      </x:c>
      <x:c r="L83" s="60" t="n">
        <x:v>702.4405939457</x:v>
      </x:c>
      <x:c r="M83" s="60" t="n">
        <x:v>2472.7419932659</x:v>
      </x:c>
      <x:c r="N83" s="46" t="str">
        <x:v>chelidonichthys lucerna</x:v>
      </x:c>
      <x:c r="O83" s="62" t="n">
        <x:v>3.98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Chelidonichthys lucerna</x:v>
      </x:c>
      <x:c r="T83" s="62" t="n">
        <x:f>IF(O83="","",(1/'Metadata'!$B$5)^(O83-1))</x:f>
        <x:v>7534.759367064222</x:v>
      </x:c>
      <x:c r="U83" s="60" t="n">
        <x:f>IF(T83="","",I83*T83)</x:f>
        <x:v>23924236.741131812</x:v>
      </x:c>
    </x:row>
    <x:row r="84" ht="18" customHeight="1">
      <x:c r="A84" s="46" t="str">
        <x:v>LME_026</x:v>
      </x:c>
      <x:c r="B84" s="46" t="str">
        <x:v>Mediterranean Sea</x:v>
      </x:c>
      <x:c r="C84" s="46" t="str">
        <x:v>LME</x:v>
      </x:c>
      <x:c r="D84" s="58" t="n">
        <x:v>2019</x:v>
      </x:c>
      <x:c r="E84" s="46" t="str">
        <x:v>Micromesistius poutassou</x:v>
      </x:c>
      <x:c r="F84" s="46" t="str">
        <x:v>Blue whiting</x:v>
      </x:c>
      <x:c r="G84" s="46" t="str">
        <x:v>Medium benthopelagics (30 - 89 cm)</x:v>
      </x:c>
      <x:c r="H84" s="46" t="str">
        <x:v>Cod-likes</x:v>
      </x:c>
      <x:c r="I84" s="60" t="n">
        <x:v>3115.4285360758</x:v>
      </x:c>
      <x:c r="J84" s="60" t="n">
        <x:v>2516.1711319873</x:v>
      </x:c>
      <x:c r="K84" s="60" t="n">
        <x:v>599.2574040884999</x:v>
      </x:c>
      <x:c r="L84" s="60" t="n">
        <x:v>2364.6278974715</x:v>
      </x:c>
      <x:c r="M84" s="60" t="n">
        <x:v>750.8006386042999</x:v>
      </x:c>
      <x:c r="N84" s="46" t="str">
        <x:v>micromesistius poutassou</x:v>
      </x:c>
      <x:c r="O84" s="62" t="n">
        <x:v>4.13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Micromesistius poutassou</x:v>
      </x:c>
      <x:c r="T84" s="62" t="n">
        <x:f>IF(O84="","",(1/'Metadata'!$B$5)^(O84-1))</x:f>
        <x:v>11809.292685236613</x:v>
      </x:c>
      <x:c r="U84" s="60" t="n">
        <x:f>IF(T84="","",I84*T84)</x:f>
        <x:v>36791007.42245735</x:v>
      </x:c>
    </x:row>
    <x:row r="85" ht="18" customHeight="1">
      <x:c r="A85" s="46" t="str">
        <x:v>LME_026</x:v>
      </x:c>
      <x:c r="B85" s="46" t="str">
        <x:v>Mediterranean Sea</x:v>
      </x:c>
      <x:c r="C85" s="46" t="str">
        <x:v>LME</x:v>
      </x:c>
      <x:c r="D85" s="58" t="n">
        <x:v>2019</x:v>
      </x:c>
      <x:c r="E85" s="46" t="str">
        <x:v>Trisopterus minutus</x:v>
      </x:c>
      <x:c r="F85" s="46" t="str">
        <x:v>Poor cod</x:v>
      </x:c>
      <x:c r="G85" s="46" t="str">
        <x:v>Medium benthopelagics (30 - 89 cm)</x:v>
      </x:c>
      <x:c r="H85" s="46" t="str">
        <x:v>Cod-likes</x:v>
      </x:c>
      <x:c r="I85" s="60" t="n">
        <x:v>3082.4787970149</x:v>
      </x:c>
      <x:c r="J85" s="60" t="n">
        <x:v>2898.7911624436</x:v>
      </x:c>
      <x:c r="K85" s="60" t="n">
        <x:v>183.68763457129998</x:v>
      </x:c>
      <x:c r="L85" s="60" t="n">
        <x:v>1611.1991315604</x:v>
      </x:c>
      <x:c r="M85" s="60" t="n">
        <x:v>1471.2796654545</x:v>
      </x:c>
      <x:c r="N85" s="46" t="str">
        <x:v>trisopterus minutus</x:v>
      </x:c>
      <x:c r="O85" s="62" t="n">
        <x:v>3.73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Trisopterus minutus</x:v>
      </x:c>
      <x:c r="T85" s="62" t="n">
        <x:f>IF(O85="","",(1/'Metadata'!$B$5)^(O85-1))</x:f>
        <x:v>3562.967723629534</x:v>
      </x:c>
      <x:c r="U85" s="60" t="n">
        <x:f>IF(T85="","",I85*T85)</x:f>
        <x:v>10982772.462536482</x:v>
      </x:c>
    </x:row>
    <x:row r="86" ht="18" customHeight="1">
      <x:c r="A86" s="46" t="str">
        <x:v>LME_026</x:v>
      </x:c>
      <x:c r="B86" s="46" t="str">
        <x:v>Mediterranean Sea</x:v>
      </x:c>
      <x:c r="C86" s="46" t="str">
        <x:v>LME</x:v>
      </x:c>
      <x:c r="D86" s="58" t="n">
        <x:v>2019</x:v>
      </x:c>
      <x:c r="E86" s="46" t="str">
        <x:v>Teuthida</x:v>
      </x:c>
      <x:c r="F86" s="46" t="str">
        <x:v>Squids</x:v>
      </x:c>
      <x:c r="G86" s="46" t="str">
        <x:v>Cephalopods</x:v>
      </x:c>
      <x:c r="H86" s="46" t="str">
        <x:v>Other fishes &amp; inverts</x:v>
      </x:c>
      <x:c r="I86" s="60" t="n">
        <x:v>3080.5863484592</x:v>
      </x:c>
      <x:c r="J86" s="60" t="n">
        <x:v>2431.879068657</x:v>
      </x:c>
      <x:c r="K86" s="60" t="n">
        <x:v>648.7072798022</x:v>
      </x:c>
      <x:c r="L86" s="60" t="n">
        <x:v>1768.1087174022</x:v>
      </x:c>
      <x:c r="M86" s="60" t="n">
        <x:v>1312.477631057</x:v>
      </x:c>
      <x:c r="N86" s="46" t="str">
        <x:v>teuthida</x:v>
      </x:c>
      <x:c r="O86" s="62" t="n">
        <x:v>4.13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Teuthida</x:v>
      </x:c>
      <x:c r="T86" s="62" t="n">
        <x:f>IF(O86="","",(1/'Metadata'!$B$5)^(O86-1))</x:f>
        <x:v>11809.292685236613</x:v>
      </x:c>
      <x:c r="U86" s="60" t="n">
        <x:f>IF(T86="","",I86*T86)</x:f>
        <x:v>36379545.831098996</x:v>
      </x:c>
    </x:row>
    <x:row r="87" ht="18" customHeight="1">
      <x:c r="A87" s="46" t="str">
        <x:v>LME_026</x:v>
      </x:c>
      <x:c r="B87" s="46" t="str">
        <x:v>Mediterranean Sea</x:v>
      </x:c>
      <x:c r="C87" s="46" t="str">
        <x:v>LME</x:v>
      </x:c>
      <x:c r="D87" s="58" t="n">
        <x:v>2019</x:v>
      </x:c>
      <x:c r="E87" s="46" t="str">
        <x:v>Galeus melastomus</x:v>
      </x:c>
      <x:c r="F87" s="46" t="str">
        <x:v>Blackmouth catshark</x:v>
      </x:c>
      <x:c r="G87" s="46" t="str">
        <x:v>Small to medium sharks (&lt;90 cm)</x:v>
      </x:c>
      <x:c r="H87" s="46" t="str">
        <x:v>Sharks &amp; rays</x:v>
      </x:c>
      <x:c r="I87" s="60" t="n">
        <x:v>3071.9841247444</x:v>
      </x:c>
      <x:c r="J87" s="60" t="n">
        <x:v>1498.8159493295</x:v>
      </x:c>
      <x:c r="K87" s="60" t="n">
        <x:v>1573.1681754149</x:v>
      </x:c>
      <x:c r="L87" s="60" t="n">
        <x:v>2183.1003056764</x:v>
      </x:c>
      <x:c r="M87" s="60" t="n">
        <x:v>888.883819068</x:v>
      </x:c>
      <x:c r="N87" s="46" t="str">
        <x:v>galeus melastomus</x:v>
      </x:c>
      <x:c r="O87" s="62" t="n">
        <x:v>4.17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Galeus melastomus</x:v>
      </x:c>
      <x:c r="T87" s="62" t="n">
        <x:f>IF(O87="","",(1/'Metadata'!$B$5)^(O87-1))</x:f>
        <x:v>13312.667535064244</x:v>
      </x:c>
      <x:c r="U87" s="60" t="n">
        <x:f>IF(T87="","",I87*T87)</x:f>
        <x:v>40896303.32571752</x:v>
      </x:c>
    </x:row>
    <x:row r="88" ht="18" customHeight="1">
      <x:c r="A88" s="46" t="str">
        <x:v>LME_026</x:v>
      </x:c>
      <x:c r="B88" s="46" t="str">
        <x:v>Mediterranean Sea</x:v>
      </x:c>
      <x:c r="C88" s="46" t="str">
        <x:v>LME</x:v>
      </x:c>
      <x:c r="D88" s="58" t="n">
        <x:v>2019</x:v>
      </x:c>
      <x:c r="E88" s="46" t="str">
        <x:v>Belone belone</x:v>
      </x:c>
      <x:c r="F88" s="46" t="str">
        <x:v>Garfish</x:v>
      </x:c>
      <x:c r="G88" s="46" t="str">
        <x:v>Medium pelagics (30 - 89 cm)</x:v>
      </x:c>
      <x:c r="H88" s="46" t="str">
        <x:v>Other fishes &amp; inverts</x:v>
      </x:c>
      <x:c r="I88" s="60" t="n">
        <x:v>3049.2887691221</x:v>
      </x:c>
      <x:c r="J88" s="60" t="n">
        <x:v>2997.8102000885</x:v>
      </x:c>
      <x:c r="K88" s="60" t="n">
        <x:v>51.4785690336</x:v>
      </x:c>
      <x:c r="L88" s="60" t="n">
        <x:v>431.397189028</x:v>
      </x:c>
      <x:c r="M88" s="60" t="n">
        <x:v>2617.8915800941</x:v>
      </x:c>
      <x:c r="N88" s="46" t="str">
        <x:v>belone belone</x:v>
      </x:c>
      <x:c r="O88" s="62" t="n">
        <x:v>4.16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Belone belone</x:v>
      </x:c>
      <x:c r="T88" s="62" t="n">
        <x:f>IF(O88="","",(1/'Metadata'!$B$5)^(O88-1))</x:f>
        <x:v>12919.77011769987</x:v>
      </x:c>
      <x:c r="U88" s="60" t="n">
        <x:f>IF(T88="","",I88*T88)</x:f>
        <x:v>39396109.91954152</x:v>
      </x:c>
    </x:row>
    <x:row r="89" ht="18" customHeight="1">
      <x:c r="A89" s="46" t="str">
        <x:v>LME_026</x:v>
      </x:c>
      <x:c r="B89" s="46" t="str">
        <x:v>Mediterranean Sea</x:v>
      </x:c>
      <x:c r="C89" s="46" t="str">
        <x:v>LME</x:v>
      </x:c>
      <x:c r="D89" s="58" t="n">
        <x:v>2019</x:v>
      </x:c>
      <x:c r="E89" s="46" t="str">
        <x:v>Eledone</x:v>
      </x:c>
      <x:c r="F89" s="46" t="str">
        <x:v>Horned, musky octopuses</x:v>
      </x:c>
      <x:c r="G89" s="46" t="str">
        <x:v>Cephalopods</x:v>
      </x:c>
      <x:c r="H89" s="46" t="str">
        <x:v>Other fishes &amp; inverts</x:v>
      </x:c>
      <x:c r="I89" s="60" t="n">
        <x:v>3046.4903900634</x:v>
      </x:c>
      <x:c r="J89" s="60" t="n">
        <x:v>3027.3774760759998</x:v>
      </x:c>
      <x:c r="K89" s="60" t="n">
        <x:v>19.1129139874</x:v>
      </x:c>
      <x:c r="L89" s="60" t="n">
        <x:v>2967.91878401</x:v>
      </x:c>
      <x:c r="M89" s="60" t="n">
        <x:v>78.5716060534</x:v>
      </x:c>
      <x:c r="N89" s="46" t="str">
        <x:v>eledone</x:v>
      </x:c>
      <x:c r="O89" s="62" t="n">
        <x:v>3.67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Eledone</x:v>
      </x:c>
      <x:c r="T89" s="62" t="n">
        <x:f>IF(O89="","",(1/'Metadata'!$B$5)^(O89-1))</x:f>
        <x:v>2976.8029570258213</x:v>
      </x:c>
      <x:c r="U89" s="60" t="n">
        <x:f>IF(T89="","",I89*T89)</x:f>
        <x:v>9068801.601691477</x:v>
      </x:c>
    </x:row>
    <x:row r="90" ht="18" customHeight="1">
      <x:c r="A90" s="46" t="str">
        <x:v>LME_026</x:v>
      </x:c>
      <x:c r="B90" s="46" t="str">
        <x:v>Mediterranean Sea</x:v>
      </x:c>
      <x:c r="C90" s="46" t="str">
        <x:v>LME</x:v>
      </x:c>
      <x:c r="D90" s="58" t="n">
        <x:v>2019</x:v>
      </x:c>
      <x:c r="E90" s="46" t="str">
        <x:v>Eledone cirrhosa</x:v>
      </x:c>
      <x:c r="F90" s="46" t="str">
        <x:v>Horned octopus</x:v>
      </x:c>
      <x:c r="G90" s="46" t="str">
        <x:v>Cephalopods</x:v>
      </x:c>
      <x:c r="H90" s="46" t="str">
        <x:v>Other fishes &amp; inverts</x:v>
      </x:c>
      <x:c r="I90" s="60" t="n">
        <x:v>2997.968559807</x:v>
      </x:c>
      <x:c r="J90" s="60" t="n">
        <x:v>2647.4346102698</x:v>
      </x:c>
      <x:c r="K90" s="60" t="n">
        <x:v>350.5339495372</x:v>
      </x:c>
      <x:c r="L90" s="60" t="n">
        <x:v>2344.0583164955</x:v>
      </x:c>
      <x:c r="M90" s="60" t="n">
        <x:v>653.9102433115</x:v>
      </x:c>
      <x:c r="N90" s="46" t="str">
        <x:v>eledone cirrhosa</x:v>
      </x:c>
      <x:c r="O90" s="62" t="n">
        <x:v>3.7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Eledone cirrhosa</x:v>
      </x:c>
      <x:c r="T90" s="62" t="n">
        <x:f>IF(O90="","",(1/'Metadata'!$B$5)^(O90-1))</x:f>
        <x:v>3256.724252295237</x:v>
      </x:c>
      <x:c r="U90" s="60" t="n">
        <x:f>IF(T90="","",I90*T90)</x:f>
        <x:v>9763556.91634208</x:v>
      </x:c>
    </x:row>
    <x:row r="91" ht="18" customHeight="1">
      <x:c r="A91" s="46" t="str">
        <x:v>LME_026</x:v>
      </x:c>
      <x:c r="B91" s="46" t="str">
        <x:v>Mediterranean Sea</x:v>
      </x:c>
      <x:c r="C91" s="46" t="str">
        <x:v>LME</x:v>
      </x:c>
      <x:c r="D91" s="58" t="n">
        <x:v>2019</x:v>
      </x:c>
      <x:c r="E91" s="46" t="str">
        <x:v>Todarodes sagittatus</x:v>
      </x:c>
      <x:c r="F91" s="46" t="str">
        <x:v>European flying squid</x:v>
      </x:c>
      <x:c r="G91" s="46" t="str">
        <x:v>Cephalopods</x:v>
      </x:c>
      <x:c r="H91" s="46" t="str">
        <x:v>Other fishes &amp; inverts</x:v>
      </x:c>
      <x:c r="I91" s="60" t="n">
        <x:v>2990.3685077207</x:v>
      </x:c>
      <x:c r="J91" s="60" t="n">
        <x:v>2855.2761143071</x:v>
      </x:c>
      <x:c r="K91" s="60" t="n">
        <x:v>135.0923934136</x:v>
      </x:c>
      <x:c r="L91" s="60" t="n">
        <x:v>2459.8563355517</x:v>
      </x:c>
      <x:c r="M91" s="60" t="n">
        <x:v>530.512172169</x:v>
      </x:c>
      <x:c r="N91" s="46" t="str">
        <x:v>todarodes sagittatus</x:v>
      </x:c>
      <x:c r="O91" s="62" t="n">
        <x:v>4.01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Todarodes sagittatus</x:v>
      </x:c>
      <x:c r="T91" s="62" t="n">
        <x:f>IF(O91="","",(1/'Metadata'!$B$5)^(O91-1))</x:f>
        <x:v>8243.284463290014</x:v>
      </x:c>
      <x:c r="U91" s="60" t="n">
        <x:f>IF(T91="","",I91*T91)</x:f>
        <x:v>24650458.259205792</x:v>
      </x:c>
    </x:row>
    <x:row r="92" ht="18" customHeight="1">
      <x:c r="A92" s="46" t="str">
        <x:v>LME_026</x:v>
      </x:c>
      <x:c r="B92" s="46" t="str">
        <x:v>Mediterranean Sea</x:v>
      </x:c>
      <x:c r="C92" s="46" t="str">
        <x:v>LME</x:v>
      </x:c>
      <x:c r="D92" s="58" t="n">
        <x:v>2019</x:v>
      </x:c>
      <x:c r="E92" s="46" t="str">
        <x:v>Triglidae</x:v>
      </x:c>
      <x:c r="F92" s="46" t="str">
        <x:v>Searobins, gurnards</x:v>
      </x:c>
      <x:c r="G92" s="46" t="str">
        <x:v>Medium demersals (30 - 89 cm)</x:v>
      </x:c>
      <x:c r="H92" s="46" t="str">
        <x:v>Scorpionfishes</x:v>
      </x:c>
      <x:c r="I92" s="60" t="n">
        <x:v>2984.5277151972</x:v>
      </x:c>
      <x:c r="J92" s="60" t="n">
        <x:v>2860.5569921753</x:v>
      </x:c>
      <x:c r="K92" s="60" t="n">
        <x:v>123.9707230219</x:v>
      </x:c>
      <x:c r="L92" s="60" t="n">
        <x:v>2327.9718404127</x:v>
      </x:c>
      <x:c r="M92" s="60" t="n">
        <x:v>656.5558747845</x:v>
      </x:c>
      <x:c r="N92" s="46" t="str">
        <x:v>triglidae</x:v>
      </x:c>
      <x:c r="O92" s="62" t="n">
        <x:v>3.74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Triglidae</x:v>
      </x:c>
      <x:c r="T92" s="62" t="n">
        <x:f>IF(O92="","",(1/'Metadata'!$B$5)^(O92-1))</x:f>
        <x:v>3671.3195599248957</x:v>
      </x:c>
      <x:c r="U92" s="60" t="n">
        <x:f>IF(T92="","",I92*T92)</x:f>
        <x:v>10957154.977941439</x:v>
      </x:c>
    </x:row>
    <x:row r="93" ht="18" customHeight="1">
      <x:c r="A93" s="46" t="str">
        <x:v>LME_026</x:v>
      </x:c>
      <x:c r="B93" s="46" t="str">
        <x:v>Mediterranean Sea</x:v>
      </x:c>
      <x:c r="C93" s="46" t="str">
        <x:v>LME</x:v>
      </x:c>
      <x:c r="D93" s="58" t="n">
        <x:v>2019</x:v>
      </x:c>
      <x:c r="E93" s="46" t="str">
        <x:v>Lepidopus caudatus</x:v>
      </x:c>
      <x:c r="F93" s="46" t="str">
        <x:v>Silver scabbardfish</x:v>
      </x:c>
      <x:c r="G93" s="46" t="str">
        <x:v>Large bathydemersals (&gt;=90 cm)</x:v>
      </x:c>
      <x:c r="H93" s="46" t="str">
        <x:v>Perch-likes</x:v>
      </x:c>
      <x:c r="I93" s="60" t="n">
        <x:v>2801.7368265844</x:v>
      </x:c>
      <x:c r="J93" s="60" t="n">
        <x:v>2561.0254249706</x:v>
      </x:c>
      <x:c r="K93" s="60" t="n">
        <x:v>240.7114016138</x:v>
      </x:c>
      <x:c r="L93" s="60" t="n">
        <x:v>2481.7271681285</x:v>
      </x:c>
      <x:c r="M93" s="60" t="n">
        <x:v>320.00965845589997</x:v>
      </x:c>
      <x:c r="N93" s="46" t="str">
        <x:v>lepidopus caudatus</x:v>
      </x:c>
      <x:c r="O93" s="62" t="n">
        <x:v>3.82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Lepidopus caudatus</x:v>
      </x:c>
      <x:c r="T93" s="62" t="n">
        <x:f>IF(O93="","",(1/'Metadata'!$B$5)^(O93-1))</x:f>
        <x:v>4665.56868948727</x:v>
      </x:c>
      <x:c r="U93" s="60" t="n">
        <x:f>IF(T93="","",I93*T93)</x:f>
        <x:v>13071695.614295602</x:v>
      </x:c>
    </x:row>
    <x:row r="94" ht="18" customHeight="1">
      <x:c r="A94" s="46" t="str">
        <x:v>LME_026</x:v>
      </x:c>
      <x:c r="B94" s="46" t="str">
        <x:v>Mediterranean Sea</x:v>
      </x:c>
      <x:c r="C94" s="46" t="str">
        <x:v>LME</x:v>
      </x:c>
      <x:c r="D94" s="58" t="n">
        <x:v>2019</x:v>
      </x:c>
      <x:c r="E94" s="46" t="str">
        <x:v>Spicara</x:v>
      </x:c>
      <x:c r="F94" s="46" t="str">
        <x:v>Picarels</x:v>
      </x:c>
      <x:c r="G94" s="46" t="str">
        <x:v>Small demersals (&lt;30 cm)</x:v>
      </x:c>
      <x:c r="H94" s="46" t="str">
        <x:v>Perch-likes</x:v>
      </x:c>
      <x:c r="I94" s="60" t="n">
        <x:v>2784.2111397536</x:v>
      </x:c>
      <x:c r="J94" s="60" t="n">
        <x:v>2676.1798459228</x:v>
      </x:c>
      <x:c r="K94" s="60" t="n">
        <x:v>108.0312938308</x:v>
      </x:c>
      <x:c r="L94" s="60" t="n">
        <x:v>2141.4791464087</x:v>
      </x:c>
      <x:c r="M94" s="60" t="n">
        <x:v>642.7319933449</x:v>
      </x:c>
      <x:c r="N94" s="46" t="str">
        <x:v>spicara</x:v>
      </x:c>
      <x:c r="O94" s="62" t="n">
        <x:v>3.58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Spicara</x:v>
      </x:c>
      <x:c r="T94" s="62" t="n">
        <x:f>IF(O94="","",(1/'Metadata'!$B$5)^(O94-1))</x:f>
        <x:v>2273.3033337150473</x:v>
      </x:c>
      <x:c r="U94" s="60" t="n">
        <x:f>IF(T94="","",I94*T94)</x:f>
        <x:v>6329356.46576843</x:v>
      </x:c>
    </x:row>
    <x:row r="95" ht="18" customHeight="1">
      <x:c r="A95" s="46" t="str">
        <x:v>LME_026</x:v>
      </x:c>
      <x:c r="B95" s="46" t="str">
        <x:v>Mediterranean Sea</x:v>
      </x:c>
      <x:c r="C95" s="46" t="str">
        <x:v>LME</x:v>
      </x:c>
      <x:c r="D95" s="58" t="n">
        <x:v>2019</x:v>
      </x:c>
      <x:c r="E95" s="46" t="str">
        <x:v>Carangidae</x:v>
      </x:c>
      <x:c r="F95" s="46" t="str">
        <x:v>Jacks, pompanos</x:v>
      </x:c>
      <x:c r="G95" s="46" t="str">
        <x:v>Medium pelagics (30 - 89 cm)</x:v>
      </x:c>
      <x:c r="H95" s="46" t="str">
        <x:v>Perch-likes</x:v>
      </x:c>
      <x:c r="I95" s="60" t="n">
        <x:v>2679.9479727888</x:v>
      </x:c>
      <x:c r="J95" s="60" t="n">
        <x:v>2355.1559181442</x:v>
      </x:c>
      <x:c r="K95" s="60" t="n">
        <x:v>324.7920546446</x:v>
      </x:c>
      <x:c r="L95" s="60" t="n">
        <x:v>19.4177408311</x:v>
      </x:c>
      <x:c r="M95" s="60" t="n">
        <x:v>2660.5302319577</x:v>
      </x:c>
      <x:c r="N95" s="46" t="str">
        <x:v>carangidae</x:v>
      </x:c>
      <x:c r="O95" s="62" t="n">
        <x:v>4.05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Carangidae</x:v>
      </x:c>
      <x:c r="T95" s="62" t="n">
        <x:f>IF(O95="","",(1/'Metadata'!$B$5)^(O95-1))</x:f>
        <x:v>9292.690797132333</x:v>
      </x:c>
      <x:c r="U95" s="60" t="n">
        <x:f>IF(T95="","",I95*T95)</x:f>
        <x:v>24903927.863527935</x:v>
      </x:c>
    </x:row>
    <x:row r="96" ht="18" customHeight="1">
      <x:c r="A96" s="46" t="str">
        <x:v>LME_026</x:v>
      </x:c>
      <x:c r="B96" s="46" t="str">
        <x:v>Mediterranean Sea</x:v>
      </x:c>
      <x:c r="C96" s="46" t="str">
        <x:v>LME</x:v>
      </x:c>
      <x:c r="D96" s="58" t="n">
        <x:v>2019</x:v>
      </x:c>
      <x:c r="E96" s="46" t="str">
        <x:v>Argyrosomus regius</x:v>
      </x:c>
      <x:c r="F96" s="46" t="str">
        <x:v>Meagre</x:v>
      </x:c>
      <x:c r="G96" s="46" t="str">
        <x:v>Large benthopelagics (&gt;=90 cm)</x:v>
      </x:c>
      <x:c r="H96" s="46" t="str">
        <x:v>Perch-likes</x:v>
      </x:c>
      <x:c r="I96" s="60" t="n">
        <x:v>2547.0115151853</x:v>
      </x:c>
      <x:c r="J96" s="60" t="n">
        <x:v>2236.1482033599</x:v>
      </x:c>
      <x:c r="K96" s="60" t="n">
        <x:v>310.86331182540005</x:v>
      </x:c>
      <x:c r="L96" s="60" t="n">
        <x:v>933.4350414153</x:v>
      </x:c>
      <x:c r="M96" s="60" t="n">
        <x:v>1613.57647377</x:v>
      </x:c>
      <x:c r="N96" s="46" t="str">
        <x:v>argyrosomus regius</x:v>
      </x:c>
      <x:c r="O96" s="62" t="n">
        <x:v>4.29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Argyrosomus regius</x:v>
      </x:c>
      <x:c r="T96" s="62" t="n">
        <x:f>IF(O96="","",(1/'Metadata'!$B$5)^(O96-1))</x:f>
        <x:v>19071.668343236455</x:v>
      </x:c>
      <x:c r="U96" s="60" t="n">
        <x:f>IF(T96="","",I96*T96)</x:f>
        <x:v>48575758.884018205</x:v>
      </x:c>
    </x:row>
    <x:row r="97" ht="18" customHeight="1">
      <x:c r="A97" s="46" t="str">
        <x:v>LME_026</x:v>
      </x:c>
      <x:c r="B97" s="46" t="str">
        <x:v>Mediterranean Sea</x:v>
      </x:c>
      <x:c r="C97" s="46" t="str">
        <x:v>LME</x:v>
      </x:c>
      <x:c r="D97" s="58" t="n">
        <x:v>2019</x:v>
      </x:c>
      <x:c r="E97" s="46" t="str">
        <x:v>Merlangius merlangus</x:v>
      </x:c>
      <x:c r="F97" s="46" t="str">
        <x:v>Whiting</x:v>
      </x:c>
      <x:c r="G97" s="46" t="str">
        <x:v>Medium benthopelagics (30 - 89 cm)</x:v>
      </x:c>
      <x:c r="H97" s="46" t="str">
        <x:v>Cod-likes</x:v>
      </x:c>
      <x:c r="I97" s="60" t="n">
        <x:v>2530.5642508436</x:v>
      </x:c>
      <x:c r="J97" s="60" t="n">
        <x:v>2475.4931672403</x:v>
      </x:c>
      <x:c r="K97" s="60" t="n">
        <x:v>55.071083603299996</x:v>
      </x:c>
      <x:c r="L97" s="60" t="n">
        <x:v>1691.1544182919</x:v>
      </x:c>
      <x:c r="M97" s="60" t="n">
        <x:v>839.4098325517</x:v>
      </x:c>
      <x:c r="N97" s="46" t="str">
        <x:v>merlangius merlangus</x:v>
      </x:c>
      <x:c r="O97" s="62" t="n">
        <x:v>4.36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Merlangius merlangus</x:v>
      </x:c>
      <x:c r="T97" s="62" t="n">
        <x:f>IF(O97="","",(1/'Metadata'!$B$5)^(O97-1))</x:f>
        <x:v>23521.270987610445</x:v>
      </x:c>
      <x:c r="U97" s="60" t="n">
        <x:f>IF(T97="","",I97*T97)</x:f>
        <x:v>59522087.49565173</x:v>
      </x:c>
    </x:row>
    <x:row r="98" ht="18" customHeight="1">
      <x:c r="A98" s="46" t="str">
        <x:v>LME_026</x:v>
      </x:c>
      <x:c r="B98" s="46" t="str">
        <x:v>Mediterranean Sea</x:v>
      </x:c>
      <x:c r="C98" s="46" t="str">
        <x:v>LME</x:v>
      </x:c>
      <x:c r="D98" s="58" t="n">
        <x:v>2019</x:v>
      </x:c>
      <x:c r="E98" s="46" t="str">
        <x:v>Carcinus aestuarii</x:v>
      </x:c>
      <x:c r="F98" s="46" t="str">
        <x:v>Mediterranean shore crab</x:v>
      </x:c>
      <x:c r="G98" s="46" t="str">
        <x:v>Lobsters, crabs</x:v>
      </x:c>
      <x:c r="H98" s="46" t="str">
        <x:v>Crustaceans</x:v>
      </x:c>
      <x:c r="I98" s="60" t="n">
        <x:v>2450.604285349</x:v>
      </x:c>
      <x:c r="J98" s="60" t="n">
        <x:v>2060.1590818989</x:v>
      </x:c>
      <x:c r="K98" s="60" t="n">
        <x:v>390.4452034501</x:v>
      </x:c>
      <x:c r="L98" s="60" t="n">
        <x:v>2023.8140940720998</x:v>
      </x:c>
      <x:c r="M98" s="60" t="n">
        <x:v>426.7901912769</x:v>
      </x:c>
      <x:c r="N98" s="46" t="str">
        <x:v>carcinus aestuarii</x:v>
      </x:c>
      <x:c r="O98" s="62" t="n">
        <x:v>3.43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Carcinus aestuarii</x:v>
      </x:c>
      <x:c r="T98" s="62" t="n">
        <x:f>IF(O98="","",(1/'Metadata'!$B$5)^(O98-1))</x:f>
        <x:v>1450.450424461182</x:v>
      </x:c>
      <x:c r="U98" s="60" t="n">
        <x:f>IF(T98="","",I98*T98)</x:f>
        <x:v>3554480.025870848</x:v>
      </x:c>
    </x:row>
    <x:row r="99" ht="18" customHeight="1">
      <x:c r="A99" s="46" t="str">
        <x:v>LME_026</x:v>
      </x:c>
      <x:c r="B99" s="46" t="str">
        <x:v>Mediterranean Sea</x:v>
      </x:c>
      <x:c r="C99" s="46" t="str">
        <x:v>LME</x:v>
      </x:c>
      <x:c r="D99" s="58" t="n">
        <x:v>2019</x:v>
      </x:c>
      <x:c r="E99" s="46" t="str">
        <x:v>Scorpaenidae</x:v>
      </x:c>
      <x:c r="F99" s="46" t="str">
        <x:v>Scorpionfishes, rockfishes</x:v>
      </x:c>
      <x:c r="G99" s="46" t="str">
        <x:v>Large reef assoc. fish (&gt;=90 cm)</x:v>
      </x:c>
      <x:c r="H99" s="46" t="str">
        <x:v>Scorpionfishes</x:v>
      </x:c>
      <x:c r="I99" s="60" t="n">
        <x:v>2440.9797977179</x:v>
      </x:c>
      <x:c r="J99" s="60" t="n">
        <x:v>2258.1343343984</x:v>
      </x:c>
      <x:c r="K99" s="60" t="n">
        <x:v>182.8454633195</x:v>
      </x:c>
      <x:c r="L99" s="60" t="n">
        <x:v>1028.2395851157</x:v>
      </x:c>
      <x:c r="M99" s="60" t="n">
        <x:v>1412.7402126022</x:v>
      </x:c>
      <x:c r="N99" s="46" t="str">
        <x:v>scorpaenidae</x:v>
      </x:c>
      <x:c r="O99" s="62" t="n">
        <x:v>3.92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Scorpaenidae</x:v>
      </x:c>
      <x:c r="T99" s="62" t="n">
        <x:f>IF(O99="","",(1/'Metadata'!$B$5)^(O99-1))</x:f>
        <x:v>6295.1718073679995</x:v>
      </x:c>
      <x:c r="U99" s="60" t="n">
        <x:f>IF(T99="","",I99*T99)</x:f>
        <x:v>15366387.204948567</x:v>
      </x:c>
    </x:row>
    <x:row r="100" ht="18" customHeight="1">
      <x:c r="A100" s="46" t="str">
        <x:v>LME_026</x:v>
      </x:c>
      <x:c r="B100" s="46" t="str">
        <x:v>Mediterranean Sea</x:v>
      </x:c>
      <x:c r="C100" s="46" t="str">
        <x:v>LME</x:v>
      </x:c>
      <x:c r="D100" s="58" t="n">
        <x:v>2019</x:v>
      </x:c>
      <x:c r="E100" s="46" t="str">
        <x:v>Perciformes</x:v>
      </x:c>
      <x:c r="F100" s="46" t="str">
        <x:v>Perch-likes</x:v>
      </x:c>
      <x:c r="G100" s="46" t="str">
        <x:v>Medium demersals (30 - 89 cm)</x:v>
      </x:c>
      <x:c r="H100" s="46" t="str">
        <x:v>Perch-likes</x:v>
      </x:c>
      <x:c r="I100" s="60" t="n">
        <x:v>2382.6254160292997</x:v>
      </x:c>
      <x:c r="J100" s="60" t="n">
        <x:v>1995.7079035301</x:v>
      </x:c>
      <x:c r="K100" s="60" t="n">
        <x:v>386.91751249920003</x:v>
      </x:c>
      <x:c r="L100" s="60" t="n">
        <x:v>212.4391152561</x:v>
      </x:c>
      <x:c r="M100" s="60" t="n">
        <x:v>2170.1863007732</x:v>
      </x:c>
      <x:c r="N100" s="46" t="str">
        <x:v>perciformes</x:v>
      </x:c>
      <x:c r="O100" s="62" t="n">
        <x:v>3.53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Perciformes</x:v>
      </x:c>
      <x:c r="T100" s="62" t="n">
        <x:f>IF(O100="","",(1/'Metadata'!$B$5)^(O100-1))</x:f>
        <x:v>1957.0678791263101</x:v>
      </x:c>
      <x:c r="U100" s="60" t="n">
        <x:f>IF(T100="","",I100*T100)</x:f>
        <x:v>4662959.669700904</x:v>
      </x:c>
    </x:row>
    <x:row r="101" ht="18" customHeight="1">
      <x:c r="A101" s="46" t="str">
        <x:v>LME_026</x:v>
      </x:c>
      <x:c r="B101" s="46" t="str">
        <x:v>Mediterranean Sea</x:v>
      </x:c>
      <x:c r="C101" s="46" t="str">
        <x:v>LME</x:v>
      </x:c>
      <x:c r="D101" s="58" t="n">
        <x:v>2019</x:v>
      </x:c>
      <x:c r="E101" s="46" t="str">
        <x:v>Conger conger</x:v>
      </x:c>
      <x:c r="F101" s="46" t="str">
        <x:v>European conger</x:v>
      </x:c>
      <x:c r="G101" s="46" t="str">
        <x:v>Large demersals (&gt;=90 cm)</x:v>
      </x:c>
      <x:c r="H101" s="46" t="str">
        <x:v>Other fishes &amp; inverts</x:v>
      </x:c>
      <x:c r="I101" s="60" t="n">
        <x:v>2371.3371819368</x:v>
      </x:c>
      <x:c r="J101" s="60" t="n">
        <x:v>2163.8763173508</x:v>
      </x:c>
      <x:c r="K101" s="60" t="n">
        <x:v>207.46086458599999</x:v>
      </x:c>
      <x:c r="L101" s="60" t="n">
        <x:v>807.0154742926001</x:v>
      </x:c>
      <x:c r="M101" s="60" t="n">
        <x:v>1564.3217076442</x:v>
      </x:c>
      <x:c r="N101" s="46" t="str">
        <x:v>conger conger</x:v>
      </x:c>
      <x:c r="O101" s="62" t="n">
        <x:v>4.31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Conger conger</x:v>
      </x:c>
      <x:c r="T101" s="62" t="n">
        <x:f>IF(O101="","",(1/'Metadata'!$B$5)^(O101-1))</x:f>
        <x:v>20249.266010115305</x:v>
      </x:c>
      <x:c r="U101" s="60" t="n">
        <x:f>IF(T101="","",I101*T101)</x:f>
        <x:v>48017837.396715455</x:v>
      </x:c>
    </x:row>
    <x:row r="102" ht="18" customHeight="1">
      <x:c r="A102" s="46" t="str">
        <x:v>LME_026</x:v>
      </x:c>
      <x:c r="B102" s="46" t="str">
        <x:v>Mediterranean Sea</x:v>
      </x:c>
      <x:c r="C102" s="46" t="str">
        <x:v>LME</x:v>
      </x:c>
      <x:c r="D102" s="58" t="n">
        <x:v>2019</x:v>
      </x:c>
      <x:c r="E102" s="46" t="str">
        <x:v>Miscellaneous aquatic invertebrates</x:v>
      </x:c>
      <x:c r="F102" s="46" t="str">
        <x:v>Aquatic invertebrates</x:v>
      </x:c>
      <x:c r="G102" s="46" t="str">
        <x:v>Other demersal invertebrates</x:v>
      </x:c>
      <x:c r="H102" s="46" t="str">
        <x:v>Other fishes &amp; inverts</x:v>
      </x:c>
      <x:c r="I102" s="60" t="n">
        <x:v>2214.4215342136</x:v>
      </x:c>
      <x:c r="J102" s="60" t="n">
        <x:v>634.6585034113</x:v>
      </x:c>
      <x:c r="K102" s="60" t="n">
        <x:v>1579.7630308023001</x:v>
      </x:c>
      <x:c r="L102" s="60" t="n">
        <x:v>448.0899130784</x:v>
      </x:c>
      <x:c r="M102" s="60" t="n">
        <x:v>1766.3316211352</x:v>
      </x:c>
      <x:c r="N102" s="46" t="str">
        <x:v>miscellaneous aquatic invertebrates</x:v>
      </x:c>
      <x:c r="O102" s="62" t="n">
        <x:v>2.43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Miscellaneous aquatic invertebrates</x:v>
      </x:c>
      <x:c r="T102" s="62" t="n">
        <x:f>IF(O102="","",(1/'Metadata'!$B$5)^(O102-1))</x:f>
        <x:v>72.52252122305909</x:v>
      </x:c>
      <x:c r="U102" s="60" t="n">
        <x:f>IF(T102="","",I102*T102)</x:f>
        <x:v>160595.43271180487</x:v>
      </x:c>
    </x:row>
    <x:row r="103" ht="18" customHeight="1">
      <x:c r="A103" s="46" t="str">
        <x:v>LME_026</x:v>
      </x:c>
      <x:c r="B103" s="46" t="str">
        <x:v>Mediterranean Sea</x:v>
      </x:c>
      <x:c r="C103" s="46" t="str">
        <x:v>LME</x:v>
      </x:c>
      <x:c r="D103" s="58" t="n">
        <x:v>2019</x:v>
      </x:c>
      <x:c r="E103" s="46" t="str">
        <x:v>Auxis</x:v>
      </x:c>
      <x:c r="F103" s="46" t="str">
        <x:v>Bullet and frigate tunas</x:v>
      </x:c>
      <x:c r="G103" s="46" t="str">
        <x:v>Medium pelagics (30 - 89 cm)</x:v>
      </x:c>
      <x:c r="H103" s="46" t="str">
        <x:v>Tuna &amp; billfishes</x:v>
      </x:c>
      <x:c r="I103" s="60" t="n">
        <x:v>2199.0616046375</x:v>
      </x:c>
      <x:c r="J103" s="60" t="n">
        <x:v>2132.0399880456002</x:v>
      </x:c>
      <x:c r="K103" s="60" t="n">
        <x:v>67.0216165919</x:v>
      </x:c>
      <x:c r="L103" s="60" t="n">
        <x:v>1888.8562695888002</x:v>
      </x:c>
      <x:c r="M103" s="60" t="n">
        <x:v>310.2053350487</x:v>
      </x:c>
      <x:c r="N103" s="46" t="str">
        <x:v>auxis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Auxis</x:v>
      </x:c>
      <x:c r="T103" s="62" t="n">
        <x:f>IF(O103="","",(1/'Metadata'!$B$5)^(O103-1))</x:f>
        <x:v>16418.64020623336</x:v>
      </x:c>
      <x:c r="U103" s="60" t="n">
        <x:f>IF(T103="","",I103*T103)</x:f>
        <x:v>36105601.2778853</x:v>
      </x:c>
    </x:row>
    <x:row r="104" ht="18" customHeight="1">
      <x:c r="A104" s="46" t="str">
        <x:v>LME_026</x:v>
      </x:c>
      <x:c r="B104" s="46" t="str">
        <x:v>Mediterranean Sea</x:v>
      </x:c>
      <x:c r="C104" s="46" t="str">
        <x:v>LME</x:v>
      </x:c>
      <x:c r="D104" s="58" t="n">
        <x:v>2019</x:v>
      </x:c>
      <x:c r="E104" s="46" t="str">
        <x:v>Trichiurus lepturus</x:v>
      </x:c>
      <x:c r="F104" s="46" t="str">
        <x:v>Largehead hairtail</x:v>
      </x:c>
      <x:c r="G104" s="46" t="str">
        <x:v>Large benthopelagics (&gt;=90 cm)</x:v>
      </x:c>
      <x:c r="H104" s="46" t="str">
        <x:v>Perch-likes</x:v>
      </x:c>
      <x:c r="I104" s="60" t="n">
        <x:v>2195.9720501942998</x:v>
      </x:c>
      <x:c r="J104" s="60" t="n">
        <x:v>2065.243900602</x:v>
      </x:c>
      <x:c r="K104" s="60" t="n">
        <x:v>130.72814959229999</x:v>
      </x:c>
      <x:c r="L104" s="60" t="n">
        <x:v>1992.7466631437</x:v>
      </x:c>
      <x:c r="M104" s="60" t="n">
        <x:v>203.2253870506</x:v>
      </x:c>
      <x:c r="N104" s="46" t="str">
        <x:v>trichiurus lepturus</x:v>
      </x:c>
      <x:c r="O104" s="62" t="n">
        <x:v>4.42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Trichiurus lepturus</x:v>
      </x:c>
      <x:c r="T104" s="62" t="n">
        <x:f>IF(O104="","",(1/'Metadata'!$B$5)^(O104-1))</x:f>
        <x:v>28152.864182630117</x:v>
      </x:c>
      <x:c r="U104" s="60" t="n">
        <x:f>IF(T104="","",I104*T104)</x:f>
        <x:v>61822902.877971925</x:v>
      </x:c>
    </x:row>
    <x:row r="105" ht="18" customHeight="1">
      <x:c r="A105" s="46" t="str">
        <x:v>LME_026</x:v>
      </x:c>
      <x:c r="B105" s="46" t="str">
        <x:v>Mediterranean Sea</x:v>
      </x:c>
      <x:c r="C105" s="46" t="str">
        <x:v>LME</x:v>
      </x:c>
      <x:c r="D105" s="58" t="n">
        <x:v>2019</x:v>
      </x:c>
      <x:c r="E105" s="46" t="str">
        <x:v>Phycis blennoides</x:v>
      </x:c>
      <x:c r="F105" s="46" t="str">
        <x:v>Greater forkbeard</x:v>
      </x:c>
      <x:c r="G105" s="46" t="str">
        <x:v>Large benthopelagics (&gt;=90 cm)</x:v>
      </x:c>
      <x:c r="H105" s="46" t="str">
        <x:v>Cod-likes</x:v>
      </x:c>
      <x:c r="I105" s="60" t="n">
        <x:v>2166.1112197633</x:v>
      </x:c>
      <x:c r="J105" s="60" t="n">
        <x:v>880.0228237017001</x:v>
      </x:c>
      <x:c r="K105" s="60" t="n">
        <x:v>1286.0883960616</x:v>
      </x:c>
      <x:c r="L105" s="60" t="n">
        <x:v>1182.7218784783</x:v>
      </x:c>
      <x:c r="M105" s="60" t="n">
        <x:v>983.389341285</x:v>
      </x:c>
      <x:c r="N105" s="46" t="str">
        <x:v>phycis blennoides</x:v>
      </x:c>
      <x:c r="O105" s="62" t="n">
        <x:v>3.87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Phycis blennoides</x:v>
      </x:c>
      <x:c r="T105" s="62" t="n">
        <x:f>IF(O105="","",(1/'Metadata'!$B$5)^(O105-1))</x:f>
        <x:v>5419.460903023396</x:v>
      </x:c>
      <x:c r="U105" s="60" t="n">
        <x:f>IF(T105="","",I105*T105)</x:f>
        <x:v>11739155.067107525</x:v>
      </x:c>
    </x:row>
    <x:row r="106" ht="18" customHeight="1">
      <x:c r="A106" s="46" t="str">
        <x:v>LME_026</x:v>
      </x:c>
      <x:c r="B106" s="46" t="str">
        <x:v>Mediterranean Sea</x:v>
      </x:c>
      <x:c r="C106" s="46" t="str">
        <x:v>LME</x:v>
      </x:c>
      <x:c r="D106" s="58" t="n">
        <x:v>2019</x:v>
      </x:c>
      <x:c r="E106" s="46" t="str">
        <x:v>Pagellus bogaraveo</x:v>
      </x:c>
      <x:c r="F106" s="46" t="str">
        <x:v>Blackspot seabream</x:v>
      </x:c>
      <x:c r="G106" s="46" t="str">
        <x:v>Medium benthopelagics (30 - 89 cm)</x:v>
      </x:c>
      <x:c r="H106" s="46" t="str">
        <x:v>Perch-likes</x:v>
      </x:c>
      <x:c r="I106" s="60" t="n">
        <x:v>2153.9722487847002</x:v>
      </x:c>
      <x:c r="J106" s="60" t="n">
        <x:v>1567.9332763474001</x:v>
      </x:c>
      <x:c r="K106" s="60" t="n">
        <x:v>586.0389724373</x:v>
      </x:c>
      <x:c r="L106" s="60" t="n">
        <x:v>187.8493093484</x:v>
      </x:c>
      <x:c r="M106" s="60" t="n">
        <x:v>1966.1229394363002</x:v>
      </x:c>
      <x:c r="N106" s="46" t="str">
        <x:v>pagellus bogaraveo</x:v>
      </x:c>
      <x:c r="O106" s="62" t="n">
        <x:v>4.21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Pagellus bogaraveo</x:v>
      </x:c>
      <x:c r="T106" s="62" t="n">
        <x:f>IF(O106="","",(1/'Metadata'!$B$5)^(O106-1))</x:f>
        <x:v>15007.428609226863</x:v>
      </x:c>
      <x:c r="U106" s="60" t="n">
        <x:f>IF(T106="","",I106*T106)</x:f>
        <x:v>32325584.74989223</x:v>
      </x:c>
    </x:row>
    <x:row r="107" ht="18" customHeight="1">
      <x:c r="A107" s="46" t="str">
        <x:v>LME_026</x:v>
      </x:c>
      <x:c r="B107" s="46" t="str">
        <x:v>Mediterranean Sea</x:v>
      </x:c>
      <x:c r="C107" s="46" t="str">
        <x:v>LME</x:v>
      </x:c>
      <x:c r="D107" s="58" t="n">
        <x:v>2019</x:v>
      </x:c>
      <x:c r="E107" s="46" t="str">
        <x:v>Mugil</x:v>
      </x:c>
      <x:c r="F107" s="46" t="str">
        <x:v>Grey mullets</x:v>
      </x:c>
      <x:c r="G107" s="46" t="str">
        <x:v>Medium demersals (30 - 89 cm)</x:v>
      </x:c>
      <x:c r="H107" s="46" t="str">
        <x:v>Perch-likes</x:v>
      </x:c>
      <x:c r="I107" s="60" t="n">
        <x:v>2126.9903440459</x:v>
      </x:c>
      <x:c r="J107" s="60" t="n">
        <x:v>2054.8604301006</x:v>
      </x:c>
      <x:c r="K107" s="60" t="n">
        <x:v>72.1299139453</x:v>
      </x:c>
      <x:c r="L107" s="60" t="n">
        <x:v>1748.6195488518001</x:v>
      </x:c>
      <x:c r="M107" s="60" t="n">
        <x:v>378.3707951941</x:v>
      </x:c>
      <x:c r="N107" s="46" t="str">
        <x:v>mugil</x:v>
      </x:c>
      <x:c r="O107" s="62" t="n">
        <x:v>2.26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Mugil</x:v>
      </x:c>
      <x:c r="T107" s="62" t="n">
        <x:f>IF(O107="","",(1/'Metadata'!$B$5)^(O107-1))</x:f>
        <x:v>43.581060539244675</x:v>
      </x:c>
      <x:c r="U107" s="60" t="n">
        <x:f>IF(T107="","",I107*T107)</x:f>
        <x:v>92696.49495025324</x:v>
      </x:c>
    </x:row>
    <x:row r="108" ht="18" customHeight="1">
      <x:c r="A108" s="46" t="str">
        <x:v>LME_026</x:v>
      </x:c>
      <x:c r="B108" s="46" t="str">
        <x:v>Mediterranean Sea</x:v>
      </x:c>
      <x:c r="C108" s="46" t="str">
        <x:v>LME</x:v>
      </x:c>
      <x:c r="D108" s="58" t="n">
        <x:v>2019</x:v>
      </x:c>
      <x:c r="E108" s="46" t="str">
        <x:v>Serranus</x:v>
      </x:c>
      <x:c r="F108" s="46" t="str">
        <x:v>Groupers</x:v>
      </x:c>
      <x:c r="G108" s="46" t="str">
        <x:v>Small reef assoc. fish (&lt;30 cm)</x:v>
      </x:c>
      <x:c r="H108" s="46" t="str">
        <x:v>Perch-likes</x:v>
      </x:c>
      <x:c r="I108" s="60" t="n">
        <x:v>2105.9693319989</x:v>
      </x:c>
      <x:c r="J108" s="60" t="n">
        <x:v>1956.8561253853</x:v>
      </x:c>
      <x:c r="K108" s="60" t="n">
        <x:v>149.1132066136</x:v>
      </x:c>
      <x:c r="L108" s="60" t="n">
        <x:v>284.9765553783</x:v>
      </x:c>
      <x:c r="M108" s="60" t="n">
        <x:v>1820.9927766206</x:v>
      </x:c>
      <x:c r="N108" s="46" t="str">
        <x:v>serranus</x:v>
      </x:c>
      <x:c r="O108" s="62" t="n">
        <x:v>3.73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Serranus</x:v>
      </x:c>
      <x:c r="T108" s="62" t="n">
        <x:f>IF(O108="","",(1/'Metadata'!$B$5)^(O108-1))</x:f>
        <x:v>3562.967723629534</x:v>
      </x:c>
      <x:c r="U108" s="60" t="n">
        <x:f>IF(T108="","",I108*T108)</x:f>
        <x:v>7503500.7568657305</x:v>
      </x:c>
    </x:row>
    <x:row r="109" ht="18" customHeight="1">
      <x:c r="A109" s="46" t="str">
        <x:v>LME_026</x:v>
      </x:c>
      <x:c r="B109" s="46" t="str">
        <x:v>Mediterranean Sea</x:v>
      </x:c>
      <x:c r="C109" s="46" t="str">
        <x:v>LME</x:v>
      </x:c>
      <x:c r="D109" s="58" t="n">
        <x:v>2019</x:v>
      </x:c>
      <x:c r="E109" s="46" t="str">
        <x:v>Alosa fallax</x:v>
      </x:c>
      <x:c r="F109" s="46" t="str">
        <x:v>Twaite shad</x:v>
      </x:c>
      <x:c r="G109" s="46" t="str">
        <x:v>Medium pelagics (30 - 89 cm)</x:v>
      </x:c>
      <x:c r="H109" s="46" t="str">
        <x:v>Herring-likes</x:v>
      </x:c>
      <x:c r="I109" s="60" t="n">
        <x:v>2083.773212879</x:v>
      </x:c>
      <x:c r="J109" s="60" t="n">
        <x:v>1936.270988049</x:v>
      </x:c>
      <x:c r="K109" s="60" t="n">
        <x:v>147.50222483000002</x:v>
      </x:c>
      <x:c r="L109" s="60" t="n">
        <x:v>1392.912110364</x:v>
      </x:c>
      <x:c r="M109" s="60" t="n">
        <x:v>690.861102515</x:v>
      </x:c>
      <x:c r="N109" s="46" t="str">
        <x:v>alosa fallax</x:v>
      </x:c>
      <x:c r="O109" s="62" t="n">
        <x:v>4.03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Alosa fallax</x:v>
      </x:c>
      <x:c r="T109" s="62" t="n">
        <x:f>IF(O109="","",(1/'Metadata'!$B$5)^(O109-1))</x:f>
        <x:v>8752.273628615554</x:v>
      </x:c>
      <x:c r="U109" s="60" t="n">
        <x:f>IF(T109="","",I109*T109)</x:f>
        <x:v>18237753.339096375</x:v>
      </x:c>
    </x:row>
    <x:row r="110" ht="18" customHeight="1">
      <x:c r="A110" s="46" t="str">
        <x:v>LME_026</x:v>
      </x:c>
      <x:c r="B110" s="46" t="str">
        <x:v>Mediterranean Sea</x:v>
      </x:c>
      <x:c r="C110" s="46" t="str">
        <x:v>LME</x:v>
      </x:c>
      <x:c r="D110" s="58" t="n">
        <x:v>2019</x:v>
      </x:c>
      <x:c r="E110" s="46" t="str">
        <x:v>Spicara maena</x:v>
      </x:c>
      <x:c r="F110" s="46" t="str">
        <x:v>Blotched picarel</x:v>
      </x:c>
      <x:c r="G110" s="46" t="str">
        <x:v>Small demersals (&lt;30 cm)</x:v>
      </x:c>
      <x:c r="H110" s="46" t="str">
        <x:v>Perch-likes</x:v>
      </x:c>
      <x:c r="I110" s="60" t="n">
        <x:v>2028.1885254362999</x:v>
      </x:c>
      <x:c r="J110" s="60" t="n">
        <x:v>940.5010145566</x:v>
      </x:c>
      <x:c r="K110" s="60" t="n">
        <x:v>1087.6875108796999</x:v>
      </x:c>
      <x:c r="L110" s="60" t="n">
        <x:v>1633.8225912345</x:v>
      </x:c>
      <x:c r="M110" s="60" t="n">
        <x:v>394.36593420180003</x:v>
      </x:c>
      <x:c r="N110" s="46" t="str">
        <x:v>spicara maena</x:v>
      </x:c>
      <x:c r="O110" s="62" t="n">
        <x:v>4.15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Spicara maena</x:v>
      </x:c>
      <x:c r="T110" s="62" t="n">
        <x:f>IF(O110="","",(1/'Metadata'!$B$5)^(O110-1))</x:f>
        <x:v>12538.46830130465</x:v>
      </x:c>
      <x:c r="U110" s="60" t="n">
        <x:f>IF(T110="","",I110*T110)</x:f>
        <x:v>25430377.535252865</x:v>
      </x:c>
    </x:row>
    <x:row r="111" ht="18" customHeight="1">
      <x:c r="A111" s="46" t="str">
        <x:v>LME_026</x:v>
      </x:c>
      <x:c r="B111" s="46" t="str">
        <x:v>Mediterranean Sea</x:v>
      </x:c>
      <x:c r="C111" s="46" t="str">
        <x:v>LME</x:v>
      </x:c>
      <x:c r="D111" s="58" t="n">
        <x:v>2019</x:v>
      </x:c>
      <x:c r="E111" s="46" t="str">
        <x:v>Sphyraena</x:v>
      </x:c>
      <x:c r="F111" s="46" t="str">
        <x:v>Barracudas, sennets</x:v>
      </x:c>
      <x:c r="G111" s="46" t="str">
        <x:v>Large pelagics (&gt;=90 cm)</x:v>
      </x:c>
      <x:c r="H111" s="46" t="str">
        <x:v>Perch-likes</x:v>
      </x:c>
      <x:c r="I111" s="60" t="n">
        <x:v>2021.7873718587</x:v>
      </x:c>
      <x:c r="J111" s="60" t="n">
        <x:v>1997.1559853758</x:v>
      </x:c>
      <x:c r="K111" s="60" t="n">
        <x:v>24.631386482899998</x:v>
      </x:c>
      <x:c r="L111" s="60" t="n">
        <x:v>1473.7503043266001</x:v>
      </x:c>
      <x:c r="M111" s="60" t="n">
        <x:v>548.0370675321</x:v>
      </x:c>
      <x:c r="N111" s="46" t="str">
        <x:v>sphyraena</x:v>
      </x:c>
      <x:c r="O111" s="62" t="n">
        <x:v>4.4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Sphyraena</x:v>
      </x:c>
      <x:c r="T111" s="62" t="n">
        <x:f>IF(O111="","",(1/'Metadata'!$B$5)^(O111-1))</x:f>
        <x:v>26515.632138719924</x:v>
      </x:c>
      <x:c r="U111" s="60" t="n">
        <x:f>IF(T111="","",I111*T111)</x:f>
        <x:v>53608970.214914635</x:v>
      </x:c>
    </x:row>
    <x:row r="112" ht="18" customHeight="1">
      <x:c r="A112" s="46" t="str">
        <x:v>LME_026</x:v>
      </x:c>
      <x:c r="B112" s="46" t="str">
        <x:v>Mediterranean Sea</x:v>
      </x:c>
      <x:c r="C112" s="46" t="str">
        <x:v>LME</x:v>
      </x:c>
      <x:c r="D112" s="58" t="n">
        <x:v>2019</x:v>
      </x:c>
      <x:c r="E112" s="46" t="str">
        <x:v>Miscellaneous diadromous fishes</x:v>
      </x:c>
      <x:c r="F112" s="46" t="str">
        <x:v>Diadromous fishes nei</x:v>
      </x:c>
      <x:c r="G112" s="46" t="str">
        <x:v>Large demersals (&gt;=90 cm)</x:v>
      </x:c>
      <x:c r="H112" s="46" t="str">
        <x:v>Other fishes &amp; inverts</x:v>
      </x:c>
      <x:c r="I112" s="60" t="n">
        <x:v>1981.2153442375</x:v>
      </x:c>
      <x:c r="J112" s="60" t="n">
        <x:v>1981.2153442375</x:v>
      </x:c>
      <x:c r="K112" s="60" t="n">
        <x:v>0</x:v>
      </x:c>
      <x:c r="L112" s="60" t="n">
        <x:v>0</x:v>
      </x:c>
      <x:c r="M112" s="60" t="n">
        <x:v>1981.2153442375</x:v>
      </x:c>
      <x:c r="N112" s="46" t="str">
        <x:v>miscellaneous diadromous fishes</x:v>
      </x:c>
      <x:c r="O112" s="62" t="n">
        <x:v>3.19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Miscellaneous diadromous fishes</x:v>
      </x:c>
      <x:c r="T112" s="62" t="n">
        <x:f>IF(O112="","",(1/'Metadata'!$B$5)^(O112-1))</x:f>
        <x:v>706.7335205557481</x:v>
      </x:c>
      <x:c r="U112" s="60" t="n">
        <x:f>IF(T112="","",I112*T112)</x:f>
        <x:v>1400191.2952120367</x:v>
      </x:c>
    </x:row>
    <x:row r="113" ht="18" customHeight="1">
      <x:c r="A113" s="46" t="str">
        <x:v>LME_026</x:v>
      </x:c>
      <x:c r="B113" s="46" t="str">
        <x:v>Mediterranean Sea</x:v>
      </x:c>
      <x:c r="C113" s="46" t="str">
        <x:v>LME</x:v>
      </x:c>
      <x:c r="D113" s="58" t="n">
        <x:v>2019</x:v>
      </x:c>
      <x:c r="E113" s="46" t="str">
        <x:v>Clupeidae</x:v>
      </x:c>
      <x:c r="F113" s="46" t="str">
        <x:v>Herrings, sardines, menhadens</x:v>
      </x:c>
      <x:c r="G113" s="46" t="str">
        <x:v>Small pelagics (&lt;30 cm)</x:v>
      </x:c>
      <x:c r="H113" s="46" t="str">
        <x:v>Herring-likes</x:v>
      </x:c>
      <x:c r="I113" s="60" t="n">
        <x:v>1901.6755489232</x:v>
      </x:c>
      <x:c r="J113" s="60" t="n">
        <x:v>1761.7987495503999</x:v>
      </x:c>
      <x:c r="K113" s="60" t="n">
        <x:v>139.8767993728</x:v>
      </x:c>
      <x:c r="L113" s="60" t="n">
        <x:v>246.5229441492</x:v>
      </x:c>
      <x:c r="M113" s="60" t="n">
        <x:v>1655.1526047739999</x:v>
      </x:c>
      <x:c r="N113" s="46" t="str">
        <x:v>clupeidae</x:v>
      </x:c>
      <x:c r="O113" s="62" t="n">
        <x:v>3.16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Clupeidae</x:v>
      </x:c>
      <x:c r="T113" s="62" t="n">
        <x:f>IF(O113="","",(1/'Metadata'!$B$5)^(O113-1))</x:f>
        <x:v>645.9885058849935</x:v>
      </x:c>
      <x:c r="U113" s="60" t="n">
        <x:f>IF(T113="","",I113*T113)</x:f>
        <x:v>1228460.5465269228</x:v>
      </x:c>
    </x:row>
    <x:row r="114" ht="18" customHeight="1">
      <x:c r="A114" s="46" t="str">
        <x:v>LME_026</x:v>
      </x:c>
      <x:c r="B114" s="46" t="str">
        <x:v>Mediterranean Sea</x:v>
      </x:c>
      <x:c r="C114" s="46" t="str">
        <x:v>LME</x:v>
      </x:c>
      <x:c r="D114" s="58" t="n">
        <x:v>2019</x:v>
      </x:c>
      <x:c r="E114" s="46" t="str">
        <x:v>Scomberesox saurus</x:v>
      </x:c>
      <x:c r="F114" s="46" t="str">
        <x:v>Atlantic saury</x:v>
      </x:c>
      <x:c r="G114" s="46" t="str">
        <x:v>Medium pelagics (30 - 89 cm)</x:v>
      </x:c>
      <x:c r="H114" s="46" t="str">
        <x:v>Other fishes &amp; inverts</x:v>
      </x:c>
      <x:c r="I114" s="60" t="n">
        <x:v>1828.0798174884</x:v>
      </x:c>
      <x:c r="J114" s="60" t="n">
        <x:v>1597.3649711434</x:v>
      </x:c>
      <x:c r="K114" s="60" t="n">
        <x:v>230.71484634499998</x:v>
      </x:c>
      <x:c r="L114" s="60" t="n">
        <x:v>1565.8608972101001</x:v>
      </x:c>
      <x:c r="M114" s="60" t="n">
        <x:v>262.2189202783</x:v>
      </x:c>
      <x:c r="N114" s="46" t="str">
        <x:v>scomberesox saurus</x:v>
      </x:c>
      <x:c r="O114" s="62" t="n">
        <x:v>3.91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Scomberesox saurus</x:v>
      </x:c>
      <x:c r="T114" s="62" t="n">
        <x:f>IF(O114="","",(1/'Metadata'!$B$5)^(O114-1))</x:f>
        <x:v>6109.382089532312</x:v>
      </x:c>
      <x:c r="U114" s="60" t="n">
        <x:f>IF(T114="","",I114*T114)</x:f>
        <x:v>11168438.09519913</x:v>
      </x:c>
    </x:row>
    <x:row r="115" ht="18" customHeight="1">
      <x:c r="A115" s="46" t="str">
        <x:v>LME_026</x:v>
      </x:c>
      <x:c r="B115" s="46" t="str">
        <x:v>Mediterranean Sea</x:v>
      </x:c>
      <x:c r="C115" s="46" t="str">
        <x:v>LME</x:v>
      </x:c>
      <x:c r="D115" s="58" t="n">
        <x:v>2019</x:v>
      </x:c>
      <x:c r="E115" s="46" t="str">
        <x:v>Trachinotus ovatus</x:v>
      </x:c>
      <x:c r="F115" s="46" t="str">
        <x:v>Pompano</x:v>
      </x:c>
      <x:c r="G115" s="46" t="str">
        <x:v>Medium pelagics (30 - 89 cm)</x:v>
      </x:c>
      <x:c r="H115" s="46" t="str">
        <x:v>Perch-likes</x:v>
      </x:c>
      <x:c r="I115" s="60" t="n">
        <x:v>1754.6997884401</x:v>
      </x:c>
      <x:c r="J115" s="60" t="n">
        <x:v>1751.9033635590001</x:v>
      </x:c>
      <x:c r="K115" s="60" t="n">
        <x:v>2.7964248811</x:v>
      </x:c>
      <x:c r="L115" s="60" t="n">
        <x:v>57.930629553399996</x:v>
      </x:c>
      <x:c r="M115" s="60" t="n">
        <x:v>1696.7691588867</x:v>
      </x:c>
      <x:c r="N115" s="46" t="str">
        <x:v>trachinotus ovatus</x:v>
      </x:c>
      <x:c r="O115" s="62" t="n">
        <x:v>3.73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Trachinotus ovatus</x:v>
      </x:c>
      <x:c r="T115" s="62" t="n">
        <x:f>IF(O115="","",(1/'Metadata'!$B$5)^(O115-1))</x:f>
        <x:v>3562.967723629534</x:v>
      </x:c>
      <x:c r="U115" s="60" t="n">
        <x:f>IF(T115="","",I115*T115)</x:f>
        <x:v>6251938.710871648</x:v>
      </x:c>
    </x:row>
    <x:row r="116" ht="18" customHeight="1">
      <x:c r="A116" s="46" t="str">
        <x:v>LME_026</x:v>
      </x:c>
      <x:c r="B116" s="46" t="str">
        <x:v>Mediterranean Sea</x:v>
      </x:c>
      <x:c r="C116" s="46" t="str">
        <x:v>LME</x:v>
      </x:c>
      <x:c r="D116" s="58" t="n">
        <x:v>2019</x:v>
      </x:c>
      <x:c r="E116" s="46" t="str">
        <x:v>Lichia amia</x:v>
      </x:c>
      <x:c r="F116" s="46" t="str">
        <x:v>Leerfish</x:v>
      </x:c>
      <x:c r="G116" s="46" t="str">
        <x:v>Large pelagics (&gt;=90 cm)</x:v>
      </x:c>
      <x:c r="H116" s="46" t="str">
        <x:v>Perch-likes</x:v>
      </x:c>
      <x:c r="I116" s="60" t="n">
        <x:v>1673.4289467614</x:v>
      </x:c>
      <x:c r="J116" s="60" t="n">
        <x:v>1631.4572655228</x:v>
      </x:c>
      <x:c r="K116" s="60" t="n">
        <x:v>41.9716812386</x:v>
      </x:c>
      <x:c r="L116" s="60" t="n">
        <x:v>978.0272269397</x:v>
      </x:c>
      <x:c r="M116" s="60" t="n">
        <x:v>695.4017198217</x:v>
      </x:c>
      <x:c r="N116" s="46" t="str">
        <x:v>lichia amia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Lichia amia</x:v>
      </x:c>
      <x:c r="T116" s="62" t="n">
        <x:f>IF(O116="","",(1/'Metadata'!$B$5)^(O116-1))</x:f>
        <x:v>35777.08763999664</x:v>
      </x:c>
      <x:c r="U116" s="60" t="n">
        <x:f>IF(T116="","",I116*T116)</x:f>
        <x:v>59870414.087589875</x:v>
      </x:c>
    </x:row>
    <x:row r="117" ht="18" customHeight="1">
      <x:c r="A117" s="46" t="str">
        <x:v>LME_026</x:v>
      </x:c>
      <x:c r="B117" s="46" t="str">
        <x:v>Mediterranean Sea</x:v>
      </x:c>
      <x:c r="C117" s="46" t="str">
        <x:v>LME</x:v>
      </x:c>
      <x:c r="D117" s="58" t="n">
        <x:v>2019</x:v>
      </x:c>
      <x:c r="E117" s="46" t="str">
        <x:v>Scomberomorus commerson</x:v>
      </x:c>
      <x:c r="F117" s="46" t="str">
        <x:v>Narrow-barred Spanish mackerel</x:v>
      </x:c>
      <x:c r="G117" s="46" t="str">
        <x:v>Large pelagics (&gt;=90 cm)</x:v>
      </x:c>
      <x:c r="H117" s="46" t="str">
        <x:v>Perch-likes</x:v>
      </x:c>
      <x:c r="I117" s="60" t="n">
        <x:v>1597.3078775929</x:v>
      </x:c>
      <x:c r="J117" s="60" t="n">
        <x:v>1596.6248117740001</x:v>
      </x:c>
      <x:c r="K117" s="60" t="n">
        <x:v>0.6830658189</x:v>
      </x:c>
      <x:c r="L117" s="60" t="n">
        <x:v>1548.6690126796</x:v>
      </x:c>
      <x:c r="M117" s="60" t="n">
        <x:v>48.6388649133</x:v>
      </x:c>
      <x:c r="N117" s="46" t="str">
        <x:v>scomberomorus commerson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Scomberomorus commerson</x:v>
      </x:c>
      <x:c r="T117" s="62" t="n">
        <x:f>IF(O117="","",(1/'Metadata'!$B$5)^(O117-1))</x:f>
        <x:v>35777.08763999664</x:v>
      </x:c>
      <x:c r="U117" s="60" t="n">
        <x:f>IF(T117="","",I117*T117)</x:f>
        <x:v>57147023.924698204</x:v>
      </x:c>
    </x:row>
    <x:row r="118" ht="18" customHeight="1">
      <x:c r="A118" s="46" t="str">
        <x:v>LME_026</x:v>
      </x:c>
      <x:c r="B118" s="46" t="str">
        <x:v>Mediterranean Sea</x:v>
      </x:c>
      <x:c r="C118" s="46" t="str">
        <x:v>LME</x:v>
      </x:c>
      <x:c r="D118" s="58" t="n">
        <x:v>2019</x:v>
      </x:c>
      <x:c r="E118" s="46" t="str">
        <x:v>Alopias vulpinus</x:v>
      </x:c>
      <x:c r="F118" s="46" t="str">
        <x:v>Thresher</x:v>
      </x:c>
      <x:c r="G118" s="46" t="str">
        <x:v>Large sharks (&gt;=90 cm)</x:v>
      </x:c>
      <x:c r="H118" s="46" t="str">
        <x:v>Sharks &amp; rays</x:v>
      </x:c>
      <x:c r="I118" s="60" t="n">
        <x:v>1593.8614872778999</x:v>
      </x:c>
      <x:c r="J118" s="60" t="n">
        <x:v>937.9238116263</x:v>
      </x:c>
      <x:c r="K118" s="60" t="n">
        <x:v>655.9376756516</x:v>
      </x:c>
      <x:c r="L118" s="60" t="n">
        <x:v>30.0790499403</x:v>
      </x:c>
      <x:c r="M118" s="60" t="n">
        <x:v>1563.7824373376</x:v>
      </x:c>
      <x:c r="N118" s="46" t="str">
        <x:v>alopias vulpinus</x:v>
      </x:c>
      <x:c r="O118" s="62" t="n">
        <x:v>4.5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Alopias vulpinus</x:v>
      </x:c>
      <x:c r="T118" s="62" t="n">
        <x:f>IF(O118="","",(1/'Metadata'!$B$5)^(O118-1))</x:f>
        <x:v>35777.08763999664</x:v>
      </x:c>
      <x:c r="U118" s="60" t="n">
        <x:f>IF(T118="","",I118*T118)</x:f>
        <x:v>57023722.116356805</x:v>
      </x:c>
    </x:row>
    <x:row r="119" ht="18" customHeight="1">
      <x:c r="A119" s="46" t="str">
        <x:v>LME_026</x:v>
      </x:c>
      <x:c r="B119" s="46" t="str">
        <x:v>Mediterranean Sea</x:v>
      </x:c>
      <x:c r="C119" s="46" t="str">
        <x:v>LME</x:v>
      </x:c>
      <x:c r="D119" s="58" t="n">
        <x:v>2019</x:v>
      </x:c>
      <x:c r="E119" s="46" t="str">
        <x:v>Chamelea gallina</x:v>
      </x:c>
      <x:c r="F119" s="46" t="str">
        <x:v>Striped venus</x:v>
      </x:c>
      <x:c r="G119" s="46" t="str">
        <x:v>Other demersal invertebrates</x:v>
      </x:c>
      <x:c r="H119" s="46" t="str">
        <x:v>Molluscs</x:v>
      </x:c>
      <x:c r="I119" s="60" t="n">
        <x:v>1593.5936920791999</x:v>
      </x:c>
      <x:c r="J119" s="60" t="n">
        <x:v>541.7499365489</x:v>
      </x:c>
      <x:c r="K119" s="60" t="n">
        <x:v>1051.8437555302999</x:v>
      </x:c>
      <x:c r="L119" s="60" t="n">
        <x:v>1084.2983097019999</x:v>
      </x:c>
      <x:c r="M119" s="60" t="n">
        <x:v>509.2953823772</x:v>
      </x:c>
      <x:c r="N119" s="46" t="str">
        <x:v>chamelea gallina</x:v>
      </x:c>
      <x:c r="O119" s="62" t="n">
        <x:v>2.1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Chamelea gallina</x:v>
      </x:c>
      <x:c r="T119" s="62" t="n">
        <x:f>IF(O119="","",(1/'Metadata'!$B$5)^(O119-1))</x:f>
        <x:v>26.985656953471274</x:v>
      </x:c>
      <x:c r="U119" s="60" t="n">
        <x:f>IF(T119="","",I119*T119)</x:f>
        <x:v>43004.17269766502</x:v>
      </x:c>
    </x:row>
    <x:row r="120" ht="18" customHeight="1">
      <x:c r="A120" s="46" t="str">
        <x:v>LME_026</x:v>
      </x:c>
      <x:c r="B120" s="46" t="str">
        <x:v>Mediterranean Sea</x:v>
      </x:c>
      <x:c r="C120" s="46" t="str">
        <x:v>LME</x:v>
      </x:c>
      <x:c r="D120" s="58" t="n">
        <x:v>2019</x:v>
      </x:c>
      <x:c r="E120" s="46" t="str">
        <x:v>Portunidae</x:v>
      </x:c>
      <x:c r="F120" s="46" t="str">
        <x:v>Swimming crabs</x:v>
      </x:c>
      <x:c r="G120" s="46" t="str">
        <x:v>Lobsters, crabs</x:v>
      </x:c>
      <x:c r="H120" s="46" t="str">
        <x:v>Crustaceans</x:v>
      </x:c>
      <x:c r="I120" s="60" t="n">
        <x:v>1560.3131320596</x:v>
      </x:c>
      <x:c r="J120" s="60" t="n">
        <x:v>43.0952311895</x:v>
      </x:c>
      <x:c r="K120" s="60" t="n">
        <x:v>1517.2179008701</x:v>
      </x:c>
      <x:c r="L120" s="60" t="n">
        <x:v>42.0883187966</x:v>
      </x:c>
      <x:c r="M120" s="60" t="n">
        <x:v>1518.224813263</x:v>
      </x:c>
      <x:c r="N120" s="46" t="str">
        <x:v>portunidae</x:v>
      </x:c>
      <x:c r="O120" s="62" t="n">
        <x:v>3.56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Portunidae</x:v>
      </x:c>
      <x:c r="T120" s="62" t="n">
        <x:f>IF(O120="","",(1/'Metadata'!$B$5)^(O120-1))</x:f>
        <x:v>2141.099198485972</x:v>
      </x:c>
      <x:c r="U120" s="60" t="n">
        <x:f>IF(T120="","",I120*T120)</x:f>
        <x:v>3340785.1964399465</x:v>
      </x:c>
    </x:row>
    <x:row r="121" ht="18" customHeight="1">
      <x:c r="A121" s="46" t="str">
        <x:v>LME_026</x:v>
      </x:c>
      <x:c r="B121" s="46" t="str">
        <x:v>Mediterranean Sea</x:v>
      </x:c>
      <x:c r="C121" s="46" t="str">
        <x:v>LME</x:v>
      </x:c>
      <x:c r="D121" s="58" t="n">
        <x:v>2019</x:v>
      </x:c>
      <x:c r="E121" s="46" t="str">
        <x:v>Mola mola</x:v>
      </x:c>
      <x:c r="F121" s="46" t="str">
        <x:v>Ocean sunfish</x:v>
      </x:c>
      <x:c r="G121" s="46" t="str">
        <x:v>Large pelagics (&gt;=90 cm)</x:v>
      </x:c>
      <x:c r="H121" s="46" t="str">
        <x:v>Other fishes &amp; inverts</x:v>
      </x:c>
      <x:c r="I121" s="60" t="n">
        <x:v>1555.1139923214998</x:v>
      </x:c>
      <x:c r="J121" s="60" t="n">
        <x:v>0.0234999828</x:v>
      </x:c>
      <x:c r="K121" s="60" t="n">
        <x:v>1555.0904923387</x:v>
      </x:c>
      <x:c r="L121" s="60" t="n">
        <x:v>0.0227312928</x:v>
      </x:c>
      <x:c r="M121" s="60" t="n">
        <x:v>1555.0912610286998</x:v>
      </x:c>
      <x:c r="N121" s="46" t="str">
        <x:v>mola mola</x:v>
      </x:c>
      <x:c r="O121" s="62" t="n">
        <x:v>3.68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Mola mola</x:v>
      </x:c>
      <x:c r="T121" s="62" t="n">
        <x:f>IF(O121="","",(1/'Metadata'!$B$5)^(O121-1))</x:f>
        <x:v>3067.3291957408446</x:v>
      </x:c>
      <x:c r="U121" s="60" t="n">
        <x:f>IF(T121="","",I121*T121)</x:f>
        <x:v>4770046.55135284</x:v>
      </x:c>
    </x:row>
    <x:row r="122" ht="18" customHeight="1">
      <x:c r="A122" s="46" t="str">
        <x:v>LME_026</x:v>
      </x:c>
      <x:c r="B122" s="46" t="str">
        <x:v>Mediterranean Sea</x:v>
      </x:c>
      <x:c r="C122" s="46" t="str">
        <x:v>LME</x:v>
      </x:c>
      <x:c r="D122" s="58" t="n">
        <x:v>2019</x:v>
      </x:c>
      <x:c r="E122" s="46" t="str">
        <x:v>Solea</x:v>
      </x:c>
      <x:c r="F122" s="46" t="str">
        <x:v>Soles</x:v>
      </x:c>
      <x:c r="G122" s="46" t="str">
        <x:v>Small to medium flatfishes (&lt;90 cm)</x:v>
      </x:c>
      <x:c r="H122" s="46" t="str">
        <x:v>Flatfishes</x:v>
      </x:c>
      <x:c r="I122" s="60" t="n">
        <x:v>1532.4113311954002</x:v>
      </x:c>
      <x:c r="J122" s="60" t="n">
        <x:v>1525.1139458166</x:v>
      </x:c>
      <x:c r="K122" s="60" t="n">
        <x:v>7.2973853788</x:v>
      </x:c>
      <x:c r="L122" s="60" t="n">
        <x:v>816.5640977711</x:v>
      </x:c>
      <x:c r="M122" s="60" t="n">
        <x:v>715.8472334243</x:v>
      </x:c>
      <x:c r="N122" s="46" t="str">
        <x:v>solea</x:v>
      </x:c>
      <x:c r="O122" s="62" t="n">
        <x:v>3.13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Solea</x:v>
      </x:c>
      <x:c r="T122" s="62" t="n">
        <x:f>IF(O122="","",(1/'Metadata'!$B$5)^(O122-1))</x:f>
        <x:v>590.4646342618306</x:v>
      </x:c>
      <x:c r="U122" s="60" t="n">
        <x:f>IF(T122="","",I122*T122)</x:f>
        <x:v>904834.6962129769</x:v>
      </x:c>
    </x:row>
    <x:row r="123" ht="18" customHeight="1">
      <x:c r="A123" s="46" t="str">
        <x:v>LME_026</x:v>
      </x:c>
      <x:c r="B123" s="46" t="str">
        <x:v>Mediterranean Sea</x:v>
      </x:c>
      <x:c r="C123" s="46" t="str">
        <x:v>LME</x:v>
      </x:c>
      <x:c r="D123" s="58" t="n">
        <x:v>2019</x:v>
      </x:c>
      <x:c r="E123" s="46" t="str">
        <x:v>Miscellaneous marine crustaceans</x:v>
      </x:c>
      <x:c r="F123" s="46" t="str">
        <x:v>Marine crabs, shrimps, lobsters nei</x:v>
      </x:c>
      <x:c r="G123" s="46" t="str">
        <x:v>Shrimps</x:v>
      </x:c>
      <x:c r="H123" s="46" t="str">
        <x:v>Crustaceans</x:v>
      </x:c>
      <x:c r="I123" s="60" t="n">
        <x:v>1524.8241778359</x:v>
      </x:c>
      <x:c r="J123" s="60" t="n">
        <x:v>1517.8268593084</x:v>
      </x:c>
      <x:c r="K123" s="60" t="n">
        <x:v>6.9973185275</x:v>
      </x:c>
      <x:c r="L123" s="60" t="n">
        <x:v>1194.6680573292</x:v>
      </x:c>
      <x:c r="M123" s="60" t="n">
        <x:v>330.1561205067</x:v>
      </x:c>
      <x:c r="N123" s="46" t="str">
        <x:v>miscellaneous marine crustaceans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marine crustaceans</x:v>
      </x:c>
      <x:c r="T123" s="62" t="n">
        <x:f>IF(O123="","",(1/'Metadata'!$B$5)^(O123-1))</x:f>
        <x:v>162.83621261476185</x:v>
      </x:c>
      <x:c r="U123" s="60" t="n">
        <x:f>IF(T123="","",I123*T123)</x:f>
        <x:v>248296.59402221604</x:v>
      </x:c>
    </x:row>
    <x:row r="124" ht="18" customHeight="1">
      <x:c r="A124" s="46" t="str">
        <x:v>LME_026</x:v>
      </x:c>
      <x:c r="B124" s="46" t="str">
        <x:v>Mediterranean Sea</x:v>
      </x:c>
      <x:c r="C124" s="46" t="str">
        <x:v>LME</x:v>
      </x:c>
      <x:c r="D124" s="58" t="n">
        <x:v>2019</x:v>
      </x:c>
      <x:c r="E124" s="46" t="str">
        <x:v>Gadidae</x:v>
      </x:c>
      <x:c r="F124" s="46" t="str">
        <x:v>Cods, haddocks</x:v>
      </x:c>
      <x:c r="G124" s="46" t="str">
        <x:v>Medium demersals (30 - 89 cm)</x:v>
      </x:c>
      <x:c r="H124" s="46" t="str">
        <x:v>Cod-likes</x:v>
      </x:c>
      <x:c r="I124" s="60" t="n">
        <x:v>1446.7950360633</x:v>
      </x:c>
      <x:c r="J124" s="60" t="n">
        <x:v>1392.9560408199</x:v>
      </x:c>
      <x:c r="K124" s="60" t="n">
        <x:v>53.8389952434</x:v>
      </x:c>
      <x:c r="L124" s="60" t="n">
        <x:v>0</x:v>
      </x:c>
      <x:c r="M124" s="60" t="n">
        <x:v>1446.7950360633</x:v>
      </x:c>
      <x:c r="N124" s="46" t="str">
        <x:v>gadidae</x:v>
      </x:c>
      <x:c r="O124" s="62" t="n">
        <x:v>3.84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Gadidae</x:v>
      </x:c>
      <x:c r="T124" s="62" t="n">
        <x:f>IF(O124="","",(1/'Metadata'!$B$5)^(O124-1))</x:f>
        <x:v>4953.648510535111</x:v>
      </x:c>
      <x:c r="U124" s="60" t="n">
        <x:f>IF(T124="","",I124*T124)</x:f>
        <x:v>7166914.075444558</x:v>
      </x:c>
    </x:row>
    <x:row r="125" ht="18" customHeight="1">
      <x:c r="A125" s="46" t="str">
        <x:v>LME_026</x:v>
      </x:c>
      <x:c r="B125" s="46" t="str">
        <x:v>Mediterranean Sea</x:v>
      </x:c>
      <x:c r="C125" s="46" t="str">
        <x:v>LME</x:v>
      </x:c>
      <x:c r="D125" s="58" t="n">
        <x:v>2019</x:v>
      </x:c>
      <x:c r="E125" s="46" t="str">
        <x:v>Veneridae</x:v>
      </x:c>
      <x:c r="F125" s="46" t="str">
        <x:v>Venus clams</x:v>
      </x:c>
      <x:c r="G125" s="46" t="str">
        <x:v>Other demersal invertebrates</x:v>
      </x:c>
      <x:c r="H125" s="46" t="str">
        <x:v>Molluscs</x:v>
      </x:c>
      <x:c r="I125" s="60" t="n">
        <x:v>1429.3519803703</x:v>
      </x:c>
      <x:c r="J125" s="60" t="n">
        <x:v>1422.1777351742999</x:v>
      </x:c>
      <x:c r="K125" s="60" t="n">
        <x:v>7.174245195999999</x:v>
      </x:c>
      <x:c r="L125" s="60" t="n">
        <x:v>1236.304209278</x:v>
      </x:c>
      <x:c r="M125" s="60" t="n">
        <x:v>193.0477710923</x:v>
      </x:c>
      <x:c r="N125" s="46" t="str">
        <x:v>veneridae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Veneridae</x:v>
      </x:c>
      <x:c r="T125" s="62" t="n">
        <x:f>IF(O125="","",(1/'Metadata'!$B$5)^(O125-1))</x:f>
        <x:v>20</x:v>
      </x:c>
      <x:c r="U125" s="60" t="n">
        <x:f>IF(T125="","",I125*T125)</x:f>
        <x:v>28587.039607406</x:v>
      </x:c>
    </x:row>
    <x:row r="126" ht="18" customHeight="1">
      <x:c r="A126" s="46" t="str">
        <x:v>LME_026</x:v>
      </x:c>
      <x:c r="B126" s="46" t="str">
        <x:v>Mediterranean Sea</x:v>
      </x:c>
      <x:c r="C126" s="46" t="str">
        <x:v>LME</x:v>
      </x:c>
      <x:c r="D126" s="58" t="n">
        <x:v>2019</x:v>
      </x:c>
      <x:c r="E126" s="46" t="str">
        <x:v>Katsuwonus pelamis</x:v>
      </x:c>
      <x:c r="F126" s="46" t="str">
        <x:v>Skipjack tuna</x:v>
      </x:c>
      <x:c r="G126" s="46" t="str">
        <x:v>Large pelagics (&gt;=90 cm)</x:v>
      </x:c>
      <x:c r="H126" s="46" t="str">
        <x:v>Tuna &amp; billfishes</x:v>
      </x:c>
      <x:c r="I126" s="60" t="n">
        <x:v>1425.2298567453</x:v>
      </x:c>
      <x:c r="J126" s="60" t="n">
        <x:v>1425.2123803709</x:v>
      </x:c>
      <x:c r="K126" s="60" t="n">
        <x:v>0.0174763744</x:v>
      </x:c>
      <x:c r="L126" s="60" t="n">
        <x:v>1423.5377445965</x:v>
      </x:c>
      <x:c r="M126" s="60" t="n">
        <x:v>1.6921121488</x:v>
      </x:c>
      <x:c r="N126" s="46" t="str">
        <x:v>katsuwonus pelamis</x:v>
      </x:c>
      <x:c r="O126" s="62" t="n">
        <x:v>4.43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Katsuwonus pelamis</x:v>
      </x:c>
      <x:c r="T126" s="62" t="n">
        <x:f>IF(O126="","",(1/'Metadata'!$B$5)^(O126-1))</x:f>
        <x:v>29009.008489223597</x:v>
      </x:c>
      <x:c r="U126" s="60" t="n">
        <x:f>IF(T126="","",I126*T126)</x:f>
        <x:v>41344505.01341934</x:v>
      </x:c>
    </x:row>
    <x:row r="127" ht="18" customHeight="1">
      <x:c r="A127" s="46" t="str">
        <x:v>LME_026</x:v>
      </x:c>
      <x:c r="B127" s="46" t="str">
        <x:v>Mediterranean Sea</x:v>
      </x:c>
      <x:c r="C127" s="46" t="str">
        <x:v>LME</x:v>
      </x:c>
      <x:c r="D127" s="58" t="n">
        <x:v>2019</x:v>
      </x:c>
      <x:c r="E127" s="46" t="str">
        <x:v>Rajiformes</x:v>
      </x:c>
      <x:c r="F127" s="46" t="str">
        <x:v>Skates and rays</x:v>
      </x:c>
      <x:c r="G127" s="46" t="str">
        <x:v>Large rays (&gt;=90 cm)</x:v>
      </x:c>
      <x:c r="H127" s="46" t="str">
        <x:v>Sharks &amp; rays</x:v>
      </x:c>
      <x:c r="I127" s="60" t="n">
        <x:v>1399.3529916019002</x:v>
      </x:c>
      <x:c r="J127" s="60" t="n">
        <x:v>1399.0224728436</x:v>
      </x:c>
      <x:c r="K127" s="60" t="n">
        <x:v>0.3305187583</x:v>
      </x:c>
      <x:c r="L127" s="60" t="n">
        <x:v>1231.0785774754</x:v>
      </x:c>
      <x:c r="M127" s="60" t="n">
        <x:v>168.2744141265</x:v>
      </x:c>
      <x:c r="N127" s="46" t="str">
        <x:v>rajiformes</x:v>
      </x:c>
      <x:c r="O127" s="62" t="n">
        <x:v>3.61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Rajiformes</x:v>
      </x:c>
      <x:c r="T127" s="62" t="n">
        <x:f>IF(O127="","",(1/'Metadata'!$B$5)^(O127-1))</x:f>
        <x:v>2487.0716021897506</x:v>
      </x:c>
      <x:c r="U127" s="60" t="n">
        <x:f>IF(T127="","",I127*T127)</x:f>
        <x:v>3480291.0868523587</x:v>
      </x:c>
    </x:row>
    <x:row r="128" ht="18" customHeight="1">
      <x:c r="A128" s="46" t="str">
        <x:v>LME_026</x:v>
      </x:c>
      <x:c r="B128" s="46" t="str">
        <x:v>Mediterranean Sea</x:v>
      </x:c>
      <x:c r="C128" s="46" t="str">
        <x:v>LME</x:v>
      </x:c>
      <x:c r="D128" s="58" t="n">
        <x:v>2019</x:v>
      </x:c>
      <x:c r="E128" s="46" t="str">
        <x:v>Phycis phycis</x:v>
      </x:c>
      <x:c r="F128" s="46" t="str">
        <x:v>Forkbeard</x:v>
      </x:c>
      <x:c r="G128" s="46" t="str">
        <x:v>Medium benthopelagics (30 - 89 cm)</x:v>
      </x:c>
      <x:c r="H128" s="46" t="str">
        <x:v>Cod-likes</x:v>
      </x:c>
      <x:c r="I128" s="60" t="n">
        <x:v>1373.768323091</x:v>
      </x:c>
      <x:c r="J128" s="60" t="n">
        <x:v>1121.0458156175</x:v>
      </x:c>
      <x:c r="K128" s="60" t="n">
        <x:v>252.7225074735</x:v>
      </x:c>
      <x:c r="L128" s="60" t="n">
        <x:v>381.162246106</x:v>
      </x:c>
      <x:c r="M128" s="60" t="n">
        <x:v>992.606076985</x:v>
      </x:c>
      <x:c r="N128" s="46" t="str">
        <x:v>phycis phycis</x:v>
      </x:c>
      <x:c r="O128" s="62" t="n">
        <x:v>4.25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Phycis phycis</x:v>
      </x:c>
      <x:c r="T128" s="62" t="n">
        <x:f>IF(O128="","",(1/'Metadata'!$B$5)^(O128-1))</x:f>
        <x:v>16917.940215049024</x:v>
      </x:c>
      <x:c r="U128" s="60" t="n">
        <x:f>IF(T128="","",I128*T128)</x:f>
        <x:v>23241330.35938169</x:v>
      </x:c>
    </x:row>
    <x:row r="129" ht="18" customHeight="1">
      <x:c r="A129" s="46" t="str">
        <x:v>LME_026</x:v>
      </x:c>
      <x:c r="B129" s="46" t="str">
        <x:v>Mediterranean Sea</x:v>
      </x:c>
      <x:c r="C129" s="46" t="str">
        <x:v>LME</x:v>
      </x:c>
      <x:c r="D129" s="58" t="n">
        <x:v>2019</x:v>
      </x:c>
      <x:c r="E129" s="46" t="str">
        <x:v>Sprattus sprattus</x:v>
      </x:c>
      <x:c r="F129" s="46" t="str">
        <x:v>European sprat</x:v>
      </x:c>
      <x:c r="G129" s="46" t="str">
        <x:v>Small pelagics (&lt;30 cm)</x:v>
      </x:c>
      <x:c r="H129" s="46" t="str">
        <x:v>Herring-likes</x:v>
      </x:c>
      <x:c r="I129" s="60" t="n">
        <x:v>1368.0227655579001</x:v>
      </x:c>
      <x:c r="J129" s="60" t="n">
        <x:v>1348.2361321032001</x:v>
      </x:c>
      <x:c r="K129" s="60" t="n">
        <x:v>19.7866334547</x:v>
      </x:c>
      <x:c r="L129" s="60" t="n">
        <x:v>1296.4558710403</x:v>
      </x:c>
      <x:c r="M129" s="60" t="n">
        <x:v>71.5668945176</x:v>
      </x:c>
      <x:c r="N129" s="46" t="str">
        <x:v>sprattus sprattus</x:v>
      </x:c>
      <x:c r="O129" s="62" t="n">
        <x:v>3.01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Sprattus sprattus</x:v>
      </x:c>
      <x:c r="T129" s="62" t="n">
        <x:f>IF(O129="","",(1/'Metadata'!$B$5)^(O129-1))</x:f>
        <x:v>412.16422316450075</x:v>
      </x:c>
      <x:c r="U129" s="60" t="n">
        <x:f>IF(T129="","",I129*T129)</x:f>
        <x:v>563850.0404375239</x:v>
      </x:c>
    </x:row>
    <x:row r="130" ht="18" customHeight="1">
      <x:c r="A130" s="46" t="str">
        <x:v>LME_026</x:v>
      </x:c>
      <x:c r="B130" s="46" t="str">
        <x:v>Mediterranean Sea</x:v>
      </x:c>
      <x:c r="C130" s="46" t="str">
        <x:v>LME</x:v>
      </x:c>
      <x:c r="D130" s="58" t="n">
        <x:v>2019</x:v>
      </x:c>
      <x:c r="E130" s="46" t="str">
        <x:v>Nephropidae</x:v>
      </x:c>
      <x:c r="F130" s="46" t="str">
        <x:v>Clawed lobsters</x:v>
      </x:c>
      <x:c r="G130" s="46" t="str">
        <x:v>Lobsters, crabs</x:v>
      </x:c>
      <x:c r="H130" s="46" t="str">
        <x:v>Crustaceans</x:v>
      </x:c>
      <x:c r="I130" s="60" t="n">
        <x:v>1330.7504128205</x:v>
      </x:c>
      <x:c r="J130" s="60" t="n">
        <x:v>1200.5686187901001</x:v>
      </x:c>
      <x:c r="K130" s="60" t="n">
        <x:v>130.1817940304</x:v>
      </x:c>
      <x:c r="L130" s="60" t="n">
        <x:v>0</x:v>
      </x:c>
      <x:c r="M130" s="60" t="n">
        <x:v>1330.7504128205</x:v>
      </x:c>
      <x:c r="N130" s="46" t="str">
        <x:v>nephropidae</x:v>
      </x:c>
      <x:c r="O130" s="62" t="n">
        <x:v>2.88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Nephropidae</x:v>
      </x:c>
      <x:c r="T130" s="62" t="n">
        <x:f>IF(O130="","",(1/'Metadata'!$B$5)^(O130-1))</x:f>
        <x:v>279.21348663312773</x:v>
      </x:c>
      <x:c r="U130" s="60" t="n">
        <x:f>IF(T130="","",I130*T130)</x:f>
        <x:v>371563.4626020859</x:v>
      </x:c>
    </x:row>
    <x:row r="131" ht="18" customHeight="1">
      <x:c r="A131" s="46" t="str">
        <x:v>LME_026</x:v>
      </x:c>
      <x:c r="B131" s="46" t="str">
        <x:v>Mediterranean Sea</x:v>
      </x:c>
      <x:c r="C131" s="46" t="str">
        <x:v>LME</x:v>
      </x:c>
      <x:c r="D131" s="58" t="n">
        <x:v>2019</x:v>
      </x:c>
      <x:c r="E131" s="46" t="str">
        <x:v>Epinephelus marginatus</x:v>
      </x:c>
      <x:c r="F131" s="46" t="str">
        <x:v>Dusky grouper</x:v>
      </x:c>
      <x:c r="G131" s="46" t="str">
        <x:v>Large reef assoc. fish (&gt;=90 cm)</x:v>
      </x:c>
      <x:c r="H131" s="46" t="str">
        <x:v>Perch-likes</x:v>
      </x:c>
      <x:c r="I131" s="60" t="n">
        <x:v>1315.7266528011</x:v>
      </x:c>
      <x:c r="J131" s="60" t="n">
        <x:v>1305.2170822622</x:v>
      </x:c>
      <x:c r="K131" s="60" t="n">
        <x:v>10.5095705389</x:v>
      </x:c>
      <x:c r="L131" s="60" t="n">
        <x:v>807.7351404771</x:v>
      </x:c>
      <x:c r="M131" s="60" t="n">
        <x:v>507.991512324</x:v>
      </x:c>
      <x:c r="N131" s="46" t="str">
        <x:v>epinephelus marginatus</x:v>
      </x:c>
      <x:c r="O131" s="62" t="n">
        <x:v>4.43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marginatus</x:v>
      </x:c>
      <x:c r="T131" s="62" t="n">
        <x:f>IF(O131="","",(1/'Metadata'!$B$5)^(O131-1))</x:f>
        <x:v>29009.008489223597</x:v>
      </x:c>
      <x:c r="U131" s="60" t="n">
        <x:f>IF(T131="","",I131*T131)</x:f>
        <x:v>38167925.64060486</x:v>
      </x:c>
    </x:row>
    <x:row r="132" ht="18" customHeight="1">
      <x:c r="A132" s="46" t="str">
        <x:v>LME_026</x:v>
      </x:c>
      <x:c r="B132" s="46" t="str">
        <x:v>Mediterranean Sea</x:v>
      </x:c>
      <x:c r="C132" s="46" t="str">
        <x:v>LME</x:v>
      </x:c>
      <x:c r="D132" s="58" t="n">
        <x:v>2019</x:v>
      </x:c>
      <x:c r="E132" s="46" t="str">
        <x:v>Anguilla anguilla</x:v>
      </x:c>
      <x:c r="F132" s="46" t="str">
        <x:v>European eel</x:v>
      </x:c>
      <x:c r="G132" s="46" t="str">
        <x:v>Large demersals (&gt;=90 cm)</x:v>
      </x:c>
      <x:c r="H132" s="46" t="str">
        <x:v>Other fishes &amp; inverts</x:v>
      </x:c>
      <x:c r="I132" s="60" t="n">
        <x:v>1283.0712772253</x:v>
      </x:c>
      <x:c r="J132" s="60" t="n">
        <x:v>1279.5366039873</x:v>
      </x:c>
      <x:c r="K132" s="60" t="n">
        <x:v>3.5346732380000003</x:v>
      </x:c>
      <x:c r="L132" s="60" t="n">
        <x:v>456.7623385511</x:v>
      </x:c>
      <x:c r="M132" s="60" t="n">
        <x:v>826.3089386742</x:v>
      </x:c>
      <x:c r="N132" s="46" t="str">
        <x:v>anguilla anguilla</x:v>
      </x:c>
      <x:c r="O132" s="62" t="n">
        <x:v>3.55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Anguilla anguilla</x:v>
      </x:c>
      <x:c r="T132" s="62" t="n">
        <x:f>IF(O132="","",(1/'Metadata'!$B$5)^(O132-1))</x:f>
        <x:v>2077.9088316274606</x:v>
      </x:c>
      <x:c r="U132" s="60" t="n">
        <x:f>IF(T132="","",I132*T132)</x:f>
        <x:v>2666105.1385539765</x:v>
      </x:c>
    </x:row>
    <x:row r="133" ht="18" customHeight="1">
      <x:c r="A133" s="46" t="str">
        <x:v>LME_026</x:v>
      </x:c>
      <x:c r="B133" s="46" t="str">
        <x:v>Mediterranean Sea</x:v>
      </x:c>
      <x:c r="C133" s="46" t="str">
        <x:v>LME</x:v>
      </x:c>
      <x:c r="D133" s="58" t="n">
        <x:v>2019</x:v>
      </x:c>
      <x:c r="E133" s="46" t="str">
        <x:v>Holothuroidea</x:v>
      </x:c>
      <x:c r="F133" s="46" t="str">
        <x:v>Sea cucumbers</x:v>
      </x:c>
      <x:c r="G133" s="46" t="str">
        <x:v>Other demersal invertebrates</x:v>
      </x:c>
      <x:c r="H133" s="46" t="str">
        <x:v>Other fishes &amp; inverts</x:v>
      </x:c>
      <x:c r="I133" s="60" t="n">
        <x:v>1274.8068490742</x:v>
      </x:c>
      <x:c r="J133" s="60" t="n">
        <x:v>1271.6703968655</x:v>
      </x:c>
      <x:c r="K133" s="60" t="n">
        <x:v>3.1364522087</x:v>
      </x:c>
      <x:c r="L133" s="60" t="n">
        <x:v>0.1185047092</x:v>
      </x:c>
      <x:c r="M133" s="60" t="n">
        <x:v>1274.688344365</x:v>
      </x:c>
      <x:c r="N133" s="46" t="str">
        <x:v>holothuroidea</x:v>
      </x:c>
      <x:c r="O133" s="62" t="n">
        <x:v>2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Holothuroidea</x:v>
      </x:c>
      <x:c r="T133" s="62" t="n">
        <x:f>IF(O133="","",(1/'Metadata'!$B$5)^(O133-1))</x:f>
        <x:v>20</x:v>
      </x:c>
      <x:c r="U133" s="60" t="n">
        <x:f>IF(T133="","",I133*T133)</x:f>
        <x:v>25496.136981484</x:v>
      </x:c>
    </x:row>
    <x:row r="134" ht="18" customHeight="1">
      <x:c r="A134" s="46" t="str">
        <x:v>LME_026</x:v>
      </x:c>
      <x:c r="B134" s="46" t="str">
        <x:v>Mediterranean Sea</x:v>
      </x:c>
      <x:c r="C134" s="46" t="str">
        <x:v>LME</x:v>
      </x:c>
      <x:c r="D134" s="58" t="n">
        <x:v>2019</x:v>
      </x:c>
      <x:c r="E134" s="46" t="str">
        <x:v>Merlucciidae</x:v>
      </x:c>
      <x:c r="F134" s="46" t="str">
        <x:v>Merluccid hakes</x:v>
      </x:c>
      <x:c r="G134" s="46" t="str">
        <x:v>Large bathydemersals (&gt;=90 cm)</x:v>
      </x:c>
      <x:c r="H134" s="46" t="str">
        <x:v>Cod-likes</x:v>
      </x:c>
      <x:c r="I134" s="60" t="n">
        <x:v>1261.5010925002</x:v>
      </x:c>
      <x:c r="J134" s="60" t="n">
        <x:v>1261.5010925002</x:v>
      </x:c>
      <x:c r="K134" s="60" t="n">
        <x:v>0</x:v>
      </x:c>
      <x:c r="L134" s="60" t="n">
        <x:v>1259.4238380305999</x:v>
      </x:c>
      <x:c r="M134" s="60" t="n">
        <x:v>2.0772544696</x:v>
      </x:c>
      <x:c r="N134" s="46" t="str">
        <x:v>merlucciidae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Merlucciidae</x:v>
      </x:c>
      <x:c r="T134" s="62" t="n">
        <x:f>IF(O134="","",(1/'Metadata'!$B$5)^(O134-1))</x:f>
        <x:v>22827.086550132422</x:v>
      </x:c>
      <x:c r="U134" s="60" t="n">
        <x:f>IF(T134="","",I134*T134)</x:f>
        <x:v>28796394.621588673</x:v>
      </x:c>
    </x:row>
    <x:row r="135" ht="18" customHeight="1">
      <x:c r="A135" s="46" t="str">
        <x:v>LME_026</x:v>
      </x:c>
      <x:c r="B135" s="46" t="str">
        <x:v>Mediterranean Sea</x:v>
      </x:c>
      <x:c r="C135" s="46" t="str">
        <x:v>LME</x:v>
      </x:c>
      <x:c r="D135" s="58" t="n">
        <x:v>2019</x:v>
      </x:c>
      <x:c r="E135" s="46" t="str">
        <x:v>Raja clavata</x:v>
      </x:c>
      <x:c r="F135" s="46" t="str">
        <x:v>Thornback ray</x:v>
      </x:c>
      <x:c r="G135" s="46" t="str">
        <x:v>Large rays (&gt;=90 cm)</x:v>
      </x:c>
      <x:c r="H135" s="46" t="str">
        <x:v>Sharks &amp; rays</x:v>
      </x:c>
      <x:c r="I135" s="60" t="n">
        <x:v>1255.8607004083</x:v>
      </x:c>
      <x:c r="J135" s="60" t="n">
        <x:v>805.8450011191001</x:v>
      </x:c>
      <x:c r="K135" s="60" t="n">
        <x:v>450.0156992892</x:v>
      </x:c>
      <x:c r="L135" s="60" t="n">
        <x:v>610.3351102739999</x:v>
      </x:c>
      <x:c r="M135" s="60" t="n">
        <x:v>645.5255901343</x:v>
      </x:c>
      <x:c r="N135" s="46" t="str">
        <x:v>raja clavata</x:v>
      </x:c>
      <x:c r="O135" s="62" t="n">
        <x:v>3.84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Raja clavata</x:v>
      </x:c>
      <x:c r="T135" s="62" t="n">
        <x:f>IF(O135="","",(1/'Metadata'!$B$5)^(O135-1))</x:f>
        <x:v>4953.648510535111</x:v>
      </x:c>
      <x:c r="U135" s="60" t="n">
        <x:f>IF(T135="","",I135*T135)</x:f>
        <x:v>6221092.488017158</x:v>
      </x:c>
    </x:row>
    <x:row r="136" ht="18" customHeight="1">
      <x:c r="A136" s="46" t="str">
        <x:v>LME_026</x:v>
      </x:c>
      <x:c r="B136" s="46" t="str">
        <x:v>Mediterranean Sea</x:v>
      </x:c>
      <x:c r="C136" s="46" t="str">
        <x:v>LME</x:v>
      </x:c>
      <x:c r="D136" s="58" t="n">
        <x:v>2019</x:v>
      </x:c>
      <x:c r="E136" s="46" t="str">
        <x:v>Pecten jacobaeus</x:v>
      </x:c>
      <x:c r="F136" s="46" t="str">
        <x:v>Great Mediterranean scallop</x:v>
      </x:c>
      <x:c r="G136" s="46" t="str">
        <x:v>Other demersal invertebrates</x:v>
      </x:c>
      <x:c r="H136" s="46" t="str">
        <x:v>Molluscs</x:v>
      </x:c>
      <x:c r="I136" s="60" t="n">
        <x:v>1203.8909721616</x:v>
      </x:c>
      <x:c r="J136" s="60" t="n">
        <x:v>1203.8909721616</x:v>
      </x:c>
      <x:c r="K136" s="60" t="n">
        <x:v>0</x:v>
      </x:c>
      <x:c r="L136" s="60" t="n">
        <x:v>852.4870013977</x:v>
      </x:c>
      <x:c r="M136" s="60" t="n">
        <x:v>351.40397076389996</x:v>
      </x:c>
      <x:c r="N136" s="46" t="str">
        <x:v>pecten jacobaeus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Pecten jacobaeus</x:v>
      </x:c>
      <x:c r="T136" s="62" t="n">
        <x:f>IF(O136="","",(1/'Metadata'!$B$5)^(O136-1))</x:f>
        <x:v>20</x:v>
      </x:c>
      <x:c r="U136" s="60" t="n">
        <x:f>IF(T136="","",I136*T136)</x:f>
        <x:v>24077.819443232</x:v>
      </x:c>
    </x:row>
    <x:row r="137" ht="18" customHeight="1">
      <x:c r="A137" s="46" t="str">
        <x:v>LME_026</x:v>
      </x:c>
      <x:c r="B137" s="46" t="str">
        <x:v>Mediterranean Sea</x:v>
      </x:c>
      <x:c r="C137" s="46" t="str">
        <x:v>LME</x:v>
      </x:c>
      <x:c r="D137" s="58" t="n">
        <x:v>2019</x:v>
      </x:c>
      <x:c r="E137" s="46" t="str">
        <x:v>Atherinidae</x:v>
      </x:c>
      <x:c r="F137" s="46" t="str">
        <x:v>Silversides</x:v>
      </x:c>
      <x:c r="G137" s="46" t="str">
        <x:v>Small pelagics (&lt;30 cm)</x:v>
      </x:c>
      <x:c r="H137" s="46" t="str">
        <x:v>Other fishes &amp; inverts</x:v>
      </x:c>
      <x:c r="I137" s="60" t="n">
        <x:v>1197.5698028599</x:v>
      </x:c>
      <x:c r="J137" s="60" t="n">
        <x:v>1160.9350548124</x:v>
      </x:c>
      <x:c r="K137" s="60" t="n">
        <x:v>36.634748047500004</x:v>
      </x:c>
      <x:c r="L137" s="60" t="n">
        <x:v>972.3815232512001</x:v>
      </x:c>
      <x:c r="M137" s="60" t="n">
        <x:v>225.18827960870001</x:v>
      </x:c>
      <x:c r="N137" s="46" t="str">
        <x:v>atherinidae</x:v>
      </x:c>
      <x:c r="O137" s="62" t="n">
        <x:v>3.2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Atherinidae</x:v>
      </x:c>
      <x:c r="T137" s="62" t="n">
        <x:f>IF(O137="","",(1/'Metadata'!$B$5)^(O137-1))</x:f>
        <x:v>728.2256812104325</x:v>
      </x:c>
      <x:c r="U137" s="60" t="n">
        <x:f>IF(T137="","",I137*T137)</x:f>
        <x:v>872101.085484694</x:v>
      </x:c>
    </x:row>
    <x:row r="138" ht="18" customHeight="1">
      <x:c r="A138" s="46" t="str">
        <x:v>LME_026</x:v>
      </x:c>
      <x:c r="B138" s="46" t="str">
        <x:v>Mediterranean Sea</x:v>
      </x:c>
      <x:c r="C138" s="46" t="str">
        <x:v>LME</x:v>
      </x:c>
      <x:c r="D138" s="58" t="n">
        <x:v>2019</x:v>
      </x:c>
      <x:c r="E138" s="46" t="str">
        <x:v>Mustelus</x:v>
      </x:c>
      <x:c r="F138" s="46" t="str">
        <x:v>Smoothhounds</x:v>
      </x:c>
      <x:c r="G138" s="46" t="str">
        <x:v>Large sharks (&gt;=90 cm)</x:v>
      </x:c>
      <x:c r="H138" s="46" t="str">
        <x:v>Sharks &amp; rays</x:v>
      </x:c>
      <x:c r="I138" s="60" t="n">
        <x:v>1196.039825546</x:v>
      </x:c>
      <x:c r="J138" s="60" t="n">
        <x:v>1140.4351381034</x:v>
      </x:c>
      <x:c r="K138" s="60" t="n">
        <x:v>55.604687442599996</x:v>
      </x:c>
      <x:c r="L138" s="60" t="n">
        <x:v>469.7168482187</x:v>
      </x:c>
      <x:c r="M138" s="60" t="n">
        <x:v>726.3229773273</x:v>
      </x:c>
      <x:c r="N138" s="46" t="str">
        <x:v>mustelus</x:v>
      </x:c>
      <x:c r="O138" s="62" t="n">
        <x:v>3.73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Mustelus</x:v>
      </x:c>
      <x:c r="T138" s="62" t="n">
        <x:f>IF(O138="","",(1/'Metadata'!$B$5)^(O138-1))</x:f>
        <x:v>3562.967723629534</x:v>
      </x:c>
      <x:c r="U138" s="60" t="n">
        <x:f>IF(T138="","",I138*T138)</x:f>
        <x:v>4261451.294595896</x:v>
      </x:c>
    </x:row>
    <x:row r="139" ht="18" customHeight="1">
      <x:c r="A139" s="46" t="str">
        <x:v>LME_026</x:v>
      </x:c>
      <x:c r="B139" s="46" t="str">
        <x:v>Mediterranean Sea</x:v>
      </x:c>
      <x:c r="C139" s="46" t="str">
        <x:v>LME</x:v>
      </x:c>
      <x:c r="D139" s="58" t="n">
        <x:v>2019</x:v>
      </x:c>
      <x:c r="E139" s="46" t="str">
        <x:v>Raja</x:v>
      </x:c>
      <x:c r="F139" s="46" t="str">
        <x:v>Stingrays, skates</x:v>
      </x:c>
      <x:c r="G139" s="46" t="str">
        <x:v>Small to medium rays (&lt;90 cm)</x:v>
      </x:c>
      <x:c r="H139" s="46" t="str">
        <x:v>Sharks &amp; rays</x:v>
      </x:c>
      <x:c r="I139" s="60" t="n">
        <x:v>1189.5277026286</x:v>
      </x:c>
      <x:c r="J139" s="60" t="n">
        <x:v>1089.3158342095</x:v>
      </x:c>
      <x:c r="K139" s="60" t="n">
        <x:v>100.2118684191</x:v>
      </x:c>
      <x:c r="L139" s="60" t="n">
        <x:v>623.7682536434</x:v>
      </x:c>
      <x:c r="M139" s="60" t="n">
        <x:v>565.7594489851999</x:v>
      </x:c>
      <x:c r="N139" s="46" t="str">
        <x:v>raja</x:v>
      </x:c>
      <x:c r="O139" s="62" t="n">
        <x:v>3.8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Raja</x:v>
      </x:c>
      <x:c r="T139" s="62" t="n">
        <x:f>IF(O139="","",(1/'Metadata'!$B$5)^(O139-1))</x:f>
        <x:v>4394.242173224468</x:v>
      </x:c>
      <x:c r="U139" s="60" t="n">
        <x:f>IF(T139="","",I139*T139)</x:f>
        <x:v>5227072.797109409</x:v>
      </x:c>
    </x:row>
    <x:row r="140" ht="18" customHeight="1">
      <x:c r="A140" s="46" t="str">
        <x:v>LME_026</x:v>
      </x:c>
      <x:c r="B140" s="46" t="str">
        <x:v>Mediterranean Sea</x:v>
      </x:c>
      <x:c r="C140" s="46" t="str">
        <x:v>LME</x:v>
      </x:c>
      <x:c r="D140" s="58" t="n">
        <x:v>2019</x:v>
      </x:c>
      <x:c r="E140" s="46" t="str">
        <x:v>Scorpaena scrofa</x:v>
      </x:c>
      <x:c r="F140" s="46" t="str">
        <x:v>Red scorpionfish</x:v>
      </x:c>
      <x:c r="G140" s="46" t="str">
        <x:v>Medium demersals (30 - 89 cm)</x:v>
      </x:c>
      <x:c r="H140" s="46" t="str">
        <x:v>Scorpionfishes</x:v>
      </x:c>
      <x:c r="I140" s="60" t="n">
        <x:v>1167.4448396953</x:v>
      </x:c>
      <x:c r="J140" s="60" t="n">
        <x:v>1141.4134134868</x:v>
      </x:c>
      <x:c r="K140" s="60" t="n">
        <x:v>26.0314262085</x:v>
      </x:c>
      <x:c r="L140" s="60" t="n">
        <x:v>962.1625685805999</x:v>
      </x:c>
      <x:c r="M140" s="60" t="n">
        <x:v>205.2822711147</x:v>
      </x:c>
      <x:c r="N140" s="46" t="str">
        <x:v>scorpaena scrofa</x:v>
      </x:c>
      <x:c r="O140" s="62" t="n">
        <x:v>4.25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Scorpaena scrofa</x:v>
      </x:c>
      <x:c r="T140" s="62" t="n">
        <x:f>IF(O140="","",(1/'Metadata'!$B$5)^(O140-1))</x:f>
        <x:v>16917.940215049024</x:v>
      </x:c>
      <x:c r="U140" s="60" t="n">
        <x:f>IF(T140="","",I140*T140)</x:f>
        <x:v>19750762.00233258</x:v>
      </x:c>
    </x:row>
    <x:row r="141" ht="18" customHeight="1">
      <x:c r="A141" s="46" t="str">
        <x:v>LME_026</x:v>
      </x:c>
      <x:c r="B141" s="46" t="str">
        <x:v>Mediterranean Sea</x:v>
      </x:c>
      <x:c r="C141" s="46" t="str">
        <x:v>LME</x:v>
      </x:c>
      <x:c r="D141" s="58" t="n">
        <x:v>2019</x:v>
      </x:c>
      <x:c r="E141" s="46" t="str">
        <x:v>Labridae</x:v>
      </x:c>
      <x:c r="F141" s="46" t="str">
        <x:v>Wrasses, gropers, tuskfishes</x:v>
      </x:c>
      <x:c r="G141" s="46" t="str">
        <x:v>Medium reef assoc. fish (30 - 89 cm)</x:v>
      </x:c>
      <x:c r="H141" s="46" t="str">
        <x:v>Perch-likes</x:v>
      </x:c>
      <x:c r="I141" s="60" t="n">
        <x:v>1151.5134085070001</x:v>
      </x:c>
      <x:c r="J141" s="60" t="n">
        <x:v>1148.0201514962</x:v>
      </x:c>
      <x:c r="K141" s="60" t="n">
        <x:v>3.4932570108000003</x:v>
      </x:c>
      <x:c r="L141" s="60" t="n">
        <x:v>267.788203381</x:v>
      </x:c>
      <x:c r="M141" s="60" t="n">
        <x:v>883.725205126</x:v>
      </x:c>
      <x:c r="N141" s="46" t="str">
        <x:v>labridae</x:v>
      </x:c>
      <x:c r="O141" s="62" t="n">
        <x:v>3.46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Labridae</x:v>
      </x:c>
      <x:c r="T141" s="62" t="n">
        <x:f>IF(O141="","",(1/'Metadata'!$B$5)^(O141-1))</x:f>
        <x:v>1586.8423749532276</x:v>
      </x:c>
      <x:c r="U141" s="60" t="n">
        <x:f>IF(T141="","",I141*T141)</x:f>
        <x:v>1827270.2719457343</x:v>
      </x:c>
    </x:row>
    <x:row r="142" ht="18" customHeight="1">
      <x:c r="A142" s="46" t="str">
        <x:v>LME_026</x:v>
      </x:c>
      <x:c r="B142" s="46" t="str">
        <x:v>Mediterranean Sea</x:v>
      </x:c>
      <x:c r="C142" s="46" t="str">
        <x:v>LME</x:v>
      </x:c>
      <x:c r="D142" s="58" t="n">
        <x:v>2019</x:v>
      </x:c>
      <x:c r="E142" s="46" t="str">
        <x:v>Engraulidae</x:v>
      </x:c>
      <x:c r="F142" s="46" t="str">
        <x:v>Anchovies, round herrings</x:v>
      </x:c>
      <x:c r="G142" s="46" t="str">
        <x:v>Small pelagics (&lt;30 cm)</x:v>
      </x:c>
      <x:c r="H142" s="46" t="str">
        <x:v>Anchovies</x:v>
      </x:c>
      <x:c r="I142" s="60" t="n">
        <x:v>1118.7058640639002</x:v>
      </x:c>
      <x:c r="J142" s="60" t="n">
        <x:v>1114.4564144574001</x:v>
      </x:c>
      <x:c r="K142" s="60" t="n">
        <x:v>4.2494496065</x:v>
      </x:c>
      <x:c r="L142" s="60" t="n">
        <x:v>0</x:v>
      </x:c>
      <x:c r="M142" s="60" t="n">
        <x:v>1118.7058640639002</x:v>
      </x:c>
      <x:c r="N142" s="46" t="str">
        <x:v>engraulidae</x:v>
      </x:c>
      <x:c r="O142" s="62" t="n">
        <x:v>3.2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Engraulidae</x:v>
      </x:c>
      <x:c r="T142" s="62" t="n">
        <x:f>IF(O142="","",(1/'Metadata'!$B$5)^(O142-1))</x:f>
        <x:v>728.2256812104325</x:v>
      </x:c>
      <x:c r="U142" s="60" t="n">
        <x:f>IF(T142="","",I142*T142)</x:f>
        <x:v>814670.3399320393</x:v>
      </x:c>
    </x:row>
    <x:row r="143" ht="18" customHeight="1">
      <x:c r="A143" s="46" t="str">
        <x:v>LME_026</x:v>
      </x:c>
      <x:c r="B143" s="46" t="str">
        <x:v>Mediterranean Sea</x:v>
      </x:c>
      <x:c r="C143" s="46" t="str">
        <x:v>LME</x:v>
      </x:c>
      <x:c r="D143" s="58" t="n">
        <x:v>2019</x:v>
      </x:c>
      <x:c r="E143" s="46" t="str">
        <x:v>Serranus cabrilla</x:v>
      </x:c>
      <x:c r="F143" s="46" t="str">
        <x:v>Comber</x:v>
      </x:c>
      <x:c r="G143" s="46" t="str">
        <x:v>Medium bathydemersals (30 - 89 cm)</x:v>
      </x:c>
      <x:c r="H143" s="46" t="str">
        <x:v>Perch-likes</x:v>
      </x:c>
      <x:c r="I143" s="60" t="n">
        <x:v>1111.3822925647</x:v>
      </x:c>
      <x:c r="J143" s="60" t="n">
        <x:v>1046.9300992338</x:v>
      </x:c>
      <x:c r="K143" s="60" t="n">
        <x:v>64.4521933309</x:v>
      </x:c>
      <x:c r="L143" s="60" t="n">
        <x:v>184.6690266295</x:v>
      </x:c>
      <x:c r="M143" s="60" t="n">
        <x:v>926.7132659352</x:v>
      </x:c>
      <x:c r="N143" s="46" t="str">
        <x:v>serranus cabrilla</x:v>
      </x:c>
      <x:c r="O143" s="62" t="n">
        <x:v>3.35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Serranus cabrilla</x:v>
      </x:c>
      <x:c r="T143" s="62" t="n">
        <x:f>IF(O143="","",(1/'Metadata'!$B$5)^(O143-1))</x:f>
        <x:v>1141.3543275066227</x:v>
      </x:c>
      <x:c r="U143" s="60" t="n">
        <x:f>IF(T143="","",I143*T143)</x:f>
        <x:v>1268480.9891329517</x:v>
      </x:c>
    </x:row>
    <x:row r="144" ht="18" customHeight="1">
      <x:c r="A144" s="46" t="str">
        <x:v>LME_026</x:v>
      </x:c>
      <x:c r="B144" s="46" t="str">
        <x:v>Mediterranean Sea</x:v>
      </x:c>
      <x:c r="C144" s="46" t="str">
        <x:v>LME</x:v>
      </x:c>
      <x:c r="D144" s="58" t="n">
        <x:v>2019</x:v>
      </x:c>
      <x:c r="E144" s="46" t="str">
        <x:v>Lophius piscatorius</x:v>
      </x:c>
      <x:c r="F144" s="46" t="str">
        <x:v>Angler</x:v>
      </x:c>
      <x:c r="G144" s="46" t="str">
        <x:v>Large bathydemersals (&gt;=90 cm)</x:v>
      </x:c>
      <x:c r="H144" s="46" t="str">
        <x:v>Other fishes &amp; inverts</x:v>
      </x:c>
      <x:c r="I144" s="60" t="n">
        <x:v>1098.5573620343</x:v>
      </x:c>
      <x:c r="J144" s="60" t="n">
        <x:v>1025.6850434525002</x:v>
      </x:c>
      <x:c r="K144" s="60" t="n">
        <x:v>72.8723185818</x:v>
      </x:c>
      <x:c r="L144" s="60" t="n">
        <x:v>928.4311862351001</x:v>
      </x:c>
      <x:c r="M144" s="60" t="n">
        <x:v>170.12617579919998</x:v>
      </x:c>
      <x:c r="N144" s="46" t="str">
        <x:v>lophius piscatorius</x:v>
      </x:c>
      <x:c r="O144" s="62" t="n">
        <x:v>4.45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Lophius piscatorius</x:v>
      </x:c>
      <x:c r="T144" s="62" t="n">
        <x:f>IF(O144="","",(1/'Metadata'!$B$5)^(O144-1))</x:f>
        <x:v>30800.19634445362</x:v>
      </x:c>
      <x:c r="U144" s="60" t="n">
        <x:f>IF(T144="","",I144*T144)</x:f>
        <x:v>33835782.44630146</x:v>
      </x:c>
    </x:row>
    <x:row r="145" ht="18" customHeight="1">
      <x:c r="A145" s="46" t="str">
        <x:v>LME_026</x:v>
      </x:c>
      <x:c r="B145" s="46" t="str">
        <x:v>Mediterranean Sea</x:v>
      </x:c>
      <x:c r="C145" s="46" t="str">
        <x:v>LME</x:v>
      </x:c>
      <x:c r="D145" s="58" t="n">
        <x:v>2019</x:v>
      </x:c>
      <x:c r="E145" s="46" t="str">
        <x:v>Cardiidae</x:v>
      </x:c>
      <x:c r="F145" s="46" t="str">
        <x:v>Cockles</x:v>
      </x:c>
      <x:c r="G145" s="46" t="str">
        <x:v>Other demersal invertebrates</x:v>
      </x:c>
      <x:c r="H145" s="46" t="str">
        <x:v>Molluscs</x:v>
      </x:c>
      <x:c r="I145" s="60" t="n">
        <x:v>1098.1445473121</x:v>
      </x:c>
      <x:c r="J145" s="60" t="n">
        <x:v>943.3489329503</x:v>
      </x:c>
      <x:c r="K145" s="60" t="n">
        <x:v>154.7956143618</x:v>
      </x:c>
      <x:c r="L145" s="60" t="n">
        <x:v>469.504401445</x:v>
      </x:c>
      <x:c r="M145" s="60" t="n">
        <x:v>628.6401458671</x:v>
      </x:c>
      <x:c r="N145" s="46" t="str">
        <x:v>cardiidae</x:v>
      </x:c>
      <x:c r="O145" s="62" t="n">
        <x:v>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Cardiidae</x:v>
      </x:c>
      <x:c r="T145" s="62" t="n">
        <x:f>IF(O145="","",(1/'Metadata'!$B$5)^(O145-1))</x:f>
        <x:v>20</x:v>
      </x:c>
      <x:c r="U145" s="60" t="n">
        <x:f>IF(T145="","",I145*T145)</x:f>
        <x:v>21962.890946242</x:v>
      </x:c>
    </x:row>
    <x:row r="146" ht="18" customHeight="1">
      <x:c r="A146" s="46" t="str">
        <x:v>LME_026</x:v>
      </x:c>
      <x:c r="B146" s="46" t="str">
        <x:v>Mediterranean Sea</x:v>
      </x:c>
      <x:c r="C146" s="46" t="str">
        <x:v>LME</x:v>
      </x:c>
      <x:c r="D146" s="58" t="n">
        <x:v>2019</x:v>
      </x:c>
      <x:c r="E146" s="46" t="str">
        <x:v>Chelidonichthys cuculus</x:v>
      </x:c>
      <x:c r="F146" s="46" t="str">
        <x:v>Red gurnard</x:v>
      </x:c>
      <x:c r="G146" s="46" t="str">
        <x:v>Medium demersals (30 - 89 cm)</x:v>
      </x:c>
      <x:c r="H146" s="46" t="str">
        <x:v>Scorpionfishes</x:v>
      </x:c>
      <x:c r="I146" s="60" t="n">
        <x:v>1083.3666973379</x:v>
      </x:c>
      <x:c r="J146" s="60" t="n">
        <x:v>857.6171102592</x:v>
      </x:c>
      <x:c r="K146" s="60" t="n">
        <x:v>225.7495870787</x:v>
      </x:c>
      <x:c r="L146" s="60" t="n">
        <x:v>508.5670727709</x:v>
      </x:c>
      <x:c r="M146" s="60" t="n">
        <x:v>574.799624567</x:v>
      </x:c>
      <x:c r="N146" s="46" t="str">
        <x:v>chelidonichthys cuculus</x:v>
      </x:c>
      <x:c r="O146" s="62" t="n">
        <x:v>3.81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Chelidonichthys cuculus</x:v>
      </x:c>
      <x:c r="T146" s="62" t="n">
        <x:f>IF(O146="","",(1/'Metadata'!$B$5)^(O146-1))</x:f>
        <x:v>4527.873529309382</x:v>
      </x:c>
      <x:c r="U146" s="60" t="n">
        <x:f>IF(T146="","",I146*T146)</x:f>
        <x:v>4905347.391411606</x:v>
      </x:c>
    </x:row>
    <x:row r="147" ht="18" customHeight="1">
      <x:c r="A147" s="46" t="str">
        <x:v>LME_026</x:v>
      </x:c>
      <x:c r="B147" s="46" t="str">
        <x:v>Mediterranean Sea</x:v>
      </x:c>
      <x:c r="C147" s="46" t="str">
        <x:v>LME</x:v>
      </x:c>
      <x:c r="D147" s="58" t="n">
        <x:v>2019</x:v>
      </x:c>
      <x:c r="E147" s="46" t="str">
        <x:v>Chelon ramada</x:v>
      </x:c>
      <x:c r="F147" s="46" t="str">
        <x:v>Thinlip grey mullet</x:v>
      </x:c>
      <x:c r="G147" s="46" t="str">
        <x:v>Medium pelagics (30 - 89 cm)</x:v>
      </x:c>
      <x:c r="H147" s="46" t="str">
        <x:v>Perch-likes</x:v>
      </x:c>
      <x:c r="I147" s="60" t="n">
        <x:v>1063.7116062951</x:v>
      </x:c>
      <x:c r="J147" s="60" t="n">
        <x:v>1060.0219538429</x:v>
      </x:c>
      <x:c r="K147" s="60" t="n">
        <x:v>3.6896524522000003</x:v>
      </x:c>
      <x:c r="L147" s="60" t="n">
        <x:v>877.7299386104</x:v>
      </x:c>
      <x:c r="M147" s="60" t="n">
        <x:v>185.9816676847</x:v>
      </x:c>
      <x:c r="N147" s="46" t="str">
        <x:v>chelon ramada</x:v>
      </x:c>
      <x:c r="O147" s="62" t="n">
        <x:v>2.3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Chelon ramada</x:v>
      </x:c>
      <x:c r="T147" s="62" t="n">
        <x:f>IF(O147="","",(1/'Metadata'!$B$5)^(O147-1))</x:f>
        <x:v>49.12912104463159</x:v>
      </x:c>
      <x:c r="U147" s="60" t="n">
        <x:f>IF(T147="","",I147*T147)</x:f>
        <x:v>52259.216262251466</x:v>
      </x:c>
    </x:row>
    <x:row r="148" ht="18" customHeight="1">
      <x:c r="A148" s="46" t="str">
        <x:v>LME_026</x:v>
      </x:c>
      <x:c r="B148" s="46" t="str">
        <x:v>Mediterranean Sea</x:v>
      </x:c>
      <x:c r="C148" s="46" t="str">
        <x:v>LME</x:v>
      </x:c>
      <x:c r="D148" s="58" t="n">
        <x:v>2019</x:v>
      </x:c>
      <x:c r="E148" s="46" t="str">
        <x:v>Zeus faber</x:v>
      </x:c>
      <x:c r="F148" s="46" t="str">
        <x:v>John dory</x:v>
      </x:c>
      <x:c r="G148" s="46" t="str">
        <x:v>Medium benthopelagics (30 - 89 cm)</x:v>
      </x:c>
      <x:c r="H148" s="46" t="str">
        <x:v>Other fishes &amp; inverts</x:v>
      </x:c>
      <x:c r="I148" s="60" t="n">
        <x:v>1050.9843382326999</x:v>
      </x:c>
      <x:c r="J148" s="60" t="n">
        <x:v>604.6378640495</x:v>
      </x:c>
      <x:c r="K148" s="60" t="n">
        <x:v>446.34647418320003</x:v>
      </x:c>
      <x:c r="L148" s="60" t="n">
        <x:v>702.1171555657</x:v>
      </x:c>
      <x:c r="M148" s="60" t="n">
        <x:v>348.867182667</x:v>
      </x:c>
      <x:c r="N148" s="46" t="str">
        <x:v>zeus faber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Zeus faber</x:v>
      </x:c>
      <x:c r="T148" s="62" t="n">
        <x:f>IF(O148="","",(1/'Metadata'!$B$5)^(O148-1))</x:f>
        <x:v>35777.08763999664</x:v>
      </x:c>
      <x:c r="U148" s="60" t="n">
        <x:f>IF(T148="","",I148*T148)</x:f>
        <x:v>37601158.77721517</x:v>
      </x:c>
    </x:row>
    <x:row r="149" ht="18" customHeight="1">
      <x:c r="A149" s="46" t="str">
        <x:v>LME_026</x:v>
      </x:c>
      <x:c r="B149" s="46" t="str">
        <x:v>Mediterranean Sea</x:v>
      </x:c>
      <x:c r="C149" s="46" t="str">
        <x:v>LME</x:v>
      </x:c>
      <x:c r="D149" s="58" t="n">
        <x:v>2019</x:v>
      </x:c>
      <x:c r="E149" s="46" t="str">
        <x:v>Trachinidae</x:v>
      </x:c>
      <x:c r="F149" s="46" t="str">
        <x:v>Weeverfishes</x:v>
      </x:c>
      <x:c r="G149" s="46" t="str">
        <x:v>Medium demersals (30 - 89 cm)</x:v>
      </x:c>
      <x:c r="H149" s="46" t="str">
        <x:v>Perch-likes</x:v>
      </x:c>
      <x:c r="I149" s="60" t="n">
        <x:v>1021.9584866619</x:v>
      </x:c>
      <x:c r="J149" s="60" t="n">
        <x:v>1021.9537436388</x:v>
      </x:c>
      <x:c r="K149" s="60" t="n">
        <x:v>0.0047430231</x:v>
      </x:c>
      <x:c r="L149" s="60" t="n">
        <x:v>361.81329933269996</x:v>
      </x:c>
      <x:c r="M149" s="60" t="n">
        <x:v>660.1451873292</x:v>
      </x:c>
      <x:c r="N149" s="46" t="str">
        <x:v>trachinidae</x:v>
      </x:c>
      <x:c r="O149" s="62" t="n">
        <x:v>3.95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Trachinidae</x:v>
      </x:c>
      <x:c r="T149" s="62" t="n">
        <x:f>IF(O149="","",(1/'Metadata'!$B$5)^(O149-1))</x:f>
        <x:v>6887.133274653882</x:v>
      </x:c>
      <x:c r="U149" s="60" t="n">
        <x:f>IF(T149="","",I149*T149)</x:f>
        <x:v>7038364.298804097</x:v>
      </x:c>
    </x:row>
    <x:row r="150" ht="18" customHeight="1">
      <x:c r="A150" s="46" t="str">
        <x:v>LME_026</x:v>
      </x:c>
      <x:c r="B150" s="46" t="str">
        <x:v>Mediterranean Sea</x:v>
      </x:c>
      <x:c r="C150" s="46" t="str">
        <x:v>LME</x:v>
      </x:c>
      <x:c r="D150" s="58" t="n">
        <x:v>2019</x:v>
      </x:c>
      <x:c r="E150" s="46" t="str">
        <x:v>Mustelus mustelus</x:v>
      </x:c>
      <x:c r="F150" s="46" t="str">
        <x:v>Smooth-hound</x:v>
      </x:c>
      <x:c r="G150" s="46" t="str">
        <x:v>Large sharks (&gt;=90 cm)</x:v>
      </x:c>
      <x:c r="H150" s="46" t="str">
        <x:v>Sharks &amp; rays</x:v>
      </x:c>
      <x:c r="I150" s="60" t="n">
        <x:v>973.0570728395</x:v>
      </x:c>
      <x:c r="J150" s="60" t="n">
        <x:v>962.6090080932</x:v>
      </x:c>
      <x:c r="K150" s="60" t="n">
        <x:v>10.4480647463</x:v>
      </x:c>
      <x:c r="L150" s="60" t="n">
        <x:v>792.4594449412</x:v>
      </x:c>
      <x:c r="M150" s="60" t="n">
        <x:v>180.5976278983</x:v>
      </x:c>
      <x:c r="N150" s="46" t="str">
        <x:v>mustelus mustelus</x:v>
      </x:c>
      <x:c r="O150" s="62" t="n">
        <x:v>3.75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Mustelus mustelus</x:v>
      </x:c>
      <x:c r="T150" s="62" t="n">
        <x:f>IF(O150="","",(1/'Metadata'!$B$5)^(O150-1))</x:f>
        <x:v>3782.966436012703</x:v>
      </x:c>
      <x:c r="U150" s="60" t="n">
        <x:f>IF(T150="","",I150*T150)</x:f>
        <x:v>3681042.246876597</x:v>
      </x:c>
    </x:row>
    <x:row r="151" ht="18" customHeight="1">
      <x:c r="A151" s="46" t="str">
        <x:v>LME_026</x:v>
      </x:c>
      <x:c r="B151" s="46" t="str">
        <x:v>Mediterranean Sea</x:v>
      </x:c>
      <x:c r="C151" s="46" t="str">
        <x:v>LME</x:v>
      </x:c>
      <x:c r="D151" s="58" t="n">
        <x:v>2019</x:v>
      </x:c>
      <x:c r="E151" s="46" t="str">
        <x:v>Ruditapes decussatus</x:v>
      </x:c>
      <x:c r="F151" s="46" t="str">
        <x:v>Grooved carpet shell</x:v>
      </x:c>
      <x:c r="G151" s="46" t="str">
        <x:v>Other demersal invertebrates</x:v>
      </x:c>
      <x:c r="H151" s="46" t="str">
        <x:v>Molluscs</x:v>
      </x:c>
      <x:c r="I151" s="60" t="n">
        <x:v>949.8037346035</x:v>
      </x:c>
      <x:c r="J151" s="60" t="n">
        <x:v>949.8037346035</x:v>
      </x:c>
      <x:c r="K151" s="60" t="n">
        <x:v>0</x:v>
      </x:c>
      <x:c r="L151" s="60" t="n">
        <x:v>847.6549367395</x:v>
      </x:c>
      <x:c r="M151" s="60" t="n">
        <x:v>102.14879786400002</x:v>
      </x:c>
      <x:c r="N151" s="46" t="str">
        <x:v>ruditapes decussatus</x:v>
      </x:c>
      <x:c r="O151" s="62" t="n">
        <x:v>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Ruditapes decussatus</x:v>
      </x:c>
      <x:c r="T151" s="62" t="n">
        <x:f>IF(O151="","",(1/'Metadata'!$B$5)^(O151-1))</x:f>
        <x:v>20</x:v>
      </x:c>
      <x:c r="U151" s="60" t="n">
        <x:f>IF(T151="","",I151*T151)</x:f>
        <x:v>18996.07469207</x:v>
      </x:c>
    </x:row>
    <x:row r="152" ht="18" customHeight="1">
      <x:c r="A152" s="46" t="str">
        <x:v>LME_026</x:v>
      </x:c>
      <x:c r="B152" s="46" t="str">
        <x:v>Mediterranean Sea</x:v>
      </x:c>
      <x:c r="C152" s="46" t="str">
        <x:v>LME</x:v>
      </x:c>
      <x:c r="D152" s="58" t="n">
        <x:v>2019</x:v>
      </x:c>
      <x:c r="E152" s="46" t="str">
        <x:v>Scorpaena porcus</x:v>
      </x:c>
      <x:c r="F152" s="46" t="str">
        <x:v>Black scorpionfish</x:v>
      </x:c>
      <x:c r="G152" s="46" t="str">
        <x:v>Small demersals (&lt;30 cm)</x:v>
      </x:c>
      <x:c r="H152" s="46" t="str">
        <x:v>Scorpionfishes</x:v>
      </x:c>
      <x:c r="I152" s="60" t="n">
        <x:v>937.7493642123</x:v>
      </x:c>
      <x:c r="J152" s="60" t="n">
        <x:v>675.1152111676</x:v>
      </x:c>
      <x:c r="K152" s="60" t="n">
        <x:v>262.6341530447</x:v>
      </x:c>
      <x:c r="L152" s="60" t="n">
        <x:v>535.740822198</x:v>
      </x:c>
      <x:c r="M152" s="60" t="n">
        <x:v>402.0085420143</x:v>
      </x:c>
      <x:c r="N152" s="46" t="str">
        <x:v>scorpaena porcus</x:v>
      </x:c>
      <x:c r="O152" s="62" t="n">
        <x:v>3.92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Scorpaena porcus</x:v>
      </x:c>
      <x:c r="T152" s="62" t="n">
        <x:f>IF(O152="","",(1/'Metadata'!$B$5)^(O152-1))</x:f>
        <x:v>6295.1718073679995</x:v>
      </x:c>
      <x:c r="U152" s="60" t="n">
        <x:f>IF(T152="","",I152*T152)</x:f>
        <x:v>5903293.359966537</x:v>
      </x:c>
    </x:row>
    <x:row r="153" ht="18" customHeight="1">
      <x:c r="A153" s="46" t="str">
        <x:v>LME_026</x:v>
      </x:c>
      <x:c r="B153" s="46" t="str">
        <x:v>Mediterranean Sea</x:v>
      </x:c>
      <x:c r="C153" s="46" t="str">
        <x:v>LME</x:v>
      </x:c>
      <x:c r="D153" s="58" t="n">
        <x:v>2019</x:v>
      </x:c>
      <x:c r="E153" s="46" t="str">
        <x:v>Scyliorhinus canicula</x:v>
      </x:c>
      <x:c r="F153" s="46" t="str">
        <x:v>Small-spotted catshark</x:v>
      </x:c>
      <x:c r="G153" s="46" t="str">
        <x:v>Small to medium sharks (&lt;90 cm)</x:v>
      </x:c>
      <x:c r="H153" s="46" t="str">
        <x:v>Sharks &amp; rays</x:v>
      </x:c>
      <x:c r="I153" s="60" t="n">
        <x:v>933.0021321382</x:v>
      </x:c>
      <x:c r="J153" s="60" t="n">
        <x:v>542.1913488721</x:v>
      </x:c>
      <x:c r="K153" s="60" t="n">
        <x:v>390.81078326610003</x:v>
      </x:c>
      <x:c r="L153" s="60" t="n">
        <x:v>492.1954669193</x:v>
      </x:c>
      <x:c r="M153" s="60" t="n">
        <x:v>440.8066652189</x:v>
      </x:c>
      <x:c r="N153" s="46" t="str">
        <x:v>scyliorhinus canicula</x:v>
      </x:c>
      <x:c r="O153" s="62" t="n">
        <x:v>3.82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Scyliorhinus canicula</x:v>
      </x:c>
      <x:c r="T153" s="62" t="n">
        <x:f>IF(O153="","",(1/'Metadata'!$B$5)^(O153-1))</x:f>
        <x:v>4665.56868948727</x:v>
      </x:c>
      <x:c r="U153" s="60" t="n">
        <x:f>IF(T153="","",I153*T153)</x:f>
        <x:v>4352985.53492885</x:v>
      </x:c>
    </x:row>
    <x:row r="154" ht="18" customHeight="1">
      <x:c r="A154" s="46" t="str">
        <x:v>LME_026</x:v>
      </x:c>
      <x:c r="B154" s="46" t="str">
        <x:v>Mediterranean Sea</x:v>
      </x:c>
      <x:c r="C154" s="46" t="str">
        <x:v>LME</x:v>
      </x:c>
      <x:c r="D154" s="58" t="n">
        <x:v>2019</x:v>
      </x:c>
      <x:c r="E154" s="46" t="str">
        <x:v>Helicolenus dactylopterus</x:v>
      </x:c>
      <x:c r="F154" s="46" t="str">
        <x:v>Blackbelly rosefish</x:v>
      </x:c>
      <x:c r="G154" s="46" t="str">
        <x:v>Medium bathydemersals (30 - 89 cm)</x:v>
      </x:c>
      <x:c r="H154" s="46" t="str">
        <x:v>Scorpionfishes</x:v>
      </x:c>
      <x:c r="I154" s="60" t="n">
        <x:v>900.9387170761</x:v>
      </x:c>
      <x:c r="J154" s="60" t="n">
        <x:v>551.7025958496</x:v>
      </x:c>
      <x:c r="K154" s="60" t="n">
        <x:v>349.2361212265</x:v>
      </x:c>
      <x:c r="L154" s="60" t="n">
        <x:v>406.3041906513</x:v>
      </x:c>
      <x:c r="M154" s="60" t="n">
        <x:v>494.6345264248</x:v>
      </x:c>
      <x:c r="N154" s="46" t="str">
        <x:v>helicolenus dactylopterus</x:v>
      </x:c>
      <x:c r="O154" s="62" t="n">
        <x:v>3.54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Helicolenus dactylopterus</x:v>
      </x:c>
      <x:c r="T154" s="62" t="n">
        <x:f>IF(O154="","",(1/'Metadata'!$B$5)^(O154-1))</x:f>
        <x:v>2016.5834052007342</x:v>
      </x:c>
      <x:c r="U154" s="60" t="n">
        <x:f>IF(T154="","",I154*T154)</x:f>
        <x:v>1816818.0659585027</x:v>
      </x:c>
    </x:row>
    <x:row r="155" ht="18" customHeight="1">
      <x:c r="A155" s="46" t="str">
        <x:v>LME_026</x:v>
      </x:c>
      <x:c r="B155" s="46" t="str">
        <x:v>Mediterranean Sea</x:v>
      </x:c>
      <x:c r="C155" s="46" t="str">
        <x:v>LME</x:v>
      </x:c>
      <x:c r="D155" s="58" t="n">
        <x:v>2019</x:v>
      </x:c>
      <x:c r="E155" s="46" t="str">
        <x:v>Caranx crysos</x:v>
      </x:c>
      <x:c r="F155" s="46" t="str">
        <x:v>Blue runner</x:v>
      </x:c>
      <x:c r="G155" s="46" t="str">
        <x:v>Medium reef assoc. fish (30 - 89 cm)</x:v>
      </x:c>
      <x:c r="H155" s="46" t="str">
        <x:v>Perch-likes</x:v>
      </x:c>
      <x:c r="I155" s="60" t="n">
        <x:v>854.0280179098</x:v>
      </x:c>
      <x:c r="J155" s="60" t="n">
        <x:v>750.4778396987</x:v>
      </x:c>
      <x:c r="K155" s="60" t="n">
        <x:v>103.5501782111</x:v>
      </x:c>
      <x:c r="L155" s="60" t="n">
        <x:v>718.2931570839</x:v>
      </x:c>
      <x:c r="M155" s="60" t="n">
        <x:v>135.7348608259</x:v>
      </x:c>
      <x:c r="N155" s="46" t="str">
        <x:v>caranx crysos</x:v>
      </x:c>
      <x:c r="O155" s="62" t="n">
        <x:v>4.13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Caranx crysos</x:v>
      </x:c>
      <x:c r="T155" s="62" t="n">
        <x:f>IF(O155="","",(1/'Metadata'!$B$5)^(O155-1))</x:f>
        <x:v>11809.292685236613</x:v>
      </x:c>
      <x:c r="U155" s="60" t="n">
        <x:f>IF(T155="","",I155*T155)</x:f>
        <x:v>10085466.824889325</x:v>
      </x:c>
    </x:row>
    <x:row r="156" ht="18" customHeight="1">
      <x:c r="A156" s="46" t="str">
        <x:v>LME_026</x:v>
      </x:c>
      <x:c r="B156" s="46" t="str">
        <x:v>Mediterranean Sea</x:v>
      </x:c>
      <x:c r="C156" s="46" t="str">
        <x:v>LME</x:v>
      </x:c>
      <x:c r="D156" s="58" t="n">
        <x:v>2019</x:v>
      </x:c>
      <x:c r="E156" s="46" t="str">
        <x:v>Penaeus semisulcatus</x:v>
      </x:c>
      <x:c r="F156" s="46" t="str">
        <x:v>Green tiger prawn</x:v>
      </x:c>
      <x:c r="G156" s="46" t="str">
        <x:v>Shrimps</x:v>
      </x:c>
      <x:c r="H156" s="46" t="str">
        <x:v>Crustaceans</x:v>
      </x:c>
      <x:c r="I156" s="60" t="n">
        <x:v>835.2657539868</x:v>
      </x:c>
      <x:c r="J156" s="60" t="n">
        <x:v>835.2657539868</x:v>
      </x:c>
      <x:c r="K156" s="60" t="n">
        <x:v>0</x:v>
      </x:c>
      <x:c r="L156" s="60" t="n">
        <x:v>555.0756429982</x:v>
      </x:c>
      <x:c r="M156" s="60" t="n">
        <x:v>280.1901109886</x:v>
      </x:c>
      <x:c r="N156" s="46" t="str">
        <x:v>penaeus semisulcatus</x:v>
      </x:c>
      <x:c r="O156" s="62" t="n">
        <x:v>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Penaeus semisulcatus</x:v>
      </x:c>
      <x:c r="T156" s="62" t="n">
        <x:f>IF(O156="","",(1/'Metadata'!$B$5)^(O156-1))</x:f>
        <x:v>20</x:v>
      </x:c>
      <x:c r="U156" s="60" t="n">
        <x:f>IF(T156="","",I156*T156)</x:f>
        <x:v>16705.315079736</x:v>
      </x:c>
    </x:row>
    <x:row r="157" ht="18" customHeight="1">
      <x:c r="A157" s="46" t="str">
        <x:v>LME_026</x:v>
      </x:c>
      <x:c r="B157" s="46" t="str">
        <x:v>Mediterranean Sea</x:v>
      </x:c>
      <x:c r="C157" s="46" t="str">
        <x:v>LME</x:v>
      </x:c>
      <x:c r="D157" s="58" t="n">
        <x:v>2019</x:v>
      </x:c>
      <x:c r="E157" s="46" t="str">
        <x:v>Octopoda</x:v>
      </x:c>
      <x:c r="F157" s="46" t="str">
        <x:v>Octopuses, argonauts</x:v>
      </x:c>
      <x:c r="G157" s="46" t="str">
        <x:v>Cephalopods</x:v>
      </x:c>
      <x:c r="H157" s="46" t="str">
        <x:v>Other fishes &amp; inverts</x:v>
      </x:c>
      <x:c r="I157" s="60" t="n">
        <x:v>832.683857265</x:v>
      </x:c>
      <x:c r="J157" s="60" t="n">
        <x:v>832.683857265</x:v>
      </x:c>
      <x:c r="K157" s="60" t="n">
        <x:v>0</x:v>
      </x:c>
      <x:c r="L157" s="60" t="n">
        <x:v>806.5399184252999</x:v>
      </x:c>
      <x:c r="M157" s="60" t="n">
        <x:v>26.1439388397</x:v>
      </x:c>
      <x:c r="N157" s="46" t="str">
        <x:v>octopoda</x:v>
      </x:c>
      <x:c r="O157" s="62" t="n">
        <x:v>3.58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Octopoda</x:v>
      </x:c>
      <x:c r="T157" s="62" t="n">
        <x:f>IF(O157="","",(1/'Metadata'!$B$5)^(O157-1))</x:f>
        <x:v>2273.3033337150473</x:v>
      </x:c>
      <x:c r="U157" s="60" t="n">
        <x:f>IF(T157="","",I157*T157)</x:f>
        <x:v>1892942.988651229</x:v>
      </x:c>
    </x:row>
    <x:row r="158" ht="18" customHeight="1">
      <x:c r="A158" s="46" t="str">
        <x:v>LME_026</x:v>
      </x:c>
      <x:c r="B158" s="46" t="str">
        <x:v>Mediterranean Sea</x:v>
      </x:c>
      <x:c r="C158" s="46" t="str">
        <x:v>LME</x:v>
      </x:c>
      <x:c r="D158" s="58" t="n">
        <x:v>2019</x:v>
      </x:c>
      <x:c r="E158" s="46" t="str">
        <x:v>Soleidae</x:v>
      </x:c>
      <x:c r="F158" s="46" t="str">
        <x:v>Soles</x:v>
      </x:c>
      <x:c r="G158" s="46" t="str">
        <x:v>Small to medium flatfishes (&lt;90 cm)</x:v>
      </x:c>
      <x:c r="H158" s="46" t="str">
        <x:v>Flatfishes</x:v>
      </x:c>
      <x:c r="I158" s="60" t="n">
        <x:v>816.6853825052</x:v>
      </x:c>
      <x:c r="J158" s="60" t="n">
        <x:v>574.8419665069999</x:v>
      </x:c>
      <x:c r="K158" s="60" t="n">
        <x:v>241.8434159982</x:v>
      </x:c>
      <x:c r="L158" s="60" t="n">
        <x:v>167.6552211565</x:v>
      </x:c>
      <x:c r="M158" s="60" t="n">
        <x:v>649.0301613487001</x:v>
      </x:c>
      <x:c r="N158" s="46" t="str">
        <x:v>soleidae</x:v>
      </x:c>
      <x:c r="O158" s="62" t="n">
        <x:v>3.15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Soleidae</x:v>
      </x:c>
      <x:c r="T158" s="62" t="n">
        <x:f>IF(O158="","",(1/'Metadata'!$B$5)^(O158-1))</x:f>
        <x:v>626.9234150652317</x:v>
      </x:c>
      <x:c r="U158" s="60" t="n">
        <x:f>IF(T158="","",I158*T158)</x:f>
        <x:v>511999.189034015</x:v>
      </x:c>
    </x:row>
    <x:row r="159" ht="18" customHeight="1">
      <x:c r="A159" s="46" t="str">
        <x:v>LME_026</x:v>
      </x:c>
      <x:c r="B159" s="46" t="str">
        <x:v>Mediterranean Sea</x:v>
      </x:c>
      <x:c r="C159" s="46" t="str">
        <x:v>LME</x:v>
      </x:c>
      <x:c r="D159" s="58" t="n">
        <x:v>2019</x:v>
      </x:c>
      <x:c r="E159" s="46" t="str">
        <x:v>Liza</x:v>
      </x:c>
      <x:c r="F159" s="46" t="str">
        <x:v>Mullets</x:v>
      </x:c>
      <x:c r="G159" s="46" t="str">
        <x:v>Medium pelagics (30 - 89 cm)</x:v>
      </x:c>
      <x:c r="H159" s="46" t="str">
        <x:v>Perch-likes</x:v>
      </x:c>
      <x:c r="I159" s="60" t="n">
        <x:v>803.8618651673</x:v>
      </x:c>
      <x:c r="J159" s="60" t="n">
        <x:v>803.8618651673</x:v>
      </x:c>
      <x:c r="K159" s="60" t="n">
        <x:v>0</x:v>
      </x:c>
      <x:c r="L159" s="60" t="n">
        <x:v>153.8267102722</x:v>
      </x:c>
      <x:c r="M159" s="60" t="n">
        <x:v>650.0351548951</x:v>
      </x:c>
      <x:c r="N159" s="46" t="str">
        <x:v>liza</x:v>
      </x:c>
      <x:c r="O159" s="62" t="n">
        <x:v>2.57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Liza</x:v>
      </x:c>
      <x:c r="T159" s="62" t="n">
        <x:f>IF(O159="","",(1/'Metadata'!$B$5)^(O159-1))</x:f>
        <x:v>110.31056098276322</x:v>
      </x:c>
      <x:c r="U159" s="60" t="n">
        <x:f>IF(T159="","",I159*T159)</x:f>
        <x:v>88674.45329925524</x:v>
      </x:c>
    </x:row>
    <x:row r="160" ht="18" customHeight="1">
      <x:c r="A160" s="46" t="str">
        <x:v>LME_026</x:v>
      </x:c>
      <x:c r="B160" s="46" t="str">
        <x:v>Mediterranean Sea</x:v>
      </x:c>
      <x:c r="C160" s="46" t="str">
        <x:v>LME</x:v>
      </x:c>
      <x:c r="D160" s="58" t="n">
        <x:v>2019</x:v>
      </x:c>
      <x:c r="E160" s="46" t="str">
        <x:v>Alopias</x:v>
      </x:c>
      <x:c r="F160" s="46" t="str">
        <x:v>Thresher sharks</x:v>
      </x:c>
      <x:c r="G160" s="46" t="str">
        <x:v>Large sharks (&gt;=90 cm)</x:v>
      </x:c>
      <x:c r="H160" s="46" t="str">
        <x:v>Sharks &amp; rays</x:v>
      </x:c>
      <x:c r="I160" s="60" t="n">
        <x:v>803.8085418274999</x:v>
      </x:c>
      <x:c r="J160" s="60" t="n">
        <x:v>691.9939160305</x:v>
      </x:c>
      <x:c r="K160" s="60" t="n">
        <x:v>111.81462579699999</x:v>
      </x:c>
      <x:c r="L160" s="60" t="n">
        <x:v>0.0010922844</x:v>
      </x:c>
      <x:c r="M160" s="60" t="n">
        <x:v>803.8074495430999</x:v>
      </x:c>
      <x:c r="N160" s="46" t="str">
        <x:v>alopias</x:v>
      </x:c>
      <x:c r="O160" s="62" t="n">
        <x:v>4.5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Alopias</x:v>
      </x:c>
      <x:c r="T160" s="62" t="n">
        <x:f>IF(O160="","",(1/'Metadata'!$B$5)^(O160-1))</x:f>
        <x:v>35777.08763999664</x:v>
      </x:c>
      <x:c r="U160" s="60" t="n">
        <x:f>IF(T160="","",I160*T160)</x:f>
        <x:v>28757928.646740366</x:v>
      </x:c>
    </x:row>
    <x:row r="161" ht="18" customHeight="1">
      <x:c r="A161" s="46" t="str">
        <x:v>LME_026</x:v>
      </x:c>
      <x:c r="B161" s="46" t="str">
        <x:v>Mediterranean Sea</x:v>
      </x:c>
      <x:c r="C161" s="46" t="str">
        <x:v>LME</x:v>
      </x:c>
      <x:c r="D161" s="58" t="n">
        <x:v>2019</x:v>
      </x:c>
      <x:c r="E161" s="46" t="str">
        <x:v>Pleuronectoidei</x:v>
      </x:c>
      <x:c r="F161" s="46" t="str">
        <x:v>Flounders, halibuts, soles, turbots</x:v>
      </x:c>
      <x:c r="G161" s="46" t="str">
        <x:v>Large flatfishes (&gt;=90 cm)</x:v>
      </x:c>
      <x:c r="H161" s="46" t="str">
        <x:v>Flatfishes</x:v>
      </x:c>
      <x:c r="I161" s="60" t="n">
        <x:v>783.8602448203001</x:v>
      </x:c>
      <x:c r="J161" s="60" t="n">
        <x:v>783.8602448203001</x:v>
      </x:c>
      <x:c r="K161" s="60" t="n">
        <x:v>0</x:v>
      </x:c>
      <x:c r="L161" s="60" t="n">
        <x:v>0</x:v>
      </x:c>
      <x:c r="M161" s="60" t="n">
        <x:v>783.8602448203001</x:v>
      </x:c>
      <x:c r="N161" s="46" t="str">
        <x:v>pleuronectoidei</x:v>
      </x:c>
      <x:c r="O161" s="62" t="n">
        <x:v>3.4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Pleuronectoidei</x:v>
      </x:c>
      <x:c r="T161" s="62" t="n">
        <x:f>IF(O161="","",(1/'Metadata'!$B$5)^(O161-1))</x:f>
        <x:v>1325.7816069359944</x:v>
      </x:c>
      <x:c r="U161" s="60" t="n">
        <x:f>IF(T161="","",I161*T161)</x:f>
        <x:v>1039227.4949910995</x:v>
      </x:c>
    </x:row>
    <x:row r="162" ht="18" customHeight="1">
      <x:c r="A162" s="46" t="str">
        <x:v>LME_026</x:v>
      </x:c>
      <x:c r="B162" s="46" t="str">
        <x:v>Mediterranean Sea</x:v>
      </x:c>
      <x:c r="C162" s="46" t="str">
        <x:v>LME</x:v>
      </x:c>
      <x:c r="D162" s="58" t="n">
        <x:v>2019</x:v>
      </x:c>
      <x:c r="E162" s="46" t="str">
        <x:v>Dentex macrophthalmus</x:v>
      </x:c>
      <x:c r="F162" s="46" t="str">
        <x:v>Large-eye dentex</x:v>
      </x:c>
      <x:c r="G162" s="46" t="str">
        <x:v>Medium benthopelagics (30 - 89 cm)</x:v>
      </x:c>
      <x:c r="H162" s="46" t="str">
        <x:v>Perch-likes</x:v>
      </x:c>
      <x:c r="I162" s="60" t="n">
        <x:v>774.8362196994</x:v>
      </x:c>
      <x:c r="J162" s="60" t="n">
        <x:v>693.4595873536</x:v>
      </x:c>
      <x:c r="K162" s="60" t="n">
        <x:v>81.3766323458</x:v>
      </x:c>
      <x:c r="L162" s="60" t="n">
        <x:v>344.8198176671</x:v>
      </x:c>
      <x:c r="M162" s="60" t="n">
        <x:v>430.0164020323</x:v>
      </x:c>
      <x:c r="N162" s="46" t="str">
        <x:v>dentex macrophthalmus</x:v>
      </x:c>
      <x:c r="O162" s="62" t="n">
        <x:v>3.52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Dentex macrophthalmus</x:v>
      </x:c>
      <x:c r="T162" s="62" t="n">
        <x:f>IF(O162="","",(1/'Metadata'!$B$5)^(O162-1))</x:f>
        <x:v>1899.308837725312</x:v>
      </x:c>
      <x:c r="U162" s="60" t="n">
        <x:f>IF(T162="","",I162*T162)</x:f>
        <x:v>1471653.279864742</x:v>
      </x:c>
    </x:row>
    <x:row r="163" ht="18" customHeight="1">
      <x:c r="A163" s="46" t="str">
        <x:v>LME_026</x:v>
      </x:c>
      <x:c r="B163" s="46" t="str">
        <x:v>Mediterranean Sea</x:v>
      </x:c>
      <x:c r="C163" s="46" t="str">
        <x:v>LME</x:v>
      </x:c>
      <x:c r="D163" s="58" t="n">
        <x:v>2019</x:v>
      </x:c>
      <x:c r="E163" s="46" t="str">
        <x:v>Spondyliosoma cantharus</x:v>
      </x:c>
      <x:c r="F163" s="46" t="str">
        <x:v>Black seabream</x:v>
      </x:c>
      <x:c r="G163" s="46" t="str">
        <x:v>Medium benthopelagics (30 - 89 cm)</x:v>
      </x:c>
      <x:c r="H163" s="46" t="str">
        <x:v>Perch-likes</x:v>
      </x:c>
      <x:c r="I163" s="60" t="n">
        <x:v>759.2471173619</x:v>
      </x:c>
      <x:c r="J163" s="60" t="n">
        <x:v>728.549762415</x:v>
      </x:c>
      <x:c r="K163" s="60" t="n">
        <x:v>30.6973549469</x:v>
      </x:c>
      <x:c r="L163" s="60" t="n">
        <x:v>255.0244923827</x:v>
      </x:c>
      <x:c r="M163" s="60" t="n">
        <x:v>504.2226249792</x:v>
      </x:c>
      <x:c r="N163" s="46" t="str">
        <x:v>spondyliosoma cantharus</x:v>
      </x:c>
      <x:c r="O163" s="62" t="n">
        <x:v>3.34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Spondyliosoma cantharus</x:v>
      </x:c>
      <x:c r="T163" s="62" t="n">
        <x:f>IF(O163="","",(1/'Metadata'!$B$5)^(O163-1))</x:f>
        <x:v>1107.6694806197092</x:v>
      </x:c>
      <x:c r="U163" s="60" t="n">
        <x:f>IF(T163="","",I163*T163)</x:f>
        <x:v>840994.8601502673</x:v>
      </x:c>
    </x:row>
    <x:row r="164" ht="18" customHeight="1">
      <x:c r="A164" s="46" t="str">
        <x:v>LME_026</x:v>
      </x:c>
      <x:c r="B164" s="46" t="str">
        <x:v>Mediterranean Sea</x:v>
      </x:c>
      <x:c r="C164" s="46" t="str">
        <x:v>LME</x:v>
      </x:c>
      <x:c r="D164" s="58" t="n">
        <x:v>2019</x:v>
      </x:c>
      <x:c r="E164" s="46" t="str">
        <x:v>Eledone moschata</x:v>
      </x:c>
      <x:c r="F164" s="46" t="str">
        <x:v>Musky octopus</x:v>
      </x:c>
      <x:c r="G164" s="46" t="str">
        <x:v>Cephalopods</x:v>
      </x:c>
      <x:c r="H164" s="46" t="str">
        <x:v>Other fishes &amp; inverts</x:v>
      </x:c>
      <x:c r="I164" s="60" t="n">
        <x:v>732.0678552948</x:v>
      </x:c>
      <x:c r="J164" s="60" t="n">
        <x:v>728.4677385316</x:v>
      </x:c>
      <x:c r="K164" s="60" t="n">
        <x:v>3.6001167632</x:v>
      </x:c>
      <x:c r="L164" s="60" t="n">
        <x:v>106.028904211</x:v>
      </x:c>
      <x:c r="M164" s="60" t="n">
        <x:v>626.0389510838</x:v>
      </x:c>
      <x:c r="N164" s="46" t="str">
        <x:v>eledone moschata</x:v>
      </x:c>
      <x:c r="O164" s="62" t="n">
        <x:v>3.65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Eledone moschata</x:v>
      </x:c>
      <x:c r="T164" s="62" t="n">
        <x:f>IF(O164="","",(1/'Metadata'!$B$5)^(O164-1))</x:f>
        <x:v>2803.6867455443476</x:v>
      </x:c>
      <x:c r="U164" s="60" t="n">
        <x:f>IF(T164="","",I164*T164)</x:f>
        <x:v>2052488.942729108</x:v>
      </x:c>
    </x:row>
    <x:row r="165" ht="18" customHeight="1">
      <x:c r="A165" s="46" t="str">
        <x:v>LME_026</x:v>
      </x:c>
      <x:c r="B165" s="46" t="str">
        <x:v>Mediterranean Sea</x:v>
      </x:c>
      <x:c r="C165" s="46" t="str">
        <x:v>LME</x:v>
      </x:c>
      <x:c r="D165" s="58" t="n">
        <x:v>2019</x:v>
      </x:c>
      <x:c r="E165" s="46" t="str">
        <x:v>Crangon crangon</x:v>
      </x:c>
      <x:c r="F165" s="46" t="str">
        <x:v>Common shrimp</x:v>
      </x:c>
      <x:c r="G165" s="46" t="str">
        <x:v>Shrimps</x:v>
      </x:c>
      <x:c r="H165" s="46" t="str">
        <x:v>Crustaceans</x:v>
      </x:c>
      <x:c r="I165" s="60" t="n">
        <x:v>710.8142449915999</x:v>
      </x:c>
      <x:c r="J165" s="60" t="n">
        <x:v>703.1504356805</x:v>
      </x:c>
      <x:c r="K165" s="60" t="n">
        <x:v>7.6638093111</x:v>
      </x:c>
      <x:c r="L165" s="60" t="n">
        <x:v>52.9597308184</x:v>
      </x:c>
      <x:c r="M165" s="60" t="n">
        <x:v>657.8545141732</x:v>
      </x:c>
      <x:c r="N165" s="46" t="str">
        <x:v>crangon crangon</x:v>
      </x:c>
      <x:c r="O165" s="62" t="n">
        <x:v>3.19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Crangon crangon</x:v>
      </x:c>
      <x:c r="T165" s="62" t="n">
        <x:f>IF(O165="","",(1/'Metadata'!$B$5)^(O165-1))</x:f>
        <x:v>706.7335205557481</x:v>
      </x:c>
      <x:c r="U165" s="60" t="n">
        <x:f>IF(T165="","",I165*T165)</x:f>
        <x:v>502356.2538240895</x:v>
      </x:c>
    </x:row>
    <x:row r="166" ht="18" customHeight="1">
      <x:c r="A166" s="46" t="str">
        <x:v>LME_026</x:v>
      </x:c>
      <x:c r="B166" s="46" t="str">
        <x:v>Mediterranean Sea</x:v>
      </x:c>
      <x:c r="C166" s="46" t="str">
        <x:v>LME</x:v>
      </x:c>
      <x:c r="D166" s="58" t="n">
        <x:v>2019</x:v>
      </x:c>
      <x:c r="E166" s="46" t="str">
        <x:v>Synodontidae</x:v>
      </x:c>
      <x:c r="F166" s="46" t="str">
        <x:v>Lizardfishes, sauries</x:v>
      </x:c>
      <x:c r="G166" s="46" t="str">
        <x:v>Medium demersals (30 - 89 cm)</x:v>
      </x:c>
      <x:c r="H166" s="46" t="str">
        <x:v>Other fishes &amp; inverts</x:v>
      </x:c>
      <x:c r="I166" s="60" t="n">
        <x:v>702.3233292939</x:v>
      </x:c>
      <x:c r="J166" s="60" t="n">
        <x:v>702.3233292939</x:v>
      </x:c>
      <x:c r="K166" s="60" t="n">
        <x:v>0</x:v>
      </x:c>
      <x:c r="L166" s="60" t="n">
        <x:v>646.3840186082</x:v>
      </x:c>
      <x:c r="M166" s="60" t="n">
        <x:v>55.9393106857</x:v>
      </x:c>
      <x:c r="N166" s="46" t="str">
        <x:v>synodontidae</x:v>
      </x:c>
      <x:c r="O166" s="62" t="n">
        <x:v>4.3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Synodontidae</x:v>
      </x:c>
      <x:c r="T166" s="62" t="n">
        <x:f>IF(O166="","",(1/'Metadata'!$B$5)^(O166-1))</x:f>
        <x:v>19651.648417852637</x:v>
      </x:c>
      <x:c r="U166" s="60" t="n">
        <x:f>IF(T166="","",I166*T166)</x:f>
        <x:v>13801811.142939467</x:v>
      </x:c>
    </x:row>
    <x:row r="167" ht="18" customHeight="1">
      <x:c r="A167" s="46" t="str">
        <x:v>LME_026</x:v>
      </x:c>
      <x:c r="B167" s="46" t="str">
        <x:v>Mediterranean Sea</x:v>
      </x:c>
      <x:c r="C167" s="46" t="str">
        <x:v>LME</x:v>
      </x:c>
      <x:c r="D167" s="58" t="n">
        <x:v>2019</x:v>
      </x:c>
      <x:c r="E167" s="46" t="str">
        <x:v>Goneplax rhomboides</x:v>
      </x:c>
      <x:c r="F167" s="46" t="str">
        <x:v>Goneplax rhomboides</x:v>
      </x:c>
      <x:c r="G167" s="46" t="str">
        <x:v>Lobsters, crabs</x:v>
      </x:c>
      <x:c r="H167" s="46" t="str">
        <x:v>Crustaceans</x:v>
      </x:c>
      <x:c r="I167" s="60" t="n">
        <x:v>694.6822439962</x:v>
      </x:c>
      <x:c r="J167" s="60" t="n">
        <x:v>0</x:v>
      </x:c>
      <x:c r="K167" s="60" t="n">
        <x:v>694.6822439962</x:v>
      </x:c>
      <x:c r="L167" s="60" t="n">
        <x:v>0</x:v>
      </x:c>
      <x:c r="M167" s="60" t="n">
        <x:v>694.6822439962</x:v>
      </x:c>
      <x:c r="N167" s="46" t="str">
        <x:v>goneplax rhomboides</x:v>
      </x:c>
      <x:c r="O167" s="62" t="n">
        <x:v>2.82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Goneplax rhomboides</x:v>
      </x:c>
      <x:c r="T167" s="62" t="n">
        <x:f>IF(O167="","",(1/'Metadata'!$B$5)^(O167-1))</x:f>
        <x:v>233.27843447436348</x:v>
      </x:c>
      <x:c r="U167" s="60" t="n">
        <x:f>IF(T167="","",I167*T167)</x:f>
        <x:v>162054.38633657133</x:v>
      </x:c>
    </x:row>
    <x:row r="168" ht="18" customHeight="1">
      <x:c r="A168" s="46" t="str">
        <x:v>LME_026</x:v>
      </x:c>
      <x:c r="B168" s="46" t="str">
        <x:v>Mediterranean Sea</x:v>
      </x:c>
      <x:c r="C168" s="46" t="str">
        <x:v>LME</x:v>
      </x:c>
      <x:c r="D168" s="58" t="n">
        <x:v>2019</x:v>
      </x:c>
      <x:c r="E168" s="46" t="str">
        <x:v>Citharus linguatula</x:v>
      </x:c>
      <x:c r="F168" s="46" t="str">
        <x:v>Spotted flounder</x:v>
      </x:c>
      <x:c r="G168" s="46" t="str">
        <x:v>Small to medium flatfishes (&lt;90 cm)</x:v>
      </x:c>
      <x:c r="H168" s="46" t="str">
        <x:v>Flatfishes</x:v>
      </x:c>
      <x:c r="I168" s="60" t="n">
        <x:v>690.382068883</x:v>
      </x:c>
      <x:c r="J168" s="60" t="n">
        <x:v>545.7255968246</x:v>
      </x:c>
      <x:c r="K168" s="60" t="n">
        <x:v>144.6564720584</x:v>
      </x:c>
      <x:c r="L168" s="60" t="n">
        <x:v>595.5338569769</x:v>
      </x:c>
      <x:c r="M168" s="60" t="n">
        <x:v>94.84821190609999</x:v>
      </x:c>
      <x:c r="N168" s="46" t="str">
        <x:v>citharus linguatula</x:v>
      </x:c>
      <x:c r="O168" s="62" t="n">
        <x:v>3.97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Citharus linguatula</x:v>
      </x:c>
      <x:c r="T168" s="62" t="n">
        <x:f>IF(O168="","",(1/'Metadata'!$B$5)^(O168-1))</x:f>
        <x:v>7312.385640086951</x:v>
      </x:c>
      <x:c r="U168" s="60" t="n">
        <x:f>IF(T168="","",I168*T168)</x:f>
        <x:v>5048339.92667357</x:v>
      </x:c>
    </x:row>
    <x:row r="169" ht="18" customHeight="1">
      <x:c r="A169" s="46" t="str">
        <x:v>LME_026</x:v>
      </x:c>
      <x:c r="B169" s="46" t="str">
        <x:v>Mediterranean Sea</x:v>
      </x:c>
      <x:c r="C169" s="46" t="str">
        <x:v>LME</x:v>
      </x:c>
      <x:c r="D169" s="58" t="n">
        <x:v>2019</x:v>
      </x:c>
      <x:c r="E169" s="46" t="str">
        <x:v>Dendrobranchiata</x:v>
      </x:c>
      <x:c r="F169" s="46" t="str">
        <x:v>Shrimps and prawns</x:v>
      </x:c>
      <x:c r="G169" s="46" t="str">
        <x:v>Shrimps</x:v>
      </x:c>
      <x:c r="H169" s="46" t="str">
        <x:v>Crustaceans</x:v>
      </x:c>
      <x:c r="I169" s="60" t="n">
        <x:v>684.5945733079</x:v>
      </x:c>
      <x:c r="J169" s="60" t="n">
        <x:v>591.9375983029</x:v>
      </x:c>
      <x:c r="K169" s="60" t="n">
        <x:v>92.656975005</x:v>
      </x:c>
      <x:c r="L169" s="60" t="n">
        <x:v>24.9540010051</x:v>
      </x:c>
      <x:c r="M169" s="60" t="n">
        <x:v>659.6405723028</x:v>
      </x:c>
      <x:c r="N169" s="46" t="str">
        <x:v>dendrobranchiata</x:v>
      </x:c>
      <x:c r="O169" s="62" t="n">
        <x:v>3.24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Dendrobranchiata</x:v>
      </x:c>
      <x:c r="T169" s="62" t="n">
        <x:f>IF(O169="","",(1/'Metadata'!$B$5)^(O169-1))</x:f>
        <x:v>820.9320103116679</x:v>
      </x:c>
      <x:c r="U169" s="60" t="n">
        <x:f>IF(T169="","",I169*T169)</x:f>
        <x:v>562005.5993141128</x:v>
      </x:c>
    </x:row>
    <x:row r="170" ht="18" customHeight="1">
      <x:c r="A170" s="46" t="str">
        <x:v>LME_026</x:v>
      </x:c>
      <x:c r="B170" s="46" t="str">
        <x:v>Mediterranean Sea</x:v>
      </x:c>
      <x:c r="C170" s="46" t="str">
        <x:v>LME</x:v>
      </x:c>
      <x:c r="D170" s="58" t="n">
        <x:v>2019</x:v>
      </x:c>
      <x:c r="E170" s="46" t="str">
        <x:v>Etmopterus spinax</x:v>
      </x:c>
      <x:c r="F170" s="46" t="str">
        <x:v>Velvet belly</x:v>
      </x:c>
      <x:c r="G170" s="46" t="str">
        <x:v>Small to medium sharks (&lt;90 cm)</x:v>
      </x:c>
      <x:c r="H170" s="46" t="str">
        <x:v>Sharks &amp; rays</x:v>
      </x:c>
      <x:c r="I170" s="60" t="n">
        <x:v>644.7744504171</x:v>
      </x:c>
      <x:c r="J170" s="60" t="n">
        <x:v>4.6634208163999995</x:v>
      </x:c>
      <x:c r="K170" s="60" t="n">
        <x:v>640.1110296007</x:v>
      </x:c>
      <x:c r="L170" s="60" t="n">
        <x:v>60.5324571573</x:v>
      </x:c>
      <x:c r="M170" s="60" t="n">
        <x:v>584.2419932598</x:v>
      </x:c>
      <x:c r="N170" s="46" t="str">
        <x:v>etmopterus spinax</x:v>
      </x:c>
      <x:c r="O170" s="62" t="n">
        <x:v>4.14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Etmopterus spinax</x:v>
      </x:c>
      <x:c r="T170" s="62" t="n">
        <x:f>IF(O170="","",(1/'Metadata'!$B$5)^(O170-1))</x:f>
        <x:v>12168.419864331923</x:v>
      </x:c>
      <x:c r="U170" s="60" t="n">
        <x:f>IF(T170="","",I170*T170)</x:f>
        <x:v>7845886.230469137</x:v>
      </x:c>
    </x:row>
    <x:row r="171" ht="18" customHeight="1">
      <x:c r="A171" s="46" t="str">
        <x:v>LME_026</x:v>
      </x:c>
      <x:c r="B171" s="46" t="str">
        <x:v>Mediterranean Sea</x:v>
      </x:c>
      <x:c r="C171" s="46" t="str">
        <x:v>LME</x:v>
      </x:c>
      <x:c r="D171" s="58" t="n">
        <x:v>2019</x:v>
      </x:c>
      <x:c r="E171" s="46" t="str">
        <x:v>Gadiformes</x:v>
      </x:c>
      <x:c r="F171" s="46" t="str">
        <x:v>Cods</x:v>
      </x:c>
      <x:c r="G171" s="46" t="str">
        <x:v>Medium benthopelagics (30 - 89 cm)</x:v>
      </x:c>
      <x:c r="H171" s="46" t="str">
        <x:v>Cod-likes</x:v>
      </x:c>
      <x:c r="I171" s="60" t="n">
        <x:v>608.4803307749</x:v>
      </x:c>
      <x:c r="J171" s="60" t="n">
        <x:v>141.4242921938</x:v>
      </x:c>
      <x:c r="K171" s="60" t="n">
        <x:v>467.05603858110004</x:v>
      </x:c>
      <x:c r="L171" s="60" t="n">
        <x:v>9.7051196765</x:v>
      </x:c>
      <x:c r="M171" s="60" t="n">
        <x:v>598.7752110984001</x:v>
      </x:c>
      <x:c r="N171" s="46" t="str">
        <x:v>gadiformes</x:v>
      </x:c>
      <x:c r="O171" s="62" t="n">
        <x:v>3.91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Gadiformes</x:v>
      </x:c>
      <x:c r="T171" s="62" t="n">
        <x:f>IF(O171="","",(1/'Metadata'!$B$5)^(O171-1))</x:f>
        <x:v>6109.382089532312</x:v>
      </x:c>
      <x:c r="U171" s="60" t="n">
        <x:f>IF(T171="","",I171*T171)</x:f>
        <x:v>3717438.8346688715</x:v>
      </x:c>
    </x:row>
    <x:row r="172" ht="18" customHeight="1">
      <x:c r="A172" s="46" t="str">
        <x:v>LME_026</x:v>
      </x:c>
      <x:c r="B172" s="46" t="str">
        <x:v>Mediterranean Sea</x:v>
      </x:c>
      <x:c r="C172" s="46" t="str">
        <x:v>LME</x:v>
      </x:c>
      <x:c r="D172" s="58" t="n">
        <x:v>2019</x:v>
      </x:c>
      <x:c r="E172" s="46" t="str">
        <x:v>Octopodidae</x:v>
      </x:c>
      <x:c r="F172" s="46" t="str">
        <x:v>Octopuses</x:v>
      </x:c>
      <x:c r="G172" s="46" t="str">
        <x:v>Cephalopods</x:v>
      </x:c>
      <x:c r="H172" s="46" t="str">
        <x:v>Other fishes &amp; inverts</x:v>
      </x:c>
      <x:c r="I172" s="60" t="n">
        <x:v>603.1603640607</x:v>
      </x:c>
      <x:c r="J172" s="60" t="n">
        <x:v>545.9679932424</x:v>
      </x:c>
      <x:c r="K172" s="60" t="n">
        <x:v>57.1923708183</x:v>
      </x:c>
      <x:c r="L172" s="60" t="n">
        <x:v>499.5789903792</x:v>
      </x:c>
      <x:c r="M172" s="60" t="n">
        <x:v>103.5813736815</x:v>
      </x:c>
      <x:c r="N172" s="46" t="str">
        <x:v>octopodidae</x:v>
      </x:c>
      <x:c r="O172" s="62" t="n">
        <x:v>3.59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Octopodidae</x:v>
      </x:c>
      <x:c r="T172" s="62" t="n">
        <x:f>IF(O172="","",(1/'Metadata'!$B$5)^(O172-1))</x:f>
        <x:v>2342.4357563948306</x:v>
      </x:c>
      <x:c r="U172" s="60" t="n">
        <x:f>IF(T172="","",I172*T172)</x:f>
        <x:v>1412864.403615907</x:v>
      </x:c>
    </x:row>
    <x:row r="173" ht="18" customHeight="1">
      <x:c r="A173" s="46" t="str">
        <x:v>LME_026</x:v>
      </x:c>
      <x:c r="B173" s="46" t="str">
        <x:v>Mediterranean Sea</x:v>
      </x:c>
      <x:c r="C173" s="46" t="str">
        <x:v>LME</x:v>
      </x:c>
      <x:c r="D173" s="58" t="n">
        <x:v>2019</x:v>
      </x:c>
      <x:c r="E173" s="46" t="str">
        <x:v>Mobula mobular</x:v>
      </x:c>
      <x:c r="F173" s="46" t="str">
        <x:v>Devil fish</x:v>
      </x:c>
      <x:c r="G173" s="46" t="str">
        <x:v>Large rays (&gt;=90 cm)</x:v>
      </x:c>
      <x:c r="H173" s="46" t="str">
        <x:v>Sharks &amp; rays</x:v>
      </x:c>
      <x:c r="I173" s="60" t="n">
        <x:v>600.8727202621001</x:v>
      </x:c>
      <x:c r="J173" s="60" t="n">
        <x:v>599.5525657683</x:v>
      </x:c>
      <x:c r="K173" s="60" t="n">
        <x:v>1.3201544938</x:v>
      </x:c>
      <x:c r="L173" s="60" t="n">
        <x:v>28.7915679062</x:v>
      </x:c>
      <x:c r="M173" s="60" t="n">
        <x:v>572.0811523559</x:v>
      </x:c>
      <x:c r="N173" s="46" t="str">
        <x:v>mobula mobular</x:v>
      </x:c>
      <x:c r="O173" s="62" t="n">
        <x:v>3.71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Mobula mobular</x:v>
      </x:c>
      <x:c r="T173" s="62" t="n">
        <x:f>IF(O173="","",(1/'Metadata'!$B$5)^(O173-1))</x:f>
        <x:v>3355.7630537706395</x:v>
      </x:c>
      <x:c r="U173" s="60" t="n">
        <x:f>IF(T173="","",I173*T173)</x:f>
        <x:v>2016386.4746742162</x:v>
      </x:c>
    </x:row>
    <x:row r="174" ht="18" customHeight="1">
      <x:c r="A174" s="46" t="str">
        <x:v>LME_026</x:v>
      </x:c>
      <x:c r="B174" s="46" t="str">
        <x:v>Mediterranean Sea</x:v>
      </x:c>
      <x:c r="C174" s="46" t="str">
        <x:v>LME</x:v>
      </x:c>
      <x:c r="D174" s="58" t="n">
        <x:v>2019</x:v>
      </x:c>
      <x:c r="E174" s="46" t="str">
        <x:v>Chelon labrosus</x:v>
      </x:c>
      <x:c r="F174" s="46" t="str">
        <x:v>Thicklip grey mullet</x:v>
      </x:c>
      <x:c r="G174" s="46" t="str">
        <x:v>Medium demersals (30 - 89 cm)</x:v>
      </x:c>
      <x:c r="H174" s="46" t="str">
        <x:v>Perch-likes</x:v>
      </x:c>
      <x:c r="I174" s="60" t="n">
        <x:v>597.0051595673</x:v>
      </x:c>
      <x:c r="J174" s="60" t="n">
        <x:v>595.0570113936</x:v>
      </x:c>
      <x:c r="K174" s="60" t="n">
        <x:v>1.9481481737</x:v>
      </x:c>
      <x:c r="L174" s="60" t="n">
        <x:v>278.209053718</x:v>
      </x:c>
      <x:c r="M174" s="60" t="n">
        <x:v>318.79610584930003</x:v>
      </x:c>
      <x:c r="N174" s="46" t="str">
        <x:v>chelon labrosus</x:v>
      </x:c>
      <x:c r="O174" s="62" t="n">
        <x:v>2.59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Chelon labrosus</x:v>
      </x:c>
      <x:c r="T174" s="62" t="n">
        <x:f>IF(O174="","",(1/'Metadata'!$B$5)^(O174-1))</x:f>
        <x:v>117.12178781974153</x:v>
      </x:c>
      <x:c r="U174" s="60" t="n">
        <x:f>IF(T174="","",I174*T174)</x:f>
        <x:v>69922.31162613224</x:v>
      </x:c>
    </x:row>
    <x:row r="175" ht="18" customHeight="1">
      <x:c r="A175" s="46" t="str">
        <x:v>LME_026</x:v>
      </x:c>
      <x:c r="B175" s="46" t="str">
        <x:v>Mediterranean Sea</x:v>
      </x:c>
      <x:c r="C175" s="46" t="str">
        <x:v>LME</x:v>
      </x:c>
      <x:c r="D175" s="58" t="n">
        <x:v>2019</x:v>
      </x:c>
      <x:c r="E175" s="46" t="str">
        <x:v>Sebastidae</x:v>
      </x:c>
      <x:c r="F175" s="46" t="str">
        <x:v>Rockfishes, rockcods, thornyheads</x:v>
      </x:c>
      <x:c r="G175" s="46" t="str">
        <x:v>Medium demersals (30 - 89 cm)</x:v>
      </x:c>
      <x:c r="H175" s="46" t="str">
        <x:v>Scorpionfishes</x:v>
      </x:c>
      <x:c r="I175" s="60" t="n">
        <x:v>582.8710831651</x:v>
      </x:c>
      <x:c r="J175" s="60" t="n">
        <x:v>582.8710831651</x:v>
      </x:c>
      <x:c r="K175" s="60" t="n">
        <x:v>0</x:v>
      </x:c>
      <x:c r="L175" s="60" t="n">
        <x:v>528.0199233527001</x:v>
      </x:c>
      <x:c r="M175" s="60" t="n">
        <x:v>54.8511598124</x:v>
      </x:c>
      <x:c r="N175" s="46" t="str">
        <x:v>sebastidae</x:v>
      </x:c>
      <x:c r="O175" s="62" t="n">
        <x:v>3.74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Sebastidae</x:v>
      </x:c>
      <x:c r="T175" s="62" t="n">
        <x:f>IF(O175="","",(1/'Metadata'!$B$5)^(O175-1))</x:f>
        <x:v>3671.3195599248957</x:v>
      </x:c>
      <x:c r="U175" s="60" t="n">
        <x:f>IF(T175="","",I175*T175)</x:f>
        <x:v>2139906.0085386424</x:v>
      </x:c>
    </x:row>
    <x:row r="176" ht="18" customHeight="1">
      <x:c r="A176" s="46" t="str">
        <x:v>LME_026</x:v>
      </x:c>
      <x:c r="B176" s="46" t="str">
        <x:v>Mediterranean Sea</x:v>
      </x:c>
      <x:c r="C176" s="46" t="str">
        <x:v>LME</x:v>
      </x:c>
      <x:c r="D176" s="58" t="n">
        <x:v>2019</x:v>
      </x:c>
      <x:c r="E176" s="46" t="str">
        <x:v>Tetraodontidae</x:v>
      </x:c>
      <x:c r="F176" s="46" t="str">
        <x:v>Puffers, tobies</x:v>
      </x:c>
      <x:c r="G176" s="46" t="str">
        <x:v>Large reef assoc. fish (&gt;=90 cm)</x:v>
      </x:c>
      <x:c r="H176" s="46" t="str">
        <x:v>Other fishes &amp; inverts</x:v>
      </x:c>
      <x:c r="I176" s="60" t="n">
        <x:v>563.0655300639</x:v>
      </x:c>
      <x:c r="J176" s="60" t="n">
        <x:v>44.467838859800004</x:v>
      </x:c>
      <x:c r="K176" s="60" t="n">
        <x:v>518.5976912041</x:v>
      </x:c>
      <x:c r="L176" s="60" t="n">
        <x:v>38.6493828943</x:v>
      </x:c>
      <x:c r="M176" s="60" t="n">
        <x:v>524.4161471696</x:v>
      </x:c>
      <x:c r="N176" s="46" t="str">
        <x:v>tetraodontidae</x:v>
      </x:c>
      <x:c r="O176" s="62" t="n">
        <x:v>3.5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Tetraodontidae</x:v>
      </x:c>
      <x:c r="T176" s="62" t="n">
        <x:f>IF(O176="","",(1/'Metadata'!$B$5)^(O176-1))</x:f>
        <x:v>1788.8543819998317</x:v>
      </x:c>
      <x:c r="U176" s="60" t="n">
        <x:f>IF(T176="","",I176*T176)</x:f>
        <x:v>1007242.2408078656</x:v>
      </x:c>
    </x:row>
    <x:row r="177" ht="18" customHeight="1">
      <x:c r="A177" s="46" t="str">
        <x:v>LME_026</x:v>
      </x:c>
      <x:c r="B177" s="46" t="str">
        <x:v>Mediterranean Sea</x:v>
      </x:c>
      <x:c r="C177" s="46" t="str">
        <x:v>LME</x:v>
      </x:c>
      <x:c r="D177" s="58" t="n">
        <x:v>2019</x:v>
      </x:c>
      <x:c r="E177" s="46" t="str">
        <x:v>Chlorophthalmidae</x:v>
      </x:c>
      <x:c r="F177" s="46" t="str">
        <x:v>Greeneyes</x:v>
      </x:c>
      <x:c r="G177" s="46" t="str">
        <x:v>Small demersals (&lt;30 cm)</x:v>
      </x:c>
      <x:c r="H177" s="46" t="str">
        <x:v>Other fishes &amp; inverts</x:v>
      </x:c>
      <x:c r="I177" s="60" t="n">
        <x:v>561.277766373</x:v>
      </x:c>
      <x:c r="J177" s="60" t="n">
        <x:v>245.7984282513</x:v>
      </x:c>
      <x:c r="K177" s="60" t="n">
        <x:v>315.4793381217</x:v>
      </x:c>
      <x:c r="L177" s="60" t="n">
        <x:v>224.2516433108</x:v>
      </x:c>
      <x:c r="M177" s="60" t="n">
        <x:v>337.0261230622</x:v>
      </x:c>
      <x:c r="N177" s="46" t="str">
        <x:v>chlorophthalmidae</x:v>
      </x:c>
      <x:c r="O177" s="62" t="n">
        <x:v>3.62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Chlorophthalmidae</x:v>
      </x:c>
      <x:c r="T177" s="62" t="n">
        <x:f>IF(O177="","",(1/'Metadata'!$B$5)^(O177-1))</x:f>
        <x:v>2562.7048371775754</x:v>
      </x:c>
      <x:c r="U177" s="60" t="n">
        <x:f>IF(T177="","",I177*T177)</x:f>
        <x:v>1438389.246884312</x:v>
      </x:c>
    </x:row>
    <x:row r="178" ht="18" customHeight="1">
      <x:c r="A178" s="46" t="str">
        <x:v>LME_026</x:v>
      </x:c>
      <x:c r="B178" s="46" t="str">
        <x:v>Mediterranean Sea</x:v>
      </x:c>
      <x:c r="C178" s="46" t="str">
        <x:v>LME</x:v>
      </x:c>
      <x:c r="D178" s="58" t="n">
        <x:v>2019</x:v>
      </x:c>
      <x:c r="E178" s="46" t="str">
        <x:v>Auxis thazard</x:v>
      </x:c>
      <x:c r="F178" s="46" t="str">
        <x:v>Frigate tuna</x:v>
      </x:c>
      <x:c r="G178" s="46" t="str">
        <x:v>Medium pelagics (30 - 89 cm)</x:v>
      </x:c>
      <x:c r="H178" s="46" t="str">
        <x:v>Tuna &amp; billfishes</x:v>
      </x:c>
      <x:c r="I178" s="60" t="n">
        <x:v>527.0521663633999</x:v>
      </x:c>
      <x:c r="J178" s="60" t="n">
        <x:v>523.8941623928</x:v>
      </x:c>
      <x:c r="K178" s="60" t="n">
        <x:v>3.1580039706000003</x:v>
      </x:c>
      <x:c r="L178" s="60" t="n">
        <x:v>502.18680016389993</x:v>
      </x:c>
      <x:c r="M178" s="60" t="n">
        <x:v>24.8653661995</x:v>
      </x:c>
      <x:c r="N178" s="46" t="str">
        <x:v>auxis thazard</x:v>
      </x:c>
      <x:c r="O178" s="62" t="n">
        <x:v>4.37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Auxis thazard</x:v>
      </x:c>
      <x:c r="T178" s="62" t="n">
        <x:f>IF(O178="","",(1/'Metadata'!$B$5)^(O178-1))</x:f>
        <x:v>24236.56596112542</x:v>
      </x:c>
      <x:c r="U178" s="60" t="n">
        <x:f>IF(T178="","",I178*T178)</x:f>
        <x:v>12773934.59502059</x:v>
      </x:c>
    </x:row>
    <x:row r="179" ht="18" customHeight="1">
      <x:c r="A179" s="46" t="str">
        <x:v>LME_026</x:v>
      </x:c>
      <x:c r="B179" s="46" t="str">
        <x:v>Mediterranean Sea</x:v>
      </x:c>
      <x:c r="C179" s="46" t="str">
        <x:v>LME</x:v>
      </x:c>
      <x:c r="D179" s="58" t="n">
        <x:v>2019</x:v>
      </x:c>
      <x:c r="E179" s="46" t="str">
        <x:v>Liocarcinus depurator</x:v>
      </x:c>
      <x:c r="F179" s="46" t="str">
        <x:v>Blueleg swimcrab</x:v>
      </x:c>
      <x:c r="G179" s="46" t="str">
        <x:v>Lobsters, crabs</x:v>
      </x:c>
      <x:c r="H179" s="46" t="str">
        <x:v>Crustaceans</x:v>
      </x:c>
      <x:c r="I179" s="60" t="n">
        <x:v>512.156787334</x:v>
      </x:c>
      <x:c r="J179" s="60" t="n">
        <x:v>359.5098122302</x:v>
      </x:c>
      <x:c r="K179" s="60" t="n">
        <x:v>152.6469751038</x:v>
      </x:c>
      <x:c r="L179" s="60" t="n">
        <x:v>342.979168563</x:v>
      </x:c>
      <x:c r="M179" s="60" t="n">
        <x:v>169.177618771</x:v>
      </x:c>
      <x:c r="N179" s="46" t="str">
        <x:v>liocarcinus depurator</x:v>
      </x:c>
      <x:c r="O179" s="62" t="n">
        <x:v>2.6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Liocarcinus depurator</x:v>
      </x:c>
      <x:c r="T179" s="62" t="n">
        <x:f>IF(O179="","",(1/'Metadata'!$B$5)^(O179-1))</x:f>
        <x:v>120.6835267309033</x:v>
      </x:c>
      <x:c r="U179" s="60" t="n">
        <x:f>IF(T179="","",I179*T179)</x:f>
        <x:v>61808.88733463635</x:v>
      </x:c>
    </x:row>
    <x:row r="180" ht="18" customHeight="1">
      <x:c r="A180" s="46" t="str">
        <x:v>LME_026</x:v>
      </x:c>
      <x:c r="B180" s="46" t="str">
        <x:v>Mediterranean Sea</x:v>
      </x:c>
      <x:c r="C180" s="46" t="str">
        <x:v>LME</x:v>
      </x:c>
      <x:c r="D180" s="58" t="n">
        <x:v>2019</x:v>
      </x:c>
      <x:c r="E180" s="46" t="str">
        <x:v>Bolinus brandaris</x:v>
      </x:c>
      <x:c r="F180" s="46" t="str">
        <x:v>Purple dye murex</x:v>
      </x:c>
      <x:c r="G180" s="46" t="str">
        <x:v>Other demersal invertebrates</x:v>
      </x:c>
      <x:c r="H180" s="46" t="str">
        <x:v>Molluscs</x:v>
      </x:c>
      <x:c r="I180" s="60" t="n">
        <x:v>508.82626267309996</x:v>
      </x:c>
      <x:c r="J180" s="60" t="n">
        <x:v>77.4875796527</x:v>
      </x:c>
      <x:c r="K180" s="60" t="n">
        <x:v>431.33868302039997</x:v>
      </x:c>
      <x:c r="L180" s="60" t="n">
        <x:v>74.3224752169</x:v>
      </x:c>
      <x:c r="M180" s="60" t="n">
        <x:v>434.5037874562</x:v>
      </x:c>
      <x:c r="N180" s="46" t="str">
        <x:v>bolinus brandaris</x:v>
      </x:c>
      <x:c r="O180" s="62" t="n">
        <x:v>3.23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Bolinus brandaris</x:v>
      </x:c>
      <x:c r="T180" s="62" t="n">
        <x:f>IF(O180="","",(1/'Metadata'!$B$5)^(O180-1))</x:f>
        <x:v>796.7038031673321</x:v>
      </x:c>
      <x:c r="U180" s="60" t="n">
        <x:f>IF(T180="","",I180*T180)</x:f>
        <x:v>405383.81862307864</x:v>
      </x:c>
    </x:row>
    <x:row r="181" ht="18" customHeight="1">
      <x:c r="A181" s="46" t="str">
        <x:v>LME_026</x:v>
      </x:c>
      <x:c r="B181" s="46" t="str">
        <x:v>Mediterranean Sea</x:v>
      </x:c>
      <x:c r="C181" s="46" t="str">
        <x:v>LME</x:v>
      </x:c>
      <x:c r="D181" s="58" t="n">
        <x:v>2019</x:v>
      </x:c>
      <x:c r="E181" s="46" t="str">
        <x:v>Triakidae</x:v>
      </x:c>
      <x:c r="F181" s="46" t="str">
        <x:v>Houndsharks</x:v>
      </x:c>
      <x:c r="G181" s="46" t="str">
        <x:v>Large sharks (&gt;=90 cm)</x:v>
      </x:c>
      <x:c r="H181" s="46" t="str">
        <x:v>Sharks &amp; rays</x:v>
      </x:c>
      <x:c r="I181" s="60" t="n">
        <x:v>508.10038749700004</x:v>
      </x:c>
      <x:c r="J181" s="60" t="n">
        <x:v>352.87676588150003</x:v>
      </x:c>
      <x:c r="K181" s="60" t="n">
        <x:v>155.2236216155</x:v>
      </x:c>
      <x:c r="L181" s="60" t="n">
        <x:v>319.8536446315</x:v>
      </x:c>
      <x:c r="M181" s="60" t="n">
        <x:v>188.2467428655</x:v>
      </x:c>
      <x:c r="N181" s="46" t="str">
        <x:v>triakidae</x:v>
      </x:c>
      <x:c r="O181" s="62" t="n">
        <x:v>3.82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Triakidae</x:v>
      </x:c>
      <x:c r="T181" s="62" t="n">
        <x:f>IF(O181="","",(1/'Metadata'!$B$5)^(O181-1))</x:f>
        <x:v>4665.56868948727</x:v>
      </x:c>
      <x:c r="U181" s="60" t="n">
        <x:f>IF(T181="","",I181*T181)</x:f>
        <x:v>2370577.2590223523</x:v>
      </x:c>
    </x:row>
    <x:row r="182" ht="18" customHeight="1">
      <x:c r="A182" s="46" t="str">
        <x:v>LME_026</x:v>
      </x:c>
      <x:c r="B182" s="46" t="str">
        <x:v>Mediterranean Sea</x:v>
      </x:c>
      <x:c r="C182" s="46" t="str">
        <x:v>LME</x:v>
      </x:c>
      <x:c r="D182" s="58" t="n">
        <x:v>2019</x:v>
      </x:c>
      <x:c r="E182" s="46" t="str">
        <x:v>Palinurus elephas</x:v>
      </x:c>
      <x:c r="F182" s="46" t="str">
        <x:v>Common spiny lobster</x:v>
      </x:c>
      <x:c r="G182" s="46" t="str">
        <x:v>Lobsters, crabs</x:v>
      </x:c>
      <x:c r="H182" s="46" t="str">
        <x:v>Crustaceans</x:v>
      </x:c>
      <x:c r="I182" s="60" t="n">
        <x:v>476.0273902537</x:v>
      </x:c>
      <x:c r="J182" s="60" t="n">
        <x:v>472.93246871099996</x:v>
      </x:c>
      <x:c r="K182" s="60" t="n">
        <x:v>3.0949215427000003</x:v>
      </x:c>
      <x:c r="L182" s="60" t="n">
        <x:v>295.8536245983</x:v>
      </x:c>
      <x:c r="M182" s="60" t="n">
        <x:v>180.1737656554</x:v>
      </x:c>
      <x:c r="N182" s="46" t="str">
        <x:v>palinurus elephas</x:v>
      </x:c>
      <x:c r="O182" s="62" t="n">
        <x:v>3.34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Palinurus elephas</x:v>
      </x:c>
      <x:c r="T182" s="62" t="n">
        <x:f>IF(O182="","",(1/'Metadata'!$B$5)^(O182-1))</x:f>
        <x:v>1107.6694806197092</x:v>
      </x:c>
      <x:c r="U182" s="60" t="n">
        <x:f>IF(T182="","",I182*T182)</x:f>
        <x:v>527281.0121230715</x:v>
      </x:c>
    </x:row>
    <x:row r="183" ht="18" customHeight="1">
      <x:c r="A183" s="46" t="str">
        <x:v>LME_026</x:v>
      </x:c>
      <x:c r="B183" s="46" t="str">
        <x:v>Mediterranean Sea</x:v>
      </x:c>
      <x:c r="C183" s="46" t="str">
        <x:v>LME</x:v>
      </x:c>
      <x:c r="D183" s="58" t="n">
        <x:v>2019</x:v>
      </x:c>
      <x:c r="E183" s="46" t="str">
        <x:v>Lophiidae</x:v>
      </x:c>
      <x:c r="F183" s="46" t="str">
        <x:v>Goosefishes</x:v>
      </x:c>
      <x:c r="G183" s="46" t="str">
        <x:v>Medium bathydemersals (30 - 89 cm)</x:v>
      </x:c>
      <x:c r="H183" s="46" t="str">
        <x:v>Other fishes &amp; inverts</x:v>
      </x:c>
      <x:c r="I183" s="60" t="n">
        <x:v>474.0257503415</x:v>
      </x:c>
      <x:c r="J183" s="60" t="n">
        <x:v>394.9912173327</x:v>
      </x:c>
      <x:c r="K183" s="60" t="n">
        <x:v>79.0345330088</x:v>
      </x:c>
      <x:c r="L183" s="60" t="n">
        <x:v>374.8163979651</x:v>
      </x:c>
      <x:c r="M183" s="60" t="n">
        <x:v>99.20935237639999</x:v>
      </x:c>
      <x:c r="N183" s="46" t="str">
        <x:v>lophiidae</x:v>
      </x:c>
      <x:c r="O183" s="62" t="n">
        <x:v>4.46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Lophiidae</x:v>
      </x:c>
      <x:c r="T183" s="62" t="n">
        <x:f>IF(O183="","",(1/'Metadata'!$B$5)^(O183-1))</x:f>
        <x:v>31736.84749906455</x:v>
      </x:c>
      <x:c r="U183" s="60" t="n">
        <x:f>IF(T183="","",I183*T183)</x:f>
        <x:v>15044082.949217832</x:v>
      </x:c>
    </x:row>
    <x:row r="184" ht="18" customHeight="1">
      <x:c r="A184" s="46" t="str">
        <x:v>LME_026</x:v>
      </x:c>
      <x:c r="B184" s="46" t="str">
        <x:v>Mediterranean Sea</x:v>
      </x:c>
      <x:c r="C184" s="46" t="str">
        <x:v>LME</x:v>
      </x:c>
      <x:c r="D184" s="58" t="n">
        <x:v>2019</x:v>
      </x:c>
      <x:c r="E184" s="46" t="str">
        <x:v>Squillidae</x:v>
      </x:c>
      <x:c r="F184" s="46" t="str">
        <x:v>Squilla mantis shrimps</x:v>
      </x:c>
      <x:c r="G184" s="46" t="str">
        <x:v>Shrimps</x:v>
      </x:c>
      <x:c r="H184" s="46" t="str">
        <x:v>Crustaceans</x:v>
      </x:c>
      <x:c r="I184" s="60" t="n">
        <x:v>466.7236867926</x:v>
      </x:c>
      <x:c r="J184" s="60" t="n">
        <x:v>448.5482273604</x:v>
      </x:c>
      <x:c r="K184" s="60" t="n">
        <x:v>18.1754594322</x:v>
      </x:c>
      <x:c r="L184" s="60" t="n">
        <x:v>427.69144377820004</x:v>
      </x:c>
      <x:c r="M184" s="60" t="n">
        <x:v>39.032243014399995</x:v>
      </x:c>
      <x:c r="N184" s="46" t="str">
        <x:v>squillidae</x:v>
      </x:c>
      <x:c r="O184" s="62" t="n">
        <x:v>3.5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Squillidae</x:v>
      </x:c>
      <x:c r="T184" s="62" t="n">
        <x:f>IF(O184="","",(1/'Metadata'!$B$5)^(O184-1))</x:f>
        <x:v>1788.8543819998317</x:v>
      </x:c>
      <x:c r="U184" s="60" t="n">
        <x:f>IF(T184="","",I184*T184)</x:f>
        <x:v>834900.7123020595</x:v>
      </x:c>
    </x:row>
    <x:row r="185" ht="18" customHeight="1">
      <x:c r="A185" s="46" t="str">
        <x:v>LME_026</x:v>
      </x:c>
      <x:c r="B185" s="46" t="str">
        <x:v>Mediterranean Sea</x:v>
      </x:c>
      <x:c r="C185" s="46" t="str">
        <x:v>LME</x:v>
      </x:c>
      <x:c r="D185" s="58" t="n">
        <x:v>2019</x:v>
      </x:c>
      <x:c r="E185" s="46" t="str">
        <x:v>Serranus scriba</x:v>
      </x:c>
      <x:c r="F185" s="46" t="str">
        <x:v>Painted comber</x:v>
      </x:c>
      <x:c r="G185" s="46" t="str">
        <x:v>Medium demersals (30 - 89 cm)</x:v>
      </x:c>
      <x:c r="H185" s="46" t="str">
        <x:v>Perch-likes</x:v>
      </x:c>
      <x:c r="I185" s="60" t="n">
        <x:v>466.14947014229995</x:v>
      </x:c>
      <x:c r="J185" s="60" t="n">
        <x:v>448.2735468715</x:v>
      </x:c>
      <x:c r="K185" s="60" t="n">
        <x:v>17.8759232708</x:v>
      </x:c>
      <x:c r="L185" s="60" t="n">
        <x:v>152.2119326896</x:v>
      </x:c>
      <x:c r="M185" s="60" t="n">
        <x:v>313.93753745270004</x:v>
      </x:c>
      <x:c r="N185" s="46" t="str">
        <x:v>serranus scriba</x:v>
      </x:c>
      <x:c r="O185" s="62" t="n">
        <x:v>3.82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Serranus scriba</x:v>
      </x:c>
      <x:c r="T185" s="62" t="n">
        <x:f>IF(O185="","",(1/'Metadata'!$B$5)^(O185-1))</x:f>
        <x:v>4665.56868948727</x:v>
      </x:c>
      <x:c r="U185" s="60" t="n">
        <x:f>IF(T185="","",I185*T185)</x:f>
        <x:v>2174852.3725169953</x:v>
      </x:c>
    </x:row>
    <x:row r="186" ht="18" customHeight="1">
      <x:c r="A186" s="46" t="str">
        <x:v>LME_026</x:v>
      </x:c>
      <x:c r="B186" s="46" t="str">
        <x:v>Mediterranean Sea</x:v>
      </x:c>
      <x:c r="C186" s="46" t="str">
        <x:v>LME</x:v>
      </x:c>
      <x:c r="D186" s="58" t="n">
        <x:v>2019</x:v>
      </x:c>
      <x:c r="E186" s="46" t="str">
        <x:v>Sciaena umbra</x:v>
      </x:c>
      <x:c r="F186" s="46" t="str">
        <x:v>Brown meagre</x:v>
      </x:c>
      <x:c r="G186" s="46" t="str">
        <x:v>Medium demersals (30 - 89 cm)</x:v>
      </x:c>
      <x:c r="H186" s="46" t="str">
        <x:v>Perch-likes</x:v>
      </x:c>
      <x:c r="I186" s="60" t="n">
        <x:v>451.2238346811</x:v>
      </x:c>
      <x:c r="J186" s="60" t="n">
        <x:v>447.0544117054</x:v>
      </x:c>
      <x:c r="K186" s="60" t="n">
        <x:v>4.1694229757</x:v>
      </x:c>
      <x:c r="L186" s="60" t="n">
        <x:v>325.4500139827</x:v>
      </x:c>
      <x:c r="M186" s="60" t="n">
        <x:v>125.7738206984</x:v>
      </x:c>
      <x:c r="N186" s="46" t="str">
        <x:v>sciaena umbra</x:v>
      </x:c>
      <x:c r="O186" s="62" t="n">
        <x:v>3.75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Sciaena umbra</x:v>
      </x:c>
      <x:c r="T186" s="62" t="n">
        <x:f>IF(O186="","",(1/'Metadata'!$B$5)^(O186-1))</x:f>
        <x:v>3782.966436012703</x:v>
      </x:c>
      <x:c r="U186" s="60" t="n">
        <x:f>IF(T186="","",I186*T186)</x:f>
        <x:v>1706964.621727546</x:v>
      </x:c>
    </x:row>
    <x:row r="187" ht="18" customHeight="1">
      <x:c r="A187" s="46" t="str">
        <x:v>LME_026</x:v>
      </x:c>
      <x:c r="B187" s="46" t="str">
        <x:v>Mediterranean Sea</x:v>
      </x:c>
      <x:c r="C187" s="46" t="str">
        <x:v>LME</x:v>
      </x:c>
      <x:c r="D187" s="58" t="n">
        <x:v>2019</x:v>
      </x:c>
      <x:c r="E187" s="46" t="str">
        <x:v>Rajidae</x:v>
      </x:c>
      <x:c r="F187" s="46" t="str">
        <x:v>Stingrays</x:v>
      </x:c>
      <x:c r="G187" s="46" t="str">
        <x:v>Large rays (&gt;=90 cm)</x:v>
      </x:c>
      <x:c r="H187" s="46" t="str">
        <x:v>Sharks &amp; rays</x:v>
      </x:c>
      <x:c r="I187" s="60" t="n">
        <x:v>449.98677295140004</x:v>
      </x:c>
      <x:c r="J187" s="60" t="n">
        <x:v>28.4294562272</x:v>
      </x:c>
      <x:c r="K187" s="60" t="n">
        <x:v>421.55731672420006</x:v>
      </x:c>
      <x:c r="L187" s="60" t="n">
        <x:v>12.4114800392</x:v>
      </x:c>
      <x:c r="M187" s="60" t="n">
        <x:v>437.57529291220004</x:v>
      </x:c>
      <x:c r="N187" s="46" t="str">
        <x:v>rajidae</x:v>
      </x:c>
      <x:c r="O187" s="62" t="n">
        <x:v>3.82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Rajidae</x:v>
      </x:c>
      <x:c r="T187" s="62" t="n">
        <x:f>IF(O187="","",(1/'Metadata'!$B$5)^(O187-1))</x:f>
        <x:v>4665.56868948727</x:v>
      </x:c>
      <x:c r="U187" s="60" t="n">
        <x:f>IF(T187="","",I187*T187)</x:f>
        <x:v>2099444.198565469</x:v>
      </x:c>
    </x:row>
    <x:row r="188" ht="18" customHeight="1">
      <x:c r="A188" s="46" t="str">
        <x:v>LME_026</x:v>
      </x:c>
      <x:c r="B188" s="46" t="str">
        <x:v>Mediterranean Sea</x:v>
      </x:c>
      <x:c r="C188" s="46" t="str">
        <x:v>LME</x:v>
      </x:c>
      <x:c r="D188" s="58" t="n">
        <x:v>2019</x:v>
      </x:c>
      <x:c r="E188" s="46" t="str">
        <x:v>Balistes capriscus</x:v>
      </x:c>
      <x:c r="F188" s="46" t="str">
        <x:v>Grey triggerfish</x:v>
      </x:c>
      <x:c r="G188" s="46" t="str">
        <x:v>Medium benthopelagics (30 - 89 cm)</x:v>
      </x:c>
      <x:c r="H188" s="46" t="str">
        <x:v>Other fishes &amp; inverts</x:v>
      </x:c>
      <x:c r="I188" s="60" t="n">
        <x:v>449.95507567830003</x:v>
      </x:c>
      <x:c r="J188" s="60" t="n">
        <x:v>448.883943079</x:v>
      </x:c>
      <x:c r="K188" s="60" t="n">
        <x:v>1.0711325993</x:v>
      </x:c>
      <x:c r="L188" s="60" t="n">
        <x:v>359.43693733640004</x:v>
      </x:c>
      <x:c r="M188" s="60" t="n">
        <x:v>90.5181383419</x:v>
      </x:c>
      <x:c r="N188" s="46" t="str">
        <x:v>balistes capriscus</x:v>
      </x:c>
      <x:c r="O188" s="62" t="n">
        <x:v>4.06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Balistes capriscus</x:v>
      </x:c>
      <x:c r="T188" s="62" t="n">
        <x:f>IF(O188="","",(1/'Metadata'!$B$5)^(O188-1))</x:f>
        <x:v>9575.286708769883</x:v>
      </x:c>
      <x:c r="U188" s="60" t="n">
        <x:f>IF(T188="","",I188*T188)</x:f>
        <x:v>4308448.855685974</x:v>
      </x:c>
    </x:row>
    <x:row r="189" ht="18" customHeight="1">
      <x:c r="A189" s="46" t="str">
        <x:v>LME_026</x:v>
      </x:c>
      <x:c r="B189" s="46" t="str">
        <x:v>Mediterranean Sea</x:v>
      </x:c>
      <x:c r="C189" s="46" t="str">
        <x:v>LME</x:v>
      </x:c>
      <x:c r="D189" s="58" t="n">
        <x:v>2019</x:v>
      </x:c>
      <x:c r="E189" s="46" t="str">
        <x:v>Macrouridae</x:v>
      </x:c>
      <x:c r="F189" s="46" t="str">
        <x:v>Grenadiers, rattails</x:v>
      </x:c>
      <x:c r="G189" s="46" t="str">
        <x:v>Medium benthopelagics (30 - 89 cm)</x:v>
      </x:c>
      <x:c r="H189" s="46" t="str">
        <x:v>Cod-likes</x:v>
      </x:c>
      <x:c r="I189" s="60" t="n">
        <x:v>443.9381078606</x:v>
      </x:c>
      <x:c r="J189" s="60" t="n">
        <x:v>0</x:v>
      </x:c>
      <x:c r="K189" s="60" t="n">
        <x:v>443.9381078606</x:v>
      </x:c>
      <x:c r="L189" s="60" t="n">
        <x:v>0</x:v>
      </x:c>
      <x:c r="M189" s="60" t="n">
        <x:v>443.9381078606</x:v>
      </x:c>
      <x:c r="N189" s="46" t="str">
        <x:v>macrouridae</x:v>
      </x:c>
      <x:c r="O189" s="62" t="n">
        <x:v>3.88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Macrouridae</x:v>
      </x:c>
      <x:c r="T189" s="62" t="n">
        <x:f>IF(O189="","",(1/'Metadata'!$B$5)^(O189-1))</x:f>
        <x:v>5584.269732662554</x:v>
      </x:c>
      <x:c r="U189" s="60" t="n">
        <x:f>IF(T189="","",I189*T189)</x:f>
        <x:v>2479070.1389014325</x:v>
      </x:c>
    </x:row>
    <x:row r="190" ht="18" customHeight="1">
      <x:c r="A190" s="46" t="str">
        <x:v>LME_026</x:v>
      </x:c>
      <x:c r="B190" s="46" t="str">
        <x:v>Mediterranean Sea</x:v>
      </x:c>
      <x:c r="C190" s="46" t="str">
        <x:v>LME</x:v>
      </x:c>
      <x:c r="D190" s="58" t="n">
        <x:v>2019</x:v>
      </x:c>
      <x:c r="E190" s="46" t="str">
        <x:v>Plesionika edwardsii</x:v>
      </x:c>
      <x:c r="F190" s="46" t="str">
        <x:v>Soldier striped shrimp</x:v>
      </x:c>
      <x:c r="G190" s="46" t="str">
        <x:v>Shrimps</x:v>
      </x:c>
      <x:c r="H190" s="46" t="str">
        <x:v>Crustaceans</x:v>
      </x:c>
      <x:c r="I190" s="60" t="n">
        <x:v>443.5037727303</x:v>
      </x:c>
      <x:c r="J190" s="60" t="n">
        <x:v>438.5146370085</x:v>
      </x:c>
      <x:c r="K190" s="60" t="n">
        <x:v>4.9891357218</x:v>
      </x:c>
      <x:c r="L190" s="60" t="n">
        <x:v>401.0339696537</x:v>
      </x:c>
      <x:c r="M190" s="60" t="n">
        <x:v>42.469803076599995</x:v>
      </x:c>
      <x:c r="N190" s="46" t="str">
        <x:v>plesionika edwardsii</x:v>
      </x:c>
      <x:c r="O190" s="62" t="n">
        <x:v>3.53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Plesionika edwardsii</x:v>
      </x:c>
      <x:c r="T190" s="62" t="n">
        <x:f>IF(O190="","",(1/'Metadata'!$B$5)^(O190-1))</x:f>
        <x:v>1957.0678791263101</x:v>
      </x:c>
      <x:c r="U190" s="60" t="n">
        <x:f>IF(T190="","",I190*T190)</x:f>
        <x:v>867966.9878818053</x:v>
      </x:c>
    </x:row>
    <x:row r="191" ht="18" customHeight="1">
      <x:c r="A191" s="46" t="str">
        <x:v>LME_026</x:v>
      </x:c>
      <x:c r="B191" s="46" t="str">
        <x:v>Mediterranean Sea</x:v>
      </x:c>
      <x:c r="C191" s="46" t="str">
        <x:v>LME</x:v>
      </x:c>
      <x:c r="D191" s="58" t="n">
        <x:v>2019</x:v>
      </x:c>
      <x:c r="E191" s="46" t="str">
        <x:v>Dicentrarchus punctatus</x:v>
      </x:c>
      <x:c r="F191" s="46" t="str">
        <x:v>Spotted seabass</x:v>
      </x:c>
      <x:c r="G191" s="46" t="str">
        <x:v>Medium pelagics (30 - 89 cm)</x:v>
      </x:c>
      <x:c r="H191" s="46" t="str">
        <x:v>Perch-likes</x:v>
      </x:c>
      <x:c r="I191" s="60" t="n">
        <x:v>434.02369132580003</x:v>
      </x:c>
      <x:c r="J191" s="60" t="n">
        <x:v>432.89301585239997</x:v>
      </x:c>
      <x:c r="K191" s="60" t="n">
        <x:v>1.1306754734</x:v>
      </x:c>
      <x:c r="L191" s="60" t="n">
        <x:v>399.5971933112</x:v>
      </x:c>
      <x:c r="M191" s="60" t="n">
        <x:v>34.4264980146</x:v>
      </x:c>
      <x:c r="N191" s="46" t="str">
        <x:v>dicentrarchus punctatus</x:v>
      </x:c>
      <x:c r="O191" s="62" t="n">
        <x:v>3.94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Dicentrarchus punctatus</x:v>
      </x:c>
      <x:c r="T191" s="62" t="n">
        <x:f>IF(O191="","",(1/'Metadata'!$B$5)^(O191-1))</x:f>
        <x:v>6683.872968668722</x:v>
      </x:c>
      <x:c r="U191" s="60" t="n">
        <x:f>IF(T191="","",I191*T191)</x:f>
        <x:v>2900959.218214332</x:v>
      </x:c>
    </x:row>
    <x:row r="192" ht="18" customHeight="1">
      <x:c r="A192" s="46" t="str">
        <x:v>LME_026</x:v>
      </x:c>
      <x:c r="B192" s="46" t="str">
        <x:v>Mediterranean Sea</x:v>
      </x:c>
      <x:c r="C192" s="46" t="str">
        <x:v>LME</x:v>
      </x:c>
      <x:c r="D192" s="58" t="n">
        <x:v>2019</x:v>
      </x:c>
      <x:c r="E192" s="46" t="str">
        <x:v>Trachinus draco</x:v>
      </x:c>
      <x:c r="F192" s="46" t="str">
        <x:v>Greater weever</x:v>
      </x:c>
      <x:c r="G192" s="46" t="str">
        <x:v>Medium demersals (30 - 89 cm)</x:v>
      </x:c>
      <x:c r="H192" s="46" t="str">
        <x:v>Perch-likes</x:v>
      </x:c>
      <x:c r="I192" s="60" t="n">
        <x:v>407.49222579679997</x:v>
      </x:c>
      <x:c r="J192" s="60" t="n">
        <x:v>388.9096485251</x:v>
      </x:c>
      <x:c r="K192" s="60" t="n">
        <x:v>18.5825772717</x:v>
      </x:c>
      <x:c r="L192" s="60" t="n">
        <x:v>239.9818450585</x:v>
      </x:c>
      <x:c r="M192" s="60" t="n">
        <x:v>167.5103807383</x:v>
      </x:c>
      <x:c r="N192" s="46" t="str">
        <x:v>trachinus draco</x:v>
      </x:c>
      <x:c r="O192" s="62" t="n">
        <x:v>4.18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Trachinus draco</x:v>
      </x:c>
      <x:c r="T192" s="62" t="n">
        <x:f>IF(O192="","",(1/'Metadata'!$B$5)^(O192-1))</x:f>
        <x:v>13717.513182092556</x:v>
      </x:c>
      <x:c r="U192" s="60" t="n">
        <x:f>IF(T192="","",I192*T192)</x:f>
        <x:v>5589779.97896784</x:v>
      </x:c>
    </x:row>
    <x:row r="193" ht="18" customHeight="1">
      <x:c r="A193" s="46" t="str">
        <x:v>LME_026</x:v>
      </x:c>
      <x:c r="B193" s="46" t="str">
        <x:v>Mediterranean Sea</x:v>
      </x:c>
      <x:c r="C193" s="46" t="str">
        <x:v>LME</x:v>
      </x:c>
      <x:c r="D193" s="58" t="n">
        <x:v>2019</x:v>
      </x:c>
      <x:c r="E193" s="46" t="str">
        <x:v>Lophius budegassa</x:v>
      </x:c>
      <x:c r="F193" s="46" t="str">
        <x:v>Blackbellied angler</x:v>
      </x:c>
      <x:c r="G193" s="46" t="str">
        <x:v>Large bathydemersals (&gt;=90 cm)</x:v>
      </x:c>
      <x:c r="H193" s="46" t="str">
        <x:v>Other fishes &amp; inverts</x:v>
      </x:c>
      <x:c r="I193" s="60" t="n">
        <x:v>383.538181949</x:v>
      </x:c>
      <x:c r="J193" s="60" t="n">
        <x:v>248.6448504547</x:v>
      </x:c>
      <x:c r="K193" s="60" t="n">
        <x:v>134.89333149429999</x:v>
      </x:c>
      <x:c r="L193" s="60" t="n">
        <x:v>244.9497141506</x:v>
      </x:c>
      <x:c r="M193" s="60" t="n">
        <x:v>138.5884677984</x:v>
      </x:c>
      <x:c r="N193" s="46" t="str">
        <x:v>lophius budegassa</x:v>
      </x:c>
      <x:c r="O193" s="62" t="n">
        <x:v>4.41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Lophius budegassa</x:v>
      </x:c>
      <x:c r="T193" s="62" t="n">
        <x:f>IF(O193="","",(1/'Metadata'!$B$5)^(O193-1))</x:f>
        <x:v>27321.987305427916</x:v>
      </x:c>
      <x:c r="U193" s="60" t="n">
        <x:f>IF(T193="","",I193*T193)</x:f>
        <x:v>10479025.33835748</x:v>
      </x:c>
    </x:row>
    <x:row r="194" ht="18" customHeight="1">
      <x:c r="A194" s="46" t="str">
        <x:v>LME_026</x:v>
      </x:c>
      <x:c r="B194" s="46" t="str">
        <x:v>Mediterranean Sea</x:v>
      </x:c>
      <x:c r="C194" s="46" t="str">
        <x:v>LME</x:v>
      </x:c>
      <x:c r="D194" s="58" t="n">
        <x:v>2019</x:v>
      </x:c>
      <x:c r="E194" s="46" t="str">
        <x:v>Sciaenidae</x:v>
      </x:c>
      <x:c r="F194" s="46" t="str">
        <x:v>Drums, croakers</x:v>
      </x:c>
      <x:c r="G194" s="46" t="str">
        <x:v>Medium demersals (30 - 89 cm)</x:v>
      </x:c>
      <x:c r="H194" s="46" t="str">
        <x:v>Perch-likes</x:v>
      </x:c>
      <x:c r="I194" s="60" t="n">
        <x:v>359.94861375389996</x:v>
      </x:c>
      <x:c r="J194" s="60" t="n">
        <x:v>358.3226575315</x:v>
      </x:c>
      <x:c r="K194" s="60" t="n">
        <x:v>1.6259562224</x:v>
      </x:c>
      <x:c r="L194" s="60" t="n">
        <x:v>0.3333486052</x:v>
      </x:c>
      <x:c r="M194" s="60" t="n">
        <x:v>359.61526514869996</x:v>
      </x:c>
      <x:c r="N194" s="46" t="str">
        <x:v>sciaenidae</x:v>
      </x:c>
      <x:c r="O194" s="62" t="n">
        <x:v>3.76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Sciaenidae</x:v>
      </x:c>
      <x:c r="T194" s="62" t="n">
        <x:f>IF(O194="","",(1/'Metadata'!$B$5)^(O194-1))</x:f>
        <x:v>3898.0085558913897</x:v>
      </x:c>
      <x:c r="U194" s="60" t="n">
        <x:f>IF(T194="","",I194*T194)</x:f>
        <x:v>1403082.7760939472</x:v>
      </x:c>
    </x:row>
    <x:row r="195" ht="18" customHeight="1">
      <x:c r="A195" s="46" t="str">
        <x:v>LME_026</x:v>
      </x:c>
      <x:c r="B195" s="46" t="str">
        <x:v>Mediterranean Sea</x:v>
      </x:c>
      <x:c r="C195" s="46" t="str">
        <x:v>LME</x:v>
      </x:c>
      <x:c r="D195" s="58" t="n">
        <x:v>2019</x:v>
      </x:c>
      <x:c r="E195" s="46" t="str">
        <x:v>Lepidorhombus boscii</x:v>
      </x:c>
      <x:c r="F195" s="46" t="str">
        <x:v>Four-spot megrim</x:v>
      </x:c>
      <x:c r="G195" s="46" t="str">
        <x:v>Small to medium flatfishes (&lt;90 cm)</x:v>
      </x:c>
      <x:c r="H195" s="46" t="str">
        <x:v>Flatfishes</x:v>
      </x:c>
      <x:c r="I195" s="60" t="n">
        <x:v>354.94672172979995</x:v>
      </x:c>
      <x:c r="J195" s="60" t="n">
        <x:v>48.674168711600004</x:v>
      </x:c>
      <x:c r="K195" s="60" t="n">
        <x:v>306.27255301819997</x:v>
      </x:c>
      <x:c r="L195" s="60" t="n">
        <x:v>44.276653629500004</x:v>
      </x:c>
      <x:c r="M195" s="60" t="n">
        <x:v>310.6700681003</x:v>
      </x:c>
      <x:c r="N195" s="46" t="str">
        <x:v>lepidorhombus boscii</x:v>
      </x:c>
      <x:c r="O195" s="62" t="n">
        <x:v>3.74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Lepidorhombus boscii</x:v>
      </x:c>
      <x:c r="T195" s="62" t="n">
        <x:f>IF(O195="","",(1/'Metadata'!$B$5)^(O195-1))</x:f>
        <x:v>3671.3195599248957</x:v>
      </x:c>
      <x:c r="U195" s="60" t="n">
        <x:f>IF(T195="","",I195*T195)</x:f>
        <x:v>1303122.8422178335</x:v>
      </x:c>
    </x:row>
    <x:row r="196" ht="18" customHeight="1">
      <x:c r="A196" s="46" t="str">
        <x:v>LME_026</x:v>
      </x:c>
      <x:c r="B196" s="46" t="str">
        <x:v>Mediterranean Sea</x:v>
      </x:c>
      <x:c r="C196" s="46" t="str">
        <x:v>LME</x:v>
      </x:c>
      <x:c r="D196" s="58" t="n">
        <x:v>2019</x:v>
      </x:c>
      <x:c r="E196" s="46" t="str">
        <x:v>Sphyraenidae</x:v>
      </x:c>
      <x:c r="F196" s="46" t="str">
        <x:v>Barracudas</x:v>
      </x:c>
      <x:c r="G196" s="46" t="str">
        <x:v>Medium reef assoc. fish (30 - 89 cm)</x:v>
      </x:c>
      <x:c r="H196" s="46" t="str">
        <x:v>Perch-likes</x:v>
      </x:c>
      <x:c r="I196" s="60" t="n">
        <x:v>349.771509786</x:v>
      </x:c>
      <x:c r="J196" s="60" t="n">
        <x:v>349.771509786</x:v>
      </x:c>
      <x:c r="K196" s="60" t="n">
        <x:v>0</x:v>
      </x:c>
      <x:c r="L196" s="60" t="n">
        <x:v>134.0242966324</x:v>
      </x:c>
      <x:c r="M196" s="60" t="n">
        <x:v>215.7472131536</x:v>
      </x:c>
      <x:c r="N196" s="46" t="str">
        <x:v>sphyraenidae</x:v>
      </x:c>
      <x:c r="O196" s="62" t="n">
        <x:v>4.4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Sphyraenidae</x:v>
      </x:c>
      <x:c r="T196" s="62" t="n">
        <x:f>IF(O196="","",(1/'Metadata'!$B$5)^(O196-1))</x:f>
        <x:v>26515.632138719924</x:v>
      </x:c>
      <x:c r="U196" s="60" t="n">
        <x:f>IF(T196="","",I196*T196)</x:f>
        <x:v>9274412.686090253</x:v>
      </x:c>
    </x:row>
    <x:row r="197" ht="18" customHeight="1">
      <x:c r="A197" s="46" t="str">
        <x:v>LME_026</x:v>
      </x:c>
      <x:c r="B197" s="46" t="str">
        <x:v>Mediterranean Sea</x:v>
      </x:c>
      <x:c r="C197" s="46" t="str">
        <x:v>LME</x:v>
      </x:c>
      <x:c r="D197" s="58" t="n">
        <x:v>2019</x:v>
      </x:c>
      <x:c r="E197" s="46" t="str">
        <x:v>Epinephelus aeneus</x:v>
      </x:c>
      <x:c r="F197" s="46" t="str">
        <x:v>White grouper</x:v>
      </x:c>
      <x:c r="G197" s="46" t="str">
        <x:v>Large demersals (&gt;=90 cm)</x:v>
      </x:c>
      <x:c r="H197" s="46" t="str">
        <x:v>Perch-likes</x:v>
      </x:c>
      <x:c r="I197" s="60" t="n">
        <x:v>346.78394949</x:v>
      </x:c>
      <x:c r="J197" s="60" t="n">
        <x:v>325.7325956469</x:v>
      </x:c>
      <x:c r="K197" s="60" t="n">
        <x:v>21.0513538431</x:v>
      </x:c>
      <x:c r="L197" s="60" t="n">
        <x:v>254.23464170469998</x:v>
      </x:c>
      <x:c r="M197" s="60" t="n">
        <x:v>92.5493077853</x:v>
      </x:c>
      <x:c r="N197" s="46" t="str">
        <x:v>epinephelus aeneus</x:v>
      </x:c>
      <x:c r="O197" s="62" t="n">
        <x:v>4.02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Epinephelus aeneus</x:v>
      </x:c>
      <x:c r="T197" s="62" t="n">
        <x:f>IF(O197="","",(1/'Metadata'!$B$5)^(O197-1))</x:f>
        <x:v>8493.967342839818</x:v>
      </x:c>
      <x:c r="U197" s="60" t="n">
        <x:f>IF(T197="","",I197*T197)</x:f>
        <x:v>2945571.541989073</x:v>
      </x:c>
    </x:row>
    <x:row r="198" ht="18" customHeight="1">
      <x:c r="A198" s="46" t="str">
        <x:v>LME_026</x:v>
      </x:c>
      <x:c r="B198" s="46" t="str">
        <x:v>Mediterranean Sea</x:v>
      </x:c>
      <x:c r="C198" s="46" t="str">
        <x:v>LME</x:v>
      </x:c>
      <x:c r="D198" s="58" t="n">
        <x:v>2019</x:v>
      </x:c>
      <x:c r="E198" s="46" t="str">
        <x:v>Portunus</x:v>
      </x:c>
      <x:c r="F198" s="46" t="str">
        <x:v>Swimmer crabs</x:v>
      </x:c>
      <x:c r="G198" s="46" t="str">
        <x:v>Lobsters, crabs</x:v>
      </x:c>
      <x:c r="H198" s="46" t="str">
        <x:v>Crustaceans</x:v>
      </x:c>
      <x:c r="I198" s="60" t="n">
        <x:v>328.8330824832</x:v>
      </x:c>
      <x:c r="J198" s="60" t="n">
        <x:v>328.8330824832</x:v>
      </x:c>
      <x:c r="K198" s="60" t="n">
        <x:v>0</x:v>
      </x:c>
      <x:c r="L198" s="60" t="n">
        <x:v>328.8330824832</x:v>
      </x:c>
      <x:c r="M198" s="60" t="n">
        <x:v>0</x:v>
      </x:c>
      <x:c r="N198" s="46" t="str">
        <x:v>portunus</x:v>
      </x:c>
      <x:c r="O198" s="62" t="n">
        <x:v>3.26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Portunus</x:v>
      </x:c>
      <x:c r="T198" s="62" t="n">
        <x:f>IF(O198="","",(1/'Metadata'!$B$5)^(O198-1))</x:f>
        <x:v>871.6212107848935</x:v>
      </x:c>
      <x:c r="U198" s="60" t="n">
        <x:f>IF(T198="","",I198*T198)</x:f>
        <x:v>286617.8895001355</x:v>
      </x:c>
    </x:row>
    <x:row r="199" ht="18" customHeight="1">
      <x:c r="A199" s="46" t="str">
        <x:v>LME_026</x:v>
      </x:c>
      <x:c r="B199" s="46" t="str">
        <x:v>Mediterranean Sea</x:v>
      </x:c>
      <x:c r="C199" s="46" t="str">
        <x:v>LME</x:v>
      </x:c>
      <x:c r="D199" s="58" t="n">
        <x:v>2019</x:v>
      </x:c>
      <x:c r="E199" s="46" t="str">
        <x:v>Scophthalmidae</x:v>
      </x:c>
      <x:c r="F199" s="46" t="str">
        <x:v>Turbots</x:v>
      </x:c>
      <x:c r="G199" s="46" t="str">
        <x:v>Small to medium flatfishes (&lt;90 cm)</x:v>
      </x:c>
      <x:c r="H199" s="46" t="str">
        <x:v>Flatfishes</x:v>
      </x:c>
      <x:c r="I199" s="60" t="n">
        <x:v>328.6596216625</x:v>
      </x:c>
      <x:c r="J199" s="60" t="n">
        <x:v>328.6491768053</x:v>
      </x:c>
      <x:c r="K199" s="60" t="n">
        <x:v>0.0104448572</x:v>
      </x:c>
      <x:c r="L199" s="60" t="n">
        <x:v>327.0004242142</x:v>
      </x:c>
      <x:c r="M199" s="60" t="n">
        <x:v>1.6591974483</x:v>
      </x:c>
      <x:c r="N199" s="46" t="str">
        <x:v>scophthalmidae</x:v>
      </x:c>
      <x:c r="O199" s="62" t="n">
        <x:v>3.71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Scophthalmidae</x:v>
      </x:c>
      <x:c r="T199" s="62" t="n">
        <x:f>IF(O199="","",(1/'Metadata'!$B$5)^(O199-1))</x:f>
        <x:v>3355.7630537706395</x:v>
      </x:c>
      <x:c r="U199" s="60" t="n">
        <x:f>IF(T199="","",I199*T199)</x:f>
        <x:v>1102903.815641254</x:v>
      </x:c>
    </x:row>
    <x:row r="200" ht="18" customHeight="1">
      <x:c r="A200" s="46" t="str">
        <x:v>LME_026</x:v>
      </x:c>
      <x:c r="B200" s="46" t="str">
        <x:v>Mediterranean Sea</x:v>
      </x:c>
      <x:c r="C200" s="46" t="str">
        <x:v>LME</x:v>
      </x:c>
      <x:c r="D200" s="58" t="n">
        <x:v>2019</x:v>
      </x:c>
      <x:c r="E200" s="46" t="str">
        <x:v>Argentina sphyraena</x:v>
      </x:c>
      <x:c r="F200" s="46" t="str">
        <x:v>European argentine</x:v>
      </x:c>
      <x:c r="G200" s="46" t="str">
        <x:v>Medium pelagics (30 - 89 cm)</x:v>
      </x:c>
      <x:c r="H200" s="46" t="str">
        <x:v>Salmon, smelts, etc</x:v>
      </x:c>
      <x:c r="I200" s="60" t="n">
        <x:v>320.2131298397</x:v>
      </x:c>
      <x:c r="J200" s="60" t="n">
        <x:v>83.2441406038</x:v>
      </x:c>
      <x:c r="K200" s="60" t="n">
        <x:v>236.9689892359</x:v>
      </x:c>
      <x:c r="L200" s="60" t="n">
        <x:v>78.3551940624</x:v>
      </x:c>
      <x:c r="M200" s="60" t="n">
        <x:v>241.8579357773</x:v>
      </x:c>
      <x:c r="N200" s="46" t="str">
        <x:v>argentina sphyraena</x:v>
      </x:c>
      <x:c r="O200" s="62" t="n">
        <x:v>3.62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Argentina sphyraena</x:v>
      </x:c>
      <x:c r="T200" s="62" t="n">
        <x:f>IF(O200="","",(1/'Metadata'!$B$5)^(O200-1))</x:f>
        <x:v>2562.7048371775754</x:v>
      </x:c>
      <x:c r="U200" s="60" t="n">
        <x:f>IF(T200="","",I200*T200)</x:f>
        <x:v>820611.7367679703</x:v>
      </x:c>
    </x:row>
    <x:row r="201" ht="18" customHeight="1">
      <x:c r="A201" s="46" t="str">
        <x:v>LME_026</x:v>
      </x:c>
      <x:c r="B201" s="46" t="str">
        <x:v>Mediterranean Sea</x:v>
      </x:c>
      <x:c r="C201" s="46" t="str">
        <x:v>LME</x:v>
      </x:c>
      <x:c r="D201" s="58" t="n">
        <x:v>2019</x:v>
      </x:c>
      <x:c r="E201" s="46" t="str">
        <x:v>Pomadasys incisus</x:v>
      </x:c>
      <x:c r="F201" s="46" t="str">
        <x:v>Bastard grunt</x:v>
      </x:c>
      <x:c r="G201" s="46" t="str">
        <x:v>Medium demersals (30 - 89 cm)</x:v>
      </x:c>
      <x:c r="H201" s="46" t="str">
        <x:v>Perch-likes</x:v>
      </x:c>
      <x:c r="I201" s="60" t="n">
        <x:v>315.60684534520004</x:v>
      </x:c>
      <x:c r="J201" s="60" t="n">
        <x:v>314.8655876215</x:v>
      </x:c>
      <x:c r="K201" s="60" t="n">
        <x:v>0.7412577237</x:v>
      </x:c>
      <x:c r="L201" s="60" t="n">
        <x:v>4.5418902313</x:v>
      </x:c>
      <x:c r="M201" s="60" t="n">
        <x:v>311.0649551139</x:v>
      </x:c>
      <x:c r="N201" s="46" t="str">
        <x:v>pomadasys incisus</x:v>
      </x:c>
      <x:c r="O201" s="62" t="n">
        <x:v>3.8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Pomadasys incisus</x:v>
      </x:c>
      <x:c r="T201" s="62" t="n">
        <x:f>IF(O201="","",(1/'Metadata'!$B$5)^(O201-1))</x:f>
        <x:v>4394.242173224468</x:v>
      </x:c>
      <x:c r="U201" s="60" t="n">
        <x:f>IF(T201="","",I201*T201)</x:f>
        <x:v>1386852.9099742104</x:v>
      </x:c>
    </x:row>
    <x:row r="202" ht="18" customHeight="1">
      <x:c r="A202" s="46" t="str">
        <x:v>LME_026</x:v>
      </x:c>
      <x:c r="B202" s="46" t="str">
        <x:v>Mediterranean Sea</x:v>
      </x:c>
      <x:c r="C202" s="46" t="str">
        <x:v>LME</x:v>
      </x:c>
      <x:c r="D202" s="58" t="n">
        <x:v>2019</x:v>
      </x:c>
      <x:c r="E202" s="46" t="str">
        <x:v>Marine finfishes not identified</x:v>
      </x:c>
      <x:c r="F202" s="46" t="str">
        <x:v>Finfishes</x:v>
      </x:c>
      <x:c r="G202" s="46" t="str">
        <x:v>Medium demersals (30 - 89 cm)</x:v>
      </x:c>
      <x:c r="H202" s="46" t="str">
        <x:v>Other fishes &amp; inverts</x:v>
      </x:c>
      <x:c r="I202" s="60" t="n">
        <x:v>315.5354723827</x:v>
      </x:c>
      <x:c r="J202" s="60" t="n">
        <x:v>25.4069555982</x:v>
      </x:c>
      <x:c r="K202" s="60" t="n">
        <x:v>290.1285167845</x:v>
      </x:c>
      <x:c r="L202" s="60" t="n">
        <x:v>0</x:v>
      </x:c>
      <x:c r="M202" s="60" t="n">
        <x:v>315.5354723827</x:v>
      </x:c>
      <x:c r="N202" s="46" t="str">
        <x:v>marine finfishes not identified</x:v>
      </x:c>
      <x:c r="O202" s="62" t="n">
        <x:v>3.23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Marine finfishes not identified</x:v>
      </x:c>
      <x:c r="T202" s="62" t="n">
        <x:f>IF(O202="","",(1/'Metadata'!$B$5)^(O202-1))</x:f>
        <x:v>796.7038031673321</x:v>
      </x:c>
      <x:c r="U202" s="60" t="n">
        <x:f>IF(T202="","",I202*T202)</x:f>
        <x:v>251388.31088149777</x:v>
      </x:c>
    </x:row>
    <x:row r="203" ht="18" customHeight="1">
      <x:c r="A203" s="46" t="str">
        <x:v>LME_026</x:v>
      </x:c>
      <x:c r="B203" s="46" t="str">
        <x:v>Mediterranean Sea</x:v>
      </x:c>
      <x:c r="C203" s="46" t="str">
        <x:v>LME</x:v>
      </x:c>
      <x:c r="D203" s="58" t="n">
        <x:v>2019</x:v>
      </x:c>
      <x:c r="E203" s="46" t="str">
        <x:v>Arnoglossus laterna</x:v>
      </x:c>
      <x:c r="F203" s="46" t="str">
        <x:v>Mediterranean scaldfish</x:v>
      </x:c>
      <x:c r="G203" s="46" t="str">
        <x:v>Small to medium flatfishes (&lt;90 cm)</x:v>
      </x:c>
      <x:c r="H203" s="46" t="str">
        <x:v>Flatfishes</x:v>
      </x:c>
      <x:c r="I203" s="60" t="n">
        <x:v>313.2171376516</x:v>
      </x:c>
      <x:c r="J203" s="60" t="n">
        <x:v>294.0455899986</x:v>
      </x:c>
      <x:c r="K203" s="60" t="n">
        <x:v>19.171547653</x:v>
      </x:c>
      <x:c r="L203" s="60" t="n">
        <x:v>229.4041889601</x:v>
      </x:c>
      <x:c r="M203" s="60" t="n">
        <x:v>83.8129486915</x:v>
      </x:c>
      <x:c r="N203" s="46" t="str">
        <x:v>arnoglossus laterna</x:v>
      </x:c>
      <x:c r="O203" s="62" t="n">
        <x:v>3.59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Arnoglossus laterna</x:v>
      </x:c>
      <x:c r="T203" s="62" t="n">
        <x:f>IF(O203="","",(1/'Metadata'!$B$5)^(O203-1))</x:f>
        <x:v>2342.4357563948306</x:v>
      </x:c>
      <x:c r="U203" s="60" t="n">
        <x:f>IF(T203="","",I203*T203)</x:f>
        <x:v>733691.0227507495</x:v>
      </x:c>
    </x:row>
    <x:row r="204" ht="18" customHeight="1">
      <x:c r="A204" s="46" t="str">
        <x:v>LME_026</x:v>
      </x:c>
      <x:c r="B204" s="46" t="str">
        <x:v>Mediterranean Sea</x:v>
      </x:c>
      <x:c r="C204" s="46" t="str">
        <x:v>LME</x:v>
      </x:c>
      <x:c r="D204" s="58" t="n">
        <x:v>2019</x:v>
      </x:c>
      <x:c r="E204" s="46" t="str">
        <x:v>Batoidea</x:v>
      </x:c>
      <x:c r="F204" s="46" t="str">
        <x:v>Batoids, skates, rays, sawfishes</x:v>
      </x:c>
      <x:c r="G204" s="46" t="str">
        <x:v>Large rays (&gt;=90 cm)</x:v>
      </x:c>
      <x:c r="H204" s="46" t="str">
        <x:v>Sharks &amp; rays</x:v>
      </x:c>
      <x:c r="I204" s="60" t="n">
        <x:v>312.29222524079995</x:v>
      </x:c>
      <x:c r="J204" s="60" t="n">
        <x:v>310.8909318293</x:v>
      </x:c>
      <x:c r="K204" s="60" t="n">
        <x:v>1.4012934115</x:v>
      </x:c>
      <x:c r="L204" s="60" t="n">
        <x:v>0</x:v>
      </x:c>
      <x:c r="M204" s="60" t="n">
        <x:v>312.29222524079995</x:v>
      </x:c>
      <x:c r="N204" s="46" t="str">
        <x:v>batoidea</x:v>
      </x:c>
      <x:c r="O204" s="62" t="n">
        <x:v>3.72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Batoidea</x:v>
      </x:c>
      <x:c r="T204" s="62" t="n">
        <x:f>IF(O204="","",(1/'Metadata'!$B$5)^(O204-1))</x:f>
        <x:v>3457.8136804537753</x:v>
      </x:c>
      <x:c r="U204" s="60" t="n">
        <x:f>IF(T204="","",I204*T204)</x:f>
        <x:v>1079848.3287369898</x:v>
      </x:c>
    </x:row>
    <x:row r="205" ht="18" customHeight="1">
      <x:c r="A205" s="46" t="str">
        <x:v>LME_026</x:v>
      </x:c>
      <x:c r="B205" s="46" t="str">
        <x:v>Mediterranean Sea</x:v>
      </x:c>
      <x:c r="C205" s="46" t="str">
        <x:v>LME</x:v>
      </x:c>
      <x:c r="D205" s="58" t="n">
        <x:v>2019</x:v>
      </x:c>
      <x:c r="E205" s="46" t="str">
        <x:v>Sepia</x:v>
      </x:c>
      <x:c r="F205" s="46" t="str">
        <x:v>Sepia cuttlefishes</x:v>
      </x:c>
      <x:c r="G205" s="46" t="str">
        <x:v>Cephalopods</x:v>
      </x:c>
      <x:c r="H205" s="46" t="str">
        <x:v>Other fishes &amp; inverts</x:v>
      </x:c>
      <x:c r="I205" s="60" t="n">
        <x:v>297.8146268615</x:v>
      </x:c>
      <x:c r="J205" s="60" t="n">
        <x:v>10.7829571309</x:v>
      </x:c>
      <x:c r="K205" s="60" t="n">
        <x:v>287.0316697306</x:v>
      </x:c>
      <x:c r="L205" s="60" t="n">
        <x:v>10.7829571309</x:v>
      </x:c>
      <x:c r="M205" s="60" t="n">
        <x:v>287.0316697306</x:v>
      </x:c>
      <x:c r="N205" s="46" t="str">
        <x:v>sepia</x:v>
      </x:c>
      <x:c r="O205" s="62" t="n">
        <x:v>3.69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Sepia</x:v>
      </x:c>
      <x:c r="T205" s="62" t="n">
        <x:f>IF(O205="","",(1/'Metadata'!$B$5)^(O205-1))</x:f>
        <x:v>3160.6083878807954</x:v>
      </x:c>
      <x:c r="U205" s="60" t="n">
        <x:f>IF(T205="","",I205*T205)</x:f>
        <x:v>941275.4076920461</x:v>
      </x:c>
    </x:row>
    <x:row r="206" ht="18" customHeight="1">
      <x:c r="A206" s="46" t="str">
        <x:v>LME_026</x:v>
      </x:c>
      <x:c r="B206" s="46" t="str">
        <x:v>Mediterranean Sea</x:v>
      </x:c>
      <x:c r="C206" s="46" t="str">
        <x:v>LME</x:v>
      </x:c>
      <x:c r="D206" s="58" t="n">
        <x:v>2019</x:v>
      </x:c>
      <x:c r="E206" s="46" t="str">
        <x:v>Cetorhinus maximus</x:v>
      </x:c>
      <x:c r="F206" s="46" t="str">
        <x:v>Basking shark</x:v>
      </x:c>
      <x:c r="G206" s="46" t="str">
        <x:v>Large sharks (&gt;=90 cm)</x:v>
      </x:c>
      <x:c r="H206" s="46" t="str">
        <x:v>Sharks &amp; rays</x:v>
      </x:c>
      <x:c r="I206" s="60" t="n">
        <x:v>292.2370717094</x:v>
      </x:c>
      <x:c r="J206" s="60" t="n">
        <x:v>292.2115039943</x:v>
      </x:c>
      <x:c r="K206" s="60" t="n">
        <x:v>0.0255677151</x:v>
      </x:c>
      <x:c r="L206" s="60" t="n">
        <x:v>229.94626159080002</x:v>
      </x:c>
      <x:c r="M206" s="60" t="n">
        <x:v>62.29081011860001</x:v>
      </x:c>
      <x:c r="N206" s="46" t="str">
        <x:v>cetorhinus maximus</x:v>
      </x:c>
      <x:c r="O206" s="62" t="n">
        <x:v>3.2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Cetorhinus maximus</x:v>
      </x:c>
      <x:c r="T206" s="62" t="n">
        <x:f>IF(O206="","",(1/'Metadata'!$B$5)^(O206-1))</x:f>
        <x:v>728.2256812104325</x:v>
      </x:c>
      <x:c r="U206" s="60" t="n">
        <x:f>IF(T206="","",I206*T206)</x:f>
        <x:v>212814.54062051987</x:v>
      </x:c>
    </x:row>
    <x:row r="207" ht="18" customHeight="1">
      <x:c r="A207" s="46" t="str">
        <x:v>LME_026</x:v>
      </x:c>
      <x:c r="B207" s="46" t="str">
        <x:v>Mediterranean Sea</x:v>
      </x:c>
      <x:c r="C207" s="46" t="str">
        <x:v>LME</x:v>
      </x:c>
      <x:c r="D207" s="58" t="n">
        <x:v>2019</x:v>
      </x:c>
      <x:c r="E207" s="46" t="str">
        <x:v>Diplodus puntazzo</x:v>
      </x:c>
      <x:c r="F207" s="46" t="str">
        <x:v>Sharpsnout seabream</x:v>
      </x:c>
      <x:c r="G207" s="46" t="str">
        <x:v>Medium benthopelagics (30 - 89 cm)</x:v>
      </x:c>
      <x:c r="H207" s="46" t="str">
        <x:v>Perch-likes</x:v>
      </x:c>
      <x:c r="I207" s="60" t="n">
        <x:v>284.1490109257</x:v>
      </x:c>
      <x:c r="J207" s="60" t="n">
        <x:v>283.4688930313</x:v>
      </x:c>
      <x:c r="K207" s="60" t="n">
        <x:v>0.6801178943999999</x:v>
      </x:c>
      <x:c r="L207" s="60" t="n">
        <x:v>53.3823444727</x:v>
      </x:c>
      <x:c r="M207" s="60" t="n">
        <x:v>230.766666453</x:v>
      </x:c>
      <x:c r="N207" s="46" t="str">
        <x:v>diplodus puntazzo</x:v>
      </x:c>
      <x:c r="O207" s="62" t="n">
        <x:v>3.22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Diplodus puntazzo</x:v>
      </x:c>
      <x:c r="T207" s="62" t="n">
        <x:f>IF(O207="","",(1/'Metadata'!$B$5)^(O207-1))</x:f>
        <x:v>773.1906443023378</x:v>
      </x:c>
      <x:c r="U207" s="60" t="n">
        <x:f>IF(T207="","",I207*T207)</x:f>
        <x:v>219701.356835514</x:v>
      </x:c>
    </x:row>
    <x:row r="208" ht="18" customHeight="1">
      <x:c r="A208" s="46" t="str">
        <x:v>LME_026</x:v>
      </x:c>
      <x:c r="B208" s="46" t="str">
        <x:v>Mediterranean Sea</x:v>
      </x:c>
      <x:c r="C208" s="46" t="str">
        <x:v>LME</x:v>
      </x:c>
      <x:c r="D208" s="58" t="n">
        <x:v>2019</x:v>
      </x:c>
      <x:c r="E208" s="46" t="str">
        <x:v>Paracentrotus lividus</x:v>
      </x:c>
      <x:c r="F208" s="46" t="str">
        <x:v>Stony sea urchin</x:v>
      </x:c>
      <x:c r="G208" s="46" t="str">
        <x:v>Other demersal invertebrates</x:v>
      </x:c>
      <x:c r="H208" s="46" t="str">
        <x:v>Other fishes &amp; inverts</x:v>
      </x:c>
      <x:c r="I208" s="60" t="n">
        <x:v>268.7256018374</x:v>
      </x:c>
      <x:c r="J208" s="60" t="n">
        <x:v>267.5454061831</x:v>
      </x:c>
      <x:c r="K208" s="60" t="n">
        <x:v>1.1801956543</x:v>
      </x:c>
      <x:c r="L208" s="60" t="n">
        <x:v>156.435100341</x:v>
      </x:c>
      <x:c r="M208" s="60" t="n">
        <x:v>112.2905014964</x:v>
      </x:c>
      <x:c r="N208" s="46" t="str">
        <x:v>paracentrotus lividus</x:v>
      </x:c>
      <x:c r="O208" s="62" t="n">
        <x:v>2.3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Paracentrotus lividus</x:v>
      </x:c>
      <x:c r="T208" s="62" t="n">
        <x:f>IF(O208="","",(1/'Metadata'!$B$5)^(O208-1))</x:f>
        <x:v>49.12912104463159</x:v>
      </x:c>
      <x:c r="U208" s="60" t="n">
        <x:f>IF(T208="","",I208*T208)</x:f>
        <x:v>13202.252620461099</x:v>
      </x:c>
    </x:row>
    <x:row r="209" ht="18" customHeight="1">
      <x:c r="A209" s="46" t="str">
        <x:v>LME_026</x:v>
      </x:c>
      <x:c r="B209" s="46" t="str">
        <x:v>Mediterranean Sea</x:v>
      </x:c>
      <x:c r="C209" s="46" t="str">
        <x:v>LME</x:v>
      </x:c>
      <x:c r="D209" s="58" t="n">
        <x:v>2019</x:v>
      </x:c>
      <x:c r="E209" s="46" t="str">
        <x:v>Dasyatidae</x:v>
      </x:c>
      <x:c r="F209" s="46" t="str">
        <x:v>Whiptail stingrays</x:v>
      </x:c>
      <x:c r="G209" s="46" t="str">
        <x:v>Large rays (&gt;=90 cm)</x:v>
      </x:c>
      <x:c r="H209" s="46" t="str">
        <x:v>Sharks &amp; rays</x:v>
      </x:c>
      <x:c r="I209" s="60" t="n">
        <x:v>262.91340966539997</x:v>
      </x:c>
      <x:c r="J209" s="60" t="n">
        <x:v>250.6888490806</x:v>
      </x:c>
      <x:c r="K209" s="60" t="n">
        <x:v>12.224560584799999</x:v>
      </x:c>
      <x:c r="L209" s="60" t="n">
        <x:v>1.0104052729</x:v>
      </x:c>
      <x:c r="M209" s="60" t="n">
        <x:v>261.9030043925</x:v>
      </x:c>
      <x:c r="N209" s="46" t="str">
        <x:v>dasyatidae</x:v>
      </x:c>
      <x:c r="O209" s="62" t="n">
        <x:v>3.38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Dasyatidae</x:v>
      </x:c>
      <x:c r="T209" s="62" t="n">
        <x:f>IF(O209="","",(1/'Metadata'!$B$5)^(O209-1))</x:f>
        <x:v>1248.6806726928048</x:v>
      </x:c>
      <x:c r="U209" s="60" t="n">
        <x:f>IF(T209="","",I209*T209)</x:f>
        <x:v>328294.8932409506</x:v>
      </x:c>
    </x:row>
    <x:row r="210" ht="18" customHeight="1">
      <x:c r="A210" s="46" t="str">
        <x:v>LME_026</x:v>
      </x:c>
      <x:c r="B210" s="46" t="str">
        <x:v>Mediterranean Sea</x:v>
      </x:c>
      <x:c r="C210" s="46" t="str">
        <x:v>LME</x:v>
      </x:c>
      <x:c r="D210" s="58" t="n">
        <x:v>2019</x:v>
      </x:c>
      <x:c r="E210" s="46" t="str">
        <x:v>Macroramphosus scolopax</x:v>
      </x:c>
      <x:c r="F210" s="46" t="str">
        <x:v>Longspine snipefish</x:v>
      </x:c>
      <x:c r="G210" s="46" t="str">
        <x:v>Small demersals (&lt;30 cm)</x:v>
      </x:c>
      <x:c r="H210" s="46" t="str">
        <x:v>Other fishes &amp; inverts</x:v>
      </x:c>
      <x:c r="I210" s="60" t="n">
        <x:v>262.8188697634</x:v>
      </x:c>
      <x:c r="J210" s="60" t="n">
        <x:v>0.0528177341</x:v>
      </x:c>
      <x:c r="K210" s="60" t="n">
        <x:v>262.7660520293</x:v>
      </x:c>
      <x:c r="L210" s="60" t="n">
        <x:v>0.0511990967</x:v>
      </x:c>
      <x:c r="M210" s="60" t="n">
        <x:v>262.76767066670004</x:v>
      </x:c>
      <x:c r="N210" s="46" t="str">
        <x:v>macroramphosus scolopax</x:v>
      </x:c>
      <x:c r="O210" s="62" t="n">
        <x:v>3.47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Macroramphosus scolopax</x:v>
      </x:c>
      <x:c r="T210" s="62" t="n">
        <x:f>IF(O210="","",(1/'Metadata'!$B$5)^(O210-1))</x:f>
        <x:v>1635.0991368927735</x:v>
      </x:c>
      <x:c r="U210" s="60" t="n">
        <x:f>IF(T210="","",I210*T210)</x:f>
        <x:v>429734.9071092696</x:v>
      </x:c>
    </x:row>
    <x:row r="211" ht="18" customHeight="1">
      <x:c r="A211" s="46" t="str">
        <x:v>LME_026</x:v>
      </x:c>
      <x:c r="B211" s="46" t="str">
        <x:v>Mediterranean Sea</x:v>
      </x:c>
      <x:c r="C211" s="46" t="str">
        <x:v>LME</x:v>
      </x:c>
      <x:c r="D211" s="58" t="n">
        <x:v>2019</x:v>
      </x:c>
      <x:c r="E211" s="46" t="str">
        <x:v>Acanthocybium solandri</x:v>
      </x:c>
      <x:c r="F211" s="46" t="str">
        <x:v>Wahoo</x:v>
      </x:c>
      <x:c r="G211" s="46" t="str">
        <x:v>Large pelagics (&gt;=90 cm)</x:v>
      </x:c>
      <x:c r="H211" s="46" t="str">
        <x:v>Perch-likes</x:v>
      </x:c>
      <x:c r="I211" s="60" t="n">
        <x:v>262.46625981110003</x:v>
      </x:c>
      <x:c r="J211" s="60" t="n">
        <x:v>262.46625981110003</x:v>
      </x:c>
      <x:c r="K211" s="60" t="n">
        <x:v>0</x:v>
      </x:c>
      <x:c r="L211" s="60" t="n">
        <x:v>262.46625981110003</x:v>
      </x:c>
      <x:c r="M211" s="60" t="n">
        <x:v>0</x:v>
      </x:c>
      <x:c r="N211" s="46" t="str">
        <x:v>acanthocybium solandri</x:v>
      </x:c>
      <x:c r="O211" s="62" t="n">
        <x:v>4.26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Acanthocybium solandri</x:v>
      </x:c>
      <x:c r="T211" s="62" t="n">
        <x:f>IF(O211="","",(1/'Metadata'!$B$5)^(O211-1))</x:f>
        <x:v>17432.42421569787</x:v>
      </x:c>
      <x:c r="U211" s="60" t="n">
        <x:f>IF(T211="","",I211*T211)</x:f>
        <x:v>4575423.183334668</x:v>
      </x:c>
    </x:row>
    <x:row r="212" ht="18" customHeight="1">
      <x:c r="A212" s="46" t="str">
        <x:v>LME_026</x:v>
      </x:c>
      <x:c r="B212" s="46" t="str">
        <x:v>Mediterranean Sea</x:v>
      </x:c>
      <x:c r="C212" s="46" t="str">
        <x:v>LME</x:v>
      </x:c>
      <x:c r="D212" s="58" t="n">
        <x:v>2019</x:v>
      </x:c>
      <x:c r="E212" s="46" t="str">
        <x:v>Platichthys flesus</x:v>
      </x:c>
      <x:c r="F212" s="46" t="str">
        <x:v>European flounder</x:v>
      </x:c>
      <x:c r="G212" s="46" t="str">
        <x:v>Small to medium flatfishes (&lt;90 cm)</x:v>
      </x:c>
      <x:c r="H212" s="46" t="str">
        <x:v>Flatfishes</x:v>
      </x:c>
      <x:c r="I212" s="60" t="n">
        <x:v>256.0146925258</x:v>
      </x:c>
      <x:c r="J212" s="60" t="n">
        <x:v>255.9880788412</x:v>
      </x:c>
      <x:c r="K212" s="60" t="n">
        <x:v>0.0266136846</x:v>
      </x:c>
      <x:c r="L212" s="60" t="n">
        <x:v>32.8759336488</x:v>
      </x:c>
      <x:c r="M212" s="60" t="n">
        <x:v>223.13875887700001</x:v>
      </x:c>
      <x:c r="N212" s="46" t="str">
        <x:v>platichthys flesus</x:v>
      </x:c>
      <x:c r="O212" s="62" t="n">
        <x:v>3.32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Platichthys flesus</x:v>
      </x:c>
      <x:c r="T212" s="62" t="n">
        <x:f>IF(O212="","",(1/'Metadata'!$B$5)^(O212-1))</x:f>
        <x:v>1043.2528743388143</x:v>
      </x:c>
      <x:c r="U212" s="60" t="n">
        <x:f>IF(T212="","",I212*T212)</x:f>
        <x:v>267088.0638505086</x:v>
      </x:c>
    </x:row>
    <x:row r="213" ht="18" customHeight="1">
      <x:c r="A213" s="46" t="str">
        <x:v>LME_026</x:v>
      </x:c>
      <x:c r="B213" s="46" t="str">
        <x:v>Mediterranean Sea</x:v>
      </x:c>
      <x:c r="C213" s="46" t="str">
        <x:v>LME</x:v>
      </x:c>
      <x:c r="D213" s="58" t="n">
        <x:v>2019</x:v>
      </x:c>
      <x:c r="E213" s="46" t="str">
        <x:v>Sepiidae</x:v>
      </x:c>
      <x:c r="F213" s="46" t="str">
        <x:v>Cuttlefishes</x:v>
      </x:c>
      <x:c r="G213" s="46" t="str">
        <x:v>Cephalopods</x:v>
      </x:c>
      <x:c r="H213" s="46" t="str">
        <x:v>Other fishes &amp; inverts</x:v>
      </x:c>
      <x:c r="I213" s="60" t="n">
        <x:v>255.6394814912</x:v>
      </x:c>
      <x:c r="J213" s="60" t="n">
        <x:v>154.81592959809998</x:v>
      </x:c>
      <x:c r="K213" s="60" t="n">
        <x:v>100.82355189309999</x:v>
      </x:c>
      <x:c r="L213" s="60" t="n">
        <x:v>122.5947853061</x:v>
      </x:c>
      <x:c r="M213" s="60" t="n">
        <x:v>133.0446961851</x:v>
      </x:c>
      <x:c r="N213" s="46" t="str">
        <x:v>sepiidae</x:v>
      </x:c>
      <x:c r="O213" s="62" t="n">
        <x:v>3.6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Sepiidae</x:v>
      </x:c>
      <x:c r="T213" s="62" t="n">
        <x:f>IF(O213="","",(1/'Metadata'!$B$5)^(O213-1))</x:f>
        <x:v>2413.670534618066</x:v>
      </x:c>
      <x:c r="U213" s="60" t="n">
        <x:f>IF(T213="","",I213*T213)</x:f>
        <x:v>617029.4839603499</x:v>
      </x:c>
    </x:row>
    <x:row r="214" ht="18" customHeight="1">
      <x:c r="A214" s="46" t="str">
        <x:v>LME_026</x:v>
      </x:c>
      <x:c r="B214" s="46" t="str">
        <x:v>Mediterranean Sea</x:v>
      </x:c>
      <x:c r="C214" s="46" t="str">
        <x:v>LME</x:v>
      </x:c>
      <x:c r="D214" s="58" t="n">
        <x:v>2019</x:v>
      </x:c>
      <x:c r="E214" s="46" t="str">
        <x:v>Trachurus picturatus</x:v>
      </x:c>
      <x:c r="F214" s="46" t="str">
        <x:v>Blue jack mackerel</x:v>
      </x:c>
      <x:c r="G214" s="46" t="str">
        <x:v>Medium benthopelagics (30 - 89 cm)</x:v>
      </x:c>
      <x:c r="H214" s="46" t="str">
        <x:v>Perch-likes</x:v>
      </x:c>
      <x:c r="I214" s="60" t="n">
        <x:v>254.9329520643</x:v>
      </x:c>
      <x:c r="J214" s="60" t="n">
        <x:v>38.3170242838</x:v>
      </x:c>
      <x:c r="K214" s="60" t="n">
        <x:v>216.61592778050002</x:v>
      </x:c>
      <x:c r="L214" s="60" t="n">
        <x:v>34.6095516918</x:v>
      </x:c>
      <x:c r="M214" s="60" t="n">
        <x:v>220.3234003725</x:v>
      </x:c>
      <x:c r="N214" s="46" t="str">
        <x:v>trachurus picturatus</x:v>
      </x:c>
      <x:c r="O214" s="62" t="n">
        <x:v>3.32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Trachurus picturatus</x:v>
      </x:c>
      <x:c r="T214" s="62" t="n">
        <x:f>IF(O214="","",(1/'Metadata'!$B$5)^(O214-1))</x:f>
        <x:v>1043.2528743388143</x:v>
      </x:c>
      <x:c r="U214" s="60" t="n">
        <x:f>IF(T214="","",I214*T214)</x:f>
        <x:v>265959.53500476014</x:v>
      </x:c>
    </x:row>
    <x:row r="215" ht="18" customHeight="1">
      <x:c r="A215" s="46" t="str">
        <x:v>LME_026</x:v>
      </x:c>
      <x:c r="B215" s="46" t="str">
        <x:v>Mediterranean Sea</x:v>
      </x:c>
      <x:c r="C215" s="46" t="str">
        <x:v>LME</x:v>
      </x:c>
      <x:c r="D215" s="58" t="n">
        <x:v>2019</x:v>
      </x:c>
      <x:c r="E215" s="46" t="str">
        <x:v>Uranoscopus scaber</x:v>
      </x:c>
      <x:c r="F215" s="46" t="str">
        <x:v>Stargazer</x:v>
      </x:c>
      <x:c r="G215" s="46" t="str">
        <x:v>Medium demersals (30 - 89 cm)</x:v>
      </x:c>
      <x:c r="H215" s="46" t="str">
        <x:v>Perch-likes</x:v>
      </x:c>
      <x:c r="I215" s="60" t="n">
        <x:v>249.0267732239</x:v>
      </x:c>
      <x:c r="J215" s="60" t="n">
        <x:v>233.9105338338</x:v>
      </x:c>
      <x:c r="K215" s="60" t="n">
        <x:v>15.1162393901</x:v>
      </x:c>
      <x:c r="L215" s="60" t="n">
        <x:v>193.1790093466</x:v>
      </x:c>
      <x:c r="M215" s="60" t="n">
        <x:v>55.8477638773</x:v>
      </x:c>
      <x:c r="N215" s="46" t="str">
        <x:v>uranoscopus scaber</x:v>
      </x:c>
      <x:c r="O215" s="62" t="n">
        <x:v>4.38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Uranoscopus scaber</x:v>
      </x:c>
      <x:c r="T215" s="62" t="n">
        <x:f>IF(O215="","",(1/'Metadata'!$B$5)^(O215-1))</x:f>
        <x:v>24973.6134538561</x:v>
      </x:c>
      <x:c r="U215" s="60" t="n">
        <x:f>IF(T215="","",I215*T215)</x:f>
        <x:v>6219098.3741547605</x:v>
      </x:c>
    </x:row>
    <x:row r="216" ht="18" customHeight="1">
      <x:c r="A216" s="46" t="str">
        <x:v>LME_026</x:v>
      </x:c>
      <x:c r="B216" s="46" t="str">
        <x:v>Mediterranean Sea</x:v>
      </x:c>
      <x:c r="C216" s="46" t="str">
        <x:v>LME</x:v>
      </x:c>
      <x:c r="D216" s="58" t="n">
        <x:v>2019</x:v>
      </x:c>
      <x:c r="E216" s="46" t="str">
        <x:v>Acanthocardia tuberculata</x:v>
      </x:c>
      <x:c r="F216" s="46" t="str">
        <x:v>Tuberculate cockle</x:v>
      </x:c>
      <x:c r="G216" s="46" t="str">
        <x:v>Other demersal invertebrates</x:v>
      </x:c>
      <x:c r="H216" s="46" t="str">
        <x:v>Molluscs</x:v>
      </x:c>
      <x:c r="I216" s="60" t="n">
        <x:v>244.3383041235</x:v>
      </x:c>
      <x:c r="J216" s="60" t="n">
        <x:v>151.8164341392</x:v>
      </x:c>
      <x:c r="K216" s="60" t="n">
        <x:v>92.5218699843</x:v>
      </x:c>
      <x:c r="L216" s="60" t="n">
        <x:v>53.2155842827</x:v>
      </x:c>
      <x:c r="M216" s="60" t="n">
        <x:v>191.1227198408</x:v>
      </x:c>
      <x:c r="N216" s="46" t="str">
        <x:v>acanthocardia tuberculata</x:v>
      </x:c>
      <x:c r="O216" s="62" t="n">
        <x:v>2.5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Acanthocardia tuberculata</x:v>
      </x:c>
      <x:c r="T216" s="62" t="n">
        <x:f>IF(O216="","",(1/'Metadata'!$B$5)^(O216-1))</x:f>
        <x:v>89.44271909999159</x:v>
      </x:c>
      <x:c r="U216" s="60" t="n">
        <x:f>IF(T216="","",I216*T216)</x:f>
        <x:v>21854.28230108653</x:v>
      </x:c>
    </x:row>
    <x:row r="217" ht="18" customHeight="1">
      <x:c r="A217" s="46" t="str">
        <x:v>LME_026</x:v>
      </x:c>
      <x:c r="B217" s="46" t="str">
        <x:v>Mediterranean Sea</x:v>
      </x:c>
      <x:c r="C217" s="46" t="str">
        <x:v>LME</x:v>
      </x:c>
      <x:c r="D217" s="58" t="n">
        <x:v>2019</x:v>
      </x:c>
      <x:c r="E217" s="46" t="str">
        <x:v>Polyprion americanus</x:v>
      </x:c>
      <x:c r="F217" s="46" t="str">
        <x:v>Wreckfish</x:v>
      </x:c>
      <x:c r="G217" s="46" t="str">
        <x:v>Large bathydemersals (&gt;=90 cm)</x:v>
      </x:c>
      <x:c r="H217" s="46" t="str">
        <x:v>Perch-likes</x:v>
      </x:c>
      <x:c r="I217" s="60" t="n">
        <x:v>242.6661023773</x:v>
      </x:c>
      <x:c r="J217" s="60" t="n">
        <x:v>231.3028641866</x:v>
      </x:c>
      <x:c r="K217" s="60" t="n">
        <x:v>11.3632381907</x:v>
      </x:c>
      <x:c r="L217" s="60" t="n">
        <x:v>33.690390695699996</x:v>
      </x:c>
      <x:c r="M217" s="60" t="n">
        <x:v>208.97571168160002</x:v>
      </x:c>
      <x:c r="N217" s="46" t="str">
        <x:v>polyprion americanus</x:v>
      </x:c>
      <x:c r="O217" s="62" t="n">
        <x:v>4.14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Polyprion americanus</x:v>
      </x:c>
      <x:c r="T217" s="62" t="n">
        <x:f>IF(O217="","",(1/'Metadata'!$B$5)^(O217-1))</x:f>
        <x:v>12168.419864331923</x:v>
      </x:c>
      <x:c r="U217" s="60" t="n">
        <x:f>IF(T217="","",I217*T217)</x:f>
        <x:v>2952863.0205679415</x:v>
      </x:c>
    </x:row>
    <x:row r="218" ht="18" customHeight="1">
      <x:c r="A218" s="46" t="str">
        <x:v>LME_026</x:v>
      </x:c>
      <x:c r="B218" s="46" t="str">
        <x:v>Mediterranean Sea</x:v>
      </x:c>
      <x:c r="C218" s="46" t="str">
        <x:v>LME</x:v>
      </x:c>
      <x:c r="D218" s="58" t="n">
        <x:v>2019</x:v>
      </x:c>
      <x:c r="E218" s="46" t="str">
        <x:v>Raja asterias</x:v>
      </x:c>
      <x:c r="F218" s="46" t="str">
        <x:v>Mediterranean starry ray</x:v>
      </x:c>
      <x:c r="G218" s="46" t="str">
        <x:v>Small to medium rays (&lt;90 cm)</x:v>
      </x:c>
      <x:c r="H218" s="46" t="str">
        <x:v>Sharks &amp; rays</x:v>
      </x:c>
      <x:c r="I218" s="60" t="n">
        <x:v>233.8489605238</x:v>
      </x:c>
      <x:c r="J218" s="60" t="n">
        <x:v>227.4198652082</x:v>
      </x:c>
      <x:c r="K218" s="60" t="n">
        <x:v>6.4290953156</x:v>
      </x:c>
      <x:c r="L218" s="60" t="n">
        <x:v>184.5217359202</x:v>
      </x:c>
      <x:c r="M218" s="60" t="n">
        <x:v>49.3272246036</x:v>
      </x:c>
      <x:c r="N218" s="46" t="str">
        <x:v>raja asterias</x:v>
      </x:c>
      <x:c r="O218" s="62" t="n">
        <x:v>3.5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Raja asterias</x:v>
      </x:c>
      <x:c r="T218" s="62" t="n">
        <x:f>IF(O218="","",(1/'Metadata'!$B$5)^(O218-1))</x:f>
        <x:v>1788.8543819998317</x:v>
      </x:c>
      <x:c r="U218" s="60" t="n">
        <x:f>IF(T218="","",I218*T218)</x:f>
        <x:v>418321.7377591053</x:v>
      </x:c>
    </x:row>
    <x:row r="219" ht="18" customHeight="1">
      <x:c r="A219" s="46" t="str">
        <x:v>LME_026</x:v>
      </x:c>
      <x:c r="B219" s="46" t="str">
        <x:v>Mediterranean Sea</x:v>
      </x:c>
      <x:c r="C219" s="46" t="str">
        <x:v>LME</x:v>
      </x:c>
      <x:c r="D219" s="58" t="n">
        <x:v>2019</x:v>
      </x:c>
      <x:c r="E219" s="46" t="str">
        <x:v>Balistidae</x:v>
      </x:c>
      <x:c r="F219" s="46" t="str">
        <x:v>Triggerfishes</x:v>
      </x:c>
      <x:c r="G219" s="46" t="str">
        <x:v>Medium reef assoc. fish (30 - 89 cm)</x:v>
      </x:c>
      <x:c r="H219" s="46" t="str">
        <x:v>Other fishes &amp; inverts</x:v>
      </x:c>
      <x:c r="I219" s="60" t="n">
        <x:v>229.1700934647</x:v>
      </x:c>
      <x:c r="J219" s="60" t="n">
        <x:v>228.9201018271</x:v>
      </x:c>
      <x:c r="K219" s="60" t="n">
        <x:v>0.24999163759999998</x:v>
      </x:c>
      <x:c r="L219" s="60" t="n">
        <x:v>5.3477254637</x:v>
      </x:c>
      <x:c r="M219" s="60" t="n">
        <x:v>223.822368001</x:v>
      </x:c>
      <x:c r="N219" s="46" t="str">
        <x:v>balistidae</x:v>
      </x:c>
      <x:c r="O219" s="62" t="n">
        <x:v>3.25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Balistidae</x:v>
      </x:c>
      <x:c r="T219" s="62" t="n">
        <x:f>IF(O219="","",(1/'Metadata'!$B$5)^(O219-1))</x:f>
        <x:v>845.8970107524513</x:v>
      </x:c>
      <x:c r="U219" s="60" t="n">
        <x:f>IF(T219="","",I219*T219)</x:f>
        <x:v>193854.2970156496</x:v>
      </x:c>
    </x:row>
    <x:row r="220" ht="18" customHeight="1">
      <x:c r="A220" s="46" t="str">
        <x:v>LME_026</x:v>
      </x:c>
      <x:c r="B220" s="46" t="str">
        <x:v>Mediterranean Sea</x:v>
      </x:c>
      <x:c r="C220" s="46" t="str">
        <x:v>LME</x:v>
      </x:c>
      <x:c r="D220" s="58" t="n">
        <x:v>2019</x:v>
      </x:c>
      <x:c r="E220" s="46" t="str">
        <x:v>Scaridae</x:v>
      </x:c>
      <x:c r="F220" s="46" t="str">
        <x:v>Parrotfishes</x:v>
      </x:c>
      <x:c r="G220" s="46" t="str">
        <x:v>Medium reef assoc. fish (30 - 89 cm)</x:v>
      </x:c>
      <x:c r="H220" s="46" t="str">
        <x:v>Perch-likes</x:v>
      </x:c>
      <x:c r="I220" s="60" t="n">
        <x:v>220.3465569245</x:v>
      </x:c>
      <x:c r="J220" s="60" t="n">
        <x:v>220.0989531766</x:v>
      </x:c>
      <x:c r="K220" s="60" t="n">
        <x:v>0.2476037479</x:v>
      </x:c>
      <x:c r="L220" s="60" t="n">
        <x:v>191.8301295596</x:v>
      </x:c>
      <x:c r="M220" s="60" t="n">
        <x:v>28.5164273649</x:v>
      </x:c>
      <x:c r="N220" s="46" t="str">
        <x:v>scaridae</x:v>
      </x:c>
      <x:c r="O220" s="62" t="n">
        <x:v>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Scaridae</x:v>
      </x:c>
      <x:c r="T220" s="62" t="n">
        <x:f>IF(O220="","",(1/'Metadata'!$B$5)^(O220-1))</x:f>
        <x:v>20</x:v>
      </x:c>
      <x:c r="U220" s="60" t="n">
        <x:f>IF(T220="","",I220*T220)</x:f>
        <x:v>4406.93113849</x:v>
      </x:c>
    </x:row>
    <x:row r="221" ht="18" customHeight="1">
      <x:c r="A221" s="46" t="str">
        <x:v>LME_026</x:v>
      </x:c>
      <x:c r="B221" s="46" t="str">
        <x:v>Mediterranean Sea</x:v>
      </x:c>
      <x:c r="C221" s="46" t="str">
        <x:v>LME</x:v>
      </x:c>
      <x:c r="D221" s="58" t="n">
        <x:v>2019</x:v>
      </x:c>
      <x:c r="E221" s="46" t="str">
        <x:v>Hoplostethus mediterraneus</x:v>
      </x:c>
      <x:c r="F221" s="46" t="str">
        <x:v>Mediterranean slimehead</x:v>
      </x:c>
      <x:c r="G221" s="46" t="str">
        <x:v>Medium benthopelagics (30 - 89 cm)</x:v>
      </x:c>
      <x:c r="H221" s="46" t="str">
        <x:v>Other fishes &amp; inverts</x:v>
      </x:c>
      <x:c r="I221" s="60" t="n">
        <x:v>217.4740230123</x:v>
      </x:c>
      <x:c r="J221" s="60" t="n">
        <x:v>0.7795491305000001</x:v>
      </x:c>
      <x:c r="K221" s="60" t="n">
        <x:v>216.69447388179998</x:v>
      </x:c>
      <x:c r="L221" s="60" t="n">
        <x:v>0.7138600328</x:v>
      </x:c>
      <x:c r="M221" s="60" t="n">
        <x:v>216.7601629795</x:v>
      </x:c>
      <x:c r="N221" s="46" t="str">
        <x:v>hoplostethus mediterraneus</x:v>
      </x:c>
      <x:c r="O221" s="62" t="n">
        <x:v>3.49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Hoplostethus mediterraneus</x:v>
      </x:c>
      <x:c r="T221" s="62" t="n">
        <x:f>IF(O221="","",(1/'Metadata'!$B$5)^(O221-1))</x:f>
        <x:v>1736.059833884101</x:v>
      </x:c>
      <x:c r="U221" s="60" t="n">
        <x:f>IF(T221="","",I221*T221)</x:f>
        <x:v>377547.9162648407</x:v>
      </x:c>
    </x:row>
    <x:row r="222" ht="18" customHeight="1">
      <x:c r="A222" s="46" t="str">
        <x:v>LME_026</x:v>
      </x:c>
      <x:c r="B222" s="46" t="str">
        <x:v>Mediterranean Sea</x:v>
      </x:c>
      <x:c r="C222" s="46" t="str">
        <x:v>LME</x:v>
      </x:c>
      <x:c r="D222" s="58" t="n">
        <x:v>2019</x:v>
      </x:c>
      <x:c r="E222" s="46" t="str">
        <x:v>Scophthalmus rhombus</x:v>
      </x:c>
      <x:c r="F222" s="46" t="str">
        <x:v>Brill</x:v>
      </x:c>
      <x:c r="G222" s="46" t="str">
        <x:v>Small to medium flatfishes (&lt;90 cm)</x:v>
      </x:c>
      <x:c r="H222" s="46" t="str">
        <x:v>Flatfishes</x:v>
      </x:c>
      <x:c r="I222" s="60" t="n">
        <x:v>209.2530332956</x:v>
      </x:c>
      <x:c r="J222" s="60" t="n">
        <x:v>207.7320133373</x:v>
      </x:c>
      <x:c r="K222" s="60" t="n">
        <x:v>1.5210199583</x:v>
      </x:c>
      <x:c r="L222" s="60" t="n">
        <x:v>122.32359100400001</x:v>
      </x:c>
      <x:c r="M222" s="60" t="n">
        <x:v>86.9294422916</x:v>
      </x:c>
      <x:c r="N222" s="46" t="str">
        <x:v>scophthalmus rhombus</x:v>
      </x:c>
      <x:c r="O222" s="62" t="n">
        <x:v>4.42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Scophthalmus rhombus</x:v>
      </x:c>
      <x:c r="T222" s="62" t="n">
        <x:f>IF(O222="","",(1/'Metadata'!$B$5)^(O222-1))</x:f>
        <x:v>28152.864182630117</x:v>
      </x:c>
      <x:c r="U222" s="60" t="n">
        <x:f>IF(T222="","",I222*T222)</x:f>
        <x:v>5891072.226174405</x:v>
      </x:c>
    </x:row>
    <x:row r="223" ht="18" customHeight="1">
      <x:c r="A223" s="46" t="str">
        <x:v>LME_026</x:v>
      </x:c>
      <x:c r="B223" s="46" t="str">
        <x:v>Mediterranean Sea</x:v>
      </x:c>
      <x:c r="C223" s="46" t="str">
        <x:v>LME</x:v>
      </x:c>
      <x:c r="D223" s="58" t="n">
        <x:v>2019</x:v>
      </x:c>
      <x:c r="E223" s="46" t="str">
        <x:v>Trisopterus luscus</x:v>
      </x:c>
      <x:c r="F223" s="46" t="str">
        <x:v>Pouting</x:v>
      </x:c>
      <x:c r="G223" s="46" t="str">
        <x:v>Medium benthopelagics (30 - 89 cm)</x:v>
      </x:c>
      <x:c r="H223" s="46" t="str">
        <x:v>Cod-likes</x:v>
      </x:c>
      <x:c r="I223" s="60" t="n">
        <x:v>207.5498122848</x:v>
      </x:c>
      <x:c r="J223" s="60" t="n">
        <x:v>166.3167612365</x:v>
      </x:c>
      <x:c r="K223" s="60" t="n">
        <x:v>41.233051048300005</x:v>
      </x:c>
      <x:c r="L223" s="60" t="n">
        <x:v>152.7923563897</x:v>
      </x:c>
      <x:c r="M223" s="60" t="n">
        <x:v>54.7574558951</x:v>
      </x:c>
      <x:c r="N223" s="46" t="str">
        <x:v>trisopterus luscus</x:v>
      </x:c>
      <x:c r="O223" s="62" t="n">
        <x:v>3.73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Trisopterus luscus</x:v>
      </x:c>
      <x:c r="T223" s="62" t="n">
        <x:f>IF(O223="","",(1/'Metadata'!$B$5)^(O223-1))</x:f>
        <x:v>3562.967723629534</x:v>
      </x:c>
      <x:c r="U223" s="60" t="n">
        <x:f>IF(T223="","",I223*T223)</x:f>
        <x:v>739493.2822161108</x:v>
      </x:c>
    </x:row>
    <x:row r="224" ht="18" customHeight="1">
      <x:c r="A224" s="46" t="str">
        <x:v>LME_026</x:v>
      </x:c>
      <x:c r="B224" s="46" t="str">
        <x:v>Mediterranean Sea</x:v>
      </x:c>
      <x:c r="C224" s="46" t="str">
        <x:v>LME</x:v>
      </x:c>
      <x:c r="D224" s="58" t="n">
        <x:v>2019</x:v>
      </x:c>
      <x:c r="E224" s="46" t="str">
        <x:v>Chondrichthyes</x:v>
      </x:c>
      <x:c r="F224" s="46" t="str">
        <x:v>Sharks, rays, chimaeras</x:v>
      </x:c>
      <x:c r="G224" s="46" t="str">
        <x:v>Large sharks (&gt;=90 cm)</x:v>
      </x:c>
      <x:c r="H224" s="46" t="str">
        <x:v>Sharks &amp; rays</x:v>
      </x:c>
      <x:c r="I224" s="60" t="n">
        <x:v>205.8957860552</x:v>
      </x:c>
      <x:c r="J224" s="60" t="n">
        <x:v>205.7759817633</x:v>
      </x:c>
      <x:c r="K224" s="60" t="n">
        <x:v>0.1198042919</x:v>
      </x:c>
      <x:c r="L224" s="60" t="n">
        <x:v>40.975867690799994</x:v>
      </x:c>
      <x:c r="M224" s="60" t="n">
        <x:v>164.9199183644</x:v>
      </x:c>
      <x:c r="N224" s="46" t="str">
        <x:v>chondrichthyes</x:v>
      </x:c>
      <x:c r="O224" s="62" t="n">
        <x:v>4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Chondrichthyes</x:v>
      </x:c>
      <x:c r="T224" s="62" t="n">
        <x:f>IF(O224="","",(1/'Metadata'!$B$5)^(O224-1))</x:f>
        <x:v>8000</x:v>
      </x:c>
      <x:c r="U224" s="60" t="n">
        <x:f>IF(T224="","",I224*T224)</x:f>
        <x:v>1647166.2884416</x:v>
      </x:c>
    </x:row>
    <x:row r="225" ht="18" customHeight="1">
      <x:c r="A225" s="46" t="str">
        <x:v>LME_026</x:v>
      </x:c>
      <x:c r="B225" s="46" t="str">
        <x:v>Mediterranean Sea</x:v>
      </x:c>
      <x:c r="C225" s="46" t="str">
        <x:v>LME</x:v>
      </x:c>
      <x:c r="D225" s="58" t="n">
        <x:v>2019</x:v>
      </x:c>
      <x:c r="E225" s="46" t="str">
        <x:v>Umbrina cirrosa</x:v>
      </x:c>
      <x:c r="F225" s="46" t="str">
        <x:v>Shi drum</x:v>
      </x:c>
      <x:c r="G225" s="46" t="str">
        <x:v>Medium demersals (30 - 89 cm)</x:v>
      </x:c>
      <x:c r="H225" s="46" t="str">
        <x:v>Perch-likes</x:v>
      </x:c>
      <x:c r="I225" s="60" t="n">
        <x:v>204.91241977709998</x:v>
      </x:c>
      <x:c r="J225" s="60" t="n">
        <x:v>196.8668782073</x:v>
      </x:c>
      <x:c r="K225" s="60" t="n">
        <x:v>8.0455415698</x:v>
      </x:c>
      <x:c r="L225" s="60" t="n">
        <x:v>143.6674450771</x:v>
      </x:c>
      <x:c r="M225" s="60" t="n">
        <x:v>61.2449747</x:v>
      </x:c>
      <x:c r="N225" s="46" t="str">
        <x:v>umbrina cirrosa</x:v>
      </x:c>
      <x:c r="O225" s="62" t="n">
        <x:v>3.46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Umbrina cirrosa</x:v>
      </x:c>
      <x:c r="T225" s="62" t="n">
        <x:f>IF(O225="","",(1/'Metadata'!$B$5)^(O225-1))</x:f>
        <x:v>1586.8423749532276</x:v>
      </x:c>
      <x:c r="U225" s="60" t="n">
        <x:f>IF(T225="","",I225*T225)</x:f>
        <x:v>325163.7108565061</x:v>
      </x:c>
    </x:row>
    <x:row r="226" ht="18" customHeight="1">
      <x:c r="A226" s="46" t="str">
        <x:v>LME_026</x:v>
      </x:c>
      <x:c r="B226" s="46" t="str">
        <x:v>Mediterranean Sea</x:v>
      </x:c>
      <x:c r="C226" s="46" t="str">
        <x:v>LME</x:v>
      </x:c>
      <x:c r="D226" s="58" t="n">
        <x:v>2019</x:v>
      </x:c>
      <x:c r="E226" s="46" t="str">
        <x:v>Atherina boyeri</x:v>
      </x:c>
      <x:c r="F226" s="46" t="str">
        <x:v>Big-scale sand smelt</x:v>
      </x:c>
      <x:c r="G226" s="46" t="str">
        <x:v>Small demersals (&lt;30 cm)</x:v>
      </x:c>
      <x:c r="H226" s="46" t="str">
        <x:v>Other fishes &amp; inverts</x:v>
      </x:c>
      <x:c r="I226" s="60" t="n">
        <x:v>201.8365568476</x:v>
      </x:c>
      <x:c r="J226" s="60" t="n">
        <x:v>185.40700154569998</x:v>
      </x:c>
      <x:c r="K226" s="60" t="n">
        <x:v>16.4295553019</x:v>
      </x:c>
      <x:c r="L226" s="60" t="n">
        <x:v>84.49968762179999</x:v>
      </x:c>
      <x:c r="M226" s="60" t="n">
        <x:v>117.3368692258</x:v>
      </x:c>
      <x:c r="N226" s="46" t="str">
        <x:v>atherina boyeri</x:v>
      </x:c>
      <x:c r="O226" s="62" t="n">
        <x:v>3.22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Atherina boyeri</x:v>
      </x:c>
      <x:c r="T226" s="62" t="n">
        <x:f>IF(O226="","",(1/'Metadata'!$B$5)^(O226-1))</x:f>
        <x:v>773.1906443023378</x:v>
      </x:c>
      <x:c r="U226" s="60" t="n">
        <x:f>IF(T226="","",I226*T226)</x:f>
        <x:v>156058.1374327613</x:v>
      </x:c>
    </x:row>
    <x:row r="227" ht="18" customHeight="1">
      <x:c r="A227" s="46" t="str">
        <x:v>LME_026</x:v>
      </x:c>
      <x:c r="B227" s="46" t="str">
        <x:v>Mediterranean Sea</x:v>
      </x:c>
      <x:c r="C227" s="46" t="str">
        <x:v>LME</x:v>
      </x:c>
      <x:c r="D227" s="58" t="n">
        <x:v>2019</x:v>
      </x:c>
      <x:c r="E227" s="46" t="str">
        <x:v>Argentina</x:v>
      </x:c>
      <x:c r="F227" s="46" t="str">
        <x:v>Argentines</x:v>
      </x:c>
      <x:c r="G227" s="46" t="str">
        <x:v>Medium bathydemersals (30 - 89 cm)</x:v>
      </x:c>
      <x:c r="H227" s="46" t="str">
        <x:v>Salmon, smelts, etc</x:v>
      </x:c>
      <x:c r="I227" s="60" t="n">
        <x:v>197.2388065815</x:v>
      </x:c>
      <x:c r="J227" s="60" t="n">
        <x:v>68.6519511935</x:v>
      </x:c>
      <x:c r="K227" s="60" t="n">
        <x:v>128.586855388</x:v>
      </x:c>
      <x:c r="L227" s="60" t="n">
        <x:v>49.478439720100006</x:v>
      </x:c>
      <x:c r="M227" s="60" t="n">
        <x:v>147.7603668614</x:v>
      </x:c>
      <x:c r="N227" s="46" t="str">
        <x:v>argentina</x:v>
      </x:c>
      <x:c r="O227" s="62" t="n">
        <x:v>3.35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Argentina</x:v>
      </x:c>
      <x:c r="T227" s="62" t="n">
        <x:f>IF(O227="","",(1/'Metadata'!$B$5)^(O227-1))</x:f>
        <x:v>1141.3543275066227</x:v>
      </x:c>
      <x:c r="U227" s="60" t="n">
        <x:f>IF(T227="","",I227*T227)</x:f>
        <x:v>225119.36544403675</x:v>
      </x:c>
    </x:row>
    <x:row r="228" ht="18" customHeight="1">
      <x:c r="A228" s="46" t="str">
        <x:v>LME_026</x:v>
      </x:c>
      <x:c r="B228" s="46" t="str">
        <x:v>Mediterranean Sea</x:v>
      </x:c>
      <x:c r="C228" s="46" t="str">
        <x:v>LME</x:v>
      </x:c>
      <x:c r="D228" s="58" t="n">
        <x:v>2019</x:v>
      </x:c>
      <x:c r="E228" s="46" t="str">
        <x:v>Raja montagui</x:v>
      </x:c>
      <x:c r="F228" s="46" t="str">
        <x:v>Spotted ray</x:v>
      </x:c>
      <x:c r="G228" s="46" t="str">
        <x:v>Small to medium rays (&lt;90 cm)</x:v>
      </x:c>
      <x:c r="H228" s="46" t="str">
        <x:v>Sharks &amp; rays</x:v>
      </x:c>
      <x:c r="I228" s="60" t="n">
        <x:v>194.93805358260002</x:v>
      </x:c>
      <x:c r="J228" s="60" t="n">
        <x:v>190.5578094958</x:v>
      </x:c>
      <x:c r="K228" s="60" t="n">
        <x:v>4.380244086799999</x:v>
      </x:c>
      <x:c r="L228" s="60" t="n">
        <x:v>93.7975137547</x:v>
      </x:c>
      <x:c r="M228" s="60" t="n">
        <x:v>101.1405398279</x:v>
      </x:c>
      <x:c r="N228" s="46" t="str">
        <x:v>raja montagui</x:v>
      </x:c>
      <x:c r="O228" s="62" t="n">
        <x:v>3.88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Raja montagui</x:v>
      </x:c>
      <x:c r="T228" s="62" t="n">
        <x:f>IF(O228="","",(1/'Metadata'!$B$5)^(O228-1))</x:f>
        <x:v>5584.269732662554</x:v>
      </x:c>
      <x:c r="U228" s="60" t="n">
        <x:f>IF(T228="","",I228*T228)</x:f>
        <x:v>1088586.6723654645</x:v>
      </x:c>
    </x:row>
    <x:row r="229" ht="18" customHeight="1">
      <x:c r="A229" s="46" t="str">
        <x:v>LME_026</x:v>
      </x:c>
      <x:c r="B229" s="46" t="str">
        <x:v>Mediterranean Sea</x:v>
      </x:c>
      <x:c r="C229" s="46" t="str">
        <x:v>LME</x:v>
      </x:c>
      <x:c r="D229" s="58" t="n">
        <x:v>2019</x:v>
      </x:c>
      <x:c r="E229" s="46" t="str">
        <x:v>Sparisoma cretense</x:v>
      </x:c>
      <x:c r="F229" s="46" t="str">
        <x:v>Old parrotfish</x:v>
      </x:c>
      <x:c r="G229" s="46" t="str">
        <x:v>Medium reef assoc. fish (30 - 89 cm)</x:v>
      </x:c>
      <x:c r="H229" s="46" t="str">
        <x:v>Perch-likes</x:v>
      </x:c>
      <x:c r="I229" s="60" t="n">
        <x:v>189.42255285500002</x:v>
      </x:c>
      <x:c r="J229" s="60" t="n">
        <x:v>189.42255285500002</x:v>
      </x:c>
      <x:c r="K229" s="60" t="n">
        <x:v>0</x:v>
      </x:c>
      <x:c r="L229" s="60" t="n">
        <x:v>23.8512566226</x:v>
      </x:c>
      <x:c r="M229" s="60" t="n">
        <x:v>165.57129623240002</x:v>
      </x:c>
      <x:c r="N229" s="46" t="str">
        <x:v>sparisoma cretense</x:v>
      </x:c>
      <x:c r="O229" s="62" t="n">
        <x:v>2.86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Sparisoma cretense</x:v>
      </x:c>
      <x:c r="T229" s="62" t="n">
        <x:f>IF(O229="","",(1/'Metadata'!$B$5)^(O229-1))</x:f>
        <x:v>262.9758042274525</x:v>
      </x:c>
      <x:c r="U229" s="60" t="n">
        <x:f>IF(T229="","",I229*T229)</x:f>
        <x:v>49813.54817586076</x:v>
      </x:c>
    </x:row>
    <x:row r="230" ht="18" customHeight="1">
      <x:c r="A230" s="46" t="str">
        <x:v>LME_026</x:v>
      </x:c>
      <x:c r="B230" s="46" t="str">
        <x:v>Mediterranean Sea</x:v>
      </x:c>
      <x:c r="C230" s="46" t="str">
        <x:v>LME</x:v>
      </x:c>
      <x:c r="D230" s="58" t="n">
        <x:v>2019</x:v>
      </x:c>
      <x:c r="E230" s="46" t="str">
        <x:v>Scyliorhinidae</x:v>
      </x:c>
      <x:c r="F230" s="46" t="str">
        <x:v>Cat/swellsharks</x:v>
      </x:c>
      <x:c r="G230" s="46" t="str">
        <x:v>Large sharks (&gt;=90 cm)</x:v>
      </x:c>
      <x:c r="H230" s="46" t="str">
        <x:v>Sharks &amp; rays</x:v>
      </x:c>
      <x:c r="I230" s="60" t="n">
        <x:v>185.1929009634</x:v>
      </x:c>
      <x:c r="J230" s="60" t="n">
        <x:v>4.6489720941999995</x:v>
      </x:c>
      <x:c r="K230" s="60" t="n">
        <x:v>180.5439288692</x:v>
      </x:c>
      <x:c r="L230" s="60" t="n">
        <x:v>0.9958646378</x:v>
      </x:c>
      <x:c r="M230" s="60" t="n">
        <x:v>184.1970363256</x:v>
      </x:c>
      <x:c r="N230" s="46" t="str">
        <x:v>scyliorhinidae</x:v>
      </x:c>
      <x:c r="O230" s="62" t="n">
        <x:v>3.97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Scyliorhinidae</x:v>
      </x:c>
      <x:c r="T230" s="62" t="n">
        <x:f>IF(O230="","",(1/'Metadata'!$B$5)^(O230-1))</x:f>
        <x:v>7312.385640086951</x:v>
      </x:c>
      <x:c r="U230" s="60" t="n">
        <x:f>IF(T230="","",I230*T230)</x:f>
        <x:v>1354201.909650811</x:v>
      </x:c>
    </x:row>
    <x:row r="231" ht="18" customHeight="1">
      <x:c r="A231" s="46" t="str">
        <x:v>LME_026</x:v>
      </x:c>
      <x:c r="B231" s="46" t="str">
        <x:v>Mediterranean Sea</x:v>
      </x:c>
      <x:c r="C231" s="46" t="str">
        <x:v>LME</x:v>
      </x:c>
      <x:c r="D231" s="58" t="n">
        <x:v>2019</x:v>
      </x:c>
      <x:c r="E231" s="46" t="str">
        <x:v>Squatina squatina</x:v>
      </x:c>
      <x:c r="F231" s="46" t="str">
        <x:v>Angelshark</x:v>
      </x:c>
      <x:c r="G231" s="46" t="str">
        <x:v>Large sharks (&gt;=90 cm)</x:v>
      </x:c>
      <x:c r="H231" s="46" t="str">
        <x:v>Sharks &amp; rays</x:v>
      </x:c>
      <x:c r="I231" s="60" t="n">
        <x:v>183.5211463309</x:v>
      </x:c>
      <x:c r="J231" s="60" t="n">
        <x:v>183.4601507221</x:v>
      </x:c>
      <x:c r="K231" s="60" t="n">
        <x:v>0.060995608800000004</x:v>
      </x:c>
      <x:c r="L231" s="60" t="n">
        <x:v>154.5824636971</x:v>
      </x:c>
      <x:c r="M231" s="60" t="n">
        <x:v>28.9386826338</x:v>
      </x:c>
      <x:c r="N231" s="46" t="str">
        <x:v>squatina squatina</x:v>
      </x:c>
      <x:c r="O231" s="62" t="n">
        <x:v>4.05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Squatina squatina</x:v>
      </x:c>
      <x:c r="T231" s="62" t="n">
        <x:f>IF(O231="","",(1/'Metadata'!$B$5)^(O231-1))</x:f>
        <x:v>9292.690797132333</x:v>
      </x:c>
      <x:c r="U231" s="60" t="n">
        <x:f>IF(T231="","",I231*T231)</x:f>
        <x:v>1705405.2675883304</x:v>
      </x:c>
    </x:row>
    <x:row r="232" ht="18" customHeight="1">
      <x:c r="A232" s="46" t="str">
        <x:v>LME_026</x:v>
      </x:c>
      <x:c r="B232" s="46" t="str">
        <x:v>Mediterranean Sea</x:v>
      </x:c>
      <x:c r="C232" s="46" t="str">
        <x:v>LME</x:v>
      </x:c>
      <x:c r="D232" s="58" t="n">
        <x:v>2019</x:v>
      </x:c>
      <x:c r="E232" s="46" t="str">
        <x:v>Galeorhinus galeus</x:v>
      </x:c>
      <x:c r="F232" s="46" t="str">
        <x:v>Tope shark</x:v>
      </x:c>
      <x:c r="G232" s="46" t="str">
        <x:v>Large sharks (&gt;=90 cm)</x:v>
      </x:c>
      <x:c r="H232" s="46" t="str">
        <x:v>Sharks &amp; rays</x:v>
      </x:c>
      <x:c r="I232" s="60" t="n">
        <x:v>180.41860725</x:v>
      </x:c>
      <x:c r="J232" s="60" t="n">
        <x:v>4.1088050544</x:v>
      </x:c>
      <x:c r="K232" s="60" t="n">
        <x:v>176.30980219559999</x:v>
      </x:c>
      <x:c r="L232" s="60" t="n">
        <x:v>3.5137436957</x:v>
      </x:c>
      <x:c r="M232" s="60" t="n">
        <x:v>176.9048635543</x:v>
      </x:c>
      <x:c r="N232" s="46" t="str">
        <x:v>galeorhinus galeus</x:v>
      </x:c>
      <x:c r="O232" s="62" t="n">
        <x:v>4.34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Galeorhinus galeus</x:v>
      </x:c>
      <x:c r="T232" s="62" t="n">
        <x:f>IF(O232="","",(1/'Metadata'!$B$5)^(O232-1))</x:f>
        <x:v>22153.389612394185</x:v>
      </x:c>
      <x:c r="U232" s="60" t="n">
        <x:f>IF(T232="","",I232*T232)</x:f>
        <x:v>3996883.6997347763</x:v>
      </x:c>
    </x:row>
    <x:row r="233" ht="18" customHeight="1">
      <x:c r="A233" s="46" t="str">
        <x:v>LME_026</x:v>
      </x:c>
      <x:c r="B233" s="46" t="str">
        <x:v>Mediterranean Sea</x:v>
      </x:c>
      <x:c r="C233" s="46" t="str">
        <x:v>LME</x:v>
      </x:c>
      <x:c r="D233" s="58" t="n">
        <x:v>2019</x:v>
      </x:c>
      <x:c r="E233" s="46" t="str">
        <x:v>Murex</x:v>
      </x:c>
      <x:c r="F233" s="46" t="str">
        <x:v>Murex shells</x:v>
      </x:c>
      <x:c r="G233" s="46" t="str">
        <x:v>Other demersal invertebrates</x:v>
      </x:c>
      <x:c r="H233" s="46" t="str">
        <x:v>Molluscs</x:v>
      </x:c>
      <x:c r="I233" s="60" t="n">
        <x:v>180.33935448690002</x:v>
      </x:c>
      <x:c r="J233" s="60" t="n">
        <x:v>176.2607510178</x:v>
      </x:c>
      <x:c r="K233" s="60" t="n">
        <x:v>4.0786034691</x:v>
      </x:c>
      <x:c r="L233" s="60" t="n">
        <x:v>4.6166740033</x:v>
      </x:c>
      <x:c r="M233" s="60" t="n">
        <x:v>175.72268048360002</x:v>
      </x:c>
      <x:c r="N233" s="46" t="str">
        <x:v>murex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Murex</x:v>
      </x:c>
      <x:c r="T233" s="62" t="n">
        <x:f>IF(O233="","",(1/'Metadata'!$B$5)^(O233-1))</x:f>
        <x:v>20</x:v>
      </x:c>
      <x:c r="U233" s="60" t="n">
        <x:f>IF(T233="","",I233*T233)</x:f>
        <x:v>3606.7870897380003</x:v>
      </x:c>
    </x:row>
    <x:row r="234" ht="18" customHeight="1">
      <x:c r="A234" s="46" t="str">
        <x:v>LME_026</x:v>
      </x:c>
      <x:c r="B234" s="46" t="str">
        <x:v>Mediterranean Sea</x:v>
      </x:c>
      <x:c r="C234" s="46" t="str">
        <x:v>LME</x:v>
      </x:c>
      <x:c r="D234" s="58" t="n">
        <x:v>2019</x:v>
      </x:c>
      <x:c r="E234" s="46" t="str">
        <x:v>Dicentrarchus</x:v>
      </x:c>
      <x:c r="F234" s="46" t="str">
        <x:v>Seabasses</x:v>
      </x:c>
      <x:c r="G234" s="46" t="str">
        <x:v>Large demersals (&gt;=90 cm)</x:v>
      </x:c>
      <x:c r="H234" s="46" t="str">
        <x:v>Perch-likes</x:v>
      </x:c>
      <x:c r="I234" s="60" t="n">
        <x:v>179.0935060856</x:v>
      </x:c>
      <x:c r="J234" s="60" t="n">
        <x:v>171.2843308468</x:v>
      </x:c>
      <x:c r="K234" s="60" t="n">
        <x:v>7.8091752388</x:v>
      </x:c>
      <x:c r="L234" s="60" t="n">
        <x:v>149.4034347581</x:v>
      </x:c>
      <x:c r="M234" s="60" t="n">
        <x:v>29.6900713275</x:v>
      </x:c>
      <x:c r="N234" s="46" t="str">
        <x:v>dicentrarchus</x:v>
      </x:c>
      <x:c r="O234" s="62" t="n">
        <x:v>3.94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Dicentrarchus</x:v>
      </x:c>
      <x:c r="T234" s="62" t="n">
        <x:f>IF(O234="","",(1/'Metadata'!$B$5)^(O234-1))</x:f>
        <x:v>6683.872968668722</x:v>
      </x:c>
      <x:c r="U234" s="60" t="n">
        <x:f>IF(T234="","",I234*T234)</x:f>
        <x:v>1197038.2441896491</x:v>
      </x:c>
    </x:row>
    <x:row r="235" ht="18" customHeight="1">
      <x:c r="A235" s="46" t="str">
        <x:v>LME_026</x:v>
      </x:c>
      <x:c r="B235" s="46" t="str">
        <x:v>Mediterranean Sea</x:v>
      </x:c>
      <x:c r="C235" s="46" t="str">
        <x:v>LME</x:v>
      </x:c>
      <x:c r="D235" s="58" t="n">
        <x:v>2019</x:v>
      </x:c>
      <x:c r="E235" s="46" t="str">
        <x:v>Gymnammodytes cicerelus</x:v>
      </x:c>
      <x:c r="F235" s="46" t="str">
        <x:v>Mediterranean sand eel</x:v>
      </x:c>
      <x:c r="G235" s="46" t="str">
        <x:v>Small demersals (&lt;30 cm)</x:v>
      </x:c>
      <x:c r="H235" s="46" t="str">
        <x:v>Perch-likes</x:v>
      </x:c>
      <x:c r="I235" s="60" t="n">
        <x:v>178.3249936526</x:v>
      </x:c>
      <x:c r="J235" s="60" t="n">
        <x:v>166.7629732065</x:v>
      </x:c>
      <x:c r="K235" s="60" t="n">
        <x:v>11.5620204461</x:v>
      </x:c>
      <x:c r="L235" s="60" t="n">
        <x:v>166.7163483687</x:v>
      </x:c>
      <x:c r="M235" s="60" t="n">
        <x:v>11.6086452839</x:v>
      </x:c>
      <x:c r="N235" s="46" t="str">
        <x:v>gymnammodytes cicerelus</x:v>
      </x:c>
      <x:c r="O235" s="62" t="n">
        <x:v>3.4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Gymnammodytes cicerelus</x:v>
      </x:c>
      <x:c r="T235" s="62" t="n">
        <x:f>IF(O235="","",(1/'Metadata'!$B$5)^(O235-1))</x:f>
        <x:v>1325.7816069359944</x:v>
      </x:c>
      <x:c r="U235" s="60" t="n">
        <x:f>IF(T235="","",I235*T235)</x:f>
        <x:v>236419.99664159503</x:v>
      </x:c>
    </x:row>
    <x:row r="236" ht="18" customHeight="1">
      <x:c r="A236" s="46" t="str">
        <x:v>LME_026</x:v>
      </x:c>
      <x:c r="B236" s="46" t="str">
        <x:v>Mediterranean Sea</x:v>
      </x:c>
      <x:c r="C236" s="46" t="str">
        <x:v>LME</x:v>
      </x:c>
      <x:c r="D236" s="58" t="n">
        <x:v>2019</x:v>
      </x:c>
      <x:c r="E236" s="46" t="str">
        <x:v>Aristaeomorpha foliacea</x:v>
      </x:c>
      <x:c r="F236" s="46" t="str">
        <x:v>Giant red shrimp</x:v>
      </x:c>
      <x:c r="G236" s="46" t="str">
        <x:v>Shrimps</x:v>
      </x:c>
      <x:c r="H236" s="46" t="str">
        <x:v>Crustaceans</x:v>
      </x:c>
      <x:c r="I236" s="60" t="n">
        <x:v>176.9034725443</x:v>
      </x:c>
      <x:c r="J236" s="60" t="n">
        <x:v>176.9034725443</x:v>
      </x:c>
      <x:c r="K236" s="60" t="n">
        <x:v>0</x:v>
      </x:c>
      <x:c r="L236" s="60" t="n">
        <x:v>110.6987556561</x:v>
      </x:c>
      <x:c r="M236" s="60" t="n">
        <x:v>66.20471688820001</x:v>
      </x:c>
      <x:c r="N236" s="46" t="str">
        <x:v>aristaeomorpha foliacea</x:v>
      </x:c>
      <x:c r="O236" s="62" t="n">
        <x:v>3.71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Aristaeomorpha foliacea</x:v>
      </x:c>
      <x:c r="T236" s="62" t="n">
        <x:f>IF(O236="","",(1/'Metadata'!$B$5)^(O236-1))</x:f>
        <x:v>3355.7630537706395</x:v>
      </x:c>
      <x:c r="U236" s="60" t="n">
        <x:f>IF(T236="","",I236*T236)</x:f>
        <x:v>593646.1372478907</x:v>
      </x:c>
    </x:row>
    <x:row r="237" ht="18" customHeight="1">
      <x:c r="A237" s="46" t="str">
        <x:v>LME_026</x:v>
      </x:c>
      <x:c r="B237" s="46" t="str">
        <x:v>Mediterranean Sea</x:v>
      </x:c>
      <x:c r="C237" s="46" t="str">
        <x:v>LME</x:v>
      </x:c>
      <x:c r="D237" s="58" t="n">
        <x:v>2019</x:v>
      </x:c>
      <x:c r="E237" s="46" t="str">
        <x:v>Pleuronectiformes</x:v>
      </x:c>
      <x:c r="F237" s="46" t="str">
        <x:v>Flatfishes</x:v>
      </x:c>
      <x:c r="G237" s="46" t="str">
        <x:v>Small to medium flatfishes (&lt;90 cm)</x:v>
      </x:c>
      <x:c r="H237" s="46" t="str">
        <x:v>Flatfishes</x:v>
      </x:c>
      <x:c r="I237" s="60" t="n">
        <x:v>175.5902697819</x:v>
      </x:c>
      <x:c r="J237" s="60" t="n">
        <x:v>161.2379808944</x:v>
      </x:c>
      <x:c r="K237" s="60" t="n">
        <x:v>14.352288887499999</x:v>
      </x:c>
      <x:c r="L237" s="60" t="n">
        <x:v>102.6385886636</x:v>
      </x:c>
      <x:c r="M237" s="60" t="n">
        <x:v>72.9516811183</x:v>
      </x:c>
      <x:c r="N237" s="46" t="str">
        <x:v>pleuronectiformes</x:v>
      </x:c>
      <x:c r="O237" s="62" t="n">
        <x:v>3.57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Pleuronectiformes</x:v>
      </x:c>
      <x:c r="T237" s="62" t="n">
        <x:f>IF(O237="","",(1/'Metadata'!$B$5)^(O237-1))</x:f>
        <x:v>2206.2112196552644</x:v>
      </x:c>
      <x:c r="U237" s="60" t="n">
        <x:f>IF(T237="","",I237*T237)</x:f>
        <x:v>387389.2232551225</x:v>
      </x:c>
    </x:row>
    <x:row r="238" ht="18" customHeight="1">
      <x:c r="A238" s="46" t="str">
        <x:v>LME_026</x:v>
      </x:c>
      <x:c r="B238" s="46" t="str">
        <x:v>Mediterranean Sea</x:v>
      </x:c>
      <x:c r="C238" s="46" t="str">
        <x:v>LME</x:v>
      </x:c>
      <x:c r="D238" s="58" t="n">
        <x:v>2019</x:v>
      </x:c>
      <x:c r="E238" s="46" t="str">
        <x:v>Scomberesocidae</x:v>
      </x:c>
      <x:c r="F238" s="46" t="str">
        <x:v>Sauries</x:v>
      </x:c>
      <x:c r="G238" s="46" t="str">
        <x:v>Medium pelagics (30 - 89 cm)</x:v>
      </x:c>
      <x:c r="H238" s="46" t="str">
        <x:v>Other fishes &amp; inverts</x:v>
      </x:c>
      <x:c r="I238" s="60" t="n">
        <x:v>175.4512537213</x:v>
      </x:c>
      <x:c r="J238" s="60" t="n">
        <x:v>167.4363833407</x:v>
      </x:c>
      <x:c r="K238" s="60" t="n">
        <x:v>8.0148703806</x:v>
      </x:c>
      <x:c r="L238" s="60" t="n">
        <x:v>142.0078451748</x:v>
      </x:c>
      <x:c r="M238" s="60" t="n">
        <x:v>33.4434085465</x:v>
      </x:c>
      <x:c r="N238" s="46" t="str">
        <x:v>scomberesocidae</x:v>
      </x:c>
      <x:c r="O238" s="62" t="n">
        <x:v>4.01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Scomberesocidae</x:v>
      </x:c>
      <x:c r="T238" s="62" t="n">
        <x:f>IF(O238="","",(1/'Metadata'!$B$5)^(O238-1))</x:f>
        <x:v>8243.284463290014</x:v>
      </x:c>
      <x:c r="U238" s="60" t="n">
        <x:f>IF(T238="","",I238*T238)</x:f>
        <x:v>1446294.5938655464</x:v>
      </x:c>
    </x:row>
    <x:row r="239" ht="18" customHeight="1">
      <x:c r="A239" s="46" t="str">
        <x:v>LME_026</x:v>
      </x:c>
      <x:c r="B239" s="46" t="str">
        <x:v>Mediterranean Sea</x:v>
      </x:c>
      <x:c r="C239" s="46" t="str">
        <x:v>LME</x:v>
      </x:c>
      <x:c r="D239" s="58" t="n">
        <x:v>2019</x:v>
      </x:c>
      <x:c r="E239" s="46" t="str">
        <x:v>Cepola macrophthalma</x:v>
      </x:c>
      <x:c r="F239" s="46" t="str">
        <x:v>Red bandfish</x:v>
      </x:c>
      <x:c r="G239" s="46" t="str">
        <x:v>Medium demersals (30 - 89 cm)</x:v>
      </x:c>
      <x:c r="H239" s="46" t="str">
        <x:v>Perch-likes</x:v>
      </x:c>
      <x:c r="I239" s="60" t="n">
        <x:v>174.92571666770002</x:v>
      </x:c>
      <x:c r="J239" s="60" t="n">
        <x:v>112.6132676438</x:v>
      </x:c>
      <x:c r="K239" s="60" t="n">
        <x:v>62.3124490239</x:v>
      </x:c>
      <x:c r="L239" s="60" t="n">
        <x:v>57.874621354</x:v>
      </x:c>
      <x:c r="M239" s="60" t="n">
        <x:v>117.0510953137</x:v>
      </x:c>
      <x:c r="N239" s="46" t="str">
        <x:v>cepola macrophthalma</x:v>
      </x:c>
      <x:c r="O239" s="62" t="n">
        <x:v>3.13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Cepola macrophthalma</x:v>
      </x:c>
      <x:c r="T239" s="62" t="n">
        <x:f>IF(O239="","",(1/'Metadata'!$B$5)^(O239-1))</x:f>
        <x:v>590.4646342618306</x:v>
      </x:c>
      <x:c r="U239" s="60" t="n">
        <x:f>IF(T239="","",I239*T239)</x:f>
        <x:v>103287.4493151821</x:v>
      </x:c>
    </x:row>
    <x:row r="240" ht="18" customHeight="1">
      <x:c r="A240" s="46" t="str">
        <x:v>LME_026</x:v>
      </x:c>
      <x:c r="B240" s="46" t="str">
        <x:v>Mediterranean Sea</x:v>
      </x:c>
      <x:c r="C240" s="46" t="str">
        <x:v>LME</x:v>
      </x:c>
      <x:c r="D240" s="58" t="n">
        <x:v>2019</x:v>
      </x:c>
      <x:c r="E240" s="46" t="str">
        <x:v>Gobius niger</x:v>
      </x:c>
      <x:c r="F240" s="46" t="str">
        <x:v>Black goby</x:v>
      </x:c>
      <x:c r="G240" s="46" t="str">
        <x:v>Small demersals (&lt;30 cm)</x:v>
      </x:c>
      <x:c r="H240" s="46" t="str">
        <x:v>Perch-likes</x:v>
      </x:c>
      <x:c r="I240" s="60" t="n">
        <x:v>173.9983544898</x:v>
      </x:c>
      <x:c r="J240" s="60" t="n">
        <x:v>28.725788014899997</x:v>
      </x:c>
      <x:c r="K240" s="60" t="n">
        <x:v>145.27256647489997</x:v>
      </x:c>
      <x:c r="L240" s="60" t="n">
        <x:v>26.048989978099996</x:v>
      </x:c>
      <x:c r="M240" s="60" t="n">
        <x:v>147.9493645117</x:v>
      </x:c>
      <x:c r="N240" s="46" t="str">
        <x:v>gobius niger</x:v>
      </x:c>
      <x:c r="O240" s="62" t="n">
        <x:v>3.31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Gobius niger</x:v>
      </x:c>
      <x:c r="T240" s="62" t="n">
        <x:f>IF(O240="","",(1/'Metadata'!$B$5)^(O240-1))</x:f>
        <x:v>1012.4633005057666</x:v>
      </x:c>
      <x:c r="U240" s="60" t="n">
        <x:f>IF(T240="","",I240*T240)</x:f>
        <x:v>176166.94826931527</x:v>
      </x:c>
    </x:row>
    <x:row r="241" ht="18" customHeight="1">
      <x:c r="A241" s="46" t="str">
        <x:v>LME_026</x:v>
      </x:c>
      <x:c r="B241" s="46" t="str">
        <x:v>Mediterranean Sea</x:v>
      </x:c>
      <x:c r="C241" s="46" t="str">
        <x:v>LME</x:v>
      </x:c>
      <x:c r="D241" s="58" t="n">
        <x:v>2019</x:v>
      </x:c>
      <x:c r="E241" s="46" t="str">
        <x:v>Nezumia aequalis</x:v>
      </x:c>
      <x:c r="F241" s="46" t="str">
        <x:v>Common Atlantic grenadier</x:v>
      </x:c>
      <x:c r="G241" s="46" t="str">
        <x:v>Medium benthopelagics (30 - 89 cm)</x:v>
      </x:c>
      <x:c r="H241" s="46" t="str">
        <x:v>Cod-likes</x:v>
      </x:c>
      <x:c r="I241" s="60" t="n">
        <x:v>173.1307675555</x:v>
      </x:c>
      <x:c r="J241" s="60" t="n">
        <x:v>0</x:v>
      </x:c>
      <x:c r="K241" s="60" t="n">
        <x:v>173.1307675555</x:v>
      </x:c>
      <x:c r="L241" s="60" t="n">
        <x:v>0</x:v>
      </x:c>
      <x:c r="M241" s="60" t="n">
        <x:v>173.1307675555</x:v>
      </x:c>
      <x:c r="N241" s="46" t="str">
        <x:v>nezumia aequalis</x:v>
      </x:c>
      <x:c r="O241" s="62" t="n">
        <x:v>3.26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Nezumia aequalis</x:v>
      </x:c>
      <x:c r="T241" s="62" t="n">
        <x:f>IF(O241="","",(1/'Metadata'!$B$5)^(O241-1))</x:f>
        <x:v>871.6212107848935</x:v>
      </x:c>
      <x:c r="U241" s="60" t="n">
        <x:f>IF(T241="","",I241*T241)</x:f>
        <x:v>150904.44924084286</x:v>
      </x:c>
    </x:row>
    <x:row r="242" ht="18" customHeight="1">
      <x:c r="A242" s="46" t="str">
        <x:v>LME_026</x:v>
      </x:c>
      <x:c r="B242" s="46" t="str">
        <x:v>Mediterranean Sea</x:v>
      </x:c>
      <x:c r="C242" s="46" t="str">
        <x:v>LME</x:v>
      </x:c>
      <x:c r="D242" s="58" t="n">
        <x:v>2019</x:v>
      </x:c>
      <x:c r="E242" s="46" t="str">
        <x:v>Lepidotrigla cavillone</x:v>
      </x:c>
      <x:c r="F242" s="46" t="str">
        <x:v>Large-scaled gurnard</x:v>
      </x:c>
      <x:c r="G242" s="46" t="str">
        <x:v>Small demersals (&lt;30 cm)</x:v>
      </x:c>
      <x:c r="H242" s="46" t="str">
        <x:v>Scorpionfishes</x:v>
      </x:c>
      <x:c r="I242" s="60" t="n">
        <x:v>172.7731112327</x:v>
      </x:c>
      <x:c r="J242" s="60" t="n">
        <x:v>76.8102995813</x:v>
      </x:c>
      <x:c r="K242" s="60" t="n">
        <x:v>95.9628116514</x:v>
      </x:c>
      <x:c r="L242" s="60" t="n">
        <x:v>74.1497442381</x:v>
      </x:c>
      <x:c r="M242" s="60" t="n">
        <x:v>98.6233669946</x:v>
      </x:c>
      <x:c r="N242" s="46" t="str">
        <x:v>lepidotrigla cavillone</x:v>
      </x:c>
      <x:c r="O242" s="62" t="n">
        <x:v>3.33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Lepidotrigla cavillone</x:v>
      </x:c>
      <x:c r="T242" s="62" t="n">
        <x:f>IF(O242="","",(1/'Metadata'!$B$5)^(O242-1))</x:f>
        <x:v>1074.9787762899762</x:v>
      </x:c>
      <x:c r="U242" s="60" t="n">
        <x:f>IF(T242="","",I242*T242)</x:f>
        <x:v>185727.42768873976</x:v>
      </x:c>
    </x:row>
    <x:row r="243" ht="18" customHeight="1">
      <x:c r="A243" s="46" t="str">
        <x:v>LME_026</x:v>
      </x:c>
      <x:c r="B243" s="46" t="str">
        <x:v>Mediterranean Sea</x:v>
      </x:c>
      <x:c r="C243" s="46" t="str">
        <x:v>LME</x:v>
      </x:c>
      <x:c r="D243" s="58" t="n">
        <x:v>2019</x:v>
      </x:c>
      <x:c r="E243" s="46" t="str">
        <x:v>Cepola</x:v>
      </x:c>
      <x:c r="F243" s="46" t="str">
        <x:v>Bandfish</x:v>
      </x:c>
      <x:c r="G243" s="46" t="str">
        <x:v>Medium demersals (30 - 89 cm)</x:v>
      </x:c>
      <x:c r="H243" s="46" t="str">
        <x:v>Perch-likes</x:v>
      </x:c>
      <x:c r="I243" s="60" t="n">
        <x:v>171.71916568519998</x:v>
      </x:c>
      <x:c r="J243" s="60" t="n">
        <x:v>138.5585074903</x:v>
      </x:c>
      <x:c r="K243" s="60" t="n">
        <x:v>33.1606581949</x:v>
      </x:c>
      <x:c r="L243" s="60" t="n">
        <x:v>132.30698249469998</x:v>
      </x:c>
      <x:c r="M243" s="60" t="n">
        <x:v>39.4121831905</x:v>
      </x:c>
      <x:c r="N243" s="46" t="str">
        <x:v>cepola</x:v>
      </x:c>
      <x:c r="O243" s="62" t="n">
        <x:v>3.26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Cepola</x:v>
      </x:c>
      <x:c r="T243" s="62" t="n">
        <x:f>IF(O243="","",(1/'Metadata'!$B$5)^(O243-1))</x:f>
        <x:v>871.6212107848935</x:v>
      </x:c>
      <x:c r="U243" s="60" t="n">
        <x:f>IF(T243="","",I243*T243)</x:f>
        <x:v>149674.06710950573</x:v>
      </x:c>
    </x:row>
    <x:row r="244" ht="18" customHeight="1">
      <x:c r="A244" s="46" t="str">
        <x:v>LME_026</x:v>
      </x:c>
      <x:c r="B244" s="46" t="str">
        <x:v>Mediterranean Sea</x:v>
      </x:c>
      <x:c r="C244" s="46" t="str">
        <x:v>LME</x:v>
      </x:c>
      <x:c r="D244" s="58" t="n">
        <x:v>2019</x:v>
      </x:c>
      <x:c r="E244" s="46" t="str">
        <x:v>Penaeus</x:v>
      </x:c>
      <x:c r="F244" s="46" t="str">
        <x:v>Tiger prawns</x:v>
      </x:c>
      <x:c r="G244" s="46" t="str">
        <x:v>Shrimps</x:v>
      </x:c>
      <x:c r="H244" s="46" t="str">
        <x:v>Crustaceans</x:v>
      </x:c>
      <x:c r="I244" s="60" t="n">
        <x:v>163.2457011493</x:v>
      </x:c>
      <x:c r="J244" s="60" t="n">
        <x:v>163.2457011493</x:v>
      </x:c>
      <x:c r="K244" s="60" t="n">
        <x:v>0</x:v>
      </x:c>
      <x:c r="L244" s="60" t="n">
        <x:v>163.2457011493</x:v>
      </x:c>
      <x:c r="M244" s="60" t="n">
        <x:v>0</x:v>
      </x:c>
      <x:c r="N244" s="46" t="str">
        <x:v>penaeus</x:v>
      </x:c>
      <x:c r="O244" s="62" t="n">
        <x:v>2.7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Penaeus</x:v>
      </x:c>
      <x:c r="T244" s="62" t="n">
        <x:f>IF(O244="","",(1/'Metadata'!$B$5)^(O244-1))</x:f>
        <x:v>162.83621261476185</x:v>
      </x:c>
      <x:c r="U244" s="60" t="n">
        <x:f>IF(T244="","",I244*T244)</x:f>
        <x:v>26582.31170079329</x:v>
      </x:c>
    </x:row>
    <x:row r="245" ht="18" customHeight="1">
      <x:c r="A245" s="46" t="str">
        <x:v>LME_026</x:v>
      </x:c>
      <x:c r="B245" s="46" t="str">
        <x:v>Mediterranean Sea</x:v>
      </x:c>
      <x:c r="C245" s="46" t="str">
        <x:v>LME</x:v>
      </x:c>
      <x:c r="D245" s="58" t="n">
        <x:v>2019</x:v>
      </x:c>
      <x:c r="E245" s="46" t="str">
        <x:v>Eutrigla gurnardus</x:v>
      </x:c>
      <x:c r="F245" s="46" t="str">
        <x:v>Grey gurnard</x:v>
      </x:c>
      <x:c r="G245" s="46" t="str">
        <x:v>Medium demersals (30 - 89 cm)</x:v>
      </x:c>
      <x:c r="H245" s="46" t="str">
        <x:v>Scorpionfishes</x:v>
      </x:c>
      <x:c r="I245" s="60" t="n">
        <x:v>161.54529100050001</x:v>
      </x:c>
      <x:c r="J245" s="60" t="n">
        <x:v>156.0208374892</x:v>
      </x:c>
      <x:c r="K245" s="60" t="n">
        <x:v>5.5244535113</x:v>
      </x:c>
      <x:c r="L245" s="60" t="n">
        <x:v>103.47895433000001</x:v>
      </x:c>
      <x:c r="M245" s="60" t="n">
        <x:v>58.0663366705</x:v>
      </x:c>
      <x:c r="N245" s="46" t="str">
        <x:v>eutrigla gurnardus</x:v>
      </x:c>
      <x:c r="O245" s="62" t="n">
        <x:v>3.87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Eutrigla gurnardus</x:v>
      </x:c>
      <x:c r="T245" s="62" t="n">
        <x:f>IF(O245="","",(1/'Metadata'!$B$5)^(O245-1))</x:f>
        <x:v>5419.460903023396</x:v>
      </x:c>
      <x:c r="U245" s="60" t="n">
        <x:f>IF(T245="","",I245*T245)</x:f>
        <x:v>875488.3886447471</x:v>
      </x:c>
    </x:row>
    <x:row r="246" ht="18" customHeight="1">
      <x:c r="A246" s="46" t="str">
        <x:v>LME_026</x:v>
      </x:c>
      <x:c r="B246" s="46" t="str">
        <x:v>Mediterranean Sea</x:v>
      </x:c>
      <x:c r="C246" s="46" t="str">
        <x:v>LME</x:v>
      </x:c>
      <x:c r="D246" s="58" t="n">
        <x:v>2019</x:v>
      </x:c>
      <x:c r="E246" s="46" t="str">
        <x:v>Carcharhinidae</x:v>
      </x:c>
      <x:c r="F246" s="46" t="str">
        <x:v>Requiem sharks</x:v>
      </x:c>
      <x:c r="G246" s="46" t="str">
        <x:v>Large sharks (&gt;=90 cm)</x:v>
      </x:c>
      <x:c r="H246" s="46" t="str">
        <x:v>Sharks &amp; rays</x:v>
      </x:c>
      <x:c r="I246" s="60" t="n">
        <x:v>160.79566621179998</x:v>
      </x:c>
      <x:c r="J246" s="60" t="n">
        <x:v>4.9690728451</x:v>
      </x:c>
      <x:c r="K246" s="60" t="n">
        <x:v>155.8265933667</x:v>
      </x:c>
      <x:c r="L246" s="60" t="n">
        <x:v>4.1465397133</x:v>
      </x:c>
      <x:c r="M246" s="60" t="n">
        <x:v>156.64912649849998</x:v>
      </x:c>
      <x:c r="N246" s="46" t="str">
        <x:v>carcharhinidae</x:v>
      </x:c>
      <x:c r="O246" s="62" t="n">
        <x:v>4.24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Carcharhinidae</x:v>
      </x:c>
      <x:c r="T246" s="62" t="n">
        <x:f>IF(O246="","",(1/'Metadata'!$B$5)^(O246-1))</x:f>
        <x:v>16418.64020623336</x:v>
      </x:c>
      <x:c r="U246" s="60" t="n">
        <x:f>IF(T246="","",I246*T246)</x:f>
        <x:v>2640046.190253138</x:v>
      </x:c>
    </x:row>
    <x:row r="247" ht="18" customHeight="1">
      <x:c r="A247" s="46" t="str">
        <x:v>LME_026</x:v>
      </x:c>
      <x:c r="B247" s="46" t="str">
        <x:v>Mediterranean Sea</x:v>
      </x:c>
      <x:c r="C247" s="46" t="str">
        <x:v>LME</x:v>
      </x:c>
      <x:c r="D247" s="58" t="n">
        <x:v>2019</x:v>
      </x:c>
      <x:c r="E247" s="46" t="str">
        <x:v>Maja squinado</x:v>
      </x:c>
      <x:c r="F247" s="46" t="str">
        <x:v>Spinous spider crab</x:v>
      </x:c>
      <x:c r="G247" s="46" t="str">
        <x:v>Lobsters, crabs</x:v>
      </x:c>
      <x:c r="H247" s="46" t="str">
        <x:v>Crustaceans</x:v>
      </x:c>
      <x:c r="I247" s="60" t="n">
        <x:v>157.4551690118</x:v>
      </x:c>
      <x:c r="J247" s="60" t="n">
        <x:v>152.6834274402</x:v>
      </x:c>
      <x:c r="K247" s="60" t="n">
        <x:v>4.7717415716</x:v>
      </x:c>
      <x:c r="L247" s="60" t="n">
        <x:v>116.26785050310001</x:v>
      </x:c>
      <x:c r="M247" s="60" t="n">
        <x:v>41.1873185087</x:v>
      </x:c>
      <x:c r="N247" s="46" t="str">
        <x:v>maja squinado</x:v>
      </x:c>
      <x:c r="O247" s="62" t="n">
        <x:v>2.94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Maja squinado</x:v>
      </x:c>
      <x:c r="T247" s="62" t="n">
        <x:f>IF(O247="","",(1/'Metadata'!$B$5)^(O247-1))</x:f>
        <x:v>334.1936484334361</x:v>
      </x:c>
      <x:c r="U247" s="60" t="n">
        <x:f>IF(T247="","",I247*T247)</x:f>
        <x:v>52620.51739675675</x:v>
      </x:c>
    </x:row>
    <x:row r="248" ht="18" customHeight="1">
      <x:c r="A248" s="46" t="str">
        <x:v>LME_026</x:v>
      </x:c>
      <x:c r="B248" s="46" t="str">
        <x:v>Mediterranean Sea</x:v>
      </x:c>
      <x:c r="C248" s="46" t="str">
        <x:v>LME</x:v>
      </x:c>
      <x:c r="D248" s="58" t="n">
        <x:v>2019</x:v>
      </x:c>
      <x:c r="E248" s="46" t="str">
        <x:v>Tetrapturus belone</x:v>
      </x:c>
      <x:c r="F248" s="46" t="str">
        <x:v>Mediterranean spearfish</x:v>
      </x:c>
      <x:c r="G248" s="46" t="str">
        <x:v>Large pelagics (&gt;=90 cm)</x:v>
      </x:c>
      <x:c r="H248" s="46" t="str">
        <x:v>Tuna &amp; billfishes</x:v>
      </x:c>
      <x:c r="I248" s="60" t="n">
        <x:v>154.6048487474</x:v>
      </x:c>
      <x:c r="J248" s="60" t="n">
        <x:v>154.6031170711</x:v>
      </x:c>
      <x:c r="K248" s="60" t="n">
        <x:v>0.0017316763</x:v>
      </x:c>
      <x:c r="L248" s="60" t="n">
        <x:v>71.8058371664</x:v>
      </x:c>
      <x:c r="M248" s="60" t="n">
        <x:v>82.799011581</x:v>
      </x:c>
      <x:c r="N248" s="46" t="str">
        <x:v>tetrapturus belone</x:v>
      </x:c>
      <x:c r="O248" s="62" t="n">
        <x:v>4.5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Tetrapturus belone</x:v>
      </x:c>
      <x:c r="T248" s="62" t="n">
        <x:f>IF(O248="","",(1/'Metadata'!$B$5)^(O248-1))</x:f>
        <x:v>35777.08763999664</x:v>
      </x:c>
      <x:c r="U248" s="60" t="n">
        <x:f>IF(T248="","",I248*T248)</x:f>
        <x:v>5531311.2232041545</x:v>
      </x:c>
    </x:row>
    <x:row r="249" ht="18" customHeight="1">
      <x:c r="A249" s="46" t="str">
        <x:v>LME_026</x:v>
      </x:c>
      <x:c r="B249" s="46" t="str">
        <x:v>Mediterranean Sea</x:v>
      </x:c>
      <x:c r="C249" s="46" t="str">
        <x:v>LME</x:v>
      </x:c>
      <x:c r="D249" s="58" t="n">
        <x:v>2019</x:v>
      </x:c>
      <x:c r="E249" s="46" t="str">
        <x:v>Mycteroperca rubra</x:v>
      </x:c>
      <x:c r="F249" s="46" t="str">
        <x:v>Mottled grouper</x:v>
      </x:c>
      <x:c r="G249" s="46" t="str">
        <x:v>Large demersals (&gt;=90 cm)</x:v>
      </x:c>
      <x:c r="H249" s="46" t="str">
        <x:v>Perch-likes</x:v>
      </x:c>
      <x:c r="I249" s="60" t="n">
        <x:v>152.3583525349</x:v>
      </x:c>
      <x:c r="J249" s="60" t="n">
        <x:v>152.3565457728</x:v>
      </x:c>
      <x:c r="K249" s="60" t="n">
        <x:v>0.0018067621</x:v>
      </x:c>
      <x:c r="L249" s="60" t="n">
        <x:v>46.4348640898</x:v>
      </x:c>
      <x:c r="M249" s="60" t="n">
        <x:v>105.92348844509999</x:v>
      </x:c>
      <x:c r="N249" s="46" t="str">
        <x:v>mycteroperca rubra</x:v>
      </x:c>
      <x:c r="O249" s="62" t="n">
        <x:v>4.13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Mycteroperca rubra</x:v>
      </x:c>
      <x:c r="T249" s="62" t="n">
        <x:f>IF(O249="","",(1/'Metadata'!$B$5)^(O249-1))</x:f>
        <x:v>11809.292685236613</x:v>
      </x:c>
      <x:c r="U249" s="60" t="n">
        <x:f>IF(T249="","",I249*T249)</x:f>
        <x:v>1799244.3781250957</x:v>
      </x:c>
    </x:row>
    <x:row r="250" ht="18" customHeight="1">
      <x:c r="A250" s="46" t="str">
        <x:v>LME_026</x:v>
      </x:c>
      <x:c r="B250" s="46" t="str">
        <x:v>Mediterranean Sea</x:v>
      </x:c>
      <x:c r="C250" s="46" t="str">
        <x:v>LME</x:v>
      </x:c>
      <x:c r="D250" s="58" t="n">
        <x:v>2019</x:v>
      </x:c>
      <x:c r="E250" s="46" t="str">
        <x:v>Pagrus caeruleostictus</x:v>
      </x:c>
      <x:c r="F250" s="46" t="str">
        <x:v>Bluespotted seabream</x:v>
      </x:c>
      <x:c r="G250" s="46" t="str">
        <x:v>Large benthopelagics (&gt;=90 cm)</x:v>
      </x:c>
      <x:c r="H250" s="46" t="str">
        <x:v>Perch-likes</x:v>
      </x:c>
      <x:c r="I250" s="60" t="n">
        <x:v>145.9359833286</x:v>
      </x:c>
      <x:c r="J250" s="60" t="n">
        <x:v>143.9318685134</x:v>
      </x:c>
      <x:c r="K250" s="60" t="n">
        <x:v>2.0041148152</x:v>
      </x:c>
      <x:c r="L250" s="60" t="n">
        <x:v>116.06602214629999</x:v>
      </x:c>
      <x:c r="M250" s="60" t="n">
        <x:v>29.8699611823</x:v>
      </x:c>
      <x:c r="N250" s="46" t="str">
        <x:v>pagrus caeruleostictus</x:v>
      </x:c>
      <x:c r="O250" s="62" t="n">
        <x:v>3.81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Pagrus caeruleostictus</x:v>
      </x:c>
      <x:c r="T250" s="62" t="n">
        <x:f>IF(O250="","",(1/'Metadata'!$B$5)^(O250-1))</x:f>
        <x:v>4527.873529309382</x:v>
      </x:c>
      <x:c r="U250" s="60" t="n">
        <x:f>IF(T250="","",I250*T250)</x:f>
        <x:v>660779.6758873033</x:v>
      </x:c>
    </x:row>
    <x:row r="251" ht="18" customHeight="1">
      <x:c r="A251" s="46" t="str">
        <x:v>LME_026</x:v>
      </x:c>
      <x:c r="B251" s="46" t="str">
        <x:v>Mediterranean Sea</x:v>
      </x:c>
      <x:c r="C251" s="46" t="str">
        <x:v>LME</x:v>
      </x:c>
      <x:c r="D251" s="58" t="n">
        <x:v>2019</x:v>
      </x:c>
      <x:c r="E251" s="46" t="str">
        <x:v>Dentex</x:v>
      </x:c>
      <x:c r="F251" s="46" t="str">
        <x:v>Toothed seabreams</x:v>
      </x:c>
      <x:c r="G251" s="46" t="str">
        <x:v>Large benthopelagics (&gt;=90 cm)</x:v>
      </x:c>
      <x:c r="H251" s="46" t="str">
        <x:v>Perch-likes</x:v>
      </x:c>
      <x:c r="I251" s="60" t="n">
        <x:v>142.6913876643</x:v>
      </x:c>
      <x:c r="J251" s="60" t="n">
        <x:v>141.8840922648</x:v>
      </x:c>
      <x:c r="K251" s="60" t="n">
        <x:v>0.8072953995</x:v>
      </x:c>
      <x:c r="L251" s="60" t="n">
        <x:v>2.477082416</x:v>
      </x:c>
      <x:c r="M251" s="60" t="n">
        <x:v>140.2143052483</x:v>
      </x:c>
      <x:c r="N251" s="46" t="str">
        <x:v>dentex</x:v>
      </x:c>
      <x:c r="O251" s="62" t="n">
        <x:v>3.96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Dentex</x:v>
      </x:c>
      <x:c r="T251" s="62" t="n">
        <x:f>IF(O251="","",(1/'Metadata'!$B$5)^(O251-1))</x:f>
        <x:v>7096.574839945253</x:v>
      </x:c>
      <x:c r="U251" s="60" t="n">
        <x:f>IF(T251="","",I251*T251)</x:f>
        <x:v>1012620.1115753459</x:v>
      </x:c>
    </x:row>
    <x:row r="252" ht="18" customHeight="1">
      <x:c r="A252" s="46" t="str">
        <x:v>LME_026</x:v>
      </x:c>
      <x:c r="B252" s="46" t="str">
        <x:v>Mediterranean Sea</x:v>
      </x:c>
      <x:c r="C252" s="46" t="str">
        <x:v>LME</x:v>
      </x:c>
      <x:c r="D252" s="58" t="n">
        <x:v>2019</x:v>
      </x:c>
      <x:c r="E252" s="46" t="str">
        <x:v>Scyllarides latus</x:v>
      </x:c>
      <x:c r="F252" s="46" t="str">
        <x:v>Mediterranean slipper lobster</x:v>
      </x:c>
      <x:c r="G252" s="46" t="str">
        <x:v>Lobsters, crabs</x:v>
      </x:c>
      <x:c r="H252" s="46" t="str">
        <x:v>Crustaceans</x:v>
      </x:c>
      <x:c r="I252" s="60" t="n">
        <x:v>140.6369393195</x:v>
      </x:c>
      <x:c r="J252" s="60" t="n">
        <x:v>140.5500405101</x:v>
      </x:c>
      <x:c r="K252" s="60" t="n">
        <x:v>0.0868988094</x:v>
      </x:c>
      <x:c r="L252" s="60" t="n">
        <x:v>106.468447091</x:v>
      </x:c>
      <x:c r="M252" s="60" t="n">
        <x:v>34.1684922285</x:v>
      </x:c>
      <x:c r="N252" s="46" t="str">
        <x:v>scyllarides latus</x:v>
      </x:c>
      <x:c r="O252" s="62" t="n">
        <x:v>3.37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Scyllarides latus</x:v>
      </x:c>
      <x:c r="T252" s="62" t="n">
        <x:f>IF(O252="","",(1/'Metadata'!$B$5)^(O252-1))</x:f>
        <x:v>1211.828298056271</x:v>
      </x:c>
      <x:c r="U252" s="60" t="n">
        <x:f>IF(T252="","",I252*T252)</x:f>
        <x:v>170427.82281939272</x:v>
      </x:c>
    </x:row>
    <x:row r="253" ht="18" customHeight="1">
      <x:c r="A253" s="46" t="str">
        <x:v>LME_026</x:v>
      </x:c>
      <x:c r="B253" s="46" t="str">
        <x:v>Mediterranean Sea</x:v>
      </x:c>
      <x:c r="C253" s="46" t="str">
        <x:v>LME</x:v>
      </x:c>
      <x:c r="D253" s="58" t="n">
        <x:v>2019</x:v>
      </x:c>
      <x:c r="E253" s="46" t="str">
        <x:v>Orcynopsis unicolor</x:v>
      </x:c>
      <x:c r="F253" s="46" t="str">
        <x:v>Plain bonito</x:v>
      </x:c>
      <x:c r="G253" s="46" t="str">
        <x:v>Large pelagics (&gt;=90 cm)</x:v>
      </x:c>
      <x:c r="H253" s="46" t="str">
        <x:v>Tuna &amp; billfishes</x:v>
      </x:c>
      <x:c r="I253" s="60" t="n">
        <x:v>134.8484965547</x:v>
      </x:c>
      <x:c r="J253" s="60" t="n">
        <x:v>134.8484965547</x:v>
      </x:c>
      <x:c r="K253" s="60" t="n">
        <x:v>0</x:v>
      </x:c>
      <x:c r="L253" s="60" t="n">
        <x:v>129.5169867852</x:v>
      </x:c>
      <x:c r="M253" s="60" t="n">
        <x:v>5.3315097695</x:v>
      </x:c>
      <x:c r="N253" s="46" t="str">
        <x:v>orcynopsis unicolor</x:v>
      </x:c>
      <x:c r="O253" s="62" t="n">
        <x:v>4.5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Orcynopsis unicolor</x:v>
      </x:c>
      <x:c r="T253" s="62" t="n">
        <x:f>IF(O253="","",(1/'Metadata'!$B$5)^(O253-1))</x:f>
        <x:v>35777.08763999664</x:v>
      </x:c>
      <x:c r="U253" s="60" t="n">
        <x:f>IF(T253="","",I253*T253)</x:f>
        <x:v>4824486.479359287</x:v>
      </x:c>
    </x:row>
    <x:row r="254" ht="18" customHeight="1">
      <x:c r="A254" s="46" t="str">
        <x:v>LME_026</x:v>
      </x:c>
      <x:c r="B254" s="46" t="str">
        <x:v>Mediterranean Sea</x:v>
      </x:c>
      <x:c r="C254" s="46" t="str">
        <x:v>LME</x:v>
      </x:c>
      <x:c r="D254" s="58" t="n">
        <x:v>2019</x:v>
      </x:c>
      <x:c r="E254" s="46" t="str">
        <x:v>Dalatias licha</x:v>
      </x:c>
      <x:c r="F254" s="46" t="str">
        <x:v>Kitefin shark</x:v>
      </x:c>
      <x:c r="G254" s="46" t="str">
        <x:v>Large sharks (&gt;=90 cm)</x:v>
      </x:c>
      <x:c r="H254" s="46" t="str">
        <x:v>Sharks &amp; rays</x:v>
      </x:c>
      <x:c r="I254" s="60" t="n">
        <x:v>134.18611973359998</x:v>
      </x:c>
      <x:c r="J254" s="60" t="n">
        <x:v>0.0009527804</x:v>
      </x:c>
      <x:c r="K254" s="60" t="n">
        <x:v>134.1851669532</x:v>
      </x:c>
      <x:c r="L254" s="60" t="n">
        <x:v>0</x:v>
      </x:c>
      <x:c r="M254" s="60" t="n">
        <x:v>134.18611973359998</x:v>
      </x:c>
      <x:c r="N254" s="46" t="str">
        <x:v>dalatias licha</x:v>
      </x:c>
      <x:c r="O254" s="62" t="n">
        <x:v>4.23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Dalatias licha</x:v>
      </x:c>
      <x:c r="T254" s="62" t="n">
        <x:f>IF(O254="","",(1/'Metadata'!$B$5)^(O254-1))</x:f>
        <x:v>15934.076063346663</x:v>
      </x:c>
      <x:c r="U254" s="60" t="n">
        <x:f>IF(T254="","",I254*T254)</x:f>
        <x:v>2138131.8384805247</x:v>
      </x:c>
    </x:row>
    <x:row r="255" ht="18" customHeight="1">
      <x:c r="A255" s="46" t="str">
        <x:v>LME_026</x:v>
      </x:c>
      <x:c r="B255" s="46" t="str">
        <x:v>Mediterranean Sea</x:v>
      </x:c>
      <x:c r="C255" s="46" t="str">
        <x:v>LME</x:v>
      </x:c>
      <x:c r="D255" s="58" t="n">
        <x:v>2019</x:v>
      </x:c>
      <x:c r="E255" s="46" t="str">
        <x:v>Trigla lyra</x:v>
      </x:c>
      <x:c r="F255" s="46" t="str">
        <x:v>Piper gurnard</x:v>
      </x:c>
      <x:c r="G255" s="46" t="str">
        <x:v>Medium bathydemersals (30 - 89 cm)</x:v>
      </x:c>
      <x:c r="H255" s="46" t="str">
        <x:v>Scorpionfishes</x:v>
      </x:c>
      <x:c r="I255" s="60" t="n">
        <x:v>127.2677890286</x:v>
      </x:c>
      <x:c r="J255" s="60" t="n">
        <x:v>82.7567303296</x:v>
      </x:c>
      <x:c r="K255" s="60" t="n">
        <x:v>44.511058698999996</x:v>
      </x:c>
      <x:c r="L255" s="60" t="n">
        <x:v>74.3715191607</x:v>
      </x:c>
      <x:c r="M255" s="60" t="n">
        <x:v>52.8962698679</x:v>
      </x:c>
      <x:c r="N255" s="46" t="str">
        <x:v>trigla lyra</x:v>
      </x:c>
      <x:c r="O255" s="62" t="n">
        <x:v>3.65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Trigla lyra</x:v>
      </x:c>
      <x:c r="T255" s="62" t="n">
        <x:f>IF(O255="","",(1/'Metadata'!$B$5)^(O255-1))</x:f>
        <x:v>2803.6867455443476</x:v>
      </x:c>
      <x:c r="U255" s="60" t="n">
        <x:f>IF(T255="","",I255*T255)</x:f>
        <x:v>356819.01323422015</x:v>
      </x:c>
    </x:row>
    <x:row r="256" ht="18" customHeight="1">
      <x:c r="A256" s="46" t="str">
        <x:v>LME_026</x:v>
      </x:c>
      <x:c r="B256" s="46" t="str">
        <x:v>Mediterranean Sea</x:v>
      </x:c>
      <x:c r="C256" s="46" t="str">
        <x:v>LME</x:v>
      </x:c>
      <x:c r="D256" s="58" t="n">
        <x:v>2019</x:v>
      </x:c>
      <x:c r="E256" s="46" t="str">
        <x:v>Trigla</x:v>
      </x:c>
      <x:c r="F256" s="46" t="str">
        <x:v>Piper gurnards</x:v>
      </x:c>
      <x:c r="G256" s="46" t="str">
        <x:v>Medium bathydemersals (30 - 89 cm)</x:v>
      </x:c>
      <x:c r="H256" s="46" t="str">
        <x:v>Scorpionfishes</x:v>
      </x:c>
      <x:c r="I256" s="60" t="n">
        <x:v>126.1025178592</x:v>
      </x:c>
      <x:c r="J256" s="60" t="n">
        <x:v>114.8125472074</x:v>
      </x:c>
      <x:c r="K256" s="60" t="n">
        <x:v>11.289970651800001</x:v>
      </x:c>
      <x:c r="L256" s="60" t="n">
        <x:v>62.0083305899</x:v>
      </x:c>
      <x:c r="M256" s="60" t="n">
        <x:v>64.0941872693</x:v>
      </x:c>
      <x:c r="N256" s="46" t="str">
        <x:v>trigla</x:v>
      </x:c>
      <x:c r="O256" s="62" t="n">
        <x:v>3.51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Trigla</x:v>
      </x:c>
      <x:c r="T256" s="62" t="n">
        <x:f>IF(O256="","",(1/'Metadata'!$B$5)^(O256-1))</x:f>
        <x:v>1843.2544417784343</x:v>
      </x:c>
      <x:c r="U256" s="60" t="n">
        <x:f>IF(T256="","",I256*T256)</x:f>
        <x:v>232439.02616341476</x:v>
      </x:c>
    </x:row>
    <x:row r="257" ht="18" customHeight="1">
      <x:c r="A257" s="46" t="str">
        <x:v>LME_026</x:v>
      </x:c>
      <x:c r="B257" s="46" t="str">
        <x:v>Mediterranean Sea</x:v>
      </x:c>
      <x:c r="C257" s="46" t="str">
        <x:v>LME</x:v>
      </x:c>
      <x:c r="D257" s="58" t="n">
        <x:v>2019</x:v>
      </x:c>
      <x:c r="E257" s="46" t="str">
        <x:v>Coris julis</x:v>
      </x:c>
      <x:c r="F257" s="46" t="str">
        <x:v>Rainbow wrasse</x:v>
      </x:c>
      <x:c r="G257" s="46" t="str">
        <x:v>Medium reef assoc. fish (30 - 89 cm)</x:v>
      </x:c>
      <x:c r="H257" s="46" t="str">
        <x:v>Perch-likes</x:v>
      </x:c>
      <x:c r="I257" s="60" t="n">
        <x:v>123.3807711617</x:v>
      </x:c>
      <x:c r="J257" s="60" t="n">
        <x:v>123.0970888014</x:v>
      </x:c>
      <x:c r="K257" s="60" t="n">
        <x:v>0.2836823603</x:v>
      </x:c>
      <x:c r="L257" s="60" t="n">
        <x:v>0.0805883949</x:v>
      </x:c>
      <x:c r="M257" s="60" t="n">
        <x:v>123.3001827668</x:v>
      </x:c>
      <x:c r="N257" s="46" t="str">
        <x:v>coris julis</x:v>
      </x:c>
      <x:c r="O257" s="62" t="n">
        <x:v>3.44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Coris julis</x:v>
      </x:c>
      <x:c r="T257" s="62" t="n">
        <x:f>IF(O257="","",(1/'Metadata'!$B$5)^(O257-1))</x:f>
        <x:v>1494.5594310916586</x:v>
      </x:c>
      <x:c r="U257" s="60" t="n">
        <x:f>IF(T257="","",I257*T257)</x:f>
        <x:v>184399.89515508045</x:v>
      </x:c>
    </x:row>
    <x:row r="258" ht="18" customHeight="1">
      <x:c r="A258" s="46" t="str">
        <x:v>LME_026</x:v>
      </x:c>
      <x:c r="B258" s="46" t="str">
        <x:v>Mediterranean Sea</x:v>
      </x:c>
      <x:c r="C258" s="46" t="str">
        <x:v>LME</x:v>
      </x:c>
      <x:c r="D258" s="58" t="n">
        <x:v>2019</x:v>
      </x:c>
      <x:c r="E258" s="46" t="str">
        <x:v>Loliginidae</x:v>
      </x:c>
      <x:c r="F258" s="46" t="str">
        <x:v>Common pencil squids</x:v>
      </x:c>
      <x:c r="G258" s="46" t="str">
        <x:v>Cephalopods</x:v>
      </x:c>
      <x:c r="H258" s="46" t="str">
        <x:v>Other fishes &amp; inverts</x:v>
      </x:c>
      <x:c r="I258" s="60" t="n">
        <x:v>120.9578792012</x:v>
      </x:c>
      <x:c r="J258" s="60" t="n">
        <x:v>116.7080886133</x:v>
      </x:c>
      <x:c r="K258" s="60" t="n">
        <x:v>4.2497905879</x:v>
      </x:c>
      <x:c r="L258" s="60" t="n">
        <x:v>113.5812579595</x:v>
      </x:c>
      <x:c r="M258" s="60" t="n">
        <x:v>7.3766212417</x:v>
      </x:c>
      <x:c r="N258" s="46" t="str">
        <x:v>loliginidae</x:v>
      </x:c>
      <x:c r="O258" s="62" t="n">
        <x:v>3.9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Loliginidae</x:v>
      </x:c>
      <x:c r="T258" s="62" t="n">
        <x:f>IF(O258="","",(1/'Metadata'!$B$5)^(O258-1))</x:f>
        <x:v>5929.07559285558</x:v>
      </x:c>
      <x:c r="U258" s="60" t="n">
        <x:f>IF(T258="","",I258*T258)</x:f>
        <x:v>717168.4093354085</x:v>
      </x:c>
    </x:row>
    <x:row r="259" ht="18" customHeight="1">
      <x:c r="A259" s="46" t="str">
        <x:v>LME_026</x:v>
      </x:c>
      <x:c r="B259" s="46" t="str">
        <x:v>Mediterranean Sea</x:v>
      </x:c>
      <x:c r="C259" s="46" t="str">
        <x:v>LME</x:v>
      </x:c>
      <x:c r="D259" s="58" t="n">
        <x:v>2019</x:v>
      </x:c>
      <x:c r="E259" s="46" t="str">
        <x:v>Muraena helena</x:v>
      </x:c>
      <x:c r="F259" s="46" t="str">
        <x:v>Mediterranean moray</x:v>
      </x:c>
      <x:c r="G259" s="46" t="str">
        <x:v>Large reef assoc. fish (&gt;=90 cm)</x:v>
      </x:c>
      <x:c r="H259" s="46" t="str">
        <x:v>Other fishes &amp; inverts</x:v>
      </x:c>
      <x:c r="I259" s="60" t="n">
        <x:v>117.84000642410001</x:v>
      </x:c>
      <x:c r="J259" s="60" t="n">
        <x:v>100.8001163973</x:v>
      </x:c>
      <x:c r="K259" s="60" t="n">
        <x:v>17.039890026800002</x:v>
      </x:c>
      <x:c r="L259" s="60" t="n">
        <x:v>70.9236729739</x:v>
      </x:c>
      <x:c r="M259" s="60" t="n">
        <x:v>46.9163334502</x:v>
      </x:c>
      <x:c r="N259" s="46" t="str">
        <x:v>muraena helena</x:v>
      </x:c>
      <x:c r="O259" s="62" t="n">
        <x:v>4.18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Muraena helena</x:v>
      </x:c>
      <x:c r="T259" s="62" t="n">
        <x:f>IF(O259="","",(1/'Metadata'!$B$5)^(O259-1))</x:f>
        <x:v>13717.513182092556</x:v>
      </x:c>
      <x:c r="U259" s="60" t="n">
        <x:f>IF(T259="","",I259*T259)</x:f>
        <x:v>1616471.8415004634</x:v>
      </x:c>
    </x:row>
    <x:row r="260" ht="18" customHeight="1">
      <x:c r="A260" s="46" t="str">
        <x:v>LME_026</x:v>
      </x:c>
      <x:c r="B260" s="46" t="str">
        <x:v>Mediterranean Sea</x:v>
      </x:c>
      <x:c r="C260" s="46" t="str">
        <x:v>LME</x:v>
      </x:c>
      <x:c r="D260" s="58" t="n">
        <x:v>2019</x:v>
      </x:c>
      <x:c r="E260" s="46" t="str">
        <x:v>Palinuridae</x:v>
      </x:c>
      <x:c r="F260" s="46" t="str">
        <x:v>Spiny lobsters</x:v>
      </x:c>
      <x:c r="G260" s="46" t="str">
        <x:v>Lobsters, crabs</x:v>
      </x:c>
      <x:c r="H260" s="46" t="str">
        <x:v>Crustaceans</x:v>
      </x:c>
      <x:c r="I260" s="60" t="n">
        <x:v>113.8815390416</x:v>
      </x:c>
      <x:c r="J260" s="60" t="n">
        <x:v>98.26400751130001</x:v>
      </x:c>
      <x:c r="K260" s="60" t="n">
        <x:v>15.6175315303</x:v>
      </x:c>
      <x:c r="L260" s="60" t="n">
        <x:v>47.7149216379</x:v>
      </x:c>
      <x:c r="M260" s="60" t="n">
        <x:v>66.1666174037</x:v>
      </x:c>
      <x:c r="N260" s="46" t="str">
        <x:v>palinuridae</x:v>
      </x:c>
      <x:c r="O260" s="62" t="n">
        <x:v>3.14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Palinuridae</x:v>
      </x:c>
      <x:c r="T260" s="62" t="n">
        <x:f>IF(O260="","",(1/'Metadata'!$B$5)^(O260-1))</x:f>
        <x:v>608.420993216597</x:v>
      </x:c>
      <x:c r="U260" s="60" t="n">
        <x:f>IF(T260="","",I260*T260)</x:f>
        <x:v>69287.91909272494</x:v>
      </x:c>
    </x:row>
    <x:row r="261" ht="18" customHeight="1">
      <x:c r="A261" s="46" t="str">
        <x:v>LME_026</x:v>
      </x:c>
      <x:c r="B261" s="46" t="str">
        <x:v>Mediterranean Sea</x:v>
      </x:c>
      <x:c r="C261" s="46" t="str">
        <x:v>LME</x:v>
      </x:c>
      <x:c r="D261" s="58" t="n">
        <x:v>2019</x:v>
      </x:c>
      <x:c r="E261" s="46" t="str">
        <x:v>Caranx rhonchus</x:v>
      </x:c>
      <x:c r="F261" s="46" t="str">
        <x:v>False scad</x:v>
      </x:c>
      <x:c r="G261" s="46" t="str">
        <x:v>Medium benthopelagics (30 - 89 cm)</x:v>
      </x:c>
      <x:c r="H261" s="46" t="str">
        <x:v>Perch-likes</x:v>
      </x:c>
      <x:c r="I261" s="60" t="n">
        <x:v>113.4895528067</x:v>
      </x:c>
      <x:c r="J261" s="60" t="n">
        <x:v>103.0071733647</x:v>
      </x:c>
      <x:c r="K261" s="60" t="n">
        <x:v>10.482379442</x:v>
      </x:c>
      <x:c r="L261" s="60" t="n">
        <x:v>100.5467450044</x:v>
      </x:c>
      <x:c r="M261" s="60" t="n">
        <x:v>12.9428078023</x:v>
      </x:c>
      <x:c r="N261" s="46" t="str">
        <x:v>caranx rhonchus</x:v>
      </x:c>
      <x:c r="O261" s="62" t="n">
        <x:v>3.6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Caranx rhonchus</x:v>
      </x:c>
      <x:c r="T261" s="62" t="n">
        <x:f>IF(O261="","",(1/'Metadata'!$B$5)^(O261-1))</x:f>
        <x:v>2413.670534618066</x:v>
      </x:c>
      <x:c r="U261" s="60" t="n">
        <x:f>IF(T261="","",I261*T261)</x:f>
        <x:v>273926.38959651283</x:v>
      </x:c>
    </x:row>
    <x:row r="262" ht="18" customHeight="1">
      <x:c r="A262" s="46" t="str">
        <x:v>LME_026</x:v>
      </x:c>
      <x:c r="B262" s="46" t="str">
        <x:v>Mediterranean Sea</x:v>
      </x:c>
      <x:c r="C262" s="46" t="str">
        <x:v>LME</x:v>
      </x:c>
      <x:c r="D262" s="58" t="n">
        <x:v>2019</x:v>
      </x:c>
      <x:c r="E262" s="46" t="str">
        <x:v>Geryon longipes</x:v>
      </x:c>
      <x:c r="F262" s="46" t="str">
        <x:v>Mediterranean geryon</x:v>
      </x:c>
      <x:c r="G262" s="46" t="str">
        <x:v>Lobsters, crabs</x:v>
      </x:c>
      <x:c r="H262" s="46" t="str">
        <x:v>Crustaceans</x:v>
      </x:c>
      <x:c r="I262" s="60" t="n">
        <x:v>113.1942439307</x:v>
      </x:c>
      <x:c r="J262" s="60" t="n">
        <x:v>107.6731275353</x:v>
      </x:c>
      <x:c r="K262" s="60" t="n">
        <x:v>5.5211163954</x:v>
      </x:c>
      <x:c r="L262" s="60" t="n">
        <x:v>102.4083737068</x:v>
      </x:c>
      <x:c r="M262" s="60" t="n">
        <x:v>10.7858702239</x:v>
      </x:c>
      <x:c r="N262" s="46" t="str">
        <x:v>geryon longipes</x:v>
      </x:c>
      <x:c r="O262" s="62" t="n">
        <x:v>3.49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Geryon longipes</x:v>
      </x:c>
      <x:c r="T262" s="62" t="n">
        <x:f>IF(O262="","",(1/'Metadata'!$B$5)^(O262-1))</x:f>
        <x:v>1736.059833884101</x:v>
      </x:c>
      <x:c r="U262" s="60" t="n">
        <x:f>IF(T262="","",I262*T262)</x:f>
        <x:v>196511.98031496743</x:v>
      </x:c>
    </x:row>
    <x:row r="263" ht="18" customHeight="1">
      <x:c r="A263" s="46" t="str">
        <x:v>LME_026</x:v>
      </x:c>
      <x:c r="B263" s="46" t="str">
        <x:v>Mediterranean Sea</x:v>
      </x:c>
      <x:c r="C263" s="46" t="str">
        <x:v>LME</x:v>
      </x:c>
      <x:c r="D263" s="58" t="n">
        <x:v>2019</x:v>
      </x:c>
      <x:c r="E263" s="46" t="str">
        <x:v>Centrophorus granulosus</x:v>
      </x:c>
      <x:c r="F263" s="46" t="str">
        <x:v>Gulper shark</x:v>
      </x:c>
      <x:c r="G263" s="46" t="str">
        <x:v>Large sharks (&gt;=90 cm)</x:v>
      </x:c>
      <x:c r="H263" s="46" t="str">
        <x:v>Sharks &amp; rays</x:v>
      </x:c>
      <x:c r="I263" s="60" t="n">
        <x:v>107.5166660734</x:v>
      </x:c>
      <x:c r="J263" s="60" t="n">
        <x:v>9.90405189</x:v>
      </x:c>
      <x:c r="K263" s="60" t="n">
        <x:v>97.6126141834</x:v>
      </x:c>
      <x:c r="L263" s="60" t="n">
        <x:v>4.6287362498</x:v>
      </x:c>
      <x:c r="M263" s="60" t="n">
        <x:v>102.8879298236</x:v>
      </x:c>
      <x:c r="N263" s="46" t="str">
        <x:v>centrophorus granulosus</x:v>
      </x:c>
      <x:c r="O263" s="62" t="n">
        <x:v>4.11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Centrophorus granulosus</x:v>
      </x:c>
      <x:c r="T263" s="62" t="n">
        <x:f>IF(O263="","",(1/'Metadata'!$B$5)^(O263-1))</x:f>
        <x:v>11122.52233481121</x:v>
      </x:c>
      <x:c r="U263" s="60" t="n">
        <x:f>IF(T263="","",I263*T263)</x:f>
        <x:v>1195856.5197658304</x:v>
      </x:c>
    </x:row>
    <x:row r="264" ht="18" customHeight="1">
      <x:c r="A264" s="46" t="str">
        <x:v>LME_026</x:v>
      </x:c>
      <x:c r="B264" s="46" t="str">
        <x:v>Mediterranean Sea</x:v>
      </x:c>
      <x:c r="C264" s="46" t="str">
        <x:v>LME</x:v>
      </x:c>
      <x:c r="D264" s="58" t="n">
        <x:v>2019</x:v>
      </x:c>
      <x:c r="E264" s="46" t="str">
        <x:v>Bivalvia</x:v>
      </x:c>
      <x:c r="F264" s="46" t="str">
        <x:v>Clams</x:v>
      </x:c>
      <x:c r="G264" s="46" t="str">
        <x:v>Other demersal invertebrates</x:v>
      </x:c>
      <x:c r="H264" s="46" t="str">
        <x:v>Molluscs</x:v>
      </x:c>
      <x:c r="I264" s="60" t="n">
        <x:v>104.4261759764</x:v>
      </x:c>
      <x:c r="J264" s="60" t="n">
        <x:v>104.2432702673</x:v>
      </x:c>
      <x:c r="K264" s="60" t="n">
        <x:v>0.1829057091</x:v>
      </x:c>
      <x:c r="L264" s="60" t="n">
        <x:v>0.3770366885</x:v>
      </x:c>
      <x:c r="M264" s="60" t="n">
        <x:v>104.0491392879</x:v>
      </x:c>
      <x:c r="N264" s="46" t="str">
        <x:v>bivalvia</x:v>
      </x:c>
      <x:c r="O264" s="62" t="n">
        <x:v>2.23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Bivalvia</x:v>
      </x:c>
      <x:c r="T264" s="62" t="n">
        <x:f>IF(O264="","",(1/'Metadata'!$B$5)^(O264-1))</x:f>
        <x:v>39.83519015836661</x:v>
      </x:c>
      <x:c r="U264" s="60" t="n">
        <x:f>IF(T264="","",I264*T264)</x:f>
        <x:v>4159.8365775309485</x:v>
      </x:c>
    </x:row>
    <x:row r="265" ht="18" customHeight="1">
      <x:c r="A265" s="46" t="str">
        <x:v>LME_026</x:v>
      </x:c>
      <x:c r="B265" s="46" t="str">
        <x:v>Mediterranean Sea</x:v>
      </x:c>
      <x:c r="C265" s="46" t="str">
        <x:v>LME</x:v>
      </x:c>
      <x:c r="D265" s="58" t="n">
        <x:v>2019</x:v>
      </x:c>
      <x:c r="E265" s="46" t="str">
        <x:v>Hippospongia communis</x:v>
      </x:c>
      <x:c r="F265" s="46" t="str">
        <x:v>Honey comb</x:v>
      </x:c>
      <x:c r="G265" s="46" t="str">
        <x:v>Other demersal invertebrates</x:v>
      </x:c>
      <x:c r="H265" s="46" t="str">
        <x:v>Other fishes &amp; inverts</x:v>
      </x:c>
      <x:c r="I265" s="60" t="n">
        <x:v>101.8480772359</x:v>
      </x:c>
      <x:c r="J265" s="60" t="n">
        <x:v>101.8480772359</x:v>
      </x:c>
      <x:c r="K265" s="60" t="n">
        <x:v>0</x:v>
      </x:c>
      <x:c r="L265" s="60" t="n">
        <x:v>19.7703584392</x:v>
      </x:c>
      <x:c r="M265" s="60" t="n">
        <x:v>82.0777187967</x:v>
      </x:c>
      <x:c r="N265" s="46" t="str">
        <x:v>hippospongia communis</x:v>
      </x:c>
      <x:c r="O265" s="62" t="n">
        <x:v>2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Hippospongia communis</x:v>
      </x:c>
      <x:c r="T265" s="62" t="n">
        <x:f>IF(O265="","",(1/'Metadata'!$B$5)^(O265-1))</x:f>
        <x:v>20</x:v>
      </x:c>
      <x:c r="U265" s="60" t="n">
        <x:f>IF(T265="","",I265*T265)</x:f>
        <x:v>2036.9615447180001</x:v>
      </x:c>
    </x:row>
    <x:row r="266" ht="18" customHeight="1">
      <x:c r="A266" s="46" t="str">
        <x:v>LME_026</x:v>
      </x:c>
      <x:c r="B266" s="46" t="str">
        <x:v>Mediterranean Sea</x:v>
      </x:c>
      <x:c r="C266" s="46" t="str">
        <x:v>LME</x:v>
      </x:c>
      <x:c r="D266" s="58" t="n">
        <x:v>2019</x:v>
      </x:c>
      <x:c r="E266" s="46" t="str">
        <x:v>Gobius paganellus</x:v>
      </x:c>
      <x:c r="F266" s="46" t="str">
        <x:v>Rock goby</x:v>
      </x:c>
      <x:c r="G266" s="46" t="str">
        <x:v>Small demersals (&lt;30 cm)</x:v>
      </x:c>
      <x:c r="H266" s="46" t="str">
        <x:v>Perch-likes</x:v>
      </x:c>
      <x:c r="I266" s="60" t="n">
        <x:v>101.8380536057</x:v>
      </x:c>
      <x:c r="J266" s="60" t="n">
        <x:v>0</x:v>
      </x:c>
      <x:c r="K266" s="60" t="n">
        <x:v>101.8380536057</x:v>
      </x:c>
      <x:c r="L266" s="60" t="n">
        <x:v>0</x:v>
      </x:c>
      <x:c r="M266" s="60" t="n">
        <x:v>101.8380536057</x:v>
      </x:c>
      <x:c r="N266" s="46" t="str">
        <x:v>gobius paganellus</x:v>
      </x:c>
      <x:c r="O266" s="62" t="n">
        <x:v>3.3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Gobius paganellus</x:v>
      </x:c>
      <x:c r="T266" s="62" t="n">
        <x:f>IF(O266="","",(1/'Metadata'!$B$5)^(O266-1))</x:f>
        <x:v>982.5824208926318</x:v>
      </x:c>
      <x:c r="U266" s="60" t="n">
        <x:f>IF(T266="","",I266*T266)</x:f>
        <x:v>100064.28125088231</x:v>
      </x:c>
    </x:row>
    <x:row r="267" ht="18" customHeight="1">
      <x:c r="A267" s="46" t="str">
        <x:v>LME_026</x:v>
      </x:c>
      <x:c r="B267" s="46" t="str">
        <x:v>Mediterranean Sea</x:v>
      </x:c>
      <x:c r="C267" s="46" t="str">
        <x:v>LME</x:v>
      </x:c>
      <x:c r="D267" s="58" t="n">
        <x:v>2019</x:v>
      </x:c>
      <x:c r="E267" s="46" t="str">
        <x:v>Congridae</x:v>
      </x:c>
      <x:c r="F267" s="46" t="str">
        <x:v>Conger, garden eels</x:v>
      </x:c>
      <x:c r="G267" s="46" t="str">
        <x:v>Large demersals (&gt;=90 cm)</x:v>
      </x:c>
      <x:c r="H267" s="46" t="str">
        <x:v>Other fishes &amp; inverts</x:v>
      </x:c>
      <x:c r="I267" s="60" t="n">
        <x:v>100.9760440447</x:v>
      </x:c>
      <x:c r="J267" s="60" t="n">
        <x:v>0.7353915033</x:v>
      </x:c>
      <x:c r="K267" s="60" t="n">
        <x:v>100.2406525414</x:v>
      </x:c>
      <x:c r="L267" s="60" t="n">
        <x:v>0</x:v>
      </x:c>
      <x:c r="M267" s="60" t="n">
        <x:v>100.9760440447</x:v>
      </x:c>
      <x:c r="N267" s="46" t="str">
        <x:v>congridae</x:v>
      </x:c>
      <x:c r="O267" s="62" t="n">
        <x:v>4.18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Congridae</x:v>
      </x:c>
      <x:c r="T267" s="62" t="n">
        <x:f>IF(O267="","",(1/'Metadata'!$B$5)^(O267-1))</x:f>
        <x:v>13717.513182092556</x:v>
      </x:c>
      <x:c r="U267" s="60" t="n">
        <x:f>IF(T267="","",I267*T267)</x:f>
        <x:v>1385140.2152587308</x:v>
      </x:c>
    </x:row>
    <x:row r="268" ht="18" customHeight="1">
      <x:c r="A268" s="46" t="str">
        <x:v>LME_026</x:v>
      </x:c>
      <x:c r="B268" s="46" t="str">
        <x:v>Mediterranean Sea</x:v>
      </x:c>
      <x:c r="C268" s="46" t="str">
        <x:v>LME</x:v>
      </x:c>
      <x:c r="D268" s="58" t="n">
        <x:v>2019</x:v>
      </x:c>
      <x:c r="E268" s="46" t="str">
        <x:v>Epigonus</x:v>
      </x:c>
      <x:c r="F268" s="46" t="str">
        <x:v>Deepwater cardinalfishes</x:v>
      </x:c>
      <x:c r="G268" s="46" t="str">
        <x:v>Medium bathydemersals (30 - 89 cm)</x:v>
      </x:c>
      <x:c r="H268" s="46" t="str">
        <x:v>Perch-likes</x:v>
      </x:c>
      <x:c r="I268" s="60" t="n">
        <x:v>93.00349750529999</x:v>
      </x:c>
      <x:c r="J268" s="60" t="n">
        <x:v>2.9601380107</x:v>
      </x:c>
      <x:c r="K268" s="60" t="n">
        <x:v>90.0433594946</x:v>
      </x:c>
      <x:c r="L268" s="60" t="n">
        <x:v>2.7017490651</x:v>
      </x:c>
      <x:c r="M268" s="60" t="n">
        <x:v>90.30174844019999</x:v>
      </x:c>
      <x:c r="N268" s="46" t="str">
        <x:v>epigonus</x:v>
      </x:c>
      <x:c r="O268" s="62" t="n">
        <x:v>3.5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Epigonus</x:v>
      </x:c>
      <x:c r="T268" s="62" t="n">
        <x:f>IF(O268="","",(1/'Metadata'!$B$5)^(O268-1))</x:f>
        <x:v>1788.8543819998317</x:v>
      </x:c>
      <x:c r="U268" s="60" t="n">
        <x:f>IF(T268="","",I268*T268)</x:f>
        <x:v>166369.7140536663</x:v>
      </x:c>
    </x:row>
    <x:row r="269" ht="18" customHeight="1">
      <x:c r="A269" s="46" t="str">
        <x:v>LME_026</x:v>
      </x:c>
      <x:c r="B269" s="46" t="str">
        <x:v>Mediterranean Sea</x:v>
      </x:c>
      <x:c r="C269" s="46" t="str">
        <x:v>LME</x:v>
      </x:c>
      <x:c r="D269" s="58" t="n">
        <x:v>2019</x:v>
      </x:c>
      <x:c r="E269" s="46" t="str">
        <x:v>Pomadasys stridens</x:v>
      </x:c>
      <x:c r="F269" s="46" t="str">
        <x:v>Striped piggy</x:v>
      </x:c>
      <x:c r="G269" s="46" t="str">
        <x:v>Small reef assoc. fish (&lt;30 cm)</x:v>
      </x:c>
      <x:c r="H269" s="46" t="str">
        <x:v>Perch-likes</x:v>
      </x:c>
      <x:c r="I269" s="60" t="n">
        <x:v>87.53061131129999</x:v>
      </x:c>
      <x:c r="J269" s="60" t="n">
        <x:v>87.53061131129999</x:v>
      </x:c>
      <x:c r="K269" s="60" t="n">
        <x:v>0</x:v>
      </x:c>
      <x:c r="L269" s="60" t="n">
        <x:v>74.5245614654</x:v>
      </x:c>
      <x:c r="M269" s="60" t="n">
        <x:v>13.0060498459</x:v>
      </x:c>
      <x:c r="N269" s="46" t="str">
        <x:v>pomadasys stridens</x:v>
      </x:c>
      <x:c r="O269" s="62" t="n">
        <x:v>4.02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Pomadasys stridens</x:v>
      </x:c>
      <x:c r="T269" s="62" t="n">
        <x:f>IF(O269="","",(1/'Metadata'!$B$5)^(O269-1))</x:f>
        <x:v>8493.967342839818</x:v>
      </x:c>
      <x:c r="U269" s="60" t="n">
        <x:f>IF(T269="","",I269*T269)</x:f>
        <x:v>743482.1539769877</x:v>
      </x:c>
    </x:row>
    <x:row r="270" ht="18" customHeight="1">
      <x:c r="A270" s="46" t="str">
        <x:v>LME_026</x:v>
      </x:c>
      <x:c r="B270" s="46" t="str">
        <x:v>Mediterranean Sea</x:v>
      </x:c>
      <x:c r="C270" s="46" t="str">
        <x:v>LME</x:v>
      </x:c>
      <x:c r="D270" s="58" t="n">
        <x:v>2019</x:v>
      </x:c>
      <x:c r="E270" s="46" t="str">
        <x:v>Lepidorhombus</x:v>
      </x:c>
      <x:c r="F270" s="46" t="str">
        <x:v>Megrims</x:v>
      </x:c>
      <x:c r="G270" s="46" t="str">
        <x:v>Small to medium flatfishes (&lt;90 cm)</x:v>
      </x:c>
      <x:c r="H270" s="46" t="str">
        <x:v>Flatfishes</x:v>
      </x:c>
      <x:c r="I270" s="60" t="n">
        <x:v>87.14426308230001</x:v>
      </x:c>
      <x:c r="J270" s="60" t="n">
        <x:v>73.3916763292</x:v>
      </x:c>
      <x:c r="K270" s="60" t="n">
        <x:v>13.7525867531</x:v>
      </x:c>
      <x:c r="L270" s="60" t="n">
        <x:v>69.24810616340001</x:v>
      </x:c>
      <x:c r="M270" s="60" t="n">
        <x:v>17.8961569189</x:v>
      </x:c>
      <x:c r="N270" s="46" t="str">
        <x:v>lepidorhombus</x:v>
      </x:c>
      <x:c r="O270" s="62" t="n">
        <x:v>3.96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Lepidorhombus</x:v>
      </x:c>
      <x:c r="T270" s="62" t="n">
        <x:f>IF(O270="","",(1/'Metadata'!$B$5)^(O270-1))</x:f>
        <x:v>7096.574839945253</x:v>
      </x:c>
      <x:c r="U270" s="60" t="n">
        <x:f>IF(T270="","",I270*T270)</x:f>
        <x:v>618425.7848354203</x:v>
      </x:c>
    </x:row>
    <x:row r="271" ht="18" customHeight="1">
      <x:c r="A271" s="46" t="str">
        <x:v>LME_026</x:v>
      </x:c>
      <x:c r="B271" s="46" t="str">
        <x:v>Mediterranean Sea</x:v>
      </x:c>
      <x:c r="C271" s="46" t="str">
        <x:v>LME</x:v>
      </x:c>
      <x:c r="D271" s="58" t="n">
        <x:v>2019</x:v>
      </x:c>
      <x:c r="E271" s="46" t="str">
        <x:v>Spongia</x:v>
      </x:c>
      <x:c r="F271" s="46" t="str">
        <x:v>Bathing sponges</x:v>
      </x:c>
      <x:c r="G271" s="46" t="str">
        <x:v>Other demersal invertebrates</x:v>
      </x:c>
      <x:c r="H271" s="46" t="str">
        <x:v>Other fishes &amp; inverts</x:v>
      </x:c>
      <x:c r="I271" s="60" t="n">
        <x:v>87.0288163266</x:v>
      </x:c>
      <x:c r="J271" s="60" t="n">
        <x:v>87.0288163266</x:v>
      </x:c>
      <x:c r="K271" s="60" t="n">
        <x:v>0</x:v>
      </x:c>
      <x:c r="L271" s="60" t="n">
        <x:v>0</x:v>
      </x:c>
      <x:c r="M271" s="60" t="n">
        <x:v>87.0288163266</x:v>
      </x:c>
      <x:c r="N271" s="46" t="str">
        <x:v>spongia</x:v>
      </x:c>
      <x:c r="O271" s="62" t="n">
        <x:v>2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Spongia</x:v>
      </x:c>
      <x:c r="T271" s="62" t="n">
        <x:f>IF(O271="","",(1/'Metadata'!$B$5)^(O271-1))</x:f>
        <x:v>20</x:v>
      </x:c>
      <x:c r="U271" s="60" t="n">
        <x:f>IF(T271="","",I271*T271)</x:f>
        <x:v>1740.576326532</x:v>
      </x:c>
    </x:row>
    <x:row r="272" ht="18" customHeight="1">
      <x:c r="A272" s="46" t="str">
        <x:v>LME_026</x:v>
      </x:c>
      <x:c r="B272" s="46" t="str">
        <x:v>Mediterranean Sea</x:v>
      </x:c>
      <x:c r="C272" s="46" t="str">
        <x:v>LME</x:v>
      </x:c>
      <x:c r="D272" s="58" t="n">
        <x:v>2019</x:v>
      </x:c>
      <x:c r="E272" s="46" t="str">
        <x:v>Capros aper</x:v>
      </x:c>
      <x:c r="F272" s="46" t="str">
        <x:v>Boarfish</x:v>
      </x:c>
      <x:c r="G272" s="46" t="str">
        <x:v>Small demersals (&lt;30 cm)</x:v>
      </x:c>
      <x:c r="H272" s="46" t="str">
        <x:v>Perch-likes</x:v>
      </x:c>
      <x:c r="I272" s="60" t="n">
        <x:v>86.3352953668</x:v>
      </x:c>
      <x:c r="J272" s="60" t="n">
        <x:v>0.7443326025</x:v>
      </x:c>
      <x:c r="K272" s="60" t="n">
        <x:v>85.5909627643</x:v>
      </x:c>
      <x:c r="L272" s="60" t="n">
        <x:v>0.7251253159000001</x:v>
      </x:c>
      <x:c r="M272" s="60" t="n">
        <x:v>85.61017005090001</x:v>
      </x:c>
      <x:c r="N272" s="46" t="str">
        <x:v>capros aper</x:v>
      </x:c>
      <x:c r="O272" s="62" t="n">
        <x:v>3.14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Capros aper</x:v>
      </x:c>
      <x:c r="T272" s="62" t="n">
        <x:f>IF(O272="","",(1/'Metadata'!$B$5)^(O272-1))</x:f>
        <x:v>608.420993216597</x:v>
      </x:c>
      <x:c r="U272" s="60" t="n">
        <x:f>IF(T272="","",I272*T272)</x:f>
        <x:v>52528.20615671672</x:v>
      </x:c>
    </x:row>
    <x:row r="273" ht="18" customHeight="1">
      <x:c r="A273" s="46" t="str">
        <x:v>LME_026</x:v>
      </x:c>
      <x:c r="B273" s="46" t="str">
        <x:v>Mediterranean Sea</x:v>
      </x:c>
      <x:c r="C273" s="46" t="str">
        <x:v>LME</x:v>
      </x:c>
      <x:c r="D273" s="58" t="n">
        <x:v>2019</x:v>
      </x:c>
      <x:c r="E273" s="46" t="str">
        <x:v>Rostroraja alba</x:v>
      </x:c>
      <x:c r="F273" s="46" t="str">
        <x:v>White skate</x:v>
      </x:c>
      <x:c r="G273" s="46" t="str">
        <x:v>Large rays (&gt;=90 cm)</x:v>
      </x:c>
      <x:c r="H273" s="46" t="str">
        <x:v>Sharks &amp; rays</x:v>
      </x:c>
      <x:c r="I273" s="60" t="n">
        <x:v>85.323922208</x:v>
      </x:c>
      <x:c r="J273" s="60" t="n">
        <x:v>85.323922208</x:v>
      </x:c>
      <x:c r="K273" s="60" t="n">
        <x:v>0</x:v>
      </x:c>
      <x:c r="L273" s="60" t="n">
        <x:v>67.1750340528</x:v>
      </x:c>
      <x:c r="M273" s="60" t="n">
        <x:v>18.1488881552</x:v>
      </x:c>
      <x:c r="N273" s="46" t="str">
        <x:v>rostroraja alba</x:v>
      </x:c>
      <x:c r="O273" s="62" t="n">
        <x:v>4.41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Rostroraja alba</x:v>
      </x:c>
      <x:c r="T273" s="62" t="n">
        <x:f>IF(O273="","",(1/'Metadata'!$B$5)^(O273-1))</x:f>
        <x:v>27321.987305427916</x:v>
      </x:c>
      <x:c r="U273" s="60" t="n">
        <x:f>IF(T273="","",I273*T273)</x:f>
        <x:v>2331219.119416295</x:v>
      </x:c>
    </x:row>
    <x:row r="274" ht="18" customHeight="1">
      <x:c r="A274" s="46" t="str">
        <x:v>LME_026</x:v>
      </x:c>
      <x:c r="B274" s="46" t="str">
        <x:v>Mediterranean Sea</x:v>
      </x:c>
      <x:c r="C274" s="46" t="str">
        <x:v>LME</x:v>
      </x:c>
      <x:c r="D274" s="58" t="n">
        <x:v>2019</x:v>
      </x:c>
      <x:c r="E274" s="46" t="str">
        <x:v>Solea aegyptiaca</x:v>
      </x:c>
      <x:c r="F274" s="46" t="str">
        <x:v>Egyptian sole</x:v>
      </x:c>
      <x:c r="G274" s="46" t="str">
        <x:v>Small to medium flatfishes (&lt;90 cm)</x:v>
      </x:c>
      <x:c r="H274" s="46" t="str">
        <x:v>Flatfishes</x:v>
      </x:c>
      <x:c r="I274" s="60" t="n">
        <x:v>84.1300690099</x:v>
      </x:c>
      <x:c r="J274" s="60" t="n">
        <x:v>57.8823626852</x:v>
      </x:c>
      <x:c r="K274" s="60" t="n">
        <x:v>26.2477063247</x:v>
      </x:c>
      <x:c r="L274" s="60" t="n">
        <x:v>0</x:v>
      </x:c>
      <x:c r="M274" s="60" t="n">
        <x:v>84.1300690099</x:v>
      </x:c>
      <x:c r="N274" s="46" t="str">
        <x:v>solea aegyptiaca</x:v>
      </x:c>
      <x:c r="O274" s="62" t="n">
        <x:v>3.17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Solea aegyptiaca</x:v>
      </x:c>
      <x:c r="T274" s="62" t="n">
        <x:f>IF(O274="","",(1/'Metadata'!$B$5)^(O274-1))</x:f>
        <x:v>665.6333767532121</x:v>
      </x:c>
      <x:c r="U274" s="60" t="n">
        <x:f>IF(T274="","",I274*T274)</x:f>
        <x:v>55999.7819215405</x:v>
      </x:c>
    </x:row>
    <x:row r="275" ht="18" customHeight="1">
      <x:c r="A275" s="46" t="str">
        <x:v>LME_026</x:v>
      </x:c>
      <x:c r="B275" s="46" t="str">
        <x:v>Mediterranean Sea</x:v>
      </x:c>
      <x:c r="C275" s="46" t="str">
        <x:v>LME</x:v>
      </x:c>
      <x:c r="D275" s="58" t="n">
        <x:v>2019</x:v>
      </x:c>
      <x:c r="E275" s="46" t="str">
        <x:v>Molva dypterygia</x:v>
      </x:c>
      <x:c r="F275" s="46" t="str">
        <x:v>Blue ling</x:v>
      </x:c>
      <x:c r="G275" s="46" t="str">
        <x:v>Large demersals (&gt;=90 cm)</x:v>
      </x:c>
      <x:c r="H275" s="46" t="str">
        <x:v>Cod-likes</x:v>
      </x:c>
      <x:c r="I275" s="60" t="n">
        <x:v>81.8341471258</x:v>
      </x:c>
      <x:c r="J275" s="60" t="n">
        <x:v>0</x:v>
      </x:c>
      <x:c r="K275" s="60" t="n">
        <x:v>81.8341471258</x:v>
      </x:c>
      <x:c r="L275" s="60" t="n">
        <x:v>0</x:v>
      </x:c>
      <x:c r="M275" s="60" t="n">
        <x:v>81.8341471258</x:v>
      </x:c>
      <x:c r="N275" s="46" t="str">
        <x:v>molva dypterygia</x:v>
      </x:c>
      <x:c r="O275" s="62" t="n">
        <x:v>4.49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Molva dypterygia</x:v>
      </x:c>
      <x:c r="T275" s="62" t="n">
        <x:f>IF(O275="","",(1/'Metadata'!$B$5)^(O275-1))</x:f>
        <x:v>34721.19667768202</x:v>
      </x:c>
      <x:c r="U275" s="60" t="n">
        <x:f>IF(T275="","",I275*T275)</x:f>
        <x:v>2841379.5173052684</x:v>
      </x:c>
    </x:row>
    <x:row r="276" ht="18" customHeight="1">
      <x:c r="A276" s="46" t="str">
        <x:v>LME_026</x:v>
      </x:c>
      <x:c r="B276" s="46" t="str">
        <x:v>Mediterranean Sea</x:v>
      </x:c>
      <x:c r="C276" s="46" t="str">
        <x:v>LME</x:v>
      </x:c>
      <x:c r="D276" s="58" t="n">
        <x:v>2019</x:v>
      </x:c>
      <x:c r="E276" s="46" t="str">
        <x:v>Trachinus</x:v>
      </x:c>
      <x:c r="F276" s="46" t="str">
        <x:v>Weevers</x:v>
      </x:c>
      <x:c r="G276" s="46" t="str">
        <x:v>Medium demersals (30 - 89 cm)</x:v>
      </x:c>
      <x:c r="H276" s="46" t="str">
        <x:v>Perch-likes</x:v>
      </x:c>
      <x:c r="I276" s="60" t="n">
        <x:v>80.5813615355</x:v>
      </x:c>
      <x:c r="J276" s="60" t="n">
        <x:v>61.8491222873</x:v>
      </x:c>
      <x:c r="K276" s="60" t="n">
        <x:v>18.732239248200003</x:v>
      </x:c>
      <x:c r="L276" s="60" t="n">
        <x:v>57.541505628399996</x:v>
      </x:c>
      <x:c r="M276" s="60" t="n">
        <x:v>23.0398559071</x:v>
      </x:c>
      <x:c r="N276" s="46" t="str">
        <x:v>trachinus</x:v>
      </x:c>
      <x:c r="O276" s="62" t="n">
        <x:v>3.95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Trachinus</x:v>
      </x:c>
      <x:c r="T276" s="62" t="n">
        <x:f>IF(O276="","",(1/'Metadata'!$B$5)^(O276-1))</x:f>
        <x:v>6887.133274653882</x:v>
      </x:c>
      <x:c r="U276" s="60" t="n">
        <x:f>IF(T276="","",I276*T276)</x:f>
        <x:v>554974.5763480564</x:v>
      </x:c>
    </x:row>
    <x:row r="277" ht="18" customHeight="1">
      <x:c r="A277" s="46" t="str">
        <x:v>LME_026</x:v>
      </x:c>
      <x:c r="B277" s="46" t="str">
        <x:v>Mediterranean Sea</x:v>
      </x:c>
      <x:c r="C277" s="46" t="str">
        <x:v>LME</x:v>
      </x:c>
      <x:c r="D277" s="58" t="n">
        <x:v>2019</x:v>
      </x:c>
      <x:c r="E277" s="46" t="str">
        <x:v>Ostrea edulis</x:v>
      </x:c>
      <x:c r="F277" s="46" t="str">
        <x:v>European flat oyster</x:v>
      </x:c>
      <x:c r="G277" s="46" t="str">
        <x:v>Other demersal invertebrates</x:v>
      </x:c>
      <x:c r="H277" s="46" t="str">
        <x:v>Molluscs</x:v>
      </x:c>
      <x:c r="I277" s="60" t="n">
        <x:v>79.594513624</x:v>
      </x:c>
      <x:c r="J277" s="60" t="n">
        <x:v>74.1080377619</x:v>
      </x:c>
      <x:c r="K277" s="60" t="n">
        <x:v>5.4864758621</x:v>
      </x:c>
      <x:c r="L277" s="60" t="n">
        <x:v>59.6816113238</x:v>
      </x:c>
      <x:c r="M277" s="60" t="n">
        <x:v>19.9129023002</x:v>
      </x:c>
      <x:c r="N277" s="46" t="str">
        <x:v>ostrea edulis</x:v>
      </x:c>
      <x:c r="O277" s="62" t="n">
        <x:v>2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Ostrea edulis</x:v>
      </x:c>
      <x:c r="T277" s="62" t="n">
        <x:f>IF(O277="","",(1/'Metadata'!$B$5)^(O277-1))</x:f>
        <x:v>20</x:v>
      </x:c>
      <x:c r="U277" s="60" t="n">
        <x:f>IF(T277="","",I277*T277)</x:f>
        <x:v>1591.89027248</x:v>
      </x:c>
    </x:row>
    <x:row r="278" ht="18" customHeight="1">
      <x:c r="A278" s="46" t="str">
        <x:v>LME_026</x:v>
      </x:c>
      <x:c r="B278" s="46" t="str">
        <x:v>Mediterranean Sea</x:v>
      </x:c>
      <x:c r="C278" s="46" t="str">
        <x:v>LME</x:v>
      </x:c>
      <x:c r="D278" s="58" t="n">
        <x:v>2019</x:v>
      </x:c>
      <x:c r="E278" s="46" t="str">
        <x:v>Tellina</x:v>
      </x:c>
      <x:c r="F278" s="46" t="str">
        <x:v>Tellins</x:v>
      </x:c>
      <x:c r="G278" s="46" t="str">
        <x:v>Other demersal invertebrates</x:v>
      </x:c>
      <x:c r="H278" s="46" t="str">
        <x:v>Molluscs</x:v>
      </x:c>
      <x:c r="I278" s="60" t="n">
        <x:v>78.74462749999999</x:v>
      </x:c>
      <x:c r="J278" s="60" t="n">
        <x:v>78.7264337959</x:v>
      </x:c>
      <x:c r="K278" s="60" t="n">
        <x:v>0.0181937041</x:v>
      </x:c>
      <x:c r="L278" s="60" t="n">
        <x:v>12.9444914111</x:v>
      </x:c>
      <x:c r="M278" s="60" t="n">
        <x:v>65.8001360889</x:v>
      </x:c>
      <x:c r="N278" s="46" t="str">
        <x:v>tellina</x:v>
      </x:c>
      <x:c r="O278" s="62" t="n">
        <x:v>2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Tellina</x:v>
      </x:c>
      <x:c r="T278" s="62" t="n">
        <x:f>IF(O278="","",(1/'Metadata'!$B$5)^(O278-1))</x:f>
        <x:v>20</x:v>
      </x:c>
      <x:c r="U278" s="60" t="n">
        <x:f>IF(T278="","",I278*T278)</x:f>
        <x:v>1574.8925499999998</x:v>
      </x:c>
    </x:row>
    <x:row r="279" ht="18" customHeight="1">
      <x:c r="A279" s="46" t="str">
        <x:v>LME_026</x:v>
      </x:c>
      <x:c r="B279" s="46" t="str">
        <x:v>Mediterranean Sea</x:v>
      </x:c>
      <x:c r="C279" s="46" t="str">
        <x:v>LME</x:v>
      </x:c>
      <x:c r="D279" s="58" t="n">
        <x:v>2019</x:v>
      </x:c>
      <x:c r="E279" s="46" t="str">
        <x:v>Scyliorhinus</x:v>
      </x:c>
      <x:c r="F279" s="46" t="str">
        <x:v>Catsharks</x:v>
      </x:c>
      <x:c r="G279" s="46" t="str">
        <x:v>Small to medium sharks (&lt;90 cm)</x:v>
      </x:c>
      <x:c r="H279" s="46" t="str">
        <x:v>Sharks &amp; rays</x:v>
      </x:c>
      <x:c r="I279" s="60" t="n">
        <x:v>78.2591885313</x:v>
      </x:c>
      <x:c r="J279" s="60" t="n">
        <x:v>49.8450189223</x:v>
      </x:c>
      <x:c r="K279" s="60" t="n">
        <x:v>28.414169609</x:v>
      </x:c>
      <x:c r="L279" s="60" t="n">
        <x:v>24.648503143</x:v>
      </x:c>
      <x:c r="M279" s="60" t="n">
        <x:v>53.6106853883</x:v>
      </x:c>
      <x:c r="N279" s="46" t="str">
        <x:v>scyliorhinus</x:v>
      </x:c>
      <x:c r="O279" s="62" t="n">
        <x:v>3.86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Scyliorhinus</x:v>
      </x:c>
      <x:c r="T279" s="62" t="n">
        <x:f>IF(O279="","",(1/'Metadata'!$B$5)^(O279-1))</x:f>
        <x:v>5259.51608454905</x:v>
      </x:c>
      <x:c r="U279" s="60" t="n">
        <x:f>IF(T279="","",I279*T279)</x:f>
        <x:v>411605.46084412886</x:v>
      </x:c>
    </x:row>
    <x:row r="280" ht="18" customHeight="1">
      <x:c r="A280" s="46" t="str">
        <x:v>LME_026</x:v>
      </x:c>
      <x:c r="B280" s="46" t="str">
        <x:v>Mediterranean Sea</x:v>
      </x:c>
      <x:c r="C280" s="46" t="str">
        <x:v>LME</x:v>
      </x:c>
      <x:c r="D280" s="58" t="n">
        <x:v>2019</x:v>
      </x:c>
      <x:c r="E280" s="46" t="str">
        <x:v>Sargocentron</x:v>
      </x:c>
      <x:c r="F280" s="46" t="str">
        <x:v>Squirrelfishes</x:v>
      </x:c>
      <x:c r="G280" s="46" t="str">
        <x:v>Small reef assoc. fish (&lt;30 cm)</x:v>
      </x:c>
      <x:c r="H280" s="46" t="str">
        <x:v>Other fishes &amp; inverts</x:v>
      </x:c>
      <x:c r="I280" s="60" t="n">
        <x:v>78.2487842886</x:v>
      </x:c>
      <x:c r="J280" s="60" t="n">
        <x:v>76.4591046276</x:v>
      </x:c>
      <x:c r="K280" s="60" t="n">
        <x:v>1.789679661</x:v>
      </x:c>
      <x:c r="L280" s="60" t="n">
        <x:v>76.4591046276</x:v>
      </x:c>
      <x:c r="M280" s="60" t="n">
        <x:v>1.789679661</x:v>
      </x:c>
      <x:c r="N280" s="46" t="str">
        <x:v>sargocentron</x:v>
      </x:c>
      <x:c r="O280" s="62" t="n">
        <x:v>3.49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Sargocentron</x:v>
      </x:c>
      <x:c r="T280" s="62" t="n">
        <x:f>IF(O280="","",(1/'Metadata'!$B$5)^(O280-1))</x:f>
        <x:v>1736.059833884101</x:v>
      </x:c>
      <x:c r="U280" s="60" t="n">
        <x:f>IF(T280="","",I280*T280)</x:f>
        <x:v>135844.57145369978</x:v>
      </x:c>
    </x:row>
    <x:row r="281" ht="18" customHeight="1">
      <x:c r="A281" s="46" t="str">
        <x:v>LME_026</x:v>
      </x:c>
      <x:c r="B281" s="46" t="str">
        <x:v>Mediterranean Sea</x:v>
      </x:c>
      <x:c r="C281" s="46" t="str">
        <x:v>LME</x:v>
      </x:c>
      <x:c r="D281" s="58" t="n">
        <x:v>2019</x:v>
      </x:c>
      <x:c r="E281" s="46" t="str">
        <x:v>Aphia minuta</x:v>
      </x:c>
      <x:c r="F281" s="46" t="str">
        <x:v>Transparent goby</x:v>
      </x:c>
      <x:c r="G281" s="46" t="str">
        <x:v>Small demersals (&lt;30 cm)</x:v>
      </x:c>
      <x:c r="H281" s="46" t="str">
        <x:v>Perch-likes</x:v>
      </x:c>
      <x:c r="I281" s="60" t="n">
        <x:v>75.514730147</x:v>
      </x:c>
      <x:c r="J281" s="60" t="n">
        <x:v>74.34827658649999</x:v>
      </x:c>
      <x:c r="K281" s="60" t="n">
        <x:v>1.1664535605000002</x:v>
      </x:c>
      <x:c r="L281" s="60" t="n">
        <x:v>57.9551406027</x:v>
      </x:c>
      <x:c r="M281" s="60" t="n">
        <x:v>17.5595895443</x:v>
      </x:c>
      <x:c r="N281" s="46" t="str">
        <x:v>aphia minuta</x:v>
      </x:c>
      <x:c r="O281" s="62" t="n">
        <x:v>3.1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Aphia minuta</x:v>
      </x:c>
      <x:c r="T281" s="62" t="n">
        <x:f>IF(O281="","",(1/'Metadata'!$B$5)^(O281-1))</x:f>
        <x:v>539.7131390694254</x:v>
      </x:c>
      <x:c r="U281" s="60" t="n">
        <x:f>IF(T281="","",I281*T281)</x:f>
        <x:v>40756.292053617944</x:v>
      </x:c>
    </x:row>
    <x:row r="282" ht="18" customHeight="1">
      <x:c r="A282" s="46" t="str">
        <x:v>LME_026</x:v>
      </x:c>
      <x:c r="B282" s="46" t="str">
        <x:v>Mediterranean Sea</x:v>
      </x:c>
      <x:c r="C282" s="46" t="str">
        <x:v>LME</x:v>
      </x:c>
      <x:c r="D282" s="58" t="n">
        <x:v>2019</x:v>
      </x:c>
      <x:c r="E282" s="46" t="str">
        <x:v>Metapenaeus monoceros</x:v>
      </x:c>
      <x:c r="F282" s="46" t="str">
        <x:v>Speckled shrimp</x:v>
      </x:c>
      <x:c r="G282" s="46" t="str">
        <x:v>Shrimps</x:v>
      </x:c>
      <x:c r="H282" s="46" t="str">
        <x:v>Crustaceans</x:v>
      </x:c>
      <x:c r="I282" s="60" t="n">
        <x:v>74.8445412091</x:v>
      </x:c>
      <x:c r="J282" s="60" t="n">
        <x:v>74.8445412091</x:v>
      </x:c>
      <x:c r="K282" s="60" t="n">
        <x:v>0</x:v>
      </x:c>
      <x:c r="L282" s="60" t="n">
        <x:v>62.4383496106</x:v>
      </x:c>
      <x:c r="M282" s="60" t="n">
        <x:v>12.4061915985</x:v>
      </x:c>
      <x:c r="N282" s="46" t="str">
        <x:v>metapenaeus monoceros</x:v>
      </x:c>
      <x:c r="O282" s="62" t="n">
        <x:v>2.7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Metapenaeus monoceros</x:v>
      </x:c>
      <x:c r="T282" s="62" t="n">
        <x:f>IF(O282="","",(1/'Metadata'!$B$5)^(O282-1))</x:f>
        <x:v>162.83621261476185</x:v>
      </x:c>
      <x:c r="U282" s="60" t="n">
        <x:f>IF(T282="","",I282*T282)</x:f>
        <x:v>12187.401625379312</x:v>
      </x:c>
    </x:row>
    <x:row r="283" ht="18" customHeight="1">
      <x:c r="A283" s="46" t="str">
        <x:v>LME_026</x:v>
      </x:c>
      <x:c r="B283" s="46" t="str">
        <x:v>Mediterranean Sea</x:v>
      </x:c>
      <x:c r="C283" s="46" t="str">
        <x:v>LME</x:v>
      </x:c>
      <x:c r="D283" s="58" t="n">
        <x:v>2019</x:v>
      </x:c>
      <x:c r="E283" s="46" t="str">
        <x:v>Arnoglossus thori</x:v>
      </x:c>
      <x:c r="F283" s="46" t="str">
        <x:v>Thor's scaldfish</x:v>
      </x:c>
      <x:c r="G283" s="46" t="str">
        <x:v>Small to medium flatfishes (&lt;90 cm)</x:v>
      </x:c>
      <x:c r="H283" s="46" t="str">
        <x:v>Flatfishes</x:v>
      </x:c>
      <x:c r="I283" s="60" t="n">
        <x:v>73.85047480050001</x:v>
      </x:c>
      <x:c r="J283" s="60" t="n">
        <x:v>59.9641899606</x:v>
      </x:c>
      <x:c r="K283" s="60" t="n">
        <x:v>13.8862848399</x:v>
      </x:c>
      <x:c r="L283" s="60" t="n">
        <x:v>57.3433776361</x:v>
      </x:c>
      <x:c r="M283" s="60" t="n">
        <x:v>16.5070971644</x:v>
      </x:c>
      <x:c r="N283" s="46" t="str">
        <x:v>arnoglossus thori</x:v>
      </x:c>
      <x:c r="O283" s="62" t="n">
        <x:v>3.28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Arnoglossus thori</x:v>
      </x:c>
      <x:c r="T283" s="62" t="n">
        <x:f>IF(O283="","",(1/'Metadata'!$B$5)^(O283-1))</x:f>
        <x:v>925.4402624666747</x:v>
      </x:c>
      <x:c r="U283" s="60" t="n">
        <x:f>IF(T283="","",I283*T283)</x:f>
        <x:v>68344.20278266327</x:v>
      </x:c>
    </x:row>
    <x:row r="284" ht="18" customHeight="1">
      <x:c r="A284" s="46" t="str">
        <x:v>LME_026</x:v>
      </x:c>
      <x:c r="B284" s="46" t="str">
        <x:v>Mediterranean Sea</x:v>
      </x:c>
      <x:c r="C284" s="46" t="str">
        <x:v>LME</x:v>
      </x:c>
      <x:c r="D284" s="58" t="n">
        <x:v>2019</x:v>
      </x:c>
      <x:c r="E284" s="46" t="str">
        <x:v>Istiophorus albicans</x:v>
      </x:c>
      <x:c r="F284" s="46" t="str">
        <x:v>Atlantic sailfish</x:v>
      </x:c>
      <x:c r="G284" s="46" t="str">
        <x:v>Large pelagics (&gt;=90 cm)</x:v>
      </x:c>
      <x:c r="H284" s="46" t="str">
        <x:v>Tuna &amp; billfishes</x:v>
      </x:c>
      <x:c r="I284" s="60" t="n">
        <x:v>72.45430435060001</x:v>
      </x:c>
      <x:c r="J284" s="60" t="n">
        <x:v>72.45430435060001</x:v>
      </x:c>
      <x:c r="K284" s="60" t="n">
        <x:v>0</x:v>
      </x:c>
      <x:c r="L284" s="60" t="n">
        <x:v>72.45430435060001</x:v>
      </x:c>
      <x:c r="M284" s="60" t="n">
        <x:v>0</x:v>
      </x:c>
      <x:c r="N284" s="46" t="str">
        <x:v>istiophorus albicans</x:v>
      </x:c>
      <x:c r="O284" s="62" t="n">
        <x:v>4.5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Istiophorus albicans</x:v>
      </x:c>
      <x:c r="T284" s="62" t="n">
        <x:f>IF(O284="","",(1/'Metadata'!$B$5)^(O284-1))</x:f>
        <x:v>35777.08763999664</x:v>
      </x:c>
      <x:c r="U284" s="60" t="n">
        <x:f>IF(T284="","",I284*T284)</x:f>
        <x:v>2592203.996646406</x:v>
      </x:c>
    </x:row>
    <x:row r="285" ht="18" customHeight="1">
      <x:c r="A285" s="46" t="str">
        <x:v>LME_026</x:v>
      </x:c>
      <x:c r="B285" s="46" t="str">
        <x:v>Mediterranean Sea</x:v>
      </x:c>
      <x:c r="C285" s="46" t="str">
        <x:v>LME</x:v>
      </x:c>
      <x:c r="D285" s="58" t="n">
        <x:v>2019</x:v>
      </x:c>
      <x:c r="E285" s="46" t="str">
        <x:v>Hexanchus griseus</x:v>
      </x:c>
      <x:c r="F285" s="46" t="str">
        <x:v>Bluntnose sixgill shark</x:v>
      </x:c>
      <x:c r="G285" s="46" t="str">
        <x:v>Large sharks (&gt;=90 cm)</x:v>
      </x:c>
      <x:c r="H285" s="46" t="str">
        <x:v>Sharks &amp; rays</x:v>
      </x:c>
      <x:c r="I285" s="60" t="n">
        <x:v>71.8181764982</x:v>
      </x:c>
      <x:c r="J285" s="60" t="n">
        <x:v>71.7858674549</x:v>
      </x:c>
      <x:c r="K285" s="60" t="n">
        <x:v>0.0323090433</x:v>
      </x:c>
      <x:c r="L285" s="60" t="n">
        <x:v>65.0749375001</x:v>
      </x:c>
      <x:c r="M285" s="60" t="n">
        <x:v>6.7432389981</x:v>
      </x:c>
      <x:c r="N285" s="46" t="str">
        <x:v>hexanchus griseus</x:v>
      </x:c>
      <x:c r="O285" s="62" t="n">
        <x:v>4.48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Hexanchus griseus</x:v>
      </x:c>
      <x:c r="T285" s="62" t="n">
        <x:f>IF(O285="","",(1/'Metadata'!$B$5)^(O285-1))</x:f>
        <x:v>33696.468277717824</x:v>
      </x:c>
      <x:c r="U285" s="60" t="n">
        <x:f>IF(T285="","",I285*T285)</x:f>
        <x:v>2420018.9061351363</x:v>
      </x:c>
    </x:row>
    <x:row r="286" ht="18" customHeight="1">
      <x:c r="A286" s="46" t="str">
        <x:v>LME_026</x:v>
      </x:c>
      <x:c r="B286" s="46" t="str">
        <x:v>Mediterranean Sea</x:v>
      </x:c>
      <x:c r="C286" s="46" t="str">
        <x:v>LME</x:v>
      </x:c>
      <x:c r="D286" s="58" t="n">
        <x:v>2019</x:v>
      </x:c>
      <x:c r="E286" s="46" t="str">
        <x:v>Brama brama</x:v>
      </x:c>
      <x:c r="F286" s="46" t="str">
        <x:v>Atlantic pomfret</x:v>
      </x:c>
      <x:c r="G286" s="46" t="str">
        <x:v>Medium bathypelagics (30 - 89 cm)</x:v>
      </x:c>
      <x:c r="H286" s="46" t="str">
        <x:v>Perch-likes</x:v>
      </x:c>
      <x:c r="I286" s="60" t="n">
        <x:v>71.0254822506</x:v>
      </x:c>
      <x:c r="J286" s="60" t="n">
        <x:v>70.7141845953</x:v>
      </x:c>
      <x:c r="K286" s="60" t="n">
        <x:v>0.3112976553</x:v>
      </x:c>
      <x:c r="L286" s="60" t="n">
        <x:v>63.8196409043</x:v>
      </x:c>
      <x:c r="M286" s="60" t="n">
        <x:v>7.205841346300001</x:v>
      </x:c>
      <x:c r="N286" s="46" t="str">
        <x:v>brama brama</x:v>
      </x:c>
      <x:c r="O286" s="62" t="n">
        <x:v>4.08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Brama brama</x:v>
      </x:c>
      <x:c r="T286" s="62" t="n">
        <x:f>IF(O286="","",(1/'Metadata'!$B$5)^(O286-1))</x:f>
        <x:v>10166.521575327472</x:v>
      </x:c>
      <x:c r="U286" s="60" t="n">
        <x:f>IF(T286="","",I286*T286)</x:f>
        <x:v>722082.0976987634</x:v>
      </x:c>
    </x:row>
    <x:row r="287" ht="18" customHeight="1">
      <x:c r="A287" s="46" t="str">
        <x:v>LME_026</x:v>
      </x:c>
      <x:c r="B287" s="46" t="str">
        <x:v>Mediterranean Sea</x:v>
      </x:c>
      <x:c r="C287" s="46" t="str">
        <x:v>LME</x:v>
      </x:c>
      <x:c r="D287" s="58" t="n">
        <x:v>2019</x:v>
      </x:c>
      <x:c r="E287" s="46" t="str">
        <x:v>Peristediidae</x:v>
      </x:c>
      <x:c r="F287" s="46" t="str">
        <x:v>Armored searobins, gurnards</x:v>
      </x:c>
      <x:c r="G287" s="46" t="str">
        <x:v>Medium bathydemersals (30 - 89 cm)</x:v>
      </x:c>
      <x:c r="H287" s="46" t="str">
        <x:v>Scorpionfishes</x:v>
      </x:c>
      <x:c r="I287" s="60" t="n">
        <x:v>69.6562236824</x:v>
      </x:c>
      <x:c r="J287" s="60" t="n">
        <x:v>0.0942812298</x:v>
      </x:c>
      <x:c r="K287" s="60" t="n">
        <x:v>69.5619424526</x:v>
      </x:c>
      <x:c r="L287" s="60" t="n">
        <x:v>0.0942812298</x:v>
      </x:c>
      <x:c r="M287" s="60" t="n">
        <x:v>69.5619424526</x:v>
      </x:c>
      <x:c r="N287" s="46" t="str">
        <x:v>peristediidae</x:v>
      </x:c>
      <x:c r="O287" s="62" t="n">
        <x:v>3.47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Peristediidae</x:v>
      </x:c>
      <x:c r="T287" s="62" t="n">
        <x:f>IF(O287="","",(1/'Metadata'!$B$5)^(O287-1))</x:f>
        <x:v>1635.0991368927735</x:v>
      </x:c>
      <x:c r="U287" s="60" t="n">
        <x:f>IF(T287="","",I287*T287)</x:f>
        <x:v>113894.83122230221</x:v>
      </x:c>
    </x:row>
    <x:row r="288" ht="18" customHeight="1">
      <x:c r="A288" s="46" t="str">
        <x:v>LME_026</x:v>
      </x:c>
      <x:c r="B288" s="46" t="str">
        <x:v>Mediterranean Sea</x:v>
      </x:c>
      <x:c r="C288" s="46" t="str">
        <x:v>LME</x:v>
      </x:c>
      <x:c r="D288" s="58" t="n">
        <x:v>2019</x:v>
      </x:c>
      <x:c r="E288" s="46" t="str">
        <x:v>Naucrates ductor</x:v>
      </x:c>
      <x:c r="F288" s="46" t="str">
        <x:v>Pilotfish</x:v>
      </x:c>
      <x:c r="G288" s="46" t="str">
        <x:v>Medium pelagics (30 - 89 cm)</x:v>
      </x:c>
      <x:c r="H288" s="46" t="str">
        <x:v>Perch-likes</x:v>
      </x:c>
      <x:c r="I288" s="60" t="n">
        <x:v>68.7289990677</x:v>
      </x:c>
      <x:c r="J288" s="60" t="n">
        <x:v>68.5247445018</x:v>
      </x:c>
      <x:c r="K288" s="60" t="n">
        <x:v>0.2042545659</x:v>
      </x:c>
      <x:c r="L288" s="60" t="n">
        <x:v>43.0370922711</x:v>
      </x:c>
      <x:c r="M288" s="60" t="n">
        <x:v>25.6919067966</x:v>
      </x:c>
      <x:c r="N288" s="46" t="str">
        <x:v>naucrates ductor</x:v>
      </x:c>
      <x:c r="O288" s="62" t="n">
        <x:v>3.98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Naucrates ductor</x:v>
      </x:c>
      <x:c r="T288" s="62" t="n">
        <x:f>IF(O288="","",(1/'Metadata'!$B$5)^(O288-1))</x:f>
        <x:v>7534.759367064222</x:v>
      </x:c>
      <x:c r="U288" s="60" t="n">
        <x:f>IF(T288="","",I288*T288)</x:f>
        <x:v>517856.46951430076</x:v>
      </x:c>
    </x:row>
    <x:row r="289" ht="18" customHeight="1">
      <x:c r="A289" s="46" t="str">
        <x:v>LME_026</x:v>
      </x:c>
      <x:c r="B289" s="46" t="str">
        <x:v>Mediterranean Sea</x:v>
      </x:c>
      <x:c r="C289" s="46" t="str">
        <x:v>LME</x:v>
      </x:c>
      <x:c r="D289" s="58" t="n">
        <x:v>2019</x:v>
      </x:c>
      <x:c r="E289" s="46" t="str">
        <x:v>Scorpaena notata</x:v>
      </x:c>
      <x:c r="F289" s="46" t="str">
        <x:v>Small red scorpionfish</x:v>
      </x:c>
      <x:c r="G289" s="46" t="str">
        <x:v>Large reef assoc. fish (&gt;=90 cm)</x:v>
      </x:c>
      <x:c r="H289" s="46" t="str">
        <x:v>Scorpionfishes</x:v>
      </x:c>
      <x:c r="I289" s="60" t="n">
        <x:v>65.814964625</x:v>
      </x:c>
      <x:c r="J289" s="60" t="n">
        <x:v>65.814964625</x:v>
      </x:c>
      <x:c r="K289" s="60" t="n">
        <x:v>0</x:v>
      </x:c>
      <x:c r="L289" s="60" t="n">
        <x:v>59.306641993599996</x:v>
      </x:c>
      <x:c r="M289" s="60" t="n">
        <x:v>6.5083226314000004</x:v>
      </x:c>
      <x:c r="N289" s="46" t="str">
        <x:v>scorpaena notata</x:v>
      </x:c>
      <x:c r="O289" s="62" t="n">
        <x:v>3.7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Scorpaena notata</x:v>
      </x:c>
      <x:c r="T289" s="62" t="n">
        <x:f>IF(O289="","",(1/'Metadata'!$B$5)^(O289-1))</x:f>
        <x:v>3256.724252295237</x:v>
      </x:c>
      <x:c r="U289" s="60" t="n">
        <x:f>IF(T289="","",I289*T289)</x:f>
        <x:v>214341.1914581906</x:v>
      </x:c>
    </x:row>
    <x:row r="290" ht="18" customHeight="1">
      <x:c r="A290" s="46" t="str">
        <x:v>LME_026</x:v>
      </x:c>
      <x:c r="B290" s="46" t="str">
        <x:v>Mediterranean Sea</x:v>
      </x:c>
      <x:c r="C290" s="46" t="str">
        <x:v>LME</x:v>
      </x:c>
      <x:c r="D290" s="58" t="n">
        <x:v>2019</x:v>
      </x:c>
      <x:c r="E290" s="46" t="str">
        <x:v>Xiphiidae</x:v>
      </x:c>
      <x:c r="F290" s="46" t="str">
        <x:v>Swordfishes</x:v>
      </x:c>
      <x:c r="G290" s="46" t="str">
        <x:v>Large pelagics (&gt;=90 cm)</x:v>
      </x:c>
      <x:c r="H290" s="46" t="str">
        <x:v>Tuna &amp; billfishes</x:v>
      </x:c>
      <x:c r="I290" s="60" t="n">
        <x:v>64.20567859949999</x:v>
      </x:c>
      <x:c r="J290" s="60" t="n">
        <x:v>64.20567859949999</x:v>
      </x:c>
      <x:c r="K290" s="60" t="n">
        <x:v>0</x:v>
      </x:c>
      <x:c r="L290" s="60" t="n">
        <x:v>0</x:v>
      </x:c>
      <x:c r="M290" s="60" t="n">
        <x:v>64.20567859949999</x:v>
      </x:c>
      <x:c r="N290" s="46" t="str">
        <x:v>xiphiidae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Xiphiidae</x:v>
      </x:c>
      <x:c r="T290" s="62" t="n">
        <x:f>IF(O290="","",(1/'Metadata'!$B$5)^(O290-1))</x:f>
        <x:v>35777.08763999664</x:v>
      </x:c>
      <x:c r="U290" s="60" t="n">
        <x:f>IF(T290="","",I290*T290)</x:f>
        <x:v>2297092.1902397675</x:v>
      </x:c>
    </x:row>
    <x:row r="291" ht="18" customHeight="1">
      <x:c r="A291" s="46" t="str">
        <x:v>LME_026</x:v>
      </x:c>
      <x:c r="B291" s="46" t="str">
        <x:v>Mediterranean Sea</x:v>
      </x:c>
      <x:c r="C291" s="46" t="str">
        <x:v>LME</x:v>
      </x:c>
      <x:c r="D291" s="58" t="n">
        <x:v>2019</x:v>
      </x:c>
      <x:c r="E291" s="46" t="str">
        <x:v>Oxynotus centrina</x:v>
      </x:c>
      <x:c r="F291" s="46" t="str">
        <x:v>Angular roughshark</x:v>
      </x:c>
      <x:c r="G291" s="46" t="str">
        <x:v>Large sharks (&gt;=90 cm)</x:v>
      </x:c>
      <x:c r="H291" s="46" t="str">
        <x:v>Sharks &amp; rays</x:v>
      </x:c>
      <x:c r="I291" s="60" t="n">
        <x:v>61.806839271200005</x:v>
      </x:c>
      <x:c r="J291" s="60" t="n">
        <x:v>0.0437027996</x:v>
      </x:c>
      <x:c r="K291" s="60" t="n">
        <x:v>61.7631364716</x:v>
      </x:c>
      <x:c r="L291" s="60" t="n">
        <x:v>0.023673757400000002</x:v>
      </x:c>
      <x:c r="M291" s="60" t="n">
        <x:v>61.7831655138</x:v>
      </x:c>
      <x:c r="N291" s="46" t="str">
        <x:v>oxynotus centrina</x:v>
      </x:c>
      <x:c r="O291" s="62" t="n">
        <x:v>3.061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Oxynotus centrina</x:v>
      </x:c>
      <x:c r="T291" s="62" t="n">
        <x:f>IF(O291="","",(1/'Metadata'!$B$5)^(O291-1))</x:f>
        <x:v>480.2007356706238</x:v>
      </x:c>
      <x:c r="U291" s="60" t="n">
        <x:f>IF(T291="","",I291*T291)</x:f>
        <x:v>29679.689687506245</x:v>
      </x:c>
    </x:row>
    <x:row r="292" ht="18" customHeight="1">
      <x:c r="A292" s="46" t="str">
        <x:v>LME_026</x:v>
      </x:c>
      <x:c r="B292" s="46" t="str">
        <x:v>Mediterranean Sea</x:v>
      </x:c>
      <x:c r="C292" s="46" t="str">
        <x:v>LME</x:v>
      </x:c>
      <x:c r="D292" s="58" t="n">
        <x:v>2019</x:v>
      </x:c>
      <x:c r="E292" s="46" t="str">
        <x:v>Squalus acanthias</x:v>
      </x:c>
      <x:c r="F292" s="46" t="str">
        <x:v>Picked dogfish</x:v>
      </x:c>
      <x:c r="G292" s="46" t="str">
        <x:v>Large sharks (&gt;=90 cm)</x:v>
      </x:c>
      <x:c r="H292" s="46" t="str">
        <x:v>Sharks &amp; rays</x:v>
      </x:c>
      <x:c r="I292" s="60" t="n">
        <x:v>58.5052187225</x:v>
      </x:c>
      <x:c r="J292" s="60" t="n">
        <x:v>55.6183997081</x:v>
      </x:c>
      <x:c r="K292" s="60" t="n">
        <x:v>2.8868190144</x:v>
      </x:c>
      <x:c r="L292" s="60" t="n">
        <x:v>40.2805159534</x:v>
      </x:c>
      <x:c r="M292" s="60" t="n">
        <x:v>18.2247027691</x:v>
      </x:c>
      <x:c r="N292" s="46" t="str">
        <x:v>squalus acanthias</x:v>
      </x:c>
      <x:c r="O292" s="62" t="n">
        <x:v>4.37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Squalus acanthias</x:v>
      </x:c>
      <x:c r="T292" s="62" t="n">
        <x:f>IF(O292="","",(1/'Metadata'!$B$5)^(O292-1))</x:f>
        <x:v>24236.56596112542</x:v>
      </x:c>
      <x:c r="U292" s="60" t="n">
        <x:f>IF(T292="","",I292*T292)</x:f>
        <x:v>1417965.592637941</x:v>
      </x:c>
    </x:row>
    <x:row r="293" ht="18" customHeight="1">
      <x:c r="A293" s="46" t="str">
        <x:v>LME_026</x:v>
      </x:c>
      <x:c r="B293" s="46" t="str">
        <x:v>Mediterranean Sea</x:v>
      </x:c>
      <x:c r="C293" s="46" t="str">
        <x:v>LME</x:v>
      </x:c>
      <x:c r="D293" s="58" t="n">
        <x:v>2019</x:v>
      </x:c>
      <x:c r="E293" s="46" t="str">
        <x:v>Squatinidae</x:v>
      </x:c>
      <x:c r="F293" s="46" t="str">
        <x:v>Angel sharks</x:v>
      </x:c>
      <x:c r="G293" s="46" t="str">
        <x:v>Large sharks (&gt;=90 cm)</x:v>
      </x:c>
      <x:c r="H293" s="46" t="str">
        <x:v>Sharks &amp; rays</x:v>
      </x:c>
      <x:c r="I293" s="60" t="n">
        <x:v>57.3628483408</x:v>
      </x:c>
      <x:c r="J293" s="60" t="n">
        <x:v>57.3626351706</x:v>
      </x:c>
      <x:c r="K293" s="60" t="n">
        <x:v>0.0002131702</x:v>
      </x:c>
      <x:c r="L293" s="60" t="n">
        <x:v>0.023650301500000002</x:v>
      </x:c>
      <x:c r="M293" s="60" t="n">
        <x:v>57.3391980393</x:v>
      </x:c>
      <x:c r="N293" s="46" t="str">
        <x:v>squatinidae</x:v>
      </x:c>
      <x:c r="O293" s="62" t="n">
        <x:v>4.13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Squatinidae</x:v>
      </x:c>
      <x:c r="T293" s="62" t="n">
        <x:f>IF(O293="","",(1/'Metadata'!$B$5)^(O293-1))</x:f>
        <x:v>11809.292685236613</x:v>
      </x:c>
      <x:c r="U293" s="60" t="n">
        <x:f>IF(T293="","",I293*T293)</x:f>
        <x:v>677414.6653153466</x:v>
      </x:c>
    </x:row>
    <x:row r="294" ht="18" customHeight="1">
      <x:c r="A294" s="46" t="str">
        <x:v>LME_026</x:v>
      </x:c>
      <x:c r="B294" s="46" t="str">
        <x:v>Mediterranean Sea</x:v>
      </x:c>
      <x:c r="C294" s="46" t="str">
        <x:v>LME</x:v>
      </x:c>
      <x:c r="D294" s="58" t="n">
        <x:v>2019</x:v>
      </x:c>
      <x:c r="E294" s="46" t="str">
        <x:v>Todaropsis eblanae</x:v>
      </x:c>
      <x:c r="F294" s="46" t="str">
        <x:v>Lesser flying squid</x:v>
      </x:c>
      <x:c r="G294" s="46" t="str">
        <x:v>Cephalopods</x:v>
      </x:c>
      <x:c r="H294" s="46" t="str">
        <x:v>Other fishes &amp; inverts</x:v>
      </x:c>
      <x:c r="I294" s="60" t="n">
        <x:v>57.2792323133</x:v>
      </x:c>
      <x:c r="J294" s="60" t="n">
        <x:v>43.2126938101</x:v>
      </x:c>
      <x:c r="K294" s="60" t="n">
        <x:v>14.0665385032</x:v>
      </x:c>
      <x:c r="L294" s="60" t="n">
        <x:v>38.5116311489</x:v>
      </x:c>
      <x:c r="M294" s="60" t="n">
        <x:v>18.767601164400002</x:v>
      </x:c>
      <x:c r="N294" s="46" t="str">
        <x:v>todaropsis eblanae</x:v>
      </x:c>
      <x:c r="O294" s="62" t="n">
        <x:v>4.25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Todaropsis eblanae</x:v>
      </x:c>
      <x:c r="T294" s="62" t="n">
        <x:f>IF(O294="","",(1/'Metadata'!$B$5)^(O294-1))</x:f>
        <x:v>16917.940215049024</x:v>
      </x:c>
      <x:c r="U294" s="60" t="n">
        <x:f>IF(T294="","",I294*T294)</x:f>
        <x:v>969046.6278403136</x:v>
      </x:c>
    </x:row>
    <x:row r="295" ht="18" customHeight="1">
      <x:c r="A295" s="46" t="str">
        <x:v>LME_026</x:v>
      </x:c>
      <x:c r="B295" s="46" t="str">
        <x:v>Mediterranean Sea</x:v>
      </x:c>
      <x:c r="C295" s="46" t="str">
        <x:v>LME</x:v>
      </x:c>
      <x:c r="D295" s="58" t="n">
        <x:v>2019</x:v>
      </x:c>
      <x:c r="E295" s="46" t="str">
        <x:v>Pomatomidae</x:v>
      </x:c>
      <x:c r="F295" s="46" t="str">
        <x:v>Bluefishes</x:v>
      </x:c>
      <x:c r="G295" s="46" t="str">
        <x:v>Large pelagics (&gt;=90 cm)</x:v>
      </x:c>
      <x:c r="H295" s="46" t="str">
        <x:v>Perch-likes</x:v>
      </x:c>
      <x:c r="I295" s="60" t="n">
        <x:v>55.343857280900004</x:v>
      </x:c>
      <x:c r="J295" s="60" t="n">
        <x:v>10.799039128699999</x:v>
      </x:c>
      <x:c r="K295" s="60" t="n">
        <x:v>44.54481815220001</x:v>
      </x:c>
      <x:c r="L295" s="60" t="n">
        <x:v>0</x:v>
      </x:c>
      <x:c r="M295" s="60" t="n">
        <x:v>55.343857280900004</x:v>
      </x:c>
      <x:c r="N295" s="46" t="str">
        <x:v>pomatomidae</x:v>
      </x:c>
      <x:c r="O295" s="62" t="n">
        <x:v>4.53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Pomatomidae</x:v>
      </x:c>
      <x:c r="T295" s="62" t="n">
        <x:f>IF(O295="","",(1/'Metadata'!$B$5)^(O295-1))</x:f>
        <x:v>39141.35758252625</x:v>
      </x:c>
      <x:c r="U295" s="60" t="n">
        <x:f>IF(T295="","",I295*T295)</x:f>
        <x:v>2166233.7078280062</x:v>
      </x:c>
    </x:row>
    <x:row r="296" ht="18" customHeight="1">
      <x:c r="A296" s="46" t="str">
        <x:v>LME_026</x:v>
      </x:c>
      <x:c r="B296" s="46" t="str">
        <x:v>Mediterranean Sea</x:v>
      </x:c>
      <x:c r="C296" s="46" t="str">
        <x:v>LME</x:v>
      </x:c>
      <x:c r="D296" s="58" t="n">
        <x:v>2019</x:v>
      </x:c>
      <x:c r="E296" s="46" t="str">
        <x:v>Centrolophus niger</x:v>
      </x:c>
      <x:c r="F296" s="46" t="str">
        <x:v>Rudderfish</x:v>
      </x:c>
      <x:c r="G296" s="46" t="str">
        <x:v>Large bathypelagics (&gt;=90 cm)</x:v>
      </x:c>
      <x:c r="H296" s="46" t="str">
        <x:v>Perch-likes</x:v>
      </x:c>
      <x:c r="I296" s="60" t="n">
        <x:v>54.736457867</x:v>
      </x:c>
      <x:c r="J296" s="60" t="n">
        <x:v>7.6870010676</x:v>
      </x:c>
      <x:c r="K296" s="60" t="n">
        <x:v>47.0494567994</x:v>
      </x:c>
      <x:c r="L296" s="60" t="n">
        <x:v>7.1666147913</x:v>
      </x:c>
      <x:c r="M296" s="60" t="n">
        <x:v>47.5698430757</x:v>
      </x:c>
      <x:c r="N296" s="46" t="str">
        <x:v>centrolophus niger</x:v>
      </x:c>
      <x:c r="O296" s="62" t="n">
        <x:v>3.92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Centrolophus niger</x:v>
      </x:c>
      <x:c r="T296" s="62" t="n">
        <x:f>IF(O296="","",(1/'Metadata'!$B$5)^(O296-1))</x:f>
        <x:v>6295.1718073679995</x:v>
      </x:c>
      <x:c r="U296" s="60" t="n">
        <x:f>IF(T296="","",I296*T296)</x:f>
        <x:v>344575.4063995247</x:v>
      </x:c>
    </x:row>
    <x:row r="297" ht="18" customHeight="1">
      <x:c r="A297" s="46" t="str">
        <x:v>LME_026</x:v>
      </x:c>
      <x:c r="B297" s="46" t="str">
        <x:v>Mediterranean Sea</x:v>
      </x:c>
      <x:c r="C297" s="46" t="str">
        <x:v>LME</x:v>
      </x:c>
      <x:c r="D297" s="58" t="n">
        <x:v>2019</x:v>
      </x:c>
      <x:c r="E297" s="46" t="str">
        <x:v>Sepia orbignyana</x:v>
      </x:c>
      <x:c r="F297" s="46" t="str">
        <x:v>Pink cuttlefish</x:v>
      </x:c>
      <x:c r="G297" s="46" t="str">
        <x:v>Cephalopods</x:v>
      </x:c>
      <x:c r="H297" s="46" t="str">
        <x:v>Other fishes &amp; inverts</x:v>
      </x:c>
      <x:c r="I297" s="60" t="n">
        <x:v>54.44601584110001</x:v>
      </x:c>
      <x:c r="J297" s="60" t="n">
        <x:v>54.444979133500006</x:v>
      </x:c>
      <x:c r="K297" s="60" t="n">
        <x:v>0.0010367076</x:v>
      </x:c>
      <x:c r="L297" s="60" t="n">
        <x:v>51.7291506847</x:v>
      </x:c>
      <x:c r="M297" s="60" t="n">
        <x:v>2.7168651564</x:v>
      </x:c>
      <x:c r="N297" s="46" t="str">
        <x:v>sepia orbignyana</x:v>
      </x:c>
      <x:c r="O297" s="62" t="n">
        <x:v>4.16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Sepia orbignyana</x:v>
      </x:c>
      <x:c r="T297" s="62" t="n">
        <x:f>IF(O297="","",(1/'Metadata'!$B$5)^(O297-1))</x:f>
        <x:v>12919.77011769987</x:v>
      </x:c>
      <x:c r="U297" s="60" t="n">
        <x:f>IF(T297="","",I297*T297)</x:f>
        <x:v>703430.0084916577</x:v>
      </x:c>
    </x:row>
    <x:row r="298" ht="18" customHeight="1">
      <x:c r="A298" s="46" t="str">
        <x:v>LME_026</x:v>
      </x:c>
      <x:c r="B298" s="46" t="str">
        <x:v>Mediterranean Sea</x:v>
      </x:c>
      <x:c r="C298" s="46" t="str">
        <x:v>LME</x:v>
      </x:c>
      <x:c r="D298" s="58" t="n">
        <x:v>2019</x:v>
      </x:c>
      <x:c r="E298" s="46" t="str">
        <x:v>Alloteuthis</x:v>
      </x:c>
      <x:c r="F298" s="46" t="str">
        <x:v>Atlantic common squids</x:v>
      </x:c>
      <x:c r="G298" s="46" t="str">
        <x:v>Cephalopods</x:v>
      </x:c>
      <x:c r="H298" s="46" t="str">
        <x:v>Other fishes &amp; inverts</x:v>
      </x:c>
      <x:c r="I298" s="60" t="n">
        <x:v>50.5501316264</x:v>
      </x:c>
      <x:c r="J298" s="60" t="n">
        <x:v>46.9226851882</x:v>
      </x:c>
      <x:c r="K298" s="60" t="n">
        <x:v>3.6274464382</x:v>
      </x:c>
      <x:c r="L298" s="60" t="n">
        <x:v>18.3198372429</x:v>
      </x:c>
      <x:c r="M298" s="60" t="n">
        <x:v>32.2302943835</x:v>
      </x:c>
      <x:c r="N298" s="46" t="str">
        <x:v>alloteuthis</x:v>
      </x:c>
      <x:c r="O298" s="62" t="n">
        <x:v>3.98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Alloteuthis</x:v>
      </x:c>
      <x:c r="T298" s="62" t="n">
        <x:f>IF(O298="","",(1/'Metadata'!$B$5)^(O298-1))</x:f>
        <x:v>7534.759367064222</x:v>
      </x:c>
      <x:c r="U298" s="60" t="n">
        <x:f>IF(T298="","",I298*T298)</x:f>
        <x:v>380883.0777783468</x:v>
      </x:c>
    </x:row>
    <x:row r="299" ht="18" customHeight="1">
      <x:c r="A299" s="46" t="str">
        <x:v>LME_026</x:v>
      </x:c>
      <x:c r="B299" s="46" t="str">
        <x:v>Mediterranean Sea</x:v>
      </x:c>
      <x:c r="C299" s="46" t="str">
        <x:v>LME</x:v>
      </x:c>
      <x:c r="D299" s="58" t="n">
        <x:v>2019</x:v>
      </x:c>
      <x:c r="E299" s="46" t="str">
        <x:v>Lepidorhombus whiffiagonis</x:v>
      </x:c>
      <x:c r="F299" s="46" t="str">
        <x:v>Megrim</x:v>
      </x:c>
      <x:c r="G299" s="46" t="str">
        <x:v>Small to medium flatfishes (&lt;90 cm)</x:v>
      </x:c>
      <x:c r="H299" s="46" t="str">
        <x:v>Flatfishes</x:v>
      </x:c>
      <x:c r="I299" s="60" t="n">
        <x:v>48.5190958582</x:v>
      </x:c>
      <x:c r="J299" s="60" t="n">
        <x:v>47.7809054015</x:v>
      </x:c>
      <x:c r="K299" s="60" t="n">
        <x:v>0.7381904567</x:v>
      </x:c>
      <x:c r="L299" s="60" t="n">
        <x:v>23.1234873313</x:v>
      </x:c>
      <x:c r="M299" s="60" t="n">
        <x:v>25.3956085269</x:v>
      </x:c>
      <x:c r="N299" s="46" t="str">
        <x:v>lepidorhombus whiffiagonis</x:v>
      </x:c>
      <x:c r="O299" s="62" t="n">
        <x:v>4.34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Lepidorhombus whiffiagonis</x:v>
      </x:c>
      <x:c r="T299" s="62" t="n">
        <x:f>IF(O299="","",(1/'Metadata'!$B$5)^(O299-1))</x:f>
        <x:v>22153.389612394185</x:v>
      </x:c>
      <x:c r="U299" s="60" t="n">
        <x:f>IF(T299="","",I299*T299)</x:f>
        <x:v>1074862.4341878055</x:v>
      </x:c>
    </x:row>
    <x:row r="300" ht="18" customHeight="1">
      <x:c r="A300" s="46" t="str">
        <x:v>LME_026</x:v>
      </x:c>
      <x:c r="B300" s="46" t="str">
        <x:v>Mediterranean Sea</x:v>
      </x:c>
      <x:c r="C300" s="46" t="str">
        <x:v>LME</x:v>
      </x:c>
      <x:c r="D300" s="58" t="n">
        <x:v>2019</x:v>
      </x:c>
      <x:c r="E300" s="46" t="str">
        <x:v>Myliobatidae</x:v>
      </x:c>
      <x:c r="F300" s="46" t="str">
        <x:v>Eagle/manta rays</x:v>
      </x:c>
      <x:c r="G300" s="46" t="str">
        <x:v>Large rays (&gt;=90 cm)</x:v>
      </x:c>
      <x:c r="H300" s="46" t="str">
        <x:v>Sharks &amp; rays</x:v>
      </x:c>
      <x:c r="I300" s="60" t="n">
        <x:v>47.984810584899996</x:v>
      </x:c>
      <x:c r="J300" s="60" t="n">
        <x:v>44.7491248335</x:v>
      </x:c>
      <x:c r="K300" s="60" t="n">
        <x:v>3.2356857514</x:v>
      </x:c>
      <x:c r="L300" s="60" t="n">
        <x:v>42.6157667435</x:v>
      </x:c>
      <x:c r="M300" s="60" t="n">
        <x:v>5.3690438414</x:v>
      </x:c>
      <x:c r="N300" s="46" t="str">
        <x:v>myliobatidae</x:v>
      </x:c>
      <x:c r="O300" s="62" t="n">
        <x:v>3.36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Myliobatidae</x:v>
      </x:c>
      <x:c r="T300" s="62" t="n">
        <x:f>IF(O300="","",(1/'Metadata'!$B$5)^(O300-1))</x:f>
        <x:v>1176.0635493805207</x:v>
      </x:c>
      <x:c r="U300" s="60" t="n">
        <x:f>IF(T300="","",I300*T300)</x:f>
        <x:v>56433.18665282947</x:v>
      </x:c>
    </x:row>
    <x:row r="301" ht="18" customHeight="1">
      <x:c r="A301" s="46" t="str">
        <x:v>LME_026</x:v>
      </x:c>
      <x:c r="B301" s="46" t="str">
        <x:v>Mediterranean Sea</x:v>
      </x:c>
      <x:c r="C301" s="46" t="str">
        <x:v>LME</x:v>
      </x:c>
      <x:c r="D301" s="58" t="n">
        <x:v>2019</x:v>
      </x:c>
      <x:c r="E301" s="46" t="str">
        <x:v>Priacanthus</x:v>
      </x:c>
      <x:c r="F301" s="46" t="str">
        <x:v>Bigeyes</x:v>
      </x:c>
      <x:c r="G301" s="46" t="str">
        <x:v>Medium reef assoc. fish (30 - 89 cm)</x:v>
      </x:c>
      <x:c r="H301" s="46" t="str">
        <x:v>Perch-likes</x:v>
      </x:c>
      <x:c r="I301" s="60" t="n">
        <x:v>47.7129401444</x:v>
      </x:c>
      <x:c r="J301" s="60" t="n">
        <x:v>47.7129401444</x:v>
      </x:c>
      <x:c r="K301" s="60" t="n">
        <x:v>0</x:v>
      </x:c>
      <x:c r="L301" s="60" t="n">
        <x:v>47.7129401444</x:v>
      </x:c>
      <x:c r="M301" s="60" t="n">
        <x:v>0</x:v>
      </x:c>
      <x:c r="N301" s="46" t="str">
        <x:v>priacanthus</x:v>
      </x:c>
      <x:c r="O301" s="62" t="n">
        <x:v>3.81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Priacanthus</x:v>
      </x:c>
      <x:c r="T301" s="62" t="n">
        <x:f>IF(O301="","",(1/'Metadata'!$B$5)^(O301-1))</x:f>
        <x:v>4527.873529309382</x:v>
      </x:c>
      <x:c r="U301" s="60" t="n">
        <x:f>IF(T301="","",I301*T301)</x:f>
        <x:v>216038.15868535175</x:v>
      </x:c>
    </x:row>
    <x:row r="302" ht="18" customHeight="1">
      <x:c r="A302" s="46" t="str">
        <x:v>LME_026</x:v>
      </x:c>
      <x:c r="B302" s="46" t="str">
        <x:v>Mediterranean Sea</x:v>
      </x:c>
      <x:c r="C302" s="46" t="str">
        <x:v>LME</x:v>
      </x:c>
      <x:c r="D302" s="58" t="n">
        <x:v>2019</x:v>
      </x:c>
      <x:c r="E302" s="46" t="str">
        <x:v>Lamniformes</x:v>
      </x:c>
      <x:c r="F302" s="46" t="str">
        <x:v>Mackerel sharks</x:v>
      </x:c>
      <x:c r="G302" s="46" t="str">
        <x:v>Large sharks (&gt;=90 cm)</x:v>
      </x:c>
      <x:c r="H302" s="46" t="str">
        <x:v>Sharks &amp; rays</x:v>
      </x:c>
      <x:c r="I302" s="60" t="n">
        <x:v>46.9820173621</x:v>
      </x:c>
      <x:c r="J302" s="60" t="n">
        <x:v>0</x:v>
      </x:c>
      <x:c r="K302" s="60" t="n">
        <x:v>46.9820173621</x:v>
      </x:c>
      <x:c r="L302" s="60" t="n">
        <x:v>0</x:v>
      </x:c>
      <x:c r="M302" s="60" t="n">
        <x:v>46.9820173621</x:v>
      </x:c>
      <x:c r="N302" s="46" t="str">
        <x:v>lamniformes</x:v>
      </x:c>
      <x:c r="O302" s="62" t="n">
        <x:v>4.34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Lamniformes</x:v>
      </x:c>
      <x:c r="T302" s="62" t="n">
        <x:f>IF(O302="","",(1/'Metadata'!$B$5)^(O302-1))</x:f>
        <x:v>22153.389612394185</x:v>
      </x:c>
      <x:c r="U302" s="60" t="n">
        <x:f>IF(T302="","",I302*T302)</x:f>
        <x:v>1040810.9353988694</x:v>
      </x:c>
    </x:row>
    <x:row r="303" ht="18" customHeight="1">
      <x:c r="A303" s="46" t="str">
        <x:v>LME_026</x:v>
      </x:c>
      <x:c r="B303" s="46" t="str">
        <x:v>Mediterranean Sea</x:v>
      </x:c>
      <x:c r="C303" s="46" t="str">
        <x:v>LME</x:v>
      </x:c>
      <x:c r="D303" s="58" t="n">
        <x:v>2019</x:v>
      </x:c>
      <x:c r="E303" s="46" t="str">
        <x:v>Chelidonichthys lastoviza</x:v>
      </x:c>
      <x:c r="F303" s="46" t="str">
        <x:v>Streaked gurnard</x:v>
      </x:c>
      <x:c r="G303" s="46" t="str">
        <x:v>Medium demersals (30 - 89 cm)</x:v>
      </x:c>
      <x:c r="H303" s="46" t="str">
        <x:v>Scorpionfishes</x:v>
      </x:c>
      <x:c r="I303" s="60" t="n">
        <x:v>46.6947717311</x:v>
      </x:c>
      <x:c r="J303" s="60" t="n">
        <x:v>45.5842973205</x:v>
      </x:c>
      <x:c r="K303" s="60" t="n">
        <x:v>1.1104744106000002</x:v>
      </x:c>
      <x:c r="L303" s="60" t="n">
        <x:v>44.175088403299995</x:v>
      </x:c>
      <x:c r="M303" s="60" t="n">
        <x:v>2.5196833278</x:v>
      </x:c>
      <x:c r="N303" s="46" t="str">
        <x:v>chelidonichthys lastoviza</x:v>
      </x:c>
      <x:c r="O303" s="62" t="n">
        <x:v>3.49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Chelidonichthys lastoviza</x:v>
      </x:c>
      <x:c r="T303" s="62" t="n">
        <x:f>IF(O303="","",(1/'Metadata'!$B$5)^(O303-1))</x:f>
        <x:v>1736.059833884101</x:v>
      </x:c>
      <x:c r="U303" s="60" t="n">
        <x:f>IF(T303="","",I303*T303)</x:f>
        <x:v>81064.91765474947</x:v>
      </x:c>
    </x:row>
    <x:row r="304" ht="18" customHeight="1">
      <x:c r="A304" s="46" t="str">
        <x:v>LME_026</x:v>
      </x:c>
      <x:c r="B304" s="46" t="str">
        <x:v>Mediterranean Sea</x:v>
      </x:c>
      <x:c r="C304" s="46" t="str">
        <x:v>LME</x:v>
      </x:c>
      <x:c r="D304" s="58" t="n">
        <x:v>2019</x:v>
      </x:c>
      <x:c r="E304" s="46" t="str">
        <x:v>Dipturus oxyrinchus</x:v>
      </x:c>
      <x:c r="F304" s="46" t="str">
        <x:v>Longnosed skate</x:v>
      </x:c>
      <x:c r="G304" s="46" t="str">
        <x:v>Large rays (&gt;=90 cm)</x:v>
      </x:c>
      <x:c r="H304" s="46" t="str">
        <x:v>Sharks &amp; rays</x:v>
      </x:c>
      <x:c r="I304" s="60" t="n">
        <x:v>46.1802588277</x:v>
      </x:c>
      <x:c r="J304" s="60" t="n">
        <x:v>46.1250030167</x:v>
      </x:c>
      <x:c r="K304" s="60" t="n">
        <x:v>0.055255811</x:v>
      </x:c>
      <x:c r="L304" s="60" t="n">
        <x:v>42.2039019443</x:v>
      </x:c>
      <x:c r="M304" s="60" t="n">
        <x:v>3.9763568834</x:v>
      </x:c>
      <x:c r="N304" s="46" t="str">
        <x:v>dipturus oxyrinchus</x:v>
      </x:c>
      <x:c r="O304" s="62" t="n">
        <x:v>3.5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Dipturus oxyrinchus</x:v>
      </x:c>
      <x:c r="T304" s="62" t="n">
        <x:f>IF(O304="","",(1/'Metadata'!$B$5)^(O304-1))</x:f>
        <x:v>1788.8543819998317</x:v>
      </x:c>
      <x:c r="U304" s="60" t="n">
        <x:f>IF(T304="","",I304*T304)</x:f>
        <x:v>82609.75836581756</x:v>
      </x:c>
    </x:row>
    <x:row r="305" ht="18" customHeight="1">
      <x:c r="A305" s="46" t="str">
        <x:v>LME_026</x:v>
      </x:c>
      <x:c r="B305" s="46" t="str">
        <x:v>Mediterranean Sea</x:v>
      </x:c>
      <x:c r="C305" s="46" t="str">
        <x:v>LME</x:v>
      </x:c>
      <x:c r="D305" s="58" t="n">
        <x:v>2019</x:v>
      </x:c>
      <x:c r="E305" s="46" t="str">
        <x:v>Scorpaeniformes</x:v>
      </x:c>
      <x:c r="F305" s="46" t="str">
        <x:v>Scorpionfishes, flatheads</x:v>
      </x:c>
      <x:c r="G305" s="46" t="str">
        <x:v>Medium demersals (30 - 89 cm)</x:v>
      </x:c>
      <x:c r="H305" s="46" t="str">
        <x:v>Scorpionfishes</x:v>
      </x:c>
      <x:c r="I305" s="60" t="n">
        <x:v>43.6821474471</x:v>
      </x:c>
      <x:c r="J305" s="60" t="n">
        <x:v>40.7336242211</x:v>
      </x:c>
      <x:c r="K305" s="60" t="n">
        <x:v>2.948523226</x:v>
      </x:c>
      <x:c r="L305" s="60" t="n">
        <x:v>3.4938983471</x:v>
      </x:c>
      <x:c r="M305" s="60" t="n">
        <x:v>40.1882491</x:v>
      </x:c>
      <x:c r="N305" s="46" t="str">
        <x:v>scorpaeniformes</x:v>
      </x:c>
      <x:c r="O305" s="62" t="n">
        <x:v>3.78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Scorpaeniformes</x:v>
      </x:c>
      <x:c r="T305" s="62" t="n">
        <x:f>IF(O305="","",(1/'Metadata'!$B$5)^(O305-1))</x:f>
        <x:v>4138.694671981463</x:v>
      </x:c>
      <x:c r="U305" s="60" t="n">
        <x:f>IF(T305="","",I305*T305)</x:f>
        <x:v>180787.07090002144</x:v>
      </x:c>
    </x:row>
    <x:row r="306" ht="18" customHeight="1">
      <x:c r="A306" s="46" t="str">
        <x:v>LME_026</x:v>
      </x:c>
      <x:c r="B306" s="46" t="str">
        <x:v>Mediterranean Sea</x:v>
      </x:c>
      <x:c r="C306" s="46" t="str">
        <x:v>LME</x:v>
      </x:c>
      <x:c r="D306" s="58" t="n">
        <x:v>2019</x:v>
      </x:c>
      <x:c r="E306" s="46" t="str">
        <x:v>Sardinella maderensis</x:v>
      </x:c>
      <x:c r="F306" s="46" t="str">
        <x:v>Madeiran sardinella</x:v>
      </x:c>
      <x:c r="G306" s="46" t="str">
        <x:v>Medium pelagics (30 - 89 cm)</x:v>
      </x:c>
      <x:c r="H306" s="46" t="str">
        <x:v>Herring-likes</x:v>
      </x:c>
      <x:c r="I306" s="60" t="n">
        <x:v>43.036417962</x:v>
      </x:c>
      <x:c r="J306" s="60" t="n">
        <x:v>1.6868270314</x:v>
      </x:c>
      <x:c r="K306" s="60" t="n">
        <x:v>41.3495909306</x:v>
      </x:c>
      <x:c r="L306" s="60" t="n">
        <x:v>0</x:v>
      </x:c>
      <x:c r="M306" s="60" t="n">
        <x:v>43.036417962</x:v>
      </x:c>
      <x:c r="N306" s="46" t="str">
        <x:v>sardinella maderensis</x:v>
      </x:c>
      <x:c r="O306" s="62" t="n">
        <x:v>3.2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Sardinella maderensis</x:v>
      </x:c>
      <x:c r="T306" s="62" t="n">
        <x:f>IF(O306="","",(1/'Metadata'!$B$5)^(O306-1))</x:f>
        <x:v>728.2256812104325</x:v>
      </x:c>
      <x:c r="U306" s="60" t="n">
        <x:f>IF(T306="","",I306*T306)</x:f>
        <x:v>31340.224787234347</x:v>
      </x:c>
    </x:row>
    <x:row r="307" ht="18" customHeight="1">
      <x:c r="A307" s="46" t="str">
        <x:v>LME_026</x:v>
      </x:c>
      <x:c r="B307" s="46" t="str">
        <x:v>Mediterranean Sea</x:v>
      </x:c>
      <x:c r="C307" s="46" t="str">
        <x:v>LME</x:v>
      </x:c>
      <x:c r="D307" s="58" t="n">
        <x:v>2019</x:v>
      </x:c>
      <x:c r="E307" s="46" t="str">
        <x:v>Ommastrephidae</x:v>
      </x:c>
      <x:c r="F307" s="46" t="str">
        <x:v>Arrow squids</x:v>
      </x:c>
      <x:c r="G307" s="46" t="str">
        <x:v>Cephalopods</x:v>
      </x:c>
      <x:c r="H307" s="46" t="str">
        <x:v>Other fishes &amp; inverts</x:v>
      </x:c>
      <x:c r="I307" s="60" t="n">
        <x:v>42.260948919</x:v>
      </x:c>
      <x:c r="J307" s="60" t="n">
        <x:v>29.7224495569</x:v>
      </x:c>
      <x:c r="K307" s="60" t="n">
        <x:v>12.5384993621</x:v>
      </x:c>
      <x:c r="L307" s="60" t="n">
        <x:v>26.6704219677</x:v>
      </x:c>
      <x:c r="M307" s="60" t="n">
        <x:v>15.5905269513</x:v>
      </x:c>
      <x:c r="N307" s="46" t="str">
        <x:v>ommastrephidae</x:v>
      </x:c>
      <x:c r="O307" s="62" t="n">
        <x:v>4.09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Ommastrephidae</x:v>
      </x:c>
      <x:c r="T307" s="62" t="n">
        <x:f>IF(O307="","",(1/'Metadata'!$B$5)^(O307-1))</x:f>
        <x:v>10475.691168449957</x:v>
      </x:c>
      <x:c r="U307" s="60" t="n">
        <x:f>IF(T307="","",I307*T307)</x:f>
        <x:v>442712.64936108305</x:v>
      </x:c>
    </x:row>
    <x:row r="308" ht="18" customHeight="1">
      <x:c r="A308" s="46" t="str">
        <x:v>LME_026</x:v>
      </x:c>
      <x:c r="B308" s="46" t="str">
        <x:v>Mediterranean Sea</x:v>
      </x:c>
      <x:c r="C308" s="46" t="str">
        <x:v>LME</x:v>
      </x:c>
      <x:c r="D308" s="58" t="n">
        <x:v>2019</x:v>
      </x:c>
      <x:c r="E308" s="46" t="str">
        <x:v>Plectorhinchus mediterraneus</x:v>
      </x:c>
      <x:c r="F308" s="46" t="str">
        <x:v>Rubberlip grunt</x:v>
      </x:c>
      <x:c r="G308" s="46" t="str">
        <x:v>Medium demersals (30 - 89 cm)</x:v>
      </x:c>
      <x:c r="H308" s="46" t="str">
        <x:v>Perch-likes</x:v>
      </x:c>
      <x:c r="I308" s="60" t="n">
        <x:v>41.301927264</x:v>
      </x:c>
      <x:c r="J308" s="60" t="n">
        <x:v>38.2009788438</x:v>
      </x:c>
      <x:c r="K308" s="60" t="n">
        <x:v>3.1009484202</x:v>
      </x:c>
      <x:c r="L308" s="60" t="n">
        <x:v>23.707087985700003</x:v>
      </x:c>
      <x:c r="M308" s="60" t="n">
        <x:v>17.5948392783</x:v>
      </x:c>
      <x:c r="N308" s="46" t="str">
        <x:v>plectorhinchus mediterraneus</x:v>
      </x:c>
      <x:c r="O308" s="62" t="n">
        <x:v>3.49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Plectorhinchus mediterraneus</x:v>
      </x:c>
      <x:c r="T308" s="62" t="n">
        <x:f>IF(O308="","",(1/'Metadata'!$B$5)^(O308-1))</x:f>
        <x:v>1736.059833884101</x:v>
      </x:c>
      <x:c r="U308" s="60" t="n">
        <x:f>IF(T308="","",I308*T308)</x:f>
        <x:v>71702.61698503306</x:v>
      </x:c>
    </x:row>
    <x:row r="309" ht="18" customHeight="1">
      <x:c r="A309" s="46" t="str">
        <x:v>LME_026</x:v>
      </x:c>
      <x:c r="B309" s="46" t="str">
        <x:v>Mediterranean Sea</x:v>
      </x:c>
      <x:c r="C309" s="46" t="str">
        <x:v>LME</x:v>
      </x:c>
      <x:c r="D309" s="58" t="n">
        <x:v>2019</x:v>
      </x:c>
      <x:c r="E309" s="46" t="str">
        <x:v>Rapana venosa</x:v>
      </x:c>
      <x:c r="F309" s="46" t="str">
        <x:v>Purple whelk</x:v>
      </x:c>
      <x:c r="G309" s="46" t="str">
        <x:v>Other demersal invertebrates</x:v>
      </x:c>
      <x:c r="H309" s="46" t="str">
        <x:v>Molluscs</x:v>
      </x:c>
      <x:c r="I309" s="60" t="n">
        <x:v>39.574927442399996</x:v>
      </x:c>
      <x:c r="J309" s="60" t="n">
        <x:v>31.8806845</x:v>
      </x:c>
      <x:c r="K309" s="60" t="n">
        <x:v>7.6942429424</x:v>
      </x:c>
      <x:c r="L309" s="60" t="n">
        <x:v>26.5484183304</x:v>
      </x:c>
      <x:c r="M309" s="60" t="n">
        <x:v>13.026509112</x:v>
      </x:c>
      <x:c r="N309" s="46" t="str">
        <x:v>rapana venosa</x:v>
      </x:c>
      <x:c r="O309" s="62" t="n">
        <x:v>3.1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Rapana venosa</x:v>
      </x:c>
      <x:c r="T309" s="62" t="n">
        <x:f>IF(O309="","",(1/'Metadata'!$B$5)^(O309-1))</x:f>
        <x:v>539.7131390694254</x:v>
      </x:c>
      <x:c r="U309" s="60" t="n">
        <x:f>IF(T309="","",I309*T309)</x:f>
        <x:v>21359.108318382452</x:v>
      </x:c>
    </x:row>
    <x:row r="310" ht="18" customHeight="1">
      <x:c r="A310" s="46" t="str">
        <x:v>LME_026</x:v>
      </x:c>
      <x:c r="B310" s="46" t="str">
        <x:v>Mediterranean Sea</x:v>
      </x:c>
      <x:c r="C310" s="46" t="str">
        <x:v>LME</x:v>
      </x:c>
      <x:c r="D310" s="58" t="n">
        <x:v>2019</x:v>
      </x:c>
      <x:c r="E310" s="46" t="str">
        <x:v>Leucoraja naevus</x:v>
      </x:c>
      <x:c r="F310" s="46" t="str">
        <x:v>Cuckoo ray</x:v>
      </x:c>
      <x:c r="G310" s="46" t="str">
        <x:v>Small to medium rays (&lt;90 cm)</x:v>
      </x:c>
      <x:c r="H310" s="46" t="str">
        <x:v>Sharks &amp; rays</x:v>
      </x:c>
      <x:c r="I310" s="60" t="n">
        <x:v>37.4209491051</x:v>
      </x:c>
      <x:c r="J310" s="60" t="n">
        <x:v>37.4209491051</x:v>
      </x:c>
      <x:c r="K310" s="60" t="n">
        <x:v>0</x:v>
      </x:c>
      <x:c r="L310" s="60" t="n">
        <x:v>19.226173157199998</x:v>
      </x:c>
      <x:c r="M310" s="60" t="n">
        <x:v>18.194775947900002</x:v>
      </x:c>
      <x:c r="N310" s="46" t="str">
        <x:v>leucoraja naevus</x:v>
      </x:c>
      <x:c r="O310" s="62" t="n">
        <x:v>4.21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Leucoraja naevus</x:v>
      </x:c>
      <x:c r="T310" s="62" t="n">
        <x:f>IF(O310="","",(1/'Metadata'!$B$5)^(O310-1))</x:f>
        <x:v>15007.428609226863</x:v>
      </x:c>
      <x:c r="U310" s="60" t="n">
        <x:f>IF(T310="","",I310*T310)</x:f>
        <x:v>561592.2221843001</x:v>
      </x:c>
    </x:row>
    <x:row r="311" ht="18" customHeight="1">
      <x:c r="A311" s="46" t="str">
        <x:v>LME_026</x:v>
      </x:c>
      <x:c r="B311" s="46" t="str">
        <x:v>Mediterranean Sea</x:v>
      </x:c>
      <x:c r="C311" s="46" t="str">
        <x:v>LME</x:v>
      </x:c>
      <x:c r="D311" s="58" t="n">
        <x:v>2019</x:v>
      </x:c>
      <x:c r="E311" s="46" t="str">
        <x:v>Chimaera monstrosa</x:v>
      </x:c>
      <x:c r="F311" s="46" t="str">
        <x:v>Rabbit fish</x:v>
      </x:c>
      <x:c r="G311" s="46" t="str">
        <x:v>Large rays (&gt;=90 cm)</x:v>
      </x:c>
      <x:c r="H311" s="46" t="str">
        <x:v>Sharks &amp; rays</x:v>
      </x:c>
      <x:c r="I311" s="60" t="n">
        <x:v>36.2811888214</x:v>
      </x:c>
      <x:c r="J311" s="60" t="n">
        <x:v>0.043869502299999995</x:v>
      </x:c>
      <x:c r="K311" s="60" t="n">
        <x:v>36.237319319099996</x:v>
      </x:c>
      <x:c r="L311" s="60" t="n">
        <x:v>0.043869502299999995</x:v>
      </x:c>
      <x:c r="M311" s="60" t="n">
        <x:v>36.237319319099996</x:v>
      </x:c>
      <x:c r="N311" s="46" t="str">
        <x:v>chimaera monstrosa</x:v>
      </x:c>
      <x:c r="O311" s="62" t="n">
        <x:v>3.52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Chimaera monstrosa</x:v>
      </x:c>
      <x:c r="T311" s="62" t="n">
        <x:f>IF(O311="","",(1/'Metadata'!$B$5)^(O311-1))</x:f>
        <x:v>1899.308837725312</x:v>
      </x:c>
      <x:c r="U311" s="60" t="n">
        <x:f>IF(T311="","",I311*T311)</x:f>
        <x:v>68909.18257166582</x:v>
      </x:c>
    </x:row>
    <x:row r="312" ht="18" customHeight="1">
      <x:c r="A312" s="46" t="str">
        <x:v>LME_026</x:v>
      </x:c>
      <x:c r="B312" s="46" t="str">
        <x:v>Mediterranean Sea</x:v>
      </x:c>
      <x:c r="C312" s="46" t="str">
        <x:v>LME</x:v>
      </x:c>
      <x:c r="D312" s="58" t="n">
        <x:v>2019</x:v>
      </x:c>
      <x:c r="E312" s="46" t="str">
        <x:v>Donax trunculus</x:v>
      </x:c>
      <x:c r="F312" s="46" t="str">
        <x:v>Truncate donax</x:v>
      </x:c>
      <x:c r="G312" s="46" t="str">
        <x:v>Other demersal invertebrates</x:v>
      </x:c>
      <x:c r="H312" s="46" t="str">
        <x:v>Molluscs</x:v>
      </x:c>
      <x:c r="I312" s="60" t="n">
        <x:v>36.0999647461</x:v>
      </x:c>
      <x:c r="J312" s="60" t="n">
        <x:v>32.251640960399996</x:v>
      </x:c>
      <x:c r="K312" s="60" t="n">
        <x:v>3.8483237857000003</x:v>
      </x:c>
      <x:c r="L312" s="60" t="n">
        <x:v>32.2308933551</x:v>
      </x:c>
      <x:c r="M312" s="60" t="n">
        <x:v>3.8690713910000003</x:v>
      </x:c>
      <x:c r="N312" s="46" t="str">
        <x:v>donax trunculus</x:v>
      </x:c>
      <x:c r="O312" s="62" t="n">
        <x:v>2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Donax trunculus</x:v>
      </x:c>
      <x:c r="T312" s="62" t="n">
        <x:f>IF(O312="","",(1/'Metadata'!$B$5)^(O312-1))</x:f>
        <x:v>20</x:v>
      </x:c>
      <x:c r="U312" s="60" t="n">
        <x:f>IF(T312="","",I312*T312)</x:f>
        <x:v>721.999294922</x:v>
      </x:c>
    </x:row>
    <x:row r="313" ht="18" customHeight="1">
      <x:c r="A313" s="46" t="str">
        <x:v>LME_026</x:v>
      </x:c>
      <x:c r="B313" s="46" t="str">
        <x:v>Mediterranean Sea</x:v>
      </x:c>
      <x:c r="C313" s="46" t="str">
        <x:v>LME</x:v>
      </x:c>
      <x:c r="D313" s="58" t="n">
        <x:v>2019</x:v>
      </x:c>
      <x:c r="E313" s="46" t="str">
        <x:v>Plesionika martia</x:v>
      </x:c>
      <x:c r="F313" s="46" t="str">
        <x:v>Golden shrimp</x:v>
      </x:c>
      <x:c r="G313" s="46" t="str">
        <x:v>Shrimps</x:v>
      </x:c>
      <x:c r="H313" s="46" t="str">
        <x:v>Crustaceans</x:v>
      </x:c>
      <x:c r="I313" s="60" t="n">
        <x:v>35.6666935749</x:v>
      </x:c>
      <x:c r="J313" s="60" t="n">
        <x:v>29.518351750799997</x:v>
      </x:c>
      <x:c r="K313" s="60" t="n">
        <x:v>6.1483418241</x:v>
      </x:c>
      <x:c r="L313" s="60" t="n">
        <x:v>27.085464447699998</x:v>
      </x:c>
      <x:c r="M313" s="60" t="n">
        <x:v>8.5812291272</x:v>
      </x:c>
      <x:c r="N313" s="46" t="str">
        <x:v>plesionika martia</x:v>
      </x:c>
      <x:c r="O313" s="62" t="n">
        <x:v>3.13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Plesionika martia</x:v>
      </x:c>
      <x:c r="T313" s="62" t="n">
        <x:f>IF(O313="","",(1/'Metadata'!$B$5)^(O313-1))</x:f>
        <x:v>590.4646342618306</x:v>
      </x:c>
      <x:c r="U313" s="60" t="n">
        <x:f>IF(T313="","",I313*T313)</x:f>
        <x:v>21059.921177032113</x:v>
      </x:c>
    </x:row>
    <x:row r="314" ht="18" customHeight="1">
      <x:c r="A314" s="46" t="str">
        <x:v>LME_026</x:v>
      </x:c>
      <x:c r="B314" s="46" t="str">
        <x:v>Mediterranean Sea</x:v>
      </x:c>
      <x:c r="C314" s="46" t="str">
        <x:v>LME</x:v>
      </x:c>
      <x:c r="D314" s="58" t="n">
        <x:v>2019</x:v>
      </x:c>
      <x:c r="E314" s="46" t="str">
        <x:v>Homarus gammarus</x:v>
      </x:c>
      <x:c r="F314" s="46" t="str">
        <x:v>European lobster</x:v>
      </x:c>
      <x:c r="G314" s="46" t="str">
        <x:v>Lobsters, crabs</x:v>
      </x:c>
      <x:c r="H314" s="46" t="str">
        <x:v>Crustaceans</x:v>
      </x:c>
      <x:c r="I314" s="60" t="n">
        <x:v>35.549289759000004</x:v>
      </x:c>
      <x:c r="J314" s="60" t="n">
        <x:v>25.248968713700002</x:v>
      </x:c>
      <x:c r="K314" s="60" t="n">
        <x:v>10.3003210453</x:v>
      </x:c>
      <x:c r="L314" s="60" t="n">
        <x:v>17.6774094318</x:v>
      </x:c>
      <x:c r="M314" s="60" t="n">
        <x:v>17.8718803272</x:v>
      </x:c>
      <x:c r="N314" s="46" t="str">
        <x:v>homarus gammarus</x:v>
      </x:c>
      <x:c r="O314" s="62" t="n">
        <x:v>3.7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Homarus gammarus</x:v>
      </x:c>
      <x:c r="T314" s="62" t="n">
        <x:f>IF(O314="","",(1/'Metadata'!$B$5)^(O314-1))</x:f>
        <x:v>3256.724252295237</x:v>
      </x:c>
      <x:c r="U314" s="60" t="n">
        <x:f>IF(T314="","",I314*T314)</x:f>
        <x:v>115774.23411000601</x:v>
      </x:c>
    </x:row>
    <x:row r="315" ht="18" customHeight="1">
      <x:c r="A315" s="46" t="str">
        <x:v>LME_026</x:v>
      </x:c>
      <x:c r="B315" s="46" t="str">
        <x:v>Mediterranean Sea</x:v>
      </x:c>
      <x:c r="C315" s="46" t="str">
        <x:v>LME</x:v>
      </x:c>
      <x:c r="D315" s="58" t="n">
        <x:v>2019</x:v>
      </x:c>
      <x:c r="E315" s="46" t="str">
        <x:v>Chelon saliens</x:v>
      </x:c>
      <x:c r="F315" s="46" t="str">
        <x:v>Leaping mullet</x:v>
      </x:c>
      <x:c r="G315" s="46" t="str">
        <x:v>Medium demersals (30 - 89 cm)</x:v>
      </x:c>
      <x:c r="H315" s="46" t="str">
        <x:v>Perch-likes</x:v>
      </x:c>
      <x:c r="I315" s="60" t="n">
        <x:v>35.3323298324</x:v>
      </x:c>
      <x:c r="J315" s="60" t="n">
        <x:v>35.3323298324</x:v>
      </x:c>
      <x:c r="K315" s="60" t="n">
        <x:v>0</x:v>
      </x:c>
      <x:c r="L315" s="60" t="n">
        <x:v>35.193412109200004</x:v>
      </x:c>
      <x:c r="M315" s="60" t="n">
        <x:v>0.13891772319999998</x:v>
      </x:c>
      <x:c r="N315" s="46" t="str">
        <x:v>chelon saliens</x:v>
      </x:c>
      <x:c r="O315" s="62" t="n">
        <x:v>2.9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Chelon saliens</x:v>
      </x:c>
      <x:c r="T315" s="62" t="n">
        <x:f>IF(O315="","",(1/'Metadata'!$B$5)^(O315-1))</x:f>
        <x:v>296.453779642779</x:v>
      </x:c>
      <x:c r="U315" s="60" t="n">
        <x:f>IF(T315="","",I315*T315)</x:f>
        <x:v>10474.402722400297</x:v>
      </x:c>
    </x:row>
    <x:row r="316" ht="18" customHeight="1">
      <x:c r="A316" s="46" t="str">
        <x:v>LME_026</x:v>
      </x:c>
      <x:c r="B316" s="46" t="str">
        <x:v>Mediterranean Sea</x:v>
      </x:c>
      <x:c r="C316" s="46" t="str">
        <x:v>LME</x:v>
      </x:c>
      <x:c r="D316" s="58" t="n">
        <x:v>2019</x:v>
      </x:c>
      <x:c r="E316" s="46" t="str">
        <x:v>Trachyrincus scabrus</x:v>
      </x:c>
      <x:c r="F316" s="46" t="str">
        <x:v>Roughsnout grenadier</x:v>
      </x:c>
      <x:c r="G316" s="46" t="str">
        <x:v>Medium bathypelagics (30 - 89 cm)</x:v>
      </x:c>
      <x:c r="H316" s="46" t="str">
        <x:v>Cod-likes</x:v>
      </x:c>
      <x:c r="I316" s="60" t="n">
        <x:v>32.8849814216</x:v>
      </x:c>
      <x:c r="J316" s="60" t="n">
        <x:v>26.2718706997</x:v>
      </x:c>
      <x:c r="K316" s="60" t="n">
        <x:v>6.6131107219</x:v>
      </x:c>
      <x:c r="L316" s="60" t="n">
        <x:v>25.0279649575</x:v>
      </x:c>
      <x:c r="M316" s="60" t="n">
        <x:v>7.8570164641</x:v>
      </x:c>
      <x:c r="N316" s="46" t="str">
        <x:v>trachyrincus scabrus</x:v>
      </x:c>
      <x:c r="O316" s="62" t="n">
        <x:v>3.64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Trachyrincus scabrus</x:v>
      </x:c>
      <x:c r="T316" s="62" t="n">
        <x:f>IF(O316="","",(1/'Metadata'!$B$5)^(O316-1))</x:f>
        <x:v>2720.9413995404984</x:v>
      </x:c>
      <x:c r="U316" s="60" t="n">
        <x:f>IF(T316="","",I316*T316)</x:f>
        <x:v>89478.10737315161</x:v>
      </x:c>
    </x:row>
    <x:row r="317" ht="18" customHeight="1">
      <x:c r="A317" s="46" t="str">
        <x:v>LME_026</x:v>
      </x:c>
      <x:c r="B317" s="46" t="str">
        <x:v>Mediterranean Sea</x:v>
      </x:c>
      <x:c r="C317" s="46" t="str">
        <x:v>LME</x:v>
      </x:c>
      <x:c r="D317" s="58" t="n">
        <x:v>2019</x:v>
      </x:c>
      <x:c r="E317" s="46" t="str">
        <x:v>Scomberomorus</x:v>
      </x:c>
      <x:c r="F317" s="46" t="str">
        <x:v>Spanish mackerels</x:v>
      </x:c>
      <x:c r="G317" s="46" t="str">
        <x:v>Large pelagics (&gt;=90 cm)</x:v>
      </x:c>
      <x:c r="H317" s="46" t="str">
        <x:v>Perch-likes</x:v>
      </x:c>
      <x:c r="I317" s="60" t="n">
        <x:v>32.1908713144</x:v>
      </x:c>
      <x:c r="J317" s="60" t="n">
        <x:v>32.1908713144</x:v>
      </x:c>
      <x:c r="K317" s="60" t="n">
        <x:v>0</x:v>
      </x:c>
      <x:c r="L317" s="60" t="n">
        <x:v>32.1908713144</x:v>
      </x:c>
      <x:c r="M317" s="60" t="n">
        <x:v>0</x:v>
      </x:c>
      <x:c r="N317" s="46" t="str">
        <x:v>scomberomorus</x:v>
      </x:c>
      <x:c r="O317" s="62" t="n">
        <x:v>4.35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Scomberomorus</x:v>
      </x:c>
      <x:c r="T317" s="62" t="n">
        <x:f>IF(O317="","",(1/'Metadata'!$B$5)^(O317-1))</x:f>
        <x:v>22827.086550132422</x:v>
      </x:c>
      <x:c r="U317" s="60" t="n">
        <x:f>IF(T317="","",I317*T317)</x:f>
        <x:v>734823.8056179838</x:v>
      </x:c>
    </x:row>
    <x:row r="318" ht="18" customHeight="1">
      <x:c r="A318" s="46" t="str">
        <x:v>LME_026</x:v>
      </x:c>
      <x:c r="B318" s="46" t="str">
        <x:v>Mediterranean Sea</x:v>
      </x:c>
      <x:c r="C318" s="46" t="str">
        <x:v>LME</x:v>
      </x:c>
      <x:c r="D318" s="58" t="n">
        <x:v>2019</x:v>
      </x:c>
      <x:c r="E318" s="46" t="str">
        <x:v>Arnoglossus imperialis</x:v>
      </x:c>
      <x:c r="F318" s="46" t="str">
        <x:v>Imperial scaldfish</x:v>
      </x:c>
      <x:c r="G318" s="46" t="str">
        <x:v>Small to medium flatfishes (&lt;90 cm)</x:v>
      </x:c>
      <x:c r="H318" s="46" t="str">
        <x:v>Flatfishes</x:v>
      </x:c>
      <x:c r="I318" s="60" t="n">
        <x:v>31.300416860400002</x:v>
      </x:c>
      <x:c r="J318" s="60" t="n">
        <x:v>25.5216793306</x:v>
      </x:c>
      <x:c r="K318" s="60" t="n">
        <x:v>5.7787375298</x:v>
      </x:c>
      <x:c r="L318" s="60" t="n">
        <x:v>24.4406928905</x:v>
      </x:c>
      <x:c r="M318" s="60" t="n">
        <x:v>6.8597239699</x:v>
      </x:c>
      <x:c r="N318" s="46" t="str">
        <x:v>arnoglossus imperialis</x:v>
      </x:c>
      <x:c r="O318" s="62" t="n">
        <x:v>3.84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Arnoglossus imperialis</x:v>
      </x:c>
      <x:c r="T318" s="62" t="n">
        <x:f>IF(O318="","",(1/'Metadata'!$B$5)^(O318-1))</x:f>
        <x:v>4953.648510535111</x:v>
      </x:c>
      <x:c r="U318" s="60" t="n">
        <x:f>IF(T318="","",I318*T318)</x:f>
        <x:v>155051.26335964855</x:v>
      </x:c>
    </x:row>
    <x:row r="319" ht="18" customHeight="1">
      <x:c r="A319" s="46" t="str">
        <x:v>LME_026</x:v>
      </x:c>
      <x:c r="B319" s="46" t="str">
        <x:v>Mediterranean Sea</x:v>
      </x:c>
      <x:c r="C319" s="46" t="str">
        <x:v>LME</x:v>
      </x:c>
      <x:c r="D319" s="58" t="n">
        <x:v>2019</x:v>
      </x:c>
      <x:c r="E319" s="46" t="str">
        <x:v>Alloteuthis subulata</x:v>
      </x:c>
      <x:c r="F319" s="46" t="str">
        <x:v>European common squid</x:v>
      </x:c>
      <x:c r="G319" s="46" t="str">
        <x:v>Cephalopods</x:v>
      </x:c>
      <x:c r="H319" s="46" t="str">
        <x:v>Other fishes &amp; inverts</x:v>
      </x:c>
      <x:c r="I319" s="60" t="n">
        <x:v>31.298926217</x:v>
      </x:c>
      <x:c r="J319" s="60" t="n">
        <x:v>25.704657143200002</x:v>
      </x:c>
      <x:c r="K319" s="60" t="n">
        <x:v>5.5942690738</x:v>
      </x:c>
      <x:c r="L319" s="60" t="n">
        <x:v>24.670952649500002</x:v>
      </x:c>
      <x:c r="M319" s="60" t="n">
        <x:v>6.6279735675</x:v>
      </x:c>
      <x:c r="N319" s="46" t="str">
        <x:v>alloteuthis subulata</x:v>
      </x:c>
      <x:c r="O319" s="62" t="n">
        <x:v>4.5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Alloteuthis subulata</x:v>
      </x:c>
      <x:c r="T319" s="62" t="n">
        <x:f>IF(O319="","",(1/'Metadata'!$B$5)^(O319-1))</x:f>
        <x:v>35777.08763999664</x:v>
      </x:c>
      <x:c r="U319" s="60" t="n">
        <x:f>IF(T319="","",I319*T319)</x:f>
        <x:v>1119784.4263033974</x:v>
      </x:c>
    </x:row>
    <x:row r="320" ht="18" customHeight="1">
      <x:c r="A320" s="46" t="str">
        <x:v>LME_026</x:v>
      </x:c>
      <x:c r="B320" s="46" t="str">
        <x:v>Mediterranean Sea</x:v>
      </x:c>
      <x:c r="C320" s="46" t="str">
        <x:v>LME</x:v>
      </x:c>
      <x:c r="D320" s="58" t="n">
        <x:v>2019</x:v>
      </x:c>
      <x:c r="E320" s="46" t="str">
        <x:v>Platycephalus indicus</x:v>
      </x:c>
      <x:c r="F320" s="46" t="str">
        <x:v>Bartail flathead</x:v>
      </x:c>
      <x:c r="G320" s="46" t="str">
        <x:v>Medium demersals (30 - 89 cm)</x:v>
      </x:c>
      <x:c r="H320" s="46" t="str">
        <x:v>Scorpionfishes</x:v>
      </x:c>
      <x:c r="I320" s="60" t="n">
        <x:v>30.6427255203</x:v>
      </x:c>
      <x:c r="J320" s="60" t="n">
        <x:v>0</x:v>
      </x:c>
      <x:c r="K320" s="60" t="n">
        <x:v>30.6427255203</x:v>
      </x:c>
      <x:c r="L320" s="60" t="n">
        <x:v>0</x:v>
      </x:c>
      <x:c r="M320" s="60" t="n">
        <x:v>30.6427255203</x:v>
      </x:c>
      <x:c r="N320" s="46" t="str">
        <x:v>platycephalus indicus</x:v>
      </x:c>
      <x:c r="O320" s="62" t="n">
        <x:v>3.6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Platycephalus indicus</x:v>
      </x:c>
      <x:c r="T320" s="62" t="n">
        <x:f>IF(O320="","",(1/'Metadata'!$B$5)^(O320-1))</x:f>
        <x:v>2413.670534618066</x:v>
      </x:c>
      <x:c r="U320" s="60" t="n">
        <x:f>IF(T320="","",I320*T320)</x:f>
        <x:v>73961.44368873716</x:v>
      </x:c>
    </x:row>
    <x:row r="321" ht="18" customHeight="1">
      <x:c r="A321" s="46" t="str">
        <x:v>LME_026</x:v>
      </x:c>
      <x:c r="B321" s="46" t="str">
        <x:v>Mediterranean Sea</x:v>
      </x:c>
      <x:c r="C321" s="46" t="str">
        <x:v>LME</x:v>
      </x:c>
      <x:c r="D321" s="58" t="n">
        <x:v>2019</x:v>
      </x:c>
      <x:c r="E321" s="46" t="str">
        <x:v>Phycis</x:v>
      </x:c>
      <x:c r="F321" s="46" t="str">
        <x:v>Gunnels, forkbeards</x:v>
      </x:c>
      <x:c r="G321" s="46" t="str">
        <x:v>Medium benthopelagics (30 - 89 cm)</x:v>
      </x:c>
      <x:c r="H321" s="46" t="str">
        <x:v>Cod-likes</x:v>
      </x:c>
      <x:c r="I321" s="60" t="n">
        <x:v>30.180272272000003</x:v>
      </x:c>
      <x:c r="J321" s="60" t="n">
        <x:v>24.913230689</x:v>
      </x:c>
      <x:c r="K321" s="60" t="n">
        <x:v>5.267041583</x:v>
      </x:c>
      <x:c r="L321" s="60" t="n">
        <x:v>21.3527211777</x:v>
      </x:c>
      <x:c r="M321" s="60" t="n">
        <x:v>8.8275510943</x:v>
      </x:c>
      <x:c r="N321" s="46" t="str">
        <x:v>phycis</x:v>
      </x:c>
      <x:c r="O321" s="62" t="n">
        <x:v>3.99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Phycis</x:v>
      </x:c>
      <x:c r="T321" s="62" t="n">
        <x:f>IF(O321="","",(1/'Metadata'!$B$5)^(O321-1))</x:f>
        <x:v>7763.895603143686</x:v>
      </x:c>
      <x:c r="U321" s="60" t="n">
        <x:f>IF(T321="","",I321*T321)</x:f>
        <x:v>234316.4831942601</x:v>
      </x:c>
    </x:row>
    <x:row r="322" ht="18" customHeight="1">
      <x:c r="A322" s="46" t="str">
        <x:v>LME_026</x:v>
      </x:c>
      <x:c r="B322" s="46" t="str">
        <x:v>Mediterranean Sea</x:v>
      </x:c>
      <x:c r="C322" s="46" t="str">
        <x:v>LME</x:v>
      </x:c>
      <x:c r="D322" s="58" t="n">
        <x:v>2019</x:v>
      </x:c>
      <x:c r="E322" s="46" t="str">
        <x:v>Geryon</x:v>
      </x:c>
      <x:c r="F322" s="46" t="str">
        <x:v>Deepsea crabs</x:v>
      </x:c>
      <x:c r="G322" s="46" t="str">
        <x:v>Lobsters, crabs</x:v>
      </x:c>
      <x:c r="H322" s="46" t="str">
        <x:v>Crustaceans</x:v>
      </x:c>
      <x:c r="I322" s="60" t="n">
        <x:v>29.7598524872</x:v>
      </x:c>
      <x:c r="J322" s="60" t="n">
        <x:v>21.7008182154</x:v>
      </x:c>
      <x:c r="K322" s="60" t="n">
        <x:v>8.0590342718</x:v>
      </x:c>
      <x:c r="L322" s="60" t="n">
        <x:v>18.4397619503</x:v>
      </x:c>
      <x:c r="M322" s="60" t="n">
        <x:v>11.3200905369</x:v>
      </x:c>
      <x:c r="N322" s="46" t="str">
        <x:v>geryon</x:v>
      </x:c>
      <x:c r="O322" s="62" t="n">
        <x:v>2.6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Geryon</x:v>
      </x:c>
      <x:c r="T322" s="62" t="n">
        <x:f>IF(O322="","",(1/'Metadata'!$B$5)^(O322-1))</x:f>
        <x:v>120.6835267309033</x:v>
      </x:c>
      <x:c r="U322" s="60" t="n">
        <x:f>IF(T322="","",I322*T322)</x:f>
        <x:v>3591.52395314674</x:v>
      </x:c>
    </x:row>
    <x:row r="323" ht="18" customHeight="1">
      <x:c r="A323" s="46" t="str">
        <x:v>LME_026</x:v>
      </x:c>
      <x:c r="B323" s="46" t="str">
        <x:v>Mediterranean Sea</x:v>
      </x:c>
      <x:c r="C323" s="46" t="str">
        <x:v>LME</x:v>
      </x:c>
      <x:c r="D323" s="58" t="n">
        <x:v>2019</x:v>
      </x:c>
      <x:c r="E323" s="46" t="str">
        <x:v>Microcosmus vulgaris</x:v>
      </x:c>
      <x:c r="F323" s="46" t="str">
        <x:v>Grooved sea squirt</x:v>
      </x:c>
      <x:c r="G323" s="46" t="str">
        <x:v>Other demersal invertebrates</x:v>
      </x:c>
      <x:c r="H323" s="46" t="str">
        <x:v>Other fishes &amp; inverts</x:v>
      </x:c>
      <x:c r="I323" s="60" t="n">
        <x:v>29.5837090358</x:v>
      </x:c>
      <x:c r="J323" s="60" t="n">
        <x:v>29.5789998735</x:v>
      </x:c>
      <x:c r="K323" s="60" t="n">
        <x:v>0.0047091623</x:v>
      </x:c>
      <x:c r="L323" s="60" t="n">
        <x:v>15.882000111599998</x:v>
      </x:c>
      <x:c r="M323" s="60" t="n">
        <x:v>13.701708924199998</x:v>
      </x:c>
      <x:c r="N323" s="46" t="str">
        <x:v>microcosmus vulgaris</x:v>
      </x:c>
      <x:c r="O323" s="62" t="n">
        <x:v>3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Microcosmus vulgaris</x:v>
      </x:c>
      <x:c r="T323" s="62" t="n">
        <x:f>IF(O323="","",(1/'Metadata'!$B$5)^(O323-1))</x:f>
        <x:v>400</x:v>
      </x:c>
      <x:c r="U323" s="60" t="n">
        <x:f>IF(T323="","",I323*T323)</x:f>
        <x:v>11833.48361432</x:v>
      </x:c>
    </x:row>
    <x:row r="324" ht="18" customHeight="1">
      <x:c r="A324" s="46" t="str">
        <x:v>LME_026</x:v>
      </x:c>
      <x:c r="B324" s="46" t="str">
        <x:v>Mediterranean Sea</x:v>
      </x:c>
      <x:c r="C324" s="46" t="str">
        <x:v>LME</x:v>
      </x:c>
      <x:c r="D324" s="58" t="n">
        <x:v>2019</x:v>
      </x:c>
      <x:c r="E324" s="46" t="str">
        <x:v>Penaeus japonicus</x:v>
      </x:c>
      <x:c r="F324" s="46" t="str">
        <x:v>Kuruma prawn</x:v>
      </x:c>
      <x:c r="G324" s="46" t="str">
        <x:v>Shrimps</x:v>
      </x:c>
      <x:c r="H324" s="46" t="str">
        <x:v>Crustaceans</x:v>
      </x:c>
      <x:c r="I324" s="60" t="n">
        <x:v>27.489917087800002</x:v>
      </x:c>
      <x:c r="J324" s="60" t="n">
        <x:v>27.489917087800002</x:v>
      </x:c>
      <x:c r="K324" s="60" t="n">
        <x:v>0</x:v>
      </x:c>
      <x:c r="L324" s="60" t="n">
        <x:v>14.942989042499999</x:v>
      </x:c>
      <x:c r="M324" s="60" t="n">
        <x:v>12.5469280453</x:v>
      </x:c>
      <x:c r="N324" s="46" t="str">
        <x:v>penaeus japonicus</x:v>
      </x:c>
      <x:c r="O324" s="62" t="n">
        <x:v>2.7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Penaeus japonicus</x:v>
      </x:c>
      <x:c r="T324" s="62" t="n">
        <x:f>IF(O324="","",(1/'Metadata'!$B$5)^(O324-1))</x:f>
        <x:v>162.83621261476185</x:v>
      </x:c>
      <x:c r="U324" s="60" t="n">
        <x:f>IF(T324="","",I324*T324)</x:f>
        <x:v>4476.353983671176</x:v>
      </x:c>
    </x:row>
    <x:row r="325" ht="18" customHeight="1">
      <x:c r="A325" s="46" t="str">
        <x:v>LME_026</x:v>
      </x:c>
      <x:c r="B325" s="46" t="str">
        <x:v>Mediterranean Sea</x:v>
      </x:c>
      <x:c r="C325" s="46" t="str">
        <x:v>LME</x:v>
      </x:c>
      <x:c r="D325" s="58" t="n">
        <x:v>2019</x:v>
      </x:c>
      <x:c r="E325" s="46" t="str">
        <x:v>Sillaginidae</x:v>
      </x:c>
      <x:c r="F325" s="46" t="str">
        <x:v>Smelt-whitings</x:v>
      </x:c>
      <x:c r="G325" s="46" t="str">
        <x:v>Medium demersals (30 - 89 cm)</x:v>
      </x:c>
      <x:c r="H325" s="46" t="str">
        <x:v>Perch-likes</x:v>
      </x:c>
      <x:c r="I325" s="60" t="n">
        <x:v>26.4833915767</x:v>
      </x:c>
      <x:c r="J325" s="60" t="n">
        <x:v>26.4668647758</x:v>
      </x:c>
      <x:c r="K325" s="60" t="n">
        <x:v>0.0165268009</x:v>
      </x:c>
      <x:c r="L325" s="60" t="n">
        <x:v>0</x:v>
      </x:c>
      <x:c r="M325" s="60" t="n">
        <x:v>26.4833915767</x:v>
      </x:c>
      <x:c r="N325" s="46" t="str">
        <x:v>sillaginidae</x:v>
      </x:c>
      <x:c r="O325" s="62" t="n">
        <x:v>3.25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Sillaginidae</x:v>
      </x:c>
      <x:c r="T325" s="62" t="n">
        <x:f>IF(O325="","",(1/'Metadata'!$B$5)^(O325-1))</x:f>
        <x:v>845.8970107524513</x:v>
      </x:c>
      <x:c r="U325" s="60" t="n">
        <x:f>IF(T325="","",I325*T325)</x:f>
        <x:v>22402.221769317177</x:v>
      </x:c>
    </x:row>
    <x:row r="326" ht="18" customHeight="1">
      <x:c r="A326" s="46" t="str">
        <x:v>LME_026</x:v>
      </x:c>
      <x:c r="B326" s="46" t="str">
        <x:v>Mediterranean Sea</x:v>
      </x:c>
      <x:c r="C326" s="46" t="str">
        <x:v>LME</x:v>
      </x:c>
      <x:c r="D326" s="58" t="n">
        <x:v>2019</x:v>
      </x:c>
      <x:c r="E326" s="46" t="str">
        <x:v>Dentex gibbosus</x:v>
      </x:c>
      <x:c r="F326" s="46" t="str">
        <x:v>Pink dentex</x:v>
      </x:c>
      <x:c r="G326" s="46" t="str">
        <x:v>Large benthopelagics (&gt;=90 cm)</x:v>
      </x:c>
      <x:c r="H326" s="46" t="str">
        <x:v>Perch-likes</x:v>
      </x:c>
      <x:c r="I326" s="60" t="n">
        <x:v>26.021836599</x:v>
      </x:c>
      <x:c r="J326" s="60" t="n">
        <x:v>26.021836599</x:v>
      </x:c>
      <x:c r="K326" s="60" t="n">
        <x:v>0</x:v>
      </x:c>
      <x:c r="L326" s="60" t="n">
        <x:v>26.021836599</x:v>
      </x:c>
      <x:c r="M326" s="60" t="n">
        <x:v>0</x:v>
      </x:c>
      <x:c r="N326" s="46" t="str">
        <x:v>dentex gibbosus</x:v>
      </x:c>
      <x:c r="O326" s="62" t="n">
        <x:v>4.14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Dentex gibbosus</x:v>
      </x:c>
      <x:c r="T326" s="62" t="n">
        <x:f>IF(O326="","",(1/'Metadata'!$B$5)^(O326-1))</x:f>
        <x:v>12168.419864331923</x:v>
      </x:c>
      <x:c r="U326" s="60" t="n">
        <x:f>IF(T326="","",I326*T326)</x:f>
        <x:v>316644.63337767107</x:v>
      </x:c>
    </x:row>
    <x:row r="327" ht="18" customHeight="1">
      <x:c r="A327" s="46" t="str">
        <x:v>LME_026</x:v>
      </x:c>
      <x:c r="B327" s="46" t="str">
        <x:v>Mediterranean Sea</x:v>
      </x:c>
      <x:c r="C327" s="46" t="str">
        <x:v>LME</x:v>
      </x:c>
      <x:c r="D327" s="58" t="n">
        <x:v>2019</x:v>
      </x:c>
      <x:c r="E327" s="46" t="str">
        <x:v>Rhinobatos rhinobatos</x:v>
      </x:c>
      <x:c r="F327" s="46" t="str">
        <x:v>Common guitarfish</x:v>
      </x:c>
      <x:c r="G327" s="46" t="str">
        <x:v>Large rays (&gt;=90 cm)</x:v>
      </x:c>
      <x:c r="H327" s="46" t="str">
        <x:v>Sharks &amp; rays</x:v>
      </x:c>
      <x:c r="I327" s="60" t="n">
        <x:v>24.1080604916</x:v>
      </x:c>
      <x:c r="J327" s="60" t="n">
        <x:v>24.1080604916</x:v>
      </x:c>
      <x:c r="K327" s="60" t="n">
        <x:v>0</x:v>
      </x:c>
      <x:c r="L327" s="60" t="n">
        <x:v>0</x:v>
      </x:c>
      <x:c r="M327" s="60" t="n">
        <x:v>24.1080604916</x:v>
      </x:c>
      <x:c r="N327" s="46" t="str">
        <x:v>rhinobatos rhinobatos</x:v>
      </x:c>
      <x:c r="O327" s="62" t="n">
        <x:v>4.08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Rhinobatos rhinobatos</x:v>
      </x:c>
      <x:c r="T327" s="62" t="n">
        <x:f>IF(O327="","",(1/'Metadata'!$B$5)^(O327-1))</x:f>
        <x:v>10166.521575327472</x:v>
      </x:c>
      <x:c r="U327" s="60" t="n">
        <x:f>IF(T327="","",I327*T327)</x:f>
        <x:v>245095.1171271512</x:v>
      </x:c>
    </x:row>
    <x:row r="328" ht="18" customHeight="1">
      <x:c r="A328" s="46" t="str">
        <x:v>LME_026</x:v>
      </x:c>
      <x:c r="B328" s="46" t="str">
        <x:v>Mediterranean Sea</x:v>
      </x:c>
      <x:c r="C328" s="46" t="str">
        <x:v>LME</x:v>
      </x:c>
      <x:c r="D328" s="58" t="n">
        <x:v>2019</x:v>
      </x:c>
      <x:c r="E328" s="46" t="str">
        <x:v>Moridae</x:v>
      </x:c>
      <x:c r="F328" s="46" t="str">
        <x:v>Codlings, moras</x:v>
      </x:c>
      <x:c r="G328" s="46" t="str">
        <x:v>Medium benthopelagics (30 - 89 cm)</x:v>
      </x:c>
      <x:c r="H328" s="46" t="str">
        <x:v>Cod-likes</x:v>
      </x:c>
      <x:c r="I328" s="60" t="n">
        <x:v>23.357224108100002</x:v>
      </x:c>
      <x:c r="J328" s="60" t="n">
        <x:v>2.6488234769</x:v>
      </x:c>
      <x:c r="K328" s="60" t="n">
        <x:v>20.7084006312</x:v>
      </x:c>
      <x:c r="L328" s="60" t="n">
        <x:v>2.6117654993</x:v>
      </x:c>
      <x:c r="M328" s="60" t="n">
        <x:v>20.7454586088</x:v>
      </x:c>
      <x:c r="N328" s="46" t="str">
        <x:v>moridae</x:v>
      </x:c>
      <x:c r="O328" s="62" t="n">
        <x:v>3.87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Moridae</x:v>
      </x:c>
      <x:c r="T328" s="62" t="n">
        <x:f>IF(O328="","",(1/'Metadata'!$B$5)^(O328-1))</x:f>
        <x:v>5419.460903023396</x:v>
      </x:c>
      <x:c r="U328" s="60" t="n">
        <x:f>IF(T328="","",I328*T328)</x:f>
        <x:v>126583.56285700348</x:v>
      </x:c>
    </x:row>
    <x:row r="329" ht="18" customHeight="1">
      <x:c r="A329" s="46" t="str">
        <x:v>LME_026</x:v>
      </x:c>
      <x:c r="B329" s="46" t="str">
        <x:v>Mediterranean Sea</x:v>
      </x:c>
      <x:c r="C329" s="46" t="str">
        <x:v>LME</x:v>
      </x:c>
      <x:c r="D329" s="58" t="n">
        <x:v>2019</x:v>
      </x:c>
      <x:c r="E329" s="46" t="str">
        <x:v>Mytilus</x:v>
      </x:c>
      <x:c r="F329" s="46" t="str">
        <x:v>Edible sea mussels</x:v>
      </x:c>
      <x:c r="G329" s="46" t="str">
        <x:v>Other demersal invertebrates</x:v>
      </x:c>
      <x:c r="H329" s="46" t="str">
        <x:v>Molluscs</x:v>
      </x:c>
      <x:c r="I329" s="60" t="n">
        <x:v>22.1445800515</x:v>
      </x:c>
      <x:c r="J329" s="60" t="n">
        <x:v>22.1445800515</x:v>
      </x:c>
      <x:c r="K329" s="60" t="n">
        <x:v>0</x:v>
      </x:c>
      <x:c r="L329" s="60" t="n">
        <x:v>0</x:v>
      </x:c>
      <x:c r="M329" s="60" t="n">
        <x:v>22.1445800515</x:v>
      </x:c>
      <x:c r="N329" s="46" t="str">
        <x:v>mytilus</x:v>
      </x:c>
      <x:c r="O329" s="62" t="n">
        <x:v>2.03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Mytilus</x:v>
      </x:c>
      <x:c r="T329" s="62" t="n">
        <x:f>IF(O329="","",(1/'Metadata'!$B$5)^(O329-1))</x:f>
        <x:v>21.880684071538855</x:v>
      </x:c>
      <x:c r="U329" s="60" t="n">
        <x:f>IF(T329="","",I329*T329)</x:f>
        <x:v>484.5385600037731</x:v>
      </x:c>
    </x:row>
    <x:row r="330" ht="18" customHeight="1">
      <x:c r="A330" s="46" t="str">
        <x:v>LME_026</x:v>
      </x:c>
      <x:c r="B330" s="46" t="str">
        <x:v>Mediterranean Sea</x:v>
      </x:c>
      <x:c r="C330" s="46" t="str">
        <x:v>LME</x:v>
      </x:c>
      <x:c r="D330" s="58" t="n">
        <x:v>2019</x:v>
      </x:c>
      <x:c r="E330" s="46" t="str">
        <x:v>Scyllaridae</x:v>
      </x:c>
      <x:c r="F330" s="46" t="str">
        <x:v>Slipper lobsters</x:v>
      </x:c>
      <x:c r="G330" s="46" t="str">
        <x:v>Lobsters, crabs</x:v>
      </x:c>
      <x:c r="H330" s="46" t="str">
        <x:v>Crustaceans</x:v>
      </x:c>
      <x:c r="I330" s="60" t="n">
        <x:v>22.0154538044</x:v>
      </x:c>
      <x:c r="J330" s="60" t="n">
        <x:v>21.477142376899998</x:v>
      </x:c>
      <x:c r="K330" s="60" t="n">
        <x:v>0.5383114275</x:v>
      </x:c>
      <x:c r="L330" s="60" t="n">
        <x:v>0.1186471263</x:v>
      </x:c>
      <x:c r="M330" s="60" t="n">
        <x:v>21.8968066781</x:v>
      </x:c>
      <x:c r="N330" s="46" t="str">
        <x:v>scyllaridae</x:v>
      </x:c>
      <x:c r="O330" s="62" t="n">
        <x:v>2.87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Scyllaridae</x:v>
      </x:c>
      <x:c r="T330" s="62" t="n">
        <x:f>IF(O330="","",(1/'Metadata'!$B$5)^(O330-1))</x:f>
        <x:v>270.9730451511698</x:v>
      </x:c>
      <x:c r="U330" s="60" t="n">
        <x:f>IF(T330="","",I330*T330)</x:f>
        <x:v>5965.594557763174</x:v>
      </x:c>
    </x:row>
    <x:row r="331" ht="18" customHeight="1">
      <x:c r="A331" s="46" t="str">
        <x:v>LME_026</x:v>
      </x:c>
      <x:c r="B331" s="46" t="str">
        <x:v>Mediterranean Sea</x:v>
      </x:c>
      <x:c r="C331" s="46" t="str">
        <x:v>LME</x:v>
      </x:c>
      <x:c r="D331" s="58" t="n">
        <x:v>2019</x:v>
      </x:c>
      <x:c r="E331" s="46" t="str">
        <x:v>Marine groundfishes not identified</x:v>
      </x:c>
      <x:c r="F331" s="46" t="str">
        <x:v>Groundfishes</x:v>
      </x:c>
      <x:c r="G331" s="46" t="str">
        <x:v>Medium demersals (30 - 89 cm)</x:v>
      </x:c>
      <x:c r="H331" s="46" t="str">
        <x:v>Other fishes &amp; inverts</x:v>
      </x:c>
      <x:c r="I331" s="60" t="n">
        <x:v>21.1880997706</x:v>
      </x:c>
      <x:c r="J331" s="60" t="n">
        <x:v>0</x:v>
      </x:c>
      <x:c r="K331" s="60" t="n">
        <x:v>21.1880997706</x:v>
      </x:c>
      <x:c r="L331" s="60" t="n">
        <x:v>0</x:v>
      </x:c>
      <x:c r="M331" s="60" t="n">
        <x:v>21.1880997706</x:v>
      </x:c>
      <x:c r="N331" s="46" t="str">
        <x:v>marine groundfishes not identified</x:v>
      </x:c>
      <x:c r="O331" s="62" t="n">
        <x:v>3.22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Marine groundfishes not identified</x:v>
      </x:c>
      <x:c r="T331" s="62" t="n">
        <x:f>IF(O331="","",(1/'Metadata'!$B$5)^(O331-1))</x:f>
        <x:v>773.1906443023378</x:v>
      </x:c>
      <x:c r="U331" s="60" t="n">
        <x:f>IF(T331="","",I331*T331)</x:f>
        <x:v>16382.44051317243</x:v>
      </x:c>
    </x:row>
    <x:row r="332" ht="18" customHeight="1">
      <x:c r="A332" s="46" t="str">
        <x:v>LME_026</x:v>
      </x:c>
      <x:c r="B332" s="46" t="str">
        <x:v>Mediterranean Sea</x:v>
      </x:c>
      <x:c r="C332" s="46" t="str">
        <x:v>LME</x:v>
      </x:c>
      <x:c r="D332" s="58" t="n">
        <x:v>2019</x:v>
      </x:c>
      <x:c r="E332" s="46" t="str">
        <x:v>Pasiphaea sivado</x:v>
      </x:c>
      <x:c r="F332" s="46" t="str">
        <x:v>White glass shrimp</x:v>
      </x:c>
      <x:c r="G332" s="46" t="str">
        <x:v>Shrimps</x:v>
      </x:c>
      <x:c r="H332" s="46" t="str">
        <x:v>Crustaceans</x:v>
      </x:c>
      <x:c r="I332" s="60" t="n">
        <x:v>20.1043361211</x:v>
      </x:c>
      <x:c r="J332" s="60" t="n">
        <x:v>16.138372434500003</x:v>
      </x:c>
      <x:c r="K332" s="60" t="n">
        <x:v>3.9659636866</x:v>
      </x:c>
      <x:c r="L332" s="60" t="n">
        <x:v>15.506397482</x:v>
      </x:c>
      <x:c r="M332" s="60" t="n">
        <x:v>4.5979386391</x:v>
      </x:c>
      <x:c r="N332" s="46" t="str">
        <x:v>pasiphaea sivado</x:v>
      </x:c>
      <x:c r="O332" s="62" t="n">
        <x:v>3.19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Pasiphaea sivado</x:v>
      </x:c>
      <x:c r="T332" s="62" t="n">
        <x:f>IF(O332="","",(1/'Metadata'!$B$5)^(O332-1))</x:f>
        <x:v>706.7335205557481</x:v>
      </x:c>
      <x:c r="U332" s="60" t="n">
        <x:f>IF(T332="","",I332*T332)</x:f>
        <x:v>14208.408245301096</x:v>
      </x:c>
    </x:row>
    <x:row r="333" ht="18" customHeight="1">
      <x:c r="A333" s="46" t="str">
        <x:v>LME_026</x:v>
      </x:c>
      <x:c r="B333" s="46" t="str">
        <x:v>Mediterranean Sea</x:v>
      </x:c>
      <x:c r="C333" s="46" t="str">
        <x:v>LME</x:v>
      </x:c>
      <x:c r="D333" s="58" t="n">
        <x:v>2019</x:v>
      </x:c>
      <x:c r="E333" s="46" t="str">
        <x:v>Anguilliformes</x:v>
      </x:c>
      <x:c r="F333" s="46" t="str">
        <x:v>Eels, morays</x:v>
      </x:c>
      <x:c r="G333" s="46" t="str">
        <x:v>Large demersals (&gt;=90 cm)</x:v>
      </x:c>
      <x:c r="H333" s="46" t="str">
        <x:v>Other fishes &amp; inverts</x:v>
      </x:c>
      <x:c r="I333" s="60" t="n">
        <x:v>19.9678000792</x:v>
      </x:c>
      <x:c r="J333" s="60" t="n">
        <x:v>0.5362438244</x:v>
      </x:c>
      <x:c r="K333" s="60" t="n">
        <x:v>19.4315562548</x:v>
      </x:c>
      <x:c r="L333" s="60" t="n">
        <x:v>0</x:v>
      </x:c>
      <x:c r="M333" s="60" t="n">
        <x:v>19.9678000792</x:v>
      </x:c>
      <x:c r="N333" s="46" t="str">
        <x:v>anguilliformes</x:v>
      </x:c>
      <x:c r="O333" s="62" t="n">
        <x:v>3.89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Anguilliformes</x:v>
      </x:c>
      <x:c r="T333" s="62" t="n">
        <x:f>IF(O333="","",(1/'Metadata'!$B$5)^(O333-1))</x:f>
        <x:v>5754.090490759748</x:v>
      </x:c>
      <x:c r="U333" s="60" t="n">
        <x:f>IF(T333="","",I333*T333)</x:f>
        <x:v>114896.52855711646</x:v>
      </x:c>
    </x:row>
    <x:row r="334" ht="18" customHeight="1">
      <x:c r="A334" s="46" t="str">
        <x:v>LME_026</x:v>
      </x:c>
      <x:c r="B334" s="46" t="str">
        <x:v>Mediterranean Sea</x:v>
      </x:c>
      <x:c r="C334" s="46" t="str">
        <x:v>LME</x:v>
      </x:c>
      <x:c r="D334" s="58" t="n">
        <x:v>2019</x:v>
      </x:c>
      <x:c r="E334" s="46" t="str">
        <x:v>Palaemon serratus</x:v>
      </x:c>
      <x:c r="F334" s="46" t="str">
        <x:v>Common prawn</x:v>
      </x:c>
      <x:c r="G334" s="46" t="str">
        <x:v>Shrimps</x:v>
      </x:c>
      <x:c r="H334" s="46" t="str">
        <x:v>Crustaceans</x:v>
      </x:c>
      <x:c r="I334" s="60" t="n">
        <x:v>19.8309025093</x:v>
      </x:c>
      <x:c r="J334" s="60" t="n">
        <x:v>18.3253363043</x:v>
      </x:c>
      <x:c r="K334" s="60" t="n">
        <x:v>1.5055662049999998</x:v>
      </x:c>
      <x:c r="L334" s="60" t="n">
        <x:v>8.1482781044</x:v>
      </x:c>
      <x:c r="M334" s="60" t="n">
        <x:v>11.6826244049</x:v>
      </x:c>
      <x:c r="N334" s="46" t="str">
        <x:v>palaemon serratus</x:v>
      </x:c>
      <x:c r="O334" s="62" t="n">
        <x:v>2.69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Palaemon serratus</x:v>
      </x:c>
      <x:c r="T334" s="62" t="n">
        <x:f>IF(O334="","",(1/'Metadata'!$B$5)^(O334-1))</x:f>
        <x:v>158.03041939403977</x:v>
      </x:c>
      <x:c r="U334" s="60" t="n">
        <x:f>IF(T334="","",I334*T334)</x:f>
        <x:v>3133.8858405069946</x:v>
      </x:c>
    </x:row>
    <x:row r="335" ht="18" customHeight="1">
      <x:c r="A335" s="46" t="str">
        <x:v>LME_026</x:v>
      </x:c>
      <x:c r="B335" s="46" t="str">
        <x:v>Mediterranean Sea</x:v>
      </x:c>
      <x:c r="C335" s="46" t="str">
        <x:v>LME</x:v>
      </x:c>
      <x:c r="D335" s="58" t="n">
        <x:v>2019</x:v>
      </x:c>
      <x:c r="E335" s="46" t="str">
        <x:v>Istiophoridae</x:v>
      </x:c>
      <x:c r="F335" s="46" t="str">
        <x:v>Billfishes</x:v>
      </x:c>
      <x:c r="G335" s="46" t="str">
        <x:v>Large pelagics (&gt;=90 cm)</x:v>
      </x:c>
      <x:c r="H335" s="46" t="str">
        <x:v>Tuna &amp; billfishes</x:v>
      </x:c>
      <x:c r="I335" s="60" t="n">
        <x:v>19.7575155668</x:v>
      </x:c>
      <x:c r="J335" s="60" t="n">
        <x:v>19.7575155668</x:v>
      </x:c>
      <x:c r="K335" s="60" t="n">
        <x:v>0</x:v>
      </x:c>
      <x:c r="L335" s="60" t="n">
        <x:v>19.282058648699998</x:v>
      </x:c>
      <x:c r="M335" s="60" t="n">
        <x:v>0.4754569181</x:v>
      </x:c>
      <x:c r="N335" s="46" t="str">
        <x:v>istiophoridae</x:v>
      </x:c>
      <x:c r="O335" s="62" t="n">
        <x:v>4.48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Istiophoridae</x:v>
      </x:c>
      <x:c r="T335" s="62" t="n">
        <x:f>IF(O335="","",(1/'Metadata'!$B$5)^(O335-1))</x:f>
        <x:v>33696.468277717824</x:v>
      </x:c>
      <x:c r="U335" s="60" t="n">
        <x:f>IF(T335="","",I335*T335)</x:f>
        <x:v>665758.4965431923</x:v>
      </x:c>
    </x:row>
    <x:row r="336" ht="18" customHeight="1">
      <x:c r="A336" s="46" t="str">
        <x:v>LME_026</x:v>
      </x:c>
      <x:c r="B336" s="46" t="str">
        <x:v>Mediterranean Sea</x:v>
      </x:c>
      <x:c r="C336" s="46" t="str">
        <x:v>LME</x:v>
      </x:c>
      <x:c r="D336" s="58" t="n">
        <x:v>2019</x:v>
      </x:c>
      <x:c r="E336" s="46" t="str">
        <x:v>Sepia elegans</x:v>
      </x:c>
      <x:c r="F336" s="46" t="str">
        <x:v>Elegant cuttlefish</x:v>
      </x:c>
      <x:c r="G336" s="46" t="str">
        <x:v>Cephalopods</x:v>
      </x:c>
      <x:c r="H336" s="46" t="str">
        <x:v>Other fishes &amp; inverts</x:v>
      </x:c>
      <x:c r="I336" s="60" t="n">
        <x:v>19.4884407501</x:v>
      </x:c>
      <x:c r="J336" s="60" t="n">
        <x:v>19.4884407501</x:v>
      </x:c>
      <x:c r="K336" s="60" t="n">
        <x:v>0</x:v>
      </x:c>
      <x:c r="L336" s="60" t="n">
        <x:v>18.4868639644</x:v>
      </x:c>
      <x:c r="M336" s="60" t="n">
        <x:v>1.0015767857</x:v>
      </x:c>
      <x:c r="N336" s="46" t="str">
        <x:v>sepia elegans</x:v>
      </x:c>
      <x:c r="O336" s="62" t="n">
        <x:v>3.84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Sepia elegans</x:v>
      </x:c>
      <x:c r="T336" s="62" t="n">
        <x:f>IF(O336="","",(1/'Metadata'!$B$5)^(O336-1))</x:f>
        <x:v>4953.648510535111</x:v>
      </x:c>
      <x:c r="U336" s="60" t="n">
        <x:f>IF(T336="","",I336*T336)</x:f>
        <x:v>96538.88549438464</x:v>
      </x:c>
    </x:row>
    <x:row r="337" ht="18" customHeight="1">
      <x:c r="A337" s="46" t="str">
        <x:v>LME_026</x:v>
      </x:c>
      <x:c r="B337" s="46" t="str">
        <x:v>Mediterranean Sea</x:v>
      </x:c>
      <x:c r="C337" s="46" t="str">
        <x:v>LME</x:v>
      </x:c>
      <x:c r="D337" s="58" t="n">
        <x:v>2019</x:v>
      </x:c>
      <x:c r="E337" s="46" t="str">
        <x:v>Microchirus</x:v>
      </x:c>
      <x:c r="F337" s="46" t="str">
        <x:v>Soles</x:v>
      </x:c>
      <x:c r="G337" s="46" t="str">
        <x:v>Small to medium flatfishes (&lt;90 cm)</x:v>
      </x:c>
      <x:c r="H337" s="46" t="str">
        <x:v>Flatfishes</x:v>
      </x:c>
      <x:c r="I337" s="60" t="n">
        <x:v>19.361221661900004</x:v>
      </x:c>
      <x:c r="J337" s="60" t="n">
        <x:v>17.962862394100004</x:v>
      </x:c>
      <x:c r="K337" s="60" t="n">
        <x:v>1.3983592677999999</x:v>
      </x:c>
      <x:c r="L337" s="60" t="n">
        <x:v>17.9621517132</x:v>
      </x:c>
      <x:c r="M337" s="60" t="n">
        <x:v>1.3990699486999998</x:v>
      </x:c>
      <x:c r="N337" s="46" t="str">
        <x:v>microchirus</x:v>
      </x:c>
      <x:c r="O337" s="62" t="n">
        <x:v>3.28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Microchirus</x:v>
      </x:c>
      <x:c r="T337" s="62" t="n">
        <x:f>IF(O337="","",(1/'Metadata'!$B$5)^(O337-1))</x:f>
        <x:v>925.4402624666747</x:v>
      </x:c>
      <x:c r="U337" s="60" t="n">
        <x:f>IF(T337="","",I337*T337)</x:f>
        <x:v>17917.654056464205</x:v>
      </x:c>
    </x:row>
    <x:row r="338" ht="18" customHeight="1">
      <x:c r="A338" s="46" t="str">
        <x:v>LME_026</x:v>
      </x:c>
      <x:c r="B338" s="46" t="str">
        <x:v>Mediterranean Sea</x:v>
      </x:c>
      <x:c r="C338" s="46" t="str">
        <x:v>LME</x:v>
      </x:c>
      <x:c r="D338" s="58" t="n">
        <x:v>2019</x:v>
      </x:c>
      <x:c r="E338" s="46" t="str">
        <x:v>Pagrus auriga</x:v>
      </x:c>
      <x:c r="F338" s="46" t="str">
        <x:v>Redbanded seabream</x:v>
      </x:c>
      <x:c r="G338" s="46" t="str">
        <x:v>Medium benthopelagics (30 - 89 cm)</x:v>
      </x:c>
      <x:c r="H338" s="46" t="str">
        <x:v>Perch-likes</x:v>
      </x:c>
      <x:c r="I338" s="60" t="n">
        <x:v>18.9872010857</x:v>
      </x:c>
      <x:c r="J338" s="60" t="n">
        <x:v>18.9872010857</x:v>
      </x:c>
      <x:c r="K338" s="60" t="n">
        <x:v>0</x:v>
      </x:c>
      <x:c r="L338" s="60" t="n">
        <x:v>0</x:v>
      </x:c>
      <x:c r="M338" s="60" t="n">
        <x:v>18.9872010857</x:v>
      </x:c>
      <x:c r="N338" s="46" t="str">
        <x:v>pagrus auriga</x:v>
      </x:c>
      <x:c r="O338" s="62" t="n">
        <x:v>3.84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Pagrus auriga</x:v>
      </x:c>
      <x:c r="T338" s="62" t="n">
        <x:f>IF(O338="","",(1/'Metadata'!$B$5)^(O338-1))</x:f>
        <x:v>4953.648510535111</x:v>
      </x:c>
      <x:c r="U338" s="60" t="n">
        <x:f>IF(T338="","",I338*T338)</x:f>
        <x:v>94055.92037740846</x:v>
      </x:c>
    </x:row>
    <x:row r="339" ht="18" customHeight="1">
      <x:c r="A339" s="46" t="str">
        <x:v>LME_026</x:v>
      </x:c>
      <x:c r="B339" s="46" t="str">
        <x:v>Mediterranean Sea</x:v>
      </x:c>
      <x:c r="C339" s="46" t="str">
        <x:v>LME</x:v>
      </x:c>
      <x:c r="D339" s="58" t="n">
        <x:v>2019</x:v>
      </x:c>
      <x:c r="E339" s="46" t="str">
        <x:v>Raja brachyura</x:v>
      </x:c>
      <x:c r="F339" s="46" t="str">
        <x:v>Blonde ray</x:v>
      </x:c>
      <x:c r="G339" s="46" t="str">
        <x:v>Large rays (&gt;=90 cm)</x:v>
      </x:c>
      <x:c r="H339" s="46" t="str">
        <x:v>Sharks &amp; rays</x:v>
      </x:c>
      <x:c r="I339" s="60" t="n">
        <x:v>18.937447548799998</x:v>
      </x:c>
      <x:c r="J339" s="60" t="n">
        <x:v>18.937447548799998</x:v>
      </x:c>
      <x:c r="K339" s="60" t="n">
        <x:v>0</x:v>
      </x:c>
      <x:c r="L339" s="60" t="n">
        <x:v>17.3870769106</x:v>
      </x:c>
      <x:c r="M339" s="60" t="n">
        <x:v>1.5503706382</x:v>
      </x:c>
      <x:c r="N339" s="46" t="str">
        <x:v>raja brachyura</x:v>
      </x:c>
      <x:c r="O339" s="62" t="n">
        <x:v>3.89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Raja brachyura</x:v>
      </x:c>
      <x:c r="T339" s="62" t="n">
        <x:f>IF(O339="","",(1/'Metadata'!$B$5)^(O339-1))</x:f>
        <x:v>5754.090490759748</x:v>
      </x:c>
      <x:c r="U339" s="60" t="n">
        <x:f>IF(T339="","",I339*T339)</x:f>
        <x:v>108967.78685981156</x:v>
      </x:c>
    </x:row>
    <x:row r="340" ht="18" customHeight="1">
      <x:c r="A340" s="46" t="str">
        <x:v>LME_026</x:v>
      </x:c>
      <x:c r="B340" s="46" t="str">
        <x:v>Mediterranean Sea</x:v>
      </x:c>
      <x:c r="C340" s="46" t="str">
        <x:v>LME</x:v>
      </x:c>
      <x:c r="D340" s="58" t="n">
        <x:v>2019</x:v>
      </x:c>
      <x:c r="E340" s="46" t="str">
        <x:v>Caranx hippos</x:v>
      </x:c>
      <x:c r="F340" s="46" t="str">
        <x:v>Crevalle jack</x:v>
      </x:c>
      <x:c r="G340" s="46" t="str">
        <x:v>Large reef assoc. fish (&gt;=90 cm)</x:v>
      </x:c>
      <x:c r="H340" s="46" t="str">
        <x:v>Perch-likes</x:v>
      </x:c>
      <x:c r="I340" s="60" t="n">
        <x:v>18.7842326882</x:v>
      </x:c>
      <x:c r="J340" s="60" t="n">
        <x:v>18.7842326882</x:v>
      </x:c>
      <x:c r="K340" s="60" t="n">
        <x:v>0</x:v>
      </x:c>
      <x:c r="L340" s="60" t="n">
        <x:v>18.7842326882</x:v>
      </x:c>
      <x:c r="M340" s="60" t="n">
        <x:v>0</x:v>
      </x:c>
      <x:c r="N340" s="46" t="str">
        <x:v>caranx hippos</x:v>
      </x:c>
      <x:c r="O340" s="62" t="n">
        <x:v>3.56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Caranx hippos</x:v>
      </x:c>
      <x:c r="T340" s="62" t="n">
        <x:f>IF(O340="","",(1/'Metadata'!$B$5)^(O340-1))</x:f>
        <x:v>2141.099198485972</x:v>
      </x:c>
      <x:c r="U340" s="60" t="n">
        <x:f>IF(T340="","",I340*T340)</x:f>
        <x:v>40218.90555287901</x:v>
      </x:c>
    </x:row>
    <x:row r="341" ht="18" customHeight="1">
      <x:c r="A341" s="46" t="str">
        <x:v>LME_026</x:v>
      </x:c>
      <x:c r="B341" s="46" t="str">
        <x:v>Mediterranean Sea</x:v>
      </x:c>
      <x:c r="C341" s="46" t="str">
        <x:v>LME</x:v>
      </x:c>
      <x:c r="D341" s="58" t="n">
        <x:v>2019</x:v>
      </x:c>
      <x:c r="E341" s="46" t="str">
        <x:v>Alloteuthis media</x:v>
      </x:c>
      <x:c r="F341" s="46" t="str">
        <x:v>Midsize squid</x:v>
      </x:c>
      <x:c r="G341" s="46" t="str">
        <x:v>Cephalopods</x:v>
      </x:c>
      <x:c r="H341" s="46" t="str">
        <x:v>Other fishes &amp; inverts</x:v>
      </x:c>
      <x:c r="I341" s="60" t="n">
        <x:v>18.5866336257</x:v>
      </x:c>
      <x:c r="J341" s="60" t="n">
        <x:v>14.280607997299999</x:v>
      </x:c>
      <x:c r="K341" s="60" t="n">
        <x:v>4.3060256284</x:v>
      </x:c>
      <x:c r="L341" s="60" t="n">
        <x:v>13.460100987799999</x:v>
      </x:c>
      <x:c r="M341" s="60" t="n">
        <x:v>5.1265326379</x:v>
      </x:c>
      <x:c r="N341" s="46" t="str">
        <x:v>alloteuthis media</x:v>
      </x:c>
      <x:c r="O341" s="62" t="n">
        <x:v>3.47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Alloteuthis media</x:v>
      </x:c>
      <x:c r="T341" s="62" t="n">
        <x:f>IF(O341="","",(1/'Metadata'!$B$5)^(O341-1))</x:f>
        <x:v>1635.0991368927735</x:v>
      </x:c>
      <x:c r="U341" s="60" t="n">
        <x:f>IF(T341="","",I341*T341)</x:f>
        <x:v>30390.98859912427</x:v>
      </x:c>
    </x:row>
    <x:row r="342" ht="18" customHeight="1">
      <x:c r="A342" s="46" t="str">
        <x:v>LME_026</x:v>
      </x:c>
      <x:c r="B342" s="46" t="str">
        <x:v>Mediterranean Sea</x:v>
      </x:c>
      <x:c r="C342" s="46" t="str">
        <x:v>LME</x:v>
      </x:c>
      <x:c r="D342" s="58" t="n">
        <x:v>2019</x:v>
      </x:c>
      <x:c r="E342" s="46" t="str">
        <x:v>Palinurus mauritanicus</x:v>
      </x:c>
      <x:c r="F342" s="46" t="str">
        <x:v>Pink spiny lobster</x:v>
      </x:c>
      <x:c r="G342" s="46" t="str">
        <x:v>Lobsters, crabs</x:v>
      </x:c>
      <x:c r="H342" s="46" t="str">
        <x:v>Crustaceans</x:v>
      </x:c>
      <x:c r="I342" s="60" t="n">
        <x:v>18.3154432042</x:v>
      </x:c>
      <x:c r="J342" s="60" t="n">
        <x:v>18.1132152346</x:v>
      </x:c>
      <x:c r="K342" s="60" t="n">
        <x:v>0.2022279696</x:v>
      </x:c>
      <x:c r="L342" s="60" t="n">
        <x:v>11.0807227021</x:v>
      </x:c>
      <x:c r="M342" s="60" t="n">
        <x:v>7.2347205021</x:v>
      </x:c>
      <x:c r="N342" s="46" t="str">
        <x:v>palinurus mauritanicus</x:v>
      </x:c>
      <x:c r="O342" s="62" t="n">
        <x:v>3.54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Palinurus mauritanicus</x:v>
      </x:c>
      <x:c r="T342" s="62" t="n">
        <x:f>IF(O342="","",(1/'Metadata'!$B$5)^(O342-1))</x:f>
        <x:v>2016.5834052007342</x:v>
      </x:c>
      <x:c r="U342" s="60" t="n">
        <x:f>IF(T342="","",I342*T342)</x:f>
        <x:v>36934.618824486286</x:v>
      </x:c>
    </x:row>
    <x:row r="343" ht="18" customHeight="1">
      <x:c r="A343" s="46" t="str">
        <x:v>LME_026</x:v>
      </x:c>
      <x:c r="B343" s="46" t="str">
        <x:v>Mediterranean Sea</x:v>
      </x:c>
      <x:c r="C343" s="46" t="str">
        <x:v>LME</x:v>
      </x:c>
      <x:c r="D343" s="58" t="n">
        <x:v>2019</x:v>
      </x:c>
      <x:c r="E343" s="46" t="str">
        <x:v>Malacostraca</x:v>
      </x:c>
      <x:c r="F343" s="46" t="str">
        <x:v>Lobsters, crabs, shrimps, krill</x:v>
      </x:c>
      <x:c r="G343" s="46" t="str">
        <x:v>Shrimps</x:v>
      </x:c>
      <x:c r="H343" s="46" t="str">
        <x:v>Crustaceans</x:v>
      </x:c>
      <x:c r="I343" s="60" t="n">
        <x:v>17.9366827459</x:v>
      </x:c>
      <x:c r="J343" s="60" t="n">
        <x:v>17.521171762399998</x:v>
      </x:c>
      <x:c r="K343" s="60" t="n">
        <x:v>0.4155109835</x:v>
      </x:c>
      <x:c r="L343" s="60" t="n">
        <x:v>7.971414573700001</x:v>
      </x:c>
      <x:c r="M343" s="60" t="n">
        <x:v>9.9652681722</x:v>
      </x:c>
      <x:c r="N343" s="46" t="str">
        <x:v>malacostraca</x:v>
      </x:c>
      <x:c r="O343" s="62" t="n">
        <x:v>3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Malacostraca</x:v>
      </x:c>
      <x:c r="T343" s="62" t="n">
        <x:f>IF(O343="","",(1/'Metadata'!$B$5)^(O343-1))</x:f>
        <x:v>400</x:v>
      </x:c>
      <x:c r="U343" s="60" t="n">
        <x:f>IF(T343="","",I343*T343)</x:f>
        <x:v>7174.67309836</x:v>
      </x:c>
    </x:row>
    <x:row r="344" ht="18" customHeight="1">
      <x:c r="A344" s="46" t="str">
        <x:v>LME_026</x:v>
      </x:c>
      <x:c r="B344" s="46" t="str">
        <x:v>Mediterranean Sea</x:v>
      </x:c>
      <x:c r="C344" s="46" t="str">
        <x:v>LME</x:v>
      </x:c>
      <x:c r="D344" s="58" t="n">
        <x:v>2019</x:v>
      </x:c>
      <x:c r="E344" s="46" t="str">
        <x:v>Haemulidae</x:v>
      </x:c>
      <x:c r="F344" s="46" t="str">
        <x:v>Grunts, sweetlips, bonnetmouths</x:v>
      </x:c>
      <x:c r="G344" s="46" t="str">
        <x:v>Medium demersals (30 - 89 cm)</x:v>
      </x:c>
      <x:c r="H344" s="46" t="str">
        <x:v>Perch-likes</x:v>
      </x:c>
      <x:c r="I344" s="60" t="n">
        <x:v>17.8239180697</x:v>
      </x:c>
      <x:c r="J344" s="60" t="n">
        <x:v>17.7393724506</x:v>
      </x:c>
      <x:c r="K344" s="60" t="n">
        <x:v>0.0845456191</x:v>
      </x:c>
      <x:c r="L344" s="60" t="n">
        <x:v>0.6276036459000001</x:v>
      </x:c>
      <x:c r="M344" s="60" t="n">
        <x:v>17.1963144238</x:v>
      </x:c>
      <x:c r="N344" s="46" t="str">
        <x:v>haemulidae</x:v>
      </x:c>
      <x:c r="O344" s="62" t="n">
        <x:v>3.36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Haemulidae</x:v>
      </x:c>
      <x:c r="T344" s="62" t="n">
        <x:f>IF(O344="","",(1/'Metadata'!$B$5)^(O344-1))</x:f>
        <x:v>1176.0635493805207</x:v>
      </x:c>
      <x:c r="U344" s="60" t="n">
        <x:f>IF(T344="","",I344*T344)</x:f>
        <x:v>20962.06034891898</x:v>
      </x:c>
    </x:row>
    <x:row r="345" ht="18" customHeight="1">
      <x:c r="A345" s="46" t="str">
        <x:v>LME_026</x:v>
      </x:c>
      <x:c r="B345" s="46" t="str">
        <x:v>Mediterranean Sea</x:v>
      </x:c>
      <x:c r="C345" s="46" t="str">
        <x:v>LME</x:v>
      </x:c>
      <x:c r="D345" s="58" t="n">
        <x:v>2019</x:v>
      </x:c>
      <x:c r="E345" s="46" t="str">
        <x:v>Merluccius</x:v>
      </x:c>
      <x:c r="F345" s="46" t="str">
        <x:v>Hakes</x:v>
      </x:c>
      <x:c r="G345" s="46" t="str">
        <x:v>Medium bathydemersals (30 - 89 cm)</x:v>
      </x:c>
      <x:c r="H345" s="46" t="str">
        <x:v>Cod-likes</x:v>
      </x:c>
      <x:c r="I345" s="60" t="n">
        <x:v>17.3677645948</x:v>
      </x:c>
      <x:c r="J345" s="60" t="n">
        <x:v>13.7528983697</x:v>
      </x:c>
      <x:c r="K345" s="60" t="n">
        <x:v>3.6148662251</x:v>
      </x:c>
      <x:c r="L345" s="60" t="n">
        <x:v>0</x:v>
      </x:c>
      <x:c r="M345" s="60" t="n">
        <x:v>17.3677645948</x:v>
      </x:c>
      <x:c r="N345" s="46" t="str">
        <x:v>merluccius</x:v>
      </x:c>
      <x:c r="O345" s="62" t="n">
        <x:v>4.27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Merluccius</x:v>
      </x:c>
      <x:c r="T345" s="62" t="n">
        <x:f>IF(O345="","",(1/'Metadata'!$B$5)^(O345-1))</x:f>
        <x:v>17962.55396184286</x:v>
      </x:c>
      <x:c r="U345" s="60" t="n">
        <x:f>IF(T345="","",I345*T345)</x:f>
        <x:v>311969.4087306789</x:v>
      </x:c>
    </x:row>
    <x:row r="346" ht="18" customHeight="1">
      <x:c r="A346" s="46" t="str">
        <x:v>LME_026</x:v>
      </x:c>
      <x:c r="B346" s="46" t="str">
        <x:v>Mediterranean Sea</x:v>
      </x:c>
      <x:c r="C346" s="46" t="str">
        <x:v>LME</x:v>
      </x:c>
      <x:c r="D346" s="58" t="n">
        <x:v>2019</x:v>
      </x:c>
      <x:c r="E346" s="46" t="str">
        <x:v>Moronidae</x:v>
      </x:c>
      <x:c r="F346" s="46" t="str">
        <x:v>Temperate basses</x:v>
      </x:c>
      <x:c r="G346" s="46" t="str">
        <x:v>Medium demersals (30 - 89 cm)</x:v>
      </x:c>
      <x:c r="H346" s="46" t="str">
        <x:v>Perch-likes</x:v>
      </x:c>
      <x:c r="I346" s="60" t="n">
        <x:v>17.2856097747</x:v>
      </x:c>
      <x:c r="J346" s="60" t="n">
        <x:v>17.2856097747</x:v>
      </x:c>
      <x:c r="K346" s="60" t="n">
        <x:v>0</x:v>
      </x:c>
      <x:c r="L346" s="60" t="n">
        <x:v>0</x:v>
      </x:c>
      <x:c r="M346" s="60" t="n">
        <x:v>17.2856097747</x:v>
      </x:c>
      <x:c r="N346" s="46" t="str">
        <x:v>moronidae</x:v>
      </x:c>
      <x:c r="O346" s="62" t="n">
        <x:v>3.87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Moronidae</x:v>
      </x:c>
      <x:c r="T346" s="62" t="n">
        <x:f>IF(O346="","",(1/'Metadata'!$B$5)^(O346-1))</x:f>
        <x:v>5419.460903023396</x:v>
      </x:c>
      <x:c r="U346" s="60" t="n">
        <x:f>IF(T346="","",I346*T346)</x:f>
        <x:v>93678.6863589057</x:v>
      </x:c>
    </x:row>
    <x:row r="347" ht="18" customHeight="1">
      <x:c r="A347" s="46" t="str">
        <x:v>LME_026</x:v>
      </x:c>
      <x:c r="B347" s="46" t="str">
        <x:v>Mediterranean Sea</x:v>
      </x:c>
      <x:c r="C347" s="46" t="str">
        <x:v>LME</x:v>
      </x:c>
      <x:c r="D347" s="58" t="n">
        <x:v>2019</x:v>
      </x:c>
      <x:c r="E347" s="46" t="str">
        <x:v>Centrolophidae</x:v>
      </x:c>
      <x:c r="F347" s="46" t="str">
        <x:v>Medusafishes</x:v>
      </x:c>
      <x:c r="G347" s="46" t="str">
        <x:v>Medium benthopelagics (30 - 89 cm)</x:v>
      </x:c>
      <x:c r="H347" s="46" t="str">
        <x:v>Perch-likes</x:v>
      </x:c>
      <x:c r="I347" s="60" t="n">
        <x:v>15.981609374400001</x:v>
      </x:c>
      <x:c r="J347" s="60" t="n">
        <x:v>14.2681129474</x:v>
      </x:c>
      <x:c r="K347" s="60" t="n">
        <x:v>1.713496427</x:v>
      </x:c>
      <x:c r="L347" s="60" t="n">
        <x:v>13.9601695745</x:v>
      </x:c>
      <x:c r="M347" s="60" t="n">
        <x:v>2.0214397999</x:v>
      </x:c>
      <x:c r="N347" s="46" t="str">
        <x:v>centrolophidae</x:v>
      </x:c>
      <x:c r="O347" s="62" t="n">
        <x:v>3.65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Centrolophidae</x:v>
      </x:c>
      <x:c r="T347" s="62" t="n">
        <x:f>IF(O347="","",(1/'Metadata'!$B$5)^(O347-1))</x:f>
        <x:v>2803.6867455443476</x:v>
      </x:c>
      <x:c r="U347" s="60" t="n">
        <x:f>IF(T347="","",I347*T347)</x:f>
        <x:v>44807.426375472576</x:v>
      </x:c>
    </x:row>
    <x:row r="348" ht="18" customHeight="1">
      <x:c r="A348" s="46" t="str">
        <x:v>LME_026</x:v>
      </x:c>
      <x:c r="B348" s="46" t="str">
        <x:v>Mediterranean Sea</x:v>
      </x:c>
      <x:c r="C348" s="46" t="str">
        <x:v>LME</x:v>
      </x:c>
      <x:c r="D348" s="58" t="n">
        <x:v>2019</x:v>
      </x:c>
      <x:c r="E348" s="46" t="str">
        <x:v>Maurolicus muelleri</x:v>
      </x:c>
      <x:c r="F348" s="46" t="str">
        <x:v>Silvery lightfish</x:v>
      </x:c>
      <x:c r="G348" s="46" t="str">
        <x:v>Small bathypelagics (&lt;30 cm)</x:v>
      </x:c>
      <x:c r="H348" s="46" t="str">
        <x:v>Other fishes &amp; inverts</x:v>
      </x:c>
      <x:c r="I348" s="60" t="n">
        <x:v>15.6764319369</x:v>
      </x:c>
      <x:c r="J348" s="60" t="n">
        <x:v>0</x:v>
      </x:c>
      <x:c r="K348" s="60" t="n">
        <x:v>15.6764319369</x:v>
      </x:c>
      <x:c r="L348" s="60" t="n">
        <x:v>0</x:v>
      </x:c>
      <x:c r="M348" s="60" t="n">
        <x:v>15.6764319369</x:v>
      </x:c>
      <x:c r="N348" s="46" t="str">
        <x:v>maurolicus muelleri</x:v>
      </x:c>
      <x:c r="O348" s="62" t="n">
        <x:v>3.01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Maurolicus muelleri</x:v>
      </x:c>
      <x:c r="T348" s="62" t="n">
        <x:f>IF(O348="","",(1/'Metadata'!$B$5)^(O348-1))</x:f>
        <x:v>412.16422316450075</x:v>
      </x:c>
      <x:c r="U348" s="60" t="n">
        <x:f>IF(T348="","",I348*T348)</x:f>
        <x:v>6461.2643912635585</x:v>
      </x:c>
    </x:row>
    <x:row r="349" ht="18" customHeight="1">
      <x:c r="A349" s="46" t="str">
        <x:v>LME_026</x:v>
      </x:c>
      <x:c r="B349" s="46" t="str">
        <x:v>Mediterranean Sea</x:v>
      </x:c>
      <x:c r="C349" s="46" t="str">
        <x:v>LME</x:v>
      </x:c>
      <x:c r="D349" s="58" t="n">
        <x:v>2019</x:v>
      </x:c>
      <x:c r="E349" s="46" t="str">
        <x:v>Bothus podas</x:v>
      </x:c>
      <x:c r="F349" s="46" t="str">
        <x:v>Wide-eyed flounder</x:v>
      </x:c>
      <x:c r="G349" s="46" t="str">
        <x:v>Small to medium flatfishes (&lt;90 cm)</x:v>
      </x:c>
      <x:c r="H349" s="46" t="str">
        <x:v>Flatfishes</x:v>
      </x:c>
      <x:c r="I349" s="60" t="n">
        <x:v>15.6673328367</x:v>
      </x:c>
      <x:c r="J349" s="60" t="n">
        <x:v>8.6185264348</x:v>
      </x:c>
      <x:c r="K349" s="60" t="n">
        <x:v>7.048806401899999</x:v>
      </x:c>
      <x:c r="L349" s="60" t="n">
        <x:v>8.5728104834</x:v>
      </x:c>
      <x:c r="M349" s="60" t="n">
        <x:v>7.0945223532999995</x:v>
      </x:c>
      <x:c r="N349" s="46" t="str">
        <x:v>bothus podas</x:v>
      </x:c>
      <x:c r="O349" s="62" t="n">
        <x:v>3.37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Bothus podas</x:v>
      </x:c>
      <x:c r="T349" s="62" t="n">
        <x:f>IF(O349="","",(1/'Metadata'!$B$5)^(O349-1))</x:f>
        <x:v>1211.828298056271</x:v>
      </x:c>
      <x:c r="U349" s="60" t="n">
        <x:f>IF(T349="","",I349*T349)</x:f>
        <x:v>18986.11728657929</x:v>
      </x:c>
    </x:row>
    <x:row r="350" ht="18" customHeight="1">
      <x:c r="A350" s="46" t="str">
        <x:v>LME_026</x:v>
      </x:c>
      <x:c r="B350" s="46" t="str">
        <x:v>Mediterranean Sea</x:v>
      </x:c>
      <x:c r="C350" s="46" t="str">
        <x:v>LME</x:v>
      </x:c>
      <x:c r="D350" s="58" t="n">
        <x:v>2019</x:v>
      </x:c>
      <x:c r="E350" s="46" t="str">
        <x:v>Palaemonidae</x:v>
      </x:c>
      <x:c r="F350" s="46" t="str">
        <x:v>Clawed shrimps</x:v>
      </x:c>
      <x:c r="G350" s="46" t="str">
        <x:v>Shrimps</x:v>
      </x:c>
      <x:c r="H350" s="46" t="str">
        <x:v>Crustaceans</x:v>
      </x:c>
      <x:c r="I350" s="60" t="n">
        <x:v>15.425613093300003</x:v>
      </x:c>
      <x:c r="J350" s="60" t="n">
        <x:v>12.6223070071</x:v>
      </x:c>
      <x:c r="K350" s="60" t="n">
        <x:v>2.8033060862</x:v>
      </x:c>
      <x:c r="L350" s="60" t="n">
        <x:v>12.0744287868</x:v>
      </x:c>
      <x:c r="M350" s="60" t="n">
        <x:v>3.3511843065000004</x:v>
      </x:c>
      <x:c r="N350" s="46" t="str">
        <x:v>palaemonidae</x:v>
      </x:c>
      <x:c r="O350" s="62" t="n">
        <x:v>3.14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Palaemonidae</x:v>
      </x:c>
      <x:c r="T350" s="62" t="n">
        <x:f>IF(O350="","",(1/'Metadata'!$B$5)^(O350-1))</x:f>
        <x:v>608.420993216597</x:v>
      </x:c>
      <x:c r="U350" s="60" t="n">
        <x:f>IF(T350="","",I350*T350)</x:f>
        <x:v>9385.26683920053</x:v>
      </x:c>
    </x:row>
    <x:row r="351" ht="18" customHeight="1">
      <x:c r="A351" s="46" t="str">
        <x:v>LME_026</x:v>
      </x:c>
      <x:c r="B351" s="46" t="str">
        <x:v>Mediterranean Sea</x:v>
      </x:c>
      <x:c r="C351" s="46" t="str">
        <x:v>LME</x:v>
      </x:c>
      <x:c r="D351" s="58" t="n">
        <x:v>2019</x:v>
      </x:c>
      <x:c r="E351" s="46" t="str">
        <x:v>Squaliformes</x:v>
      </x:c>
      <x:c r="F351" s="46" t="str">
        <x:v>Bramble, sleeper, dogfish sharks</x:v>
      </x:c>
      <x:c r="G351" s="46" t="str">
        <x:v>Large sharks (&gt;=90 cm)</x:v>
      </x:c>
      <x:c r="H351" s="46" t="str">
        <x:v>Sharks &amp; rays</x:v>
      </x:c>
      <x:c r="I351" s="60" t="n">
        <x:v>15.422766351</x:v>
      </x:c>
      <x:c r="J351" s="60" t="n">
        <x:v>10.9597281947</x:v>
      </x:c>
      <x:c r="K351" s="60" t="n">
        <x:v>4.463038156300001</x:v>
      </x:c>
      <x:c r="L351" s="60" t="n">
        <x:v>10.0677644703</x:v>
      </x:c>
      <x:c r="M351" s="60" t="n">
        <x:v>5.355001880700001</x:v>
      </x:c>
      <x:c r="N351" s="46" t="str">
        <x:v>squaliformes</x:v>
      </x:c>
      <x:c r="O351" s="62" t="n">
        <x:v>4.19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Squaliformes</x:v>
      </x:c>
      <x:c r="T351" s="62" t="n">
        <x:f>IF(O351="","",(1/'Metadata'!$B$5)^(O351-1))</x:f>
        <x:v>14134.67041111498</x:v>
      </x:c>
      <x:c r="U351" s="60" t="n">
        <x:f>IF(T351="","",I351*T351)</x:f>
        <x:v>217995.71919901943</x:v>
      </x:c>
    </x:row>
    <x:row r="352" ht="18" customHeight="1">
      <x:c r="A352" s="46" t="str">
        <x:v>LME_026</x:v>
      </x:c>
      <x:c r="B352" s="46" t="str">
        <x:v>Mediterranean Sea</x:v>
      </x:c>
      <x:c r="C352" s="46" t="str">
        <x:v>LME</x:v>
      </x:c>
      <x:c r="D352" s="58" t="n">
        <x:v>2019</x:v>
      </x:c>
      <x:c r="E352" s="46" t="str">
        <x:v>Portunus pelagicus</x:v>
      </x:c>
      <x:c r="F352" s="46" t="str">
        <x:v>Blue swimming crab</x:v>
      </x:c>
      <x:c r="G352" s="46" t="str">
        <x:v>Lobsters, crabs</x:v>
      </x:c>
      <x:c r="H352" s="46" t="str">
        <x:v>Crustaceans</x:v>
      </x:c>
      <x:c r="I352" s="60" t="n">
        <x:v>14.9841684642</x:v>
      </x:c>
      <x:c r="J352" s="60" t="n">
        <x:v>14.7831194954</x:v>
      </x:c>
      <x:c r="K352" s="60" t="n">
        <x:v>0.2010489688</x:v>
      </x:c>
      <x:c r="L352" s="60" t="n">
        <x:v>14.7831194954</x:v>
      </x:c>
      <x:c r="M352" s="60" t="n">
        <x:v>0.2010489688</x:v>
      </x:c>
      <x:c r="N352" s="46" t="str">
        <x:v>portunus pelagicus</x:v>
      </x:c>
      <x:c r="O352" s="62" t="n">
        <x:v>2.48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Portunus pelagicus</x:v>
      </x:c>
      <x:c r="T352" s="62" t="n">
        <x:f>IF(O352="","",(1/'Metadata'!$B$5)^(O352-1))</x:f>
        <x:v>84.24117069429444</x:v>
      </x:c>
      <x:c r="U352" s="60" t="n">
        <x:f>IF(T352="","",I352*T352)</x:f>
        <x:v>1262.283893304736</x:v>
      </x:c>
    </x:row>
    <x:row r="353" ht="18" customHeight="1">
      <x:c r="A353" s="46" t="str">
        <x:v>LME_026</x:v>
      </x:c>
      <x:c r="B353" s="46" t="str">
        <x:v>Mediterranean Sea</x:v>
      </x:c>
      <x:c r="C353" s="46" t="str">
        <x:v>LME</x:v>
      </x:c>
      <x:c r="D353" s="58" t="n">
        <x:v>2019</x:v>
      </x:c>
      <x:c r="E353" s="46" t="str">
        <x:v>Solen</x:v>
      </x:c>
      <x:c r="F353" s="46" t="str">
        <x:v>Razor clams</x:v>
      </x:c>
      <x:c r="G353" s="46" t="str">
        <x:v>Other demersal invertebrates</x:v>
      </x:c>
      <x:c r="H353" s="46" t="str">
        <x:v>Molluscs</x:v>
      </x:c>
      <x:c r="I353" s="60" t="n">
        <x:v>14.960222033800001</x:v>
      </x:c>
      <x:c r="J353" s="60" t="n">
        <x:v>14.960222033800001</x:v>
      </x:c>
      <x:c r="K353" s="60" t="n">
        <x:v>0</x:v>
      </x:c>
      <x:c r="L353" s="60" t="n">
        <x:v>0</x:v>
      </x:c>
      <x:c r="M353" s="60" t="n">
        <x:v>14.960222033800001</x:v>
      </x:c>
      <x:c r="N353" s="46" t="str">
        <x:v>solen</x:v>
      </x:c>
      <x:c r="O353" s="62" t="n">
        <x:v>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Solen</x:v>
      </x:c>
      <x:c r="T353" s="62" t="n">
        <x:f>IF(O353="","",(1/'Metadata'!$B$5)^(O353-1))</x:f>
        <x:v>20</x:v>
      </x:c>
      <x:c r="U353" s="60" t="n">
        <x:f>IF(T353="","",I353*T353)</x:f>
        <x:v>299.204440676</x:v>
      </x:c>
    </x:row>
    <x:row r="354" ht="18" customHeight="1">
      <x:c r="A354" s="46" t="str">
        <x:v>LME_026</x:v>
      </x:c>
      <x:c r="B354" s="46" t="str">
        <x:v>Mediterranean Sea</x:v>
      </x:c>
      <x:c r="C354" s="46" t="str">
        <x:v>LME</x:v>
      </x:c>
      <x:c r="D354" s="58" t="n">
        <x:v>2019</x:v>
      </x:c>
      <x:c r="E354" s="46" t="str">
        <x:v>Liocarcinus</x:v>
      </x:c>
      <x:c r="F354" s="46" t="str">
        <x:v>Flying and swimcrabs</x:v>
      </x:c>
      <x:c r="G354" s="46" t="str">
        <x:v>Lobsters, crabs</x:v>
      </x:c>
      <x:c r="H354" s="46" t="str">
        <x:v>Crustaceans</x:v>
      </x:c>
      <x:c r="I354" s="60" t="n">
        <x:v>14.6998447863</x:v>
      </x:c>
      <x:c r="J354" s="60" t="n">
        <x:v>8.4471104243</x:v>
      </x:c>
      <x:c r="K354" s="60" t="n">
        <x:v>6.252734362</x:v>
      </x:c>
      <x:c r="L354" s="60" t="n">
        <x:v>7.182943895399999</x:v>
      </x:c>
      <x:c r="M354" s="60" t="n">
        <x:v>7.5169008909</x:v>
      </x:c>
      <x:c r="N354" s="46" t="str">
        <x:v>liocarcinus</x:v>
      </x:c>
      <x:c r="O354" s="62" t="n">
        <x:v>3.56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Liocarcinus</x:v>
      </x:c>
      <x:c r="T354" s="62" t="n">
        <x:f>IF(O354="","",(1/'Metadata'!$B$5)^(O354-1))</x:f>
        <x:v>2141.099198485972</x:v>
      </x:c>
      <x:c r="U354" s="60" t="n">
        <x:f>IF(T354="","",I354*T354)</x:f>
        <x:v>31473.825889815125</x:v>
      </x:c>
    </x:row>
    <x:row r="355" ht="18" customHeight="1">
      <x:c r="A355" s="46" t="str">
        <x:v>LME_026</x:v>
      </x:c>
      <x:c r="B355" s="46" t="str">
        <x:v>Mediterranean Sea</x:v>
      </x:c>
      <x:c r="C355" s="46" t="str">
        <x:v>LME</x:v>
      </x:c>
      <x:c r="D355" s="58" t="n">
        <x:v>2019</x:v>
      </x:c>
      <x:c r="E355" s="46" t="str">
        <x:v>Labrus</x:v>
      </x:c>
      <x:c r="F355" s="46" t="str">
        <x:v>Wrasse</x:v>
      </x:c>
      <x:c r="G355" s="46" t="str">
        <x:v>Medium reef assoc. fish (30 - 89 cm)</x:v>
      </x:c>
      <x:c r="H355" s="46" t="str">
        <x:v>Perch-likes</x:v>
      </x:c>
      <x:c r="I355" s="60" t="n">
        <x:v>14.4573767015</x:v>
      </x:c>
      <x:c r="J355" s="60" t="n">
        <x:v>14.4573767015</x:v>
      </x:c>
      <x:c r="K355" s="60" t="n">
        <x:v>0</x:v>
      </x:c>
      <x:c r="L355" s="60" t="n">
        <x:v>0</x:v>
      </x:c>
      <x:c r="M355" s="60" t="n">
        <x:v>14.4573767015</x:v>
      </x:c>
      <x:c r="N355" s="46" t="str">
        <x:v>labrus</x:v>
      </x:c>
      <x:c r="O355" s="62" t="n">
        <x:v>3.56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Labrus</x:v>
      </x:c>
      <x:c r="T355" s="62" t="n">
        <x:f>IF(O355="","",(1/'Metadata'!$B$5)^(O355-1))</x:f>
        <x:v>2141.099198485972</x:v>
      </x:c>
      <x:c r="U355" s="60" t="n">
        <x:f>IF(T355="","",I355*T355)</x:f>
        <x:v>30954.677667791413</x:v>
      </x:c>
    </x:row>
    <x:row r="356" ht="18" customHeight="1">
      <x:c r="A356" s="46" t="str">
        <x:v>LME_026</x:v>
      </x:c>
      <x:c r="B356" s="46" t="str">
        <x:v>Mediterranean Sea</x:v>
      </x:c>
      <x:c r="C356" s="46" t="str">
        <x:v>LME</x:v>
      </x:c>
      <x:c r="D356" s="58" t="n">
        <x:v>2019</x:v>
      </x:c>
      <x:c r="E356" s="46" t="str">
        <x:v>Centracanthus cirrus</x:v>
      </x:c>
      <x:c r="F356" s="46" t="str">
        <x:v>Curled picarel</x:v>
      </x:c>
      <x:c r="G356" s="46" t="str">
        <x:v>Medium benthopelagics (30 - 89 cm)</x:v>
      </x:c>
      <x:c r="H356" s="46" t="str">
        <x:v>Perch-likes</x:v>
      </x:c>
      <x:c r="I356" s="60" t="n">
        <x:v>13.0948206352</x:v>
      </x:c>
      <x:c r="J356" s="60" t="n">
        <x:v>10.91928873</x:v>
      </x:c>
      <x:c r="K356" s="60" t="n">
        <x:v>2.1755319051999997</x:v>
      </x:c>
      <x:c r="L356" s="60" t="n">
        <x:v>7.7005096838</x:v>
      </x:c>
      <x:c r="M356" s="60" t="n">
        <x:v>5.3943109514</x:v>
      </x:c>
      <x:c r="N356" s="46" t="str">
        <x:v>centracanthus cirrus</x:v>
      </x:c>
      <x:c r="O356" s="62" t="n">
        <x:v>3.4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Centracanthus cirrus</x:v>
      </x:c>
      <x:c r="T356" s="62" t="n">
        <x:f>IF(O356="","",(1/'Metadata'!$B$5)^(O356-1))</x:f>
        <x:v>1325.7816069359944</x:v>
      </x:c>
      <x:c r="U356" s="60" t="n">
        <x:f>IF(T356="","",I356*T356)</x:f>
        <x:v>17360.872344274074</x:v>
      </x:c>
    </x:row>
    <x:row r="357" ht="18" customHeight="1">
      <x:c r="A357" s="46" t="str">
        <x:v>LME_026</x:v>
      </x:c>
      <x:c r="B357" s="46" t="str">
        <x:v>Mediterranean Sea</x:v>
      </x:c>
      <x:c r="C357" s="46" t="str">
        <x:v>LME</x:v>
      </x:c>
      <x:c r="D357" s="58" t="n">
        <x:v>2019</x:v>
      </x:c>
      <x:c r="E357" s="46" t="str">
        <x:v>Thalassoma pavo</x:v>
      </x:c>
      <x:c r="F357" s="46" t="str">
        <x:v>Ornate wrasse</x:v>
      </x:c>
      <x:c r="G357" s="46" t="str">
        <x:v>Small reef assoc. fish (&lt;30 cm)</x:v>
      </x:c>
      <x:c r="H357" s="46" t="str">
        <x:v>Perch-likes</x:v>
      </x:c>
      <x:c r="I357" s="60" t="n">
        <x:v>12.9726345553</x:v>
      </x:c>
      <x:c r="J357" s="60" t="n">
        <x:v>12.6923998893</x:v>
      </x:c>
      <x:c r="K357" s="60" t="n">
        <x:v>0.280234666</x:v>
      </x:c>
      <x:c r="L357" s="60" t="n">
        <x:v>0</x:v>
      </x:c>
      <x:c r="M357" s="60" t="n">
        <x:v>12.9726345553</x:v>
      </x:c>
      <x:c r="N357" s="46" t="str">
        <x:v>thalassoma pavo</x:v>
      </x:c>
      <x:c r="O357" s="62" t="n">
        <x:v>3.5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Thalassoma pavo</x:v>
      </x:c>
      <x:c r="T357" s="62" t="n">
        <x:f>IF(O357="","",(1/'Metadata'!$B$5)^(O357-1))</x:f>
        <x:v>1788.8543819998317</x:v>
      </x:c>
      <x:c r="U357" s="60" t="n">
        <x:f>IF(T357="","",I357*T357)</x:f>
        <x:v>23206.154170330847</x:v>
      </x:c>
    </x:row>
    <x:row r="358" ht="18" customHeight="1">
      <x:c r="A358" s="46" t="str">
        <x:v>LME_026</x:v>
      </x:c>
      <x:c r="B358" s="46" t="str">
        <x:v>Mediterranean Sea</x:v>
      </x:c>
      <x:c r="C358" s="46" t="str">
        <x:v>LME</x:v>
      </x:c>
      <x:c r="D358" s="58" t="n">
        <x:v>2019</x:v>
      </x:c>
      <x:c r="E358" s="46" t="str">
        <x:v>Chromis chromis</x:v>
      </x:c>
      <x:c r="F358" s="46" t="str">
        <x:v>Damselfish</x:v>
      </x:c>
      <x:c r="G358" s="46" t="str">
        <x:v>Small reef assoc. fish (&lt;30 cm)</x:v>
      </x:c>
      <x:c r="H358" s="46" t="str">
        <x:v>Perch-likes</x:v>
      </x:c>
      <x:c r="I358" s="60" t="n">
        <x:v>12.950371947</x:v>
      </x:c>
      <x:c r="J358" s="60" t="n">
        <x:v>11.5488902874</x:v>
      </x:c>
      <x:c r="K358" s="60" t="n">
        <x:v>1.4014816596</x:v>
      </x:c>
      <x:c r="L358" s="60" t="n">
        <x:v>0</x:v>
      </x:c>
      <x:c r="M358" s="60" t="n">
        <x:v>12.950371947</x:v>
      </x:c>
      <x:c r="N358" s="46" t="str">
        <x:v>chromis chromis</x:v>
      </x:c>
      <x:c r="O358" s="62" t="n">
        <x:v>3.77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Chromis chromis</x:v>
      </x:c>
      <x:c r="T358" s="62" t="n">
        <x:f>IF(O358="","",(1/'Metadata'!$B$5)^(O358-1))</x:f>
        <x:v>4016.549170818885</x:v>
      </x:c>
      <x:c r="U358" s="60" t="n">
        <x:f>IF(T358="","",I358*T358)</x:f>
        <x:v>52015.80570551901</x:v>
      </x:c>
    </x:row>
    <x:row r="359" ht="18" customHeight="1">
      <x:c r="A359" s="46" t="str">
        <x:v>LME_026</x:v>
      </x:c>
      <x:c r="B359" s="46" t="str">
        <x:v>Mediterranean Sea</x:v>
      </x:c>
      <x:c r="C359" s="46" t="str">
        <x:v>LME</x:v>
      </x:c>
      <x:c r="D359" s="58" t="n">
        <x:v>2019</x:v>
      </x:c>
      <x:c r="E359" s="46" t="str">
        <x:v>Scombroidei</x:v>
      </x:c>
      <x:c r="F359" s="46" t="str">
        <x:v>Tunas, bonitos, billfishes</x:v>
      </x:c>
      <x:c r="G359" s="46" t="str">
        <x:v>Large pelagics (&gt;=90 cm)</x:v>
      </x:c>
      <x:c r="H359" s="46" t="str">
        <x:v>Tuna &amp; billfishes</x:v>
      </x:c>
      <x:c r="I359" s="60" t="n">
        <x:v>12.6884227867</x:v>
      </x:c>
      <x:c r="J359" s="60" t="n">
        <x:v>8.0626118533</x:v>
      </x:c>
      <x:c r="K359" s="60" t="n">
        <x:v>4.6258109334</x:v>
      </x:c>
      <x:c r="L359" s="60" t="n">
        <x:v>2.9965611891</x:v>
      </x:c>
      <x:c r="M359" s="60" t="n">
        <x:v>9.6918615976</x:v>
      </x:c>
      <x:c r="N359" s="46" t="str">
        <x:v>scombroidei</x:v>
      </x:c>
      <x:c r="O359" s="62" t="n">
        <x:v>4.2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Scombroidei</x:v>
      </x:c>
      <x:c r="T359" s="62" t="n">
        <x:f>IF(O359="","",(1/'Metadata'!$B$5)^(O359-1))</x:f>
        <x:v>14564.51362420865</x:v>
      </x:c>
      <x:c r="U359" s="60" t="n">
        <x:f>IF(T359="","",I359*T359)</x:f>
        <x:v>184800.70654661165</x:v>
      </x:c>
    </x:row>
    <x:row r="360" ht="18" customHeight="1">
      <x:c r="A360" s="46" t="str">
        <x:v>LME_026</x:v>
      </x:c>
      <x:c r="B360" s="46" t="str">
        <x:v>Mediterranean Sea</x:v>
      </x:c>
      <x:c r="C360" s="46" t="str">
        <x:v>LME</x:v>
      </x:c>
      <x:c r="D360" s="58" t="n">
        <x:v>2019</x:v>
      </x:c>
      <x:c r="E360" s="46" t="str">
        <x:v>Umbrina canariensis</x:v>
      </x:c>
      <x:c r="F360" s="46" t="str">
        <x:v>Canary drum</x:v>
      </x:c>
      <x:c r="G360" s="46" t="str">
        <x:v>Medium demersals (30 - 89 cm)</x:v>
      </x:c>
      <x:c r="H360" s="46" t="str">
        <x:v>Perch-likes</x:v>
      </x:c>
      <x:c r="I360" s="60" t="n">
        <x:v>12.388407281300001</x:v>
      </x:c>
      <x:c r="J360" s="60" t="n">
        <x:v>12.388407281300001</x:v>
      </x:c>
      <x:c r="K360" s="60" t="n">
        <x:v>0</x:v>
      </x:c>
      <x:c r="L360" s="60" t="n">
        <x:v>12.3339413357</x:v>
      </x:c>
      <x:c r="M360" s="60" t="n">
        <x:v>0.0544659456</x:v>
      </x:c>
      <x:c r="N360" s="46" t="str">
        <x:v>umbrina canariensis</x:v>
      </x:c>
      <x:c r="O360" s="62" t="n">
        <x:v>3.37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Umbrina canariensis</x:v>
      </x:c>
      <x:c r="T360" s="62" t="n">
        <x:f>IF(O360="","",(1/'Metadata'!$B$5)^(O360-1))</x:f>
        <x:v>1211.828298056271</x:v>
      </x:c>
      <x:c r="U360" s="60" t="n">
        <x:f>IF(T360="","",I360*T360)</x:f>
        <x:v>15012.622511325695</x:v>
      </x:c>
    </x:row>
    <x:row r="361" ht="18" customHeight="1">
      <x:c r="A361" s="46" t="str">
        <x:v>LME_026</x:v>
      </x:c>
      <x:c r="B361" s="46" t="str">
        <x:v>Mediterranean Sea</x:v>
      </x:c>
      <x:c r="C361" s="46" t="str">
        <x:v>LME</x:v>
      </x:c>
      <x:c r="D361" s="58" t="n">
        <x:v>2019</x:v>
      </x:c>
      <x:c r="E361" s="46" t="str">
        <x:v>Alosa</x:v>
      </x:c>
      <x:c r="F361" s="46" t="str">
        <x:v>Shads</x:v>
      </x:c>
      <x:c r="G361" s="46" t="str">
        <x:v>Medium pelagics (30 - 89 cm)</x:v>
      </x:c>
      <x:c r="H361" s="46" t="str">
        <x:v>Herring-likes</x:v>
      </x:c>
      <x:c r="I361" s="60" t="n">
        <x:v>12.1164662736</x:v>
      </x:c>
      <x:c r="J361" s="60" t="n">
        <x:v>11.868463288</x:v>
      </x:c>
      <x:c r="K361" s="60" t="n">
        <x:v>0.2480029856</x:v>
      </x:c>
      <x:c r="L361" s="60" t="n">
        <x:v>6.235019596</x:v>
      </x:c>
      <x:c r="M361" s="60" t="n">
        <x:v>5.8814466776</x:v>
      </x:c>
      <x:c r="N361" s="46" t="str">
        <x:v>alosa</x:v>
      </x:c>
      <x:c r="O361" s="62" t="n">
        <x:v>3.89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Alosa</x:v>
      </x:c>
      <x:c r="T361" s="62" t="n">
        <x:f>IF(O361="","",(1/'Metadata'!$B$5)^(O361-1))</x:f>
        <x:v>5754.090490759748</x:v>
      </x:c>
      <x:c r="U361" s="60" t="n">
        <x:f>IF(T361="","",I361*T361)</x:f>
        <x:v>69719.24336653296</x:v>
      </x:c>
    </x:row>
    <x:row r="362" ht="18" customHeight="1">
      <x:c r="A362" s="46" t="str">
        <x:v>LME_026</x:v>
      </x:c>
      <x:c r="B362" s="46" t="str">
        <x:v>Mediterranean Sea</x:v>
      </x:c>
      <x:c r="C362" s="46" t="str">
        <x:v>LME</x:v>
      </x:c>
      <x:c r="D362" s="58" t="n">
        <x:v>2019</x:v>
      </x:c>
      <x:c r="E362" s="46" t="str">
        <x:v>Pasiphaea multidentata</x:v>
      </x:c>
      <x:c r="F362" s="46" t="str">
        <x:v>Pink glass shrimp</x:v>
      </x:c>
      <x:c r="G362" s="46" t="str">
        <x:v>Shrimps</x:v>
      </x:c>
      <x:c r="H362" s="46" t="str">
        <x:v>Crustaceans</x:v>
      </x:c>
      <x:c r="I362" s="60" t="n">
        <x:v>11.7214493937</x:v>
      </x:c>
      <x:c r="J362" s="60" t="n">
        <x:v>9.014333275</x:v>
      </x:c>
      <x:c r="K362" s="60" t="n">
        <x:v>2.7071161187</x:v>
      </x:c>
      <x:c r="L362" s="60" t="n">
        <x:v>8.571121912599999</x:v>
      </x:c>
      <x:c r="M362" s="60" t="n">
        <x:v>3.1503274811</x:v>
      </x:c>
      <x:c r="N362" s="46" t="str">
        <x:v>pasiphaea multidentata</x:v>
      </x:c>
      <x:c r="O362" s="62" t="n">
        <x:v>3.69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Pasiphaea multidentata</x:v>
      </x:c>
      <x:c r="T362" s="62" t="n">
        <x:f>IF(O362="","",(1/'Metadata'!$B$5)^(O362-1))</x:f>
        <x:v>3160.6083878807954</x:v>
      </x:c>
      <x:c r="U362" s="60" t="n">
        <x:f>IF(T362="","",I362*T362)</x:f>
        <x:v>37046.91127184848</x:v>
      </x:c>
    </x:row>
    <x:row r="363" ht="18" customHeight="1">
      <x:c r="A363" s="46" t="str">
        <x:v>LME_026</x:v>
      </x:c>
      <x:c r="B363" s="46" t="str">
        <x:v>Mediterranean Sea</x:v>
      </x:c>
      <x:c r="C363" s="46" t="str">
        <x:v>LME</x:v>
      </x:c>
      <x:c r="D363" s="58" t="n">
        <x:v>2019</x:v>
      </x:c>
      <x:c r="E363" s="46" t="str">
        <x:v>Palinurus</x:v>
      </x:c>
      <x:c r="F363" s="46" t="str">
        <x:v>Spiny lobsters</x:v>
      </x:c>
      <x:c r="G363" s="46" t="str">
        <x:v>Lobsters, crabs</x:v>
      </x:c>
      <x:c r="H363" s="46" t="str">
        <x:v>Crustaceans</x:v>
      </x:c>
      <x:c r="I363" s="60" t="n">
        <x:v>11.4783157946</x:v>
      </x:c>
      <x:c r="J363" s="60" t="n">
        <x:v>11.4783157946</x:v>
      </x:c>
      <x:c r="K363" s="60" t="n">
        <x:v>0</x:v>
      </x:c>
      <x:c r="L363" s="60" t="n">
        <x:v>11.3792651402</x:v>
      </x:c>
      <x:c r="M363" s="60" t="n">
        <x:v>0.0990506544</x:v>
      </x:c>
      <x:c r="N363" s="46" t="str">
        <x:v>palinurus</x:v>
      </x:c>
      <x:c r="O363" s="62" t="n">
        <x:v>2.7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Palinurus</x:v>
      </x:c>
      <x:c r="T363" s="62" t="n">
        <x:f>IF(O363="","",(1/'Metadata'!$B$5)^(O363-1))</x:f>
        <x:v>162.83621261476185</x:v>
      </x:c>
      <x:c r="U363" s="60" t="n">
        <x:f>IF(T363="","",I363*T363)</x:f>
        <x:v>1869.0854711888646</x:v>
      </x:c>
    </x:row>
    <x:row r="364" ht="18" customHeight="1">
      <x:c r="A364" s="46" t="str">
        <x:v>LME_026</x:v>
      </x:c>
      <x:c r="B364" s="46" t="str">
        <x:v>Mediterranean Sea</x:v>
      </x:c>
      <x:c r="C364" s="46" t="str">
        <x:v>LME</x:v>
      </x:c>
      <x:c r="D364" s="58" t="n">
        <x:v>2019</x:v>
      </x:c>
      <x:c r="E364" s="46" t="str">
        <x:v>Sillago sihama</x:v>
      </x:c>
      <x:c r="F364" s="46" t="str">
        <x:v>Silver sillago</x:v>
      </x:c>
      <x:c r="G364" s="46" t="str">
        <x:v>Medium demersals (30 - 89 cm)</x:v>
      </x:c>
      <x:c r="H364" s="46" t="str">
        <x:v>Perch-likes</x:v>
      </x:c>
      <x:c r="I364" s="60" t="n">
        <x:v>10.764404515399999</x:v>
      </x:c>
      <x:c r="J364" s="60" t="n">
        <x:v>10.764404515399999</x:v>
      </x:c>
      <x:c r="K364" s="60" t="n">
        <x:v>0</x:v>
      </x:c>
      <x:c r="L364" s="60" t="n">
        <x:v>10.764404515399999</x:v>
      </x:c>
      <x:c r="M364" s="60" t="n">
        <x:v>0</x:v>
      </x:c>
      <x:c r="N364" s="46" t="str">
        <x:v>sillago sihama</x:v>
      </x:c>
      <x:c r="O364" s="62" t="n">
        <x:v>3.33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Sillago sihama</x:v>
      </x:c>
      <x:c r="T364" s="62" t="n">
        <x:f>IF(O364="","",(1/'Metadata'!$B$5)^(O364-1))</x:f>
        <x:v>1074.9787762899762</x:v>
      </x:c>
      <x:c r="U364" s="60" t="n">
        <x:f>IF(T364="","",I364*T364)</x:f>
        <x:v>11571.506393454985</x:v>
      </x:c>
    </x:row>
    <x:row r="365" ht="18" customHeight="1">
      <x:c r="A365" s="46" t="str">
        <x:v>LME_026</x:v>
      </x:c>
      <x:c r="B365" s="46" t="str">
        <x:v>Mediterranean Sea</x:v>
      </x:c>
      <x:c r="C365" s="46" t="str">
        <x:v>LME</x:v>
      </x:c>
      <x:c r="D365" s="58" t="n">
        <x:v>2019</x:v>
      </x:c>
      <x:c r="E365" s="46" t="str">
        <x:v>Gymnothorax unicolor</x:v>
      </x:c>
      <x:c r="F365" s="46" t="str">
        <x:v>Brown moray</x:v>
      </x:c>
      <x:c r="G365" s="46" t="str">
        <x:v>Medium demersals (30 - 89 cm)</x:v>
      </x:c>
      <x:c r="H365" s="46" t="str">
        <x:v>Other fishes &amp; inverts</x:v>
      </x:c>
      <x:c r="I365" s="60" t="n">
        <x:v>10.5212789552</x:v>
      </x:c>
      <x:c r="J365" s="60" t="n">
        <x:v>10.5212789552</x:v>
      </x:c>
      <x:c r="K365" s="60" t="n">
        <x:v>0</x:v>
      </x:c>
      <x:c r="L365" s="60" t="n">
        <x:v>8.6972517012</x:v>
      </x:c>
      <x:c r="M365" s="60" t="n">
        <x:v>1.8240272540000002</x:v>
      </x:c>
      <x:c r="N365" s="46" t="str">
        <x:v>gymnothorax unicolor</x:v>
      </x:c>
      <x:c r="O365" s="62" t="n">
        <x:v>3.44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Gymnothorax unicolor</x:v>
      </x:c>
      <x:c r="T365" s="62" t="n">
        <x:f>IF(O365="","",(1/'Metadata'!$B$5)^(O365-1))</x:f>
        <x:v>1494.5594310916586</x:v>
      </x:c>
      <x:c r="U365" s="60" t="n">
        <x:f>IF(T365="","",I365*T365)</x:f>
        <x:v>15724.676689640351</x:v>
      </x:c>
    </x:row>
    <x:row r="366" ht="18" customHeight="1">
      <x:c r="A366" s="46" t="str">
        <x:v>LME_026</x:v>
      </x:c>
      <x:c r="B366" s="46" t="str">
        <x:v>Mediterranean Sea</x:v>
      </x:c>
      <x:c r="C366" s="46" t="str">
        <x:v>LME</x:v>
      </x:c>
      <x:c r="D366" s="58" t="n">
        <x:v>2019</x:v>
      </x:c>
      <x:c r="E366" s="46" t="str">
        <x:v>Arnoglossus kessleri</x:v>
      </x:c>
      <x:c r="F366" s="46" t="str">
        <x:v>Scaldback</x:v>
      </x:c>
      <x:c r="G366" s="46" t="str">
        <x:v>Small to medium flatfishes (&lt;90 cm)</x:v>
      </x:c>
      <x:c r="H366" s="46" t="str">
        <x:v>Flatfishes</x:v>
      </x:c>
      <x:c r="I366" s="60" t="n">
        <x:v>10.4320194851</x:v>
      </x:c>
      <x:c r="J366" s="60" t="n">
        <x:v>2.279351729</x:v>
      </x:c>
      <x:c r="K366" s="60" t="n">
        <x:v>8.1526677561</x:v>
      </x:c>
      <x:c r="L366" s="60" t="n">
        <x:v>0.6232954064999999</x:v>
      </x:c>
      <x:c r="M366" s="60" t="n">
        <x:v>9.8087240786</x:v>
      </x:c>
      <x:c r="N366" s="46" t="str">
        <x:v>arnoglossus kessleri</x:v>
      </x:c>
      <x:c r="O366" s="62" t="n">
        <x:v>4.05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Arnoglossus kessleri</x:v>
      </x:c>
      <x:c r="T366" s="62" t="n">
        <x:f>IF(O366="","",(1/'Metadata'!$B$5)^(O366-1))</x:f>
        <x:v>9292.690797132333</x:v>
      </x:c>
      <x:c r="U366" s="60" t="n">
        <x:f>IF(T366="","",I366*T366)</x:f>
        <x:v>96941.53146469394</x:v>
      </x:c>
    </x:row>
    <x:row r="367" ht="18" customHeight="1">
      <x:c r="A367" s="46" t="str">
        <x:v>LME_026</x:v>
      </x:c>
      <x:c r="B367" s="46" t="str">
        <x:v>Mediterranean Sea</x:v>
      </x:c>
      <x:c r="C367" s="46" t="str">
        <x:v>LME</x:v>
      </x:c>
      <x:c r="D367" s="58" t="n">
        <x:v>2019</x:v>
      </x:c>
      <x:c r="E367" s="46" t="str">
        <x:v>Squalus blainville</x:v>
      </x:c>
      <x:c r="F367" s="46" t="str">
        <x:v>Longnose spurdog</x:v>
      </x:c>
      <x:c r="G367" s="46" t="str">
        <x:v>Small to medium sharks (&lt;90 cm)</x:v>
      </x:c>
      <x:c r="H367" s="46" t="str">
        <x:v>Sharks &amp; rays</x:v>
      </x:c>
      <x:c r="I367" s="60" t="n">
        <x:v>10.3386751785</x:v>
      </x:c>
      <x:c r="J367" s="60" t="n">
        <x:v>9.9849274941</x:v>
      </x:c>
      <x:c r="K367" s="60" t="n">
        <x:v>0.3537476844</x:v>
      </x:c>
      <x:c r="L367" s="60" t="n">
        <x:v>9.8475863536</x:v>
      </x:c>
      <x:c r="M367" s="60" t="n">
        <x:v>0.4910888249</x:v>
      </x:c>
      <x:c r="N367" s="46" t="str">
        <x:v>squalus blainville</x:v>
      </x:c>
      <x:c r="O367" s="62" t="n">
        <x:v>3.97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Squalus blainville</x:v>
      </x:c>
      <x:c r="T367" s="62" t="n">
        <x:f>IF(O367="","",(1/'Metadata'!$B$5)^(O367-1))</x:f>
        <x:v>7312.385640086951</x:v>
      </x:c>
      <x:c r="U367" s="60" t="n">
        <x:f>IF(T367="","",I367*T367)</x:f>
        <x:v>75600.3799127868</x:v>
      </x:c>
    </x:row>
    <x:row r="368" ht="18" customHeight="1">
      <x:c r="A368" s="46" t="str">
        <x:v>LME_026</x:v>
      </x:c>
      <x:c r="B368" s="46" t="str">
        <x:v>Mediterranean Sea</x:v>
      </x:c>
      <x:c r="C368" s="46" t="str">
        <x:v>LME</x:v>
      </x:c>
      <x:c r="D368" s="58" t="n">
        <x:v>2019</x:v>
      </x:c>
      <x:c r="E368" s="46" t="str">
        <x:v>Benthosema glaciale</x:v>
      </x:c>
      <x:c r="F368" s="46" t="str">
        <x:v>Glacier lantern fish</x:v>
      </x:c>
      <x:c r="G368" s="46" t="str">
        <x:v>Small pelagics (&lt;30 cm)</x:v>
      </x:c>
      <x:c r="H368" s="46" t="str">
        <x:v>Other fishes &amp; inverts</x:v>
      </x:c>
      <x:c r="I368" s="60" t="n">
        <x:v>10.2448408226</x:v>
      </x:c>
      <x:c r="J368" s="60" t="n">
        <x:v>0</x:v>
      </x:c>
      <x:c r="K368" s="60" t="n">
        <x:v>10.2448408226</x:v>
      </x:c>
      <x:c r="L368" s="60" t="n">
        <x:v>0</x:v>
      </x:c>
      <x:c r="M368" s="60" t="n">
        <x:v>10.2448408226</x:v>
      </x:c>
      <x:c r="N368" s="46" t="str">
        <x:v>benthosema glaciale</x:v>
      </x:c>
      <x:c r="O368" s="62" t="n">
        <x:v>2.99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Benthosema glaciale</x:v>
      </x:c>
      <x:c r="T368" s="62" t="n">
        <x:f>IF(O368="","",(1/'Metadata'!$B$5)^(O368-1))</x:f>
        <x:v>388.19478015718425</x:v>
      </x:c>
      <x:c r="U368" s="60" t="n">
        <x:f>IF(T368="","",I368*T368)</x:f>
        <x:v>3976.993730874554</x:v>
      </x:c>
    </x:row>
    <x:row r="369" ht="18" customHeight="1">
      <x:c r="A369" s="46" t="str">
        <x:v>LME_026</x:v>
      </x:c>
      <x:c r="B369" s="46" t="str">
        <x:v>Mediterranean Sea</x:v>
      </x:c>
      <x:c r="C369" s="46" t="str">
        <x:v>LME</x:v>
      </x:c>
      <x:c r="D369" s="58" t="n">
        <x:v>2019</x:v>
      </x:c>
      <x:c r="E369" s="46" t="str">
        <x:v>Umbrina ronchus</x:v>
      </x:c>
      <x:c r="F369" s="46" t="str">
        <x:v>Fusca drum</x:v>
      </x:c>
      <x:c r="G369" s="46" t="str">
        <x:v>Large demersals (&gt;=90 cm)</x:v>
      </x:c>
      <x:c r="H369" s="46" t="str">
        <x:v>Perch-likes</x:v>
      </x:c>
      <x:c r="I369" s="60" t="n">
        <x:v>10.0692204867</x:v>
      </x:c>
      <x:c r="J369" s="60" t="n">
        <x:v>9.277265866</x:v>
      </x:c>
      <x:c r="K369" s="60" t="n">
        <x:v>0.7919546207</x:v>
      </x:c>
      <x:c r="L369" s="60" t="n">
        <x:v>9.2226786912</x:v>
      </x:c>
      <x:c r="M369" s="60" t="n">
        <x:v>0.8465417955</x:v>
      </x:c>
      <x:c r="N369" s="46" t="str">
        <x:v>umbrina ronchus</x:v>
      </x:c>
      <x:c r="O369" s="62" t="n">
        <x:v>3.38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Umbrina ronchus</x:v>
      </x:c>
      <x:c r="T369" s="62" t="n">
        <x:f>IF(O369="","",(1/'Metadata'!$B$5)^(O369-1))</x:f>
        <x:v>1248.6806726928048</x:v>
      </x:c>
      <x:c r="U369" s="60" t="n">
        <x:f>IF(T369="","",I369*T369)</x:f>
        <x:v>12573.241010824728</x:v>
      </x:c>
    </x:row>
    <x:row r="370" ht="18" customHeight="1">
      <x:c r="A370" s="46" t="str">
        <x:v>LME_026</x:v>
      </x:c>
      <x:c r="B370" s="46" t="str">
        <x:v>Mediterranean Sea</x:v>
      </x:c>
      <x:c r="C370" s="46" t="str">
        <x:v>LME</x:v>
      </x:c>
      <x:c r="D370" s="58" t="n">
        <x:v>2019</x:v>
      </x:c>
      <x:c r="E370" s="46" t="str">
        <x:v>Ophichthus rufus</x:v>
      </x:c>
      <x:c r="F370" s="46" t="str">
        <x:v>Rufus snake-eel</x:v>
      </x:c>
      <x:c r="G370" s="46" t="str">
        <x:v>Medium demersals (30 - 89 cm)</x:v>
      </x:c>
      <x:c r="H370" s="46" t="str">
        <x:v>Other fishes &amp; inverts</x:v>
      </x:c>
      <x:c r="I370" s="60" t="n">
        <x:v>9.8789886124</x:v>
      </x:c>
      <x:c r="J370" s="60" t="n">
        <x:v>0</x:v>
      </x:c>
      <x:c r="K370" s="60" t="n">
        <x:v>9.8789886124</x:v>
      </x:c>
      <x:c r="L370" s="60" t="n">
        <x:v>0</x:v>
      </x:c>
      <x:c r="M370" s="60" t="n">
        <x:v>9.8789886124</x:v>
      </x:c>
      <x:c r="N370" s="46" t="str">
        <x:v>ophichthus rufus</x:v>
      </x:c>
      <x:c r="O370" s="62" t="n">
        <x:v>4.31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Ophichthus rufus</x:v>
      </x:c>
      <x:c r="T370" s="62" t="n">
        <x:f>IF(O370="","",(1/'Metadata'!$B$5)^(O370-1))</x:f>
        <x:v>20249.266010115305</x:v>
      </x:c>
      <x:c r="U370" s="60" t="n">
        <x:f>IF(T370="","",I370*T370)</x:f>
        <x:v>200042.26832338748</x:v>
      </x:c>
    </x:row>
    <x:row r="371" ht="18" customHeight="1">
      <x:c r="A371" s="46" t="str">
        <x:v>LME_026</x:v>
      </x:c>
      <x:c r="B371" s="46" t="str">
        <x:v>Mediterranean Sea</x:v>
      </x:c>
      <x:c r="C371" s="46" t="str">
        <x:v>LME</x:v>
      </x:c>
      <x:c r="D371" s="58" t="n">
        <x:v>2019</x:v>
      </x:c>
      <x:c r="E371" s="46" t="str">
        <x:v>Trichiuridae</x:v>
      </x:c>
      <x:c r="F371" s="46" t="str">
        <x:v>Cutlassfishes</x:v>
      </x:c>
      <x:c r="G371" s="46" t="str">
        <x:v>Large benthopelagics (&gt;=90 cm)</x:v>
      </x:c>
      <x:c r="H371" s="46" t="str">
        <x:v>Perch-likes</x:v>
      </x:c>
      <x:c r="I371" s="60" t="n">
        <x:v>9.6229093181</x:v>
      </x:c>
      <x:c r="J371" s="60" t="n">
        <x:v>9.6155561166</x:v>
      </x:c>
      <x:c r="K371" s="60" t="n">
        <x:v>0.0073532015</x:v>
      </x:c>
      <x:c r="L371" s="60" t="n">
        <x:v>0</x:v>
      </x:c>
      <x:c r="M371" s="60" t="n">
        <x:v>9.6229093181</x:v>
      </x:c>
      <x:c r="N371" s="46" t="str">
        <x:v>trichiuridae</x:v>
      </x:c>
      <x:c r="O371" s="62" t="n">
        <x:v>4.15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Trichiuridae</x:v>
      </x:c>
      <x:c r="T371" s="62" t="n">
        <x:f>IF(O371="","",(1/'Metadata'!$B$5)^(O371-1))</x:f>
        <x:v>12538.46830130465</x:v>
      </x:c>
      <x:c r="U371" s="60" t="n">
        <x:f>IF(T371="","",I371*T371)</x:f>
        <x:v>120656.543451326</x:v>
      </x:c>
    </x:row>
    <x:row r="372" ht="18" customHeight="1">
      <x:c r="A372" s="46" t="str">
        <x:v>LME_026</x:v>
      </x:c>
      <x:c r="B372" s="46" t="str">
        <x:v>Mediterranean Sea</x:v>
      </x:c>
      <x:c r="C372" s="46" t="str">
        <x:v>LME</x:v>
      </x:c>
      <x:c r="D372" s="58" t="n">
        <x:v>2019</x:v>
      </x:c>
      <x:c r="E372" s="46" t="str">
        <x:v>Nassarius mutabilis</x:v>
      </x:c>
      <x:c r="F372" s="46" t="str">
        <x:v>Changeable nassa</x:v>
      </x:c>
      <x:c r="G372" s="46" t="str">
        <x:v>Other demersal invertebrates</x:v>
      </x:c>
      <x:c r="H372" s="46" t="str">
        <x:v>Molluscs</x:v>
      </x:c>
      <x:c r="I372" s="60" t="n">
        <x:v>9.144013980599999</x:v>
      </x:c>
      <x:c r="J372" s="60" t="n">
        <x:v>8.2774082592</x:v>
      </x:c>
      <x:c r="K372" s="60" t="n">
        <x:v>0.8666057214</x:v>
      </x:c>
      <x:c r="L372" s="60" t="n">
        <x:v>8.2774082592</x:v>
      </x:c>
      <x:c r="M372" s="60" t="n">
        <x:v>0.8666057214</x:v>
      </x:c>
      <x:c r="N372" s="46" t="str">
        <x:v>nassarius mutabilis</x:v>
      </x:c>
      <x:c r="O372" s="62" t="n">
        <x:v>3.33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Nassarius mutabilis</x:v>
      </x:c>
      <x:c r="T372" s="62" t="n">
        <x:f>IF(O372="","",(1/'Metadata'!$B$5)^(O372-1))</x:f>
        <x:v>1074.9787762899762</x:v>
      </x:c>
      <x:c r="U372" s="60" t="n">
        <x:f>IF(T372="","",I372*T372)</x:f>
        <x:v>9829.62095924382</x:v>
      </x:c>
    </x:row>
    <x:row r="373" ht="18" customHeight="1">
      <x:c r="A373" s="46" t="str">
        <x:v>LME_026</x:v>
      </x:c>
      <x:c r="B373" s="46" t="str">
        <x:v>Mediterranean Sea</x:v>
      </x:c>
      <x:c r="C373" s="46" t="str">
        <x:v>LME</x:v>
      </x:c>
      <x:c r="D373" s="58" t="n">
        <x:v>2019</x:v>
      </x:c>
      <x:c r="E373" s="46" t="str">
        <x:v>Hexaplex trunculus</x:v>
      </x:c>
      <x:c r="F373" s="46" t="str">
        <x:v>Banded dye-murex</x:v>
      </x:c>
      <x:c r="G373" s="46" t="str">
        <x:v>Other demersal invertebrates</x:v>
      </x:c>
      <x:c r="H373" s="46" t="str">
        <x:v>Molluscs</x:v>
      </x:c>
      <x:c r="I373" s="60" t="n">
        <x:v>9.1075251584</x:v>
      </x:c>
      <x:c r="J373" s="60" t="n">
        <x:v>7.3601421016</x:v>
      </x:c>
      <x:c r="K373" s="60" t="n">
        <x:v>1.7473830568</x:v>
      </x:c>
      <x:c r="L373" s="60" t="n">
        <x:v>7.0859110568000006</x:v>
      </x:c>
      <x:c r="M373" s="60" t="n">
        <x:v>2.0216141016</x:v>
      </x:c>
      <x:c r="N373" s="46" t="str">
        <x:v>hexaplex trunculus</x:v>
      </x:c>
      <x:c r="O373" s="62" t="n">
        <x:v>3.48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Hexaplex trunculus</x:v>
      </x:c>
      <x:c r="T373" s="62" t="n">
        <x:f>IF(O373="","",(1/'Metadata'!$B$5)^(O373-1))</x:f>
        <x:v>1684.8234138858888</x:v>
      </x:c>
      <x:c r="U373" s="60" t="n">
        <x:f>IF(T373="","",I373*T373)</x:f>
        <x:v>15344.571629427108</x:v>
      </x:c>
    </x:row>
    <x:row r="374" ht="18" customHeight="1">
      <x:c r="A374" s="46" t="str">
        <x:v>LME_026</x:v>
      </x:c>
      <x:c r="B374" s="46" t="str">
        <x:v>Mediterranean Sea</x:v>
      </x:c>
      <x:c r="C374" s="46" t="str">
        <x:v>LME</x:v>
      </x:c>
      <x:c r="D374" s="58" t="n">
        <x:v>2019</x:v>
      </x:c>
      <x:c r="E374" s="46" t="str">
        <x:v>Aristeidae</x:v>
      </x:c>
      <x:c r="F374" s="46" t="str">
        <x:v>Aristeid shrimps</x:v>
      </x:c>
      <x:c r="G374" s="46" t="str">
        <x:v>Shrimps</x:v>
      </x:c>
      <x:c r="H374" s="46" t="str">
        <x:v>Crustaceans</x:v>
      </x:c>
      <x:c r="I374" s="60" t="n">
        <x:v>8.9419583271</x:v>
      </x:c>
      <x:c r="J374" s="60" t="n">
        <x:v>8.8220335581</x:v>
      </x:c>
      <x:c r="K374" s="60" t="n">
        <x:v>0.119924769</x:v>
      </x:c>
      <x:c r="L374" s="60" t="n">
        <x:v>2.6035190591</x:v>
      </x:c>
      <x:c r="M374" s="60" t="n">
        <x:v>6.338439268</x:v>
      </x:c>
      <x:c r="N374" s="46" t="str">
        <x:v>aristeidae</x:v>
      </x:c>
      <x:c r="O374" s="62" t="n">
        <x:v>3.47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Aristeidae</x:v>
      </x:c>
      <x:c r="T374" s="62" t="n">
        <x:f>IF(O374="","",(1/'Metadata'!$B$5)^(O374-1))</x:f>
        <x:v>1635.0991368927735</x:v>
      </x:c>
      <x:c r="U374" s="60" t="n">
        <x:f>IF(T374="","",I374*T374)</x:f>
        <x:v>14620.988342772358</x:v>
      </x:c>
    </x:row>
    <x:row r="375" ht="18" customHeight="1">
      <x:c r="A375" s="46" t="str">
        <x:v>LME_026</x:v>
      </x:c>
      <x:c r="B375" s="46" t="str">
        <x:v>Mediterranean Sea</x:v>
      </x:c>
      <x:c r="C375" s="46" t="str">
        <x:v>LME</x:v>
      </x:c>
      <x:c r="D375" s="58" t="n">
        <x:v>2019</x:v>
      </x:c>
      <x:c r="E375" s="46" t="str">
        <x:v>Myliobatis aquila</x:v>
      </x:c>
      <x:c r="F375" s="46" t="str">
        <x:v>Common eagle ray</x:v>
      </x:c>
      <x:c r="G375" s="46" t="str">
        <x:v>Large rays (&gt;=90 cm)</x:v>
      </x:c>
      <x:c r="H375" s="46" t="str">
        <x:v>Sharks &amp; rays</x:v>
      </x:c>
      <x:c r="I375" s="60" t="n">
        <x:v>8.8135985386</x:v>
      </x:c>
      <x:c r="J375" s="60" t="n">
        <x:v>7.6632215056</x:v>
      </x:c>
      <x:c r="K375" s="60" t="n">
        <x:v>1.150377033</x:v>
      </x:c>
      <x:c r="L375" s="60" t="n">
        <x:v>7.5273730962</x:v>
      </x:c>
      <x:c r="M375" s="60" t="n">
        <x:v>1.2862254424</x:v>
      </x:c>
      <x:c r="N375" s="46" t="str">
        <x:v>myliobatis aquila</x:v>
      </x:c>
      <x:c r="O375" s="62" t="n">
        <x:v>3.61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Myliobatis aquila</x:v>
      </x:c>
      <x:c r="T375" s="62" t="n">
        <x:f>IF(O375="","",(1/'Metadata'!$B$5)^(O375-1))</x:f>
        <x:v>2487.0716021897506</x:v>
      </x:c>
      <x:c r="U375" s="60" t="n">
        <x:f>IF(T375="","",I375*T375)</x:f>
        <x:v>21920.050638453147</x:v>
      </x:c>
    </x:row>
    <x:row r="376" ht="18" customHeight="1">
      <x:c r="A376" s="46" t="str">
        <x:v>LME_026</x:v>
      </x:c>
      <x:c r="B376" s="46" t="str">
        <x:v>Mediterranean Sea</x:v>
      </x:c>
      <x:c r="C376" s="46" t="str">
        <x:v>LME</x:v>
      </x:c>
      <x:c r="D376" s="58" t="n">
        <x:v>2019</x:v>
      </x:c>
      <x:c r="E376" s="46" t="str">
        <x:v>Trisopterus</x:v>
      </x:c>
      <x:c r="F376" s="46" t="str">
        <x:v>Pouts</x:v>
      </x:c>
      <x:c r="G376" s="46" t="str">
        <x:v>Medium benthopelagics (30 - 89 cm)</x:v>
      </x:c>
      <x:c r="H376" s="46" t="str">
        <x:v>Cod-likes</x:v>
      </x:c>
      <x:c r="I376" s="60" t="n">
        <x:v>8.8114489516</x:v>
      </x:c>
      <x:c r="J376" s="60" t="n">
        <x:v>5.3550624124</x:v>
      </x:c>
      <x:c r="K376" s="60" t="n">
        <x:v>3.4563865392</x:v>
      </x:c>
      <x:c r="L376" s="60" t="n">
        <x:v>4.6578065895</x:v>
      </x:c>
      <x:c r="M376" s="60" t="n">
        <x:v>4.1536423621</x:v>
      </x:c>
      <x:c r="N376" s="46" t="str">
        <x:v>trisopterus</x:v>
      </x:c>
      <x:c r="O376" s="62" t="n">
        <x:v>3.57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Trisopterus</x:v>
      </x:c>
      <x:c r="T376" s="62" t="n">
        <x:f>IF(O376="","",(1/'Metadata'!$B$5)^(O376-1))</x:f>
        <x:v>2206.2112196552644</x:v>
      </x:c>
      <x:c r="U376" s="60" t="n">
        <x:f>IF(T376="","",I376*T376)</x:f>
        <x:v>19439.917538439535</x:v>
      </x:c>
    </x:row>
    <x:row r="377" ht="18" customHeight="1">
      <x:c r="A377" s="46" t="str">
        <x:v>LME_026</x:v>
      </x:c>
      <x:c r="B377" s="46" t="str">
        <x:v>Mediterranean Sea</x:v>
      </x:c>
      <x:c r="C377" s="46" t="str">
        <x:v>LME</x:v>
      </x:c>
      <x:c r="D377" s="58" t="n">
        <x:v>2019</x:v>
      </x:c>
      <x:c r="E377" s="46" t="str">
        <x:v>Pseudaphya ferreri</x:v>
      </x:c>
      <x:c r="F377" s="46" t="str">
        <x:v>Ferrer's goby</x:v>
      </x:c>
      <x:c r="G377" s="46" t="str">
        <x:v>Small benthopelagics (&lt;30 cm)</x:v>
      </x:c>
      <x:c r="H377" s="46" t="str">
        <x:v>Perch-likes</x:v>
      </x:c>
      <x:c r="I377" s="60" t="n">
        <x:v>8.7662617638</x:v>
      </x:c>
      <x:c r="J377" s="60" t="n">
        <x:v>6.7473760954</x:v>
      </x:c>
      <x:c r="K377" s="60" t="n">
        <x:v>2.0188856684</x:v>
      </x:c>
      <x:c r="L377" s="60" t="n">
        <x:v>5.8125156677</x:v>
      </x:c>
      <x:c r="M377" s="60" t="n">
        <x:v>2.9537460960999997</x:v>
      </x:c>
      <x:c r="N377" s="46" t="str">
        <x:v>pseudaphya ferreri</x:v>
      </x:c>
      <x:c r="O377" s="62" t="n">
        <x:v>3.1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Pseudaphya ferreri</x:v>
      </x:c>
      <x:c r="T377" s="62" t="n">
        <x:f>IF(O377="","",(1/'Metadata'!$B$5)^(O377-1))</x:f>
        <x:v>539.7131390694254</x:v>
      </x:c>
      <x:c r="U377" s="60" t="n">
        <x:f>IF(T377="","",I377*T377)</x:f>
        <x:v>4731.266654444776</x:v>
      </x:c>
    </x:row>
    <x:row r="378" ht="18" customHeight="1">
      <x:c r="A378" s="46" t="str">
        <x:v>LME_026</x:v>
      </x:c>
      <x:c r="B378" s="46" t="str">
        <x:v>Mediterranean Sea</x:v>
      </x:c>
      <x:c r="C378" s="46" t="str">
        <x:v>LME</x:v>
      </x:c>
      <x:c r="D378" s="58" t="n">
        <x:v>2019</x:v>
      </x:c>
      <x:c r="E378" s="46" t="str">
        <x:v>Muraenidae</x:v>
      </x:c>
      <x:c r="F378" s="46" t="str">
        <x:v>Moray eels</x:v>
      </x:c>
      <x:c r="G378" s="46" t="str">
        <x:v>Large reef assoc. fish (&gt;=90 cm)</x:v>
      </x:c>
      <x:c r="H378" s="46" t="str">
        <x:v>Other fishes &amp; inverts</x:v>
      </x:c>
      <x:c r="I378" s="60" t="n">
        <x:v>8.5824949807</x:v>
      </x:c>
      <x:c r="J378" s="60" t="n">
        <x:v>3.8298196892000003</x:v>
      </x:c>
      <x:c r="K378" s="60" t="n">
        <x:v>4.7526752915</x:v>
      </x:c>
      <x:c r="L378" s="60" t="n">
        <x:v>2.2107184074</x:v>
      </x:c>
      <x:c r="M378" s="60" t="n">
        <x:v>6.3717765733</x:v>
      </x:c>
      <x:c r="N378" s="46" t="str">
        <x:v>muraenidae</x:v>
      </x:c>
      <x:c r="O378" s="62" t="n">
        <x:v>4.07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Muraenidae</x:v>
      </x:c>
      <x:c r="T378" s="62" t="n">
        <x:f>IF(O378="","",(1/'Metadata'!$B$5)^(O378-1))</x:f>
        <x:v>9866.476519743796</x:v>
      </x:c>
      <x:c r="U378" s="60" t="n">
        <x:f>IF(T378="","",I378*T378)</x:f>
        <x:v>84678.98520789553</x:v>
      </x:c>
    </x:row>
    <x:row r="379" ht="18" customHeight="1">
      <x:c r="A379" s="46" t="str">
        <x:v>LME_026</x:v>
      </x:c>
      <x:c r="B379" s="46" t="str">
        <x:v>Mediterranean Sea</x:v>
      </x:c>
      <x:c r="C379" s="46" t="str">
        <x:v>LME</x:v>
      </x:c>
      <x:c r="D379" s="58" t="n">
        <x:v>2019</x:v>
      </x:c>
      <x:c r="E379" s="46" t="str">
        <x:v>Epigonus telescopus</x:v>
      </x:c>
      <x:c r="F379" s="46" t="str">
        <x:v>Black cardinal fish</x:v>
      </x:c>
      <x:c r="G379" s="46" t="str">
        <x:v>Medium bathydemersals (30 - 89 cm)</x:v>
      </x:c>
      <x:c r="H379" s="46" t="str">
        <x:v>Perch-likes</x:v>
      </x:c>
      <x:c r="I379" s="60" t="n">
        <x:v>8.1558526913</x:v>
      </x:c>
      <x:c r="J379" s="60" t="n">
        <x:v>0</x:v>
      </x:c>
      <x:c r="K379" s="60" t="n">
        <x:v>8.1558526913</x:v>
      </x:c>
      <x:c r="L379" s="60" t="n">
        <x:v>0</x:v>
      </x:c>
      <x:c r="M379" s="60" t="n">
        <x:v>8.1558526913</x:v>
      </x:c>
      <x:c r="N379" s="46" t="str">
        <x:v>epigonus telescopus</x:v>
      </x:c>
      <x:c r="O379" s="62" t="n">
        <x:v>3.59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Epigonus telescopus</x:v>
      </x:c>
      <x:c r="T379" s="62" t="n">
        <x:f>IF(O379="","",(1/'Metadata'!$B$5)^(O379-1))</x:f>
        <x:v>2342.4357563948306</x:v>
      </x:c>
      <x:c r="U379" s="60" t="n">
        <x:f>IF(T379="","",I379*T379)</x:f>
        <x:v>19104.560967990128</x:v>
      </x:c>
    </x:row>
    <x:row r="380" ht="18" customHeight="1">
      <x:c r="A380" s="46" t="str">
        <x:v>LME_026</x:v>
      </x:c>
      <x:c r="B380" s="46" t="str">
        <x:v>Mediterranean Sea</x:v>
      </x:c>
      <x:c r="C380" s="46" t="str">
        <x:v>LME</x:v>
      </x:c>
      <x:c r="D380" s="58" t="n">
        <x:v>2019</x:v>
      </x:c>
      <x:c r="E380" s="46" t="str">
        <x:v>Echinorhinus brucus</x:v>
      </x:c>
      <x:c r="F380" s="46" t="str">
        <x:v>Bramble shark</x:v>
      </x:c>
      <x:c r="G380" s="46" t="str">
        <x:v>Large sharks (&gt;=90 cm)</x:v>
      </x:c>
      <x:c r="H380" s="46" t="str">
        <x:v>Sharks &amp; rays</x:v>
      </x:c>
      <x:c r="I380" s="60" t="n">
        <x:v>7.922652015</x:v>
      </x:c>
      <x:c r="J380" s="60" t="n">
        <x:v>7.922652015</x:v>
      </x:c>
      <x:c r="K380" s="60" t="n">
        <x:v>0</x:v>
      </x:c>
      <x:c r="L380" s="60" t="n">
        <x:v>6.6867850752999995</x:v>
      </x:c>
      <x:c r="M380" s="60" t="n">
        <x:v>1.2358669397</x:v>
      </x:c>
      <x:c r="N380" s="46" t="str">
        <x:v>echinorhinus brucus</x:v>
      </x:c>
      <x:c r="O380" s="62" t="n">
        <x:v>4.38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Echinorhinus brucus</x:v>
      </x:c>
      <x:c r="T380" s="62" t="n">
        <x:f>IF(O380="","",(1/'Metadata'!$B$5)^(O380-1))</x:f>
        <x:v>24973.6134538561</x:v>
      </x:c>
      <x:c r="U380" s="60" t="n">
        <x:f>IF(T380="","",I380*T380)</x:f>
        <x:v>197857.24895202412</x:v>
      </x:c>
    </x:row>
    <x:row r="381" ht="18" customHeight="1">
      <x:c r="A381" s="46" t="str">
        <x:v>LME_026</x:v>
      </x:c>
      <x:c r="B381" s="46" t="str">
        <x:v>Mediterranean Sea</x:v>
      </x:c>
      <x:c r="C381" s="46" t="str">
        <x:v>LME</x:v>
      </x:c>
      <x:c r="D381" s="58" t="n">
        <x:v>2019</x:v>
      </x:c>
      <x:c r="E381" s="46" t="str">
        <x:v>Dasyatis pastinaca</x:v>
      </x:c>
      <x:c r="F381" s="46" t="str">
        <x:v>Common stingray</x:v>
      </x:c>
      <x:c r="G381" s="46" t="str">
        <x:v>Large rays (&gt;=90 cm)</x:v>
      </x:c>
      <x:c r="H381" s="46" t="str">
        <x:v>Sharks &amp; rays</x:v>
      </x:c>
      <x:c r="I381" s="60" t="n">
        <x:v>7.5615989724</x:v>
      </x:c>
      <x:c r="J381" s="60" t="n">
        <x:v>3.6522614141</x:v>
      </x:c>
      <x:c r="K381" s="60" t="n">
        <x:v>3.9093375583</x:v>
      </x:c>
      <x:c r="L381" s="60" t="n">
        <x:v>3.3423257722999997</x:v>
      </x:c>
      <x:c r="M381" s="60" t="n">
        <x:v>4.2192732001</x:v>
      </x:c>
      <x:c r="N381" s="46" t="str">
        <x:v>dasyatis pastinaca</x:v>
      </x:c>
      <x:c r="O381" s="62" t="n">
        <x:v>4.05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Dasyatis pastinaca</x:v>
      </x:c>
      <x:c r="T381" s="62" t="n">
        <x:f>IF(O381="","",(1/'Metadata'!$B$5)^(O381-1))</x:f>
        <x:v>9292.690797132333</x:v>
      </x:c>
      <x:c r="U381" s="60" t="n">
        <x:f>IF(T381="","",I381*T381)</x:f>
        <x:v>70267.60118242678</x:v>
      </x:c>
    </x:row>
    <x:row r="382" ht="18" customHeight="1">
      <x:c r="A382" s="46" t="str">
        <x:v>LME_026</x:v>
      </x:c>
      <x:c r="B382" s="46" t="str">
        <x:v>Mediterranean Sea</x:v>
      </x:c>
      <x:c r="C382" s="46" t="str">
        <x:v>LME</x:v>
      </x:c>
      <x:c r="D382" s="58" t="n">
        <x:v>2019</x:v>
      </x:c>
      <x:c r="E382" s="46" t="str">
        <x:v>Bothidae</x:v>
      </x:c>
      <x:c r="F382" s="46" t="str">
        <x:v>Lefteye flounders</x:v>
      </x:c>
      <x:c r="G382" s="46" t="str">
        <x:v>Small to medium flatfishes (&lt;90 cm)</x:v>
      </x:c>
      <x:c r="H382" s="46" t="str">
        <x:v>Flatfishes</x:v>
      </x:c>
      <x:c r="I382" s="60" t="n">
        <x:v>7.216025391800001</x:v>
      </x:c>
      <x:c r="J382" s="60" t="n">
        <x:v>0.3047924005</x:v>
      </x:c>
      <x:c r="K382" s="60" t="n">
        <x:v>6.9112329913</x:v>
      </x:c>
      <x:c r="L382" s="60" t="n">
        <x:v>0.29336388</x:v>
      </x:c>
      <x:c r="M382" s="60" t="n">
        <x:v>6.9226615118</x:v>
      </x:c>
      <x:c r="N382" s="46" t="str">
        <x:v>bothidae</x:v>
      </x:c>
      <x:c r="O382" s="62" t="n">
        <x:v>3.77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Bothidae</x:v>
      </x:c>
      <x:c r="T382" s="62" t="n">
        <x:f>IF(O382="","",(1/'Metadata'!$B$5)^(O382-1))</x:f>
        <x:v>4016.549170818885</x:v>
      </x:c>
      <x:c r="U382" s="60" t="n">
        <x:f>IF(T382="","",I382*T382)</x:f>
        <x:v>28983.520804042313</x:v>
      </x:c>
    </x:row>
    <x:row r="383" ht="18" customHeight="1">
      <x:c r="A383" s="46" t="str">
        <x:v>LME_026</x:v>
      </x:c>
      <x:c r="B383" s="46" t="str">
        <x:v>Mediterranean Sea</x:v>
      </x:c>
      <x:c r="C383" s="46" t="str">
        <x:v>LME</x:v>
      </x:c>
      <x:c r="D383" s="58" t="n">
        <x:v>2019</x:v>
      </x:c>
      <x:c r="E383" s="46" t="str">
        <x:v>Makaira nigricans</x:v>
      </x:c>
      <x:c r="F383" s="46" t="str">
        <x:v>Blue marlin</x:v>
      </x:c>
      <x:c r="G383" s="46" t="str">
        <x:v>Large pelagics (&gt;=90 cm)</x:v>
      </x:c>
      <x:c r="H383" s="46" t="str">
        <x:v>Tuna &amp; billfishes</x:v>
      </x:c>
      <x:c r="I383" s="60" t="n">
        <x:v>6.4169273068</x:v>
      </x:c>
      <x:c r="J383" s="60" t="n">
        <x:v>6.4169273068</x:v>
      </x:c>
      <x:c r="K383" s="60" t="n">
        <x:v>0</x:v>
      </x:c>
      <x:c r="L383" s="60" t="n">
        <x:v>6.4169273068</x:v>
      </x:c>
      <x:c r="M383" s="60" t="n">
        <x:v>0</x:v>
      </x:c>
      <x:c r="N383" s="46" t="str">
        <x:v>makaira nigricans</x:v>
      </x:c>
      <x:c r="O383" s="62" t="n">
        <x:v>4.49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Makaira nigricans</x:v>
      </x:c>
      <x:c r="T383" s="62" t="n">
        <x:f>IF(O383="","",(1/'Metadata'!$B$5)^(O383-1))</x:f>
        <x:v>34721.19667768202</x:v>
      </x:c>
      <x:c r="U383" s="60" t="n">
        <x:f>IF(T383="","",I383*T383)</x:f>
        <x:v>222803.39508579118</x:v>
      </x:c>
    </x:row>
    <x:row r="384" ht="18" customHeight="1">
      <x:c r="A384" s="46" t="str">
        <x:v>LME_026</x:v>
      </x:c>
      <x:c r="B384" s="46" t="str">
        <x:v>Mediterranean Sea</x:v>
      </x:c>
      <x:c r="C384" s="46" t="str">
        <x:v>LME</x:v>
      </x:c>
      <x:c r="D384" s="58" t="n">
        <x:v>2019</x:v>
      </x:c>
      <x:c r="E384" s="46" t="str">
        <x:v>Belonidae</x:v>
      </x:c>
      <x:c r="F384" s="46" t="str">
        <x:v>Needlefishes, garfishes</x:v>
      </x:c>
      <x:c r="G384" s="46" t="str">
        <x:v>Medium pelagics (30 - 89 cm)</x:v>
      </x:c>
      <x:c r="H384" s="46" t="str">
        <x:v>Other fishes &amp; inverts</x:v>
      </x:c>
      <x:c r="I384" s="60" t="n">
        <x:v>6.3331295528</x:v>
      </x:c>
      <x:c r="J384" s="60" t="n">
        <x:v>0.7493218888</x:v>
      </x:c>
      <x:c r="K384" s="60" t="n">
        <x:v>5.583807664</x:v>
      </x:c>
      <x:c r="L384" s="60" t="n">
        <x:v>0</x:v>
      </x:c>
      <x:c r="M384" s="60" t="n">
        <x:v>6.3331295528</x:v>
      </x:c>
      <x:c r="N384" s="46" t="str">
        <x:v>belonidae</x:v>
      </x:c>
      <x:c r="O384" s="62" t="n">
        <x:v>4.38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Belonidae</x:v>
      </x:c>
      <x:c r="T384" s="62" t="n">
        <x:f>IF(O384="","",(1/'Metadata'!$B$5)^(O384-1))</x:f>
        <x:v>24973.6134538561</x:v>
      </x:c>
      <x:c r="U384" s="60" t="n">
        <x:f>IF(T384="","",I384*T384)</x:f>
        <x:v>158161.12940481975</x:v>
      </x:c>
    </x:row>
    <x:row r="385" ht="18" customHeight="1">
      <x:c r="A385" s="46" t="str">
        <x:v>LME_026</x:v>
      </x:c>
      <x:c r="B385" s="46" t="str">
        <x:v>Mediterranean Sea</x:v>
      </x:c>
      <x:c r="C385" s="46" t="str">
        <x:v>LME</x:v>
      </x:c>
      <x:c r="D385" s="58" t="n">
        <x:v>2019</x:v>
      </x:c>
      <x:c r="E385" s="46" t="str">
        <x:v>Parastichopus regalis</x:v>
      </x:c>
      <x:c r="F385" s="46" t="str">
        <x:v>Royal cucumber</x:v>
      </x:c>
      <x:c r="G385" s="46" t="str">
        <x:v>Other demersal invertebrates</x:v>
      </x:c>
      <x:c r="H385" s="46" t="str">
        <x:v>Other fishes &amp; inverts</x:v>
      </x:c>
      <x:c r="I385" s="60" t="n">
        <x:v>6.297139789</x:v>
      </x:c>
      <x:c r="J385" s="60" t="n">
        <x:v>4.7527071575</x:v>
      </x:c>
      <x:c r="K385" s="60" t="n">
        <x:v>1.5444326315</x:v>
      </x:c>
      <x:c r="L385" s="60" t="n">
        <x:v>4.455949501599999</x:v>
      </x:c>
      <x:c r="M385" s="60" t="n">
        <x:v>1.8411902874000001</x:v>
      </x:c>
      <x:c r="N385" s="46" t="str">
        <x:v>parastichopus regalis</x:v>
      </x:c>
      <x:c r="O385" s="62" t="n">
        <x:v>2.3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Parastichopus regalis</x:v>
      </x:c>
      <x:c r="T385" s="62" t="n">
        <x:f>IF(O385="","",(1/'Metadata'!$B$5)^(O385-1))</x:f>
        <x:v>49.12912104463159</x:v>
      </x:c>
      <x:c r="U385" s="60" t="n">
        <x:f>IF(T385="","",I385*T385)</x:f>
        <x:v>309.37294292874685</x:v>
      </x:c>
    </x:row>
    <x:row r="386" ht="18" customHeight="1">
      <x:c r="A386" s="46" t="str">
        <x:v>LME_026</x:v>
      </x:c>
      <x:c r="B386" s="46" t="str">
        <x:v>Mediterranean Sea</x:v>
      </x:c>
      <x:c r="C386" s="46" t="str">
        <x:v>LME</x:v>
      </x:c>
      <x:c r="D386" s="58" t="n">
        <x:v>2019</x:v>
      </x:c>
      <x:c r="E386" s="46" t="str">
        <x:v>Campogramma glaycos</x:v>
      </x:c>
      <x:c r="F386" s="46" t="str">
        <x:v>Vadigo</x:v>
      </x:c>
      <x:c r="G386" s="46" t="str">
        <x:v>Medium benthopelagics (30 - 89 cm)</x:v>
      </x:c>
      <x:c r="H386" s="46" t="str">
        <x:v>Perch-likes</x:v>
      </x:c>
      <x:c r="I386" s="60" t="n">
        <x:v>5.2974542478</x:v>
      </x:c>
      <x:c r="J386" s="60" t="n">
        <x:v>5.1845634015</x:v>
      </x:c>
      <x:c r="K386" s="60" t="n">
        <x:v>0.1128908463</x:v>
      </x:c>
      <x:c r="L386" s="60" t="n">
        <x:v>5.1561429036</x:v>
      </x:c>
      <x:c r="M386" s="60" t="n">
        <x:v>0.1413113442</x:v>
      </x:c>
      <x:c r="N386" s="46" t="str">
        <x:v>campogramma glaycos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Campogramma glaycos</x:v>
      </x:c>
      <x:c r="T386" s="62" t="n">
        <x:f>IF(O386="","",(1/'Metadata'!$B$5)^(O386-1))</x:f>
        <x:v>35777.08763999664</x:v>
      </x:c>
      <x:c r="U386" s="60" t="n">
        <x:f>IF(T386="","",I386*T386)</x:f>
        <x:v>189527.48489241308</x:v>
      </x:c>
    </x:row>
    <x:row r="387" ht="18" customHeight="1">
      <x:c r="A387" s="46" t="str">
        <x:v>LME_026</x:v>
      </x:c>
      <x:c r="B387" s="46" t="str">
        <x:v>Mediterranean Sea</x:v>
      </x:c>
      <x:c r="C387" s="46" t="str">
        <x:v>LME</x:v>
      </x:c>
      <x:c r="D387" s="58" t="n">
        <x:v>2019</x:v>
      </x:c>
      <x:c r="E387" s="46" t="str">
        <x:v>Scyris alexandrina</x:v>
      </x:c>
      <x:c r="F387" s="46" t="str">
        <x:v>Alexandria pompano</x:v>
      </x:c>
      <x:c r="G387" s="46" t="str">
        <x:v>Medium pelagics (30 - 89 cm)</x:v>
      </x:c>
      <x:c r="H387" s="46" t="str">
        <x:v>Perch-likes</x:v>
      </x:c>
      <x:c r="I387" s="60" t="n">
        <x:v>5.1346752648</x:v>
      </x:c>
      <x:c r="J387" s="60" t="n">
        <x:v>4.873598115</x:v>
      </x:c>
      <x:c r="K387" s="60" t="n">
        <x:v>0.2610771498</x:v>
      </x:c>
      <x:c r="L387" s="60" t="n">
        <x:v>4.5756039919000004</x:v>
      </x:c>
      <x:c r="M387" s="60" t="n">
        <x:v>0.5590712729</x:v>
      </x:c>
      <x:c r="N387" s="46" t="str">
        <x:v>scyris alexandrina</x:v>
      </x:c>
      <x:c r="O387" s="62" t="n">
        <x:v>3.6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Scyris alexandrina</x:v>
      </x:c>
      <x:c r="T387" s="62" t="n">
        <x:f>IF(O387="","",(1/'Metadata'!$B$5)^(O387-1))</x:f>
        <x:v>2413.670534618066</x:v>
      </x:c>
      <x:c r="U387" s="60" t="n">
        <x:f>IF(T387="","",I387*T387)</x:f>
        <x:v>12393.414391479977</x:v>
      </x:c>
    </x:row>
    <x:row r="388" ht="18" customHeight="1">
      <x:c r="A388" s="46" t="str">
        <x:v>LME_026</x:v>
      </x:c>
      <x:c r="B388" s="46" t="str">
        <x:v>Mediterranean Sea</x:v>
      </x:c>
      <x:c r="C388" s="46" t="str">
        <x:v>LME</x:v>
      </x:c>
      <x:c r="D388" s="58" t="n">
        <x:v>2019</x:v>
      </x:c>
      <x:c r="E388" s="46" t="str">
        <x:v>Ruvettus pretiosus</x:v>
      </x:c>
      <x:c r="F388" s="46" t="str">
        <x:v>Oilfish</x:v>
      </x:c>
      <x:c r="G388" s="46" t="str">
        <x:v>Large benthopelagics (&gt;=90 cm)</x:v>
      </x:c>
      <x:c r="H388" s="46" t="str">
        <x:v>Perch-likes</x:v>
      </x:c>
      <x:c r="I388" s="60" t="n">
        <x:v>5.0204119567</x:v>
      </x:c>
      <x:c r="J388" s="60" t="n">
        <x:v>5.0204119567</x:v>
      </x:c>
      <x:c r="K388" s="60" t="n">
        <x:v>0</x:v>
      </x:c>
      <x:c r="L388" s="60" t="n">
        <x:v>4.6192579145</x:v>
      </x:c>
      <x:c r="M388" s="60" t="n">
        <x:v>0.4011540422</x:v>
      </x:c>
      <x:c r="N388" s="46" t="str">
        <x:v>ruvettus pretiosus</x:v>
      </x:c>
      <x:c r="O388" s="62" t="n">
        <x:v>4.18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Ruvettus pretiosus</x:v>
      </x:c>
      <x:c r="T388" s="62" t="n">
        <x:f>IF(O388="","",(1/'Metadata'!$B$5)^(O388-1))</x:f>
        <x:v>13717.513182092556</x:v>
      </x:c>
      <x:c r="U388" s="60" t="n">
        <x:f>IF(T388="","",I388*T388)</x:f>
        <x:v>68867.56719556733</x:v>
      </x:c>
    </x:row>
    <x:row r="389" ht="18" customHeight="1">
      <x:c r="A389" s="46" t="str">
        <x:v>LME_026</x:v>
      </x:c>
      <x:c r="B389" s="46" t="str">
        <x:v>Mediterranean Sea</x:v>
      </x:c>
      <x:c r="C389" s="46" t="str">
        <x:v>LME</x:v>
      </x:c>
      <x:c r="D389" s="58" t="n">
        <x:v>2019</x:v>
      </x:c>
      <x:c r="E389" s="46" t="str">
        <x:v>Molva macrophthalma</x:v>
      </x:c>
      <x:c r="F389" s="46" t="str">
        <x:v>Spanish ling</x:v>
      </x:c>
      <x:c r="G389" s="46" t="str">
        <x:v>Medium demersals (30 - 89 cm)</x:v>
      </x:c>
      <x:c r="H389" s="46" t="str">
        <x:v>Cod-likes</x:v>
      </x:c>
      <x:c r="I389" s="60" t="n">
        <x:v>4.9687443037</x:v>
      </x:c>
      <x:c r="J389" s="60" t="n">
        <x:v>0</x:v>
      </x:c>
      <x:c r="K389" s="60" t="n">
        <x:v>4.9687443037</x:v>
      </x:c>
      <x:c r="L389" s="60" t="n">
        <x:v>0</x:v>
      </x:c>
      <x:c r="M389" s="60" t="n">
        <x:v>4.9687443037</x:v>
      </x:c>
      <x:c r="N389" s="46" t="str">
        <x:v>molva macrophthalma</x:v>
      </x:c>
      <x:c r="O389" s="62" t="n">
        <x:v>4.5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Molva macrophthalma</x:v>
      </x:c>
      <x:c r="T389" s="62" t="n">
        <x:f>IF(O389="","",(1/'Metadata'!$B$5)^(O389-1))</x:f>
        <x:v>35777.08763999664</x:v>
      </x:c>
      <x:c r="U389" s="60" t="n">
        <x:f>IF(T389="","",I389*T389)</x:f>
        <x:v>177767.200414209</x:v>
      </x:c>
    </x:row>
    <x:row r="390" ht="18" customHeight="1">
      <x:c r="A390" s="46" t="str">
        <x:v>LME_026</x:v>
      </x:c>
      <x:c r="B390" s="46" t="str">
        <x:v>Mediterranean Sea</x:v>
      </x:c>
      <x:c r="C390" s="46" t="str">
        <x:v>LME</x:v>
      </x:c>
      <x:c r="D390" s="58" t="n">
        <x:v>2019</x:v>
      </x:c>
      <x:c r="E390" s="46" t="str">
        <x:v>Diplodus cervinus</x:v>
      </x:c>
      <x:c r="F390" s="46" t="str">
        <x:v>Zebra seabream</x:v>
      </x:c>
      <x:c r="G390" s="46" t="str">
        <x:v>Medium benthopelagics (30 - 89 cm)</x:v>
      </x:c>
      <x:c r="H390" s="46" t="str">
        <x:v>Perch-likes</x:v>
      </x:c>
      <x:c r="I390" s="60" t="n">
        <x:v>4.9494416469</x:v>
      </x:c>
      <x:c r="J390" s="60" t="n">
        <x:v>4.506374165</x:v>
      </x:c>
      <x:c r="K390" s="60" t="n">
        <x:v>0.44306748189999995</x:v>
      </x:c>
      <x:c r="L390" s="60" t="n">
        <x:v>4.1374484448</x:v>
      </x:c>
      <x:c r="M390" s="60" t="n">
        <x:v>0.8119932021</x:v>
      </x:c>
      <x:c r="N390" s="46" t="str">
        <x:v>diplodus cervinus</x:v>
      </x:c>
      <x:c r="O390" s="62" t="n">
        <x:v>2.99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Diplodus cervinus</x:v>
      </x:c>
      <x:c r="T390" s="62" t="n">
        <x:f>IF(O390="","",(1/'Metadata'!$B$5)^(O390-1))</x:f>
        <x:v>388.19478015718425</x:v>
      </x:c>
      <x:c r="U390" s="60" t="n">
        <x:f>IF(T390="","",I390*T390)</x:f>
        <x:v>1921.3474120191577</x:v>
      </x:c>
    </x:row>
    <x:row r="391" ht="18" customHeight="1">
      <x:c r="A391" s="46" t="str">
        <x:v>LME_026</x:v>
      </x:c>
      <x:c r="B391" s="46" t="str">
        <x:v>Mediterranean Sea</x:v>
      </x:c>
      <x:c r="C391" s="46" t="str">
        <x:v>LME</x:v>
      </x:c>
      <x:c r="D391" s="58" t="n">
        <x:v>2019</x:v>
      </x:c>
      <x:c r="E391" s="46" t="str">
        <x:v>Synodus saurus</x:v>
      </x:c>
      <x:c r="F391" s="46" t="str">
        <x:v>Atlantic lizardfish</x:v>
      </x:c>
      <x:c r="G391" s="46" t="str">
        <x:v>Medium demersals (30 - 89 cm)</x:v>
      </x:c>
      <x:c r="H391" s="46" t="str">
        <x:v>Other fishes &amp; inverts</x:v>
      </x:c>
      <x:c r="I391" s="60" t="n">
        <x:v>4.7074694613</x:v>
      </x:c>
      <x:c r="J391" s="60" t="n">
        <x:v>0</x:v>
      </x:c>
      <x:c r="K391" s="60" t="n">
        <x:v>4.7074694613</x:v>
      </x:c>
      <x:c r="L391" s="60" t="n">
        <x:v>0</x:v>
      </x:c>
      <x:c r="M391" s="60" t="n">
        <x:v>4.7074694613</x:v>
      </x:c>
      <x:c r="N391" s="46" t="str">
        <x:v>synodus saurus</x:v>
      </x:c>
      <x:c r="O391" s="62" t="n">
        <x:v>4.49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Synodus saurus</x:v>
      </x:c>
      <x:c r="T391" s="62" t="n">
        <x:f>IF(O391="","",(1/'Metadata'!$B$5)^(O391-1))</x:f>
        <x:v>34721.19667768202</x:v>
      </x:c>
      <x:c r="U391" s="60" t="n">
        <x:f>IF(T391="","",I391*T391)</x:f>
        <x:v>163448.9730199791</x:v>
      </x:c>
    </x:row>
    <x:row r="392" ht="18" customHeight="1">
      <x:c r="A392" s="46" t="str">
        <x:v>LME_026</x:v>
      </x:c>
      <x:c r="B392" s="46" t="str">
        <x:v>Mediterranean Sea</x:v>
      </x:c>
      <x:c r="C392" s="46" t="str">
        <x:v>LME</x:v>
      </x:c>
      <x:c r="D392" s="58" t="n">
        <x:v>2019</x:v>
      </x:c>
      <x:c r="E392" s="46" t="str">
        <x:v>Solenoceridae</x:v>
      </x:c>
      <x:c r="F392" s="46" t="str">
        <x:v>Solenocerid shrimps</x:v>
      </x:c>
      <x:c r="G392" s="46" t="str">
        <x:v>Shrimps</x:v>
      </x:c>
      <x:c r="H392" s="46" t="str">
        <x:v>Crustaceans</x:v>
      </x:c>
      <x:c r="I392" s="60" t="n">
        <x:v>4.6711318958</x:v>
      </x:c>
      <x:c r="J392" s="60" t="n">
        <x:v>3.9473427243</x:v>
      </x:c>
      <x:c r="K392" s="60" t="n">
        <x:v>0.7237891715</x:v>
      </x:c>
      <x:c r="L392" s="60" t="n">
        <x:v>3.8128664449</x:v>
      </x:c>
      <x:c r="M392" s="60" t="n">
        <x:v>0.8582654509000001</x:v>
      </x:c>
      <x:c r="N392" s="46" t="str">
        <x:v>solenoceridae</x:v>
      </x:c>
      <x:c r="O392" s="62" t="n">
        <x:v>2.16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Solenoceridae</x:v>
      </x:c>
      <x:c r="T392" s="62" t="n">
        <x:f>IF(O392="","",(1/'Metadata'!$B$5)^(O392-1))</x:f>
        <x:v>32.29942529424967</x:v>
      </x:c>
      <x:c r="U392" s="60" t="n">
        <x:f>IF(T392="","",I392*T392)</x:f>
        <x:v>150.87487570797896</x:v>
      </x:c>
    </x:row>
    <x:row r="393" ht="18" customHeight="1">
      <x:c r="A393" s="46" t="str">
        <x:v>LME_026</x:v>
      </x:c>
      <x:c r="B393" s="46" t="str">
        <x:v>Mediterranean Sea</x:v>
      </x:c>
      <x:c r="C393" s="46" t="str">
        <x:v>LME</x:v>
      </x:c>
      <x:c r="D393" s="58" t="n">
        <x:v>2019</x:v>
      </x:c>
      <x:c r="E393" s="46" t="str">
        <x:v>Dasyatis</x:v>
      </x:c>
      <x:c r="F393" s="46" t="str">
        <x:v>Rough whip stingrays</x:v>
      </x:c>
      <x:c r="G393" s="46" t="str">
        <x:v>Large rays (&gt;=90 cm)</x:v>
      </x:c>
      <x:c r="H393" s="46" t="str">
        <x:v>Sharks &amp; rays</x:v>
      </x:c>
      <x:c r="I393" s="60" t="n">
        <x:v>4.398883720000001</x:v>
      </x:c>
      <x:c r="J393" s="60" t="n">
        <x:v>0</x:v>
      </x:c>
      <x:c r="K393" s="60" t="n">
        <x:v>4.398883720000001</x:v>
      </x:c>
      <x:c r="L393" s="60" t="n">
        <x:v>0</x:v>
      </x:c>
      <x:c r="M393" s="60" t="n">
        <x:v>4.398883720000001</x:v>
      </x:c>
      <x:c r="N393" s="46" t="str">
        <x:v>dasyatis</x:v>
      </x:c>
      <x:c r="O393" s="62" t="n">
        <x:v>3.28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Dasyatis</x:v>
      </x:c>
      <x:c r="T393" s="62" t="n">
        <x:f>IF(O393="","",(1/'Metadata'!$B$5)^(O393-1))</x:f>
        <x:v>925.4402624666747</x:v>
      </x:c>
      <x:c r="U393" s="60" t="n">
        <x:f>IF(T393="","",I393*T393)</x:f>
        <x:v>4070.904104397183</x:v>
      </x:c>
    </x:row>
    <x:row r="394" ht="18" customHeight="1">
      <x:c r="A394" s="46" t="str">
        <x:v>LME_026</x:v>
      </x:c>
      <x:c r="B394" s="46" t="str">
        <x:v>Mediterranean Sea</x:v>
      </x:c>
      <x:c r="C394" s="46" t="str">
        <x:v>LME</x:v>
      </x:c>
      <x:c r="D394" s="58" t="n">
        <x:v>2019</x:v>
      </x:c>
      <x:c r="E394" s="46" t="str">
        <x:v>Cancer pagurus</x:v>
      </x:c>
      <x:c r="F394" s="46" t="str">
        <x:v>Edible crab</x:v>
      </x:c>
      <x:c r="G394" s="46" t="str">
        <x:v>Lobsters, crabs</x:v>
      </x:c>
      <x:c r="H394" s="46" t="str">
        <x:v>Crustaceans</x:v>
      </x:c>
      <x:c r="I394" s="60" t="n">
        <x:v>4.2201663238</x:v>
      </x:c>
      <x:c r="J394" s="60" t="n">
        <x:v>3.9034617482</x:v>
      </x:c>
      <x:c r="K394" s="60" t="n">
        <x:v>0.3167045756</x:v>
      </x:c>
      <x:c r="L394" s="60" t="n">
        <x:v>2.5357340629</x:v>
      </x:c>
      <x:c r="M394" s="60" t="n">
        <x:v>1.6844322609</x:v>
      </x:c>
      <x:c r="N394" s="46" t="str">
        <x:v>cancer pagurus</x:v>
      </x:c>
      <x:c r="O394" s="62" t="n">
        <x:v>3.1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Cancer pagurus</x:v>
      </x:c>
      <x:c r="T394" s="62" t="n">
        <x:f>IF(O394="","",(1/'Metadata'!$B$5)^(O394-1))</x:f>
        <x:v>539.7131390694254</x:v>
      </x:c>
      <x:c r="U394" s="60" t="n">
        <x:f>IF(T394="","",I394*T394)</x:f>
        <x:v>2277.679214013175</x:v>
      </x:c>
    </x:row>
    <x:row r="395" ht="18" customHeight="1">
      <x:c r="A395" s="46" t="str">
        <x:v>LME_026</x:v>
      </x:c>
      <x:c r="B395" s="46" t="str">
        <x:v>Mediterranean Sea</x:v>
      </x:c>
      <x:c r="C395" s="46" t="str">
        <x:v>LME</x:v>
      </x:c>
      <x:c r="D395" s="58" t="n">
        <x:v>2019</x:v>
      </x:c>
      <x:c r="E395" s="46" t="str">
        <x:v>Molva molva</x:v>
      </x:c>
      <x:c r="F395" s="46" t="str">
        <x:v>Ling</x:v>
      </x:c>
      <x:c r="G395" s="46" t="str">
        <x:v>Large demersals (&gt;=90 cm)</x:v>
      </x:c>
      <x:c r="H395" s="46" t="str">
        <x:v>Cod-likes</x:v>
      </x:c>
      <x:c r="I395" s="60" t="n">
        <x:v>3.99200981</x:v>
      </x:c>
      <x:c r="J395" s="60" t="n">
        <x:v>3.99200981</x:v>
      </x:c>
      <x:c r="K395" s="60" t="n">
        <x:v>0</x:v>
      </x:c>
      <x:c r="L395" s="60" t="n">
        <x:v>3.99200981</x:v>
      </x:c>
      <x:c r="M395" s="60" t="n">
        <x:v>0</x:v>
      </x:c>
      <x:c r="N395" s="46" t="str">
        <x:v>molva molva</x:v>
      </x:c>
      <x:c r="O395" s="62" t="n">
        <x:v>4.4</x:v>
      </x:c>
      <x:c r="P395" s="46" t="str">
        <x:v>exact_2020_supplement</x:v>
      </x:c>
      <x:c r="Q395" s="62" t="str">
        <x:v>2020 supplement MeanTL</x:v>
      </x:c>
      <x:c r="R395" s="46" t="str">
        <x:v>high</x:v>
      </x:c>
      <x:c r="S395" s="46" t="str">
        <x:v>Molva molva</x:v>
      </x:c>
      <x:c r="T395" s="62" t="n">
        <x:f>IF(O395="","",(1/'Metadata'!$B$5)^(O395-1))</x:f>
        <x:v>26515.632138719924</x:v>
      </x:c>
      <x:c r="U395" s="60" t="n">
        <x:f>IF(T395="","",I395*T395)</x:f>
        <x:v>105850.66361612121</x:v>
      </x:c>
    </x:row>
    <x:row r="396" ht="18" customHeight="1">
      <x:c r="A396" s="46" t="str">
        <x:v>LME_026</x:v>
      </x:c>
      <x:c r="B396" s="46" t="str">
        <x:v>Mediterranean Sea</x:v>
      </x:c>
      <x:c r="C396" s="46" t="str">
        <x:v>LME</x:v>
      </x:c>
      <x:c r="D396" s="58" t="n">
        <x:v>2019</x:v>
      </x:c>
      <x:c r="E396" s="46" t="str">
        <x:v>Cheilopogon heterurus</x:v>
      </x:c>
      <x:c r="F396" s="46" t="str">
        <x:v>Mediterranean flyingfish</x:v>
      </x:c>
      <x:c r="G396" s="46" t="str">
        <x:v>Medium pelagics (30 - 89 cm)</x:v>
      </x:c>
      <x:c r="H396" s="46" t="str">
        <x:v>Other fishes &amp; inverts</x:v>
      </x:c>
      <x:c r="I396" s="60" t="n">
        <x:v>3.9121125039</x:v>
      </x:c>
      <x:c r="J396" s="60" t="n">
        <x:v>3.7753666618999997</x:v>
      </x:c>
      <x:c r="K396" s="60" t="n">
        <x:v>0.136745842</x:v>
      </x:c>
      <x:c r="L396" s="60" t="n">
        <x:v>3.7753666618999997</x:v>
      </x:c>
      <x:c r="M396" s="60" t="n">
        <x:v>0.136745842</x:v>
      </x:c>
      <x:c r="N396" s="46" t="str">
        <x:v>cheilopogon heterurus</x:v>
      </x:c>
      <x:c r="O396" s="62" t="n">
        <x:v>3.4</x:v>
      </x:c>
      <x:c r="P396" s="46" t="str">
        <x:v>exact_2020_supplement</x:v>
      </x:c>
      <x:c r="Q396" s="62" t="str">
        <x:v>2020 supplement MeanTL</x:v>
      </x:c>
      <x:c r="R396" s="46" t="str">
        <x:v>high</x:v>
      </x:c>
      <x:c r="S396" s="46" t="str">
        <x:v>Cheilopogon heterurus</x:v>
      </x:c>
      <x:c r="T396" s="62" t="n">
        <x:f>IF(O396="","",(1/'Metadata'!$B$5)^(O396-1))</x:f>
        <x:v>1325.7816069359944</x:v>
      </x:c>
      <x:c r="U396" s="60" t="n">
        <x:f>IF(T396="","",I396*T396)</x:f>
        <x:v>5186.606801934939</x:v>
      </x:c>
    </x:row>
    <x:row r="397" ht="18" customHeight="1">
      <x:c r="A397" s="46" t="str">
        <x:v>LME_026</x:v>
      </x:c>
      <x:c r="B397" s="46" t="str">
        <x:v>Mediterranean Sea</x:v>
      </x:c>
      <x:c r="C397" s="46" t="str">
        <x:v>LME</x:v>
      </x:c>
      <x:c r="D397" s="58" t="n">
        <x:v>2019</x:v>
      </x:c>
      <x:c r="E397" s="46" t="str">
        <x:v>Echinoidea</x:v>
      </x:c>
      <x:c r="F397" s="46" t="str">
        <x:v>Sea urchins, sea hedgehogs</x:v>
      </x:c>
      <x:c r="G397" s="46" t="str">
        <x:v>Other demersal invertebrates</x:v>
      </x:c>
      <x:c r="H397" s="46" t="str">
        <x:v>Other fishes &amp; inverts</x:v>
      </x:c>
      <x:c r="I397" s="60" t="n">
        <x:v>3.8941730968000003</x:v>
      </x:c>
      <x:c r="J397" s="60" t="n">
        <x:v>0.016690033899999998</x:v>
      </x:c>
      <x:c r="K397" s="60" t="n">
        <x:v>3.8774830629</x:v>
      </x:c>
      <x:c r="L397" s="60" t="n">
        <x:v>0.0080778816</x:v>
      </x:c>
      <x:c r="M397" s="60" t="n">
        <x:v>3.8860952152</x:v>
      </x:c>
      <x:c r="N397" s="46" t="str">
        <x:v>echinoidea</x:v>
      </x:c>
      <x:c r="O397" s="62" t="n">
        <x:v>2.51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Echinoidea</x:v>
      </x:c>
      <x:c r="T397" s="62" t="n">
        <x:f>IF(O397="","",(1/'Metadata'!$B$5)^(O397-1))</x:f>
        <x:v>92.16272208892171</x:v>
      </x:c>
      <x:c r="U397" s="60" t="n">
        <x:f>IF(T397="","",I397*T397)</x:f>
        <x:v>358.8975928865341</x:v>
      </x:c>
    </x:row>
    <x:row r="398" ht="18" customHeight="1">
      <x:c r="A398" s="46" t="str">
        <x:v>LME_026</x:v>
      </x:c>
      <x:c r="B398" s="46" t="str">
        <x:v>Mediterranean Sea</x:v>
      </x:c>
      <x:c r="C398" s="46" t="str">
        <x:v>LME</x:v>
      </x:c>
      <x:c r="D398" s="58" t="n">
        <x:v>2019</x:v>
      </x:c>
      <x:c r="E398" s="46" t="str">
        <x:v>Necora puber</x:v>
      </x:c>
      <x:c r="F398" s="46" t="str">
        <x:v>Velvet swimcrab</x:v>
      </x:c>
      <x:c r="G398" s="46" t="str">
        <x:v>Lobsters, crabs</x:v>
      </x:c>
      <x:c r="H398" s="46" t="str">
        <x:v>Crustaceans</x:v>
      </x:c>
      <x:c r="I398" s="60" t="n">
        <x:v>3.6758458447</x:v>
      </x:c>
      <x:c r="J398" s="60" t="n">
        <x:v>3.4089479186</x:v>
      </x:c>
      <x:c r="K398" s="60" t="n">
        <x:v>0.2668979261</x:v>
      </x:c>
      <x:c r="L398" s="60" t="n">
        <x:v>3.4089479186</x:v>
      </x:c>
      <x:c r="M398" s="60" t="n">
        <x:v>0.2668979261</x:v>
      </x:c>
      <x:c r="N398" s="46" t="str">
        <x:v>necora puber</x:v>
      </x:c>
      <x:c r="O398" s="62" t="n">
        <x:v>2.6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Necora puber</x:v>
      </x:c>
      <x:c r="T398" s="62" t="n">
        <x:f>IF(O398="","",(1/'Metadata'!$B$5)^(O398-1))</x:f>
        <x:v>120.6835267309033</x:v>
      </x:c>
      <x:c r="U398" s="60" t="n">
        <x:f>IF(T398="","",I398*T398)</x:f>
        <x:v>443.6140402575322</x:v>
      </x:c>
    </x:row>
    <x:row r="399" ht="18" customHeight="1">
      <x:c r="A399" s="46" t="str">
        <x:v>LME_026</x:v>
      </x:c>
      <x:c r="B399" s="46" t="str">
        <x:v>Mediterranean Sea</x:v>
      </x:c>
      <x:c r="C399" s="46" t="str">
        <x:v>LME</x:v>
      </x:c>
      <x:c r="D399" s="58" t="n">
        <x:v>2019</x:v>
      </x:c>
      <x:c r="E399" s="46" t="str">
        <x:v>Kajikia albida</x:v>
      </x:c>
      <x:c r="F399" s="46" t="str">
        <x:v>Atlantic white marlin</x:v>
      </x:c>
      <x:c r="G399" s="46" t="str">
        <x:v>Large pelagics (&gt;=90 cm)</x:v>
      </x:c>
      <x:c r="H399" s="46" t="str">
        <x:v>Tuna &amp; billfishes</x:v>
      </x:c>
      <x:c r="I399" s="60" t="n">
        <x:v>3.150871496</x:v>
      </x:c>
      <x:c r="J399" s="60" t="n">
        <x:v>3.150871496</x:v>
      </x:c>
      <x:c r="K399" s="60" t="n">
        <x:v>0</x:v>
      </x:c>
      <x:c r="L399" s="60" t="n">
        <x:v>3.150871496</x:v>
      </x:c>
      <x:c r="M399" s="60" t="n">
        <x:v>0</x:v>
      </x:c>
      <x:c r="N399" s="46" t="str">
        <x:v>kajikia albida</x:v>
      </x:c>
      <x:c r="O399" s="62" t="n">
        <x:v>4.49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Kajikia albida</x:v>
      </x:c>
      <x:c r="T399" s="62" t="n">
        <x:f>IF(O399="","",(1/'Metadata'!$B$5)^(O399-1))</x:f>
        <x:v>34721.19667768202</x:v>
      </x:c>
      <x:c r="U399" s="60" t="n">
        <x:f>IF(T399="","",I399*T399)</x:f>
        <x:v>109402.02891871818</x:v>
      </x:c>
    </x:row>
    <x:row r="400" ht="18" customHeight="1">
      <x:c r="A400" s="46" t="str">
        <x:v>LME_026</x:v>
      </x:c>
      <x:c r="B400" s="46" t="str">
        <x:v>Mediterranean Sea</x:v>
      </x:c>
      <x:c r="C400" s="46" t="str">
        <x:v>LME</x:v>
      </x:c>
      <x:c r="D400" s="58" t="n">
        <x:v>2019</x:v>
      </x:c>
      <x:c r="E400" s="46" t="str">
        <x:v>Raja undulata</x:v>
      </x:c>
      <x:c r="F400" s="46" t="str">
        <x:v>Undulate ray</x:v>
      </x:c>
      <x:c r="G400" s="46" t="str">
        <x:v>Small to medium rays (&lt;90 cm)</x:v>
      </x:c>
      <x:c r="H400" s="46" t="str">
        <x:v>Sharks &amp; rays</x:v>
      </x:c>
      <x:c r="I400" s="60" t="n">
        <x:v>3.1254224642999997</x:v>
      </x:c>
      <x:c r="J400" s="60" t="n">
        <x:v>3.1254224642999997</x:v>
      </x:c>
      <x:c r="K400" s="60" t="n">
        <x:v>0</x:v>
      </x:c>
      <x:c r="L400" s="60" t="n">
        <x:v>2.9400814056</x:v>
      </x:c>
      <x:c r="M400" s="60" t="n">
        <x:v>0.1853410587</x:v>
      </x:c>
      <x:c r="N400" s="46" t="str">
        <x:v>raja undulata</x:v>
      </x:c>
      <x:c r="O400" s="62" t="n">
        <x:v>3.5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Raja undulata</x:v>
      </x:c>
      <x:c r="T400" s="62" t="n">
        <x:f>IF(O400="","",(1/'Metadata'!$B$5)^(O400-1))</x:f>
        <x:v>1788.8543819998317</x:v>
      </x:c>
      <x:c r="U400" s="60" t="n">
        <x:f>IF(T400="","",I400*T400)</x:f>
        <x:v>5590.925670863767</x:v>
      </x:c>
    </x:row>
    <x:row r="401" ht="18" customHeight="1">
      <x:c r="A401" s="46" t="str">
        <x:v>LME_026</x:v>
      </x:c>
      <x:c r="B401" s="46" t="str">
        <x:v>Mediterranean Sea</x:v>
      </x:c>
      <x:c r="C401" s="46" t="str">
        <x:v>LME</x:v>
      </x:c>
      <x:c r="D401" s="58" t="n">
        <x:v>2019</x:v>
      </x:c>
      <x:c r="E401" s="46" t="str">
        <x:v>Heptranchias perlo</x:v>
      </x:c>
      <x:c r="F401" s="46" t="str">
        <x:v>Sharpnose sevengill shark</x:v>
      </x:c>
      <x:c r="G401" s="46" t="str">
        <x:v>Large sharks (&gt;=90 cm)</x:v>
      </x:c>
      <x:c r="H401" s="46" t="str">
        <x:v>Sharks &amp; rays</x:v>
      </x:c>
      <x:c r="I401" s="60" t="n">
        <x:v>2.9864574921</x:v>
      </x:c>
      <x:c r="J401" s="60" t="n">
        <x:v>2.4811144538</x:v>
      </x:c>
      <x:c r="K401" s="60" t="n">
        <x:v>0.5053430382999999</x:v>
      </x:c>
      <x:c r="L401" s="60" t="n">
        <x:v>2.218758359</x:v>
      </x:c>
      <x:c r="M401" s="60" t="n">
        <x:v>0.7676991331</x:v>
      </x:c>
      <x:c r="N401" s="46" t="str">
        <x:v>heptranchias perlo</x:v>
      </x:c>
      <x:c r="O401" s="62" t="n">
        <x:v>4.16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Heptranchias perlo</x:v>
      </x:c>
      <x:c r="T401" s="62" t="n">
        <x:f>IF(O401="","",(1/'Metadata'!$B$5)^(O401-1))</x:f>
        <x:v>12919.77011769987</x:v>
      </x:c>
      <x:c r="U401" s="60" t="n">
        <x:f>IF(T401="","",I401*T401)</x:f>
        <x:v>38584.34426421448</x:v>
      </x:c>
    </x:row>
    <x:row r="402" ht="18" customHeight="1">
      <x:c r="A402" s="46" t="str">
        <x:v>LME_026</x:v>
      </x:c>
      <x:c r="B402" s="46" t="str">
        <x:v>Mediterranean Sea</x:v>
      </x:c>
      <x:c r="C402" s="46" t="str">
        <x:v>LME</x:v>
      </x:c>
      <x:c r="D402" s="58" t="n">
        <x:v>2019</x:v>
      </x:c>
      <x:c r="E402" s="46" t="str">
        <x:v>Paromola cuvieri</x:v>
      </x:c>
      <x:c r="F402" s="46" t="str">
        <x:v>Paromola</x:v>
      </x:c>
      <x:c r="G402" s="46" t="str">
        <x:v>Lobsters, crabs</x:v>
      </x:c>
      <x:c r="H402" s="46" t="str">
        <x:v>Crustaceans</x:v>
      </x:c>
      <x:c r="I402" s="60" t="n">
        <x:v>2.943394039</x:v>
      </x:c>
      <x:c r="J402" s="60" t="n">
        <x:v>2.2007187026999997</x:v>
      </x:c>
      <x:c r="K402" s="60" t="n">
        <x:v>0.7426753363</x:v>
      </x:c>
      <x:c r="L402" s="60" t="n">
        <x:v>1.9952759013999999</x:v>
      </x:c>
      <x:c r="M402" s="60" t="n">
        <x:v>0.9481181376</x:v>
      </x:c>
      <x:c r="N402" s="46" t="str">
        <x:v>paromola cuvieri</x:v>
      </x:c>
      <x:c r="O402" s="62" t="n">
        <x:v>3.42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Paromola cuvieri</x:v>
      </x:c>
      <x:c r="T402" s="62" t="n">
        <x:f>IF(O402="","",(1/'Metadata'!$B$5)^(O402-1))</x:f>
        <x:v>1407.643209131506</x:v>
      </x:c>
      <x:c r="U402" s="60" t="n">
        <x:f>IF(T402="","",I402*T402)</x:f>
        <x:v>4143.2486307965055</x:v>
      </x:c>
    </x:row>
    <x:row r="403" ht="18" customHeight="1">
      <x:c r="A403" s="46" t="str">
        <x:v>LME_026</x:v>
      </x:c>
      <x:c r="B403" s="46" t="str">
        <x:v>Mediterranean Sea</x:v>
      </x:c>
      <x:c r="C403" s="46" t="str">
        <x:v>LME</x:v>
      </x:c>
      <x:c r="D403" s="58" t="n">
        <x:v>2019</x:v>
      </x:c>
      <x:c r="E403" s="46" t="str">
        <x:v>Pegusa impar</x:v>
      </x:c>
      <x:c r="F403" s="46" t="str">
        <x:v>Adriatic sole</x:v>
      </x:c>
      <x:c r="G403" s="46" t="str">
        <x:v>Small to medium flatfishes (&lt;90 cm)</x:v>
      </x:c>
      <x:c r="H403" s="46" t="str">
        <x:v>Flatfishes</x:v>
      </x:c>
      <x:c r="I403" s="60" t="n">
        <x:v>2.7771001855</x:v>
      </x:c>
      <x:c r="J403" s="60" t="n">
        <x:v>0</x:v>
      </x:c>
      <x:c r="K403" s="60" t="n">
        <x:v>2.7771001855</x:v>
      </x:c>
      <x:c r="L403" s="60" t="n">
        <x:v>0</x:v>
      </x:c>
      <x:c r="M403" s="60" t="n">
        <x:v>2.7771001855</x:v>
      </x:c>
      <x:c r="N403" s="46" t="str">
        <x:v>pegusa impar</x:v>
      </x:c>
      <x:c r="O403" s="62" t="n">
        <x:v>3.33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Pegusa impar</x:v>
      </x:c>
      <x:c r="T403" s="62" t="n">
        <x:f>IF(O403="","",(1/'Metadata'!$B$5)^(O403-1))</x:f>
        <x:v>1074.9787762899762</x:v>
      </x:c>
      <x:c r="U403" s="60" t="n">
        <x:f>IF(T403="","",I403*T403)</x:f>
        <x:v>2985.323759043456</x:v>
      </x:c>
    </x:row>
    <x:row r="404" ht="18" customHeight="1">
      <x:c r="A404" s="46" t="str">
        <x:v>LME_026</x:v>
      </x:c>
      <x:c r="B404" s="46" t="str">
        <x:v>Mediterranean Sea</x:v>
      </x:c>
      <x:c r="C404" s="46" t="str">
        <x:v>LME</x:v>
      </x:c>
      <x:c r="D404" s="58" t="n">
        <x:v>2019</x:v>
      </x:c>
      <x:c r="E404" s="46" t="str">
        <x:v>Epinephelus caninus</x:v>
      </x:c>
      <x:c r="F404" s="46" t="str">
        <x:v>Dogtooth grouper</x:v>
      </x:c>
      <x:c r="G404" s="46" t="str">
        <x:v>Large demersals (&gt;=90 cm)</x:v>
      </x:c>
      <x:c r="H404" s="46" t="str">
        <x:v>Perch-likes</x:v>
      </x:c>
      <x:c r="I404" s="60" t="n">
        <x:v>2.7339044426</x:v>
      </x:c>
      <x:c r="J404" s="60" t="n">
        <x:v>2.6509243712</x:v>
      </x:c>
      <x:c r="K404" s="60" t="n">
        <x:v>0.0829800714</x:v>
      </x:c>
      <x:c r="L404" s="60" t="n">
        <x:v>2.3080315202999997</x:v>
      </x:c>
      <x:c r="M404" s="60" t="n">
        <x:v>0.4258729223</x:v>
      </x:c>
      <x:c r="N404" s="46" t="str">
        <x:v>epinephelus caninus</x:v>
      </x:c>
      <x:c r="O404" s="62" t="n">
        <x:v>3.77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Epinephelus caninus</x:v>
      </x:c>
      <x:c r="T404" s="62" t="n">
        <x:f>IF(O404="","",(1/'Metadata'!$B$5)^(O404-1))</x:f>
        <x:v>4016.549170818885</x:v>
      </x:c>
      <x:c r="U404" s="60" t="n">
        <x:f>IF(T404="","",I404*T404)</x:f>
        <x:v>10980.861622023096</x:v>
      </x:c>
    </x:row>
    <x:row r="405" ht="18" customHeight="1">
      <x:c r="A405" s="46" t="str">
        <x:v>LME_026</x:v>
      </x:c>
      <x:c r="B405" s="46" t="str">
        <x:v>Mediterranean Sea</x:v>
      </x:c>
      <x:c r="C405" s="46" t="str">
        <x:v>LME</x:v>
      </x:c>
      <x:c r="D405" s="58" t="n">
        <x:v>2019</x:v>
      </x:c>
      <x:c r="E405" s="46" t="str">
        <x:v>Sphoeroides pachygaster</x:v>
      </x:c>
      <x:c r="F405" s="46" t="str">
        <x:v>Blunthead puffer</x:v>
      </x:c>
      <x:c r="G405" s="46" t="str">
        <x:v>Medium benthopelagics (30 - 89 cm)</x:v>
      </x:c>
      <x:c r="H405" s="46" t="str">
        <x:v>Other fishes &amp; inverts</x:v>
      </x:c>
      <x:c r="I405" s="60" t="n">
        <x:v>2.6551445201</x:v>
      </x:c>
      <x:c r="J405" s="60" t="n">
        <x:v>0</x:v>
      </x:c>
      <x:c r="K405" s="60" t="n">
        <x:v>2.6551445201</x:v>
      </x:c>
      <x:c r="L405" s="60" t="n">
        <x:v>0</x:v>
      </x:c>
      <x:c r="M405" s="60" t="n">
        <x:v>2.6551445201</x:v>
      </x:c>
      <x:c r="N405" s="46" t="str">
        <x:v>sphoeroides pachygaster</x:v>
      </x:c>
      <x:c r="O405" s="62" t="n">
        <x:v>4.2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Sphoeroides pachygaster</x:v>
      </x:c>
      <x:c r="T405" s="62" t="n">
        <x:f>IF(O405="","",(1/'Metadata'!$B$5)^(O405-1))</x:f>
        <x:v>14564.51362420865</x:v>
      </x:c>
      <x:c r="U405" s="60" t="n">
        <x:f>IF(T405="","",I405*T405)</x:f>
        <x:v>38670.888537239385</x:v>
      </x:c>
    </x:row>
    <x:row r="406" ht="18" customHeight="1">
      <x:c r="A406" s="46" t="str">
        <x:v>LME_026</x:v>
      </x:c>
      <x:c r="B406" s="46" t="str">
        <x:v>Mediterranean Sea</x:v>
      </x:c>
      <x:c r="C406" s="46" t="str">
        <x:v>LME</x:v>
      </x:c>
      <x:c r="D406" s="58" t="n">
        <x:v>2019</x:v>
      </x:c>
      <x:c r="E406" s="46" t="str">
        <x:v>Halobatrachus didactylus</x:v>
      </x:c>
      <x:c r="F406" s="46" t="str">
        <x:v>Lusitanian toadfish</x:v>
      </x:c>
      <x:c r="G406" s="46" t="str">
        <x:v>Medium demersals (30 - 89 cm)</x:v>
      </x:c>
      <x:c r="H406" s="46" t="str">
        <x:v>Other fishes &amp; inverts</x:v>
      </x:c>
      <x:c r="I406" s="60" t="n">
        <x:v>2.5893365794</x:v>
      </x:c>
      <x:c r="J406" s="60" t="n">
        <x:v>2.0719810363</x:v>
      </x:c>
      <x:c r="K406" s="60" t="n">
        <x:v>0.5173555431</x:v>
      </x:c>
      <x:c r="L406" s="60" t="n">
        <x:v>1.9750534217</x:v>
      </x:c>
      <x:c r="M406" s="60" t="n">
        <x:v>0.6142831577</x:v>
      </x:c>
      <x:c r="N406" s="46" t="str">
        <x:v>halobatrachus didactylus</x:v>
      </x:c>
      <x:c r="O406" s="62" t="n">
        <x:v>3.95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Halobatrachus didactylus</x:v>
      </x:c>
      <x:c r="T406" s="62" t="n">
        <x:f>IF(O406="","",(1/'Metadata'!$B$5)^(O406-1))</x:f>
        <x:v>6887.133274653882</x:v>
      </x:c>
      <x:c r="U406" s="60" t="n">
        <x:f>IF(T406="","",I406*T406)</x:f>
        <x:v>17833.106115264203</x:v>
      </x:c>
    </x:row>
    <x:row r="407" ht="18" customHeight="1">
      <x:c r="A407" s="46" t="str">
        <x:v>LME_026</x:v>
      </x:c>
      <x:c r="B407" s="46" t="str">
        <x:v>Mediterranean Sea</x:v>
      </x:c>
      <x:c r="C407" s="46" t="str">
        <x:v>LME</x:v>
      </x:c>
      <x:c r="D407" s="58" t="n">
        <x:v>2019</x:v>
      </x:c>
      <x:c r="E407" s="46" t="str">
        <x:v>Mimachlamys varia</x:v>
      </x:c>
      <x:c r="F407" s="46" t="str">
        <x:v>Variegated scallop</x:v>
      </x:c>
      <x:c r="G407" s="46" t="str">
        <x:v>Other demersal invertebrates</x:v>
      </x:c>
      <x:c r="H407" s="46" t="str">
        <x:v>Molluscs</x:v>
      </x:c>
      <x:c r="I407" s="60" t="n">
        <x:v>2.3074287604</x:v>
      </x:c>
      <x:c r="J407" s="60" t="n">
        <x:v>0</x:v>
      </x:c>
      <x:c r="K407" s="60" t="n">
        <x:v>2.3074287604</x:v>
      </x:c>
      <x:c r="L407" s="60" t="n">
        <x:v>0</x:v>
      </x:c>
      <x:c r="M407" s="60" t="n">
        <x:v>2.3074287604</x:v>
      </x:c>
      <x:c r="N407" s="46" t="str">
        <x:v>mimachlamys varia</x:v>
      </x:c>
      <x:c r="O407" s="62" t="n">
        <x:v>2.1</x:v>
      </x:c>
      <x:c r="P407" s="46" t="str">
        <x:v>exact_sea_around_us</x:v>
      </x:c>
      <x:c r="Q407" s="62" t="str">
        <x:v>Sea Around Us exploited organisms</x:v>
      </x:c>
      <x:c r="R407" s="46" t="str">
        <x:v>high</x:v>
      </x:c>
      <x:c r="S407" s="46" t="str">
        <x:v>Mimachlamys varia</x:v>
      </x:c>
      <x:c r="T407" s="62" t="n">
        <x:f>IF(O407="","",(1/'Metadata'!$B$5)^(O407-1))</x:f>
        <x:v>26.985656953471274</x:v>
      </x:c>
      <x:c r="U407" s="60" t="n">
        <x:f>IF(T407="","",I407*T407)</x:f>
        <x:v>62.26748097272787</x:v>
      </x:c>
    </x:row>
    <x:row r="408" ht="18" customHeight="1">
      <x:c r="A408" s="46" t="str">
        <x:v>LME_026</x:v>
      </x:c>
      <x:c r="B408" s="46" t="str">
        <x:v>Mediterranean Sea</x:v>
      </x:c>
      <x:c r="C408" s="46" t="str">
        <x:v>LME</x:v>
      </x:c>
      <x:c r="D408" s="58" t="n">
        <x:v>2019</x:v>
      </x:c>
      <x:c r="E408" s="46" t="str">
        <x:v>Glossanodon leioglossus</x:v>
      </x:c>
      <x:c r="F408" s="46" t="str">
        <x:v>Smalltoothed argentine</x:v>
      </x:c>
      <x:c r="G408" s="46" t="str">
        <x:v>Small bathydemersals (&lt;30 cm)</x:v>
      </x:c>
      <x:c r="H408" s="46" t="str">
        <x:v>Salmon, smelts, etc</x:v>
      </x:c>
      <x:c r="I408" s="60" t="n">
        <x:v>2.2668379046</x:v>
      </x:c>
      <x:c r="J408" s="60" t="n">
        <x:v>0</x:v>
      </x:c>
      <x:c r="K408" s="60" t="n">
        <x:v>2.2668379046</x:v>
      </x:c>
      <x:c r="L408" s="60" t="n">
        <x:v>0</x:v>
      </x:c>
      <x:c r="M408" s="60" t="n">
        <x:v>2.2668379046</x:v>
      </x:c>
      <x:c r="N408" s="46" t="str">
        <x:v>glossanodon leioglossus</x:v>
      </x:c>
      <x:c r="O408" s="62" t="n">
        <x:v>3.5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Glossanodon leioglossus</x:v>
      </x:c>
      <x:c r="T408" s="62" t="n">
        <x:f>IF(O408="","",(1/'Metadata'!$B$5)^(O408-1))</x:f>
        <x:v>1788.8543819998317</x:v>
      </x:c>
      <x:c r="U408" s="60" t="n">
        <x:f>IF(T408="","",I408*T408)</x:f>
        <x:v>4055.0429189270267</x:v>
      </x:c>
    </x:row>
    <x:row r="409" ht="18" customHeight="1">
      <x:c r="A409" s="46" t="str">
        <x:v>LME_026</x:v>
      </x:c>
      <x:c r="B409" s="46" t="str">
        <x:v>Mediterranean Sea</x:v>
      </x:c>
      <x:c r="C409" s="46" t="str">
        <x:v>LME</x:v>
      </x:c>
      <x:c r="D409" s="58" t="n">
        <x:v>2019</x:v>
      </x:c>
      <x:c r="E409" s="46" t="str">
        <x:v>Dussumieria elopsoides</x:v>
      </x:c>
      <x:c r="F409" s="46" t="str">
        <x:v>Slender rainbow sardine</x:v>
      </x:c>
      <x:c r="G409" s="46" t="str">
        <x:v>Small pelagics (&lt;30 cm)</x:v>
      </x:c>
      <x:c r="H409" s="46" t="str">
        <x:v>Herring-likes</x:v>
      </x:c>
      <x:c r="I409" s="60" t="n">
        <x:v>2.2413981219</x:v>
      </x:c>
      <x:c r="J409" s="60" t="n">
        <x:v>0</x:v>
      </x:c>
      <x:c r="K409" s="60" t="n">
        <x:v>2.2413981219</x:v>
      </x:c>
      <x:c r="L409" s="60" t="n">
        <x:v>0</x:v>
      </x:c>
      <x:c r="M409" s="60" t="n">
        <x:v>2.2413981219</x:v>
      </x:c>
      <x:c r="N409" s="46" t="str">
        <x:v>dussumieria elopsoides</x:v>
      </x:c>
      <x:c r="O409" s="62" t="n">
        <x:v>3.4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Dussumieria elopsoides</x:v>
      </x:c>
      <x:c r="T409" s="62" t="n">
        <x:f>IF(O409="","",(1/'Metadata'!$B$5)^(O409-1))</x:f>
        <x:v>1325.7816069359944</x:v>
      </x:c>
      <x:c r="U409" s="60" t="n">
        <x:f>IF(T409="","",I409*T409)</x:f>
        <x:v>2971.604403835902</x:v>
      </x:c>
    </x:row>
    <x:row r="410" ht="18" customHeight="1">
      <x:c r="A410" s="46" t="str">
        <x:v>LME_026</x:v>
      </x:c>
      <x:c r="B410" s="46" t="str">
        <x:v>Mediterranean Sea</x:v>
      </x:c>
      <x:c r="C410" s="46" t="str">
        <x:v>LME</x:v>
      </x:c>
      <x:c r="D410" s="58" t="n">
        <x:v>2019</x:v>
      </x:c>
      <x:c r="E410" s="46" t="str">
        <x:v>Molva</x:v>
      </x:c>
      <x:c r="F410" s="46" t="str">
        <x:v>Lings</x:v>
      </x:c>
      <x:c r="G410" s="46" t="str">
        <x:v>Large demersals (&gt;=90 cm)</x:v>
      </x:c>
      <x:c r="H410" s="46" t="str">
        <x:v>Cod-likes</x:v>
      </x:c>
      <x:c r="I410" s="60" t="n">
        <x:v>2.1943655231</x:v>
      </x:c>
      <x:c r="J410" s="60" t="n">
        <x:v>1.9154717586</x:v>
      </x:c>
      <x:c r="K410" s="60" t="n">
        <x:v>0.27889376450000003</x:v>
      </x:c>
      <x:c r="L410" s="60" t="n">
        <x:v>1.8684797042</x:v>
      </x:c>
      <x:c r="M410" s="60" t="n">
        <x:v>0.3258858189</x:v>
      </x:c>
      <x:c r="N410" s="46" t="str">
        <x:v>molva</x:v>
      </x:c>
      <x:c r="O410" s="62" t="n">
        <x:v>4.19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Molva</x:v>
      </x:c>
      <x:c r="T410" s="62" t="n">
        <x:f>IF(O410="","",(1/'Metadata'!$B$5)^(O410-1))</x:f>
        <x:v>14134.67041111498</x:v>
      </x:c>
      <x:c r="U410" s="60" t="n">
        <x:f>IF(T410="","",I410*T410)</x:f>
        <x:v>31016.633430532416</x:v>
      </x:c>
    </x:row>
    <x:row r="411" ht="18" customHeight="1">
      <x:c r="A411" s="46" t="str">
        <x:v>LME_026</x:v>
      </x:c>
      <x:c r="B411" s="46" t="str">
        <x:v>Mediterranean Sea</x:v>
      </x:c>
      <x:c r="C411" s="46" t="str">
        <x:v>LME</x:v>
      </x:c>
      <x:c r="D411" s="58" t="n">
        <x:v>2019</x:v>
      </x:c>
      <x:c r="E411" s="46" t="str">
        <x:v>Odontaspis ferox</x:v>
      </x:c>
      <x:c r="F411" s="46" t="str">
        <x:v>Smalltooth sand tiger</x:v>
      </x:c>
      <x:c r="G411" s="46" t="str">
        <x:v>Large sharks (&gt;=90 cm)</x:v>
      </x:c>
      <x:c r="H411" s="46" t="str">
        <x:v>Sharks &amp; rays</x:v>
      </x:c>
      <x:c r="I411" s="60" t="n">
        <x:v>2.1745637217000002</x:v>
      </x:c>
      <x:c r="J411" s="60" t="n">
        <x:v>0.9973068399</x:v>
      </x:c>
      <x:c r="K411" s="60" t="n">
        <x:v>1.1772568818</x:v>
      </x:c>
      <x:c r="L411" s="60" t="n">
        <x:v>0.7603339309</x:v>
      </x:c>
      <x:c r="M411" s="60" t="n">
        <x:v>1.4142297907999999</x:v>
      </x:c>
      <x:c r="N411" s="46" t="str">
        <x:v>odontaspis ferox</x:v>
      </x:c>
      <x:c r="O411" s="62" t="n">
        <x:v>4.16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Odontaspis ferox</x:v>
      </x:c>
      <x:c r="T411" s="62" t="n">
        <x:f>IF(O411="","",(1/'Metadata'!$B$5)^(O411-1))</x:f>
        <x:v>12919.77011769987</x:v>
      </x:c>
      <x:c r="U411" s="60" t="n">
        <x:f>IF(T411="","",I411*T411)</x:f>
        <x:v>28094.86339065388</x:v>
      </x:c>
    </x:row>
    <x:row r="412" ht="18" customHeight="1">
      <x:c r="A412" s="46" t="str">
        <x:v>LME_026</x:v>
      </x:c>
      <x:c r="B412" s="46" t="str">
        <x:v>Mediterranean Sea</x:v>
      </x:c>
      <x:c r="C412" s="46" t="str">
        <x:v>LME</x:v>
      </x:c>
      <x:c r="D412" s="58" t="n">
        <x:v>2019</x:v>
      </x:c>
      <x:c r="E412" s="46" t="str">
        <x:v>Torpedo marmorata</x:v>
      </x:c>
      <x:c r="F412" s="46" t="str">
        <x:v>Marbled electric ray</x:v>
      </x:c>
      <x:c r="G412" s="46" t="str">
        <x:v>Large rays (&gt;=90 cm)</x:v>
      </x:c>
      <x:c r="H412" s="46" t="str">
        <x:v>Sharks &amp; rays</x:v>
      </x:c>
      <x:c r="I412" s="60" t="n">
        <x:v>2.1693022122</x:v>
      </x:c>
      <x:c r="J412" s="60" t="n">
        <x:v>1.9108757145</x:v>
      </x:c>
      <x:c r="K412" s="60" t="n">
        <x:v>0.25842649770000004</x:v>
      </x:c>
      <x:c r="L412" s="60" t="n">
        <x:v>1.8673389009</x:v>
      </x:c>
      <x:c r="M412" s="60" t="n">
        <x:v>0.30196331130000004</x:v>
      </x:c>
      <x:c r="N412" s="46" t="str">
        <x:v>torpedo marmorata</x:v>
      </x:c>
      <x:c r="O412" s="62" t="n">
        <x:v>4.5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Torpedo marmorata</x:v>
      </x:c>
      <x:c r="T412" s="62" t="n">
        <x:f>IF(O412="","",(1/'Metadata'!$B$5)^(O412-1))</x:f>
        <x:v>35777.08763999664</x:v>
      </x:c>
      <x:c r="U412" s="60" t="n">
        <x:f>IF(T412="","",I412*T412)</x:f>
        <x:v>77611.31536351798</x:v>
      </x:c>
    </x:row>
    <x:row r="413" ht="18" customHeight="1">
      <x:c r="A413" s="46" t="str">
        <x:v>LME_026</x:v>
      </x:c>
      <x:c r="B413" s="46" t="str">
        <x:v>Mediterranean Sea</x:v>
      </x:c>
      <x:c r="C413" s="46" t="str">
        <x:v>LME</x:v>
      </x:c>
      <x:c r="D413" s="58" t="n">
        <x:v>2019</x:v>
      </x:c>
      <x:c r="E413" s="46" t="str">
        <x:v>Alosa alosa</x:v>
      </x:c>
      <x:c r="F413" s="46" t="str">
        <x:v>Allis shad</x:v>
      </x:c>
      <x:c r="G413" s="46" t="str">
        <x:v>Medium pelagics (30 - 89 cm)</x:v>
      </x:c>
      <x:c r="H413" s="46" t="str">
        <x:v>Herring-likes</x:v>
      </x:c>
      <x:c r="I413" s="60" t="n">
        <x:v>1.9976345902000001</x:v>
      </x:c>
      <x:c r="J413" s="60" t="n">
        <x:v>1.9976345902000001</x:v>
      </x:c>
      <x:c r="K413" s="60" t="n">
        <x:v>0</x:v>
      </x:c>
      <x:c r="L413" s="60" t="n">
        <x:v>1.9976345902000001</x:v>
      </x:c>
      <x:c r="M413" s="60" t="n">
        <x:v>0</x:v>
      </x:c>
      <x:c r="N413" s="46" t="str">
        <x:v>alosa alosa</x:v>
      </x:c>
      <x:c r="O413" s="62" t="n">
        <x:v>2.95</x:v>
      </x:c>
      <x:c r="P413" s="46" t="str">
        <x:v>exact_2020_supplement</x:v>
      </x:c>
      <x:c r="Q413" s="62" t="str">
        <x:v>2020 supplement MeanTL</x:v>
      </x:c>
      <x:c r="R413" s="46" t="str">
        <x:v>high</x:v>
      </x:c>
      <x:c r="S413" s="46" t="str">
        <x:v>Alosa alosa</x:v>
      </x:c>
      <x:c r="T413" s="62" t="n">
        <x:f>IF(O413="","",(1/'Metadata'!$B$5)^(O413-1))</x:f>
        <x:v>344.3566637326941</x:v>
      </x:c>
      <x:c r="U413" s="60" t="n">
        <x:f>IF(T413="","",I413*T413)</x:f>
        <x:v>687.8987828382996</x:v>
      </x:c>
    </x:row>
    <x:row r="414" ht="18" customHeight="1">
      <x:c r="A414" s="46" t="str">
        <x:v>LME_026</x:v>
      </x:c>
      <x:c r="B414" s="46" t="str">
        <x:v>Mediterranean Sea</x:v>
      </x:c>
      <x:c r="C414" s="46" t="str">
        <x:v>LME</x:v>
      </x:c>
      <x:c r="D414" s="58" t="n">
        <x:v>2019</x:v>
      </x:c>
      <x:c r="E414" s="46" t="str">
        <x:v>Holocentridae</x:v>
      </x:c>
      <x:c r="F414" s="46" t="str">
        <x:v>Squirrel-, soldierfishes</x:v>
      </x:c>
      <x:c r="G414" s="46" t="str">
        <x:v>Small reef assoc. fish (&lt;30 cm)</x:v>
      </x:c>
      <x:c r="H414" s="46" t="str">
        <x:v>Other fishes &amp; inverts</x:v>
      </x:c>
      <x:c r="I414" s="60" t="n">
        <x:v>1.9751042951</x:v>
      </x:c>
      <x:c r="J414" s="60" t="n">
        <x:v>1.9751042951</x:v>
      </x:c>
      <x:c r="K414" s="60" t="n">
        <x:v>0</x:v>
      </x:c>
      <x:c r="L414" s="60" t="n">
        <x:v>1.9751042951</x:v>
      </x:c>
      <x:c r="M414" s="60" t="n">
        <x:v>0</x:v>
      </x:c>
      <x:c r="N414" s="46" t="str">
        <x:v>holocentridae</x:v>
      </x:c>
      <x:c r="O414" s="62" t="n">
        <x:v>3.49</x:v>
      </x:c>
      <x:c r="P414" s="46" t="str">
        <x:v>exact_sea_around_us</x:v>
      </x:c>
      <x:c r="Q414" s="62" t="str">
        <x:v>Sea Around Us exploited organisms</x:v>
      </x:c>
      <x:c r="R414" s="46" t="str">
        <x:v>high</x:v>
      </x:c>
      <x:c r="S414" s="46" t="str">
        <x:v>Holocentridae</x:v>
      </x:c>
      <x:c r="T414" s="62" t="n">
        <x:f>IF(O414="","",(1/'Metadata'!$B$5)^(O414-1))</x:f>
        <x:v>1736.059833884101</x:v>
      </x:c>
      <x:c r="U414" s="60" t="n">
        <x:f>IF(T414="","",I414*T414)</x:f>
        <x:v>3428.89923445508</x:v>
      </x:c>
    </x:row>
    <x:row r="415" ht="18" customHeight="1">
      <x:c r="A415" s="46" t="str">
        <x:v>LME_026</x:v>
      </x:c>
      <x:c r="B415" s="46" t="str">
        <x:v>Mediterranean Sea</x:v>
      </x:c>
      <x:c r="C415" s="46" t="str">
        <x:v>LME</x:v>
      </x:c>
      <x:c r="D415" s="58" t="n">
        <x:v>2019</x:v>
      </x:c>
      <x:c r="E415" s="46" t="str">
        <x:v>Etmopterus</x:v>
      </x:c>
      <x:c r="F415" s="46" t="str">
        <x:v>Lanternsharks</x:v>
      </x:c>
      <x:c r="G415" s="46" t="str">
        <x:v>Small to medium sharks (&lt;90 cm)</x:v>
      </x:c>
      <x:c r="H415" s="46" t="str">
        <x:v>Sharks &amp; rays</x:v>
      </x:c>
      <x:c r="I415" s="60" t="n">
        <x:v>1.9334433613</x:v>
      </x:c>
      <x:c r="J415" s="60" t="n">
        <x:v>1.2415631807</x:v>
      </x:c>
      <x:c r="K415" s="60" t="n">
        <x:v>0.6918801806</x:v>
      </x:c>
      <x:c r="L415" s="60" t="n">
        <x:v>0.9466138763</x:v>
      </x:c>
      <x:c r="M415" s="60" t="n">
        <x:v>0.986829485</x:v>
      </x:c>
      <x:c r="N415" s="46" t="str">
        <x:v>etmopterus</x:v>
      </x:c>
      <x:c r="O415" s="62" t="n">
        <x:v>4.02</x:v>
      </x:c>
      <x:c r="P415" s="46" t="str">
        <x:v>exact_sea_around_us</x:v>
      </x:c>
      <x:c r="Q415" s="62" t="str">
        <x:v>Sea Around Us exploited organisms</x:v>
      </x:c>
      <x:c r="R415" s="46" t="str">
        <x:v>high</x:v>
      </x:c>
      <x:c r="S415" s="46" t="str">
        <x:v>Etmopterus</x:v>
      </x:c>
      <x:c r="T415" s="62" t="n">
        <x:f>IF(O415="","",(1/'Metadata'!$B$5)^(O415-1))</x:f>
        <x:v>8493.967342839818</x:v>
      </x:c>
      <x:c r="U415" s="60" t="n">
        <x:f>IF(T415="","",I415*T415)</x:f>
        <x:v>16422.604770112648</x:v>
      </x:c>
    </x:row>
    <x:row r="416" ht="18" customHeight="1">
      <x:c r="A416" s="46" t="str">
        <x:v>LME_026</x:v>
      </x:c>
      <x:c r="B416" s="46" t="str">
        <x:v>Mediterranean Sea</x:v>
      </x:c>
      <x:c r="C416" s="46" t="str">
        <x:v>LME</x:v>
      </x:c>
      <x:c r="D416" s="58" t="n">
        <x:v>2019</x:v>
      </x:c>
      <x:c r="E416" s="46" t="str">
        <x:v>Thysanoteuthis rhombus</x:v>
      </x:c>
      <x:c r="F416" s="46" t="str">
        <x:v>Rhomboid squid</x:v>
      </x:c>
      <x:c r="G416" s="46" t="str">
        <x:v>Cephalopods</x:v>
      </x:c>
      <x:c r="H416" s="46" t="str">
        <x:v>Other fishes &amp; inverts</x:v>
      </x:c>
      <x:c r="I416" s="60" t="n">
        <x:v>1.8713020551</x:v>
      </x:c>
      <x:c r="J416" s="60" t="n">
        <x:v>0.6553299999</x:v>
      </x:c>
      <x:c r="K416" s="60" t="n">
        <x:v>1.2159720552</x:v>
      </x:c>
      <x:c r="L416" s="60" t="n">
        <x:v>0.4080777548</x:v>
      </x:c>
      <x:c r="M416" s="60" t="n">
        <x:v>1.4632243003</x:v>
      </x:c>
      <x:c r="N416" s="46" t="str">
        <x:v>thysanoteuthis rhombus</x:v>
      </x:c>
      <x:c r="O416" s="62" t="n">
        <x:v>4.49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Thysanoteuthis rhombus</x:v>
      </x:c>
      <x:c r="T416" s="62" t="n">
        <x:f>IF(O416="","",(1/'Metadata'!$B$5)^(O416-1))</x:f>
        <x:v>34721.19667768202</x:v>
      </x:c>
      <x:c r="U416" s="60" t="n">
        <x:f>IF(T416="","",I416*T416)</x:f>
        <x:v>64973.84669847765</x:v>
      </x:c>
    </x:row>
    <x:row r="417" ht="18" customHeight="1">
      <x:c r="A417" s="46" t="str">
        <x:v>LME_026</x:v>
      </x:c>
      <x:c r="B417" s="46" t="str">
        <x:v>Mediterranean Sea</x:v>
      </x:c>
      <x:c r="C417" s="46" t="str">
        <x:v>LME</x:v>
      </x:c>
      <x:c r="D417" s="58" t="n">
        <x:v>2019</x:v>
      </x:c>
      <x:c r="E417" s="46" t="str">
        <x:v>Stromateus fiatola</x:v>
      </x:c>
      <x:c r="F417" s="46" t="str">
        <x:v>Blue butterfish</x:v>
      </x:c>
      <x:c r="G417" s="46" t="str">
        <x:v>Medium benthopelagics (30 - 89 cm)</x:v>
      </x:c>
      <x:c r="H417" s="46" t="str">
        <x:v>Perch-likes</x:v>
      </x:c>
      <x:c r="I417" s="60" t="n">
        <x:v>1.8138869166</x:v>
      </x:c>
      <x:c r="J417" s="60" t="n">
        <x:v>1.4467731097</x:v>
      </x:c>
      <x:c r="K417" s="60" t="n">
        <x:v>0.3671138069</x:v>
      </x:c>
      <x:c r="L417" s="60" t="n">
        <x:v>1.3789792227</x:v>
      </x:c>
      <x:c r="M417" s="60" t="n">
        <x:v>0.4349076939</x:v>
      </x:c>
      <x:c r="N417" s="46" t="str">
        <x:v>stromateus fiatola</x:v>
      </x:c>
      <x:c r="O417" s="62" t="n">
        <x:v>4.03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Stromateus fiatola</x:v>
      </x:c>
      <x:c r="T417" s="62" t="n">
        <x:f>IF(O417="","",(1/'Metadata'!$B$5)^(O417-1))</x:f>
        <x:v>8752.273628615554</x:v>
      </x:c>
      <x:c r="U417" s="60" t="n">
        <x:f>IF(T417="","",I417*T417)</x:f>
        <x:v>15875.634625448962</x:v>
      </x:c>
    </x:row>
    <x:row r="418" ht="18" customHeight="1">
      <x:c r="A418" s="46" t="str">
        <x:v>LME_026</x:v>
      </x:c>
      <x:c r="B418" s="46" t="str">
        <x:v>Mediterranean Sea</x:v>
      </x:c>
      <x:c r="C418" s="46" t="str">
        <x:v>LME</x:v>
      </x:c>
      <x:c r="D418" s="58" t="n">
        <x:v>2019</x:v>
      </x:c>
      <x:c r="E418" s="46" t="str">
        <x:v>Rossia macrosoma</x:v>
      </x:c>
      <x:c r="F418" s="46" t="str">
        <x:v>Stout bobtail</x:v>
      </x:c>
      <x:c r="G418" s="46" t="str">
        <x:v>Cephalopods</x:v>
      </x:c>
      <x:c r="H418" s="46" t="str">
        <x:v>Other fishes &amp; inverts</x:v>
      </x:c>
      <x:c r="I418" s="60" t="n">
        <x:v>1.7129148499</x:v>
      </x:c>
      <x:c r="J418" s="60" t="n">
        <x:v>0</x:v>
      </x:c>
      <x:c r="K418" s="60" t="n">
        <x:v>1.7129148499</x:v>
      </x:c>
      <x:c r="L418" s="60" t="n">
        <x:v>0</x:v>
      </x:c>
      <x:c r="M418" s="60" t="n">
        <x:v>1.7129148499</x:v>
      </x:c>
      <x:c r="N418" s="46" t="str">
        <x:v>rossia macrosoma</x:v>
      </x:c>
      <x:c r="O418" s="62" t="n">
        <x:v>4.04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Rossia macrosoma</x:v>
      </x:c>
      <x:c r="T418" s="62" t="n">
        <x:f>IF(O418="","",(1/'Metadata'!$B$5)^(O418-1))</x:f>
        <x:v>9018.435152653688</x:v>
      </x:c>
      <x:c r="U418" s="60" t="n">
        <x:f>IF(T418="","",I418*T418)</x:f>
        <x:v>15447.811495840677</x:v>
      </x:c>
    </x:row>
    <x:row r="419" ht="18" customHeight="1">
      <x:c r="A419" s="46" t="str">
        <x:v>LME_026</x:v>
      </x:c>
      <x:c r="B419" s="46" t="str">
        <x:v>Mediterranean Sea</x:v>
      </x:c>
      <x:c r="C419" s="46" t="str">
        <x:v>LME</x:v>
      </x:c>
      <x:c r="D419" s="58" t="n">
        <x:v>2019</x:v>
      </x:c>
      <x:c r="E419" s="46" t="str">
        <x:v>Venus verrucosa</x:v>
      </x:c>
      <x:c r="F419" s="46" t="str">
        <x:v>Warty venus</x:v>
      </x:c>
      <x:c r="G419" s="46" t="str">
        <x:v>Other demersal invertebrates</x:v>
      </x:c>
      <x:c r="H419" s="46" t="str">
        <x:v>Molluscs</x:v>
      </x:c>
      <x:c r="I419" s="60" t="n">
        <x:v>1.7121045639999999</x:v>
      </x:c>
      <x:c r="J419" s="60" t="n">
        <x:v>1.7121045639999999</x:v>
      </x:c>
      <x:c r="K419" s="60" t="n">
        <x:v>0</x:v>
      </x:c>
      <x:c r="L419" s="60" t="n">
        <x:v>1.7121045639999999</x:v>
      </x:c>
      <x:c r="M419" s="60" t="n">
        <x:v>0</x:v>
      </x:c>
      <x:c r="N419" s="46" t="str">
        <x:v>venus verrucosa</x:v>
      </x:c>
      <x:c r="O419" s="62" t="n">
        <x:v>2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Venus verrucosa</x:v>
      </x:c>
      <x:c r="T419" s="62" t="n">
        <x:f>IF(O419="","",(1/'Metadata'!$B$5)^(O419-1))</x:f>
        <x:v>20</x:v>
      </x:c>
      <x:c r="U419" s="60" t="n">
        <x:f>IF(T419="","",I419*T419)</x:f>
        <x:v>34.24209128</x:v>
      </x:c>
    </x:row>
    <x:row r="420" ht="18" customHeight="1">
      <x:c r="A420" s="46" t="str">
        <x:v>LME_026</x:v>
      </x:c>
      <x:c r="B420" s="46" t="str">
        <x:v>Mediterranean Sea</x:v>
      </x:c>
      <x:c r="C420" s="46" t="str">
        <x:v>LME</x:v>
      </x:c>
      <x:c r="D420" s="58" t="n">
        <x:v>2019</x:v>
      </x:c>
      <x:c r="E420" s="46" t="str">
        <x:v>Labrus viridis</x:v>
      </x:c>
      <x:c r="F420" s="46" t="str">
        <x:v>Green wrasse</x:v>
      </x:c>
      <x:c r="G420" s="46" t="str">
        <x:v>Medium reef assoc. fish (30 - 89 cm)</x:v>
      </x:c>
      <x:c r="H420" s="46" t="str">
        <x:v>Perch-likes</x:v>
      </x:c>
      <x:c r="I420" s="60" t="n">
        <x:v>1.7067152647000001</x:v>
      </x:c>
      <x:c r="J420" s="60" t="n">
        <x:v>1.5046432757</x:v>
      </x:c>
      <x:c r="K420" s="60" t="n">
        <x:v>0.202071989</x:v>
      </x:c>
      <x:c r="L420" s="60" t="n">
        <x:v>0</x:v>
      </x:c>
      <x:c r="M420" s="60" t="n">
        <x:v>1.7067152647000001</x:v>
      </x:c>
      <x:c r="N420" s="46" t="str">
        <x:v>labrus viridis</x:v>
      </x:c>
      <x:c r="O420" s="62" t="n">
        <x:v>3.93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Labrus viridis</x:v>
      </x:c>
      <x:c r="T420" s="62" t="n">
        <x:f>IF(O420="","",(1/'Metadata'!$B$5)^(O420-1))</x:f>
        <x:v>6486.611494177253</x:v>
      </x:c>
      <x:c r="U420" s="60" t="n">
        <x:f>IF(T420="","",I420*T420)</x:f>
        <x:v>11070.798853290793</x:v>
      </x:c>
    </x:row>
    <x:row r="421" ht="18" customHeight="1">
      <x:c r="A421" s="46" t="str">
        <x:v>LME_026</x:v>
      </x:c>
      <x:c r="B421" s="46" t="str">
        <x:v>Mediterranean Sea</x:v>
      </x:c>
      <x:c r="C421" s="46" t="str">
        <x:v>LME</x:v>
      </x:c>
      <x:c r="D421" s="58" t="n">
        <x:v>2019</x:v>
      </x:c>
      <x:c r="E421" s="46" t="str">
        <x:v>Dicologlossa cuneata</x:v>
      </x:c>
      <x:c r="F421" s="46" t="str">
        <x:v>Wedge sole</x:v>
      </x:c>
      <x:c r="G421" s="46" t="str">
        <x:v>Small to medium flatfishes (&lt;90 cm)</x:v>
      </x:c>
      <x:c r="H421" s="46" t="str">
        <x:v>Flatfishes</x:v>
      </x:c>
      <x:c r="I421" s="60" t="n">
        <x:v>1.6907032597</x:v>
      </x:c>
      <x:c r="J421" s="60" t="n">
        <x:v>1.6906978224</x:v>
      </x:c>
      <x:c r="K421" s="60" t="n">
        <x:v>0.0000054373</x:v>
      </x:c>
      <x:c r="L421" s="60" t="n">
        <x:v>1.6906978224</x:v>
      </x:c>
      <x:c r="M421" s="60" t="n">
        <x:v>0.0000054373</x:v>
      </x:c>
      <x:c r="N421" s="46" t="str">
        <x:v>dicologlossa cuneata</x:v>
      </x:c>
      <x:c r="O421" s="62" t="n">
        <x:v>3.32</x:v>
      </x:c>
      <x:c r="P421" s="46" t="str">
        <x:v>exact_2020_supplement</x:v>
      </x:c>
      <x:c r="Q421" s="62" t="str">
        <x:v>2020 supplement MeanTL</x:v>
      </x:c>
      <x:c r="R421" s="46" t="str">
        <x:v>high</x:v>
      </x:c>
      <x:c r="S421" s="46" t="str">
        <x:v>Dicologlossa cuneata</x:v>
      </x:c>
      <x:c r="T421" s="62" t="n">
        <x:f>IF(O421="","",(1/'Metadata'!$B$5)^(O421-1))</x:f>
        <x:v>1043.2528743388143</x:v>
      </x:c>
      <x:c r="U421" s="60" t="n">
        <x:f>IF(T421="","",I421*T421)</x:f>
        <x:v>1763.8310353360278</x:v>
      </x:c>
    </x:row>
    <x:row r="422" ht="18" customHeight="1">
      <x:c r="A422" s="46" t="str">
        <x:v>LME_026</x:v>
      </x:c>
      <x:c r="B422" s="46" t="str">
        <x:v>Mediterranean Sea</x:v>
      </x:c>
      <x:c r="C422" s="46" t="str">
        <x:v>LME</x:v>
      </x:c>
      <x:c r="D422" s="58" t="n">
        <x:v>2019</x:v>
      </x:c>
      <x:c r="E422" s="46" t="str">
        <x:v>Calappa granulata</x:v>
      </x:c>
      <x:c r="F422" s="46" t="str">
        <x:v>Shamfaced crab</x:v>
      </x:c>
      <x:c r="G422" s="46" t="str">
        <x:v>Lobsters, crabs</x:v>
      </x:c>
      <x:c r="H422" s="46" t="str">
        <x:v>Crustaceans</x:v>
      </x:c>
      <x:c r="I422" s="60" t="n">
        <x:v>1.6078658479999999</x:v>
      </x:c>
      <x:c r="J422" s="60" t="n">
        <x:v>1.3671940001</x:v>
      </x:c>
      <x:c r="K422" s="60" t="n">
        <x:v>0.24067184789999999</x:v>
      </x:c>
      <x:c r="L422" s="60" t="n">
        <x:v>1.3247326423999999</x:v>
      </x:c>
      <x:c r="M422" s="60" t="n">
        <x:v>0.2831332056</x:v>
      </x:c>
      <x:c r="N422" s="46" t="str">
        <x:v>calappa granulata</x:v>
      </x:c>
      <x:c r="O422" s="62" t="n">
        <x:v>3.94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Calappa granulata</x:v>
      </x:c>
      <x:c r="T422" s="62" t="n">
        <x:f>IF(O422="","",(1/'Metadata'!$B$5)^(O422-1))</x:f>
        <x:v>6683.872968668722</x:v>
      </x:c>
      <x:c r="U422" s="60" t="n">
        <x:f>IF(T422="","",I422*T422)</x:f>
        <x:v>10746.771078692811</x:v>
      </x:c>
    </x:row>
    <x:row r="423" ht="18" customHeight="1">
      <x:c r="A423" s="46" t="str">
        <x:v>LME_026</x:v>
      </x:c>
      <x:c r="B423" s="46" t="str">
        <x:v>Mediterranean Sea</x:v>
      </x:c>
      <x:c r="C423" s="46" t="str">
        <x:v>LME</x:v>
      </x:c>
      <x:c r="D423" s="58" t="n">
        <x:v>2019</x:v>
      </x:c>
      <x:c r="E423" s="46" t="str">
        <x:v>Leucoraja circularis</x:v>
      </x:c>
      <x:c r="F423" s="46" t="str">
        <x:v>Sandy ray</x:v>
      </x:c>
      <x:c r="G423" s="46" t="str">
        <x:v>Large rays (&gt;=90 cm)</x:v>
      </x:c>
      <x:c r="H423" s="46" t="str">
        <x:v>Sharks &amp; rays</x:v>
      </x:c>
      <x:c r="I423" s="60" t="n">
        <x:v>1.6002546276</x:v>
      </x:c>
      <x:c r="J423" s="60" t="n">
        <x:v>1.6002546276</x:v>
      </x:c>
      <x:c r="K423" s="60" t="n">
        <x:v>0</x:v>
      </x:c>
      <x:c r="L423" s="60" t="n">
        <x:v>1.4622948577</x:v>
      </x:c>
      <x:c r="M423" s="60" t="n">
        <x:v>0.1379597699</x:v>
      </x:c>
      <x:c r="N423" s="46" t="str">
        <x:v>leucoraja circularis</x:v>
      </x:c>
      <x:c r="O423" s="62" t="n">
        <x:v>3.5</x:v>
      </x:c>
      <x:c r="P423" s="46" t="str">
        <x:v>exact_2020_supplement</x:v>
      </x:c>
      <x:c r="Q423" s="62" t="str">
        <x:v>2020 supplement MeanTL</x:v>
      </x:c>
      <x:c r="R423" s="46" t="str">
        <x:v>high</x:v>
      </x:c>
      <x:c r="S423" s="46" t="str">
        <x:v>Leucoraja circularis</x:v>
      </x:c>
      <x:c r="T423" s="62" t="n">
        <x:f>IF(O423="","",(1/'Metadata'!$B$5)^(O423-1))</x:f>
        <x:v>1788.8543819998317</x:v>
      </x:c>
      <x:c r="U423" s="60" t="n">
        <x:f>IF(T423="","",I423*T423)</x:f>
        <x:v>2862.6225028977688</x:v>
      </x:c>
    </x:row>
    <x:row r="424" ht="18" customHeight="1">
      <x:c r="A424" s="46" t="str">
        <x:v>LME_026</x:v>
      </x:c>
      <x:c r="B424" s="46" t="str">
        <x:v>Mediterranean Sea</x:v>
      </x:c>
      <x:c r="C424" s="46" t="str">
        <x:v>LME</x:v>
      </x:c>
      <x:c r="D424" s="58" t="n">
        <x:v>2019</x:v>
      </x:c>
      <x:c r="E424" s="46" t="str">
        <x:v>Pleuronectidae</x:v>
      </x:c>
      <x:c r="F424" s="46" t="str">
        <x:v>Righteye flounders</x:v>
      </x:c>
      <x:c r="G424" s="46" t="str">
        <x:v>Small to medium flatfishes (&lt;90 cm)</x:v>
      </x:c>
      <x:c r="H424" s="46" t="str">
        <x:v>Flatfishes</x:v>
      </x:c>
      <x:c r="I424" s="60" t="n">
        <x:v>1.5422503239</x:v>
      </x:c>
      <x:c r="J424" s="60" t="n">
        <x:v>0.9862911458</x:v>
      </x:c>
      <x:c r="K424" s="60" t="n">
        <x:v>0.5559591781</x:v>
      </x:c>
      <x:c r="L424" s="60" t="n">
        <x:v>0.7451706484</x:v>
      </x:c>
      <x:c r="M424" s="60" t="n">
        <x:v>0.7970796754999999</x:v>
      </x:c>
      <x:c r="N424" s="46" t="str">
        <x:v>pleuronectidae</x:v>
      </x:c>
      <x:c r="O424" s="62" t="n">
        <x:v>3.49</x:v>
      </x:c>
      <x:c r="P424" s="46" t="str">
        <x:v>exact_sea_around_us</x:v>
      </x:c>
      <x:c r="Q424" s="62" t="str">
        <x:v>Sea Around Us exploited organisms</x:v>
      </x:c>
      <x:c r="R424" s="46" t="str">
        <x:v>high</x:v>
      </x:c>
      <x:c r="S424" s="46" t="str">
        <x:v>Pleuronectidae</x:v>
      </x:c>
      <x:c r="T424" s="62" t="n">
        <x:f>IF(O424="","",(1/'Metadata'!$B$5)^(O424-1))</x:f>
        <x:v>1736.059833884101</x:v>
      </x:c>
      <x:c r="U424" s="60" t="n">
        <x:f>IF(T424="","",I424*T424)</x:f>
        <x:v>2677.438841117535</x:v>
      </x:c>
    </x:row>
    <x:row r="425" ht="18" customHeight="1">
      <x:c r="A425" s="46" t="str">
        <x:v>LME_026</x:v>
      </x:c>
      <x:c r="B425" s="46" t="str">
        <x:v>Mediterranean Sea</x:v>
      </x:c>
      <x:c r="C425" s="46" t="str">
        <x:v>LME</x:v>
      </x:c>
      <x:c r="D425" s="58" t="n">
        <x:v>2019</x:v>
      </x:c>
      <x:c r="E425" s="46" t="str">
        <x:v>Peristedion cataphractum</x:v>
      </x:c>
      <x:c r="F425" s="46" t="str">
        <x:v>African armoured searobin</x:v>
      </x:c>
      <x:c r="G425" s="46" t="str">
        <x:v>Medium demersals (30 - 89 cm)</x:v>
      </x:c>
      <x:c r="H425" s="46" t="str">
        <x:v>Scorpionfishes</x:v>
      </x:c>
      <x:c r="I425" s="60" t="n">
        <x:v>1.5279093368999999</x:v>
      </x:c>
      <x:c r="J425" s="60" t="n">
        <x:v>0.8396036483</x:v>
      </x:c>
      <x:c r="K425" s="60" t="n">
        <x:v>0.6883056886</x:v>
      </x:c>
      <x:c r="L425" s="60" t="n">
        <x:v>0.7832860577</x:v>
      </x:c>
      <x:c r="M425" s="60" t="n">
        <x:v>0.7446232791999999</x:v>
      </x:c>
      <x:c r="N425" s="46" t="str">
        <x:v>peristedion cataphractum</x:v>
      </x:c>
      <x:c r="O425" s="62" t="n">
        <x:v>3.6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Peristedion cataphractum</x:v>
      </x:c>
      <x:c r="T425" s="62" t="n">
        <x:f>IF(O425="","",(1/'Metadata'!$B$5)^(O425-1))</x:f>
        <x:v>2413.670534618066</x:v>
      </x:c>
      <x:c r="U425" s="60" t="n">
        <x:f>IF(T425="","",I425*T425)</x:f>
        <x:v>3687.8697460433573</x:v>
      </x:c>
    </x:row>
    <x:row r="426" ht="18" customHeight="1">
      <x:c r="A426" s="46" t="str">
        <x:v>LME_026</x:v>
      </x:c>
      <x:c r="B426" s="46" t="str">
        <x:v>Mediterranean Sea</x:v>
      </x:c>
      <x:c r="C426" s="46" t="str">
        <x:v>LME</x:v>
      </x:c>
      <x:c r="D426" s="58" t="n">
        <x:v>2019</x:v>
      </x:c>
      <x:c r="E426" s="46" t="str">
        <x:v>Mytilus edulis</x:v>
      </x:c>
      <x:c r="F426" s="46" t="str">
        <x:v>Blue mussel</x:v>
      </x:c>
      <x:c r="G426" s="46" t="str">
        <x:v>Other demersal invertebrates</x:v>
      </x:c>
      <x:c r="H426" s="46" t="str">
        <x:v>Molluscs</x:v>
      </x:c>
      <x:c r="I426" s="60" t="n">
        <x:v>1.52279006</x:v>
      </x:c>
      <x:c r="J426" s="60" t="n">
        <x:v>0.1339037766</x:v>
      </x:c>
      <x:c r="K426" s="60" t="n">
        <x:v>1.3888862834</x:v>
      </x:c>
      <x:c r="L426" s="60" t="n">
        <x:v>0.0331249926</x:v>
      </x:c>
      <x:c r="M426" s="60" t="n">
        <x:v>1.4896650673999998</x:v>
      </x:c>
      <x:c r="N426" s="46" t="str">
        <x:v>mytilus edulis</x:v>
      </x:c>
      <x:c r="O426" s="62" t="n">
        <x:v>2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Mytilus edulis</x:v>
      </x:c>
      <x:c r="T426" s="62" t="n">
        <x:f>IF(O426="","",(1/'Metadata'!$B$5)^(O426-1))</x:f>
        <x:v>20</x:v>
      </x:c>
      <x:c r="U426" s="60" t="n">
        <x:f>IF(T426="","",I426*T426)</x:f>
        <x:v>30.4558012</x:v>
      </x:c>
    </x:row>
    <x:row r="427" ht="18" customHeight="1">
      <x:c r="A427" s="46" t="str">
        <x:v>LME_026</x:v>
      </x:c>
      <x:c r="B427" s="46" t="str">
        <x:v>Mediterranean Sea</x:v>
      </x:c>
      <x:c r="C427" s="46" t="str">
        <x:v>LME</x:v>
      </x:c>
      <x:c r="D427" s="58" t="n">
        <x:v>2019</x:v>
      </x:c>
      <x:c r="E427" s="46" t="str">
        <x:v>Carcharhinus</x:v>
      </x:c>
      <x:c r="F427" s="46" t="str">
        <x:v>Sharp-nosed sharks</x:v>
      </x:c>
      <x:c r="G427" s="46" t="str">
        <x:v>Large sharks (&gt;=90 cm)</x:v>
      </x:c>
      <x:c r="H427" s="46" t="str">
        <x:v>Sharks &amp; rays</x:v>
      </x:c>
      <x:c r="I427" s="60" t="n">
        <x:v>1.5005159036</x:v>
      </x:c>
      <x:c r="J427" s="60" t="n">
        <x:v>1.5005159036</x:v>
      </x:c>
      <x:c r="K427" s="60" t="n">
        <x:v>0</x:v>
      </x:c>
      <x:c r="L427" s="60" t="n">
        <x:v>1.5005159036</x:v>
      </x:c>
      <x:c r="M427" s="60" t="n">
        <x:v>0</x:v>
      </x:c>
      <x:c r="N427" s="46" t="str">
        <x:v>carcharhinus</x:v>
      </x:c>
      <x:c r="O427" s="62" t="n">
        <x:v>4.26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Carcharhinus</x:v>
      </x:c>
      <x:c r="T427" s="62" t="n">
        <x:f>IF(O427="","",(1/'Metadata'!$B$5)^(O427-1))</x:f>
        <x:v>17432.42421569787</x:v>
      </x:c>
      <x:c r="U427" s="60" t="n">
        <x:f>IF(T427="","",I427*T427)</x:f>
        <x:v>26157.629773956407</x:v>
      </x:c>
    </x:row>
    <x:row r="428" ht="18" customHeight="1">
      <x:c r="A428" s="46" t="str">
        <x:v>LME_026</x:v>
      </x:c>
      <x:c r="B428" s="46" t="str">
        <x:v>Mediterranean Sea</x:v>
      </x:c>
      <x:c r="C428" s="46" t="str">
        <x:v>LME</x:v>
      </x:c>
      <x:c r="D428" s="58" t="n">
        <x:v>2019</x:v>
      </x:c>
      <x:c r="E428" s="46" t="str">
        <x:v>Squalus</x:v>
      </x:c>
      <x:c r="F428" s="46" t="str">
        <x:v>Dogfishes</x:v>
      </x:c>
      <x:c r="G428" s="46" t="str">
        <x:v>Large sharks (&gt;=90 cm)</x:v>
      </x:c>
      <x:c r="H428" s="46" t="str">
        <x:v>Sharks &amp; rays</x:v>
      </x:c>
      <x:c r="I428" s="60" t="n">
        <x:v>1.4288331216999999</x:v>
      </x:c>
      <x:c r="J428" s="60" t="n">
        <x:v>1.0874367611</x:v>
      </x:c>
      <x:c r="K428" s="60" t="n">
        <x:v>0.3413963606</x:v>
      </x:c>
      <x:c r="L428" s="60" t="n">
        <x:v>0.4652429462</x:v>
      </x:c>
      <x:c r="M428" s="60" t="n">
        <x:v>0.9635901755</x:v>
      </x:c>
      <x:c r="N428" s="46" t="str">
        <x:v>squalus</x:v>
      </x:c>
      <x:c r="O428" s="62" t="n">
        <x:v>4.23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Squalus</x:v>
      </x:c>
      <x:c r="T428" s="62" t="n">
        <x:f>IF(O428="","",(1/'Metadata'!$B$5)^(O428-1))</x:f>
        <x:v>15934.076063346663</x:v>
      </x:c>
      <x:c r="U428" s="60" t="n">
        <x:f>IF(T428="","",I428*T428)</x:f>
        <x:v>22767.13564299686</x:v>
      </x:c>
    </x:row>
    <x:row r="429" ht="18" customHeight="1">
      <x:c r="A429" s="46" t="str">
        <x:v>LME_026</x:v>
      </x:c>
      <x:c r="B429" s="46" t="str">
        <x:v>Mediterranean Sea</x:v>
      </x:c>
      <x:c r="C429" s="46" t="str">
        <x:v>LME</x:v>
      </x:c>
      <x:c r="D429" s="58" t="n">
        <x:v>2019</x:v>
      </x:c>
      <x:c r="E429" s="46" t="str">
        <x:v>Pteroplatytrygon violacea</x:v>
      </x:c>
      <x:c r="F429" s="46" t="str">
        <x:v>Pelagic stingray</x:v>
      </x:c>
      <x:c r="G429" s="46" t="str">
        <x:v>Large rays (&gt;=90 cm)</x:v>
      </x:c>
      <x:c r="H429" s="46" t="str">
        <x:v>Sharks &amp; rays</x:v>
      </x:c>
      <x:c r="I429" s="60" t="n">
        <x:v>1.3221429081</x:v>
      </x:c>
      <x:c r="J429" s="60" t="n">
        <x:v>0</x:v>
      </x:c>
      <x:c r="K429" s="60" t="n">
        <x:v>1.3221429081</x:v>
      </x:c>
      <x:c r="L429" s="60" t="n">
        <x:v>0</x:v>
      </x:c>
      <x:c r="M429" s="60" t="n">
        <x:v>1.3221429081</x:v>
      </x:c>
      <x:c r="N429" s="46" t="str">
        <x:v>pteroplatytrygon violacea</x:v>
      </x:c>
      <x:c r="O429" s="62" t="n">
        <x:v>4.36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Pteroplatytrygon violacea</x:v>
      </x:c>
      <x:c r="T429" s="62" t="n">
        <x:f>IF(O429="","",(1/'Metadata'!$B$5)^(O429-1))</x:f>
        <x:v>23521.270987610445</x:v>
      </x:c>
      <x:c r="U429" s="60" t="n">
        <x:f>IF(T429="","",I429*T429)</x:f>
        <x:v>31098.481625767432</x:v>
      </x:c>
    </x:row>
    <x:row r="430" ht="18" customHeight="1">
      <x:c r="A430" s="46" t="str">
        <x:v>LME_026</x:v>
      </x:c>
      <x:c r="B430" s="46" t="str">
        <x:v>Mediterranean Sea</x:v>
      </x:c>
      <x:c r="C430" s="46" t="str">
        <x:v>LME</x:v>
      </x:c>
      <x:c r="D430" s="58" t="n">
        <x:v>2019</x:v>
      </x:c>
      <x:c r="E430" s="46" t="str">
        <x:v>Uranoscopus</x:v>
      </x:c>
      <x:c r="F430" s="46" t="str">
        <x:v>Stargazers</x:v>
      </x:c>
      <x:c r="G430" s="46" t="str">
        <x:v>Medium demersals (30 - 89 cm)</x:v>
      </x:c>
      <x:c r="H430" s="46" t="str">
        <x:v>Perch-likes</x:v>
      </x:c>
      <x:c r="I430" s="60" t="n">
        <x:v>1.1982787858</x:v>
      </x:c>
      <x:c r="J430" s="60" t="n">
        <x:v>0.6812450775</x:v>
      </x:c>
      <x:c r="K430" s="60" t="n">
        <x:v>0.5170337083000001</x:v>
      </x:c>
      <x:c r="L430" s="60" t="n">
        <x:v>0.5286651019</x:v>
      </x:c>
      <x:c r="M430" s="60" t="n">
        <x:v>0.6696136839</x:v>
      </x:c>
      <x:c r="N430" s="46" t="str">
        <x:v>uranoscopus</x:v>
      </x:c>
      <x:c r="O430" s="62" t="n">
        <x:v>4.2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Uranoscopus</x:v>
      </x:c>
      <x:c r="T430" s="62" t="n">
        <x:f>IF(O430="","",(1/'Metadata'!$B$5)^(O430-1))</x:f>
        <x:v>14564.51362420865</x:v>
      </x:c>
      <x:c r="U430" s="60" t="n">
        <x:f>IF(T430="","",I430*T430)</x:f>
        <x:v>17452.347701384297</x:v>
      </x:c>
    </x:row>
    <x:row r="431" ht="18" customHeight="1">
      <x:c r="A431" s="46" t="str">
        <x:v>LME_026</x:v>
      </x:c>
      <x:c r="B431" s="46" t="str">
        <x:v>Mediterranean Sea</x:v>
      </x:c>
      <x:c r="C431" s="46" t="str">
        <x:v>LME</x:v>
      </x:c>
      <x:c r="D431" s="58" t="n">
        <x:v>2019</x:v>
      </x:c>
      <x:c r="E431" s="46" t="str">
        <x:v>Chelidonichthys</x:v>
      </x:c>
      <x:c r="F431" s="46" t="str">
        <x:v>Smallscaled gurnards</x:v>
      </x:c>
      <x:c r="G431" s="46" t="str">
        <x:v>Medium demersals (30 - 89 cm)</x:v>
      </x:c>
      <x:c r="H431" s="46" t="str">
        <x:v>Scorpionfishes</x:v>
      </x:c>
      <x:c r="I431" s="60" t="n">
        <x:v>1.1423986824</x:v>
      </x:c>
      <x:c r="J431" s="60" t="n">
        <x:v>0.8035426986</x:v>
      </x:c>
      <x:c r="K431" s="60" t="n">
        <x:v>0.3388559838</x:v>
      </x:c>
      <x:c r="L431" s="60" t="n">
        <x:v>0.319264079</x:v>
      </x:c>
      <x:c r="M431" s="60" t="n">
        <x:v>0.8231346034</x:v>
      </x:c>
      <x:c r="N431" s="46" t="str">
        <x:v>chelidonichthys</x:v>
      </x:c>
      <x:c r="O431" s="62" t="n">
        <x:v>3.72</x:v>
      </x:c>
      <x:c r="P431" s="46" t="str">
        <x:v>exact_sea_around_us</x:v>
      </x:c>
      <x:c r="Q431" s="62" t="str">
        <x:v>Sea Around Us exploited organisms</x:v>
      </x:c>
      <x:c r="R431" s="46" t="str">
        <x:v>high</x:v>
      </x:c>
      <x:c r="S431" s="46" t="str">
        <x:v>Chelidonichthys</x:v>
      </x:c>
      <x:c r="T431" s="62" t="n">
        <x:f>IF(O431="","",(1/'Metadata'!$B$5)^(O431-1))</x:f>
        <x:v>3457.8136804537753</x:v>
      </x:c>
      <x:c r="U431" s="60" t="n">
        <x:f>IF(T431="","",I431*T431)</x:f>
        <x:v>3950.201792535088</x:v>
      </x:c>
    </x:row>
    <x:row r="432" ht="18" customHeight="1">
      <x:c r="A432" s="46" t="str">
        <x:v>LME_026</x:v>
      </x:c>
      <x:c r="B432" s="46" t="str">
        <x:v>Mediterranean Sea</x:v>
      </x:c>
      <x:c r="C432" s="46" t="str">
        <x:v>LME</x:v>
      </x:c>
      <x:c r="D432" s="58" t="n">
        <x:v>2019</x:v>
      </x:c>
      <x:c r="E432" s="46" t="str">
        <x:v>Echelus myrus</x:v>
      </x:c>
      <x:c r="F432" s="46" t="str">
        <x:v>Painted eel</x:v>
      </x:c>
      <x:c r="G432" s="46" t="str">
        <x:v>Large demersals (&gt;=90 cm)</x:v>
      </x:c>
      <x:c r="H432" s="46" t="str">
        <x:v>Other fishes &amp; inverts</x:v>
      </x:c>
      <x:c r="I432" s="60" t="n">
        <x:v>1.0470445086</x:v>
      </x:c>
      <x:c r="J432" s="60" t="n">
        <x:v>1.0470445086</x:v>
      </x:c>
      <x:c r="K432" s="60" t="n">
        <x:v>0</x:v>
      </x:c>
      <x:c r="L432" s="60" t="n">
        <x:v>0</x:v>
      </x:c>
      <x:c r="M432" s="60" t="n">
        <x:v>1.0470445086</x:v>
      </x:c>
      <x:c r="N432" s="46" t="str">
        <x:v>echelus myrus</x:v>
      </x:c>
      <x:c r="O432" s="62" t="n">
        <x:v>4.3</x:v>
      </x:c>
      <x:c r="P432" s="46" t="str">
        <x:v>exact_sea_around_us</x:v>
      </x:c>
      <x:c r="Q432" s="62" t="str">
        <x:v>Sea Around Us exploited organisms</x:v>
      </x:c>
      <x:c r="R432" s="46" t="str">
        <x:v>high</x:v>
      </x:c>
      <x:c r="S432" s="46" t="str">
        <x:v>Echelus myrus</x:v>
      </x:c>
      <x:c r="T432" s="62" t="n">
        <x:f>IF(O432="","",(1/'Metadata'!$B$5)^(O432-1))</x:f>
        <x:v>19651.648417852637</x:v>
      </x:c>
      <x:c r="U432" s="60" t="n">
        <x:f>IF(T432="","",I432*T432)</x:f>
        <x:v>20576.15056085048</x:v>
      </x:c>
    </x:row>
    <x:row r="433" ht="18" customHeight="1">
      <x:c r="A433" s="46" t="str">
        <x:v>LME_026</x:v>
      </x:c>
      <x:c r="B433" s="46" t="str">
        <x:v>Mediterranean Sea</x:v>
      </x:c>
      <x:c r="C433" s="46" t="str">
        <x:v>LME</x:v>
      </x:c>
      <x:c r="D433" s="58" t="n">
        <x:v>2019</x:v>
      </x:c>
      <x:c r="E433" s="46" t="str">
        <x:v>Carcharhinus brachyurus</x:v>
      </x:c>
      <x:c r="F433" s="46" t="str">
        <x:v>Copper shark</x:v>
      </x:c>
      <x:c r="G433" s="46" t="str">
        <x:v>Large sharks (&gt;=90 cm)</x:v>
      </x:c>
      <x:c r="H433" s="46" t="str">
        <x:v>Sharks &amp; rays</x:v>
      </x:c>
      <x:c r="I433" s="60" t="n">
        <x:v>0.927348955</x:v>
      </x:c>
      <x:c r="J433" s="60" t="n">
        <x:v>0.927348955</x:v>
      </x:c>
      <x:c r="K433" s="60" t="n">
        <x:v>0</x:v>
      </x:c>
      <x:c r="L433" s="60" t="n">
        <x:v>0.7832338043</x:v>
      </x:c>
      <x:c r="M433" s="60" t="n">
        <x:v>0.1441151507</x:v>
      </x:c>
      <x:c r="N433" s="46" t="str">
        <x:v>carcharhinus brachyurus</x:v>
      </x:c>
      <x:c r="O433" s="62" t="n">
        <x:v>4.5</x:v>
      </x:c>
      <x:c r="P433" s="46" t="str">
        <x:v>exact_2020_supplement</x:v>
      </x:c>
      <x:c r="Q433" s="62" t="str">
        <x:v>2020 supplement MeanTL</x:v>
      </x:c>
      <x:c r="R433" s="46" t="str">
        <x:v>high</x:v>
      </x:c>
      <x:c r="S433" s="46" t="str">
        <x:v>Carcharhinus brachyurus</x:v>
      </x:c>
      <x:c r="T433" s="62" t="n">
        <x:f>IF(O433="","",(1/'Metadata'!$B$5)^(O433-1))</x:f>
        <x:v>35777.08763999664</x:v>
      </x:c>
      <x:c r="U433" s="60" t="n">
        <x:f>IF(T433="","",I433*T433)</x:f>
        <x:v>33177.8448358943</x:v>
      </x:c>
    </x:row>
    <x:row r="434" ht="18" customHeight="1">
      <x:c r="A434" s="46" t="str">
        <x:v>LME_026</x:v>
      </x:c>
      <x:c r="B434" s="46" t="str">
        <x:v>Mediterranean Sea</x:v>
      </x:c>
      <x:c r="C434" s="46" t="str">
        <x:v>LME</x:v>
      </x:c>
      <x:c r="D434" s="58" t="n">
        <x:v>2019</x:v>
      </x:c>
      <x:c r="E434" s="46" t="str">
        <x:v>Ensis siliqua</x:v>
      </x:c>
      <x:c r="F434" s="46" t="str">
        <x:v>Sword razor shell</x:v>
      </x:c>
      <x:c r="G434" s="46" t="str">
        <x:v>Other demersal invertebrates</x:v>
      </x:c>
      <x:c r="H434" s="46" t="str">
        <x:v>Molluscs</x:v>
      </x:c>
      <x:c r="I434" s="60" t="n">
        <x:v>0.8669113102</x:v>
      </x:c>
      <x:c r="J434" s="60" t="n">
        <x:v>0.6593810251</x:v>
      </x:c>
      <x:c r="K434" s="60" t="n">
        <x:v>0.2075302851</x:v>
      </x:c>
      <x:c r="L434" s="60" t="n">
        <x:v>0.6593810251</x:v>
      </x:c>
      <x:c r="M434" s="60" t="n">
        <x:v>0.2075302851</x:v>
      </x:c>
      <x:c r="N434" s="46" t="str">
        <x:v>ensis siliqua</x:v>
      </x:c>
      <x:c r="O434" s="62" t="n">
        <x:v>2</x:v>
      </x:c>
      <x:c r="P434" s="46" t="str">
        <x:v>exact_2020_supplement</x:v>
      </x:c>
      <x:c r="Q434" s="62" t="str">
        <x:v>2020 supplement MeanTL</x:v>
      </x:c>
      <x:c r="R434" s="46" t="str">
        <x:v>high</x:v>
      </x:c>
      <x:c r="S434" s="46" t="str">
        <x:v>Ensis siliqua</x:v>
      </x:c>
      <x:c r="T434" s="62" t="n">
        <x:f>IF(O434="","",(1/'Metadata'!$B$5)^(O434-1))</x:f>
        <x:v>20</x:v>
      </x:c>
      <x:c r="U434" s="60" t="n">
        <x:f>IF(T434="","",I434*T434)</x:f>
        <x:v>17.338226204</x:v>
      </x:c>
    </x:row>
    <x:row r="435" ht="18" customHeight="1">
      <x:c r="A435" s="46" t="str">
        <x:v>LME_026</x:v>
      </x:c>
      <x:c r="B435" s="46" t="str">
        <x:v>Mediterranean Sea</x:v>
      </x:c>
      <x:c r="C435" s="46" t="str">
        <x:v>LME</x:v>
      </x:c>
      <x:c r="D435" s="58" t="n">
        <x:v>2019</x:v>
      </x:c>
      <x:c r="E435" s="46" t="str">
        <x:v>Zeidae</x:v>
      </x:c>
      <x:c r="F435" s="46" t="str">
        <x:v>Dories</x:v>
      </x:c>
      <x:c r="G435" s="46" t="str">
        <x:v>Medium bathydemersals (30 - 89 cm)</x:v>
      </x:c>
      <x:c r="H435" s="46" t="str">
        <x:v>Other fishes &amp; inverts</x:v>
      </x:c>
      <x:c r="I435" s="60" t="n">
        <x:v>0.8572431358999999</x:v>
      </x:c>
      <x:c r="J435" s="60" t="n">
        <x:v>0.8572431358999999</x:v>
      </x:c>
      <x:c r="K435" s="60" t="n">
        <x:v>0</x:v>
      </x:c>
      <x:c r="L435" s="60" t="n">
        <x:v>0</x:v>
      </x:c>
      <x:c r="M435" s="60" t="n">
        <x:v>0.8572431358999999</x:v>
      </x:c>
      <x:c r="N435" s="46" t="str">
        <x:v>zeidae</x:v>
      </x:c>
      <x:c r="O435" s="62" t="n">
        <x:v>4.49</x:v>
      </x:c>
      <x:c r="P435" s="46" t="str">
        <x:v>exact_sea_around_us</x:v>
      </x:c>
      <x:c r="Q435" s="62" t="str">
        <x:v>Sea Around Us exploited organisms</x:v>
      </x:c>
      <x:c r="R435" s="46" t="str">
        <x:v>high</x:v>
      </x:c>
      <x:c r="S435" s="46" t="str">
        <x:v>Zeidae</x:v>
      </x:c>
      <x:c r="T435" s="62" t="n">
        <x:f>IF(O435="","",(1/'Metadata'!$B$5)^(O435-1))</x:f>
        <x:v>34721.19667768202</x:v>
      </x:c>
      <x:c r="U435" s="60" t="n">
        <x:f>IF(T435="","",I435*T435)</x:f>
        <x:v>29764.50752217679</x:v>
      </x:c>
    </x:row>
    <x:row r="436" ht="18" customHeight="1">
      <x:c r="A436" s="46" t="str">
        <x:v>LME_026</x:v>
      </x:c>
      <x:c r="B436" s="46" t="str">
        <x:v>Mediterranean Sea</x:v>
      </x:c>
      <x:c r="C436" s="46" t="str">
        <x:v>LME</x:v>
      </x:c>
      <x:c r="D436" s="58" t="n">
        <x:v>2019</x:v>
      </x:c>
      <x:c r="E436" s="46" t="str">
        <x:v>Labrus merula</x:v>
      </x:c>
      <x:c r="F436" s="46" t="str">
        <x:v>Brown wrasse</x:v>
      </x:c>
      <x:c r="G436" s="46" t="str">
        <x:v>Medium reef assoc. fish (30 - 89 cm)</x:v>
      </x:c>
      <x:c r="H436" s="46" t="str">
        <x:v>Perch-likes</x:v>
      </x:c>
      <x:c r="I436" s="60" t="n">
        <x:v>0.8459922042000001</x:v>
      </x:c>
      <x:c r="J436" s="60" t="n">
        <x:v>0.8459922042000001</x:v>
      </x:c>
      <x:c r="K436" s="60" t="n">
        <x:v>0</x:v>
      </x:c>
      <x:c r="L436" s="60" t="n">
        <x:v>0</x:v>
      </x:c>
      <x:c r="M436" s="60" t="n">
        <x:v>0.8459922042000001</x:v>
      </x:c>
      <x:c r="N436" s="46" t="str">
        <x:v>labrus merula</x:v>
      </x:c>
      <x:c r="O436" s="62" t="n">
        <x:v>3.55</x:v>
      </x:c>
      <x:c r="P436" s="46" t="str">
        <x:v>exact_2020_supplement</x:v>
      </x:c>
      <x:c r="Q436" s="62" t="str">
        <x:v>2020 supplement MeanTL</x:v>
      </x:c>
      <x:c r="R436" s="46" t="str">
        <x:v>high</x:v>
      </x:c>
      <x:c r="S436" s="46" t="str">
        <x:v>Labrus merula</x:v>
      </x:c>
      <x:c r="T436" s="62" t="n">
        <x:f>IF(O436="","",(1/'Metadata'!$B$5)^(O436-1))</x:f>
        <x:v>2077.9088316274606</x:v>
      </x:c>
      <x:c r="U436" s="60" t="n">
        <x:f>IF(T436="","",I436*T436)</x:f>
        <x:v>1757.8946725951623</x:v>
      </x:c>
    </x:row>
    <x:row r="437" ht="18" customHeight="1">
      <x:c r="A437" s="46" t="str">
        <x:v>LME_026</x:v>
      </x:c>
      <x:c r="B437" s="46" t="str">
        <x:v>Mediterranean Sea</x:v>
      </x:c>
      <x:c r="C437" s="46" t="str">
        <x:v>LME</x:v>
      </x:c>
      <x:c r="D437" s="58" t="n">
        <x:v>2019</x:v>
      </x:c>
      <x:c r="E437" s="46" t="str">
        <x:v>Pelates quadrilineatus</x:v>
      </x:c>
      <x:c r="F437" s="46" t="str">
        <x:v>Fourlined terapon</x:v>
      </x:c>
      <x:c r="G437" s="46" t="str">
        <x:v>Small pelagics (&lt;30 cm)</x:v>
      </x:c>
      <x:c r="H437" s="46" t="str">
        <x:v>Perch-likes</x:v>
      </x:c>
      <x:c r="I437" s="60" t="n">
        <x:v>0.8258550698</x:v>
      </x:c>
      <x:c r="J437" s="60" t="n">
        <x:v>0</x:v>
      </x:c>
      <x:c r="K437" s="60" t="n">
        <x:v>0.8258550698</x:v>
      </x:c>
      <x:c r="L437" s="60" t="n">
        <x:v>0</x:v>
      </x:c>
      <x:c r="M437" s="60" t="n">
        <x:v>0.8258550698</x:v>
      </x:c>
      <x:c r="N437" s="46" t="str">
        <x:v>pelates quadrilineatus</x:v>
      </x:c>
      <x:c r="O437" s="62" t="n">
        <x:v>3.5</x:v>
      </x:c>
      <x:c r="P437" s="46" t="str">
        <x:v>exact_2020_supplement</x:v>
      </x:c>
      <x:c r="Q437" s="62" t="str">
        <x:v>2020 supplement MeanTL</x:v>
      </x:c>
      <x:c r="R437" s="46" t="str">
        <x:v>high</x:v>
      </x:c>
      <x:c r="S437" s="46" t="str">
        <x:v>Pelates quadrilineatus</x:v>
      </x:c>
      <x:c r="T437" s="62" t="n">
        <x:f>IF(O437="","",(1/'Metadata'!$B$5)^(O437-1))</x:f>
        <x:v>1788.8543819998317</x:v>
      </x:c>
      <x:c r="U437" s="60" t="n">
        <x:f>IF(T437="","",I437*T437)</x:f>
        <x:v>1477.334460508507</x:v>
      </x:c>
    </x:row>
    <x:row r="438" ht="18" customHeight="1">
      <x:c r="A438" s="46" t="str">
        <x:v>LME_026</x:v>
      </x:c>
      <x:c r="B438" s="46" t="str">
        <x:v>Mediterranean Sea</x:v>
      </x:c>
      <x:c r="C438" s="46" t="str">
        <x:v>LME</x:v>
      </x:c>
      <x:c r="D438" s="58" t="n">
        <x:v>2019</x:v>
      </x:c>
      <x:c r="E438" s="46" t="str">
        <x:v>Raja polystigma</x:v>
      </x:c>
      <x:c r="F438" s="46" t="str">
        <x:v>Speckled ray</x:v>
      </x:c>
      <x:c r="G438" s="46" t="str">
        <x:v>Small to medium rays (&lt;90 cm)</x:v>
      </x:c>
      <x:c r="H438" s="46" t="str">
        <x:v>Sharks &amp; rays</x:v>
      </x:c>
      <x:c r="I438" s="60" t="n">
        <x:v>0.811575309</x:v>
      </x:c>
      <x:c r="J438" s="60" t="n">
        <x:v>0.811575309</x:v>
      </x:c>
      <x:c r="K438" s="60" t="n">
        <x:v>0</x:v>
      </x:c>
      <x:c r="L438" s="60" t="n">
        <x:v>0.811575309</x:v>
      </x:c>
      <x:c r="M438" s="60" t="n">
        <x:v>0</x:v>
      </x:c>
      <x:c r="N438" s="46" t="str">
        <x:v>raja polystigma</x:v>
      </x:c>
      <x:c r="O438" s="62" t="n">
        <x:v>3.97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Raja polystigma</x:v>
      </x:c>
      <x:c r="T438" s="62" t="n">
        <x:f>IF(O438="","",(1/'Metadata'!$B$5)^(O438-1))</x:f>
        <x:v>7312.385640086951</x:v>
      </x:c>
      <x:c r="U438" s="60" t="n">
        <x:f>IF(T438="","",I438*T438)</x:f>
        <x:v>5934.55163538073</x:v>
      </x:c>
    </x:row>
    <x:row r="439" ht="18" customHeight="1">
      <x:c r="A439" s="46" t="str">
        <x:v>LME_026</x:v>
      </x:c>
      <x:c r="B439" s="46" t="str">
        <x:v>Mediterranean Sea</x:v>
      </x:c>
      <x:c r="C439" s="46" t="str">
        <x:v>LME</x:v>
      </x:c>
      <x:c r="D439" s="58" t="n">
        <x:v>2019</x:v>
      </x:c>
      <x:c r="E439" s="46" t="str">
        <x:v>Gymnura altavela</x:v>
      </x:c>
      <x:c r="F439" s="46" t="str">
        <x:v>Spiny butterfly ray</x:v>
      </x:c>
      <x:c r="G439" s="46" t="str">
        <x:v>Large rays (&gt;=90 cm)</x:v>
      </x:c>
      <x:c r="H439" s="46" t="str">
        <x:v>Sharks &amp; rays</x:v>
      </x:c>
      <x:c r="I439" s="60" t="n">
        <x:v>0.7714940981999999</x:v>
      </x:c>
      <x:c r="J439" s="60" t="n">
        <x:v>0.6527566651</x:v>
      </x:c>
      <x:c r="K439" s="60" t="n">
        <x:v>0.1187374331</x:v>
      </x:c>
      <x:c r="L439" s="60" t="n">
        <x:v>0.6329628273</x:v>
      </x:c>
      <x:c r="M439" s="60" t="n">
        <x:v>0.1385312709</x:v>
      </x:c>
      <x:c r="N439" s="46" t="str">
        <x:v>gymnura altavela</x:v>
      </x:c>
      <x:c r="O439" s="62" t="n">
        <x:v>4.5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Gymnura altavela</x:v>
      </x:c>
      <x:c r="T439" s="62" t="n">
        <x:f>IF(O439="","",(1/'Metadata'!$B$5)^(O439-1))</x:f>
        <x:v>35777.08763999664</x:v>
      </x:c>
      <x:c r="U439" s="60" t="n">
        <x:f>IF(T439="","",I439*T439)</x:f>
        <x:v>27601.81196504157</x:v>
      </x:c>
    </x:row>
    <x:row r="440" ht="18" customHeight="1">
      <x:c r="A440" s="46" t="str">
        <x:v>LME_026</x:v>
      </x:c>
      <x:c r="B440" s="46" t="str">
        <x:v>Mediterranean Sea</x:v>
      </x:c>
      <x:c r="C440" s="46" t="str">
        <x:v>LME</x:v>
      </x:c>
      <x:c r="D440" s="58" t="n">
        <x:v>2019</x:v>
      </x:c>
      <x:c r="E440" s="46" t="str">
        <x:v>Lamna nasus</x:v>
      </x:c>
      <x:c r="F440" s="46" t="str">
        <x:v>Porbeagle</x:v>
      </x:c>
      <x:c r="G440" s="46" t="str">
        <x:v>Large sharks (&gt;=90 cm)</x:v>
      </x:c>
      <x:c r="H440" s="46" t="str">
        <x:v>Sharks &amp; rays</x:v>
      </x:c>
      <x:c r="I440" s="60" t="n">
        <x:v>0.7658429075</x:v>
      </x:c>
      <x:c r="J440" s="60" t="n">
        <x:v>0.7658429075</x:v>
      </x:c>
      <x:c r="K440" s="60" t="n">
        <x:v>0</x:v>
      </x:c>
      <x:c r="L440" s="60" t="n">
        <x:v>0.6147582144</x:v>
      </x:c>
      <x:c r="M440" s="60" t="n">
        <x:v>0.1510846931</x:v>
      </x:c>
      <x:c r="N440" s="46" t="str">
        <x:v>lamna nasus</x:v>
      </x:c>
      <x:c r="O440" s="62" t="n">
        <x:v>4.57</x:v>
      </x:c>
      <x:c r="P440" s="46" t="str">
        <x:v>exact_2020_supplement</x:v>
      </x:c>
      <x:c r="Q440" s="62" t="str">
        <x:v>2020 supplement MeanTL</x:v>
      </x:c>
      <x:c r="R440" s="46" t="str">
        <x:v>high</x:v>
      </x:c>
      <x:c r="S440" s="46" t="str">
        <x:v>Lamna nasus</x:v>
      </x:c>
      <x:c r="T440" s="62" t="n">
        <x:f>IF(O440="","",(1/'Metadata'!$B$5)^(O440-1))</x:f>
        <x:v>44124.224393105345</x:v>
      </x:c>
      <x:c r="U440" s="60" t="n">
        <x:f>IF(T440="","",I440*T440)</x:f>
        <x:v>33792.224300398215</x:v>
      </x:c>
    </x:row>
    <x:row r="441" ht="18" customHeight="1">
      <x:c r="A441" s="46" t="str">
        <x:v>LME_026</x:v>
      </x:c>
      <x:c r="B441" s="46" t="str">
        <x:v>Mediterranean Sea</x:v>
      </x:c>
      <x:c r="C441" s="46" t="str">
        <x:v>LME</x:v>
      </x:c>
      <x:c r="D441" s="58" t="n">
        <x:v>2019</x:v>
      </x:c>
      <x:c r="E441" s="46" t="str">
        <x:v>Carcharhinus plumbeus</x:v>
      </x:c>
      <x:c r="F441" s="46" t="str">
        <x:v>Sandbar shark</x:v>
      </x:c>
      <x:c r="G441" s="46" t="str">
        <x:v>Large sharks (&gt;=90 cm)</x:v>
      </x:c>
      <x:c r="H441" s="46" t="str">
        <x:v>Sharks &amp; rays</x:v>
      </x:c>
      <x:c r="I441" s="60" t="n">
        <x:v>0.7225872337</x:v>
      </x:c>
      <x:c r="J441" s="60" t="n">
        <x:v>0.7225872337</x:v>
      </x:c>
      <x:c r="K441" s="60" t="n">
        <x:v>0</x:v>
      </x:c>
      <x:c r="L441" s="60" t="n">
        <x:v>0.6058812318</x:v>
      </x:c>
      <x:c r="M441" s="60" t="n">
        <x:v>0.11670600190000001</x:v>
      </x:c>
      <x:c r="N441" s="46" t="str">
        <x:v>carcharhinus plumbeus</x:v>
      </x:c>
      <x:c r="O441" s="62" t="n">
        <x:v>4.49</x:v>
      </x:c>
      <x:c r="P441" s="46" t="str">
        <x:v>exact_2020_supplement</x:v>
      </x:c>
      <x:c r="Q441" s="62" t="str">
        <x:v>2020 supplement MeanTL</x:v>
      </x:c>
      <x:c r="R441" s="46" t="str">
        <x:v>high</x:v>
      </x:c>
      <x:c r="S441" s="46" t="str">
        <x:v>Carcharhinus plumbeus</x:v>
      </x:c>
      <x:c r="T441" s="62" t="n">
        <x:f>IF(O441="","",(1/'Metadata'!$B$5)^(O441-1))</x:f>
        <x:v>34721.19667768202</x:v>
      </x:c>
      <x:c r="U441" s="60" t="n">
        <x:f>IF(T441="","",I441*T441)</x:f>
        <x:v>25089.093458079882</x:v>
      </x:c>
    </x:row>
    <x:row r="442" ht="18" customHeight="1">
      <x:c r="A442" s="46" t="str">
        <x:v>LME_026</x:v>
      </x:c>
      <x:c r="B442" s="46" t="str">
        <x:v>Mediterranean Sea</x:v>
      </x:c>
      <x:c r="C442" s="46" t="str">
        <x:v>LME</x:v>
      </x:c>
      <x:c r="D442" s="58" t="n">
        <x:v>2019</x:v>
      </x:c>
      <x:c r="E442" s="46" t="str">
        <x:v>Dipturus batis</x:v>
      </x:c>
      <x:c r="F442" s="46" t="str">
        <x:v>Blue skate</x:v>
      </x:c>
      <x:c r="G442" s="46" t="str">
        <x:v>Large rays (&gt;=90 cm)</x:v>
      </x:c>
      <x:c r="H442" s="46" t="str">
        <x:v>Sharks &amp; rays</x:v>
      </x:c>
      <x:c r="I442" s="60" t="n">
        <x:v>0.7107981627</x:v>
      </x:c>
      <x:c r="J442" s="60" t="n">
        <x:v>0.7107981627</x:v>
      </x:c>
      <x:c r="K442" s="60" t="n">
        <x:v>0</x:v>
      </x:c>
      <x:c r="L442" s="60" t="n">
        <x:v>0.6498325134</x:v>
      </x:c>
      <x:c r="M442" s="60" t="n">
        <x:v>0.0609656493</x:v>
      </x:c>
      <x:c r="N442" s="46" t="str">
        <x:v>dipturus batis</x:v>
      </x:c>
      <x:c r="O442" s="62" t="n">
        <x:v>3.52</x:v>
      </x:c>
      <x:c r="P442" s="46" t="str">
        <x:v>exact_2020_supplement</x:v>
      </x:c>
      <x:c r="Q442" s="62" t="str">
        <x:v>2020 supplement MeanTL</x:v>
      </x:c>
      <x:c r="R442" s="46" t="str">
        <x:v>high</x:v>
      </x:c>
      <x:c r="S442" s="46" t="str">
        <x:v>Dipturus batis</x:v>
      </x:c>
      <x:c r="T442" s="62" t="n">
        <x:f>IF(O442="","",(1/'Metadata'!$B$5)^(O442-1))</x:f>
        <x:v>1899.308837725312</x:v>
      </x:c>
      <x:c r="U442" s="60" t="n">
        <x:f>IF(T442="","",I442*T442)</x:f>
        <x:v>1350.025232255024</x:v>
      </x:c>
    </x:row>
    <x:row r="443" ht="18" customHeight="1">
      <x:c r="A443" s="46" t="str">
        <x:v>LME_026</x:v>
      </x:c>
      <x:c r="B443" s="46" t="str">
        <x:v>Mediterranean Sea</x:v>
      </x:c>
      <x:c r="C443" s="46" t="str">
        <x:v>LME</x:v>
      </x:c>
      <x:c r="D443" s="58" t="n">
        <x:v>2019</x:v>
      </x:c>
      <x:c r="E443" s="46" t="str">
        <x:v>Cerastoderma glaucum</x:v>
      </x:c>
      <x:c r="F443" s="46" t="str">
        <x:v>Olive green cockle</x:v>
      </x:c>
      <x:c r="G443" s="46" t="str">
        <x:v>Other demersal invertebrates</x:v>
      </x:c>
      <x:c r="H443" s="46" t="str">
        <x:v>Molluscs</x:v>
      </x:c>
      <x:c r="I443" s="60" t="n">
        <x:v>0.5747698383000001</x:v>
      </x:c>
      <x:c r="J443" s="60" t="n">
        <x:v>0.0037548092</x:v>
      </x:c>
      <x:c r="K443" s="60" t="n">
        <x:v>0.5710150291</x:v>
      </x:c>
      <x:c r="L443" s="60" t="n">
        <x:v>0.0037548092</x:v>
      </x:c>
      <x:c r="M443" s="60" t="n">
        <x:v>0.5710150291</x:v>
      </x:c>
      <x:c r="N443" s="46" t="str">
        <x:v>cerastoderma glaucum</x:v>
      </x:c>
      <x:c r="O443" s="62" t="n">
        <x:v>2</x:v>
      </x:c>
      <x:c r="P443" s="46" t="str">
        <x:v>exact_sea_around_us</x:v>
      </x:c>
      <x:c r="Q443" s="62" t="str">
        <x:v>Sea Around Us exploited organisms</x:v>
      </x:c>
      <x:c r="R443" s="46" t="str">
        <x:v>high</x:v>
      </x:c>
      <x:c r="S443" s="46" t="str">
        <x:v>Cerastoderma glaucum</x:v>
      </x:c>
      <x:c r="T443" s="62" t="n">
        <x:f>IF(O443="","",(1/'Metadata'!$B$5)^(O443-1))</x:f>
        <x:v>20</x:v>
      </x:c>
      <x:c r="U443" s="60" t="n">
        <x:f>IF(T443="","",I443*T443)</x:f>
        <x:v>11.495396766</x:v>
      </x:c>
    </x:row>
    <x:row r="444" ht="18" customHeight="1">
      <x:c r="A444" s="46" t="str">
        <x:v>LME_026</x:v>
      </x:c>
      <x:c r="B444" s="46" t="str">
        <x:v>Mediterranean Sea</x:v>
      </x:c>
      <x:c r="C444" s="46" t="str">
        <x:v>LME</x:v>
      </x:c>
      <x:c r="D444" s="58" t="n">
        <x:v>2019</x:v>
      </x:c>
      <x:c r="E444" s="46" t="str">
        <x:v>Caranx</x:v>
      </x:c>
      <x:c r="F444" s="46" t="str">
        <x:v>Jacks</x:v>
      </x:c>
      <x:c r="G444" s="46" t="str">
        <x:v>Medium reef assoc. fish (30 - 89 cm)</x:v>
      </x:c>
      <x:c r="H444" s="46" t="str">
        <x:v>Perch-likes</x:v>
      </x:c>
      <x:c r="I444" s="60" t="n">
        <x:v>0.5140917301</x:v>
      </x:c>
      <x:c r="J444" s="60" t="n">
        <x:v>0.5140917301</x:v>
      </x:c>
      <x:c r="K444" s="60" t="n">
        <x:v>0</x:v>
      </x:c>
      <x:c r="L444" s="60" t="n">
        <x:v>0.5140917301</x:v>
      </x:c>
      <x:c r="M444" s="60" t="n">
        <x:v>0</x:v>
      </x:c>
      <x:c r="N444" s="46" t="str">
        <x:v>caranx</x:v>
      </x:c>
      <x:c r="O444" s="62" t="n">
        <x:v>4.12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Caranx</x:v>
      </x:c>
      <x:c r="T444" s="62" t="n">
        <x:f>IF(O444="","",(1/'Metadata'!$B$5)^(O444-1))</x:f>
        <x:v>11460.764444393179</x:v>
      </x:c>
      <x:c r="U444" s="60" t="n">
        <x:f>IF(T444="","",I444*T444)</x:f>
        <x:v>5891.8842214866545</x:v>
      </x:c>
    </x:row>
    <x:row r="445" ht="18" customHeight="1">
      <x:c r="A445" s="46" t="str">
        <x:v>LME_026</x:v>
      </x:c>
      <x:c r="B445" s="46" t="str">
        <x:v>Mediterranean Sea</x:v>
      </x:c>
      <x:c r="C445" s="46" t="str">
        <x:v>LME</x:v>
      </x:c>
      <x:c r="D445" s="58" t="n">
        <x:v>2019</x:v>
      </x:c>
      <x:c r="E445" s="46" t="str">
        <x:v>Gempylidae</x:v>
      </x:c>
      <x:c r="F445" s="46" t="str">
        <x:v>Snake mackerels</x:v>
      </x:c>
      <x:c r="G445" s="46" t="str">
        <x:v>Large benthopelagics (&gt;=90 cm)</x:v>
      </x:c>
      <x:c r="H445" s="46" t="str">
        <x:v>Perch-likes</x:v>
      </x:c>
      <x:c r="I445" s="60" t="n">
        <x:v>0.48185717100000003</x:v>
      </x:c>
      <x:c r="J445" s="60" t="n">
        <x:v>0.47989849720000005</x:v>
      </x:c>
      <x:c r="K445" s="60" t="n">
        <x:v>0.0019586738</x:v>
      </x:c>
      <x:c r="L445" s="60" t="n">
        <x:v>0.34492604260000004</x:v>
      </x:c>
      <x:c r="M445" s="60" t="n">
        <x:v>0.1369311284</x:v>
      </x:c>
      <x:c r="N445" s="46" t="str">
        <x:v>gempylidae</x:v>
      </x:c>
      <x:c r="O445" s="62" t="n">
        <x:v>4.21</x:v>
      </x:c>
      <x:c r="P445" s="46" t="str">
        <x:v>exact_sea_around_us</x:v>
      </x:c>
      <x:c r="Q445" s="62" t="str">
        <x:v>Sea Around Us exploited organisms</x:v>
      </x:c>
      <x:c r="R445" s="46" t="str">
        <x:v>high</x:v>
      </x:c>
      <x:c r="S445" s="46" t="str">
        <x:v>Gempylidae</x:v>
      </x:c>
      <x:c r="T445" s="62" t="n">
        <x:f>IF(O445="","",(1/'Metadata'!$B$5)^(O445-1))</x:f>
        <x:v>15007.428609226863</x:v>
      </x:c>
      <x:c r="U445" s="60" t="n">
        <x:f>IF(T445="","",I445*T445)</x:f>
        <x:v>7231.437093626521</x:v>
      </x:c>
    </x:row>
    <x:row r="446" ht="18" customHeight="1">
      <x:c r="A446" s="46" t="str">
        <x:v>LME_026</x:v>
      </x:c>
      <x:c r="B446" s="46" t="str">
        <x:v>Mediterranean Sea</x:v>
      </x:c>
      <x:c r="C446" s="46" t="str">
        <x:v>LME</x:v>
      </x:c>
      <x:c r="D446" s="58" t="n">
        <x:v>2019</x:v>
      </x:c>
      <x:c r="E446" s="46" t="str">
        <x:v>Anomura</x:v>
      </x:c>
      <x:c r="F446" s="46" t="str">
        <x:v>Craylets, squat lobsters, hermits</x:v>
      </x:c>
      <x:c r="G446" s="46" t="str">
        <x:v>Lobsters, crabs</x:v>
      </x:c>
      <x:c r="H446" s="46" t="str">
        <x:v>Crustaceans</x:v>
      </x:c>
      <x:c r="I446" s="60" t="n">
        <x:v>0.4783104058</x:v>
      </x:c>
      <x:c r="J446" s="60" t="n">
        <x:v>0.3598435237</x:v>
      </x:c>
      <x:c r="K446" s="60" t="n">
        <x:v>0.1184668821</x:v>
      </x:c>
      <x:c r="L446" s="60" t="n">
        <x:v>0.3371916376</x:v>
      </x:c>
      <x:c r="M446" s="60" t="n">
        <x:v>0.1411187682</x:v>
      </x:c>
      <x:c r="N446" s="46" t="str">
        <x:v>anomura</x:v>
      </x:c>
      <x:c r="O446" s="62" t="n">
        <x:v>3.1</x:v>
      </x:c>
      <x:c r="P446" s="46" t="str">
        <x:v>exact_sea_around_us</x:v>
      </x:c>
      <x:c r="Q446" s="62" t="str">
        <x:v>Sea Around Us exploited organisms</x:v>
      </x:c>
      <x:c r="R446" s="46" t="str">
        <x:v>high</x:v>
      </x:c>
      <x:c r="S446" s="46" t="str">
        <x:v>Anomura</x:v>
      </x:c>
      <x:c r="T446" s="62" t="n">
        <x:f>IF(O446="","",(1/'Metadata'!$B$5)^(O446-1))</x:f>
        <x:v>539.7131390694254</x:v>
      </x:c>
      <x:c r="U446" s="60" t="n">
        <x:f>IF(T446="","",I446*T446)</x:f>
        <x:v>258.1504105638887</x:v>
      </x:c>
    </x:row>
    <x:row r="447" ht="18" customHeight="1">
      <x:c r="A447" s="46" t="str">
        <x:v>LME_026</x:v>
      </x:c>
      <x:c r="B447" s="46" t="str">
        <x:v>Mediterranean Sea</x:v>
      </x:c>
      <x:c r="C447" s="46" t="str">
        <x:v>LME</x:v>
      </x:c>
      <x:c r="D447" s="58" t="n">
        <x:v>2019</x:v>
      </x:c>
      <x:c r="E447" s="46" t="str">
        <x:v>Ostreidae</x:v>
      </x:c>
      <x:c r="F447" s="46" t="str">
        <x:v>True oysters</x:v>
      </x:c>
      <x:c r="G447" s="46" t="str">
        <x:v>Other demersal invertebrates</x:v>
      </x:c>
      <x:c r="H447" s="46" t="str">
        <x:v>Molluscs</x:v>
      </x:c>
      <x:c r="I447" s="60" t="n">
        <x:v>0.4759186681</x:v>
      </x:c>
      <x:c r="J447" s="60" t="n">
        <x:v>0.4759186681</x:v>
      </x:c>
      <x:c r="K447" s="60" t="n">
        <x:v>0</x:v>
      </x:c>
      <x:c r="L447" s="60" t="n">
        <x:v>0</x:v>
      </x:c>
      <x:c r="M447" s="60" t="n">
        <x:v>0.4759186681</x:v>
      </x:c>
      <x:c r="N447" s="46" t="str">
        <x:v>ostreidae</x:v>
      </x:c>
      <x:c r="O447" s="62" t="n">
        <x:v>2</x:v>
      </x:c>
      <x:c r="P447" s="46" t="str">
        <x:v>exact_sea_around_us</x:v>
      </x:c>
      <x:c r="Q447" s="62" t="str">
        <x:v>Sea Around Us exploited organisms</x:v>
      </x:c>
      <x:c r="R447" s="46" t="str">
        <x:v>high</x:v>
      </x:c>
      <x:c r="S447" s="46" t="str">
        <x:v>Ostreidae</x:v>
      </x:c>
      <x:c r="T447" s="62" t="n">
        <x:f>IF(O447="","",(1/'Metadata'!$B$5)^(O447-1))</x:f>
        <x:v>20</x:v>
      </x:c>
      <x:c r="U447" s="60" t="n">
        <x:f>IF(T447="","",I447*T447)</x:f>
        <x:v>9.518373362</x:v>
      </x:c>
    </x:row>
    <x:row r="448" ht="18" customHeight="1">
      <x:c r="A448" s="46" t="str">
        <x:v>LME_026</x:v>
      </x:c>
      <x:c r="B448" s="46" t="str">
        <x:v>Mediterranean Sea</x:v>
      </x:c>
      <x:c r="C448" s="46" t="str">
        <x:v>LME</x:v>
      </x:c>
      <x:c r="D448" s="58" t="n">
        <x:v>2019</x:v>
      </x:c>
      <x:c r="E448" s="46" t="str">
        <x:v>Plesionika heterocarpus</x:v>
      </x:c>
      <x:c r="F448" s="46" t="str">
        <x:v>Arrow shrimp</x:v>
      </x:c>
      <x:c r="G448" s="46" t="str">
        <x:v>Shrimps</x:v>
      </x:c>
      <x:c r="H448" s="46" t="str">
        <x:v>Crustaceans</x:v>
      </x:c>
      <x:c r="I448" s="60" t="n">
        <x:v>0.4398125637</x:v>
      </x:c>
      <x:c r="J448" s="60" t="n">
        <x:v>0.4367490182</x:v>
      </x:c>
      <x:c r="K448" s="60" t="n">
        <x:v>0.0030635455</x:v>
      </x:c>
      <x:c r="L448" s="60" t="n">
        <x:v>0</x:v>
      </x:c>
      <x:c r="M448" s="60" t="n">
        <x:v>0.4398125637</x:v>
      </x:c>
      <x:c r="N448" s="46" t="str">
        <x:v>plesionika heterocarpus</x:v>
      </x:c>
      <x:c r="O448" s="62" t="n">
        <x:v>3.37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Plesionika heterocarpus</x:v>
      </x:c>
      <x:c r="T448" s="62" t="n">
        <x:f>IF(O448="","",(1/'Metadata'!$B$5)^(O448-1))</x:f>
        <x:v>1211.828298056271</x:v>
      </x:c>
      <x:c r="U448" s="60" t="n">
        <x:f>IF(T448="","",I448*T448)</x:f>
        <x:v>532.9773105323363</x:v>
      </x:c>
    </x:row>
    <x:row r="449" ht="18" customHeight="1">
      <x:c r="A449" s="46" t="str">
        <x:v>LME_026</x:v>
      </x:c>
      <x:c r="B449" s="46" t="str">
        <x:v>Mediterranean Sea</x:v>
      </x:c>
      <x:c r="C449" s="46" t="str">
        <x:v>LME</x:v>
      </x:c>
      <x:c r="D449" s="58" t="n">
        <x:v>2019</x:v>
      </x:c>
      <x:c r="E449" s="46" t="str">
        <x:v>Torpedinidae</x:v>
      </x:c>
      <x:c r="F449" s="46" t="str">
        <x:v>Electric rays</x:v>
      </x:c>
      <x:c r="G449" s="46" t="str">
        <x:v>Small to medium rays (&lt;90 cm)</x:v>
      </x:c>
      <x:c r="H449" s="46" t="str">
        <x:v>Sharks &amp; rays</x:v>
      </x:c>
      <x:c r="I449" s="60" t="n">
        <x:v>0.35824896939999995</x:v>
      </x:c>
      <x:c r="J449" s="60" t="n">
        <x:v>0.25742836709999994</x:v>
      </x:c>
      <x:c r="K449" s="60" t="n">
        <x:v>0.1008206023</x:v>
      </x:c>
      <x:c r="L449" s="60" t="n">
        <x:v>0.25671764839999994</x:v>
      </x:c>
      <x:c r="M449" s="60" t="n">
        <x:v>0.10153132100000001</x:v>
      </x:c>
      <x:c r="N449" s="46" t="str">
        <x:v>torpedinidae</x:v>
      </x:c>
      <x:c r="O449" s="62" t="n">
        <x:v>4</x:v>
      </x:c>
      <x:c r="P449" s="46" t="str">
        <x:v>exact_sea_around_us</x:v>
      </x:c>
      <x:c r="Q449" s="62" t="str">
        <x:v>Sea Around Us exploited organisms</x:v>
      </x:c>
      <x:c r="R449" s="46" t="str">
        <x:v>high</x:v>
      </x:c>
      <x:c r="S449" s="46" t="str">
        <x:v>Torpedinidae</x:v>
      </x:c>
      <x:c r="T449" s="62" t="n">
        <x:f>IF(O449="","",(1/'Metadata'!$B$5)^(O449-1))</x:f>
        <x:v>8000</x:v>
      </x:c>
      <x:c r="U449" s="60" t="n">
        <x:f>IF(T449="","",I449*T449)</x:f>
        <x:v>2865.9917551999997</x:v>
      </x:c>
    </x:row>
    <x:row r="450" ht="18" customHeight="1">
      <x:c r="A450" s="46" t="str">
        <x:v>LME_026</x:v>
      </x:c>
      <x:c r="B450" s="46" t="str">
        <x:v>Mediterranean Sea</x:v>
      </x:c>
      <x:c r="C450" s="46" t="str">
        <x:v>LME</x:v>
      </x:c>
      <x:c r="D450" s="58" t="n">
        <x:v>2019</x:v>
      </x:c>
      <x:c r="E450" s="46" t="str">
        <x:v>Arbacia lixula</x:v>
      </x:c>
      <x:c r="F450" s="46" t="str">
        <x:v>Black sea urchin</x:v>
      </x:c>
      <x:c r="G450" s="46" t="str">
        <x:v>Other demersal invertebrates</x:v>
      </x:c>
      <x:c r="H450" s="46" t="str">
        <x:v>Other fishes &amp; inverts</x:v>
      </x:c>
      <x:c r="I450" s="60" t="n">
        <x:v>0.2950001706</x:v>
      </x:c>
      <x:c r="J450" s="60" t="n">
        <x:v>0.0000072665</x:v>
      </x:c>
      <x:c r="K450" s="60" t="n">
        <x:v>0.2949929041</x:v>
      </x:c>
      <x:c r="L450" s="60" t="n">
        <x:v>0</x:v>
      </x:c>
      <x:c r="M450" s="60" t="n">
        <x:v>0.2950001706</x:v>
      </x:c>
      <x:c r="N450" s="46" t="str">
        <x:v>arbacia lixula</x:v>
      </x:c>
      <x:c r="O450" s="62" t="n">
        <x:v>2.51</x:v>
      </x:c>
      <x:c r="P450" s="46" t="str">
        <x:v>exact_sea_around_us</x:v>
      </x:c>
      <x:c r="Q450" s="62" t="str">
        <x:v>Sea Around Us exploited organisms</x:v>
      </x:c>
      <x:c r="R450" s="46" t="str">
        <x:v>high</x:v>
      </x:c>
      <x:c r="S450" s="46" t="str">
        <x:v>Arbacia lixula</x:v>
      </x:c>
      <x:c r="T450" s="62" t="n">
        <x:f>IF(O450="","",(1/'Metadata'!$B$5)^(O450-1))</x:f>
        <x:v>92.16272208892171</x:v>
      </x:c>
      <x:c r="U450" s="60" t="n">
        <x:f>IF(T450="","",I450*T450)</x:f>
        <x:v>27.188018739192295</x:v>
      </x:c>
    </x:row>
    <x:row r="451" ht="18" customHeight="1">
      <x:c r="A451" s="46" t="str">
        <x:v>LME_026</x:v>
      </x:c>
      <x:c r="B451" s="46" t="str">
        <x:v>Mediterranean Sea</x:v>
      </x:c>
      <x:c r="C451" s="46" t="str">
        <x:v>LME</x:v>
      </x:c>
      <x:c r="D451" s="58" t="n">
        <x:v>2019</x:v>
      </x:c>
      <x:c r="E451" s="46" t="str">
        <x:v>Aequipecten opercularis</x:v>
      </x:c>
      <x:c r="F451" s="46" t="str">
        <x:v>Queen scallop</x:v>
      </x:c>
      <x:c r="G451" s="46" t="str">
        <x:v>Other demersal invertebrates</x:v>
      </x:c>
      <x:c r="H451" s="46" t="str">
        <x:v>Molluscs</x:v>
      </x:c>
      <x:c r="I451" s="60" t="n">
        <x:v>0.2839022644</x:v>
      </x:c>
      <x:c r="J451" s="60" t="n">
        <x:v>0.2839022644</x:v>
      </x:c>
      <x:c r="K451" s="60" t="n">
        <x:v>0</x:v>
      </x:c>
      <x:c r="L451" s="60" t="n">
        <x:v>0</x:v>
      </x:c>
      <x:c r="M451" s="60" t="n">
        <x:v>0.2839022644</x:v>
      </x:c>
      <x:c r="N451" s="46" t="str">
        <x:v>aequipecten opercularis</x:v>
      </x:c>
      <x:c r="O451" s="62" t="n">
        <x:v>2</x:v>
      </x:c>
      <x:c r="P451" s="46" t="str">
        <x:v>exact_2020_supplement</x:v>
      </x:c>
      <x:c r="Q451" s="62" t="str">
        <x:v>2020 supplement MeanTL</x:v>
      </x:c>
      <x:c r="R451" s="46" t="str">
        <x:v>high</x:v>
      </x:c>
      <x:c r="S451" s="46" t="str">
        <x:v>Aequipecten opercularis</x:v>
      </x:c>
      <x:c r="T451" s="62" t="n">
        <x:f>IF(O451="","",(1/'Metadata'!$B$5)^(O451-1))</x:f>
        <x:v>20</x:v>
      </x:c>
      <x:c r="U451" s="60" t="n">
        <x:f>IF(T451="","",I451*T451)</x:f>
        <x:v>5.678045288</x:v>
      </x:c>
    </x:row>
    <x:row r="452" ht="18" customHeight="1">
      <x:c r="A452" s="46" t="str">
        <x:v>LME_026</x:v>
      </x:c>
      <x:c r="B452" s="46" t="str">
        <x:v>Mediterranean Sea</x:v>
      </x:c>
      <x:c r="C452" s="46" t="str">
        <x:v>LME</x:v>
      </x:c>
      <x:c r="D452" s="58" t="n">
        <x:v>2019</x:v>
      </x:c>
      <x:c r="E452" s="46" t="str">
        <x:v>Chimaeriformes</x:v>
      </x:c>
      <x:c r="F452" s="46" t="str">
        <x:v>Chimaeras</x:v>
      </x:c>
      <x:c r="G452" s="46" t="str">
        <x:v>Large rays (&gt;=90 cm)</x:v>
      </x:c>
      <x:c r="H452" s="46" t="str">
        <x:v>Sharks &amp; rays</x:v>
      </x:c>
      <x:c r="I452" s="60" t="n">
        <x:v>0.2762933592</x:v>
      </x:c>
      <x:c r="J452" s="60" t="n">
        <x:v>0</x:v>
      </x:c>
      <x:c r="K452" s="60" t="n">
        <x:v>0.2762933592</x:v>
      </x:c>
      <x:c r="L452" s="60" t="n">
        <x:v>0</x:v>
      </x:c>
      <x:c r="M452" s="60" t="n">
        <x:v>0.2762933592</x:v>
      </x:c>
      <x:c r="N452" s="46" t="str">
        <x:v>chimaeriformes</x:v>
      </x:c>
      <x:c r="O452" s="62" t="n">
        <x:v>3.37</x:v>
      </x:c>
      <x:c r="P452" s="46" t="str">
        <x:v>exact_sea_around_us</x:v>
      </x:c>
      <x:c r="Q452" s="62" t="str">
        <x:v>Sea Around Us exploited organisms</x:v>
      </x:c>
      <x:c r="R452" s="46" t="str">
        <x:v>high</x:v>
      </x:c>
      <x:c r="S452" s="46" t="str">
        <x:v>Chimaeriformes</x:v>
      </x:c>
      <x:c r="T452" s="62" t="n">
        <x:f>IF(O452="","",(1/'Metadata'!$B$5)^(O452-1))</x:f>
        <x:v>1211.828298056271</x:v>
      </x:c>
      <x:c r="U452" s="60" t="n">
        <x:f>IF(T452="","",I452*T452)</x:f>
        <x:v>334.8201112435859</x:v>
      </x:c>
    </x:row>
    <x:row r="453" ht="18" customHeight="1">
      <x:c r="A453" s="46" t="str">
        <x:v>LME_026</x:v>
      </x:c>
      <x:c r="B453" s="46" t="str">
        <x:v>Mediterranean Sea</x:v>
      </x:c>
      <x:c r="C453" s="46" t="str">
        <x:v>LME</x:v>
      </x:c>
      <x:c r="D453" s="58" t="n">
        <x:v>2019</x:v>
      </x:c>
      <x:c r="E453" s="46" t="str">
        <x:v>Trachinotus</x:v>
      </x:c>
      <x:c r="F453" s="46" t="str">
        <x:v>Pompanos</x:v>
      </x:c>
      <x:c r="G453" s="46" t="str">
        <x:v>Medium pelagics (30 - 89 cm)</x:v>
      </x:c>
      <x:c r="H453" s="46" t="str">
        <x:v>Perch-likes</x:v>
      </x:c>
      <x:c r="I453" s="60" t="n">
        <x:v>0.273144233</x:v>
      </x:c>
      <x:c r="J453" s="60" t="n">
        <x:v>0.0950909455</x:v>
      </x:c>
      <x:c r="K453" s="60" t="n">
        <x:v>0.1780532875</x:v>
      </x:c>
      <x:c r="L453" s="60" t="n">
        <x:v>0.0777450104</x:v>
      </x:c>
      <x:c r="M453" s="60" t="n">
        <x:v>0.1953992226</x:v>
      </x:c>
      <x:c r="N453" s="46" t="str">
        <x:v>trachinotus</x:v>
      </x:c>
      <x:c r="O453" s="62" t="n">
        <x:v>3.69</x:v>
      </x:c>
      <x:c r="P453" s="46" t="str">
        <x:v>exact_sea_around_us</x:v>
      </x:c>
      <x:c r="Q453" s="62" t="str">
        <x:v>Sea Around Us exploited organisms</x:v>
      </x:c>
      <x:c r="R453" s="46" t="str">
        <x:v>high</x:v>
      </x:c>
      <x:c r="S453" s="46" t="str">
        <x:v>Trachinotus</x:v>
      </x:c>
      <x:c r="T453" s="62" t="n">
        <x:f>IF(O453="","",(1/'Metadata'!$B$5)^(O453-1))</x:f>
        <x:v>3160.6083878807954</x:v>
      </x:c>
      <x:c r="U453" s="60" t="n">
        <x:f>IF(T453="","",I453*T453)</x:f>
        <x:v>863.3019539210663</x:v>
      </x:c>
    </x:row>
    <x:row r="454" ht="18" customHeight="1">
      <x:c r="A454" s="46" t="str">
        <x:v>LME_026</x:v>
      </x:c>
      <x:c r="B454" s="46" t="str">
        <x:v>Mediterranean Sea</x:v>
      </x:c>
      <x:c r="C454" s="46" t="str">
        <x:v>LME</x:v>
      </x:c>
      <x:c r="D454" s="58" t="n">
        <x:v>2019</x:v>
      </x:c>
      <x:c r="E454" s="46" t="str">
        <x:v>Mactridae</x:v>
      </x:c>
      <x:c r="F454" s="46" t="str">
        <x:v>Mactra surf clams</x:v>
      </x:c>
      <x:c r="G454" s="46" t="str">
        <x:v>Other demersal invertebrates</x:v>
      </x:c>
      <x:c r="H454" s="46" t="str">
        <x:v>Molluscs</x:v>
      </x:c>
      <x:c r="I454" s="60" t="n">
        <x:v>0.2692324441</x:v>
      </x:c>
      <x:c r="J454" s="60" t="n">
        <x:v>0.22619829540000003</x:v>
      </x:c>
      <x:c r="K454" s="60" t="n">
        <x:v>0.0430341487</x:v>
      </x:c>
      <x:c r="L454" s="60" t="n">
        <x:v>0.19776793210000002</x:v>
      </x:c>
      <x:c r="M454" s="60" t="n">
        <x:v>0.071464512</x:v>
      </x:c>
      <x:c r="N454" s="46" t="str">
        <x:v>mactridae</x:v>
      </x:c>
      <x:c r="O454" s="62" t="n">
        <x:v>2</x:v>
      </x:c>
      <x:c r="P454" s="46" t="str">
        <x:v>exact_sea_around_us</x:v>
      </x:c>
      <x:c r="Q454" s="62" t="str">
        <x:v>Sea Around Us exploited organisms</x:v>
      </x:c>
      <x:c r="R454" s="46" t="str">
        <x:v>high</x:v>
      </x:c>
      <x:c r="S454" s="46" t="str">
        <x:v>Mactridae</x:v>
      </x:c>
      <x:c r="T454" s="62" t="n">
        <x:f>IF(O454="","",(1/'Metadata'!$B$5)^(O454-1))</x:f>
        <x:v>20</x:v>
      </x:c>
      <x:c r="U454" s="60" t="n">
        <x:f>IF(T454="","",I454*T454)</x:f>
        <x:v>5.3846488820000005</x:v>
      </x:c>
    </x:row>
    <x:row r="455" ht="18" customHeight="1">
      <x:c r="A455" s="46" t="str">
        <x:v>LME_026</x:v>
      </x:c>
      <x:c r="B455" s="46" t="str">
        <x:v>Mediterranean Sea</x:v>
      </x:c>
      <x:c r="C455" s="46" t="str">
        <x:v>LME</x:v>
      </x:c>
      <x:c r="D455" s="58" t="n">
        <x:v>2019</x:v>
      </x:c>
      <x:c r="E455" s="46" t="str">
        <x:v>Cerastoderma edule</x:v>
      </x:c>
      <x:c r="F455" s="46" t="str">
        <x:v>Common cockle</x:v>
      </x:c>
      <x:c r="G455" s="46" t="str">
        <x:v>Other demersal invertebrates</x:v>
      </x:c>
      <x:c r="H455" s="46" t="str">
        <x:v>Molluscs</x:v>
      </x:c>
      <x:c r="I455" s="60" t="n">
        <x:v>0.23961131</x:v>
      </x:c>
      <x:c r="J455" s="60" t="n">
        <x:v>0.08569842650000001</x:v>
      </x:c>
      <x:c r="K455" s="60" t="n">
        <x:v>0.1539128835</x:v>
      </x:c>
      <x:c r="L455" s="60" t="n">
        <x:v>0.054791215000000004</x:v>
      </x:c>
      <x:c r="M455" s="60" t="n">
        <x:v>0.184820095</x:v>
      </x:c>
      <x:c r="N455" s="46" t="str">
        <x:v>cerastoderma edule</x:v>
      </x:c>
      <x:c r="O455" s="62" t="n">
        <x:v>2</x:v>
      </x:c>
      <x:c r="P455" s="46" t="str">
        <x:v>exact_2020_supplement</x:v>
      </x:c>
      <x:c r="Q455" s="62" t="str">
        <x:v>2020 supplement MeanTL</x:v>
      </x:c>
      <x:c r="R455" s="46" t="str">
        <x:v>high</x:v>
      </x:c>
      <x:c r="S455" s="46" t="str">
        <x:v>Cerastoderma edule</x:v>
      </x:c>
      <x:c r="T455" s="62" t="n">
        <x:f>IF(O455="","",(1/'Metadata'!$B$5)^(O455-1))</x:f>
        <x:v>20</x:v>
      </x:c>
      <x:c r="U455" s="60" t="n">
        <x:f>IF(T455="","",I455*T455)</x:f>
        <x:v>4.7922262</x:v>
      </x:c>
    </x:row>
    <x:row r="456" ht="18" customHeight="1">
      <x:c r="A456" s="46" t="str">
        <x:v>LME_026</x:v>
      </x:c>
      <x:c r="B456" s="46" t="str">
        <x:v>Mediterranean Sea</x:v>
      </x:c>
      <x:c r="C456" s="46" t="str">
        <x:v>LME</x:v>
      </x:c>
      <x:c r="D456" s="58" t="n">
        <x:v>2019</x:v>
      </x:c>
      <x:c r="E456" s="46" t="str">
        <x:v>Scyliorhinus stellaris</x:v>
      </x:c>
      <x:c r="F456" s="46" t="str">
        <x:v>Nursehound</x:v>
      </x:c>
      <x:c r="G456" s="46" t="str">
        <x:v>Large sharks (&gt;=90 cm)</x:v>
      </x:c>
      <x:c r="H456" s="46" t="str">
        <x:v>Sharks &amp; rays</x:v>
      </x:c>
      <x:c r="I456" s="60" t="n">
        <x:v>0.2283711914</x:v>
      </x:c>
      <x:c r="J456" s="60" t="n">
        <x:v>0.1869039609</x:v>
      </x:c>
      <x:c r="K456" s="60" t="n">
        <x:v>0.0414672305</x:v>
      </x:c>
      <x:c r="L456" s="60" t="n">
        <x:v>0.13684533310000002</x:v>
      </x:c>
      <x:c r="M456" s="60" t="n">
        <x:v>0.0915258583</x:v>
      </x:c>
      <x:c r="N456" s="46" t="str">
        <x:v>scyliorhinus stellaris</x:v>
      </x:c>
      <x:c r="O456" s="62" t="n">
        <x:v>4.03</x:v>
      </x:c>
      <x:c r="P456" s="46" t="str">
        <x:v>exact_2020_supplement</x:v>
      </x:c>
      <x:c r="Q456" s="62" t="str">
        <x:v>2020 supplement MeanTL</x:v>
      </x:c>
      <x:c r="R456" s="46" t="str">
        <x:v>high</x:v>
      </x:c>
      <x:c r="S456" s="46" t="str">
        <x:v>Scyliorhinus stellaris</x:v>
      </x:c>
      <x:c r="T456" s="62" t="n">
        <x:f>IF(O456="","",(1/'Metadata'!$B$5)^(O456-1))</x:f>
        <x:v>8752.273628615554</x:v>
      </x:c>
      <x:c r="U456" s="60" t="n">
        <x:f>IF(T456="","",I456*T456)</x:f>
        <x:v>1998.7671560257352</x:v>
      </x:c>
    </x:row>
    <x:row r="457" ht="18" customHeight="1">
      <x:c r="A457" s="46" t="str">
        <x:v>LME_026</x:v>
      </x:c>
      <x:c r="B457" s="46" t="str">
        <x:v>Mediterranean Sea</x:v>
      </x:c>
      <x:c r="C457" s="46" t="str">
        <x:v>LME</x:v>
      </x:c>
      <x:c r="D457" s="58" t="n">
        <x:v>2019</x:v>
      </x:c>
      <x:c r="E457" s="46" t="str">
        <x:v>Acipenseridae</x:v>
      </x:c>
      <x:c r="F457" s="46" t="str">
        <x:v>Sturgeons</x:v>
      </x:c>
      <x:c r="G457" s="46" t="str">
        <x:v>Large demersals (&gt;=90 cm)</x:v>
      </x:c>
      <x:c r="H457" s="46" t="str">
        <x:v>Other fishes &amp; inverts</x:v>
      </x:c>
      <x:c r="I457" s="60" t="n">
        <x:v>0.2175270927</x:v>
      </x:c>
      <x:c r="J457" s="60" t="n">
        <x:v>0.1940916329</x:v>
      </x:c>
      <x:c r="K457" s="60" t="n">
        <x:v>0.0234354598</x:v>
      </x:c>
      <x:c r="L457" s="60" t="n">
        <x:v>0.1940916329</x:v>
      </x:c>
      <x:c r="M457" s="60" t="n">
        <x:v>0.0234354598</x:v>
      </x:c>
      <x:c r="N457" s="46" t="str">
        <x:v>acipenseridae</x:v>
      </x:c>
      <x:c r="O457" s="62" t="n">
        <x:v>3.6</x:v>
      </x:c>
      <x:c r="P457" s="46" t="str">
        <x:v>exact_sea_around_us</x:v>
      </x:c>
      <x:c r="Q457" s="62" t="str">
        <x:v>Sea Around Us exploited organisms</x:v>
      </x:c>
      <x:c r="R457" s="46" t="str">
        <x:v>high</x:v>
      </x:c>
      <x:c r="S457" s="46" t="str">
        <x:v>Acipenseridae</x:v>
      </x:c>
      <x:c r="T457" s="62" t="n">
        <x:f>IF(O457="","",(1/'Metadata'!$B$5)^(O457-1))</x:f>
        <x:v>2413.670534618066</x:v>
      </x:c>
      <x:c r="U457" s="60" t="n">
        <x:f>IF(T457="","",I457*T457)</x:f>
        <x:v>525.0387341311226</x:v>
      </x:c>
    </x:row>
    <x:row r="458" ht="18" customHeight="1">
      <x:c r="A458" s="46" t="str">
        <x:v>LME_026</x:v>
      </x:c>
      <x:c r="B458" s="46" t="str">
        <x:v>Mediterranean Sea</x:v>
      </x:c>
      <x:c r="C458" s="46" t="str">
        <x:v>LME</x:v>
      </x:c>
      <x:c r="D458" s="58" t="n">
        <x:v>2019</x:v>
      </x:c>
      <x:c r="E458" s="46" t="str">
        <x:v>Coryphaena</x:v>
      </x:c>
      <x:c r="F458" s="46" t="str">
        <x:v>Dolphinfishes</x:v>
      </x:c>
      <x:c r="G458" s="46" t="str">
        <x:v>Large pelagics (&gt;=90 cm)</x:v>
      </x:c>
      <x:c r="H458" s="46" t="str">
        <x:v>Perch-likes</x:v>
      </x:c>
      <x:c r="I458" s="60" t="n">
        <x:v>0.19942286520000002</x:v>
      </x:c>
      <x:c r="J458" s="60" t="n">
        <x:v>0.19942286520000002</x:v>
      </x:c>
      <x:c r="K458" s="60" t="n">
        <x:v>0</x:v>
      </x:c>
      <x:c r="L458" s="60" t="n">
        <x:v>0.19942286520000002</x:v>
      </x:c>
      <x:c r="M458" s="60" t="n">
        <x:v>0</x:v>
      </x:c>
      <x:c r="N458" s="46" t="str">
        <x:v>coryphaena</x:v>
      </x:c>
      <x:c r="O458" s="62" t="n">
        <x:v>4.49</x:v>
      </x:c>
      <x:c r="P458" s="46" t="str">
        <x:v>exact_sea_around_us</x:v>
      </x:c>
      <x:c r="Q458" s="62" t="str">
        <x:v>Sea Around Us exploited organisms</x:v>
      </x:c>
      <x:c r="R458" s="46" t="str">
        <x:v>high</x:v>
      </x:c>
      <x:c r="S458" s="46" t="str">
        <x:v>Coryphaena</x:v>
      </x:c>
      <x:c r="T458" s="62" t="n">
        <x:f>IF(O458="","",(1/'Metadata'!$B$5)^(O458-1))</x:f>
        <x:v>34721.19667768202</x:v>
      </x:c>
      <x:c r="U458" s="60" t="n">
        <x:f>IF(T458="","",I458*T458)</x:f>
        <x:v>6924.2005246360695</x:v>
      </x:c>
    </x:row>
    <x:row r="459" ht="18" customHeight="1">
      <x:c r="A459" s="46" t="str">
        <x:v>LME_026</x:v>
      </x:c>
      <x:c r="B459" s="46" t="str">
        <x:v>Mediterranean Sea</x:v>
      </x:c>
      <x:c r="C459" s="46" t="str">
        <x:v>LME</x:v>
      </x:c>
      <x:c r="D459" s="58" t="n">
        <x:v>2019</x:v>
      </x:c>
      <x:c r="E459" s="46" t="str">
        <x:v>Sphyrna zygaena</x:v>
      </x:c>
      <x:c r="F459" s="46" t="str">
        <x:v>Smooth hammerhead</x:v>
      </x:c>
      <x:c r="G459" s="46" t="str">
        <x:v>Large sharks (&gt;=90 cm)</x:v>
      </x:c>
      <x:c r="H459" s="46" t="str">
        <x:v>Sharks &amp; rays</x:v>
      </x:c>
      <x:c r="I459" s="60" t="n">
        <x:v>0.1296014273</x:v>
      </x:c>
      <x:c r="J459" s="60" t="n">
        <x:v>0.1296014273</x:v>
      </x:c>
      <x:c r="K459" s="60" t="n">
        <x:v>0</x:v>
      </x:c>
      <x:c r="L459" s="60" t="n">
        <x:v>0</x:v>
      </x:c>
      <x:c r="M459" s="60" t="n">
        <x:v>0.1296014273</x:v>
      </x:c>
      <x:c r="N459" s="46" t="str">
        <x:v>sphyrna zygaena</x:v>
      </x:c>
      <x:c r="O459" s="62" t="n">
        <x:v>4.94</x:v>
      </x:c>
      <x:c r="P459" s="46" t="str">
        <x:v>exact_2020_supplement</x:v>
      </x:c>
      <x:c r="Q459" s="62" t="str">
        <x:v>2020 supplement MeanTL</x:v>
      </x:c>
      <x:c r="R459" s="46" t="str">
        <x:v>high</x:v>
      </x:c>
      <x:c r="S459" s="46" t="str">
        <x:v>Sphyrna zygaena</x:v>
      </x:c>
      <x:c r="T459" s="62" t="n">
        <x:f>IF(O459="","",(1/'Metadata'!$B$5)^(O459-1))</x:f>
        <x:v>133677.45937337462</x:v>
      </x:c>
      <x:c r="U459" s="60" t="n">
        <x:f>IF(T459="","",I459*T459)</x:f>
        <x:v>17324.789532627114</x:v>
      </x:c>
    </x:row>
    <x:row r="460" ht="18" customHeight="1">
      <x:c r="A460" s="46" t="str">
        <x:v>LME_026</x:v>
      </x:c>
      <x:c r="B460" s="46" t="str">
        <x:v>Mediterranean Sea</x:v>
      </x:c>
      <x:c r="C460" s="46" t="str">
        <x:v>LME</x:v>
      </x:c>
      <x:c r="D460" s="58" t="n">
        <x:v>2019</x:v>
      </x:c>
      <x:c r="E460" s="46" t="str">
        <x:v>Arca noae</x:v>
      </x:c>
      <x:c r="F460" s="46" t="str">
        <x:v>Noah's ark</x:v>
      </x:c>
      <x:c r="G460" s="46" t="str">
        <x:v>Other demersal invertebrates</x:v>
      </x:c>
      <x:c r="H460" s="46" t="str">
        <x:v>Molluscs</x:v>
      </x:c>
      <x:c r="I460" s="60" t="n">
        <x:v>0.1289160675</x:v>
      </x:c>
      <x:c r="J460" s="60" t="n">
        <x:v>0.005965783800000001</x:v>
      </x:c>
      <x:c r="K460" s="60" t="n">
        <x:v>0.1229502837</x:v>
      </x:c>
      <x:c r="L460" s="60" t="n">
        <x:v>0.005965783800000001</x:v>
      </x:c>
      <x:c r="M460" s="60" t="n">
        <x:v>0.1229502837</x:v>
      </x:c>
      <x:c r="N460" s="46" t="str">
        <x:v>arca noae</x:v>
      </x:c>
      <x:c r="O460" s="62" t="n">
        <x:v>2</x:v>
      </x:c>
      <x:c r="P460" s="46" t="str">
        <x:v>exact_sea_around_us</x:v>
      </x:c>
      <x:c r="Q460" s="62" t="str">
        <x:v>Sea Around Us exploited organisms</x:v>
      </x:c>
      <x:c r="R460" s="46" t="str">
        <x:v>high</x:v>
      </x:c>
      <x:c r="S460" s="46" t="str">
        <x:v>Arca noae</x:v>
      </x:c>
      <x:c r="T460" s="62" t="n">
        <x:f>IF(O460="","",(1/'Metadata'!$B$5)^(O460-1))</x:f>
        <x:v>20</x:v>
      </x:c>
      <x:c r="U460" s="60" t="n">
        <x:f>IF(T460="","",I460*T460)</x:f>
        <x:v>2.5783213500000004</x:v>
      </x:c>
    </x:row>
    <x:row r="461" ht="18" customHeight="1">
      <x:c r="A461" s="46" t="str">
        <x:v>LME_026</x:v>
      </x:c>
      <x:c r="B461" s="46" t="str">
        <x:v>Mediterranean Sea</x:v>
      </x:c>
      <x:c r="C461" s="46" t="str">
        <x:v>LME</x:v>
      </x:c>
      <x:c r="D461" s="58" t="n">
        <x:v>2019</x:v>
      </x:c>
      <x:c r="E461" s="46" t="str">
        <x:v>Pomacentridae</x:v>
      </x:c>
      <x:c r="F461" s="46" t="str">
        <x:v>Damselfishes</x:v>
      </x:c>
      <x:c r="G461" s="46" t="str">
        <x:v>Small reef assoc. fish (&lt;30 cm)</x:v>
      </x:c>
      <x:c r="H461" s="46" t="str">
        <x:v>Perch-likes</x:v>
      </x:c>
      <x:c r="I461" s="60" t="n">
        <x:v>0.1105591773</x:v>
      </x:c>
      <x:c r="J461" s="60" t="n">
        <x:v>0</x:v>
      </x:c>
      <x:c r="K461" s="60" t="n">
        <x:v>0.1105591773</x:v>
      </x:c>
      <x:c r="L461" s="60" t="n">
        <x:v>0</x:v>
      </x:c>
      <x:c r="M461" s="60" t="n">
        <x:v>0.1105591773</x:v>
      </x:c>
      <x:c r="N461" s="46" t="str">
        <x:v>pomacentridae</x:v>
      </x:c>
      <x:c r="O461" s="62" t="n">
        <x:v>2.57</x:v>
      </x:c>
      <x:c r="P461" s="46" t="str">
        <x:v>exact_sea_around_us</x:v>
      </x:c>
      <x:c r="Q461" s="62" t="str">
        <x:v>Sea Around Us exploited organisms</x:v>
      </x:c>
      <x:c r="R461" s="46" t="str">
        <x:v>high</x:v>
      </x:c>
      <x:c r="S461" s="46" t="str">
        <x:v>Pomacentridae</x:v>
      </x:c>
      <x:c r="T461" s="62" t="n">
        <x:f>IF(O461="","",(1/'Metadata'!$B$5)^(O461-1))</x:f>
        <x:v>110.31056098276322</x:v>
      </x:c>
      <x:c r="U461" s="60" t="n">
        <x:f>IF(T461="","",I461*T461)</x:f>
        <x:v>12.195844869755781</x:v>
      </x:c>
    </x:row>
    <x:row r="462" ht="18" customHeight="1">
      <x:c r="A462" s="46" t="str">
        <x:v>LME_026</x:v>
      </x:c>
      <x:c r="B462" s="46" t="str">
        <x:v>Mediterranean Sea</x:v>
      </x:c>
      <x:c r="C462" s="46" t="str">
        <x:v>LME</x:v>
      </x:c>
      <x:c r="D462" s="58" t="n">
        <x:v>2019</x:v>
      </x:c>
      <x:c r="E462" s="46" t="str">
        <x:v>Mytilidae</x:v>
      </x:c>
      <x:c r="F462" s="46" t="str">
        <x:v>Sea mussels</x:v>
      </x:c>
      <x:c r="G462" s="46" t="str">
        <x:v>Other demersal invertebrates</x:v>
      </x:c>
      <x:c r="H462" s="46" t="str">
        <x:v>Molluscs</x:v>
      </x:c>
      <x:c r="I462" s="60" t="n">
        <x:v>0.1094169965</x:v>
      </x:c>
      <x:c r="J462" s="60" t="n">
        <x:v>0.1094169965</x:v>
      </x:c>
      <x:c r="K462" s="60" t="n">
        <x:v>0</x:v>
      </x:c>
      <x:c r="L462" s="60" t="n">
        <x:v>0</x:v>
      </x:c>
      <x:c r="M462" s="60" t="n">
        <x:v>0.1094169965</x:v>
      </x:c>
      <x:c r="N462" s="46" t="str">
        <x:v>mytilidae</x:v>
      </x:c>
      <x:c r="O462" s="62" t="n">
        <x:v>2</x:v>
      </x:c>
      <x:c r="P462" s="46" t="str">
        <x:v>exact_sea_around_us</x:v>
      </x:c>
      <x:c r="Q462" s="62" t="str">
        <x:v>Sea Around Us exploited organisms</x:v>
      </x:c>
      <x:c r="R462" s="46" t="str">
        <x:v>high</x:v>
      </x:c>
      <x:c r="S462" s="46" t="str">
        <x:v>Mytilidae</x:v>
      </x:c>
      <x:c r="T462" s="62" t="n">
        <x:f>IF(O462="","",(1/'Metadata'!$B$5)^(O462-1))</x:f>
        <x:v>20</x:v>
      </x:c>
      <x:c r="U462" s="60" t="n">
        <x:f>IF(T462="","",I462*T462)</x:f>
        <x:v>2.18833993</x:v>
      </x:c>
    </x:row>
    <x:row r="463" ht="18" customHeight="1">
      <x:c r="A463" s="46" t="str">
        <x:v>LME_026</x:v>
      </x:c>
      <x:c r="B463" s="46" t="str">
        <x:v>Mediterranean Sea</x:v>
      </x:c>
      <x:c r="C463" s="46" t="str">
        <x:v>LME</x:v>
      </x:c>
      <x:c r="D463" s="58" t="n">
        <x:v>2019</x:v>
      </x:c>
      <x:c r="E463" s="46" t="str">
        <x:v>Lamnidae</x:v>
      </x:c>
      <x:c r="F463" s="46" t="str">
        <x:v>Mackerel/white sharks</x:v>
      </x:c>
      <x:c r="G463" s="46" t="str">
        <x:v>Large sharks (&gt;=90 cm)</x:v>
      </x:c>
      <x:c r="H463" s="46" t="str">
        <x:v>Sharks &amp; rays</x:v>
      </x:c>
      <x:c r="I463" s="60" t="n">
        <x:v>0.1004628575</x:v>
      </x:c>
      <x:c r="J463" s="60" t="n">
        <x:v>0.1004628575</x:v>
      </x:c>
      <x:c r="K463" s="60" t="n">
        <x:v>0</x:v>
      </x:c>
      <x:c r="L463" s="60" t="n">
        <x:v>0</x:v>
      </x:c>
      <x:c r="M463" s="60" t="n">
        <x:v>0.1004628575</x:v>
      </x:c>
      <x:c r="N463" s="46" t="str">
        <x:v>lamnidae</x:v>
      </x:c>
      <x:c r="O463" s="62" t="n">
        <x:v>4.5</x:v>
      </x:c>
      <x:c r="P463" s="46" t="str">
        <x:v>exact_sea_around_us</x:v>
      </x:c>
      <x:c r="Q463" s="62" t="str">
        <x:v>Sea Around Us exploited organisms</x:v>
      </x:c>
      <x:c r="R463" s="46" t="str">
        <x:v>high</x:v>
      </x:c>
      <x:c r="S463" s="46" t="str">
        <x:v>Lamnidae</x:v>
      </x:c>
      <x:c r="T463" s="62" t="n">
        <x:f>IF(O463="","",(1/'Metadata'!$B$5)^(O463-1))</x:f>
        <x:v>35777.08763999664</x:v>
      </x:c>
      <x:c r="U463" s="60" t="n">
        <x:f>IF(T463="","",I463*T463)</x:f>
        <x:v>3594.2684573419933</x:v>
      </x:c>
    </x:row>
    <x:row r="464" ht="18" customHeight="1">
      <x:c r="A464" s="46" t="str">
        <x:v>LME_026</x:v>
      </x:c>
      <x:c r="B464" s="46" t="str">
        <x:v>Mediterranean Sea</x:v>
      </x:c>
      <x:c r="C464" s="46" t="str">
        <x:v>LME</x:v>
      </x:c>
      <x:c r="D464" s="58" t="n">
        <x:v>2019</x:v>
      </x:c>
      <x:c r="E464" s="46" t="str">
        <x:v>Eriphia verrucosa</x:v>
      </x:c>
      <x:c r="F464" s="46" t="str">
        <x:v>Yellow round crab</x:v>
      </x:c>
      <x:c r="G464" s="46" t="str">
        <x:v>Lobsters, crabs</x:v>
      </x:c>
      <x:c r="H464" s="46" t="str">
        <x:v>Crustaceans</x:v>
      </x:c>
      <x:c r="I464" s="60" t="n">
        <x:v>0.0972611307</x:v>
      </x:c>
      <x:c r="J464" s="60" t="n">
        <x:v>0.0972611307</x:v>
      </x:c>
      <x:c r="K464" s="60" t="n">
        <x:v>0</x:v>
      </x:c>
      <x:c r="L464" s="60" t="n">
        <x:v>0.0972611307</x:v>
      </x:c>
      <x:c r="M464" s="60" t="n">
        <x:v>0</x:v>
      </x:c>
      <x:c r="N464" s="46" t="str">
        <x:v>eriphia verrucosa</x:v>
      </x:c>
      <x:c r="O464" s="62" t="n">
        <x:v>2.99</x:v>
      </x:c>
      <x:c r="P464" s="46" t="str">
        <x:v>exact_sea_around_us</x:v>
      </x:c>
      <x:c r="Q464" s="62" t="str">
        <x:v>Sea Around Us exploited organisms</x:v>
      </x:c>
      <x:c r="R464" s="46" t="str">
        <x:v>high</x:v>
      </x:c>
      <x:c r="S464" s="46" t="str">
        <x:v>Eriphia verrucosa</x:v>
      </x:c>
      <x:c r="T464" s="62" t="n">
        <x:f>IF(O464="","",(1/'Metadata'!$B$5)^(O464-1))</x:f>
        <x:v>388.19478015718425</x:v>
      </x:c>
      <x:c r="U464" s="60" t="n">
        <x:f>IF(T464="","",I464*T464)</x:f>
        <x:v>37.75626324992567</x:v>
      </x:c>
    </x:row>
    <x:row r="465" ht="18" customHeight="1">
      <x:c r="A465" s="46" t="str">
        <x:v>LME_026</x:v>
      </x:c>
      <x:c r="B465" s="46" t="str">
        <x:v>Mediterranean Sea</x:v>
      </x:c>
      <x:c r="C465" s="46" t="str">
        <x:v>LME</x:v>
      </x:c>
      <x:c r="D465" s="58" t="n">
        <x:v>2019</x:v>
      </x:c>
      <x:c r="E465" s="46" t="str">
        <x:v>Gobius cruentatus</x:v>
      </x:c>
      <x:c r="F465" s="46" t="str">
        <x:v>Red-mouthed goby</x:v>
      </x:c>
      <x:c r="G465" s="46" t="str">
        <x:v>Small demersals (&lt;30 cm)</x:v>
      </x:c>
      <x:c r="H465" s="46" t="str">
        <x:v>Perch-likes</x:v>
      </x:c>
      <x:c r="I465" s="60" t="n">
        <x:v>0.0934055658</x:v>
      </x:c>
      <x:c r="J465" s="60" t="n">
        <x:v>0.0237415397</x:v>
      </x:c>
      <x:c r="K465" s="60" t="n">
        <x:v>0.0696640261</x:v>
      </x:c>
      <x:c r="L465" s="60" t="n">
        <x:v>0.0090839254</x:v>
      </x:c>
      <x:c r="M465" s="60" t="n">
        <x:v>0.0843216404</x:v>
      </x:c>
      <x:c r="N465" s="46" t="str">
        <x:v>gobius cruentatus</x:v>
      </x:c>
      <x:c r="O465" s="62" t="n">
        <x:v>3.37</x:v>
      </x:c>
      <x:c r="P465" s="46" t="str">
        <x:v>exact_2020_supplement</x:v>
      </x:c>
      <x:c r="Q465" s="62" t="str">
        <x:v>2020 supplement MeanTL</x:v>
      </x:c>
      <x:c r="R465" s="46" t="str">
        <x:v>high</x:v>
      </x:c>
      <x:c r="S465" s="46" t="str">
        <x:v>Gobius cruentatus</x:v>
      </x:c>
      <x:c r="T465" s="62" t="n">
        <x:f>IF(O465="","",(1/'Metadata'!$B$5)^(O465-1))</x:f>
        <x:v>1211.828298056271</x:v>
      </x:c>
      <x:c r="U465" s="60" t="n">
        <x:f>IF(T465="","",I465*T465)</x:f>
        <x:v>113.19150783239704</x:v>
      </x:c>
    </x:row>
    <x:row r="466" ht="18" customHeight="1">
      <x:c r="A466" s="46" t="str">
        <x:v>LME_026</x:v>
      </x:c>
      <x:c r="B466" s="46" t="str">
        <x:v>Mediterranean Sea</x:v>
      </x:c>
      <x:c r="C466" s="46" t="str">
        <x:v>LME</x:v>
      </x:c>
      <x:c r="D466" s="58" t="n">
        <x:v>2019</x:v>
      </x:c>
      <x:c r="E466" s="46" t="str">
        <x:v>Sarda</x:v>
      </x:c>
      <x:c r="F466" s="46" t="str">
        <x:v>Bonitos</x:v>
      </x:c>
      <x:c r="G466" s="46" t="str">
        <x:v>Large pelagics (&gt;=90 cm)</x:v>
      </x:c>
      <x:c r="H466" s="46" t="str">
        <x:v>Tuna &amp; billfishes</x:v>
      </x:c>
      <x:c r="I466" s="60" t="n">
        <x:v>0.0904872473</x:v>
      </x:c>
      <x:c r="J466" s="60" t="n">
        <x:v>0.0740465163</x:v>
      </x:c>
      <x:c r="K466" s="60" t="n">
        <x:v>0.016440731</x:v>
      </x:c>
      <x:c r="L466" s="60" t="n">
        <x:v>0.0740465163</x:v>
      </x:c>
      <x:c r="M466" s="60" t="n">
        <x:v>0.016440731</x:v>
      </x:c>
      <x:c r="N466" s="46" t="str">
        <x:v>sarda</x:v>
      </x:c>
      <x:c r="O466" s="62" t="n">
        <x:v>4.37</x:v>
      </x:c>
      <x:c r="P466" s="46" t="str">
        <x:v>exact_sea_around_us</x:v>
      </x:c>
      <x:c r="Q466" s="62" t="str">
        <x:v>Sea Around Us exploited organisms</x:v>
      </x:c>
      <x:c r="R466" s="46" t="str">
        <x:v>high</x:v>
      </x:c>
      <x:c r="S466" s="46" t="str">
        <x:v>Sarda</x:v>
      </x:c>
      <x:c r="T466" s="62" t="n">
        <x:f>IF(O466="","",(1/'Metadata'!$B$5)^(O466-1))</x:f>
        <x:v>24236.56596112542</x:v>
      </x:c>
      <x:c r="U466" s="60" t="n">
        <x:f>IF(T466="","",I466*T466)</x:f>
        <x:v>2193.100137827118</x:v>
      </x:c>
    </x:row>
    <x:row r="467" ht="18" customHeight="1">
      <x:c r="A467" s="46" t="str">
        <x:v>LME_026</x:v>
      </x:c>
      <x:c r="B467" s="46" t="str">
        <x:v>Mediterranean Sea</x:v>
      </x:c>
      <x:c r="C467" s="46" t="str">
        <x:v>LME</x:v>
      </x:c>
      <x:c r="D467" s="58" t="n">
        <x:v>2019</x:v>
      </x:c>
      <x:c r="E467" s="46" t="str">
        <x:v>Kyphosidae</x:v>
      </x:c>
      <x:c r="F467" s="46" t="str">
        <x:v>Sea chubs, knifefishes, niblers</x:v>
      </x:c>
      <x:c r="G467" s="46" t="str">
        <x:v>Medium reef assoc. fish (30 - 89 cm)</x:v>
      </x:c>
      <x:c r="H467" s="46" t="str">
        <x:v>Perch-likes</x:v>
      </x:c>
      <x:c r="I467" s="60" t="n">
        <x:v>0.0861805383</x:v>
      </x:c>
      <x:c r="J467" s="60" t="n">
        <x:v>0.0861805383</x:v>
      </x:c>
      <x:c r="K467" s="60" t="n">
        <x:v>0</x:v>
      </x:c>
      <x:c r="L467" s="60" t="n">
        <x:v>0.0861805383</x:v>
      </x:c>
      <x:c r="M467" s="60" t="n">
        <x:v>0</x:v>
      </x:c>
      <x:c r="N467" s="46" t="str">
        <x:v>kyphosidae</x:v>
      </x:c>
      <x:c r="O467" s="62" t="n">
        <x:v>2.19</x:v>
      </x:c>
      <x:c r="P467" s="46" t="str">
        <x:v>exact_sea_around_us</x:v>
      </x:c>
      <x:c r="Q467" s="62" t="str">
        <x:v>Sea Around Us exploited organisms</x:v>
      </x:c>
      <x:c r="R467" s="46" t="str">
        <x:v>high</x:v>
      </x:c>
      <x:c r="S467" s="46" t="str">
        <x:v>Kyphosidae</x:v>
      </x:c>
      <x:c r="T467" s="62" t="n">
        <x:f>IF(O467="","",(1/'Metadata'!$B$5)^(O467-1))</x:f>
        <x:v>35.336676027787405</x:v>
      </x:c>
      <x:c r="U467" s="60" t="n">
        <x:f>IF(T467="","",I467*T467)</x:f>
        <x:v>3.045333761807424</x:v>
      </x:c>
    </x:row>
    <x:row r="468" ht="18" customHeight="1">
      <x:c r="A468" s="46" t="str">
        <x:v>LME_026</x:v>
      </x:c>
      <x:c r="B468" s="46" t="str">
        <x:v>Mediterranean Sea</x:v>
      </x:c>
      <x:c r="C468" s="46" t="str">
        <x:v>LME</x:v>
      </x:c>
      <x:c r="D468" s="58" t="n">
        <x:v>2019</x:v>
      </x:c>
      <x:c r="E468" s="46" t="str">
        <x:v>Ascidiacea</x:v>
      </x:c>
      <x:c r="F468" s="46" t="str">
        <x:v>Sea squirts</x:v>
      </x:c>
      <x:c r="G468" s="46" t="str">
        <x:v>Other demersal invertebrates</x:v>
      </x:c>
      <x:c r="H468" s="46" t="str">
        <x:v>Other fishes &amp; inverts</x:v>
      </x:c>
      <x:c r="I468" s="60" t="n">
        <x:v>0.0771365104</x:v>
      </x:c>
      <x:c r="J468" s="60" t="n">
        <x:v>0.041316689000000004</x:v>
      </x:c>
      <x:c r="K468" s="60" t="n">
        <x:v>0.0358198214</x:v>
      </x:c>
      <x:c r="L468" s="60" t="n">
        <x:v>0.0339125319</x:v>
      </x:c>
      <x:c r="M468" s="60" t="n">
        <x:v>0.0432239785</x:v>
      </x:c>
      <x:c r="N468" s="46" t="str">
        <x:v>ascidiacea</x:v>
      </x:c>
      <x:c r="O468" s="62" t="n">
        <x:v>3</x:v>
      </x:c>
      <x:c r="P468" s="46" t="str">
        <x:v>exact_sea_around_us</x:v>
      </x:c>
      <x:c r="Q468" s="62" t="str">
        <x:v>Sea Around Us exploited organisms</x:v>
      </x:c>
      <x:c r="R468" s="46" t="str">
        <x:v>high</x:v>
      </x:c>
      <x:c r="S468" s="46" t="str">
        <x:v>Ascidiacea</x:v>
      </x:c>
      <x:c r="T468" s="62" t="n">
        <x:f>IF(O468="","",(1/'Metadata'!$B$5)^(O468-1))</x:f>
        <x:v>400</x:v>
      </x:c>
      <x:c r="U468" s="60" t="n">
        <x:f>IF(T468="","",I468*T468)</x:f>
        <x:v>30.854604159999997</x:v>
      </x:c>
    </x:row>
    <x:row r="469" ht="18" customHeight="1">
      <x:c r="A469" s="46" t="str">
        <x:v>LME_026</x:v>
      </x:c>
      <x:c r="B469" s="46" t="str">
        <x:v>Mediterranean Sea</x:v>
      </x:c>
      <x:c r="C469" s="46" t="str">
        <x:v>LME</x:v>
      </x:c>
      <x:c r="D469" s="58" t="n">
        <x:v>2019</x:v>
      </x:c>
      <x:c r="E469" s="46" t="str">
        <x:v>Terapontidae</x:v>
      </x:c>
      <x:c r="F469" s="46" t="str">
        <x:v>Grunters, tigerperches</x:v>
      </x:c>
      <x:c r="G469" s="46" t="str">
        <x:v>Medium demersals (30 - 89 cm)</x:v>
      </x:c>
      <x:c r="H469" s="46" t="str">
        <x:v>Perch-likes</x:v>
      </x:c>
      <x:c r="I469" s="60" t="n">
        <x:v>0.0659777387</x:v>
      </x:c>
      <x:c r="J469" s="60" t="n">
        <x:v>0</x:v>
      </x:c>
      <x:c r="K469" s="60" t="n">
        <x:v>0.0659777387</x:v>
      </x:c>
      <x:c r="L469" s="60" t="n">
        <x:v>0</x:v>
      </x:c>
      <x:c r="M469" s="60" t="n">
        <x:v>0.0659777387</x:v>
      </x:c>
      <x:c r="N469" s="46" t="str">
        <x:v>terapontidae</x:v>
      </x:c>
      <x:c r="O469" s="62" t="n">
        <x:v>3.64</x:v>
      </x:c>
      <x:c r="P469" s="46" t="str">
        <x:v>exact_sea_around_us</x:v>
      </x:c>
      <x:c r="Q469" s="62" t="str">
        <x:v>Sea Around Us exploited organisms</x:v>
      </x:c>
      <x:c r="R469" s="46" t="str">
        <x:v>high</x:v>
      </x:c>
      <x:c r="S469" s="46" t="str">
        <x:v>Terapontidae</x:v>
      </x:c>
      <x:c r="T469" s="62" t="n">
        <x:f>IF(O469="","",(1/'Metadata'!$B$5)^(O469-1))</x:f>
        <x:v>2720.9413995404984</x:v>
      </x:c>
      <x:c r="U469" s="60" t="n">
        <x:f>IF(T469="","",I469*T469)</x:f>
        <x:v>179.5215606768953</x:v>
      </x:c>
    </x:row>
    <x:row r="470" ht="18" customHeight="1">
      <x:c r="A470" s="46" t="str">
        <x:v>LME_026</x:v>
      </x:c>
      <x:c r="B470" s="46" t="str">
        <x:v>Mediterranean Sea</x:v>
      </x:c>
      <x:c r="C470" s="46" t="str">
        <x:v>LME</x:v>
      </x:c>
      <x:c r="D470" s="58" t="n">
        <x:v>2019</x:v>
      </x:c>
      <x:c r="E470" s="46" t="str">
        <x:v>Solen marginatus</x:v>
      </x:c>
      <x:c r="F470" s="46" t="str">
        <x:v>Grooved razor clam</x:v>
      </x:c>
      <x:c r="G470" s="46" t="str">
        <x:v>Other demersal invertebrates</x:v>
      </x:c>
      <x:c r="H470" s="46" t="str">
        <x:v>Molluscs</x:v>
      </x:c>
      <x:c r="I470" s="60" t="n">
        <x:v>0.060388909</x:v>
      </x:c>
      <x:c r="J470" s="60" t="n">
        <x:v>0.052707629</x:v>
      </x:c>
      <x:c r="K470" s="60" t="n">
        <x:v>0.00768128</x:v>
      </x:c>
      <x:c r="L470" s="60" t="n">
        <x:v>0.0512279383</x:v>
      </x:c>
      <x:c r="M470" s="60" t="n">
        <x:v>0.0091609707</x:v>
      </x:c>
      <x:c r="N470" s="46" t="str">
        <x:v>solen marginatus</x:v>
      </x:c>
      <x:c r="O470" s="62" t="n">
        <x:v>2</x:v>
      </x:c>
      <x:c r="P470" s="46" t="str">
        <x:v>exact_sea_around_us</x:v>
      </x:c>
      <x:c r="Q470" s="62" t="str">
        <x:v>Sea Around Us exploited organisms</x:v>
      </x:c>
      <x:c r="R470" s="46" t="str">
        <x:v>high</x:v>
      </x:c>
      <x:c r="S470" s="46" t="str">
        <x:v>Solen marginatus</x:v>
      </x:c>
      <x:c r="T470" s="62" t="n">
        <x:f>IF(O470="","",(1/'Metadata'!$B$5)^(O470-1))</x:f>
        <x:v>20</x:v>
      </x:c>
      <x:c r="U470" s="60" t="n">
        <x:f>IF(T470="","",I470*T470)</x:f>
        <x:v>1.20777818</x:v>
      </x:c>
    </x:row>
    <x:row r="471" ht="18" customHeight="1">
      <x:c r="A471" s="46" t="str">
        <x:v>LME_026</x:v>
      </x:c>
      <x:c r="B471" s="46" t="str">
        <x:v>Mediterranean Sea</x:v>
      </x:c>
      <x:c r="C471" s="46" t="str">
        <x:v>LME</x:v>
      </x:c>
      <x:c r="D471" s="58" t="n">
        <x:v>2019</x:v>
      </x:c>
      <x:c r="E471" s="46" t="str">
        <x:v>Carcharhinus brevipinna</x:v>
      </x:c>
      <x:c r="F471" s="46" t="str">
        <x:v>Spinner shark</x:v>
      </x:c>
      <x:c r="G471" s="46" t="str">
        <x:v>Large sharks (&gt;=90 cm)</x:v>
      </x:c>
      <x:c r="H471" s="46" t="str">
        <x:v>Sharks &amp; rays</x:v>
      </x:c>
      <x:c r="I471" s="60" t="n">
        <x:v>0.0524884559</x:v>
      </x:c>
      <x:c r="J471" s="60" t="n">
        <x:v>0.0524884559</x:v>
      </x:c>
      <x:c r="K471" s="60" t="n">
        <x:v>0</x:v>
      </x:c>
      <x:c r="L471" s="60" t="n">
        <x:v>0.0524884559</x:v>
      </x:c>
      <x:c r="M471" s="60" t="n">
        <x:v>0</x:v>
      </x:c>
      <x:c r="N471" s="46" t="str">
        <x:v>carcharhinus brevipinna</x:v>
      </x:c>
      <x:c r="O471" s="62" t="n">
        <x:v>4.2</x:v>
      </x:c>
      <x:c r="P471" s="46" t="str">
        <x:v>exact_2020_supplement</x:v>
      </x:c>
      <x:c r="Q471" s="62" t="str">
        <x:v>2020 supplement MeanTL</x:v>
      </x:c>
      <x:c r="R471" s="46" t="str">
        <x:v>high</x:v>
      </x:c>
      <x:c r="S471" s="46" t="str">
        <x:v>Carcharhinus brevipinna</x:v>
      </x:c>
      <x:c r="T471" s="62" t="n">
        <x:f>IF(O471="","",(1/'Metadata'!$B$5)^(O471-1))</x:f>
        <x:v>14564.51362420865</x:v>
      </x:c>
      <x:c r="U471" s="60" t="n">
        <x:f>IF(T471="","",I471*T471)</x:f>
        <x:v>764.468831069225</x:v>
      </x:c>
    </x:row>
    <x:row r="472" ht="18" customHeight="1">
      <x:c r="A472" s="46" t="str">
        <x:v>LME_026</x:v>
      </x:c>
      <x:c r="B472" s="46" t="str">
        <x:v>Mediterranean Sea</x:v>
      </x:c>
      <x:c r="C472" s="46" t="str">
        <x:v>LME</x:v>
      </x:c>
      <x:c r="D472" s="58" t="n">
        <x:v>2019</x:v>
      </x:c>
      <x:c r="E472" s="46" t="str">
        <x:v>Hemiramphus</x:v>
      </x:c>
      <x:c r="F472" s="46" t="str">
        <x:v>Halfbeaks</x:v>
      </x:c>
      <x:c r="G472" s="46" t="str">
        <x:v>Medium pelagics (30 - 89 cm)</x:v>
      </x:c>
      <x:c r="H472" s="46" t="str">
        <x:v>Other fishes &amp; inverts</x:v>
      </x:c>
      <x:c r="I472" s="60" t="n">
        <x:v>0.0454373344</x:v>
      </x:c>
      <x:c r="J472" s="60" t="n">
        <x:v>0.0454373344</x:v>
      </x:c>
      <x:c r="K472" s="60" t="n">
        <x:v>0</x:v>
      </x:c>
      <x:c r="L472" s="60" t="n">
        <x:v>0</x:v>
      </x:c>
      <x:c r="M472" s="60" t="n">
        <x:v>0.0454373344</x:v>
      </x:c>
      <x:c r="N472" s="46" t="str">
        <x:v>hemiramphus</x:v>
      </x:c>
      <x:c r="O472" s="62" t="n">
        <x:v>3.05</x:v>
      </x:c>
      <x:c r="P472" s="46" t="str">
        <x:v>exact_sea_around_us</x:v>
      </x:c>
      <x:c r="Q472" s="62" t="str">
        <x:v>Sea Around Us exploited organisms</x:v>
      </x:c>
      <x:c r="R472" s="46" t="str">
        <x:v>high</x:v>
      </x:c>
      <x:c r="S472" s="46" t="str">
        <x:v>Hemiramphus</x:v>
      </x:c>
      <x:c r="T472" s="62" t="n">
        <x:f>IF(O472="","",(1/'Metadata'!$B$5)^(O472-1))</x:f>
        <x:v>464.63453985661664</x:v>
      </x:c>
      <x:c r="U472" s="60" t="n">
        <x:f>IF(T472="","",I472*T472)</x:f>
        <x:v>21.11175496125522</x:v>
      </x:c>
    </x:row>
    <x:row r="473" ht="18" customHeight="1">
      <x:c r="A473" s="46" t="str">
        <x:v>LME_026</x:v>
      </x:c>
      <x:c r="B473" s="46" t="str">
        <x:v>Mediterranean Sea</x:v>
      </x:c>
      <x:c r="C473" s="46" t="str">
        <x:v>LME</x:v>
      </x:c>
      <x:c r="D473" s="58" t="n">
        <x:v>2019</x:v>
      </x:c>
      <x:c r="E473" s="46" t="str">
        <x:v>Modiolus barbatus</x:v>
      </x:c>
      <x:c r="F473" s="46" t="str">
        <x:v>Bearded horse mussel</x:v>
      </x:c>
      <x:c r="G473" s="46" t="str">
        <x:v>Other demersal invertebrates</x:v>
      </x:c>
      <x:c r="H473" s="46" t="str">
        <x:v>Molluscs</x:v>
      </x:c>
      <x:c r="I473" s="60" t="n">
        <x:v>0.0430867179</x:v>
      </x:c>
      <x:c r="J473" s="60" t="n">
        <x:v>0.0351664826</x:v>
      </x:c>
      <x:c r="K473" s="60" t="n">
        <x:v>0.0079202353</x:v>
      </x:c>
      <x:c r="L473" s="60" t="n">
        <x:v>0</x:v>
      </x:c>
      <x:c r="M473" s="60" t="n">
        <x:v>0.0430867179</x:v>
      </x:c>
      <x:c r="N473" s="46" t="str">
        <x:v>modiolus barbatus</x:v>
      </x:c>
      <x:c r="O473" s="62" t="n">
        <x:v>3.4</x:v>
      </x:c>
      <x:c r="P473" s="46" t="str">
        <x:v>exact_sea_around_us</x:v>
      </x:c>
      <x:c r="Q473" s="62" t="str">
        <x:v>Sea Around Us exploited organisms</x:v>
      </x:c>
      <x:c r="R473" s="46" t="str">
        <x:v>high</x:v>
      </x:c>
      <x:c r="S473" s="46" t="str">
        <x:v>Modiolus barbatus</x:v>
      </x:c>
      <x:c r="T473" s="62" t="n">
        <x:f>IF(O473="","",(1/'Metadata'!$B$5)^(O473-1))</x:f>
        <x:v>1325.7816069359944</x:v>
      </x:c>
      <x:c r="U473" s="60" t="n">
        <x:f>IF(T473="","",I473*T473)</x:f>
        <x:v>57.12357809505988</x:v>
      </x:c>
    </x:row>
    <x:row r="474" ht="18" customHeight="1">
      <x:c r="A474" s="46" t="str">
        <x:v>LME_026</x:v>
      </x:c>
      <x:c r="B474" s="46" t="str">
        <x:v>Mediterranean Sea</x:v>
      </x:c>
      <x:c r="C474" s="46" t="str">
        <x:v>LME</x:v>
      </x:c>
      <x:c r="D474" s="58" t="n">
        <x:v>2019</x:v>
      </x:c>
      <x:c r="E474" s="46" t="str">
        <x:v>Sphyrna</x:v>
      </x:c>
      <x:c r="F474" s="46" t="str">
        <x:v>Hammerhead sharks</x:v>
      </x:c>
      <x:c r="G474" s="46" t="str">
        <x:v>Large sharks (&gt;=90 cm)</x:v>
      </x:c>
      <x:c r="H474" s="46" t="str">
        <x:v>Sharks &amp; rays</x:v>
      </x:c>
      <x:c r="I474" s="60" t="n">
        <x:v>0.036497194899999995</x:v>
      </x:c>
      <x:c r="J474" s="60" t="n">
        <x:v>0.035800688299999994</x:v>
      </x:c>
      <x:c r="K474" s="60" t="n">
        <x:v>0.0006965066</x:v>
      </x:c>
      <x:c r="L474" s="60" t="n">
        <x:v>0.0316214642</x:v>
      </x:c>
      <x:c r="M474" s="60" t="n">
        <x:v>0.0048757307</x:v>
      </x:c>
      <x:c r="N474" s="46" t="str">
        <x:v>sphyrna</x:v>
      </x:c>
      <x:c r="O474" s="62" t="n">
        <x:v>4.2</x:v>
      </x:c>
      <x:c r="P474" s="46" t="str">
        <x:v>exact_sea_around_us</x:v>
      </x:c>
      <x:c r="Q474" s="62" t="str">
        <x:v>Sea Around Us exploited organisms</x:v>
      </x:c>
      <x:c r="R474" s="46" t="str">
        <x:v>high</x:v>
      </x:c>
      <x:c r="S474" s="46" t="str">
        <x:v>Sphyrna</x:v>
      </x:c>
      <x:c r="T474" s="62" t="n">
        <x:f>IF(O474="","",(1/'Metadata'!$B$5)^(O474-1))</x:f>
        <x:v>14564.51362420865</x:v>
      </x:c>
      <x:c r="U474" s="60" t="n">
        <x:f>IF(T474="","",I474*T474)</x:f>
        <x:v>531.5638923664484</x:v>
      </x:c>
    </x:row>
    <x:row r="475" ht="18" customHeight="1">
      <x:c r="A475" s="46" t="str">
        <x:v>LME_026</x:v>
      </x:c>
      <x:c r="B475" s="46" t="str">
        <x:v>Mediterranean Sea</x:v>
      </x:c>
      <x:c r="C475" s="46" t="str">
        <x:v>LME</x:v>
      </x:c>
      <x:c r="D475" s="58" t="n">
        <x:v>2019</x:v>
      </x:c>
      <x:c r="E475" s="46" t="str">
        <x:v>Ammodytes tobianus</x:v>
      </x:c>
      <x:c r="F475" s="46" t="str">
        <x:v>Small sandeel</x:v>
      </x:c>
      <x:c r="G475" s="46" t="str">
        <x:v>Small demersals (&lt;30 cm)</x:v>
      </x:c>
      <x:c r="H475" s="46" t="str">
        <x:v>Perch-likes</x:v>
      </x:c>
      <x:c r="I475" s="60" t="n">
        <x:v>0.030967419499999996</x:v>
      </x:c>
      <x:c r="J475" s="60" t="n">
        <x:v>0.022392800799999998</x:v>
      </x:c>
      <x:c r="K475" s="60" t="n">
        <x:v>0.0085746187</x:v>
      </x:c>
      <x:c r="L475" s="60" t="n">
        <x:v>0.0223926821</x:v>
      </x:c>
      <x:c r="M475" s="60" t="n">
        <x:v>0.008574737399999999</x:v>
      </x:c>
      <x:c r="N475" s="46" t="str">
        <x:v>ammodytes tobianus</x:v>
      </x:c>
      <x:c r="O475" s="62" t="n">
        <x:v>3.08</x:v>
      </x:c>
      <x:c r="P475" s="46" t="str">
        <x:v>exact_2020_supplement</x:v>
      </x:c>
      <x:c r="Q475" s="62" t="str">
        <x:v>2020 supplement MeanTL</x:v>
      </x:c>
      <x:c r="R475" s="46" t="str">
        <x:v>high</x:v>
      </x:c>
      <x:c r="S475" s="46" t="str">
        <x:v>Ammodytes tobianus</x:v>
      </x:c>
      <x:c r="T475" s="62" t="n">
        <x:f>IF(O475="","",(1/'Metadata'!$B$5)^(O475-1))</x:f>
        <x:v>508.32607876637354</x:v>
      </x:c>
      <x:c r="U475" s="60" t="n">
        <x:f>IF(T475="","",I475*T475)</x:f>
        <x:v>15.741546923948329</x:v>
      </x:c>
    </x:row>
    <x:row r="476" ht="18" customHeight="1">
      <x:c r="A476" s="46" t="str">
        <x:v>LME_026</x:v>
      </x:c>
      <x:c r="B476" s="46" t="str">
        <x:v>Mediterranean Sea</x:v>
      </x:c>
      <x:c r="C476" s="46" t="str">
        <x:v>LME</x:v>
      </x:c>
      <x:c r="D476" s="58" t="n">
        <x:v>2019</x:v>
      </x:c>
      <x:c r="E476" s="46" t="str">
        <x:v>Pteriomorphia</x:v>
      </x:c>
      <x:c r="F476" s="46" t="str">
        <x:v>Clams, cockles, arkshells</x:v>
      </x:c>
      <x:c r="G476" s="46" t="str">
        <x:v>Other demersal invertebrates</x:v>
      </x:c>
      <x:c r="H476" s="46" t="str">
        <x:v>Molluscs</x:v>
      </x:c>
      <x:c r="I476" s="60" t="n">
        <x:v>0.0283811233</x:v>
      </x:c>
      <x:c r="J476" s="60" t="n">
        <x:v>0.0283811233</x:v>
      </x:c>
      <x:c r="K476" s="60" t="n">
        <x:v>0</x:v>
      </x:c>
      <x:c r="L476" s="60" t="n">
        <x:v>0</x:v>
      </x:c>
      <x:c r="M476" s="60" t="n">
        <x:v>0.0283811233</x:v>
      </x:c>
      <x:c r="N476" s="46" t="str">
        <x:v>pteriomorphia</x:v>
      </x:c>
      <x:c r="O476" s="62" t="n">
        <x:v>2.27</x:v>
      </x:c>
      <x:c r="P476" s="46" t="str">
        <x:v>exact_sea_around_us</x:v>
      </x:c>
      <x:c r="Q476" s="62" t="str">
        <x:v>Sea Around Us exploited organisms</x:v>
      </x:c>
      <x:c r="R476" s="46" t="str">
        <x:v>high</x:v>
      </x:c>
      <x:c r="S476" s="46" t="str">
        <x:v>Pteriomorphia</x:v>
      </x:c>
      <x:c r="T476" s="62" t="n">
        <x:f>IF(O476="","",(1/'Metadata'!$B$5)^(O476-1))</x:f>
        <x:v>44.90638490460721</x:v>
      </x:c>
      <x:c r="U476" s="60" t="n">
        <x:f>IF(T476="","",I476*T476)</x:f>
        <x:v>1.274493646934916</x:v>
      </x:c>
    </x:row>
    <x:row r="477" ht="18" customHeight="1">
      <x:c r="A477" s="46" t="str">
        <x:v>LME_026</x:v>
      </x:c>
      <x:c r="B477" s="46" t="str">
        <x:v>Mediterranean Sea</x:v>
      </x:c>
      <x:c r="C477" s="46" t="str">
        <x:v>LME</x:v>
      </x:c>
      <x:c r="D477" s="58" t="n">
        <x:v>2019</x:v>
      </x:c>
      <x:c r="E477" s="46" t="str">
        <x:v>Chiroteuthis veranii</x:v>
      </x:c>
      <x:c r="F477" s="46" t="str">
        <x:v>Verany's long-armed squid</x:v>
      </x:c>
      <x:c r="G477" s="46" t="str">
        <x:v>Cephalopods</x:v>
      </x:c>
      <x:c r="H477" s="46" t="str">
        <x:v>Other fishes &amp; inverts</x:v>
      </x:c>
      <x:c r="I477" s="60" t="n">
        <x:v>0.0263555561</x:v>
      </x:c>
      <x:c r="J477" s="60" t="n">
        <x:v>0.0045038485</x:v>
      </x:c>
      <x:c r="K477" s="60" t="n">
        <x:v>0.0218517076</x:v>
      </x:c>
      <x:c r="L477" s="60" t="n">
        <x:v>0</x:v>
      </x:c>
      <x:c r="M477" s="60" t="n">
        <x:v>0.0263555561</x:v>
      </x:c>
      <x:c r="N477" s="46" t="str">
        <x:v>chiroteuthis veranii</x:v>
      </x:c>
      <x:c r="O477" s="62" t="n">
        <x:v>4.04</x:v>
      </x:c>
      <x:c r="P477" s="46" t="str">
        <x:v>exact_sea_around_us</x:v>
      </x:c>
      <x:c r="Q477" s="62" t="str">
        <x:v>Sea Around Us exploited organisms</x:v>
      </x:c>
      <x:c r="R477" s="46" t="str">
        <x:v>high</x:v>
      </x:c>
      <x:c r="S477" s="46" t="str">
        <x:v>Chiroteuthis veranii</x:v>
      </x:c>
      <x:c r="T477" s="62" t="n">
        <x:f>IF(O477="","",(1/'Metadata'!$B$5)^(O477-1))</x:f>
        <x:v>9018.435152653688</x:v>
      </x:c>
      <x:c r="U477" s="60" t="n">
        <x:f>IF(T477="","",I477*T477)</x:f>
        <x:v>237.68587359997636</x:v>
      </x:c>
    </x:row>
    <x:row r="478" ht="18" customHeight="1">
      <x:c r="A478" s="46" t="str">
        <x:v>LME_026</x:v>
      </x:c>
      <x:c r="B478" s="46" t="str">
        <x:v>Mediterranean Sea</x:v>
      </x:c>
      <x:c r="C478" s="46" t="str">
        <x:v>LME</x:v>
      </x:c>
      <x:c r="D478" s="58" t="n">
        <x:v>2019</x:v>
      </x:c>
      <x:c r="E478" s="46" t="str">
        <x:v>Apogon imberbis</x:v>
      </x:c>
      <x:c r="F478" s="46" t="str">
        <x:v>Cardinal fish</x:v>
      </x:c>
      <x:c r="G478" s="46" t="str">
        <x:v>Small reef assoc. fish (&lt;30 cm)</x:v>
      </x:c>
      <x:c r="H478" s="46" t="str">
        <x:v>Perch-likes</x:v>
      </x:c>
      <x:c r="I478" s="60" t="n">
        <x:v>0.0140101848</x:v>
      </x:c>
      <x:c r="J478" s="60" t="n">
        <x:v>0</x:v>
      </x:c>
      <x:c r="K478" s="60" t="n">
        <x:v>0.0140101848</x:v>
      </x:c>
      <x:c r="L478" s="60" t="n">
        <x:v>0</x:v>
      </x:c>
      <x:c r="M478" s="60" t="n">
        <x:v>0.0140101848</x:v>
      </x:c>
      <x:c r="N478" s="46" t="str">
        <x:v>apogon imberbis</x:v>
      </x:c>
      <x:c r="O478" s="62" t="n">
        <x:v>3.8</x:v>
      </x:c>
      <x:c r="P478" s="46" t="str">
        <x:v>exact_2020_supplement</x:v>
      </x:c>
      <x:c r="Q478" s="62" t="str">
        <x:v>2020 supplement MeanTL</x:v>
      </x:c>
      <x:c r="R478" s="46" t="str">
        <x:v>high</x:v>
      </x:c>
      <x:c r="S478" s="46" t="str">
        <x:v>Apogon imberbis</x:v>
      </x:c>
      <x:c r="T478" s="62" t="n">
        <x:f>IF(O478="","",(1/'Metadata'!$B$5)^(O478-1))</x:f>
        <x:v>4394.242173224468</x:v>
      </x:c>
      <x:c r="U478" s="60" t="n">
        <x:f>IF(T478="","",I478*T478)</x:f>
        <x:v>61.56414490282842</x:v>
      </x:c>
    </x:row>
    <x:row r="479" ht="18" customHeight="1">
      <x:c r="A479" s="46" t="str">
        <x:v>LME_026</x:v>
      </x:c>
      <x:c r="B479" s="46" t="str">
        <x:v>Mediterranean Sea</x:v>
      </x:c>
      <x:c r="C479" s="46" t="str">
        <x:v>LME</x:v>
      </x:c>
      <x:c r="D479" s="58" t="n">
        <x:v>2019</x:v>
      </x:c>
      <x:c r="E479" s="46" t="str">
        <x:v>Hemiramphidae</x:v>
      </x:c>
      <x:c r="F479" s="46" t="str">
        <x:v>Halfbeaks, garfishes</x:v>
      </x:c>
      <x:c r="G479" s="46" t="str">
        <x:v>Medium pelagics (30 - 89 cm)</x:v>
      </x:c>
      <x:c r="H479" s="46" t="str">
        <x:v>Other fishes &amp; inverts</x:v>
      </x:c>
      <x:c r="I479" s="60" t="n">
        <x:v>0.0140088994</x:v>
      </x:c>
      <x:c r="J479" s="60" t="n">
        <x:v>0.0140088994</x:v>
      </x:c>
      <x:c r="K479" s="60" t="n">
        <x:v>0</x:v>
      </x:c>
      <x:c r="L479" s="60" t="n">
        <x:v>0</x:v>
      </x:c>
      <x:c r="M479" s="60" t="n">
        <x:v>0.0140088994</x:v>
      </x:c>
      <x:c r="N479" s="46" t="str">
        <x:v>hemiramphidae</x:v>
      </x:c>
      <x:c r="O479" s="62" t="n">
        <x:v>2.82</x:v>
      </x:c>
      <x:c r="P479" s="46" t="str">
        <x:v>exact_sea_around_us</x:v>
      </x:c>
      <x:c r="Q479" s="62" t="str">
        <x:v>Sea Around Us exploited organisms</x:v>
      </x:c>
      <x:c r="R479" s="46" t="str">
        <x:v>high</x:v>
      </x:c>
      <x:c r="S479" s="46" t="str">
        <x:v>Hemiramphidae</x:v>
      </x:c>
      <x:c r="T479" s="62" t="n">
        <x:f>IF(O479="","",(1/'Metadata'!$B$5)^(O479-1))</x:f>
        <x:v>233.27843447436348</x:v>
      </x:c>
      <x:c r="U479" s="60" t="n">
        <x:f>IF(T479="","",I479*T479)</x:f>
        <x:v>3.26797412074085</x:v>
      </x:c>
    </x:row>
    <x:row r="480" ht="18" customHeight="1">
      <x:c r="A480" s="46" t="str">
        <x:v>LME_026</x:v>
      </x:c>
      <x:c r="B480" s="46" t="str">
        <x:v>Mediterranean Sea</x:v>
      </x:c>
      <x:c r="C480" s="46" t="str">
        <x:v>LME</x:v>
      </x:c>
      <x:c r="D480" s="58" t="n">
        <x:v>2019</x:v>
      </x:c>
      <x:c r="E480" s="46" t="str">
        <x:v>Scyllarus arctus</x:v>
      </x:c>
      <x:c r="F480" s="46" t="str">
        <x:v>Small European locust lobster</x:v>
      </x:c>
      <x:c r="G480" s="46" t="str">
        <x:v>Lobsters, crabs</x:v>
      </x:c>
      <x:c r="H480" s="46" t="str">
        <x:v>Crustaceans</x:v>
      </x:c>
      <x:c r="I480" s="60" t="n">
        <x:v>0.0076577341</x:v>
      </x:c>
      <x:c r="J480" s="60" t="n">
        <x:v>0.0075004371</x:v>
      </x:c>
      <x:c r="K480" s="60" t="n">
        <x:v>0.000157297</x:v>
      </x:c>
      <x:c r="L480" s="60" t="n">
        <x:v>0.0074570434</x:v>
      </x:c>
      <x:c r="M480" s="60" t="n">
        <x:v>0.0002006907</x:v>
      </x:c>
      <x:c r="N480" s="46" t="str">
        <x:v>scyllarus arctus</x:v>
      </x:c>
      <x:c r="O480" s="62" t="n">
        <x:v>2.87</x:v>
      </x:c>
      <x:c r="P480" s="46" t="str">
        <x:v>exact_sea_around_us</x:v>
      </x:c>
      <x:c r="Q480" s="62" t="str">
        <x:v>Sea Around Us exploited organisms</x:v>
      </x:c>
      <x:c r="R480" s="46" t="str">
        <x:v>high</x:v>
      </x:c>
      <x:c r="S480" s="46" t="str">
        <x:v>Scyllarus arctus</x:v>
      </x:c>
      <x:c r="T480" s="62" t="n">
        <x:f>IF(O480="","",(1/'Metadata'!$B$5)^(O480-1))</x:f>
        <x:v>270.9730451511698</x:v>
      </x:c>
      <x:c r="U480" s="60" t="n">
        <x:f>IF(T480="","",I480*T480)</x:f>
        <x:v>2.0750395280349525</x:v>
      </x:c>
    </x:row>
    <x:row r="481" ht="18" customHeight="1">
      <x:c r="A481" s="46" t="str">
        <x:v>LME_026</x:v>
      </x:c>
      <x:c r="B481" s="46" t="str">
        <x:v>Mediterranean Sea</x:v>
      </x:c>
      <x:c r="C481" s="46" t="str">
        <x:v>LME</x:v>
      </x:c>
      <x:c r="D481" s="58" t="n">
        <x:v>2019</x:v>
      </x:c>
      <x:c r="E481" s="46" t="str">
        <x:v>Hirundichthys rondeletii</x:v>
      </x:c>
      <x:c r="F481" s="46" t="str">
        <x:v>Black wing flyingfish</x:v>
      </x:c>
      <x:c r="G481" s="46" t="str">
        <x:v>Medium pelagics (30 - 89 cm)</x:v>
      </x:c>
      <x:c r="H481" s="46" t="str">
        <x:v>Other fishes &amp; inverts</x:v>
      </x:c>
      <x:c r="I481" s="60" t="n">
        <x:v>0.0028103118</x:v>
      </x:c>
      <x:c r="J481" s="60" t="n">
        <x:v>0.0027244016</x:v>
      </x:c>
      <x:c r="K481" s="60" t="n">
        <x:v>0.0000859102</x:v>
      </x:c>
      <x:c r="L481" s="60" t="n">
        <x:v>0.0027244016</x:v>
      </x:c>
      <x:c r="M481" s="60" t="n">
        <x:v>0.0000859102</x:v>
      </x:c>
      <x:c r="N481" s="46" t="str">
        <x:v>hirundichthys rondeletii</x:v>
      </x:c>
      <x:c r="O481" s="62" t="n">
        <x:v>3</x:v>
      </x:c>
      <x:c r="P481" s="46" t="str">
        <x:v>exact_sea_around_us</x:v>
      </x:c>
      <x:c r="Q481" s="62" t="str">
        <x:v>Sea Around Us exploited organisms</x:v>
      </x:c>
      <x:c r="R481" s="46" t="str">
        <x:v>high</x:v>
      </x:c>
      <x:c r="S481" s="46" t="str">
        <x:v>Hirundichthys rondeletii</x:v>
      </x:c>
      <x:c r="T481" s="62" t="n">
        <x:f>IF(O481="","",(1/'Metadata'!$B$5)^(O481-1))</x:f>
        <x:v>400</x:v>
      </x:c>
      <x:c r="U481" s="60" t="n">
        <x:f>IF(T481="","",I481*T481)</x:f>
        <x:v>1.12412472</x:v>
      </x:c>
    </x:row>
    <x:row r="482" ht="18" customHeight="1">
      <x:c r="A482" s="46" t="str">
        <x:v>LME_026</x:v>
      </x:c>
      <x:c r="B482" s="46" t="str">
        <x:v>Mediterranean Sea</x:v>
      </x:c>
      <x:c r="C482" s="46" t="str">
        <x:v>LME</x:v>
      </x:c>
      <x:c r="D482" s="58" t="n">
        <x:v>2019</x:v>
      </x:c>
      <x:c r="E482" s="46" t="str">
        <x:v>Bathysolea profundicola</x:v>
      </x:c>
      <x:c r="F482" s="46" t="str">
        <x:v>Deepwater sole</x:v>
      </x:c>
      <x:c r="G482" s="46" t="str">
        <x:v>Small to medium flatfishes (&lt;90 cm)</x:v>
      </x:c>
      <x:c r="H482" s="46" t="str">
        <x:v>Flatfishes</x:v>
      </x:c>
      <x:c r="I482" s="60" t="n">
        <x:v>0.0006953318</x:v>
      </x:c>
      <x:c r="J482" s="60" t="n">
        <x:v>0.0001201695</x:v>
      </x:c>
      <x:c r="K482" s="60" t="n">
        <x:v>0.0005751623</x:v>
      </x:c>
      <x:c r="L482" s="60" t="n">
        <x:v>0</x:v>
      </x:c>
      <x:c r="M482" s="60" t="n">
        <x:v>0.0006953318</x:v>
      </x:c>
      <x:c r="N482" s="46" t="str">
        <x:v>bathysolea profundicola</x:v>
      </x:c>
      <x:c r="O482" s="62" t="n">
        <x:v>3.17</x:v>
      </x:c>
      <x:c r="P482" s="46" t="str">
        <x:v>exact_2020_supplement</x:v>
      </x:c>
      <x:c r="Q482" s="62" t="str">
        <x:v>2020 supplement MeanTL</x:v>
      </x:c>
      <x:c r="R482" s="46" t="str">
        <x:v>high</x:v>
      </x:c>
      <x:c r="S482" s="46" t="str">
        <x:v>Bathysolea profundicola</x:v>
      </x:c>
      <x:c r="T482" s="62" t="n">
        <x:f>IF(O482="","",(1/'Metadata'!$B$5)^(O482-1))</x:f>
        <x:v>665.6333767532121</x:v>
      </x:c>
      <x:c r="U482" s="60" t="n">
        <x:f>IF(T482="","",I482*T482)</x:f>
        <x:v>0.4628360539978892</x:v>
      </x:c>
    </x:row>
    <x:row r="483" ht="18" customHeight="1">
      <x:c r="A483" s="46" t="str">
        <x:v>LME_026</x:v>
      </x:c>
      <x:c r="B483" s="46" t="str">
        <x:v>Mediterranean Sea</x:v>
      </x:c>
      <x:c r="C483" s="46" t="str">
        <x:v>LME</x:v>
      </x:c>
      <x:c r="D483" s="58" t="n">
        <x:v>2019</x:v>
      </x:c>
      <x:c r="E483" s="46" t="str">
        <x:v>Deltentosteus quadrimaculatus</x:v>
      </x:c>
      <x:c r="F483" s="46" t="str">
        <x:v>Four-spotted goby</x:v>
      </x:c>
      <x:c r="G483" s="46" t="str">
        <x:v>Small demersals (&lt;30 cm)</x:v>
      </x:c>
      <x:c r="H483" s="46" t="str">
        <x:v>Perch-likes</x:v>
      </x:c>
      <x:c r="I483" s="60" t="n">
        <x:v>0.0000878879</x:v>
      </x:c>
      <x:c r="J483" s="60" t="n">
        <x:v>3.4039999999999995e-7</x:v>
      </x:c>
      <x:c r="K483" s="60" t="n">
        <x:v>0.0000875475</x:v>
      </x:c>
      <x:c r="L483" s="60" t="n">
        <x:v>0</x:v>
      </x:c>
      <x:c r="M483" s="60" t="n">
        <x:v>0.0000878879</x:v>
      </x:c>
      <x:c r="N483" s="46" t="str">
        <x:v>deltentosteus quadrimaculatus</x:v>
      </x:c>
      <x:c r="O483" s="62" t="n">
        <x:v>3.1</x:v>
      </x:c>
      <x:c r="P483" s="46" t="str">
        <x:v>exact_2020_supplement</x:v>
      </x:c>
      <x:c r="Q483" s="62" t="str">
        <x:v>2020 supplement MeanTL</x:v>
      </x:c>
      <x:c r="R483" s="46" t="str">
        <x:v>high</x:v>
      </x:c>
      <x:c r="S483" s="46" t="str">
        <x:v>Deltentosteus quadrimaculatus</x:v>
      </x:c>
      <x:c r="T483" s="62" t="n">
        <x:f>IF(O483="","",(1/'Metadata'!$B$5)^(O483-1))</x:f>
        <x:v>539.7131390694254</x:v>
      </x:c>
      <x:c r="U483" s="60" t="n">
        <x:f>IF(T483="","",I483*T483)</x:f>
        <x:v>0.047434254395219755</x:v>
      </x:c>
    </x:row>
  </x:sheetData>
  <x:conditionalFormatting sqref="R2:R4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807529f951b4d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162917.7874635183</x:v>
      </x:c>
      <x:c r="E2" s="60" t="n">
        <x:v>162917.7874635183</x:v>
      </x:c>
      <x:c r="F2" s="62" t="n">
        <x:v>0</x:v>
      </x:c>
      <x:c r="G2" s="66" t="n">
        <x:v>1</x:v>
      </x:c>
      <x:c r="H2" s="62" t="n">
        <x:f>IF(E2=0,"",I2/E2)</x:f>
        <x:v>557.3078710165831</x:v>
      </x:c>
      <x:c r="I2" s="60" t="n">
        <x:f>SUMIF('Species'!$H$2:$H$483,A2,'Species'!$U$2:$U$483)</x:f>
        <x:v>90795365.28202556</x:v>
      </x:c>
      <x:c r="J2" s="62" t="n">
        <x:v>3.110618002056947</x:v>
      </x:c>
      <x:c r="K2" s="62" t="n">
        <x:f>IF(J2="","",(1/'Metadata'!$B$5)^(J2-1))</x:f>
        <x:v>557.1566648982545</x:v>
      </x:c>
      <x:c r="L2" s="60" t="n">
        <x:f>IF(E2=0,"",E2*K2)</x:f>
        <x:v>90770731.11577651</x:v>
      </x:c>
      <x:c r="M2" s="60" t="n">
        <x:f>I2-L2</x:f>
        <x:v>24634.16624905169</x:v>
      </x:c>
      <x:c r="N2" s="62" t="n">
        <x:f>IF(L2=0,"",I2/L2)</x:f>
        <x:v>1.0002713888711288</x:v>
      </x:c>
      <x:c r="O2" s="66" t="n">
        <x:f>IF(L2=0,"",M2/L2)</x:f>
        <x:v>0.00027138887112885797</x:v>
      </x:c>
    </x:row>
    <x:row r="3" ht="18" customHeight="1">
      <x:c r="A3" s="46" t="str">
        <x:v>Cod-likes</x:v>
      </x:c>
      <x:c r="B3" s="64" t="n">
        <x:v>21</x:v>
      </x:c>
      <x:c r="C3" s="64" t="n">
        <x:v>21</x:v>
      </x:c>
      <x:c r="D3" s="60" t="n">
        <x:v>33520.18702212189</x:v>
      </x:c>
      <x:c r="E3" s="60" t="n">
        <x:v>33520.18702212189</x:v>
      </x:c>
      <x:c r="F3" s="62" t="n">
        <x:v>0</x:v>
      </x:c>
      <x:c r="G3" s="66" t="n">
        <x:v>1</x:v>
      </x:c>
      <x:c r="H3" s="62" t="n">
        <x:f>IF(E3=0,"",I3/E3)</x:f>
        <x:v>19844.289932972486</x:v>
      </x:c>
      <x:c r="I3" s="60" t="n">
        <x:f>SUMIF('Species'!$H$2:$H$483,A3,'Species'!$U$2:$U$483)</x:f>
        <x:v>665184309.8744484</x:v>
      </x:c>
      <x:c r="J3" s="62" t="n">
        <x:v>4.2265438324163345</x:v>
      </x:c>
      <x:c r="K3" s="62" t="n">
        <x:f>IF(J3="","",(1/'Metadata'!$B$5)^(J3-1))</x:f>
        <x:v>15769.949707170643</x:v>
      </x:c>
      <x:c r="L3" s="60" t="n">
        <x:f>IF(E3=0,"",E3*K3)</x:f>
        <x:v>528611663.5138163</x:v>
      </x:c>
      <x:c r="M3" s="60" t="n">
        <x:f>I3-L3</x:f>
        <x:v>136572646.36063212</x:v>
      </x:c>
      <x:c r="N3" s="62" t="n">
        <x:f>IF(L3=0,"",I3/L3)</x:f>
        <x:v>1.2583610158217073</x:v>
      </x:c>
      <x:c r="O3" s="66" t="n">
        <x:f>IF(L3=0,"",M3/L3)</x:f>
        <x:v>0.25836101582170734</x:v>
      </x:c>
    </x:row>
    <x:row r="4" ht="18" customHeight="1">
      <x:c r="A4" s="46" t="str">
        <x:v>Crustaceans</x:v>
      </x:c>
      <x:c r="B4" s="64" t="n">
        <x:v>51</x:v>
      </x:c>
      <x:c r="C4" s="64" t="n">
        <x:v>51</x:v>
      </x:c>
      <x:c r="D4" s="60" t="n">
        <x:v>76859.69305503018</x:v>
      </x:c>
      <x:c r="E4" s="60" t="n">
        <x:v>76859.69305503018</x:v>
      </x:c>
      <x:c r="F4" s="62" t="n">
        <x:v>0</x:v>
      </x:c>
      <x:c r="G4" s="66" t="n">
        <x:v>1</x:v>
      </x:c>
      <x:c r="H4" s="62" t="n">
        <x:f>IF(E4=0,"",I4/E4)</x:f>
        <x:v>1110.391882997137</x:v>
      </x:c>
      <x:c r="I4" s="60" t="n">
        <x:f>SUMIF('Species'!$H$2:$H$483,A4,'Species'!$U$2:$U$483)</x:f>
        <x:v>85344379.29795693</x:v>
      </x:c>
      <x:c r="J4" s="62" t="n">
        <x:v>3.2527185132693632</x:v>
      </x:c>
      <x:c r="K4" s="62" t="n">
        <x:f>IF(J4="","",(1/'Metadata'!$B$5)^(J4-1))</x:f>
        <x:v>852.8140713348635</x:v>
      </x:c>
      <x:c r="L4" s="60" t="n">
        <x:f>IF(E4=0,"",E4*K4)</x:f>
        <x:v>65547027.75580821</x:v>
      </x:c>
      <x:c r="M4" s="60" t="n">
        <x:f>I4-L4</x:f>
        <x:v>19797351.542148717</x:v>
      </x:c>
      <x:c r="N4" s="62" t="n">
        <x:f>IF(L4=0,"",I4/L4)</x:f>
        <x:v>1.3020327880602405</x:v>
      </x:c>
      <x:c r="O4" s="66" t="n">
        <x:f>IF(L4=0,"",M4/L4)</x:f>
        <x:v>0.3020327880602404</x:v>
      </x:c>
    </x:row>
    <x:row r="5" ht="18" customHeight="1">
      <x:c r="A5" s="46" t="str">
        <x:v>Flatfishes</x:v>
      </x:c>
      <x:c r="B5" s="64" t="n">
        <x:v>25</x:v>
      </x:c>
      <x:c r="C5" s="64" t="n">
        <x:v>25</x:v>
      </x:c>
      <x:c r="D5" s="60" t="n">
        <x:v>14487.512709259901</x:v>
      </x:c>
      <x:c r="E5" s="60" t="n">
        <x:v>14487.512709259901</x:v>
      </x:c>
      <x:c r="F5" s="62" t="n">
        <x:v>0</x:v>
      </x:c>
      <x:c r="G5" s="66" t="n">
        <x:v>1</x:v>
      </x:c>
      <x:c r="H5" s="62" t="n">
        <x:f>IF(E5=0,"",I5/E5)</x:f>
        <x:v>6934.800541882413</x:v>
      </x:c>
      <x:c r="I5" s="60" t="n">
        <x:f>SUMIF('Species'!$H$2:$H$483,A5,'Species'!$U$2:$U$483)</x:f>
        <x:v>100468010.98670392</x:v>
      </x:c>
      <x:c r="J5" s="62" t="n">
        <x:v>3.572205374580053</x:v>
      </x:c>
      <x:c r="K5" s="62" t="n">
        <x:f>IF(J5="","",(1/'Metadata'!$B$5)^(J5-1))</x:f>
        <x:v>2220.835276635543</x:v>
      </x:c>
      <x:c r="L5" s="60" t="n">
        <x:f>IF(E5=0,"",E5*K5)</x:f>
        <x:v>32174379.295430157</x:v>
      </x:c>
      <x:c r="M5" s="60" t="n">
        <x:f>I5-L5</x:f>
        <x:v>68293631.69127376</x:v>
      </x:c>
      <x:c r="N5" s="62" t="n">
        <x:f>IF(L5=0,"",I5/L5)</x:f>
        <x:v>3.1226091438840515</x:v>
      </x:c>
      <x:c r="O5" s="66" t="n">
        <x:f>IF(L5=0,"",M5/L5)</x:f>
        <x:v>2.1226091438840515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254721.02536577111</x:v>
      </x:c>
      <x:c r="E6" s="60" t="n">
        <x:v>254721.02536577111</x:v>
      </x:c>
      <x:c r="F6" s="62" t="n">
        <x:v>0</x:v>
      </x:c>
      <x:c r="G6" s="66" t="n">
        <x:v>1</x:v>
      </x:c>
      <x:c r="H6" s="62" t="n">
        <x:f>IF(E6=0,"",I6/E6)</x:f>
        <x:v>513.4076860441254</x:v>
      </x:c>
      <x:c r="I6" s="60" t="n">
        <x:f>SUMIF('Species'!$H$2:$H$483,A6,'Species'!$U$2:$U$483)</x:f>
        <x:v>130775732.21982752</x:v>
      </x:c>
      <x:c r="J6" s="62" t="n">
        <x:v>3.015983309592709</x:v>
      </x:c>
      <x:c r="K6" s="62" t="n">
        <x:f>IF(J6="","",(1/'Metadata'!$B$5)^(J6-1))</x:f>
        <x:v>419.6186251863543</x:v>
      </x:c>
      <x:c r="L6" s="60" t="n">
        <x:f>IF(E6=0,"",E6*K6)</x:f>
        <x:v>106885686.47004335</x:v>
      </x:c>
      <x:c r="M6" s="60" t="n">
        <x:f>I6-L6</x:f>
        <x:v>23890045.74978417</x:v>
      </x:c>
      <x:c r="N6" s="62" t="n">
        <x:f>IF(L6=0,"",I6/L6)</x:f>
        <x:v>1.223510242940525</x:v>
      </x:c>
      <x:c r="O6" s="66" t="n">
        <x:f>IF(L6=0,"",M6/L6)</x:f>
        <x:v>0.22351024294052496</x:v>
      </x:c>
    </x:row>
    <x:row r="7" ht="18" customHeight="1">
      <x:c r="A7" s="46" t="str">
        <x:v>Molluscs</x:v>
      </x:c>
      <x:c r="B7" s="64" t="n">
        <x:v>36</x:v>
      </x:c>
      <x:c r="C7" s="64" t="n">
        <x:v>36</x:v>
      </x:c>
      <x:c r="D7" s="60" t="n">
        <x:v>65085.24309026881</x:v>
      </x:c>
      <x:c r="E7" s="60" t="n">
        <x:v>65085.24309026881</x:v>
      </x:c>
      <x:c r="F7" s="62" t="n">
        <x:v>0</x:v>
      </x:c>
      <x:c r="G7" s="66" t="n">
        <x:v>1</x:v>
      </x:c>
      <x:c r="H7" s="62" t="n">
        <x:f>IF(E7=0,"",I7/E7)</x:f>
        <x:v>139.93002418082747</x:v>
      </x:c>
      <x:c r="I7" s="60" t="n">
        <x:f>SUMIF('Species'!$H$2:$H$483,A7,'Species'!$U$2:$U$483)</x:f>
        <x:v>9107379.639436347</x:v>
      </x:c>
      <x:c r="J7" s="62" t="n">
        <x:v>2.4906221896898115</x:v>
      </x:c>
      <x:c r="K7" s="62" t="n">
        <x:f>IF(J7="","",(1/'Metadata'!$B$5)^(J7-1))</x:f>
        <x:v>86.9649358606725</x:v>
      </x:c>
      <x:c r="L7" s="60" t="n">
        <x:f>IF(E7=0,"",E7*K7)</x:f>
        <x:v>5660133.990821505</x:v>
      </x:c>
      <x:c r="M7" s="60" t="n">
        <x:f>I7-L7</x:f>
        <x:v>3447245.6486148424</x:v>
      </x:c>
      <x:c r="N7" s="62" t="n">
        <x:f>IF(L7=0,"",I7/L7)</x:f>
        <x:v>1.6090395835513627</x:v>
      </x:c>
      <x:c r="O7" s="66" t="n">
        <x:f>IF(L7=0,"",M7/L7)</x:f>
        <x:v>0.6090395835513628</x:v>
      </x:c>
    </x:row>
    <x:row r="8" ht="18" customHeight="1">
      <x:c r="A8" s="46" t="str">
        <x:v>Other fishes &amp; inverts</x:v>
      </x:c>
      <x:c r="B8" s="64" t="n">
        <x:v>86</x:v>
      </x:c>
      <x:c r="C8" s="64" t="n">
        <x:v>86</x:v>
      </x:c>
      <x:c r="D8" s="60" t="n">
        <x:v>276436.8940301527</x:v>
      </x:c>
      <x:c r="E8" s="60" t="n">
        <x:v>276436.8940301527</x:v>
      </x:c>
      <x:c r="F8" s="62" t="n">
        <x:v>0</x:v>
      </x:c>
      <x:c r="G8" s="66" t="n">
        <x:v>1</x:v>
      </x:c>
      <x:c r="H8" s="62" t="n">
        <x:f>IF(E8=0,"",I8/E8)</x:f>
        <x:v>3874.0977739636996</x:v>
      </x:c>
      <x:c r="I8" s="60" t="n">
        <x:f>SUMIF('Species'!$H$2:$H$483,A8,'Species'!$U$2:$U$483)</x:f>
        <x:v>1070943555.8036537</x:v>
      </x:c>
      <x:c r="J8" s="62" t="n">
        <x:v>3.485736636277754</x:v>
      </x:c>
      <x:c r="K8" s="62" t="n">
        <x:f>IF(J8="","",(1/'Metadata'!$B$5)^(J8-1))</x:f>
        <x:v>1714.0280510309065</x:v>
      </x:c>
      <x:c r="L8" s="60" t="n">
        <x:f>IF(E8=0,"",E8*K8)</x:f>
        <x:v>473820590.70753986</x:v>
      </x:c>
      <x:c r="M8" s="60" t="n">
        <x:f>I8-L8</x:f>
        <x:v>597122965.0961139</x:v>
      </x:c>
      <x:c r="N8" s="62" t="n">
        <x:f>IF(L8=0,"",I8/L8)</x:f>
        <x:v>2.2602300887862445</x:v>
      </x:c>
      <x:c r="O8" s="66" t="n">
        <x:f>IF(L8=0,"",M8/L8)</x:f>
        <x:v>1.2602300887862448</x:v>
      </x:c>
    </x:row>
    <x:row r="9" ht="18" customHeight="1">
      <x:c r="A9" s="46" t="str">
        <x:v>Perch-likes</x:v>
      </x:c>
      <x:c r="B9" s="64" t="n">
        <x:v>139</x:v>
      </x:c>
      <x:c r="C9" s="64" t="n">
        <x:v>139</x:v>
      </x:c>
      <x:c r="D9" s="60" t="n">
        <x:v>404014.8436488525</x:v>
      </x:c>
      <x:c r="E9" s="60" t="n">
        <x:v>404014.8436488525</x:v>
      </x:c>
      <x:c r="F9" s="62" t="n">
        <x:v>0</x:v>
      </x:c>
      <x:c r="G9" s="66" t="n">
        <x:v>1</x:v>
      </x:c>
      <x:c r="H9" s="62" t="n">
        <x:f>IF(E9=0,"",I9/E9)</x:f>
        <x:v>5891.43259580487</x:v>
      </x:c>
      <x:c r="I9" s="60" t="n">
        <x:f>SUMIF('Species'!$H$2:$H$483,A9,'Species'!$U$2:$U$483)</x:f>
        <x:v>2380226219.0618577</x:v>
      </x:c>
      <x:c r="J9" s="62" t="n">
        <x:v>3.5161024941373666</x:v>
      </x:c>
      <x:c r="K9" s="62" t="n">
        <x:f>IF(J9="","",(1/'Metadata'!$B$5)^(J9-1))</x:f>
        <x:v>1877.2616883148994</x:v>
      </x:c>
      <x:c r="L9" s="60" t="n">
        <x:f>IF(E9=0,"",E9*K9)</x:f>
        <x:v>758441587.492525</x:v>
      </x:c>
      <x:c r="M9" s="60" t="n">
        <x:f>I9-L9</x:f>
        <x:v>1621784631.5693326</x:v>
      </x:c>
      <x:c r="N9" s="62" t="n">
        <x:f>IF(L9=0,"",I9/L9)</x:f>
        <x:v>3.1383118467054216</x:v>
      </x:c>
      <x:c r="O9" s="66" t="n">
        <x:f>IF(L9=0,"",M9/L9)</x:f>
        <x:v>2.1383118467054216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519.7187743258</x:v>
      </x:c>
      <x:c r="E10" s="60" t="n">
        <x:v>519.7187743258</x:v>
      </x:c>
      <x:c r="F10" s="62" t="n">
        <x:v>0</x:v>
      </x:c>
      <x:c r="G10" s="66" t="n">
        <x:v>1</x:v>
      </x:c>
      <x:c r="H10" s="62" t="n">
        <x:f>IF(E10=0,"",I10/E10)</x:f>
        <x:v>2019.911915810158</x:v>
      </x:c>
      <x:c r="I10" s="60" t="n">
        <x:f>SUMIF('Species'!$H$2:$H$483,A10,'Species'!$U$2:$U$483)</x:f>
        <x:v>1049786.145130934</x:v>
      </x:c>
      <x:c r="J10" s="62" t="n">
        <x:v>3.5170087267003316</x:v>
      </x:c>
      <x:c r="K10" s="62" t="n">
        <x:f>IF(J10="","",(1/'Metadata'!$B$5)^(J10-1))</x:f>
        <x:v>1882.3650591779665</x:v>
      </x:c>
      <x:c r="L10" s="60" t="n">
        <x:f>IF(E10=0,"",E10*K10)</x:f>
        <x:v>978300.4613896848</x:v>
      </x:c>
      <x:c r="M10" s="60" t="n">
        <x:f>I10-L10</x:f>
        <x:v>71485.68374124914</x:v>
      </x:c>
      <x:c r="N10" s="62" t="n">
        <x:f>IF(L10=0,"",I10/L10)</x:f>
        <x:v>1.0730712971756173</x:v>
      </x:c>
      <x:c r="O10" s="66" t="n">
        <x:f>IF(L10=0,"",M10/L10)</x:f>
        <x:v>0.07307129717561726</x:v>
      </x:c>
    </x:row>
    <x:row r="11" ht="18" customHeight="1">
      <x:c r="A11" s="46" t="str">
        <x:v>Scorpionfishes</x:v>
      </x:c>
      <x:c r="B11" s="64" t="n">
        <x:v>20</x:v>
      </x:c>
      <x:c r="C11" s="64" t="n">
        <x:v>20</x:v>
      </x:c>
      <x:c r="D11" s="60" t="n">
        <x:v>18986.876146204402</x:v>
      </x:c>
      <x:c r="E11" s="60" t="n">
        <x:v>18986.876146204402</x:v>
      </x:c>
      <x:c r="F11" s="62" t="n">
        <x:v>0</x:v>
      </x:c>
      <x:c r="G11" s="66" t="n">
        <x:v>1</x:v>
      </x:c>
      <x:c r="H11" s="62" t="n">
        <x:f>IF(E11=0,"",I11/E11)</x:f>
        <x:v>5975.832752804507</x:v>
      </x:c>
      <x:c r="I11" s="60" t="n">
        <x:f>SUMIF('Species'!$H$2:$H$483,A11,'Species'!$U$2:$U$483)</x:f>
        <x:v>113462396.3479309</x:v>
      </x:c>
      <x:c r="J11" s="62" t="n">
        <x:v>3.8647060690238453</x:v>
      </x:c>
      <x:c r="K11" s="62" t="n">
        <x:f>IF(J11="","",(1/'Metadata'!$B$5)^(J11-1))</x:f>
        <x:v>5334.190536436716</x:v>
      </x:c>
      <x:c r="L11" s="60" t="n">
        <x:f>IF(E11=0,"",E11*K11)</x:f>
        <x:v>101279615.05557954</x:v>
      </x:c>
      <x:c r="M11" s="60" t="n">
        <x:f>I11-L11</x:f>
        <x:v>12182781.29235135</x:v>
      </x:c>
      <x:c r="N11" s="62" t="n">
        <x:f>IF(L11=0,"",I11/L11)</x:f>
        <x:v>1.1202885821166062</x:v>
      </x:c>
      <x:c r="O11" s="66" t="n">
        <x:f>IF(L11=0,"",M11/L11)</x:f>
        <x:v>0.12028858211660624</x:v>
      </x:c>
    </x:row>
    <x:row r="12" ht="18" customHeight="1">
      <x:c r="A12" s="46" t="str">
        <x:v>Sharks &amp; rays</x:v>
      </x:c>
      <x:c r="B12" s="64" t="n">
        <x:v>70</x:v>
      </x:c>
      <x:c r="C12" s="64" t="n">
        <x:v>70</x:v>
      </x:c>
      <x:c r="D12" s="60" t="n">
        <x:v>67479.37981520522</x:v>
      </x:c>
      <x:c r="E12" s="60" t="n">
        <x:v>67479.37981520522</x:v>
      </x:c>
      <x:c r="F12" s="62" t="n">
        <x:v>0</x:v>
      </x:c>
      <x:c r="G12" s="66" t="n">
        <x:v>1</x:v>
      </x:c>
      <x:c r="H12" s="62" t="n">
        <x:f>IF(E12=0,"",I12/E12)</x:f>
        <x:v>18971.493363277976</x:v>
      </x:c>
      <x:c r="I12" s="60" t="n">
        <x:f>SUMIF('Species'!$H$2:$H$483,A12,'Species'!$U$2:$U$483)</x:f>
        <x:v>1280184606.3222797</x:v>
      </x:c>
      <x:c r="J12" s="62" t="n">
        <x:v>4.225408426687299</x:v>
      </x:c>
      <x:c r="K12" s="62" t="n">
        <x:f>IF(J12="","",(1/'Metadata'!$B$5)^(J12-1))</x:f>
        <x:v>15716.401368847968</x:v>
      </x:c>
      <x:c r="L12" s="60" t="n">
        <x:f>IF(E12=0,"",E12*K12)</x:f>
        <x:v>1060533017.2967032</x:v>
      </x:c>
      <x:c r="M12" s="60" t="n">
        <x:f>I12-L12</x:f>
        <x:v>219651589.02557647</x:v>
      </x:c>
      <x:c r="N12" s="62" t="n">
        <x:f>IF(L12=0,"",I12/L12)</x:f>
        <x:v>1.207114333493801</x:v>
      </x:c>
      <x:c r="O12" s="66" t="n">
        <x:f>IF(L12=0,"",M12/L12)</x:f>
        <x:v>0.20711433349380107</x:v>
      </x:c>
    </x:row>
    <x:row r="13" ht="18" customHeight="1">
      <x:c r="A13" s="46" t="str">
        <x:v>Tuna &amp; billfishes</x:v>
      </x:c>
      <x:c r="B13" s="64" t="n">
        <x:v>19</x:v>
      </x:c>
      <x:c r="C13" s="64" t="n">
        <x:v>19</x:v>
      </x:c>
      <x:c r="D13" s="60" t="n">
        <x:v>112712.46580314249</x:v>
      </x:c>
      <x:c r="E13" s="60" t="n">
        <x:v>112712.46580314249</x:v>
      </x:c>
      <x:c r="F13" s="62" t="n">
        <x:v>0</x:v>
      </x:c>
      <x:c r="G13" s="66" t="n">
        <x:v>1</x:v>
      </x:c>
      <x:c r="H13" s="62" t="n">
        <x:f>IF(E13=0,"",I13/E13)</x:f>
        <x:v>30694.190365218918</x:v>
      </x:c>
      <x:c r="I13" s="60" t="n">
        <x:f>SUMIF('Species'!$H$2:$H$483,A13,'Species'!$U$2:$U$483)</x:f>
        <x:v>3459617881.894883</x:v>
      </x:c>
      <x:c r="J13" s="62" t="n">
        <x:v>4.436628424931948</x:v>
      </x:c>
      <x:c r="K13" s="62" t="n">
        <x:f>IF(J13="","",(1/'Metadata'!$B$5)^(J13-1))</x:f>
        <x:v>29590.797147210465</x:v>
      </x:c>
      <x:c r="L13" s="60" t="n">
        <x:f>IF(E13=0,"",E13*K13)</x:f>
        <x:v>3335251711.542686</x:v>
      </x:c>
      <x:c r="M13" s="60" t="n">
        <x:f>I13-L13</x:f>
        <x:v>124366170.35219717</x:v>
      </x:c>
      <x:c r="N13" s="62" t="n">
        <x:f>IF(L13=0,"",I13/L13)</x:f>
        <x:v>1.037288391134555</x:v>
      </x:c>
      <x:c r="O13" s="66" t="n">
        <x:f>IF(L13=0,"",M13/L13)</x:f>
        <x:v>0.037288391134554844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e4e980cfa144a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27</x:v>
      </x:c>
      <x:c r="C2" s="64" t="n">
        <x:v>27</x:v>
      </x:c>
      <x:c r="D2" s="60" t="n">
        <x:v>72017.86804089179</x:v>
      </x:c>
      <x:c r="E2" s="60" t="n">
        <x:v>72017.86804089179</x:v>
      </x:c>
      <x:c r="F2" s="62" t="n">
        <x:v>0</x:v>
      </x:c>
      <x:c r="G2" s="66" t="n">
        <x:v>1</x:v>
      </x:c>
      <x:c r="H2" s="62" t="n">
        <x:f>IF(E2=0,"",I2/E2)</x:f>
        <x:v>7207.63562568195</x:v>
      </x:c>
      <x:c r="I2" s="60" t="n">
        <x:f>SUMIF('Species'!$G$2:$G$483,A2,'Species'!$U$2:$U$483)</x:f>
        <x:v>519078551.37719315</x:v>
      </x:c>
      <x:c r="J2" s="62" t="n">
        <x:v>3.8610733851849086</x:v>
      </x:c>
      <x:c r="K2" s="62" t="n">
        <x:f>IF(J2="","",(1/'Metadata'!$B$5)^(J2-1))</x:f>
        <x:v>5276.455671748573</x:v>
      </x:c>
      <x:c r="L2" s="60" t="n">
        <x:f>IF(E2=0,"",E2*K2)</x:f>
        <x:v>379999088.29160374</x:v>
      </x:c>
      <x:c r="M2" s="60" t="n">
        <x:f>I2-L2</x:f>
        <x:v>139079463.0855894</x:v>
      </x:c>
      <x:c r="N2" s="62" t="n">
        <x:f>IF(L2=0,"",I2/L2)</x:f>
        <x:v>1.365999465185197</x:v>
      </x:c>
      <x:c r="O2" s="66" t="n">
        <x:f>IF(L2=0,"",M2/L2)</x:f>
        <x:v>0.36599946518519694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5787.999565445201</x:v>
      </x:c>
      <x:c r="E3" s="60" t="n">
        <x:v>5787.999565445201</x:v>
      </x:c>
      <x:c r="F3" s="62" t="n">
        <x:v>0</x:v>
      </x:c>
      <x:c r="G3" s="66" t="n">
        <x:v>1</x:v>
      </x:c>
      <x:c r="H3" s="62" t="n">
        <x:f>IF(E3=0,"",I3/E3)</x:f>
        <x:v>15400.098087991997</x:v>
      </x:c>
      <x:c r="I3" s="60" t="n">
        <x:f>SUMIF('Species'!$G$2:$G$483,A3,'Species'!$U$2:$U$483)</x:f>
        <x:v>89135761.04111116</x:v>
      </x:c>
      <x:c r="J3" s="62" t="n">
        <x:v>4.1075997792320695</x:v>
      </x:c>
      <x:c r="K3" s="62" t="n">
        <x:f>IF(J3="","",(1/'Metadata'!$B$5)^(J3-1))</x:f>
        <x:v>11042.833582003152</x:v>
      </x:c>
      <x:c r="L3" s="60" t="n">
        <x:f>IF(E3=0,"",E3*K3)</x:f>
        <x:v>63915915.97391792</x:v>
      </x:c>
      <x:c r="M3" s="60" t="n">
        <x:f>I3-L3</x:f>
        <x:v>25219845.06719324</x:v>
      </x:c>
      <x:c r="N3" s="62" t="n">
        <x:f>IF(L3=0,"",I3/L3)</x:f>
        <x:v>1.3945784814768933</x:v>
      </x:c>
      <x:c r="O3" s="66" t="n">
        <x:f>IF(L3=0,"",M3/L3)</x:f>
        <x:v>0.39457848147689334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54.736457867</x:v>
      </x:c>
      <x:c r="E4" s="60" t="n">
        <x:v>54.736457867</x:v>
      </x:c>
      <x:c r="F4" s="62" t="n">
        <x:v>0</x:v>
      </x:c>
      <x:c r="G4" s="66" t="n">
        <x:v>1</x:v>
      </x:c>
      <x:c r="H4" s="62" t="n">
        <x:f>IF(E4=0,"",I4/E4)</x:f>
        <x:v>6295.1718073679995</x:v>
      </x:c>
      <x:c r="I4" s="60" t="n">
        <x:f>SUMIF('Species'!$G$2:$G$483,A4,'Species'!$U$2:$U$483)</x:f>
        <x:v>344575.4063995247</x:v>
      </x:c>
      <x:c r="J4" s="62" t="n">
        <x:v>3.92</x:v>
      </x:c>
      <x:c r="K4" s="62" t="n">
        <x:f>IF(J4="","",(1/'Metadata'!$B$5)^(J4-1))</x:f>
        <x:v>6295.1718073679995</x:v>
      </x:c>
      <x:c r="L4" s="60" t="n">
        <x:f>IF(E4=0,"",E4*K4)</x:f>
        <x:v>344575.4063995247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11</x:v>
      </x:c>
      <x:c r="C5" s="64" t="n">
        <x:v>11</x:v>
      </x:c>
      <x:c r="D5" s="60" t="n">
        <x:v>18246.861018343396</x:v>
      </x:c>
      <x:c r="E5" s="60" t="n">
        <x:v>18246.861018343396</x:v>
      </x:c>
      <x:c r="F5" s="62" t="n">
        <x:v>0</x:v>
      </x:c>
      <x:c r="G5" s="66" t="n">
        <x:v>1</x:v>
      </x:c>
      <x:c r="H5" s="62" t="n">
        <x:f>IF(E5=0,"",I5/E5)</x:f>
        <x:v>19374.77412752683</x:v>
      </x:c>
      <x:c r="I5" s="60" t="n">
        <x:f>SUMIF('Species'!$G$2:$G$483,A5,'Species'!$U$2:$U$483)</x:f>
        <x:v>353528810.7667775</x:v>
      </x:c>
      <x:c r="J5" s="62" t="n">
        <x:v>3.718468648671522</x:v>
      </x:c>
      <x:c r="K5" s="62" t="n">
        <x:f>IF(J5="","",(1/'Metadata'!$B$5)^(J5-1))</x:f>
        <x:v>3441.987225723939</x:v>
      </x:c>
      <x:c r="L5" s="60" t="n">
        <x:f>IF(E5=0,"",E5*K5)</x:f>
        <x:v>62805462.53469807</x:v>
      </x:c>
      <x:c r="M5" s="60" t="n">
        <x:f>I5-L5</x:f>
        <x:v>290723348.23207945</x:v>
      </x:c>
      <x:c r="N5" s="62" t="n">
        <x:f>IF(L5=0,"",I5/L5)</x:f>
        <x:v>5.62895003872416</x:v>
      </x:c>
      <x:c r="O5" s="66" t="n">
        <x:f>IF(L5=0,"",M5/L5)</x:f>
        <x:v>4.62895003872416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31440.7059876582</x:v>
      </x:c>
      <x:c r="E6" s="60" t="n">
        <x:v>31440.7059876582</x:v>
      </x:c>
      <x:c r="F6" s="62" t="n">
        <x:v>0</x:v>
      </x:c>
      <x:c r="G6" s="66" t="n">
        <x:v>1</x:v>
      </x:c>
      <x:c r="H6" s="62" t="n">
        <x:f>IF(E6=0,"",I6/E6)</x:f>
        <x:v>18211.451386599147</x:v>
      </x:c>
      <x:c r="I6" s="60" t="n">
        <x:f>SUMIF('Species'!$G$2:$G$483,A6,'Species'!$U$2:$U$483)</x:f>
        <x:v>572580888.654594</x:v>
      </x:c>
      <x:c r="J6" s="62" t="n">
        <x:v>4.128516392860626</x:v>
      </x:c>
      <x:c r="K6" s="62" t="n">
        <x:f>IF(J6="","",(1/'Metadata'!$B$5)^(J6-1))</x:f>
        <x:v>11756.922869248729</x:v>
      </x:c>
      <x:c r="L6" s="60" t="n">
        <x:f>IF(E6=0,"",E6*K6)</x:f>
        <x:v>369645955.2516241</x:v>
      </x:c>
      <x:c r="M6" s="60" t="n">
        <x:f>I6-L6</x:f>
        <x:v>202934933.40296984</x:v>
      </x:c>
      <x:c r="N6" s="62" t="n">
        <x:f>IF(L6=0,"",I6/L6)</x:f>
        <x:v>1.5489981170356069</x:v>
      </x:c>
      <x:c r="O6" s="66" t="n">
        <x:f>IF(L6=0,"",M6/L6)</x:f>
        <x:v>0.5489981170356069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4062.169357153</x:v>
      </x:c>
      <x:c r="E7" s="60" t="n">
        <x:v>4062.169357153</x:v>
      </x:c>
      <x:c r="F7" s="62" t="n">
        <x:v>0</x:v>
      </x:c>
      <x:c r="G7" s="66" t="n">
        <x:v>1</x:v>
      </x:c>
      <x:c r="H7" s="62" t="n">
        <x:f>IF(E7=0,"",I7/E7)</x:f>
        <x:v>19238.297972414577</x:v>
      </x:c>
      <x:c r="I7" s="60" t="n">
        <x:f>SUMIF('Species'!$G$2:$G$483,A7,'Species'!$U$2:$U$483)</x:f>
        <x:v>78149224.50732118</x:v>
      </x:c>
      <x:c r="J7" s="62" t="n">
        <x:v>4.174752717362113</x:v>
      </x:c>
      <x:c r="K7" s="62" t="n">
        <x:f>IF(J7="","",(1/'Metadata'!$B$5)^(J7-1))</x:f>
        <x:v>13503.56732687698</x:v>
      </x:c>
      <x:c r="L7" s="60" t="n">
        <x:f>IF(E7=0,"",E7*K7)</x:f>
        <x:v>54853777.407492116</x:v>
      </x:c>
      <x:c r="M7" s="60" t="n">
        <x:f>I7-L7</x:f>
        <x:v>23295447.099829063</x:v>
      </x:c>
      <x:c r="N7" s="62" t="n">
        <x:f>IF(L7=0,"",I7/L7)</x:f>
        <x:v>1.4246826417581826</x:v>
      </x:c>
      <x:c r="O7" s="66" t="n">
        <x:f>IF(L7=0,"",M7/L7)</x:f>
        <x:v>0.42468264175818254</x:v>
      </x:c>
    </x:row>
    <x:row r="8" ht="18" customHeight="1">
      <x:c r="A8" s="46" t="str">
        <x:v>Large pelagics (&gt;=90 cm)</x:v>
      </x:c>
      <x:c r="B8" s="64" t="n">
        <x:v>25</x:v>
      </x:c>
      <x:c r="C8" s="64" t="n">
        <x:v>25</x:v>
      </x:c>
      <x:c r="D8" s="60" t="n">
        <x:v>100659.79150978081</x:v>
      </x:c>
      <x:c r="E8" s="60" t="n">
        <x:v>100659.79150978081</x:v>
      </x:c>
      <x:c r="F8" s="62" t="n">
        <x:v>0</x:v>
      </x:c>
      <x:c r="G8" s="66" t="n">
        <x:v>1</x:v>
      </x:c>
      <x:c r="H8" s="62" t="n">
        <x:f>IF(E8=0,"",I8/E8)</x:f>
        <x:v>30656.552243692862</x:v>
      </x:c>
      <x:c r="I8" s="60" t="n">
        <x:f>SUMIF('Species'!$G$2:$G$483,A8,'Species'!$U$2:$U$483)</x:f>
        <x:v>3085882157.2588267</x:v>
      </x:c>
      <x:c r="J8" s="62" t="n">
        <x:v>4.432471400998712</x:v>
      </x:c>
      <x:c r="K8" s="62" t="n">
        <x:f>IF(J8="","",(1/'Metadata'!$B$5)^(J8-1))</x:f>
        <x:v>29224.578218569248</x:v>
      </x:c>
      <x:c r="L8" s="60" t="n">
        <x:f>IF(E8=0,"",E8*K8)</x:f>
        <x:v>2941739950.442462</x:v>
      </x:c>
      <x:c r="M8" s="60" t="n">
        <x:f>I8-L8</x:f>
        <x:v>144142206.81636477</x:v>
      </x:c>
      <x:c r="N8" s="62" t="n">
        <x:f>IF(L8=0,"",I8/L8)</x:f>
        <x:v>1.0489989629418754</x:v>
      </x:c>
      <x:c r="O8" s="66" t="n">
        <x:f>IF(L8=0,"",M8/L8)</x:f>
        <x:v>0.04899896294187547</x:v>
      </x:c>
    </x:row>
    <x:row r="9" ht="18" customHeight="1">
      <x:c r="A9" s="46" t="str">
        <x:v>Large rays (&gt;=90 cm)</x:v>
      </x:c>
      <x:c r="B9" s="64" t="n">
        <x:v>21</x:v>
      </x:c>
      <x:c r="C9" s="64" t="n">
        <x:v>21</x:v>
      </x:c>
      <x:c r="D9" s="60" t="n">
        <x:v>4567.718875211301</x:v>
      </x:c>
      <x:c r="E9" s="60" t="n">
        <x:v>4567.718875211301</x:v>
      </x:c>
      <x:c r="F9" s="62" t="n">
        <x:v>0</x:v>
      </x:c>
      <x:c r="G9" s="66" t="n">
        <x:v>1</x:v>
      </x:c>
      <x:c r="H9" s="62" t="n">
        <x:f>IF(E9=0,"",I9/E9)</x:f>
        <x:v>4018.5724549341026</x:v>
      </x:c>
      <x:c r="I9" s="60" t="n">
        <x:f>SUMIF('Species'!$G$2:$G$483,A9,'Species'!$U$2:$U$483)</x:f>
        <x:v>18355709.253806714</x:v>
      </x:c>
      <x:c r="J9" s="62" t="n">
        <x:v>3.7166273298044086</x:v>
      </x:c>
      <x:c r="K9" s="62" t="n">
        <x:f>IF(J9="","",(1/'Metadata'!$B$5)^(J9-1))</x:f>
        <x:v>3423.0531547546557</x:v>
      </x:c>
      <x:c r="L9" s="60" t="n">
        <x:f>IF(E9=0,"",E9*K9)</x:f>
        <x:v>15635544.50582443</x:v>
      </x:c>
      <x:c r="M9" s="60" t="n">
        <x:f>I9-L9</x:f>
        <x:v>2720164.747982284</x:v>
      </x:c>
      <x:c r="N9" s="62" t="n">
        <x:f>IF(L9=0,"",I9/L9)</x:f>
        <x:v>1.1739731383815248</x:v>
      </x:c>
      <x:c r="O9" s="66" t="n">
        <x:f>IF(L9=0,"",M9/L9)</x:f>
        <x:v>0.17397313838152484</x:v>
      </x:c>
    </x:row>
    <x:row r="10" ht="18" customHeight="1">
      <x:c r="A10" s="46" t="str">
        <x:v>Large reef assoc. fish (&gt;=90 cm)</x:v>
      </x:c>
      <x:c r="B10" s="64" t="n">
        <x:v>9</x:v>
      </x:c>
      <x:c r="C10" s="64" t="n">
        <x:v>9</x:v>
      </x:c>
      <x:c r="D10" s="60" t="n">
        <x:v>13162.5487065292</x:v>
      </x:c>
      <x:c r="E10" s="60" t="n">
        <x:v>13162.5487065292</x:v>
      </x:c>
      <x:c r="F10" s="62" t="n">
        <x:v>0</x:v>
      </x:c>
      <x:c r="G10" s="66" t="n">
        <x:v>1</x:v>
      </x:c>
      <x:c r="H10" s="62" t="n">
        <x:f>IF(E10=0,"",I10/E10)</x:f>
        <x:v>16529.23040476218</x:v>
      </x:c>
      <x:c r="I10" s="60" t="n">
        <x:f>SUMIF('Species'!$G$2:$G$483,A10,'Species'!$U$2:$U$483)</x:f>
        <x:v>217566800.28412554</x:v>
      </x:c>
      <x:c r="J10" s="62" t="n">
        <x:v>4.101229861914414</x:v>
      </x:c>
      <x:c r="K10" s="62" t="n">
        <x:f>IF(J10="","",(1/'Metadata'!$B$5)^(J10-1))</x:f>
        <x:v>10834.105836005476</x:v>
      </x:c>
      <x:c r="L10" s="60" t="n">
        <x:f>IF(E10=0,"",E10*K10)</x:f>
        <x:v>142604445.75811434</x:v>
      </x:c>
      <x:c r="M10" s="60" t="n">
        <x:f>I10-L10</x:f>
        <x:v>74962354.5260112</x:v>
      </x:c>
      <x:c r="N10" s="62" t="n">
        <x:f>IF(L10=0,"",I10/L10)</x:f>
        <x:v>1.5256663221647546</x:v>
      </x:c>
      <x:c r="O10" s="66" t="n">
        <x:f>IF(L10=0,"",M10/L10)</x:f>
        <x:v>0.5256663221647546</x:v>
      </x:c>
    </x:row>
    <x:row r="11" ht="18" customHeight="1">
      <x:c r="A11" s="46" t="str">
        <x:v>Large sharks (&gt;=90 cm)</x:v>
      </x:c>
      <x:c r="B11" s="64" t="n">
        <x:v>36</x:v>
      </x:c>
      <x:c r="C11" s="64" t="n">
        <x:v>36</x:v>
      </x:c>
      <x:c r="D11" s="60" t="n">
        <x:v>56511.33801304031</x:v>
      </x:c>
      <x:c r="E11" s="60" t="n">
        <x:v>56511.33801304031</x:v>
      </x:c>
      <x:c r="F11" s="62" t="n">
        <x:v>0</x:v>
      </x:c>
      <x:c r="G11" s="66" t="n">
        <x:v>1</x:v>
      </x:c>
      <x:c r="H11" s="62" t="n">
        <x:f>IF(E11=0,"",I11/E11)</x:f>
        <x:v>21250.959026244112</x:v>
      </x:c>
      <x:c r="I11" s="60" t="n">
        <x:f>SUMIF('Species'!$G$2:$G$483,A11,'Species'!$U$2:$U$483)</x:f>
        <x:v>1200920128.633351</x:v>
      </x:c>
      <x:c r="J11" s="62" t="n">
        <x:v>4.290975259022473</x:v>
      </x:c>
      <x:c r="K11" s="62" t="n">
        <x:f>IF(J11="","",(1/'Metadata'!$B$5)^(J11-1))</x:f>
        <x:v>19127.469889806256</x:v>
      </x:c>
      <x:c r="L11" s="60" t="n">
        <x:f>IF(E11=0,"",E11*K11)</x:f>
        <x:v>1080918916.2770922</x:v>
      </x:c>
      <x:c r="M11" s="60" t="n">
        <x:f>I11-L11</x:f>
        <x:v>120001212.35625887</x:v>
      </x:c>
      <x:c r="N11" s="62" t="n">
        <x:f>IF(L11=0,"",I11/L11)</x:f>
        <x:v>1.1110177743669876</x:v>
      </x:c>
      <x:c r="O11" s="66" t="n">
        <x:f>IF(L11=0,"",M11/L11)</x:f>
        <x:v>0.1110177743669875</x:v>
      </x:c>
    </x:row>
    <x:row r="12" ht="18" customHeight="1">
      <x:c r="A12" s="46" t="str">
        <x:v>Lobsters, crabs</x:v>
      </x:c>
      <x:c r="B12" s="64" t="n">
        <x:v>27</x:v>
      </x:c>
      <x:c r="C12" s="64" t="n">
        <x:v>27</x:v>
      </x:c>
      <x:c r="D12" s="60" t="n">
        <x:v>20201.269895752997</x:v>
      </x:c>
      <x:c r="E12" s="60" t="n">
        <x:v>20201.269895752997</x:v>
      </x:c>
      <x:c r="F12" s="62" t="n">
        <x:v>0</x:v>
      </x:c>
      <x:c r="G12" s="66" t="n">
        <x:v>1</x:v>
      </x:c>
      <x:c r="H12" s="62" t="n">
        <x:f>IF(E12=0,"",I12/E12)</x:f>
        <x:v>1094.6460592671826</x:v>
      </x:c>
      <x:c r="I12" s="60" t="n">
        <x:f>SUMIF('Species'!$G$2:$G$483,A12,'Species'!$U$2:$U$483)</x:f>
        <x:v>22113240.48357879</x:v>
      </x:c>
      <x:c r="J12" s="62" t="n">
        <x:v>3.242268599103809</x:v>
      </x:c>
      <x:c r="K12" s="62" t="n">
        <x:f>IF(J12="","",(1/'Metadata'!$B$5)^(J12-1))</x:f>
        <x:v>826.5301604038555</x:v>
      </x:c>
      <x:c r="L12" s="60" t="n">
        <x:f>IF(E12=0,"",E12*K12)</x:f>
        <x:v>16696958.847298302</x:v>
      </x:c>
      <x:c r="M12" s="60" t="n">
        <x:f>I12-L12</x:f>
        <x:v>5416281.636280488</x:v>
      </x:c>
      <x:c r="N12" s="62" t="n">
        <x:f>IF(L12=0,"",I12/L12)</x:f>
        <x:v>1.3243873142297937</x:v>
      </x:c>
      <x:c r="O12" s="66" t="n">
        <x:f>IF(L12=0,"",M12/L12)</x:f>
        <x:v>0.3243873142297937</x:v>
      </x:c>
    </x:row>
    <x:row r="13" ht="18" customHeight="1">
      <x:c r="A13" s="46" t="str">
        <x:v>Medium bathydemersals (30 - 89 cm)</x:v>
      </x:c>
      <x:c r="B13" s="64" t="n">
        <x:v>12</x:v>
      </x:c>
      <x:c r="C13" s="64" t="n">
        <x:v>12</x:v>
      </x:c>
      <x:c r="D13" s="60" t="n">
        <x:v>7534.0736412831</x:v>
      </x:c>
      <x:c r="E13" s="60" t="n">
        <x:v>7534.0736412831</x:v>
      </x:c>
      <x:c r="F13" s="62" t="n">
        <x:v>0</x:v>
      </x:c>
      <x:c r="G13" s="66" t="n">
        <x:v>1</x:v>
      </x:c>
      <x:c r="H13" s="62" t="n">
        <x:f>IF(E13=0,"",I13/E13)</x:f>
        <x:v>21168.27409025877</x:v>
      </x:c>
      <x:c r="I13" s="60" t="n">
        <x:f>SUMIF('Species'!$G$2:$G$483,A13,'Species'!$U$2:$U$483)</x:f>
        <x:v>159483335.85487458</x:v>
      </x:c>
      <x:c r="J13" s="62" t="n">
        <x:v>4.1052211330844495</x:v>
      </x:c>
      <x:c r="K13" s="62" t="n">
        <x:f>IF(J13="","",(1/'Metadata'!$B$5)^(J13-1))</x:f>
        <x:v>10964.424397027642</x:v>
      </x:c>
      <x:c r="L13" s="60" t="n">
        <x:f>IF(E13=0,"",E13*K13)</x:f>
        <x:v>82606780.8414873</x:v>
      </x:c>
      <x:c r="M13" s="60" t="n">
        <x:f>I13-L13</x:f>
        <x:v>76876555.01338728</x:v>
      </x:c>
      <x:c r="N13" s="62" t="n">
        <x:f>IF(L13=0,"",I13/L13)</x:f>
        <x:v>1.9306325005074867</x:v>
      </x:c>
      <x:c r="O13" s="66" t="n">
        <x:f>IF(L13=0,"",M13/L13)</x:f>
        <x:v>0.9306325005074867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103.91046367220001</x:v>
      </x:c>
      <x:c r="E14" s="60" t="n">
        <x:v>103.91046367220001</x:v>
      </x:c>
      <x:c r="F14" s="62" t="n">
        <x:v>0</x:v>
      </x:c>
      <x:c r="G14" s="66" t="n">
        <x:v>1</x:v>
      </x:c>
      <x:c r="H14" s="62" t="n">
        <x:f>IF(E14=0,"",I14/E14)</x:f>
        <x:v>7810.187505582637</x:v>
      </x:c>
      <x:c r="I14" s="60" t="n">
        <x:f>SUMIF('Species'!$G$2:$G$483,A14,'Species'!$U$2:$U$483)</x:f>
        <x:v>811560.2050719149</x:v>
      </x:c>
      <x:c r="J14" s="62" t="n">
        <x:v>3.9407513496316438</x:v>
      </x:c>
      <x:c r="K14" s="62" t="n">
        <x:f>IF(J14="","",(1/'Metadata'!$B$5)^(J14-1))</x:f>
        <x:v>6698.934256877235</x:v>
      </x:c>
      <x:c r="L14" s="60" t="n">
        <x:f>IF(E14=0,"",E14*K14)</x:f>
        <x:v>696089.3647416981</x:v>
      </x:c>
      <x:c r="M14" s="60" t="n">
        <x:f>I14-L14</x:f>
        <x:v>115470.8403302168</x:v>
      </x:c>
      <x:c r="N14" s="62" t="n">
        <x:f>IF(L14=0,"",I14/L14)</x:f>
        <x:v>1.1658850805356942</x:v>
      </x:c>
      <x:c r="O14" s="66" t="n">
        <x:f>IF(L14=0,"",M14/L14)</x:f>
        <x:v>0.16588508053569417</x:v>
      </x:c>
    </x:row>
    <x:row r="15" ht="18" customHeight="1">
      <x:c r="A15" s="46" t="str">
        <x:v>Medium benthopelagics (30 - 89 cm)</x:v>
      </x:c>
      <x:c r="B15" s="64" t="n">
        <x:v>37</x:v>
      </x:c>
      <x:c r="C15" s="64" t="n">
        <x:v>37</x:v>
      </x:c>
      <x:c r="D15" s="60" t="n">
        <x:v>92789.5579389521</x:v>
      </x:c>
      <x:c r="E15" s="60" t="n">
        <x:v>92789.5579389521</x:v>
      </x:c>
      <x:c r="F15" s="62" t="n">
        <x:v>0</x:v>
      </x:c>
      <x:c r="G15" s="66" t="n">
        <x:v>1</x:v>
      </x:c>
      <x:c r="H15" s="62" t="n">
        <x:f>IF(E15=0,"",I15/E15)</x:f>
        <x:v>3693.840825757008</x:v>
      </x:c>
      <x:c r="I15" s="60" t="n">
        <x:f>SUMIF('Species'!$G$2:$G$483,A15,'Species'!$U$2:$U$483)</x:f>
        <x:v>342749857.3188466</x:v>
      </x:c>
      <x:c r="J15" s="62" t="n">
        <x:v>3.453581770367874</x:v>
      </x:c>
      <x:c r="K15" s="62" t="n">
        <x:f>IF(J15="","",(1/'Metadata'!$B$5)^(J15-1))</x:f>
        <x:v>1556.623132445671</x:v>
      </x:c>
      <x:c r="L15" s="60" t="n">
        <x:f>IF(E15=0,"",E15*K15)</x:f>
        <x:v>144438372.3371807</x:v>
      </x:c>
      <x:c r="M15" s="60" t="n">
        <x:f>I15-L15</x:f>
        <x:v>198311484.98166588</x:v>
      </x:c>
      <x:c r="N15" s="62" t="n">
        <x:f>IF(L15=0,"",I15/L15)</x:f>
        <x:v>2.372983382274084</x:v>
      </x:c>
      <x:c r="O15" s="66" t="n">
        <x:f>IF(L15=0,"",M15/L15)</x:f>
        <x:v>1.3729833822740842</x:v>
      </x:c>
    </x:row>
    <x:row r="16" ht="18" customHeight="1">
      <x:c r="A16" s="46" t="str">
        <x:v>Medium demersals (30 - 89 cm)</x:v>
      </x:c>
      <x:c r="B16" s="64" t="n">
        <x:v>51</x:v>
      </x:c>
      <x:c r="C16" s="64" t="n">
        <x:v>51</x:v>
      </x:c>
      <x:c r="D16" s="60" t="n">
        <x:v>270636.25513760996</x:v>
      </x:c>
      <x:c r="E16" s="60" t="n">
        <x:v>270636.25513760996</x:v>
      </x:c>
      <x:c r="F16" s="62" t="n">
        <x:v>0</x:v>
      </x:c>
      <x:c r="G16" s="66" t="n">
        <x:v>1</x:v>
      </x:c>
      <x:c r="H16" s="62" t="n">
        <x:f>IF(E16=0,"",I16/E16)</x:f>
        <x:v>1437.2472928770837</x:v>
      </x:c>
      <x:c r="I16" s="60" t="n">
        <x:f>SUMIF('Species'!$G$2:$G$483,A16,'Species'!$U$2:$U$483)</x:f>
        <x:v>388971225.0509217</x:v>
      </x:c>
      <x:c r="J16" s="62" t="n">
        <x:v>3.2866722757257683</x:v>
      </x:c>
      <x:c r="K16" s="62" t="n">
        <x:f>IF(J16="","",(1/'Metadata'!$B$5)^(J16-1))</x:f>
        <x:v>944.1243984030074</x:v>
      </x:c>
      <x:c r="L16" s="60" t="n">
        <x:f>IF(E16=0,"",E16*K16)</x:f>
        <x:v>255514291.56783882</x:v>
      </x:c>
      <x:c r="M16" s="60" t="n">
        <x:f>I16-L16</x:f>
        <x:v>133456933.48308286</x:v>
      </x:c>
      <x:c r="N16" s="62" t="n">
        <x:f>IF(L16=0,"",I16/L16)</x:f>
        <x:v>1.5223071189646165</x:v>
      </x:c>
      <x:c r="O16" s="66" t="n">
        <x:f>IF(L16=0,"",M16/L16)</x:f>
        <x:v>0.5223071189646163</x:v>
      </x:c>
    </x:row>
    <x:row r="17" ht="18" customHeight="1">
      <x:c r="A17" s="46" t="str">
        <x:v>Medium pelagics (30 - 89 cm)</x:v>
      </x:c>
      <x:c r="B17" s="64" t="n">
        <x:v>34</x:v>
      </x:c>
      <x:c r="C17" s="64" t="n">
        <x:v>34</x:v>
      </x:c>
      <x:c r="D17" s="60" t="n">
        <x:v>164493.25395450988</x:v>
      </x:c>
      <x:c r="E17" s="60" t="n">
        <x:v>164493.25395450988</x:v>
      </x:c>
      <x:c r="F17" s="62" t="n">
        <x:v>0</x:v>
      </x:c>
      <x:c r="G17" s="66" t="n">
        <x:v>1</x:v>
      </x:c>
      <x:c r="H17" s="62" t="n">
        <x:f>IF(E17=0,"",I17/E17)</x:f>
        <x:v>11049.062794695314</x:v>
      </x:c>
      <x:c r="I17" s="60" t="n">
        <x:f>SUMIF('Species'!$G$2:$G$483,A17,'Species'!$U$2:$U$483)</x:f>
        <x:v>1817496292.2471428</x:v>
      </x:c>
      <x:c r="J17" s="62" t="n">
        <x:v>3.882893769262863</x:v>
      </x:c>
      <x:c r="K17" s="62" t="n">
        <x:f>IF(J17="","",(1/'Metadata'!$B$5)^(J17-1))</x:f>
        <x:v>5632.889971199797</x:v>
      </x:c>
      <x:c r="L17" s="60" t="n">
        <x:f>IF(E17=0,"",E17*K17)</x:f>
        <x:v>926572400.5303801</x:v>
      </x:c>
      <x:c r="M17" s="60" t="n">
        <x:f>I17-L17</x:f>
        <x:v>890923891.7167627</x:v>
      </x:c>
      <x:c r="N17" s="62" t="n">
        <x:f>IF(L17=0,"",I17/L17)</x:f>
        <x:v>1.9615264724125046</x:v>
      </x:c>
      <x:c r="O17" s="66" t="n">
        <x:f>IF(L17=0,"",M17/L17)</x:f>
        <x:v>0.9615264724125046</x:v>
      </x:c>
    </x:row>
    <x:row r="18" ht="18" customHeight="1">
      <x:c r="A18" s="46" t="str">
        <x:v>Medium reef assoc. fish (30 - 89 cm)</x:v>
      </x:c>
      <x:c r="B18" s="64" t="n">
        <x:v>17</x:v>
      </x:c>
      <x:c r="C18" s="64" t="n">
        <x:v>17</x:v>
      </x:c>
      <x:c r="D18" s="60" t="n">
        <x:v>33482.4650034902</x:v>
      </x:c>
      <x:c r="E18" s="60" t="n">
        <x:v>33482.4650034902</x:v>
      </x:c>
      <x:c r="F18" s="62" t="n">
        <x:v>0</x:v>
      </x:c>
      <x:c r="G18" s="66" t="n">
        <x:v>1</x:v>
      </x:c>
      <x:c r="H18" s="62" t="n">
        <x:f>IF(E18=0,"",I18/E18)</x:f>
        <x:v>2623.2257516953337</x:v>
      </x:c>
      <x:c r="I18" s="60" t="n">
        <x:f>SUMIF('Species'!$G$2:$G$483,A18,'Species'!$U$2:$U$483)</x:f>
        <x:v>87832064.42739329</x:v>
      </x:c>
      <x:c r="J18" s="62" t="n">
        <x:v>3.167354257219435</x:v>
      </x:c>
      <x:c r="K18" s="62" t="n">
        <x:f>IF(J18="","",(1/'Metadata'!$B$5)^(J18-1))</x:f>
        <x:v>660.3784610954766</x:v>
      </x:c>
      <x:c r="L18" s="60" t="n">
        <x:f>IF(E18=0,"",E18*K18)</x:f>
        <x:v>22111098.71268801</x:v>
      </x:c>
      <x:c r="M18" s="60" t="n">
        <x:f>I18-L18</x:f>
        <x:v>65720965.71470527</x:v>
      </x:c>
      <x:c r="N18" s="62" t="n">
        <x:f>IF(L18=0,"",I18/L18)</x:f>
        <x:v>3.9723066487416396</x:v>
      </x:c>
      <x:c r="O18" s="66" t="n">
        <x:f>IF(L18=0,"",M18/L18)</x:f>
        <x:v>2.972306648741639</x:v>
      </x:c>
    </x:row>
    <x:row r="19" ht="18" customHeight="1">
      <x:c r="A19" s="46" t="str">
        <x:v>Other demersal invertebrates</x:v>
      </x:c>
      <x:c r="B19" s="64" t="n">
        <x:v>46</x:v>
      </x:c>
      <x:c r="C19" s="64" t="n">
        <x:v>46</x:v>
      </x:c>
      <x:c r="D19" s="60" t="n">
        <x:v>69072.22112755908</x:v>
      </x:c>
      <x:c r="E19" s="60" t="n">
        <x:v>69072.22112755908</x:v>
      </x:c>
      <x:c r="F19" s="62" t="n">
        <x:v>0</x:v>
      </x:c>
      <x:c r="G19" s="66" t="n">
        <x:v>1</x:v>
      </x:c>
      <x:c r="H19" s="62" t="n">
        <x:f>IF(E19=0,"",I19/E19)</x:f>
        <x:v>134.97482264508503</x:v>
      </x:c>
      <x:c r="I19" s="60" t="n">
        <x:f>SUMIF('Species'!$G$2:$G$483,A19,'Species'!$U$2:$U$483)</x:f>
        <x:v>9323010.796394382</x:v>
      </x:c>
      <x:c r="J19" s="62" t="n">
        <x:v>2.4777429963720623</x:v>
      </x:c>
      <x:c r="K19" s="62" t="n">
        <x:f>IF(J19="","",(1/'Metadata'!$B$5)^(J19-1))</x:f>
        <x:v>83.67350550695494</x:v>
      </x:c>
      <x:c r="L19" s="60" t="n">
        <x:f>IF(E19=0,"",E19*K19)</x:f>
        <x:v>5779514.874894424</x:v>
      </x:c>
      <x:c r="M19" s="60" t="n">
        <x:f>I19-L19</x:f>
        <x:v>3543495.9214999573</x:v>
      </x:c>
      <x:c r="N19" s="62" t="n">
        <x:f>IF(L19=0,"",I19/L19)</x:f>
        <x:v>1.6131130377209535</x:v>
      </x:c>
      <x:c r="O19" s="66" t="n">
        <x:f>IF(L19=0,"",M19/L19)</x:f>
        <x:v>0.6131130377209536</x:v>
      </x:c>
    </x:row>
    <x:row r="20" ht="18" customHeight="1">
      <x:c r="A20" s="46" t="str">
        <x:v>Shrimps</x:v>
      </x:c>
      <x:c r="B20" s="64" t="n">
        <x:v>24</x:v>
      </x:c>
      <x:c r="C20" s="64" t="n">
        <x:v>24</x:v>
      </x:c>
      <x:c r="D20" s="60" t="n">
        <x:v>56658.42315927721</x:v>
      </x:c>
      <x:c r="E20" s="60" t="n">
        <x:v>56658.42315927721</x:v>
      </x:c>
      <x:c r="F20" s="62" t="n">
        <x:v>0</x:v>
      </x:c>
      <x:c r="G20" s="66" t="n">
        <x:v>1</x:v>
      </x:c>
      <x:c r="H20" s="62" t="n">
        <x:f>IF(E20=0,"",I20/E20)</x:f>
        <x:v>1116.005975609731</x:v>
      </x:c>
      <x:c r="I20" s="60" t="n">
        <x:f>SUMIF('Species'!$G$2:$G$483,A20,'Species'!$U$2:$U$483)</x:f>
        <x:v>63231138.81437814</x:v>
      </x:c>
      <x:c r="J20" s="62" t="n">
        <x:v>3.2564443765157205</x:v>
      </x:c>
      <x:c r="K20" s="62" t="n">
        <x:f>IF(J20="","",(1/'Metadata'!$B$5)^(J20-1))</x:f>
        <x:v>862.3862379761629</x:v>
      </x:c>
      <x:c r="L20" s="60" t="n">
        <x:f>IF(E20=0,"",E20*K20)</x:f>
        <x:v>48861444.39799058</x:v>
      </x:c>
      <x:c r="M20" s="60" t="n">
        <x:f>I20-L20</x:f>
        <x:v>14369694.416387565</x:v>
      </x:c>
      <x:c r="N20" s="62" t="n">
        <x:f>IF(L20=0,"",I20/L20)</x:f>
        <x:v>1.294090659689514</x:v>
      </x:c>
      <x:c r="O20" s="66" t="n">
        <x:f>IF(L20=0,"",M20/L20)</x:f>
        <x:v>0.2940906596895142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2.2668379046</x:v>
      </x:c>
      <x:c r="E21" s="60" t="n">
        <x:v>2.2668379046</x:v>
      </x:c>
      <x:c r="F21" s="62" t="n">
        <x:v>0</x:v>
      </x:c>
      <x:c r="G21" s="66" t="n">
        <x:v>1</x:v>
      </x:c>
      <x:c r="H21" s="62" t="n">
        <x:f>IF(E21=0,"",I21/E21)</x:f>
        <x:v>1788.8543819998317</x:v>
      </x:c>
      <x:c r="I21" s="60" t="n">
        <x:f>SUMIF('Species'!$G$2:$G$483,A21,'Species'!$U$2:$U$483)</x:f>
        <x:v>4055.0429189270267</x:v>
      </x:c>
      <x:c r="J21" s="62" t="n">
        <x:v>3.5</x:v>
      </x:c>
      <x:c r="K21" s="62" t="n">
        <x:f>IF(J21="","",(1/'Metadata'!$B$5)^(J21-1))</x:f>
        <x:v>1788.8543819998317</x:v>
      </x:c>
      <x:c r="L21" s="60" t="n">
        <x:f>IF(E21=0,"",E21*K21)</x:f>
        <x:v>4055.0429189270267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bathypelagics (&lt;30 cm)</x:v>
      </x:c>
      <x:c r="B22" s="64" t="n">
        <x:v>1</x:v>
      </x:c>
      <x:c r="C22" s="64" t="n">
        <x:v>1</x:v>
      </x:c>
      <x:c r="D22" s="60" t="n">
        <x:v>15.6764319369</x:v>
      </x:c>
      <x:c r="E22" s="60" t="n">
        <x:v>15.6764319369</x:v>
      </x:c>
      <x:c r="F22" s="62" t="n">
        <x:v>0</x:v>
      </x:c>
      <x:c r="G22" s="66" t="n">
        <x:v>1</x:v>
      </x:c>
      <x:c r="H22" s="62" t="n">
        <x:f>IF(E22=0,"",I22/E22)</x:f>
        <x:v>412.16422316450075</x:v>
      </x:c>
      <x:c r="I22" s="60" t="n">
        <x:f>SUMIF('Species'!$G$2:$G$483,A22,'Species'!$U$2:$U$483)</x:f>
        <x:v>6461.2643912635585</x:v>
      </x:c>
      <x:c r="J22" s="62" t="n">
        <x:v>3.01</x:v>
      </x:c>
      <x:c r="K22" s="62" t="n">
        <x:f>IF(J22="","",(1/'Metadata'!$B$5)^(J22-1))</x:f>
        <x:v>412.16422316450075</x:v>
      </x:c>
      <x:c r="L22" s="60" t="n">
        <x:f>IF(E22=0,"",E22*K22)</x:f>
        <x:v>6461.2643912635585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benthopelagics (&lt;30 cm)</x:v>
      </x:c>
      <x:c r="B23" s="64" t="n">
        <x:v>3</x:v>
      </x:c>
      <x:c r="C23" s="64" t="n">
        <x:v>3</x:v>
      </x:c>
      <x:c r="D23" s="60" t="n">
        <x:v>7717.8427812789</x:v>
      </x:c>
      <x:c r="E23" s="60" t="n">
        <x:v>7717.8427812789</x:v>
      </x:c>
      <x:c r="F23" s="62" t="n">
        <x:v>0</x:v>
      </x:c>
      <x:c r="G23" s="66" t="n">
        <x:v>1</x:v>
      </x:c>
      <x:c r="H23" s="62" t="n">
        <x:f>IF(E23=0,"",I23/E23)</x:f>
        <x:v>1879.5366290131549</x:v>
      </x:c>
      <x:c r="I23" s="60" t="n">
        <x:f>SUMIF('Species'!$G$2:$G$483,A23,'Species'!$U$2:$U$483)</x:f>
        <x:v>14505968.204378454</x:v>
      </x:c>
      <x:c r="J23" s="62" t="n">
        <x:v>3.49123280358985</x:v>
      </x:c>
      <x:c r="K23" s="62" t="n">
        <x:f>IF(J23="","",(1/'Metadata'!$B$5)^(J23-1))</x:f>
        <x:v>1742.4832163484054</x:v>
      </x:c>
      <x:c r="L23" s="60" t="n">
        <x:f>IF(E23=0,"",E23*K23)</x:f>
        <x:v>13448211.51279418</x:v>
      </x:c>
      <x:c r="M23" s="60" t="n">
        <x:f>I23-L23</x:f>
        <x:v>1057756.6915842742</x:v>
      </x:c>
      <x:c r="N23" s="62" t="n">
        <x:f>IF(L23=0,"",I23/L23)</x:f>
        <x:v>1.0786540790630754</x:v>
      </x:c>
      <x:c r="O23" s="66" t="n">
        <x:f>IF(L23=0,"",M23/L23)</x:f>
        <x:v>0.0786540790630754</x:v>
      </x:c>
    </x:row>
    <x:row r="24" ht="18" customHeight="1">
      <x:c r="A24" s="46" t="str">
        <x:v>Small demersals (&lt;30 cm)</x:v>
      </x:c>
      <x:c r="B24" s="64" t="n">
        <x:v>16</x:v>
      </x:c>
      <x:c r="C24" s="64" t="n">
        <x:v>16</x:v>
      </x:c>
      <x:c r="D24" s="60" t="n">
        <x:v>13974.3820430133</x:v>
      </x:c>
      <x:c r="E24" s="60" t="n">
        <x:v>13974.3820430133</x:v>
      </x:c>
      <x:c r="F24" s="62" t="n">
        <x:v>0</x:v>
      </x:c>
      <x:c r="G24" s="66" t="n">
        <x:v>1</x:v>
      </x:c>
      <x:c r="H24" s="62" t="n">
        <x:f>IF(E24=0,"",I24/E24)</x:f>
        <x:v>3080.1188904798573</x:v>
      </x:c>
      <x:c r="I24" s="60" t="n">
        <x:f>SUMIF('Species'!$G$2:$G$483,A24,'Species'!$U$2:$U$483)</x:f>
        <x:v>43042758.11346777</x:v>
      </x:c>
      <x:c r="J24" s="62" t="n">
        <x:v>3.397757931654575</x:v>
      </x:c>
      <x:c r="K24" s="62" t="n">
        <x:f>IF(J24="","",(1/'Metadata'!$B$5)^(J24-1))</x:f>
        <x:v>1316.9066520889166</x:v>
      </x:c>
      <x:c r="L24" s="60" t="n">
        <x:f>IF(E24=0,"",E24*K24)</x:f>
        <x:v>18402956.67127612</x:v>
      </x:c>
      <x:c r="M24" s="60" t="n">
        <x:f>I24-L24</x:f>
        <x:v>24639801.44219165</x:v>
      </x:c>
      <x:c r="N24" s="62" t="n">
        <x:f>IF(L24=0,"",I24/L24)</x:f>
        <x:v>2.3389044968328476</x:v>
      </x:c>
      <x:c r="O24" s="66" t="n">
        <x:f>IF(L24=0,"",M24/L24)</x:f>
        <x:v>1.3389044968328476</x:v>
      </x:c>
    </x:row>
    <x:row r="25" ht="18" customHeight="1">
      <x:c r="A25" s="46" t="str">
        <x:v>Small pelagics (&lt;30 cm)</x:v>
      </x:c>
      <x:c r="B25" s="64" t="n">
        <x:v>12</x:v>
      </x:c>
      <x:c r="C25" s="64" t="n">
        <x:v>12</x:v>
      </x:c>
      <x:c r="D25" s="60" t="n">
        <x:v>421994.98211981636</x:v>
      </x:c>
      <x:c r="E25" s="60" t="n">
        <x:v>421994.98211981636</x:v>
      </x:c>
      <x:c r="F25" s="62" t="n">
        <x:v>0</x:v>
      </x:c>
      <x:c r="G25" s="66" t="n">
        <x:v>1</x:v>
      </x:c>
      <x:c r="H25" s="62" t="n">
        <x:f>IF(E25=0,"",I25/E25)</x:f>
        <x:v>493.964670205128</x:v>
      </x:c>
      <x:c r="I25" s="60" t="n">
        <x:f>SUMIF('Species'!$G$2:$G$483,A25,'Species'!$U$2:$U$483)</x:f>
        <x:v>208450612.17103398</x:v>
      </x:c>
      <x:c r="J25" s="62" t="n">
        <x:v>3.050797762164106</x:v>
      </x:c>
      <x:c r="K25" s="62" t="n">
        <x:f>IF(J25="","",(1/'Metadata'!$B$5)^(J25-1))</x:f>
        <x:v>465.74628946166615</x:v>
      </x:c>
      <x:c r="L25" s="60" t="n">
        <x:f>IF(E25=0,"",E25*K25)</x:f>
        <x:v>196542597.09374663</x:v>
      </x:c>
      <x:c r="M25" s="60" t="n">
        <x:f>I25-L25</x:f>
        <x:v>11908015.077287346</x:v>
      </x:c>
      <x:c r="N25" s="62" t="n">
        <x:f>IF(L25=0,"",I25/L25)</x:f>
        <x:v>1.0605874515416496</x:v>
      </x:c>
      <x:c r="O25" s="66" t="n">
        <x:f>IF(L25=0,"",M25/L25)</x:f>
        <x:v>0.060587451541649656</x:v>
      </x:c>
    </x:row>
    <x:row r="26" ht="18" customHeight="1">
      <x:c r="A26" s="46" t="str">
        <x:v>Small reef assoc. fish (&lt;30 cm)</x:v>
      </x:c>
      <x:c r="B26" s="64" t="n">
        <x:v>9</x:v>
      </x:c>
      <x:c r="C26" s="64" t="n">
        <x:v>9</x:v>
      </x:c>
      <x:c r="D26" s="60" t="n">
        <x:v>5727.642576815801</x:v>
      </x:c>
      <x:c r="E26" s="60" t="n">
        <x:v>5727.642576815801</x:v>
      </x:c>
      <x:c r="F26" s="62" t="n">
        <x:v>0</x:v>
      </x:c>
      <x:c r="G26" s="66" t="n">
        <x:v>1</x:v>
      </x:c>
      <x:c r="H26" s="62" t="n">
        <x:f>IF(E26=0,"",I26/E26)</x:f>
        <x:v>1810.148004922339</x:v>
      </x:c>
      <x:c r="I26" s="60" t="n">
        <x:f>SUMIF('Species'!$G$2:$G$483,A26,'Species'!$U$2:$U$483)</x:f>
        <x:v>10367880.783331366</x:v>
      </x:c>
      <x:c r="J26" s="62" t="n">
        <x:v>3.3595608688317298</x:v>
      </x:c>
      <x:c r="K26" s="62" t="n">
        <x:f>IF(J26="","",(1/'Metadata'!$B$5)^(J26-1))</x:f>
        <x:v>1174.517432146852</x:v>
      </x:c>
      <x:c r="L26" s="60" t="n">
        <x:f>IF(E26=0,"",E26*K26)</x:f>
        <x:v>6727216.051576672</x:v>
      </x:c>
      <x:c r="M26" s="60" t="n">
        <x:f>I26-L26</x:f>
        <x:v>3640664.731754694</x:v>
      </x:c>
      <x:c r="N26" s="62" t="n">
        <x:f>IF(L26=0,"",I26/L26)</x:f>
        <x:v>1.5411844519103</x:v>
      </x:c>
      <x:c r="O26" s="66" t="n">
        <x:f>IF(L26=0,"",M26/L26)</x:f>
        <x:v>0.5411844519103001</x:v>
      </x:c>
    </x:row>
    <x:row r="27" ht="18" customHeight="1">
      <x:c r="A27" s="46" t="str">
        <x:v>Small to medium flatfishes (&lt;90 cm)</x:v>
      </x:c>
      <x:c r="B27" s="64" t="n">
        <x:v>23</x:v>
      </x:c>
      <x:c r="C27" s="64" t="n">
        <x:v>23</x:v>
      </x:c>
      <x:c r="D27" s="60" t="n">
        <x:v>10425.3433521069</x:v>
      </x:c>
      <x:c r="E27" s="60" t="n">
        <x:v>10425.3433521069</x:v>
      </x:c>
      <x:c r="F27" s="62" t="n">
        <x:v>0</x:v>
      </x:c>
      <x:c r="G27" s="66" t="n">
        <x:v>1</x:v>
      </x:c>
      <x:c r="H27" s="62" t="n">
        <x:f>IF(E27=0,"",I27/E27)</x:f>
        <x:v>2140.820280501577</x:v>
      </x:c>
      <x:c r="I27" s="60" t="n">
        <x:f>SUMIF('Species'!$G$2:$G$483,A27,'Species'!$U$2:$U$483)</x:f>
        <x:v>22318786.479382746</x:v>
      </x:c>
      <x:c r="J27" s="62" t="n">
        <x:v>3.3374265985324914</x:v>
      </x:c>
      <x:c r="K27" s="62" t="n">
        <x:f>IF(J27="","",(1/'Metadata'!$B$5)^(J27-1))</x:f>
        <x:v>1099.1630420210204</x:v>
      </x:c>
      <x:c r="L27" s="60" t="n">
        <x:f>IF(E27=0,"",E27*K27)</x:f>
        <x:v>11459152.113015441</x:v>
      </x:c>
      <x:c r="M27" s="60" t="n">
        <x:f>I27-L27</x:f>
        <x:v>10859634.366367305</x:v>
      </x:c>
      <x:c r="N27" s="62" t="n">
        <x:f>IF(L27=0,"",I27/L27)</x:f>
        <x:v>1.9476821896824987</x:v>
      </x:c>
      <x:c r="O27" s="66" t="n">
        <x:f>IF(L27=0,"",M27/L27)</x:f>
        <x:v>0.9476821896824986</x:v>
      </x:c>
    </x:row>
    <x:row r="28" ht="18" customHeight="1">
      <x:c r="A28" s="46" t="str">
        <x:v>Small to medium rays (&lt;90 cm)</x:v>
      </x:c>
      <x:c r="B28" s="64" t="n">
        <x:v>7</x:v>
      </x:c>
      <x:c r="C28" s="64" t="n">
        <x:v>7</x:v>
      </x:c>
      <x:c r="D28" s="60" t="n">
        <x:v>1660.0309125828003</x:v>
      </x:c>
      <x:c r="E28" s="60" t="n">
        <x:v>1660.0309125828003</x:v>
      </x:c>
      <x:c r="F28" s="62" t="n">
        <x:v>0</x:v>
      </x:c>
      <x:c r="G28" s="66" t="n">
        <x:v>1</x:v>
      </x:c>
      <x:c r="H28" s="62" t="n">
        <x:f>IF(E28=0,"",I28/E28)</x:f>
        <x:v>4403.511309982977</x:v>
      </x:c>
      <x:c r="I28" s="60" t="n">
        <x:f>SUMIF('Species'!$G$2:$G$483,A28,'Species'!$U$2:$U$483)</x:f>
        <x:v>7309964.898479723</x:v>
      </x:c>
      <x:c r="J28" s="62" t="n">
        <x:v>3.77593715660501</x:v>
      </x:c>
      <x:c r="K28" s="62" t="n">
        <x:f>IF(J28="","",(1/'Metadata'!$B$5)^(J28-1))</x:f>
        <x:v>4088.627137143951</x:v>
      </x:c>
      <x:c r="L28" s="60" t="n">
        <x:f>IF(E28=0,"",E28*K28)</x:f>
        <x:v>6787247.437683876</x:v>
      </x:c>
      <x:c r="M28" s="60" t="n">
        <x:f>I28-L28</x:f>
        <x:v>522717.4607958477</x:v>
      </x:c>
      <x:c r="N28" s="62" t="n">
        <x:f>IF(L28=0,"",I28/L28)</x:f>
        <x:v>1.077014646304721</x:v>
      </x:c>
      <x:c r="O28" s="66" t="n">
        <x:f>IF(L28=0,"",M28/L28)</x:f>
        <x:v>0.07701464630472102</x:v>
      </x:c>
    </x:row>
    <x:row r="29" ht="18" customHeight="1">
      <x:c r="A29" s="46" t="str">
        <x:v>Small to medium sharks (&lt;90 cm)</x:v>
      </x:c>
      <x:c r="B29" s="64" t="n">
        <x:v>6</x:v>
      </x:c>
      <x:c r="C29" s="64" t="n">
        <x:v>6</x:v>
      </x:c>
      <x:c r="D29" s="60" t="n">
        <x:v>4740.292014370801</x:v>
      </x:c>
      <x:c r="E29" s="60" t="n">
        <x:v>4740.292014370801</x:v>
      </x:c>
      <x:c r="F29" s="62" t="n">
        <x:v>0</x:v>
      </x:c>
      <x:c r="G29" s="66" t="n">
        <x:v>1</x:v>
      </x:c>
      <x:c r="H29" s="62" t="n">
        <x:f>IF(E29=0,"",I29/E29)</x:f>
        <x:v>11307.06787137816</x:v>
      </x:c>
      <x:c r="I29" s="60" t="n">
        <x:f>SUMIF('Species'!$G$2:$G$483,A29,'Species'!$U$2:$U$483)</x:f>
        <x:v>53598803.53664254</x:v>
      </x:c>
      <x:c r="J29" s="62" t="n">
        <x:v>4.091415794930742</x:v>
      </x:c>
      <x:c r="K29" s="62" t="n">
        <x:f>IF(J29="","",(1/'Metadata'!$B$5)^(J29-1))</x:f>
        <x:v>10520.216520206634</x:v>
      </x:c>
      <x:c r="L29" s="60" t="n">
        <x:f>IF(E29=0,"",E29*K29)</x:f>
        <x:v>49868898.36018728</x:v>
      </x:c>
      <x:c r="M29" s="60" t="n">
        <x:f>I29-L29</x:f>
        <x:v>3729905.1764552593</x:v>
      </x:c>
      <x:c r="N29" s="62" t="n">
        <x:f>IF(L29=0,"",I29/L29)</x:f>
        <x:v>1.0747942164175222</x:v>
      </x:c>
      <x:c r="O29" s="66" t="n">
        <x:f>IF(L29=0,"",M29/L29)</x:f>
        <x:v>0.07479421641752208</x:v>
      </x:c>
    </x:row>
  </x:sheetData>
  <x:conditionalFormatting sqref="G2:G29">
    <x:cfRule type="cellIs" dxfId="2" priority="1" operator="lessThan">
      <x:formula>0.9</x:formula>
    </x:cfRule>
  </x:conditionalFormatting>
  <x:conditionalFormatting sqref="O2:O2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3161afea48446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LME_026</x:v>
      </x:c>
      <x:c r="B2" s="46" t="str">
        <x:v>raw_filtered_tonnes</x:v>
      </x:c>
      <x:c r="C2" s="46" t="n">
        <x:v>1487741.6269238535</x:v>
      </x:c>
      <x:c r="D2" s="46" t="str">
        <x:v>tonnes</x:v>
      </x:c>
    </x:row>
    <x:row r="3" ht="18" customHeight="1">
      <x:c r="A3" s="46" t="str">
        <x:v>LME_026</x:v>
      </x:c>
      <x:c r="B3" s="46" t="str">
        <x:v>species_catch_tonnes</x:v>
      </x:c>
      <x:c r="C3" s="46" t="n">
        <x:v>1487741.6269238535</x:v>
      </x:c>
      <x:c r="D3" s="46" t="str">
        <x:v>tonnes</x:v>
      </x:c>
    </x:row>
    <x:row r="4" ht="18" customHeight="1">
      <x:c r="A4" s="46" t="str">
        <x:v>LME_026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LME_026</x:v>
      </x:c>
      <x:c r="B6" s="46" t="str">
        <x:v>matched_catch_tonnes</x:v>
      </x:c>
      <x:c r="C6" s="46" t="n">
        <x:v>1487741.6269238535</x:v>
      </x:c>
      <x:c r="D6" s="46" t="str">
        <x:v>tonnes</x:v>
      </x:c>
    </x:row>
    <x:row r="7" ht="18" customHeight="1">
      <x:c r="A7" s="46" t="str">
        <x:v>LME_026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LME_026</x:v>
      </x:c>
      <x:c r="B8" s="46" t="str">
        <x:v>taxa_count</x:v>
      </x:c>
      <x:c r="C8" s="46" t="n">
        <x:v>482</x:v>
      </x:c>
      <x:c r="D8" s="46" t="str">
        <x:v>count</x:v>
      </x:c>
    </x:row>
    <x:row r="9" ht="18" customHeight="1">
      <x:c r="A9" s="46" t="str">
        <x:v>LME_026</x:v>
      </x:c>
      <x:c r="B9" s="46" t="str">
        <x:v>matched_taxa_count</x:v>
      </x:c>
      <x:c r="C9" s="46" t="n">
        <x:v>482</x:v>
      </x:c>
      <x:c r="D9" s="46" t="str">
        <x:v>count</x:v>
      </x:c>
    </x:row>
    <x:row r="10" ht="18" customHeight="1">
      <x:c r="A10" s="46" t="str">
        <x:v>LME_026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LME_026</x:v>
      </x:c>
      <x:c r="B11" s="46" t="str">
        <x:v>species_ppr</x:v>
      </x:c>
      <x:c r="C11" s="46" t="n">
        <x:v>9387159622.876135</x:v>
      </x:c>
      <x:c r="D11" s="46" t="str">
        <x:v>tonnes_primary_production_equivalent</x:v>
      </x:c>
    </x:row>
    <x:row r="12" ht="18" customHeight="1">
      <x:c r="A12" s="46" t="str">
        <x:v>LME_026</x:v>
      </x:c>
      <x:c r="B12" s="46" t="str">
        <x:v>commercial_ppr</x:v>
      </x:c>
      <x:c r="C12" s="46" t="n">
        <x:v>9387159622.876135</x:v>
      </x:c>
      <x:c r="D12" s="46" t="str">
        <x:v>tonnes_primary_production_equivalent</x:v>
      </x:c>
    </x:row>
    <x:row r="13" ht="18" customHeight="1">
      <x:c r="A13" s="46" t="str">
        <x:v>LME_026</x:v>
      </x:c>
      <x:c r="B13" s="46" t="str">
        <x:v>functional_ppr</x:v>
      </x:c>
      <x:c r="C13" s="46" t="n">
        <x:v>9387159622.876135</x:v>
      </x:c>
      <x:c r="D13" s="46" t="str">
        <x:v>tonnes_primary_production_equivalent</x:v>
      </x:c>
    </x:row>
    <x:row r="14" ht="18" customHeight="1">
      <x:c r="A14" s="46" t="str">
        <x:v>LME_026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LME_026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1db6189ba1647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LME_026 - Mediterranean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