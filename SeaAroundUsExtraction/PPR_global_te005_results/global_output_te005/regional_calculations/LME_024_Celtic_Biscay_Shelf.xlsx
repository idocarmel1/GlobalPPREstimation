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f9d4d2664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5e26d9b90e245b5"/>
    <x:sheet xmlns:r="http://schemas.openxmlformats.org/officeDocument/2006/relationships" name="Commercial" sheetId="2" r:id="R5d88fc4af0894463"/>
    <x:sheet xmlns:r="http://schemas.openxmlformats.org/officeDocument/2006/relationships" name="Functional" sheetId="3" r:id="R79c8621af2b14dc3"/>
    <x:sheet xmlns:r="http://schemas.openxmlformats.org/officeDocument/2006/relationships" name="Missing TL" sheetId="4" r:id="R64c82028d1db4ff8"/>
    <x:sheet xmlns:r="http://schemas.openxmlformats.org/officeDocument/2006/relationships" name="Validation" sheetId="5" r:id="Rd58c1bc0edcf49d0"/>
    <x:sheet xmlns:r="http://schemas.openxmlformats.org/officeDocument/2006/relationships" name="Metadata" sheetId="6" r:id="Ra61802da2aae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49734b2814071" /><Relationship Type="http://schemas.openxmlformats.org/officeDocument/2006/relationships/theme" Target="/xl/theme/theme1.xml" Id="Red287e552d7e43ba" /><Relationship Type="http://schemas.openxmlformats.org/officeDocument/2006/relationships/sharedStrings" Target="/xl/sharedStrings.xml" Id="R6a3b0bb41d32404c" /><Relationship Type="http://schemas.openxmlformats.org/officeDocument/2006/relationships/worksheet" Target="/xl/worksheets/sheet1.xml" Id="R35e26d9b90e245b5" /><Relationship Type="http://schemas.openxmlformats.org/officeDocument/2006/relationships/worksheet" Target="/xl/worksheets/sheet2.xml" Id="R5d88fc4af0894463" /><Relationship Type="http://schemas.openxmlformats.org/officeDocument/2006/relationships/worksheet" Target="/xl/worksheets/sheet3.xml" Id="R79c8621af2b14dc3" /><Relationship Type="http://schemas.openxmlformats.org/officeDocument/2006/relationships/worksheet" Target="/xl/worksheets/sheet4.xml" Id="R64c82028d1db4ff8" /><Relationship Type="http://schemas.openxmlformats.org/officeDocument/2006/relationships/worksheet" Target="/xl/worksheets/sheet5.xml" Id="Rd58c1bc0edcf49d0" /><Relationship Type="http://schemas.openxmlformats.org/officeDocument/2006/relationships/worksheet" Target="/xl/worksheets/sheet6.xml" Id="Ra61802da2aae4a5d" /></Relationships>
</file>

<file path=xl/tables/table1.xml><?xml version="1.0" encoding="utf-8"?>
<x:table xmlns:x="http://schemas.openxmlformats.org/spreadsheetml/2006/main" id="1" name="LME024SpeciesTable" displayName="LME024SpeciesTable" ref="A1:U384" headerRowCount="1" totalsRowCount="0" totalsRowShown="0">
  <x:autoFilter ref="A1:U38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4CommercialTable" displayName="LME024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4FunctionalTable" displayName="LME024FunctionalTable" ref="A1:O28" headerRowCount="1" totalsRowCount="0" totalsRowShown="0">
  <x:autoFilter ref="A1:O2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4ValidationTable" displayName="LME02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fd77ad9a9943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bb54c3f7cc45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439461977f4e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af37d248ad40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LME_024</x:v>
      </x:c>
      <x:c r="B2" s="46" t="str">
        <x:v>Celtic-Biscay Shelf</x:v>
      </x:c>
      <x:c r="C2" s="46" t="str">
        <x:v>LME</x:v>
      </x:c>
      <x:c r="D2" s="58" t="n">
        <x:v>2019</x:v>
      </x:c>
      <x:c r="E2" s="46" t="str">
        <x:v>Micromesistius poutassou</x:v>
      </x:c>
      <x:c r="F2" s="46" t="str">
        <x:v>Blue whiting</x:v>
      </x:c>
      <x:c r="G2" s="46" t="str">
        <x:v>Medium benthopelagics (30 - 89 cm)</x:v>
      </x:c>
      <x:c r="H2" s="46" t="str">
        <x:v>Cod-likes</x:v>
      </x:c>
      <x:c r="I2" s="60" t="n">
        <x:v>301257.5162120722</x:v>
      </x:c>
      <x:c r="J2" s="60" t="n">
        <x:v>300791.1347928158</x:v>
      </x:c>
      <x:c r="K2" s="60" t="n">
        <x:v>466.3814192564</x:v>
      </x:c>
      <x:c r="L2" s="60" t="n">
        <x:v>300756.2474911906</x:v>
      </x:c>
      <x:c r="M2" s="60" t="n">
        <x:v>501.2687208816</x:v>
      </x:c>
      <x:c r="N2" s="46" t="str">
        <x:v>micromesistius poutassou</x:v>
      </x:c>
      <x:c r="O2" s="62" t="n">
        <x:v>4.13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Micromesistius poutassou</x:v>
      </x:c>
      <x:c r="T2" s="62" t="n">
        <x:f>IF(O2="","",(1/'Metadata'!$B$5)^(O2-1))</x:f>
        <x:v>11809.292685236613</x:v>
      </x:c>
      <x:c r="U2" s="60" t="n">
        <x:f>IF(T2="","",I2*T2)</x:f>
        <x:v>3557638182.5757747</x:v>
      </x:c>
    </x:row>
    <x:row r="3" ht="18" customHeight="1">
      <x:c r="A3" s="46" t="str">
        <x:v>LME_024</x:v>
      </x:c>
      <x:c r="B3" s="46" t="str">
        <x:v>Celtic-Biscay Shelf</x:v>
      </x:c>
      <x:c r="C3" s="46" t="str">
        <x:v>LME</x:v>
      </x:c>
      <x:c r="D3" s="58" t="n">
        <x:v>2019</x:v>
      </x:c>
      <x:c r="E3" s="46" t="str">
        <x:v>Scomber scombrus</x:v>
      </x:c>
      <x:c r="F3" s="46" t="str">
        <x:v>Atlantic mackerel</x:v>
      </x:c>
      <x:c r="G3" s="46" t="str">
        <x:v>Medium pelagics (30 - 89 cm)</x:v>
      </x:c>
      <x:c r="H3" s="46" t="str">
        <x:v>Perch-likes</x:v>
      </x:c>
      <x:c r="I3" s="60" t="n">
        <x:v>142125.2620699105</x:v>
      </x:c>
      <x:c r="J3" s="60" t="n">
        <x:v>142010.5789333515</x:v>
      </x:c>
      <x:c r="K3" s="60" t="n">
        <x:v>114.683136559</x:v>
      </x:c>
      <x:c r="L3" s="60" t="n">
        <x:v>139809.9011143631</x:v>
      </x:c>
      <x:c r="M3" s="60" t="n">
        <x:v>2315.3609555474</x:v>
      </x:c>
      <x:c r="N3" s="46" t="str">
        <x:v>scomber scombrus</x:v>
      </x:c>
      <x:c r="O3" s="62" t="n">
        <x:v>3.63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Scomber scombrus</x:v>
      </x:c>
      <x:c r="T3" s="62" t="n">
        <x:f>IF(O3="","",(1/'Metadata'!$B$5)^(O3-1))</x:f>
        <x:v>2640.638121038009</x:v>
      </x:c>
      <x:c r="U3" s="60" t="n">
        <x:f>IF(T3="","",I3*T3)</x:f>
        <x:v>375301384.9843231</x:v>
      </x:c>
    </x:row>
    <x:row r="4" ht="18" customHeight="1">
      <x:c r="A4" s="46" t="str">
        <x:v>LME_024</x:v>
      </x:c>
      <x:c r="B4" s="46" t="str">
        <x:v>Celtic-Biscay Shelf</x:v>
      </x:c>
      <x:c r="C4" s="46" t="str">
        <x:v>LME</x:v>
      </x:c>
      <x:c r="D4" s="58" t="n">
        <x:v>2019</x:v>
      </x:c>
      <x:c r="E4" s="46" t="str">
        <x:v>Clupea harengus</x:v>
      </x:c>
      <x:c r="F4" s="46" t="str">
        <x:v>Atlantic herring</x:v>
      </x:c>
      <x:c r="G4" s="46" t="str">
        <x:v>Medium pelagics (30 - 89 cm)</x:v>
      </x:c>
      <x:c r="H4" s="46" t="str">
        <x:v>Herring-likes</x:v>
      </x:c>
      <x:c r="I4" s="60" t="n">
        <x:v>60339.3086601824</x:v>
      </x:c>
      <x:c r="J4" s="60" t="n">
        <x:v>60267.2316688617</x:v>
      </x:c>
      <x:c r="K4" s="60" t="n">
        <x:v>72.0769913207</x:v>
      </x:c>
      <x:c r="L4" s="60" t="n">
        <x:v>59846.4821073673</x:v>
      </x:c>
      <x:c r="M4" s="60" t="n">
        <x:v>492.8265528151</x:v>
      </x:c>
      <x:c r="N4" s="46" t="str">
        <x:v>clupea harengus</x:v>
      </x:c>
      <x:c r="O4" s="62" t="n">
        <x:v>3.38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Clupea harengus</x:v>
      </x:c>
      <x:c r="T4" s="62" t="n">
        <x:f>IF(O4="","",(1/'Metadata'!$B$5)^(O4-1))</x:f>
        <x:v>1248.6806726928048</x:v>
      </x:c>
      <x:c r="U4" s="60" t="n">
        <x:f>IF(T4="","",I4*T4)</x:f>
        <x:v>75344528.52761535</x:v>
      </x:c>
    </x:row>
    <x:row r="5" ht="18" customHeight="1">
      <x:c r="A5" s="46" t="str">
        <x:v>LME_024</x:v>
      </x:c>
      <x:c r="B5" s="46" t="str">
        <x:v>Celtic-Biscay Shelf</x:v>
      </x:c>
      <x:c r="C5" s="46" t="str">
        <x:v>LME</x:v>
      </x:c>
      <x:c r="D5" s="58" t="n">
        <x:v>2019</x:v>
      </x:c>
      <x:c r="E5" s="46" t="str">
        <x:v>Pecten maximus</x:v>
      </x:c>
      <x:c r="F5" s="46" t="str">
        <x:v>Great Atlantic scallop</x:v>
      </x:c>
      <x:c r="G5" s="46" t="str">
        <x:v>Other demersal invertebrates</x:v>
      </x:c>
      <x:c r="H5" s="46" t="str">
        <x:v>Molluscs</x:v>
      </x:c>
      <x:c r="I5" s="60" t="n">
        <x:v>52110.9141365407</x:v>
      </x:c>
      <x:c r="J5" s="60" t="n">
        <x:v>51671.183984885</x:v>
      </x:c>
      <x:c r="K5" s="60" t="n">
        <x:v>439.7301516557</x:v>
      </x:c>
      <x:c r="L5" s="60" t="n">
        <x:v>51477.606461437696</x:v>
      </x:c>
      <x:c r="M5" s="60" t="n">
        <x:v>633.3076751030001</x:v>
      </x:c>
      <x:c r="N5" s="46" t="str">
        <x:v>pecten maximus</x:v>
      </x:c>
      <x:c r="O5" s="62" t="n">
        <x:v>2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Pecten maximus</x:v>
      </x:c>
      <x:c r="T5" s="62" t="n">
        <x:f>IF(O5="","",(1/'Metadata'!$B$5)^(O5-1))</x:f>
        <x:v>20</x:v>
      </x:c>
      <x:c r="U5" s="60" t="n">
        <x:f>IF(T5="","",I5*T5)</x:f>
        <x:v>1042218.282730814</x:v>
      </x:c>
    </x:row>
    <x:row r="6" ht="18" customHeight="1">
      <x:c r="A6" s="46" t="str">
        <x:v>LME_024</x:v>
      </x:c>
      <x:c r="B6" s="46" t="str">
        <x:v>Celtic-Biscay Shelf</x:v>
      </x:c>
      <x:c r="C6" s="46" t="str">
        <x:v>LME</x:v>
      </x:c>
      <x:c r="D6" s="58" t="n">
        <x:v>2019</x:v>
      </x:c>
      <x:c r="E6" s="46" t="str">
        <x:v>Merluccius merluccius</x:v>
      </x:c>
      <x:c r="F6" s="46" t="str">
        <x:v>European hake</x:v>
      </x:c>
      <x:c r="G6" s="46" t="str">
        <x:v>Large demersals (&gt;=90 cm)</x:v>
      </x:c>
      <x:c r="H6" s="46" t="str">
        <x:v>Cod-likes</x:v>
      </x:c>
      <x:c r="I6" s="60" t="n">
        <x:v>46519.7702784315</x:v>
      </x:c>
      <x:c r="J6" s="60" t="n">
        <x:v>45920.4473396314</x:v>
      </x:c>
      <x:c r="K6" s="60" t="n">
        <x:v>599.3229388000999</x:v>
      </x:c>
      <x:c r="L6" s="60" t="n">
        <x:v>43411.136588275396</x:v>
      </x:c>
      <x:c r="M6" s="60" t="n">
        <x:v>3108.6336901561</x:v>
      </x:c>
      <x:c r="N6" s="46" t="str">
        <x:v>merluccius merluccius</x:v>
      </x:c>
      <x:c r="O6" s="62" t="n">
        <x:v>4.42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Merluccius merluccius</x:v>
      </x:c>
      <x:c r="T6" s="62" t="n">
        <x:f>IF(O6="","",(1/'Metadata'!$B$5)^(O6-1))</x:f>
        <x:v>28152.864182630117</x:v>
      </x:c>
      <x:c r="U6" s="60" t="n">
        <x:f>IF(T6="","",I6*T6)</x:f>
        <x:v>1309664774.455835</x:v>
      </x:c>
    </x:row>
    <x:row r="7" ht="18" customHeight="1">
      <x:c r="A7" s="46" t="str">
        <x:v>LME_024</x:v>
      </x:c>
      <x:c r="B7" s="46" t="str">
        <x:v>Celtic-Biscay Shelf</x:v>
      </x:c>
      <x:c r="C7" s="46" t="str">
        <x:v>LME</x:v>
      </x:c>
      <x:c r="D7" s="58" t="n">
        <x:v>2019</x:v>
      </x:c>
      <x:c r="E7" s="46" t="str">
        <x:v>Trachurus trachurus</x:v>
      </x:c>
      <x:c r="F7" s="46" t="str">
        <x:v>Atlantic horse mackerel</x:v>
      </x:c>
      <x:c r="G7" s="46" t="str">
        <x:v>Medium pelagics (30 - 89 cm)</x:v>
      </x:c>
      <x:c r="H7" s="46" t="str">
        <x:v>Perch-likes</x:v>
      </x:c>
      <x:c r="I7" s="60" t="n">
        <x:v>40318.5456075458</x:v>
      </x:c>
      <x:c r="J7" s="60" t="n">
        <x:v>40293.220358350794</x:v>
      </x:c>
      <x:c r="K7" s="60" t="n">
        <x:v>25.325249194999998</x:v>
      </x:c>
      <x:c r="L7" s="60" t="n">
        <x:v>40293.2014373679</x:v>
      </x:c>
      <x:c r="M7" s="60" t="n">
        <x:v>25.344170177899997</x:v>
      </x:c>
      <x:c r="N7" s="46" t="str">
        <x:v>trachurus trachurus</x:v>
      </x:c>
      <x:c r="O7" s="62" t="n">
        <x:v>3.71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Trachurus trachurus</x:v>
      </x:c>
      <x:c r="T7" s="62" t="n">
        <x:f>IF(O7="","",(1/'Metadata'!$B$5)^(O7-1))</x:f>
        <x:v>3355.7630537706395</x:v>
      </x:c>
      <x:c r="U7" s="60" t="n">
        <x:f>IF(T7="","",I7*T7)</x:f>
        <x:v>135299485.7315687</x:v>
      </x:c>
    </x:row>
    <x:row r="8" ht="18" customHeight="1">
      <x:c r="A8" s="46" t="str">
        <x:v>LME_024</x:v>
      </x:c>
      <x:c r="B8" s="46" t="str">
        <x:v>Celtic-Biscay Shelf</x:v>
      </x:c>
      <x:c r="C8" s="46" t="str">
        <x:v>LME</x:v>
      </x:c>
      <x:c r="D8" s="58" t="n">
        <x:v>2019</x:v>
      </x:c>
      <x:c r="E8" s="46" t="str">
        <x:v>Sardina pilchardus</x:v>
      </x:c>
      <x:c r="F8" s="46" t="str">
        <x:v>European pilchard</x:v>
      </x:c>
      <x:c r="G8" s="46" t="str">
        <x:v>Small pelagics (&lt;30 cm)</x:v>
      </x:c>
      <x:c r="H8" s="46" t="str">
        <x:v>Herring-likes</x:v>
      </x:c>
      <x:c r="I8" s="60" t="n">
        <x:v>36063.2069021263</x:v>
      </x:c>
      <x:c r="J8" s="60" t="n">
        <x:v>36062.311669344</x:v>
      </x:c>
      <x:c r="K8" s="60" t="n">
        <x:v>0.8952327823</x:v>
      </x:c>
      <x:c r="L8" s="60" t="n">
        <x:v>34101.3073448402</x:v>
      </x:c>
      <x:c r="M8" s="60" t="n">
        <x:v>1961.8995572861002</x:v>
      </x:c>
      <x:c r="N8" s="46" t="str">
        <x:v>sardina pilchardus</x:v>
      </x:c>
      <x:c r="O8" s="62" t="n">
        <x:v>3.06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Sardina pilchardus</x:v>
      </x:c>
      <x:c r="T8" s="62" t="n">
        <x:f>IF(O8="","",(1/'Metadata'!$B$5)^(O8-1))</x:f>
        <x:v>478.7643354384948</x:v>
      </x:c>
      <x:c r="U8" s="60" t="n">
        <x:f>IF(T8="","",I8*T8)</x:f>
        <x:v>17265777.28627744</x:v>
      </x:c>
    </x:row>
    <x:row r="9" ht="18" customHeight="1">
      <x:c r="A9" s="46" t="str">
        <x:v>LME_024</x:v>
      </x:c>
      <x:c r="B9" s="46" t="str">
        <x:v>Celtic-Biscay Shelf</x:v>
      </x:c>
      <x:c r="C9" s="46" t="str">
        <x:v>LME</x:v>
      </x:c>
      <x:c r="D9" s="58" t="n">
        <x:v>2019</x:v>
      </x:c>
      <x:c r="E9" s="46" t="str">
        <x:v>Marine fishes not identified</x:v>
      </x:c>
      <x:c r="F9" s="46" t="str">
        <x:v>Marine fishes nei</x:v>
      </x:c>
      <x:c r="G9" s="46" t="str">
        <x:v>Medium demersals (30 - 89 cm)</x:v>
      </x:c>
      <x:c r="H9" s="46" t="str">
        <x:v>Other fishes &amp; inverts</x:v>
      </x:c>
      <x:c r="I9" s="60" t="n">
        <x:v>30501.8012395329</x:v>
      </x:c>
      <x:c r="J9" s="60" t="n">
        <x:v>25469.9967606422</x:v>
      </x:c>
      <x:c r="K9" s="60" t="n">
        <x:v>5031.8044788907</x:v>
      </x:c>
      <x:c r="L9" s="60" t="n">
        <x:v>23601.748609093298</x:v>
      </x:c>
      <x:c r="M9" s="60" t="n">
        <x:v>6900.0526304396</x:v>
      </x:c>
      <x:c r="N9" s="46" t="str">
        <x:v>marine fishes not identified</x:v>
      </x:c>
      <x:c r="O9" s="62" t="n">
        <x:v>3.28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Marine fishes not identified</x:v>
      </x:c>
      <x:c r="T9" s="62" t="n">
        <x:f>IF(O9="","",(1/'Metadata'!$B$5)^(O9-1))</x:f>
        <x:v>925.4402624666747</x:v>
      </x:c>
      <x:c r="U9" s="60" t="n">
        <x:f>IF(T9="","",I9*T9)</x:f>
        <x:v>28227594.944819666</x:v>
      </x:c>
    </x:row>
    <x:row r="10" ht="18" customHeight="1">
      <x:c r="A10" s="46" t="str">
        <x:v>LME_024</x:v>
      </x:c>
      <x:c r="B10" s="46" t="str">
        <x:v>Celtic-Biscay Shelf</x:v>
      </x:c>
      <x:c r="C10" s="46" t="str">
        <x:v>LME</x:v>
      </x:c>
      <x:c r="D10" s="58" t="n">
        <x:v>2019</x:v>
      </x:c>
      <x:c r="E10" s="46" t="str">
        <x:v>Buccinum undatum</x:v>
      </x:c>
      <x:c r="F10" s="46" t="str">
        <x:v>Whelk</x:v>
      </x:c>
      <x:c r="G10" s="46" t="str">
        <x:v>Other demersal invertebrates</x:v>
      </x:c>
      <x:c r="H10" s="46" t="str">
        <x:v>Molluscs</x:v>
      </x:c>
      <x:c r="I10" s="60" t="n">
        <x:v>29687.2264976946</x:v>
      </x:c>
      <x:c r="J10" s="60" t="n">
        <x:v>29687.2264976946</x:v>
      </x:c>
      <x:c r="K10" s="60" t="n">
        <x:v>0</x:v>
      </x:c>
      <x:c r="L10" s="60" t="n">
        <x:v>28420.699003335798</x:v>
      </x:c>
      <x:c r="M10" s="60" t="n">
        <x:v>1266.5274943588</x:v>
      </x:c>
      <x:c r="N10" s="46" t="str">
        <x:v>buccinum undatum</x:v>
      </x:c>
      <x:c r="O10" s="62" t="n">
        <x:v>3.75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Buccinum undatum</x:v>
      </x:c>
      <x:c r="T10" s="62" t="n">
        <x:f>IF(O10="","",(1/'Metadata'!$B$5)^(O10-1))</x:f>
        <x:v>3782.966436012703</x:v>
      </x:c>
      <x:c r="U10" s="60" t="n">
        <x:f>IF(T10="","",I10*T10)</x:f>
        <x:v>112305781.41908562</x:v>
      </x:c>
    </x:row>
    <x:row r="11" ht="18" customHeight="1">
      <x:c r="A11" s="46" t="str">
        <x:v>LME_024</x:v>
      </x:c>
      <x:c r="B11" s="46" t="str">
        <x:v>Celtic-Biscay Shelf</x:v>
      </x:c>
      <x:c r="C11" s="46" t="str">
        <x:v>LME</x:v>
      </x:c>
      <x:c r="D11" s="58" t="n">
        <x:v>2019</x:v>
      </x:c>
      <x:c r="E11" s="46" t="str">
        <x:v>Lophiidae</x:v>
      </x:c>
      <x:c r="F11" s="46" t="str">
        <x:v>Goosefishes</x:v>
      </x:c>
      <x:c r="G11" s="46" t="str">
        <x:v>Medium bathydemersals (30 - 89 cm)</x:v>
      </x:c>
      <x:c r="H11" s="46" t="str">
        <x:v>Other fishes &amp; inverts</x:v>
      </x:c>
      <x:c r="I11" s="60" t="n">
        <x:v>23933.000514964202</x:v>
      </x:c>
      <x:c r="J11" s="60" t="n">
        <x:v>23933.000514964202</x:v>
      </x:c>
      <x:c r="K11" s="60" t="n">
        <x:v>0</x:v>
      </x:c>
      <x:c r="L11" s="60" t="n">
        <x:v>23933.000514964202</x:v>
      </x:c>
      <x:c r="M11" s="60" t="n">
        <x:v>0</x:v>
      </x:c>
      <x:c r="N11" s="46" t="str">
        <x:v>lophiidae</x:v>
      </x:c>
      <x:c r="O11" s="62" t="n">
        <x:v>4.46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Lophiidae</x:v>
      </x:c>
      <x:c r="T11" s="62" t="n">
        <x:f>IF(O11="","",(1/'Metadata'!$B$5)^(O11-1))</x:f>
        <x:v>31736.84749906455</x:v>
      </x:c>
      <x:c r="U11" s="60" t="n">
        <x:f>IF(T11="","",I11*T11)</x:f>
        <x:v>759557987.5384523</x:v>
      </x:c>
    </x:row>
    <x:row r="12" ht="18" customHeight="1">
      <x:c r="A12" s="46" t="str">
        <x:v>LME_024</x:v>
      </x:c>
      <x:c r="B12" s="46" t="str">
        <x:v>Celtic-Biscay Shelf</x:v>
      </x:c>
      <x:c r="C12" s="46" t="str">
        <x:v>LME</x:v>
      </x:c>
      <x:c r="D12" s="58" t="n">
        <x:v>2019</x:v>
      </x:c>
      <x:c r="E12" s="46" t="str">
        <x:v>Cancer pagurus</x:v>
      </x:c>
      <x:c r="F12" s="46" t="str">
        <x:v>Edible crab</x:v>
      </x:c>
      <x:c r="G12" s="46" t="str">
        <x:v>Lobsters, crabs</x:v>
      </x:c>
      <x:c r="H12" s="46" t="str">
        <x:v>Crustaceans</x:v>
      </x:c>
      <x:c r="I12" s="60" t="n">
        <x:v>23516.5392792648</x:v>
      </x:c>
      <x:c r="J12" s="60" t="n">
        <x:v>23516.5374791829</x:v>
      </x:c>
      <x:c r="K12" s="60" t="n">
        <x:v>0.0018000819</x:v>
      </x:c>
      <x:c r="L12" s="60" t="n">
        <x:v>22534.7728366183</x:v>
      </x:c>
      <x:c r="M12" s="60" t="n">
        <x:v>981.7664426465001</x:v>
      </x:c>
      <x:c r="N12" s="46" t="str">
        <x:v>cancer pagurus</x:v>
      </x:c>
      <x:c r="O12" s="62" t="n">
        <x:v>3.1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Cancer pagurus</x:v>
      </x:c>
      <x:c r="T12" s="62" t="n">
        <x:f>IF(O12="","",(1/'Metadata'!$B$5)^(O12-1))</x:f>
        <x:v>539.7131390694254</x:v>
      </x:c>
      <x:c r="U12" s="60" t="n">
        <x:f>IF(T12="","",I12*T12)</x:f>
        <x:v>12692185.23446145</x:v>
      </x:c>
    </x:row>
    <x:row r="13" ht="18" customHeight="1">
      <x:c r="A13" s="46" t="str">
        <x:v>LME_024</x:v>
      </x:c>
      <x:c r="B13" s="46" t="str">
        <x:v>Celtic-Biscay Shelf</x:v>
      </x:c>
      <x:c r="C13" s="46" t="str">
        <x:v>LME</x:v>
      </x:c>
      <x:c r="D13" s="58" t="n">
        <x:v>2019</x:v>
      </x:c>
      <x:c r="E13" s="46" t="str">
        <x:v>Nephrops norvegicus</x:v>
      </x:c>
      <x:c r="F13" s="46" t="str">
        <x:v>Norway lobster</x:v>
      </x:c>
      <x:c r="G13" s="46" t="str">
        <x:v>Lobsters, crabs</x:v>
      </x:c>
      <x:c r="H13" s="46" t="str">
        <x:v>Crustaceans</x:v>
      </x:c>
      <x:c r="I13" s="60" t="n">
        <x:v>21494.924402914698</x:v>
      </x:c>
      <x:c r="J13" s="60" t="n">
        <x:v>19648.0736963986</x:v>
      </x:c>
      <x:c r="K13" s="60" t="n">
        <x:v>1846.8507065161</x:v>
      </x:c>
      <x:c r="L13" s="60" t="n">
        <x:v>18614.9808127542</x:v>
      </x:c>
      <x:c r="M13" s="60" t="n">
        <x:v>2879.9435901605</x:v>
      </x:c>
      <x:c r="N13" s="46" t="str">
        <x:v>nephrops norvegicus</x:v>
      </x:c>
      <x:c r="O13" s="62" t="n">
        <x:v>2.87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Nephrops norvegicus</x:v>
      </x:c>
      <x:c r="T13" s="62" t="n">
        <x:f>IF(O13="","",(1/'Metadata'!$B$5)^(O13-1))</x:f>
        <x:v>270.9730451511698</x:v>
      </x:c>
      <x:c r="U13" s="60" t="n">
        <x:f>IF(T13="","",I13*T13)</x:f>
        <x:v>5824545.120751986</x:v>
      </x:c>
    </x:row>
    <x:row r="14" ht="18" customHeight="1">
      <x:c r="A14" s="46" t="str">
        <x:v>LME_024</x:v>
      </x:c>
      <x:c r="B14" s="46" t="str">
        <x:v>Celtic-Biscay Shelf</x:v>
      </x:c>
      <x:c r="C14" s="46" t="str">
        <x:v>LME</x:v>
      </x:c>
      <x:c r="D14" s="58" t="n">
        <x:v>2019</x:v>
      </x:c>
      <x:c r="E14" s="46" t="str">
        <x:v>Trachurus</x:v>
      </x:c>
      <x:c r="F14" s="46" t="str">
        <x:v>Jacks, horse mackerels</x:v>
      </x:c>
      <x:c r="G14" s="46" t="str">
        <x:v>Medium pelagics (30 - 89 cm)</x:v>
      </x:c>
      <x:c r="H14" s="46" t="str">
        <x:v>Perch-likes</x:v>
      </x:c>
      <x:c r="I14" s="60" t="n">
        <x:v>17969.93113244</x:v>
      </x:c>
      <x:c r="J14" s="60" t="n">
        <x:v>17969.93113244</x:v>
      </x:c>
      <x:c r="K14" s="60" t="n">
        <x:v>0</x:v>
      </x:c>
      <x:c r="L14" s="60" t="n">
        <x:v>17969.9275712963</x:v>
      </x:c>
      <x:c r="M14" s="60" t="n">
        <x:v>0.0035611437</x:v>
      </x:c>
      <x:c r="N14" s="46" t="str">
        <x:v>trachurus</x:v>
      </x:c>
      <x:c r="O14" s="62" t="n">
        <x:v>3.69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Trachurus</x:v>
      </x:c>
      <x:c r="T14" s="62" t="n">
        <x:f>IF(O14="","",(1/'Metadata'!$B$5)^(O14-1))</x:f>
        <x:v>3160.6083878807954</x:v>
      </x:c>
      <x:c r="U14" s="60" t="n">
        <x:f>IF(T14="","",I14*T14)</x:f>
        <x:v>56795915.066830106</x:v>
      </x:c>
    </x:row>
    <x:row r="15" ht="18" customHeight="1">
      <x:c r="A15" s="46" t="str">
        <x:v>LME_024</x:v>
      </x:c>
      <x:c r="B15" s="46" t="str">
        <x:v>Celtic-Biscay Shelf</x:v>
      </x:c>
      <x:c r="C15" s="46" t="str">
        <x:v>LME</x:v>
      </x:c>
      <x:c r="D15" s="58" t="n">
        <x:v>2019</x:v>
      </x:c>
      <x:c r="E15" s="46" t="str">
        <x:v>Sprattus sprattus</x:v>
      </x:c>
      <x:c r="F15" s="46" t="str">
        <x:v>European sprat</x:v>
      </x:c>
      <x:c r="G15" s="46" t="str">
        <x:v>Small pelagics (&lt;30 cm)</x:v>
      </x:c>
      <x:c r="H15" s="46" t="str">
        <x:v>Herring-likes</x:v>
      </x:c>
      <x:c r="I15" s="60" t="n">
        <x:v>17403.3420469832</x:v>
      </x:c>
      <x:c r="J15" s="60" t="n">
        <x:v>17360.2448181236</x:v>
      </x:c>
      <x:c r="K15" s="60" t="n">
        <x:v>43.0972288596</x:v>
      </x:c>
      <x:c r="L15" s="60" t="n">
        <x:v>17360.1936390092</x:v>
      </x:c>
      <x:c r="M15" s="60" t="n">
        <x:v>43.148407974</x:v>
      </x:c>
      <x:c r="N15" s="46" t="str">
        <x:v>sprattus sprattus</x:v>
      </x:c>
      <x:c r="O15" s="62" t="n">
        <x:v>3.01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Sprattus sprattus</x:v>
      </x:c>
      <x:c r="T15" s="62" t="n">
        <x:f>IF(O15="","",(1/'Metadata'!$B$5)^(O15-1))</x:f>
        <x:v>412.16422316450075</x:v>
      </x:c>
      <x:c r="U15" s="60" t="n">
        <x:f>IF(T15="","",I15*T15)</x:f>
        <x:v>7173034.955260924</x:v>
      </x:c>
    </x:row>
    <x:row r="16" ht="18" customHeight="1">
      <x:c r="A16" s="46" t="str">
        <x:v>LME_024</x:v>
      </x:c>
      <x:c r="B16" s="46" t="str">
        <x:v>Celtic-Biscay Shelf</x:v>
      </x:c>
      <x:c r="C16" s="46" t="str">
        <x:v>LME</x:v>
      </x:c>
      <x:c r="D16" s="58" t="n">
        <x:v>2019</x:v>
      </x:c>
      <x:c r="E16" s="46" t="str">
        <x:v>Melanogrammus aeglefinus</x:v>
      </x:c>
      <x:c r="F16" s="46" t="str">
        <x:v>Haddock</x:v>
      </x:c>
      <x:c r="G16" s="46" t="str">
        <x:v>Medium demersals (30 - 89 cm)</x:v>
      </x:c>
      <x:c r="H16" s="46" t="str">
        <x:v>Cod-likes</x:v>
      </x:c>
      <x:c r="I16" s="60" t="n">
        <x:v>15308.281178667099</x:v>
      </x:c>
      <x:c r="J16" s="60" t="n">
        <x:v>12236.6523337419</x:v>
      </x:c>
      <x:c r="K16" s="60" t="n">
        <x:v>3071.6288449252</x:v>
      </x:c>
      <x:c r="L16" s="60" t="n">
        <x:v>11991.0737932726</x:v>
      </x:c>
      <x:c r="M16" s="60" t="n">
        <x:v>3317.2073853945</x:v>
      </x:c>
      <x:c r="N16" s="46" t="str">
        <x:v>melanogrammus aeglefinus</x:v>
      </x:c>
      <x:c r="O16" s="62" t="n">
        <x:v>4.03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Melanogrammus aeglefinus</x:v>
      </x:c>
      <x:c r="T16" s="62" t="n">
        <x:f>IF(O16="","",(1/'Metadata'!$B$5)^(O16-1))</x:f>
        <x:v>8752.273628615554</x:v>
      </x:c>
      <x:c r="U16" s="60" t="n">
        <x:f>IF(T16="","",I16*T16)</x:f>
        <x:v>133982265.65947989</x:v>
      </x:c>
    </x:row>
    <x:row r="17" ht="18" customHeight="1">
      <x:c r="A17" s="46" t="str">
        <x:v>LME_024</x:v>
      </x:c>
      <x:c r="B17" s="46" t="str">
        <x:v>Celtic-Biscay Shelf</x:v>
      </x:c>
      <x:c r="C17" s="46" t="str">
        <x:v>LME</x:v>
      </x:c>
      <x:c r="D17" s="58" t="n">
        <x:v>2019</x:v>
      </x:c>
      <x:c r="E17" s="46" t="str">
        <x:v>Merlangius merlangus</x:v>
      </x:c>
      <x:c r="F17" s="46" t="str">
        <x:v>Whiting</x:v>
      </x:c>
      <x:c r="G17" s="46" t="str">
        <x:v>Medium benthopelagics (30 - 89 cm)</x:v>
      </x:c>
      <x:c r="H17" s="46" t="str">
        <x:v>Cod-likes</x:v>
      </x:c>
      <x:c r="I17" s="60" t="n">
        <x:v>14680.0915705973</x:v>
      </x:c>
      <x:c r="J17" s="60" t="n">
        <x:v>11409.4864138105</x:v>
      </x:c>
      <x:c r="K17" s="60" t="n">
        <x:v>3270.6051567868</x:v>
      </x:c>
      <x:c r="L17" s="60" t="n">
        <x:v>10961.032419167801</x:v>
      </x:c>
      <x:c r="M17" s="60" t="n">
        <x:v>3719.0591514295</x:v>
      </x:c>
      <x:c r="N17" s="46" t="str">
        <x:v>merlangius merlangus</x:v>
      </x:c>
      <x:c r="O17" s="62" t="n">
        <x:v>4.36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Merlangius merlangus</x:v>
      </x:c>
      <x:c r="T17" s="62" t="n">
        <x:f>IF(O17="","",(1/'Metadata'!$B$5)^(O17-1))</x:f>
        <x:v>23521.270987610445</x:v>
      </x:c>
      <x:c r="U17" s="60" t="n">
        <x:f>IF(T17="","",I17*T17)</x:f>
        <x:v>345294411.9549549</x:v>
      </x:c>
    </x:row>
    <x:row r="18" ht="18" customHeight="1">
      <x:c r="A18" s="46" t="str">
        <x:v>LME_024</x:v>
      </x:c>
      <x:c r="B18" s="46" t="str">
        <x:v>Celtic-Biscay Shelf</x:v>
      </x:c>
      <x:c r="C18" s="46" t="str">
        <x:v>LME</x:v>
      </x:c>
      <x:c r="D18" s="58" t="n">
        <x:v>2019</x:v>
      </x:c>
      <x:c r="E18" s="46" t="str">
        <x:v>Lepidorhombus</x:v>
      </x:c>
      <x:c r="F18" s="46" t="str">
        <x:v>Megrims</x:v>
      </x:c>
      <x:c r="G18" s="46" t="str">
        <x:v>Small to medium flatfishes (&lt;90 cm)</x:v>
      </x:c>
      <x:c r="H18" s="46" t="str">
        <x:v>Flatfishes</x:v>
      </x:c>
      <x:c r="I18" s="60" t="n">
        <x:v>10899.4021729795</x:v>
      </x:c>
      <x:c r="J18" s="60" t="n">
        <x:v>10666.260543651799</x:v>
      </x:c>
      <x:c r="K18" s="60" t="n">
        <x:v>233.1416293277</x:v>
      </x:c>
      <x:c r="L18" s="60" t="n">
        <x:v>10663.9128288548</x:v>
      </x:c>
      <x:c r="M18" s="60" t="n">
        <x:v>235.4893441247</x:v>
      </x:c>
      <x:c r="N18" s="46" t="str">
        <x:v>lepidorhombus</x:v>
      </x:c>
      <x:c r="O18" s="62" t="n">
        <x:v>3.96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Lepidorhombus</x:v>
      </x:c>
      <x:c r="T18" s="62" t="n">
        <x:f>IF(O18="","",(1/'Metadata'!$B$5)^(O18-1))</x:f>
        <x:v>7096.574839945253</x:v>
      </x:c>
      <x:c r="U18" s="60" t="n">
        <x:f>IF(T18="","",I18*T18)</x:f>
        <x:v>77348423.23121095</x:v>
      </x:c>
    </x:row>
    <x:row r="19" ht="18" customHeight="1">
      <x:c r="A19" s="46" t="str">
        <x:v>LME_024</x:v>
      </x:c>
      <x:c r="B19" s="46" t="str">
        <x:v>Celtic-Biscay Shelf</x:v>
      </x:c>
      <x:c r="C19" s="46" t="str">
        <x:v>LME</x:v>
      </x:c>
      <x:c r="D19" s="58" t="n">
        <x:v>2019</x:v>
      </x:c>
      <x:c r="E19" s="46" t="str">
        <x:v>Pleuronectes platessa</x:v>
      </x:c>
      <x:c r="F19" s="46" t="str">
        <x:v>European plaice</x:v>
      </x:c>
      <x:c r="G19" s="46" t="str">
        <x:v>Large flatfishes (&gt;=90 cm)</x:v>
      </x:c>
      <x:c r="H19" s="46" t="str">
        <x:v>Flatfishes</x:v>
      </x:c>
      <x:c r="I19" s="60" t="n">
        <x:v>10293.2663953274</x:v>
      </x:c>
      <x:c r="J19" s="60" t="n">
        <x:v>8790.5978548217</x:v>
      </x:c>
      <x:c r="K19" s="60" t="n">
        <x:v>1502.6685405057</x:v>
      </x:c>
      <x:c r="L19" s="60" t="n">
        <x:v>8352.7585057966</x:v>
      </x:c>
      <x:c r="M19" s="60" t="n">
        <x:v>1940.5078895308002</x:v>
      </x:c>
      <x:c r="N19" s="46" t="str">
        <x:v>pleuronectes platessa</x:v>
      </x:c>
      <x:c r="O19" s="62" t="n">
        <x:v>3.26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Pleuronectes platessa</x:v>
      </x:c>
      <x:c r="T19" s="62" t="n">
        <x:f>IF(O19="","",(1/'Metadata'!$B$5)^(O19-1))</x:f>
        <x:v>871.6212107848935</x:v>
      </x:c>
      <x:c r="U19" s="60" t="n">
        <x:f>IF(T19="","",I19*T19)</x:f>
        <x:v>8971829.318426725</x:v>
      </x:c>
    </x:row>
    <x:row r="20" ht="18" customHeight="1">
      <x:c r="A20" s="46" t="str">
        <x:v>LME_024</x:v>
      </x:c>
      <x:c r="B20" s="46" t="str">
        <x:v>Celtic-Biscay Shelf</x:v>
      </x:c>
      <x:c r="C20" s="46" t="str">
        <x:v>LME</x:v>
      </x:c>
      <x:c r="D20" s="58" t="n">
        <x:v>2019</x:v>
      </x:c>
      <x:c r="E20" s="46" t="str">
        <x:v>Sepia officinalis</x:v>
      </x:c>
      <x:c r="F20" s="46" t="str">
        <x:v>Common cuttlefish</x:v>
      </x:c>
      <x:c r="G20" s="46" t="str">
        <x:v>Cephalopods</x:v>
      </x:c>
      <x:c r="H20" s="46" t="str">
        <x:v>Other fishes &amp; inverts</x:v>
      </x:c>
      <x:c r="I20" s="60" t="n">
        <x:v>8050.3939877224</x:v>
      </x:c>
      <x:c r="J20" s="60" t="n">
        <x:v>8050.3939877224</x:v>
      </x:c>
      <x:c r="K20" s="60" t="n">
        <x:v>0</x:v>
      </x:c>
      <x:c r="L20" s="60" t="n">
        <x:v>7966.8418496316</x:v>
      </x:c>
      <x:c r="M20" s="60" t="n">
        <x:v>83.5521380908</x:v>
      </x:c>
      <x:c r="N20" s="46" t="str">
        <x:v>sepia officinalis</x:v>
      </x:c>
      <x:c r="O20" s="62" t="n">
        <x:v>4.27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Sepia officinalis</x:v>
      </x:c>
      <x:c r="T20" s="62" t="n">
        <x:f>IF(O20="","",(1/'Metadata'!$B$5)^(O20-1))</x:f>
        <x:v>17962.55396184286</x:v>
      </x:c>
      <x:c r="U20" s="60" t="n">
        <x:f>IF(T20="","",I20*T20)</x:f>
        <x:v>144605636.41855893</x:v>
      </x:c>
    </x:row>
    <x:row r="21" ht="18" customHeight="1">
      <x:c r="A21" s="46" t="str">
        <x:v>LME_024</x:v>
      </x:c>
      <x:c r="B21" s="46" t="str">
        <x:v>Celtic-Biscay Shelf</x:v>
      </x:c>
      <x:c r="C21" s="46" t="str">
        <x:v>LME</x:v>
      </x:c>
      <x:c r="D21" s="58" t="n">
        <x:v>2019</x:v>
      </x:c>
      <x:c r="E21" s="46" t="str">
        <x:v>Solea solea</x:v>
      </x:c>
      <x:c r="F21" s="46" t="str">
        <x:v>Common sole</x:v>
      </x:c>
      <x:c r="G21" s="46" t="str">
        <x:v>Small to medium flatfishes (&lt;90 cm)</x:v>
      </x:c>
      <x:c r="H21" s="46" t="str">
        <x:v>Flatfishes</x:v>
      </x:c>
      <x:c r="I21" s="60" t="n">
        <x:v>7810.6099083396</x:v>
      </x:c>
      <x:c r="J21" s="60" t="n">
        <x:v>7707.2460068524</x:v>
      </x:c>
      <x:c r="K21" s="60" t="n">
        <x:v>103.3639014872</x:v>
      </x:c>
      <x:c r="L21" s="60" t="n">
        <x:v>7255.2306409421</x:v>
      </x:c>
      <x:c r="M21" s="60" t="n">
        <x:v>555.3792673975</x:v>
      </x:c>
      <x:c r="N21" s="46" t="str">
        <x:v>solea solea</x:v>
      </x:c>
      <x:c r="O21" s="62" t="n">
        <x:v>3.21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Solea solea</x:v>
      </x:c>
      <x:c r="T21" s="62" t="n">
        <x:f>IF(O21="","",(1/'Metadata'!$B$5)^(O21-1))</x:f>
        <x:v>750.3714304613432</x:v>
      </x:c>
      <x:c r="U21" s="60" t="n">
        <x:f>IF(T21="","",I21*T21)</x:f>
        <x:v>5860858.529696326</x:v>
      </x:c>
    </x:row>
    <x:row r="22" ht="18" customHeight="1">
      <x:c r="A22" s="46" t="str">
        <x:v>LME_024</x:v>
      </x:c>
      <x:c r="B22" s="46" t="str">
        <x:v>Celtic-Biscay Shelf</x:v>
      </x:c>
      <x:c r="C22" s="46" t="str">
        <x:v>LME</x:v>
      </x:c>
      <x:c r="D22" s="58" t="n">
        <x:v>2019</x:v>
      </x:c>
      <x:c r="E22" s="46" t="str">
        <x:v>Lophius</x:v>
      </x:c>
      <x:c r="F22" s="46" t="str">
        <x:v>Frogfishes</x:v>
      </x:c>
      <x:c r="G22" s="46" t="str">
        <x:v>Medium bathydemersals (30 - 89 cm)</x:v>
      </x:c>
      <x:c r="H22" s="46" t="str">
        <x:v>Other fishes &amp; inverts</x:v>
      </x:c>
      <x:c r="I22" s="60" t="n">
        <x:v>7583.2350858536</x:v>
      </x:c>
      <x:c r="J22" s="60" t="n">
        <x:v>5846.2142684979</x:v>
      </x:c>
      <x:c r="K22" s="60" t="n">
        <x:v>1737.0208173557</x:v>
      </x:c>
      <x:c r="L22" s="60" t="n">
        <x:v>4421.8414668966</x:v>
      </x:c>
      <x:c r="M22" s="60" t="n">
        <x:v>3161.3936189570004</x:v>
      </x:c>
      <x:c r="N22" s="46" t="str">
        <x:v>lophius</x:v>
      </x:c>
      <x:c r="O22" s="62" t="n">
        <x:v>4.46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Lophius</x:v>
      </x:c>
      <x:c r="T22" s="62" t="n">
        <x:f>IF(O22="","",(1/'Metadata'!$B$5)^(O22-1))</x:f>
        <x:v>31736.84749906455</x:v>
      </x:c>
      <x:c r="U22" s="60" t="n">
        <x:f>IF(T22="","",I22*T22)</x:f>
        <x:v>240667975.4692914</x:v>
      </x:c>
    </x:row>
    <x:row r="23" ht="18" customHeight="1">
      <x:c r="A23" s="46" t="str">
        <x:v>LME_024</x:v>
      </x:c>
      <x:c r="B23" s="46" t="str">
        <x:v>Celtic-Biscay Shelf</x:v>
      </x:c>
      <x:c r="C23" s="46" t="str">
        <x:v>LME</x:v>
      </x:c>
      <x:c r="D23" s="58" t="n">
        <x:v>2019</x:v>
      </x:c>
      <x:c r="E23" s="46" t="str">
        <x:v>Gadidae</x:v>
      </x:c>
      <x:c r="F23" s="46" t="str">
        <x:v>Cods, haddocks</x:v>
      </x:c>
      <x:c r="G23" s="46" t="str">
        <x:v>Medium demersals (30 - 89 cm)</x:v>
      </x:c>
      <x:c r="H23" s="46" t="str">
        <x:v>Cod-likes</x:v>
      </x:c>
      <x:c r="I23" s="60" t="n">
        <x:v>6751.816312797499</x:v>
      </x:c>
      <x:c r="J23" s="60" t="n">
        <x:v>1690.5306886568</x:v>
      </x:c>
      <x:c r="K23" s="60" t="n">
        <x:v>5061.2856241407</x:v>
      </x:c>
      <x:c r="L23" s="60" t="n">
        <x:v>0</x:v>
      </x:c>
      <x:c r="M23" s="60" t="n">
        <x:v>6751.816312797499</x:v>
      </x:c>
      <x:c r="N23" s="46" t="str">
        <x:v>gadidae</x:v>
      </x:c>
      <x:c r="O23" s="62" t="n">
        <x:v>3.84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Gadidae</x:v>
      </x:c>
      <x:c r="T23" s="62" t="n">
        <x:f>IF(O23="","",(1/'Metadata'!$B$5)^(O23-1))</x:f>
        <x:v>4953.648510535111</x:v>
      </x:c>
      <x:c r="U23" s="60" t="n">
        <x:f>IF(T23="","",I23*T23)</x:f>
        <x:v>33446124.821296</x:v>
      </x:c>
    </x:row>
    <x:row r="24" ht="18" customHeight="1">
      <x:c r="A24" s="46" t="str">
        <x:v>LME_024</x:v>
      </x:c>
      <x:c r="B24" s="46" t="str">
        <x:v>Celtic-Biscay Shelf</x:v>
      </x:c>
      <x:c r="C24" s="46" t="str">
        <x:v>LME</x:v>
      </x:c>
      <x:c r="D24" s="58" t="n">
        <x:v>2019</x:v>
      </x:c>
      <x:c r="E24" s="46" t="str">
        <x:v>Engraulis encrasicolus</x:v>
      </x:c>
      <x:c r="F24" s="46" t="str">
        <x:v>European anchovy</x:v>
      </x:c>
      <x:c r="G24" s="46" t="str">
        <x:v>Small pelagics (&lt;30 cm)</x:v>
      </x:c>
      <x:c r="H24" s="46" t="str">
        <x:v>Anchovies</x:v>
      </x:c>
      <x:c r="I24" s="60" t="n">
        <x:v>6447.5123056993</x:v>
      </x:c>
      <x:c r="J24" s="60" t="n">
        <x:v>6447.5123056993</x:v>
      </x:c>
      <x:c r="K24" s="60" t="n">
        <x:v>0</x:v>
      </x:c>
      <x:c r="L24" s="60" t="n">
        <x:v>6433.953161747099</x:v>
      </x:c>
      <x:c r="M24" s="60" t="n">
        <x:v>13.5591439522</x:v>
      </x:c>
      <x:c r="N24" s="46" t="str">
        <x:v>engraulis encrasicolus</x:v>
      </x:c>
      <x:c r="O24" s="62" t="n">
        <x:v>3.11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Engraulis encrasicolus</x:v>
      </x:c>
      <x:c r="T24" s="62" t="n">
        <x:f>IF(O24="","",(1/'Metadata'!$B$5)^(O24-1))</x:f>
        <x:v>556.1261167405597</x:v>
      </x:c>
      <x:c r="U24" s="60" t="n">
        <x:f>IF(T24="","",I24*T24)</x:f>
        <x:v>3585629.981205524</x:v>
      </x:c>
    </x:row>
    <x:row r="25" ht="18" customHeight="1">
      <x:c r="A25" s="46" t="str">
        <x:v>LME_024</x:v>
      </x:c>
      <x:c r="B25" s="46" t="str">
        <x:v>Celtic-Biscay Shelf</x:v>
      </x:c>
      <x:c r="C25" s="46" t="str">
        <x:v>LME</x:v>
      </x:c>
      <x:c r="D25" s="58" t="n">
        <x:v>2019</x:v>
      </x:c>
      <x:c r="E25" s="46" t="str">
        <x:v>Scyliorhinus canicula</x:v>
      </x:c>
      <x:c r="F25" s="46" t="str">
        <x:v>Small-spotted catshark</x:v>
      </x:c>
      <x:c r="G25" s="46" t="str">
        <x:v>Small to medium sharks (&lt;90 cm)</x:v>
      </x:c>
      <x:c r="H25" s="46" t="str">
        <x:v>Sharks &amp; rays</x:v>
      </x:c>
      <x:c r="I25" s="60" t="n">
        <x:v>6395.4024577605</x:v>
      </x:c>
      <x:c r="J25" s="60" t="n">
        <x:v>5598.2576772979</x:v>
      </x:c>
      <x:c r="K25" s="60" t="n">
        <x:v>797.1447804626</x:v>
      </x:c>
      <x:c r="L25" s="60" t="n">
        <x:v>5334.9106864017995</x:v>
      </x:c>
      <x:c r="M25" s="60" t="n">
        <x:v>1060.4917713587</x:v>
      </x:c>
      <x:c r="N25" s="46" t="str">
        <x:v>scyliorhinus canicula</x:v>
      </x:c>
      <x:c r="O25" s="62" t="n">
        <x:v>3.82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Scyliorhinus canicula</x:v>
      </x:c>
      <x:c r="T25" s="62" t="n">
        <x:f>IF(O25="","",(1/'Metadata'!$B$5)^(O25-1))</x:f>
        <x:v>4665.56868948727</x:v>
      </x:c>
      <x:c r="U25" s="60" t="n">
        <x:f>IF(T25="","",I25*T25)</x:f>
        <x:v>29838189.463597316</x:v>
      </x:c>
    </x:row>
    <x:row r="26" ht="18" customHeight="1">
      <x:c r="A26" s="46" t="str">
        <x:v>LME_024</x:v>
      </x:c>
      <x:c r="B26" s="46" t="str">
        <x:v>Celtic-Biscay Shelf</x:v>
      </x:c>
      <x:c r="C26" s="46" t="str">
        <x:v>LME</x:v>
      </x:c>
      <x:c r="D26" s="58" t="n">
        <x:v>2019</x:v>
      </x:c>
      <x:c r="E26" s="46" t="str">
        <x:v>Aequipecten opercularis</x:v>
      </x:c>
      <x:c r="F26" s="46" t="str">
        <x:v>Queen scallop</x:v>
      </x:c>
      <x:c r="G26" s="46" t="str">
        <x:v>Other demersal invertebrates</x:v>
      </x:c>
      <x:c r="H26" s="46" t="str">
        <x:v>Molluscs</x:v>
      </x:c>
      <x:c r="I26" s="60" t="n">
        <x:v>6109.1884808801</x:v>
      </x:c>
      <x:c r="J26" s="60" t="n">
        <x:v>6109.1884808801</x:v>
      </x:c>
      <x:c r="K26" s="60" t="n">
        <x:v>0</x:v>
      </x:c>
      <x:c r="L26" s="60" t="n">
        <x:v>6063.6530515039</x:v>
      </x:c>
      <x:c r="M26" s="60" t="n">
        <x:v>45.5354293762</x:v>
      </x:c>
      <x:c r="N26" s="46" t="str">
        <x:v>aequipecten opercularis</x:v>
      </x:c>
      <x:c r="O26" s="62" t="n">
        <x:v>2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Aequipecten opercularis</x:v>
      </x:c>
      <x:c r="T26" s="62" t="n">
        <x:f>IF(O26="","",(1/'Metadata'!$B$5)^(O26-1))</x:f>
        <x:v>20</x:v>
      </x:c>
      <x:c r="U26" s="60" t="n">
        <x:f>IF(T26="","",I26*T26)</x:f>
        <x:v>122183.769617602</x:v>
      </x:c>
    </x:row>
    <x:row r="27" ht="18" customHeight="1">
      <x:c r="A27" s="46" t="str">
        <x:v>LME_024</x:v>
      </x:c>
      <x:c r="B27" s="46" t="str">
        <x:v>Celtic-Biscay Shelf</x:v>
      </x:c>
      <x:c r="C27" s="46" t="str">
        <x:v>LME</x:v>
      </x:c>
      <x:c r="D27" s="58" t="n">
        <x:v>2019</x:v>
      </x:c>
      <x:c r="E27" s="46" t="str">
        <x:v>Sepiidae</x:v>
      </x:c>
      <x:c r="F27" s="46" t="str">
        <x:v>Cuttlefishes</x:v>
      </x:c>
      <x:c r="G27" s="46" t="str">
        <x:v>Cephalopods</x:v>
      </x:c>
      <x:c r="H27" s="46" t="str">
        <x:v>Other fishes &amp; inverts</x:v>
      </x:c>
      <x:c r="I27" s="60" t="n">
        <x:v>5870.3048133001</x:v>
      </x:c>
      <x:c r="J27" s="60" t="n">
        <x:v>5870.3048133001</x:v>
      </x:c>
      <x:c r="K27" s="60" t="n">
        <x:v>0</x:v>
      </x:c>
      <x:c r="L27" s="60" t="n">
        <x:v>5059.6922828896</x:v>
      </x:c>
      <x:c r="M27" s="60" t="n">
        <x:v>810.6125304105001</x:v>
      </x:c>
      <x:c r="N27" s="46" t="str">
        <x:v>sepiidae</x:v>
      </x:c>
      <x:c r="O27" s="62" t="n">
        <x:v>3.6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Sepiidae</x:v>
      </x:c>
      <x:c r="T27" s="62" t="n">
        <x:f>IF(O27="","",(1/'Metadata'!$B$5)^(O27-1))</x:f>
        <x:v>2413.670534618066</x:v>
      </x:c>
      <x:c r="U27" s="60" t="n">
        <x:f>IF(T27="","",I27*T27)</x:f>
        <x:v>14168981.75708906</x:v>
      </x:c>
    </x:row>
    <x:row r="28" ht="18" customHeight="1">
      <x:c r="A28" s="46" t="str">
        <x:v>LME_024</x:v>
      </x:c>
      <x:c r="B28" s="46" t="str">
        <x:v>Celtic-Biscay Shelf</x:v>
      </x:c>
      <x:c r="C28" s="46" t="str">
        <x:v>LME</x:v>
      </x:c>
      <x:c r="D28" s="58" t="n">
        <x:v>2019</x:v>
      </x:c>
      <x:c r="E28" s="46" t="str">
        <x:v>Conger conger</x:v>
      </x:c>
      <x:c r="F28" s="46" t="str">
        <x:v>European conger</x:v>
      </x:c>
      <x:c r="G28" s="46" t="str">
        <x:v>Large demersals (&gt;=90 cm)</x:v>
      </x:c>
      <x:c r="H28" s="46" t="str">
        <x:v>Other fishes &amp; inverts</x:v>
      </x:c>
      <x:c r="I28" s="60" t="n">
        <x:v>5812.4711958278</x:v>
      </x:c>
      <x:c r="J28" s="60" t="n">
        <x:v>5812.4711958278</x:v>
      </x:c>
      <x:c r="K28" s="60" t="n">
        <x:v>0</x:v>
      </x:c>
      <x:c r="L28" s="60" t="n">
        <x:v>5490.9634225578</x:v>
      </x:c>
      <x:c r="M28" s="60" t="n">
        <x:v>321.50777327000003</x:v>
      </x:c>
      <x:c r="N28" s="46" t="str">
        <x:v>conger conger</x:v>
      </x:c>
      <x:c r="O28" s="62" t="n">
        <x:v>4.31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Conger conger</x:v>
      </x:c>
      <x:c r="T28" s="62" t="n">
        <x:f>IF(O28="","",(1/'Metadata'!$B$5)^(O28-1))</x:f>
        <x:v>20249.266010115305</x:v>
      </x:c>
      <x:c r="U28" s="60" t="n">
        <x:f>IF(T28="","",I28*T28)</x:f>
        <x:v>117698275.42045014</x:v>
      </x:c>
    </x:row>
    <x:row r="29" ht="18" customHeight="1">
      <x:c r="A29" s="46" t="str">
        <x:v>LME_024</x:v>
      </x:c>
      <x:c r="B29" s="46" t="str">
        <x:v>Celtic-Biscay Shelf</x:v>
      </x:c>
      <x:c r="C29" s="46" t="str">
        <x:v>LME</x:v>
      </x:c>
      <x:c r="D29" s="58" t="n">
        <x:v>2019</x:v>
      </x:c>
      <x:c r="E29" s="46" t="str">
        <x:v>Argentina</x:v>
      </x:c>
      <x:c r="F29" s="46" t="str">
        <x:v>Argentines</x:v>
      </x:c>
      <x:c r="G29" s="46" t="str">
        <x:v>Medium bathydemersals (30 - 89 cm)</x:v>
      </x:c>
      <x:c r="H29" s="46" t="str">
        <x:v>Salmon, smelts, etc</x:v>
      </x:c>
      <x:c r="I29" s="60" t="n">
        <x:v>5800.1629062042</x:v>
      </x:c>
      <x:c r="J29" s="60" t="n">
        <x:v>5791.6023352419</x:v>
      </x:c>
      <x:c r="K29" s="60" t="n">
        <x:v>8.5605709623</x:v>
      </x:c>
      <x:c r="L29" s="60" t="n">
        <x:v>5791.6023352419</x:v>
      </x:c>
      <x:c r="M29" s="60" t="n">
        <x:v>8.5605709623</x:v>
      </x:c>
      <x:c r="N29" s="46" t="str">
        <x:v>argentina</x:v>
      </x:c>
      <x:c r="O29" s="62" t="n">
        <x:v>3.35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Argentina</x:v>
      </x:c>
      <x:c r="T29" s="62" t="n">
        <x:f>IF(O29="","",(1/'Metadata'!$B$5)^(O29-1))</x:f>
        <x:v>1141.3543275066227</x:v>
      </x:c>
      <x:c r="U29" s="60" t="n">
        <x:f>IF(T29="","",I29*T29)</x:f>
        <x:v>6620041.033239553</x:v>
      </x:c>
    </x:row>
    <x:row r="30" ht="18" customHeight="1">
      <x:c r="A30" s="46" t="str">
        <x:v>LME_024</x:v>
      </x:c>
      <x:c r="B30" s="46" t="str">
        <x:v>Celtic-Biscay Shelf</x:v>
      </x:c>
      <x:c r="C30" s="46" t="str">
        <x:v>LME</x:v>
      </x:c>
      <x:c r="D30" s="58" t="n">
        <x:v>2019</x:v>
      </x:c>
      <x:c r="E30" s="46" t="str">
        <x:v>Gadus morhua</x:v>
      </x:c>
      <x:c r="F30" s="46" t="str">
        <x:v>Atlantic cod</x:v>
      </x:c>
      <x:c r="G30" s="46" t="str">
        <x:v>Large benthopelagics (&gt;=90 cm)</x:v>
      </x:c>
      <x:c r="H30" s="46" t="str">
        <x:v>Cod-likes</x:v>
      </x:c>
      <x:c r="I30" s="60" t="n">
        <x:v>5611.8002801922</x:v>
      </x:c>
      <x:c r="J30" s="60" t="n">
        <x:v>5188.5072552500005</x:v>
      </x:c>
      <x:c r="K30" s="60" t="n">
        <x:v>423.29302494219996</x:v>
      </x:c>
      <x:c r="L30" s="60" t="n">
        <x:v>4765.552495902401</x:v>
      </x:c>
      <x:c r="M30" s="60" t="n">
        <x:v>846.2477842897999</x:v>
      </x:c>
      <x:c r="N30" s="46" t="str">
        <x:v>gadus morhua</x:v>
      </x:c>
      <x:c r="O30" s="62" t="n">
        <x:v>4.09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Gadus morhua</x:v>
      </x:c>
      <x:c r="T30" s="62" t="n">
        <x:f>IF(O30="","",(1/'Metadata'!$B$5)^(O30-1))</x:f>
        <x:v>10475.691168449957</x:v>
      </x:c>
      <x:c r="U30" s="60" t="n">
        <x:f>IF(T30="","",I30*T30)</x:f>
        <x:v>58787486.634314425</x:v>
      </x:c>
    </x:row>
    <x:row r="31" ht="18" customHeight="1">
      <x:c r="A31" s="46" t="str">
        <x:v>LME_024</x:v>
      </x:c>
      <x:c r="B31" s="46" t="str">
        <x:v>Celtic-Biscay Shelf</x:v>
      </x:c>
      <x:c r="C31" s="46" t="str">
        <x:v>LME</x:v>
      </x:c>
      <x:c r="D31" s="58" t="n">
        <x:v>2019</x:v>
      </x:c>
      <x:c r="E31" s="46" t="str">
        <x:v>Glycymeris glycymeris</x:v>
      </x:c>
      <x:c r="F31" s="46" t="str">
        <x:v>Dog cockle</x:v>
      </x:c>
      <x:c r="G31" s="46" t="str">
        <x:v>Other demersal invertebrates</x:v>
      </x:c>
      <x:c r="H31" s="46" t="str">
        <x:v>Molluscs</x:v>
      </x:c>
      <x:c r="I31" s="60" t="n">
        <x:v>5221.622884948099</x:v>
      </x:c>
      <x:c r="J31" s="60" t="n">
        <x:v>5221.622884948099</x:v>
      </x:c>
      <x:c r="K31" s="60" t="n">
        <x:v>0</x:v>
      </x:c>
      <x:c r="L31" s="60" t="n">
        <x:v>5025.415623334799</x:v>
      </x:c>
      <x:c r="M31" s="60" t="n">
        <x:v>196.2072616133</x:v>
      </x:c>
      <x:c r="N31" s="46" t="str">
        <x:v>glycymeris glycymeris</x:v>
      </x:c>
      <x:c r="O31" s="62" t="n">
        <x:v>2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Glycymeris glycymeris</x:v>
      </x:c>
      <x:c r="T31" s="62" t="n">
        <x:f>IF(O31="","",(1/'Metadata'!$B$5)^(O31-1))</x:f>
        <x:v>20</x:v>
      </x:c>
      <x:c r="U31" s="60" t="n">
        <x:f>IF(T31="","",I31*T31)</x:f>
        <x:v>104432.45769896198</x:v>
      </x:c>
    </x:row>
    <x:row r="32" ht="18" customHeight="1">
      <x:c r="A32" s="46" t="str">
        <x:v>LME_024</x:v>
      </x:c>
      <x:c r="B32" s="46" t="str">
        <x:v>Celtic-Biscay Shelf</x:v>
      </x:c>
      <x:c r="C32" s="46" t="str">
        <x:v>LME</x:v>
      </x:c>
      <x:c r="D32" s="58" t="n">
        <x:v>2019</x:v>
      </x:c>
      <x:c r="E32" s="46" t="str">
        <x:v>Trisopterus luscus</x:v>
      </x:c>
      <x:c r="F32" s="46" t="str">
        <x:v>Pouting</x:v>
      </x:c>
      <x:c r="G32" s="46" t="str">
        <x:v>Medium benthopelagics (30 - 89 cm)</x:v>
      </x:c>
      <x:c r="H32" s="46" t="str">
        <x:v>Cod-likes</x:v>
      </x:c>
      <x:c r="I32" s="60" t="n">
        <x:v>4960.9804782003</x:v>
      </x:c>
      <x:c r="J32" s="60" t="n">
        <x:v>4685.6256236768</x:v>
      </x:c>
      <x:c r="K32" s="60" t="n">
        <x:v>275.3548545235</x:v>
      </x:c>
      <x:c r="L32" s="60" t="n">
        <x:v>4370.6945702338</x:v>
      </x:c>
      <x:c r="M32" s="60" t="n">
        <x:v>590.2859079665</x:v>
      </x:c>
      <x:c r="N32" s="46" t="str">
        <x:v>trisopterus luscus</x:v>
      </x:c>
      <x:c r="O32" s="62" t="n">
        <x:v>3.73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Trisopterus luscus</x:v>
      </x:c>
      <x:c r="T32" s="62" t="n">
        <x:f>IF(O32="","",(1/'Metadata'!$B$5)^(O32-1))</x:f>
        <x:v>3562.967723629534</x:v>
      </x:c>
      <x:c r="U32" s="60" t="n">
        <x:f>IF(T32="","",I32*T32)</x:f>
        <x:v>17675813.32138388</x:v>
      </x:c>
    </x:row>
    <x:row r="33" ht="18" customHeight="1">
      <x:c r="A33" s="46" t="str">
        <x:v>LME_024</x:v>
      </x:c>
      <x:c r="B33" s="46" t="str">
        <x:v>Celtic-Biscay Shelf</x:v>
      </x:c>
      <x:c r="C33" s="46" t="str">
        <x:v>LME</x:v>
      </x:c>
      <x:c r="D33" s="58" t="n">
        <x:v>2019</x:v>
      </x:c>
      <x:c r="E33" s="46" t="str">
        <x:v>Scombridae</x:v>
      </x:c>
      <x:c r="F33" s="46" t="str">
        <x:v>Mackerels, tunas, bonitos</x:v>
      </x:c>
      <x:c r="G33" s="46" t="str">
        <x:v>Medium pelagics (30 - 89 cm)</x:v>
      </x:c>
      <x:c r="H33" s="46" t="str">
        <x:v>Perch-likes</x:v>
      </x:c>
      <x:c r="I33" s="60" t="n">
        <x:v>4446.1082602701</x:v>
      </x:c>
      <x:c r="J33" s="60" t="n">
        <x:v>1758.2567976287</x:v>
      </x:c>
      <x:c r="K33" s="60" t="n">
        <x:v>2687.8514626414</x:v>
      </x:c>
      <x:c r="L33" s="60" t="n">
        <x:v>121.1662457993</x:v>
      </x:c>
      <x:c r="M33" s="60" t="n">
        <x:v>4324.9420144708</x:v>
      </x:c>
      <x:c r="N33" s="46" t="str">
        <x:v>scombridae</x:v>
      </x:c>
      <x:c r="O33" s="62" t="n">
        <x:v>4.26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Scombridae</x:v>
      </x:c>
      <x:c r="T33" s="62" t="n">
        <x:f>IF(O33="","",(1/'Metadata'!$B$5)^(O33-1))</x:f>
        <x:v>17432.42421569787</x:v>
      </x:c>
      <x:c r="U33" s="60" t="n">
        <x:f>IF(T33="","",I33*T33)</x:f>
        <x:v>77506445.30194682</x:v>
      </x:c>
    </x:row>
    <x:row r="34" ht="18" customHeight="1">
      <x:c r="A34" s="46" t="str">
        <x:v>LME_024</x:v>
      </x:c>
      <x:c r="B34" s="46" t="str">
        <x:v>Celtic-Biscay Shelf</x:v>
      </x:c>
      <x:c r="C34" s="46" t="str">
        <x:v>LME</x:v>
      </x:c>
      <x:c r="D34" s="58" t="n">
        <x:v>2019</x:v>
      </x:c>
      <x:c r="E34" s="46" t="str">
        <x:v>Mullus surmuletus</x:v>
      </x:c>
      <x:c r="F34" s="46" t="str">
        <x:v>Surmullet</x:v>
      </x:c>
      <x:c r="G34" s="46" t="str">
        <x:v>Medium demersals (30 - 89 cm)</x:v>
      </x:c>
      <x:c r="H34" s="46" t="str">
        <x:v>Perch-likes</x:v>
      </x:c>
      <x:c r="I34" s="60" t="n">
        <x:v>4422.8111975082</x:v>
      </x:c>
      <x:c r="J34" s="60" t="n">
        <x:v>4422.8111975082</x:v>
      </x:c>
      <x:c r="K34" s="60" t="n">
        <x:v>0</x:v>
      </x:c>
      <x:c r="L34" s="60" t="n">
        <x:v>4299.0256194539</x:v>
      </x:c>
      <x:c r="M34" s="60" t="n">
        <x:v>123.7855780543</x:v>
      </x:c>
      <x:c r="N34" s="46" t="str">
        <x:v>mullus surmuletus</x:v>
      </x:c>
      <x:c r="O34" s="62" t="n">
        <x:v>3.45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Mullus surmuletus</x:v>
      </x:c>
      <x:c r="T34" s="62" t="n">
        <x:f>IF(O34="","",(1/'Metadata'!$B$5)^(O34-1))</x:f>
        <x:v>1540.009817222681</x:v>
      </x:c>
      <x:c r="U34" s="60" t="n">
        <x:f>IF(T34="","",I34*T34)</x:f>
        <x:v>6811172.66388503</x:v>
      </x:c>
    </x:row>
    <x:row r="35" ht="18" customHeight="1">
      <x:c r="A35" s="46" t="str">
        <x:v>LME_024</x:v>
      </x:c>
      <x:c r="B35" s="46" t="str">
        <x:v>Celtic-Biscay Shelf</x:v>
      </x:c>
      <x:c r="C35" s="46" t="str">
        <x:v>LME</x:v>
      </x:c>
      <x:c r="D35" s="58" t="n">
        <x:v>2019</x:v>
      </x:c>
      <x:c r="E35" s="46" t="str">
        <x:v>Argentina silus</x:v>
      </x:c>
      <x:c r="F35" s="46" t="str">
        <x:v>Greater argentine</x:v>
      </x:c>
      <x:c r="G35" s="46" t="str">
        <x:v>Medium bathydemersals (30 - 89 cm)</x:v>
      </x:c>
      <x:c r="H35" s="46" t="str">
        <x:v>Salmon, smelts, etc</x:v>
      </x:c>
      <x:c r="I35" s="60" t="n">
        <x:v>4410.9492423481</x:v>
      </x:c>
      <x:c r="J35" s="60" t="n">
        <x:v>4410.9492423481</x:v>
      </x:c>
      <x:c r="K35" s="60" t="n">
        <x:v>0</x:v>
      </x:c>
      <x:c r="L35" s="60" t="n">
        <x:v>4410.9492423481</x:v>
      </x:c>
      <x:c r="M35" s="60" t="n">
        <x:v>0</x:v>
      </x:c>
      <x:c r="N35" s="46" t="str">
        <x:v>argentina silus</x:v>
      </x:c>
      <x:c r="O35" s="62" t="n">
        <x:v>3.32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Argentina silus</x:v>
      </x:c>
      <x:c r="T35" s="62" t="n">
        <x:f>IF(O35="","",(1/'Metadata'!$B$5)^(O35-1))</x:f>
        <x:v>1043.2528743388143</x:v>
      </x:c>
      <x:c r="U35" s="60" t="n">
        <x:f>IF(T35="","",I35*T35)</x:f>
        <x:v>4601735.47564227</x:v>
      </x:c>
    </x:row>
    <x:row r="36" ht="18" customHeight="1">
      <x:c r="A36" s="46" t="str">
        <x:v>LME_024</x:v>
      </x:c>
      <x:c r="B36" s="46" t="str">
        <x:v>Celtic-Biscay Shelf</x:v>
      </x:c>
      <x:c r="C36" s="46" t="str">
        <x:v>LME</x:v>
      </x:c>
      <x:c r="D36" s="58" t="n">
        <x:v>2019</x:v>
      </x:c>
      <x:c r="E36" s="46" t="str">
        <x:v>Molva molva</x:v>
      </x:c>
      <x:c r="F36" s="46" t="str">
        <x:v>Ling</x:v>
      </x:c>
      <x:c r="G36" s="46" t="str">
        <x:v>Large demersals (&gt;=90 cm)</x:v>
      </x:c>
      <x:c r="H36" s="46" t="str">
        <x:v>Cod-likes</x:v>
      </x:c>
      <x:c r="I36" s="60" t="n">
        <x:v>4358.833073433199</x:v>
      </x:c>
      <x:c r="J36" s="60" t="n">
        <x:v>4329.916797584599</x:v>
      </x:c>
      <x:c r="K36" s="60" t="n">
        <x:v>28.9162758486</x:v>
      </x:c>
      <x:c r="L36" s="60" t="n">
        <x:v>4229.361219246</x:v>
      </x:c>
      <x:c r="M36" s="60" t="n">
        <x:v>129.4718541872</x:v>
      </x:c>
      <x:c r="N36" s="46" t="str">
        <x:v>molva molva</x:v>
      </x:c>
      <x:c r="O36" s="62" t="n">
        <x:v>4.4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Molva molva</x:v>
      </x:c>
      <x:c r="T36" s="62" t="n">
        <x:f>IF(O36="","",(1/'Metadata'!$B$5)^(O36-1))</x:f>
        <x:v>26515.632138719924</x:v>
      </x:c>
      <x:c r="U36" s="60" t="n">
        <x:f>IF(T36="","",I36*T36)</x:f>
        <x:v>115577214.32924068</x:v>
      </x:c>
    </x:row>
    <x:row r="37" ht="18" customHeight="1">
      <x:c r="A37" s="46" t="str">
        <x:v>LME_024</x:v>
      </x:c>
      <x:c r="B37" s="46" t="str">
        <x:v>Celtic-Biscay Shelf</x:v>
      </x:c>
      <x:c r="C37" s="46" t="str">
        <x:v>LME</x:v>
      </x:c>
      <x:c r="D37" s="58" t="n">
        <x:v>2019</x:v>
      </x:c>
      <x:c r="E37" s="46" t="str">
        <x:v>Miscellaneous marine crustaceans</x:v>
      </x:c>
      <x:c r="F37" s="46" t="str">
        <x:v>Marine crabs, shrimps, lobsters nei</x:v>
      </x:c>
      <x:c r="G37" s="46" t="str">
        <x:v>Shrimps</x:v>
      </x:c>
      <x:c r="H37" s="46" t="str">
        <x:v>Crustaceans</x:v>
      </x:c>
      <x:c r="I37" s="60" t="n">
        <x:v>3975.5707839044003</x:v>
      </x:c>
      <x:c r="J37" s="60" t="n">
        <x:v>253.57051812240002</x:v>
      </x:c>
      <x:c r="K37" s="60" t="n">
        <x:v>3722.000265782</x:v>
      </x:c>
      <x:c r="L37" s="60" t="n">
        <x:v>4.3219761516</x:v>
      </x:c>
      <x:c r="M37" s="60" t="n">
        <x:v>3971.2488077528</x:v>
      </x:c>
      <x:c r="N37" s="46" t="str">
        <x:v>miscellaneous marine crustaceans</x:v>
      </x:c>
      <x:c r="O37" s="62" t="n">
        <x:v>2.7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Miscellaneous marine crustaceans</x:v>
      </x:c>
      <x:c r="T37" s="62" t="n">
        <x:f>IF(O37="","",(1/'Metadata'!$B$5)^(O37-1))</x:f>
        <x:v>162.83621261476185</x:v>
      </x:c>
      <x:c r="U37" s="60" t="n">
        <x:f>IF(T37="","",I37*T37)</x:f>
        <x:v>647366.8894328923</x:v>
      </x:c>
    </x:row>
    <x:row r="38" ht="18" customHeight="1">
      <x:c r="A38" s="46" t="str">
        <x:v>LME_024</x:v>
      </x:c>
      <x:c r="B38" s="46" t="str">
        <x:v>Celtic-Biscay Shelf</x:v>
      </x:c>
      <x:c r="C38" s="46" t="str">
        <x:v>LME</x:v>
      </x:c>
      <x:c r="D38" s="58" t="n">
        <x:v>2019</x:v>
      </x:c>
      <x:c r="E38" s="46" t="str">
        <x:v>Pleuronectidae</x:v>
      </x:c>
      <x:c r="F38" s="46" t="str">
        <x:v>Righteye flounders</x:v>
      </x:c>
      <x:c r="G38" s="46" t="str">
        <x:v>Small to medium flatfishes (&lt;90 cm)</x:v>
      </x:c>
      <x:c r="H38" s="46" t="str">
        <x:v>Flatfishes</x:v>
      </x:c>
      <x:c r="I38" s="60" t="n">
        <x:v>3954.5989636287</x:v>
      </x:c>
      <x:c r="J38" s="60" t="n">
        <x:v>11.993384430099999</x:v>
      </x:c>
      <x:c r="K38" s="60" t="n">
        <x:v>3942.6055791986</x:v>
      </x:c>
      <x:c r="L38" s="60" t="n">
        <x:v>11.993384430099999</x:v>
      </x:c>
      <x:c r="M38" s="60" t="n">
        <x:v>3942.6055791986</x:v>
      </x:c>
      <x:c r="N38" s="46" t="str">
        <x:v>pleuronectidae</x:v>
      </x:c>
      <x:c r="O38" s="62" t="n">
        <x:v>3.49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Pleuronectidae</x:v>
      </x:c>
      <x:c r="T38" s="62" t="n">
        <x:f>IF(O38="","",(1/'Metadata'!$B$5)^(O38-1))</x:f>
        <x:v>1736.059833884101</x:v>
      </x:c>
      <x:c r="U38" s="60" t="n">
        <x:f>IF(T38="","",I38*T38)</x:f>
        <x:v>6865420.419875478</x:v>
      </x:c>
    </x:row>
    <x:row r="39" ht="18" customHeight="1">
      <x:c r="A39" s="46" t="str">
        <x:v>LME_024</x:v>
      </x:c>
      <x:c r="B39" s="46" t="str">
        <x:v>Celtic-Biscay Shelf</x:v>
      </x:c>
      <x:c r="C39" s="46" t="str">
        <x:v>LME</x:v>
      </x:c>
      <x:c r="D39" s="58" t="n">
        <x:v>2019</x:v>
      </x:c>
      <x:c r="E39" s="46" t="str">
        <x:v>Loliginidae</x:v>
      </x:c>
      <x:c r="F39" s="46" t="str">
        <x:v>Common pencil squids</x:v>
      </x:c>
      <x:c r="G39" s="46" t="str">
        <x:v>Cephalopods</x:v>
      </x:c>
      <x:c r="H39" s="46" t="str">
        <x:v>Other fishes &amp; inverts</x:v>
      </x:c>
      <x:c r="I39" s="60" t="n">
        <x:v>3920.5124545121</x:v>
      </x:c>
      <x:c r="J39" s="60" t="n">
        <x:v>3920.5124545121</x:v>
      </x:c>
      <x:c r="K39" s="60" t="n">
        <x:v>0</x:v>
      </x:c>
      <x:c r="L39" s="60" t="n">
        <x:v>3465.4570516196</x:v>
      </x:c>
      <x:c r="M39" s="60" t="n">
        <x:v>455.0554028925</x:v>
      </x:c>
      <x:c r="N39" s="46" t="str">
        <x:v>loliginidae</x:v>
      </x:c>
      <x:c r="O39" s="62" t="n">
        <x:v>3.9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Loliginidae</x:v>
      </x:c>
      <x:c r="T39" s="62" t="n">
        <x:f>IF(O39="","",(1/'Metadata'!$B$5)^(O39-1))</x:f>
        <x:v>5929.07559285558</x:v>
      </x:c>
      <x:c r="U39" s="60" t="n">
        <x:f>IF(T39="","",I39*T39)</x:f>
        <x:v>23245014.705534015</x:v>
      </x:c>
    </x:row>
    <x:row r="40" ht="18" customHeight="1">
      <x:c r="A40" s="46" t="str">
        <x:v>LME_024</x:v>
      </x:c>
      <x:c r="B40" s="46" t="str">
        <x:v>Celtic-Biscay Shelf</x:v>
      </x:c>
      <x:c r="C40" s="46" t="str">
        <x:v>LME</x:v>
      </x:c>
      <x:c r="D40" s="58" t="n">
        <x:v>2019</x:v>
      </x:c>
      <x:c r="E40" s="46" t="str">
        <x:v>Triglidae</x:v>
      </x:c>
      <x:c r="F40" s="46" t="str">
        <x:v>Searobins, gurnards</x:v>
      </x:c>
      <x:c r="G40" s="46" t="str">
        <x:v>Medium demersals (30 - 89 cm)</x:v>
      </x:c>
      <x:c r="H40" s="46" t="str">
        <x:v>Scorpionfishes</x:v>
      </x:c>
      <x:c r="I40" s="60" t="n">
        <x:v>3756.1197647127</x:v>
      </x:c>
      <x:c r="J40" s="60" t="n">
        <x:v>1968.6250020543</x:v>
      </x:c>
      <x:c r="K40" s="60" t="n">
        <x:v>1787.4947626583998</x:v>
      </x:c>
      <x:c r="L40" s="60" t="n">
        <x:v>1150.869554775</x:v>
      </x:c>
      <x:c r="M40" s="60" t="n">
        <x:v>2605.2502099377</x:v>
      </x:c>
      <x:c r="N40" s="46" t="str">
        <x:v>triglidae</x:v>
      </x:c>
      <x:c r="O40" s="62" t="n">
        <x:v>3.74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Triglidae</x:v>
      </x:c>
      <x:c r="T40" s="62" t="n">
        <x:f>IF(O40="","",(1/'Metadata'!$B$5)^(O40-1))</x:f>
        <x:v>3671.3195599248957</x:v>
      </x:c>
      <x:c r="U40" s="60" t="n">
        <x:f>IF(T40="","",I40*T40)</x:f>
        <x:v>13789915.961610233</x:v>
      </x:c>
    </x:row>
    <x:row r="41" ht="18" customHeight="1">
      <x:c r="A41" s="46" t="str">
        <x:v>LME_024</x:v>
      </x:c>
      <x:c r="B41" s="46" t="str">
        <x:v>Celtic-Biscay Shelf</x:v>
      </x:c>
      <x:c r="C41" s="46" t="str">
        <x:v>LME</x:v>
      </x:c>
      <x:c r="D41" s="58" t="n">
        <x:v>2019</x:v>
      </x:c>
      <x:c r="E41" s="46" t="str">
        <x:v>Carangidae</x:v>
      </x:c>
      <x:c r="F41" s="46" t="str">
        <x:v>Jacks, pompanos</x:v>
      </x:c>
      <x:c r="G41" s="46" t="str">
        <x:v>Medium pelagics (30 - 89 cm)</x:v>
      </x:c>
      <x:c r="H41" s="46" t="str">
        <x:v>Perch-likes</x:v>
      </x:c>
      <x:c r="I41" s="60" t="n">
        <x:v>3570.8824575629</x:v>
      </x:c>
      <x:c r="J41" s="60" t="n">
        <x:v>1658.8792551797</x:v>
      </x:c>
      <x:c r="K41" s="60" t="n">
        <x:v>1912.0032023832</x:v>
      </x:c>
      <x:c r="L41" s="60" t="n">
        <x:v>26.6317738721</x:v>
      </x:c>
      <x:c r="M41" s="60" t="n">
        <x:v>3544.2506836908</x:v>
      </x:c>
      <x:c r="N41" s="46" t="str">
        <x:v>carangidae</x:v>
      </x:c>
      <x:c r="O41" s="62" t="n">
        <x:v>4.05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Carangidae</x:v>
      </x:c>
      <x:c r="T41" s="62" t="n">
        <x:f>IF(O41="","",(1/'Metadata'!$B$5)^(O41-1))</x:f>
        <x:v>9292.690797132333</x:v>
      </x:c>
      <x:c r="U41" s="60" t="n">
        <x:f>IF(T41="","",I41*T41)</x:f>
        <x:v>33183106.55103605</x:v>
      </x:c>
    </x:row>
    <x:row r="42" ht="18" customHeight="1">
      <x:c r="A42" s="46" t="str">
        <x:v>LME_024</x:v>
      </x:c>
      <x:c r="B42" s="46" t="str">
        <x:v>Celtic-Biscay Shelf</x:v>
      </x:c>
      <x:c r="C42" s="46" t="str">
        <x:v>LME</x:v>
      </x:c>
      <x:c r="D42" s="58" t="n">
        <x:v>2019</x:v>
      </x:c>
      <x:c r="E42" s="46" t="str">
        <x:v>Dicentrarchus labrax</x:v>
      </x:c>
      <x:c r="F42" s="46" t="str">
        <x:v>European seabass</x:v>
      </x:c>
      <x:c r="G42" s="46" t="str">
        <x:v>Large demersals (&gt;=90 cm)</x:v>
      </x:c>
      <x:c r="H42" s="46" t="str">
        <x:v>Perch-likes</x:v>
      </x:c>
      <x:c r="I42" s="60" t="n">
        <x:v>3535.9006579155</x:v>
      </x:c>
      <x:c r="J42" s="60" t="n">
        <x:v>3535.9006579155</x:v>
      </x:c>
      <x:c r="K42" s="60" t="n">
        <x:v>0</x:v>
      </x:c>
      <x:c r="L42" s="60" t="n">
        <x:v>2798.0120038163</x:v>
      </x:c>
      <x:c r="M42" s="60" t="n">
        <x:v>737.8886540992</x:v>
      </x:c>
      <x:c r="N42" s="46" t="str">
        <x:v>dicentrarchus labrax</x:v>
      </x:c>
      <x:c r="O42" s="62" t="n">
        <x:v>3.79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Dicentrarchus labrax</x:v>
      </x:c>
      <x:c r="T42" s="62" t="n">
        <x:f>IF(O42="","",(1/'Metadata'!$B$5)^(O42-1))</x:f>
        <x:v>4264.554685980751</x:v>
      </x:c>
      <x:c r="U42" s="60" t="n">
        <x:f>IF(T42="","",I42*T42)</x:f>
        <x:v>15079041.719875965</x:v>
      </x:c>
    </x:row>
    <x:row r="43" ht="18" customHeight="1">
      <x:c r="A43" s="46" t="str">
        <x:v>LME_024</x:v>
      </x:c>
      <x:c r="B43" s="46" t="str">
        <x:v>Celtic-Biscay Shelf</x:v>
      </x:c>
      <x:c r="C43" s="46" t="str">
        <x:v>LME</x:v>
      </x:c>
      <x:c r="D43" s="58" t="n">
        <x:v>2019</x:v>
      </x:c>
      <x:c r="E43" s="46" t="str">
        <x:v>Chelidonichthys cuculus</x:v>
      </x:c>
      <x:c r="F43" s="46" t="str">
        <x:v>Red gurnard</x:v>
      </x:c>
      <x:c r="G43" s="46" t="str">
        <x:v>Medium demersals (30 - 89 cm)</x:v>
      </x:c>
      <x:c r="H43" s="46" t="str">
        <x:v>Scorpionfishes</x:v>
      </x:c>
      <x:c r="I43" s="60" t="n">
        <x:v>3445.6028300373</x:v>
      </x:c>
      <x:c r="J43" s="60" t="n">
        <x:v>3445.6028300373</x:v>
      </x:c>
      <x:c r="K43" s="60" t="n">
        <x:v>0</x:v>
      </x:c>
      <x:c r="L43" s="60" t="n">
        <x:v>3073.9878925186</x:v>
      </x:c>
      <x:c r="M43" s="60" t="n">
        <x:v>371.6149375187</x:v>
      </x:c>
      <x:c r="N43" s="46" t="str">
        <x:v>chelidonichthys cuculus</x:v>
      </x:c>
      <x:c r="O43" s="62" t="n">
        <x:v>3.81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Chelidonichthys cuculus</x:v>
      </x:c>
      <x:c r="T43" s="62" t="n">
        <x:f>IF(O43="","",(1/'Metadata'!$B$5)^(O43-1))</x:f>
        <x:v>4527.873529309382</x:v>
      </x:c>
      <x:c r="U43" s="60" t="n">
        <x:f>IF(T43="","",I43*T43)</x:f>
        <x:v>15601253.846639385</x:v>
      </x:c>
    </x:row>
    <x:row r="44" ht="18" customHeight="1">
      <x:c r="A44" s="46" t="str">
        <x:v>LME_024</x:v>
      </x:c>
      <x:c r="B44" s="46" t="str">
        <x:v>Celtic-Biscay Shelf</x:v>
      </x:c>
      <x:c r="C44" s="46" t="str">
        <x:v>LME</x:v>
      </x:c>
      <x:c r="D44" s="58" t="n">
        <x:v>2019</x:v>
      </x:c>
      <x:c r="E44" s="46" t="str">
        <x:v>Soleidae</x:v>
      </x:c>
      <x:c r="F44" s="46" t="str">
        <x:v>Soles</x:v>
      </x:c>
      <x:c r="G44" s="46" t="str">
        <x:v>Small to medium flatfishes (&lt;90 cm)</x:v>
      </x:c>
      <x:c r="H44" s="46" t="str">
        <x:v>Flatfishes</x:v>
      </x:c>
      <x:c r="I44" s="60" t="n">
        <x:v>3313.8098639268997</x:v>
      </x:c>
      <x:c r="J44" s="60" t="n">
        <x:v>859.998348533</x:v>
      </x:c>
      <x:c r="K44" s="60" t="n">
        <x:v>2453.8115153939</x:v>
      </x:c>
      <x:c r="L44" s="60" t="n">
        <x:v>21.095347612399998</x:v>
      </x:c>
      <x:c r="M44" s="60" t="n">
        <x:v>3292.7145163145</x:v>
      </x:c>
      <x:c r="N44" s="46" t="str">
        <x:v>soleidae</x:v>
      </x:c>
      <x:c r="O44" s="62" t="n">
        <x:v>3.15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Soleidae</x:v>
      </x:c>
      <x:c r="T44" s="62" t="n">
        <x:f>IF(O44="","",(1/'Metadata'!$B$5)^(O44-1))</x:f>
        <x:v>626.9234150652317</x:v>
      </x:c>
      <x:c r="U44" s="60" t="n">
        <x:f>IF(T44="","",I44*T44)</x:f>
        <x:v>2077504.9967699025</x:v>
      </x:c>
    </x:row>
    <x:row r="45" ht="18" customHeight="1">
      <x:c r="A45" s="46" t="str">
        <x:v>LME_024</x:v>
      </x:c>
      <x:c r="B45" s="46" t="str">
        <x:v>Celtic-Biscay Shelf</x:v>
      </x:c>
      <x:c r="C45" s="46" t="str">
        <x:v>LME</x:v>
      </x:c>
      <x:c r="D45" s="58" t="n">
        <x:v>2019</x:v>
      </x:c>
      <x:c r="E45" s="46" t="str">
        <x:v>Pollachius pollachius</x:v>
      </x:c>
      <x:c r="F45" s="46" t="str">
        <x:v>Pollack</x:v>
      </x:c>
      <x:c r="G45" s="46" t="str">
        <x:v>Large benthopelagics (&gt;=90 cm)</x:v>
      </x:c>
      <x:c r="H45" s="46" t="str">
        <x:v>Cod-likes</x:v>
      </x:c>
      <x:c r="I45" s="60" t="n">
        <x:v>3267.3190772499997</x:v>
      </x:c>
      <x:c r="J45" s="60" t="n">
        <x:v>3263.9669202781997</x:v>
      </x:c>
      <x:c r="K45" s="60" t="n">
        <x:v>3.3521569718</x:v>
      </x:c>
      <x:c r="L45" s="60" t="n">
        <x:v>2634.1676781528</x:v>
      </x:c>
      <x:c r="M45" s="60" t="n">
        <x:v>633.1513990972</x:v>
      </x:c>
      <x:c r="N45" s="46" t="str">
        <x:v>pollachius pollachius</x:v>
      </x:c>
      <x:c r="O45" s="62" t="n">
        <x:v>4.32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Pollachius pollachius</x:v>
      </x:c>
      <x:c r="T45" s="62" t="n">
        <x:f>IF(O45="","",(1/'Metadata'!$B$5)^(O45-1))</x:f>
        <x:v>20865.057486776313</x:v>
      </x:c>
      <x:c r="U45" s="60" t="n">
        <x:f>IF(T45="","",I45*T45)</x:f>
        <x:v>68172800.37446219</x:v>
      </x:c>
    </x:row>
    <x:row r="46" ht="18" customHeight="1">
      <x:c r="A46" s="46" t="str">
        <x:v>LME_024</x:v>
      </x:c>
      <x:c r="B46" s="46" t="str">
        <x:v>Celtic-Biscay Shelf</x:v>
      </x:c>
      <x:c r="C46" s="46" t="str">
        <x:v>LME</x:v>
      </x:c>
      <x:c r="D46" s="58" t="n">
        <x:v>2019</x:v>
      </x:c>
      <x:c r="E46" s="46" t="str">
        <x:v>Raja clavata</x:v>
      </x:c>
      <x:c r="F46" s="46" t="str">
        <x:v>Thornback ray</x:v>
      </x:c>
      <x:c r="G46" s="46" t="str">
        <x:v>Large rays (&gt;=90 cm)</x:v>
      </x:c>
      <x:c r="H46" s="46" t="str">
        <x:v>Sharks &amp; rays</x:v>
      </x:c>
      <x:c r="I46" s="60" t="n">
        <x:v>3087.3752008408</x:v>
      </x:c>
      <x:c r="J46" s="60" t="n">
        <x:v>3087.3752008408</x:v>
      </x:c>
      <x:c r="K46" s="60" t="n">
        <x:v>0</x:v>
      </x:c>
      <x:c r="L46" s="60" t="n">
        <x:v>3022.4688424534</x:v>
      </x:c>
      <x:c r="M46" s="60" t="n">
        <x:v>64.90635838739999</x:v>
      </x:c>
      <x:c r="N46" s="46" t="str">
        <x:v>raja clavata</x:v>
      </x:c>
      <x:c r="O46" s="62" t="n">
        <x:v>3.84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Raja clavata</x:v>
      </x:c>
      <x:c r="T46" s="62" t="n">
        <x:f>IF(O46="","",(1/'Metadata'!$B$5)^(O46-1))</x:f>
        <x:v>4953.648510535111</x:v>
      </x:c>
      <x:c r="U46" s="60" t="n">
        <x:f>IF(T46="","",I46*T46)</x:f>
        <x:v>15293771.565108068</x:v>
      </x:c>
    </x:row>
    <x:row r="47" ht="18" customHeight="1">
      <x:c r="A47" s="46" t="str">
        <x:v>LME_024</x:v>
      </x:c>
      <x:c r="B47" s="46" t="str">
        <x:v>Celtic-Biscay Shelf</x:v>
      </x:c>
      <x:c r="C47" s="46" t="str">
        <x:v>LME</x:v>
      </x:c>
      <x:c r="D47" s="58" t="n">
        <x:v>2019</x:v>
      </x:c>
      <x:c r="E47" s="46" t="str">
        <x:v>Mustelus</x:v>
      </x:c>
      <x:c r="F47" s="46" t="str">
        <x:v>Smoothhounds</x:v>
      </x:c>
      <x:c r="G47" s="46" t="str">
        <x:v>Large sharks (&gt;=90 cm)</x:v>
      </x:c>
      <x:c r="H47" s="46" t="str">
        <x:v>Sharks &amp; rays</x:v>
      </x:c>
      <x:c r="I47" s="60" t="n">
        <x:v>3048.7588264222</x:v>
      </x:c>
      <x:c r="J47" s="60" t="n">
        <x:v>3048.7588264222</x:v>
      </x:c>
      <x:c r="K47" s="60" t="n">
        <x:v>0</x:v>
      </x:c>
      <x:c r="L47" s="60" t="n">
        <x:v>2865.3934590151</x:v>
      </x:c>
      <x:c r="M47" s="60" t="n">
        <x:v>183.3653674071</x:v>
      </x:c>
      <x:c r="N47" s="46" t="str">
        <x:v>mustelus</x:v>
      </x:c>
      <x:c r="O47" s="62" t="n">
        <x:v>3.73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Mustelus</x:v>
      </x:c>
      <x:c r="T47" s="62" t="n">
        <x:f>IF(O47="","",(1/'Metadata'!$B$5)^(O47-1))</x:f>
        <x:v>3562.967723629534</x:v>
      </x:c>
      <x:c r="U47" s="60" t="n">
        <x:f>IF(T47="","",I47*T47)</x:f>
        <x:v>10862629.295672955</x:v>
      </x:c>
    </x:row>
    <x:row r="48" ht="18" customHeight="1">
      <x:c r="A48" s="46" t="str">
        <x:v>LME_024</x:v>
      </x:c>
      <x:c r="B48" s="46" t="str">
        <x:v>Celtic-Biscay Shelf</x:v>
      </x:c>
      <x:c r="C48" s="46" t="str">
        <x:v>LME</x:v>
      </x:c>
      <x:c r="D48" s="58" t="n">
        <x:v>2019</x:v>
      </x:c>
      <x:c r="E48" s="46" t="str">
        <x:v>Spondyliosoma cantharus</x:v>
      </x:c>
      <x:c r="F48" s="46" t="str">
        <x:v>Black seabream</x:v>
      </x:c>
      <x:c r="G48" s="46" t="str">
        <x:v>Medium benthopelagics (30 - 89 cm)</x:v>
      </x:c>
      <x:c r="H48" s="46" t="str">
        <x:v>Perch-likes</x:v>
      </x:c>
      <x:c r="I48" s="60" t="n">
        <x:v>2904.7761868917</x:v>
      </x:c>
      <x:c r="J48" s="60" t="n">
        <x:v>2904.7761868917</x:v>
      </x:c>
      <x:c r="K48" s="60" t="n">
        <x:v>0</x:v>
      </x:c>
      <x:c r="L48" s="60" t="n">
        <x:v>2607.4532384653</x:v>
      </x:c>
      <x:c r="M48" s="60" t="n">
        <x:v>297.3229484264</x:v>
      </x:c>
      <x:c r="N48" s="46" t="str">
        <x:v>spondyliosoma cantharus</x:v>
      </x:c>
      <x:c r="O48" s="62" t="n">
        <x:v>3.34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Spondyliosoma cantharus</x:v>
      </x:c>
      <x:c r="T48" s="62" t="n">
        <x:f>IF(O48="","",(1/'Metadata'!$B$5)^(O48-1))</x:f>
        <x:v>1107.6694806197092</x:v>
      </x:c>
      <x:c r="U48" s="60" t="n">
        <x:f>IF(T48="","",I48*T48)</x:f>
        <x:v>3217531.930250829</x:v>
      </x:c>
    </x:row>
    <x:row r="49" ht="18" customHeight="1">
      <x:c r="A49" s="46" t="str">
        <x:v>LME_024</x:v>
      </x:c>
      <x:c r="B49" s="46" t="str">
        <x:v>Celtic-Biscay Shelf</x:v>
      </x:c>
      <x:c r="C49" s="46" t="str">
        <x:v>LME</x:v>
      </x:c>
      <x:c r="D49" s="58" t="n">
        <x:v>2019</x:v>
      </x:c>
      <x:c r="E49" s="46" t="str">
        <x:v>Squaliformes</x:v>
      </x:c>
      <x:c r="F49" s="46" t="str">
        <x:v>Bramble, sleeper, dogfish sharks</x:v>
      </x:c>
      <x:c r="G49" s="46" t="str">
        <x:v>Large sharks (&gt;=90 cm)</x:v>
      </x:c>
      <x:c r="H49" s="46" t="str">
        <x:v>Sharks &amp; rays</x:v>
      </x:c>
      <x:c r="I49" s="60" t="n">
        <x:v>2883.1992764828</x:v>
      </x:c>
      <x:c r="J49" s="60" t="n">
        <x:v>52.3058856016</x:v>
      </x:c>
      <x:c r="K49" s="60" t="n">
        <x:v>2830.8933908812</x:v>
      </x:c>
      <x:c r="L49" s="60" t="n">
        <x:v>52.1433127277</x:v>
      </x:c>
      <x:c r="M49" s="60" t="n">
        <x:v>2831.0559637551</x:v>
      </x:c>
      <x:c r="N49" s="46" t="str">
        <x:v>squaliformes</x:v>
      </x:c>
      <x:c r="O49" s="62" t="n">
        <x:v>4.19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Squaliformes</x:v>
      </x:c>
      <x:c r="T49" s="62" t="n">
        <x:f>IF(O49="","",(1/'Metadata'!$B$5)^(O49-1))</x:f>
        <x:v>14134.67041111498</x:v>
      </x:c>
      <x:c r="U49" s="60" t="n">
        <x:f>IF(T49="","",I49*T49)</x:f>
        <x:v>40753071.50264955</x:v>
      </x:c>
    </x:row>
    <x:row r="50" ht="18" customHeight="1">
      <x:c r="A50" s="46" t="str">
        <x:v>LME_024</x:v>
      </x:c>
      <x:c r="B50" s="46" t="str">
        <x:v>Celtic-Biscay Shelf</x:v>
      </x:c>
      <x:c r="C50" s="46" t="str">
        <x:v>LME</x:v>
      </x:c>
      <x:c r="D50" s="58" t="n">
        <x:v>2019</x:v>
      </x:c>
      <x:c r="E50" s="46" t="str">
        <x:v>Sciaenidae</x:v>
      </x:c>
      <x:c r="F50" s="46" t="str">
        <x:v>Drums, croakers</x:v>
      </x:c>
      <x:c r="G50" s="46" t="str">
        <x:v>Medium demersals (30 - 89 cm)</x:v>
      </x:c>
      <x:c r="H50" s="46" t="str">
        <x:v>Perch-likes</x:v>
      </x:c>
      <x:c r="I50" s="60" t="n">
        <x:v>2775.2864209194</x:v>
      </x:c>
      <x:c r="J50" s="60" t="n">
        <x:v>1672.6312714225</x:v>
      </x:c>
      <x:c r="K50" s="60" t="n">
        <x:v>1102.6551494968999</x:v>
      </x:c>
      <x:c r="L50" s="60" t="n">
        <x:v>0.8504831183</x:v>
      </x:c>
      <x:c r="M50" s="60" t="n">
        <x:v>2774.4359378011</x:v>
      </x:c>
      <x:c r="N50" s="46" t="str">
        <x:v>sciaenidae</x:v>
      </x:c>
      <x:c r="O50" s="62" t="n">
        <x:v>3.76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Sciaenidae</x:v>
      </x:c>
      <x:c r="T50" s="62" t="n">
        <x:f>IF(O50="","",(1/'Metadata'!$B$5)^(O50-1))</x:f>
        <x:v>3898.0085558913897</x:v>
      </x:c>
      <x:c r="U50" s="60" t="n">
        <x:f>IF(T50="","",I50*T50)</x:f>
        <x:v>10818090.213793013</x:v>
      </x:c>
    </x:row>
    <x:row r="51" ht="18" customHeight="1">
      <x:c r="A51" s="46" t="str">
        <x:v>LME_024</x:v>
      </x:c>
      <x:c r="B51" s="46" t="str">
        <x:v>Celtic-Biscay Shelf</x:v>
      </x:c>
      <x:c r="C51" s="46" t="str">
        <x:v>LME</x:v>
      </x:c>
      <x:c r="D51" s="58" t="n">
        <x:v>2019</x:v>
      </x:c>
      <x:c r="E51" s="46" t="str">
        <x:v>Squalidae</x:v>
      </x:c>
      <x:c r="F51" s="46" t="str">
        <x:v>Dogfish sharks</x:v>
      </x:c>
      <x:c r="G51" s="46" t="str">
        <x:v>Large sharks (&gt;=90 cm)</x:v>
      </x:c>
      <x:c r="H51" s="46" t="str">
        <x:v>Sharks &amp; rays</x:v>
      </x:c>
      <x:c r="I51" s="60" t="n">
        <x:v>2738.0801657010998</x:v>
      </x:c>
      <x:c r="J51" s="60" t="n">
        <x:v>3.1272900776</x:v>
      </x:c>
      <x:c r="K51" s="60" t="n">
        <x:v>2734.9528756235</x:v>
      </x:c>
      <x:c r="L51" s="60" t="n">
        <x:v>2.9674390034</x:v>
      </x:c>
      <x:c r="M51" s="60" t="n">
        <x:v>2735.1127266977</x:v>
      </x:c>
      <x:c r="N51" s="46" t="str">
        <x:v>squalidae</x:v>
      </x:c>
      <x:c r="O51" s="62" t="n">
        <x:v>4.23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Squalidae</x:v>
      </x:c>
      <x:c r="T51" s="62" t="n">
        <x:f>IF(O51="","",(1/'Metadata'!$B$5)^(O51-1))</x:f>
        <x:v>15934.076063346663</x:v>
      </x:c>
      <x:c r="U51" s="60" t="n">
        <x:f>IF(T51="","",I51*T51)</x:f>
        <x:v>43628777.62782216</x:v>
      </x:c>
    </x:row>
    <x:row r="52" ht="18" customHeight="1">
      <x:c r="A52" s="46" t="str">
        <x:v>LME_024</x:v>
      </x:c>
      <x:c r="B52" s="46" t="str">
        <x:v>Celtic-Biscay Shelf</x:v>
      </x:c>
      <x:c r="C52" s="46" t="str">
        <x:v>LME</x:v>
      </x:c>
      <x:c r="D52" s="58" t="n">
        <x:v>2019</x:v>
      </x:c>
      <x:c r="E52" s="46" t="str">
        <x:v>Homarus gammarus</x:v>
      </x:c>
      <x:c r="F52" s="46" t="str">
        <x:v>European lobster</x:v>
      </x:c>
      <x:c r="G52" s="46" t="str">
        <x:v>Lobsters, crabs</x:v>
      </x:c>
      <x:c r="H52" s="46" t="str">
        <x:v>Crustaceans</x:v>
      </x:c>
      <x:c r="I52" s="60" t="n">
        <x:v>2676.3632963812</x:v>
      </x:c>
      <x:c r="J52" s="60" t="n">
        <x:v>2676.3632963812</x:v>
      </x:c>
      <x:c r="K52" s="60" t="n">
        <x:v>0</x:v>
      </x:c>
      <x:c r="L52" s="60" t="n">
        <x:v>2567.7525862622</x:v>
      </x:c>
      <x:c r="M52" s="60" t="n">
        <x:v>108.610710119</x:v>
      </x:c>
      <x:c r="N52" s="46" t="str">
        <x:v>homarus gammarus</x:v>
      </x:c>
      <x:c r="O52" s="62" t="n">
        <x:v>3.7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Homarus gammarus</x:v>
      </x:c>
      <x:c r="T52" s="62" t="n">
        <x:f>IF(O52="","",(1/'Metadata'!$B$5)^(O52-1))</x:f>
        <x:v>3256.724252295237</x:v>
      </x:c>
      <x:c r="U52" s="60" t="n">
        <x:f>IF(T52="","",I52*T52)</x:f>
        <x:v>8716177.255277479</x:v>
      </x:c>
    </x:row>
    <x:row r="53" ht="18" customHeight="1">
      <x:c r="A53" s="46" t="str">
        <x:v>LME_024</x:v>
      </x:c>
      <x:c r="B53" s="46" t="str">
        <x:v>Celtic-Biscay Shelf</x:v>
      </x:c>
      <x:c r="C53" s="46" t="str">
        <x:v>LME</x:v>
      </x:c>
      <x:c r="D53" s="58" t="n">
        <x:v>2019</x:v>
      </x:c>
      <x:c r="E53" s="46" t="str">
        <x:v>Marine finfishes not identified</x:v>
      </x:c>
      <x:c r="F53" s="46" t="str">
        <x:v>Finfishes</x:v>
      </x:c>
      <x:c r="G53" s="46" t="str">
        <x:v>Medium demersals (30 - 89 cm)</x:v>
      </x:c>
      <x:c r="H53" s="46" t="str">
        <x:v>Other fishes &amp; inverts</x:v>
      </x:c>
      <x:c r="I53" s="60" t="n">
        <x:v>2633.9393240498</x:v>
      </x:c>
      <x:c r="J53" s="60" t="n">
        <x:v>729.3774283688999</x:v>
      </x:c>
      <x:c r="K53" s="60" t="n">
        <x:v>1904.5618956809</x:v>
      </x:c>
      <x:c r="L53" s="60" t="n">
        <x:v>729.3774283688999</x:v>
      </x:c>
      <x:c r="M53" s="60" t="n">
        <x:v>1904.5618956809</x:v>
      </x:c>
      <x:c r="N53" s="46" t="str">
        <x:v>marine finfishes not identified</x:v>
      </x:c>
      <x:c r="O53" s="62" t="n">
        <x:v>3.23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Marine finfishes not identified</x:v>
      </x:c>
      <x:c r="T53" s="62" t="n">
        <x:f>IF(O53="","",(1/'Metadata'!$B$5)^(O53-1))</x:f>
        <x:v>796.7038031673321</x:v>
      </x:c>
      <x:c r="U53" s="60" t="n">
        <x:f>IF(T53="","",I53*T53)</x:f>
        <x:v>2098469.4767824677</x:v>
      </x:c>
    </x:row>
    <x:row r="54" ht="18" customHeight="1">
      <x:c r="A54" s="46" t="str">
        <x:v>LME_024</x:v>
      </x:c>
      <x:c r="B54" s="46" t="str">
        <x:v>Celtic-Biscay Shelf</x:v>
      </x:c>
      <x:c r="C54" s="46" t="str">
        <x:v>LME</x:v>
      </x:c>
      <x:c r="D54" s="58" t="n">
        <x:v>2019</x:v>
      </x:c>
      <x:c r="E54" s="46" t="str">
        <x:v>Leucoraja naevus</x:v>
      </x:c>
      <x:c r="F54" s="46" t="str">
        <x:v>Cuckoo ray</x:v>
      </x:c>
      <x:c r="G54" s="46" t="str">
        <x:v>Small to medium rays (&lt;90 cm)</x:v>
      </x:c>
      <x:c r="H54" s="46" t="str">
        <x:v>Sharks &amp; rays</x:v>
      </x:c>
      <x:c r="I54" s="60" t="n">
        <x:v>2611.0068599168</x:v>
      </x:c>
      <x:c r="J54" s="60" t="n">
        <x:v>2599.3159046506</x:v>
      </x:c>
      <x:c r="K54" s="60" t="n">
        <x:v>11.6909552662</x:v>
      </x:c>
      <x:c r="L54" s="60" t="n">
        <x:v>2467.5188647027</x:v>
      </x:c>
      <x:c r="M54" s="60" t="n">
        <x:v>143.4879952141</x:v>
      </x:c>
      <x:c r="N54" s="46" t="str">
        <x:v>leucoraja naevus</x:v>
      </x:c>
      <x:c r="O54" s="62" t="n">
        <x:v>4.21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Leucoraja naevus</x:v>
      </x:c>
      <x:c r="T54" s="62" t="n">
        <x:f>IF(O54="","",(1/'Metadata'!$B$5)^(O54-1))</x:f>
        <x:v>15007.428609226863</x:v>
      </x:c>
      <x:c r="U54" s="60" t="n">
        <x:f>IF(T54="","",I54*T54)</x:f>
        <x:v>39184499.04840298</x:v>
      </x:c>
    </x:row>
    <x:row r="55" ht="18" customHeight="1">
      <x:c r="A55" s="46" t="str">
        <x:v>LME_024</x:v>
      </x:c>
      <x:c r="B55" s="46" t="str">
        <x:v>Celtic-Biscay Shelf</x:v>
      </x:c>
      <x:c r="C55" s="46" t="str">
        <x:v>LME</x:v>
      </x:c>
      <x:c r="D55" s="58" t="n">
        <x:v>2019</x:v>
      </x:c>
      <x:c r="E55" s="46" t="str">
        <x:v>Marine pelagic fishes not identified</x:v>
      </x:c>
      <x:c r="F55" s="46" t="str">
        <x:v>Pelagic fishes</x:v>
      </x:c>
      <x:c r="G55" s="46" t="str">
        <x:v>Medium pelagics (30 - 89 cm)</x:v>
      </x:c>
      <x:c r="H55" s="46" t="str">
        <x:v>Other fishes &amp; inverts</x:v>
      </x:c>
      <x:c r="I55" s="60" t="n">
        <x:v>2571.216195204</x:v>
      </x:c>
      <x:c r="J55" s="60" t="n">
        <x:v>2571.216195204</x:v>
      </x:c>
      <x:c r="K55" s="60" t="n">
        <x:v>0</x:v>
      </x:c>
      <x:c r="L55" s="60" t="n">
        <x:v>2571.216195204</x:v>
      </x:c>
      <x:c r="M55" s="60" t="n">
        <x:v>0</x:v>
      </x:c>
      <x:c r="N55" s="46" t="str">
        <x:v>marine pelagic fishes not identified</x:v>
      </x:c>
      <x:c r="O55" s="62" t="n">
        <x:v>3.35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Marine pelagic fishes not identified</x:v>
      </x:c>
      <x:c r="T55" s="62" t="n">
        <x:f>IF(O55="","",(1/'Metadata'!$B$5)^(O55-1))</x:f>
        <x:v>1141.3543275066227</x:v>
      </x:c>
      <x:c r="U55" s="60" t="n">
        <x:f>IF(T55="","",I55*T55)</x:f>
        <x:v>2934668.7313511986</x:v>
      </x:c>
    </x:row>
    <x:row r="56" ht="18" customHeight="1">
      <x:c r="A56" s="46" t="str">
        <x:v>LME_024</x:v>
      </x:c>
      <x:c r="B56" s="46" t="str">
        <x:v>Celtic-Biscay Shelf</x:v>
      </x:c>
      <x:c r="C56" s="46" t="str">
        <x:v>LME</x:v>
      </x:c>
      <x:c r="D56" s="58" t="n">
        <x:v>2019</x:v>
      </x:c>
      <x:c r="E56" s="46" t="str">
        <x:v>Raja brachyura</x:v>
      </x:c>
      <x:c r="F56" s="46" t="str">
        <x:v>Blonde ray</x:v>
      </x:c>
      <x:c r="G56" s="46" t="str">
        <x:v>Large rays (&gt;=90 cm)</x:v>
      </x:c>
      <x:c r="H56" s="46" t="str">
        <x:v>Sharks &amp; rays</x:v>
      </x:c>
      <x:c r="I56" s="60" t="n">
        <x:v>2523.4511175896</x:v>
      </x:c>
      <x:c r="J56" s="60" t="n">
        <x:v>2523.4511175896</x:v>
      </x:c>
      <x:c r="K56" s="60" t="n">
        <x:v>0</x:v>
      </x:c>
      <x:c r="L56" s="60" t="n">
        <x:v>2488.5326457429</x:v>
      </x:c>
      <x:c r="M56" s="60" t="n">
        <x:v>34.9184718467</x:v>
      </x:c>
      <x:c r="N56" s="46" t="str">
        <x:v>raja brachyura</x:v>
      </x:c>
      <x:c r="O56" s="62" t="n">
        <x:v>3.89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Raja brachyura</x:v>
      </x:c>
      <x:c r="T56" s="62" t="n">
        <x:f>IF(O56="","",(1/'Metadata'!$B$5)^(O56-1))</x:f>
        <x:v>5754.090490759748</x:v>
      </x:c>
      <x:c r="U56" s="60" t="n">
        <x:f>IF(T56="","",I56*T56)</x:f>
        <x:v>14520166.079619376</x:v>
      </x:c>
    </x:row>
    <x:row r="57" ht="18" customHeight="1">
      <x:c r="A57" s="46" t="str">
        <x:v>LME_024</x:v>
      </x:c>
      <x:c r="B57" s="46" t="str">
        <x:v>Celtic-Biscay Shelf</x:v>
      </x:c>
      <x:c r="C57" s="46" t="str">
        <x:v>LME</x:v>
      </x:c>
      <x:c r="D57" s="58" t="n">
        <x:v>2019</x:v>
      </x:c>
      <x:c r="E57" s="46" t="str">
        <x:v>Microstomus kitt</x:v>
      </x:c>
      <x:c r="F57" s="46" t="str">
        <x:v>Lemon sole</x:v>
      </x:c>
      <x:c r="G57" s="46" t="str">
        <x:v>Small to medium flatfishes (&lt;90 cm)</x:v>
      </x:c>
      <x:c r="H57" s="46" t="str">
        <x:v>Flatfishes</x:v>
      </x:c>
      <x:c r="I57" s="60" t="n">
        <x:v>2448.9644174242</x:v>
      </x:c>
      <x:c r="J57" s="60" t="n">
        <x:v>2380.3314631524</x:v>
      </x:c>
      <x:c r="K57" s="60" t="n">
        <x:v>68.6329542718</x:v>
      </x:c>
      <x:c r="L57" s="60" t="n">
        <x:v>2323.0852612948</x:v>
      </x:c>
      <x:c r="M57" s="60" t="n">
        <x:v>125.8791561294</x:v>
      </x:c>
      <x:c r="N57" s="46" t="str">
        <x:v>microstomus kitt</x:v>
      </x:c>
      <x:c r="O57" s="62" t="n">
        <x:v>3.22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Microstomus kitt</x:v>
      </x:c>
      <x:c r="T57" s="62" t="n">
        <x:f>IF(O57="","",(1/'Metadata'!$B$5)^(O57-1))</x:f>
        <x:v>773.1906443023378</x:v>
      </x:c>
      <x:c r="U57" s="60" t="n">
        <x:f>IF(T57="","",I57*T57)</x:f>
        <x:v>1893516.3757817163</x:v>
      </x:c>
    </x:row>
    <x:row r="58" ht="18" customHeight="1">
      <x:c r="A58" s="46" t="str">
        <x:v>LME_024</x:v>
      </x:c>
      <x:c r="B58" s="46" t="str">
        <x:v>Celtic-Biscay Shelf</x:v>
      </x:c>
      <x:c r="C58" s="46" t="str">
        <x:v>LME</x:v>
      </x:c>
      <x:c r="D58" s="58" t="n">
        <x:v>2019</x:v>
      </x:c>
      <x:c r="E58" s="46" t="str">
        <x:v>Clupeidae</x:v>
      </x:c>
      <x:c r="F58" s="46" t="str">
        <x:v>Herrings, sardines, menhadens</x:v>
      </x:c>
      <x:c r="G58" s="46" t="str">
        <x:v>Small pelagics (&lt;30 cm)</x:v>
      </x:c>
      <x:c r="H58" s="46" t="str">
        <x:v>Herring-likes</x:v>
      </x:c>
      <x:c r="I58" s="60" t="n">
        <x:v>2412.3370011941</x:v>
      </x:c>
      <x:c r="J58" s="60" t="n">
        <x:v>826.5634333126999</x:v>
      </x:c>
      <x:c r="K58" s="60" t="n">
        <x:v>1585.7735678814001</x:v>
      </x:c>
      <x:c r="L58" s="60" t="n">
        <x:v>7.656423064299999</x:v>
      </x:c>
      <x:c r="M58" s="60" t="n">
        <x:v>2404.6805781298</x:v>
      </x:c>
      <x:c r="N58" s="46" t="str">
        <x:v>clupeidae</x:v>
      </x:c>
      <x:c r="O58" s="62" t="n">
        <x:v>3.16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Clupeidae</x:v>
      </x:c>
      <x:c r="T58" s="62" t="n">
        <x:f>IF(O58="","",(1/'Metadata'!$B$5)^(O58-1))</x:f>
        <x:v>645.9885058849935</x:v>
      </x:c>
      <x:c r="U58" s="60" t="n">
        <x:f>IF(T58="","",I58*T58)</x:f>
        <x:v>1558341.9750924625</x:v>
      </x:c>
    </x:row>
    <x:row r="59" ht="18" customHeight="1">
      <x:c r="A59" s="46" t="str">
        <x:v>LME_024</x:v>
      </x:c>
      <x:c r="B59" s="46" t="str">
        <x:v>Celtic-Biscay Shelf</x:v>
      </x:c>
      <x:c r="C59" s="46" t="str">
        <x:v>LME</x:v>
      </x:c>
      <x:c r="D59" s="58" t="n">
        <x:v>2019</x:v>
      </x:c>
      <x:c r="E59" s="46" t="str">
        <x:v>Merlucciidae</x:v>
      </x:c>
      <x:c r="F59" s="46" t="str">
        <x:v>Merluccid hakes</x:v>
      </x:c>
      <x:c r="G59" s="46" t="str">
        <x:v>Large bathydemersals (&gt;=90 cm)</x:v>
      </x:c>
      <x:c r="H59" s="46" t="str">
        <x:v>Cod-likes</x:v>
      </x:c>
      <x:c r="I59" s="60" t="n">
        <x:v>2320.7788621589</x:v>
      </x:c>
      <x:c r="J59" s="60" t="n">
        <x:v>0</x:v>
      </x:c>
      <x:c r="K59" s="60" t="n">
        <x:v>2320.7788621589</x:v>
      </x:c>
      <x:c r="L59" s="60" t="n">
        <x:v>0</x:v>
      </x:c>
      <x:c r="M59" s="60" t="n">
        <x:v>2320.7788621589</x:v>
      </x:c>
      <x:c r="N59" s="46" t="str">
        <x:v>merlucciidae</x:v>
      </x:c>
      <x:c r="O59" s="62" t="n">
        <x:v>4.35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Merlucciidae</x:v>
      </x:c>
      <x:c r="T59" s="62" t="n">
        <x:f>IF(O59="","",(1/'Metadata'!$B$5)^(O59-1))</x:f>
        <x:v>22827.086550132422</x:v>
      </x:c>
      <x:c r="U59" s="60" t="n">
        <x:f>IF(T59="","",I59*T59)</x:f>
        <x:v>52976619.95021906</x:v>
      </x:c>
    </x:row>
    <x:row r="60" ht="18" customHeight="1">
      <x:c r="A60" s="46" t="str">
        <x:v>LME_024</x:v>
      </x:c>
      <x:c r="B60" s="46" t="str">
        <x:v>Celtic-Biscay Shelf</x:v>
      </x:c>
      <x:c r="C60" s="46" t="str">
        <x:v>LME</x:v>
      </x:c>
      <x:c r="D60" s="58" t="n">
        <x:v>2019</x:v>
      </x:c>
      <x:c r="E60" s="46" t="str">
        <x:v>Elasmobranchii</x:v>
      </x:c>
      <x:c r="F60" s="46" t="str">
        <x:v>Sharks, rays, skates</x:v>
      </x:c>
      <x:c r="G60" s="46" t="str">
        <x:v>Large sharks (&gt;=90 cm)</x:v>
      </x:c>
      <x:c r="H60" s="46" t="str">
        <x:v>Sharks &amp; rays</x:v>
      </x:c>
      <x:c r="I60" s="60" t="n">
        <x:v>2226.4588228396</x:v>
      </x:c>
      <x:c r="J60" s="60" t="n">
        <x:v>19.9615973135</x:v>
      </x:c>
      <x:c r="K60" s="60" t="n">
        <x:v>2206.4972255261</x:v>
      </x:c>
      <x:c r="L60" s="60" t="n">
        <x:v>19.6343511588</x:v>
      </x:c>
      <x:c r="M60" s="60" t="n">
        <x:v>2206.8244716808</x:v>
      </x:c>
      <x:c r="N60" s="46" t="str">
        <x:v>elasmobranchii</x:v>
      </x:c>
      <x:c r="O60" s="62" t="n">
        <x:v>4.05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Elasmobranchii</x:v>
      </x:c>
      <x:c r="T60" s="62" t="n">
        <x:f>IF(O60="","",(1/'Metadata'!$B$5)^(O60-1))</x:f>
        <x:v>9292.690797132333</x:v>
      </x:c>
      <x:c r="U60" s="60" t="n">
        <x:f>IF(T60="","",I60*T60)</x:f>
        <x:v>20689793.41319564</x:v>
      </x:c>
    </x:row>
    <x:row r="61" ht="18" customHeight="1">
      <x:c r="A61" s="46" t="str">
        <x:v>LME_024</x:v>
      </x:c>
      <x:c r="B61" s="46" t="str">
        <x:v>Celtic-Biscay Shelf</x:v>
      </x:c>
      <x:c r="C61" s="46" t="str">
        <x:v>LME</x:v>
      </x:c>
      <x:c r="D61" s="58" t="n">
        <x:v>2019</x:v>
      </x:c>
      <x:c r="E61" s="46" t="str">
        <x:v>Thunnus alalunga</x:v>
      </x:c>
      <x:c r="F61" s="46" t="str">
        <x:v>Albacore</x:v>
      </x:c>
      <x:c r="G61" s="46" t="str">
        <x:v>Large pelagics (&gt;=90 cm)</x:v>
      </x:c>
      <x:c r="H61" s="46" t="str">
        <x:v>Tuna &amp; billfishes</x:v>
      </x:c>
      <x:c r="I61" s="60" t="n">
        <x:v>2163.4994567395</x:v>
      </x:c>
      <x:c r="J61" s="60" t="n">
        <x:v>2163.4994567395</x:v>
      </x:c>
      <x:c r="K61" s="60" t="n">
        <x:v>0</x:v>
      </x:c>
      <x:c r="L61" s="60" t="n">
        <x:v>2163.4994567395</x:v>
      </x:c>
      <x:c r="M61" s="60" t="n">
        <x:v>0</x:v>
      </x:c>
      <x:c r="N61" s="46" t="str">
        <x:v>thunnus alalunga</x:v>
      </x:c>
      <x:c r="O61" s="62" t="n">
        <x:v>4.3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Thunnus alalunga</x:v>
      </x:c>
      <x:c r="T61" s="62" t="n">
        <x:f>IF(O61="","",(1/'Metadata'!$B$5)^(O61-1))</x:f>
        <x:v>19651.648417852637</x:v>
      </x:c>
      <x:c r="U61" s="60" t="n">
        <x:f>IF(T61="","",I61*T61)</x:f>
        <x:v>42516330.676059835</x:v>
      </x:c>
    </x:row>
    <x:row r="62" ht="18" customHeight="1">
      <x:c r="A62" s="46" t="str">
        <x:v>LME_024</x:v>
      </x:c>
      <x:c r="B62" s="46" t="str">
        <x:v>Celtic-Biscay Shelf</x:v>
      </x:c>
      <x:c r="C62" s="46" t="str">
        <x:v>LME</x:v>
      </x:c>
      <x:c r="D62" s="58" t="n">
        <x:v>2019</x:v>
      </x:c>
      <x:c r="E62" s="46" t="str">
        <x:v>Bivalvia</x:v>
      </x:c>
      <x:c r="F62" s="46" t="str">
        <x:v>Clams</x:v>
      </x:c>
      <x:c r="G62" s="46" t="str">
        <x:v>Other demersal invertebrates</x:v>
      </x:c>
      <x:c r="H62" s="46" t="str">
        <x:v>Molluscs</x:v>
      </x:c>
      <x:c r="I62" s="60" t="n">
        <x:v>2126.7617826189</x:v>
      </x:c>
      <x:c r="J62" s="60" t="n">
        <x:v>495.86535305919995</x:v>
      </x:c>
      <x:c r="K62" s="60" t="n">
        <x:v>1630.8964295597</x:v>
      </x:c>
      <x:c r="L62" s="60" t="n">
        <x:v>273.475962021</x:v>
      </x:c>
      <x:c r="M62" s="60" t="n">
        <x:v>1853.2858205979</x:v>
      </x:c>
      <x:c r="N62" s="46" t="str">
        <x:v>bivalvia</x:v>
      </x:c>
      <x:c r="O62" s="62" t="n">
        <x:v>2.23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Bivalvia</x:v>
      </x:c>
      <x:c r="T62" s="62" t="n">
        <x:f>IF(O62="","",(1/'Metadata'!$B$5)^(O62-1))</x:f>
        <x:v>39.83519015836661</x:v>
      </x:c>
      <x:c r="U62" s="60" t="n">
        <x:f>IF(T62="","",I62*T62)</x:f>
        <x:v>84719.96003217062</x:v>
      </x:c>
    </x:row>
    <x:row r="63" ht="18" customHeight="1">
      <x:c r="A63" s="46" t="str">
        <x:v>LME_024</x:v>
      </x:c>
      <x:c r="B63" s="46" t="str">
        <x:v>Celtic-Biscay Shelf</x:v>
      </x:c>
      <x:c r="C63" s="46" t="str">
        <x:v>LME</x:v>
      </x:c>
      <x:c r="D63" s="58" t="n">
        <x:v>2019</x:v>
      </x:c>
      <x:c r="E63" s="46" t="str">
        <x:v>Zeus faber</x:v>
      </x:c>
      <x:c r="F63" s="46" t="str">
        <x:v>John dory</x:v>
      </x:c>
      <x:c r="G63" s="46" t="str">
        <x:v>Medium benthopelagics (30 - 89 cm)</x:v>
      </x:c>
      <x:c r="H63" s="46" t="str">
        <x:v>Other fishes &amp; inverts</x:v>
      </x:c>
      <x:c r="I63" s="60" t="n">
        <x:v>2095.4745083118</x:v>
      </x:c>
      <x:c r="J63" s="60" t="n">
        <x:v>2093.4661638114</x:v>
      </x:c>
      <x:c r="K63" s="60" t="n">
        <x:v>2.0083445004</x:v>
      </x:c>
      <x:c r="L63" s="60" t="n">
        <x:v>2093.4660374229</x:v>
      </x:c>
      <x:c r="M63" s="60" t="n">
        <x:v>2.0084708889</x:v>
      </x:c>
      <x:c r="N63" s="46" t="str">
        <x:v>zeus faber</x:v>
      </x:c>
      <x:c r="O63" s="62" t="n">
        <x:v>4.5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Zeus faber</x:v>
      </x:c>
      <x:c r="T63" s="62" t="n">
        <x:f>IF(O63="","",(1/'Metadata'!$B$5)^(O63-1))</x:f>
        <x:v>35777.08763999664</x:v>
      </x:c>
      <x:c r="U63" s="60" t="n">
        <x:f>IF(T63="","",I63*T63)</x:f>
        <x:v>74969975.13125013</x:v>
      </x:c>
    </x:row>
    <x:row r="64" ht="18" customHeight="1">
      <x:c r="A64" s="46" t="str">
        <x:v>LME_024</x:v>
      </x:c>
      <x:c r="B64" s="46" t="str">
        <x:v>Celtic-Biscay Shelf</x:v>
      </x:c>
      <x:c r="C64" s="46" t="str">
        <x:v>LME</x:v>
      </x:c>
      <x:c r="D64" s="58" t="n">
        <x:v>2019</x:v>
      </x:c>
      <x:c r="E64" s="46" t="str">
        <x:v>Capros aper</x:v>
      </x:c>
      <x:c r="F64" s="46" t="str">
        <x:v>Boarfish</x:v>
      </x:c>
      <x:c r="G64" s="46" t="str">
        <x:v>Small demersals (&lt;30 cm)</x:v>
      </x:c>
      <x:c r="H64" s="46" t="str">
        <x:v>Perch-likes</x:v>
      </x:c>
      <x:c r="I64" s="60" t="n">
        <x:v>2019.1330650467</x:v>
      </x:c>
      <x:c r="J64" s="60" t="n">
        <x:v>1983.1389963491</x:v>
      </x:c>
      <x:c r="K64" s="60" t="n">
        <x:v>35.9940686976</x:v>
      </x:c>
      <x:c r="L64" s="60" t="n">
        <x:v>1983.1389963491</x:v>
      </x:c>
      <x:c r="M64" s="60" t="n">
        <x:v>35.9940686976</x:v>
      </x:c>
      <x:c r="N64" s="46" t="str">
        <x:v>capros aper</x:v>
      </x:c>
      <x:c r="O64" s="62" t="n">
        <x:v>3.14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Capros aper</x:v>
      </x:c>
      <x:c r="T64" s="62" t="n">
        <x:f>IF(O64="","",(1/'Metadata'!$B$5)^(O64-1))</x:f>
        <x:v>608.420993216597</x:v>
      </x:c>
      <x:c r="U64" s="60" t="n">
        <x:f>IF(T64="","",I64*T64)</x:f>
        <x:v>1228482.9448721851</x:v>
      </x:c>
    </x:row>
    <x:row r="65" ht="18" customHeight="1">
      <x:c r="A65" s="46" t="str">
        <x:v>LME_024</x:v>
      </x:c>
      <x:c r="B65" s="46" t="str">
        <x:v>Celtic-Biscay Shelf</x:v>
      </x:c>
      <x:c r="C65" s="46" t="str">
        <x:v>LME</x:v>
      </x:c>
      <x:c r="D65" s="58" t="n">
        <x:v>2019</x:v>
      </x:c>
      <x:c r="E65" s="46" t="str">
        <x:v>Chelidonichthys lucerna</x:v>
      </x:c>
      <x:c r="F65" s="46" t="str">
        <x:v>Tub gurnard</x:v>
      </x:c>
      <x:c r="G65" s="46" t="str">
        <x:v>Medium demersals (30 - 89 cm)</x:v>
      </x:c>
      <x:c r="H65" s="46" t="str">
        <x:v>Scorpionfishes</x:v>
      </x:c>
      <x:c r="I65" s="60" t="n">
        <x:v>2004.7440920576</x:v>
      </x:c>
      <x:c r="J65" s="60" t="n">
        <x:v>2004.7338158703</x:v>
      </x:c>
      <x:c r="K65" s="60" t="n">
        <x:v>0.0102761873</x:v>
      </x:c>
      <x:c r="L65" s="60" t="n">
        <x:v>1924.5171919676</x:v>
      </x:c>
      <x:c r="M65" s="60" t="n">
        <x:v>80.22690009</x:v>
      </x:c>
      <x:c r="N65" s="46" t="str">
        <x:v>chelidonichthys lucerna</x:v>
      </x:c>
      <x:c r="O65" s="62" t="n">
        <x:v>3.98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Chelidonichthys lucerna</x:v>
      </x:c>
      <x:c r="T65" s="62" t="n">
        <x:f>IF(O65="","",(1/'Metadata'!$B$5)^(O65-1))</x:f>
        <x:v>7534.759367064222</x:v>
      </x:c>
      <x:c r="U65" s="60" t="n">
        <x:f>IF(T65="","",I65*T65)</x:f>
        <x:v>15105264.32619766</x:v>
      </x:c>
    </x:row>
    <x:row r="66" ht="18" customHeight="1">
      <x:c r="A66" s="46" t="str">
        <x:v>LME_024</x:v>
      </x:c>
      <x:c r="B66" s="46" t="str">
        <x:v>Celtic-Biscay Shelf</x:v>
      </x:c>
      <x:c r="C66" s="46" t="str">
        <x:v>LME</x:v>
      </x:c>
      <x:c r="D66" s="58" t="n">
        <x:v>2019</x:v>
      </x:c>
      <x:c r="E66" s="46" t="str">
        <x:v>Molva dypterygia</x:v>
      </x:c>
      <x:c r="F66" s="46" t="str">
        <x:v>Blue ling</x:v>
      </x:c>
      <x:c r="G66" s="46" t="str">
        <x:v>Large demersals (&gt;=90 cm)</x:v>
      </x:c>
      <x:c r="H66" s="46" t="str">
        <x:v>Cod-likes</x:v>
      </x:c>
      <x:c r="I66" s="60" t="n">
        <x:v>1809.6062980413</x:v>
      </x:c>
      <x:c r="J66" s="60" t="n">
        <x:v>1809.6062980413</x:v>
      </x:c>
      <x:c r="K66" s="60" t="n">
        <x:v>0</x:v>
      </x:c>
      <x:c r="L66" s="60" t="n">
        <x:v>1807.8942955628002</x:v>
      </x:c>
      <x:c r="M66" s="60" t="n">
        <x:v>1.7120024785</x:v>
      </x:c>
      <x:c r="N66" s="46" t="str">
        <x:v>molva dypterygia</x:v>
      </x:c>
      <x:c r="O66" s="62" t="n">
        <x:v>4.49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Molva dypterygia</x:v>
      </x:c>
      <x:c r="T66" s="62" t="n">
        <x:f>IF(O66="","",(1/'Metadata'!$B$5)^(O66-1))</x:f>
        <x:v>34721.19667768202</x:v>
      </x:c>
      <x:c r="U66" s="60" t="n">
        <x:f>IF(T66="","",I66*T66)</x:f>
        <x:v>62831696.18346404</x:v>
      </x:c>
    </x:row>
    <x:row r="67" ht="18" customHeight="1">
      <x:c r="A67" s="46" t="str">
        <x:v>LME_024</x:v>
      </x:c>
      <x:c r="B67" s="46" t="str">
        <x:v>Celtic-Biscay Shelf</x:v>
      </x:c>
      <x:c r="C67" s="46" t="str">
        <x:v>LME</x:v>
      </x:c>
      <x:c r="D67" s="58" t="n">
        <x:v>2019</x:v>
      </x:c>
      <x:c r="E67" s="46" t="str">
        <x:v>Sparidae</x:v>
      </x:c>
      <x:c r="F67" s="46" t="str">
        <x:v>Porgies, seabreams</x:v>
      </x:c>
      <x:c r="G67" s="46" t="str">
        <x:v>Medium benthopelagics (30 - 89 cm)</x:v>
      </x:c>
      <x:c r="H67" s="46" t="str">
        <x:v>Perch-likes</x:v>
      </x:c>
      <x:c r="I67" s="60" t="n">
        <x:v>1761.6624708593</x:v>
      </x:c>
      <x:c r="J67" s="60" t="n">
        <x:v>1761.6624708593</x:v>
      </x:c>
      <x:c r="K67" s="60" t="n">
        <x:v>0</x:v>
      </x:c>
      <x:c r="L67" s="60" t="n">
        <x:v>125.40972552319998</x:v>
      </x:c>
      <x:c r="M67" s="60" t="n">
        <x:v>1636.2527453361</x:v>
      </x:c>
      <x:c r="N67" s="46" t="str">
        <x:v>sparidae</x:v>
      </x:c>
      <x:c r="O67" s="62" t="n">
        <x:v>3.31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Sparidae</x:v>
      </x:c>
      <x:c r="T67" s="62" t="n">
        <x:f>IF(O67="","",(1/'Metadata'!$B$5)^(O67-1))</x:f>
        <x:v>1012.4633005057666</x:v>
      </x:c>
      <x:c r="U67" s="60" t="n">
        <x:f>IF(T67="","",I67*T67)</x:f>
        <x:v>1783618.5996233507</x:v>
      </x:c>
    </x:row>
    <x:row r="68" ht="18" customHeight="1">
      <x:c r="A68" s="46" t="str">
        <x:v>LME_024</x:v>
      </x:c>
      <x:c r="B68" s="46" t="str">
        <x:v>Celtic-Biscay Shelf</x:v>
      </x:c>
      <x:c r="C68" s="46" t="str">
        <x:v>LME</x:v>
      </x:c>
      <x:c r="D68" s="58" t="n">
        <x:v>2019</x:v>
      </x:c>
      <x:c r="E68" s="46" t="str">
        <x:v>Mugilidae</x:v>
      </x:c>
      <x:c r="F68" s="46" t="str">
        <x:v>Mullets, grey mullets</x:v>
      </x:c>
      <x:c r="G68" s="46" t="str">
        <x:v>Medium reef assoc. fish (30 - 89 cm)</x:v>
      </x:c>
      <x:c r="H68" s="46" t="str">
        <x:v>Perch-likes</x:v>
      </x:c>
      <x:c r="I68" s="60" t="n">
        <x:v>1761.3690228144</x:v>
      </x:c>
      <x:c r="J68" s="60" t="n">
        <x:v>1761.3690228144</x:v>
      </x:c>
      <x:c r="K68" s="60" t="n">
        <x:v>0</x:v>
      </x:c>
      <x:c r="L68" s="60" t="n">
        <x:v>126.92376138</x:v>
      </x:c>
      <x:c r="M68" s="60" t="n">
        <x:v>1634.4452614344</x:v>
      </x:c>
      <x:c r="N68" s="46" t="str">
        <x:v>mugilidae</x:v>
      </x:c>
      <x:c r="O68" s="62" t="n">
        <x:v>2.53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Mugilidae</x:v>
      </x:c>
      <x:c r="T68" s="62" t="n">
        <x:f>IF(O68="","",(1/'Metadata'!$B$5)^(O68-1))</x:f>
        <x:v>97.8533939563155</x:v>
      </x:c>
      <x:c r="U68" s="60" t="n">
        <x:f>IF(T68="","",I68*T68)</x:f>
        <x:v>172355.93689190794</x:v>
      </x:c>
    </x:row>
    <x:row r="69" ht="18" customHeight="1">
      <x:c r="A69" s="46" t="str">
        <x:v>LME_024</x:v>
      </x:c>
      <x:c r="B69" s="46" t="str">
        <x:v>Celtic-Biscay Shelf</x:v>
      </x:c>
      <x:c r="C69" s="46" t="str">
        <x:v>LME</x:v>
      </x:c>
      <x:c r="D69" s="58" t="n">
        <x:v>2019</x:v>
      </x:c>
      <x:c r="E69" s="46" t="str">
        <x:v>Boops boops</x:v>
      </x:c>
      <x:c r="F69" s="46" t="str">
        <x:v>Bogue</x:v>
      </x:c>
      <x:c r="G69" s="46" t="str">
        <x:v>Medium demersals (30 - 89 cm)</x:v>
      </x:c>
      <x:c r="H69" s="46" t="str">
        <x:v>Perch-likes</x:v>
      </x:c>
      <x:c r="I69" s="60" t="n">
        <x:v>1750.9392796331</x:v>
      </x:c>
      <x:c r="J69" s="60" t="n">
        <x:v>1749.9904999571002</x:v>
      </x:c>
      <x:c r="K69" s="60" t="n">
        <x:v>0.948779676</x:v>
      </x:c>
      <x:c r="L69" s="60" t="n">
        <x:v>1724.6677149368</x:v>
      </x:c>
      <x:c r="M69" s="60" t="n">
        <x:v>26.2715646963</x:v>
      </x:c>
      <x:c r="N69" s="46" t="str">
        <x:v>boops boops</x:v>
      </x:c>
      <x:c r="O69" s="62" t="n">
        <x:v>2.79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Boops boops</x:v>
      </x:c>
      <x:c r="T69" s="62" t="n">
        <x:f>IF(O69="","",(1/'Metadata'!$B$5)^(O69-1))</x:f>
        <x:v>213.22773429903754</x:v>
      </x:c>
      <x:c r="U69" s="60" t="n">
        <x:f>IF(T69="","",I69*T69)</x:f>
        <x:v>373348.81549135485</x:v>
      </x:c>
    </x:row>
    <x:row r="70" ht="18" customHeight="1">
      <x:c r="A70" s="46" t="str">
        <x:v>LME_024</x:v>
      </x:c>
      <x:c r="B70" s="46" t="str">
        <x:v>Celtic-Biscay Shelf</x:v>
      </x:c>
      <x:c r="C70" s="46" t="str">
        <x:v>LME</x:v>
      </x:c>
      <x:c r="D70" s="58" t="n">
        <x:v>2019</x:v>
      </x:c>
      <x:c r="E70" s="46" t="str">
        <x:v>Congridae</x:v>
      </x:c>
      <x:c r="F70" s="46" t="str">
        <x:v>Conger, garden eels</x:v>
      </x:c>
      <x:c r="G70" s="46" t="str">
        <x:v>Large demersals (&gt;=90 cm)</x:v>
      </x:c>
      <x:c r="H70" s="46" t="str">
        <x:v>Other fishes &amp; inverts</x:v>
      </x:c>
      <x:c r="I70" s="60" t="n">
        <x:v>1589.3530051967</x:v>
      </x:c>
      <x:c r="J70" s="60" t="n">
        <x:v>1.5138993797</x:v>
      </x:c>
      <x:c r="K70" s="60" t="n">
        <x:v>1587.839105817</x:v>
      </x:c>
      <x:c r="L70" s="60" t="n">
        <x:v>1.5138982735</x:v>
      </x:c>
      <x:c r="M70" s="60" t="n">
        <x:v>1587.8391069232</x:v>
      </x:c>
      <x:c r="N70" s="46" t="str">
        <x:v>congridae</x:v>
      </x:c>
      <x:c r="O70" s="62" t="n">
        <x:v>4.18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Congridae</x:v>
      </x:c>
      <x:c r="T70" s="62" t="n">
        <x:f>IF(O70="","",(1/'Metadata'!$B$5)^(O70-1))</x:f>
        <x:v>13717.513182092556</x:v>
      </x:c>
      <x:c r="U70" s="60" t="n">
        <x:f>IF(T70="","",I70*T70)</x:f>
        <x:v>21801970.79978415</x:v>
      </x:c>
    </x:row>
    <x:row r="71" ht="18" customHeight="1">
      <x:c r="A71" s="46" t="str">
        <x:v>LME_024</x:v>
      </x:c>
      <x:c r="B71" s="46" t="str">
        <x:v>Celtic-Biscay Shelf</x:v>
      </x:c>
      <x:c r="C71" s="46" t="str">
        <x:v>LME</x:v>
      </x:c>
      <x:c r="D71" s="58" t="n">
        <x:v>2019</x:v>
      </x:c>
      <x:c r="E71" s="46" t="str">
        <x:v>Moronidae</x:v>
      </x:c>
      <x:c r="F71" s="46" t="str">
        <x:v>Temperate basses</x:v>
      </x:c>
      <x:c r="G71" s="46" t="str">
        <x:v>Medium demersals (30 - 89 cm)</x:v>
      </x:c>
      <x:c r="H71" s="46" t="str">
        <x:v>Perch-likes</x:v>
      </x:c>
      <x:c r="I71" s="60" t="n">
        <x:v>1456.7266058048</x:v>
      </x:c>
      <x:c r="J71" s="60" t="n">
        <x:v>1456.7266058048</x:v>
      </x:c>
      <x:c r="K71" s="60" t="n">
        <x:v>0</x:v>
      </x:c>
      <x:c r="L71" s="60" t="n">
        <x:v>0</x:v>
      </x:c>
      <x:c r="M71" s="60" t="n">
        <x:v>1456.7266058048</x:v>
      </x:c>
      <x:c r="N71" s="46" t="str">
        <x:v>moronidae</x:v>
      </x:c>
      <x:c r="O71" s="62" t="n">
        <x:v>3.87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Moronidae</x:v>
      </x:c>
      <x:c r="T71" s="62" t="n">
        <x:f>IF(O71="","",(1/'Metadata'!$B$5)^(O71-1))</x:f>
        <x:v>5419.460903023396</x:v>
      </x:c>
      <x:c r="U71" s="60" t="n">
        <x:f>IF(T71="","",I71*T71)</x:f>
        <x:v>7894672.886553088</x:v>
      </x:c>
    </x:row>
    <x:row r="72" ht="18" customHeight="1">
      <x:c r="A72" s="46" t="str">
        <x:v>LME_024</x:v>
      </x:c>
      <x:c r="B72" s="46" t="str">
        <x:v>Celtic-Biscay Shelf</x:v>
      </x:c>
      <x:c r="C72" s="46" t="str">
        <x:v>LME</x:v>
      </x:c>
      <x:c r="D72" s="58" t="n">
        <x:v>2019</x:v>
      </x:c>
      <x:c r="E72" s="46" t="str">
        <x:v>Scomber colias</x:v>
      </x:c>
      <x:c r="F72" s="46" t="str">
        <x:v>Atlantic chub mackerel</x:v>
      </x:c>
      <x:c r="G72" s="46" t="str">
        <x:v>Medium pelagics (30 - 89 cm)</x:v>
      </x:c>
      <x:c r="H72" s="46" t="str">
        <x:v>Perch-likes</x:v>
      </x:c>
      <x:c r="I72" s="60" t="n">
        <x:v>1395.153526443</x:v>
      </x:c>
      <x:c r="J72" s="60" t="n">
        <x:v>1395.153526443</x:v>
      </x:c>
      <x:c r="K72" s="60" t="n">
        <x:v>0</x:v>
      </x:c>
      <x:c r="L72" s="60" t="n">
        <x:v>1365.4977396841</x:v>
      </x:c>
      <x:c r="M72" s="60" t="n">
        <x:v>29.6557867589</x:v>
      </x:c>
      <x:c r="N72" s="46" t="str">
        <x:v>scomber colias</x:v>
      </x:c>
      <x:c r="O72" s="62" t="n">
        <x:v>3.91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Scomber colias</x:v>
      </x:c>
      <x:c r="T72" s="62" t="n">
        <x:f>IF(O72="","",(1/'Metadata'!$B$5)^(O72-1))</x:f>
        <x:v>6109.382089532312</x:v>
      </x:c>
      <x:c r="U72" s="60" t="n">
        <x:f>IF(T72="","",I72*T72)</x:f>
        <x:v>8523525.96659871</x:v>
      </x:c>
    </x:row>
    <x:row r="73" ht="18" customHeight="1">
      <x:c r="A73" s="46" t="str">
        <x:v>LME_024</x:v>
      </x:c>
      <x:c r="B73" s="46" t="str">
        <x:v>Celtic-Biscay Shelf</x:v>
      </x:c>
      <x:c r="C73" s="46" t="str">
        <x:v>LME</x:v>
      </x:c>
      <x:c r="D73" s="58" t="n">
        <x:v>2019</x:v>
      </x:c>
      <x:c r="E73" s="46" t="str">
        <x:v>Crangonidae</x:v>
      </x:c>
      <x:c r="F73" s="46" t="str">
        <x:v>Brown shrimps</x:v>
      </x:c>
      <x:c r="G73" s="46" t="str">
        <x:v>Shrimps</x:v>
      </x:c>
      <x:c r="H73" s="46" t="str">
        <x:v>Crustaceans</x:v>
      </x:c>
      <x:c r="I73" s="60" t="n">
        <x:v>1380.5861946840998</x:v>
      </x:c>
      <x:c r="J73" s="60" t="n">
        <x:v>0</x:v>
      </x:c>
      <x:c r="K73" s="60" t="n">
        <x:v>1380.5861946840998</x:v>
      </x:c>
      <x:c r="L73" s="60" t="n">
        <x:v>0</x:v>
      </x:c>
      <x:c r="M73" s="60" t="n">
        <x:v>1380.5861946840998</x:v>
      </x:c>
      <x:c r="N73" s="46" t="str">
        <x:v>crangonidae</x:v>
      </x:c>
      <x:c r="O73" s="62" t="n">
        <x:v>3.19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Crangonidae</x:v>
      </x:c>
      <x:c r="T73" s="62" t="n">
        <x:f>IF(O73="","",(1/'Metadata'!$B$5)^(O73-1))</x:f>
        <x:v>706.7335205557481</x:v>
      </x:c>
      <x:c r="U73" s="60" t="n">
        <x:f>IF(T73="","",I73*T73)</x:f>
        <x:v>975706.5417997573</x:v>
      </x:c>
    </x:row>
    <x:row r="74" ht="18" customHeight="1">
      <x:c r="A74" s="46" t="str">
        <x:v>LME_024</x:v>
      </x:c>
      <x:c r="B74" s="46" t="str">
        <x:v>Celtic-Biscay Shelf</x:v>
      </x:c>
      <x:c r="C74" s="46" t="str">
        <x:v>LME</x:v>
      </x:c>
      <x:c r="D74" s="58" t="n">
        <x:v>2019</x:v>
      </x:c>
      <x:c r="E74" s="46" t="str">
        <x:v>Scophthalmidae</x:v>
      </x:c>
      <x:c r="F74" s="46" t="str">
        <x:v>Turbots</x:v>
      </x:c>
      <x:c r="G74" s="46" t="str">
        <x:v>Small to medium flatfishes (&lt;90 cm)</x:v>
      </x:c>
      <x:c r="H74" s="46" t="str">
        <x:v>Flatfishes</x:v>
      </x:c>
      <x:c r="I74" s="60" t="n">
        <x:v>1357.3215360547</x:v>
      </x:c>
      <x:c r="J74" s="60" t="n">
        <x:v>0.31248216090000003</x:v>
      </x:c>
      <x:c r="K74" s="60" t="n">
        <x:v>1357.0090538938</x:v>
      </x:c>
      <x:c r="L74" s="60" t="n">
        <x:v>0.3124801045</x:v>
      </x:c>
      <x:c r="M74" s="60" t="n">
        <x:v>1357.0090559502</x:v>
      </x:c>
      <x:c r="N74" s="46" t="str">
        <x:v>scophthalmidae</x:v>
      </x:c>
      <x:c r="O74" s="62" t="n">
        <x:v>3.71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Scophthalmidae</x:v>
      </x:c>
      <x:c r="T74" s="62" t="n">
        <x:f>IF(O74="","",(1/'Metadata'!$B$5)^(O74-1))</x:f>
        <x:v>3355.7630537706395</x:v>
      </x:c>
      <x:c r="U74" s="60" t="n">
        <x:f>IF(T74="","",I74*T74)</x:f>
        <x:v>4554849.462779575</x:v>
      </x:c>
    </x:row>
    <x:row r="75" ht="18" customHeight="1">
      <x:c r="A75" s="46" t="str">
        <x:v>LME_024</x:v>
      </x:c>
      <x:c r="B75" s="46" t="str">
        <x:v>Celtic-Biscay Shelf</x:v>
      </x:c>
      <x:c r="C75" s="46" t="str">
        <x:v>LME</x:v>
      </x:c>
      <x:c r="D75" s="58" t="n">
        <x:v>2019</x:v>
      </x:c>
      <x:c r="E75" s="46" t="str">
        <x:v>Scophthalmus maximus</x:v>
      </x:c>
      <x:c r="F75" s="46" t="str">
        <x:v>Turbot</x:v>
      </x:c>
      <x:c r="G75" s="46" t="str">
        <x:v>Large flatfishes (&gt;=90 cm)</x:v>
      </x:c>
      <x:c r="H75" s="46" t="str">
        <x:v>Flatfishes</x:v>
      </x:c>
      <x:c r="I75" s="60" t="n">
        <x:v>1312.8008323954</x:v>
      </x:c>
      <x:c r="J75" s="60" t="n">
        <x:v>1312.8006587387001</x:v>
      </x:c>
      <x:c r="K75" s="60" t="n">
        <x:v>0.0001736567</x:v>
      </x:c>
      <x:c r="L75" s="60" t="n">
        <x:v>1265.848680211</x:v>
      </x:c>
      <x:c r="M75" s="60" t="n">
        <x:v>46.9521521844</x:v>
      </x:c>
      <x:c r="N75" s="46" t="str">
        <x:v>scophthalmus maximus</x:v>
      </x:c>
      <x:c r="O75" s="62" t="n">
        <x:v>4.36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Scophthalmus maximus</x:v>
      </x:c>
      <x:c r="T75" s="62" t="n">
        <x:f>IF(O75="","",(1/'Metadata'!$B$5)^(O75-1))</x:f>
        <x:v>23521.270987610445</x:v>
      </x:c>
      <x:c r="U75" s="60" t="n">
        <x:f>IF(T75="","",I75*T75)</x:f>
        <x:v>30878744.131532766</x:v>
      </x:c>
    </x:row>
    <x:row r="76" ht="18" customHeight="1">
      <x:c r="A76" s="46" t="str">
        <x:v>LME_024</x:v>
      </x:c>
      <x:c r="B76" s="46" t="str">
        <x:v>Celtic-Biscay Shelf</x:v>
      </x:c>
      <x:c r="C76" s="46" t="str">
        <x:v>LME</x:v>
      </x:c>
      <x:c r="D76" s="58" t="n">
        <x:v>2019</x:v>
      </x:c>
      <x:c r="E76" s="46" t="str">
        <x:v>Pectinidae</x:v>
      </x:c>
      <x:c r="F76" s="46" t="str">
        <x:v>Scallops</x:v>
      </x:c>
      <x:c r="G76" s="46" t="str">
        <x:v>Other demersal invertebrates</x:v>
      </x:c>
      <x:c r="H76" s="46" t="str">
        <x:v>Molluscs</x:v>
      </x:c>
      <x:c r="I76" s="60" t="n">
        <x:v>1298.0158656945</x:v>
      </x:c>
      <x:c r="J76" s="60" t="n">
        <x:v>0.002993113</x:v>
      </x:c>
      <x:c r="K76" s="60" t="n">
        <x:v>1298.0128725815</x:v>
      </x:c>
      <x:c r="L76" s="60" t="n">
        <x:v>0.002993113</x:v>
      </x:c>
      <x:c r="M76" s="60" t="n">
        <x:v>1298.0128725815</x:v>
      </x:c>
      <x:c r="N76" s="46" t="str">
        <x:v>pectinidae</x:v>
      </x:c>
      <x:c r="O76" s="62" t="n">
        <x:v>2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Pectinidae</x:v>
      </x:c>
      <x:c r="T76" s="62" t="n">
        <x:f>IF(O76="","",(1/'Metadata'!$B$5)^(O76-1))</x:f>
        <x:v>20</x:v>
      </x:c>
      <x:c r="U76" s="60" t="n">
        <x:f>IF(T76="","",I76*T76)</x:f>
        <x:v>25960.317313890002</x:v>
      </x:c>
    </x:row>
    <x:row r="77" ht="18" customHeight="1">
      <x:c r="A77" s="46" t="str">
        <x:v>LME_024</x:v>
      </x:c>
      <x:c r="B77" s="46" t="str">
        <x:v>Celtic-Biscay Shelf</x:v>
      </x:c>
      <x:c r="C77" s="46" t="str">
        <x:v>LME</x:v>
      </x:c>
      <x:c r="D77" s="58" t="n">
        <x:v>2019</x:v>
      </x:c>
      <x:c r="E77" s="46" t="str">
        <x:v>Raja montagui</x:v>
      </x:c>
      <x:c r="F77" s="46" t="str">
        <x:v>Spotted ray</x:v>
      </x:c>
      <x:c r="G77" s="46" t="str">
        <x:v>Small to medium rays (&lt;90 cm)</x:v>
      </x:c>
      <x:c r="H77" s="46" t="str">
        <x:v>Sharks &amp; rays</x:v>
      </x:c>
      <x:c r="I77" s="60" t="n">
        <x:v>1272.2299389657</x:v>
      </x:c>
      <x:c r="J77" s="60" t="n">
        <x:v>1268.8943585227</x:v>
      </x:c>
      <x:c r="K77" s="60" t="n">
        <x:v>3.335580443</x:v>
      </x:c>
      <x:c r="L77" s="60" t="n">
        <x:v>1254.0008152106</x:v>
      </x:c>
      <x:c r="M77" s="60" t="n">
        <x:v>18.2291237551</x:v>
      </x:c>
      <x:c r="N77" s="46" t="str">
        <x:v>raja montagui</x:v>
      </x:c>
      <x:c r="O77" s="62" t="n">
        <x:v>3.88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Raja montagui</x:v>
      </x:c>
      <x:c r="T77" s="62" t="n">
        <x:f>IF(O77="","",(1/'Metadata'!$B$5)^(O77-1))</x:f>
        <x:v>5584.269732662554</x:v>
      </x:c>
      <x:c r="U77" s="60" t="n">
        <x:f>IF(T77="","",I77*T77)</x:f>
        <x:v>7104475.141153287</x:v>
      </x:c>
    </x:row>
    <x:row r="78" ht="18" customHeight="1">
      <x:c r="A78" s="46" t="str">
        <x:v>LME_024</x:v>
      </x:c>
      <x:c r="B78" s="46" t="str">
        <x:v>Celtic-Biscay Shelf</x:v>
      </x:c>
      <x:c r="C78" s="46" t="str">
        <x:v>LME</x:v>
      </x:c>
      <x:c r="D78" s="58" t="n">
        <x:v>2019</x:v>
      </x:c>
      <x:c r="E78" s="46" t="str">
        <x:v>Prionace glauca</x:v>
      </x:c>
      <x:c r="F78" s="46" t="str">
        <x:v>Blue shark</x:v>
      </x:c>
      <x:c r="G78" s="46" t="str">
        <x:v>Large sharks (&gt;=90 cm)</x:v>
      </x:c>
      <x:c r="H78" s="46" t="str">
        <x:v>Sharks &amp; rays</x:v>
      </x:c>
      <x:c r="I78" s="60" t="n">
        <x:v>1229.1486935419</x:v>
      </x:c>
      <x:c r="J78" s="60" t="n">
        <x:v>1229.1486935419</x:v>
      </x:c>
      <x:c r="K78" s="60" t="n">
        <x:v>0</x:v>
      </x:c>
      <x:c r="L78" s="60" t="n">
        <x:v>1227.9832520196</x:v>
      </x:c>
      <x:c r="M78" s="60" t="n">
        <x:v>1.1654415222999999</x:v>
      </x:c>
      <x:c r="N78" s="46" t="str">
        <x:v>prionace glauca</x:v>
      </x:c>
      <x:c r="O78" s="62" t="n">
        <x:v>4.35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Prionace glauca</x:v>
      </x:c>
      <x:c r="T78" s="62" t="n">
        <x:f>IF(O78="","",(1/'Metadata'!$B$5)^(O78-1))</x:f>
        <x:v>22827.086550132422</x:v>
      </x:c>
      <x:c r="U78" s="60" t="n">
        <x:f>IF(T78="","",I78*T78)</x:f>
        <x:v>28057883.610463142</x:v>
      </x:c>
    </x:row>
    <x:row r="79" ht="18" customHeight="1">
      <x:c r="A79" s="46" t="str">
        <x:v>LME_024</x:v>
      </x:c>
      <x:c r="B79" s="46" t="str">
        <x:v>Celtic-Biscay Shelf</x:v>
      </x:c>
      <x:c r="C79" s="46" t="str">
        <x:v>LME</x:v>
      </x:c>
      <x:c r="D79" s="58" t="n">
        <x:v>2019</x:v>
      </x:c>
      <x:c r="E79" s="46" t="str">
        <x:v>Loligo</x:v>
      </x:c>
      <x:c r="F79" s="46" t="str">
        <x:v>Common squids</x:v>
      </x:c>
      <x:c r="G79" s="46" t="str">
        <x:v>Cephalopods</x:v>
      </x:c>
      <x:c r="H79" s="46" t="str">
        <x:v>Other fishes &amp; inverts</x:v>
      </x:c>
      <x:c r="I79" s="60" t="n">
        <x:v>1222.8080455814</x:v>
      </x:c>
      <x:c r="J79" s="60" t="n">
        <x:v>1211.1988172868</x:v>
      </x:c>
      <x:c r="K79" s="60" t="n">
        <x:v>11.6092282946</x:v>
      </x:c>
      <x:c r="L79" s="60" t="n">
        <x:v>1211.1988172868</x:v>
      </x:c>
      <x:c r="M79" s="60" t="n">
        <x:v>11.6092282946</x:v>
      </x:c>
      <x:c r="N79" s="46" t="str">
        <x:v>loligo</x:v>
      </x:c>
      <x:c r="O79" s="62" t="n">
        <x:v>3.99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Loligo</x:v>
      </x:c>
      <x:c r="T79" s="62" t="n">
        <x:f>IF(O79="","",(1/'Metadata'!$B$5)^(O79-1))</x:f>
        <x:v>7763.895603143686</x:v>
      </x:c>
      <x:c r="U79" s="60" t="n">
        <x:f>IF(T79="","",I79*T79)</x:f>
        <x:v>9493754.008578155</x:v>
      </x:c>
    </x:row>
    <x:row r="80" ht="18" customHeight="1">
      <x:c r="A80" s="46" t="str">
        <x:v>LME_024</x:v>
      </x:c>
      <x:c r="B80" s="46" t="str">
        <x:v>Celtic-Biscay Shelf</x:v>
      </x:c>
      <x:c r="C80" s="46" t="str">
        <x:v>LME</x:v>
      </x:c>
      <x:c r="D80" s="58" t="n">
        <x:v>2019</x:v>
      </x:c>
      <x:c r="E80" s="46" t="str">
        <x:v>Illex</x:v>
      </x:c>
      <x:c r="F80" s="46" t="str">
        <x:v>Shortfin squid</x:v>
      </x:c>
      <x:c r="G80" s="46" t="str">
        <x:v>Cephalopods</x:v>
      </x:c>
      <x:c r="H80" s="46" t="str">
        <x:v>Other fishes &amp; inverts</x:v>
      </x:c>
      <x:c r="I80" s="60" t="n">
        <x:v>1159.3323510392</x:v>
      </x:c>
      <x:c r="J80" s="60" t="n">
        <x:v>1159.3323510392</x:v>
      </x:c>
      <x:c r="K80" s="60" t="n">
        <x:v>0</x:v>
      </x:c>
      <x:c r="L80" s="60" t="n">
        <x:v>1159.3323510392</x:v>
      </x:c>
      <x:c r="M80" s="60" t="n">
        <x:v>0</x:v>
      </x:c>
      <x:c r="N80" s="46" t="str">
        <x:v>illex</x:v>
      </x:c>
      <x:c r="O80" s="62" t="n">
        <x:v>3.98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Illex</x:v>
      </x:c>
      <x:c r="T80" s="62" t="n">
        <x:f>IF(O80="","",(1/'Metadata'!$B$5)^(O80-1))</x:f>
        <x:v>7534.759367064222</x:v>
      </x:c>
      <x:c r="U80" s="60" t="n">
        <x:f>IF(T80="","",I80*T80)</x:f>
        <x:v>8735290.291533198</x:v>
      </x:c>
    </x:row>
    <x:row r="81" ht="18" customHeight="1">
      <x:c r="A81" s="46" t="str">
        <x:v>LME_024</x:v>
      </x:c>
      <x:c r="B81" s="46" t="str">
        <x:v>Celtic-Biscay Shelf</x:v>
      </x:c>
      <x:c r="C81" s="46" t="str">
        <x:v>LME</x:v>
      </x:c>
      <x:c r="D81" s="58" t="n">
        <x:v>2019</x:v>
      </x:c>
      <x:c r="E81" s="46" t="str">
        <x:v>Glyptocephalus cynoglossus</x:v>
      </x:c>
      <x:c r="F81" s="46" t="str">
        <x:v>Witch flounder</x:v>
      </x:c>
      <x:c r="G81" s="46" t="str">
        <x:v>Small to medium flatfishes (&lt;90 cm)</x:v>
      </x:c>
      <x:c r="H81" s="46" t="str">
        <x:v>Flatfishes</x:v>
      </x:c>
      <x:c r="I81" s="60" t="n">
        <x:v>1132.9464207389</x:v>
      </x:c>
      <x:c r="J81" s="60" t="n">
        <x:v>964.4129387276</x:v>
      </x:c>
      <x:c r="K81" s="60" t="n">
        <x:v>168.53348201129998</x:v>
      </x:c>
      <x:c r="L81" s="60" t="n">
        <x:v>964.0532103701</x:v>
      </x:c>
      <x:c r="M81" s="60" t="n">
        <x:v>168.8932103688</x:v>
      </x:c>
      <x:c r="N81" s="46" t="str">
        <x:v>glyptocephalus cynoglossus</x:v>
      </x:c>
      <x:c r="O81" s="62" t="n">
        <x:v>3.17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Glyptocephalus cynoglossus</x:v>
      </x:c>
      <x:c r="T81" s="62" t="n">
        <x:f>IF(O81="","",(1/'Metadata'!$B$5)^(O81-1))</x:f>
        <x:v>665.6333767532121</x:v>
      </x:c>
      <x:c r="U81" s="60" t="n">
        <x:f>IF(T81="","",I81*T81)</x:f>
        <x:v>754126.9517168995</x:v>
      </x:c>
    </x:row>
    <x:row r="82" ht="18" customHeight="1">
      <x:c r="A82" s="46" t="str">
        <x:v>LME_024</x:v>
      </x:c>
      <x:c r="B82" s="46" t="str">
        <x:v>Celtic-Biscay Shelf</x:v>
      </x:c>
      <x:c r="C82" s="46" t="str">
        <x:v>LME</x:v>
      </x:c>
      <x:c r="D82" s="58" t="n">
        <x:v>2019</x:v>
      </x:c>
      <x:c r="E82" s="46" t="str">
        <x:v>Argentina sphyraena</x:v>
      </x:c>
      <x:c r="F82" s="46" t="str">
        <x:v>European argentine</x:v>
      </x:c>
      <x:c r="G82" s="46" t="str">
        <x:v>Medium pelagics (30 - 89 cm)</x:v>
      </x:c>
      <x:c r="H82" s="46" t="str">
        <x:v>Salmon, smelts, etc</x:v>
      </x:c>
      <x:c r="I82" s="60" t="n">
        <x:v>1125.1393941911</x:v>
      </x:c>
      <x:c r="J82" s="60" t="n">
        <x:v>1125.1393941911</x:v>
      </x:c>
      <x:c r="K82" s="60" t="n">
        <x:v>0</x:v>
      </x:c>
      <x:c r="L82" s="60" t="n">
        <x:v>1125.1393879021</x:v>
      </x:c>
      <x:c r="M82" s="60" t="n">
        <x:v>0.000006289</x:v>
      </x:c>
      <x:c r="N82" s="46" t="str">
        <x:v>argentina sphyraena</x:v>
      </x:c>
      <x:c r="O82" s="62" t="n">
        <x:v>3.62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Argentina sphyraena</x:v>
      </x:c>
      <x:c r="T82" s="62" t="n">
        <x:f>IF(O82="","",(1/'Metadata'!$B$5)^(O82-1))</x:f>
        <x:v>2562.7048371775754</x:v>
      </x:c>
      <x:c r="U82" s="60" t="n">
        <x:f>IF(T82="","",I82*T82)</x:f>
        <x:v>2883400.1679925793</x:v>
      </x:c>
    </x:row>
    <x:row r="83" ht="18" customHeight="1">
      <x:c r="A83" s="46" t="str">
        <x:v>LME_024</x:v>
      </x:c>
      <x:c r="B83" s="46" t="str">
        <x:v>Celtic-Biscay Shelf</x:v>
      </x:c>
      <x:c r="C83" s="46" t="str">
        <x:v>LME</x:v>
      </x:c>
      <x:c r="D83" s="58" t="n">
        <x:v>2019</x:v>
      </x:c>
      <x:c r="E83" s="46" t="str">
        <x:v>Mytilus edulis</x:v>
      </x:c>
      <x:c r="F83" s="46" t="str">
        <x:v>Blue mussel</x:v>
      </x:c>
      <x:c r="G83" s="46" t="str">
        <x:v>Other demersal invertebrates</x:v>
      </x:c>
      <x:c r="H83" s="46" t="str">
        <x:v>Molluscs</x:v>
      </x:c>
      <x:c r="I83" s="60" t="n">
        <x:v>1110.9027161838</x:v>
      </x:c>
      <x:c r="J83" s="60" t="n">
        <x:v>1110.9027161838</x:v>
      </x:c>
      <x:c r="K83" s="60" t="n">
        <x:v>0</x:v>
      </x:c>
      <x:c r="L83" s="60" t="n">
        <x:v>395.037525489</x:v>
      </x:c>
      <x:c r="M83" s="60" t="n">
        <x:v>715.8651906948</x:v>
      </x:c>
      <x:c r="N83" s="46" t="str">
        <x:v>mytilus edulis</x:v>
      </x:c>
      <x:c r="O83" s="62" t="n">
        <x:v>2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Mytilus edulis</x:v>
      </x:c>
      <x:c r="T83" s="62" t="n">
        <x:f>IF(O83="","",(1/'Metadata'!$B$5)^(O83-1))</x:f>
        <x:v>20</x:v>
      </x:c>
      <x:c r="U83" s="60" t="n">
        <x:f>IF(T83="","",I83*T83)</x:f>
        <x:v>22218.054323676002</x:v>
      </x:c>
    </x:row>
    <x:row r="84" ht="18" customHeight="1">
      <x:c r="A84" s="46" t="str">
        <x:v>LME_024</x:v>
      </x:c>
      <x:c r="B84" s="46" t="str">
        <x:v>Celtic-Biscay Shelf</x:v>
      </x:c>
      <x:c r="C84" s="46" t="str">
        <x:v>LME</x:v>
      </x:c>
      <x:c r="D84" s="58" t="n">
        <x:v>2019</x:v>
      </x:c>
      <x:c r="E84" s="46" t="str">
        <x:v>Spisula ovalis</x:v>
      </x:c>
      <x:c r="F84" s="46" t="str">
        <x:v>Venus clam</x:v>
      </x:c>
      <x:c r="G84" s="46" t="str">
        <x:v>Other demersal invertebrates</x:v>
      </x:c>
      <x:c r="H84" s="46" t="str">
        <x:v>Molluscs</x:v>
      </x:c>
      <x:c r="I84" s="60" t="n">
        <x:v>1091.7575694632</x:v>
      </x:c>
      <x:c r="J84" s="60" t="n">
        <x:v>1091.7575694632</x:v>
      </x:c>
      <x:c r="K84" s="60" t="n">
        <x:v>0</x:v>
      </x:c>
      <x:c r="L84" s="60" t="n">
        <x:v>1091.4362899828</x:v>
      </x:c>
      <x:c r="M84" s="60" t="n">
        <x:v>0.3212794804</x:v>
      </x:c>
      <x:c r="N84" s="46" t="str">
        <x:v>spisula ovalis</x:v>
      </x:c>
      <x:c r="O84" s="62" t="n">
        <x:v>2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Spisula ovalis</x:v>
      </x:c>
      <x:c r="T84" s="62" t="n">
        <x:f>IF(O84="","",(1/'Metadata'!$B$5)^(O84-1))</x:f>
        <x:v>20</x:v>
      </x:c>
      <x:c r="U84" s="60" t="n">
        <x:f>IF(T84="","",I84*T84)</x:f>
        <x:v>21835.151389264</x:v>
      </x:c>
    </x:row>
    <x:row r="85" ht="18" customHeight="1">
      <x:c r="A85" s="46" t="str">
        <x:v>LME_024</x:v>
      </x:c>
      <x:c r="B85" s="46" t="str">
        <x:v>Celtic-Biscay Shelf</x:v>
      </x:c>
      <x:c r="C85" s="46" t="str">
        <x:v>LME</x:v>
      </x:c>
      <x:c r="D85" s="58" t="n">
        <x:v>2019</x:v>
      </x:c>
      <x:c r="E85" s="46" t="str">
        <x:v>Limanda limanda</x:v>
      </x:c>
      <x:c r="F85" s="46" t="str">
        <x:v>Common dab</x:v>
      </x:c>
      <x:c r="G85" s="46" t="str">
        <x:v>Small to medium flatfishes (&lt;90 cm)</x:v>
      </x:c>
      <x:c r="H85" s="46" t="str">
        <x:v>Flatfishes</x:v>
      </x:c>
      <x:c r="I85" s="60" t="n">
        <x:v>1058.3584432712</x:v>
      </x:c>
      <x:c r="J85" s="60" t="n">
        <x:v>619.4394725023</x:v>
      </x:c>
      <x:c r="K85" s="60" t="n">
        <x:v>438.9189707689</x:v>
      </x:c>
      <x:c r="L85" s="60" t="n">
        <x:v>615.8794413708</x:v>
      </x:c>
      <x:c r="M85" s="60" t="n">
        <x:v>442.4790019004</x:v>
      </x:c>
      <x:c r="N85" s="46" t="str">
        <x:v>limanda limanda</x:v>
      </x:c>
      <x:c r="O85" s="62" t="n">
        <x:v>3.29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Limanda limanda</x:v>
      </x:c>
      <x:c r="T85" s="62" t="n">
        <x:f>IF(O85="","",(1/'Metadata'!$B$5)^(O85-1))</x:f>
        <x:v>953.5834171618228</x:v>
      </x:c>
      <x:c r="U85" s="60" t="n">
        <x:f>IF(T85="","",I85*T85)</x:f>
        <x:v>1009233.0609166181</x:v>
      </x:c>
    </x:row>
    <x:row r="86" ht="18" customHeight="1">
      <x:c r="A86" s="46" t="str">
        <x:v>LME_024</x:v>
      </x:c>
      <x:c r="B86" s="46" t="str">
        <x:v>Celtic-Biscay Shelf</x:v>
      </x:c>
      <x:c r="C86" s="46" t="str">
        <x:v>LME</x:v>
      </x:c>
      <x:c r="D86" s="58" t="n">
        <x:v>2019</x:v>
      </x:c>
      <x:c r="E86" s="46" t="str">
        <x:v>Scophthalmus rhombus</x:v>
      </x:c>
      <x:c r="F86" s="46" t="str">
        <x:v>Brill</x:v>
      </x:c>
      <x:c r="G86" s="46" t="str">
        <x:v>Small to medium flatfishes (&lt;90 cm)</x:v>
      </x:c>
      <x:c r="H86" s="46" t="str">
        <x:v>Flatfishes</x:v>
      </x:c>
      <x:c r="I86" s="60" t="n">
        <x:v>1050.9277416196</x:v>
      </x:c>
      <x:c r="J86" s="60" t="n">
        <x:v>1050.9274656283</x:v>
      </x:c>
      <x:c r="K86" s="60" t="n">
        <x:v>0.0002759913</x:v>
      </x:c>
      <x:c r="L86" s="60" t="n">
        <x:v>1040.5719324933</x:v>
      </x:c>
      <x:c r="M86" s="60" t="n">
        <x:v>10.355809126299999</x:v>
      </x:c>
      <x:c r="N86" s="46" t="str">
        <x:v>scophthalmus rhombus</x:v>
      </x:c>
      <x:c r="O86" s="62" t="n">
        <x:v>4.42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Scophthalmus rhombus</x:v>
      </x:c>
      <x:c r="T86" s="62" t="n">
        <x:f>IF(O86="","",(1/'Metadata'!$B$5)^(O86-1))</x:f>
        <x:v>28152.864182630117</x:v>
      </x:c>
      <x:c r="U86" s="60" t="n">
        <x:f>IF(T86="","",I86*T86)</x:f>
        <x:v>29586625.975574795</x:v>
      </x:c>
    </x:row>
    <x:row r="87" ht="18" customHeight="1">
      <x:c r="A87" s="46" t="str">
        <x:v>LME_024</x:v>
      </x:c>
      <x:c r="B87" s="46" t="str">
        <x:v>Celtic-Biscay Shelf</x:v>
      </x:c>
      <x:c r="C87" s="46" t="str">
        <x:v>LME</x:v>
      </x:c>
      <x:c r="D87" s="58" t="n">
        <x:v>2019</x:v>
      </x:c>
      <x:c r="E87" s="46" t="str">
        <x:v>Gastropoda</x:v>
      </x:c>
      <x:c r="F87" s="46" t="str">
        <x:v>Sea snails</x:v>
      </x:c>
      <x:c r="G87" s="46" t="str">
        <x:v>Other demersal invertebrates</x:v>
      </x:c>
      <x:c r="H87" s="46" t="str">
        <x:v>Molluscs</x:v>
      </x:c>
      <x:c r="I87" s="60" t="n">
        <x:v>1040.7164177434</x:v>
      </x:c>
      <x:c r="J87" s="60" t="n">
        <x:v>157.27869247980001</x:v>
      </x:c>
      <x:c r="K87" s="60" t="n">
        <x:v>883.4377252636</x:v>
      </x:c>
      <x:c r="L87" s="60" t="n">
        <x:v>2.0978945388000003</x:v>
      </x:c>
      <x:c r="M87" s="60" t="n">
        <x:v>1038.6185232046</x:v>
      </x:c>
      <x:c r="N87" s="46" t="str">
        <x:v>gastropoda</x:v>
      </x:c>
      <x:c r="O87" s="62" t="n">
        <x:v>3.06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Gastropoda</x:v>
      </x:c>
      <x:c r="T87" s="62" t="n">
        <x:f>IF(O87="","",(1/'Metadata'!$B$5)^(O87-1))</x:f>
        <x:v>478.7643354384948</x:v>
      </x:c>
      <x:c r="U87" s="60" t="n">
        <x:f>IF(T87="","",I87*T87)</x:f>
        <x:v>498257.9041208498</x:v>
      </x:c>
    </x:row>
    <x:row r="88" ht="18" customHeight="1">
      <x:c r="A88" s="46" t="str">
        <x:v>LME_024</x:v>
      </x:c>
      <x:c r="B88" s="46" t="str">
        <x:v>Celtic-Biscay Shelf</x:v>
      </x:c>
      <x:c r="C88" s="46" t="str">
        <x:v>LME</x:v>
      </x:c>
      <x:c r="D88" s="58" t="n">
        <x:v>2019</x:v>
      </x:c>
      <x:c r="E88" s="46" t="str">
        <x:v>Macrouridae</x:v>
      </x:c>
      <x:c r="F88" s="46" t="str">
        <x:v>Grenadiers, rattails</x:v>
      </x:c>
      <x:c r="G88" s="46" t="str">
        <x:v>Medium benthopelagics (30 - 89 cm)</x:v>
      </x:c>
      <x:c r="H88" s="46" t="str">
        <x:v>Cod-likes</x:v>
      </x:c>
      <x:c r="I88" s="60" t="n">
        <x:v>1034.982266483</x:v>
      </x:c>
      <x:c r="J88" s="60" t="n">
        <x:v>0</x:v>
      </x:c>
      <x:c r="K88" s="60" t="n">
        <x:v>1034.982266483</x:v>
      </x:c>
      <x:c r="L88" s="60" t="n">
        <x:v>0</x:v>
      </x:c>
      <x:c r="M88" s="60" t="n">
        <x:v>1034.982266483</x:v>
      </x:c>
      <x:c r="N88" s="46" t="str">
        <x:v>macrouridae</x:v>
      </x:c>
      <x:c r="O88" s="62" t="n">
        <x:v>3.88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Macrouridae</x:v>
      </x:c>
      <x:c r="T88" s="62" t="n">
        <x:f>IF(O88="","",(1/'Metadata'!$B$5)^(O88-1))</x:f>
        <x:v>5584.269732662554</x:v>
      </x:c>
      <x:c r="U88" s="60" t="n">
        <x:f>IF(T88="","",I88*T88)</x:f>
        <x:v>5779620.144563507</x:v>
      </x:c>
    </x:row>
    <x:row r="89" ht="18" customHeight="1">
      <x:c r="A89" s="46" t="str">
        <x:v>LME_024</x:v>
      </x:c>
      <x:c r="B89" s="46" t="str">
        <x:v>Celtic-Biscay Shelf</x:v>
      </x:c>
      <x:c r="C89" s="46" t="str">
        <x:v>LME</x:v>
      </x:c>
      <x:c r="D89" s="58" t="n">
        <x:v>2019</x:v>
      </x:c>
      <x:c r="E89" s="46" t="str">
        <x:v>Necora puber</x:v>
      </x:c>
      <x:c r="F89" s="46" t="str">
        <x:v>Velvet swimcrab</x:v>
      </x:c>
      <x:c r="G89" s="46" t="str">
        <x:v>Lobsters, crabs</x:v>
      </x:c>
      <x:c r="H89" s="46" t="str">
        <x:v>Crustaceans</x:v>
      </x:c>
      <x:c r="I89" s="60" t="n">
        <x:v>1024.2426535953</x:v>
      </x:c>
      <x:c r="J89" s="60" t="n">
        <x:v>1024.2426535953</x:v>
      </x:c>
      <x:c r="K89" s="60" t="n">
        <x:v>0</x:v>
      </x:c>
      <x:c r="L89" s="60" t="n">
        <x:v>958.5270979776</x:v>
      </x:c>
      <x:c r="M89" s="60" t="n">
        <x:v>65.71555561769999</x:v>
      </x:c>
      <x:c r="N89" s="46" t="str">
        <x:v>necora puber</x:v>
      </x:c>
      <x:c r="O89" s="62" t="n">
        <x:v>2.6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Necora puber</x:v>
      </x:c>
      <x:c r="T89" s="62" t="n">
        <x:f>IF(O89="","",(1/'Metadata'!$B$5)^(O89-1))</x:f>
        <x:v>120.6835267309033</x:v>
      </x:c>
      <x:c r="U89" s="60" t="n">
        <x:f>IF(T89="","",I89*T89)</x:f>
        <x:v>123609.21566409971</x:v>
      </x:c>
    </x:row>
    <x:row r="90" ht="18" customHeight="1">
      <x:c r="A90" s="46" t="str">
        <x:v>LME_024</x:v>
      </x:c>
      <x:c r="B90" s="46" t="str">
        <x:v>Celtic-Biscay Shelf</x:v>
      </x:c>
      <x:c r="C90" s="46" t="str">
        <x:v>LME</x:v>
      </x:c>
      <x:c r="D90" s="58" t="n">
        <x:v>2019</x:v>
      </x:c>
      <x:c r="E90" s="46" t="str">
        <x:v>Cerastoderma edule</x:v>
      </x:c>
      <x:c r="F90" s="46" t="str">
        <x:v>Common cockle</x:v>
      </x:c>
      <x:c r="G90" s="46" t="str">
        <x:v>Other demersal invertebrates</x:v>
      </x:c>
      <x:c r="H90" s="46" t="str">
        <x:v>Molluscs</x:v>
      </x:c>
      <x:c r="I90" s="60" t="n">
        <x:v>965.0740692288</x:v>
      </x:c>
      <x:c r="J90" s="60" t="n">
        <x:v>965.0740692288</x:v>
      </x:c>
      <x:c r="K90" s="60" t="n">
        <x:v>0</x:v>
      </x:c>
      <x:c r="L90" s="60" t="n">
        <x:v>964.4289191998</x:v>
      </x:c>
      <x:c r="M90" s="60" t="n">
        <x:v>0.6451500290000001</x:v>
      </x:c>
      <x:c r="N90" s="46" t="str">
        <x:v>cerastoderma edule</x:v>
      </x:c>
      <x:c r="O90" s="62" t="n">
        <x:v>2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Cerastoderma edule</x:v>
      </x:c>
      <x:c r="T90" s="62" t="n">
        <x:f>IF(O90="","",(1/'Metadata'!$B$5)^(O90-1))</x:f>
        <x:v>20</x:v>
      </x:c>
      <x:c r="U90" s="60" t="n">
        <x:f>IF(T90="","",I90*T90)</x:f>
        <x:v>19301.481384576</x:v>
      </x:c>
    </x:row>
    <x:row r="91" ht="18" customHeight="1">
      <x:c r="A91" s="46" t="str">
        <x:v>LME_024</x:v>
      </x:c>
      <x:c r="B91" s="46" t="str">
        <x:v>Celtic-Biscay Shelf</x:v>
      </x:c>
      <x:c r="C91" s="46" t="str">
        <x:v>LME</x:v>
      </x:c>
      <x:c r="D91" s="58" t="n">
        <x:v>2019</x:v>
      </x:c>
      <x:c r="E91" s="46" t="str">
        <x:v>Carcinus maenas</x:v>
      </x:c>
      <x:c r="F91" s="46" t="str">
        <x:v>Green crab</x:v>
      </x:c>
      <x:c r="G91" s="46" t="str">
        <x:v>Lobsters, crabs</x:v>
      </x:c>
      <x:c r="H91" s="46" t="str">
        <x:v>Crustaceans</x:v>
      </x:c>
      <x:c r="I91" s="60" t="n">
        <x:v>939.0752977784</x:v>
      </x:c>
      <x:c r="J91" s="60" t="n">
        <x:v>939.0752977784</x:v>
      </x:c>
      <x:c r="K91" s="60" t="n">
        <x:v>0</x:v>
      </x:c>
      <x:c r="L91" s="60" t="n">
        <x:v>887.041553143</x:v>
      </x:c>
      <x:c r="M91" s="60" t="n">
        <x:v>52.0337446354</x:v>
      </x:c>
      <x:c r="N91" s="46" t="str">
        <x:v>carcinus maenas</x:v>
      </x:c>
      <x:c r="O91" s="62" t="n">
        <x:v>3.5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Carcinus maenas</x:v>
      </x:c>
      <x:c r="T91" s="62" t="n">
        <x:f>IF(O91="","",(1/'Metadata'!$B$5)^(O91-1))</x:f>
        <x:v>1788.8543819998317</x:v>
      </x:c>
      <x:c r="U91" s="60" t="n">
        <x:f>IF(T91="","",I91*T91)</x:f>
        <x:v>1679868.9614586877</x:v>
      </x:c>
    </x:row>
    <x:row r="92" ht="18" customHeight="1">
      <x:c r="A92" s="46" t="str">
        <x:v>LME_024</x:v>
      </x:c>
      <x:c r="B92" s="46" t="str">
        <x:v>Celtic-Biscay Shelf</x:v>
      </x:c>
      <x:c r="C92" s="46" t="str">
        <x:v>LME</x:v>
      </x:c>
      <x:c r="D92" s="58" t="n">
        <x:v>2019</x:v>
      </x:c>
      <x:c r="E92" s="46" t="str">
        <x:v>Aphanopus carbo</x:v>
      </x:c>
      <x:c r="F92" s="46" t="str">
        <x:v>Black scabbardfish</x:v>
      </x:c>
      <x:c r="G92" s="46" t="str">
        <x:v>Large benthopelagics (&gt;=90 cm)</x:v>
      </x:c>
      <x:c r="H92" s="46" t="str">
        <x:v>Perch-likes</x:v>
      </x:c>
      <x:c r="I92" s="60" t="n">
        <x:v>919.4519954254</x:v>
      </x:c>
      <x:c r="J92" s="60" t="n">
        <x:v>919.4519954254</x:v>
      </x:c>
      <x:c r="K92" s="60" t="n">
        <x:v>0</x:v>
      </x:c>
      <x:c r="L92" s="60" t="n">
        <x:v>919.4519954254</x:v>
      </x:c>
      <x:c r="M92" s="60" t="n">
        <x:v>0</x:v>
      </x:c>
      <x:c r="N92" s="46" t="str">
        <x:v>aphanopus carbo</x:v>
      </x:c>
      <x:c r="O92" s="62" t="n">
        <x:v>4.48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Aphanopus carbo</x:v>
      </x:c>
      <x:c r="T92" s="62" t="n">
        <x:f>IF(O92="","",(1/'Metadata'!$B$5)^(O92-1))</x:f>
        <x:v>33696.468277717824</x:v>
      </x:c>
      <x:c r="U92" s="60" t="n">
        <x:f>IF(T92="","",I92*T92)</x:f>
        <x:v>30982284.996736344</x:v>
      </x:c>
    </x:row>
    <x:row r="93" ht="18" customHeight="1">
      <x:c r="A93" s="46" t="str">
        <x:v>LME_024</x:v>
      </x:c>
      <x:c r="B93" s="46" t="str">
        <x:v>Celtic-Biscay Shelf</x:v>
      </x:c>
      <x:c r="C93" s="46" t="str">
        <x:v>LME</x:v>
      </x:c>
      <x:c r="D93" s="58" t="n">
        <x:v>2019</x:v>
      </x:c>
      <x:c r="E93" s="46" t="str">
        <x:v>Sebastidae</x:v>
      </x:c>
      <x:c r="F93" s="46" t="str">
        <x:v>Rockfishes, rockcods, thornyheads</x:v>
      </x:c>
      <x:c r="G93" s="46" t="str">
        <x:v>Medium demersals (30 - 89 cm)</x:v>
      </x:c>
      <x:c r="H93" s="46" t="str">
        <x:v>Scorpionfishes</x:v>
      </x:c>
      <x:c r="I93" s="60" t="n">
        <x:v>898.7851499871</x:v>
      </x:c>
      <x:c r="J93" s="60" t="n">
        <x:v>1.1945667532</x:v>
      </x:c>
      <x:c r="K93" s="60" t="n">
        <x:v>897.5905832339</x:v>
      </x:c>
      <x:c r="L93" s="60" t="n">
        <x:v>1.1945667532</x:v>
      </x:c>
      <x:c r="M93" s="60" t="n">
        <x:v>897.5905832339</x:v>
      </x:c>
      <x:c r="N93" s="46" t="str">
        <x:v>sebastidae</x:v>
      </x:c>
      <x:c r="O93" s="62" t="n">
        <x:v>3.74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Sebastidae</x:v>
      </x:c>
      <x:c r="T93" s="62" t="n">
        <x:f>IF(O93="","",(1/'Metadata'!$B$5)^(O93-1))</x:f>
        <x:v>3671.3195599248957</x:v>
      </x:c>
      <x:c r="U93" s="60" t="n">
        <x:f>IF(T93="","",I93*T93)</x:f>
        <x:v>3299727.5013176715</x:v>
      </x:c>
    </x:row>
    <x:row r="94" ht="18" customHeight="1">
      <x:c r="A94" s="46" t="str">
        <x:v>LME_024</x:v>
      </x:c>
      <x:c r="B94" s="46" t="str">
        <x:v>Celtic-Biscay Shelf</x:v>
      </x:c>
      <x:c r="C94" s="46" t="str">
        <x:v>LME</x:v>
      </x:c>
      <x:c r="D94" s="58" t="n">
        <x:v>2019</x:v>
      </x:c>
      <x:c r="E94" s="46" t="str">
        <x:v>Sarda sarda</x:v>
      </x:c>
      <x:c r="F94" s="46" t="str">
        <x:v>Atlantic bonito</x:v>
      </x:c>
      <x:c r="G94" s="46" t="str">
        <x:v>Medium pelagics (30 - 89 cm)</x:v>
      </x:c>
      <x:c r="H94" s="46" t="str">
        <x:v>Tuna &amp; billfishes</x:v>
      </x:c>
      <x:c r="I94" s="60" t="n">
        <x:v>887.0207558929</x:v>
      </x:c>
      <x:c r="J94" s="60" t="n">
        <x:v>887.0207558929</x:v>
      </x:c>
      <x:c r="K94" s="60" t="n">
        <x:v>0</x:v>
      </x:c>
      <x:c r="L94" s="60" t="n">
        <x:v>834.1639605797</x:v>
      </x:c>
      <x:c r="M94" s="60" t="n">
        <x:v>52.856795313199996</x:v>
      </x:c>
      <x:c r="N94" s="46" t="str">
        <x:v>sarda sarda</x:v>
      </x:c>
      <x:c r="O94" s="62" t="n">
        <x:v>4.5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Sarda sarda</x:v>
      </x:c>
      <x:c r="T94" s="62" t="n">
        <x:f>IF(O94="","",(1/'Metadata'!$B$5)^(O94-1))</x:f>
        <x:v>35777.08763999664</x:v>
      </x:c>
      <x:c r="U94" s="60" t="n">
        <x:f>IF(T94="","",I94*T94)</x:f>
        <x:v>31735019.322076343</x:v>
      </x:c>
    </x:row>
    <x:row r="95" ht="18" customHeight="1">
      <x:c r="A95" s="46" t="str">
        <x:v>LME_024</x:v>
      </x:c>
      <x:c r="B95" s="46" t="str">
        <x:v>Celtic-Biscay Shelf</x:v>
      </x:c>
      <x:c r="C95" s="46" t="str">
        <x:v>LME</x:v>
      </x:c>
      <x:c r="D95" s="58" t="n">
        <x:v>2019</x:v>
      </x:c>
      <x:c r="E95" s="46" t="str">
        <x:v>Perciformes</x:v>
      </x:c>
      <x:c r="F95" s="46" t="str">
        <x:v>Perch-likes</x:v>
      </x:c>
      <x:c r="G95" s="46" t="str">
        <x:v>Medium demersals (30 - 89 cm)</x:v>
      </x:c>
      <x:c r="H95" s="46" t="str">
        <x:v>Perch-likes</x:v>
      </x:c>
      <x:c r="I95" s="60" t="n">
        <x:v>855.3130107504</x:v>
      </x:c>
      <x:c r="J95" s="60" t="n">
        <x:v>840.9223904993</x:v>
      </x:c>
      <x:c r="K95" s="60" t="n">
        <x:v>14.3906202511</x:v>
      </x:c>
      <x:c r="L95" s="60" t="n">
        <x:v>840.9223904993</x:v>
      </x:c>
      <x:c r="M95" s="60" t="n">
        <x:v>14.3906202511</x:v>
      </x:c>
      <x:c r="N95" s="46" t="str">
        <x:v>perciformes</x:v>
      </x:c>
      <x:c r="O95" s="62" t="n">
        <x:v>3.53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Perciformes</x:v>
      </x:c>
      <x:c r="T95" s="62" t="n">
        <x:f>IF(O95="","",(1/'Metadata'!$B$5)^(O95-1))</x:f>
        <x:v>1957.0678791263101</x:v>
      </x:c>
      <x:c r="U95" s="60" t="n">
        <x:f>IF(T95="","",I95*T95)</x:f>
        <x:v>1673905.6199384243</x:v>
      </x:c>
    </x:row>
    <x:row r="96" ht="18" customHeight="1">
      <x:c r="A96" s="46" t="str">
        <x:v>LME_024</x:v>
      </x:c>
      <x:c r="B96" s="46" t="str">
        <x:v>Celtic-Biscay Shelf</x:v>
      </x:c>
      <x:c r="C96" s="46" t="str">
        <x:v>LME</x:v>
      </x:c>
      <x:c r="D96" s="58" t="n">
        <x:v>2019</x:v>
      </x:c>
      <x:c r="E96" s="46" t="str">
        <x:v>Lophius piscatorius</x:v>
      </x:c>
      <x:c r="F96" s="46" t="str">
        <x:v>Angler</x:v>
      </x:c>
      <x:c r="G96" s="46" t="str">
        <x:v>Large bathydemersals (&gt;=90 cm)</x:v>
      </x:c>
      <x:c r="H96" s="46" t="str">
        <x:v>Other fishes &amp; inverts</x:v>
      </x:c>
      <x:c r="I96" s="60" t="n">
        <x:v>844.6640563746</x:v>
      </x:c>
      <x:c r="J96" s="60" t="n">
        <x:v>86.3865545536</x:v>
      </x:c>
      <x:c r="K96" s="60" t="n">
        <x:v>758.277501821</x:v>
      </x:c>
      <x:c r="L96" s="60" t="n">
        <x:v>86.3861927586</x:v>
      </x:c>
      <x:c r="M96" s="60" t="n">
        <x:v>758.277863616</x:v>
      </x:c>
      <x:c r="N96" s="46" t="str">
        <x:v>lophius piscatorius</x:v>
      </x:c>
      <x:c r="O96" s="62" t="n">
        <x:v>4.45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Lophius piscatorius</x:v>
      </x:c>
      <x:c r="T96" s="62" t="n">
        <x:f>IF(O96="","",(1/'Metadata'!$B$5)^(O96-1))</x:f>
        <x:v>30800.19634445362</x:v>
      </x:c>
      <x:c r="U96" s="60" t="n">
        <x:f>IF(T96="","",I96*T96)</x:f>
        <x:v>26015818.78144032</x:v>
      </x:c>
    </x:row>
    <x:row r="97" ht="18" customHeight="1">
      <x:c r="A97" s="46" t="str">
        <x:v>LME_024</x:v>
      </x:c>
      <x:c r="B97" s="46" t="str">
        <x:v>Celtic-Biscay Shelf</x:v>
      </x:c>
      <x:c r="C97" s="46" t="str">
        <x:v>LME</x:v>
      </x:c>
      <x:c r="D97" s="58" t="n">
        <x:v>2019</x:v>
      </x:c>
      <x:c r="E97" s="46" t="str">
        <x:v>Labridae</x:v>
      </x:c>
      <x:c r="F97" s="46" t="str">
        <x:v>Wrasses, gropers, tuskfishes</x:v>
      </x:c>
      <x:c r="G97" s="46" t="str">
        <x:v>Medium reef assoc. fish (30 - 89 cm)</x:v>
      </x:c>
      <x:c r="H97" s="46" t="str">
        <x:v>Perch-likes</x:v>
      </x:c>
      <x:c r="I97" s="60" t="n">
        <x:v>834.35208055</x:v>
      </x:c>
      <x:c r="J97" s="60" t="n">
        <x:v>834.35208055</x:v>
      </x:c>
      <x:c r="K97" s="60" t="n">
        <x:v>0</x:v>
      </x:c>
      <x:c r="L97" s="60" t="n">
        <x:v>25.6642985455</x:v>
      </x:c>
      <x:c r="M97" s="60" t="n">
        <x:v>808.6877820045</x:v>
      </x:c>
      <x:c r="N97" s="46" t="str">
        <x:v>labridae</x:v>
      </x:c>
      <x:c r="O97" s="62" t="n">
        <x:v>3.46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Labridae</x:v>
      </x:c>
      <x:c r="T97" s="62" t="n">
        <x:f>IF(O97="","",(1/'Metadata'!$B$5)^(O97-1))</x:f>
        <x:v>1586.8423749532276</x:v>
      </x:c>
      <x:c r="U97" s="60" t="n">
        <x:f>IF(T97="","",I97*T97)</x:f>
        <x:v>1323985.2370471286</x:v>
      </x:c>
    </x:row>
    <x:row r="98" ht="18" customHeight="1">
      <x:c r="A98" s="46" t="str">
        <x:v>LME_024</x:v>
      </x:c>
      <x:c r="B98" s="46" t="str">
        <x:v>Celtic-Biscay Shelf</x:v>
      </x:c>
      <x:c r="C98" s="46" t="str">
        <x:v>LME</x:v>
      </x:c>
      <x:c r="D98" s="58" t="n">
        <x:v>2019</x:v>
      </x:c>
      <x:c r="E98" s="46" t="str">
        <x:v>Cephalopoda</x:v>
      </x:c>
      <x:c r="F98" s="46" t="str">
        <x:v>Squids, cuttlefishes, octopuses</x:v>
      </x:c>
      <x:c r="G98" s="46" t="str">
        <x:v>Cephalopods</x:v>
      </x:c>
      <x:c r="H98" s="46" t="str">
        <x:v>Other fishes &amp; inverts</x:v>
      </x:c>
      <x:c r="I98" s="60" t="n">
        <x:v>824.8296619905</x:v>
      </x:c>
      <x:c r="J98" s="60" t="n">
        <x:v>258.32632786479996</x:v>
      </x:c>
      <x:c r="K98" s="60" t="n">
        <x:v>566.5033341257</x:v>
      </x:c>
      <x:c r="L98" s="60" t="n">
        <x:v>0.0257009011</x:v>
      </x:c>
      <x:c r="M98" s="60" t="n">
        <x:v>824.8039610894</x:v>
      </x:c>
      <x:c r="N98" s="46" t="str">
        <x:v>cephalopoda</x:v>
      </x:c>
      <x:c r="O98" s="62" t="n">
        <x:v>3.81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Cephalopoda</x:v>
      </x:c>
      <x:c r="T98" s="62" t="n">
        <x:f>IF(O98="","",(1/'Metadata'!$B$5)^(O98-1))</x:f>
        <x:v>4527.873529309382</x:v>
      </x:c>
      <x:c r="U98" s="60" t="n">
        <x:f>IF(T98="","",I98*T98)</x:f>
        <x:v>3734724.39271599</x:v>
      </x:c>
    </x:row>
    <x:row r="99" ht="18" customHeight="1">
      <x:c r="A99" s="46" t="str">
        <x:v>LME_024</x:v>
      </x:c>
      <x:c r="B99" s="46" t="str">
        <x:v>Celtic-Biscay Shelf</x:v>
      </x:c>
      <x:c r="C99" s="46" t="str">
        <x:v>LME</x:v>
      </x:c>
      <x:c r="D99" s="58" t="n">
        <x:v>2019</x:v>
      </x:c>
      <x:c r="E99" s="46" t="str">
        <x:v>Phycis blennoides</x:v>
      </x:c>
      <x:c r="F99" s="46" t="str">
        <x:v>Greater forkbeard</x:v>
      </x:c>
      <x:c r="G99" s="46" t="str">
        <x:v>Large benthopelagics (&gt;=90 cm)</x:v>
      </x:c>
      <x:c r="H99" s="46" t="str">
        <x:v>Cod-likes</x:v>
      </x:c>
      <x:c r="I99" s="60" t="n">
        <x:v>805.1629570371</x:v>
      </x:c>
      <x:c r="J99" s="60" t="n">
        <x:v>712.8993797503</x:v>
      </x:c>
      <x:c r="K99" s="60" t="n">
        <x:v>92.2635772868</x:v>
      </x:c>
      <x:c r="L99" s="60" t="n">
        <x:v>704.7911274229</x:v>
      </x:c>
      <x:c r="M99" s="60" t="n">
        <x:v>100.37182961420001</x:v>
      </x:c>
      <x:c r="N99" s="46" t="str">
        <x:v>phycis blennoides</x:v>
      </x:c>
      <x:c r="O99" s="62" t="n">
        <x:v>3.87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Phycis blennoides</x:v>
      </x:c>
      <x:c r="T99" s="62" t="n">
        <x:f>IF(O99="","",(1/'Metadata'!$B$5)^(O99-1))</x:f>
        <x:v>5419.460903023396</x:v>
      </x:c>
      <x:c r="U99" s="60" t="n">
        <x:f>IF(T99="","",I99*T99)</x:f>
        <x:v>4363549.166225269</x:v>
      </x:c>
    </x:row>
    <x:row r="100" ht="18" customHeight="1">
      <x:c r="A100" s="46" t="str">
        <x:v>LME_024</x:v>
      </x:c>
      <x:c r="B100" s="46" t="str">
        <x:v>Celtic-Biscay Shelf</x:v>
      </x:c>
      <x:c r="C100" s="46" t="str">
        <x:v>LME</x:v>
      </x:c>
      <x:c r="D100" s="58" t="n">
        <x:v>2019</x:v>
      </x:c>
      <x:c r="E100" s="46" t="str">
        <x:v>Octopodidae</x:v>
      </x:c>
      <x:c r="F100" s="46" t="str">
        <x:v>Octopuses</x:v>
      </x:c>
      <x:c r="G100" s="46" t="str">
        <x:v>Cephalopods</x:v>
      </x:c>
      <x:c r="H100" s="46" t="str">
        <x:v>Other fishes &amp; inverts</x:v>
      </x:c>
      <x:c r="I100" s="60" t="n">
        <x:v>759.3098187305001</x:v>
      </x:c>
      <x:c r="J100" s="60" t="n">
        <x:v>759.3098187305001</x:v>
      </x:c>
      <x:c r="K100" s="60" t="n">
        <x:v>0</x:v>
      </x:c>
      <x:c r="L100" s="60" t="n">
        <x:v>759.1676147487</x:v>
      </x:c>
      <x:c r="M100" s="60" t="n">
        <x:v>0.14220398180000002</x:v>
      </x:c>
      <x:c r="N100" s="46" t="str">
        <x:v>octopodidae</x:v>
      </x:c>
      <x:c r="O100" s="62" t="n">
        <x:v>3.59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Octopodidae</x:v>
      </x:c>
      <x:c r="T100" s="62" t="n">
        <x:f>IF(O100="","",(1/'Metadata'!$B$5)^(O100-1))</x:f>
        <x:v>2342.4357563948306</x:v>
      </x:c>
      <x:c r="U100" s="60" t="n">
        <x:f>IF(T100="","",I100*T100)</x:f>
        <x:v>1778634.4695760007</x:v>
      </x:c>
    </x:row>
    <x:row r="101" ht="18" customHeight="1">
      <x:c r="A101" s="46" t="str">
        <x:v>LME_024</x:v>
      </x:c>
      <x:c r="B101" s="46" t="str">
        <x:v>Celtic-Biscay Shelf</x:v>
      </x:c>
      <x:c r="C101" s="46" t="str">
        <x:v>LME</x:v>
      </x:c>
      <x:c r="D101" s="58" t="n">
        <x:v>2019</x:v>
      </x:c>
      <x:c r="E101" s="46" t="str">
        <x:v>Mullidae</x:v>
      </x:c>
      <x:c r="F101" s="46" t="str">
        <x:v>Goatfishes</x:v>
      </x:c>
      <x:c r="G101" s="46" t="str">
        <x:v>Medium reef assoc. fish (30 - 89 cm)</x:v>
      </x:c>
      <x:c r="H101" s="46" t="str">
        <x:v>Perch-likes</x:v>
      </x:c>
      <x:c r="I101" s="60" t="n">
        <x:v>753.6609781341</x:v>
      </x:c>
      <x:c r="J101" s="60" t="n">
        <x:v>0.32282756900000004</x:v>
      </x:c>
      <x:c r="K101" s="60" t="n">
        <x:v>753.3381505651</x:v>
      </x:c>
      <x:c r="L101" s="60" t="n">
        <x:v>0.32282142760000004</x:v>
      </x:c>
      <x:c r="M101" s="60" t="n">
        <x:v>753.3381567065001</x:v>
      </x:c>
      <x:c r="N101" s="46" t="str">
        <x:v>mullidae</x:v>
      </x:c>
      <x:c r="O101" s="62" t="n">
        <x:v>3.46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Mullidae</x:v>
      </x:c>
      <x:c r="T101" s="62" t="n">
        <x:f>IF(O101="","",(1/'Metadata'!$B$5)^(O101-1))</x:f>
        <x:v>1586.8423749532276</x:v>
      </x:c>
      <x:c r="U101" s="60" t="n">
        <x:f>IF(T101="","",I101*T101)</x:f>
        <x:v>1195941.1764518877</x:v>
      </x:c>
    </x:row>
    <x:row r="102" ht="18" customHeight="1">
      <x:c r="A102" s="46" t="str">
        <x:v>LME_024</x:v>
      </x:c>
      <x:c r="B102" s="46" t="str">
        <x:v>Celtic-Biscay Shelf</x:v>
      </x:c>
      <x:c r="C102" s="46" t="str">
        <x:v>LME</x:v>
      </x:c>
      <x:c r="D102" s="58" t="n">
        <x:v>2019</x:v>
      </x:c>
      <x:c r="E102" s="46" t="str">
        <x:v>Balistidae</x:v>
      </x:c>
      <x:c r="F102" s="46" t="str">
        <x:v>Triggerfishes</x:v>
      </x:c>
      <x:c r="G102" s="46" t="str">
        <x:v>Medium reef assoc. fish (30 - 89 cm)</x:v>
      </x:c>
      <x:c r="H102" s="46" t="str">
        <x:v>Other fishes &amp; inverts</x:v>
      </x:c>
      <x:c r="I102" s="60" t="n">
        <x:v>719.4200917618</x:v>
      </x:c>
      <x:c r="J102" s="60" t="n">
        <x:v>8.5536819097</x:v>
      </x:c>
      <x:c r="K102" s="60" t="n">
        <x:v>710.8664098521</x:v>
      </x:c>
      <x:c r="L102" s="60" t="n">
        <x:v>5.7599546011</x:v>
      </x:c>
      <x:c r="M102" s="60" t="n">
        <x:v>713.6601371607</x:v>
      </x:c>
      <x:c r="N102" s="46" t="str">
        <x:v>balistidae</x:v>
      </x:c>
      <x:c r="O102" s="62" t="n">
        <x:v>3.25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Balistidae</x:v>
      </x:c>
      <x:c r="T102" s="62" t="n">
        <x:f>IF(O102="","",(1/'Metadata'!$B$5)^(O102-1))</x:f>
        <x:v>845.8970107524513</x:v>
      </x:c>
      <x:c r="U102" s="60" t="n">
        <x:f>IF(T102="","",I102*T102)</x:f>
        <x:v>608555.3050965607</x:v>
      </x:c>
    </x:row>
    <x:row r="103" ht="18" customHeight="1">
      <x:c r="A103" s="46" t="str">
        <x:v>LME_024</x:v>
      </x:c>
      <x:c r="B103" s="46" t="str">
        <x:v>Celtic-Biscay Shelf</x:v>
      </x:c>
      <x:c r="C103" s="46" t="str">
        <x:v>LME</x:v>
      </x:c>
      <x:c r="D103" s="58" t="n">
        <x:v>2019</x:v>
      </x:c>
      <x:c r="E103" s="46" t="str">
        <x:v>Solen</x:v>
      </x:c>
      <x:c r="F103" s="46" t="str">
        <x:v>Razor clams</x:v>
      </x:c>
      <x:c r="G103" s="46" t="str">
        <x:v>Other demersal invertebrates</x:v>
      </x:c>
      <x:c r="H103" s="46" t="str">
        <x:v>Molluscs</x:v>
      </x:c>
      <x:c r="I103" s="60" t="n">
        <x:v>715.5393677154001</x:v>
      </x:c>
      <x:c r="J103" s="60" t="n">
        <x:v>715.5393677154001</x:v>
      </x:c>
      <x:c r="K103" s="60" t="n">
        <x:v>0</x:v>
      </x:c>
      <x:c r="L103" s="60" t="n">
        <x:v>715.2682827631</x:v>
      </x:c>
      <x:c r="M103" s="60" t="n">
        <x:v>0.2710849523</x:v>
      </x:c>
      <x:c r="N103" s="46" t="str">
        <x:v>solen</x:v>
      </x:c>
      <x:c r="O103" s="62" t="n">
        <x:v>2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Solen</x:v>
      </x:c>
      <x:c r="T103" s="62" t="n">
        <x:f>IF(O103="","",(1/'Metadata'!$B$5)^(O103-1))</x:f>
        <x:v>20</x:v>
      </x:c>
      <x:c r="U103" s="60" t="n">
        <x:f>IF(T103="","",I103*T103)</x:f>
        <x:v>14310.787354308002</x:v>
      </x:c>
    </x:row>
    <x:row r="104" ht="18" customHeight="1">
      <x:c r="A104" s="46" t="str">
        <x:v>LME_024</x:v>
      </x:c>
      <x:c r="B104" s="46" t="str">
        <x:v>Celtic-Biscay Shelf</x:v>
      </x:c>
      <x:c r="C104" s="46" t="str">
        <x:v>LME</x:v>
      </x:c>
      <x:c r="D104" s="58" t="n">
        <x:v>2019</x:v>
      </x:c>
      <x:c r="E104" s="46" t="str">
        <x:v>Lepidorhombus whiffiagonis</x:v>
      </x:c>
      <x:c r="F104" s="46" t="str">
        <x:v>Megrim</x:v>
      </x:c>
      <x:c r="G104" s="46" t="str">
        <x:v>Small to medium flatfishes (&lt;90 cm)</x:v>
      </x:c>
      <x:c r="H104" s="46" t="str">
        <x:v>Flatfishes</x:v>
      </x:c>
      <x:c r="I104" s="60" t="n">
        <x:v>680.2956235245</x:v>
      </x:c>
      <x:c r="J104" s="60" t="n">
        <x:v>84.3981058689</x:v>
      </x:c>
      <x:c r="K104" s="60" t="n">
        <x:v>595.8975176556</x:v>
      </x:c>
      <x:c r="L104" s="60" t="n">
        <x:v>2.7621198989999995</x:v>
      </x:c>
      <x:c r="M104" s="60" t="n">
        <x:v>677.5335036255</x:v>
      </x:c>
      <x:c r="N104" s="46" t="str">
        <x:v>lepidorhombus whiffiagonis</x:v>
      </x:c>
      <x:c r="O104" s="62" t="n">
        <x:v>4.34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Lepidorhombus whiffiagonis</x:v>
      </x:c>
      <x:c r="T104" s="62" t="n">
        <x:f>IF(O104="","",(1/'Metadata'!$B$5)^(O104-1))</x:f>
        <x:v>22153.389612394185</x:v>
      </x:c>
      <x:c r="U104" s="60" t="n">
        <x:f>IF(T104="","",I104*T104)</x:f>
        <x:v>15070853.999544883</x:v>
      </x:c>
    </x:row>
    <x:row r="105" ht="18" customHeight="1">
      <x:c r="A105" s="46" t="str">
        <x:v>LME_024</x:v>
      </x:c>
      <x:c r="B105" s="46" t="str">
        <x:v>Celtic-Biscay Shelf</x:v>
      </x:c>
      <x:c r="C105" s="46" t="str">
        <x:v>LME</x:v>
      </x:c>
      <x:c r="D105" s="58" t="n">
        <x:v>2019</x:v>
      </x:c>
      <x:c r="E105" s="46" t="str">
        <x:v>Venus verrucosa</x:v>
      </x:c>
      <x:c r="F105" s="46" t="str">
        <x:v>Warty venus</x:v>
      </x:c>
      <x:c r="G105" s="46" t="str">
        <x:v>Other demersal invertebrates</x:v>
      </x:c>
      <x:c r="H105" s="46" t="str">
        <x:v>Molluscs</x:v>
      </x:c>
      <x:c r="I105" s="60" t="n">
        <x:v>622.9817426839</x:v>
      </x:c>
      <x:c r="J105" s="60" t="n">
        <x:v>622.9817426839</x:v>
      </x:c>
      <x:c r="K105" s="60" t="n">
        <x:v>0</x:v>
      </x:c>
      <x:c r="L105" s="60" t="n">
        <x:v>592.7681541584</x:v>
      </x:c>
      <x:c r="M105" s="60" t="n">
        <x:v>30.2135885255</x:v>
      </x:c>
      <x:c r="N105" s="46" t="str">
        <x:v>venus verrucosa</x:v>
      </x:c>
      <x:c r="O105" s="62" t="n">
        <x:v>2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Venus verrucosa</x:v>
      </x:c>
      <x:c r="T105" s="62" t="n">
        <x:f>IF(O105="","",(1/'Metadata'!$B$5)^(O105-1))</x:f>
        <x:v>20</x:v>
      </x:c>
      <x:c r="U105" s="60" t="n">
        <x:f>IF(T105="","",I105*T105)</x:f>
        <x:v>12459.634853678</x:v>
      </x:c>
    </x:row>
    <x:row r="106" ht="18" customHeight="1">
      <x:c r="A106" s="46" t="str">
        <x:v>LME_024</x:v>
      </x:c>
      <x:c r="B106" s="46" t="str">
        <x:v>Celtic-Biscay Shelf</x:v>
      </x:c>
      <x:c r="C106" s="46" t="str">
        <x:v>LME</x:v>
      </x:c>
      <x:c r="D106" s="58" t="n">
        <x:v>2019</x:v>
      </x:c>
      <x:c r="E106" s="46" t="str">
        <x:v>Sparus aurata</x:v>
      </x:c>
      <x:c r="F106" s="46" t="str">
        <x:v>Gilthead seabream</x:v>
      </x:c>
      <x:c r="G106" s="46" t="str">
        <x:v>Medium demersals (30 - 89 cm)</x:v>
      </x:c>
      <x:c r="H106" s="46" t="str">
        <x:v>Perch-likes</x:v>
      </x:c>
      <x:c r="I106" s="60" t="n">
        <x:v>608.1519485859</x:v>
      </x:c>
      <x:c r="J106" s="60" t="n">
        <x:v>608.1519485859</x:v>
      </x:c>
      <x:c r="K106" s="60" t="n">
        <x:v>0</x:v>
      </x:c>
      <x:c r="L106" s="60" t="n">
        <x:v>493.4094142908</x:v>
      </x:c>
      <x:c r="M106" s="60" t="n">
        <x:v>114.7425342951</x:v>
      </x:c>
      <x:c r="N106" s="46" t="str">
        <x:v>sparus aurata</x:v>
      </x:c>
      <x:c r="O106" s="62" t="n">
        <x:v>3.7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Sparus aurata</x:v>
      </x:c>
      <x:c r="T106" s="62" t="n">
        <x:f>IF(O106="","",(1/'Metadata'!$B$5)^(O106-1))</x:f>
        <x:v>3256.724252295237</x:v>
      </x:c>
      <x:c r="U106" s="60" t="n">
        <x:f>IF(T106="","",I106*T106)</x:f>
        <x:v>1980583.2000403064</x:v>
      </x:c>
    </x:row>
    <x:row r="107" ht="18" customHeight="1">
      <x:c r="A107" s="46" t="str">
        <x:v>LME_024</x:v>
      </x:c>
      <x:c r="B107" s="46" t="str">
        <x:v>Celtic-Biscay Shelf</x:v>
      </x:c>
      <x:c r="C107" s="46" t="str">
        <x:v>LME</x:v>
      </x:c>
      <x:c r="D107" s="58" t="n">
        <x:v>2019</x:v>
      </x:c>
      <x:c r="E107" s="46" t="str">
        <x:v>Crangon crangon</x:v>
      </x:c>
      <x:c r="F107" s="46" t="str">
        <x:v>Common shrimp</x:v>
      </x:c>
      <x:c r="G107" s="46" t="str">
        <x:v>Shrimps</x:v>
      </x:c>
      <x:c r="H107" s="46" t="str">
        <x:v>Crustaceans</x:v>
      </x:c>
      <x:c r="I107" s="60" t="n">
        <x:v>600.5255931676</x:v>
      </x:c>
      <x:c r="J107" s="60" t="n">
        <x:v>600.1102381247</x:v>
      </x:c>
      <x:c r="K107" s="60" t="n">
        <x:v>0.4153550429</x:v>
      </x:c>
      <x:c r="L107" s="60" t="n">
        <x:v>594.4297425407</x:v>
      </x:c>
      <x:c r="M107" s="60" t="n">
        <x:v>6.0958506269</x:v>
      </x:c>
      <x:c r="N107" s="46" t="str">
        <x:v>crangon crangon</x:v>
      </x:c>
      <x:c r="O107" s="62" t="n">
        <x:v>3.19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Crangon crangon</x:v>
      </x:c>
      <x:c r="T107" s="62" t="n">
        <x:f>IF(O107="","",(1/'Metadata'!$B$5)^(O107-1))</x:f>
        <x:v>706.7335205557481</x:v>
      </x:c>
      <x:c r="U107" s="60" t="n">
        <x:f>IF(T107="","",I107*T107)</x:f>
        <x:v>424411.5666431669</x:v>
      </x:c>
    </x:row>
    <x:row r="108" ht="18" customHeight="1">
      <x:c r="A108" s="46" t="str">
        <x:v>LME_024</x:v>
      </x:c>
      <x:c r="B108" s="46" t="str">
        <x:v>Celtic-Biscay Shelf</x:v>
      </x:c>
      <x:c r="C108" s="46" t="str">
        <x:v>LME</x:v>
      </x:c>
      <x:c r="D108" s="58" t="n">
        <x:v>2019</x:v>
      </x:c>
      <x:c r="E108" s="46" t="str">
        <x:v>Scyliorhinus stellaris</x:v>
      </x:c>
      <x:c r="F108" s="46" t="str">
        <x:v>Nursehound</x:v>
      </x:c>
      <x:c r="G108" s="46" t="str">
        <x:v>Large sharks (&gt;=90 cm)</x:v>
      </x:c>
      <x:c r="H108" s="46" t="str">
        <x:v>Sharks &amp; rays</x:v>
      </x:c>
      <x:c r="I108" s="60" t="n">
        <x:v>566.2460043421</x:v>
      </x:c>
      <x:c r="J108" s="60" t="n">
        <x:v>566.2460043421</x:v>
      </x:c>
      <x:c r="K108" s="60" t="n">
        <x:v>0</x:v>
      </x:c>
      <x:c r="L108" s="60" t="n">
        <x:v>540.7456702297</x:v>
      </x:c>
      <x:c r="M108" s="60" t="n">
        <x:v>25.5003341124</x:v>
      </x:c>
      <x:c r="N108" s="46" t="str">
        <x:v>scyliorhinus stellaris</x:v>
      </x:c>
      <x:c r="O108" s="62" t="n">
        <x:v>4.03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Scyliorhinus stellaris</x:v>
      </x:c>
      <x:c r="T108" s="62" t="n">
        <x:f>IF(O108="","",(1/'Metadata'!$B$5)^(O108-1))</x:f>
        <x:v>8752.273628615554</x:v>
      </x:c>
      <x:c r="U108" s="60" t="n">
        <x:f>IF(T108="","",I108*T108)</x:f>
        <x:v>4955939.97111229</x:v>
      </x:c>
    </x:row>
    <x:row r="109" ht="18" customHeight="1">
      <x:c r="A109" s="46" t="str">
        <x:v>LME_024</x:v>
      </x:c>
      <x:c r="B109" s="46" t="str">
        <x:v>Celtic-Biscay Shelf</x:v>
      </x:c>
      <x:c r="C109" s="46" t="str">
        <x:v>LME</x:v>
      </x:c>
      <x:c r="D109" s="58" t="n">
        <x:v>2019</x:v>
      </x:c>
      <x:c r="E109" s="46" t="str">
        <x:v>Argyrosomus regius</x:v>
      </x:c>
      <x:c r="F109" s="46" t="str">
        <x:v>Meagre</x:v>
      </x:c>
      <x:c r="G109" s="46" t="str">
        <x:v>Large benthopelagics (&gt;=90 cm)</x:v>
      </x:c>
      <x:c r="H109" s="46" t="str">
        <x:v>Perch-likes</x:v>
      </x:c>
      <x:c r="I109" s="60" t="n">
        <x:v>550.3135894283</x:v>
      </x:c>
      <x:c r="J109" s="60" t="n">
        <x:v>550.3135894283</x:v>
      </x:c>
      <x:c r="K109" s="60" t="n">
        <x:v>0</x:v>
      </x:c>
      <x:c r="L109" s="60" t="n">
        <x:v>538.0294397647</x:v>
      </x:c>
      <x:c r="M109" s="60" t="n">
        <x:v>12.2841496636</x:v>
      </x:c>
      <x:c r="N109" s="46" t="str">
        <x:v>argyrosomus regius</x:v>
      </x:c>
      <x:c r="O109" s="62" t="n">
        <x:v>4.29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Argyrosomus regius</x:v>
      </x:c>
      <x:c r="T109" s="62" t="n">
        <x:f>IF(O109="","",(1/'Metadata'!$B$5)^(O109-1))</x:f>
        <x:v>19071.668343236455</x:v>
      </x:c>
      <x:c r="U109" s="60" t="n">
        <x:f>IF(T109="","",I109*T109)</x:f>
        <x:v>10495398.262352534</x:v>
      </x:c>
    </x:row>
    <x:row r="110" ht="18" customHeight="1">
      <x:c r="A110" s="46" t="str">
        <x:v>LME_024</x:v>
      </x:c>
      <x:c r="B110" s="46" t="str">
        <x:v>Celtic-Biscay Shelf</x:v>
      </x:c>
      <x:c r="C110" s="46" t="str">
        <x:v>LME</x:v>
      </x:c>
      <x:c r="D110" s="58" t="n">
        <x:v>2019</x:v>
      </x:c>
      <x:c r="E110" s="46" t="str">
        <x:v>Trisopterus esmarkii</x:v>
      </x:c>
      <x:c r="F110" s="46" t="str">
        <x:v>Norway pout</x:v>
      </x:c>
      <x:c r="G110" s="46" t="str">
        <x:v>Medium benthopelagics (30 - 89 cm)</x:v>
      </x:c>
      <x:c r="H110" s="46" t="str">
        <x:v>Cod-likes</x:v>
      </x:c>
      <x:c r="I110" s="60" t="n">
        <x:v>528.5303508410999</x:v>
      </x:c>
      <x:c r="J110" s="60" t="n">
        <x:v>198.13588503339997</x:v>
      </x:c>
      <x:c r="K110" s="60" t="n">
        <x:v>330.3944658077</x:v>
      </x:c>
      <x:c r="L110" s="60" t="n">
        <x:v>0.365085686</x:v>
      </x:c>
      <x:c r="M110" s="60" t="n">
        <x:v>528.1652651551</x:v>
      </x:c>
      <x:c r="N110" s="46" t="str">
        <x:v>trisopterus esmarkii</x:v>
      </x:c>
      <x:c r="O110" s="62" t="n">
        <x:v>3.24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Trisopterus esmarkii</x:v>
      </x:c>
      <x:c r="T110" s="62" t="n">
        <x:f>IF(O110="","",(1/'Metadata'!$B$5)^(O110-1))</x:f>
        <x:v>820.9320103116679</x:v>
      </x:c>
      <x:c r="U110" s="60" t="n">
        <x:f>IF(T110="","",I110*T110)</x:f>
        <x:v>433887.4834267153</x:v>
      </x:c>
    </x:row>
    <x:row r="111" ht="18" customHeight="1">
      <x:c r="A111" s="46" t="str">
        <x:v>LME_024</x:v>
      </x:c>
      <x:c r="B111" s="46" t="str">
        <x:v>Celtic-Biscay Shelf</x:v>
      </x:c>
      <x:c r="C111" s="46" t="str">
        <x:v>LME</x:v>
      </x:c>
      <x:c r="D111" s="58" t="n">
        <x:v>2019</x:v>
      </x:c>
      <x:c r="E111" s="46" t="str">
        <x:v>Thunnus thynnus</x:v>
      </x:c>
      <x:c r="F111" s="46" t="str">
        <x:v>Atlantic bluefin tuna</x:v>
      </x:c>
      <x:c r="G111" s="46" t="str">
        <x:v>Large pelagics (&gt;=90 cm)</x:v>
      </x:c>
      <x:c r="H111" s="46" t="str">
        <x:v>Tuna &amp; billfishes</x:v>
      </x:c>
      <x:c r="I111" s="60" t="n">
        <x:v>514.0039589535</x:v>
      </x:c>
      <x:c r="J111" s="60" t="n">
        <x:v>514.0039589535</x:v>
      </x:c>
      <x:c r="K111" s="60" t="n">
        <x:v>0</x:v>
      </x:c>
      <x:c r="L111" s="60" t="n">
        <x:v>514.0039589535</x:v>
      </x:c>
      <x:c r="M111" s="60" t="n">
        <x:v>0</x:v>
      </x:c>
      <x:c r="N111" s="46" t="str">
        <x:v>thunnus thynnus</x:v>
      </x:c>
      <x:c r="O111" s="62" t="n">
        <x:v>4.45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Thunnus thynnus</x:v>
      </x:c>
      <x:c r="T111" s="62" t="n">
        <x:f>IF(O111="","",(1/'Metadata'!$B$5)^(O111-1))</x:f>
        <x:v>30800.19634445362</x:v>
      </x:c>
      <x:c r="U111" s="60" t="n">
        <x:f>IF(T111="","",I111*T111)</x:f>
        <x:v>15831422.85759428</x:v>
      </x:c>
    </x:row>
    <x:row r="112" ht="18" customHeight="1">
      <x:c r="A112" s="46" t="str">
        <x:v>LME_024</x:v>
      </x:c>
      <x:c r="B112" s="46" t="str">
        <x:v>Celtic-Biscay Shelf</x:v>
      </x:c>
      <x:c r="C112" s="46" t="str">
        <x:v>LME</x:v>
      </x:c>
      <x:c r="D112" s="58" t="n">
        <x:v>2019</x:v>
      </x:c>
      <x:c r="E112" s="46" t="str">
        <x:v>Gadiformes</x:v>
      </x:c>
      <x:c r="F112" s="46" t="str">
        <x:v>Cods</x:v>
      </x:c>
      <x:c r="G112" s="46" t="str">
        <x:v>Medium benthopelagics (30 - 89 cm)</x:v>
      </x:c>
      <x:c r="H112" s="46" t="str">
        <x:v>Cod-likes</x:v>
      </x:c>
      <x:c r="I112" s="60" t="n">
        <x:v>503.8032882937</x:v>
      </x:c>
      <x:c r="J112" s="60" t="n">
        <x:v>75.2110790196</x:v>
      </x:c>
      <x:c r="K112" s="60" t="n">
        <x:v>428.5922092741</x:v>
      </x:c>
      <x:c r="L112" s="60" t="n">
        <x:v>66.5102164707</x:v>
      </x:c>
      <x:c r="M112" s="60" t="n">
        <x:v>437.293071823</x:v>
      </x:c>
      <x:c r="N112" s="46" t="str">
        <x:v>gadiformes</x:v>
      </x:c>
      <x:c r="O112" s="62" t="n">
        <x:v>3.91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Gadiformes</x:v>
      </x:c>
      <x:c r="T112" s="62" t="n">
        <x:f>IF(O112="","",(1/'Metadata'!$B$5)^(O112-1))</x:f>
        <x:v>6109.382089532312</x:v>
      </x:c>
      <x:c r="U112" s="60" t="n">
        <x:f>IF(T112="","",I112*T112)</x:f>
        <x:v>3077926.7861490147</x:v>
      </x:c>
    </x:row>
    <x:row r="113" ht="18" customHeight="1">
      <x:c r="A113" s="46" t="str">
        <x:v>LME_024</x:v>
      </x:c>
      <x:c r="B113" s="46" t="str">
        <x:v>Celtic-Biscay Shelf</x:v>
      </x:c>
      <x:c r="C113" s="46" t="str">
        <x:v>LME</x:v>
      </x:c>
      <x:c r="D113" s="58" t="n">
        <x:v>2019</x:v>
      </x:c>
      <x:c r="E113" s="46" t="str">
        <x:v>Coryphaenoides rupestris</x:v>
      </x:c>
      <x:c r="F113" s="46" t="str">
        <x:v>Roundnose grenadier</x:v>
      </x:c>
      <x:c r="G113" s="46" t="str">
        <x:v>Large bathypelagics (&gt;=90 cm)</x:v>
      </x:c>
      <x:c r="H113" s="46" t="str">
        <x:v>Cod-likes</x:v>
      </x:c>
      <x:c r="I113" s="60" t="n">
        <x:v>499.9645385046</x:v>
      </x:c>
      <x:c r="J113" s="60" t="n">
        <x:v>499.9645385046</x:v>
      </x:c>
      <x:c r="K113" s="60" t="n">
        <x:v>0</x:v>
      </x:c>
      <x:c r="L113" s="60" t="n">
        <x:v>499.9645385046</x:v>
      </x:c>
      <x:c r="M113" s="60" t="n">
        <x:v>0</x:v>
      </x:c>
      <x:c r="N113" s="46" t="str">
        <x:v>coryphaenoides rupestris</x:v>
      </x:c>
      <x:c r="O113" s="62" t="n">
        <x:v>3.54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Coryphaenoides rupestris</x:v>
      </x:c>
      <x:c r="T113" s="62" t="n">
        <x:f>IF(O113="","",(1/'Metadata'!$B$5)^(O113-1))</x:f>
        <x:v>2016.5834052007342</x:v>
      </x:c>
      <x:c r="U113" s="60" t="n">
        <x:f>IF(T113="","",I113*T113)</x:f>
        <x:v>1008220.1915372199</x:v>
      </x:c>
    </x:row>
    <x:row r="114" ht="18" customHeight="1">
      <x:c r="A114" s="46" t="str">
        <x:v>LME_024</x:v>
      </x:c>
      <x:c r="B114" s="46" t="str">
        <x:v>Celtic-Biscay Shelf</x:v>
      </x:c>
      <x:c r="C114" s="46" t="str">
        <x:v>LME</x:v>
      </x:c>
      <x:c r="D114" s="58" t="n">
        <x:v>2019</x:v>
      </x:c>
      <x:c r="E114" s="46" t="str">
        <x:v>Brama brama</x:v>
      </x:c>
      <x:c r="F114" s="46" t="str">
        <x:v>Atlantic pomfret</x:v>
      </x:c>
      <x:c r="G114" s="46" t="str">
        <x:v>Medium bathypelagics (30 - 89 cm)</x:v>
      </x:c>
      <x:c r="H114" s="46" t="str">
        <x:v>Perch-likes</x:v>
      </x:c>
      <x:c r="I114" s="60" t="n">
        <x:v>497.66941539489994</x:v>
      </x:c>
      <x:c r="J114" s="60" t="n">
        <x:v>497.66941539489994</x:v>
      </x:c>
      <x:c r="K114" s="60" t="n">
        <x:v>0</x:v>
      </x:c>
      <x:c r="L114" s="60" t="n">
        <x:v>497.66628205779995</x:v>
      </x:c>
      <x:c r="M114" s="60" t="n">
        <x:v>0.0031333371</x:v>
      </x:c>
      <x:c r="N114" s="46" t="str">
        <x:v>brama brama</x:v>
      </x:c>
      <x:c r="O114" s="62" t="n">
        <x:v>4.08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Brama brama</x:v>
      </x:c>
      <x:c r="T114" s="62" t="n">
        <x:f>IF(O114="","",(1/'Metadata'!$B$5)^(O114-1))</x:f>
        <x:v>10166.521575327472</x:v>
      </x:c>
      <x:c r="U114" s="60" t="n">
        <x:f>IF(T114="","",I114*T114)</x:f>
        <x:v>5059566.84899286</x:v>
      </x:c>
    </x:row>
    <x:row r="115" ht="18" customHeight="1">
      <x:c r="A115" s="46" t="str">
        <x:v>LME_024</x:v>
      </x:c>
      <x:c r="B115" s="46" t="str">
        <x:v>Celtic-Biscay Shelf</x:v>
      </x:c>
      <x:c r="C115" s="46" t="str">
        <x:v>LME</x:v>
      </x:c>
      <x:c r="D115" s="58" t="n">
        <x:v>2019</x:v>
      </x:c>
      <x:c r="E115" s="46" t="str">
        <x:v>Dicologlossa cuneata</x:v>
      </x:c>
      <x:c r="F115" s="46" t="str">
        <x:v>Wedge sole</x:v>
      </x:c>
      <x:c r="G115" s="46" t="str">
        <x:v>Small to medium flatfishes (&lt;90 cm)</x:v>
      </x:c>
      <x:c r="H115" s="46" t="str">
        <x:v>Flatfishes</x:v>
      </x:c>
      <x:c r="I115" s="60" t="n">
        <x:v>479.66437356970005</x:v>
      </x:c>
      <x:c r="J115" s="60" t="n">
        <x:v>479.66437356970005</x:v>
      </x:c>
      <x:c r="K115" s="60" t="n">
        <x:v>0</x:v>
      </x:c>
      <x:c r="L115" s="60" t="n">
        <x:v>337.25598507390004</x:v>
      </x:c>
      <x:c r="M115" s="60" t="n">
        <x:v>142.4083884958</x:v>
      </x:c>
      <x:c r="N115" s="46" t="str">
        <x:v>dicologlossa cuneata</x:v>
      </x:c>
      <x:c r="O115" s="62" t="n">
        <x:v>3.32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Dicologlossa cuneata</x:v>
      </x:c>
      <x:c r="T115" s="62" t="n">
        <x:f>IF(O115="","",(1/'Metadata'!$B$5)^(O115-1))</x:f>
        <x:v>1043.2528743388143</x:v>
      </x:c>
      <x:c r="U115" s="60" t="n">
        <x:f>IF(T115="","",I115*T115)</x:f>
        <x:v>500411.23644451634</x:v>
      </x:c>
    </x:row>
    <x:row r="116" ht="18" customHeight="1">
      <x:c r="A116" s="46" t="str">
        <x:v>LME_024</x:v>
      </x:c>
      <x:c r="B116" s="46" t="str">
        <x:v>Celtic-Biscay Shelf</x:v>
      </x:c>
      <x:c r="C116" s="46" t="str">
        <x:v>LME</x:v>
      </x:c>
      <x:c r="D116" s="58" t="n">
        <x:v>2019</x:v>
      </x:c>
      <x:c r="E116" s="46" t="str">
        <x:v>Helicolenus dactylopterus</x:v>
      </x:c>
      <x:c r="F116" s="46" t="str">
        <x:v>Blackbelly rosefish</x:v>
      </x:c>
      <x:c r="G116" s="46" t="str">
        <x:v>Medium bathydemersals (30 - 89 cm)</x:v>
      </x:c>
      <x:c r="H116" s="46" t="str">
        <x:v>Scorpionfishes</x:v>
      </x:c>
      <x:c r="I116" s="60" t="n">
        <x:v>469.7858425056</x:v>
      </x:c>
      <x:c r="J116" s="60" t="n">
        <x:v>469.7858425056</x:v>
      </x:c>
      <x:c r="K116" s="60" t="n">
        <x:v>0</x:v>
      </x:c>
      <x:c r="L116" s="60" t="n">
        <x:v>469.7852786697</x:v>
      </x:c>
      <x:c r="M116" s="60" t="n">
        <x:v>0.0005638359</x:v>
      </x:c>
      <x:c r="N116" s="46" t="str">
        <x:v>helicolenus dactylopterus</x:v>
      </x:c>
      <x:c r="O116" s="62" t="n">
        <x:v>3.54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Helicolenus dactylopterus</x:v>
      </x:c>
      <x:c r="T116" s="62" t="n">
        <x:f>IF(O116="","",(1/'Metadata'!$B$5)^(O116-1))</x:f>
        <x:v>2016.5834052007342</x:v>
      </x:c>
      <x:c r="U116" s="60" t="n">
        <x:f>IF(T116="","",I116*T116)</x:f>
        <x:v>947362.3339950386</x:v>
      </x:c>
    </x:row>
    <x:row r="117" ht="18" customHeight="1">
      <x:c r="A117" s="46" t="str">
        <x:v>LME_024</x:v>
      </x:c>
      <x:c r="B117" s="46" t="str">
        <x:v>Celtic-Biscay Shelf</x:v>
      </x:c>
      <x:c r="C117" s="46" t="str">
        <x:v>LME</x:v>
      </x:c>
      <x:c r="D117" s="58" t="n">
        <x:v>2019</x:v>
      </x:c>
      <x:c r="E117" s="46" t="str">
        <x:v>Eutrigla gurnardus</x:v>
      </x:c>
      <x:c r="F117" s="46" t="str">
        <x:v>Grey gurnard</x:v>
      </x:c>
      <x:c r="G117" s="46" t="str">
        <x:v>Medium demersals (30 - 89 cm)</x:v>
      </x:c>
      <x:c r="H117" s="46" t="str">
        <x:v>Scorpionfishes</x:v>
      </x:c>
      <x:c r="I117" s="60" t="n">
        <x:v>439.8703793635</x:v>
      </x:c>
      <x:c r="J117" s="60" t="n">
        <x:v>439.810486485</x:v>
      </x:c>
      <x:c r="K117" s="60" t="n">
        <x:v>0.0598928785</x:v>
      </x:c>
      <x:c r="L117" s="60" t="n">
        <x:v>406.4634469979</x:v>
      </x:c>
      <x:c r="M117" s="60" t="n">
        <x:v>33.4069323656</x:v>
      </x:c>
      <x:c r="N117" s="46" t="str">
        <x:v>eutrigla gurnardus</x:v>
      </x:c>
      <x:c r="O117" s="62" t="n">
        <x:v>3.87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Eutrigla gurnardus</x:v>
      </x:c>
      <x:c r="T117" s="62" t="n">
        <x:f>IF(O117="","",(1/'Metadata'!$B$5)^(O117-1))</x:f>
        <x:v>5419.460903023396</x:v>
      </x:c>
      <x:c r="U117" s="60" t="n">
        <x:f>IF(T117="","",I117*T117)</x:f>
        <x:v>2383860.323358557</x:v>
      </x:c>
    </x:row>
    <x:row r="118" ht="18" customHeight="1">
      <x:c r="A118" s="46" t="str">
        <x:v>LME_024</x:v>
      </x:c>
      <x:c r="B118" s="46" t="str">
        <x:v>Celtic-Biscay Shelf</x:v>
      </x:c>
      <x:c r="C118" s="46" t="str">
        <x:v>LME</x:v>
      </x:c>
      <x:c r="D118" s="58" t="n">
        <x:v>2019</x:v>
      </x:c>
      <x:c r="E118" s="46" t="str">
        <x:v>Ensis siliqua</x:v>
      </x:c>
      <x:c r="F118" s="46" t="str">
        <x:v>Sword razor shell</x:v>
      </x:c>
      <x:c r="G118" s="46" t="str">
        <x:v>Other demersal invertebrates</x:v>
      </x:c>
      <x:c r="H118" s="46" t="str">
        <x:v>Molluscs</x:v>
      </x:c>
      <x:c r="I118" s="60" t="n">
        <x:v>439.7877960987</x:v>
      </x:c>
      <x:c r="J118" s="60" t="n">
        <x:v>1.6864954705000001</x:v>
      </x:c>
      <x:c r="K118" s="60" t="n">
        <x:v>438.1013006282</x:v>
      </x:c>
      <x:c r="L118" s="60" t="n">
        <x:v>1.6864954705000001</x:v>
      </x:c>
      <x:c r="M118" s="60" t="n">
        <x:v>438.1013006282</x:v>
      </x:c>
      <x:c r="N118" s="46" t="str">
        <x:v>ensis siliqua</x:v>
      </x:c>
      <x:c r="O118" s="62" t="n">
        <x:v>2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Ensis siliqua</x:v>
      </x:c>
      <x:c r="T118" s="62" t="n">
        <x:f>IF(O118="","",(1/'Metadata'!$B$5)^(O118-1))</x:f>
        <x:v>20</x:v>
      </x:c>
      <x:c r="U118" s="60" t="n">
        <x:f>IF(T118="","",I118*T118)</x:f>
        <x:v>8795.755921974</x:v>
      </x:c>
    </x:row>
    <x:row r="119" ht="18" customHeight="1">
      <x:c r="A119" s="46" t="str">
        <x:v>LME_024</x:v>
      </x:c>
      <x:c r="B119" s="46" t="str">
        <x:v>Celtic-Biscay Shelf</x:v>
      </x:c>
      <x:c r="C119" s="46" t="str">
        <x:v>LME</x:v>
      </x:c>
      <x:c r="D119" s="58" t="n">
        <x:v>2019</x:v>
      </x:c>
      <x:c r="E119" s="46" t="str">
        <x:v>Mustelus mustelus</x:v>
      </x:c>
      <x:c r="F119" s="46" t="str">
        <x:v>Smooth-hound</x:v>
      </x:c>
      <x:c r="G119" s="46" t="str">
        <x:v>Large sharks (&gt;=90 cm)</x:v>
      </x:c>
      <x:c r="H119" s="46" t="str">
        <x:v>Sharks &amp; rays</x:v>
      </x:c>
      <x:c r="I119" s="60" t="n">
        <x:v>438.8651885359</x:v>
      </x:c>
      <x:c r="J119" s="60" t="n">
        <x:v>438.8651885359</x:v>
      </x:c>
      <x:c r="K119" s="60" t="n">
        <x:v>0</x:v>
      </x:c>
      <x:c r="L119" s="60" t="n">
        <x:v>438.8630329846</x:v>
      </x:c>
      <x:c r="M119" s="60" t="n">
        <x:v>0.0021555513</x:v>
      </x:c>
      <x:c r="N119" s="46" t="str">
        <x:v>mustelus mustelus</x:v>
      </x:c>
      <x:c r="O119" s="62" t="n">
        <x:v>3.75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Mustelus mustelus</x:v>
      </x:c>
      <x:c r="T119" s="62" t="n">
        <x:f>IF(O119="","",(1/'Metadata'!$B$5)^(O119-1))</x:f>
        <x:v>3782.966436012703</x:v>
      </x:c>
      <x:c r="U119" s="60" t="n">
        <x:f>IF(T119="","",I119*T119)</x:f>
        <x:v>1660212.2781656967</x:v>
      </x:c>
    </x:row>
    <x:row r="120" ht="18" customHeight="1">
      <x:c r="A120" s="46" t="str">
        <x:v>LME_024</x:v>
      </x:c>
      <x:c r="B120" s="46" t="str">
        <x:v>Celtic-Biscay Shelf</x:v>
      </x:c>
      <x:c r="C120" s="46" t="str">
        <x:v>LME</x:v>
      </x:c>
      <x:c r="D120" s="58" t="n">
        <x:v>2019</x:v>
      </x:c>
      <x:c r="E120" s="46" t="str">
        <x:v>Todarodes sagittatus</x:v>
      </x:c>
      <x:c r="F120" s="46" t="str">
        <x:v>European flying squid</x:v>
      </x:c>
      <x:c r="G120" s="46" t="str">
        <x:v>Cephalopods</x:v>
      </x:c>
      <x:c r="H120" s="46" t="str">
        <x:v>Other fishes &amp; inverts</x:v>
      </x:c>
      <x:c r="I120" s="60" t="n">
        <x:v>418.3524146607</x:v>
      </x:c>
      <x:c r="J120" s="60" t="n">
        <x:v>418.3524146607</x:v>
      </x:c>
      <x:c r="K120" s="60" t="n">
        <x:v>0</x:v>
      </x:c>
      <x:c r="L120" s="60" t="n">
        <x:v>418.3524146607</x:v>
      </x:c>
      <x:c r="M120" s="60" t="n">
        <x:v>0</x:v>
      </x:c>
      <x:c r="N120" s="46" t="str">
        <x:v>todarodes sagittatus</x:v>
      </x:c>
      <x:c r="O120" s="62" t="n">
        <x:v>4.01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Todarodes sagittatus</x:v>
      </x:c>
      <x:c r="T120" s="62" t="n">
        <x:f>IF(O120="","",(1/'Metadata'!$B$5)^(O120-1))</x:f>
        <x:v>8243.284463290014</x:v>
      </x:c>
      <x:c r="U120" s="60" t="n">
        <x:f>IF(T120="","",I120*T120)</x:f>
        <x:v>3448597.95995241</x:v>
      </x:c>
    </x:row>
    <x:row r="121" ht="18" customHeight="1">
      <x:c r="A121" s="46" t="str">
        <x:v>LME_024</x:v>
      </x:c>
      <x:c r="B121" s="46" t="str">
        <x:v>Celtic-Biscay Shelf</x:v>
      </x:c>
      <x:c r="C121" s="46" t="str">
        <x:v>LME</x:v>
      </x:c>
      <x:c r="D121" s="58" t="n">
        <x:v>2019</x:v>
      </x:c>
      <x:c r="E121" s="46" t="str">
        <x:v>Platichthys flesus</x:v>
      </x:c>
      <x:c r="F121" s="46" t="str">
        <x:v>European flounder</x:v>
      </x:c>
      <x:c r="G121" s="46" t="str">
        <x:v>Small to medium flatfishes (&lt;90 cm)</x:v>
      </x:c>
      <x:c r="H121" s="46" t="str">
        <x:v>Flatfishes</x:v>
      </x:c>
      <x:c r="I121" s="60" t="n">
        <x:v>406.2549717275</x:v>
      </x:c>
      <x:c r="J121" s="60" t="n">
        <x:v>406.2516261962</x:v>
      </x:c>
      <x:c r="K121" s="60" t="n">
        <x:v>0.0033455313</x:v>
      </x:c>
      <x:c r="L121" s="60" t="n">
        <x:v>278.1100230162</x:v>
      </x:c>
      <x:c r="M121" s="60" t="n">
        <x:v>128.1449487113</x:v>
      </x:c>
      <x:c r="N121" s="46" t="str">
        <x:v>platichthys flesus</x:v>
      </x:c>
      <x:c r="O121" s="62" t="n">
        <x:v>3.32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Platichthys flesus</x:v>
      </x:c>
      <x:c r="T121" s="62" t="n">
        <x:f>IF(O121="","",(1/'Metadata'!$B$5)^(O121-1))</x:f>
        <x:v>1043.2528743388143</x:v>
      </x:c>
      <x:c r="U121" s="60" t="n">
        <x:f>IF(T121="","",I121*T121)</x:f>
        <x:v>423826.6669691481</x:v>
      </x:c>
    </x:row>
    <x:row r="122" ht="18" customHeight="1">
      <x:c r="A122" s="46" t="str">
        <x:v>LME_024</x:v>
      </x:c>
      <x:c r="B122" s="46" t="str">
        <x:v>Celtic-Biscay Shelf</x:v>
      </x:c>
      <x:c r="C122" s="46" t="str">
        <x:v>LME</x:v>
      </x:c>
      <x:c r="D122" s="58" t="n">
        <x:v>2019</x:v>
      </x:c>
      <x:c r="E122" s="46" t="str">
        <x:v>Trachinus draco</x:v>
      </x:c>
      <x:c r="F122" s="46" t="str">
        <x:v>Greater weever</x:v>
      </x:c>
      <x:c r="G122" s="46" t="str">
        <x:v>Medium demersals (30 - 89 cm)</x:v>
      </x:c>
      <x:c r="H122" s="46" t="str">
        <x:v>Perch-likes</x:v>
      </x:c>
      <x:c r="I122" s="60" t="n">
        <x:v>338.136307906</x:v>
      </x:c>
      <x:c r="J122" s="60" t="n">
        <x:v>338.136307906</x:v>
      </x:c>
      <x:c r="K122" s="60" t="n">
        <x:v>0</x:v>
      </x:c>
      <x:c r="L122" s="60" t="n">
        <x:v>337.2235315578</x:v>
      </x:c>
      <x:c r="M122" s="60" t="n">
        <x:v>0.9127763482</x:v>
      </x:c>
      <x:c r="N122" s="46" t="str">
        <x:v>trachinus draco</x:v>
      </x:c>
      <x:c r="O122" s="62" t="n">
        <x:v>4.18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Trachinus draco</x:v>
      </x:c>
      <x:c r="T122" s="62" t="n">
        <x:f>IF(O122="","",(1/'Metadata'!$B$5)^(O122-1))</x:f>
        <x:v>13717.513182092556</x:v>
      </x:c>
      <x:c r="U122" s="60" t="n">
        <x:f>IF(T122="","",I122*T122)</x:f>
        <x:v>4638389.261044662</x:v>
      </x:c>
    </x:row>
    <x:row r="123" ht="18" customHeight="1">
      <x:c r="A123" s="46" t="str">
        <x:v>LME_024</x:v>
      </x:c>
      <x:c r="B123" s="46" t="str">
        <x:v>Celtic-Biscay Shelf</x:v>
      </x:c>
      <x:c r="C123" s="46" t="str">
        <x:v>LME</x:v>
      </x:c>
      <x:c r="D123" s="58" t="n">
        <x:v>2019</x:v>
      </x:c>
      <x:c r="E123" s="46" t="str">
        <x:v>Scyliorhinus</x:v>
      </x:c>
      <x:c r="F123" s="46" t="str">
        <x:v>Catsharks</x:v>
      </x:c>
      <x:c r="G123" s="46" t="str">
        <x:v>Small to medium sharks (&lt;90 cm)</x:v>
      </x:c>
      <x:c r="H123" s="46" t="str">
        <x:v>Sharks &amp; rays</x:v>
      </x:c>
      <x:c r="I123" s="60" t="n">
        <x:v>321.341799491</x:v>
      </x:c>
      <x:c r="J123" s="60" t="n">
        <x:v>321.341799491</x:v>
      </x:c>
      <x:c r="K123" s="60" t="n">
        <x:v>0</x:v>
      </x:c>
      <x:c r="L123" s="60" t="n">
        <x:v>313.7357268083</x:v>
      </x:c>
      <x:c r="M123" s="60" t="n">
        <x:v>7.6060726827</x:v>
      </x:c>
      <x:c r="N123" s="46" t="str">
        <x:v>scyliorhinus</x:v>
      </x:c>
      <x:c r="O123" s="62" t="n">
        <x:v>3.86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Scyliorhinus</x:v>
      </x:c>
      <x:c r="T123" s="62" t="n">
        <x:f>IF(O123="","",(1/'Metadata'!$B$5)^(O123-1))</x:f>
        <x:v>5259.51608454905</x:v>
      </x:c>
      <x:c r="U123" s="60" t="n">
        <x:f>IF(T123="","",I123*T123)</x:f>
        <x:v>1690102.3630608504</x:v>
      </x:c>
    </x:row>
    <x:row r="124" ht="18" customHeight="1">
      <x:c r="A124" s="46" t="str">
        <x:v>LME_024</x:v>
      </x:c>
      <x:c r="B124" s="46" t="str">
        <x:v>Celtic-Biscay Shelf</x:v>
      </x:c>
      <x:c r="C124" s="46" t="str">
        <x:v>LME</x:v>
      </x:c>
      <x:c r="D124" s="58" t="n">
        <x:v>2019</x:v>
      </x:c>
      <x:c r="E124" s="46" t="str">
        <x:v>Palaemon serratus</x:v>
      </x:c>
      <x:c r="F124" s="46" t="str">
        <x:v>Common prawn</x:v>
      </x:c>
      <x:c r="G124" s="46" t="str">
        <x:v>Shrimps</x:v>
      </x:c>
      <x:c r="H124" s="46" t="str">
        <x:v>Crustaceans</x:v>
      </x:c>
      <x:c r="I124" s="60" t="n">
        <x:v>320.88809221959997</x:v>
      </x:c>
      <x:c r="J124" s="60" t="n">
        <x:v>320.88809221959997</x:v>
      </x:c>
      <x:c r="K124" s="60" t="n">
        <x:v>0</x:v>
      </x:c>
      <x:c r="L124" s="60" t="n">
        <x:v>233.592580691</x:v>
      </x:c>
      <x:c r="M124" s="60" t="n">
        <x:v>87.2955115286</x:v>
      </x:c>
      <x:c r="N124" s="46" t="str">
        <x:v>palaemon serratus</x:v>
      </x:c>
      <x:c r="O124" s="62" t="n">
        <x:v>2.69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Palaemon serratus</x:v>
      </x:c>
      <x:c r="T124" s="62" t="n">
        <x:f>IF(O124="","",(1/'Metadata'!$B$5)^(O124-1))</x:f>
        <x:v>158.03041939403977</x:v>
      </x:c>
      <x:c r="U124" s="60" t="n">
        <x:f>IF(T124="","",I124*T124)</x:f>
        <x:v>50710.079792016695</x:v>
      </x:c>
    </x:row>
    <x:row r="125" ht="18" customHeight="1">
      <x:c r="A125" s="46" t="str">
        <x:v>LME_024</x:v>
      </x:c>
      <x:c r="B125" s="46" t="str">
        <x:v>Celtic-Biscay Shelf</x:v>
      </x:c>
      <x:c r="C125" s="46" t="str">
        <x:v>LME</x:v>
      </x:c>
      <x:c r="D125" s="58" t="n">
        <x:v>2019</x:v>
      </x:c>
      <x:c r="E125" s="46" t="str">
        <x:v>Mytilus</x:v>
      </x:c>
      <x:c r="F125" s="46" t="str">
        <x:v>Edible sea mussels</x:v>
      </x:c>
      <x:c r="G125" s="46" t="str">
        <x:v>Other demersal invertebrates</x:v>
      </x:c>
      <x:c r="H125" s="46" t="str">
        <x:v>Molluscs</x:v>
      </x:c>
      <x:c r="I125" s="60" t="n">
        <x:v>314.91401320600005</x:v>
      </x:c>
      <x:c r="J125" s="60" t="n">
        <x:v>314.91401320600005</x:v>
      </x:c>
      <x:c r="K125" s="60" t="n">
        <x:v>0</x:v>
      </x:c>
      <x:c r="L125" s="60" t="n">
        <x:v>48.7884928837</x:v>
      </x:c>
      <x:c r="M125" s="60" t="n">
        <x:v>266.1255203223</x:v>
      </x:c>
      <x:c r="N125" s="46" t="str">
        <x:v>mytilus</x:v>
      </x:c>
      <x:c r="O125" s="62" t="n">
        <x:v>2.03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Mytilus</x:v>
      </x:c>
      <x:c r="T125" s="62" t="n">
        <x:f>IF(O125="","",(1/'Metadata'!$B$5)^(O125-1))</x:f>
        <x:v>21.880684071538855</x:v>
      </x:c>
      <x:c r="U125" s="60" t="n">
        <x:f>IF(T125="","",I125*T125)</x:f>
        <x:v>6890.534032660902</x:v>
      </x:c>
    </x:row>
    <x:row r="126" ht="18" customHeight="1">
      <x:c r="A126" s="46" t="str">
        <x:v>LME_024</x:v>
      </x:c>
      <x:c r="B126" s="46" t="str">
        <x:v>Celtic-Biscay Shelf</x:v>
      </x:c>
      <x:c r="C126" s="46" t="str">
        <x:v>LME</x:v>
      </x:c>
      <x:c r="D126" s="58" t="n">
        <x:v>2019</x:v>
      </x:c>
      <x:c r="E126" s="46" t="str">
        <x:v>Labrus bergylta</x:v>
      </x:c>
      <x:c r="F126" s="46" t="str">
        <x:v>Ballan wrasse</x:v>
      </x:c>
      <x:c r="G126" s="46" t="str">
        <x:v>Medium reef assoc. fish (30 - 89 cm)</x:v>
      </x:c>
      <x:c r="H126" s="46" t="str">
        <x:v>Perch-likes</x:v>
      </x:c>
      <x:c r="I126" s="60" t="n">
        <x:v>311.2737342574</x:v>
      </x:c>
      <x:c r="J126" s="60" t="n">
        <x:v>311.2737342574</x:v>
      </x:c>
      <x:c r="K126" s="60" t="n">
        <x:v>0</x:v>
      </x:c>
      <x:c r="L126" s="60" t="n">
        <x:v>279.5849836495</x:v>
      </x:c>
      <x:c r="M126" s="60" t="n">
        <x:v>31.688750607900005</x:v>
      </x:c>
      <x:c r="N126" s="46" t="str">
        <x:v>labrus bergylta</x:v>
      </x:c>
      <x:c r="O126" s="62" t="n">
        <x:v>3.2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Labrus bergylta</x:v>
      </x:c>
      <x:c r="T126" s="62" t="n">
        <x:f>IF(O126="","",(1/'Metadata'!$B$5)^(O126-1))</x:f>
        <x:v>728.2256812104325</x:v>
      </x:c>
      <x:c r="U126" s="60" t="n">
        <x:f>IF(T126="","",I126*T126)</x:f>
        <x:v>226677.52717251028</x:v>
      </x:c>
    </x:row>
    <x:row r="127" ht="18" customHeight="1">
      <x:c r="A127" s="46" t="str">
        <x:v>LME_024</x:v>
      </x:c>
      <x:c r="B127" s="46" t="str">
        <x:v>Celtic-Biscay Shelf</x:v>
      </x:c>
      <x:c r="C127" s="46" t="str">
        <x:v>LME</x:v>
      </x:c>
      <x:c r="D127" s="58" t="n">
        <x:v>2019</x:v>
      </x:c>
      <x:c r="E127" s="46" t="str">
        <x:v>Octopus vulgaris</x:v>
      </x:c>
      <x:c r="F127" s="46" t="str">
        <x:v>Common octopus</x:v>
      </x:c>
      <x:c r="G127" s="46" t="str">
        <x:v>Cephalopods</x:v>
      </x:c>
      <x:c r="H127" s="46" t="str">
        <x:v>Other fishes &amp; inverts</x:v>
      </x:c>
      <x:c r="I127" s="60" t="n">
        <x:v>288.1958162376</x:v>
      </x:c>
      <x:c r="J127" s="60" t="n">
        <x:v>288.1958162376</x:v>
      </x:c>
      <x:c r="K127" s="60" t="n">
        <x:v>0</x:v>
      </x:c>
      <x:c r="L127" s="60" t="n">
        <x:v>280.3718650272</x:v>
      </x:c>
      <x:c r="M127" s="60" t="n">
        <x:v>7.823951210400001</x:v>
      </x:c>
      <x:c r="N127" s="46" t="str">
        <x:v>octopus vulgaris</x:v>
      </x:c>
      <x:c r="O127" s="62" t="n">
        <x:v>3.6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Octopus vulgaris</x:v>
      </x:c>
      <x:c r="T127" s="62" t="n">
        <x:f>IF(O127="","",(1/'Metadata'!$B$5)^(O127-1))</x:f>
        <x:v>2413.670534618066</x:v>
      </x:c>
      <x:c r="U127" s="60" t="n">
        <x:f>IF(T127="","",I127*T127)</x:f>
        <x:v>695609.749852898</x:v>
      </x:c>
    </x:row>
    <x:row r="128" ht="18" customHeight="1">
      <x:c r="A128" s="46" t="str">
        <x:v>LME_024</x:v>
      </x:c>
      <x:c r="B128" s="46" t="str">
        <x:v>Celtic-Biscay Shelf</x:v>
      </x:c>
      <x:c r="C128" s="46" t="str">
        <x:v>LME</x:v>
      </x:c>
      <x:c r="D128" s="58" t="n">
        <x:v>2019</x:v>
      </x:c>
      <x:c r="E128" s="46" t="str">
        <x:v>Teuthida</x:v>
      </x:c>
      <x:c r="F128" s="46" t="str">
        <x:v>Squids</x:v>
      </x:c>
      <x:c r="G128" s="46" t="str">
        <x:v>Cephalopods</x:v>
      </x:c>
      <x:c r="H128" s="46" t="str">
        <x:v>Other fishes &amp; inverts</x:v>
      </x:c>
      <x:c r="I128" s="60" t="n">
        <x:v>283.8614310076</x:v>
      </x:c>
      <x:c r="J128" s="60" t="n">
        <x:v>283.8614310076</x:v>
      </x:c>
      <x:c r="K128" s="60" t="n">
        <x:v>0</x:v>
      </x:c>
      <x:c r="L128" s="60" t="n">
        <x:v>279.9005144701</x:v>
      </x:c>
      <x:c r="M128" s="60" t="n">
        <x:v>3.9609165374999997</x:v>
      </x:c>
      <x:c r="N128" s="46" t="str">
        <x:v>teuthida</x:v>
      </x:c>
      <x:c r="O128" s="62" t="n">
        <x:v>4.13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Teuthida</x:v>
      </x:c>
      <x:c r="T128" s="62" t="n">
        <x:f>IF(O128="","",(1/'Metadata'!$B$5)^(O128-1))</x:f>
        <x:v>11809.292685236613</x:v>
      </x:c>
      <x:c r="U128" s="60" t="n">
        <x:f>IF(T128="","",I128*T128)</x:f>
        <x:v>3352202.720818848</x:v>
      </x:c>
    </x:row>
    <x:row r="129" ht="18" customHeight="1">
      <x:c r="A129" s="46" t="str">
        <x:v>LME_024</x:v>
      </x:c>
      <x:c r="B129" s="46" t="str">
        <x:v>Celtic-Biscay Shelf</x:v>
      </x:c>
      <x:c r="C129" s="46" t="str">
        <x:v>LME</x:v>
      </x:c>
      <x:c r="D129" s="58" t="n">
        <x:v>2019</x:v>
      </x:c>
      <x:c r="E129" s="46" t="str">
        <x:v>Raja undulata</x:v>
      </x:c>
      <x:c r="F129" s="46" t="str">
        <x:v>Undulate ray</x:v>
      </x:c>
      <x:c r="G129" s="46" t="str">
        <x:v>Small to medium rays (&lt;90 cm)</x:v>
      </x:c>
      <x:c r="H129" s="46" t="str">
        <x:v>Sharks &amp; rays</x:v>
      </x:c>
      <x:c r="I129" s="60" t="n">
        <x:v>270.5994920532</x:v>
      </x:c>
      <x:c r="J129" s="60" t="n">
        <x:v>270.5994920532</x:v>
      </x:c>
      <x:c r="K129" s="60" t="n">
        <x:v>0</x:v>
      </x:c>
      <x:c r="L129" s="60" t="n">
        <x:v>269.0279812418</x:v>
      </x:c>
      <x:c r="M129" s="60" t="n">
        <x:v>1.5715108113999998</x:v>
      </x:c>
      <x:c r="N129" s="46" t="str">
        <x:v>raja undulata</x:v>
      </x:c>
      <x:c r="O129" s="62" t="n">
        <x:v>3.5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Raja undulata</x:v>
      </x:c>
      <x:c r="T129" s="62" t="n">
        <x:f>IF(O129="","",(1/'Metadata'!$B$5)^(O129-1))</x:f>
        <x:v>1788.8543819998317</x:v>
      </x:c>
      <x:c r="U129" s="60" t="n">
        <x:f>IF(T129="","",I129*T129)</x:f>
        <x:v>484063.08712629543</x:v>
      </x:c>
    </x:row>
    <x:row r="130" ht="18" customHeight="1">
      <x:c r="A130" s="46" t="str">
        <x:v>LME_024</x:v>
      </x:c>
      <x:c r="B130" s="46" t="str">
        <x:v>Celtic-Biscay Shelf</x:v>
      </x:c>
      <x:c r="C130" s="46" t="str">
        <x:v>LME</x:v>
      </x:c>
      <x:c r="D130" s="58" t="n">
        <x:v>2019</x:v>
      </x:c>
      <x:c r="E130" s="46" t="str">
        <x:v>Raja microocellata</x:v>
      </x:c>
      <x:c r="F130" s="46" t="str">
        <x:v>Small-eyed ray</x:v>
      </x:c>
      <x:c r="G130" s="46" t="str">
        <x:v>Small to medium rays (&lt;90 cm)</x:v>
      </x:c>
      <x:c r="H130" s="46" t="str">
        <x:v>Sharks &amp; rays</x:v>
      </x:c>
      <x:c r="I130" s="60" t="n">
        <x:v>257.6130857836</x:v>
      </x:c>
      <x:c r="J130" s="60" t="n">
        <x:v>257.6130857836</x:v>
      </x:c>
      <x:c r="K130" s="60" t="n">
        <x:v>0</x:v>
      </x:c>
      <x:c r="L130" s="60" t="n">
        <x:v>249.9907744757</x:v>
      </x:c>
      <x:c r="M130" s="60" t="n">
        <x:v>7.6223113079</x:v>
      </x:c>
      <x:c r="N130" s="46" t="str">
        <x:v>raja microocellata</x:v>
      </x:c>
      <x:c r="O130" s="62" t="n">
        <x:v>3.94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Raja microocellata</x:v>
      </x:c>
      <x:c r="T130" s="62" t="n">
        <x:f>IF(O130="","",(1/'Metadata'!$B$5)^(O130-1))</x:f>
        <x:v>6683.872968668722</x:v>
      </x:c>
      <x:c r="U130" s="60" t="n">
        <x:f>IF(T130="","",I130*T130)</x:f>
        <x:v>1721853.1404443409</x:v>
      </x:c>
    </x:row>
    <x:row r="131" ht="18" customHeight="1">
      <x:c r="A131" s="46" t="str">
        <x:v>LME_024</x:v>
      </x:c>
      <x:c r="B131" s="46" t="str">
        <x:v>Celtic-Biscay Shelf</x:v>
      </x:c>
      <x:c r="C131" s="46" t="str">
        <x:v>LME</x:v>
      </x:c>
      <x:c r="D131" s="58" t="n">
        <x:v>2019</x:v>
      </x:c>
      <x:c r="E131" s="46" t="str">
        <x:v>Brachyura</x:v>
      </x:c>
      <x:c r="F131" s="46" t="str">
        <x:v>Marine crabs</x:v>
      </x:c>
      <x:c r="G131" s="46" t="str">
        <x:v>Lobsters, crabs</x:v>
      </x:c>
      <x:c r="H131" s="46" t="str">
        <x:v>Crustaceans</x:v>
      </x:c>
      <x:c r="I131" s="60" t="n">
        <x:v>251.9548797468</x:v>
      </x:c>
      <x:c r="J131" s="60" t="n">
        <x:v>251.9548797468</x:v>
      </x:c>
      <x:c r="K131" s="60" t="n">
        <x:v>0</x:v>
      </x:c>
      <x:c r="L131" s="60" t="n">
        <x:v>228.50040413070002</x:v>
      </x:c>
      <x:c r="M131" s="60" t="n">
        <x:v>23.454475616099998</x:v>
      </x:c>
      <x:c r="N131" s="46" t="str">
        <x:v>brachyura</x:v>
      </x:c>
      <x:c r="O131" s="62" t="n">
        <x:v>2.6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Brachyura</x:v>
      </x:c>
      <x:c r="T131" s="62" t="n">
        <x:f>IF(O131="","",(1/'Metadata'!$B$5)^(O131-1))</x:f>
        <x:v>120.6835267309033</x:v>
      </x:c>
      <x:c r="U131" s="60" t="n">
        <x:f>IF(T131="","",I131*T131)</x:f>
        <x:v>30406.803464904464</x:v>
      </x:c>
    </x:row>
    <x:row r="132" ht="18" customHeight="1">
      <x:c r="A132" s="46" t="str">
        <x:v>LME_024</x:v>
      </x:c>
      <x:c r="B132" s="46" t="str">
        <x:v>Celtic-Biscay Shelf</x:v>
      </x:c>
      <x:c r="C132" s="46" t="str">
        <x:v>LME</x:v>
      </x:c>
      <x:c r="D132" s="58" t="n">
        <x:v>2019</x:v>
      </x:c>
      <x:c r="E132" s="46" t="str">
        <x:v>Chelon labrosus</x:v>
      </x:c>
      <x:c r="F132" s="46" t="str">
        <x:v>Thicklip grey mullet</x:v>
      </x:c>
      <x:c r="G132" s="46" t="str">
        <x:v>Medium demersals (30 - 89 cm)</x:v>
      </x:c>
      <x:c r="H132" s="46" t="str">
        <x:v>Perch-likes</x:v>
      </x:c>
      <x:c r="I132" s="60" t="n">
        <x:v>244.7108470364</x:v>
      </x:c>
      <x:c r="J132" s="60" t="n">
        <x:v>244.7108470364</x:v>
      </x:c>
      <x:c r="K132" s="60" t="n">
        <x:v>0</x:v>
      </x:c>
      <x:c r="L132" s="60" t="n">
        <x:v>240.8038216838</x:v>
      </x:c>
      <x:c r="M132" s="60" t="n">
        <x:v>3.9070253526</x:v>
      </x:c>
      <x:c r="N132" s="46" t="str">
        <x:v>chelon labrosus</x:v>
      </x:c>
      <x:c r="O132" s="62" t="n">
        <x:v>2.59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Chelon labrosus</x:v>
      </x:c>
      <x:c r="T132" s="62" t="n">
        <x:f>IF(O132="","",(1/'Metadata'!$B$5)^(O132-1))</x:f>
        <x:v>117.12178781974153</x:v>
      </x:c>
      <x:c r="U132" s="60" t="n">
        <x:f>IF(T132="","",I132*T132)</x:f>
        <x:v>28660.971903786467</x:v>
      </x:c>
    </x:row>
    <x:row r="133" ht="18" customHeight="1">
      <x:c r="A133" s="46" t="str">
        <x:v>LME_024</x:v>
      </x:c>
      <x:c r="B133" s="46" t="str">
        <x:v>Celtic-Biscay Shelf</x:v>
      </x:c>
      <x:c r="C133" s="46" t="str">
        <x:v>LME</x:v>
      </x:c>
      <x:c r="D133" s="58" t="n">
        <x:v>2019</x:v>
      </x:c>
      <x:c r="E133" s="46" t="str">
        <x:v>Rajiformes</x:v>
      </x:c>
      <x:c r="F133" s="46" t="str">
        <x:v>Skates and rays</x:v>
      </x:c>
      <x:c r="G133" s="46" t="str">
        <x:v>Large rays (&gt;=90 cm)</x:v>
      </x:c>
      <x:c r="H133" s="46" t="str">
        <x:v>Sharks &amp; rays</x:v>
      </x:c>
      <x:c r="I133" s="60" t="n">
        <x:v>242.2413114839</x:v>
      </x:c>
      <x:c r="J133" s="60" t="n">
        <x:v>24.5940874413</x:v>
      </x:c>
      <x:c r="K133" s="60" t="n">
        <x:v>217.64722404260002</x:v>
      </x:c>
      <x:c r="L133" s="60" t="n">
        <x:v>24.2566008557</x:v>
      </x:c>
      <x:c r="M133" s="60" t="n">
        <x:v>217.9847106282</x:v>
      </x:c>
      <x:c r="N133" s="46" t="str">
        <x:v>rajiformes</x:v>
      </x:c>
      <x:c r="O133" s="62" t="n">
        <x:v>3.61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Rajiformes</x:v>
      </x:c>
      <x:c r="T133" s="62" t="n">
        <x:f>IF(O133="","",(1/'Metadata'!$B$5)^(O133-1))</x:f>
        <x:v>2487.0716021897506</x:v>
      </x:c>
      <x:c r="U133" s="60" t="n">
        <x:f>IF(T133="","",I133*T133)</x:f>
        <x:v>602471.4866688097</x:v>
      </x:c>
    </x:row>
    <x:row r="134" ht="18" customHeight="1">
      <x:c r="A134" s="46" t="str">
        <x:v>LME_024</x:v>
      </x:c>
      <x:c r="B134" s="46" t="str">
        <x:v>Celtic-Biscay Shelf</x:v>
      </x:c>
      <x:c r="C134" s="46" t="str">
        <x:v>LME</x:v>
      </x:c>
      <x:c r="D134" s="58" t="n">
        <x:v>2019</x:v>
      </x:c>
      <x:c r="E134" s="46" t="str">
        <x:v>Scyliorhinidae</x:v>
      </x:c>
      <x:c r="F134" s="46" t="str">
        <x:v>Cat/swellsharks</x:v>
      </x:c>
      <x:c r="G134" s="46" t="str">
        <x:v>Large sharks (&gt;=90 cm)</x:v>
      </x:c>
      <x:c r="H134" s="46" t="str">
        <x:v>Sharks &amp; rays</x:v>
      </x:c>
      <x:c r="I134" s="60" t="n">
        <x:v>215.9707593851</x:v>
      </x:c>
      <x:c r="J134" s="60" t="n">
        <x:v>215.9707593851</x:v>
      </x:c>
      <x:c r="K134" s="60" t="n">
        <x:v>0</x:v>
      </x:c>
      <x:c r="L134" s="60" t="n">
        <x:v>215.4296266393</x:v>
      </x:c>
      <x:c r="M134" s="60" t="n">
        <x:v>0.5411327458</x:v>
      </x:c>
      <x:c r="N134" s="46" t="str">
        <x:v>scyliorhinidae</x:v>
      </x:c>
      <x:c r="O134" s="62" t="n">
        <x:v>3.97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Scyliorhinidae</x:v>
      </x:c>
      <x:c r="T134" s="62" t="n">
        <x:f>IF(O134="","",(1/'Metadata'!$B$5)^(O134-1))</x:f>
        <x:v>7312.385640086951</x:v>
      </x:c>
      <x:c r="U134" s="60" t="n">
        <x:f>IF(T134="","",I134*T134)</x:f>
        <x:v>1579261.4796062792</x:v>
      </x:c>
    </x:row>
    <x:row r="135" ht="18" customHeight="1">
      <x:c r="A135" s="46" t="str">
        <x:v>LME_024</x:v>
      </x:c>
      <x:c r="B135" s="46" t="str">
        <x:v>Celtic-Biscay Shelf</x:v>
      </x:c>
      <x:c r="C135" s="46" t="str">
        <x:v>LME</x:v>
      </x:c>
      <x:c r="D135" s="58" t="n">
        <x:v>2019</x:v>
      </x:c>
      <x:c r="E135" s="46" t="str">
        <x:v>Reinhardtius hippoglossoides</x:v>
      </x:c>
      <x:c r="F135" s="46" t="str">
        <x:v>Greenland halibut</x:v>
      </x:c>
      <x:c r="G135" s="46" t="str">
        <x:v>Small to medium flatfishes (&lt;90 cm)</x:v>
      </x:c>
      <x:c r="H135" s="46" t="str">
        <x:v>Flatfishes</x:v>
      </x:c>
      <x:c r="I135" s="60" t="n">
        <x:v>200.3162540729</x:v>
      </x:c>
      <x:c r="J135" s="60" t="n">
        <x:v>200.3151838727</x:v>
      </x:c>
      <x:c r="K135" s="60" t="n">
        <x:v>0.0010702002</x:v>
      </x:c>
      <x:c r="L135" s="60" t="n">
        <x:v>200.3151838727</x:v>
      </x:c>
      <x:c r="M135" s="60" t="n">
        <x:v>0.0010702002</x:v>
      </x:c>
      <x:c r="N135" s="46" t="str">
        <x:v>reinhardtius hippoglossoides</x:v>
      </x:c>
      <x:c r="O135" s="62" t="n">
        <x:v>4.38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Reinhardtius hippoglossoides</x:v>
      </x:c>
      <x:c r="T135" s="62" t="n">
        <x:f>IF(O135="","",(1/'Metadata'!$B$5)^(O135-1))</x:f>
        <x:v>24973.6134538561</x:v>
      </x:c>
      <x:c r="U135" s="60" t="n">
        <x:f>IF(T135="","",I135*T135)</x:f>
        <x:v>5002620.697741032</x:v>
      </x:c>
    </x:row>
    <x:row r="136" ht="18" customHeight="1">
      <x:c r="A136" s="46" t="str">
        <x:v>LME_024</x:v>
      </x:c>
      <x:c r="B136" s="46" t="str">
        <x:v>Celtic-Biscay Shelf</x:v>
      </x:c>
      <x:c r="C136" s="46" t="str">
        <x:v>LME</x:v>
      </x:c>
      <x:c r="D136" s="58" t="n">
        <x:v>2019</x:v>
      </x:c>
      <x:c r="E136" s="46" t="str">
        <x:v>Osteichthyes</x:v>
      </x:c>
      <x:c r="F136" s="46" t="str">
        <x:v>Bony fishes</x:v>
      </x:c>
      <x:c r="G136" s="46" t="str">
        <x:v>Medium demersals (30 - 89 cm)</x:v>
      </x:c>
      <x:c r="H136" s="46" t="str">
        <x:v>Other fishes &amp; inverts</x:v>
      </x:c>
      <x:c r="I136" s="60" t="n">
        <x:v>185.2489141206</x:v>
      </x:c>
      <x:c r="J136" s="60" t="n">
        <x:v>185.2489141206</x:v>
      </x:c>
      <x:c r="K136" s="60" t="n">
        <x:v>0</x:v>
      </x:c>
      <x:c r="L136" s="60" t="n">
        <x:v>154.9075470173</x:v>
      </x:c>
      <x:c r="M136" s="60" t="n">
        <x:v>30.3413671033</x:v>
      </x:c>
      <x:c r="N136" s="46" t="str">
        <x:v>osteichthyes</x:v>
      </x:c>
      <x:c r="O136" s="62" t="n">
        <x:v>3.79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Osteichthyes</x:v>
      </x:c>
      <x:c r="T136" s="62" t="n">
        <x:f>IF(O136="","",(1/'Metadata'!$B$5)^(O136-1))</x:f>
        <x:v>4264.554685980751</x:v>
      </x:c>
      <x:c r="U136" s="60" t="n">
        <x:f>IF(T136="","",I136*T136)</x:f>
        <x:v>790004.1247858504</x:v>
      </x:c>
    </x:row>
    <x:row r="137" ht="18" customHeight="1">
      <x:c r="A137" s="46" t="str">
        <x:v>LME_024</x:v>
      </x:c>
      <x:c r="B137" s="46" t="str">
        <x:v>Celtic-Biscay Shelf</x:v>
      </x:c>
      <x:c r="C137" s="46" t="str">
        <x:v>LME</x:v>
      </x:c>
      <x:c r="D137" s="58" t="n">
        <x:v>2019</x:v>
      </x:c>
      <x:c r="E137" s="46" t="str">
        <x:v>Leucoraja fullonica</x:v>
      </x:c>
      <x:c r="F137" s="46" t="str">
        <x:v>Shagreen ray</x:v>
      </x:c>
      <x:c r="G137" s="46" t="str">
        <x:v>Large rays (&gt;=90 cm)</x:v>
      </x:c>
      <x:c r="H137" s="46" t="str">
        <x:v>Sharks &amp; rays</x:v>
      </x:c>
      <x:c r="I137" s="60" t="n">
        <x:v>177.0898546614</x:v>
      </x:c>
      <x:c r="J137" s="60" t="n">
        <x:v>173.7731870527</x:v>
      </x:c>
      <x:c r="K137" s="60" t="n">
        <x:v>3.3166676087</x:v>
      </x:c>
      <x:c r="L137" s="60" t="n">
        <x:v>166.3003739136</x:v>
      </x:c>
      <x:c r="M137" s="60" t="n">
        <x:v>10.789480747799999</x:v>
      </x:c>
      <x:c r="N137" s="46" t="str">
        <x:v>leucoraja fullonica</x:v>
      </x:c>
      <x:c r="O137" s="62" t="n">
        <x:v>3.5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Leucoraja fullonica</x:v>
      </x:c>
      <x:c r="T137" s="62" t="n">
        <x:f>IF(O137="","",(1/'Metadata'!$B$5)^(O137-1))</x:f>
        <x:v>1788.8543819998317</x:v>
      </x:c>
      <x:c r="U137" s="60" t="n">
        <x:f>IF(T137="","",I137*T137)</x:f>
        <x:v>316787.9625187587</x:v>
      </x:c>
    </x:row>
    <x:row r="138" ht="18" customHeight="1">
      <x:c r="A138" s="46" t="str">
        <x:v>LME_024</x:v>
      </x:c>
      <x:c r="B138" s="46" t="str">
        <x:v>Celtic-Biscay Shelf</x:v>
      </x:c>
      <x:c r="C138" s="46" t="str">
        <x:v>LME</x:v>
      </x:c>
      <x:c r="D138" s="58" t="n">
        <x:v>2019</x:v>
      </x:c>
      <x:c r="E138" s="46" t="str">
        <x:v>Dipturus oxyrinchus</x:v>
      </x:c>
      <x:c r="F138" s="46" t="str">
        <x:v>Longnosed skate</x:v>
      </x:c>
      <x:c r="G138" s="46" t="str">
        <x:v>Large rays (&gt;=90 cm)</x:v>
      </x:c>
      <x:c r="H138" s="46" t="str">
        <x:v>Sharks &amp; rays</x:v>
      </x:c>
      <x:c r="I138" s="60" t="n">
        <x:v>173.9133928764</x:v>
      </x:c>
      <x:c r="J138" s="60" t="n">
        <x:v>173.9133928764</x:v>
      </x:c>
      <x:c r="K138" s="60" t="n">
        <x:v>0</x:v>
      </x:c>
      <x:c r="L138" s="60" t="n">
        <x:v>172.445164779</x:v>
      </x:c>
      <x:c r="M138" s="60" t="n">
        <x:v>1.4682280974</x:v>
      </x:c>
      <x:c r="N138" s="46" t="str">
        <x:v>dipturus oxyrinchus</x:v>
      </x:c>
      <x:c r="O138" s="62" t="n">
        <x:v>3.5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Dipturus oxyrinchus</x:v>
      </x:c>
      <x:c r="T138" s="62" t="n">
        <x:f>IF(O138="","",(1/'Metadata'!$B$5)^(O138-1))</x:f>
        <x:v>1788.8543819998317</x:v>
      </x:c>
      <x:c r="U138" s="60" t="n">
        <x:f>IF(T138="","",I138*T138)</x:f>
        <x:v>311105.7349354065</x:v>
      </x:c>
    </x:row>
    <x:row r="139" ht="18" customHeight="1">
      <x:c r="A139" s="46" t="str">
        <x:v>LME_024</x:v>
      </x:c>
      <x:c r="B139" s="46" t="str">
        <x:v>Celtic-Biscay Shelf</x:v>
      </x:c>
      <x:c r="C139" s="46" t="str">
        <x:v>LME</x:v>
      </x:c>
      <x:c r="D139" s="58" t="n">
        <x:v>2019</x:v>
      </x:c>
      <x:c r="E139" s="46" t="str">
        <x:v>Raja</x:v>
      </x:c>
      <x:c r="F139" s="46" t="str">
        <x:v>Stingrays, skates</x:v>
      </x:c>
      <x:c r="G139" s="46" t="str">
        <x:v>Small to medium rays (&lt;90 cm)</x:v>
      </x:c>
      <x:c r="H139" s="46" t="str">
        <x:v>Sharks &amp; rays</x:v>
      </x:c>
      <x:c r="I139" s="60" t="n">
        <x:v>164.04978752050002</x:v>
      </x:c>
      <x:c r="J139" s="60" t="n">
        <x:v>161.4834005346</x:v>
      </x:c>
      <x:c r="K139" s="60" t="n">
        <x:v>2.5663869859000004</x:v>
      </x:c>
      <x:c r="L139" s="60" t="n">
        <x:v>161.482972702</x:v>
      </x:c>
      <x:c r="M139" s="60" t="n">
        <x:v>2.5668148185</x:v>
      </x:c>
      <x:c r="N139" s="46" t="str">
        <x:v>raja</x:v>
      </x:c>
      <x:c r="O139" s="62" t="n">
        <x:v>3.8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Raja</x:v>
      </x:c>
      <x:c r="T139" s="62" t="n">
        <x:f>IF(O139="","",(1/'Metadata'!$B$5)^(O139-1))</x:f>
        <x:v>4394.242173224468</x:v>
      </x:c>
      <x:c r="U139" s="60" t="n">
        <x:f>IF(T139="","",I139*T139)</x:f>
        <x:v>720874.4948310943</x:v>
      </x:c>
    </x:row>
    <x:row r="140" ht="18" customHeight="1">
      <x:c r="A140" s="46" t="str">
        <x:v>LME_024</x:v>
      </x:c>
      <x:c r="B140" s="46" t="str">
        <x:v>Celtic-Biscay Shelf</x:v>
      </x:c>
      <x:c r="C140" s="46" t="str">
        <x:v>LME</x:v>
      </x:c>
      <x:c r="D140" s="58" t="n">
        <x:v>2019</x:v>
      </x:c>
      <x:c r="E140" s="46" t="str">
        <x:v>Brosme brosme</x:v>
      </x:c>
      <x:c r="F140" s="46" t="str">
        <x:v>Tusk</x:v>
      </x:c>
      <x:c r="G140" s="46" t="str">
        <x:v>Large demersals (&gt;=90 cm)</x:v>
      </x:c>
      <x:c r="H140" s="46" t="str">
        <x:v>Cod-likes</x:v>
      </x:c>
      <x:c r="I140" s="60" t="n">
        <x:v>157.6912108263</x:v>
      </x:c>
      <x:c r="J140" s="60" t="n">
        <x:v>157.5319409582</x:v>
      </x:c>
      <x:c r="K140" s="60" t="n">
        <x:v>0.15926986810000002</x:v>
      </x:c>
      <x:c r="L140" s="60" t="n">
        <x:v>157.5319409582</x:v>
      </x:c>
      <x:c r="M140" s="60" t="n">
        <x:v>0.15926986810000002</x:v>
      </x:c>
      <x:c r="N140" s="46" t="str">
        <x:v>brosme brosme</x:v>
      </x:c>
      <x:c r="O140" s="62" t="n">
        <x:v>3.9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Brosme brosme</x:v>
      </x:c>
      <x:c r="T140" s="62" t="n">
        <x:f>IF(O140="","",(1/'Metadata'!$B$5)^(O140-1))</x:f>
        <x:v>5929.07559285558</x:v>
      </x:c>
      <x:c r="U140" s="60" t="n">
        <x:f>IF(T140="","",I140*T140)</x:f>
        <x:v>934963.1093180589</x:v>
      </x:c>
    </x:row>
    <x:row r="141" ht="18" customHeight="1">
      <x:c r="A141" s="46" t="str">
        <x:v>LME_024</x:v>
      </x:c>
      <x:c r="B141" s="46" t="str">
        <x:v>Celtic-Biscay Shelf</x:v>
      </x:c>
      <x:c r="C141" s="46" t="str">
        <x:v>LME</x:v>
      </x:c>
      <x:c r="D141" s="58" t="n">
        <x:v>2019</x:v>
      </x:c>
      <x:c r="E141" s="46" t="str">
        <x:v>Scomberesox saurus</x:v>
      </x:c>
      <x:c r="F141" s="46" t="str">
        <x:v>Atlantic saury</x:v>
      </x:c>
      <x:c r="G141" s="46" t="str">
        <x:v>Medium pelagics (30 - 89 cm)</x:v>
      </x:c>
      <x:c r="H141" s="46" t="str">
        <x:v>Other fishes &amp; inverts</x:v>
      </x:c>
      <x:c r="I141" s="60" t="n">
        <x:v>146.4714008968</x:v>
      </x:c>
      <x:c r="J141" s="60" t="n">
        <x:v>146.4714008968</x:v>
      </x:c>
      <x:c r="K141" s="60" t="n">
        <x:v>0</x:v>
      </x:c>
      <x:c r="L141" s="60" t="n">
        <x:v>144.78381351139998</x:v>
      </x:c>
      <x:c r="M141" s="60" t="n">
        <x:v>1.6875873853999999</x:v>
      </x:c>
      <x:c r="N141" s="46" t="str">
        <x:v>scomberesox saurus</x:v>
      </x:c>
      <x:c r="O141" s="62" t="n">
        <x:v>3.91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Scomberesox saurus</x:v>
      </x:c>
      <x:c r="T141" s="62" t="n">
        <x:f>IF(O141="","",(1/'Metadata'!$B$5)^(O141-1))</x:f>
        <x:v>6109.382089532312</x:v>
      </x:c>
      <x:c r="U141" s="60" t="n">
        <x:f>IF(T141="","",I141*T141)</x:f>
        <x:v>894849.753267617</x:v>
      </x:c>
    </x:row>
    <x:row r="142" ht="18" customHeight="1">
      <x:c r="A142" s="46" t="str">
        <x:v>LME_024</x:v>
      </x:c>
      <x:c r="B142" s="46" t="str">
        <x:v>Celtic-Biscay Shelf</x:v>
      </x:c>
      <x:c r="C142" s="46" t="str">
        <x:v>LME</x:v>
      </x:c>
      <x:c r="D142" s="58" t="n">
        <x:v>2019</x:v>
      </x:c>
      <x:c r="E142" s="46" t="str">
        <x:v>Pagellus erythrinus</x:v>
      </x:c>
      <x:c r="F142" s="46" t="str">
        <x:v>Common pandora</x:v>
      </x:c>
      <x:c r="G142" s="46" t="str">
        <x:v>Medium benthopelagics (30 - 89 cm)</x:v>
      </x:c>
      <x:c r="H142" s="46" t="str">
        <x:v>Perch-likes</x:v>
      </x:c>
      <x:c r="I142" s="60" t="n">
        <x:v>140.3283275898</x:v>
      </x:c>
      <x:c r="J142" s="60" t="n">
        <x:v>140.3283275898</x:v>
      </x:c>
      <x:c r="K142" s="60" t="n">
        <x:v>0</x:v>
      </x:c>
      <x:c r="L142" s="60" t="n">
        <x:v>124.4780701803</x:v>
      </x:c>
      <x:c r="M142" s="60" t="n">
        <x:v>15.8502574095</x:v>
      </x:c>
      <x:c r="N142" s="46" t="str">
        <x:v>pagellus erythrinus</x:v>
      </x:c>
      <x:c r="O142" s="62" t="n">
        <x:v>3.48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Pagellus erythrinus</x:v>
      </x:c>
      <x:c r="T142" s="62" t="n">
        <x:f>IF(O142="","",(1/'Metadata'!$B$5)^(O142-1))</x:f>
        <x:v>1684.8234138858888</x:v>
      </x:c>
      <x:c r="U142" s="60" t="n">
        <x:f>IF(T142="","",I142*T142)</x:f>
        <x:v>236428.45195474423</x:v>
      </x:c>
    </x:row>
    <x:row r="143" ht="18" customHeight="1">
      <x:c r="A143" s="46" t="str">
        <x:v>LME_024</x:v>
      </x:c>
      <x:c r="B143" s="46" t="str">
        <x:v>Celtic-Biscay Shelf</x:v>
      </x:c>
      <x:c r="C143" s="46" t="str">
        <x:v>LME</x:v>
      </x:c>
      <x:c r="D143" s="58" t="n">
        <x:v>2019</x:v>
      </x:c>
      <x:c r="E143" s="46" t="str">
        <x:v>Thunnus albacares</x:v>
      </x:c>
      <x:c r="F143" s="46" t="str">
        <x:v>Yellowfin tuna</x:v>
      </x:c>
      <x:c r="G143" s="46" t="str">
        <x:v>Large pelagics (&gt;=90 cm)</x:v>
      </x:c>
      <x:c r="H143" s="46" t="str">
        <x:v>Tuna &amp; billfishes</x:v>
      </x:c>
      <x:c r="I143" s="60" t="n">
        <x:v>137.96719602660002</x:v>
      </x:c>
      <x:c r="J143" s="60" t="n">
        <x:v>137.96719602660002</x:v>
      </x:c>
      <x:c r="K143" s="60" t="n">
        <x:v>0</x:v>
      </x:c>
      <x:c r="L143" s="60" t="n">
        <x:v>137.96719602660002</x:v>
      </x:c>
      <x:c r="M143" s="60" t="n">
        <x:v>0</x:v>
      </x:c>
      <x:c r="N143" s="46" t="str">
        <x:v>thunnus albacares</x:v>
      </x:c>
      <x:c r="O143" s="62" t="n">
        <x:v>4.41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Thunnus albacares</x:v>
      </x:c>
      <x:c r="T143" s="62" t="n">
        <x:f>IF(O143="","",(1/'Metadata'!$B$5)^(O143-1))</x:f>
        <x:v>27321.987305427916</x:v>
      </x:c>
      <x:c r="U143" s="60" t="n">
        <x:f>IF(T143="","",I143*T143)</x:f>
        <x:v>3769537.9784042505</x:v>
      </x:c>
    </x:row>
    <x:row r="144" ht="18" customHeight="1">
      <x:c r="A144" s="46" t="str">
        <x:v>LME_024</x:v>
      </x:c>
      <x:c r="B144" s="46" t="str">
        <x:v>Celtic-Biscay Shelf</x:v>
      </x:c>
      <x:c r="C144" s="46" t="str">
        <x:v>LME</x:v>
      </x:c>
      <x:c r="D144" s="58" t="n">
        <x:v>2019</x:v>
      </x:c>
      <x:c r="E144" s="46" t="str">
        <x:v>Eledone</x:v>
      </x:c>
      <x:c r="F144" s="46" t="str">
        <x:v>Horned, musky octopuses</x:v>
      </x:c>
      <x:c r="G144" s="46" t="str">
        <x:v>Cephalopods</x:v>
      </x:c>
      <x:c r="H144" s="46" t="str">
        <x:v>Other fishes &amp; inverts</x:v>
      </x:c>
      <x:c r="I144" s="60" t="n">
        <x:v>131.67514999129997</x:v>
      </x:c>
      <x:c r="J144" s="60" t="n">
        <x:v>131.67514999129997</x:v>
      </x:c>
      <x:c r="K144" s="60" t="n">
        <x:v>0</x:v>
      </x:c>
      <x:c r="L144" s="60" t="n">
        <x:v>131.67514999129997</x:v>
      </x:c>
      <x:c r="M144" s="60" t="n">
        <x:v>0</x:v>
      </x:c>
      <x:c r="N144" s="46" t="str">
        <x:v>eledone</x:v>
      </x:c>
      <x:c r="O144" s="62" t="n">
        <x:v>3.67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Eledone</x:v>
      </x:c>
      <x:c r="T144" s="62" t="n">
        <x:f>IF(O144="","",(1/'Metadata'!$B$5)^(O144-1))</x:f>
        <x:v>2976.8029570258213</x:v>
      </x:c>
      <x:c r="U144" s="60" t="n">
        <x:f>IF(T144="","",I144*T144)</x:f>
        <x:v>391970.9758609203</x:v>
      </x:c>
    </x:row>
    <x:row r="145" ht="18" customHeight="1">
      <x:c r="A145" s="46" t="str">
        <x:v>LME_024</x:v>
      </x:c>
      <x:c r="B145" s="46" t="str">
        <x:v>Celtic-Biscay Shelf</x:v>
      </x:c>
      <x:c r="C145" s="46" t="str">
        <x:v>LME</x:v>
      </x:c>
      <x:c r="D145" s="58" t="n">
        <x:v>2019</x:v>
      </x:c>
      <x:c r="E145" s="46" t="str">
        <x:v>Pagrus pagrus</x:v>
      </x:c>
      <x:c r="F145" s="46" t="str">
        <x:v>Red porgy</x:v>
      </x:c>
      <x:c r="G145" s="46" t="str">
        <x:v>Medium benthopelagics (30 - 89 cm)</x:v>
      </x:c>
      <x:c r="H145" s="46" t="str">
        <x:v>Perch-likes</x:v>
      </x:c>
      <x:c r="I145" s="60" t="n">
        <x:v>128.7019947823</x:v>
      </x:c>
      <x:c r="J145" s="60" t="n">
        <x:v>128.7019947823</x:v>
      </x:c>
      <x:c r="K145" s="60" t="n">
        <x:v>0</x:v>
      </x:c>
      <x:c r="L145" s="60" t="n">
        <x:v>113.4282269933</x:v>
      </x:c>
      <x:c r="M145" s="60" t="n">
        <x:v>15.273767789</x:v>
      </x:c>
      <x:c r="N145" s="46" t="str">
        <x:v>pagrus pagrus</x:v>
      </x:c>
      <x:c r="O145" s="62" t="n">
        <x:v>3.86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Pagrus pagrus</x:v>
      </x:c>
      <x:c r="T145" s="62" t="n">
        <x:f>IF(O145="","",(1/'Metadata'!$B$5)^(O145-1))</x:f>
        <x:v>5259.51608454905</x:v>
      </x:c>
      <x:c r="U145" s="60" t="n">
        <x:f>IF(T145="","",I145*T145)</x:f>
        <x:v>676910.2116710548</x:v>
      </x:c>
    </x:row>
    <x:row r="146" ht="18" customHeight="1">
      <x:c r="A146" s="46" t="str">
        <x:v>LME_024</x:v>
      </x:c>
      <x:c r="B146" s="46" t="str">
        <x:v>Celtic-Biscay Shelf</x:v>
      </x:c>
      <x:c r="C146" s="46" t="str">
        <x:v>LME</x:v>
      </x:c>
      <x:c r="D146" s="58" t="n">
        <x:v>2019</x:v>
      </x:c>
      <x:c r="E146" s="46" t="str">
        <x:v>Chelon ramada</x:v>
      </x:c>
      <x:c r="F146" s="46" t="str">
        <x:v>Thinlip grey mullet</x:v>
      </x:c>
      <x:c r="G146" s="46" t="str">
        <x:v>Medium pelagics (30 - 89 cm)</x:v>
      </x:c>
      <x:c r="H146" s="46" t="str">
        <x:v>Perch-likes</x:v>
      </x:c>
      <x:c r="I146" s="60" t="n">
        <x:v>124.5735788889</x:v>
      </x:c>
      <x:c r="J146" s="60" t="n">
        <x:v>124.5735788889</x:v>
      </x:c>
      <x:c r="K146" s="60" t="n">
        <x:v>0</x:v>
      </x:c>
      <x:c r="L146" s="60" t="n">
        <x:v>111.6416102152</x:v>
      </x:c>
      <x:c r="M146" s="60" t="n">
        <x:v>12.9319686737</x:v>
      </x:c>
      <x:c r="N146" s="46" t="str">
        <x:v>chelon ramada</x:v>
      </x:c>
      <x:c r="O146" s="62" t="n">
        <x:v>2.3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Chelon ramada</x:v>
      </x:c>
      <x:c r="T146" s="62" t="n">
        <x:f>IF(O146="","",(1/'Metadata'!$B$5)^(O146-1))</x:f>
        <x:v>49.12912104463159</x:v>
      </x:c>
      <x:c r="U146" s="60" t="n">
        <x:f>IF(T146="","",I146*T146)</x:f>
        <x:v>6120.19043619573</x:v>
      </x:c>
    </x:row>
    <x:row r="147" ht="18" customHeight="1">
      <x:c r="A147" s="46" t="str">
        <x:v>LME_024</x:v>
      </x:c>
      <x:c r="B147" s="46" t="str">
        <x:v>Celtic-Biscay Shelf</x:v>
      </x:c>
      <x:c r="C147" s="46" t="str">
        <x:v>LME</x:v>
      </x:c>
      <x:c r="D147" s="58" t="n">
        <x:v>2019</x:v>
      </x:c>
      <x:c r="E147" s="46" t="str">
        <x:v>Mugil cephalus</x:v>
      </x:c>
      <x:c r="F147" s="46" t="str">
        <x:v>Flathead grey mullet</x:v>
      </x:c>
      <x:c r="G147" s="46" t="str">
        <x:v>Large benthopelagics (&gt;=90 cm)</x:v>
      </x:c>
      <x:c r="H147" s="46" t="str">
        <x:v>Perch-likes</x:v>
      </x:c>
      <x:c r="I147" s="60" t="n">
        <x:v>121.4986895038</x:v>
      </x:c>
      <x:c r="J147" s="60" t="n">
        <x:v>121.4986895038</x:v>
      </x:c>
      <x:c r="K147" s="60" t="n">
        <x:v>0</x:v>
      </x:c>
      <x:c r="L147" s="60" t="n">
        <x:v>98.5292338431</x:v>
      </x:c>
      <x:c r="M147" s="60" t="n">
        <x:v>22.9694556607</x:v>
      </x:c>
      <x:c r="N147" s="46" t="str">
        <x:v>mugil cephalus</x:v>
      </x:c>
      <x:c r="O147" s="62" t="n">
        <x:v>2.14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Mugil cephalus</x:v>
      </x:c>
      <x:c r="T147" s="62" t="n">
        <x:f>IF(O147="","",(1/'Metadata'!$B$5)^(O147-1))</x:f>
        <x:v>30.421049660829848</x:v>
      </x:c>
      <x:c r="U147" s="60" t="n">
        <x:f>IF(T147="","",I147*T147)</x:f>
        <x:v>3696.117667120846</x:v>
      </x:c>
    </x:row>
    <x:row r="148" ht="18" customHeight="1">
      <x:c r="A148" s="46" t="str">
        <x:v>LME_024</x:v>
      </x:c>
      <x:c r="B148" s="46" t="str">
        <x:v>Celtic-Biscay Shelf</x:v>
      </x:c>
      <x:c r="C148" s="46" t="str">
        <x:v>LME</x:v>
      </x:c>
      <x:c r="D148" s="58" t="n">
        <x:v>2019</x:v>
      </x:c>
      <x:c r="E148" s="46" t="str">
        <x:v>Polititapes rhomboides</x:v>
      </x:c>
      <x:c r="F148" s="46" t="str">
        <x:v>Banded carpet shell</x:v>
      </x:c>
      <x:c r="G148" s="46" t="str">
        <x:v>Other demersal invertebrates</x:v>
      </x:c>
      <x:c r="H148" s="46" t="str">
        <x:v>Molluscs</x:v>
      </x:c>
      <x:c r="I148" s="60" t="n">
        <x:v>120.7211820663</x:v>
      </x:c>
      <x:c r="J148" s="60" t="n">
        <x:v>120.7211820663</x:v>
      </x:c>
      <x:c r="K148" s="60" t="n">
        <x:v>0</x:v>
      </x:c>
      <x:c r="L148" s="60" t="n">
        <x:v>39.1322428752</x:v>
      </x:c>
      <x:c r="M148" s="60" t="n">
        <x:v>81.5889391911</x:v>
      </x:c>
      <x:c r="N148" s="46" t="str">
        <x:v>polititapes rhomboides</x:v>
      </x:c>
      <x:c r="O148" s="62" t="n">
        <x:v>2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Polititapes rhomboides</x:v>
      </x:c>
      <x:c r="T148" s="62" t="n">
        <x:f>IF(O148="","",(1/'Metadata'!$B$5)^(O148-1))</x:f>
        <x:v>20</x:v>
      </x:c>
      <x:c r="U148" s="60" t="n">
        <x:f>IF(T148="","",I148*T148)</x:f>
        <x:v>2414.423641326</x:v>
      </x:c>
    </x:row>
    <x:row r="149" ht="18" customHeight="1">
      <x:c r="A149" s="46" t="str">
        <x:v>LME_024</x:v>
      </x:c>
      <x:c r="B149" s="46" t="str">
        <x:v>Celtic-Biscay Shelf</x:v>
      </x:c>
      <x:c r="C149" s="46" t="str">
        <x:v>LME</x:v>
      </x:c>
      <x:c r="D149" s="58" t="n">
        <x:v>2019</x:v>
      </x:c>
      <x:c r="E149" s="46" t="str">
        <x:v>Pagellus acarne</x:v>
      </x:c>
      <x:c r="F149" s="46" t="str">
        <x:v>Axillary seabream</x:v>
      </x:c>
      <x:c r="G149" s="46" t="str">
        <x:v>Medium benthopelagics (30 - 89 cm)</x:v>
      </x:c>
      <x:c r="H149" s="46" t="str">
        <x:v>Perch-likes</x:v>
      </x:c>
      <x:c r="I149" s="60" t="n">
        <x:v>120.5985803635</x:v>
      </x:c>
      <x:c r="J149" s="60" t="n">
        <x:v>120.5985803635</x:v>
      </x:c>
      <x:c r="K149" s="60" t="n">
        <x:v>0</x:v>
      </x:c>
      <x:c r="L149" s="60" t="n">
        <x:v>101.0505352868</x:v>
      </x:c>
      <x:c r="M149" s="60" t="n">
        <x:v>19.5480450767</x:v>
      </x:c>
      <x:c r="N149" s="46" t="str">
        <x:v>pagellus acarne</x:v>
      </x:c>
      <x:c r="O149" s="62" t="n">
        <x:v>3.81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Pagellus acarne</x:v>
      </x:c>
      <x:c r="T149" s="62" t="n">
        <x:f>IF(O149="","",(1/'Metadata'!$B$5)^(O149-1))</x:f>
        <x:v>4527.873529309382</x:v>
      </x:c>
      <x:c r="U149" s="60" t="n">
        <x:f>IF(T149="","",I149*T149)</x:f>
        <x:v>546055.119700182</x:v>
      </x:c>
    </x:row>
    <x:row r="150" ht="18" customHeight="1">
      <x:c r="A150" s="46" t="str">
        <x:v>LME_024</x:v>
      </x:c>
      <x:c r="B150" s="46" t="str">
        <x:v>Celtic-Biscay Shelf</x:v>
      </x:c>
      <x:c r="C150" s="46" t="str">
        <x:v>LME</x:v>
      </x:c>
      <x:c r="D150" s="58" t="n">
        <x:v>2019</x:v>
      </x:c>
      <x:c r="E150" s="46" t="str">
        <x:v>Pollachius virens</x:v>
      </x:c>
      <x:c r="F150" s="46" t="str">
        <x:v>Saithe</x:v>
      </x:c>
      <x:c r="G150" s="46" t="str">
        <x:v>Large demersals (&gt;=90 cm)</x:v>
      </x:c>
      <x:c r="H150" s="46" t="str">
        <x:v>Cod-likes</x:v>
      </x:c>
      <x:c r="I150" s="60" t="n">
        <x:v>109.5745791366</x:v>
      </x:c>
      <x:c r="J150" s="60" t="n">
        <x:v>109.5181603983</x:v>
      </x:c>
      <x:c r="K150" s="60" t="n">
        <x:v>0.0564187383</x:v>
      </x:c>
      <x:c r="L150" s="60" t="n">
        <x:v>74.7224303685</x:v>
      </x:c>
      <x:c r="M150" s="60" t="n">
        <x:v>34.8521487681</x:v>
      </x:c>
      <x:c r="N150" s="46" t="str">
        <x:v>pollachius virens</x:v>
      </x:c>
      <x:c r="O150" s="62" t="n">
        <x:v>4.31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Pollachius virens</x:v>
      </x:c>
      <x:c r="T150" s="62" t="n">
        <x:f>IF(O150="","",(1/'Metadata'!$B$5)^(O150-1))</x:f>
        <x:v>20249.266010115305</x:v>
      </x:c>
      <x:c r="U150" s="60" t="n">
        <x:f>IF(T150="","",I150*T150)</x:f>
        <x:v>2218804.800883444</x:v>
      </x:c>
    </x:row>
    <x:row r="151" ht="18" customHeight="1">
      <x:c r="A151" s="46" t="str">
        <x:v>LME_024</x:v>
      </x:c>
      <x:c r="B151" s="46" t="str">
        <x:v>Celtic-Biscay Shelf</x:v>
      </x:c>
      <x:c r="C151" s="46" t="str">
        <x:v>LME</x:v>
      </x:c>
      <x:c r="D151" s="58" t="n">
        <x:v>2019</x:v>
      </x:c>
      <x:c r="E151" s="46" t="str">
        <x:v>Chimaera monstrosa</x:v>
      </x:c>
      <x:c r="F151" s="46" t="str">
        <x:v>Rabbit fish</x:v>
      </x:c>
      <x:c r="G151" s="46" t="str">
        <x:v>Large rays (&gt;=90 cm)</x:v>
      </x:c>
      <x:c r="H151" s="46" t="str">
        <x:v>Sharks &amp; rays</x:v>
      </x:c>
      <x:c r="I151" s="60" t="n">
        <x:v>104.87458408910001</x:v>
      </x:c>
      <x:c r="J151" s="60" t="n">
        <x:v>104.87458408910001</x:v>
      </x:c>
      <x:c r="K151" s="60" t="n">
        <x:v>0</x:v>
      </x:c>
      <x:c r="L151" s="60" t="n">
        <x:v>104.87458408910001</x:v>
      </x:c>
      <x:c r="M151" s="60" t="n">
        <x:v>0</x:v>
      </x:c>
      <x:c r="N151" s="46" t="str">
        <x:v>chimaera monstrosa</x:v>
      </x:c>
      <x:c r="O151" s="62" t="n">
        <x:v>3.52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Chimaera monstrosa</x:v>
      </x:c>
      <x:c r="T151" s="62" t="n">
        <x:f>IF(O151="","",(1/'Metadata'!$B$5)^(O151-1))</x:f>
        <x:v>1899.308837725312</x:v>
      </x:c>
      <x:c r="U151" s="60" t="n">
        <x:f>IF(T151="","",I151*T151)</x:f>
        <x:v>199189.22441319405</x:v>
      </x:c>
    </x:row>
    <x:row r="152" ht="18" customHeight="1">
      <x:c r="A152" s="46" t="str">
        <x:v>LME_024</x:v>
      </x:c>
      <x:c r="B152" s="46" t="str">
        <x:v>Celtic-Biscay Shelf</x:v>
      </x:c>
      <x:c r="C152" s="46" t="str">
        <x:v>LME</x:v>
      </x:c>
      <x:c r="D152" s="58" t="n">
        <x:v>2019</x:v>
      </x:c>
      <x:c r="E152" s="46" t="str">
        <x:v>Trisopterus minutus</x:v>
      </x:c>
      <x:c r="F152" s="46" t="str">
        <x:v>Poor cod</x:v>
      </x:c>
      <x:c r="G152" s="46" t="str">
        <x:v>Medium benthopelagics (30 - 89 cm)</x:v>
      </x:c>
      <x:c r="H152" s="46" t="str">
        <x:v>Cod-likes</x:v>
      </x:c>
      <x:c r="I152" s="60" t="n">
        <x:v>103.9536956357</x:v>
      </x:c>
      <x:c r="J152" s="60" t="n">
        <x:v>2.6493833494</x:v>
      </x:c>
      <x:c r="K152" s="60" t="n">
        <x:v>101.3043122863</x:v>
      </x:c>
      <x:c r="L152" s="60" t="n">
        <x:v>2.6493696982999997</x:v>
      </x:c>
      <x:c r="M152" s="60" t="n">
        <x:v>101.30432593740001</x:v>
      </x:c>
      <x:c r="N152" s="46" t="str">
        <x:v>trisopterus minutus</x:v>
      </x:c>
      <x:c r="O152" s="62" t="n">
        <x:v>3.73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Trisopterus minutus</x:v>
      </x:c>
      <x:c r="T152" s="62" t="n">
        <x:f>IF(O152="","",(1/'Metadata'!$B$5)^(O152-1))</x:f>
        <x:v>3562.967723629534</x:v>
      </x:c>
      <x:c r="U152" s="60" t="n">
        <x:f>IF(T152="","",I152*T152)</x:f>
        <x:v>370383.66230200743</x:v>
      </x:c>
    </x:row>
    <x:row r="153" ht="18" customHeight="1">
      <x:c r="A153" s="46" t="str">
        <x:v>LME_024</x:v>
      </x:c>
      <x:c r="B153" s="46" t="str">
        <x:v>Celtic-Biscay Shelf</x:v>
      </x:c>
      <x:c r="C153" s="46" t="str">
        <x:v>LME</x:v>
      </x:c>
      <x:c r="D153" s="58" t="n">
        <x:v>2019</x:v>
      </x:c>
      <x:c r="E153" s="46" t="str">
        <x:v>Auxis rochei</x:v>
      </x:c>
      <x:c r="F153" s="46" t="str">
        <x:v>Bullet tuna</x:v>
      </x:c>
      <x:c r="G153" s="46" t="str">
        <x:v>Medium pelagics (30 - 89 cm)</x:v>
      </x:c>
      <x:c r="H153" s="46" t="str">
        <x:v>Tuna &amp; billfishes</x:v>
      </x:c>
      <x:c r="I153" s="60" t="n">
        <x:v>103.31810775250001</x:v>
      </x:c>
      <x:c r="J153" s="60" t="n">
        <x:v>103.31810775250001</x:v>
      </x:c>
      <x:c r="K153" s="60" t="n">
        <x:v>0</x:v>
      </x:c>
      <x:c r="L153" s="60" t="n">
        <x:v>103.3008448334</x:v>
      </x:c>
      <x:c r="M153" s="60" t="n">
        <x:v>0.0172629191</x:v>
      </x:c>
      <x:c r="N153" s="46" t="str">
        <x:v>auxis rochei</x:v>
      </x:c>
      <x:c r="O153" s="62" t="n">
        <x:v>4.13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Auxis rochei</x:v>
      </x:c>
      <x:c r="T153" s="62" t="n">
        <x:f>IF(O153="","",(1/'Metadata'!$B$5)^(O153-1))</x:f>
        <x:v>11809.292685236613</x:v>
      </x:c>
      <x:c r="U153" s="60" t="n">
        <x:f>IF(T153="","",I153*T153)</x:f>
        <x:v>1220113.7741340864</x:v>
      </x:c>
    </x:row>
    <x:row r="154" ht="18" customHeight="1">
      <x:c r="A154" s="46" t="str">
        <x:v>LME_024</x:v>
      </x:c>
      <x:c r="B154" s="46" t="str">
        <x:v>Celtic-Biscay Shelf</x:v>
      </x:c>
      <x:c r="C154" s="46" t="str">
        <x:v>LME</x:v>
      </x:c>
      <x:c r="D154" s="58" t="n">
        <x:v>2019</x:v>
      </x:c>
      <x:c r="E154" s="46" t="str">
        <x:v>Veneridae</x:v>
      </x:c>
      <x:c r="F154" s="46" t="str">
        <x:v>Venus clams</x:v>
      </x:c>
      <x:c r="G154" s="46" t="str">
        <x:v>Other demersal invertebrates</x:v>
      </x:c>
      <x:c r="H154" s="46" t="str">
        <x:v>Molluscs</x:v>
      </x:c>
      <x:c r="I154" s="60" t="n">
        <x:v>101.2443454714</x:v>
      </x:c>
      <x:c r="J154" s="60" t="n">
        <x:v>101.2443454714</x:v>
      </x:c>
      <x:c r="K154" s="60" t="n">
        <x:v>0</x:v>
      </x:c>
      <x:c r="L154" s="60" t="n">
        <x:v>99.8457748748</x:v>
      </x:c>
      <x:c r="M154" s="60" t="n">
        <x:v>1.3985705966</x:v>
      </x:c>
      <x:c r="N154" s="46" t="str">
        <x:v>veneridae</x:v>
      </x:c>
      <x:c r="O154" s="62" t="n">
        <x:v>2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Veneridae</x:v>
      </x:c>
      <x:c r="T154" s="62" t="n">
        <x:f>IF(O154="","",(1/'Metadata'!$B$5)^(O154-1))</x:f>
        <x:v>20</x:v>
      </x:c>
      <x:c r="U154" s="60" t="n">
        <x:f>IF(T154="","",I154*T154)</x:f>
        <x:v>2024.8869094279999</x:v>
      </x:c>
    </x:row>
    <x:row r="155" ht="18" customHeight="1">
      <x:c r="A155" s="46" t="str">
        <x:v>LME_024</x:v>
      </x:c>
      <x:c r="B155" s="46" t="str">
        <x:v>Celtic-Biscay Shelf</x:v>
      </x:c>
      <x:c r="C155" s="46" t="str">
        <x:v>LME</x:v>
      </x:c>
      <x:c r="D155" s="58" t="n">
        <x:v>2019</x:v>
      </x:c>
      <x:c r="E155" s="46" t="str">
        <x:v>Sebastes</x:v>
      </x:c>
      <x:c r="F155" s="46" t="str">
        <x:v>Redfishes</x:v>
      </x:c>
      <x:c r="G155" s="46" t="str">
        <x:v>Large reef assoc. fish (&gt;=90 cm)</x:v>
      </x:c>
      <x:c r="H155" s="46" t="str">
        <x:v>Scorpionfishes</x:v>
      </x:c>
      <x:c r="I155" s="60" t="n">
        <x:v>99.6716261366</x:v>
      </x:c>
      <x:c r="J155" s="60" t="n">
        <x:v>99.6716261366</x:v>
      </x:c>
      <x:c r="K155" s="60" t="n">
        <x:v>0</x:v>
      </x:c>
      <x:c r="L155" s="60" t="n">
        <x:v>99.6716261366</x:v>
      </x:c>
      <x:c r="M155" s="60" t="n">
        <x:v>0</x:v>
      </x:c>
      <x:c r="N155" s="46" t="str">
        <x:v>sebastes</x:v>
      </x:c>
      <x:c r="O155" s="62" t="n">
        <x:v>3.79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Sebastes</x:v>
      </x:c>
      <x:c r="T155" s="62" t="n">
        <x:f>IF(O155="","",(1/'Metadata'!$B$5)^(O155-1))</x:f>
        <x:v>4264.554685980751</x:v>
      </x:c>
      <x:c r="U155" s="60" t="n">
        <x:f>IF(T155="","",I155*T155)</x:f>
        <x:v>425055.100300159</x:v>
      </x:c>
    </x:row>
    <x:row r="156" ht="18" customHeight="1">
      <x:c r="A156" s="46" t="str">
        <x:v>LME_024</x:v>
      </x:c>
      <x:c r="B156" s="46" t="str">
        <x:v>Celtic-Biscay Shelf</x:v>
      </x:c>
      <x:c r="C156" s="46" t="str">
        <x:v>LME</x:v>
      </x:c>
      <x:c r="D156" s="58" t="n">
        <x:v>2019</x:v>
      </x:c>
      <x:c r="E156" s="46" t="str">
        <x:v>Microchirus variegatus</x:v>
      </x:c>
      <x:c r="F156" s="46" t="str">
        <x:v>Thickback sole</x:v>
      </x:c>
      <x:c r="G156" s="46" t="str">
        <x:v>Small to medium flatfishes (&lt;90 cm)</x:v>
      </x:c>
      <x:c r="H156" s="46" t="str">
        <x:v>Flatfishes</x:v>
      </x:c>
      <x:c r="I156" s="60" t="n">
        <x:v>92.2395256671</x:v>
      </x:c>
      <x:c r="J156" s="60" t="n">
        <x:v>92.2395256671</x:v>
      </x:c>
      <x:c r="K156" s="60" t="n">
        <x:v>0</x:v>
      </x:c>
      <x:c r="L156" s="60" t="n">
        <x:v>89.7608663267</x:v>
      </x:c>
      <x:c r="M156" s="60" t="n">
        <x:v>2.4786593403999997</x:v>
      </x:c>
      <x:c r="N156" s="46" t="str">
        <x:v>microchirus variegatus</x:v>
      </x:c>
      <x:c r="O156" s="62" t="n">
        <x:v>3.28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Microchirus variegatus</x:v>
      </x:c>
      <x:c r="T156" s="62" t="n">
        <x:f>IF(O156="","",(1/'Metadata'!$B$5)^(O156-1))</x:f>
        <x:v>925.4402624666747</x:v>
      </x:c>
      <x:c r="U156" s="60" t="n">
        <x:f>IF(T156="","",I156*T156)</x:f>
        <x:v>85362.17084316259</x:v>
      </x:c>
    </x:row>
    <x:row r="157" ht="18" customHeight="1">
      <x:c r="A157" s="46" t="str">
        <x:v>LME_024</x:v>
      </x:c>
      <x:c r="B157" s="46" t="str">
        <x:v>Celtic-Biscay Shelf</x:v>
      </x:c>
      <x:c r="C157" s="46" t="str">
        <x:v>LME</x:v>
      </x:c>
      <x:c r="D157" s="58" t="n">
        <x:v>2019</x:v>
      </x:c>
      <x:c r="E157" s="46" t="str">
        <x:v>Gaidropsarus</x:v>
      </x:c>
      <x:c r="F157" s="46" t="str">
        <x:v>Rocklings</x:v>
      </x:c>
      <x:c r="G157" s="46" t="str">
        <x:v>Medium benthopelagics (30 - 89 cm)</x:v>
      </x:c>
      <x:c r="H157" s="46" t="str">
        <x:v>Cod-likes</x:v>
      </x:c>
      <x:c r="I157" s="60" t="n">
        <x:v>90.5698506022</x:v>
      </x:c>
      <x:c r="J157" s="60" t="n">
        <x:v>90.5698506022</x:v>
      </x:c>
      <x:c r="K157" s="60" t="n">
        <x:v>0</x:v>
      </x:c>
      <x:c r="L157" s="60" t="n">
        <x:v>83.3793313108</x:v>
      </x:c>
      <x:c r="M157" s="60" t="n">
        <x:v>7.1905192914</x:v>
      </x:c>
      <x:c r="N157" s="46" t="str">
        <x:v>gaidropsarus</x:v>
      </x:c>
      <x:c r="O157" s="62" t="n">
        <x:v>3.4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Gaidropsarus</x:v>
      </x:c>
      <x:c r="T157" s="62" t="n">
        <x:f>IF(O157="","",(1/'Metadata'!$B$5)^(O157-1))</x:f>
        <x:v>1325.7816069359944</x:v>
      </x:c>
      <x:c r="U157" s="60" t="n">
        <x:f>IF(T157="","",I157*T157)</x:f>
        <x:v>120075.84207133767</x:v>
      </x:c>
    </x:row>
    <x:row r="158" ht="18" customHeight="1">
      <x:c r="A158" s="46" t="str">
        <x:v>LME_024</x:v>
      </x:c>
      <x:c r="B158" s="46" t="str">
        <x:v>Celtic-Biscay Shelf</x:v>
      </x:c>
      <x:c r="C158" s="46" t="str">
        <x:v>LME</x:v>
      </x:c>
      <x:c r="D158" s="58" t="n">
        <x:v>2019</x:v>
      </x:c>
      <x:c r="E158" s="46" t="str">
        <x:v>Dicentrarchus punctatus</x:v>
      </x:c>
      <x:c r="F158" s="46" t="str">
        <x:v>Spotted seabass</x:v>
      </x:c>
      <x:c r="G158" s="46" t="str">
        <x:v>Medium pelagics (30 - 89 cm)</x:v>
      </x:c>
      <x:c r="H158" s="46" t="str">
        <x:v>Perch-likes</x:v>
      </x:c>
      <x:c r="I158" s="60" t="n">
        <x:v>87.0071955719</x:v>
      </x:c>
      <x:c r="J158" s="60" t="n">
        <x:v>87.0071955719</x:v>
      </x:c>
      <x:c r="K158" s="60" t="n">
        <x:v>0</x:v>
      </x:c>
      <x:c r="L158" s="60" t="n">
        <x:v>72.620854385</x:v>
      </x:c>
      <x:c r="M158" s="60" t="n">
        <x:v>14.3863411869</x:v>
      </x:c>
      <x:c r="N158" s="46" t="str">
        <x:v>dicentrarchus punctatus</x:v>
      </x:c>
      <x:c r="O158" s="62" t="n">
        <x:v>3.94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Dicentrarchus punctatus</x:v>
      </x:c>
      <x:c r="T158" s="62" t="n">
        <x:f>IF(O158="","",(1/'Metadata'!$B$5)^(O158-1))</x:f>
        <x:v>6683.872968668722</x:v>
      </x:c>
      <x:c r="U158" s="60" t="n">
        <x:f>IF(T158="","",I158*T158)</x:f>
        <x:v>581545.0425626953</x:v>
      </x:c>
    </x:row>
    <x:row r="159" ht="18" customHeight="1">
      <x:c r="A159" s="46" t="str">
        <x:v>LME_024</x:v>
      </x:c>
      <x:c r="B159" s="46" t="str">
        <x:v>Celtic-Biscay Shelf</x:v>
      </x:c>
      <x:c r="C159" s="46" t="str">
        <x:v>LME</x:v>
      </x:c>
      <x:c r="D159" s="58" t="n">
        <x:v>2019</x:v>
      </x:c>
      <x:c r="E159" s="46" t="str">
        <x:v>Anguilla anguilla</x:v>
      </x:c>
      <x:c r="F159" s="46" t="str">
        <x:v>European eel</x:v>
      </x:c>
      <x:c r="G159" s="46" t="str">
        <x:v>Large demersals (&gt;=90 cm)</x:v>
      </x:c>
      <x:c r="H159" s="46" t="str">
        <x:v>Other fishes &amp; inverts</x:v>
      </x:c>
      <x:c r="I159" s="60" t="n">
        <x:v>86.8804189772</x:v>
      </x:c>
      <x:c r="J159" s="60" t="n">
        <x:v>86.8804189772</x:v>
      </x:c>
      <x:c r="K159" s="60" t="n">
        <x:v>0</x:v>
      </x:c>
      <x:c r="L159" s="60" t="n">
        <x:v>78.3879778642</x:v>
      </x:c>
      <x:c r="M159" s="60" t="n">
        <x:v>8.492441113</x:v>
      </x:c>
      <x:c r="N159" s="46" t="str">
        <x:v>anguilla anguilla</x:v>
      </x:c>
      <x:c r="O159" s="62" t="n">
        <x:v>3.55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Anguilla anguilla</x:v>
      </x:c>
      <x:c r="T159" s="62" t="n">
        <x:f>IF(O159="","",(1/'Metadata'!$B$5)^(O159-1))</x:f>
        <x:v>2077.9088316274606</x:v>
      </x:c>
      <x:c r="U159" s="60" t="n">
        <x:f>IF(T159="","",I159*T159)</x:f>
        <x:v>180529.5898882179</x:v>
      </x:c>
    </x:row>
    <x:row r="160" ht="18" customHeight="1">
      <x:c r="A160" s="46" t="str">
        <x:v>LME_024</x:v>
      </x:c>
      <x:c r="B160" s="46" t="str">
        <x:v>Celtic-Biscay Shelf</x:v>
      </x:c>
      <x:c r="C160" s="46" t="str">
        <x:v>LME</x:v>
      </x:c>
      <x:c r="D160" s="58" t="n">
        <x:v>2019</x:v>
      </x:c>
      <x:c r="E160" s="46" t="str">
        <x:v>Xiphias gladius</x:v>
      </x:c>
      <x:c r="F160" s="46" t="str">
        <x:v>Swordfish</x:v>
      </x:c>
      <x:c r="G160" s="46" t="str">
        <x:v>Large pelagics (&gt;=90 cm)</x:v>
      </x:c>
      <x:c r="H160" s="46" t="str">
        <x:v>Tuna &amp; billfishes</x:v>
      </x:c>
      <x:c r="I160" s="60" t="n">
        <x:v>83.4855887987</x:v>
      </x:c>
      <x:c r="J160" s="60" t="n">
        <x:v>83.4855887987</x:v>
      </x:c>
      <x:c r="K160" s="60" t="n">
        <x:v>0</x:v>
      </x:c>
      <x:c r="L160" s="60" t="n">
        <x:v>83.4855887987</x:v>
      </x:c>
      <x:c r="M160" s="60" t="n">
        <x:v>0</x:v>
      </x:c>
      <x:c r="N160" s="46" t="str">
        <x:v>xiphias gladius</x:v>
      </x:c>
      <x:c r="O160" s="62" t="n">
        <x:v>4.53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Xiphias gladius</x:v>
      </x:c>
      <x:c r="T160" s="62" t="n">
        <x:f>IF(O160="","",(1/'Metadata'!$B$5)^(O160-1))</x:f>
        <x:v>39141.35758252625</x:v>
      </x:c>
      <x:c r="U160" s="60" t="n">
        <x:f>IF(T160="","",I160*T160)</x:f>
        <x:v>3267739.2841576645</x:v>
      </x:c>
    </x:row>
    <x:row r="161" ht="18" customHeight="1">
      <x:c r="A161" s="46" t="str">
        <x:v>LME_024</x:v>
      </x:c>
      <x:c r="B161" s="46" t="str">
        <x:v>Celtic-Biscay Shelf</x:v>
      </x:c>
      <x:c r="C161" s="46" t="str">
        <x:v>LME</x:v>
      </x:c>
      <x:c r="D161" s="58" t="n">
        <x:v>2019</x:v>
      </x:c>
      <x:c r="E161" s="46" t="str">
        <x:v>Chondrichthyes</x:v>
      </x:c>
      <x:c r="F161" s="46" t="str">
        <x:v>Sharks, rays, chimaeras</x:v>
      </x:c>
      <x:c r="G161" s="46" t="str">
        <x:v>Large sharks (&gt;=90 cm)</x:v>
      </x:c>
      <x:c r="H161" s="46" t="str">
        <x:v>Sharks &amp; rays</x:v>
      </x:c>
      <x:c r="I161" s="60" t="n">
        <x:v>81.4481464331</x:v>
      </x:c>
      <x:c r="J161" s="60" t="n">
        <x:v>81.4481464331</x:v>
      </x:c>
      <x:c r="K161" s="60" t="n">
        <x:v>0</x:v>
      </x:c>
      <x:c r="L161" s="60" t="n">
        <x:v>81.39398508040001</x:v>
      </x:c>
      <x:c r="M161" s="60" t="n">
        <x:v>0.054161352700000005</x:v>
      </x:c>
      <x:c r="N161" s="46" t="str">
        <x:v>chondrichthyes</x:v>
      </x:c>
      <x:c r="O161" s="62" t="n">
        <x:v>4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Chondrichthyes</x:v>
      </x:c>
      <x:c r="T161" s="62" t="n">
        <x:f>IF(O161="","",(1/'Metadata'!$B$5)^(O161-1))</x:f>
        <x:v>8000</x:v>
      </x:c>
      <x:c r="U161" s="60" t="n">
        <x:f>IF(T161="","",I161*T161)</x:f>
        <x:v>651585.1714648</x:v>
      </x:c>
    </x:row>
    <x:row r="162" ht="18" customHeight="1">
      <x:c r="A162" s="46" t="str">
        <x:v>LME_024</x:v>
      </x:c>
      <x:c r="B162" s="46" t="str">
        <x:v>Celtic-Biscay Shelf</x:v>
      </x:c>
      <x:c r="C162" s="46" t="str">
        <x:v>LME</x:v>
      </x:c>
      <x:c r="D162" s="58" t="n">
        <x:v>2019</x:v>
      </x:c>
      <x:c r="E162" s="46" t="str">
        <x:v>Hydrolagus</x:v>
      </x:c>
      <x:c r="F162" s="46" t="str">
        <x:v>Ghostsharks</x:v>
      </x:c>
      <x:c r="G162" s="46" t="str">
        <x:v>Small to medium rays (&lt;90 cm)</x:v>
      </x:c>
      <x:c r="H162" s="46" t="str">
        <x:v>Sharks &amp; rays</x:v>
      </x:c>
      <x:c r="I162" s="60" t="n">
        <x:v>77.6562611131</x:v>
      </x:c>
      <x:c r="J162" s="60" t="n">
        <x:v>77.6562611131</x:v>
      </x:c>
      <x:c r="K162" s="60" t="n">
        <x:v>0</x:v>
      </x:c>
      <x:c r="L162" s="60" t="n">
        <x:v>77.6562611131</x:v>
      </x:c>
      <x:c r="M162" s="60" t="n">
        <x:v>0</x:v>
      </x:c>
      <x:c r="N162" s="46" t="str">
        <x:v>hydrolagus</x:v>
      </x:c>
      <x:c r="O162" s="62" t="n">
        <x:v>3.51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Hydrolagus</x:v>
      </x:c>
      <x:c r="T162" s="62" t="n">
        <x:f>IF(O162="","",(1/'Metadata'!$B$5)^(O162-1))</x:f>
        <x:v>1843.2544417784343</x:v>
      </x:c>
      <x:c r="U162" s="60" t="n">
        <x:f>IF(T162="","",I162*T162)</x:f>
        <x:v>143140.2482286275</x:v>
      </x:c>
    </x:row>
    <x:row r="163" ht="18" customHeight="1">
      <x:c r="A163" s="46" t="str">
        <x:v>LME_024</x:v>
      </x:c>
      <x:c r="B163" s="46" t="str">
        <x:v>Celtic-Biscay Shelf</x:v>
      </x:c>
      <x:c r="C163" s="46" t="str">
        <x:v>LME</x:v>
      </x:c>
      <x:c r="D163" s="58" t="n">
        <x:v>2019</x:v>
      </x:c>
      <x:c r="E163" s="46" t="str">
        <x:v>Scorpaena</x:v>
      </x:c>
      <x:c r="F163" s="46" t="str">
        <x:v>Scorpionfishes</x:v>
      </x:c>
      <x:c r="G163" s="46" t="str">
        <x:v>Large reef assoc. fish (&gt;=90 cm)</x:v>
      </x:c>
      <x:c r="H163" s="46" t="str">
        <x:v>Scorpionfishes</x:v>
      </x:c>
      <x:c r="I163" s="60" t="n">
        <x:v>69.6630159596</x:v>
      </x:c>
      <x:c r="J163" s="60" t="n">
        <x:v>69.6630159596</x:v>
      </x:c>
      <x:c r="K163" s="60" t="n">
        <x:v>0</x:v>
      </x:c>
      <x:c r="L163" s="60" t="n">
        <x:v>68.5644163697</x:v>
      </x:c>
      <x:c r="M163" s="60" t="n">
        <x:v>1.0985995899</x:v>
      </x:c>
      <x:c r="N163" s="46" t="str">
        <x:v>scorpaena</x:v>
      </x:c>
      <x:c r="O163" s="62" t="n">
        <x:v>3.87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Scorpaena</x:v>
      </x:c>
      <x:c r="T163" s="62" t="n">
        <x:f>IF(O163="","",(1/'Metadata'!$B$5)^(O163-1))</x:f>
        <x:v>5419.460903023396</x:v>
      </x:c>
      <x:c r="U163" s="60" t="n">
        <x:f>IF(T163="","",I163*T163)</x:f>
        <x:v>377535.99137974705</x:v>
      </x:c>
    </x:row>
    <x:row r="164" ht="18" customHeight="1">
      <x:c r="A164" s="46" t="str">
        <x:v>LME_024</x:v>
      </x:c>
      <x:c r="B164" s="46" t="str">
        <x:v>Celtic-Biscay Shelf</x:v>
      </x:c>
      <x:c r="C164" s="46" t="str">
        <x:v>LME</x:v>
      </x:c>
      <x:c r="D164" s="58" t="n">
        <x:v>2019</x:v>
      </x:c>
      <x:c r="E164" s="46" t="str">
        <x:v>Chelidonichthys lastoviza</x:v>
      </x:c>
      <x:c r="F164" s="46" t="str">
        <x:v>Streaked gurnard</x:v>
      </x:c>
      <x:c r="G164" s="46" t="str">
        <x:v>Medium demersals (30 - 89 cm)</x:v>
      </x:c>
      <x:c r="H164" s="46" t="str">
        <x:v>Scorpionfishes</x:v>
      </x:c>
      <x:c r="I164" s="60" t="n">
        <x:v>66.2902060458</x:v>
      </x:c>
      <x:c r="J164" s="60" t="n">
        <x:v>66.2902060458</x:v>
      </x:c>
      <x:c r="K164" s="60" t="n">
        <x:v>0</x:v>
      </x:c>
      <x:c r="L164" s="60" t="n">
        <x:v>59.8319891538</x:v>
      </x:c>
      <x:c r="M164" s="60" t="n">
        <x:v>6.458216892</x:v>
      </x:c>
      <x:c r="N164" s="46" t="str">
        <x:v>chelidonichthys lastoviza</x:v>
      </x:c>
      <x:c r="O164" s="62" t="n">
        <x:v>3.49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Chelidonichthys lastoviza</x:v>
      </x:c>
      <x:c r="T164" s="62" t="n">
        <x:f>IF(O164="","",(1/'Metadata'!$B$5)^(O164-1))</x:f>
        <x:v>1736.059833884101</x:v>
      </x:c>
      <x:c r="U164" s="60" t="n">
        <x:f>IF(T164="","",I164*T164)</x:f>
        <x:v>115083.76409601438</x:v>
      </x:c>
    </x:row>
    <x:row r="165" ht="18" customHeight="1">
      <x:c r="A165" s="46" t="str">
        <x:v>LME_024</x:v>
      </x:c>
      <x:c r="B165" s="46" t="str">
        <x:v>Celtic-Biscay Shelf</x:v>
      </x:c>
      <x:c r="C165" s="46" t="str">
        <x:v>LME</x:v>
      </x:c>
      <x:c r="D165" s="58" t="n">
        <x:v>2019</x:v>
      </x:c>
      <x:c r="E165" s="46" t="str">
        <x:v>Rajidae</x:v>
      </x:c>
      <x:c r="F165" s="46" t="str">
        <x:v>Stingrays</x:v>
      </x:c>
      <x:c r="G165" s="46" t="str">
        <x:v>Large rays (&gt;=90 cm)</x:v>
      </x:c>
      <x:c r="H165" s="46" t="str">
        <x:v>Sharks &amp; rays</x:v>
      </x:c>
      <x:c r="I165" s="60" t="n">
        <x:v>65.5196808666</x:v>
      </x:c>
      <x:c r="J165" s="60" t="n">
        <x:v>65.5196808666</x:v>
      </x:c>
      <x:c r="K165" s="60" t="n">
        <x:v>0</x:v>
      </x:c>
      <x:c r="L165" s="60" t="n">
        <x:v>63.7361531058</x:v>
      </x:c>
      <x:c r="M165" s="60" t="n">
        <x:v>1.7835277608</x:v>
      </x:c>
      <x:c r="N165" s="46" t="str">
        <x:v>rajidae</x:v>
      </x:c>
      <x:c r="O165" s="62" t="n">
        <x:v>3.82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Rajidae</x:v>
      </x:c>
      <x:c r="T165" s="62" t="n">
        <x:f>IF(O165="","",(1/'Metadata'!$B$5)^(O165-1))</x:f>
        <x:v>4665.56868948727</x:v>
      </x:c>
      <x:c r="U165" s="60" t="n">
        <x:f>IF(T165="","",I165*T165)</x:f>
        <x:v>305686.5715964071</x:v>
      </x:c>
    </x:row>
    <x:row r="166" ht="18" customHeight="1">
      <x:c r="A166" s="46" t="str">
        <x:v>LME_024</x:v>
      </x:c>
      <x:c r="B166" s="46" t="str">
        <x:v>Celtic-Biscay Shelf</x:v>
      </x:c>
      <x:c r="C166" s="46" t="str">
        <x:v>LME</x:v>
      </x:c>
      <x:c r="D166" s="58" t="n">
        <x:v>2019</x:v>
      </x:c>
      <x:c r="E166" s="46" t="str">
        <x:v>Pagellus bogaraveo</x:v>
      </x:c>
      <x:c r="F166" s="46" t="str">
        <x:v>Blackspot seabream</x:v>
      </x:c>
      <x:c r="G166" s="46" t="str">
        <x:v>Medium benthopelagics (30 - 89 cm)</x:v>
      </x:c>
      <x:c r="H166" s="46" t="str">
        <x:v>Perch-likes</x:v>
      </x:c>
      <x:c r="I166" s="60" t="n">
        <x:v>62.9733543328</x:v>
      </x:c>
      <x:c r="J166" s="60" t="n">
        <x:v>62.9733543328</x:v>
      </x:c>
      <x:c r="K166" s="60" t="n">
        <x:v>0</x:v>
      </x:c>
      <x:c r="L166" s="60" t="n">
        <x:v>54.9458843093</x:v>
      </x:c>
      <x:c r="M166" s="60" t="n">
        <x:v>8.027470023500001</x:v>
      </x:c>
      <x:c r="N166" s="46" t="str">
        <x:v>pagellus bogaraveo</x:v>
      </x:c>
      <x:c r="O166" s="62" t="n">
        <x:v>4.21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Pagellus bogaraveo</x:v>
      </x:c>
      <x:c r="T166" s="62" t="n">
        <x:f>IF(O166="","",(1/'Metadata'!$B$5)^(O166-1))</x:f>
        <x:v>15007.428609226863</x:v>
      </x:c>
      <x:c r="U166" s="60" t="n">
        <x:f>IF(T166="","",I166*T166)</x:f>
        <x:v>945068.1194330432</x:v>
      </x:c>
    </x:row>
    <x:row r="167" ht="18" customHeight="1">
      <x:c r="A167" s="46" t="str">
        <x:v>LME_024</x:v>
      </x:c>
      <x:c r="B167" s="46" t="str">
        <x:v>Celtic-Biscay Shelf</x:v>
      </x:c>
      <x:c r="C167" s="46" t="str">
        <x:v>LME</x:v>
      </x:c>
      <x:c r="D167" s="58" t="n">
        <x:v>2019</x:v>
      </x:c>
      <x:c r="E167" s="46" t="str">
        <x:v>Squalus acanthias</x:v>
      </x:c>
      <x:c r="F167" s="46" t="str">
        <x:v>Picked dogfish</x:v>
      </x:c>
      <x:c r="G167" s="46" t="str">
        <x:v>Large sharks (&gt;=90 cm)</x:v>
      </x:c>
      <x:c r="H167" s="46" t="str">
        <x:v>Sharks &amp; rays</x:v>
      </x:c>
      <x:c r="I167" s="60" t="n">
        <x:v>61.560031571</x:v>
      </x:c>
      <x:c r="J167" s="60" t="n">
        <x:v>58.5182151022</x:v>
      </x:c>
      <x:c r="K167" s="60" t="n">
        <x:v>3.0418164688</x:v>
      </x:c>
      <x:c r="L167" s="60" t="n">
        <x:v>58.3712768067</x:v>
      </x:c>
      <x:c r="M167" s="60" t="n">
        <x:v>3.1887547643</x:v>
      </x:c>
      <x:c r="N167" s="46" t="str">
        <x:v>squalus acanthias</x:v>
      </x:c>
      <x:c r="O167" s="62" t="n">
        <x:v>4.37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Squalus acanthias</x:v>
      </x:c>
      <x:c r="T167" s="62" t="n">
        <x:f>IF(O167="","",(1/'Metadata'!$B$5)^(O167-1))</x:f>
        <x:v>24236.56596112542</x:v>
      </x:c>
      <x:c r="U167" s="60" t="n">
        <x:f>IF(T167="","",I167*T167)</x:f>
        <x:v>1492003.765739505</x:v>
      </x:c>
    </x:row>
    <x:row r="168" ht="18" customHeight="1">
      <x:c r="A168" s="46" t="str">
        <x:v>LME_024</x:v>
      </x:c>
      <x:c r="B168" s="46" t="str">
        <x:v>Celtic-Biscay Shelf</x:v>
      </x:c>
      <x:c r="C168" s="46" t="str">
        <x:v>LME</x:v>
      </x:c>
      <x:c r="D168" s="58" t="n">
        <x:v>2019</x:v>
      </x:c>
      <x:c r="E168" s="46" t="str">
        <x:v>Clupeiformes</x:v>
      </x:c>
      <x:c r="F168" s="46" t="str">
        <x:v>Herrings, shads, anchovies</x:v>
      </x:c>
      <x:c r="G168" s="46" t="str">
        <x:v>Small pelagics (&lt;30 cm)</x:v>
      </x:c>
      <x:c r="H168" s="46" t="str">
        <x:v>Other fishes &amp; inverts</x:v>
      </x:c>
      <x:c r="I168" s="60" t="n">
        <x:v>60.9447806994</x:v>
      </x:c>
      <x:c r="J168" s="60" t="n">
        <x:v>60.9447806994</x:v>
      </x:c>
      <x:c r="K168" s="60" t="n">
        <x:v>0</x:v>
      </x:c>
      <x:c r="L168" s="60" t="n">
        <x:v>60.4735220367</x:v>
      </x:c>
      <x:c r="M168" s="60" t="n">
        <x:v>0.4712586627</x:v>
      </x:c>
      <x:c r="N168" s="46" t="str">
        <x:v>clupeiformes</x:v>
      </x:c>
      <x:c r="O168" s="62" t="n">
        <x:v>3.24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Clupeiformes</x:v>
      </x:c>
      <x:c r="T168" s="62" t="n">
        <x:f>IF(O168="","",(1/'Metadata'!$B$5)^(O168-1))</x:f>
        <x:v>820.9320103116679</x:v>
      </x:c>
      <x:c r="U168" s="60" t="n">
        <x:f>IF(T168="","",I168*T168)</x:f>
        <x:v>50031.52133756218</x:v>
      </x:c>
    </x:row>
    <x:row r="169" ht="18" customHeight="1">
      <x:c r="A169" s="46" t="str">
        <x:v>LME_024</x:v>
      </x:c>
      <x:c r="B169" s="46" t="str">
        <x:v>Celtic-Biscay Shelf</x:v>
      </x:c>
      <x:c r="C169" s="46" t="str">
        <x:v>LME</x:v>
      </x:c>
      <x:c r="D169" s="58" t="n">
        <x:v>2019</x:v>
      </x:c>
      <x:c r="E169" s="46" t="str">
        <x:v>Lepidopus caudatus</x:v>
      </x:c>
      <x:c r="F169" s="46" t="str">
        <x:v>Silver scabbardfish</x:v>
      </x:c>
      <x:c r="G169" s="46" t="str">
        <x:v>Large bathydemersals (&gt;=90 cm)</x:v>
      </x:c>
      <x:c r="H169" s="46" t="str">
        <x:v>Perch-likes</x:v>
      </x:c>
      <x:c r="I169" s="60" t="n">
        <x:v>59.7674992769</x:v>
      </x:c>
      <x:c r="J169" s="60" t="n">
        <x:v>59.7674992769</x:v>
      </x:c>
      <x:c r="K169" s="60" t="n">
        <x:v>0</x:v>
      </x:c>
      <x:c r="L169" s="60" t="n">
        <x:v>59.7674950831</x:v>
      </x:c>
      <x:c r="M169" s="60" t="n">
        <x:v>0.0000041937999999999996</x:v>
      </x:c>
      <x:c r="N169" s="46" t="str">
        <x:v>lepidopus caudatus</x:v>
      </x:c>
      <x:c r="O169" s="62" t="n">
        <x:v>3.82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Lepidopus caudatus</x:v>
      </x:c>
      <x:c r="T169" s="62" t="n">
        <x:f>IF(O169="","",(1/'Metadata'!$B$5)^(O169-1))</x:f>
        <x:v>4665.56868948727</x:v>
      </x:c>
      <x:c r="U169" s="60" t="n">
        <x:f>IF(T169="","",I169*T169)</x:f>
        <x:v>278849.37327525765</x:v>
      </x:c>
    </x:row>
    <x:row r="170" ht="18" customHeight="1">
      <x:c r="A170" s="46" t="str">
        <x:v>LME_024</x:v>
      </x:c>
      <x:c r="B170" s="46" t="str">
        <x:v>Celtic-Biscay Shelf</x:v>
      </x:c>
      <x:c r="C170" s="46" t="str">
        <x:v>LME</x:v>
      </x:c>
      <x:c r="D170" s="58" t="n">
        <x:v>2019</x:v>
      </x:c>
      <x:c r="E170" s="46" t="str">
        <x:v>Alepocephalus bairdii</x:v>
      </x:c>
      <x:c r="F170" s="46" t="str">
        <x:v>Baird's slickhead</x:v>
      </x:c>
      <x:c r="G170" s="46" t="str">
        <x:v>Large bathydemersals (&gt;=90 cm)</x:v>
      </x:c>
      <x:c r="H170" s="46" t="str">
        <x:v>Salmon, smelts, etc</x:v>
      </x:c>
      <x:c r="I170" s="60" t="n">
        <x:v>58.566677021400004</x:v>
      </x:c>
      <x:c r="J170" s="60" t="n">
        <x:v>58.566677021400004</x:v>
      </x:c>
      <x:c r="K170" s="60" t="n">
        <x:v>0</x:v>
      </x:c>
      <x:c r="L170" s="60" t="n">
        <x:v>58.566677021400004</x:v>
      </x:c>
      <x:c r="M170" s="60" t="n">
        <x:v>0</x:v>
      </x:c>
      <x:c r="N170" s="46" t="str">
        <x:v>alepocephalus bairdii</x:v>
      </x:c>
      <x:c r="O170" s="62" t="n">
        <x:v>3.69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Alepocephalus bairdii</x:v>
      </x:c>
      <x:c r="T170" s="62" t="n">
        <x:f>IF(O170="","",(1/'Metadata'!$B$5)^(O170-1))</x:f>
        <x:v>3160.6083878807954</x:v>
      </x:c>
      <x:c r="U170" s="60" t="n">
        <x:f>IF(T170="","",I170*T170)</x:f>
        <x:v>185106.3306441423</x:v>
      </x:c>
    </x:row>
    <x:row r="171" ht="18" customHeight="1">
      <x:c r="A171" s="46" t="str">
        <x:v>LME_024</x:v>
      </x:c>
      <x:c r="B171" s="46" t="str">
        <x:v>Celtic-Biscay Shelf</x:v>
      </x:c>
      <x:c r="C171" s="46" t="str">
        <x:v>LME</x:v>
      </x:c>
      <x:c r="D171" s="58" t="n">
        <x:v>2019</x:v>
      </x:c>
      <x:c r="E171" s="46" t="str">
        <x:v>Chelon saliens</x:v>
      </x:c>
      <x:c r="F171" s="46" t="str">
        <x:v>Leaping mullet</x:v>
      </x:c>
      <x:c r="G171" s="46" t="str">
        <x:v>Medium demersals (30 - 89 cm)</x:v>
      </x:c>
      <x:c r="H171" s="46" t="str">
        <x:v>Perch-likes</x:v>
      </x:c>
      <x:c r="I171" s="60" t="n">
        <x:v>55.748537873699995</x:v>
      </x:c>
      <x:c r="J171" s="60" t="n">
        <x:v>55.748537873699995</x:v>
      </x:c>
      <x:c r="K171" s="60" t="n">
        <x:v>0</x:v>
      </x:c>
      <x:c r="L171" s="60" t="n">
        <x:v>44.5365457323</x:v>
      </x:c>
      <x:c r="M171" s="60" t="n">
        <x:v>11.2119921414</x:v>
      </x:c>
      <x:c r="N171" s="46" t="str">
        <x:v>chelon saliens</x:v>
      </x:c>
      <x:c r="O171" s="62" t="n">
        <x:v>2.9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Chelon saliens</x:v>
      </x:c>
      <x:c r="T171" s="62" t="n">
        <x:f>IF(O171="","",(1/'Metadata'!$B$5)^(O171-1))</x:f>
        <x:v>296.453779642779</x:v>
      </x:c>
      <x:c r="U171" s="60" t="n">
        <x:f>IF(T171="","",I171*T171)</x:f>
        <x:v>16526.864762216977</x:v>
      </x:c>
    </x:row>
    <x:row r="172" ht="18" customHeight="1">
      <x:c r="A172" s="46" t="str">
        <x:v>LME_024</x:v>
      </x:c>
      <x:c r="B172" s="46" t="str">
        <x:v>Celtic-Biscay Shelf</x:v>
      </x:c>
      <x:c r="C172" s="46" t="str">
        <x:v>LME</x:v>
      </x:c>
      <x:c r="D172" s="58" t="n">
        <x:v>2019</x:v>
      </x:c>
      <x:c r="E172" s="46" t="str">
        <x:v>Alopias vulpinus</x:v>
      </x:c>
      <x:c r="F172" s="46" t="str">
        <x:v>Thresher</x:v>
      </x:c>
      <x:c r="G172" s="46" t="str">
        <x:v>Large sharks (&gt;=90 cm)</x:v>
      </x:c>
      <x:c r="H172" s="46" t="str">
        <x:v>Sharks &amp; rays</x:v>
      </x:c>
      <x:c r="I172" s="60" t="n">
        <x:v>54.5092264021</x:v>
      </x:c>
      <x:c r="J172" s="60" t="n">
        <x:v>54.5092264021</x:v>
      </x:c>
      <x:c r="K172" s="60" t="n">
        <x:v>0</x:v>
      </x:c>
      <x:c r="L172" s="60" t="n">
        <x:v>46.4133759143</x:v>
      </x:c>
      <x:c r="M172" s="60" t="n">
        <x:v>8.0958504878</x:v>
      </x:c>
      <x:c r="N172" s="46" t="str">
        <x:v>alopias vulpinus</x:v>
      </x:c>
      <x:c r="O172" s="62" t="n">
        <x:v>4.5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Alopias vulpinus</x:v>
      </x:c>
      <x:c r="T172" s="62" t="n">
        <x:f>IF(O172="","",(1/'Metadata'!$B$5)^(O172-1))</x:f>
        <x:v>35777.08763999664</x:v>
      </x:c>
      <x:c r="U172" s="60" t="n">
        <x:f>IF(T172="","",I172*T172)</x:f>
        <x:v>1950181.3701763502</x:v>
      </x:c>
    </x:row>
    <x:row r="173" ht="18" customHeight="1">
      <x:c r="A173" s="46" t="str">
        <x:v>LME_024</x:v>
      </x:c>
      <x:c r="B173" s="46" t="str">
        <x:v>Celtic-Biscay Shelf</x:v>
      </x:c>
      <x:c r="C173" s="46" t="str">
        <x:v>LME</x:v>
      </x:c>
      <x:c r="D173" s="58" t="n">
        <x:v>2019</x:v>
      </x:c>
      <x:c r="E173" s="46" t="str">
        <x:v>Leucoraja circularis</x:v>
      </x:c>
      <x:c r="F173" s="46" t="str">
        <x:v>Sandy ray</x:v>
      </x:c>
      <x:c r="G173" s="46" t="str">
        <x:v>Large rays (&gt;=90 cm)</x:v>
      </x:c>
      <x:c r="H173" s="46" t="str">
        <x:v>Sharks &amp; rays</x:v>
      </x:c>
      <x:c r="I173" s="60" t="n">
        <x:v>54.1330766756</x:v>
      </x:c>
      <x:c r="J173" s="60" t="n">
        <x:v>54.1330766756</x:v>
      </x:c>
      <x:c r="K173" s="60" t="n">
        <x:v>0</x:v>
      </x:c>
      <x:c r="L173" s="60" t="n">
        <x:v>50.6828189472</x:v>
      </x:c>
      <x:c r="M173" s="60" t="n">
        <x:v>3.4502577284</x:v>
      </x:c>
      <x:c r="N173" s="46" t="str">
        <x:v>leucoraja circularis</x:v>
      </x:c>
      <x:c r="O173" s="62" t="n">
        <x:v>3.5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Leucoraja circularis</x:v>
      </x:c>
      <x:c r="T173" s="62" t="n">
        <x:f>IF(O173="","",(1/'Metadata'!$B$5)^(O173-1))</x:f>
        <x:v>1788.8543819998317</x:v>
      </x:c>
      <x:c r="U173" s="60" t="n">
        <x:f>IF(T173="","",I173*T173)</x:f>
        <x:v>96836.19142227995</x:v>
      </x:c>
    </x:row>
    <x:row r="174" ht="18" customHeight="1">
      <x:c r="A174" s="46" t="str">
        <x:v>LME_024</x:v>
      </x:c>
      <x:c r="B174" s="46" t="str">
        <x:v>Celtic-Biscay Shelf</x:v>
      </x:c>
      <x:c r="C174" s="46" t="str">
        <x:v>LME</x:v>
      </x:c>
      <x:c r="D174" s="58" t="n">
        <x:v>2019</x:v>
      </x:c>
      <x:c r="E174" s="46" t="str">
        <x:v>Scorpaenidae</x:v>
      </x:c>
      <x:c r="F174" s="46" t="str">
        <x:v>Scorpionfishes, rockfishes</x:v>
      </x:c>
      <x:c r="G174" s="46" t="str">
        <x:v>Large reef assoc. fish (&gt;=90 cm)</x:v>
      </x:c>
      <x:c r="H174" s="46" t="str">
        <x:v>Scorpionfishes</x:v>
      </x:c>
      <x:c r="I174" s="60" t="n">
        <x:v>52.9779787137</x:v>
      </x:c>
      <x:c r="J174" s="60" t="n">
        <x:v>52.9779787137</x:v>
      </x:c>
      <x:c r="K174" s="60" t="n">
        <x:v>0</x:v>
      </x:c>
      <x:c r="L174" s="60" t="n">
        <x:v>52.9779787137</x:v>
      </x:c>
      <x:c r="M174" s="60" t="n">
        <x:v>0</x:v>
      </x:c>
      <x:c r="N174" s="46" t="str">
        <x:v>scorpaenidae</x:v>
      </x:c>
      <x:c r="O174" s="62" t="n">
        <x:v>3.92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Scorpaenidae</x:v>
      </x:c>
      <x:c r="T174" s="62" t="n">
        <x:f>IF(O174="","",(1/'Metadata'!$B$5)^(O174-1))</x:f>
        <x:v>6295.1718073679995</x:v>
      </x:c>
      <x:c r="U174" s="60" t="n">
        <x:f>IF(T174="","",I174*T174)</x:f>
        <x:v>333505.4780098262</x:v>
      </x:c>
    </x:row>
    <x:row r="175" ht="18" customHeight="1">
      <x:c r="A175" s="46" t="str">
        <x:v>LME_024</x:v>
      </x:c>
      <x:c r="B175" s="46" t="str">
        <x:v>Celtic-Biscay Shelf</x:v>
      </x:c>
      <x:c r="C175" s="46" t="str">
        <x:v>LME</x:v>
      </x:c>
      <x:c r="D175" s="58" t="n">
        <x:v>2019</x:v>
      </x:c>
      <x:c r="E175" s="46" t="str">
        <x:v>Belone belone</x:v>
      </x:c>
      <x:c r="F175" s="46" t="str">
        <x:v>Garfish</x:v>
      </x:c>
      <x:c r="G175" s="46" t="str">
        <x:v>Medium pelagics (30 - 89 cm)</x:v>
      </x:c>
      <x:c r="H175" s="46" t="str">
        <x:v>Other fishes &amp; inverts</x:v>
      </x:c>
      <x:c r="I175" s="60" t="n">
        <x:v>52.18942450469999</x:v>
      </x:c>
      <x:c r="J175" s="60" t="n">
        <x:v>52.18942450469999</x:v>
      </x:c>
      <x:c r="K175" s="60" t="n">
        <x:v>0</x:v>
      </x:c>
      <x:c r="L175" s="60" t="n">
        <x:v>34.8163073072</x:v>
      </x:c>
      <x:c r="M175" s="60" t="n">
        <x:v>17.3731171975</x:v>
      </x:c>
      <x:c r="N175" s="46" t="str">
        <x:v>belone belone</x:v>
      </x:c>
      <x:c r="O175" s="62" t="n">
        <x:v>4.16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Belone belone</x:v>
      </x:c>
      <x:c r="T175" s="62" t="n">
        <x:f>IF(O175="","",(1/'Metadata'!$B$5)^(O175-1))</x:f>
        <x:v>12919.77011769987</x:v>
      </x:c>
      <x:c r="U175" s="60" t="n">
        <x:f>IF(T175="","",I175*T175)</x:f>
        <x:v>674275.3671757764</x:v>
      </x:c>
    </x:row>
    <x:row r="176" ht="18" customHeight="1">
      <x:c r="A176" s="46" t="str">
        <x:v>LME_024</x:v>
      </x:c>
      <x:c r="B176" s="46" t="str">
        <x:v>Celtic-Biscay Shelf</x:v>
      </x:c>
      <x:c r="C176" s="46" t="str">
        <x:v>LME</x:v>
      </x:c>
      <x:c r="D176" s="58" t="n">
        <x:v>2019</x:v>
      </x:c>
      <x:c r="E176" s="46" t="str">
        <x:v>Alosa fallax</x:v>
      </x:c>
      <x:c r="F176" s="46" t="str">
        <x:v>Twaite shad</x:v>
      </x:c>
      <x:c r="G176" s="46" t="str">
        <x:v>Medium pelagics (30 - 89 cm)</x:v>
      </x:c>
      <x:c r="H176" s="46" t="str">
        <x:v>Herring-likes</x:v>
      </x:c>
      <x:c r="I176" s="60" t="n">
        <x:v>51.6849810313</x:v>
      </x:c>
      <x:c r="J176" s="60" t="n">
        <x:v>51.6849810313</x:v>
      </x:c>
      <x:c r="K176" s="60" t="n">
        <x:v>0</x:v>
      </x:c>
      <x:c r="L176" s="60" t="n">
        <x:v>51.537470511</x:v>
      </x:c>
      <x:c r="M176" s="60" t="n">
        <x:v>0.1475105203</x:v>
      </x:c>
      <x:c r="N176" s="46" t="str">
        <x:v>alosa fallax</x:v>
      </x:c>
      <x:c r="O176" s="62" t="n">
        <x:v>4.03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Alosa fallax</x:v>
      </x:c>
      <x:c r="T176" s="62" t="n">
        <x:f>IF(O176="","",(1/'Metadata'!$B$5)^(O176-1))</x:f>
        <x:v>8752.273628615554</x:v>
      </x:c>
      <x:c r="U176" s="60" t="n">
        <x:f>IF(T176="","",I176*T176)</x:f>
        <x:v>452361.0964757421</x:v>
      </x:c>
    </x:row>
    <x:row r="177" ht="18" customHeight="1">
      <x:c r="A177" s="46" t="str">
        <x:v>LME_024</x:v>
      </x:c>
      <x:c r="B177" s="46" t="str">
        <x:v>Celtic-Biscay Shelf</x:v>
      </x:c>
      <x:c r="C177" s="46" t="str">
        <x:v>LME</x:v>
      </x:c>
      <x:c r="D177" s="58" t="n">
        <x:v>2019</x:v>
      </x:c>
      <x:c r="E177" s="46" t="str">
        <x:v>Hippoglossoides platessoides</x:v>
      </x:c>
      <x:c r="F177" s="46" t="str">
        <x:v>American plaice</x:v>
      </x:c>
      <x:c r="G177" s="46" t="str">
        <x:v>Small to medium flatfishes (&lt;90 cm)</x:v>
      </x:c>
      <x:c r="H177" s="46" t="str">
        <x:v>Flatfishes</x:v>
      </x:c>
      <x:c r="I177" s="60" t="n">
        <x:v>49.5263234562</x:v>
      </x:c>
      <x:c r="J177" s="60" t="n">
        <x:v>5.8984635162</x:v>
      </x:c>
      <x:c r="K177" s="60" t="n">
        <x:v>43.62785994</x:v>
      </x:c>
      <x:c r="L177" s="60" t="n">
        <x:v>5.8984635162</x:v>
      </x:c>
      <x:c r="M177" s="60" t="n">
        <x:v>43.62785994</x:v>
      </x:c>
      <x:c r="N177" s="46" t="str">
        <x:v>hippoglossoides platessoides</x:v>
      </x:c>
      <x:c r="O177" s="62" t="n">
        <x:v>4.08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Hippoglossoides platessoides</x:v>
      </x:c>
      <x:c r="T177" s="62" t="n">
        <x:f>IF(O177="","",(1/'Metadata'!$B$5)^(O177-1))</x:f>
        <x:v>10166.521575327472</x:v>
      </x:c>
      <x:c r="U177" s="60" t="n">
        <x:f>IF(T177="","",I177*T177)</x:f>
        <x:v>503510.4359641043</x:v>
      </x:c>
    </x:row>
    <x:row r="178" ht="18" customHeight="1">
      <x:c r="A178" s="46" t="str">
        <x:v>LME_024</x:v>
      </x:c>
      <x:c r="B178" s="46" t="str">
        <x:v>Celtic-Biscay Shelf</x:v>
      </x:c>
      <x:c r="C178" s="46" t="str">
        <x:v>LME</x:v>
      </x:c>
      <x:c r="D178" s="58" t="n">
        <x:v>2019</x:v>
      </x:c>
      <x:c r="E178" s="46" t="str">
        <x:v>Umbrina canariensis</x:v>
      </x:c>
      <x:c r="F178" s="46" t="str">
        <x:v>Canary drum</x:v>
      </x:c>
      <x:c r="G178" s="46" t="str">
        <x:v>Medium demersals (30 - 89 cm)</x:v>
      </x:c>
      <x:c r="H178" s="46" t="str">
        <x:v>Perch-likes</x:v>
      </x:c>
      <x:c r="I178" s="60" t="n">
        <x:v>49.3516797158</x:v>
      </x:c>
      <x:c r="J178" s="60" t="n">
        <x:v>49.3516797158</x:v>
      </x:c>
      <x:c r="K178" s="60" t="n">
        <x:v>0</x:v>
      </x:c>
      <x:c r="L178" s="60" t="n">
        <x:v>49.0991308878</x:v>
      </x:c>
      <x:c r="M178" s="60" t="n">
        <x:v>0.252548828</x:v>
      </x:c>
      <x:c r="N178" s="46" t="str">
        <x:v>umbrina canariensis</x:v>
      </x:c>
      <x:c r="O178" s="62" t="n">
        <x:v>3.37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Umbrina canariensis</x:v>
      </x:c>
      <x:c r="T178" s="62" t="n">
        <x:f>IF(O178="","",(1/'Metadata'!$B$5)^(O178-1))</x:f>
        <x:v>1211.828298056271</x:v>
      </x:c>
      <x:c r="U178" s="60" t="n">
        <x:f>IF(T178="","",I178*T178)</x:f>
        <x:v>59805.76203621611</x:v>
      </x:c>
    </x:row>
    <x:row r="179" ht="18" customHeight="1">
      <x:c r="A179" s="46" t="str">
        <x:v>LME_024</x:v>
      </x:c>
      <x:c r="B179" s="46" t="str">
        <x:v>Celtic-Biscay Shelf</x:v>
      </x:c>
      <x:c r="C179" s="46" t="str">
        <x:v>LME</x:v>
      </x:c>
      <x:c r="D179" s="58" t="n">
        <x:v>2019</x:v>
      </x:c>
      <x:c r="E179" s="46" t="str">
        <x:v>Lithognathus mormyrus</x:v>
      </x:c>
      <x:c r="F179" s="46" t="str">
        <x:v>Sand steenbras</x:v>
      </x:c>
      <x:c r="G179" s="46" t="str">
        <x:v>Medium benthopelagics (30 - 89 cm)</x:v>
      </x:c>
      <x:c r="H179" s="46" t="str">
        <x:v>Perch-likes</x:v>
      </x:c>
      <x:c r="I179" s="60" t="n">
        <x:v>45.8159331726</x:v>
      </x:c>
      <x:c r="J179" s="60" t="n">
        <x:v>45.8159331726</x:v>
      </x:c>
      <x:c r="K179" s="60" t="n">
        <x:v>0</x:v>
      </x:c>
      <x:c r="L179" s="60" t="n">
        <x:v>39.5084004396</x:v>
      </x:c>
      <x:c r="M179" s="60" t="n">
        <x:v>6.307532733</x:v>
      </x:c>
      <x:c r="N179" s="46" t="str">
        <x:v>lithognathus mormyrus</x:v>
      </x:c>
      <x:c r="O179" s="62" t="n">
        <x:v>3.42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Lithognathus mormyrus</x:v>
      </x:c>
      <x:c r="T179" s="62" t="n">
        <x:f>IF(O179="","",(1/'Metadata'!$B$5)^(O179-1))</x:f>
        <x:v>1407.643209131506</x:v>
      </x:c>
      <x:c r="U179" s="60" t="n">
        <x:f>IF(T179="","",I179*T179)</x:f>
        <x:v>64492.48720043328</x:v>
      </x:c>
    </x:row>
    <x:row r="180" ht="18" customHeight="1">
      <x:c r="A180" s="46" t="str">
        <x:v>LME_024</x:v>
      </x:c>
      <x:c r="B180" s="46" t="str">
        <x:v>Celtic-Biscay Shelf</x:v>
      </x:c>
      <x:c r="C180" s="46" t="str">
        <x:v>LME</x:v>
      </x:c>
      <x:c r="D180" s="58" t="n">
        <x:v>2019</x:v>
      </x:c>
      <x:c r="E180" s="46" t="str">
        <x:v>Macrourus berglax</x:v>
      </x:c>
      <x:c r="F180" s="46" t="str">
        <x:v>Roughhead grenadier</x:v>
      </x:c>
      <x:c r="G180" s="46" t="str">
        <x:v>Large benthopelagics (&gt;=90 cm)</x:v>
      </x:c>
      <x:c r="H180" s="46" t="str">
        <x:v>Cod-likes</x:v>
      </x:c>
      <x:c r="I180" s="60" t="n">
        <x:v>45.38458551109999</x:v>
      </x:c>
      <x:c r="J180" s="60" t="n">
        <x:v>45.38458551109999</x:v>
      </x:c>
      <x:c r="K180" s="60" t="n">
        <x:v>0</x:v>
      </x:c>
      <x:c r="L180" s="60" t="n">
        <x:v>45.38458551109999</x:v>
      </x:c>
      <x:c r="M180" s="60" t="n">
        <x:v>0</x:v>
      </x:c>
      <x:c r="N180" s="46" t="str">
        <x:v>macrourus berglax</x:v>
      </x:c>
      <x:c r="O180" s="62" t="n">
        <x:v>4.48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Macrourus berglax</x:v>
      </x:c>
      <x:c r="T180" s="62" t="n">
        <x:f>IF(O180="","",(1/'Metadata'!$B$5)^(O180-1))</x:f>
        <x:v>33696.468277717824</x:v>
      </x:c>
      <x:c r="U180" s="60" t="n">
        <x:f>IF(T180="","",I180*T180)</x:f>
        <x:v>1529300.2459721528</x:v>
      </x:c>
    </x:row>
    <x:row r="181" ht="18" customHeight="1">
      <x:c r="A181" s="46" t="str">
        <x:v>LME_024</x:v>
      </x:c>
      <x:c r="B181" s="46" t="str">
        <x:v>Celtic-Biscay Shelf</x:v>
      </x:c>
      <x:c r="C181" s="46" t="str">
        <x:v>LME</x:v>
      </x:c>
      <x:c r="D181" s="58" t="n">
        <x:v>2019</x:v>
      </x:c>
      <x:c r="E181" s="46" t="str">
        <x:v>Sepia orbignyana</x:v>
      </x:c>
      <x:c r="F181" s="46" t="str">
        <x:v>Pink cuttlefish</x:v>
      </x:c>
      <x:c r="G181" s="46" t="str">
        <x:v>Cephalopods</x:v>
      </x:c>
      <x:c r="H181" s="46" t="str">
        <x:v>Other fishes &amp; inverts</x:v>
      </x:c>
      <x:c r="I181" s="60" t="n">
        <x:v>43.0917913187</x:v>
      </x:c>
      <x:c r="J181" s="60" t="n">
        <x:v>43.0917913187</x:v>
      </x:c>
      <x:c r="K181" s="60" t="n">
        <x:v>0</x:v>
      </x:c>
      <x:c r="L181" s="60" t="n">
        <x:v>42.8468214658</x:v>
      </x:c>
      <x:c r="M181" s="60" t="n">
        <x:v>0.2449698529</x:v>
      </x:c>
      <x:c r="N181" s="46" t="str">
        <x:v>sepia orbignyana</x:v>
      </x:c>
      <x:c r="O181" s="62" t="n">
        <x:v>4.16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Sepia orbignyana</x:v>
      </x:c>
      <x:c r="T181" s="62" t="n">
        <x:f>IF(O181="","",(1/'Metadata'!$B$5)^(O181-1))</x:f>
        <x:v>12919.77011769987</x:v>
      </x:c>
      <x:c r="U181" s="60" t="n">
        <x:f>IF(T181="","",I181*T181)</x:f>
        <x:v>556736.037797499</x:v>
      </x:c>
    </x:row>
    <x:row r="182" ht="18" customHeight="1">
      <x:c r="A182" s="46" t="str">
        <x:v>LME_024</x:v>
      </x:c>
      <x:c r="B182" s="46" t="str">
        <x:v>Celtic-Biscay Shelf</x:v>
      </x:c>
      <x:c r="C182" s="46" t="str">
        <x:v>LME</x:v>
      </x:c>
      <x:c r="D182" s="58" t="n">
        <x:v>2019</x:v>
      </x:c>
      <x:c r="E182" s="46" t="str">
        <x:v>Mugil</x:v>
      </x:c>
      <x:c r="F182" s="46" t="str">
        <x:v>Grey mullets</x:v>
      </x:c>
      <x:c r="G182" s="46" t="str">
        <x:v>Medium demersals (30 - 89 cm)</x:v>
      </x:c>
      <x:c r="H182" s="46" t="str">
        <x:v>Perch-likes</x:v>
      </x:c>
      <x:c r="I182" s="60" t="n">
        <x:v>42.8534894503</x:v>
      </x:c>
      <x:c r="J182" s="60" t="n">
        <x:v>42.8534894503</x:v>
      </x:c>
      <x:c r="K182" s="60" t="n">
        <x:v>0</x:v>
      </x:c>
      <x:c r="L182" s="60" t="n">
        <x:v>30.925089678200003</x:v>
      </x:c>
      <x:c r="M182" s="60" t="n">
        <x:v>11.9283997721</x:v>
      </x:c>
      <x:c r="N182" s="46" t="str">
        <x:v>mugil</x:v>
      </x:c>
      <x:c r="O182" s="62" t="n">
        <x:v>2.26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Mugil</x:v>
      </x:c>
      <x:c r="T182" s="62" t="n">
        <x:f>IF(O182="","",(1/'Metadata'!$B$5)^(O182-1))</x:f>
        <x:v>43.581060539244675</x:v>
      </x:c>
      <x:c r="U182" s="60" t="n">
        <x:f>IF(T182="","",I182*T182)</x:f>
        <x:v>1867.6005180514073</x:v>
      </x:c>
    </x:row>
    <x:row r="183" ht="18" customHeight="1">
      <x:c r="A183" s="46" t="str">
        <x:v>LME_024</x:v>
      </x:c>
      <x:c r="B183" s="46" t="str">
        <x:v>Celtic-Biscay Shelf</x:v>
      </x:c>
      <x:c r="C183" s="46" t="str">
        <x:v>LME</x:v>
      </x:c>
      <x:c r="D183" s="58" t="n">
        <x:v>2019</x:v>
      </x:c>
      <x:c r="E183" s="46" t="str">
        <x:v>Solea</x:v>
      </x:c>
      <x:c r="F183" s="46" t="str">
        <x:v>Soles</x:v>
      </x:c>
      <x:c r="G183" s="46" t="str">
        <x:v>Small to medium flatfishes (&lt;90 cm)</x:v>
      </x:c>
      <x:c r="H183" s="46" t="str">
        <x:v>Flatfishes</x:v>
      </x:c>
      <x:c r="I183" s="60" t="n">
        <x:v>42.2128628266</x:v>
      </x:c>
      <x:c r="J183" s="60" t="n">
        <x:v>42.2128628266</x:v>
      </x:c>
      <x:c r="K183" s="60" t="n">
        <x:v>0</x:v>
      </x:c>
      <x:c r="L183" s="60" t="n">
        <x:v>16.722726842</x:v>
      </x:c>
      <x:c r="M183" s="60" t="n">
        <x:v>25.490135984600002</x:v>
      </x:c>
      <x:c r="N183" s="46" t="str">
        <x:v>solea</x:v>
      </x:c>
      <x:c r="O183" s="62" t="n">
        <x:v>3.13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Solea</x:v>
      </x:c>
      <x:c r="T183" s="62" t="n">
        <x:f>IF(O183="","",(1/'Metadata'!$B$5)^(O183-1))</x:f>
        <x:v>590.4646342618306</x:v>
      </x:c>
      <x:c r="U183" s="60" t="n">
        <x:f>IF(T183="","",I183*T183)</x:f>
        <x:v>24925.202610053195</x:v>
      </x:c>
    </x:row>
    <x:row r="184" ht="18" customHeight="1">
      <x:c r="A184" s="46" t="str">
        <x:v>LME_024</x:v>
      </x:c>
      <x:c r="B184" s="46" t="str">
        <x:v>Celtic-Biscay Shelf</x:v>
      </x:c>
      <x:c r="C184" s="46" t="str">
        <x:v>LME</x:v>
      </x:c>
      <x:c r="D184" s="58" t="n">
        <x:v>2019</x:v>
      </x:c>
      <x:c r="E184" s="46" t="str">
        <x:v>Solea senegalensis</x:v>
      </x:c>
      <x:c r="F184" s="46" t="str">
        <x:v>Senegalese sole</x:v>
      </x:c>
      <x:c r="G184" s="46" t="str">
        <x:v>Small to medium flatfishes (&lt;90 cm)</x:v>
      </x:c>
      <x:c r="H184" s="46" t="str">
        <x:v>Flatfishes</x:v>
      </x:c>
      <x:c r="I184" s="60" t="n">
        <x:v>41.9132837889</x:v>
      </x:c>
      <x:c r="J184" s="60" t="n">
        <x:v>41.9132837889</x:v>
      </x:c>
      <x:c r="K184" s="60" t="n">
        <x:v>0</x:v>
      </x:c>
      <x:c r="L184" s="60" t="n">
        <x:v>40.492879599300004</x:v>
      </x:c>
      <x:c r="M184" s="60" t="n">
        <x:v>1.4204041896</x:v>
      </x:c>
      <x:c r="N184" s="46" t="str">
        <x:v>solea senegalensis</x:v>
      </x:c>
      <x:c r="O184" s="62" t="n">
        <x:v>3.13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Solea senegalensis</x:v>
      </x:c>
      <x:c r="T184" s="62" t="n">
        <x:f>IF(O184="","",(1/'Metadata'!$B$5)^(O184-1))</x:f>
        <x:v>590.4646342618306</x:v>
      </x:c>
      <x:c r="U184" s="60" t="n">
        <x:f>IF(T184="","",I184*T184)</x:f>
        <x:v>24748.311783125155</x:v>
      </x:c>
    </x:row>
    <x:row r="185" ht="18" customHeight="1">
      <x:c r="A185" s="46" t="str">
        <x:v>LME_024</x:v>
      </x:c>
      <x:c r="B185" s="46" t="str">
        <x:v>Celtic-Biscay Shelf</x:v>
      </x:c>
      <x:c r="C185" s="46" t="str">
        <x:v>LME</x:v>
      </x:c>
      <x:c r="D185" s="58" t="n">
        <x:v>2019</x:v>
      </x:c>
      <x:c r="E185" s="46" t="str">
        <x:v>Littorina littorea</x:v>
      </x:c>
      <x:c r="F185" s="46" t="str">
        <x:v>Common periwinkle</x:v>
      </x:c>
      <x:c r="G185" s="46" t="str">
        <x:v>Other demersal invertebrates</x:v>
      </x:c>
      <x:c r="H185" s="46" t="str">
        <x:v>Molluscs</x:v>
      </x:c>
      <x:c r="I185" s="60" t="n">
        <x:v>41.5013749852</x:v>
      </x:c>
      <x:c r="J185" s="60" t="n">
        <x:v>41.5013749852</x:v>
      </x:c>
      <x:c r="K185" s="60" t="n">
        <x:v>0</x:v>
      </x:c>
      <x:c r="L185" s="60" t="n">
        <x:v>0.6882955927</x:v>
      </x:c>
      <x:c r="M185" s="60" t="n">
        <x:v>40.8130793925</x:v>
      </x:c>
      <x:c r="N185" s="46" t="str">
        <x:v>littorina littorea</x:v>
      </x:c>
      <x:c r="O185" s="62" t="n">
        <x:v>2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Littorina littorea</x:v>
      </x:c>
      <x:c r="T185" s="62" t="n">
        <x:f>IF(O185="","",(1/'Metadata'!$B$5)^(O185-1))</x:f>
        <x:v>20</x:v>
      </x:c>
      <x:c r="U185" s="60" t="n">
        <x:f>IF(T185="","",I185*T185)</x:f>
        <x:v>830.0274997040001</x:v>
      </x:c>
    </x:row>
    <x:row r="186" ht="18" customHeight="1">
      <x:c r="A186" s="46" t="str">
        <x:v>LME_024</x:v>
      </x:c>
      <x:c r="B186" s="46" t="str">
        <x:v>Celtic-Biscay Shelf</x:v>
      </x:c>
      <x:c r="C186" s="46" t="str">
        <x:v>LME</x:v>
      </x:c>
      <x:c r="D186" s="58" t="n">
        <x:v>2019</x:v>
      </x:c>
      <x:c r="E186" s="46" t="str">
        <x:v>Notoscopelus</x:v>
      </x:c>
      <x:c r="F186" s="46" t="str">
        <x:v>Lampfish</x:v>
      </x:c>
      <x:c r="G186" s="46" t="str">
        <x:v>Small pelagics (&lt;30 cm)</x:v>
      </x:c>
      <x:c r="H186" s="46" t="str">
        <x:v>Other fishes &amp; inverts</x:v>
      </x:c>
      <x:c r="I186" s="60" t="n">
        <x:v>40.547296595700004</x:v>
      </x:c>
      <x:c r="J186" s="60" t="n">
        <x:v>40.547296595700004</x:v>
      </x:c>
      <x:c r="K186" s="60" t="n">
        <x:v>0</x:v>
      </x:c>
      <x:c r="L186" s="60" t="n">
        <x:v>40.547296595700004</x:v>
      </x:c>
      <x:c r="M186" s="60" t="n">
        <x:v>0</x:v>
      </x:c>
      <x:c r="N186" s="46" t="str">
        <x:v>notoscopelus</x:v>
      </x:c>
      <x:c r="O186" s="62" t="n">
        <x:v>3.15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Notoscopelus</x:v>
      </x:c>
      <x:c r="T186" s="62" t="n">
        <x:f>IF(O186="","",(1/'Metadata'!$B$5)^(O186-1))</x:f>
        <x:v>626.9234150652317</x:v>
      </x:c>
      <x:c r="U186" s="60" t="n">
        <x:f>IF(T186="","",I186*T186)</x:f>
        <x:v>25420.049653439088</x:v>
      </x:c>
    </x:row>
    <x:row r="187" ht="18" customHeight="1">
      <x:c r="A187" s="46" t="str">
        <x:v>LME_024</x:v>
      </x:c>
      <x:c r="B187" s="46" t="str">
        <x:v>Celtic-Biscay Shelf</x:v>
      </x:c>
      <x:c r="C187" s="46" t="str">
        <x:v>LME</x:v>
      </x:c>
      <x:c r="D187" s="58" t="n">
        <x:v>2019</x:v>
      </x:c>
      <x:c r="E187" s="46" t="str">
        <x:v>Atherinidae</x:v>
      </x:c>
      <x:c r="F187" s="46" t="str">
        <x:v>Silversides</x:v>
      </x:c>
      <x:c r="G187" s="46" t="str">
        <x:v>Small pelagics (&lt;30 cm)</x:v>
      </x:c>
      <x:c r="H187" s="46" t="str">
        <x:v>Other fishes &amp; inverts</x:v>
      </x:c>
      <x:c r="I187" s="60" t="n">
        <x:v>40.4326221609</x:v>
      </x:c>
      <x:c r="J187" s="60" t="n">
        <x:v>40.4326221609</x:v>
      </x:c>
      <x:c r="K187" s="60" t="n">
        <x:v>0</x:v>
      </x:c>
      <x:c r="L187" s="60" t="n">
        <x:v>30.0768419756</x:v>
      </x:c>
      <x:c r="M187" s="60" t="n">
        <x:v>10.3557801853</x:v>
      </x:c>
      <x:c r="N187" s="46" t="str">
        <x:v>atherinidae</x:v>
      </x:c>
      <x:c r="O187" s="62" t="n">
        <x:v>3.2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Atherinidae</x:v>
      </x:c>
      <x:c r="T187" s="62" t="n">
        <x:f>IF(O187="","",(1/'Metadata'!$B$5)^(O187-1))</x:f>
        <x:v>728.2256812104325</x:v>
      </x:c>
      <x:c r="U187" s="60" t="n">
        <x:f>IF(T187="","",I187*T187)</x:f>
        <x:v>29444.073816245436</x:v>
      </x:c>
    </x:row>
    <x:row r="188" ht="18" customHeight="1">
      <x:c r="A188" s="46" t="str">
        <x:v>LME_024</x:v>
      </x:c>
      <x:c r="B188" s="46" t="str">
        <x:v>Celtic-Biscay Shelf</x:v>
      </x:c>
      <x:c r="C188" s="46" t="str">
        <x:v>LME</x:v>
      </x:c>
      <x:c r="D188" s="58" t="n">
        <x:v>2019</x:v>
      </x:c>
      <x:c r="E188" s="46" t="str">
        <x:v>Caproidae</x:v>
      </x:c>
      <x:c r="F188" s="46" t="str">
        <x:v>Boarfishes</x:v>
      </x:c>
      <x:c r="G188" s="46" t="str">
        <x:v>Small bathydemersals (&lt;30 cm)</x:v>
      </x:c>
      <x:c r="H188" s="46" t="str">
        <x:v>Perch-likes</x:v>
      </x:c>
      <x:c r="I188" s="60" t="n">
        <x:v>39.8479686767</x:v>
      </x:c>
      <x:c r="J188" s="60" t="n">
        <x:v>39.8479686767</x:v>
      </x:c>
      <x:c r="K188" s="60" t="n">
        <x:v>0</x:v>
      </x:c>
      <x:c r="L188" s="60" t="n">
        <x:v>39.8479686767</x:v>
      </x:c>
      <x:c r="M188" s="60" t="n">
        <x:v>0</x:v>
      </x:c>
      <x:c r="N188" s="46" t="str">
        <x:v>caproidae</x:v>
      </x:c>
      <x:c r="O188" s="62" t="n">
        <x:v>3.54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Caproidae</x:v>
      </x:c>
      <x:c r="T188" s="62" t="n">
        <x:f>IF(O188="","",(1/'Metadata'!$B$5)^(O188-1))</x:f>
        <x:v>2016.5834052007342</x:v>
      </x:c>
      <x:c r="U188" s="60" t="n">
        <x:f>IF(T188="","",I188*T188)</x:f>
        <x:v>80356.75236439188</x:v>
      </x:c>
    </x:row>
    <x:row r="189" ht="18" customHeight="1">
      <x:c r="A189" s="46" t="str">
        <x:v>LME_024</x:v>
      </x:c>
      <x:c r="B189" s="46" t="str">
        <x:v>Celtic-Biscay Shelf</x:v>
      </x:c>
      <x:c r="C189" s="46" t="str">
        <x:v>LME</x:v>
      </x:c>
      <x:c r="D189" s="58" t="n">
        <x:v>2019</x:v>
      </x:c>
      <x:c r="E189" s="46" t="str">
        <x:v>Mimachlamys varia</x:v>
      </x:c>
      <x:c r="F189" s="46" t="str">
        <x:v>Variegated scallop</x:v>
      </x:c>
      <x:c r="G189" s="46" t="str">
        <x:v>Other demersal invertebrates</x:v>
      </x:c>
      <x:c r="H189" s="46" t="str">
        <x:v>Molluscs</x:v>
      </x:c>
      <x:c r="I189" s="60" t="n">
        <x:v>39.371917292</x:v>
      </x:c>
      <x:c r="J189" s="60" t="n">
        <x:v>39.371917292</x:v>
      </x:c>
      <x:c r="K189" s="60" t="n">
        <x:v>0</x:v>
      </x:c>
      <x:c r="L189" s="60" t="n">
        <x:v>39.3709805674</x:v>
      </x:c>
      <x:c r="M189" s="60" t="n">
        <x:v>0.0009367246</x:v>
      </x:c>
      <x:c r="N189" s="46" t="str">
        <x:v>mimachlamys varia</x:v>
      </x:c>
      <x:c r="O189" s="62" t="n">
        <x:v>2.1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Mimachlamys varia</x:v>
      </x:c>
      <x:c r="T189" s="62" t="n">
        <x:f>IF(O189="","",(1/'Metadata'!$B$5)^(O189-1))</x:f>
        <x:v>26.985656953471274</x:v>
      </x:c>
      <x:c r="U189" s="60" t="n">
        <x:f>IF(T189="","",I189*T189)</x:f>
        <x:v>1062.4770536423557</x:v>
      </x:c>
    </x:row>
    <x:row r="190" ht="18" customHeight="1">
      <x:c r="A190" s="46" t="str">
        <x:v>LME_024</x:v>
      </x:c>
      <x:c r="B190" s="46" t="str">
        <x:v>Celtic-Biscay Shelf</x:v>
      </x:c>
      <x:c r="C190" s="46" t="str">
        <x:v>LME</x:v>
      </x:c>
      <x:c r="D190" s="58" t="n">
        <x:v>2019</x:v>
      </x:c>
      <x:c r="E190" s="46" t="str">
        <x:v>Chelon auratus</x:v>
      </x:c>
      <x:c r="F190" s="46" t="str">
        <x:v>Golden grey mullet</x:v>
      </x:c>
      <x:c r="G190" s="46" t="str">
        <x:v>Medium pelagics (30 - 89 cm)</x:v>
      </x:c>
      <x:c r="H190" s="46" t="str">
        <x:v>Other fishes &amp; inverts</x:v>
      </x:c>
      <x:c r="I190" s="60" t="n">
        <x:v>39.2694158982</x:v>
      </x:c>
      <x:c r="J190" s="60" t="n">
        <x:v>39.2694158982</x:v>
      </x:c>
      <x:c r="K190" s="60" t="n">
        <x:v>0</x:v>
      </x:c>
      <x:c r="L190" s="60" t="n">
        <x:v>37.9522504048</x:v>
      </x:c>
      <x:c r="M190" s="60" t="n">
        <x:v>1.3171654934</x:v>
      </x:c>
      <x:c r="N190" s="46" t="str">
        <x:v>chelon auratus</x:v>
      </x:c>
      <x:c r="O190" s="62" t="n">
        <x:v>2.8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Chelon auratus</x:v>
      </x:c>
      <x:c r="T190" s="62" t="n">
        <x:f>IF(O190="","",(1/'Metadata'!$B$5)^(O190-1))</x:f>
        <x:v>219.71210866122343</x:v>
      </x:c>
      <x:c r="U190" s="60" t="n">
        <x:f>IF(T190="","",I190*T190)</x:f>
        <x:v>8627.966172888093</x:v>
      </x:c>
    </x:row>
    <x:row r="191" ht="18" customHeight="1">
      <x:c r="A191" s="46" t="str">
        <x:v>LME_024</x:v>
      </x:c>
      <x:c r="B191" s="46" t="str">
        <x:v>Celtic-Biscay Shelf</x:v>
      </x:c>
      <x:c r="C191" s="46" t="str">
        <x:v>LME</x:v>
      </x:c>
      <x:c r="D191" s="58" t="n">
        <x:v>2019</x:v>
      </x:c>
      <x:c r="E191" s="46" t="str">
        <x:v>Palinurus</x:v>
      </x:c>
      <x:c r="F191" s="46" t="str">
        <x:v>Spiny lobsters</x:v>
      </x:c>
      <x:c r="G191" s="46" t="str">
        <x:v>Lobsters, crabs</x:v>
      </x:c>
      <x:c r="H191" s="46" t="str">
        <x:v>Crustaceans</x:v>
      </x:c>
      <x:c r="I191" s="60" t="n">
        <x:v>38.5015295933</x:v>
      </x:c>
      <x:c r="J191" s="60" t="n">
        <x:v>38.5015295933</x:v>
      </x:c>
      <x:c r="K191" s="60" t="n">
        <x:v>0</x:v>
      </x:c>
      <x:c r="L191" s="60" t="n">
        <x:v>38.5015295933</x:v>
      </x:c>
      <x:c r="M191" s="60" t="n">
        <x:v>0</x:v>
      </x:c>
      <x:c r="N191" s="46" t="str">
        <x:v>palinurus</x:v>
      </x:c>
      <x:c r="O191" s="62" t="n">
        <x:v>2.7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Palinurus</x:v>
      </x:c>
      <x:c r="T191" s="62" t="n">
        <x:f>IF(O191="","",(1/'Metadata'!$B$5)^(O191-1))</x:f>
        <x:v>162.83621261476185</x:v>
      </x:c>
      <x:c r="U191" s="60" t="n">
        <x:f>IF(T191="","",I191*T191)</x:f>
        <x:v>6269.443258848144</x:v>
      </x:c>
    </x:row>
    <x:row r="192" ht="18" customHeight="1">
      <x:c r="A192" s="46" t="str">
        <x:v>LME_024</x:v>
      </x:c>
      <x:c r="B192" s="46" t="str">
        <x:v>Celtic-Biscay Shelf</x:v>
      </x:c>
      <x:c r="C192" s="46" t="str">
        <x:v>LME</x:v>
      </x:c>
      <x:c r="D192" s="58" t="n">
        <x:v>2019</x:v>
      </x:c>
      <x:c r="E192" s="46" t="str">
        <x:v>Mustelus asterias</x:v>
      </x:c>
      <x:c r="F192" s="46" t="str">
        <x:v>Starry smooth-hound</x:v>
      </x:c>
      <x:c r="G192" s="46" t="str">
        <x:v>Large sharks (&gt;=90 cm)</x:v>
      </x:c>
      <x:c r="H192" s="46" t="str">
        <x:v>Sharks &amp; rays</x:v>
      </x:c>
      <x:c r="I192" s="60" t="n">
        <x:v>37.1507506633</x:v>
      </x:c>
      <x:c r="J192" s="60" t="n">
        <x:v>37.1507506633</x:v>
      </x:c>
      <x:c r="K192" s="60" t="n">
        <x:v>0</x:v>
      </x:c>
      <x:c r="L192" s="60" t="n">
        <x:v>37.1507506633</x:v>
      </x:c>
      <x:c r="M192" s="60" t="n">
        <x:v>0</x:v>
      </x:c>
      <x:c r="N192" s="46" t="str">
        <x:v>mustelus asterias</x:v>
      </x:c>
      <x:c r="O192" s="62" t="n">
        <x:v>3.62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Mustelus asterias</x:v>
      </x:c>
      <x:c r="T192" s="62" t="n">
        <x:f>IF(O192="","",(1/'Metadata'!$B$5)^(O192-1))</x:f>
        <x:v>2562.7048371775754</x:v>
      </x:c>
      <x:c r="U192" s="60" t="n">
        <x:f>IF(T192="","",I192*T192)</x:f>
        <x:v>95206.40842961693</x:v>
      </x:c>
    </x:row>
    <x:row r="193" ht="18" customHeight="1">
      <x:c r="A193" s="46" t="str">
        <x:v>LME_024</x:v>
      </x:c>
      <x:c r="B193" s="46" t="str">
        <x:v>Celtic-Biscay Shelf</x:v>
      </x:c>
      <x:c r="C193" s="46" t="str">
        <x:v>LME</x:v>
      </x:c>
      <x:c r="D193" s="58" t="n">
        <x:v>2019</x:v>
      </x:c>
      <x:c r="E193" s="46" t="str">
        <x:v>Haliotis tuberculata</x:v>
      </x:c>
      <x:c r="F193" s="46" t="str">
        <x:v>Tuberculate abalone</x:v>
      </x:c>
      <x:c r="G193" s="46" t="str">
        <x:v>Other demersal invertebrates</x:v>
      </x:c>
      <x:c r="H193" s="46" t="str">
        <x:v>Molluscs</x:v>
      </x:c>
      <x:c r="I193" s="60" t="n">
        <x:v>36.5290742891</x:v>
      </x:c>
      <x:c r="J193" s="60" t="n">
        <x:v>36.5290742891</x:v>
      </x:c>
      <x:c r="K193" s="60" t="n">
        <x:v>0</x:v>
      </x:c>
      <x:c r="L193" s="60" t="n">
        <x:v>32.1418367773</x:v>
      </x:c>
      <x:c r="M193" s="60" t="n">
        <x:v>4.3872375118</x:v>
      </x:c>
      <x:c r="N193" s="46" t="str">
        <x:v>haliotis tuberculata</x:v>
      </x:c>
      <x:c r="O193" s="62" t="n">
        <x:v>2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Haliotis tuberculata</x:v>
      </x:c>
      <x:c r="T193" s="62" t="n">
        <x:f>IF(O193="","",(1/'Metadata'!$B$5)^(O193-1))</x:f>
        <x:v>20</x:v>
      </x:c>
      <x:c r="U193" s="60" t="n">
        <x:f>IF(T193="","",I193*T193)</x:f>
        <x:v>730.5814857820001</x:v>
      </x:c>
    </x:row>
    <x:row r="194" ht="18" customHeight="1">
      <x:c r="A194" s="46" t="str">
        <x:v>LME_024</x:v>
      </x:c>
      <x:c r="B194" s="46" t="str">
        <x:v>Celtic-Biscay Shelf</x:v>
      </x:c>
      <x:c r="C194" s="46" t="str">
        <x:v>LME</x:v>
      </x:c>
      <x:c r="D194" s="58" t="n">
        <x:v>2019</x:v>
      </x:c>
      <x:c r="E194" s="46" t="str">
        <x:v>Mora moro</x:v>
      </x:c>
      <x:c r="F194" s="46" t="str">
        <x:v>Common mora</x:v>
      </x:c>
      <x:c r="G194" s="46" t="str">
        <x:v>Medium bathypelagics (30 - 89 cm)</x:v>
      </x:c>
      <x:c r="H194" s="46" t="str">
        <x:v>Cod-likes</x:v>
      </x:c>
      <x:c r="I194" s="60" t="n">
        <x:v>35.4073610645</x:v>
      </x:c>
      <x:c r="J194" s="60" t="n">
        <x:v>35.4073610645</x:v>
      </x:c>
      <x:c r="K194" s="60" t="n">
        <x:v>0</x:v>
      </x:c>
      <x:c r="L194" s="60" t="n">
        <x:v>35.31346374</x:v>
      </x:c>
      <x:c r="M194" s="60" t="n">
        <x:v>0.0938973245</x:v>
      </x:c>
      <x:c r="N194" s="46" t="str">
        <x:v>mora moro</x:v>
      </x:c>
      <x:c r="O194" s="62" t="n">
        <x:v>3.75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Mora moro</x:v>
      </x:c>
      <x:c r="T194" s="62" t="n">
        <x:f>IF(O194="","",(1/'Metadata'!$B$5)^(O194-1))</x:f>
        <x:v>3782.966436012703</x:v>
      </x:c>
      <x:c r="U194" s="60" t="n">
        <x:f>IF(T194="","",I194*T194)</x:f>
        <x:v>133944.85849478652</x:v>
      </x:c>
    </x:row>
    <x:row r="195" ht="18" customHeight="1">
      <x:c r="A195" s="46" t="str">
        <x:v>LME_024</x:v>
      </x:c>
      <x:c r="B195" s="46" t="str">
        <x:v>Celtic-Biscay Shelf</x:v>
      </x:c>
      <x:c r="C195" s="46" t="str">
        <x:v>LME</x:v>
      </x:c>
      <x:c r="D195" s="58" t="n">
        <x:v>2019</x:v>
      </x:c>
      <x:c r="E195" s="46" t="str">
        <x:v>Echinoidea</x:v>
      </x:c>
      <x:c r="F195" s="46" t="str">
        <x:v>Sea urchins, sea hedgehogs</x:v>
      </x:c>
      <x:c r="G195" s="46" t="str">
        <x:v>Other demersal invertebrates</x:v>
      </x:c>
      <x:c r="H195" s="46" t="str">
        <x:v>Other fishes &amp; inverts</x:v>
      </x:c>
      <x:c r="I195" s="60" t="n">
        <x:v>34.8558843202</x:v>
      </x:c>
      <x:c r="J195" s="60" t="n">
        <x:v>34.8558843202</x:v>
      </x:c>
      <x:c r="K195" s="60" t="n">
        <x:v>0</x:v>
      </x:c>
      <x:c r="L195" s="60" t="n">
        <x:v>34.4878467709</x:v>
      </x:c>
      <x:c r="M195" s="60" t="n">
        <x:v>0.3680375493</x:v>
      </x:c>
      <x:c r="N195" s="46" t="str">
        <x:v>echinoidea</x:v>
      </x:c>
      <x:c r="O195" s="62" t="n">
        <x:v>2.51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Echinoidea</x:v>
      </x:c>
      <x:c r="T195" s="62" t="n">
        <x:f>IF(O195="","",(1/'Metadata'!$B$5)^(O195-1))</x:f>
        <x:v>92.16272208892171</x:v>
      </x:c>
      <x:c r="U195" s="60" t="n">
        <x:f>IF(T195="","",I195*T195)</x:f>
        <x:v>3212.413179766196</x:v>
      </x:c>
    </x:row>
    <x:row r="196" ht="18" customHeight="1">
      <x:c r="A196" s="46" t="str">
        <x:v>LME_024</x:v>
      </x:c>
      <x:c r="B196" s="46" t="str">
        <x:v>Celtic-Biscay Shelf</x:v>
      </x:c>
      <x:c r="C196" s="46" t="str">
        <x:v>LME</x:v>
      </x:c>
      <x:c r="D196" s="58" t="n">
        <x:v>2019</x:v>
      </x:c>
      <x:c r="E196" s="46" t="str">
        <x:v>Paracentrotus lividus</x:v>
      </x:c>
      <x:c r="F196" s="46" t="str">
        <x:v>Stony sea urchin</x:v>
      </x:c>
      <x:c r="G196" s="46" t="str">
        <x:v>Other demersal invertebrates</x:v>
      </x:c>
      <x:c r="H196" s="46" t="str">
        <x:v>Other fishes &amp; inverts</x:v>
      </x:c>
      <x:c r="I196" s="60" t="n">
        <x:v>33.343550433</x:v>
      </x:c>
      <x:c r="J196" s="60" t="n">
        <x:v>33.343550433</x:v>
      </x:c>
      <x:c r="K196" s="60" t="n">
        <x:v>0</x:v>
      </x:c>
      <x:c r="L196" s="60" t="n">
        <x:v>33.343550433</x:v>
      </x:c>
      <x:c r="M196" s="60" t="n">
        <x:v>0</x:v>
      </x:c>
      <x:c r="N196" s="46" t="str">
        <x:v>paracentrotus lividus</x:v>
      </x:c>
      <x:c r="O196" s="62" t="n">
        <x:v>2.3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Paracentrotus lividus</x:v>
      </x:c>
      <x:c r="T196" s="62" t="n">
        <x:f>IF(O196="","",(1/'Metadata'!$B$5)^(O196-1))</x:f>
        <x:v>49.12912104463159</x:v>
      </x:c>
      <x:c r="U196" s="60" t="n">
        <x:f>IF(T196="","",I196*T196)</x:f>
        <x:v>1638.139325280635</x:v>
      </x:c>
    </x:row>
    <x:row r="197" ht="18" customHeight="1">
      <x:c r="A197" s="46" t="str">
        <x:v>LME_024</x:v>
      </x:c>
      <x:c r="B197" s="46" t="str">
        <x:v>Celtic-Biscay Shelf</x:v>
      </x:c>
      <x:c r="C197" s="46" t="str">
        <x:v>LME</x:v>
      </x:c>
      <x:c r="D197" s="58" t="n">
        <x:v>2019</x:v>
      </x:c>
      <x:c r="E197" s="46" t="str">
        <x:v>Ctenolabrus rupestris</x:v>
      </x:c>
      <x:c r="F197" s="46" t="str">
        <x:v>Goldsinny-wrasse</x:v>
      </x:c>
      <x:c r="G197" s="46" t="str">
        <x:v>Small reef assoc. fish (&lt;30 cm)</x:v>
      </x:c>
      <x:c r="H197" s="46" t="str">
        <x:v>Perch-likes</x:v>
      </x:c>
      <x:c r="I197" s="60" t="n">
        <x:v>32.2319105247</x:v>
      </x:c>
      <x:c r="J197" s="60" t="n">
        <x:v>32.2319105247</x:v>
      </x:c>
      <x:c r="K197" s="60" t="n">
        <x:v>0</x:v>
      </x:c>
      <x:c r="L197" s="60" t="n">
        <x:v>32.2319105247</x:v>
      </x:c>
      <x:c r="M197" s="60" t="n">
        <x:v>0</x:v>
      </x:c>
      <x:c r="N197" s="46" t="str">
        <x:v>ctenolabrus rupestris</x:v>
      </x:c>
      <x:c r="O197" s="62" t="n">
        <x:v>3.58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Ctenolabrus rupestris</x:v>
      </x:c>
      <x:c r="T197" s="62" t="n">
        <x:f>IF(O197="","",(1/'Metadata'!$B$5)^(O197-1))</x:f>
        <x:v>2273.3033337150473</x:v>
      </x:c>
      <x:c r="U197" s="60" t="n">
        <x:f>IF(T197="","",I197*T197)</x:f>
        <x:v>73272.90964780563</x:v>
      </x:c>
    </x:row>
    <x:row r="198" ht="18" customHeight="1">
      <x:c r="A198" s="46" t="str">
        <x:v>LME_024</x:v>
      </x:c>
      <x:c r="B198" s="46" t="str">
        <x:v>Celtic-Biscay Shelf</x:v>
      </x:c>
      <x:c r="C198" s="46" t="str">
        <x:v>LME</x:v>
      </x:c>
      <x:c r="D198" s="58" t="n">
        <x:v>2019</x:v>
      </x:c>
      <x:c r="E198" s="46" t="str">
        <x:v>Chaceon affinis</x:v>
      </x:c>
      <x:c r="F198" s="46" t="str">
        <x:v>Deepsea red crab</x:v>
      </x:c>
      <x:c r="G198" s="46" t="str">
        <x:v>Lobsters, crabs</x:v>
      </x:c>
      <x:c r="H198" s="46" t="str">
        <x:v>Crustaceans</x:v>
      </x:c>
      <x:c r="I198" s="60" t="n">
        <x:v>31.9621355388</x:v>
      </x:c>
      <x:c r="J198" s="60" t="n">
        <x:v>31.9621355388</x:v>
      </x:c>
      <x:c r="K198" s="60" t="n">
        <x:v>0</x:v>
      </x:c>
      <x:c r="L198" s="60" t="n">
        <x:v>31.9621355388</x:v>
      </x:c>
      <x:c r="M198" s="60" t="n">
        <x:v>0</x:v>
      </x:c>
      <x:c r="N198" s="46" t="str">
        <x:v>chaceon affinis</x:v>
      </x:c>
      <x:c r="O198" s="62" t="n">
        <x:v>3.1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Chaceon affinis</x:v>
      </x:c>
      <x:c r="T198" s="62" t="n">
        <x:f>IF(O198="","",(1/'Metadata'!$B$5)^(O198-1))</x:f>
        <x:v>539.7131390694254</x:v>
      </x:c>
      <x:c r="U198" s="60" t="n">
        <x:f>IF(T198="","",I198*T198)</x:f>
        <x:v>17250.38450300819</x:v>
      </x:c>
    </x:row>
    <x:row r="199" ht="18" customHeight="1">
      <x:c r="A199" s="46" t="str">
        <x:v>LME_024</x:v>
      </x:c>
      <x:c r="B199" s="46" t="str">
        <x:v>Celtic-Biscay Shelf</x:v>
      </x:c>
      <x:c r="C199" s="46" t="str">
        <x:v>LME</x:v>
      </x:c>
      <x:c r="D199" s="58" t="n">
        <x:v>2019</x:v>
      </x:c>
      <x:c r="E199" s="46" t="str">
        <x:v>Mullus barbatus</x:v>
      </x:c>
      <x:c r="F199" s="46" t="str">
        <x:v>Red mullet</x:v>
      </x:c>
      <x:c r="G199" s="46" t="str">
        <x:v>Medium demersals (30 - 89 cm)</x:v>
      </x:c>
      <x:c r="H199" s="46" t="str">
        <x:v>Perch-likes</x:v>
      </x:c>
      <x:c r="I199" s="60" t="n">
        <x:v>30.299797057</x:v>
      </x:c>
      <x:c r="J199" s="60" t="n">
        <x:v>30.299797057</x:v>
      </x:c>
      <x:c r="K199" s="60" t="n">
        <x:v>0</x:v>
      </x:c>
      <x:c r="L199" s="60" t="n">
        <x:v>30.2996282965</x:v>
      </x:c>
      <x:c r="M199" s="60" t="n">
        <x:v>0.00016876049999999998</x:v>
      </x:c>
      <x:c r="N199" s="46" t="str">
        <x:v>mullus barbatus</x:v>
      </x:c>
      <x:c r="O199" s="62" t="n">
        <x:v>3.14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Mullus barbatus</x:v>
      </x:c>
      <x:c r="T199" s="62" t="n">
        <x:f>IF(O199="","",(1/'Metadata'!$B$5)^(O199-1))</x:f>
        <x:v>608.420993216597</x:v>
      </x:c>
      <x:c r="U199" s="60" t="n">
        <x:f>IF(T199="","",I199*T199)</x:f>
        <x:v>18435.032619681264</x:v>
      </x:c>
    </x:row>
    <x:row r="200" ht="18" customHeight="1">
      <x:c r="A200" s="46" t="str">
        <x:v>LME_024</x:v>
      </x:c>
      <x:c r="B200" s="46" t="str">
        <x:v>Celtic-Biscay Shelf</x:v>
      </x:c>
      <x:c r="C200" s="46" t="str">
        <x:v>LME</x:v>
      </x:c>
      <x:c r="D200" s="58" t="n">
        <x:v>2019</x:v>
      </x:c>
      <x:c r="E200" s="46" t="str">
        <x:v>Pleuronectiformes</x:v>
      </x:c>
      <x:c r="F200" s="46" t="str">
        <x:v>Flatfishes</x:v>
      </x:c>
      <x:c r="G200" s="46" t="str">
        <x:v>Small to medium flatfishes (&lt;90 cm)</x:v>
      </x:c>
      <x:c r="H200" s="46" t="str">
        <x:v>Flatfishes</x:v>
      </x:c>
      <x:c r="I200" s="60" t="n">
        <x:v>29.468333873600002</x:v>
      </x:c>
      <x:c r="J200" s="60" t="n">
        <x:v>29.468333873600002</x:v>
      </x:c>
      <x:c r="K200" s="60" t="n">
        <x:v>0</x:v>
      </x:c>
      <x:c r="L200" s="60" t="n">
        <x:v>12.7347957489</x:v>
      </x:c>
      <x:c r="M200" s="60" t="n">
        <x:v>16.7335381247</x:v>
      </x:c>
      <x:c r="N200" s="46" t="str">
        <x:v>pleuronectiformes</x:v>
      </x:c>
      <x:c r="O200" s="62" t="n">
        <x:v>3.57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Pleuronectiformes</x:v>
      </x:c>
      <x:c r="T200" s="62" t="n">
        <x:f>IF(O200="","",(1/'Metadata'!$B$5)^(O200-1))</x:f>
        <x:v>2206.2112196552644</x:v>
      </x:c>
      <x:c r="U200" s="60" t="n">
        <x:f>IF(T200="","",I200*T200)</x:f>
        <x:v>65013.368816483606</x:v>
      </x:c>
    </x:row>
    <x:row r="201" ht="18" customHeight="1">
      <x:c r="A201" s="46" t="str">
        <x:v>LME_024</x:v>
      </x:c>
      <x:c r="B201" s="46" t="str">
        <x:v>Celtic-Biscay Shelf</x:v>
      </x:c>
      <x:c r="C201" s="46" t="str">
        <x:v>LME</x:v>
      </x:c>
      <x:c r="D201" s="58" t="n">
        <x:v>2019</x:v>
      </x:c>
      <x:c r="E201" s="46" t="str">
        <x:v>Ostrea edulis</x:v>
      </x:c>
      <x:c r="F201" s="46" t="str">
        <x:v>European flat oyster</x:v>
      </x:c>
      <x:c r="G201" s="46" t="str">
        <x:v>Other demersal invertebrates</x:v>
      </x:c>
      <x:c r="H201" s="46" t="str">
        <x:v>Molluscs</x:v>
      </x:c>
      <x:c r="I201" s="60" t="n">
        <x:v>28.0039261645</x:v>
      </x:c>
      <x:c r="J201" s="60" t="n">
        <x:v>28.0039261645</x:v>
      </x:c>
      <x:c r="K201" s="60" t="n">
        <x:v>0</x:v>
      </x:c>
      <x:c r="L201" s="60" t="n">
        <x:v>27.788848077</x:v>
      </x:c>
      <x:c r="M201" s="60" t="n">
        <x:v>0.2150780875</x:v>
      </x:c>
      <x:c r="N201" s="46" t="str">
        <x:v>ostrea edulis</x:v>
      </x:c>
      <x:c r="O201" s="62" t="n">
        <x:v>2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Ostrea edulis</x:v>
      </x:c>
      <x:c r="T201" s="62" t="n">
        <x:f>IF(O201="","",(1/'Metadata'!$B$5)^(O201-1))</x:f>
        <x:v>20</x:v>
      </x:c>
      <x:c r="U201" s="60" t="n">
        <x:f>IF(T201="","",I201*T201)</x:f>
        <x:v>560.07852329</x:v>
      </x:c>
    </x:row>
    <x:row r="202" ht="18" customHeight="1">
      <x:c r="A202" s="46" t="str">
        <x:v>LME_024</x:v>
      </x:c>
      <x:c r="B202" s="46" t="str">
        <x:v>Celtic-Biscay Shelf</x:v>
      </x:c>
      <x:c r="C202" s="46" t="str">
        <x:v>LME</x:v>
      </x:c>
      <x:c r="D202" s="58" t="n">
        <x:v>2019</x:v>
      </x:c>
      <x:c r="E202" s="46" t="str">
        <x:v>Pollicipes pollicipes</x:v>
      </x:c>
      <x:c r="F202" s="46" t="str">
        <x:v>Atlantic barnacle</x:v>
      </x:c>
      <x:c r="G202" s="46" t="str">
        <x:v>Other demersal invertebrates</x:v>
      </x:c>
      <x:c r="H202" s="46" t="str">
        <x:v>Crustaceans</x:v>
      </x:c>
      <x:c r="I202" s="60" t="n">
        <x:v>27.3480668739</x:v>
      </x:c>
      <x:c r="J202" s="60" t="n">
        <x:v>27.3480668739</x:v>
      </x:c>
      <x:c r="K202" s="60" t="n">
        <x:v>0</x:v>
      </x:c>
      <x:c r="L202" s="60" t="n">
        <x:v>25.6790237214</x:v>
      </x:c>
      <x:c r="M202" s="60" t="n">
        <x:v>1.6690431525</x:v>
      </x:c>
      <x:c r="N202" s="46" t="str">
        <x:v>pollicipes pollicipes</x:v>
      </x:c>
      <x:c r="O202" s="62" t="n">
        <x:v>3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Pollicipes pollicipes</x:v>
      </x:c>
      <x:c r="T202" s="62" t="n">
        <x:f>IF(O202="","",(1/'Metadata'!$B$5)^(O202-1))</x:f>
        <x:v>400</x:v>
      </x:c>
      <x:c r="U202" s="60" t="n">
        <x:f>IF(T202="","",I202*T202)</x:f>
        <x:v>10939.226749559999</x:v>
      </x:c>
    </x:row>
    <x:row r="203" ht="18" customHeight="1">
      <x:c r="A203" s="46" t="str">
        <x:v>LME_024</x:v>
      </x:c>
      <x:c r="B203" s="46" t="str">
        <x:v>Celtic-Biscay Shelf</x:v>
      </x:c>
      <x:c r="C203" s="46" t="str">
        <x:v>LME</x:v>
      </x:c>
      <x:c r="D203" s="58" t="n">
        <x:v>2019</x:v>
      </x:c>
      <x:c r="E203" s="46" t="str">
        <x:v>Squalus blainville</x:v>
      </x:c>
      <x:c r="F203" s="46" t="str">
        <x:v>Longnose spurdog</x:v>
      </x:c>
      <x:c r="G203" s="46" t="str">
        <x:v>Small to medium sharks (&lt;90 cm)</x:v>
      </x:c>
      <x:c r="H203" s="46" t="str">
        <x:v>Sharks &amp; rays</x:v>
      </x:c>
      <x:c r="I203" s="60" t="n">
        <x:v>25.632400565799998</x:v>
      </x:c>
      <x:c r="J203" s="60" t="n">
        <x:v>25.632400565799998</x:v>
      </x:c>
      <x:c r="K203" s="60" t="n">
        <x:v>0</x:v>
      </x:c>
      <x:c r="L203" s="60" t="n">
        <x:v>25.6321998757</x:v>
      </x:c>
      <x:c r="M203" s="60" t="n">
        <x:v>0.00020069009999999998</x:v>
      </x:c>
      <x:c r="N203" s="46" t="str">
        <x:v>squalus blainville</x:v>
      </x:c>
      <x:c r="O203" s="62" t="n">
        <x:v>3.97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Squalus blainville</x:v>
      </x:c>
      <x:c r="T203" s="62" t="n">
        <x:f>IF(O203="","",(1/'Metadata'!$B$5)^(O203-1))</x:f>
        <x:v>7312.385640086951</x:v>
      </x:c>
      <x:c r="U203" s="60" t="n">
        <x:f>IF(T203="","",I203*T203)</x:f>
        <x:v>187433.99781831255</x:v>
      </x:c>
    </x:row>
    <x:row r="204" ht="18" customHeight="1">
      <x:c r="A204" s="46" t="str">
        <x:v>LME_024</x:v>
      </x:c>
      <x:c r="B204" s="46" t="str">
        <x:v>Celtic-Biscay Shelf</x:v>
      </x:c>
      <x:c r="C204" s="46" t="str">
        <x:v>LME</x:v>
      </x:c>
      <x:c r="D204" s="58" t="n">
        <x:v>2019</x:v>
      </x:c>
      <x:c r="E204" s="46" t="str">
        <x:v>Berycidae</x:v>
      </x:c>
      <x:c r="F204" s="46" t="str">
        <x:v>Alfonsinos, redfishes</x:v>
      </x:c>
      <x:c r="G204" s="46" t="str">
        <x:v>Medium benthopelagics (30 - 89 cm)</x:v>
      </x:c>
      <x:c r="H204" s="46" t="str">
        <x:v>Other fishes &amp; inverts</x:v>
      </x:c>
      <x:c r="I204" s="60" t="n">
        <x:v>25.4443212603</x:v>
      </x:c>
      <x:c r="J204" s="60" t="n">
        <x:v>25.4443212603</x:v>
      </x:c>
      <x:c r="K204" s="60" t="n">
        <x:v>0</x:v>
      </x:c>
      <x:c r="L204" s="60" t="n">
        <x:v>25.4442255889</x:v>
      </x:c>
      <x:c r="M204" s="60" t="n">
        <x:v>0.0000956714</x:v>
      </x:c>
      <x:c r="N204" s="46" t="str">
        <x:v>berycidae</x:v>
      </x:c>
      <x:c r="O204" s="62" t="n">
        <x:v>3.99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Berycidae</x:v>
      </x:c>
      <x:c r="T204" s="62" t="n">
        <x:f>IF(O204="","",(1/'Metadata'!$B$5)^(O204-1))</x:f>
        <x:v>7763.895603143686</x:v>
      </x:c>
      <x:c r="U204" s="60" t="n">
        <x:f>IF(T204="","",I204*T204)</x:f>
        <x:v>197547.05395781857</x:v>
      </x:c>
    </x:row>
    <x:row r="205" ht="18" customHeight="1">
      <x:c r="A205" s="46" t="str">
        <x:v>LME_024</x:v>
      </x:c>
      <x:c r="B205" s="46" t="str">
        <x:v>Celtic-Biscay Shelf</x:v>
      </x:c>
      <x:c r="C205" s="46" t="str">
        <x:v>LME</x:v>
      </x:c>
      <x:c r="D205" s="58" t="n">
        <x:v>2019</x:v>
      </x:c>
      <x:c r="E205" s="46" t="str">
        <x:v>Anarhichas lupus</x:v>
      </x:c>
      <x:c r="F205" s="46" t="str">
        <x:v>Atlantic wolffish</x:v>
      </x:c>
      <x:c r="G205" s="46" t="str">
        <x:v>Large demersals (&gt;=90 cm)</x:v>
      </x:c>
      <x:c r="H205" s="46" t="str">
        <x:v>Perch-likes</x:v>
      </x:c>
      <x:c r="I205" s="60" t="n">
        <x:v>24.866914470199998</x:v>
      </x:c>
      <x:c r="J205" s="60" t="n">
        <x:v>24.866914470199998</x:v>
      </x:c>
      <x:c r="K205" s="60" t="n">
        <x:v>0</x:v>
      </x:c>
      <x:c r="L205" s="60" t="n">
        <x:v>24.645683402699998</x:v>
      </x:c>
      <x:c r="M205" s="60" t="n">
        <x:v>0.2212310675</x:v>
      </x:c>
      <x:c r="N205" s="46" t="str">
        <x:v>anarhichas lupus</x:v>
      </x:c>
      <x:c r="O205" s="62" t="n">
        <x:v>3.55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Anarhichas lupus</x:v>
      </x:c>
      <x:c r="T205" s="62" t="n">
        <x:f>IF(O205="","",(1/'Metadata'!$B$5)^(O205-1))</x:f>
        <x:v>2077.9088316274606</x:v>
      </x:c>
      <x:c r="U205" s="60" t="n">
        <x:f>IF(T205="","",I205*T205)</x:f>
        <x:v>51671.18119295327</x:v>
      </x:c>
    </x:row>
    <x:row r="206" ht="18" customHeight="1">
      <x:c r="A206" s="46" t="str">
        <x:v>LME_024</x:v>
      </x:c>
      <x:c r="B206" s="46" t="str">
        <x:v>Celtic-Biscay Shelf</x:v>
      </x:c>
      <x:c r="C206" s="46" t="str">
        <x:v>LME</x:v>
      </x:c>
      <x:c r="D206" s="58" t="n">
        <x:v>2019</x:v>
      </x:c>
      <x:c r="E206" s="46" t="str">
        <x:v>Amblyraja radiata</x:v>
      </x:c>
      <x:c r="F206" s="46" t="str">
        <x:v>Starry ray</x:v>
      </x:c>
      <x:c r="G206" s="46" t="str">
        <x:v>Large rays (&gt;=90 cm)</x:v>
      </x:c>
      <x:c r="H206" s="46" t="str">
        <x:v>Sharks &amp; rays</x:v>
      </x:c>
      <x:c r="I206" s="60" t="n">
        <x:v>23.493744813</x:v>
      </x:c>
      <x:c r="J206" s="60" t="n">
        <x:v>23.4912027767</x:v>
      </x:c>
      <x:c r="K206" s="60" t="n">
        <x:v>0.0025420363</x:v>
      </x:c>
      <x:c r="L206" s="60" t="n">
        <x:v>23.4912027767</x:v>
      </x:c>
      <x:c r="M206" s="60" t="n">
        <x:v>0.0025420363</x:v>
      </x:c>
      <x:c r="N206" s="46" t="str">
        <x:v>amblyraja radiata</x:v>
      </x:c>
      <x:c r="O206" s="62" t="n">
        <x:v>4.2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Amblyraja radiata</x:v>
      </x:c>
      <x:c r="T206" s="62" t="n">
        <x:f>IF(O206="","",(1/'Metadata'!$B$5)^(O206-1))</x:f>
        <x:v>14564.51362420865</x:v>
      </x:c>
      <x:c r="U206" s="60" t="n">
        <x:f>IF(T206="","",I206*T206)</x:f>
        <x:v>342174.9664126198</x:v>
      </x:c>
    </x:row>
    <x:row r="207" ht="18" customHeight="1">
      <x:c r="A207" s="46" t="str">
        <x:v>LME_024</x:v>
      </x:c>
      <x:c r="B207" s="46" t="str">
        <x:v>Celtic-Biscay Shelf</x:v>
      </x:c>
      <x:c r="C207" s="46" t="str">
        <x:v>LME</x:v>
      </x:c>
      <x:c r="D207" s="58" t="n">
        <x:v>2019</x:v>
      </x:c>
      <x:c r="E207" s="46" t="str">
        <x:v>Octopus</x:v>
      </x:c>
      <x:c r="F207" s="46" t="str">
        <x:v>Octopuses, pikas</x:v>
      </x:c>
      <x:c r="G207" s="46" t="str">
        <x:v>Cephalopods</x:v>
      </x:c>
      <x:c r="H207" s="46" t="str">
        <x:v>Other fishes &amp; inverts</x:v>
      </x:c>
      <x:c r="I207" s="60" t="n">
        <x:v>23.3069209605</x:v>
      </x:c>
      <x:c r="J207" s="60" t="n">
        <x:v>23.3069209605</x:v>
      </x:c>
      <x:c r="K207" s="60" t="n">
        <x:v>0</x:v>
      </x:c>
      <x:c r="L207" s="60" t="n">
        <x:v>23.3069176717</x:v>
      </x:c>
      <x:c r="M207" s="60" t="n">
        <x:v>0.0000032888</x:v>
      </x:c>
      <x:c r="N207" s="46" t="str">
        <x:v>octopus</x:v>
      </x:c>
      <x:c r="O207" s="62" t="n">
        <x:v>3.8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Octopus</x:v>
      </x:c>
      <x:c r="T207" s="62" t="n">
        <x:f>IF(O207="","",(1/'Metadata'!$B$5)^(O207-1))</x:f>
        <x:v>4394.242173224468</x:v>
      </x:c>
      <x:c r="U207" s="60" t="n">
        <x:f>IF(T207="","",I207*T207)</x:f>
        <x:v>102416.25501263844</x:v>
      </x:c>
    </x:row>
    <x:row r="208" ht="18" customHeight="1">
      <x:c r="A208" s="46" t="str">
        <x:v>LME_024</x:v>
      </x:c>
      <x:c r="B208" s="46" t="str">
        <x:v>Celtic-Biscay Shelf</x:v>
      </x:c>
      <x:c r="C208" s="46" t="str">
        <x:v>LME</x:v>
      </x:c>
      <x:c r="D208" s="58" t="n">
        <x:v>2019</x:v>
      </x:c>
      <x:c r="E208" s="46" t="str">
        <x:v>Littorina</x:v>
      </x:c>
      <x:c r="F208" s="46" t="str">
        <x:v>Periwinkles</x:v>
      </x:c>
      <x:c r="G208" s="46" t="str">
        <x:v>Other demersal invertebrates</x:v>
      </x:c>
      <x:c r="H208" s="46" t="str">
        <x:v>Molluscs</x:v>
      </x:c>
      <x:c r="I208" s="60" t="n">
        <x:v>23.1400700428</x:v>
      </x:c>
      <x:c r="J208" s="60" t="n">
        <x:v>23.1400700428</x:v>
      </x:c>
      <x:c r="K208" s="60" t="n">
        <x:v>0</x:v>
      </x:c>
      <x:c r="L208" s="60" t="n">
        <x:v>23.1400700428</x:v>
      </x:c>
      <x:c r="M208" s="60" t="n">
        <x:v>0</x:v>
      </x:c>
      <x:c r="N208" s="46" t="str">
        <x:v>littorina</x:v>
      </x:c>
      <x:c r="O208" s="62" t="n">
        <x:v>2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Littorina</x:v>
      </x:c>
      <x:c r="T208" s="62" t="n">
        <x:f>IF(O208="","",(1/'Metadata'!$B$5)^(O208-1))</x:f>
        <x:v>20</x:v>
      </x:c>
      <x:c r="U208" s="60" t="n">
        <x:f>IF(T208="","",I208*T208)</x:f>
        <x:v>462.80140085600004</x:v>
      </x:c>
    </x:row>
    <x:row r="209" ht="18" customHeight="1">
      <x:c r="A209" s="46" t="str">
        <x:v>LME_024</x:v>
      </x:c>
      <x:c r="B209" s="46" t="str">
        <x:v>Celtic-Biscay Shelf</x:v>
      </x:c>
      <x:c r="C209" s="46" t="str">
        <x:v>LME</x:v>
      </x:c>
      <x:c r="D209" s="58" t="n">
        <x:v>2019</x:v>
      </x:c>
      <x:c r="E209" s="46" t="str">
        <x:v>Mullus</x:v>
      </x:c>
      <x:c r="F209" s="46" t="str">
        <x:v>Atlantic goatfishes</x:v>
      </x:c>
      <x:c r="G209" s="46" t="str">
        <x:v>Medium demersals (30 - 89 cm)</x:v>
      </x:c>
      <x:c r="H209" s="46" t="str">
        <x:v>Perch-likes</x:v>
      </x:c>
      <x:c r="I209" s="60" t="n">
        <x:v>21.7650456089</x:v>
      </x:c>
      <x:c r="J209" s="60" t="n">
        <x:v>21.7650456089</x:v>
      </x:c>
      <x:c r="K209" s="60" t="n">
        <x:v>0</x:v>
      </x:c>
      <x:c r="L209" s="60" t="n">
        <x:v>21.7650456089</x:v>
      </x:c>
      <x:c r="M209" s="60" t="n">
        <x:v>0</x:v>
      </x:c>
      <x:c r="N209" s="46" t="str">
        <x:v>mullus</x:v>
      </x:c>
      <x:c r="O209" s="62" t="n">
        <x:v>3.29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Mullus</x:v>
      </x:c>
      <x:c r="T209" s="62" t="n">
        <x:f>IF(O209="","",(1/'Metadata'!$B$5)^(O209-1))</x:f>
        <x:v>953.5834171618228</x:v>
      </x:c>
      <x:c r="U209" s="60" t="n">
        <x:f>IF(T209="","",I209*T209)</x:f>
        <x:v>20754.786566417788</x:v>
      </x:c>
    </x:row>
    <x:row r="210" ht="18" customHeight="1">
      <x:c r="A210" s="46" t="str">
        <x:v>LME_024</x:v>
      </x:c>
      <x:c r="B210" s="46" t="str">
        <x:v>Celtic-Biscay Shelf</x:v>
      </x:c>
      <x:c r="C210" s="46" t="str">
        <x:v>LME</x:v>
      </x:c>
      <x:c r="D210" s="58" t="n">
        <x:v>2019</x:v>
      </x:c>
      <x:c r="E210" s="46" t="str">
        <x:v>Ommastrephidae</x:v>
      </x:c>
      <x:c r="F210" s="46" t="str">
        <x:v>Arrow squids</x:v>
      </x:c>
      <x:c r="G210" s="46" t="str">
        <x:v>Cephalopods</x:v>
      </x:c>
      <x:c r="H210" s="46" t="str">
        <x:v>Other fishes &amp; inverts</x:v>
      </x:c>
      <x:c r="I210" s="60" t="n">
        <x:v>20.9218363488</x:v>
      </x:c>
      <x:c r="J210" s="60" t="n">
        <x:v>20.9218363488</x:v>
      </x:c>
      <x:c r="K210" s="60" t="n">
        <x:v>0</x:v>
      </x:c>
      <x:c r="L210" s="60" t="n">
        <x:v>20.9218363488</x:v>
      </x:c>
      <x:c r="M210" s="60" t="n">
        <x:v>0</x:v>
      </x:c>
      <x:c r="N210" s="46" t="str">
        <x:v>ommastrephidae</x:v>
      </x:c>
      <x:c r="O210" s="62" t="n">
        <x:v>4.09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Ommastrephidae</x:v>
      </x:c>
      <x:c r="T210" s="62" t="n">
        <x:f>IF(O210="","",(1/'Metadata'!$B$5)^(O210-1))</x:f>
        <x:v>10475.691168449957</x:v>
      </x:c>
      <x:c r="U210" s="60" t="n">
        <x:f>IF(T210="","",I210*T210)</x:f>
        <x:v>219170.69626687944</x:v>
      </x:c>
    </x:row>
    <x:row r="211" ht="18" customHeight="1">
      <x:c r="A211" s="46" t="str">
        <x:v>LME_024</x:v>
      </x:c>
      <x:c r="B211" s="46" t="str">
        <x:v>Celtic-Biscay Shelf</x:v>
      </x:c>
      <x:c r="C211" s="46" t="str">
        <x:v>LME</x:v>
      </x:c>
      <x:c r="D211" s="58" t="n">
        <x:v>2019</x:v>
      </x:c>
      <x:c r="E211" s="46" t="str">
        <x:v>Palaemon longirostris</x:v>
      </x:c>
      <x:c r="F211" s="46" t="str">
        <x:v>Delta prawn</x:v>
      </x:c>
      <x:c r="G211" s="46" t="str">
        <x:v>Shrimps</x:v>
      </x:c>
      <x:c r="H211" s="46" t="str">
        <x:v>Crustaceans</x:v>
      </x:c>
      <x:c r="I211" s="60" t="n">
        <x:v>19.9657310323</x:v>
      </x:c>
      <x:c r="J211" s="60" t="n">
        <x:v>19.9657310323</x:v>
      </x:c>
      <x:c r="K211" s="60" t="n">
        <x:v>0</x:v>
      </x:c>
      <x:c r="L211" s="60" t="n">
        <x:v>18.6893279237</x:v>
      </x:c>
      <x:c r="M211" s="60" t="n">
        <x:v>1.2764031086</x:v>
      </x:c>
      <x:c r="N211" s="46" t="str">
        <x:v>palaemon longirostris</x:v>
      </x:c>
      <x:c r="O211" s="62" t="n">
        <x:v>2.6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Palaemon longirostris</x:v>
      </x:c>
      <x:c r="T211" s="62" t="n">
        <x:f>IF(O211="","",(1/'Metadata'!$B$5)^(O211-1))</x:f>
        <x:v>120.6835267309033</x:v>
      </x:c>
      <x:c r="U211" s="60" t="n">
        <x:f>IF(T211="","",I211*T211)</x:f>
        <x:v>2409.5348347386025</x:v>
      </x:c>
    </x:row>
    <x:row r="212" ht="18" customHeight="1">
      <x:c r="A212" s="46" t="str">
        <x:v>LME_024</x:v>
      </x:c>
      <x:c r="B212" s="46" t="str">
        <x:v>Celtic-Biscay Shelf</x:v>
      </x:c>
      <x:c r="C212" s="46" t="str">
        <x:v>LME</x:v>
      </x:c>
      <x:c r="D212" s="58" t="n">
        <x:v>2019</x:v>
      </x:c>
      <x:c r="E212" s="46" t="str">
        <x:v>Beryx</x:v>
      </x:c>
      <x:c r="F212" s="46" t="str">
        <x:v>Alfonsinos</x:v>
      </x:c>
      <x:c r="G212" s="46" t="str">
        <x:v>Medium benthopelagics (30 - 89 cm)</x:v>
      </x:c>
      <x:c r="H212" s="46" t="str">
        <x:v>Other fishes &amp; inverts</x:v>
      </x:c>
      <x:c r="I212" s="60" t="n">
        <x:v>19.621103119700003</x:v>
      </x:c>
      <x:c r="J212" s="60" t="n">
        <x:v>19.621103119700003</x:v>
      </x:c>
      <x:c r="K212" s="60" t="n">
        <x:v>0</x:v>
      </x:c>
      <x:c r="L212" s="60" t="n">
        <x:v>19.621103119700003</x:v>
      </x:c>
      <x:c r="M212" s="60" t="n">
        <x:v>0</x:v>
      </x:c>
      <x:c r="N212" s="46" t="str">
        <x:v>beryx</x:v>
      </x:c>
      <x:c r="O212" s="62" t="n">
        <x:v>3.97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Beryx</x:v>
      </x:c>
      <x:c r="T212" s="62" t="n">
        <x:f>IF(O212="","",(1/'Metadata'!$B$5)^(O212-1))</x:f>
        <x:v>7312.385640086951</x:v>
      </x:c>
      <x:c r="U212" s="60" t="n">
        <x:f>IF(T212="","",I212*T212)</x:f>
        <x:v>143477.07269515956</x:v>
      </x:c>
    </x:row>
    <x:row r="213" ht="18" customHeight="1">
      <x:c r="A213" s="46" t="str">
        <x:v>LME_024</x:v>
      </x:c>
      <x:c r="B213" s="46" t="str">
        <x:v>Celtic-Biscay Shelf</x:v>
      </x:c>
      <x:c r="C213" s="46" t="str">
        <x:v>LME</x:v>
      </x:c>
      <x:c r="D213" s="58" t="n">
        <x:v>2019</x:v>
      </x:c>
      <x:c r="E213" s="46" t="str">
        <x:v>Osmerus eperlanus</x:v>
      </x:c>
      <x:c r="F213" s="46" t="str">
        <x:v>European smelt</x:v>
      </x:c>
      <x:c r="G213" s="46" t="str">
        <x:v>Medium pelagics (30 - 89 cm)</x:v>
      </x:c>
      <x:c r="H213" s="46" t="str">
        <x:v>Salmon, smelts, etc</x:v>
      </x:c>
      <x:c r="I213" s="60" t="n">
        <x:v>18.6487305761</x:v>
      </x:c>
      <x:c r="J213" s="60" t="n">
        <x:v>18.6487305761</x:v>
      </x:c>
      <x:c r="K213" s="60" t="n">
        <x:v>0</x:v>
      </x:c>
      <x:c r="L213" s="60" t="n">
        <x:v>18.6487305761</x:v>
      </x:c>
      <x:c r="M213" s="60" t="n">
        <x:v>0</x:v>
      </x:c>
      <x:c r="N213" s="46" t="str">
        <x:v>osmerus eperlanus</x:v>
      </x:c>
      <x:c r="O213" s="62" t="n">
        <x:v>3.46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Osmerus eperlanus</x:v>
      </x:c>
      <x:c r="T213" s="62" t="n">
        <x:f>IF(O213="","",(1/'Metadata'!$B$5)^(O213-1))</x:f>
        <x:v>1586.8423749532276</x:v>
      </x:c>
      <x:c r="U213" s="60" t="n">
        <x:f>IF(T213="","",I213*T213)</x:f>
        <x:v>29592.595917241397</x:v>
      </x:c>
    </x:row>
    <x:row r="214" ht="18" customHeight="1">
      <x:c r="A214" s="46" t="str">
        <x:v>LME_024</x:v>
      </x:c>
      <x:c r="B214" s="46" t="str">
        <x:v>Celtic-Biscay Shelf</x:v>
      </x:c>
      <x:c r="C214" s="46" t="str">
        <x:v>LME</x:v>
      </x:c>
      <x:c r="D214" s="58" t="n">
        <x:v>2019</x:v>
      </x:c>
      <x:c r="E214" s="46" t="str">
        <x:v>Venerupis corrugata</x:v>
      </x:c>
      <x:c r="F214" s="46" t="str">
        <x:v>Corrugated venus</x:v>
      </x:c>
      <x:c r="G214" s="46" t="str">
        <x:v>Other demersal invertebrates</x:v>
      </x:c>
      <x:c r="H214" s="46" t="str">
        <x:v>Molluscs</x:v>
      </x:c>
      <x:c r="I214" s="60" t="n">
        <x:v>18.1468098015</x:v>
      </x:c>
      <x:c r="J214" s="60" t="n">
        <x:v>18.1468098015</x:v>
      </x:c>
      <x:c r="K214" s="60" t="n">
        <x:v>0</x:v>
      </x:c>
      <x:c r="L214" s="60" t="n">
        <x:v>17.973817696500003</x:v>
      </x:c>
      <x:c r="M214" s="60" t="n">
        <x:v>0.172992105</x:v>
      </x:c>
      <x:c r="N214" s="46" t="str">
        <x:v>venerupis corrugata</x:v>
      </x:c>
      <x:c r="O214" s="62" t="n">
        <x:v>2.1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Venerupis corrugata</x:v>
      </x:c>
      <x:c r="T214" s="62" t="n">
        <x:f>IF(O214="","",(1/'Metadata'!$B$5)^(O214-1))</x:f>
        <x:v>26.985656953471274</x:v>
      </x:c>
      <x:c r="U214" s="60" t="n">
        <x:f>IF(T214="","",I214*T214)</x:f>
        <x:v>489.7035841031692</x:v>
      </x:c>
    </x:row>
    <x:row r="215" ht="18" customHeight="1">
      <x:c r="A215" s="46" t="str">
        <x:v>LME_024</x:v>
      </x:c>
      <x:c r="B215" s="46" t="str">
        <x:v>Celtic-Biscay Shelf</x:v>
      </x:c>
      <x:c r="C215" s="46" t="str">
        <x:v>LME</x:v>
      </x:c>
      <x:c r="D215" s="58" t="n">
        <x:v>2019</x:v>
      </x:c>
      <x:c r="E215" s="46" t="str">
        <x:v>Scorpaena scrofa</x:v>
      </x:c>
      <x:c r="F215" s="46" t="str">
        <x:v>Red scorpionfish</x:v>
      </x:c>
      <x:c r="G215" s="46" t="str">
        <x:v>Medium demersals (30 - 89 cm)</x:v>
      </x:c>
      <x:c r="H215" s="46" t="str">
        <x:v>Scorpionfishes</x:v>
      </x:c>
      <x:c r="I215" s="60" t="n">
        <x:v>17.6010770669</x:v>
      </x:c>
      <x:c r="J215" s="60" t="n">
        <x:v>17.6010770669</x:v>
      </x:c>
      <x:c r="K215" s="60" t="n">
        <x:v>0</x:v>
      </x:c>
      <x:c r="L215" s="60" t="n">
        <x:v>17.6010265282</x:v>
      </x:c>
      <x:c r="M215" s="60" t="n">
        <x:v>0.000050538700000000005</x:v>
      </x:c>
      <x:c r="N215" s="46" t="str">
        <x:v>scorpaena scrofa</x:v>
      </x:c>
      <x:c r="O215" s="62" t="n">
        <x:v>4.25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Scorpaena scrofa</x:v>
      </x:c>
      <x:c r="T215" s="62" t="n">
        <x:f>IF(O215="","",(1/'Metadata'!$B$5)^(O215-1))</x:f>
        <x:v>16917.940215049024</x:v>
      </x:c>
      <x:c r="U215" s="60" t="n">
        <x:f>IF(T215="","",I215*T215)</x:f>
        <x:v>297773.96953828464</x:v>
      </x:c>
    </x:row>
    <x:row r="216" ht="18" customHeight="1">
      <x:c r="A216" s="46" t="str">
        <x:v>LME_024</x:v>
      </x:c>
      <x:c r="B216" s="46" t="str">
        <x:v>Celtic-Biscay Shelf</x:v>
      </x:c>
      <x:c r="C216" s="46" t="str">
        <x:v>LME</x:v>
      </x:c>
      <x:c r="D216" s="58" t="n">
        <x:v>2019</x:v>
      </x:c>
      <x:c r="E216" s="46" t="str">
        <x:v>Torpedo marmorata</x:v>
      </x:c>
      <x:c r="F216" s="46" t="str">
        <x:v>Marbled electric ray</x:v>
      </x:c>
      <x:c r="G216" s="46" t="str">
        <x:v>Large rays (&gt;=90 cm)</x:v>
      </x:c>
      <x:c r="H216" s="46" t="str">
        <x:v>Sharks &amp; rays</x:v>
      </x:c>
      <x:c r="I216" s="60" t="n">
        <x:v>17.4979295398</x:v>
      </x:c>
      <x:c r="J216" s="60" t="n">
        <x:v>17.4979295398</x:v>
      </x:c>
      <x:c r="K216" s="60" t="n">
        <x:v>0</x:v>
      </x:c>
      <x:c r="L216" s="60" t="n">
        <x:v>17.4889439948</x:v>
      </x:c>
      <x:c r="M216" s="60" t="n">
        <x:v>0.008985545000000001</x:v>
      </x:c>
      <x:c r="N216" s="46" t="str">
        <x:v>torpedo marmorata</x:v>
      </x:c>
      <x:c r="O216" s="62" t="n">
        <x:v>4.5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Torpedo marmorata</x:v>
      </x:c>
      <x:c r="T216" s="62" t="n">
        <x:f>IF(O216="","",(1/'Metadata'!$B$5)^(O216-1))</x:f>
        <x:v>35777.08763999664</x:v>
      </x:c>
      <x:c r="U216" s="60" t="n">
        <x:f>IF(T216="","",I216*T216)</x:f>
        <x:v>626024.9586639106</x:v>
      </x:c>
    </x:row>
    <x:row r="217" ht="18" customHeight="1">
      <x:c r="A217" s="46" t="str">
        <x:v>LME_024</x:v>
      </x:c>
      <x:c r="B217" s="46" t="str">
        <x:v>Celtic-Biscay Shelf</x:v>
      </x:c>
      <x:c r="C217" s="46" t="str">
        <x:v>LME</x:v>
      </x:c>
      <x:c r="D217" s="58" t="n">
        <x:v>2019</x:v>
      </x:c>
      <x:c r="E217" s="46" t="str">
        <x:v>Illex coindetii</x:v>
      </x:c>
      <x:c r="F217" s="46" t="str">
        <x:v>Broadtail shortfin squid</x:v>
      </x:c>
      <x:c r="G217" s="46" t="str">
        <x:v>Cephalopods</x:v>
      </x:c>
      <x:c r="H217" s="46" t="str">
        <x:v>Other fishes &amp; inverts</x:v>
      </x:c>
      <x:c r="I217" s="60" t="n">
        <x:v>17.4560958169</x:v>
      </x:c>
      <x:c r="J217" s="60" t="n">
        <x:v>17.4560958169</x:v>
      </x:c>
      <x:c r="K217" s="60" t="n">
        <x:v>0</x:v>
      </x:c>
      <x:c r="L217" s="60" t="n">
        <x:v>17.4560533328</x:v>
      </x:c>
      <x:c r="M217" s="60" t="n">
        <x:v>0.000042484099999999995</x:v>
      </x:c>
      <x:c r="N217" s="46" t="str">
        <x:v>illex coindetii</x:v>
      </x:c>
      <x:c r="O217" s="62" t="n">
        <x:v>4.11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Illex coindetii</x:v>
      </x:c>
      <x:c r="T217" s="62" t="n">
        <x:f>IF(O217="","",(1/'Metadata'!$B$5)^(O217-1))</x:f>
        <x:v>11122.52233481121</x:v>
      </x:c>
      <x:c r="U217" s="60" t="n">
        <x:f>IF(T217="","",I217*T217)</x:f>
        <x:v>194155.81560207478</x:v>
      </x:c>
    </x:row>
    <x:row r="218" ht="18" customHeight="1">
      <x:c r="A218" s="46" t="str">
        <x:v>LME_024</x:v>
      </x:c>
      <x:c r="B218" s="46" t="str">
        <x:v>Celtic-Biscay Shelf</x:v>
      </x:c>
      <x:c r="C218" s="46" t="str">
        <x:v>LME</x:v>
      </x:c>
      <x:c r="D218" s="58" t="n">
        <x:v>2019</x:v>
      </x:c>
      <x:c r="E218" s="46" t="str">
        <x:v>Molva macrophthalma</x:v>
      </x:c>
      <x:c r="F218" s="46" t="str">
        <x:v>Spanish ling</x:v>
      </x:c>
      <x:c r="G218" s="46" t="str">
        <x:v>Medium demersals (30 - 89 cm)</x:v>
      </x:c>
      <x:c r="H218" s="46" t="str">
        <x:v>Cod-likes</x:v>
      </x:c>
      <x:c r="I218" s="60" t="n">
        <x:v>17.3554717688</x:v>
      </x:c>
      <x:c r="J218" s="60" t="n">
        <x:v>17.3554717688</x:v>
      </x:c>
      <x:c r="K218" s="60" t="n">
        <x:v>0</x:v>
      </x:c>
      <x:c r="L218" s="60" t="n">
        <x:v>17.3554717688</x:v>
      </x:c>
      <x:c r="M218" s="60" t="n">
        <x:v>0</x:v>
      </x:c>
      <x:c r="N218" s="46" t="str">
        <x:v>molva macrophthalma</x:v>
      </x:c>
      <x:c r="O218" s="62" t="n">
        <x:v>4.5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Molva macrophthalma</x:v>
      </x:c>
      <x:c r="T218" s="62" t="n">
        <x:f>IF(O218="","",(1/'Metadata'!$B$5)^(O218-1))</x:f>
        <x:v>35777.08763999664</x:v>
      </x:c>
      <x:c r="U218" s="60" t="n">
        <x:f>IF(T218="","",I218*T218)</x:f>
        <x:v>620928.2345058451</x:v>
      </x:c>
    </x:row>
    <x:row r="219" ht="18" customHeight="1">
      <x:c r="A219" s="46" t="str">
        <x:v>LME_024</x:v>
      </x:c>
      <x:c r="B219" s="46" t="str">
        <x:v>Celtic-Biscay Shelf</x:v>
      </x:c>
      <x:c r="C219" s="46" t="str">
        <x:v>LME</x:v>
      </x:c>
      <x:c r="D219" s="58" t="n">
        <x:v>2019</x:v>
      </x:c>
      <x:c r="E219" s="46" t="str">
        <x:v>Trachurus mediterraneus</x:v>
      </x:c>
      <x:c r="F219" s="46" t="str">
        <x:v>Mediterranean horse mackerel</x:v>
      </x:c>
      <x:c r="G219" s="46" t="str">
        <x:v>Medium pelagics (30 - 89 cm)</x:v>
      </x:c>
      <x:c r="H219" s="46" t="str">
        <x:v>Perch-likes</x:v>
      </x:c>
      <x:c r="I219" s="60" t="n">
        <x:v>16.7153486256</x:v>
      </x:c>
      <x:c r="J219" s="60" t="n">
        <x:v>16.7153486256</x:v>
      </x:c>
      <x:c r="K219" s="60" t="n">
        <x:v>0</x:v>
      </x:c>
      <x:c r="L219" s="60" t="n">
        <x:v>16.6520050466</x:v>
      </x:c>
      <x:c r="M219" s="60" t="n">
        <x:v>0.063343579</x:v>
      </x:c>
      <x:c r="N219" s="46" t="str">
        <x:v>trachurus mediterraneus</x:v>
      </x:c>
      <x:c r="O219" s="62" t="n">
        <x:v>3.77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Trachurus mediterraneus</x:v>
      </x:c>
      <x:c r="T219" s="62" t="n">
        <x:f>IF(O219="","",(1/'Metadata'!$B$5)^(O219-1))</x:f>
        <x:v>4016.549170818885</x:v>
      </x:c>
      <x:c r="U219" s="60" t="n">
        <x:f>IF(T219="","",I219*T219)</x:f>
        <x:v>67138.01966210228</x:v>
      </x:c>
    </x:row>
    <x:row r="220" ht="18" customHeight="1">
      <x:c r="A220" s="46" t="str">
        <x:v>LME_024</x:v>
      </x:c>
      <x:c r="B220" s="46" t="str">
        <x:v>Celtic-Biscay Shelf</x:v>
      </x:c>
      <x:c r="C220" s="46" t="str">
        <x:v>LME</x:v>
      </x:c>
      <x:c r="D220" s="58" t="n">
        <x:v>2019</x:v>
      </x:c>
      <x:c r="E220" s="46" t="str">
        <x:v>Palinurus elephas</x:v>
      </x:c>
      <x:c r="F220" s="46" t="str">
        <x:v>Common spiny lobster</x:v>
      </x:c>
      <x:c r="G220" s="46" t="str">
        <x:v>Lobsters, crabs</x:v>
      </x:c>
      <x:c r="H220" s="46" t="str">
        <x:v>Crustaceans</x:v>
      </x:c>
      <x:c r="I220" s="60" t="n">
        <x:v>16.285547035</x:v>
      </x:c>
      <x:c r="J220" s="60" t="n">
        <x:v>16.285547035</x:v>
      </x:c>
      <x:c r="K220" s="60" t="n">
        <x:v>0</x:v>
      </x:c>
      <x:c r="L220" s="60" t="n">
        <x:v>15.4983009201</x:v>
      </x:c>
      <x:c r="M220" s="60" t="n">
        <x:v>0.7872461149</x:v>
      </x:c>
      <x:c r="N220" s="46" t="str">
        <x:v>palinurus elephas</x:v>
      </x:c>
      <x:c r="O220" s="62" t="n">
        <x:v>3.34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Palinurus elephas</x:v>
      </x:c>
      <x:c r="T220" s="62" t="n">
        <x:f>IF(O220="","",(1/'Metadata'!$B$5)^(O220-1))</x:f>
        <x:v>1107.6694806197092</x:v>
      </x:c>
      <x:c r="U220" s="60" t="n">
        <x:f>IF(T220="","",I220*T220)</x:f>
        <x:v>18039.003425866296</x:v>
      </x:c>
    </x:row>
    <x:row r="221" ht="18" customHeight="1">
      <x:c r="A221" s="46" t="str">
        <x:v>LME_024</x:v>
      </x:c>
      <x:c r="B221" s="46" t="str">
        <x:v>Celtic-Biscay Shelf</x:v>
      </x:c>
      <x:c r="C221" s="46" t="str">
        <x:v>LME</x:v>
      </x:c>
      <x:c r="D221" s="58" t="n">
        <x:v>2019</x:v>
      </x:c>
      <x:c r="E221" s="46" t="str">
        <x:v>Carcharhinidae</x:v>
      </x:c>
      <x:c r="F221" s="46" t="str">
        <x:v>Requiem sharks</x:v>
      </x:c>
      <x:c r="G221" s="46" t="str">
        <x:v>Large sharks (&gt;=90 cm)</x:v>
      </x:c>
      <x:c r="H221" s="46" t="str">
        <x:v>Sharks &amp; rays</x:v>
      </x:c>
      <x:c r="I221" s="60" t="n">
        <x:v>15.7182443021</x:v>
      </x:c>
      <x:c r="J221" s="60" t="n">
        <x:v>15.7182443021</x:v>
      </x:c>
      <x:c r="K221" s="60" t="n">
        <x:v>0</x:v>
      </x:c>
      <x:c r="L221" s="60" t="n">
        <x:v>15.7091169717</x:v>
      </x:c>
      <x:c r="M221" s="60" t="n">
        <x:v>0.0091273304</x:v>
      </x:c>
      <x:c r="N221" s="46" t="str">
        <x:v>carcharhinidae</x:v>
      </x:c>
      <x:c r="O221" s="62" t="n">
        <x:v>4.24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Carcharhinidae</x:v>
      </x:c>
      <x:c r="T221" s="62" t="n">
        <x:f>IF(O221="","",(1/'Metadata'!$B$5)^(O221-1))</x:f>
        <x:v>16418.64020623336</x:v>
      </x:c>
      <x:c r="U221" s="60" t="n">
        <x:f>IF(T221="","",I221*T221)</x:f>
        <x:v>258072.19786985745</x:v>
      </x:c>
    </x:row>
    <x:row r="222" ht="18" customHeight="1">
      <x:c r="A222" s="46" t="str">
        <x:v>LME_024</x:v>
      </x:c>
      <x:c r="B222" s="46" t="str">
        <x:v>Celtic-Biscay Shelf</x:v>
      </x:c>
      <x:c r="C222" s="46" t="str">
        <x:v>LME</x:v>
      </x:c>
      <x:c r="D222" s="58" t="n">
        <x:v>2019</x:v>
      </x:c>
      <x:c r="E222" s="46" t="str">
        <x:v>Mercenaria mercenaria</x:v>
      </x:c>
      <x:c r="F222" s="46" t="str">
        <x:v>Northern quahog</x:v>
      </x:c>
      <x:c r="G222" s="46" t="str">
        <x:v>Other demersal invertebrates</x:v>
      </x:c>
      <x:c r="H222" s="46" t="str">
        <x:v>Molluscs</x:v>
      </x:c>
      <x:c r="I222" s="60" t="n">
        <x:v>15.67850616</x:v>
      </x:c>
      <x:c r="J222" s="60" t="n">
        <x:v>15.67850616</x:v>
      </x:c>
      <x:c r="K222" s="60" t="n">
        <x:v>0</x:v>
      </x:c>
      <x:c r="L222" s="60" t="n">
        <x:v>15.6360275603</x:v>
      </x:c>
      <x:c r="M222" s="60" t="n">
        <x:v>0.0424785997</x:v>
      </x:c>
      <x:c r="N222" s="46" t="str">
        <x:v>mercenaria mercenaria</x:v>
      </x:c>
      <x:c r="O222" s="62" t="n">
        <x:v>2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Mercenaria mercenaria</x:v>
      </x:c>
      <x:c r="T222" s="62" t="n">
        <x:f>IF(O222="","",(1/'Metadata'!$B$5)^(O222-1))</x:f>
        <x:v>20</x:v>
      </x:c>
      <x:c r="U222" s="60" t="n">
        <x:f>IF(T222="","",I222*T222)</x:f>
        <x:v>313.5701232</x:v>
      </x:c>
    </x:row>
    <x:row r="223" ht="18" customHeight="1">
      <x:c r="A223" s="46" t="str">
        <x:v>LME_024</x:v>
      </x:c>
      <x:c r="B223" s="46" t="str">
        <x:v>Celtic-Biscay Shelf</x:v>
      </x:c>
      <x:c r="C223" s="46" t="str">
        <x:v>LME</x:v>
      </x:c>
      <x:c r="D223" s="58" t="n">
        <x:v>2019</x:v>
      </x:c>
      <x:c r="E223" s="46" t="str">
        <x:v>Ruditapes decussatus</x:v>
      </x:c>
      <x:c r="F223" s="46" t="str">
        <x:v>Grooved carpet shell</x:v>
      </x:c>
      <x:c r="G223" s="46" t="str">
        <x:v>Other demersal invertebrates</x:v>
      </x:c>
      <x:c r="H223" s="46" t="str">
        <x:v>Molluscs</x:v>
      </x:c>
      <x:c r="I223" s="60" t="n">
        <x:v>15.5531247234</x:v>
      </x:c>
      <x:c r="J223" s="60" t="n">
        <x:v>15.5531247234</x:v>
      </x:c>
      <x:c r="K223" s="60" t="n">
        <x:v>0</x:v>
      </x:c>
      <x:c r="L223" s="60" t="n">
        <x:v>12.703724598900001</x:v>
      </x:c>
      <x:c r="M223" s="60" t="n">
        <x:v>2.8494001245000002</x:v>
      </x:c>
      <x:c r="N223" s="46" t="str">
        <x:v>ruditapes decussatus</x:v>
      </x:c>
      <x:c r="O223" s="62" t="n">
        <x:v>2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Ruditapes decussatus</x:v>
      </x:c>
      <x:c r="T223" s="62" t="n">
        <x:f>IF(O223="","",(1/'Metadata'!$B$5)^(O223-1))</x:f>
        <x:v>20</x:v>
      </x:c>
      <x:c r="U223" s="60" t="n">
        <x:f>IF(T223="","",I223*T223)</x:f>
        <x:v>311.062494468</x:v>
      </x:c>
    </x:row>
    <x:row r="224" ht="18" customHeight="1">
      <x:c r="A224" s="46" t="str">
        <x:v>LME_024</x:v>
      </x:c>
      <x:c r="B224" s="46" t="str">
        <x:v>Celtic-Biscay Shelf</x:v>
      </x:c>
      <x:c r="C224" s="46" t="str">
        <x:v>LME</x:v>
      </x:c>
      <x:c r="D224" s="58" t="n">
        <x:v>2019</x:v>
      </x:c>
      <x:c r="E224" s="46" t="str">
        <x:v>Gadiculus thori</x:v>
      </x:c>
      <x:c r="F224" s="46" t="str">
        <x:v>Silvery cod</x:v>
      </x:c>
      <x:c r="G224" s="46" t="str">
        <x:v>Small pelagics (&lt;30 cm)</x:v>
      </x:c>
      <x:c r="H224" s="46" t="str">
        <x:v>Cod-likes</x:v>
      </x:c>
      <x:c r="I224" s="60" t="n">
        <x:v>15.5201095269</x:v>
      </x:c>
      <x:c r="J224" s="60" t="n">
        <x:v>15.5201095269</x:v>
      </x:c>
      <x:c r="K224" s="60" t="n">
        <x:v>0</x:v>
      </x:c>
      <x:c r="L224" s="60" t="n">
        <x:v>15.5201095269</x:v>
      </x:c>
      <x:c r="M224" s="60" t="n">
        <x:v>0</x:v>
      </x:c>
      <x:c r="N224" s="46" t="str">
        <x:v>gadiculus thori</x:v>
      </x:c>
      <x:c r="O224" s="62" t="n">
        <x:v>3.51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Gadiculus thori</x:v>
      </x:c>
      <x:c r="T224" s="62" t="n">
        <x:f>IF(O224="","",(1/'Metadata'!$B$5)^(O224-1))</x:f>
        <x:v>1843.2544417784343</x:v>
      </x:c>
      <x:c r="U224" s="60" t="n">
        <x:f>IF(T224="","",I224*T224)</x:f>
        <x:v>28607.51082234622</x:v>
      </x:c>
    </x:row>
    <x:row r="225" ht="18" customHeight="1">
      <x:c r="A225" s="46" t="str">
        <x:v>LME_024</x:v>
      </x:c>
      <x:c r="B225" s="46" t="str">
        <x:v>Celtic-Biscay Shelf</x:v>
      </x:c>
      <x:c r="C225" s="46" t="str">
        <x:v>LME</x:v>
      </x:c>
      <x:c r="D225" s="58" t="n">
        <x:v>2019</x:v>
      </x:c>
      <x:c r="E225" s="46" t="str">
        <x:v>Auxis</x:v>
      </x:c>
      <x:c r="F225" s="46" t="str">
        <x:v>Bullet and frigate tunas</x:v>
      </x:c>
      <x:c r="G225" s="46" t="str">
        <x:v>Medium pelagics (30 - 89 cm)</x:v>
      </x:c>
      <x:c r="H225" s="46" t="str">
        <x:v>Tuna &amp; billfishes</x:v>
      </x:c>
      <x:c r="I225" s="60" t="n">
        <x:v>14.967366119000001</x:v>
      </x:c>
      <x:c r="J225" s="60" t="n">
        <x:v>14.967366119000001</x:v>
      </x:c>
      <x:c r="K225" s="60" t="n">
        <x:v>0</x:v>
      </x:c>
      <x:c r="L225" s="60" t="n">
        <x:v>14.944224077700001</x:v>
      </x:c>
      <x:c r="M225" s="60" t="n">
        <x:v>0.0231420413</x:v>
      </x:c>
      <x:c r="N225" s="46" t="str">
        <x:v>auxis</x:v>
      </x:c>
      <x:c r="O225" s="62" t="n">
        <x:v>4.24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Auxis</x:v>
      </x:c>
      <x:c r="T225" s="62" t="n">
        <x:f>IF(O225="","",(1/'Metadata'!$B$5)^(O225-1))</x:f>
        <x:v>16418.64020623336</x:v>
      </x:c>
      <x:c r="U225" s="60" t="n">
        <x:f>IF(T225="","",I225*T225)</x:f>
        <x:v>245743.79914282836</x:v>
      </x:c>
    </x:row>
    <x:row r="226" ht="18" customHeight="1">
      <x:c r="A226" s="46" t="str">
        <x:v>LME_024</x:v>
      </x:c>
      <x:c r="B226" s="46" t="str">
        <x:v>Celtic-Biscay Shelf</x:v>
      </x:c>
      <x:c r="C226" s="46" t="str">
        <x:v>LME</x:v>
      </x:c>
      <x:c r="D226" s="58" t="n">
        <x:v>2019</x:v>
      </x:c>
      <x:c r="E226" s="46" t="str">
        <x:v>Spisula</x:v>
      </x:c>
      <x:c r="F226" s="46" t="str">
        <x:v>Surf clams</x:v>
      </x:c>
      <x:c r="G226" s="46" t="str">
        <x:v>Other demersal invertebrates</x:v>
      </x:c>
      <x:c r="H226" s="46" t="str">
        <x:v>Molluscs</x:v>
      </x:c>
      <x:c r="I226" s="60" t="n">
        <x:v>14.8705098272</x:v>
      </x:c>
      <x:c r="J226" s="60" t="n">
        <x:v>14.8705098272</x:v>
      </x:c>
      <x:c r="K226" s="60" t="n">
        <x:v>0</x:v>
      </x:c>
      <x:c r="L226" s="60" t="n">
        <x:v>0.9906760117</x:v>
      </x:c>
      <x:c r="M226" s="60" t="n">
        <x:v>13.8798338155</x:v>
      </x:c>
      <x:c r="N226" s="46" t="str">
        <x:v>spisula</x:v>
      </x:c>
      <x:c r="O226" s="62" t="n">
        <x:v>2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Spisula</x:v>
      </x:c>
      <x:c r="T226" s="62" t="n">
        <x:f>IF(O226="","",(1/'Metadata'!$B$5)^(O226-1))</x:f>
        <x:v>20</x:v>
      </x:c>
      <x:c r="U226" s="60" t="n">
        <x:f>IF(T226="","",I226*T226)</x:f>
        <x:v>297.410196544</x:v>
      </x:c>
    </x:row>
    <x:row r="227" ht="18" customHeight="1">
      <x:c r="A227" s="46" t="str">
        <x:v>LME_024</x:v>
      </x:c>
      <x:c r="B227" s="46" t="str">
        <x:v>Celtic-Biscay Shelf</x:v>
      </x:c>
      <x:c r="C227" s="46" t="str">
        <x:v>LME</x:v>
      </x:c>
      <x:c r="D227" s="58" t="n">
        <x:v>2019</x:v>
      </x:c>
      <x:c r="E227" s="46" t="str">
        <x:v>Isurus oxyrinchus</x:v>
      </x:c>
      <x:c r="F227" s="46" t="str">
        <x:v>Shortfin mako</x:v>
      </x:c>
      <x:c r="G227" s="46" t="str">
        <x:v>Large sharks (&gt;=90 cm)</x:v>
      </x:c>
      <x:c r="H227" s="46" t="str">
        <x:v>Sharks &amp; rays</x:v>
      </x:c>
      <x:c r="I227" s="60" t="n">
        <x:v>14.742747893</x:v>
      </x:c>
      <x:c r="J227" s="60" t="n">
        <x:v>14.742747893</x:v>
      </x:c>
      <x:c r="K227" s="60" t="n">
        <x:v>0</x:v>
      </x:c>
      <x:c r="L227" s="60" t="n">
        <x:v>14.6849387687</x:v>
      </x:c>
      <x:c r="M227" s="60" t="n">
        <x:v>0.0578091243</x:v>
      </x:c>
      <x:c r="N227" s="46" t="str">
        <x:v>isurus oxyrinchus</x:v>
      </x:c>
      <x:c r="O227" s="62" t="n">
        <x:v>4.5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Isurus oxyrinchus</x:v>
      </x:c>
      <x:c r="T227" s="62" t="n">
        <x:f>IF(O227="","",(1/'Metadata'!$B$5)^(O227-1))</x:f>
        <x:v>35777.08763999664</x:v>
      </x:c>
      <x:c r="U227" s="60" t="n">
        <x:f>IF(T227="","",I227*T227)</x:f>
        <x:v>527452.5834222367</x:v>
      </x:c>
    </x:row>
    <x:row r="228" ht="18" customHeight="1">
      <x:c r="A228" s="46" t="str">
        <x:v>LME_024</x:v>
      </x:c>
      <x:c r="B228" s="46" t="str">
        <x:v>Celtic-Biscay Shelf</x:v>
      </x:c>
      <x:c r="C228" s="46" t="str">
        <x:v>LME</x:v>
      </x:c>
      <x:c r="D228" s="58" t="n">
        <x:v>2019</x:v>
      </x:c>
      <x:c r="E228" s="46" t="str">
        <x:v>Alosa alosa</x:v>
      </x:c>
      <x:c r="F228" s="46" t="str">
        <x:v>Allis shad</x:v>
      </x:c>
      <x:c r="G228" s="46" t="str">
        <x:v>Medium pelagics (30 - 89 cm)</x:v>
      </x:c>
      <x:c r="H228" s="46" t="str">
        <x:v>Herring-likes</x:v>
      </x:c>
      <x:c r="I228" s="60" t="n">
        <x:v>14.0970015208</x:v>
      </x:c>
      <x:c r="J228" s="60" t="n">
        <x:v>14.0970015208</x:v>
      </x:c>
      <x:c r="K228" s="60" t="n">
        <x:v>0</x:v>
      </x:c>
      <x:c r="L228" s="60" t="n">
        <x:v>12.1474621686</x:v>
      </x:c>
      <x:c r="M228" s="60" t="n">
        <x:v>1.9495393522</x:v>
      </x:c>
      <x:c r="N228" s="46" t="str">
        <x:v>alosa alosa</x:v>
      </x:c>
      <x:c r="O228" s="62" t="n">
        <x:v>2.95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Alosa alosa</x:v>
      </x:c>
      <x:c r="T228" s="62" t="n">
        <x:f>IF(O228="","",(1/'Metadata'!$B$5)^(O228-1))</x:f>
        <x:v>344.3566637326941</x:v>
      </x:c>
      <x:c r="U228" s="60" t="n">
        <x:f>IF(T228="","",I228*T228)</x:f>
        <x:v>4854.396412337403</x:v>
      </x:c>
    </x:row>
    <x:row r="229" ht="18" customHeight="1">
      <x:c r="A229" s="46" t="str">
        <x:v>LME_024</x:v>
      </x:c>
      <x:c r="B229" s="46" t="str">
        <x:v>Celtic-Biscay Shelf</x:v>
      </x:c>
      <x:c r="C229" s="46" t="str">
        <x:v>LME</x:v>
      </x:c>
      <x:c r="D229" s="58" t="n">
        <x:v>2019</x:v>
      </x:c>
      <x:c r="E229" s="46" t="str">
        <x:v>Galeorhinus galeus</x:v>
      </x:c>
      <x:c r="F229" s="46" t="str">
        <x:v>Tope shark</x:v>
      </x:c>
      <x:c r="G229" s="46" t="str">
        <x:v>Large sharks (&gt;=90 cm)</x:v>
      </x:c>
      <x:c r="H229" s="46" t="str">
        <x:v>Sharks &amp; rays</x:v>
      </x:c>
      <x:c r="I229" s="60" t="n">
        <x:v>13.9308480328</x:v>
      </x:c>
      <x:c r="J229" s="60" t="n">
        <x:v>13.9308480328</x:v>
      </x:c>
      <x:c r="K229" s="60" t="n">
        <x:v>0</x:v>
      </x:c>
      <x:c r="L229" s="60" t="n">
        <x:v>1.2118282601</x:v>
      </x:c>
      <x:c r="M229" s="60" t="n">
        <x:v>12.719019772700001</x:v>
      </x:c>
      <x:c r="N229" s="46" t="str">
        <x:v>galeorhinus galeus</x:v>
      </x:c>
      <x:c r="O229" s="62" t="n">
        <x:v>4.34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Galeorhinus galeus</x:v>
      </x:c>
      <x:c r="T229" s="62" t="n">
        <x:f>IF(O229="","",(1/'Metadata'!$B$5)^(O229-1))</x:f>
        <x:v>22153.389612394185</x:v>
      </x:c>
      <x:c r="U229" s="60" t="n">
        <x:f>IF(T229="","",I229*T229)</x:f>
        <x:v>308615.5041016735</x:v>
      </x:c>
    </x:row>
    <x:row r="230" ht="18" customHeight="1">
      <x:c r="A230" s="46" t="str">
        <x:v>LME_024</x:v>
      </x:c>
      <x:c r="B230" s="46" t="str">
        <x:v>Celtic-Biscay Shelf</x:v>
      </x:c>
      <x:c r="C230" s="46" t="str">
        <x:v>LME</x:v>
      </x:c>
      <x:c r="D230" s="58" t="n">
        <x:v>2019</x:v>
      </x:c>
      <x:c r="E230" s="46" t="str">
        <x:v>Polyprion americanus</x:v>
      </x:c>
      <x:c r="F230" s="46" t="str">
        <x:v>Wreckfish</x:v>
      </x:c>
      <x:c r="G230" s="46" t="str">
        <x:v>Large bathydemersals (&gt;=90 cm)</x:v>
      </x:c>
      <x:c r="H230" s="46" t="str">
        <x:v>Perch-likes</x:v>
      </x:c>
      <x:c r="I230" s="60" t="n">
        <x:v>13.657946591799998</x:v>
      </x:c>
      <x:c r="J230" s="60" t="n">
        <x:v>13.657946591799998</x:v>
      </x:c>
      <x:c r="K230" s="60" t="n">
        <x:v>0</x:v>
      </x:c>
      <x:c r="L230" s="60" t="n">
        <x:v>13.647682849399999</x:v>
      </x:c>
      <x:c r="M230" s="60" t="n">
        <x:v>0.010263742400000001</x:v>
      </x:c>
      <x:c r="N230" s="46" t="str">
        <x:v>polyprion americanus</x:v>
      </x:c>
      <x:c r="O230" s="62" t="n">
        <x:v>4.14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Polyprion americanus</x:v>
      </x:c>
      <x:c r="T230" s="62" t="n">
        <x:f>IF(O230="","",(1/'Metadata'!$B$5)^(O230-1))</x:f>
        <x:v>12168.419864331923</x:v>
      </x:c>
      <x:c r="U230" s="60" t="n">
        <x:f>IF(T230="","",I230*T230)</x:f>
        <x:v>166195.62861364358</x:v>
      </x:c>
    </x:row>
    <x:row r="231" ht="18" customHeight="1">
      <x:c r="A231" s="46" t="str">
        <x:v>LME_024</x:v>
      </x:c>
      <x:c r="B231" s="46" t="str">
        <x:v>Celtic-Biscay Shelf</x:v>
      </x:c>
      <x:c r="C231" s="46" t="str">
        <x:v>LME</x:v>
      </x:c>
      <x:c r="D231" s="58" t="n">
        <x:v>2019</x:v>
      </x:c>
      <x:c r="E231" s="46" t="str">
        <x:v>Thunnus obesus</x:v>
      </x:c>
      <x:c r="F231" s="46" t="str">
        <x:v>Bigeye tuna</x:v>
      </x:c>
      <x:c r="G231" s="46" t="str">
        <x:v>Large pelagics (&gt;=90 cm)</x:v>
      </x:c>
      <x:c r="H231" s="46" t="str">
        <x:v>Tuna &amp; billfishes</x:v>
      </x:c>
      <x:c r="I231" s="60" t="n">
        <x:v>13.6151046872</x:v>
      </x:c>
      <x:c r="J231" s="60" t="n">
        <x:v>13.6151046872</x:v>
      </x:c>
      <x:c r="K231" s="60" t="n">
        <x:v>0</x:v>
      </x:c>
      <x:c r="L231" s="60" t="n">
        <x:v>13.6151046872</x:v>
      </x:c>
      <x:c r="M231" s="60" t="n">
        <x:v>0</x:v>
      </x:c>
      <x:c r="N231" s="46" t="str">
        <x:v>thunnus obesus</x:v>
      </x:c>
      <x:c r="O231" s="62" t="n">
        <x:v>4.49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Thunnus obesus</x:v>
      </x:c>
      <x:c r="T231" s="62" t="n">
        <x:f>IF(O231="","",(1/'Metadata'!$B$5)^(O231-1))</x:f>
        <x:v>34721.19667768202</x:v>
      </x:c>
      <x:c r="U231" s="60" t="n">
        <x:f>IF(T231="","",I231*T231)</x:f>
        <x:v>472732.72763150156</x:v>
      </x:c>
    </x:row>
    <x:row r="232" ht="18" customHeight="1">
      <x:c r="A232" s="46" t="str">
        <x:v>LME_024</x:v>
      </x:c>
      <x:c r="B232" s="46" t="str">
        <x:v>Celtic-Biscay Shelf</x:v>
      </x:c>
      <x:c r="C232" s="46" t="str">
        <x:v>LME</x:v>
      </x:c>
      <x:c r="D232" s="58" t="n">
        <x:v>2019</x:v>
      </x:c>
      <x:c r="E232" s="46" t="str">
        <x:v>Alosa</x:v>
      </x:c>
      <x:c r="F232" s="46" t="str">
        <x:v>Shads</x:v>
      </x:c>
      <x:c r="G232" s="46" t="str">
        <x:v>Medium pelagics (30 - 89 cm)</x:v>
      </x:c>
      <x:c r="H232" s="46" t="str">
        <x:v>Herring-likes</x:v>
      </x:c>
      <x:c r="I232" s="60" t="n">
        <x:v>13.1752310092</x:v>
      </x:c>
      <x:c r="J232" s="60" t="n">
        <x:v>13.1752310092</x:v>
      </x:c>
      <x:c r="K232" s="60" t="n">
        <x:v>0</x:v>
      </x:c>
      <x:c r="L232" s="60" t="n">
        <x:v>8.8438674971</x:v>
      </x:c>
      <x:c r="M232" s="60" t="n">
        <x:v>4.3313635121</x:v>
      </x:c>
      <x:c r="N232" s="46" t="str">
        <x:v>alosa</x:v>
      </x:c>
      <x:c r="O232" s="62" t="n">
        <x:v>3.89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Alosa</x:v>
      </x:c>
      <x:c r="T232" s="62" t="n">
        <x:f>IF(O232="","",(1/'Metadata'!$B$5)^(O232-1))</x:f>
        <x:v>5754.090490759748</x:v>
      </x:c>
      <x:c r="U232" s="60" t="n">
        <x:f>IF(T232="","",I232*T232)</x:f>
        <x:v>75811.47146360067</x:v>
      </x:c>
    </x:row>
    <x:row r="233" ht="18" customHeight="1">
      <x:c r="A233" s="46" t="str">
        <x:v>LME_024</x:v>
      </x:c>
      <x:c r="B233" s="46" t="str">
        <x:v>Celtic-Biscay Shelf</x:v>
      </x:c>
      <x:c r="C233" s="46" t="str">
        <x:v>LME</x:v>
      </x:c>
      <x:c r="D233" s="58" t="n">
        <x:v>2019</x:v>
      </x:c>
      <x:c r="E233" s="46" t="str">
        <x:v>Magallana gigas</x:v>
      </x:c>
      <x:c r="F233" s="46" t="str">
        <x:v>Pacific cupped oyster</x:v>
      </x:c>
      <x:c r="G233" s="46" t="str">
        <x:v>Other demersal invertebrates</x:v>
      </x:c>
      <x:c r="H233" s="46" t="str">
        <x:v>Molluscs</x:v>
      </x:c>
      <x:c r="I233" s="60" t="n">
        <x:v>12.434973516900001</x:v>
      </x:c>
      <x:c r="J233" s="60" t="n">
        <x:v>12.434973516900001</x:v>
      </x:c>
      <x:c r="K233" s="60" t="n">
        <x:v>0</x:v>
      </x:c>
      <x:c r="L233" s="60" t="n">
        <x:v>12.323879208600001</x:v>
      </x:c>
      <x:c r="M233" s="60" t="n">
        <x:v>0.1110943083</x:v>
      </x:c>
      <x:c r="N233" s="46" t="str">
        <x:v>magallana gigas</x:v>
      </x:c>
      <x:c r="O233" s="62" t="n">
        <x:v>2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Magallana gigas</x:v>
      </x:c>
      <x:c r="T233" s="62" t="n">
        <x:f>IF(O233="","",(1/'Metadata'!$B$5)^(O233-1))</x:f>
        <x:v>20</x:v>
      </x:c>
      <x:c r="U233" s="60" t="n">
        <x:f>IF(T233="","",I233*T233)</x:f>
        <x:v>248.69947033800003</x:v>
      </x:c>
    </x:row>
    <x:row r="234" ht="18" customHeight="1">
      <x:c r="A234" s="46" t="str">
        <x:v>LME_024</x:v>
      </x:c>
      <x:c r="B234" s="46" t="str">
        <x:v>Celtic-Biscay Shelf</x:v>
      </x:c>
      <x:c r="C234" s="46" t="str">
        <x:v>LME</x:v>
      </x:c>
      <x:c r="D234" s="58" t="n">
        <x:v>2019</x:v>
      </x:c>
      <x:c r="E234" s="46" t="str">
        <x:v>Littorinidae</x:v>
      </x:c>
      <x:c r="F234" s="46" t="str">
        <x:v>Littorinidae</x:v>
      </x:c>
      <x:c r="G234" s="46" t="str">
        <x:v>Other demersal invertebrates</x:v>
      </x:c>
      <x:c r="H234" s="46" t="str">
        <x:v>Molluscs</x:v>
      </x:c>
      <x:c r="I234" s="60" t="n">
        <x:v>12.133011396799999</x:v>
      </x:c>
      <x:c r="J234" s="60" t="n">
        <x:v>12.133011396799999</x:v>
      </x:c>
      <x:c r="K234" s="60" t="n">
        <x:v>0</x:v>
      </x:c>
      <x:c r="L234" s="60" t="n">
        <x:v>0</x:v>
      </x:c>
      <x:c r="M234" s="60" t="n">
        <x:v>12.133011396799999</x:v>
      </x:c>
      <x:c r="N234" s="46" t="str">
        <x:v>littorinidae</x:v>
      </x:c>
      <x:c r="O234" s="62" t="n">
        <x:v>3.14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Littorinidae</x:v>
      </x:c>
      <x:c r="T234" s="62" t="n">
        <x:f>IF(O234="","",(1/'Metadata'!$B$5)^(O234-1))</x:f>
        <x:v>608.420993216597</x:v>
      </x:c>
      <x:c r="U234" s="60" t="n">
        <x:f>IF(T234="","",I234*T234)</x:f>
        <x:v>7381.9788447493465</x:v>
      </x:c>
    </x:row>
    <x:row r="235" ht="18" customHeight="1">
      <x:c r="A235" s="46" t="str">
        <x:v>LME_024</x:v>
      </x:c>
      <x:c r="B235" s="46" t="str">
        <x:v>Celtic-Biscay Shelf</x:v>
      </x:c>
      <x:c r="C235" s="46" t="str">
        <x:v>LME</x:v>
      </x:c>
      <x:c r="D235" s="58" t="n">
        <x:v>2019</x:v>
      </x:c>
      <x:c r="E235" s="46" t="str">
        <x:v>Ensis ensis</x:v>
      </x:c>
      <x:c r="F235" s="46" t="str">
        <x:v>Pod razor</x:v>
      </x:c>
      <x:c r="G235" s="46" t="str">
        <x:v>Other demersal invertebrates</x:v>
      </x:c>
      <x:c r="H235" s="46" t="str">
        <x:v>Molluscs</x:v>
      </x:c>
      <x:c r="I235" s="60" t="n">
        <x:v>11.9293774179</x:v>
      </x:c>
      <x:c r="J235" s="60" t="n">
        <x:v>2.933295597</x:v>
      </x:c>
      <x:c r="K235" s="60" t="n">
        <x:v>8.9960818209</x:v>
      </x:c>
      <x:c r="L235" s="60" t="n">
        <x:v>2.933295597</x:v>
      </x:c>
      <x:c r="M235" s="60" t="n">
        <x:v>8.9960818209</x:v>
      </x:c>
      <x:c r="N235" s="46" t="str">
        <x:v>ensis ensis</x:v>
      </x:c>
      <x:c r="O235" s="62" t="n">
        <x:v>2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Ensis ensis</x:v>
      </x:c>
      <x:c r="T235" s="62" t="n">
        <x:f>IF(O235="","",(1/'Metadata'!$B$5)^(O235-1))</x:f>
        <x:v>20</x:v>
      </x:c>
      <x:c r="U235" s="60" t="n">
        <x:f>IF(T235="","",I235*T235)</x:f>
        <x:v>238.587548358</x:v>
      </x:c>
    </x:row>
    <x:row r="236" ht="18" customHeight="1">
      <x:c r="A236" s="46" t="str">
        <x:v>LME_024</x:v>
      </x:c>
      <x:c r="B236" s="46" t="str">
        <x:v>Celtic-Biscay Shelf</x:v>
      </x:c>
      <x:c r="C236" s="46" t="str">
        <x:v>LME</x:v>
      </x:c>
      <x:c r="D236" s="58" t="n">
        <x:v>2019</x:v>
      </x:c>
      <x:c r="E236" s="46" t="str">
        <x:v>Makaira nigricans</x:v>
      </x:c>
      <x:c r="F236" s="46" t="str">
        <x:v>Blue marlin</x:v>
      </x:c>
      <x:c r="G236" s="46" t="str">
        <x:v>Large pelagics (&gt;=90 cm)</x:v>
      </x:c>
      <x:c r="H236" s="46" t="str">
        <x:v>Tuna &amp; billfishes</x:v>
      </x:c>
      <x:c r="I236" s="60" t="n">
        <x:v>11.654974854</x:v>
      </x:c>
      <x:c r="J236" s="60" t="n">
        <x:v>11.654974854</x:v>
      </x:c>
      <x:c r="K236" s="60" t="n">
        <x:v>0</x:v>
      </x:c>
      <x:c r="L236" s="60" t="n">
        <x:v>11.654974854</x:v>
      </x:c>
      <x:c r="M236" s="60" t="n">
        <x:v>0</x:v>
      </x:c>
      <x:c r="N236" s="46" t="str">
        <x:v>makaira nigricans</x:v>
      </x:c>
      <x:c r="O236" s="62" t="n">
        <x:v>4.49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Makaira nigricans</x:v>
      </x:c>
      <x:c r="T236" s="62" t="n">
        <x:f>IF(O236="","",(1/'Metadata'!$B$5)^(O236-1))</x:f>
        <x:v>34721.19667768202</x:v>
      </x:c>
      <x:c r="U236" s="60" t="n">
        <x:f>IF(T236="","",I236*T236)</x:f>
        <x:v>404674.6741791723</x:v>
      </x:c>
    </x:row>
    <x:row r="237" ht="18" customHeight="1">
      <x:c r="A237" s="46" t="str">
        <x:v>LME_024</x:v>
      </x:c>
      <x:c r="B237" s="46" t="str">
        <x:v>Celtic-Biscay Shelf</x:v>
      </x:c>
      <x:c r="C237" s="46" t="str">
        <x:v>LME</x:v>
      </x:c>
      <x:c r="D237" s="58" t="n">
        <x:v>2019</x:v>
      </x:c>
      <x:c r="E237" s="46" t="str">
        <x:v>Echinozoa</x:v>
      </x:c>
      <x:c r="F237" s="46" t="str">
        <x:v>Sea urchins and sea cucumbers</x:v>
      </x:c>
      <x:c r="G237" s="46" t="str">
        <x:v>Other demersal invertebrates</x:v>
      </x:c>
      <x:c r="H237" s="46" t="str">
        <x:v>Other fishes &amp; inverts</x:v>
      </x:c>
      <x:c r="I237" s="60" t="n">
        <x:v>9.7445751772</x:v>
      </x:c>
      <x:c r="J237" s="60" t="n">
        <x:v>9.7445751772</x:v>
      </x:c>
      <x:c r="K237" s="60" t="n">
        <x:v>0</x:v>
      </x:c>
      <x:c r="L237" s="60" t="n">
        <x:v>0</x:v>
      </x:c>
      <x:c r="M237" s="60" t="n">
        <x:v>9.7445751772</x:v>
      </x:c>
      <x:c r="N237" s="46" t="str">
        <x:v>echinozoa</x:v>
      </x:c>
      <x:c r="O237" s="62" t="n">
        <x:v>2.3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Echinozoa</x:v>
      </x:c>
      <x:c r="T237" s="62" t="n">
        <x:f>IF(O237="","",(1/'Metadata'!$B$5)^(O237-1))</x:f>
        <x:v>49.12912104463159</x:v>
      </x:c>
      <x:c r="U237" s="60" t="n">
        <x:f>IF(T237="","",I237*T237)</x:f>
        <x:v>478.7424134091711</x:v>
      </x:c>
    </x:row>
    <x:row r="238" ht="18" customHeight="1">
      <x:c r="A238" s="46" t="str">
        <x:v>LME_024</x:v>
      </x:c>
      <x:c r="B238" s="46" t="str">
        <x:v>Celtic-Biscay Shelf</x:v>
      </x:c>
      <x:c r="C238" s="46" t="str">
        <x:v>LME</x:v>
      </x:c>
      <x:c r="D238" s="58" t="n">
        <x:v>2019</x:v>
      </x:c>
      <x:c r="E238" s="46" t="str">
        <x:v>Batoidea</x:v>
      </x:c>
      <x:c r="F238" s="46" t="str">
        <x:v>Batoids, skates, rays, sawfishes</x:v>
      </x:c>
      <x:c r="G238" s="46" t="str">
        <x:v>Large rays (&gt;=90 cm)</x:v>
      </x:c>
      <x:c r="H238" s="46" t="str">
        <x:v>Sharks &amp; rays</x:v>
      </x:c>
      <x:c r="I238" s="60" t="n">
        <x:v>9.4483775852</x:v>
      </x:c>
      <x:c r="J238" s="60" t="n">
        <x:v>9.4483775852</x:v>
      </x:c>
      <x:c r="K238" s="60" t="n">
        <x:v>0</x:v>
      </x:c>
      <x:c r="L238" s="60" t="n">
        <x:v>0</x:v>
      </x:c>
      <x:c r="M238" s="60" t="n">
        <x:v>9.4483775852</x:v>
      </x:c>
      <x:c r="N238" s="46" t="str">
        <x:v>batoidea</x:v>
      </x:c>
      <x:c r="O238" s="62" t="n">
        <x:v>3.72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Batoidea</x:v>
      </x:c>
      <x:c r="T238" s="62" t="n">
        <x:f>IF(O238="","",(1/'Metadata'!$B$5)^(O238-1))</x:f>
        <x:v>3457.8136804537753</x:v>
      </x:c>
      <x:c r="U238" s="60" t="n">
        <x:f>IF(T238="","",I238*T238)</x:f>
        <x:v>32670.729272197364</x:v>
      </x:c>
    </x:row>
    <x:row r="239" ht="18" customHeight="1">
      <x:c r="A239" s="46" t="str">
        <x:v>LME_024</x:v>
      </x:c>
      <x:c r="B239" s="46" t="str">
        <x:v>Celtic-Biscay Shelf</x:v>
      </x:c>
      <x:c r="C239" s="46" t="str">
        <x:v>LME</x:v>
      </x:c>
      <x:c r="D239" s="58" t="n">
        <x:v>2019</x:v>
      </x:c>
      <x:c r="E239" s="46" t="str">
        <x:v>Salmo salar</x:v>
      </x:c>
      <x:c r="F239" s="46" t="str">
        <x:v>Atlantic salmon</x:v>
      </x:c>
      <x:c r="G239" s="46" t="str">
        <x:v>Large benthopelagics (&gt;=90 cm)</x:v>
      </x:c>
      <x:c r="H239" s="46" t="str">
        <x:v>Salmon, smelts, etc</x:v>
      </x:c>
      <x:c r="I239" s="60" t="n">
        <x:v>8.1132659706</x:v>
      </x:c>
      <x:c r="J239" s="60" t="n">
        <x:v>8.1132659706</x:v>
      </x:c>
      <x:c r="K239" s="60" t="n">
        <x:v>0</x:v>
      </x:c>
      <x:c r="L239" s="60" t="n">
        <x:v>6.3341191976</x:v>
      </x:c>
      <x:c r="M239" s="60" t="n">
        <x:v>1.779146773</x:v>
      </x:c>
      <x:c r="N239" s="46" t="str">
        <x:v>salmo salar</x:v>
      </x:c>
      <x:c r="O239" s="62" t="n">
        <x:v>4.5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Salmo salar</x:v>
      </x:c>
      <x:c r="T239" s="62" t="n">
        <x:f>IF(O239="","",(1/'Metadata'!$B$5)^(O239-1))</x:f>
        <x:v>35777.08763999664</x:v>
      </x:c>
      <x:c r="U239" s="60" t="n">
        <x:f>IF(T239="","",I239*T239)</x:f>
        <x:v>290269.0276767586</x:v>
      </x:c>
    </x:row>
    <x:row r="240" ht="18" customHeight="1">
      <x:c r="A240" s="46" t="str">
        <x:v>LME_024</x:v>
      </x:c>
      <x:c r="B240" s="46" t="str">
        <x:v>Celtic-Biscay Shelf</x:v>
      </x:c>
      <x:c r="C240" s="46" t="str">
        <x:v>LME</x:v>
      </x:c>
      <x:c r="D240" s="58" t="n">
        <x:v>2019</x:v>
      </x:c>
      <x:c r="E240" s="46" t="str">
        <x:v>Galeus</x:v>
      </x:c>
      <x:c r="F240" s="46" t="str">
        <x:v>Sawtail catsharks</x:v>
      </x:c>
      <x:c r="G240" s="46" t="str">
        <x:v>Small to medium sharks (&lt;90 cm)</x:v>
      </x:c>
      <x:c r="H240" s="46" t="str">
        <x:v>Sharks &amp; rays</x:v>
      </x:c>
      <x:c r="I240" s="60" t="n">
        <x:v>7.930648646500001</x:v>
      </x:c>
      <x:c r="J240" s="60" t="n">
        <x:v>7.930648646500001</x:v>
      </x:c>
      <x:c r="K240" s="60" t="n">
        <x:v>0</x:v>
      </x:c>
      <x:c r="L240" s="60" t="n">
        <x:v>7.930584777400001</x:v>
      </x:c>
      <x:c r="M240" s="60" t="n">
        <x:v>0.0000638691</x:v>
      </x:c>
      <x:c r="N240" s="46" t="str">
        <x:v>galeus</x:v>
      </x:c>
      <x:c r="O240" s="62" t="n">
        <x:v>4.04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Galeus</x:v>
      </x:c>
      <x:c r="T240" s="62" t="n">
        <x:f>IF(O240="","",(1/'Metadata'!$B$5)^(O240-1))</x:f>
        <x:v>9018.435152653688</x:v>
      </x:c>
      <x:c r="U240" s="60" t="n">
        <x:f>IF(T240="","",I240*T240)</x:f>
        <x:v>71522.040536941</x:v>
      </x:c>
    </x:row>
    <x:row r="241" ht="18" customHeight="1">
      <x:c r="A241" s="46" t="str">
        <x:v>LME_024</x:v>
      </x:c>
      <x:c r="B241" s="46" t="str">
        <x:v>Celtic-Biscay Shelf</x:v>
      </x:c>
      <x:c r="C241" s="46" t="str">
        <x:v>LME</x:v>
      </x:c>
      <x:c r="D241" s="58" t="n">
        <x:v>2019</x:v>
      </x:c>
      <x:c r="E241" s="46" t="str">
        <x:v>Ruditapes philippinarum</x:v>
      </x:c>
      <x:c r="F241" s="46" t="str">
        <x:v>Japanese carpet shell</x:v>
      </x:c>
      <x:c r="G241" s="46" t="str">
        <x:v>Other demersal invertebrates</x:v>
      </x:c>
      <x:c r="H241" s="46" t="str">
        <x:v>Molluscs</x:v>
      </x:c>
      <x:c r="I241" s="60" t="n">
        <x:v>7.7158658539000005</x:v>
      </x:c>
      <x:c r="J241" s="60" t="n">
        <x:v>7.7158658539000005</x:v>
      </x:c>
      <x:c r="K241" s="60" t="n">
        <x:v>0</x:v>
      </x:c>
      <x:c r="L241" s="60" t="n">
        <x:v>2.556648436</x:v>
      </x:c>
      <x:c r="M241" s="60" t="n">
        <x:v>5.1592174179</x:v>
      </x:c>
      <x:c r="N241" s="46" t="str">
        <x:v>ruditapes philippinarum</x:v>
      </x:c>
      <x:c r="O241" s="62" t="n">
        <x:v>2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Ruditapes philippinarum</x:v>
      </x:c>
      <x:c r="T241" s="62" t="n">
        <x:f>IF(O241="","",(1/'Metadata'!$B$5)^(O241-1))</x:f>
        <x:v>20</x:v>
      </x:c>
      <x:c r="U241" s="60" t="n">
        <x:f>IF(T241="","",I241*T241)</x:f>
        <x:v>154.317317078</x:v>
      </x:c>
    </x:row>
    <x:row r="242" ht="18" customHeight="1">
      <x:c r="A242" s="46" t="str">
        <x:v>LME_024</x:v>
      </x:c>
      <x:c r="B242" s="46" t="str">
        <x:v>Celtic-Biscay Shelf</x:v>
      </x:c>
      <x:c r="C242" s="46" t="str">
        <x:v>LME</x:v>
      </x:c>
      <x:c r="D242" s="58" t="n">
        <x:v>2019</x:v>
      </x:c>
      <x:c r="E242" s="46" t="str">
        <x:v>Symphodus melops</x:v>
      </x:c>
      <x:c r="F242" s="46" t="str">
        <x:v>Corkwing wrasse</x:v>
      </x:c>
      <x:c r="G242" s="46" t="str">
        <x:v>Small reef assoc. fish (&lt;30 cm)</x:v>
      </x:c>
      <x:c r="H242" s="46" t="str">
        <x:v>Perch-likes</x:v>
      </x:c>
      <x:c r="I242" s="60" t="n">
        <x:v>7.5308163083</x:v>
      </x:c>
      <x:c r="J242" s="60" t="n">
        <x:v>7.5308163083</x:v>
      </x:c>
      <x:c r="K242" s="60" t="n">
        <x:v>0</x:v>
      </x:c>
      <x:c r="L242" s="60" t="n">
        <x:v>7.5308163083</x:v>
      </x:c>
      <x:c r="M242" s="60" t="n">
        <x:v>0</x:v>
      </x:c>
      <x:c r="N242" s="46" t="str">
        <x:v>symphodus melops</x:v>
      </x:c>
      <x:c r="O242" s="62" t="n">
        <x:v>3.38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Symphodus melops</x:v>
      </x:c>
      <x:c r="T242" s="62" t="n">
        <x:f>IF(O242="","",(1/'Metadata'!$B$5)^(O242-1))</x:f>
        <x:v>1248.6806726928048</x:v>
      </x:c>
      <x:c r="U242" s="60" t="n">
        <x:f>IF(T242="","",I242*T242)</x:f>
        <x:v>9403.58477377399</x:v>
      </x:c>
    </x:row>
    <x:row r="243" ht="18" customHeight="1">
      <x:c r="A243" s="46" t="str">
        <x:v>LME_024</x:v>
      </x:c>
      <x:c r="B243" s="46" t="str">
        <x:v>Celtic-Biscay Shelf</x:v>
      </x:c>
      <x:c r="C243" s="46" t="str">
        <x:v>LME</x:v>
      </x:c>
      <x:c r="D243" s="58" t="n">
        <x:v>2019</x:v>
      </x:c>
      <x:c r="E243" s="46" t="str">
        <x:v>Trigla</x:v>
      </x:c>
      <x:c r="F243" s="46" t="str">
        <x:v>Piper gurnards</x:v>
      </x:c>
      <x:c r="G243" s="46" t="str">
        <x:v>Medium bathydemersals (30 - 89 cm)</x:v>
      </x:c>
      <x:c r="H243" s="46" t="str">
        <x:v>Scorpionfishes</x:v>
      </x:c>
      <x:c r="I243" s="60" t="n">
        <x:v>7.0396607031</x:v>
      </x:c>
      <x:c r="J243" s="60" t="n">
        <x:v>7.0396607031</x:v>
      </x:c>
      <x:c r="K243" s="60" t="n">
        <x:v>0</x:v>
      </x:c>
      <x:c r="L243" s="60" t="n">
        <x:v>7.039577007899999</x:v>
      </x:c>
      <x:c r="M243" s="60" t="n">
        <x:v>0.00008369519999999999</x:v>
      </x:c>
      <x:c r="N243" s="46" t="str">
        <x:v>trigla</x:v>
      </x:c>
      <x:c r="O243" s="62" t="n">
        <x:v>3.51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Trigla</x:v>
      </x:c>
      <x:c r="T243" s="62" t="n">
        <x:f>IF(O243="","",(1/'Metadata'!$B$5)^(O243-1))</x:f>
        <x:v>1843.2544417784343</x:v>
      </x:c>
      <x:c r="U243" s="60" t="n">
        <x:f>IF(T243="","",I243*T243)</x:f>
        <x:v>12975.885859602171</x:v>
      </x:c>
    </x:row>
    <x:row r="244" ht="18" customHeight="1">
      <x:c r="A244" s="46" t="str">
        <x:v>LME_024</x:v>
      </x:c>
      <x:c r="B244" s="46" t="str">
        <x:v>Celtic-Biscay Shelf</x:v>
      </x:c>
      <x:c r="C244" s="46" t="str">
        <x:v>LME</x:v>
      </x:c>
      <x:c r="D244" s="58" t="n">
        <x:v>2019</x:v>
      </x:c>
      <x:c r="E244" s="46" t="str">
        <x:v>Coryphaena hippurus</x:v>
      </x:c>
      <x:c r="F244" s="46" t="str">
        <x:v>Common dolphinfish</x:v>
      </x:c>
      <x:c r="G244" s="46" t="str">
        <x:v>Large pelagics (&gt;=90 cm)</x:v>
      </x:c>
      <x:c r="H244" s="46" t="str">
        <x:v>Perch-likes</x:v>
      </x:c>
      <x:c r="I244" s="60" t="n">
        <x:v>6.9436785559</x:v>
      </x:c>
      <x:c r="J244" s="60" t="n">
        <x:v>6.9436785559</x:v>
      </x:c>
      <x:c r="K244" s="60" t="n">
        <x:v>0</x:v>
      </x:c>
      <x:c r="L244" s="60" t="n">
        <x:v>6.9436785559</x:v>
      </x:c>
      <x:c r="M244" s="60" t="n">
        <x:v>0</x:v>
      </x:c>
      <x:c r="N244" s="46" t="str">
        <x:v>coryphaena hippurus</x:v>
      </x:c>
      <x:c r="O244" s="62" t="n">
        <x:v>4.37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Coryphaena hippurus</x:v>
      </x:c>
      <x:c r="T244" s="62" t="n">
        <x:f>IF(O244="","",(1/'Metadata'!$B$5)^(O244-1))</x:f>
        <x:v>24236.56596112542</x:v>
      </x:c>
      <x:c r="U244" s="60" t="n">
        <x:f>IF(T244="","",I244*T244)</x:f>
        <x:v>168290.92333292245</x:v>
      </x:c>
    </x:row>
    <x:row r="245" ht="18" customHeight="1">
      <x:c r="A245" s="46" t="str">
        <x:v>LME_024</x:v>
      </x:c>
      <x:c r="B245" s="46" t="str">
        <x:v>Celtic-Biscay Shelf</x:v>
      </x:c>
      <x:c r="C245" s="46" t="str">
        <x:v>LME</x:v>
      </x:c>
      <x:c r="D245" s="58" t="n">
        <x:v>2019</x:v>
      </x:c>
      <x:c r="E245" s="46" t="str">
        <x:v>Trigla lyra</x:v>
      </x:c>
      <x:c r="F245" s="46" t="str">
        <x:v>Piper gurnard</x:v>
      </x:c>
      <x:c r="G245" s="46" t="str">
        <x:v>Medium bathydemersals (30 - 89 cm)</x:v>
      </x:c>
      <x:c r="H245" s="46" t="str">
        <x:v>Scorpionfishes</x:v>
      </x:c>
      <x:c r="I245" s="60" t="n">
        <x:v>6.9428258904</x:v>
      </x:c>
      <x:c r="J245" s="60" t="n">
        <x:v>6.9428258904</x:v>
      </x:c>
      <x:c r="K245" s="60" t="n">
        <x:v>0</x:v>
      </x:c>
      <x:c r="L245" s="60" t="n">
        <x:v>6.9428134841</x:v>
      </x:c>
      <x:c r="M245" s="60" t="n">
        <x:v>0.0000124063</x:v>
      </x:c>
      <x:c r="N245" s="46" t="str">
        <x:v>trigla lyra</x:v>
      </x:c>
      <x:c r="O245" s="62" t="n">
        <x:v>3.65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Trigla lyra</x:v>
      </x:c>
      <x:c r="T245" s="62" t="n">
        <x:f>IF(O245="","",(1/'Metadata'!$B$5)^(O245-1))</x:f>
        <x:v>2803.6867455443476</x:v>
      </x:c>
      <x:c r="U245" s="60" t="n">
        <x:f>IF(T245="","",I245*T245)</x:f>
        <x:v>19465.508925536615</x:v>
      </x:c>
    </x:row>
    <x:row r="246" ht="18" customHeight="1">
      <x:c r="A246" s="46" t="str">
        <x:v>LME_024</x:v>
      </x:c>
      <x:c r="B246" s="46" t="str">
        <x:v>Celtic-Biscay Shelf</x:v>
      </x:c>
      <x:c r="C246" s="46" t="str">
        <x:v>LME</x:v>
      </x:c>
      <x:c r="D246" s="58" t="n">
        <x:v>2019</x:v>
      </x:c>
      <x:c r="E246" s="46" t="str">
        <x:v>Auxis thazard</x:v>
      </x:c>
      <x:c r="F246" s="46" t="str">
        <x:v>Frigate tuna</x:v>
      </x:c>
      <x:c r="G246" s="46" t="str">
        <x:v>Medium pelagics (30 - 89 cm)</x:v>
      </x:c>
      <x:c r="H246" s="46" t="str">
        <x:v>Tuna &amp; billfishes</x:v>
      </x:c>
      <x:c r="I246" s="60" t="n">
        <x:v>6.8117354318</x:v>
      </x:c>
      <x:c r="J246" s="60" t="n">
        <x:v>6.8117354318</x:v>
      </x:c>
      <x:c r="K246" s="60" t="n">
        <x:v>0</x:v>
      </x:c>
      <x:c r="L246" s="60" t="n">
        <x:v>6.8075061276</x:v>
      </x:c>
      <x:c r="M246" s="60" t="n">
        <x:v>0.0042293042</x:v>
      </x:c>
      <x:c r="N246" s="46" t="str">
        <x:v>auxis thazard</x:v>
      </x:c>
      <x:c r="O246" s="62" t="n">
        <x:v>4.37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Auxis thazard</x:v>
      </x:c>
      <x:c r="T246" s="62" t="n">
        <x:f>IF(O246="","",(1/'Metadata'!$B$5)^(O246-1))</x:f>
        <x:v>24236.56596112542</x:v>
      </x:c>
      <x:c r="U246" s="60" t="n">
        <x:f>IF(T246="","",I246*T246)</x:f>
        <x:v>165093.07510255583</x:v>
      </x:c>
    </x:row>
    <x:row r="247" ht="18" customHeight="1">
      <x:c r="A247" s="46" t="str">
        <x:v>LME_024</x:v>
      </x:c>
      <x:c r="B247" s="46" t="str">
        <x:v>Celtic-Biscay Shelf</x:v>
      </x:c>
      <x:c r="C247" s="46" t="str">
        <x:v>LME</x:v>
      </x:c>
      <x:c r="D247" s="58" t="n">
        <x:v>2019</x:v>
      </x:c>
      <x:c r="E247" s="46" t="str">
        <x:v>Phycis phycis</x:v>
      </x:c>
      <x:c r="F247" s="46" t="str">
        <x:v>Forkbeard</x:v>
      </x:c>
      <x:c r="G247" s="46" t="str">
        <x:v>Medium benthopelagics (30 - 89 cm)</x:v>
      </x:c>
      <x:c r="H247" s="46" t="str">
        <x:v>Cod-likes</x:v>
      </x:c>
      <x:c r="I247" s="60" t="n">
        <x:v>6.7941139495</x:v>
      </x:c>
      <x:c r="J247" s="60" t="n">
        <x:v>6.7941139495</x:v>
      </x:c>
      <x:c r="K247" s="60" t="n">
        <x:v>0</x:v>
      </x:c>
      <x:c r="L247" s="60" t="n">
        <x:v>6.7941139495</x:v>
      </x:c>
      <x:c r="M247" s="60" t="n">
        <x:v>0</x:v>
      </x:c>
      <x:c r="N247" s="46" t="str">
        <x:v>phycis phycis</x:v>
      </x:c>
      <x:c r="O247" s="62" t="n">
        <x:v>4.25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Phycis phycis</x:v>
      </x:c>
      <x:c r="T247" s="62" t="n">
        <x:f>IF(O247="","",(1/'Metadata'!$B$5)^(O247-1))</x:f>
        <x:v>16917.940215049024</x:v>
      </x:c>
      <x:c r="U247" s="60" t="n">
        <x:f>IF(T247="","",I247*T247)</x:f>
        <x:v>114942.4136118716</x:v>
      </x:c>
    </x:row>
    <x:row r="248" ht="18" customHeight="1">
      <x:c r="A248" s="46" t="str">
        <x:v>LME_024</x:v>
      </x:c>
      <x:c r="B248" s="46" t="str">
        <x:v>Celtic-Biscay Shelf</x:v>
      </x:c>
      <x:c r="C248" s="46" t="str">
        <x:v>LME</x:v>
      </x:c>
      <x:c r="D248" s="58" t="n">
        <x:v>2019</x:v>
      </x:c>
      <x:c r="E248" s="46" t="str">
        <x:v>Trachinidae</x:v>
      </x:c>
      <x:c r="F248" s="46" t="str">
        <x:v>Weeverfishes</x:v>
      </x:c>
      <x:c r="G248" s="46" t="str">
        <x:v>Medium demersals (30 - 89 cm)</x:v>
      </x:c>
      <x:c r="H248" s="46" t="str">
        <x:v>Perch-likes</x:v>
      </x:c>
      <x:c r="I248" s="60" t="n">
        <x:v>6.3502942596</x:v>
      </x:c>
      <x:c r="J248" s="60" t="n">
        <x:v>6.3502942596</x:v>
      </x:c>
      <x:c r="K248" s="60" t="n">
        <x:v>0</x:v>
      </x:c>
      <x:c r="L248" s="60" t="n">
        <x:v>6.3502866954</x:v>
      </x:c>
      <x:c r="M248" s="60" t="n">
        <x:v>0.0000075642</x:v>
      </x:c>
      <x:c r="N248" s="46" t="str">
        <x:v>trachinidae</x:v>
      </x:c>
      <x:c r="O248" s="62" t="n">
        <x:v>3.95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Trachinidae</x:v>
      </x:c>
      <x:c r="T248" s="62" t="n">
        <x:f>IF(O248="","",(1/'Metadata'!$B$5)^(O248-1))</x:f>
        <x:v>6887.133274653882</x:v>
      </x:c>
      <x:c r="U248" s="60" t="n">
        <x:f>IF(T248="","",I248*T248)</x:f>
        <x:v>43735.3228991347</x:v>
      </x:c>
    </x:row>
    <x:row r="249" ht="18" customHeight="1">
      <x:c r="A249" s="46" t="str">
        <x:v>LME_024</x:v>
      </x:c>
      <x:c r="B249" s="46" t="str">
        <x:v>Celtic-Biscay Shelf</x:v>
      </x:c>
      <x:c r="C249" s="46" t="str">
        <x:v>LME</x:v>
      </x:c>
      <x:c r="D249" s="58" t="n">
        <x:v>2019</x:v>
      </x:c>
      <x:c r="E249" s="46" t="str">
        <x:v>Dasyatis pastinaca</x:v>
      </x:c>
      <x:c r="F249" s="46" t="str">
        <x:v>Common stingray</x:v>
      </x:c>
      <x:c r="G249" s="46" t="str">
        <x:v>Large rays (&gt;=90 cm)</x:v>
      </x:c>
      <x:c r="H249" s="46" t="str">
        <x:v>Sharks &amp; rays</x:v>
      </x:c>
      <x:c r="I249" s="60" t="n">
        <x:v>6.2353661487</x:v>
      </x:c>
      <x:c r="J249" s="60" t="n">
        <x:v>6.2353661487</x:v>
      </x:c>
      <x:c r="K249" s="60" t="n">
        <x:v>0</x:v>
      </x:c>
      <x:c r="L249" s="60" t="n">
        <x:v>4.8634023351</x:v>
      </x:c>
      <x:c r="M249" s="60" t="n">
        <x:v>1.3719638135999999</x:v>
      </x:c>
      <x:c r="N249" s="46" t="str">
        <x:v>dasyatis pastinaca</x:v>
      </x:c>
      <x:c r="O249" s="62" t="n">
        <x:v>4.05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Dasyatis pastinaca</x:v>
      </x:c>
      <x:c r="T249" s="62" t="n">
        <x:f>IF(O249="","",(1/'Metadata'!$B$5)^(O249-1))</x:f>
        <x:v>9292.690797132333</x:v>
      </x:c>
      <x:c r="U249" s="60" t="n">
        <x:f>IF(T249="","",I249*T249)</x:f>
        <x:v>57943.32962677496</x:v>
      </x:c>
    </x:row>
    <x:row r="250" ht="18" customHeight="1">
      <x:c r="A250" s="46" t="str">
        <x:v>LME_024</x:v>
      </x:c>
      <x:c r="B250" s="46" t="str">
        <x:v>Celtic-Biscay Shelf</x:v>
      </x:c>
      <x:c r="C250" s="46" t="str">
        <x:v>LME</x:v>
      </x:c>
      <x:c r="D250" s="58" t="n">
        <x:v>2019</x:v>
      </x:c>
      <x:c r="E250" s="46" t="str">
        <x:v>Petromyzon marinus</x:v>
      </x:c>
      <x:c r="F250" s="46" t="str">
        <x:v>Sea lamprey</x:v>
      </x:c>
      <x:c r="G250" s="46" t="str">
        <x:v>Large demersals (&gt;=90 cm)</x:v>
      </x:c>
      <x:c r="H250" s="46" t="str">
        <x:v>Other fishes &amp; inverts</x:v>
      </x:c>
      <x:c r="I250" s="60" t="n">
        <x:v>5.9666374705</x:v>
      </x:c>
      <x:c r="J250" s="60" t="n">
        <x:v>5.9666374705</x:v>
      </x:c>
      <x:c r="K250" s="60" t="n">
        <x:v>0</x:v>
      </x:c>
      <x:c r="L250" s="60" t="n">
        <x:v>4.140082023</x:v>
      </x:c>
      <x:c r="M250" s="60" t="n">
        <x:v>1.8265554475</x:v>
      </x:c>
      <x:c r="N250" s="46" t="str">
        <x:v>petromyzon marinus</x:v>
      </x:c>
      <x:c r="O250" s="62" t="n">
        <x:v>4.37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Petromyzon marinus</x:v>
      </x:c>
      <x:c r="T250" s="62" t="n">
        <x:f>IF(O250="","",(1/'Metadata'!$B$5)^(O250-1))</x:f>
        <x:v>24236.56596112542</x:v>
      </x:c>
      <x:c r="U250" s="60" t="n">
        <x:f>IF(T250="","",I250*T250)</x:f>
        <x:v>144610.80261989578</x:v>
      </x:c>
    </x:row>
    <x:row r="251" ht="18" customHeight="1">
      <x:c r="A251" s="46" t="str">
        <x:v>LME_024</x:v>
      </x:c>
      <x:c r="B251" s="46" t="str">
        <x:v>Celtic-Biscay Shelf</x:v>
      </x:c>
      <x:c r="C251" s="46" t="str">
        <x:v>LME</x:v>
      </x:c>
      <x:c r="D251" s="58" t="n">
        <x:v>2019</x:v>
      </x:c>
      <x:c r="E251" s="46" t="str">
        <x:v>Lophius budegassa</x:v>
      </x:c>
      <x:c r="F251" s="46" t="str">
        <x:v>Blackbellied angler</x:v>
      </x:c>
      <x:c r="G251" s="46" t="str">
        <x:v>Large bathydemersals (&gt;=90 cm)</x:v>
      </x:c>
      <x:c r="H251" s="46" t="str">
        <x:v>Other fishes &amp; inverts</x:v>
      </x:c>
      <x:c r="I251" s="60" t="n">
        <x:v>5.5560899054999995</x:v>
      </x:c>
      <x:c r="J251" s="60" t="n">
        <x:v>5.5560899054999995</x:v>
      </x:c>
      <x:c r="K251" s="60" t="n">
        <x:v>0</x:v>
      </x:c>
      <x:c r="L251" s="60" t="n">
        <x:v>5.5559392141999995</x:v>
      </x:c>
      <x:c r="M251" s="60" t="n">
        <x:v>0.0001506913</x:v>
      </x:c>
      <x:c r="N251" s="46" t="str">
        <x:v>lophius budegassa</x:v>
      </x:c>
      <x:c r="O251" s="62" t="n">
        <x:v>4.41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Lophius budegassa</x:v>
      </x:c>
      <x:c r="T251" s="62" t="n">
        <x:f>IF(O251="","",(1/'Metadata'!$B$5)^(O251-1))</x:f>
        <x:v>27321.987305427916</x:v>
      </x:c>
      <x:c r="U251" s="60" t="n">
        <x:f>IF(T251="","",I251*T251)</x:f>
        <x:v>151803.41786588717</x:v>
      </x:c>
    </x:row>
    <x:row r="252" ht="18" customHeight="1">
      <x:c r="A252" s="46" t="str">
        <x:v>LME_024</x:v>
      </x:c>
      <x:c r="B252" s="46" t="str">
        <x:v>Celtic-Biscay Shelf</x:v>
      </x:c>
      <x:c r="C252" s="46" t="str">
        <x:v>LME</x:v>
      </x:c>
      <x:c r="D252" s="58" t="n">
        <x:v>2019</x:v>
      </x:c>
      <x:c r="E252" s="46" t="str">
        <x:v>Serranus cabrilla</x:v>
      </x:c>
      <x:c r="F252" s="46" t="str">
        <x:v>Comber</x:v>
      </x:c>
      <x:c r="G252" s="46" t="str">
        <x:v>Medium bathydemersals (30 - 89 cm)</x:v>
      </x:c>
      <x:c r="H252" s="46" t="str">
        <x:v>Perch-likes</x:v>
      </x:c>
      <x:c r="I252" s="60" t="n">
        <x:v>5.2825238433</x:v>
      </x:c>
      <x:c r="J252" s="60" t="n">
        <x:v>5.2825238433</x:v>
      </x:c>
      <x:c r="K252" s="60" t="n">
        <x:v>0</x:v>
      </x:c>
      <x:c r="L252" s="60" t="n">
        <x:v>5.2825238433</x:v>
      </x:c>
      <x:c r="M252" s="60" t="n">
        <x:v>0</x:v>
      </x:c>
      <x:c r="N252" s="46" t="str">
        <x:v>serranus cabrilla</x:v>
      </x:c>
      <x:c r="O252" s="62" t="n">
        <x:v>3.35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Serranus cabrilla</x:v>
      </x:c>
      <x:c r="T252" s="62" t="n">
        <x:f>IF(O252="","",(1/'Metadata'!$B$5)^(O252-1))</x:f>
        <x:v>1141.3543275066227</x:v>
      </x:c>
      <x:c r="U252" s="60" t="n">
        <x:f>IF(T252="","",I252*T252)</x:f>
        <x:v>6029.231448707371</x:v>
      </x:c>
    </x:row>
    <x:row r="253" ht="18" customHeight="1">
      <x:c r="A253" s="46" t="str">
        <x:v>LME_024</x:v>
      </x:c>
      <x:c r="B253" s="46" t="str">
        <x:v>Celtic-Biscay Shelf</x:v>
      </x:c>
      <x:c r="C253" s="46" t="str">
        <x:v>LME</x:v>
      </x:c>
      <x:c r="D253" s="58" t="n">
        <x:v>2019</x:v>
      </x:c>
      <x:c r="E253" s="46" t="str">
        <x:v>Anarhichas</x:v>
      </x:c>
      <x:c r="F253" s="46" t="str">
        <x:v>Wolffishes</x:v>
      </x:c>
      <x:c r="G253" s="46" t="str">
        <x:v>Large demersals (&gt;=90 cm)</x:v>
      </x:c>
      <x:c r="H253" s="46" t="str">
        <x:v>Perch-likes</x:v>
      </x:c>
      <x:c r="I253" s="60" t="n">
        <x:v>5.0340051655</x:v>
      </x:c>
      <x:c r="J253" s="60" t="n">
        <x:v>5.0340051655</x:v>
      </x:c>
      <x:c r="K253" s="60" t="n">
        <x:v>0</x:v>
      </x:c>
      <x:c r="L253" s="60" t="n">
        <x:v>5.0340051655</x:v>
      </x:c>
      <x:c r="M253" s="60" t="n">
        <x:v>0</x:v>
      </x:c>
      <x:c r="N253" s="46" t="str">
        <x:v>anarhichas</x:v>
      </x:c>
      <x:c r="O253" s="62" t="n">
        <x:v>3.35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Anarhichas</x:v>
      </x:c>
      <x:c r="T253" s="62" t="n">
        <x:f>IF(O253="","",(1/'Metadata'!$B$5)^(O253-1))</x:f>
        <x:v>1141.3543275066227</x:v>
      </x:c>
      <x:c r="U253" s="60" t="n">
        <x:f>IF(T253="","",I253*T253)</x:f>
        <x:v>5745.583580334117</x:v>
      </x:c>
    </x:row>
    <x:row r="254" ht="18" customHeight="1">
      <x:c r="A254" s="46" t="str">
        <x:v>LME_024</x:v>
      </x:c>
      <x:c r="B254" s="46" t="str">
        <x:v>Celtic-Biscay Shelf</x:v>
      </x:c>
      <x:c r="C254" s="46" t="str">
        <x:v>LME</x:v>
      </x:c>
      <x:c r="D254" s="58" t="n">
        <x:v>2019</x:v>
      </x:c>
      <x:c r="E254" s="46" t="str">
        <x:v>Scomber</x:v>
      </x:c>
      <x:c r="F254" s="46" t="str">
        <x:v>Chub mackerels</x:v>
      </x:c>
      <x:c r="G254" s="46" t="str">
        <x:v>Medium pelagics (30 - 89 cm)</x:v>
      </x:c>
      <x:c r="H254" s="46" t="str">
        <x:v>Perch-likes</x:v>
      </x:c>
      <x:c r="I254" s="60" t="n">
        <x:v>4.9692324483000005</x:v>
      </x:c>
      <x:c r="J254" s="60" t="n">
        <x:v>4.9692324483000005</x:v>
      </x:c>
      <x:c r="K254" s="60" t="n">
        <x:v>0</x:v>
      </x:c>
      <x:c r="L254" s="60" t="n">
        <x:v>4.9663184804</x:v>
      </x:c>
      <x:c r="M254" s="60" t="n">
        <x:v>0.0029139679000000003</x:v>
      </x:c>
      <x:c r="N254" s="46" t="str">
        <x:v>scomber</x:v>
      </x:c>
      <x:c r="O254" s="62" t="n">
        <x:v>3.65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Scomber</x:v>
      </x:c>
      <x:c r="T254" s="62" t="n">
        <x:f>IF(O254="","",(1/'Metadata'!$B$5)^(O254-1))</x:f>
        <x:v>2803.6867455443476</x:v>
      </x:c>
      <x:c r="U254" s="60" t="n">
        <x:f>IF(T254="","",I254*T254)</x:f>
        <x:v>13932.171150827598</x:v>
      </x:c>
    </x:row>
    <x:row r="255" ht="18" customHeight="1">
      <x:c r="A255" s="46" t="str">
        <x:v>LME_024</x:v>
      </x:c>
      <x:c r="B255" s="46" t="str">
        <x:v>Celtic-Biscay Shelf</x:v>
      </x:c>
      <x:c r="C255" s="46" t="str">
        <x:v>LME</x:v>
      </x:c>
      <x:c r="D255" s="58" t="n">
        <x:v>2019</x:v>
      </x:c>
      <x:c r="E255" s="46" t="str">
        <x:v>Gobiidae</x:v>
      </x:c>
      <x:c r="F255" s="46" t="str">
        <x:v>Gobies</x:v>
      </x:c>
      <x:c r="G255" s="46" t="str">
        <x:v>Small reef assoc. fish (&lt;30 cm)</x:v>
      </x:c>
      <x:c r="H255" s="46" t="str">
        <x:v>Perch-likes</x:v>
      </x:c>
      <x:c r="I255" s="60" t="n">
        <x:v>4.6928812698</x:v>
      </x:c>
      <x:c r="J255" s="60" t="n">
        <x:v>1.109021352</x:v>
      </x:c>
      <x:c r="K255" s="60" t="n">
        <x:v>3.5838599178</x:v>
      </x:c>
      <x:c r="L255" s="60" t="n">
        <x:v>1.013605074</x:v>
      </x:c>
      <x:c r="M255" s="60" t="n">
        <x:v>3.6792761958</x:v>
      </x:c>
      <x:c r="N255" s="46" t="str">
        <x:v>gobiidae</x:v>
      </x:c>
      <x:c r="O255" s="62" t="n">
        <x:v>3.11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Gobiidae</x:v>
      </x:c>
      <x:c r="T255" s="62" t="n">
        <x:f>IF(O255="","",(1/'Metadata'!$B$5)^(O255-1))</x:f>
        <x:v>556.1261167405597</x:v>
      </x:c>
      <x:c r="U255" s="60" t="n">
        <x:f>IF(T255="","",I255*T255)</x:f>
        <x:v>2609.833836898381</x:v>
      </x:c>
    </x:row>
    <x:row r="256" ht="18" customHeight="1">
      <x:c r="A256" s="46" t="str">
        <x:v>LME_024</x:v>
      </x:c>
      <x:c r="B256" s="46" t="str">
        <x:v>Celtic-Biscay Shelf</x:v>
      </x:c>
      <x:c r="C256" s="46" t="str">
        <x:v>LME</x:v>
      </x:c>
      <x:c r="D256" s="58" t="n">
        <x:v>2019</x:v>
      </x:c>
      <x:c r="E256" s="46" t="str">
        <x:v>Beryx decadactylus</x:v>
      </x:c>
      <x:c r="F256" s="46" t="str">
        <x:v>Alfonsino</x:v>
      </x:c>
      <x:c r="G256" s="46" t="str">
        <x:v>Medium bathydemersals (30 - 89 cm)</x:v>
      </x:c>
      <x:c r="H256" s="46" t="str">
        <x:v>Other fishes &amp; inverts</x:v>
      </x:c>
      <x:c r="I256" s="60" t="n">
        <x:v>4.476750550699999</x:v>
      </x:c>
      <x:c r="J256" s="60" t="n">
        <x:v>4.476750550699999</x:v>
      </x:c>
      <x:c r="K256" s="60" t="n">
        <x:v>0</x:v>
      </x:c>
      <x:c r="L256" s="60" t="n">
        <x:v>4.4767403073</x:v>
      </x:c>
      <x:c r="M256" s="60" t="n">
        <x:v>0.000010243400000000001</x:v>
      </x:c>
      <x:c r="N256" s="46" t="str">
        <x:v>beryx decadactylus</x:v>
      </x:c>
      <x:c r="O256" s="62" t="n">
        <x:v>4.13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Beryx decadactylus</x:v>
      </x:c>
      <x:c r="T256" s="62" t="n">
        <x:f>IF(O256="","",(1/'Metadata'!$B$5)^(O256-1))</x:f>
        <x:v>11809.292685236613</x:v>
      </x:c>
      <x:c r="U256" s="60" t="n">
        <x:f>IF(T256="","",I256*T256)</x:f>
        <x:v>52867.25753201048</x:v>
      </x:c>
    </x:row>
    <x:row r="257" ht="18" customHeight="1">
      <x:c r="A257" s="46" t="str">
        <x:v>LME_024</x:v>
      </x:c>
      <x:c r="B257" s="46" t="str">
        <x:v>Celtic-Biscay Shelf</x:v>
      </x:c>
      <x:c r="C257" s="46" t="str">
        <x:v>LME</x:v>
      </x:c>
      <x:c r="D257" s="58" t="n">
        <x:v>2019</x:v>
      </x:c>
      <x:c r="E257" s="46" t="str">
        <x:v>Hippoglossus hippoglossus</x:v>
      </x:c>
      <x:c r="F257" s="46" t="str">
        <x:v>Atlantic halibut</x:v>
      </x:c>
      <x:c r="G257" s="46" t="str">
        <x:v>Large flatfishes (&gt;=90 cm)</x:v>
      </x:c>
      <x:c r="H257" s="46" t="str">
        <x:v>Flatfishes</x:v>
      </x:c>
      <x:c r="I257" s="60" t="n">
        <x:v>4.0429040971</x:v>
      </x:c>
      <x:c r="J257" s="60" t="n">
        <x:v>4.0429040971</x:v>
      </x:c>
      <x:c r="K257" s="60" t="n">
        <x:v>0</x:v>
      </x:c>
      <x:c r="L257" s="60" t="n">
        <x:v>4.0429040971</x:v>
      </x:c>
      <x:c r="M257" s="60" t="n">
        <x:v>0</x:v>
      </x:c>
      <x:c r="N257" s="46" t="str">
        <x:v>hippoglossus hippoglossus</x:v>
      </x:c>
      <x:c r="O257" s="62" t="n">
        <x:v>4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Hippoglossus hippoglossus</x:v>
      </x:c>
      <x:c r="T257" s="62" t="n">
        <x:f>IF(O257="","",(1/'Metadata'!$B$5)^(O257-1))</x:f>
        <x:v>8000</x:v>
      </x:c>
      <x:c r="U257" s="60" t="n">
        <x:f>IF(T257="","",I257*T257)</x:f>
        <x:v>32343.2327768</x:v>
      </x:c>
    </x:row>
    <x:row r="258" ht="18" customHeight="1">
      <x:c r="A258" s="46" t="str">
        <x:v>LME_024</x:v>
      </x:c>
      <x:c r="B258" s="46" t="str">
        <x:v>Celtic-Biscay Shelf</x:v>
      </x:c>
      <x:c r="C258" s="46" t="str">
        <x:v>LME</x:v>
      </x:c>
      <x:c r="D258" s="58" t="n">
        <x:v>2019</x:v>
      </x:c>
      <x:c r="E258" s="46" t="str">
        <x:v>Pagrus</x:v>
      </x:c>
      <x:c r="F258" s="46" t="str">
        <x:v>Subtropical seabreams</x:v>
      </x:c>
      <x:c r="G258" s="46" t="str">
        <x:v>Medium benthopelagics (30 - 89 cm)</x:v>
      </x:c>
      <x:c r="H258" s="46" t="str">
        <x:v>Perch-likes</x:v>
      </x:c>
      <x:c r="I258" s="60" t="n">
        <x:v>4.0032912045</x:v>
      </x:c>
      <x:c r="J258" s="60" t="n">
        <x:v>4.0032912045</x:v>
      </x:c>
      <x:c r="K258" s="60" t="n">
        <x:v>0</x:v>
      </x:c>
      <x:c r="L258" s="60" t="n">
        <x:v>1.8102163282</x:v>
      </x:c>
      <x:c r="M258" s="60" t="n">
        <x:v>2.1930748763</x:v>
      </x:c>
      <x:c r="N258" s="46" t="str">
        <x:v>pagrus</x:v>
      </x:c>
      <x:c r="O258" s="62" t="n">
        <x:v>3.55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Pagrus</x:v>
      </x:c>
      <x:c r="T258" s="62" t="n">
        <x:f>IF(O258="","",(1/'Metadata'!$B$5)^(O258-1))</x:f>
        <x:v>2077.9088316274606</x:v>
      </x:c>
      <x:c r="U258" s="60" t="n">
        <x:f>IF(T258="","",I258*T258)</x:f>
        <x:v>8318.474149407084</x:v>
      </x:c>
    </x:row>
    <x:row r="259" ht="18" customHeight="1">
      <x:c r="A259" s="46" t="str">
        <x:v>LME_024</x:v>
      </x:c>
      <x:c r="B259" s="46" t="str">
        <x:v>Celtic-Biscay Shelf</x:v>
      </x:c>
      <x:c r="C259" s="46" t="str">
        <x:v>LME</x:v>
      </x:c>
      <x:c r="D259" s="58" t="n">
        <x:v>2019</x:v>
      </x:c>
      <x:c r="E259" s="46" t="str">
        <x:v>Mollusca</x:v>
      </x:c>
      <x:c r="F259" s="46" t="str">
        <x:v>Clams, seasnails, squids, octopuses</x:v>
      </x:c>
      <x:c r="G259" s="46" t="str">
        <x:v>Other demersal invertebrates</x:v>
      </x:c>
      <x:c r="H259" s="46" t="str">
        <x:v>Molluscs</x:v>
      </x:c>
      <x:c r="I259" s="60" t="n">
        <x:v>3.8311527018000002</x:v>
      </x:c>
      <x:c r="J259" s="60" t="n">
        <x:v>3.8311527018000002</x:v>
      </x:c>
      <x:c r="K259" s="60" t="n">
        <x:v>0</x:v>
      </x:c>
      <x:c r="L259" s="60" t="n">
        <x:v>3.8309931188</x:v>
      </x:c>
      <x:c r="M259" s="60" t="n">
        <x:v>0.000159583</x:v>
      </x:c>
      <x:c r="N259" s="46" t="str">
        <x:v>mollusca</x:v>
      </x:c>
      <x:c r="O259" s="62" t="n">
        <x:v>2.1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Mollusca</x:v>
      </x:c>
      <x:c r="T259" s="62" t="n">
        <x:f>IF(O259="","",(1/'Metadata'!$B$5)^(O259-1))</x:f>
        <x:v>26.985656953471274</x:v>
      </x:c>
      <x:c r="U259" s="60" t="n">
        <x:f>IF(T259="","",I259*T259)</x:f>
        <x:v>103.38617254713944</x:v>
      </x:c>
    </x:row>
    <x:row r="260" ht="18" customHeight="1">
      <x:c r="A260" s="46" t="str">
        <x:v>LME_024</x:v>
      </x:c>
      <x:c r="B260" s="46" t="str">
        <x:v>Celtic-Biscay Shelf</x:v>
      </x:c>
      <x:c r="C260" s="46" t="str">
        <x:v>LME</x:v>
      </x:c>
      <x:c r="D260" s="58" t="n">
        <x:v>2019</x:v>
      </x:c>
      <x:c r="E260" s="46" t="str">
        <x:v>Anarhichadidae</x:v>
      </x:c>
      <x:c r="F260" s="46" t="str">
        <x:v>Wolffishes, wolfeels</x:v>
      </x:c>
      <x:c r="G260" s="46" t="str">
        <x:v>Large demersals (&gt;=90 cm)</x:v>
      </x:c>
      <x:c r="H260" s="46" t="str">
        <x:v>Perch-likes</x:v>
      </x:c>
      <x:c r="I260" s="60" t="n">
        <x:v>3.7142465215000002</x:v>
      </x:c>
      <x:c r="J260" s="60" t="n">
        <x:v>3.7142465215000002</x:v>
      </x:c>
      <x:c r="K260" s="60" t="n">
        <x:v>0</x:v>
      </x:c>
      <x:c r="L260" s="60" t="n">
        <x:v>3.7142465215000002</x:v>
      </x:c>
      <x:c r="M260" s="60" t="n">
        <x:v>0</x:v>
      </x:c>
      <x:c r="N260" s="46" t="str">
        <x:v>anarhichadidae</x:v>
      </x:c>
      <x:c r="O260" s="62" t="n">
        <x:v>3.47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Anarhichadidae</x:v>
      </x:c>
      <x:c r="T260" s="62" t="n">
        <x:f>IF(O260="","",(1/'Metadata'!$B$5)^(O260-1))</x:f>
        <x:v>1635.0991368927735</x:v>
      </x:c>
      <x:c r="U260" s="60" t="n">
        <x:f>IF(T260="","",I260*T260)</x:f>
        <x:v>6073.161281511637</x:v>
      </x:c>
    </x:row>
    <x:row r="261" ht="18" customHeight="1">
      <x:c r="A261" s="46" t="str">
        <x:v>LME_024</x:v>
      </x:c>
      <x:c r="B261" s="46" t="str">
        <x:v>Celtic-Biscay Shelf</x:v>
      </x:c>
      <x:c r="C261" s="46" t="str">
        <x:v>LME</x:v>
      </x:c>
      <x:c r="D261" s="58" t="n">
        <x:v>2019</x:v>
      </x:c>
      <x:c r="E261" s="46" t="str">
        <x:v>Scomberesocidae</x:v>
      </x:c>
      <x:c r="F261" s="46" t="str">
        <x:v>Sauries</x:v>
      </x:c>
      <x:c r="G261" s="46" t="str">
        <x:v>Medium pelagics (30 - 89 cm)</x:v>
      </x:c>
      <x:c r="H261" s="46" t="str">
        <x:v>Other fishes &amp; inverts</x:v>
      </x:c>
      <x:c r="I261" s="60" t="n">
        <x:v>3.6535627911999997</x:v>
      </x:c>
      <x:c r="J261" s="60" t="n">
        <x:v>3.6535627911999997</x:v>
      </x:c>
      <x:c r="K261" s="60" t="n">
        <x:v>0</x:v>
      </x:c>
      <x:c r="L261" s="60" t="n">
        <x:v>3.6535621727999996</x:v>
      </x:c>
      <x:c r="M261" s="60" t="n">
        <x:v>6.184000000000001e-7</x:v>
      </x:c>
      <x:c r="N261" s="46" t="str">
        <x:v>scomberesocidae</x:v>
      </x:c>
      <x:c r="O261" s="62" t="n">
        <x:v>4.01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Scomberesocidae</x:v>
      </x:c>
      <x:c r="T261" s="62" t="n">
        <x:f>IF(O261="","",(1/'Metadata'!$B$5)^(O261-1))</x:f>
        <x:v>8243.284463290014</x:v>
      </x:c>
      <x:c r="U261" s="60" t="n">
        <x:f>IF(T261="","",I261*T261)</x:f>
        <x:v>30117.357392353457</x:v>
      </x:c>
    </x:row>
    <x:row r="262" ht="18" customHeight="1">
      <x:c r="A262" s="46" t="str">
        <x:v>LME_024</x:v>
      </x:c>
      <x:c r="B262" s="46" t="str">
        <x:v>Celtic-Biscay Shelf</x:v>
      </x:c>
      <x:c r="C262" s="46" t="str">
        <x:v>LME</x:v>
      </x:c>
      <x:c r="D262" s="58" t="n">
        <x:v>2019</x:v>
      </x:c>
      <x:c r="E262" s="46" t="str">
        <x:v>Rostroraja alba</x:v>
      </x:c>
      <x:c r="F262" s="46" t="str">
        <x:v>White skate</x:v>
      </x:c>
      <x:c r="G262" s="46" t="str">
        <x:v>Large rays (&gt;=90 cm)</x:v>
      </x:c>
      <x:c r="H262" s="46" t="str">
        <x:v>Sharks &amp; rays</x:v>
      </x:c>
      <x:c r="I262" s="60" t="n">
        <x:v>3.5871921685</x:v>
      </x:c>
      <x:c r="J262" s="60" t="n">
        <x:v>3.5871921685</x:v>
      </x:c>
      <x:c r="K262" s="60" t="n">
        <x:v>0</x:v>
      </x:c>
      <x:c r="L262" s="60" t="n">
        <x:v>3.5228279449</x:v>
      </x:c>
      <x:c r="M262" s="60" t="n">
        <x:v>0.06436422359999999</x:v>
      </x:c>
      <x:c r="N262" s="46" t="str">
        <x:v>rostroraja alba</x:v>
      </x:c>
      <x:c r="O262" s="62" t="n">
        <x:v>4.41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Rostroraja alba</x:v>
      </x:c>
      <x:c r="T262" s="62" t="n">
        <x:f>IF(O262="","",(1/'Metadata'!$B$5)^(O262-1))</x:f>
        <x:v>27321.987305427916</x:v>
      </x:c>
      <x:c r="U262" s="60" t="n">
        <x:f>IF(T262="","",I262*T262)</x:f>
        <x:v>98009.21888988744</x:v>
      </x:c>
    </x:row>
    <x:row r="263" ht="18" customHeight="1">
      <x:c r="A263" s="46" t="str">
        <x:v>LME_024</x:v>
      </x:c>
      <x:c r="B263" s="46" t="str">
        <x:v>Celtic-Biscay Shelf</x:v>
      </x:c>
      <x:c r="C263" s="46" t="str">
        <x:v>LME</x:v>
      </x:c>
      <x:c r="D263" s="58" t="n">
        <x:v>2019</x:v>
      </x:c>
      <x:c r="E263" s="46" t="str">
        <x:v>Sarpa salpa</x:v>
      </x:c>
      <x:c r="F263" s="46" t="str">
        <x:v>Salema</x:v>
      </x:c>
      <x:c r="G263" s="46" t="str">
        <x:v>Medium benthopelagics (30 - 89 cm)</x:v>
      </x:c>
      <x:c r="H263" s="46" t="str">
        <x:v>Perch-likes</x:v>
      </x:c>
      <x:c r="I263" s="60" t="n">
        <x:v>3.4833800629000002</x:v>
      </x:c>
      <x:c r="J263" s="60" t="n">
        <x:v>3.4833800629000002</x:v>
      </x:c>
      <x:c r="K263" s="60" t="n">
        <x:v>0</x:v>
      </x:c>
      <x:c r="L263" s="60" t="n">
        <x:v>3.4827750814000002</x:v>
      </x:c>
      <x:c r="M263" s="60" t="n">
        <x:v>0.0006049814999999999</x:v>
      </x:c>
      <x:c r="N263" s="46" t="str">
        <x:v>sarpa salpa</x:v>
      </x:c>
      <x:c r="O263" s="62" t="n">
        <x:v>2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Sarpa salpa</x:v>
      </x:c>
      <x:c r="T263" s="62" t="n">
        <x:f>IF(O263="","",(1/'Metadata'!$B$5)^(O263-1))</x:f>
        <x:v>20</x:v>
      </x:c>
      <x:c r="U263" s="60" t="n">
        <x:f>IF(T263="","",I263*T263)</x:f>
        <x:v>69.667601258</x:v>
      </x:c>
    </x:row>
    <x:row r="264" ht="18" customHeight="1">
      <x:c r="A264" s="46" t="str">
        <x:v>LME_024</x:v>
      </x:c>
      <x:c r="B264" s="46" t="str">
        <x:v>Celtic-Biscay Shelf</x:v>
      </x:c>
      <x:c r="C264" s="46" t="str">
        <x:v>LME</x:v>
      </x:c>
      <x:c r="D264" s="58" t="n">
        <x:v>2019</x:v>
      </x:c>
      <x:c r="E264" s="46" t="str">
        <x:v>Palinurus mauritanicus</x:v>
      </x:c>
      <x:c r="F264" s="46" t="str">
        <x:v>Pink spiny lobster</x:v>
      </x:c>
      <x:c r="G264" s="46" t="str">
        <x:v>Lobsters, crabs</x:v>
      </x:c>
      <x:c r="H264" s="46" t="str">
        <x:v>Crustaceans</x:v>
      </x:c>
      <x:c r="I264" s="60" t="n">
        <x:v>3.4276215598</x:v>
      </x:c>
      <x:c r="J264" s="60" t="n">
        <x:v>3.4276215598</x:v>
      </x:c>
      <x:c r="K264" s="60" t="n">
        <x:v>0</x:v>
      </x:c>
      <x:c r="L264" s="60" t="n">
        <x:v>2.4503306326</x:v>
      </x:c>
      <x:c r="M264" s="60" t="n">
        <x:v>0.9772909272</x:v>
      </x:c>
      <x:c r="N264" s="46" t="str">
        <x:v>palinurus mauritanicus</x:v>
      </x:c>
      <x:c r="O264" s="62" t="n">
        <x:v>3.54</x:v>
      </x:c>
      <x:c r="P264" s="46" t="str">
        <x:v>exact_2020_supplement</x:v>
      </x:c>
      <x:c r="Q264" s="62" t="str">
        <x:v>2020 supplement MeanTL</x:v>
      </x:c>
      <x:c r="R264" s="46" t="str">
        <x:v>high</x:v>
      </x:c>
      <x:c r="S264" s="46" t="str">
        <x:v>Palinurus mauritanicus</x:v>
      </x:c>
      <x:c r="T264" s="62" t="n">
        <x:f>IF(O264="","",(1/'Metadata'!$B$5)^(O264-1))</x:f>
        <x:v>2016.5834052007342</x:v>
      </x:c>
      <x:c r="U264" s="60" t="n">
        <x:f>IF(T264="","",I264*T264)</x:f>
        <x:v>6912.084756800936</x:v>
      </x:c>
    </x:row>
    <x:row r="265" ht="18" customHeight="1">
      <x:c r="A265" s="46" t="str">
        <x:v>LME_024</x:v>
      </x:c>
      <x:c r="B265" s="46" t="str">
        <x:v>Celtic-Biscay Shelf</x:v>
      </x:c>
      <x:c r="C265" s="46" t="str">
        <x:v>LME</x:v>
      </x:c>
      <x:c r="D265" s="58" t="n">
        <x:v>2019</x:v>
      </x:c>
      <x:c r="E265" s="46" t="str">
        <x:v>Myliobatis aquila</x:v>
      </x:c>
      <x:c r="F265" s="46" t="str">
        <x:v>Common eagle ray</x:v>
      </x:c>
      <x:c r="G265" s="46" t="str">
        <x:v>Large rays (&gt;=90 cm)</x:v>
      </x:c>
      <x:c r="H265" s="46" t="str">
        <x:v>Sharks &amp; rays</x:v>
      </x:c>
      <x:c r="I265" s="60" t="n">
        <x:v>3.1499412511</x:v>
      </x:c>
      <x:c r="J265" s="60" t="n">
        <x:v>3.1499412511</x:v>
      </x:c>
      <x:c r="K265" s="60" t="n">
        <x:v>0</x:v>
      </x:c>
      <x:c r="L265" s="60" t="n">
        <x:v>2.1691999034</x:v>
      </x:c>
      <x:c r="M265" s="60" t="n">
        <x:v>0.9807413477</x:v>
      </x:c>
      <x:c r="N265" s="46" t="str">
        <x:v>myliobatis aquila</x:v>
      </x:c>
      <x:c r="O265" s="62" t="n">
        <x:v>3.61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Myliobatis aquila</x:v>
      </x:c>
      <x:c r="T265" s="62" t="n">
        <x:f>IF(O265="","",(1/'Metadata'!$B$5)^(O265-1))</x:f>
        <x:v>2487.0716021897506</x:v>
      </x:c>
      <x:c r="U265" s="60" t="n">
        <x:f>IF(T265="","",I265*T265)</x:f>
        <x:v>7834.129434176864</x:v>
      </x:c>
    </x:row>
    <x:row r="266" ht="18" customHeight="1">
      <x:c r="A266" s="46" t="str">
        <x:v>LME_024</x:v>
      </x:c>
      <x:c r="B266" s="46" t="str">
        <x:v>Celtic-Biscay Shelf</x:v>
      </x:c>
      <x:c r="C266" s="46" t="str">
        <x:v>LME</x:v>
      </x:c>
      <x:c r="D266" s="58" t="n">
        <x:v>2019</x:v>
      </x:c>
      <x:c r="E266" s="46" t="str">
        <x:v>Euthynnus alletteratus</x:v>
      </x:c>
      <x:c r="F266" s="46" t="str">
        <x:v>Little tunny </x:v>
      </x:c>
      <x:c r="G266" s="46" t="str">
        <x:v>Large pelagics (&gt;=90 cm)</x:v>
      </x:c>
      <x:c r="H266" s="46" t="str">
        <x:v>Tuna &amp; billfishes</x:v>
      </x:c>
      <x:c r="I266" s="60" t="n">
        <x:v>3.0834454435999996</x:v>
      </x:c>
      <x:c r="J266" s="60" t="n">
        <x:v>3.0834454435999996</x:v>
      </x:c>
      <x:c r="K266" s="60" t="n">
        <x:v>0</x:v>
      </x:c>
      <x:c r="L266" s="60" t="n">
        <x:v>3.0834454435999996</x:v>
      </x:c>
      <x:c r="M266" s="60" t="n">
        <x:v>0</x:v>
      </x:c>
      <x:c r="N266" s="46" t="str">
        <x:v>euthynnus alletteratus</x:v>
      </x:c>
      <x:c r="O266" s="62" t="n">
        <x:v>4.49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Euthynnus alletteratus</x:v>
      </x:c>
      <x:c r="T266" s="62" t="n">
        <x:f>IF(O266="","",(1/'Metadata'!$B$5)^(O266-1))</x:f>
        <x:v>34721.19667768202</x:v>
      </x:c>
      <x:c r="U266" s="60" t="n">
        <x:f>IF(T266="","",I266*T266)</x:f>
        <x:v>107060.91569213806</x:v>
      </x:c>
    </x:row>
    <x:row r="267" ht="18" customHeight="1">
      <x:c r="A267" s="46" t="str">
        <x:v>LME_024</x:v>
      </x:c>
      <x:c r="B267" s="46" t="str">
        <x:v>Celtic-Biscay Shelf</x:v>
      </x:c>
      <x:c r="C267" s="46" t="str">
        <x:v>LME</x:v>
      </x:c>
      <x:c r="D267" s="58" t="n">
        <x:v>2019</x:v>
      </x:c>
      <x:c r="E267" s="46" t="str">
        <x:v>Phycis</x:v>
      </x:c>
      <x:c r="F267" s="46" t="str">
        <x:v>Gunnels, forkbeards</x:v>
      </x:c>
      <x:c r="G267" s="46" t="str">
        <x:v>Medium benthopelagics (30 - 89 cm)</x:v>
      </x:c>
      <x:c r="H267" s="46" t="str">
        <x:v>Cod-likes</x:v>
      </x:c>
      <x:c r="I267" s="60" t="n">
        <x:v>2.8129639107999997</x:v>
      </x:c>
      <x:c r="J267" s="60" t="n">
        <x:v>2.8129639107999997</x:v>
      </x:c>
      <x:c r="K267" s="60" t="n">
        <x:v>0</x:v>
      </x:c>
      <x:c r="L267" s="60" t="n">
        <x:v>2.812941002</x:v>
      </x:c>
      <x:c r="M267" s="60" t="n">
        <x:v>0.0000229088</x:v>
      </x:c>
      <x:c r="N267" s="46" t="str">
        <x:v>phycis</x:v>
      </x:c>
      <x:c r="O267" s="62" t="n">
        <x:v>3.99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Phycis</x:v>
      </x:c>
      <x:c r="T267" s="62" t="n">
        <x:f>IF(O267="","",(1/'Metadata'!$B$5)^(O267-1))</x:f>
        <x:v>7763.895603143686</x:v>
      </x:c>
      <x:c r="U267" s="60" t="n">
        <x:f>IF(T267="","",I267*T267)</x:f>
        <x:v>21839.558138861983</x:v>
      </x:c>
    </x:row>
    <x:row r="268" ht="18" customHeight="1">
      <x:c r="A268" s="46" t="str">
        <x:v>LME_024</x:v>
      </x:c>
      <x:c r="B268" s="46" t="str">
        <x:v>Celtic-Biscay Shelf</x:v>
      </x:c>
      <x:c r="C268" s="46" t="str">
        <x:v>LME</x:v>
      </x:c>
      <x:c r="D268" s="58" t="n">
        <x:v>2019</x:v>
      </x:c>
      <x:c r="E268" s="46" t="str">
        <x:v>Salmo trutta</x:v>
      </x:c>
      <x:c r="F268" s="46" t="str">
        <x:v>Sea trout</x:v>
      </x:c>
      <x:c r="G268" s="46" t="str">
        <x:v>Large pelagics (&gt;=90 cm)</x:v>
      </x:c>
      <x:c r="H268" s="46" t="str">
        <x:v>Salmon, smelts, etc</x:v>
      </x:c>
      <x:c r="I268" s="60" t="n">
        <x:v>2.747860143</x:v>
      </x:c>
      <x:c r="J268" s="60" t="n">
        <x:v>2.747860143</x:v>
      </x:c>
      <x:c r="K268" s="60" t="n">
        <x:v>0</x:v>
      </x:c>
      <x:c r="L268" s="60" t="n">
        <x:v>2.7466274136</x:v>
      </x:c>
      <x:c r="M268" s="60" t="n">
        <x:v>0.0012327294</x:v>
      </x:c>
      <x:c r="N268" s="46" t="str">
        <x:v>salmo trutta</x:v>
      </x:c>
      <x:c r="O268" s="62" t="n">
        <x:v>3.36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Salmo trutta</x:v>
      </x:c>
      <x:c r="T268" s="62" t="n">
        <x:f>IF(O268="","",(1/'Metadata'!$B$5)^(O268-1))</x:f>
        <x:v>1176.0635493805207</x:v>
      </x:c>
      <x:c r="U268" s="60" t="n">
        <x:f>IF(T268="","",I268*T268)</x:f>
        <x:v>3231.6581529778455</x:v>
      </x:c>
    </x:row>
    <x:row r="269" ht="18" customHeight="1">
      <x:c r="A269" s="46" t="str">
        <x:v>LME_024</x:v>
      </x:c>
      <x:c r="B269" s="46" t="str">
        <x:v>Celtic-Biscay Shelf</x:v>
      </x:c>
      <x:c r="C269" s="46" t="str">
        <x:v>LME</x:v>
      </x:c>
      <x:c r="D269" s="58" t="n">
        <x:v>2019</x:v>
      </x:c>
      <x:c r="E269" s="46" t="str">
        <x:v>Microchirus</x:v>
      </x:c>
      <x:c r="F269" s="46" t="str">
        <x:v>Soles</x:v>
      </x:c>
      <x:c r="G269" s="46" t="str">
        <x:v>Small to medium flatfishes (&lt;90 cm)</x:v>
      </x:c>
      <x:c r="H269" s="46" t="str">
        <x:v>Flatfishes</x:v>
      </x:c>
      <x:c r="I269" s="60" t="n">
        <x:v>2.5412241066</x:v>
      </x:c>
      <x:c r="J269" s="60" t="n">
        <x:v>2.5412241066</x:v>
      </x:c>
      <x:c r="K269" s="60" t="n">
        <x:v>0</x:v>
      </x:c>
      <x:c r="L269" s="60" t="n">
        <x:v>2.5412241066</x:v>
      </x:c>
      <x:c r="M269" s="60" t="n">
        <x:v>0</x:v>
      </x:c>
      <x:c r="N269" s="46" t="str">
        <x:v>microchirus</x:v>
      </x:c>
      <x:c r="O269" s="62" t="n">
        <x:v>3.28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Microchirus</x:v>
      </x:c>
      <x:c r="T269" s="62" t="n">
        <x:f>IF(O269="","",(1/'Metadata'!$B$5)^(O269-1))</x:f>
        <x:v>925.4402624666747</x:v>
      </x:c>
      <x:c r="U269" s="60" t="n">
        <x:f>IF(T269="","",I269*T269)</x:f>
        <x:v>2351.751104198545</x:v>
      </x:c>
    </x:row>
    <x:row r="270" ht="18" customHeight="1">
      <x:c r="A270" s="46" t="str">
        <x:v>LME_024</x:v>
      </x:c>
      <x:c r="B270" s="46" t="str">
        <x:v>Celtic-Biscay Shelf</x:v>
      </x:c>
      <x:c r="C270" s="46" t="str">
        <x:v>LME</x:v>
      </x:c>
      <x:c r="D270" s="58" t="n">
        <x:v>2019</x:v>
      </x:c>
      <x:c r="E270" s="46" t="str">
        <x:v>Mytilus galloprovincialis</x:v>
      </x:c>
      <x:c r="F270" s="46" t="str">
        <x:v>Mediterranean mussel</x:v>
      </x:c>
      <x:c r="G270" s="46" t="str">
        <x:v>Other demersal invertebrates</x:v>
      </x:c>
      <x:c r="H270" s="46" t="str">
        <x:v>Molluscs</x:v>
      </x:c>
      <x:c r="I270" s="60" t="n">
        <x:v>2.4758926556</x:v>
      </x:c>
      <x:c r="J270" s="60" t="n">
        <x:v>2.4758926556</x:v>
      </x:c>
      <x:c r="K270" s="60" t="n">
        <x:v>0</x:v>
      </x:c>
      <x:c r="L270" s="60" t="n">
        <x:v>2.4626543466</x:v>
      </x:c>
      <x:c r="M270" s="60" t="n">
        <x:v>0.013238309</x:v>
      </x:c>
      <x:c r="N270" s="46" t="str">
        <x:v>mytilus galloprovincialis</x:v>
      </x:c>
      <x:c r="O270" s="62" t="n">
        <x:v>2.69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Mytilus galloprovincialis</x:v>
      </x:c>
      <x:c r="T270" s="62" t="n">
        <x:f>IF(O270="","",(1/'Metadata'!$B$5)^(O270-1))</x:f>
        <x:v>158.03041939403977</x:v>
      </x:c>
      <x:c r="U270" s="60" t="n">
        <x:f>IF(T270="","",I270*T270)</x:f>
        <x:v>391.26635473909084</x:v>
      </x:c>
    </x:row>
    <x:row r="271" ht="18" customHeight="1">
      <x:c r="A271" s="46" t="str">
        <x:v>LME_024</x:v>
      </x:c>
      <x:c r="B271" s="46" t="str">
        <x:v>Celtic-Biscay Shelf</x:v>
      </x:c>
      <x:c r="C271" s="46" t="str">
        <x:v>LME</x:v>
      </x:c>
      <x:c r="D271" s="58" t="n">
        <x:v>2019</x:v>
      </x:c>
      <x:c r="E271" s="46" t="str">
        <x:v>Scorpaena porcus</x:v>
      </x:c>
      <x:c r="F271" s="46" t="str">
        <x:v>Black scorpionfish</x:v>
      </x:c>
      <x:c r="G271" s="46" t="str">
        <x:v>Small demersals (&lt;30 cm)</x:v>
      </x:c>
      <x:c r="H271" s="46" t="str">
        <x:v>Scorpionfishes</x:v>
      </x:c>
      <x:c r="I271" s="60" t="n">
        <x:v>2.4745151879</x:v>
      </x:c>
      <x:c r="J271" s="60" t="n">
        <x:v>2.4745151879</x:v>
      </x:c>
      <x:c r="K271" s="60" t="n">
        <x:v>0</x:v>
      </x:c>
      <x:c r="L271" s="60" t="n">
        <x:v>2.4744841645999998</x:v>
      </x:c>
      <x:c r="M271" s="60" t="n">
        <x:v>0.0000310233</x:v>
      </x:c>
      <x:c r="N271" s="46" t="str">
        <x:v>scorpaena porcus</x:v>
      </x:c>
      <x:c r="O271" s="62" t="n">
        <x:v>3.92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Scorpaena porcus</x:v>
      </x:c>
      <x:c r="T271" s="62" t="n">
        <x:f>IF(O271="","",(1/'Metadata'!$B$5)^(O271-1))</x:f>
        <x:v>6295.1718073679995</x:v>
      </x:c>
      <x:c r="U271" s="60" t="n">
        <x:f>IF(T271="","",I271*T271)</x:f>
        <x:v>15577.498247772006</x:v>
      </x:c>
    </x:row>
    <x:row r="272" ht="18" customHeight="1">
      <x:c r="A272" s="46" t="str">
        <x:v>LME_024</x:v>
      </x:c>
      <x:c r="B272" s="46" t="str">
        <x:v>Celtic-Biscay Shelf</x:v>
      </x:c>
      <x:c r="C272" s="46" t="str">
        <x:v>LME</x:v>
      </x:c>
      <x:c r="D272" s="58" t="n">
        <x:v>2019</x:v>
      </x:c>
      <x:c r="E272" s="46" t="str">
        <x:v>Katsuwonus pelamis</x:v>
      </x:c>
      <x:c r="F272" s="46" t="str">
        <x:v>Skipjack tuna</x:v>
      </x:c>
      <x:c r="G272" s="46" t="str">
        <x:v>Large pelagics (&gt;=90 cm)</x:v>
      </x:c>
      <x:c r="H272" s="46" t="str">
        <x:v>Tuna &amp; billfishes</x:v>
      </x:c>
      <x:c r="I272" s="60" t="n">
        <x:v>2.2405990864</x:v>
      </x:c>
      <x:c r="J272" s="60" t="n">
        <x:v>2.2405990864</x:v>
      </x:c>
      <x:c r="K272" s="60" t="n">
        <x:v>0</x:v>
      </x:c>
      <x:c r="L272" s="60" t="n">
        <x:v>2.2405990864</x:v>
      </x:c>
      <x:c r="M272" s="60" t="n">
        <x:v>0</x:v>
      </x:c>
      <x:c r="N272" s="46" t="str">
        <x:v>katsuwonus pelamis</x:v>
      </x:c>
      <x:c r="O272" s="62" t="n">
        <x:v>4.43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Katsuwonus pelamis</x:v>
      </x:c>
      <x:c r="T272" s="62" t="n">
        <x:f>IF(O272="","",(1/'Metadata'!$B$5)^(O272-1))</x:f>
        <x:v>29009.008489223597</x:v>
      </x:c>
      <x:c r="U272" s="60" t="n">
        <x:f>IF(T272="","",I272*T272)</x:f>
        <x:v>64997.55791832424</x:v>
      </x:c>
    </x:row>
    <x:row r="273" ht="18" customHeight="1">
      <x:c r="A273" s="46" t="str">
        <x:v>LME_024</x:v>
      </x:c>
      <x:c r="B273" s="46" t="str">
        <x:v>Celtic-Biscay Shelf</x:v>
      </x:c>
      <x:c r="C273" s="46" t="str">
        <x:v>LME</x:v>
      </x:c>
      <x:c r="D273" s="58" t="n">
        <x:v>2019</x:v>
      </x:c>
      <x:c r="E273" s="46" t="str">
        <x:v>Lepidocybium flavobrunneum</x:v>
      </x:c>
      <x:c r="F273" s="46" t="str">
        <x:v>Escolar</x:v>
      </x:c>
      <x:c r="G273" s="46" t="str">
        <x:v>Large bathypelagics (&gt;=90 cm)</x:v>
      </x:c>
      <x:c r="H273" s="46" t="str">
        <x:v>Perch-likes</x:v>
      </x:c>
      <x:c r="I273" s="60" t="n">
        <x:v>2.2399716756</x:v>
      </x:c>
      <x:c r="J273" s="60" t="n">
        <x:v>2.2399716756</x:v>
      </x:c>
      <x:c r="K273" s="60" t="n">
        <x:v>0</x:v>
      </x:c>
      <x:c r="L273" s="60" t="n">
        <x:v>2.2399716756</x:v>
      </x:c>
      <x:c r="M273" s="60" t="n">
        <x:v>0</x:v>
      </x:c>
      <x:c r="N273" s="46" t="str">
        <x:v>lepidocybium flavobrunneum</x:v>
      </x:c>
      <x:c r="O273" s="62" t="n">
        <x:v>4.34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Lepidocybium flavobrunneum</x:v>
      </x:c>
      <x:c r="T273" s="62" t="n">
        <x:f>IF(O273="","",(1/'Metadata'!$B$5)^(O273-1))</x:f>
        <x:v>22153.389612394185</x:v>
      </x:c>
      <x:c r="U273" s="60" t="n">
        <x:f>IF(T273="","",I273*T273)</x:f>
        <x:v>49622.96525029424</x:v>
      </x:c>
    </x:row>
    <x:row r="274" ht="18" customHeight="1">
      <x:c r="A274" s="46" t="str">
        <x:v>LME_024</x:v>
      </x:c>
      <x:c r="B274" s="46" t="str">
        <x:v>Celtic-Biscay Shelf</x:v>
      </x:c>
      <x:c r="C274" s="46" t="str">
        <x:v>LME</x:v>
      </x:c>
      <x:c r="D274" s="58" t="n">
        <x:v>2019</x:v>
      </x:c>
      <x:c r="E274" s="46" t="str">
        <x:v>Zeidae</x:v>
      </x:c>
      <x:c r="F274" s="46" t="str">
        <x:v>Dories</x:v>
      </x:c>
      <x:c r="G274" s="46" t="str">
        <x:v>Medium bathydemersals (30 - 89 cm)</x:v>
      </x:c>
      <x:c r="H274" s="46" t="str">
        <x:v>Other fishes &amp; inverts</x:v>
      </x:c>
      <x:c r="I274" s="60" t="n">
        <x:v>2.0530486632000002</x:v>
      </x:c>
      <x:c r="J274" s="60" t="n">
        <x:v>2.0530486632000002</x:v>
      </x:c>
      <x:c r="K274" s="60" t="n">
        <x:v>0</x:v>
      </x:c>
      <x:c r="L274" s="60" t="n">
        <x:v>2.0530486632000002</x:v>
      </x:c>
      <x:c r="M274" s="60" t="n">
        <x:v>0</x:v>
      </x:c>
      <x:c r="N274" s="46" t="str">
        <x:v>zeidae</x:v>
      </x:c>
      <x:c r="O274" s="62" t="n">
        <x:v>4.49</x:v>
      </x:c>
      <x:c r="P274" s="46" t="str">
        <x:v>exact_sea_around_us</x:v>
      </x:c>
      <x:c r="Q274" s="62" t="str">
        <x:v>Sea Around Us exploited organisms</x:v>
      </x:c>
      <x:c r="R274" s="46" t="str">
        <x:v>high</x:v>
      </x:c>
      <x:c r="S274" s="46" t="str">
        <x:v>Zeidae</x:v>
      </x:c>
      <x:c r="T274" s="62" t="n">
        <x:f>IF(O274="","",(1/'Metadata'!$B$5)^(O274-1))</x:f>
        <x:v>34721.19667768202</x:v>
      </x:c>
      <x:c r="U274" s="60" t="n">
        <x:f>IF(T274="","",I274*T274)</x:f>
        <x:v>71284.30642381936</x:v>
      </x:c>
    </x:row>
    <x:row r="275" ht="18" customHeight="1">
      <x:c r="A275" s="46" t="str">
        <x:v>LME_024</x:v>
      </x:c>
      <x:c r="B275" s="46" t="str">
        <x:v>Celtic-Biscay Shelf</x:v>
      </x:c>
      <x:c r="C275" s="46" t="str">
        <x:v>LME</x:v>
      </x:c>
      <x:c r="D275" s="58" t="n">
        <x:v>2019</x:v>
      </x:c>
      <x:c r="E275" s="46" t="str">
        <x:v>Ophidion barbatum</x:v>
      </x:c>
      <x:c r="F275" s="46" t="str">
        <x:v>Snake blenny</x:v>
      </x:c>
      <x:c r="G275" s="46" t="str">
        <x:v>Small demersals (&lt;30 cm)</x:v>
      </x:c>
      <x:c r="H275" s="46" t="str">
        <x:v>Other fishes &amp; inverts</x:v>
      </x:c>
      <x:c r="I275" s="60" t="n">
        <x:v>2.0238950954000003</x:v>
      </x:c>
      <x:c r="J275" s="60" t="n">
        <x:v>2.0238950954000003</x:v>
      </x:c>
      <x:c r="K275" s="60" t="n">
        <x:v>0</x:v>
      </x:c>
      <x:c r="L275" s="60" t="n">
        <x:v>2.0238950954000003</x:v>
      </x:c>
      <x:c r="M275" s="60" t="n">
        <x:v>0</x:v>
      </x:c>
      <x:c r="N275" s="46" t="str">
        <x:v>ophidion barbatum</x:v>
      </x:c>
      <x:c r="O275" s="62" t="n">
        <x:v>3.57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Ophidion barbatum</x:v>
      </x:c>
      <x:c r="T275" s="62" t="n">
        <x:f>IF(O275="","",(1/'Metadata'!$B$5)^(O275-1))</x:f>
        <x:v>2206.2112196552644</x:v>
      </x:c>
      <x:c r="U275" s="60" t="n">
        <x:f>IF(T275="","",I275*T275)</x:f>
        <x:v>4465.140066876743</x:v>
      </x:c>
    </x:row>
    <x:row r="276" ht="18" customHeight="1">
      <x:c r="A276" s="46" t="str">
        <x:v>LME_024</x:v>
      </x:c>
      <x:c r="B276" s="46" t="str">
        <x:v>Celtic-Biscay Shelf</x:v>
      </x:c>
      <x:c r="C276" s="46" t="str">
        <x:v>LME</x:v>
      </x:c>
      <x:c r="D276" s="58" t="n">
        <x:v>2019</x:v>
      </x:c>
      <x:c r="E276" s="46" t="str">
        <x:v>Diplodus</x:v>
      </x:c>
      <x:c r="F276" s="46" t="str">
        <x:v>Two-toothed seabreams</x:v>
      </x:c>
      <x:c r="G276" s="46" t="str">
        <x:v>Medium benthopelagics (30 - 89 cm)</x:v>
      </x:c>
      <x:c r="H276" s="46" t="str">
        <x:v>Perch-likes</x:v>
      </x:c>
      <x:c r="I276" s="60" t="n">
        <x:v>1.9585093516999998</x:v>
      </x:c>
      <x:c r="J276" s="60" t="n">
        <x:v>1.9585093516999998</x:v>
      </x:c>
      <x:c r="K276" s="60" t="n">
        <x:v>0</x:v>
      </x:c>
      <x:c r="L276" s="60" t="n">
        <x:v>1.8608677238999998</x:v>
      </x:c>
      <x:c r="M276" s="60" t="n">
        <x:v>0.0976416278</x:v>
      </x:c>
      <x:c r="N276" s="46" t="str">
        <x:v>diplodus</x:v>
      </x:c>
      <x:c r="O276" s="62" t="n">
        <x:v>2.97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Diplodus</x:v>
      </x:c>
      <x:c r="T276" s="62" t="n">
        <x:f>IF(O276="","",(1/'Metadata'!$B$5)^(O276-1))</x:f>
        <x:v>365.61928200434755</x:v>
      </x:c>
      <x:c r="U276" s="60" t="n">
        <x:f>IF(T276="","",I276*T276)</x:f>
        <x:v>716.0687829673542</x:v>
      </x:c>
    </x:row>
    <x:row r="277" ht="18" customHeight="1">
      <x:c r="A277" s="46" t="str">
        <x:v>LME_024</x:v>
      </x:c>
      <x:c r="B277" s="46" t="str">
        <x:v>Celtic-Biscay Shelf</x:v>
      </x:c>
      <x:c r="C277" s="46" t="str">
        <x:v>LME</x:v>
      </x:c>
      <x:c r="D277" s="58" t="n">
        <x:v>2019</x:v>
      </x:c>
      <x:c r="E277" s="46" t="str">
        <x:v>Epigonus telescopus</x:v>
      </x:c>
      <x:c r="F277" s="46" t="str">
        <x:v>Black cardinal fish</x:v>
      </x:c>
      <x:c r="G277" s="46" t="str">
        <x:v>Medium bathydemersals (30 - 89 cm)</x:v>
      </x:c>
      <x:c r="H277" s="46" t="str">
        <x:v>Perch-likes</x:v>
      </x:c>
      <x:c r="I277" s="60" t="n">
        <x:v>1.7997974210999999</x:v>
      </x:c>
      <x:c r="J277" s="60" t="n">
        <x:v>1.7997974210999999</x:v>
      </x:c>
      <x:c r="K277" s="60" t="n">
        <x:v>0</x:v>
      </x:c>
      <x:c r="L277" s="60" t="n">
        <x:v>1.6810470774</x:v>
      </x:c>
      <x:c r="M277" s="60" t="n">
        <x:v>0.1187503437</x:v>
      </x:c>
      <x:c r="N277" s="46" t="str">
        <x:v>epigonus telescopus</x:v>
      </x:c>
      <x:c r="O277" s="62" t="n">
        <x:v>3.59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Epigonus telescopus</x:v>
      </x:c>
      <x:c r="T277" s="62" t="n">
        <x:f>IF(O277="","",(1/'Metadata'!$B$5)^(O277-1))</x:f>
        <x:v>2342.4357563948306</x:v>
      </x:c>
      <x:c r="U277" s="60" t="n">
        <x:f>IF(T277="","",I277*T277)</x:f>
        <x:v>4215.909833451844</x:v>
      </x:c>
    </x:row>
    <x:row r="278" ht="18" customHeight="1">
      <x:c r="A278" s="46" t="str">
        <x:v>LME_024</x:v>
      </x:c>
      <x:c r="B278" s="46" t="str">
        <x:v>Celtic-Biscay Shelf</x:v>
      </x:c>
      <x:c r="C278" s="46" t="str">
        <x:v>LME</x:v>
      </x:c>
      <x:c r="D278" s="58" t="n">
        <x:v>2019</x:v>
      </x:c>
      <x:c r="E278" s="46" t="str">
        <x:v>Gempylidae</x:v>
      </x:c>
      <x:c r="F278" s="46" t="str">
        <x:v>Snake mackerels</x:v>
      </x:c>
      <x:c r="G278" s="46" t="str">
        <x:v>Large benthopelagics (&gt;=90 cm)</x:v>
      </x:c>
      <x:c r="H278" s="46" t="str">
        <x:v>Perch-likes</x:v>
      </x:c>
      <x:c r="I278" s="60" t="n">
        <x:v>1.7338192393</x:v>
      </x:c>
      <x:c r="J278" s="60" t="n">
        <x:v>1.7338192393</x:v>
      </x:c>
      <x:c r="K278" s="60" t="n">
        <x:v>0</x:v>
      </x:c>
      <x:c r="L278" s="60" t="n">
        <x:v>1.7338188194</x:v>
      </x:c>
      <x:c r="M278" s="60" t="n">
        <x:v>4.199e-7</x:v>
      </x:c>
      <x:c r="N278" s="46" t="str">
        <x:v>gempylidae</x:v>
      </x:c>
      <x:c r="O278" s="62" t="n">
        <x:v>4.21</x:v>
      </x:c>
      <x:c r="P278" s="46" t="str">
        <x:v>exact_sea_around_us</x:v>
      </x:c>
      <x:c r="Q278" s="62" t="str">
        <x:v>Sea Around Us exploited organisms</x:v>
      </x:c>
      <x:c r="R278" s="46" t="str">
        <x:v>high</x:v>
      </x:c>
      <x:c r="S278" s="46" t="str">
        <x:v>Gempylidae</x:v>
      </x:c>
      <x:c r="T278" s="62" t="n">
        <x:f>IF(O278="","",(1/'Metadata'!$B$5)^(O278-1))</x:f>
        <x:v>15007.428609226863</x:v>
      </x:c>
      <x:c r="U278" s="60" t="n">
        <x:f>IF(T278="","",I278*T278)</x:f>
        <x:v>26020.168455098777</x:v>
      </x:c>
    </x:row>
    <x:row r="279" ht="18" customHeight="1">
      <x:c r="A279" s="46" t="str">
        <x:v>LME_024</x:v>
      </x:c>
      <x:c r="B279" s="46" t="str">
        <x:v>Celtic-Biscay Shelf</x:v>
      </x:c>
      <x:c r="C279" s="46" t="str">
        <x:v>LME</x:v>
      </x:c>
      <x:c r="D279" s="58" t="n">
        <x:v>2019</x:v>
      </x:c>
      <x:c r="E279" s="46" t="str">
        <x:v>Cepola macrophthalma</x:v>
      </x:c>
      <x:c r="F279" s="46" t="str">
        <x:v>Red bandfish</x:v>
      </x:c>
      <x:c r="G279" s="46" t="str">
        <x:v>Medium demersals (30 - 89 cm)</x:v>
      </x:c>
      <x:c r="H279" s="46" t="str">
        <x:v>Perch-likes</x:v>
      </x:c>
      <x:c r="I279" s="60" t="n">
        <x:v>1.6825219219</x:v>
      </x:c>
      <x:c r="J279" s="60" t="n">
        <x:v>1.1410557042</x:v>
      </x:c>
      <x:c r="K279" s="60" t="n">
        <x:v>0.5414662177</x:v>
      </x:c>
      <x:c r="L279" s="60" t="n">
        <x:v>1.1410557042</x:v>
      </x:c>
      <x:c r="M279" s="60" t="n">
        <x:v>0.5414662177</x:v>
      </x:c>
      <x:c r="N279" s="46" t="str">
        <x:v>cepola macrophthalma</x:v>
      </x:c>
      <x:c r="O279" s="62" t="n">
        <x:v>3.13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Cepola macrophthalma</x:v>
      </x:c>
      <x:c r="T279" s="62" t="n">
        <x:f>IF(O279="","",(1/'Metadata'!$B$5)^(O279-1))</x:f>
        <x:v>590.4646342618306</x:v>
      </x:c>
      <x:c r="U279" s="60" t="n">
        <x:f>IF(T279="","",I279*T279)</x:f>
        <x:v>993.4696912521958</x:v>
      </x:c>
    </x:row>
    <x:row r="280" ht="18" customHeight="1">
      <x:c r="A280" s="46" t="str">
        <x:v>LME_024</x:v>
      </x:c>
      <x:c r="B280" s="46" t="str">
        <x:v>Celtic-Biscay Shelf</x:v>
      </x:c>
      <x:c r="C280" s="46" t="str">
        <x:v>LME</x:v>
      </x:c>
      <x:c r="D280" s="58" t="n">
        <x:v>2019</x:v>
      </x:c>
      <x:c r="E280" s="46" t="str">
        <x:v>Trichiurus lepturus</x:v>
      </x:c>
      <x:c r="F280" s="46" t="str">
        <x:v>Largehead hairtail</x:v>
      </x:c>
      <x:c r="G280" s="46" t="str">
        <x:v>Large benthopelagics (&gt;=90 cm)</x:v>
      </x:c>
      <x:c r="H280" s="46" t="str">
        <x:v>Perch-likes</x:v>
      </x:c>
      <x:c r="I280" s="60" t="n">
        <x:v>1.5541423487000001</x:v>
      </x:c>
      <x:c r="J280" s="60" t="n">
        <x:v>1.5541423487000001</x:v>
      </x:c>
      <x:c r="K280" s="60" t="n">
        <x:v>0</x:v>
      </x:c>
      <x:c r="L280" s="60" t="n">
        <x:v>1.5541423487000001</x:v>
      </x:c>
      <x:c r="M280" s="60" t="n">
        <x:v>0</x:v>
      </x:c>
      <x:c r="N280" s="46" t="str">
        <x:v>trichiurus lepturus</x:v>
      </x:c>
      <x:c r="O280" s="62" t="n">
        <x:v>4.42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Trichiurus lepturus</x:v>
      </x:c>
      <x:c r="T280" s="62" t="n">
        <x:f>IF(O280="","",(1/'Metadata'!$B$5)^(O280-1))</x:f>
        <x:v>28152.864182630117</x:v>
      </x:c>
      <x:c r="U280" s="60" t="n">
        <x:f>IF(T280="","",I280*T280)</x:f>
        <x:v>43753.55846342488</x:v>
      </x:c>
    </x:row>
    <x:row r="281" ht="18" customHeight="1">
      <x:c r="A281" s="46" t="str">
        <x:v>LME_024</x:v>
      </x:c>
      <x:c r="B281" s="46" t="str">
        <x:v>Celtic-Biscay Shelf</x:v>
      </x:c>
      <x:c r="C281" s="46" t="str">
        <x:v>LME</x:v>
      </x:c>
      <x:c r="D281" s="58" t="n">
        <x:v>2019</x:v>
      </x:c>
      <x:c r="E281" s="46" t="str">
        <x:v>Beryx splendens</x:v>
      </x:c>
      <x:c r="F281" s="46" t="str">
        <x:v>Splendid alfonsino</x:v>
      </x:c>
      <x:c r="G281" s="46" t="str">
        <x:v>Medium benthopelagics (30 - 89 cm)</x:v>
      </x:c>
      <x:c r="H281" s="46" t="str">
        <x:v>Other fishes &amp; inverts</x:v>
      </x:c>
      <x:c r="I281" s="60" t="n">
        <x:v>1.537470134</x:v>
      </x:c>
      <x:c r="J281" s="60" t="n">
        <x:v>1.537470134</x:v>
      </x:c>
      <x:c r="K281" s="60" t="n">
        <x:v>0</x:v>
      </x:c>
      <x:c r="L281" s="60" t="n">
        <x:v>1.5374696228</x:v>
      </x:c>
      <x:c r="M281" s="60" t="n">
        <x:v>5.112000000000001e-7</x:v>
      </x:c>
      <x:c r="N281" s="46" t="str">
        <x:v>beryx splendens</x:v>
      </x:c>
      <x:c r="O281" s="62" t="n">
        <x:v>4.27</x:v>
      </x:c>
      <x:c r="P281" s="46" t="str">
        <x:v>exact_2020_supplement</x:v>
      </x:c>
      <x:c r="Q281" s="62" t="str">
        <x:v>2020 supplement MeanTL</x:v>
      </x:c>
      <x:c r="R281" s="46" t="str">
        <x:v>high</x:v>
      </x:c>
      <x:c r="S281" s="46" t="str">
        <x:v>Beryx splendens</x:v>
      </x:c>
      <x:c r="T281" s="62" t="n">
        <x:f>IF(O281="","",(1/'Metadata'!$B$5)^(O281-1))</x:f>
        <x:v>17962.55396184286</x:v>
      </x:c>
      <x:c r="U281" s="60" t="n">
        <x:f>IF(T281="","",I281*T281)</x:f>
        <x:v>27616.890246696774</x:v>
      </x:c>
    </x:row>
    <x:row r="282" ht="18" customHeight="1">
      <x:c r="A282" s="46" t="str">
        <x:v>LME_024</x:v>
      </x:c>
      <x:c r="B282" s="46" t="str">
        <x:v>Celtic-Biscay Shelf</x:v>
      </x:c>
      <x:c r="C282" s="46" t="str">
        <x:v>LME</x:v>
      </x:c>
      <x:c r="D282" s="58" t="n">
        <x:v>2019</x:v>
      </x:c>
      <x:c r="E282" s="46" t="str">
        <x:v>Trachurus picturatus</x:v>
      </x:c>
      <x:c r="F282" s="46" t="str">
        <x:v>Blue jack mackerel</x:v>
      </x:c>
      <x:c r="G282" s="46" t="str">
        <x:v>Medium benthopelagics (30 - 89 cm)</x:v>
      </x:c>
      <x:c r="H282" s="46" t="str">
        <x:v>Perch-likes</x:v>
      </x:c>
      <x:c r="I282" s="60" t="n">
        <x:v>1.3426290196</x:v>
      </x:c>
      <x:c r="J282" s="60" t="n">
        <x:v>1.3426290196</x:v>
      </x:c>
      <x:c r="K282" s="60" t="n">
        <x:v>0</x:v>
      </x:c>
      <x:c r="L282" s="60" t="n">
        <x:v>1.3425432267</x:v>
      </x:c>
      <x:c r="M282" s="60" t="n">
        <x:v>0.0000857929</x:v>
      </x:c>
      <x:c r="N282" s="46" t="str">
        <x:v>trachurus picturatus</x:v>
      </x:c>
      <x:c r="O282" s="62" t="n">
        <x:v>3.32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Trachurus picturatus</x:v>
      </x:c>
      <x:c r="T282" s="62" t="n">
        <x:f>IF(O282="","",(1/'Metadata'!$B$5)^(O282-1))</x:f>
        <x:v>1043.2528743388143</x:v>
      </x:c>
      <x:c r="U282" s="60" t="n">
        <x:f>IF(T282="","",I282*T282)</x:f>
        <x:v>1400.7015838684042</x:v>
      </x:c>
    </x:row>
    <x:row r="283" ht="18" customHeight="1">
      <x:c r="A283" s="46" t="str">
        <x:v>LME_024</x:v>
      </x:c>
      <x:c r="B283" s="46" t="str">
        <x:v>Celtic-Biscay Shelf</x:v>
      </x:c>
      <x:c r="C283" s="46" t="str">
        <x:v>LME</x:v>
      </x:c>
      <x:c r="D283" s="58" t="n">
        <x:v>2019</x:v>
      </x:c>
      <x:c r="E283" s="46" t="str">
        <x:v>Istiophorus albicans</x:v>
      </x:c>
      <x:c r="F283" s="46" t="str">
        <x:v>Atlantic sailfish</x:v>
      </x:c>
      <x:c r="G283" s="46" t="str">
        <x:v>Large pelagics (&gt;=90 cm)</x:v>
      </x:c>
      <x:c r="H283" s="46" t="str">
        <x:v>Tuna &amp; billfishes</x:v>
      </x:c>
      <x:c r="I283" s="60" t="n">
        <x:v>1.3317331025999999</x:v>
      </x:c>
      <x:c r="J283" s="60" t="n">
        <x:v>1.3317331025999999</x:v>
      </x:c>
      <x:c r="K283" s="60" t="n">
        <x:v>0</x:v>
      </x:c>
      <x:c r="L283" s="60" t="n">
        <x:v>1.3317331025999999</x:v>
      </x:c>
      <x:c r="M283" s="60" t="n">
        <x:v>0</x:v>
      </x:c>
      <x:c r="N283" s="46" t="str">
        <x:v>istiophorus albicans</x:v>
      </x:c>
      <x:c r="O283" s="62" t="n">
        <x:v>4.5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Istiophorus albicans</x:v>
      </x:c>
      <x:c r="T283" s="62" t="n">
        <x:f>IF(O283="","",(1/'Metadata'!$B$5)^(O283-1))</x:f>
        <x:v>35777.08763999664</x:v>
      </x:c>
      <x:c r="U283" s="60" t="n">
        <x:f>IF(T283="","",I283*T283)</x:f>
        <x:v>47645.531924804825</x:v>
      </x:c>
    </x:row>
    <x:row r="284" ht="18" customHeight="1">
      <x:c r="A284" s="46" t="str">
        <x:v>LME_024</x:v>
      </x:c>
      <x:c r="B284" s="46" t="str">
        <x:v>Celtic-Biscay Shelf</x:v>
      </x:c>
      <x:c r="C284" s="46" t="str">
        <x:v>LME</x:v>
      </x:c>
      <x:c r="D284" s="58" t="n">
        <x:v>2019</x:v>
      </x:c>
      <x:c r="E284" s="46" t="str">
        <x:v>Acipenser sturio</x:v>
      </x:c>
      <x:c r="F284" s="46" t="str">
        <x:v>Sturgeon</x:v>
      </x:c>
      <x:c r="G284" s="46" t="str">
        <x:v>Large demersals (&gt;=90 cm)</x:v>
      </x:c>
      <x:c r="H284" s="46" t="str">
        <x:v>Other fishes &amp; inverts</x:v>
      </x:c>
      <x:c r="I284" s="60" t="n">
        <x:v>1.3227066361</x:v>
      </x:c>
      <x:c r="J284" s="60" t="n">
        <x:v>1.3227066361</x:v>
      </x:c>
      <x:c r="K284" s="60" t="n">
        <x:v>0</x:v>
      </x:c>
      <x:c r="L284" s="60" t="n">
        <x:v>0.049337719200000005</x:v>
      </x:c>
      <x:c r="M284" s="60" t="n">
        <x:v>1.2733689169</x:v>
      </x:c>
      <x:c r="N284" s="46" t="str">
        <x:v>acipenser sturio</x:v>
      </x:c>
      <x:c r="O284" s="62" t="n">
        <x:v>3.51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Acipenser sturio</x:v>
      </x:c>
      <x:c r="T284" s="62" t="n">
        <x:f>IF(O284="","",(1/'Metadata'!$B$5)^(O284-1))</x:f>
        <x:v>1843.2544417784343</x:v>
      </x:c>
      <x:c r="U284" s="60" t="n">
        <x:f>IF(T284="","",I284*T284)</x:f>
        <x:v>2438.084882161136</x:v>
      </x:c>
    </x:row>
    <x:row r="285" ht="18" customHeight="1">
      <x:c r="A285" s="46" t="str">
        <x:v>LME_024</x:v>
      </x:c>
      <x:c r="B285" s="46" t="str">
        <x:v>Celtic-Biscay Shelf</x:v>
      </x:c>
      <x:c r="C285" s="46" t="str">
        <x:v>LME</x:v>
      </x:c>
      <x:c r="D285" s="58" t="n">
        <x:v>2019</x:v>
      </x:c>
      <x:c r="E285" s="46" t="str">
        <x:v>Palinuridae</x:v>
      </x:c>
      <x:c r="F285" s="46" t="str">
        <x:v>Spiny lobsters</x:v>
      </x:c>
      <x:c r="G285" s="46" t="str">
        <x:v>Lobsters, crabs</x:v>
      </x:c>
      <x:c r="H285" s="46" t="str">
        <x:v>Crustaceans</x:v>
      </x:c>
      <x:c r="I285" s="60" t="n">
        <x:v>1.3056865501000001</x:v>
      </x:c>
      <x:c r="J285" s="60" t="n">
        <x:v>1.3056865501000001</x:v>
      </x:c>
      <x:c r="K285" s="60" t="n">
        <x:v>0</x:v>
      </x:c>
      <x:c r="L285" s="60" t="n">
        <x:v>1.2591356627</x:v>
      </x:c>
      <x:c r="M285" s="60" t="n">
        <x:v>0.0465508874</x:v>
      </x:c>
      <x:c r="N285" s="46" t="str">
        <x:v>palinuridae</x:v>
      </x:c>
      <x:c r="O285" s="62" t="n">
        <x:v>3.14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Palinuridae</x:v>
      </x:c>
      <x:c r="T285" s="62" t="n">
        <x:f>IF(O285="","",(1/'Metadata'!$B$5)^(O285-1))</x:f>
        <x:v>608.420993216597</x:v>
      </x:c>
      <x:c r="U285" s="60" t="n">
        <x:f>IF(T285="","",I285*T285)</x:f>
        <x:v>794.4071076413942</x:v>
      </x:c>
    </x:row>
    <x:row r="286" ht="18" customHeight="1">
      <x:c r="A286" s="46" t="str">
        <x:v>LME_024</x:v>
      </x:c>
      <x:c r="B286" s="46" t="str">
        <x:v>Celtic-Biscay Shelf</x:v>
      </x:c>
      <x:c r="C286" s="46" t="str">
        <x:v>LME</x:v>
      </x:c>
      <x:c r="D286" s="58" t="n">
        <x:v>2019</x:v>
      </x:c>
      <x:c r="E286" s="46" t="str">
        <x:v>Portunidae</x:v>
      </x:c>
      <x:c r="F286" s="46" t="str">
        <x:v>Swimming crabs</x:v>
      </x:c>
      <x:c r="G286" s="46" t="str">
        <x:v>Lobsters, crabs</x:v>
      </x:c>
      <x:c r="H286" s="46" t="str">
        <x:v>Crustaceans</x:v>
      </x:c>
      <x:c r="I286" s="60" t="n">
        <x:v>1.3011494643</x:v>
      </x:c>
      <x:c r="J286" s="60" t="n">
        <x:v>1.2928562247</x:v>
      </x:c>
      <x:c r="K286" s="60" t="n">
        <x:v>0.0082932396</x:v>
      </x:c>
      <x:c r="L286" s="60" t="n">
        <x:v>1.2928063061</x:v>
      </x:c>
      <x:c r="M286" s="60" t="n">
        <x:v>0.0083431582</x:v>
      </x:c>
      <x:c r="N286" s="46" t="str">
        <x:v>portunidae</x:v>
      </x:c>
      <x:c r="O286" s="62" t="n">
        <x:v>3.56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Portunidae</x:v>
      </x:c>
      <x:c r="T286" s="62" t="n">
        <x:f>IF(O286="","",(1/'Metadata'!$B$5)^(O286-1))</x:f>
        <x:v>2141.099198485972</x:v>
      </x:c>
      <x:c r="U286" s="60" t="n">
        <x:f>IF(T286="","",I286*T286)</x:f>
        <x:v>2785.8900751231818</x:v>
      </x:c>
    </x:row>
    <x:row r="287" ht="18" customHeight="1">
      <x:c r="A287" s="46" t="str">
        <x:v>LME_024</x:v>
      </x:c>
      <x:c r="B287" s="46" t="str">
        <x:v>Celtic-Biscay Shelf</x:v>
      </x:c>
      <x:c r="C287" s="46" t="str">
        <x:v>LME</x:v>
      </x:c>
      <x:c r="D287" s="58" t="n">
        <x:v>2019</x:v>
      </x:c>
      <x:c r="E287" s="46" t="str">
        <x:v>Dasyatidae</x:v>
      </x:c>
      <x:c r="F287" s="46" t="str">
        <x:v>Whiptail stingrays</x:v>
      </x:c>
      <x:c r="G287" s="46" t="str">
        <x:v>Large rays (&gt;=90 cm)</x:v>
      </x:c>
      <x:c r="H287" s="46" t="str">
        <x:v>Sharks &amp; rays</x:v>
      </x:c>
      <x:c r="I287" s="60" t="n">
        <x:v>1.2997908868</x:v>
      </x:c>
      <x:c r="J287" s="60" t="n">
        <x:v>1.2997908868</x:v>
      </x:c>
      <x:c r="K287" s="60" t="n">
        <x:v>0</x:v>
      </x:c>
      <x:c r="L287" s="60" t="n">
        <x:v>1.2997908868</x:v>
      </x:c>
      <x:c r="M287" s="60" t="n">
        <x:v>0</x:v>
      </x:c>
      <x:c r="N287" s="46" t="str">
        <x:v>dasyatidae</x:v>
      </x:c>
      <x:c r="O287" s="62" t="n">
        <x:v>3.38</x:v>
      </x:c>
      <x:c r="P287" s="46" t="str">
        <x:v>exact_sea_around_us</x:v>
      </x:c>
      <x:c r="Q287" s="62" t="str">
        <x:v>Sea Around Us exploited organisms</x:v>
      </x:c>
      <x:c r="R287" s="46" t="str">
        <x:v>high</x:v>
      </x:c>
      <x:c r="S287" s="46" t="str">
        <x:v>Dasyatidae</x:v>
      </x:c>
      <x:c r="T287" s="62" t="n">
        <x:f>IF(O287="","",(1/'Metadata'!$B$5)^(O287-1))</x:f>
        <x:v>1248.6806726928048</x:v>
      </x:c>
      <x:c r="U287" s="60" t="n">
        <x:f>IF(T287="","",I287*T287)</x:f>
        <x:v>1623.0237588894015</x:v>
      </x:c>
    </x:row>
    <x:row r="288" ht="18" customHeight="1">
      <x:c r="A288" s="46" t="str">
        <x:v>LME_024</x:v>
      </x:c>
      <x:c r="B288" s="46" t="str">
        <x:v>Celtic-Biscay Shelf</x:v>
      </x:c>
      <x:c r="C288" s="46" t="str">
        <x:v>LME</x:v>
      </x:c>
      <x:c r="D288" s="58" t="n">
        <x:v>2019</x:v>
      </x:c>
      <x:c r="E288" s="46" t="str">
        <x:v>Ostreidae</x:v>
      </x:c>
      <x:c r="F288" s="46" t="str">
        <x:v>True oysters</x:v>
      </x:c>
      <x:c r="G288" s="46" t="str">
        <x:v>Other demersal invertebrates</x:v>
      </x:c>
      <x:c r="H288" s="46" t="str">
        <x:v>Molluscs</x:v>
      </x:c>
      <x:c r="I288" s="60" t="n">
        <x:v>1.1596858816</x:v>
      </x:c>
      <x:c r="J288" s="60" t="n">
        <x:v>1.1596858816</x:v>
      </x:c>
      <x:c r="K288" s="60" t="n">
        <x:v>0</x:v>
      </x:c>
      <x:c r="L288" s="60" t="n">
        <x:v>0</x:v>
      </x:c>
      <x:c r="M288" s="60" t="n">
        <x:v>1.1596858816</x:v>
      </x:c>
      <x:c r="N288" s="46" t="str">
        <x:v>ostreidae</x:v>
      </x:c>
      <x:c r="O288" s="62" t="n">
        <x:v>2</x:v>
      </x:c>
      <x:c r="P288" s="46" t="str">
        <x:v>exact_sea_around_us</x:v>
      </x:c>
      <x:c r="Q288" s="62" t="str">
        <x:v>Sea Around Us exploited organisms</x:v>
      </x:c>
      <x:c r="R288" s="46" t="str">
        <x:v>high</x:v>
      </x:c>
      <x:c r="S288" s="46" t="str">
        <x:v>Ostreidae</x:v>
      </x:c>
      <x:c r="T288" s="62" t="n">
        <x:f>IF(O288="","",(1/'Metadata'!$B$5)^(O288-1))</x:f>
        <x:v>20</x:v>
      </x:c>
      <x:c r="U288" s="60" t="n">
        <x:f>IF(T288="","",I288*T288)</x:f>
        <x:v>23.193717632</x:v>
      </x:c>
    </x:row>
    <x:row r="289" ht="18" customHeight="1">
      <x:c r="A289" s="46" t="str">
        <x:v>LME_024</x:v>
      </x:c>
      <x:c r="B289" s="46" t="str">
        <x:v>Celtic-Biscay Shelf</x:v>
      </x:c>
      <x:c r="C289" s="46" t="str">
        <x:v>LME</x:v>
      </x:c>
      <x:c r="D289" s="58" t="n">
        <x:v>2019</x:v>
      </x:c>
      <x:c r="E289" s="46" t="str">
        <x:v>Amblyraja hyperborea</x:v>
      </x:c>
      <x:c r="F289" s="46" t="str">
        <x:v>Arctic skate</x:v>
      </x:c>
      <x:c r="G289" s="46" t="str">
        <x:v>Small to medium rays (&lt;90 cm)</x:v>
      </x:c>
      <x:c r="H289" s="46" t="str">
        <x:v>Sharks &amp; rays</x:v>
      </x:c>
      <x:c r="I289" s="60" t="n">
        <x:v>1.1202826988</x:v>
      </x:c>
      <x:c r="J289" s="60" t="n">
        <x:v>1.1202826988</x:v>
      </x:c>
      <x:c r="K289" s="60" t="n">
        <x:v>0</x:v>
      </x:c>
      <x:c r="L289" s="60" t="n">
        <x:v>1.1202826988</x:v>
      </x:c>
      <x:c r="M289" s="60" t="n">
        <x:v>0</x:v>
      </x:c>
      <x:c r="N289" s="46" t="str">
        <x:v>amblyraja hyperborea</x:v>
      </x:c>
      <x:c r="O289" s="62" t="n">
        <x:v>4.31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Amblyraja hyperborea</x:v>
      </x:c>
      <x:c r="T289" s="62" t="n">
        <x:f>IF(O289="","",(1/'Metadata'!$B$5)^(O289-1))</x:f>
        <x:v>20249.266010115305</x:v>
      </x:c>
      <x:c r="U289" s="60" t="n">
        <x:f>IF(T289="","",I289*T289)</x:f>
        <x:v>22684.902374531084</x:v>
      </x:c>
    </x:row>
    <x:row r="290" ht="18" customHeight="1">
      <x:c r="A290" s="46" t="str">
        <x:v>LME_024</x:v>
      </x:c>
      <x:c r="B290" s="46" t="str">
        <x:v>Celtic-Biscay Shelf</x:v>
      </x:c>
      <x:c r="C290" s="46" t="str">
        <x:v>LME</x:v>
      </x:c>
      <x:c r="D290" s="58" t="n">
        <x:v>2019</x:v>
      </x:c>
      <x:c r="E290" s="46" t="str">
        <x:v>Alopias</x:v>
      </x:c>
      <x:c r="F290" s="46" t="str">
        <x:v>Thresher sharks</x:v>
      </x:c>
      <x:c r="G290" s="46" t="str">
        <x:v>Large sharks (&gt;=90 cm)</x:v>
      </x:c>
      <x:c r="H290" s="46" t="str">
        <x:v>Sharks &amp; rays</x:v>
      </x:c>
      <x:c r="I290" s="60" t="n">
        <x:v>1.1177706686000002</x:v>
      </x:c>
      <x:c r="J290" s="60" t="n">
        <x:v>1.1177706686000002</x:v>
      </x:c>
      <x:c r="K290" s="60" t="n">
        <x:v>0</x:v>
      </x:c>
      <x:c r="L290" s="60" t="n">
        <x:v>1.1177706686000002</x:v>
      </x:c>
      <x:c r="M290" s="60" t="n">
        <x:v>0</x:v>
      </x:c>
      <x:c r="N290" s="46" t="str">
        <x:v>alopias</x:v>
      </x:c>
      <x:c r="O290" s="62" t="n">
        <x:v>4.5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Alopias</x:v>
      </x:c>
      <x:c r="T290" s="62" t="n">
        <x:f>IF(O290="","",(1/'Metadata'!$B$5)^(O290-1))</x:f>
        <x:v>35777.08763999664</x:v>
      </x:c>
      <x:c r="U290" s="60" t="n">
        <x:f>IF(T290="","",I290*T290)</x:f>
        <x:v>39990.579171919846</x:v>
      </x:c>
    </x:row>
    <x:row r="291" ht="18" customHeight="1">
      <x:c r="A291" s="46" t="str">
        <x:v>LME_024</x:v>
      </x:c>
      <x:c r="B291" s="46" t="str">
        <x:v>Celtic-Biscay Shelf</x:v>
      </x:c>
      <x:c r="C291" s="46" t="str">
        <x:v>LME</x:v>
      </x:c>
      <x:c r="D291" s="58" t="n">
        <x:v>2019</x:v>
      </x:c>
      <x:c r="E291" s="46" t="str">
        <x:v>Epinephelus marginatus</x:v>
      </x:c>
      <x:c r="F291" s="46" t="str">
        <x:v>Dusky grouper</x:v>
      </x:c>
      <x:c r="G291" s="46" t="str">
        <x:v>Large reef assoc. fish (&gt;=90 cm)</x:v>
      </x:c>
      <x:c r="H291" s="46" t="str">
        <x:v>Perch-likes</x:v>
      </x:c>
      <x:c r="I291" s="60" t="n">
        <x:v>1.1174554693</x:v>
      </x:c>
      <x:c r="J291" s="60" t="n">
        <x:v>1.1174554693</x:v>
      </x:c>
      <x:c r="K291" s="60" t="n">
        <x:v>0</x:v>
      </x:c>
      <x:c r="L291" s="60" t="n">
        <x:v>1.1119469111</x:v>
      </x:c>
      <x:c r="M291" s="60" t="n">
        <x:v>0.005508558199999999</x:v>
      </x:c>
      <x:c r="N291" s="46" t="str">
        <x:v>epinephelus marginatus</x:v>
      </x:c>
      <x:c r="O291" s="62" t="n">
        <x:v>4.43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Epinephelus marginatus</x:v>
      </x:c>
      <x:c r="T291" s="62" t="n">
        <x:f>IF(O291="","",(1/'Metadata'!$B$5)^(O291-1))</x:f>
        <x:v>29009.008489223597</x:v>
      </x:c>
      <x:c r="U291" s="60" t="n">
        <x:f>IF(T291="","",I291*T291)</x:f>
        <x:v>32416.27519525304</x:v>
      </x:c>
    </x:row>
    <x:row r="292" ht="18" customHeight="1">
      <x:c r="A292" s="46" t="str">
        <x:v>LME_024</x:v>
      </x:c>
      <x:c r="B292" s="46" t="str">
        <x:v>Celtic-Biscay Shelf</x:v>
      </x:c>
      <x:c r="C292" s="46" t="str">
        <x:v>LME</x:v>
      </x:c>
      <x:c r="D292" s="58" t="n">
        <x:v>2019</x:v>
      </x:c>
      <x:c r="E292" s="46" t="str">
        <x:v>Serranidae</x:v>
      </x:c>
      <x:c r="F292" s="46" t="str">
        <x:v>Basses, groupers, hinds</x:v>
      </x:c>
      <x:c r="G292" s="46" t="str">
        <x:v>Medium reef assoc. fish (30 - 89 cm)</x:v>
      </x:c>
      <x:c r="H292" s="46" t="str">
        <x:v>Perch-likes</x:v>
      </x:c>
      <x:c r="I292" s="60" t="n">
        <x:v>1.0949873106999999</x:v>
      </x:c>
      <x:c r="J292" s="60" t="n">
        <x:v>1.0949873106999999</x:v>
      </x:c>
      <x:c r="K292" s="60" t="n">
        <x:v>0</x:v>
      </x:c>
      <x:c r="L292" s="60" t="n">
        <x:v>1.0949873106999999</x:v>
      </x:c>
      <x:c r="M292" s="60" t="n">
        <x:v>0</x:v>
      </x:c>
      <x:c r="N292" s="46" t="str">
        <x:v>serranidae</x:v>
      </x:c>
      <x:c r="O292" s="62" t="n">
        <x:v>3.98</x:v>
      </x:c>
      <x:c r="P292" s="46" t="str">
        <x:v>exact_sea_around_us</x:v>
      </x:c>
      <x:c r="Q292" s="62" t="str">
        <x:v>Sea Around Us exploited organisms</x:v>
      </x:c>
      <x:c r="R292" s="46" t="str">
        <x:v>high</x:v>
      </x:c>
      <x:c r="S292" s="46" t="str">
        <x:v>Serranidae</x:v>
      </x:c>
      <x:c r="T292" s="62" t="n">
        <x:f>IF(O292="","",(1/'Metadata'!$B$5)^(O292-1))</x:f>
        <x:v>7534.759367064222</x:v>
      </x:c>
      <x:c r="U292" s="60" t="n">
        <x:f>IF(T292="","",I292*T292)</x:f>
        <x:v>8250.465896113286</x:v>
      </x:c>
    </x:row>
    <x:row r="293" ht="18" customHeight="1">
      <x:c r="A293" s="46" t="str">
        <x:v>LME_024</x:v>
      </x:c>
      <x:c r="B293" s="46" t="str">
        <x:v>Celtic-Biscay Shelf</x:v>
      </x:c>
      <x:c r="C293" s="46" t="str">
        <x:v>LME</x:v>
      </x:c>
      <x:c r="D293" s="58" t="n">
        <x:v>2019</x:v>
      </x:c>
      <x:c r="E293" s="46" t="str">
        <x:v>Galeus melastomus</x:v>
      </x:c>
      <x:c r="F293" s="46" t="str">
        <x:v>Blackmouth catshark</x:v>
      </x:c>
      <x:c r="G293" s="46" t="str">
        <x:v>Small to medium sharks (&lt;90 cm)</x:v>
      </x:c>
      <x:c r="H293" s="46" t="str">
        <x:v>Sharks &amp; rays</x:v>
      </x:c>
      <x:c r="I293" s="60" t="n">
        <x:v>1.0777503438</x:v>
      </x:c>
      <x:c r="J293" s="60" t="n">
        <x:v>1.0777503438</x:v>
      </x:c>
      <x:c r="K293" s="60" t="n">
        <x:v>0</x:v>
      </x:c>
      <x:c r="L293" s="60" t="n">
        <x:v>0.9754552666999999</x:v>
      </x:c>
      <x:c r="M293" s="60" t="n">
        <x:v>0.1022950771</x:v>
      </x:c>
      <x:c r="N293" s="46" t="str">
        <x:v>galeus melastomus</x:v>
      </x:c>
      <x:c r="O293" s="62" t="n">
        <x:v>4.17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Galeus melastomus</x:v>
      </x:c>
      <x:c r="T293" s="62" t="n">
        <x:f>IF(O293="","",(1/'Metadata'!$B$5)^(O293-1))</x:f>
        <x:v>13312.667535064244</x:v>
      </x:c>
      <x:c r="U293" s="60" t="n">
        <x:f>IF(T293="","",I293*T293)</x:f>
        <x:v>14347.732012810588</x:v>
      </x:c>
    </x:row>
    <x:row r="294" ht="18" customHeight="1">
      <x:c r="A294" s="46" t="str">
        <x:v>LME_024</x:v>
      </x:c>
      <x:c r="B294" s="46" t="str">
        <x:v>Celtic-Biscay Shelf</x:v>
      </x:c>
      <x:c r="C294" s="46" t="str">
        <x:v>LME</x:v>
      </x:c>
      <x:c r="D294" s="58" t="n">
        <x:v>2019</x:v>
      </x:c>
      <x:c r="E294" s="46" t="str">
        <x:v>Anomura</x:v>
      </x:c>
      <x:c r="F294" s="46" t="str">
        <x:v>Craylets, squat lobsters, hermits</x:v>
      </x:c>
      <x:c r="G294" s="46" t="str">
        <x:v>Lobsters, crabs</x:v>
      </x:c>
      <x:c r="H294" s="46" t="str">
        <x:v>Crustaceans</x:v>
      </x:c>
      <x:c r="I294" s="60" t="n">
        <x:v>1.042656563</x:v>
      </x:c>
      <x:c r="J294" s="60" t="n">
        <x:v>1.042656563</x:v>
      </x:c>
      <x:c r="K294" s="60" t="n">
        <x:v>0</x:v>
      </x:c>
      <x:c r="L294" s="60" t="n">
        <x:v>1.042656563</x:v>
      </x:c>
      <x:c r="M294" s="60" t="n">
        <x:v>0</x:v>
      </x:c>
      <x:c r="N294" s="46" t="str">
        <x:v>anomura</x:v>
      </x:c>
      <x:c r="O294" s="62" t="n">
        <x:v>3.1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Anomura</x:v>
      </x:c>
      <x:c r="T294" s="62" t="n">
        <x:f>IF(O294="","",(1/'Metadata'!$B$5)^(O294-1))</x:f>
        <x:v>539.7131390694254</x:v>
      </x:c>
      <x:c r="U294" s="60" t="n">
        <x:f>IF(T294="","",I294*T294)</x:f>
        <x:v>562.7354465880682</x:v>
      </x:c>
    </x:row>
    <x:row r="295" ht="18" customHeight="1">
      <x:c r="A295" s="46" t="str">
        <x:v>LME_024</x:v>
      </x:c>
      <x:c r="B295" s="46" t="str">
        <x:v>Celtic-Biscay Shelf</x:v>
      </x:c>
      <x:c r="C295" s="46" t="str">
        <x:v>LME</x:v>
      </x:c>
      <x:c r="D295" s="58" t="n">
        <x:v>2019</x:v>
      </x:c>
      <x:c r="E295" s="46" t="str">
        <x:v>Lamna nasus</x:v>
      </x:c>
      <x:c r="F295" s="46" t="str">
        <x:v>Porbeagle</x:v>
      </x:c>
      <x:c r="G295" s="46" t="str">
        <x:v>Large sharks (&gt;=90 cm)</x:v>
      </x:c>
      <x:c r="H295" s="46" t="str">
        <x:v>Sharks &amp; rays</x:v>
      </x:c>
      <x:c r="I295" s="60" t="n">
        <x:v>1.0068849735</x:v>
      </x:c>
      <x:c r="J295" s="60" t="n">
        <x:v>1.0068849735</x:v>
      </x:c>
      <x:c r="K295" s="60" t="n">
        <x:v>0</x:v>
      </x:c>
      <x:c r="L295" s="60" t="n">
        <x:v>0.0514231858</x:v>
      </x:c>
      <x:c r="M295" s="60" t="n">
        <x:v>0.9554617877</x:v>
      </x:c>
      <x:c r="N295" s="46" t="str">
        <x:v>lamna nasus</x:v>
      </x:c>
      <x:c r="O295" s="62" t="n">
        <x:v>4.57</x:v>
      </x:c>
      <x:c r="P295" s="46" t="str">
        <x:v>exact_2020_supplement</x:v>
      </x:c>
      <x:c r="Q295" s="62" t="str">
        <x:v>2020 supplement MeanTL</x:v>
      </x:c>
      <x:c r="R295" s="46" t="str">
        <x:v>high</x:v>
      </x:c>
      <x:c r="S295" s="46" t="str">
        <x:v>Lamna nasus</x:v>
      </x:c>
      <x:c r="T295" s="62" t="n">
        <x:f>IF(O295="","",(1/'Metadata'!$B$5)^(O295-1))</x:f>
        <x:v>44124.224393105345</x:v>
      </x:c>
      <x:c r="U295" s="60" t="n">
        <x:f>IF(T295="","",I295*T295)</x:f>
        <x:v>44428.01850875993</x:v>
      </x:c>
    </x:row>
    <x:row r="296" ht="18" customHeight="1">
      <x:c r="A296" s="46" t="str">
        <x:v>LME_024</x:v>
      </x:c>
      <x:c r="B296" s="46" t="str">
        <x:v>Celtic-Biscay Shelf</x:v>
      </x:c>
      <x:c r="C296" s="46" t="str">
        <x:v>LME</x:v>
      </x:c>
      <x:c r="D296" s="58" t="n">
        <x:v>2019</x:v>
      </x:c>
      <x:c r="E296" s="46" t="str">
        <x:v>Dentex</x:v>
      </x:c>
      <x:c r="F296" s="46" t="str">
        <x:v>Toothed seabreams</x:v>
      </x:c>
      <x:c r="G296" s="46" t="str">
        <x:v>Large benthopelagics (&gt;=90 cm)</x:v>
      </x:c>
      <x:c r="H296" s="46" t="str">
        <x:v>Perch-likes</x:v>
      </x:c>
      <x:c r="I296" s="60" t="n">
        <x:v>1.0041947816</x:v>
      </x:c>
      <x:c r="J296" s="60" t="n">
        <x:v>1.0041947816</x:v>
      </x:c>
      <x:c r="K296" s="60" t="n">
        <x:v>0</x:v>
      </x:c>
      <x:c r="L296" s="60" t="n">
        <x:v>1.0041905578</x:v>
      </x:c>
      <x:c r="M296" s="60" t="n">
        <x:v>0.0000042238</x:v>
      </x:c>
      <x:c r="N296" s="46" t="str">
        <x:v>dentex</x:v>
      </x:c>
      <x:c r="O296" s="62" t="n">
        <x:v>3.96</x:v>
      </x:c>
      <x:c r="P296" s="46" t="str">
        <x:v>exact_sea_around_us</x:v>
      </x:c>
      <x:c r="Q296" s="62" t="str">
        <x:v>Sea Around Us exploited organisms</x:v>
      </x:c>
      <x:c r="R296" s="46" t="str">
        <x:v>high</x:v>
      </x:c>
      <x:c r="S296" s="46" t="str">
        <x:v>Dentex</x:v>
      </x:c>
      <x:c r="T296" s="62" t="n">
        <x:f>IF(O296="","",(1/'Metadata'!$B$5)^(O296-1))</x:f>
        <x:v>7096.574839945253</x:v>
      </x:c>
      <x:c r="U296" s="60" t="n">
        <x:f>IF(T296="","",I296*T296)</x:f>
        <x:v>7126.343421506879</x:v>
      </x:c>
    </x:row>
    <x:row r="297" ht="18" customHeight="1">
      <x:c r="A297" s="46" t="str">
        <x:v>LME_024</x:v>
      </x:c>
      <x:c r="B297" s="46" t="str">
        <x:v>Celtic-Biscay Shelf</x:v>
      </x:c>
      <x:c r="C297" s="46" t="str">
        <x:v>LME</x:v>
      </x:c>
      <x:c r="D297" s="58" t="n">
        <x:v>2019</x:v>
      </x:c>
      <x:c r="E297" s="46" t="str">
        <x:v>Alloteuthis subulata</x:v>
      </x:c>
      <x:c r="F297" s="46" t="str">
        <x:v>European common squid</x:v>
      </x:c>
      <x:c r="G297" s="46" t="str">
        <x:v>Cephalopods</x:v>
      </x:c>
      <x:c r="H297" s="46" t="str">
        <x:v>Other fishes &amp; inverts</x:v>
      </x:c>
      <x:c r="I297" s="60" t="n">
        <x:v>0.9951597656</x:v>
      </x:c>
      <x:c r="J297" s="60" t="n">
        <x:v>0.9951597656</x:v>
      </x:c>
      <x:c r="K297" s="60" t="n">
        <x:v>0</x:v>
      </x:c>
      <x:c r="L297" s="60" t="n">
        <x:v>0.9513027084</x:v>
      </x:c>
      <x:c r="M297" s="60" t="n">
        <x:v>0.0438570572</x:v>
      </x:c>
      <x:c r="N297" s="46" t="str">
        <x:v>alloteuthis subulata</x:v>
      </x:c>
      <x:c r="O297" s="62" t="n">
        <x:v>4.5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Alloteuthis subulata</x:v>
      </x:c>
      <x:c r="T297" s="62" t="n">
        <x:f>IF(O297="","",(1/'Metadata'!$B$5)^(O297-1))</x:f>
        <x:v>35777.08763999664</x:v>
      </x:c>
      <x:c r="U297" s="60" t="n">
        <x:f>IF(T297="","",I297*T297)</x:f>
        <x:v>35603.918149669706</x:v>
      </x:c>
    </x:row>
    <x:row r="298" ht="18" customHeight="1">
      <x:c r="A298" s="46" t="str">
        <x:v>LME_024</x:v>
      </x:c>
      <x:c r="B298" s="46" t="str">
        <x:v>Celtic-Biscay Shelf</x:v>
      </x:c>
      <x:c r="C298" s="46" t="str">
        <x:v>LME</x:v>
      </x:c>
      <x:c r="D298" s="58" t="n">
        <x:v>2019</x:v>
      </x:c>
      <x:c r="E298" s="46" t="str">
        <x:v>Caranx hippos</x:v>
      </x:c>
      <x:c r="F298" s="46" t="str">
        <x:v>Crevalle jack</x:v>
      </x:c>
      <x:c r="G298" s="46" t="str">
        <x:v>Large reef assoc. fish (&gt;=90 cm)</x:v>
      </x:c>
      <x:c r="H298" s="46" t="str">
        <x:v>Perch-likes</x:v>
      </x:c>
      <x:c r="I298" s="60" t="n">
        <x:v>0.9531595074</x:v>
      </x:c>
      <x:c r="J298" s="60" t="n">
        <x:v>0.9531595074</x:v>
      </x:c>
      <x:c r="K298" s="60" t="n">
        <x:v>0</x:v>
      </x:c>
      <x:c r="L298" s="60" t="n">
        <x:v>0.9531595074</x:v>
      </x:c>
      <x:c r="M298" s="60" t="n">
        <x:v>0</x:v>
      </x:c>
      <x:c r="N298" s="46" t="str">
        <x:v>caranx hippos</x:v>
      </x:c>
      <x:c r="O298" s="62" t="n">
        <x:v>3.56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Caranx hippos</x:v>
      </x:c>
      <x:c r="T298" s="62" t="n">
        <x:f>IF(O298="","",(1/'Metadata'!$B$5)^(O298-1))</x:f>
        <x:v>2141.099198485972</x:v>
      </x:c>
      <x:c r="U298" s="60" t="n">
        <x:f>IF(T298="","",I298*T298)</x:f>
        <x:v>2040.809057323424</x:v>
      </x:c>
    </x:row>
    <x:row r="299" ht="18" customHeight="1">
      <x:c r="A299" s="46" t="str">
        <x:v>LME_024</x:v>
      </x:c>
      <x:c r="B299" s="46" t="str">
        <x:v>Celtic-Biscay Shelf</x:v>
      </x:c>
      <x:c r="C299" s="46" t="str">
        <x:v>LME</x:v>
      </x:c>
      <x:c r="D299" s="58" t="n">
        <x:v>2019</x:v>
      </x:c>
      <x:c r="E299" s="46" t="str">
        <x:v>Oblada melanurus</x:v>
      </x:c>
      <x:c r="F299" s="46" t="str">
        <x:v>Saddled seabream</x:v>
      </x:c>
      <x:c r="G299" s="46" t="str">
        <x:v>Small benthopelagics (&lt;30 cm)</x:v>
      </x:c>
      <x:c r="H299" s="46" t="str">
        <x:v>Perch-likes</x:v>
      </x:c>
      <x:c r="I299" s="60" t="n">
        <x:v>0.8439409294000001</x:v>
      </x:c>
      <x:c r="J299" s="60" t="n">
        <x:v>0.8439409294000001</x:v>
      </x:c>
      <x:c r="K299" s="60" t="n">
        <x:v>0</x:v>
      </x:c>
      <x:c r="L299" s="60" t="n">
        <x:v>0.8437665269000001</x:v>
      </x:c>
      <x:c r="M299" s="60" t="n">
        <x:v>0.0001744025</x:v>
      </x:c>
      <x:c r="N299" s="46" t="str">
        <x:v>oblada melanurus</x:v>
      </x:c>
      <x:c r="O299" s="62" t="n">
        <x:v>3.38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Oblada melanurus</x:v>
      </x:c>
      <x:c r="T299" s="62" t="n">
        <x:f>IF(O299="","",(1/'Metadata'!$B$5)^(O299-1))</x:f>
        <x:v>1248.6806726928048</x:v>
      </x:c>
      <x:c r="U299" s="60" t="n">
        <x:f>IF(T299="","",I299*T299)</x:f>
        <x:v>1053.812727436183</x:v>
      </x:c>
    </x:row>
    <x:row r="300" ht="18" customHeight="1">
      <x:c r="A300" s="46" t="str">
        <x:v>LME_024</x:v>
      </x:c>
      <x:c r="B300" s="46" t="str">
        <x:v>Celtic-Biscay Shelf</x:v>
      </x:c>
      <x:c r="C300" s="46" t="str">
        <x:v>LME</x:v>
      </x:c>
      <x:c r="D300" s="58" t="n">
        <x:v>2019</x:v>
      </x:c>
      <x:c r="E300" s="46" t="str">
        <x:v>Pagellus</x:v>
      </x:c>
      <x:c r="F300" s="46" t="str">
        <x:v>Pandoras</x:v>
      </x:c>
      <x:c r="G300" s="46" t="str">
        <x:v>Medium benthopelagics (30 - 89 cm)</x:v>
      </x:c>
      <x:c r="H300" s="46" t="str">
        <x:v>Perch-likes</x:v>
      </x:c>
      <x:c r="I300" s="60" t="n">
        <x:v>0.8150505597</x:v>
      </x:c>
      <x:c r="J300" s="60" t="n">
        <x:v>0.8150505597</x:v>
      </x:c>
      <x:c r="K300" s="60" t="n">
        <x:v>0</x:v>
      </x:c>
      <x:c r="L300" s="60" t="n">
        <x:v>0.8150138311999999</x:v>
      </x:c>
      <x:c r="M300" s="60" t="n">
        <x:v>0.0000367285</x:v>
      </x:c>
      <x:c r="N300" s="46" t="str">
        <x:v>pagellus</x:v>
      </x:c>
      <x:c r="O300" s="62" t="n">
        <x:v>3.44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Pagellus</x:v>
      </x:c>
      <x:c r="T300" s="62" t="n">
        <x:f>IF(O300="","",(1/'Metadata'!$B$5)^(O300-1))</x:f>
        <x:v>1494.5594310916586</x:v>
      </x:c>
      <x:c r="U300" s="60" t="n">
        <x:f>IF(T300="","",I300*T300)</x:f>
        <x:v>1218.1415008161698</x:v>
      </x:c>
    </x:row>
    <x:row r="301" ht="18" customHeight="1">
      <x:c r="A301" s="46" t="str">
        <x:v>LME_024</x:v>
      </x:c>
      <x:c r="B301" s="46" t="str">
        <x:v>Celtic-Biscay Shelf</x:v>
      </x:c>
      <x:c r="C301" s="46" t="str">
        <x:v>LME</x:v>
      </x:c>
      <x:c r="D301" s="58" t="n">
        <x:v>2019</x:v>
      </x:c>
      <x:c r="E301" s="46" t="str">
        <x:v>Trachichthyidae</x:v>
      </x:c>
      <x:c r="F301" s="46" t="str">
        <x:v>Slimeheads</x:v>
      </x:c>
      <x:c r="G301" s="46" t="str">
        <x:v>Medium bathypelagics (30 - 89 cm)</x:v>
      </x:c>
      <x:c r="H301" s="46" t="str">
        <x:v>Other fishes &amp; inverts</x:v>
      </x:c>
      <x:c r="I301" s="60" t="n">
        <x:v>0.7362398234</x:v>
      </x:c>
      <x:c r="J301" s="60" t="n">
        <x:v>0.7362398234</x:v>
      </x:c>
      <x:c r="K301" s="60" t="n">
        <x:v>0</x:v>
      </x:c>
      <x:c r="L301" s="60" t="n">
        <x:v>0.7362132937</x:v>
      </x:c>
      <x:c r="M301" s="60" t="n">
        <x:v>0.0000265297</x:v>
      </x:c>
      <x:c r="N301" s="46" t="str">
        <x:v>trachichthyidae</x:v>
      </x:c>
      <x:c r="O301" s="62" t="n">
        <x:v>3.72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Trachichthyidae</x:v>
      </x:c>
      <x:c r="T301" s="62" t="n">
        <x:f>IF(O301="","",(1/'Metadata'!$B$5)^(O301-1))</x:f>
        <x:v>3457.8136804537753</x:v>
      </x:c>
      <x:c r="U301" s="60" t="n">
        <x:f>IF(T301="","",I301*T301)</x:f>
        <x:v>2545.7801334473916</x:v>
      </x:c>
    </x:row>
    <x:row r="302" ht="18" customHeight="1">
      <x:c r="A302" s="46" t="str">
        <x:v>LME_024</x:v>
      </x:c>
      <x:c r="B302" s="46" t="str">
        <x:v>Celtic-Biscay Shelf</x:v>
      </x:c>
      <x:c r="C302" s="46" t="str">
        <x:v>LME</x:v>
      </x:c>
      <x:c r="D302" s="58" t="n">
        <x:v>2019</x:v>
      </x:c>
      <x:c r="E302" s="46" t="str">
        <x:v>Zenopsis conchifer</x:v>
      </x:c>
      <x:c r="F302" s="46" t="str">
        <x:v>Silvery John dory</x:v>
      </x:c>
      <x:c r="G302" s="46" t="str">
        <x:v>Medium benthopelagics (30 - 89 cm)</x:v>
      </x:c>
      <x:c r="H302" s="46" t="str">
        <x:v>Other fishes &amp; inverts</x:v>
      </x:c>
      <x:c r="I302" s="60" t="n">
        <x:v>0.7161937844</x:v>
      </x:c>
      <x:c r="J302" s="60" t="n">
        <x:v>0.7161937844</x:v>
      </x:c>
      <x:c r="K302" s="60" t="n">
        <x:v>0</x:v>
      </x:c>
      <x:c r="L302" s="60" t="n">
        <x:v>0.7161937844</x:v>
      </x:c>
      <x:c r="M302" s="60" t="n">
        <x:v>0</x:v>
      </x:c>
      <x:c r="N302" s="46" t="str">
        <x:v>zenopsis conchifer</x:v>
      </x:c>
      <x:c r="O302" s="62" t="n">
        <x:v>4.5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Zenopsis conchifer</x:v>
      </x:c>
      <x:c r="T302" s="62" t="n">
        <x:f>IF(O302="","",(1/'Metadata'!$B$5)^(O302-1))</x:f>
        <x:v>35777.08763999664</x:v>
      </x:c>
      <x:c r="U302" s="60" t="n">
        <x:f>IF(T302="","",I302*T302)</x:f>
        <x:v>25623.327791699656</x:v>
      </x:c>
    </x:row>
    <x:row r="303" ht="18" customHeight="1">
      <x:c r="A303" s="46" t="str">
        <x:v>LME_024</x:v>
      </x:c>
      <x:c r="B303" s="46" t="str">
        <x:v>Celtic-Biscay Shelf</x:v>
      </x:c>
      <x:c r="C303" s="46" t="str">
        <x:v>LME</x:v>
      </x:c>
      <x:c r="D303" s="58" t="n">
        <x:v>2019</x:v>
      </x:c>
      <x:c r="E303" s="46" t="str">
        <x:v>Scorpaena notata</x:v>
      </x:c>
      <x:c r="F303" s="46" t="str">
        <x:v>Small red scorpionfish</x:v>
      </x:c>
      <x:c r="G303" s="46" t="str">
        <x:v>Large reef assoc. fish (&gt;=90 cm)</x:v>
      </x:c>
      <x:c r="H303" s="46" t="str">
        <x:v>Scorpionfishes</x:v>
      </x:c>
      <x:c r="I303" s="60" t="n">
        <x:v>0.7123754193</x:v>
      </x:c>
      <x:c r="J303" s="60" t="n">
        <x:v>0.7123754193</x:v>
      </x:c>
      <x:c r="K303" s="60" t="n">
        <x:v>0</x:v>
      </x:c>
      <x:c r="L303" s="60" t="n">
        <x:v>0.7123754193</x:v>
      </x:c>
      <x:c r="M303" s="60" t="n">
        <x:v>0</x:v>
      </x:c>
      <x:c r="N303" s="46" t="str">
        <x:v>scorpaena notata</x:v>
      </x:c>
      <x:c r="O303" s="62" t="n">
        <x:v>3.7</x:v>
      </x:c>
      <x:c r="P303" s="46" t="str">
        <x:v>exact_2020_supplement</x:v>
      </x:c>
      <x:c r="Q303" s="62" t="str">
        <x:v>2020 supplement MeanTL</x:v>
      </x:c>
      <x:c r="R303" s="46" t="str">
        <x:v>high</x:v>
      </x:c>
      <x:c r="S303" s="46" t="str">
        <x:v>Scorpaena notata</x:v>
      </x:c>
      <x:c r="T303" s="62" t="n">
        <x:f>IF(O303="","",(1/'Metadata'!$B$5)^(O303-1))</x:f>
        <x:v>3256.724252295237</x:v>
      </x:c>
      <x:c r="U303" s="60" t="n">
        <x:f>IF(T303="","",I303*T303)</x:f>
        <x:v>2320.0103047732987</x:v>
      </x:c>
    </x:row>
    <x:row r="304" ht="18" customHeight="1">
      <x:c r="A304" s="46" t="str">
        <x:v>LME_024</x:v>
      </x:c>
      <x:c r="B304" s="46" t="str">
        <x:v>Celtic-Biscay Shelf</x:v>
      </x:c>
      <x:c r="C304" s="46" t="str">
        <x:v>LME</x:v>
      </x:c>
      <x:c r="D304" s="58" t="n">
        <x:v>2019</x:v>
      </x:c>
      <x:c r="E304" s="46" t="str">
        <x:v>Malacostraca</x:v>
      </x:c>
      <x:c r="F304" s="46" t="str">
        <x:v>Lobsters, crabs, shrimps, krill</x:v>
      </x:c>
      <x:c r="G304" s="46" t="str">
        <x:v>Shrimps</x:v>
      </x:c>
      <x:c r="H304" s="46" t="str">
        <x:v>Crustaceans</x:v>
      </x:c>
      <x:c r="I304" s="60" t="n">
        <x:v>0.7003463138</x:v>
      </x:c>
      <x:c r="J304" s="60" t="n">
        <x:v>0.7003463138</x:v>
      </x:c>
      <x:c r="K304" s="60" t="n">
        <x:v>0</x:v>
      </x:c>
      <x:c r="L304" s="60" t="n">
        <x:v>0.7003463138</x:v>
      </x:c>
      <x:c r="M304" s="60" t="n">
        <x:v>0</x:v>
      </x:c>
      <x:c r="N304" s="46" t="str">
        <x:v>malacostraca</x:v>
      </x:c>
      <x:c r="O304" s="62" t="n">
        <x:v>3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Malacostraca</x:v>
      </x:c>
      <x:c r="T304" s="62" t="n">
        <x:f>IF(O304="","",(1/'Metadata'!$B$5)^(O304-1))</x:f>
        <x:v>400</x:v>
      </x:c>
      <x:c r="U304" s="60" t="n">
        <x:f>IF(T304="","",I304*T304)</x:f>
        <x:v>280.13852552000003</x:v>
      </x:c>
    </x:row>
    <x:row r="305" ht="18" customHeight="1">
      <x:c r="A305" s="46" t="str">
        <x:v>LME_024</x:v>
      </x:c>
      <x:c r="B305" s="46" t="str">
        <x:v>Celtic-Biscay Shelf</x:v>
      </x:c>
      <x:c r="C305" s="46" t="str">
        <x:v>LME</x:v>
      </x:c>
      <x:c r="D305" s="58" t="n">
        <x:v>2019</x:v>
      </x:c>
      <x:c r="E305" s="46" t="str">
        <x:v>Miscellaneous aquatic invertebrates</x:v>
      </x:c>
      <x:c r="F305" s="46" t="str">
        <x:v>Aquatic invertebrates</x:v>
      </x:c>
      <x:c r="G305" s="46" t="str">
        <x:v>Other demersal invertebrates</x:v>
      </x:c>
      <x:c r="H305" s="46" t="str">
        <x:v>Other fishes &amp; inverts</x:v>
      </x:c>
      <x:c r="I305" s="60" t="n">
        <x:v>0.6911075189</x:v>
      </x:c>
      <x:c r="J305" s="60" t="n">
        <x:v>0.6858192165</x:v>
      </x:c>
      <x:c r="K305" s="60" t="n">
        <x:v>0.0052883024</x:v>
      </x:c>
      <x:c r="L305" s="60" t="n">
        <x:v>0.3168306282</x:v>
      </x:c>
      <x:c r="M305" s="60" t="n">
        <x:v>0.37427689070000003</x:v>
      </x:c>
      <x:c r="N305" s="46" t="str">
        <x:v>miscellaneous aquatic invertebrates</x:v>
      </x:c>
      <x:c r="O305" s="62" t="n">
        <x:v>2.43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Miscellaneous aquatic invertebrates</x:v>
      </x:c>
      <x:c r="T305" s="62" t="n">
        <x:f>IF(O305="","",(1/'Metadata'!$B$5)^(O305-1))</x:f>
        <x:v>72.52252122305909</x:v>
      </x:c>
      <x:c r="U305" s="60" t="n">
        <x:f>IF(T305="","",I305*T305)</x:f>
        <x:v>50.12085970684096</x:v>
      </x:c>
    </x:row>
    <x:row r="306" ht="18" customHeight="1">
      <x:c r="A306" s="46" t="str">
        <x:v>LME_024</x:v>
      </x:c>
      <x:c r="B306" s="46" t="str">
        <x:v>Celtic-Biscay Shelf</x:v>
      </x:c>
      <x:c r="C306" s="46" t="str">
        <x:v>LME</x:v>
      </x:c>
      <x:c r="D306" s="58" t="n">
        <x:v>2019</x:v>
      </x:c>
      <x:c r="E306" s="46" t="str">
        <x:v>Pandalidae</x:v>
      </x:c>
      <x:c r="F306" s="46" t="str">
        <x:v>Northern shrimps</x:v>
      </x:c>
      <x:c r="G306" s="46" t="str">
        <x:v>Shrimps</x:v>
      </x:c>
      <x:c r="H306" s="46" t="str">
        <x:v>Crustaceans</x:v>
      </x:c>
      <x:c r="I306" s="60" t="n">
        <x:v>0.6837044486</x:v>
      </x:c>
      <x:c r="J306" s="60" t="n">
        <x:v>0.6837044486</x:v>
      </x:c>
      <x:c r="K306" s="60" t="n">
        <x:v>0</x:v>
      </x:c>
      <x:c r="L306" s="60" t="n">
        <x:v>0.6837044486</x:v>
      </x:c>
      <x:c r="M306" s="60" t="n">
        <x:v>0</x:v>
      </x:c>
      <x:c r="N306" s="46" t="str">
        <x:v>pandalidae</x:v>
      </x:c>
      <x:c r="O306" s="62" t="n">
        <x:v>2.7</x:v>
      </x:c>
      <x:c r="P306" s="46" t="str">
        <x:v>exact_sea_around_us</x:v>
      </x:c>
      <x:c r="Q306" s="62" t="str">
        <x:v>Sea Around Us exploited organisms</x:v>
      </x:c>
      <x:c r="R306" s="46" t="str">
        <x:v>high</x:v>
      </x:c>
      <x:c r="S306" s="46" t="str">
        <x:v>Pandalidae</x:v>
      </x:c>
      <x:c r="T306" s="62" t="n">
        <x:f>IF(O306="","",(1/'Metadata'!$B$5)^(O306-1))</x:f>
        <x:v>162.83621261476185</x:v>
      </x:c>
      <x:c r="U306" s="60" t="n">
        <x:f>IF(T306="","",I306*T306)</x:f>
        <x:v>111.33184295788811</x:v>
      </x:c>
    </x:row>
    <x:row r="307" ht="18" customHeight="1">
      <x:c r="A307" s="46" t="str">
        <x:v>LME_024</x:v>
      </x:c>
      <x:c r="B307" s="46" t="str">
        <x:v>Celtic-Biscay Shelf</x:v>
      </x:c>
      <x:c r="C307" s="46" t="str">
        <x:v>LME</x:v>
      </x:c>
      <x:c r="D307" s="58" t="n">
        <x:v>2019</x:v>
      </x:c>
      <x:c r="E307" s="46" t="str">
        <x:v>Callista chione</x:v>
      </x:c>
      <x:c r="F307" s="46" t="str">
        <x:v>Smooth callista</x:v>
      </x:c>
      <x:c r="G307" s="46" t="str">
        <x:v>Other demersal invertebrates</x:v>
      </x:c>
      <x:c r="H307" s="46" t="str">
        <x:v>Molluscs</x:v>
      </x:c>
      <x:c r="I307" s="60" t="n">
        <x:v>0.6733462163</x:v>
      </x:c>
      <x:c r="J307" s="60" t="n">
        <x:v>0.6733462163</x:v>
      </x:c>
      <x:c r="K307" s="60" t="n">
        <x:v>0</x:v>
      </x:c>
      <x:c r="L307" s="60" t="n">
        <x:v>0.5482145605</x:v>
      </x:c>
      <x:c r="M307" s="60" t="n">
        <x:v>0.1251316558</x:v>
      </x:c>
      <x:c r="N307" s="46" t="str">
        <x:v>callista chione</x:v>
      </x:c>
      <x:c r="O307" s="62" t="n">
        <x:v>2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Callista chione</x:v>
      </x:c>
      <x:c r="T307" s="62" t="n">
        <x:f>IF(O307="","",(1/'Metadata'!$B$5)^(O307-1))</x:f>
        <x:v>20</x:v>
      </x:c>
      <x:c r="U307" s="60" t="n">
        <x:f>IF(T307="","",I307*T307)</x:f>
        <x:v>13.466924326000001</x:v>
      </x:c>
    </x:row>
    <x:row r="308" ht="18" customHeight="1">
      <x:c r="A308" s="46" t="str">
        <x:v>LME_024</x:v>
      </x:c>
      <x:c r="B308" s="46" t="str">
        <x:v>Celtic-Biscay Shelf</x:v>
      </x:c>
      <x:c r="C308" s="46" t="str">
        <x:v>LME</x:v>
      </x:c>
      <x:c r="D308" s="58" t="n">
        <x:v>2019</x:v>
      </x:c>
      <x:c r="E308" s="46" t="str">
        <x:v>Dendrobranchiata</x:v>
      </x:c>
      <x:c r="F308" s="46" t="str">
        <x:v>Shrimps and prawns</x:v>
      </x:c>
      <x:c r="G308" s="46" t="str">
        <x:v>Shrimps</x:v>
      </x:c>
      <x:c r="H308" s="46" t="str">
        <x:v>Crustaceans</x:v>
      </x:c>
      <x:c r="I308" s="60" t="n">
        <x:v>0.6575373274</x:v>
      </x:c>
      <x:c r="J308" s="60" t="n">
        <x:v>0.6575373274</x:v>
      </x:c>
      <x:c r="K308" s="60" t="n">
        <x:v>0</x:v>
      </x:c>
      <x:c r="L308" s="60" t="n">
        <x:v>0.1035278121</x:v>
      </x:c>
      <x:c r="M308" s="60" t="n">
        <x:v>0.5540095153</x:v>
      </x:c>
      <x:c r="N308" s="46" t="str">
        <x:v>dendrobranchiata</x:v>
      </x:c>
      <x:c r="O308" s="62" t="n">
        <x:v>3.24</x:v>
      </x:c>
      <x:c r="P308" s="46" t="str">
        <x:v>exact_sea_around_us</x:v>
      </x:c>
      <x:c r="Q308" s="62" t="str">
        <x:v>Sea Around Us exploited organisms</x:v>
      </x:c>
      <x:c r="R308" s="46" t="str">
        <x:v>high</x:v>
      </x:c>
      <x:c r="S308" s="46" t="str">
        <x:v>Dendrobranchiata</x:v>
      </x:c>
      <x:c r="T308" s="62" t="n">
        <x:f>IF(O308="","",(1/'Metadata'!$B$5)^(O308-1))</x:f>
        <x:v>820.9320103116679</x:v>
      </x:c>
      <x:c r="U308" s="60" t="n">
        <x:f>IF(T308="","",I308*T308)</x:f>
        <x:v>539.7934400374434</x:v>
      </x:c>
    </x:row>
    <x:row r="309" ht="18" customHeight="1">
      <x:c r="A309" s="46" t="str">
        <x:v>LME_024</x:v>
      </x:c>
      <x:c r="B309" s="46" t="str">
        <x:v>Celtic-Biscay Shelf</x:v>
      </x:c>
      <x:c r="C309" s="46" t="str">
        <x:v>LME</x:v>
      </x:c>
      <x:c r="D309" s="58" t="n">
        <x:v>2019</x:v>
      </x:c>
      <x:c r="E309" s="46" t="str">
        <x:v>Liocarcinus depurator</x:v>
      </x:c>
      <x:c r="F309" s="46" t="str">
        <x:v>Blueleg swimcrab</x:v>
      </x:c>
      <x:c r="G309" s="46" t="str">
        <x:v>Lobsters, crabs</x:v>
      </x:c>
      <x:c r="H309" s="46" t="str">
        <x:v>Crustaceans</x:v>
      </x:c>
      <x:c r="I309" s="60" t="n">
        <x:v>0.5654449433000001</x:v>
      </x:c>
      <x:c r="J309" s="60" t="n">
        <x:v>0.5654449433000001</x:v>
      </x:c>
      <x:c r="K309" s="60" t="n">
        <x:v>0</x:v>
      </x:c>
      <x:c r="L309" s="60" t="n">
        <x:v>0</x:v>
      </x:c>
      <x:c r="M309" s="60" t="n">
        <x:v>0.5654449433000001</x:v>
      </x:c>
      <x:c r="N309" s="46" t="str">
        <x:v>liocarcinus depurator</x:v>
      </x:c>
      <x:c r="O309" s="62" t="n">
        <x:v>2.6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Liocarcinus depurator</x:v>
      </x:c>
      <x:c r="T309" s="62" t="n">
        <x:f>IF(O309="","",(1/'Metadata'!$B$5)^(O309-1))</x:f>
        <x:v>120.6835267309033</x:v>
      </x:c>
      <x:c r="U309" s="60" t="n">
        <x:f>IF(T309="","",I309*T309)</x:f>
        <x:v>68.23988992959966</x:v>
      </x:c>
    </x:row>
    <x:row r="310" ht="18" customHeight="1">
      <x:c r="A310" s="46" t="str">
        <x:v>LME_024</x:v>
      </x:c>
      <x:c r="B310" s="46" t="str">
        <x:v>Celtic-Biscay Shelf</x:v>
      </x:c>
      <x:c r="C310" s="46" t="str">
        <x:v>LME</x:v>
      </x:c>
      <x:c r="D310" s="58" t="n">
        <x:v>2019</x:v>
      </x:c>
      <x:c r="E310" s="46" t="str">
        <x:v>Palaemon</x:v>
      </x:c>
      <x:c r="F310" s="46" t="str">
        <x:v>Carnivorous shrimps</x:v>
      </x:c>
      <x:c r="G310" s="46" t="str">
        <x:v>Shrimps</x:v>
      </x:c>
      <x:c r="H310" s="46" t="str">
        <x:v>Crustaceans</x:v>
      </x:c>
      <x:c r="I310" s="60" t="n">
        <x:v>0.5421224312</x:v>
      </x:c>
      <x:c r="J310" s="60" t="n">
        <x:v>0.5421224312</x:v>
      </x:c>
      <x:c r="K310" s="60" t="n">
        <x:v>0</x:v>
      </x:c>
      <x:c r="L310" s="60" t="n">
        <x:v>0.5421224312</x:v>
      </x:c>
      <x:c r="M310" s="60" t="n">
        <x:v>0</x:v>
      </x:c>
      <x:c r="N310" s="46" t="str">
        <x:v>palaemon</x:v>
      </x:c>
      <x:c r="O310" s="62" t="n">
        <x:v>2.65</x:v>
      </x:c>
      <x:c r="P310" s="46" t="str">
        <x:v>exact_sea_around_us</x:v>
      </x:c>
      <x:c r="Q310" s="62" t="str">
        <x:v>Sea Around Us exploited organisms</x:v>
      </x:c>
      <x:c r="R310" s="46" t="str">
        <x:v>high</x:v>
      </x:c>
      <x:c r="S310" s="46" t="str">
        <x:v>Palaemon</x:v>
      </x:c>
      <x:c r="T310" s="62" t="n">
        <x:f>IF(O310="","",(1/'Metadata'!$B$5)^(O310-1))</x:f>
        <x:v>140.18433727721737</x:v>
      </x:c>
      <x:c r="U310" s="60" t="n">
        <x:f>IF(T310="","",I310*T310)</x:f>
        <x:v>75.99707374088587</x:v>
      </x:c>
    </x:row>
    <x:row r="311" ht="18" customHeight="1">
      <x:c r="A311" s="46" t="str">
        <x:v>LME_024</x:v>
      </x:c>
      <x:c r="B311" s="46" t="str">
        <x:v>Celtic-Biscay Shelf</x:v>
      </x:c>
      <x:c r="C311" s="46" t="str">
        <x:v>LME</x:v>
      </x:c>
      <x:c r="D311" s="58" t="n">
        <x:v>2019</x:v>
      </x:c>
      <x:c r="E311" s="46" t="str">
        <x:v>Donax</x:v>
      </x:c>
      <x:c r="F311" s="46" t="str">
        <x:v>Bean clams</x:v>
      </x:c>
      <x:c r="G311" s="46" t="str">
        <x:v>Other demersal invertebrates</x:v>
      </x:c>
      <x:c r="H311" s="46" t="str">
        <x:v>Molluscs</x:v>
      </x:c>
      <x:c r="I311" s="60" t="n">
        <x:v>0.5408697871</x:v>
      </x:c>
      <x:c r="J311" s="60" t="n">
        <x:v>0.5408697871</x:v>
      </x:c>
      <x:c r="K311" s="60" t="n">
        <x:v>0</x:v>
      </x:c>
      <x:c r="L311" s="60" t="n">
        <x:v>0.5408697871</x:v>
      </x:c>
      <x:c r="M311" s="60" t="n">
        <x:v>0</x:v>
      </x:c>
      <x:c r="N311" s="46" t="str">
        <x:v>donax</x:v>
      </x:c>
      <x:c r="O311" s="62" t="n">
        <x:v>2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Donax</x:v>
      </x:c>
      <x:c r="T311" s="62" t="n">
        <x:f>IF(O311="","",(1/'Metadata'!$B$5)^(O311-1))</x:f>
        <x:v>20</x:v>
      </x:c>
      <x:c r="U311" s="60" t="n">
        <x:f>IF(T311="","",I311*T311)</x:f>
        <x:v>10.817395742</x:v>
      </x:c>
    </x:row>
    <x:row r="312" ht="18" customHeight="1">
      <x:c r="A312" s="46" t="str">
        <x:v>LME_024</x:v>
      </x:c>
      <x:c r="B312" s="46" t="str">
        <x:v>Celtic-Biscay Shelf</x:v>
      </x:c>
      <x:c r="C312" s="46" t="str">
        <x:v>LME</x:v>
      </x:c>
      <x:c r="D312" s="58" t="n">
        <x:v>2019</x:v>
      </x:c>
      <x:c r="E312" s="46" t="str">
        <x:v>Ruditapes</x:v>
      </x:c>
      <x:c r="F312" s="46" t="str">
        <x:v>Carpet shells</x:v>
      </x:c>
      <x:c r="G312" s="46" t="str">
        <x:v>Other demersal invertebrates</x:v>
      </x:c>
      <x:c r="H312" s="46" t="str">
        <x:v>Molluscs</x:v>
      </x:c>
      <x:c r="I312" s="60" t="n">
        <x:v>0.4947829224</x:v>
      </x:c>
      <x:c r="J312" s="60" t="n">
        <x:v>0.4947829224</x:v>
      </x:c>
      <x:c r="K312" s="60" t="n">
        <x:v>0</x:v>
      </x:c>
      <x:c r="L312" s="60" t="n">
        <x:v>0</x:v>
      </x:c>
      <x:c r="M312" s="60" t="n">
        <x:v>0.4947829224</x:v>
      </x:c>
      <x:c r="N312" s="46" t="str">
        <x:v>ruditapes</x:v>
      </x:c>
      <x:c r="O312" s="62" t="n">
        <x:v>2</x:v>
      </x:c>
      <x:c r="P312" s="46" t="str">
        <x:v>exact_sea_around_us</x:v>
      </x:c>
      <x:c r="Q312" s="62" t="str">
        <x:v>Sea Around Us exploited organisms</x:v>
      </x:c>
      <x:c r="R312" s="46" t="str">
        <x:v>high</x:v>
      </x:c>
      <x:c r="S312" s="46" t="str">
        <x:v>Ruditapes</x:v>
      </x:c>
      <x:c r="T312" s="62" t="n">
        <x:f>IF(O312="","",(1/'Metadata'!$B$5)^(O312-1))</x:f>
        <x:v>20</x:v>
      </x:c>
      <x:c r="U312" s="60" t="n">
        <x:f>IF(T312="","",I312*T312)</x:f>
        <x:v>9.895658447999999</x:v>
      </x:c>
    </x:row>
    <x:row r="313" ht="18" customHeight="1">
      <x:c r="A313" s="46" t="str">
        <x:v>LME_024</x:v>
      </x:c>
      <x:c r="B313" s="46" t="str">
        <x:v>Celtic-Biscay Shelf</x:v>
      </x:c>
      <x:c r="C313" s="46" t="str">
        <x:v>LME</x:v>
      </x:c>
      <x:c r="D313" s="58" t="n">
        <x:v>2019</x:v>
      </x:c>
      <x:c r="E313" s="46" t="str">
        <x:v>Aristeidae</x:v>
      </x:c>
      <x:c r="F313" s="46" t="str">
        <x:v>Aristeid shrimps</x:v>
      </x:c>
      <x:c r="G313" s="46" t="str">
        <x:v>Shrimps</x:v>
      </x:c>
      <x:c r="H313" s="46" t="str">
        <x:v>Crustaceans</x:v>
      </x:c>
      <x:c r="I313" s="60" t="n">
        <x:v>0.468928851</x:v>
      </x:c>
      <x:c r="J313" s="60" t="n">
        <x:v>0.468928851</x:v>
      </x:c>
      <x:c r="K313" s="60" t="n">
        <x:v>0</x:v>
      </x:c>
      <x:c r="L313" s="60" t="n">
        <x:v>0.4689275537</x:v>
      </x:c>
      <x:c r="M313" s="60" t="n">
        <x:v>0.0000012973</x:v>
      </x:c>
      <x:c r="N313" s="46" t="str">
        <x:v>aristeidae</x:v>
      </x:c>
      <x:c r="O313" s="62" t="n">
        <x:v>3.47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Aristeidae</x:v>
      </x:c>
      <x:c r="T313" s="62" t="n">
        <x:f>IF(O313="","",(1/'Metadata'!$B$5)^(O313-1))</x:f>
        <x:v>1635.0991368927735</x:v>
      </x:c>
      <x:c r="U313" s="60" t="n">
        <x:f>IF(T313="","",I313*T313)</x:f>
        <x:v>766.74515953422</x:v>
      </x:c>
    </x:row>
    <x:row r="314" ht="18" customHeight="1">
      <x:c r="A314" s="46" t="str">
        <x:v>LME_024</x:v>
      </x:c>
      <x:c r="B314" s="46" t="str">
        <x:v>Celtic-Biscay Shelf</x:v>
      </x:c>
      <x:c r="C314" s="46" t="str">
        <x:v>LME</x:v>
      </x:c>
      <x:c r="D314" s="58" t="n">
        <x:v>2019</x:v>
      </x:c>
      <x:c r="E314" s="46" t="str">
        <x:v>Serranus</x:v>
      </x:c>
      <x:c r="F314" s="46" t="str">
        <x:v>Groupers</x:v>
      </x:c>
      <x:c r="G314" s="46" t="str">
        <x:v>Small reef assoc. fish (&lt;30 cm)</x:v>
      </x:c>
      <x:c r="H314" s="46" t="str">
        <x:v>Perch-likes</x:v>
      </x:c>
      <x:c r="I314" s="60" t="n">
        <x:v>0.4678563737</x:v>
      </x:c>
      <x:c r="J314" s="60" t="n">
        <x:v>0.4678563737</x:v>
      </x:c>
      <x:c r="K314" s="60" t="n">
        <x:v>0</x:v>
      </x:c>
      <x:c r="L314" s="60" t="n">
        <x:v>0.3420876054</x:v>
      </x:c>
      <x:c r="M314" s="60" t="n">
        <x:v>0.1257687683</x:v>
      </x:c>
      <x:c r="N314" s="46" t="str">
        <x:v>serranus</x:v>
      </x:c>
      <x:c r="O314" s="62" t="n">
        <x:v>3.73</x:v>
      </x:c>
      <x:c r="P314" s="46" t="str">
        <x:v>exact_sea_around_us</x:v>
      </x:c>
      <x:c r="Q314" s="62" t="str">
        <x:v>Sea Around Us exploited organisms</x:v>
      </x:c>
      <x:c r="R314" s="46" t="str">
        <x:v>high</x:v>
      </x:c>
      <x:c r="S314" s="46" t="str">
        <x:v>Serranus</x:v>
      </x:c>
      <x:c r="T314" s="62" t="n">
        <x:f>IF(O314="","",(1/'Metadata'!$B$5)^(O314-1))</x:f>
        <x:v>3562.967723629534</x:v>
      </x:c>
      <x:c r="U314" s="60" t="n">
        <x:f>IF(T314="","",I314*T314)</x:f>
        <x:v>1666.9571587874575</x:v>
      </x:c>
    </x:row>
    <x:row r="315" ht="18" customHeight="1">
      <x:c r="A315" s="46" t="str">
        <x:v>LME_024</x:v>
      </x:c>
      <x:c r="B315" s="46" t="str">
        <x:v>Celtic-Biscay Shelf</x:v>
      </x:c>
      <x:c r="C315" s="46" t="str">
        <x:v>LME</x:v>
      </x:c>
      <x:c r="D315" s="58" t="n">
        <x:v>2019</x:v>
      </x:c>
      <x:c r="E315" s="46" t="str">
        <x:v>Strongylocentrotus</x:v>
      </x:c>
      <x:c r="F315" s="46" t="str">
        <x:v>Sickle-arched sea urchins</x:v>
      </x:c>
      <x:c r="G315" s="46" t="str">
        <x:v>Other demersal invertebrates</x:v>
      </x:c>
      <x:c r="H315" s="46" t="str">
        <x:v>Other fishes &amp; inverts</x:v>
      </x:c>
      <x:c r="I315" s="60" t="n">
        <x:v>0.44556872350000004</x:v>
      </x:c>
      <x:c r="J315" s="60" t="n">
        <x:v>0.44556872350000004</x:v>
      </x:c>
      <x:c r="K315" s="60" t="n">
        <x:v>0</x:v>
      </x:c>
      <x:c r="L315" s="60" t="n">
        <x:v>0.44556872350000004</x:v>
      </x:c>
      <x:c r="M315" s="60" t="n">
        <x:v>0</x:v>
      </x:c>
      <x:c r="N315" s="46" t="str">
        <x:v>strongylocentrotus</x:v>
      </x:c>
      <x:c r="O315" s="62" t="n">
        <x:v>2.1</x:v>
      </x:c>
      <x:c r="P315" s="46" t="str">
        <x:v>exact_sea_around_us</x:v>
      </x:c>
      <x:c r="Q315" s="62" t="str">
        <x:v>Sea Around Us exploited organisms</x:v>
      </x:c>
      <x:c r="R315" s="46" t="str">
        <x:v>high</x:v>
      </x:c>
      <x:c r="S315" s="46" t="str">
        <x:v>Strongylocentrotus</x:v>
      </x:c>
      <x:c r="T315" s="62" t="n">
        <x:f>IF(O315="","",(1/'Metadata'!$B$5)^(O315-1))</x:f>
        <x:v>26.985656953471274</x:v>
      </x:c>
      <x:c r="U315" s="60" t="n">
        <x:f>IF(T315="","",I315*T315)</x:f>
        <x:v>12.023964721567095</x:v>
      </x:c>
    </x:row>
    <x:row r="316" ht="18" customHeight="1">
      <x:c r="A316" s="46" t="str">
        <x:v>LME_024</x:v>
      </x:c>
      <x:c r="B316" s="46" t="str">
        <x:v>Celtic-Biscay Shelf</x:v>
      </x:c>
      <x:c r="C316" s="46" t="str">
        <x:v>LME</x:v>
      </x:c>
      <x:c r="D316" s="58" t="n">
        <x:v>2019</x:v>
      </x:c>
      <x:c r="E316" s="46" t="str">
        <x:v>Penaeidae</x:v>
      </x:c>
      <x:c r="F316" s="46" t="str">
        <x:v>Commercial shrimps and prawns</x:v>
      </x:c>
      <x:c r="G316" s="46" t="str">
        <x:v>Shrimps</x:v>
      </x:c>
      <x:c r="H316" s="46" t="str">
        <x:v>Crustaceans</x:v>
      </x:c>
      <x:c r="I316" s="60" t="n">
        <x:v>0.3531337802</x:v>
      </x:c>
      <x:c r="J316" s="60" t="n">
        <x:v>0.3531337802</x:v>
      </x:c>
      <x:c r="K316" s="60" t="n">
        <x:v>0</x:v>
      </x:c>
      <x:c r="L316" s="60" t="n">
        <x:v>0.3531306121</x:v>
      </x:c>
      <x:c r="M316" s="60" t="n">
        <x:v>0.0000031680999999999998</x:v>
      </x:c>
      <x:c r="N316" s="46" t="str">
        <x:v>penaeidae</x:v>
      </x:c>
      <x:c r="O316" s="62" t="n">
        <x:v>3.31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Penaeidae</x:v>
      </x:c>
      <x:c r="T316" s="62" t="n">
        <x:f>IF(O316="","",(1/'Metadata'!$B$5)^(O316-1))</x:f>
        <x:v>1012.4633005057666</x:v>
      </x:c>
      <x:c r="U316" s="60" t="n">
        <x:f>IF(T316="","",I316*T316)</x:f>
        <x:v>357.53499262136995</x:v>
      </x:c>
    </x:row>
    <x:row r="317" ht="18" customHeight="1">
      <x:c r="A317" s="46" t="str">
        <x:v>LME_024</x:v>
      </x:c>
      <x:c r="B317" s="46" t="str">
        <x:v>Celtic-Biscay Shelf</x:v>
      </x:c>
      <x:c r="C317" s="46" t="str">
        <x:v>LME</x:v>
      </x:c>
      <x:c r="D317" s="58" t="n">
        <x:v>2019</x:v>
      </x:c>
      <x:c r="E317" s="46" t="str">
        <x:v>Trichiuridae</x:v>
      </x:c>
      <x:c r="F317" s="46" t="str">
        <x:v>Cutlassfishes</x:v>
      </x:c>
      <x:c r="G317" s="46" t="str">
        <x:v>Large benthopelagics (&gt;=90 cm)</x:v>
      </x:c>
      <x:c r="H317" s="46" t="str">
        <x:v>Perch-likes</x:v>
      </x:c>
      <x:c r="I317" s="60" t="n">
        <x:v>0.34692699850000003</x:v>
      </x:c>
      <x:c r="J317" s="60" t="n">
        <x:v>0.34692699850000003</x:v>
      </x:c>
      <x:c r="K317" s="60" t="n">
        <x:v>0</x:v>
      </x:c>
      <x:c r="L317" s="60" t="n">
        <x:v>0.3469238075</x:v>
      </x:c>
      <x:c r="M317" s="60" t="n">
        <x:v>0.000003191</x:v>
      </x:c>
      <x:c r="N317" s="46" t="str">
        <x:v>trichiuridae</x:v>
      </x:c>
      <x:c r="O317" s="62" t="n">
        <x:v>4.15</x:v>
      </x:c>
      <x:c r="P317" s="46" t="str">
        <x:v>exact_sea_around_us</x:v>
      </x:c>
      <x:c r="Q317" s="62" t="str">
        <x:v>Sea Around Us exploited organisms</x:v>
      </x:c>
      <x:c r="R317" s="46" t="str">
        <x:v>high</x:v>
      </x:c>
      <x:c r="S317" s="46" t="str">
        <x:v>Trichiuridae</x:v>
      </x:c>
      <x:c r="T317" s="62" t="n">
        <x:f>IF(O317="","",(1/'Metadata'!$B$5)^(O317-1))</x:f>
        <x:v>12538.46830130465</x:v>
      </x:c>
      <x:c r="U317" s="60" t="n">
        <x:f>IF(T317="","",I317*T317)</x:f>
        <x:v>4349.933173559017</x:v>
      </x:c>
    </x:row>
    <x:row r="318" ht="18" customHeight="1">
      <x:c r="A318" s="46" t="str">
        <x:v>LME_024</x:v>
      </x:c>
      <x:c r="B318" s="46" t="str">
        <x:v>Celtic-Biscay Shelf</x:v>
      </x:c>
      <x:c r="C318" s="46" t="str">
        <x:v>LME</x:v>
      </x:c>
      <x:c r="D318" s="58" t="n">
        <x:v>2019</x:v>
      </x:c>
      <x:c r="E318" s="46" t="str">
        <x:v>Coris julis</x:v>
      </x:c>
      <x:c r="F318" s="46" t="str">
        <x:v>Rainbow wrasse</x:v>
      </x:c>
      <x:c r="G318" s="46" t="str">
        <x:v>Medium reef assoc. fish (30 - 89 cm)</x:v>
      </x:c>
      <x:c r="H318" s="46" t="str">
        <x:v>Perch-likes</x:v>
      </x:c>
      <x:c r="I318" s="60" t="n">
        <x:v>0.3321525744</x:v>
      </x:c>
      <x:c r="J318" s="60" t="n">
        <x:v>0.3321525744</x:v>
      </x:c>
      <x:c r="K318" s="60" t="n">
        <x:v>0</x:v>
      </x:c>
      <x:c r="L318" s="60" t="n">
        <x:v>0.3321525744</x:v>
      </x:c>
      <x:c r="M318" s="60" t="n">
        <x:v>0</x:v>
      </x:c>
      <x:c r="N318" s="46" t="str">
        <x:v>coris julis</x:v>
      </x:c>
      <x:c r="O318" s="62" t="n">
        <x:v>3.44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Coris julis</x:v>
      </x:c>
      <x:c r="T318" s="62" t="n">
        <x:f>IF(O318="","",(1/'Metadata'!$B$5)^(O318-1))</x:f>
        <x:v>1494.5594310916586</x:v>
      </x:c>
      <x:c r="U318" s="60" t="n">
        <x:f>IF(T318="","",I318*T318)</x:f>
        <x:v>496.4217626308938</x:v>
      </x:c>
    </x:row>
    <x:row r="319" ht="18" customHeight="1">
      <x:c r="A319" s="46" t="str">
        <x:v>LME_024</x:v>
      </x:c>
      <x:c r="B319" s="46" t="str">
        <x:v>Celtic-Biscay Shelf</x:v>
      </x:c>
      <x:c r="C319" s="46" t="str">
        <x:v>LME</x:v>
      </x:c>
      <x:c r="D319" s="58" t="n">
        <x:v>2019</x:v>
      </x:c>
      <x:c r="E319" s="46" t="str">
        <x:v>Trichiurus</x:v>
      </x:c>
      <x:c r="F319" s="46" t="str">
        <x:v>Hairtails</x:v>
      </x:c>
      <x:c r="G319" s="46" t="str">
        <x:v>Large benthopelagics (&gt;=90 cm)</x:v>
      </x:c>
      <x:c r="H319" s="46" t="str">
        <x:v>Perch-likes</x:v>
      </x:c>
      <x:c r="I319" s="60" t="n">
        <x:v>0.3287184359</x:v>
      </x:c>
      <x:c r="J319" s="60" t="n">
        <x:v>0.3287184359</x:v>
      </x:c>
      <x:c r="K319" s="60" t="n">
        <x:v>0</x:v>
      </x:c>
      <x:c r="L319" s="60" t="n">
        <x:v>0.3287132564</x:v>
      </x:c>
      <x:c r="M319" s="60" t="n">
        <x:v>0.0000051795</x:v>
      </x:c>
      <x:c r="N319" s="46" t="str">
        <x:v>trichiurus</x:v>
      </x:c>
      <x:c r="O319" s="62" t="n">
        <x:v>4.42</x:v>
      </x:c>
      <x:c r="P319" s="46" t="str">
        <x:v>exact_sea_around_us</x:v>
      </x:c>
      <x:c r="Q319" s="62" t="str">
        <x:v>Sea Around Us exploited organisms</x:v>
      </x:c>
      <x:c r="R319" s="46" t="str">
        <x:v>high</x:v>
      </x:c>
      <x:c r="S319" s="46" t="str">
        <x:v>Trichiurus</x:v>
      </x:c>
      <x:c r="T319" s="62" t="n">
        <x:f>IF(O319="","",(1/'Metadata'!$B$5)^(O319-1))</x:f>
        <x:v>28152.864182630117</x:v>
      </x:c>
      <x:c r="U319" s="60" t="n">
        <x:f>IF(T319="","",I319*T319)</x:f>
        <x:v>9254.365480219303</x:v>
      </x:c>
    </x:row>
    <x:row r="320" ht="18" customHeight="1">
      <x:c r="A320" s="46" t="str">
        <x:v>LME_024</x:v>
      </x:c>
      <x:c r="B320" s="46" t="str">
        <x:v>Celtic-Biscay Shelf</x:v>
      </x:c>
      <x:c r="C320" s="46" t="str">
        <x:v>LME</x:v>
      </x:c>
      <x:c r="D320" s="58" t="n">
        <x:v>2019</x:v>
      </x:c>
      <x:c r="E320" s="46" t="str">
        <x:v>Etmopterus</x:v>
      </x:c>
      <x:c r="F320" s="46" t="str">
        <x:v>Lanternsharks</x:v>
      </x:c>
      <x:c r="G320" s="46" t="str">
        <x:v>Small to medium sharks (&lt;90 cm)</x:v>
      </x:c>
      <x:c r="H320" s="46" t="str">
        <x:v>Sharks &amp; rays</x:v>
      </x:c>
      <x:c r="I320" s="60" t="n">
        <x:v>0.3114133077</x:v>
      </x:c>
      <x:c r="J320" s="60" t="n">
        <x:v>0.3114133077</x:v>
      </x:c>
      <x:c r="K320" s="60" t="n">
        <x:v>0</x:v>
      </x:c>
      <x:c r="L320" s="60" t="n">
        <x:v>0.3114133077</x:v>
      </x:c>
      <x:c r="M320" s="60" t="n">
        <x:v>0</x:v>
      </x:c>
      <x:c r="N320" s="46" t="str">
        <x:v>etmopterus</x:v>
      </x:c>
      <x:c r="O320" s="62" t="n">
        <x:v>4.02</x:v>
      </x:c>
      <x:c r="P320" s="46" t="str">
        <x:v>exact_sea_around_us</x:v>
      </x:c>
      <x:c r="Q320" s="62" t="str">
        <x:v>Sea Around Us exploited organisms</x:v>
      </x:c>
      <x:c r="R320" s="46" t="str">
        <x:v>high</x:v>
      </x:c>
      <x:c r="S320" s="46" t="str">
        <x:v>Etmopterus</x:v>
      </x:c>
      <x:c r="T320" s="62" t="n">
        <x:f>IF(O320="","",(1/'Metadata'!$B$5)^(O320-1))</x:f>
        <x:v>8493.967342839818</x:v>
      </x:c>
      <x:c r="U320" s="60" t="n">
        <x:f>IF(T320="","",I320*T320)</x:f>
        <x:v>2645.1344657295276</x:v>
      </x:c>
    </x:row>
    <x:row r="321" ht="18" customHeight="1">
      <x:c r="A321" s="46" t="str">
        <x:v>LME_024</x:v>
      </x:c>
      <x:c r="B321" s="46" t="str">
        <x:v>Celtic-Biscay Shelf</x:v>
      </x:c>
      <x:c r="C321" s="46" t="str">
        <x:v>LME</x:v>
      </x:c>
      <x:c r="D321" s="58" t="n">
        <x:v>2019</x:v>
      </x:c>
      <x:c r="E321" s="46" t="str">
        <x:v>Spisula solida</x:v>
      </x:c>
      <x:c r="F321" s="46" t="str">
        <x:v>Surf clam</x:v>
      </x:c>
      <x:c r="G321" s="46" t="str">
        <x:v>Other demersal invertebrates</x:v>
      </x:c>
      <x:c r="H321" s="46" t="str">
        <x:v>Molluscs</x:v>
      </x:c>
      <x:c r="I321" s="60" t="n">
        <x:v>0.2971427571</x:v>
      </x:c>
      <x:c r="J321" s="60" t="n">
        <x:v>0.2971427571</x:v>
      </x:c>
      <x:c r="K321" s="60" t="n">
        <x:v>0</x:v>
      </x:c>
      <x:c r="L321" s="60" t="n">
        <x:v>0.2971427571</x:v>
      </x:c>
      <x:c r="M321" s="60" t="n">
        <x:v>0</x:v>
      </x:c>
      <x:c r="N321" s="46" t="str">
        <x:v>spisula solida</x:v>
      </x:c>
      <x:c r="O321" s="62" t="n">
        <x:v>2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Spisula solida</x:v>
      </x:c>
      <x:c r="T321" s="62" t="n">
        <x:f>IF(O321="","",(1/'Metadata'!$B$5)^(O321-1))</x:f>
        <x:v>20</x:v>
      </x:c>
      <x:c r="U321" s="60" t="n">
        <x:f>IF(T321="","",I321*T321)</x:f>
        <x:v>5.942855142</x:v>
      </x:c>
    </x:row>
    <x:row r="322" ht="18" customHeight="1">
      <x:c r="A322" s="46" t="str">
        <x:v>LME_024</x:v>
      </x:c>
      <x:c r="B322" s="46" t="str">
        <x:v>Celtic-Biscay Shelf</x:v>
      </x:c>
      <x:c r="C322" s="46" t="str">
        <x:v>LME</x:v>
      </x:c>
      <x:c r="D322" s="58" t="n">
        <x:v>2019</x:v>
      </x:c>
      <x:c r="E322" s="46" t="str">
        <x:v>Murex</x:v>
      </x:c>
      <x:c r="F322" s="46" t="str">
        <x:v>Murex shells</x:v>
      </x:c>
      <x:c r="G322" s="46" t="str">
        <x:v>Other demersal invertebrates</x:v>
      </x:c>
      <x:c r="H322" s="46" t="str">
        <x:v>Molluscs</x:v>
      </x:c>
      <x:c r="I322" s="60" t="n">
        <x:v>0.2858985025</x:v>
      </x:c>
      <x:c r="J322" s="60" t="n">
        <x:v>0.2858985025</x:v>
      </x:c>
      <x:c r="K322" s="60" t="n">
        <x:v>0</x:v>
      </x:c>
      <x:c r="L322" s="60" t="n">
        <x:v>0.2858985025</x:v>
      </x:c>
      <x:c r="M322" s="60" t="n">
        <x:v>0</x:v>
      </x:c>
      <x:c r="N322" s="46" t="str">
        <x:v>murex</x:v>
      </x:c>
      <x:c r="O322" s="62" t="n">
        <x:v>2</x:v>
      </x:c>
      <x:c r="P322" s="46" t="str">
        <x:v>exact_sea_around_us</x:v>
      </x:c>
      <x:c r="Q322" s="62" t="str">
        <x:v>Sea Around Us exploited organisms</x:v>
      </x:c>
      <x:c r="R322" s="46" t="str">
        <x:v>high</x:v>
      </x:c>
      <x:c r="S322" s="46" t="str">
        <x:v>Murex</x:v>
      </x:c>
      <x:c r="T322" s="62" t="n">
        <x:f>IF(O322="","",(1/'Metadata'!$B$5)^(O322-1))</x:f>
        <x:v>20</x:v>
      </x:c>
      <x:c r="U322" s="60" t="n">
        <x:f>IF(T322="","",I322*T322)</x:f>
        <x:v>5.71797005</x:v>
      </x:c>
    </x:row>
    <x:row r="323" ht="18" customHeight="1">
      <x:c r="A323" s="46" t="str">
        <x:v>LME_024</x:v>
      </x:c>
      <x:c r="B323" s="46" t="str">
        <x:v>Celtic-Biscay Shelf</x:v>
      </x:c>
      <x:c r="C323" s="46" t="str">
        <x:v>LME</x:v>
      </x:c>
      <x:c r="D323" s="58" t="n">
        <x:v>2019</x:v>
      </x:c>
      <x:c r="E323" s="46" t="str">
        <x:v>Etmopterus spinax</x:v>
      </x:c>
      <x:c r="F323" s="46" t="str">
        <x:v>Velvet belly</x:v>
      </x:c>
      <x:c r="G323" s="46" t="str">
        <x:v>Small to medium sharks (&lt;90 cm)</x:v>
      </x:c>
      <x:c r="H323" s="46" t="str">
        <x:v>Sharks &amp; rays</x:v>
      </x:c>
      <x:c r="I323" s="60" t="n">
        <x:v>0.2790258389</x:v>
      </x:c>
      <x:c r="J323" s="60" t="n">
        <x:v>0.2790258389</x:v>
      </x:c>
      <x:c r="K323" s="60" t="n">
        <x:v>0</x:v>
      </x:c>
      <x:c r="L323" s="60" t="n">
        <x:v>0.2790258389</x:v>
      </x:c>
      <x:c r="M323" s="60" t="n">
        <x:v>0</x:v>
      </x:c>
      <x:c r="N323" s="46" t="str">
        <x:v>etmopterus spinax</x:v>
      </x:c>
      <x:c r="O323" s="62" t="n">
        <x:v>4.14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Etmopterus spinax</x:v>
      </x:c>
      <x:c r="T323" s="62" t="n">
        <x:f>IF(O323="","",(1/'Metadata'!$B$5)^(O323-1))</x:f>
        <x:v>12168.419864331923</x:v>
      </x:c>
      <x:c r="U323" s="60" t="n">
        <x:f>IF(T323="","",I323*T323)</x:f>
        <x:v>3395.3035607326387</x:v>
      </x:c>
    </x:row>
    <x:row r="324" ht="18" customHeight="1">
      <x:c r="A324" s="46" t="str">
        <x:v>LME_024</x:v>
      </x:c>
      <x:c r="B324" s="46" t="str">
        <x:v>Celtic-Biscay Shelf</x:v>
      </x:c>
      <x:c r="C324" s="46" t="str">
        <x:v>LME</x:v>
      </x:c>
      <x:c r="D324" s="58" t="n">
        <x:v>2019</x:v>
      </x:c>
      <x:c r="E324" s="46" t="str">
        <x:v>Dentex dentex</x:v>
      </x:c>
      <x:c r="F324" s="46" t="str">
        <x:v>Common dentex</x:v>
      </x:c>
      <x:c r="G324" s="46" t="str">
        <x:v>Large benthopelagics (&gt;=90 cm)</x:v>
      </x:c>
      <x:c r="H324" s="46" t="str">
        <x:v>Perch-likes</x:v>
      </x:c>
      <x:c r="I324" s="60" t="n">
        <x:v>0.2758615622</x:v>
      </x:c>
      <x:c r="J324" s="60" t="n">
        <x:v>0.2758615622</x:v>
      </x:c>
      <x:c r="K324" s="60" t="n">
        <x:v>0</x:v>
      </x:c>
      <x:c r="L324" s="60" t="n">
        <x:v>0.2758542182</x:v>
      </x:c>
      <x:c r="M324" s="60" t="n">
        <x:v>0.000007344</x:v>
      </x:c>
      <x:c r="N324" s="46" t="str">
        <x:v>dentex dentex</x:v>
      </x:c>
      <x:c r="O324" s="62" t="n">
        <x:v>4.53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Dentex dentex</x:v>
      </x:c>
      <x:c r="T324" s="62" t="n">
        <x:f>IF(O324="","",(1/'Metadata'!$B$5)^(O324-1))</x:f>
        <x:v>39141.35758252625</x:v>
      </x:c>
      <x:c r="U324" s="60" t="n">
        <x:f>IF(T324="","",I324*T324)</x:f>
        <x:v>10797.596049344509</x:v>
      </x:c>
    </x:row>
    <x:row r="325" ht="18" customHeight="1">
      <x:c r="A325" s="46" t="str">
        <x:v>LME_024</x:v>
      </x:c>
      <x:c r="B325" s="46" t="str">
        <x:v>Celtic-Biscay Shelf</x:v>
      </x:c>
      <x:c r="C325" s="46" t="str">
        <x:v>LME</x:v>
      </x:c>
      <x:c r="D325" s="58" t="n">
        <x:v>2019</x:v>
      </x:c>
      <x:c r="E325" s="46" t="str">
        <x:v>Scyllarus arctus</x:v>
      </x:c>
      <x:c r="F325" s="46" t="str">
        <x:v>Small European locust lobster</x:v>
      </x:c>
      <x:c r="G325" s="46" t="str">
        <x:v>Lobsters, crabs</x:v>
      </x:c>
      <x:c r="H325" s="46" t="str">
        <x:v>Crustaceans</x:v>
      </x:c>
      <x:c r="I325" s="60" t="n">
        <x:v>0.2649077919</x:v>
      </x:c>
      <x:c r="J325" s="60" t="n">
        <x:v>0.2649077919</x:v>
      </x:c>
      <x:c r="K325" s="60" t="n">
        <x:v>0</x:v>
      </x:c>
      <x:c r="L325" s="60" t="n">
        <x:v>0.2649072519</x:v>
      </x:c>
      <x:c r="M325" s="60" t="n">
        <x:v>5.4e-7</x:v>
      </x:c>
      <x:c r="N325" s="46" t="str">
        <x:v>scyllarus arctus</x:v>
      </x:c>
      <x:c r="O325" s="62" t="n">
        <x:v>2.87</x:v>
      </x:c>
      <x:c r="P325" s="46" t="str">
        <x:v>exact_sea_around_us</x:v>
      </x:c>
      <x:c r="Q325" s="62" t="str">
        <x:v>Sea Around Us exploited organisms</x:v>
      </x:c>
      <x:c r="R325" s="46" t="str">
        <x:v>high</x:v>
      </x:c>
      <x:c r="S325" s="46" t="str">
        <x:v>Scyllarus arctus</x:v>
      </x:c>
      <x:c r="T325" s="62" t="n">
        <x:f>IF(O325="","",(1/'Metadata'!$B$5)^(O325-1))</x:f>
        <x:v>270.9730451511698</x:v>
      </x:c>
      <x:c r="U325" s="60" t="n">
        <x:f>IF(T325="","",I325*T325)</x:f>
        <x:v>71.7828710554154</x:v>
      </x:c>
    </x:row>
    <x:row r="326" ht="18" customHeight="1">
      <x:c r="A326" s="46" t="str">
        <x:v>LME_024</x:v>
      </x:c>
      <x:c r="B326" s="46" t="str">
        <x:v>Celtic-Biscay Shelf</x:v>
      </x:c>
      <x:c r="C326" s="46" t="str">
        <x:v>LME</x:v>
      </x:c>
      <x:c r="D326" s="58" t="n">
        <x:v>2019</x:v>
      </x:c>
      <x:c r="E326" s="46" t="str">
        <x:v>Scorpaeniformes</x:v>
      </x:c>
      <x:c r="F326" s="46" t="str">
        <x:v>Scorpionfishes, flatheads</x:v>
      </x:c>
      <x:c r="G326" s="46" t="str">
        <x:v>Medium demersals (30 - 89 cm)</x:v>
      </x:c>
      <x:c r="H326" s="46" t="str">
        <x:v>Scorpionfishes</x:v>
      </x:c>
      <x:c r="I326" s="60" t="n">
        <x:v>0.2635914887</x:v>
      </x:c>
      <x:c r="J326" s="60" t="n">
        <x:v>0</x:v>
      </x:c>
      <x:c r="K326" s="60" t="n">
        <x:v>0.2635914887</x:v>
      </x:c>
      <x:c r="L326" s="60" t="n">
        <x:v>0</x:v>
      </x:c>
      <x:c r="M326" s="60" t="n">
        <x:v>0.2635914887</x:v>
      </x:c>
      <x:c r="N326" s="46" t="str">
        <x:v>scorpaeniformes</x:v>
      </x:c>
      <x:c r="O326" s="62" t="n">
        <x:v>3.78</x:v>
      </x:c>
      <x:c r="P326" s="46" t="str">
        <x:v>exact_sea_around_us</x:v>
      </x:c>
      <x:c r="Q326" s="62" t="str">
        <x:v>Sea Around Us exploited organisms</x:v>
      </x:c>
      <x:c r="R326" s="46" t="str">
        <x:v>high</x:v>
      </x:c>
      <x:c r="S326" s="46" t="str">
        <x:v>Scorpaeniformes</x:v>
      </x:c>
      <x:c r="T326" s="62" t="n">
        <x:f>IF(O326="","",(1/'Metadata'!$B$5)^(O326-1))</x:f>
        <x:v>4138.694671981463</x:v>
      </x:c>
      <x:c r="U326" s="60" t="n">
        <x:f>IF(T326="","",I326*T326)</x:f>
        <x:v>1090.9246898623521</x:v>
      </x:c>
    </x:row>
    <x:row r="327" ht="18" customHeight="1">
      <x:c r="A327" s="46" t="str">
        <x:v>LME_024</x:v>
      </x:c>
      <x:c r="B327" s="46" t="str">
        <x:v>Celtic-Biscay Shelf</x:v>
      </x:c>
      <x:c r="C327" s="46" t="str">
        <x:v>LME</x:v>
      </x:c>
      <x:c r="D327" s="58" t="n">
        <x:v>2019</x:v>
      </x:c>
      <x:c r="E327" s="46" t="str">
        <x:v>Ruvettus pretiosus</x:v>
      </x:c>
      <x:c r="F327" s="46" t="str">
        <x:v>Oilfish</x:v>
      </x:c>
      <x:c r="G327" s="46" t="str">
        <x:v>Large benthopelagics (&gt;=90 cm)</x:v>
      </x:c>
      <x:c r="H327" s="46" t="str">
        <x:v>Perch-likes</x:v>
      </x:c>
      <x:c r="I327" s="60" t="n">
        <x:v>0.2596687882</x:v>
      </x:c>
      <x:c r="J327" s="60" t="n">
        <x:v>0.2596687882</x:v>
      </x:c>
      <x:c r="K327" s="60" t="n">
        <x:v>0</x:v>
      </x:c>
      <x:c r="L327" s="60" t="n">
        <x:v>0.2596687882</x:v>
      </x:c>
      <x:c r="M327" s="60" t="n">
        <x:v>0</x:v>
      </x:c>
      <x:c r="N327" s="46" t="str">
        <x:v>ruvettus pretiosus</x:v>
      </x:c>
      <x:c r="O327" s="62" t="n">
        <x:v>4.18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Ruvettus pretiosus</x:v>
      </x:c>
      <x:c r="T327" s="62" t="n">
        <x:f>IF(O327="","",(1/'Metadata'!$B$5)^(O327-1))</x:f>
        <x:v>13717.513182092556</x:v>
      </x:c>
      <x:c r="U327" s="60" t="n">
        <x:f>IF(T327="","",I327*T327)</x:f>
        <x:v>3562.0100251115</x:v>
      </x:c>
    </x:row>
    <x:row r="328" ht="18" customHeight="1">
      <x:c r="A328" s="46" t="str">
        <x:v>LME_024</x:v>
      </x:c>
      <x:c r="B328" s="46" t="str">
        <x:v>Celtic-Biscay Shelf</x:v>
      </x:c>
      <x:c r="C328" s="46" t="str">
        <x:v>LME</x:v>
      </x:c>
      <x:c r="D328" s="58" t="n">
        <x:v>2019</x:v>
      </x:c>
      <x:c r="E328" s="46" t="str">
        <x:v>Dipturus batis</x:v>
      </x:c>
      <x:c r="F328" s="46" t="str">
        <x:v>Blue skate</x:v>
      </x:c>
      <x:c r="G328" s="46" t="str">
        <x:v>Large rays (&gt;=90 cm)</x:v>
      </x:c>
      <x:c r="H328" s="46" t="str">
        <x:v>Sharks &amp; rays</x:v>
      </x:c>
      <x:c r="I328" s="60" t="n">
        <x:v>0.23488018100000002</x:v>
      </x:c>
      <x:c r="J328" s="60" t="n">
        <x:v>0.23488018100000002</x:v>
      </x:c>
      <x:c r="K328" s="60" t="n">
        <x:v>0</x:v>
      </x:c>
      <x:c r="L328" s="60" t="n">
        <x:v>0.2137268552</x:v>
      </x:c>
      <x:c r="M328" s="60" t="n">
        <x:v>0.0211533258</x:v>
      </x:c>
      <x:c r="N328" s="46" t="str">
        <x:v>dipturus batis</x:v>
      </x:c>
      <x:c r="O328" s="62" t="n">
        <x:v>3.52</x:v>
      </x:c>
      <x:c r="P328" s="46" t="str">
        <x:v>exact_2020_supplement</x:v>
      </x:c>
      <x:c r="Q328" s="62" t="str">
        <x:v>2020 supplement MeanTL</x:v>
      </x:c>
      <x:c r="R328" s="46" t="str">
        <x:v>high</x:v>
      </x:c>
      <x:c r="S328" s="46" t="str">
        <x:v>Dipturus batis</x:v>
      </x:c>
      <x:c r="T328" s="62" t="n">
        <x:f>IF(O328="","",(1/'Metadata'!$B$5)^(O328-1))</x:f>
        <x:v>1899.308837725312</x:v>
      </x:c>
      <x:c r="U328" s="60" t="n">
        <x:f>IF(T328="","",I328*T328)</x:f>
        <x:v>446.11000357982095</x:v>
      </x:c>
    </x:row>
    <x:row r="329" ht="18" customHeight="1">
      <x:c r="A329" s="46" t="str">
        <x:v>LME_024</x:v>
      </x:c>
      <x:c r="B329" s="46" t="str">
        <x:v>Celtic-Biscay Shelf</x:v>
      </x:c>
      <x:c r="C329" s="46" t="str">
        <x:v>LME</x:v>
      </x:c>
      <x:c r="D329" s="58" t="n">
        <x:v>2019</x:v>
      </x:c>
      <x:c r="E329" s="46" t="str">
        <x:v>Diplodus cervinus</x:v>
      </x:c>
      <x:c r="F329" s="46" t="str">
        <x:v>Zebra seabream</x:v>
      </x:c>
      <x:c r="G329" s="46" t="str">
        <x:v>Medium benthopelagics (30 - 89 cm)</x:v>
      </x:c>
      <x:c r="H329" s="46" t="str">
        <x:v>Perch-likes</x:v>
      </x:c>
      <x:c r="I329" s="60" t="n">
        <x:v>0.214555083</x:v>
      </x:c>
      <x:c r="J329" s="60" t="n">
        <x:v>0.214555083</x:v>
      </x:c>
      <x:c r="K329" s="60" t="n">
        <x:v>0</x:v>
      </x:c>
      <x:c r="L329" s="60" t="n">
        <x:v>0.214555083</x:v>
      </x:c>
      <x:c r="M329" s="60" t="n">
        <x:v>0</x:v>
      </x:c>
      <x:c r="N329" s="46" t="str">
        <x:v>diplodus cervinus</x:v>
      </x:c>
      <x:c r="O329" s="62" t="n">
        <x:v>2.99</x:v>
      </x:c>
      <x:c r="P329" s="46" t="str">
        <x:v>exact_2020_supplement</x:v>
      </x:c>
      <x:c r="Q329" s="62" t="str">
        <x:v>2020 supplement MeanTL</x:v>
      </x:c>
      <x:c r="R329" s="46" t="str">
        <x:v>high</x:v>
      </x:c>
      <x:c r="S329" s="46" t="str">
        <x:v>Diplodus cervinus</x:v>
      </x:c>
      <x:c r="T329" s="62" t="n">
        <x:f>IF(O329="","",(1/'Metadata'!$B$5)^(O329-1))</x:f>
        <x:v>388.19478015718425</x:v>
      </x:c>
      <x:c r="U329" s="60" t="n">
        <x:f>IF(T329="","",I329*T329)</x:f>
        <x:v>83.28916327679143</x:v>
      </x:c>
    </x:row>
    <x:row r="330" ht="18" customHeight="1">
      <x:c r="A330" s="46" t="str">
        <x:v>LME_024</x:v>
      </x:c>
      <x:c r="B330" s="46" t="str">
        <x:v>Celtic-Biscay Shelf</x:v>
      </x:c>
      <x:c r="C330" s="46" t="str">
        <x:v>LME</x:v>
      </x:c>
      <x:c r="D330" s="58" t="n">
        <x:v>2019</x:v>
      </x:c>
      <x:c r="E330" s="46" t="str">
        <x:v>Sepiida</x:v>
      </x:c>
      <x:c r="F330" s="46" t="str">
        <x:v>Cuttlefishes, bobtail squids</x:v>
      </x:c>
      <x:c r="G330" s="46" t="str">
        <x:v>Cephalopods</x:v>
      </x:c>
      <x:c r="H330" s="46" t="str">
        <x:v>Other fishes &amp; inverts</x:v>
      </x:c>
      <x:c r="I330" s="60" t="n">
        <x:v>0.20555438609999999</x:v>
      </x:c>
      <x:c r="J330" s="60" t="n">
        <x:v>0.20555438609999999</x:v>
      </x:c>
      <x:c r="K330" s="60" t="n">
        <x:v>0</x:v>
      </x:c>
      <x:c r="L330" s="60" t="n">
        <x:v>0.205549559</x:v>
      </x:c>
      <x:c r="M330" s="60" t="n">
        <x:v>0.000004827100000000001</x:v>
      </x:c>
      <x:c r="N330" s="46" t="str">
        <x:v>sepiida</x:v>
      </x:c>
      <x:c r="O330" s="62" t="n">
        <x:v>3.7</x:v>
      </x:c>
      <x:c r="P330" s="46" t="str">
        <x:v>exact_sea_around_us</x:v>
      </x:c>
      <x:c r="Q330" s="62" t="str">
        <x:v>Sea Around Us exploited organisms</x:v>
      </x:c>
      <x:c r="R330" s="46" t="str">
        <x:v>high</x:v>
      </x:c>
      <x:c r="S330" s="46" t="str">
        <x:v>Sepiida</x:v>
      </x:c>
      <x:c r="T330" s="62" t="n">
        <x:f>IF(O330="","",(1/'Metadata'!$B$5)^(O330-1))</x:f>
        <x:v>3256.724252295237</x:v>
      </x:c>
      <x:c r="U330" s="60" t="n">
        <x:f>IF(T330="","",I330*T330)</x:f>
        <x:v>669.433954377529</x:v>
      </x:c>
    </x:row>
    <x:row r="331" ht="18" customHeight="1">
      <x:c r="A331" s="46" t="str">
        <x:v>LME_024</x:v>
      </x:c>
      <x:c r="B331" s="46" t="str">
        <x:v>Celtic-Biscay Shelf</x:v>
      </x:c>
      <x:c r="C331" s="46" t="str">
        <x:v>LME</x:v>
      </x:c>
      <x:c r="D331" s="58" t="n">
        <x:v>2019</x:v>
      </x:c>
      <x:c r="E331" s="46" t="str">
        <x:v>Crassostrea</x:v>
      </x:c>
      <x:c r="F331" s="46" t="str">
        <x:v>Cupped oysters</x:v>
      </x:c>
      <x:c r="G331" s="46" t="str">
        <x:v>Other demersal invertebrates</x:v>
      </x:c>
      <x:c r="H331" s="46" t="str">
        <x:v>Molluscs</x:v>
      </x:c>
      <x:c r="I331" s="60" t="n">
        <x:v>0.18737486450000002</x:v>
      </x:c>
      <x:c r="J331" s="60" t="n">
        <x:v>0.18737486450000002</x:v>
      </x:c>
      <x:c r="K331" s="60" t="n">
        <x:v>0</x:v>
      </x:c>
      <x:c r="L331" s="60" t="n">
        <x:v>0.18737486450000002</x:v>
      </x:c>
      <x:c r="M331" s="60" t="n">
        <x:v>0</x:v>
      </x:c>
      <x:c r="N331" s="46" t="str">
        <x:v>crassostrea</x:v>
      </x:c>
      <x:c r="O331" s="62" t="n">
        <x:v>2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Crassostrea</x:v>
      </x:c>
      <x:c r="T331" s="62" t="n">
        <x:f>IF(O331="","",(1/'Metadata'!$B$5)^(O331-1))</x:f>
        <x:v>20</x:v>
      </x:c>
      <x:c r="U331" s="60" t="n">
        <x:f>IF(T331="","",I331*T331)</x:f>
        <x:v>3.74749729</x:v>
      </x:c>
    </x:row>
    <x:row r="332" ht="18" customHeight="1">
      <x:c r="A332" s="46" t="str">
        <x:v>LME_024</x:v>
      </x:c>
      <x:c r="B332" s="46" t="str">
        <x:v>Celtic-Biscay Shelf</x:v>
      </x:c>
      <x:c r="C332" s="46" t="str">
        <x:v>LME</x:v>
      </x:c>
      <x:c r="D332" s="58" t="n">
        <x:v>2019</x:v>
      </x:c>
      <x:c r="E332" s="46" t="str">
        <x:v>Patella</x:v>
      </x:c>
      <x:c r="F332" s="46" t="str">
        <x:v>Limpets</x:v>
      </x:c>
      <x:c r="G332" s="46" t="str">
        <x:v>Other demersal invertebrates</x:v>
      </x:c>
      <x:c r="H332" s="46" t="str">
        <x:v>Molluscs</x:v>
      </x:c>
      <x:c r="I332" s="60" t="n">
        <x:v>0.17670502880000002</x:v>
      </x:c>
      <x:c r="J332" s="60" t="n">
        <x:v>0.17670502880000002</x:v>
      </x:c>
      <x:c r="K332" s="60" t="n">
        <x:v>0</x:v>
      </x:c>
      <x:c r="L332" s="60" t="n">
        <x:v>0.17670502880000002</x:v>
      </x:c>
      <x:c r="M332" s="60" t="n">
        <x:v>0</x:v>
      </x:c>
      <x:c r="N332" s="46" t="str">
        <x:v>patella</x:v>
      </x:c>
      <x:c r="O332" s="62" t="n">
        <x:v>2</x:v>
      </x:c>
      <x:c r="P332" s="46" t="str">
        <x:v>exact_sea_around_us</x:v>
      </x:c>
      <x:c r="Q332" s="62" t="str">
        <x:v>Sea Around Us exploited organisms</x:v>
      </x:c>
      <x:c r="R332" s="46" t="str">
        <x:v>high</x:v>
      </x:c>
      <x:c r="S332" s="46" t="str">
        <x:v>Patella</x:v>
      </x:c>
      <x:c r="T332" s="62" t="n">
        <x:f>IF(O332="","",(1/'Metadata'!$B$5)^(O332-1))</x:f>
        <x:v>20</x:v>
      </x:c>
      <x:c r="U332" s="60" t="n">
        <x:f>IF(T332="","",I332*T332)</x:f>
        <x:v>3.5341005760000006</x:v>
      </x:c>
    </x:row>
    <x:row r="333" ht="18" customHeight="1">
      <x:c r="A333" s="46" t="str">
        <x:v>LME_024</x:v>
      </x:c>
      <x:c r="B333" s="46" t="str">
        <x:v>Celtic-Biscay Shelf</x:v>
      </x:c>
      <x:c r="C333" s="46" t="str">
        <x:v>LME</x:v>
      </x:c>
      <x:c r="D333" s="58" t="n">
        <x:v>2019</x:v>
      </x:c>
      <x:c r="E333" s="46" t="str">
        <x:v>Molva</x:v>
      </x:c>
      <x:c r="F333" s="46" t="str">
        <x:v>Lings</x:v>
      </x:c>
      <x:c r="G333" s="46" t="str">
        <x:v>Large demersals (&gt;=90 cm)</x:v>
      </x:c>
      <x:c r="H333" s="46" t="str">
        <x:v>Cod-likes</x:v>
      </x:c>
      <x:c r="I333" s="60" t="n">
        <x:v>0.17094186249999999</x:v>
      </x:c>
      <x:c r="J333" s="60" t="n">
        <x:v>0.17094186249999999</x:v>
      </x:c>
      <x:c r="K333" s="60" t="n">
        <x:v>0</x:v>
      </x:c>
      <x:c r="L333" s="60" t="n">
        <x:v>0.1709406617</x:v>
      </x:c>
      <x:c r="M333" s="60" t="n">
        <x:v>0.0000012008</x:v>
      </x:c>
      <x:c r="N333" s="46" t="str">
        <x:v>molva</x:v>
      </x:c>
      <x:c r="O333" s="62" t="n">
        <x:v>4.19</x:v>
      </x:c>
      <x:c r="P333" s="46" t="str">
        <x:v>exact_sea_around_us</x:v>
      </x:c>
      <x:c r="Q333" s="62" t="str">
        <x:v>Sea Around Us exploited organisms</x:v>
      </x:c>
      <x:c r="R333" s="46" t="str">
        <x:v>high</x:v>
      </x:c>
      <x:c r="S333" s="46" t="str">
        <x:v>Molva</x:v>
      </x:c>
      <x:c r="T333" s="62" t="n">
        <x:f>IF(O333="","",(1/'Metadata'!$B$5)^(O333-1))</x:f>
        <x:v>14134.67041111498</x:v>
      </x:c>
      <x:c r="U333" s="60" t="n">
        <x:f>IF(T333="","",I333*T333)</x:f>
        <x:v>2416.206885899635</x:v>
      </x:c>
    </x:row>
    <x:row r="334" ht="18" customHeight="1">
      <x:c r="A334" s="46" t="str">
        <x:v>LME_024</x:v>
      </x:c>
      <x:c r="B334" s="46" t="str">
        <x:v>Celtic-Biscay Shelf</x:v>
      </x:c>
      <x:c r="C334" s="46" t="str">
        <x:v>LME</x:v>
      </x:c>
      <x:c r="D334" s="58" t="n">
        <x:v>2019</x:v>
      </x:c>
      <x:c r="E334" s="46" t="str">
        <x:v>Hoplostethus mediterraneus</x:v>
      </x:c>
      <x:c r="F334" s="46" t="str">
        <x:v>Mediterranean slimehead</x:v>
      </x:c>
      <x:c r="G334" s="46" t="str">
        <x:v>Medium benthopelagics (30 - 89 cm)</x:v>
      </x:c>
      <x:c r="H334" s="46" t="str">
        <x:v>Other fishes &amp; inverts</x:v>
      </x:c>
      <x:c r="I334" s="60" t="n">
        <x:v>0.1589823453</x:v>
      </x:c>
      <x:c r="J334" s="60" t="n">
        <x:v>0.1589823453</x:v>
      </x:c>
      <x:c r="K334" s="60" t="n">
        <x:v>0</x:v>
      </x:c>
      <x:c r="L334" s="60" t="n">
        <x:v>0.1589823453</x:v>
      </x:c>
      <x:c r="M334" s="60" t="n">
        <x:v>0</x:v>
      </x:c>
      <x:c r="N334" s="46" t="str">
        <x:v>hoplostethus mediterraneus</x:v>
      </x:c>
      <x:c r="O334" s="62" t="n">
        <x:v>3.49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Hoplostethus mediterraneus</x:v>
      </x:c>
      <x:c r="T334" s="62" t="n">
        <x:f>IF(O334="","",(1/'Metadata'!$B$5)^(O334-1))</x:f>
        <x:v>1736.059833884101</x:v>
      </x:c>
      <x:c r="U334" s="60" t="n">
        <x:f>IF(T334="","",I334*T334)</x:f>
        <x:v>276.0028639720228</x:v>
      </x:c>
    </x:row>
    <x:row r="335" ht="18" customHeight="1">
      <x:c r="A335" s="46" t="str">
        <x:v>LME_024</x:v>
      </x:c>
      <x:c r="B335" s="46" t="str">
        <x:v>Celtic-Biscay Shelf</x:v>
      </x:c>
      <x:c r="C335" s="46" t="str">
        <x:v>LME</x:v>
      </x:c>
      <x:c r="D335" s="58" t="n">
        <x:v>2019</x:v>
      </x:c>
      <x:c r="E335" s="46" t="str">
        <x:v>Lepidorhombus boscii</x:v>
      </x:c>
      <x:c r="F335" s="46" t="str">
        <x:v>Four-spot megrim</x:v>
      </x:c>
      <x:c r="G335" s="46" t="str">
        <x:v>Small to medium flatfishes (&lt;90 cm)</x:v>
      </x:c>
      <x:c r="H335" s="46" t="str">
        <x:v>Flatfishes</x:v>
      </x:c>
      <x:c r="I335" s="60" t="n">
        <x:v>0.15783072650000002</x:v>
      </x:c>
      <x:c r="J335" s="60" t="n">
        <x:v>0.15783072650000002</x:v>
      </x:c>
      <x:c r="K335" s="60" t="n">
        <x:v>0</x:v>
      </x:c>
      <x:c r="L335" s="60" t="n">
        <x:v>0.15783072650000002</x:v>
      </x:c>
      <x:c r="M335" s="60" t="n">
        <x:v>0</x:v>
      </x:c>
      <x:c r="N335" s="46" t="str">
        <x:v>lepidorhombus boscii</x:v>
      </x:c>
      <x:c r="O335" s="62" t="n">
        <x:v>3.74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Lepidorhombus boscii</x:v>
      </x:c>
      <x:c r="T335" s="62" t="n">
        <x:f>IF(O335="","",(1/'Metadata'!$B$5)^(O335-1))</x:f>
        <x:v>3671.3195599248957</x:v>
      </x:c>
      <x:c r="U335" s="60" t="n">
        <x:f>IF(T335="","",I335*T335)</x:f>
        <x:v>579.4470333566067</x:v>
      </x:c>
    </x:row>
    <x:row r="336" ht="18" customHeight="1">
      <x:c r="A336" s="46" t="str">
        <x:v>LME_024</x:v>
      </x:c>
      <x:c r="B336" s="46" t="str">
        <x:v>Celtic-Biscay Shelf</x:v>
      </x:c>
      <x:c r="C336" s="46" t="str">
        <x:v>LME</x:v>
      </x:c>
      <x:c r="D336" s="58" t="n">
        <x:v>2019</x:v>
      </x:c>
      <x:c r="E336" s="46" t="str">
        <x:v>Diplodus vulgaris</x:v>
      </x:c>
      <x:c r="F336" s="46" t="str">
        <x:v>Common two-banded seabream</x:v>
      </x:c>
      <x:c r="G336" s="46" t="str">
        <x:v>Medium benthopelagics (30 - 89 cm)</x:v>
      </x:c>
      <x:c r="H336" s="46" t="str">
        <x:v>Perch-likes</x:v>
      </x:c>
      <x:c r="I336" s="60" t="n">
        <x:v>0.14906749360000002</x:v>
      </x:c>
      <x:c r="J336" s="60" t="n">
        <x:v>0.14906749360000002</x:v>
      </x:c>
      <x:c r="K336" s="60" t="n">
        <x:v>0</x:v>
      </x:c>
      <x:c r="L336" s="60" t="n">
        <x:v>0.0786109857</x:v>
      </x:c>
      <x:c r="M336" s="60" t="n">
        <x:v>0.0704565079</x:v>
      </x:c>
      <x:c r="N336" s="46" t="str">
        <x:v>diplodus vulgaris</x:v>
      </x:c>
      <x:c r="O336" s="62" t="n">
        <x:v>3.52</x:v>
      </x:c>
      <x:c r="P336" s="46" t="str">
        <x:v>exact_2020_supplement</x:v>
      </x:c>
      <x:c r="Q336" s="62" t="str">
        <x:v>2020 supplement MeanTL</x:v>
      </x:c>
      <x:c r="R336" s="46" t="str">
        <x:v>high</x:v>
      </x:c>
      <x:c r="S336" s="46" t="str">
        <x:v>Diplodus vulgaris</x:v>
      </x:c>
      <x:c r="T336" s="62" t="n">
        <x:f>IF(O336="","",(1/'Metadata'!$B$5)^(O336-1))</x:f>
        <x:v>1899.308837725312</x:v>
      </x:c>
      <x:c r="U336" s="60" t="n">
        <x:f>IF(T336="","",I336*T336)</x:f>
        <x:v>283.1252080120414</x:v>
      </x:c>
    </x:row>
    <x:row r="337" ht="18" customHeight="1">
      <x:c r="A337" s="46" t="str">
        <x:v>LME_024</x:v>
      </x:c>
      <x:c r="B337" s="46" t="str">
        <x:v>Celtic-Biscay Shelf</x:v>
      </x:c>
      <x:c r="C337" s="46" t="str">
        <x:v>LME</x:v>
      </x:c>
      <x:c r="D337" s="58" t="n">
        <x:v>2019</x:v>
      </x:c>
      <x:c r="E337" s="46" t="str">
        <x:v>Chimaeriformes</x:v>
      </x:c>
      <x:c r="F337" s="46" t="str">
        <x:v>Chimaeras</x:v>
      </x:c>
      <x:c r="G337" s="46" t="str">
        <x:v>Large rays (&gt;=90 cm)</x:v>
      </x:c>
      <x:c r="H337" s="46" t="str">
        <x:v>Sharks &amp; rays</x:v>
      </x:c>
      <x:c r="I337" s="60" t="n">
        <x:v>0.1232970039</x:v>
      </x:c>
      <x:c r="J337" s="60" t="n">
        <x:v>0.1232970039</x:v>
      </x:c>
      <x:c r="K337" s="60" t="n">
        <x:v>0</x:v>
      </x:c>
      <x:c r="L337" s="60" t="n">
        <x:v>0.1232970039</x:v>
      </x:c>
      <x:c r="M337" s="60" t="n">
        <x:v>0</x:v>
      </x:c>
      <x:c r="N337" s="46" t="str">
        <x:v>chimaeriformes</x:v>
      </x:c>
      <x:c r="O337" s="62" t="n">
        <x:v>3.37</x:v>
      </x:c>
      <x:c r="P337" s="46" t="str">
        <x:v>exact_sea_around_us</x:v>
      </x:c>
      <x:c r="Q337" s="62" t="str">
        <x:v>Sea Around Us exploited organisms</x:v>
      </x:c>
      <x:c r="R337" s="46" t="str">
        <x:v>high</x:v>
      </x:c>
      <x:c r="S337" s="46" t="str">
        <x:v>Chimaeriformes</x:v>
      </x:c>
      <x:c r="T337" s="62" t="n">
        <x:f>IF(O337="","",(1/'Metadata'!$B$5)^(O337-1))</x:f>
        <x:v>1211.828298056271</x:v>
      </x:c>
      <x:c r="U337" s="60" t="n">
        <x:f>IF(T337="","",I337*T337)</x:f>
        <x:v>149.4147983915744</x:v>
      </x:c>
    </x:row>
    <x:row r="338" ht="18" customHeight="1">
      <x:c r="A338" s="46" t="str">
        <x:v>LME_024</x:v>
      </x:c>
      <x:c r="B338" s="46" t="str">
        <x:v>Celtic-Biscay Shelf</x:v>
      </x:c>
      <x:c r="C338" s="46" t="str">
        <x:v>LME</x:v>
      </x:c>
      <x:c r="D338" s="58" t="n">
        <x:v>2019</x:v>
      </x:c>
      <x:c r="E338" s="46" t="str">
        <x:v>Cyprinus carpio</x:v>
      </x:c>
      <x:c r="F338" s="46" t="str">
        <x:v>Common carp</x:v>
      </x:c>
      <x:c r="G338" s="46" t="str">
        <x:v>Large benthopelagics (&gt;=90 cm)</x:v>
      </x:c>
      <x:c r="H338" s="46" t="str">
        <x:v>Other fishes &amp; inverts</x:v>
      </x:c>
      <x:c r="I338" s="60" t="n">
        <x:v>0.1204640243</x:v>
      </x:c>
      <x:c r="J338" s="60" t="n">
        <x:v>0.1204640243</x:v>
      </x:c>
      <x:c r="K338" s="60" t="n">
        <x:v>0</x:v>
      </x:c>
      <x:c r="L338" s="60" t="n">
        <x:v>0.1204640243</x:v>
      </x:c>
      <x:c r="M338" s="60" t="n">
        <x:v>0</x:v>
      </x:c>
      <x:c r="N338" s="46" t="str">
        <x:v>cyprinus carpio</x:v>
      </x:c>
      <x:c r="O338" s="62" t="n">
        <x:v>3.06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Cyprinus carpio</x:v>
      </x:c>
      <x:c r="T338" s="62" t="n">
        <x:f>IF(O338="","",(1/'Metadata'!$B$5)^(O338-1))</x:f>
        <x:v>478.7643354384948</x:v>
      </x:c>
      <x:c r="U338" s="60" t="n">
        <x:f>IF(T338="","",I338*T338)</x:f>
        <x:v>57.67387853823619</x:v>
      </x:c>
    </x:row>
    <x:row r="339" ht="18" customHeight="1">
      <x:c r="A339" s="46" t="str">
        <x:v>LME_024</x:v>
      </x:c>
      <x:c r="B339" s="46" t="str">
        <x:v>Celtic-Biscay Shelf</x:v>
      </x:c>
      <x:c r="C339" s="46" t="str">
        <x:v>LME</x:v>
      </x:c>
      <x:c r="D339" s="58" t="n">
        <x:v>2019</x:v>
      </x:c>
      <x:c r="E339" s="46" t="str">
        <x:v>Kajikia albida</x:v>
      </x:c>
      <x:c r="F339" s="46" t="str">
        <x:v>Atlantic white marlin</x:v>
      </x:c>
      <x:c r="G339" s="46" t="str">
        <x:v>Large pelagics (&gt;=90 cm)</x:v>
      </x:c>
      <x:c r="H339" s="46" t="str">
        <x:v>Tuna &amp; billfishes</x:v>
      </x:c>
      <x:c r="I339" s="60" t="n">
        <x:v>0.1142268656</x:v>
      </x:c>
      <x:c r="J339" s="60" t="n">
        <x:v>0.1142268656</x:v>
      </x:c>
      <x:c r="K339" s="60" t="n">
        <x:v>0</x:v>
      </x:c>
      <x:c r="L339" s="60" t="n">
        <x:v>0.1142268656</x:v>
      </x:c>
      <x:c r="M339" s="60" t="n">
        <x:v>0</x:v>
      </x:c>
      <x:c r="N339" s="46" t="str">
        <x:v>kajikia albida</x:v>
      </x:c>
      <x:c r="O339" s="62" t="n">
        <x:v>4.49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Kajikia albida</x:v>
      </x:c>
      <x:c r="T339" s="62" t="n">
        <x:f>IF(O339="","",(1/'Metadata'!$B$5)^(O339-1))</x:f>
        <x:v>34721.19667768202</x:v>
      </x:c>
      <x:c r="U339" s="60" t="n">
        <x:f>IF(T339="","",I339*T339)</x:f>
        <x:v>3966.0934663727508</x:v>
      </x:c>
    </x:row>
    <x:row r="340" ht="18" customHeight="1">
      <x:c r="A340" s="46" t="str">
        <x:v>LME_024</x:v>
      </x:c>
      <x:c r="B340" s="46" t="str">
        <x:v>Celtic-Biscay Shelf</x:v>
      </x:c>
      <x:c r="C340" s="46" t="str">
        <x:v>LME</x:v>
      </x:c>
      <x:c r="D340" s="58" t="n">
        <x:v>2019</x:v>
      </x:c>
      <x:c r="E340" s="46" t="str">
        <x:v>Lamnidae</x:v>
      </x:c>
      <x:c r="F340" s="46" t="str">
        <x:v>Mackerel/white sharks</x:v>
      </x:c>
      <x:c r="G340" s="46" t="str">
        <x:v>Large sharks (&gt;=90 cm)</x:v>
      </x:c>
      <x:c r="H340" s="46" t="str">
        <x:v>Sharks &amp; rays</x:v>
      </x:c>
      <x:c r="I340" s="60" t="n">
        <x:v>0.1028365173</x:v>
      </x:c>
      <x:c r="J340" s="60" t="n">
        <x:v>0.1028365173</x:v>
      </x:c>
      <x:c r="K340" s="60" t="n">
        <x:v>0</x:v>
      </x:c>
      <x:c r="L340" s="60" t="n">
        <x:v>0.1028365173</x:v>
      </x:c>
      <x:c r="M340" s="60" t="n">
        <x:v>0</x:v>
      </x:c>
      <x:c r="N340" s="46" t="str">
        <x:v>lamnidae</x:v>
      </x:c>
      <x:c r="O340" s="62" t="n">
        <x:v>4.5</x:v>
      </x:c>
      <x:c r="P340" s="46" t="str">
        <x:v>exact_sea_around_us</x:v>
      </x:c>
      <x:c r="Q340" s="62" t="str">
        <x:v>Sea Around Us exploited organisms</x:v>
      </x:c>
      <x:c r="R340" s="46" t="str">
        <x:v>high</x:v>
      </x:c>
      <x:c r="S340" s="46" t="str">
        <x:v>Lamnidae</x:v>
      </x:c>
      <x:c r="T340" s="62" t="n">
        <x:f>IF(O340="","",(1/'Metadata'!$B$5)^(O340-1))</x:f>
        <x:v>35777.08763999664</x:v>
      </x:c>
      <x:c r="U340" s="60" t="n">
        <x:f>IF(T340="","",I340*T340)</x:f>
        <x:v>3679.19109203413</x:v>
      </x:c>
    </x:row>
    <x:row r="341" ht="18" customHeight="1">
      <x:c r="A341" s="46" t="str">
        <x:v>LME_024</x:v>
      </x:c>
      <x:c r="B341" s="46" t="str">
        <x:v>Celtic-Biscay Shelf</x:v>
      </x:c>
      <x:c r="C341" s="46" t="str">
        <x:v>LME</x:v>
      </x:c>
      <x:c r="D341" s="58" t="n">
        <x:v>2019</x:v>
      </x:c>
      <x:c r="E341" s="46" t="str">
        <x:v>Citharus linguatula</x:v>
      </x:c>
      <x:c r="F341" s="46" t="str">
        <x:v>Spotted flounder</x:v>
      </x:c>
      <x:c r="G341" s="46" t="str">
        <x:v>Small to medium flatfishes (&lt;90 cm)</x:v>
      </x:c>
      <x:c r="H341" s="46" t="str">
        <x:v>Flatfishes</x:v>
      </x:c>
      <x:c r="I341" s="60" t="n">
        <x:v>0.1028248087</x:v>
      </x:c>
      <x:c r="J341" s="60" t="n">
        <x:v>0.1028248087</x:v>
      </x:c>
      <x:c r="K341" s="60" t="n">
        <x:v>0</x:v>
      </x:c>
      <x:c r="L341" s="60" t="n">
        <x:v>0.1028248087</x:v>
      </x:c>
      <x:c r="M341" s="60" t="n">
        <x:v>0</x:v>
      </x:c>
      <x:c r="N341" s="46" t="str">
        <x:v>citharus linguatula</x:v>
      </x:c>
      <x:c r="O341" s="62" t="n">
        <x:v>3.97</x:v>
      </x:c>
      <x:c r="P341" s="46" t="str">
        <x:v>exact_2020_supplement</x:v>
      </x:c>
      <x:c r="Q341" s="62" t="str">
        <x:v>2020 supplement MeanTL</x:v>
      </x:c>
      <x:c r="R341" s="46" t="str">
        <x:v>high</x:v>
      </x:c>
      <x:c r="S341" s="46" t="str">
        <x:v>Citharus linguatula</x:v>
      </x:c>
      <x:c r="T341" s="62" t="n">
        <x:f>IF(O341="","",(1/'Metadata'!$B$5)^(O341-1))</x:f>
        <x:v>7312.385640086951</x:v>
      </x:c>
      <x:c r="U341" s="60" t="n">
        <x:f>IF(T341="","",I341*T341)</x:f>
        <x:v>751.8946545825678</x:v>
      </x:c>
    </x:row>
    <x:row r="342" ht="18" customHeight="1">
      <x:c r="A342" s="46" t="str">
        <x:v>LME_024</x:v>
      </x:c>
      <x:c r="B342" s="46" t="str">
        <x:v>Celtic-Biscay Shelf</x:v>
      </x:c>
      <x:c r="C342" s="46" t="str">
        <x:v>LME</x:v>
      </x:c>
      <x:c r="D342" s="58" t="n">
        <x:v>2019</x:v>
      </x:c>
      <x:c r="E342" s="46" t="str">
        <x:v>Balistes capriscus</x:v>
      </x:c>
      <x:c r="F342" s="46" t="str">
        <x:v>Grey triggerfish</x:v>
      </x:c>
      <x:c r="G342" s="46" t="str">
        <x:v>Medium benthopelagics (30 - 89 cm)</x:v>
      </x:c>
      <x:c r="H342" s="46" t="str">
        <x:v>Other fishes &amp; inverts</x:v>
      </x:c>
      <x:c r="I342" s="60" t="n">
        <x:v>0.1022586123</x:v>
      </x:c>
      <x:c r="J342" s="60" t="n">
        <x:v>0.1022586123</x:v>
      </x:c>
      <x:c r="K342" s="60" t="n">
        <x:v>0</x:v>
      </x:c>
      <x:c r="L342" s="60" t="n">
        <x:v>0.1022562229</x:v>
      </x:c>
      <x:c r="M342" s="60" t="n">
        <x:v>0.0000023894000000000004</x:v>
      </x:c>
      <x:c r="N342" s="46" t="str">
        <x:v>balistes capriscus</x:v>
      </x:c>
      <x:c r="O342" s="62" t="n">
        <x:v>4.06</x:v>
      </x:c>
      <x:c r="P342" s="46" t="str">
        <x:v>exact_2020_supplement</x:v>
      </x:c>
      <x:c r="Q342" s="62" t="str">
        <x:v>2020 supplement MeanTL</x:v>
      </x:c>
      <x:c r="R342" s="46" t="str">
        <x:v>high</x:v>
      </x:c>
      <x:c r="S342" s="46" t="str">
        <x:v>Balistes capriscus</x:v>
      </x:c>
      <x:c r="T342" s="62" t="n">
        <x:f>IF(O342="","",(1/'Metadata'!$B$5)^(O342-1))</x:f>
        <x:v>9575.286708769883</x:v>
      </x:c>
      <x:c r="U342" s="60" t="n">
        <x:f>IF(T342="","",I342*T342)</x:f>
        <x:v>979.1555312134425</x:v>
      </x:c>
    </x:row>
    <x:row r="343" ht="18" customHeight="1">
      <x:c r="A343" s="46" t="str">
        <x:v>LME_024</x:v>
      </x:c>
      <x:c r="B343" s="46" t="str">
        <x:v>Celtic-Biscay Shelf</x:v>
      </x:c>
      <x:c r="C343" s="46" t="str">
        <x:v>LME</x:v>
      </x:c>
      <x:c r="D343" s="58" t="n">
        <x:v>2019</x:v>
      </x:c>
      <x:c r="E343" s="46" t="str">
        <x:v>Sciaena umbra</x:v>
      </x:c>
      <x:c r="F343" s="46" t="str">
        <x:v>Brown meagre</x:v>
      </x:c>
      <x:c r="G343" s="46" t="str">
        <x:v>Medium demersals (30 - 89 cm)</x:v>
      </x:c>
      <x:c r="H343" s="46" t="str">
        <x:v>Perch-likes</x:v>
      </x:c>
      <x:c r="I343" s="60" t="n">
        <x:v>0.0881291043</x:v>
      </x:c>
      <x:c r="J343" s="60" t="n">
        <x:v>0.0881291043</x:v>
      </x:c>
      <x:c r="K343" s="60" t="n">
        <x:v>0</x:v>
      </x:c>
      <x:c r="L343" s="60" t="n">
        <x:v>0.0881291043</x:v>
      </x:c>
      <x:c r="M343" s="60" t="n">
        <x:v>0</x:v>
      </x:c>
      <x:c r="N343" s="46" t="str">
        <x:v>sciaena umbra</x:v>
      </x:c>
      <x:c r="O343" s="62" t="n">
        <x:v>3.75</x:v>
      </x:c>
      <x:c r="P343" s="46" t="str">
        <x:v>exact_2020_supplement</x:v>
      </x:c>
      <x:c r="Q343" s="62" t="str">
        <x:v>2020 supplement MeanTL</x:v>
      </x:c>
      <x:c r="R343" s="46" t="str">
        <x:v>high</x:v>
      </x:c>
      <x:c r="S343" s="46" t="str">
        <x:v>Sciaena umbra</x:v>
      </x:c>
      <x:c r="T343" s="62" t="n">
        <x:f>IF(O343="","",(1/'Metadata'!$B$5)^(O343-1))</x:f>
        <x:v>3782.966436012703</x:v>
      </x:c>
      <x:c r="U343" s="60" t="n">
        <x:f>IF(T343="","",I343*T343)</x:f>
        <x:v>333.38944360276275</x:v>
      </x:c>
    </x:row>
    <x:row r="344" ht="18" customHeight="1">
      <x:c r="A344" s="46" t="str">
        <x:v>LME_024</x:v>
      </x:c>
      <x:c r="B344" s="46" t="str">
        <x:v>Celtic-Biscay Shelf</x:v>
      </x:c>
      <x:c r="C344" s="46" t="str">
        <x:v>LME</x:v>
      </x:c>
      <x:c r="D344" s="58" t="n">
        <x:v>2019</x:v>
      </x:c>
      <x:c r="E344" s="46" t="str">
        <x:v>Pomatomus saltatrix</x:v>
      </x:c>
      <x:c r="F344" s="46" t="str">
        <x:v>Bluefish</x:v>
      </x:c>
      <x:c r="G344" s="46" t="str">
        <x:v>Large pelagics (&gt;=90 cm)</x:v>
      </x:c>
      <x:c r="H344" s="46" t="str">
        <x:v>Perch-likes</x:v>
      </x:c>
      <x:c r="I344" s="60" t="n">
        <x:v>0.0840836249</x:v>
      </x:c>
      <x:c r="J344" s="60" t="n">
        <x:v>0.0840836249</x:v>
      </x:c>
      <x:c r="K344" s="60" t="n">
        <x:v>0</x:v>
      </x:c>
      <x:c r="L344" s="60" t="n">
        <x:v>0</x:v>
      </x:c>
      <x:c r="M344" s="60" t="n">
        <x:v>0.0840836249</x:v>
      </x:c>
      <x:c r="N344" s="46" t="str">
        <x:v>pomatomus saltatrix</x:v>
      </x:c>
      <x:c r="O344" s="62" t="n">
        <x:v>4.53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Pomatomus saltatrix</x:v>
      </x:c>
      <x:c r="T344" s="62" t="n">
        <x:f>IF(O344="","",(1/'Metadata'!$B$5)^(O344-1))</x:f>
        <x:v>39141.35758252625</x:v>
      </x:c>
      <x:c r="U344" s="60" t="n">
        <x:f>IF(T344="","",I344*T344)</x:f>
        <x:v>3291.1472290459083</x:v>
      </x:c>
    </x:row>
    <x:row r="345" ht="18" customHeight="1">
      <x:c r="A345" s="46" t="str">
        <x:v>LME_024</x:v>
      </x:c>
      <x:c r="B345" s="46" t="str">
        <x:v>Celtic-Biscay Shelf</x:v>
      </x:c>
      <x:c r="C345" s="46" t="str">
        <x:v>LME</x:v>
      </x:c>
      <x:c r="D345" s="58" t="n">
        <x:v>2019</x:v>
      </x:c>
      <x:c r="E345" s="46" t="str">
        <x:v>Istiophoridae</x:v>
      </x:c>
      <x:c r="F345" s="46" t="str">
        <x:v>Billfishes</x:v>
      </x:c>
      <x:c r="G345" s="46" t="str">
        <x:v>Large pelagics (&gt;=90 cm)</x:v>
      </x:c>
      <x:c r="H345" s="46" t="str">
        <x:v>Tuna &amp; billfishes</x:v>
      </x:c>
      <x:c r="I345" s="60" t="n">
        <x:v>0.072079692</x:v>
      </x:c>
      <x:c r="J345" s="60" t="n">
        <x:v>0.072079692</x:v>
      </x:c>
      <x:c r="K345" s="60" t="n">
        <x:v>0</x:v>
      </x:c>
      <x:c r="L345" s="60" t="n">
        <x:v>0.072079692</x:v>
      </x:c>
      <x:c r="M345" s="60" t="n">
        <x:v>0</x:v>
      </x:c>
      <x:c r="N345" s="46" t="str">
        <x:v>istiophoridae</x:v>
      </x:c>
      <x:c r="O345" s="62" t="n">
        <x:v>4.48</x:v>
      </x:c>
      <x:c r="P345" s="46" t="str">
        <x:v>exact_sea_around_us</x:v>
      </x:c>
      <x:c r="Q345" s="62" t="str">
        <x:v>Sea Around Us exploited organisms</x:v>
      </x:c>
      <x:c r="R345" s="46" t="str">
        <x:v>high</x:v>
      </x:c>
      <x:c r="S345" s="46" t="str">
        <x:v>Istiophoridae</x:v>
      </x:c>
      <x:c r="T345" s="62" t="n">
        <x:f>IF(O345="","",(1/'Metadata'!$B$5)^(O345-1))</x:f>
        <x:v>33696.468277717824</x:v>
      </x:c>
      <x:c r="U345" s="60" t="n">
        <x:f>IF(T345="","",I345*T345)</x:f>
        <x:v>2428.8310549456714</x:v>
      </x:c>
    </x:row>
    <x:row r="346" ht="18" customHeight="1">
      <x:c r="A346" s="46" t="str">
        <x:v>LME_024</x:v>
      </x:c>
      <x:c r="B346" s="46" t="str">
        <x:v>Celtic-Biscay Shelf</x:v>
      </x:c>
      <x:c r="C346" s="46" t="str">
        <x:v>LME</x:v>
      </x:c>
      <x:c r="D346" s="58" t="n">
        <x:v>2019</x:v>
      </x:c>
      <x:c r="E346" s="46" t="str">
        <x:v>Microcosmus vulgaris</x:v>
      </x:c>
      <x:c r="F346" s="46" t="str">
        <x:v>Grooved sea squirt</x:v>
      </x:c>
      <x:c r="G346" s="46" t="str">
        <x:v>Other demersal invertebrates</x:v>
      </x:c>
      <x:c r="H346" s="46" t="str">
        <x:v>Other fishes &amp; inverts</x:v>
      </x:c>
      <x:c r="I346" s="60" t="n">
        <x:v>0.0718155813</x:v>
      </x:c>
      <x:c r="J346" s="60" t="n">
        <x:v>0.0718155813</x:v>
      </x:c>
      <x:c r="K346" s="60" t="n">
        <x:v>0</x:v>
      </x:c>
      <x:c r="L346" s="60" t="n">
        <x:v>0.0718155813</x:v>
      </x:c>
      <x:c r="M346" s="60" t="n">
        <x:v>0</x:v>
      </x:c>
      <x:c r="N346" s="46" t="str">
        <x:v>microcosmus vulgaris</x:v>
      </x:c>
      <x:c r="O346" s="62" t="n">
        <x:v>3</x:v>
      </x:c>
      <x:c r="P346" s="46" t="str">
        <x:v>exact_sea_around_us</x:v>
      </x:c>
      <x:c r="Q346" s="62" t="str">
        <x:v>Sea Around Us exploited organisms</x:v>
      </x:c>
      <x:c r="R346" s="46" t="str">
        <x:v>high</x:v>
      </x:c>
      <x:c r="S346" s="46" t="str">
        <x:v>Microcosmus vulgaris</x:v>
      </x:c>
      <x:c r="T346" s="62" t="n">
        <x:f>IF(O346="","",(1/'Metadata'!$B$5)^(O346-1))</x:f>
        <x:v>400</x:v>
      </x:c>
      <x:c r="U346" s="60" t="n">
        <x:f>IF(T346="","",I346*T346)</x:f>
        <x:v>28.72623252</x:v>
      </x:c>
    </x:row>
    <x:row r="347" ht="18" customHeight="1">
      <x:c r="A347" s="46" t="str">
        <x:v>LME_024</x:v>
      </x:c>
      <x:c r="B347" s="46" t="str">
        <x:v>Celtic-Biscay Shelf</x:v>
      </x:c>
      <x:c r="C347" s="46" t="str">
        <x:v>LME</x:v>
      </x:c>
      <x:c r="D347" s="58" t="n">
        <x:v>2019</x:v>
      </x:c>
      <x:c r="E347" s="46" t="str">
        <x:v>Solen vagina</x:v>
      </x:c>
      <x:c r="F347" s="46" t="str">
        <x:v>European razor clam</x:v>
      </x:c>
      <x:c r="G347" s="46" t="str">
        <x:v>Other demersal invertebrates</x:v>
      </x:c>
      <x:c r="H347" s="46" t="str">
        <x:v>Molluscs</x:v>
      </x:c>
      <x:c r="I347" s="60" t="n">
        <x:v>0.06836544680000001</x:v>
      </x:c>
      <x:c r="J347" s="60" t="n">
        <x:v>0.06836544680000001</x:v>
      </x:c>
      <x:c r="K347" s="60" t="n">
        <x:v>0</x:v>
      </x:c>
      <x:c r="L347" s="60" t="n">
        <x:v>0.0683649301</x:v>
      </x:c>
      <x:c r="M347" s="60" t="n">
        <x:v>5.167e-7</x:v>
      </x:c>
      <x:c r="N347" s="46" t="str">
        <x:v>solen vagina</x:v>
      </x:c>
      <x:c r="O347" s="62" t="n">
        <x:v>2</x:v>
      </x:c>
      <x:c r="P347" s="46" t="str">
        <x:v>exact_sea_around_us</x:v>
      </x:c>
      <x:c r="Q347" s="62" t="str">
        <x:v>Sea Around Us exploited organisms</x:v>
      </x:c>
      <x:c r="R347" s="46" t="str">
        <x:v>high</x:v>
      </x:c>
      <x:c r="S347" s="46" t="str">
        <x:v>Solen vagina</x:v>
      </x:c>
      <x:c r="T347" s="62" t="n">
        <x:f>IF(O347="","",(1/'Metadata'!$B$5)^(O347-1))</x:f>
        <x:v>20</x:v>
      </x:c>
      <x:c r="U347" s="60" t="n">
        <x:f>IF(T347="","",I347*T347)</x:f>
        <x:v>1.3673089360000001</x:v>
      </x:c>
    </x:row>
    <x:row r="348" ht="18" customHeight="1">
      <x:c r="A348" s="46" t="str">
        <x:v>LME_024</x:v>
      </x:c>
      <x:c r="B348" s="46" t="str">
        <x:v>Celtic-Biscay Shelf</x:v>
      </x:c>
      <x:c r="C348" s="46" t="str">
        <x:v>LME</x:v>
      </x:c>
      <x:c r="D348" s="58" t="n">
        <x:v>2019</x:v>
      </x:c>
      <x:c r="E348" s="46" t="str">
        <x:v>Rajella</x:v>
      </x:c>
      <x:c r="F348" s="46" t="str">
        <x:v>Abyssal stingrays/skates</x:v>
      </x:c>
      <x:c r="G348" s="46" t="str">
        <x:v>Small to medium rays (&lt;90 cm)</x:v>
      </x:c>
      <x:c r="H348" s="46" t="str">
        <x:v>Sharks &amp; rays</x:v>
      </x:c>
      <x:c r="I348" s="60" t="n">
        <x:v>0.0677999999</x:v>
      </x:c>
      <x:c r="J348" s="60" t="n">
        <x:v>0.0677999999</x:v>
      </x:c>
      <x:c r="K348" s="60" t="n">
        <x:v>0</x:v>
      </x:c>
      <x:c r="L348" s="60" t="n">
        <x:v>0.0677999999</x:v>
      </x:c>
      <x:c r="M348" s="60" t="n">
        <x:v>0</x:v>
      </x:c>
      <x:c r="N348" s="46" t="str">
        <x:v>rajella</x:v>
      </x:c>
      <x:c r="O348" s="62" t="n">
        <x:v>3.75</x:v>
      </x:c>
      <x:c r="P348" s="46" t="str">
        <x:v>exact_sea_around_us</x:v>
      </x:c>
      <x:c r="Q348" s="62" t="str">
        <x:v>Sea Around Us exploited organisms</x:v>
      </x:c>
      <x:c r="R348" s="46" t="str">
        <x:v>high</x:v>
      </x:c>
      <x:c r="S348" s="46" t="str">
        <x:v>Rajella</x:v>
      </x:c>
      <x:c r="T348" s="62" t="n">
        <x:f>IF(O348="","",(1/'Metadata'!$B$5)^(O348-1))</x:f>
        <x:v>3782.966436012703</x:v>
      </x:c>
      <x:c r="U348" s="60" t="n">
        <x:f>IF(T348="","",I348*T348)</x:f>
        <x:v>256.48512398336464</x:v>
      </x:c>
    </x:row>
    <x:row r="349" ht="18" customHeight="1">
      <x:c r="A349" s="46" t="str">
        <x:v>LME_024</x:v>
      </x:c>
      <x:c r="B349" s="46" t="str">
        <x:v>Celtic-Biscay Shelf</x:v>
      </x:c>
      <x:c r="C349" s="46" t="str">
        <x:v>LME</x:v>
      </x:c>
      <x:c r="D349" s="58" t="n">
        <x:v>2019</x:v>
      </x:c>
      <x:c r="E349" s="46" t="str">
        <x:v>Pandalus borealis</x:v>
      </x:c>
      <x:c r="F349" s="46" t="str">
        <x:v>Northern prawn</x:v>
      </x:c>
      <x:c r="G349" s="46" t="str">
        <x:v>Shrimps</x:v>
      </x:c>
      <x:c r="H349" s="46" t="str">
        <x:v>Crustaceans</x:v>
      </x:c>
      <x:c r="I349" s="60" t="n">
        <x:v>0.0673829719</x:v>
      </x:c>
      <x:c r="J349" s="60" t="n">
        <x:v>0.0673829719</x:v>
      </x:c>
      <x:c r="K349" s="60" t="n">
        <x:v>0</x:v>
      </x:c>
      <x:c r="L349" s="60" t="n">
        <x:v>0.0673829719</x:v>
      </x:c>
      <x:c r="M349" s="60" t="n">
        <x:v>0</x:v>
      </x:c>
      <x:c r="N349" s="46" t="str">
        <x:v>pandalus borealis</x:v>
      </x:c>
      <x:c r="O349" s="62" t="n">
        <x:v>3.07</x:v>
      </x:c>
      <x:c r="P349" s="46" t="str">
        <x:v>exact_2020_supplement</x:v>
      </x:c>
      <x:c r="Q349" s="62" t="str">
        <x:v>2020 supplement MeanTL</x:v>
      </x:c>
      <x:c r="R349" s="46" t="str">
        <x:v>high</x:v>
      </x:c>
      <x:c r="S349" s="46" t="str">
        <x:v>Pandalus borealis</x:v>
      </x:c>
      <x:c r="T349" s="62" t="n">
        <x:f>IF(O349="","",(1/'Metadata'!$B$5)^(O349-1))</x:f>
        <x:v>493.32382598718914</x:v>
      </x:c>
      <x:c r="U349" s="60" t="n">
        <x:f>IF(T349="","",I349*T349)</x:f>
        <x:v>33.24162550409526</x:v>
      </x:c>
    </x:row>
    <x:row r="350" ht="18" customHeight="1">
      <x:c r="A350" s="46" t="str">
        <x:v>LME_024</x:v>
      </x:c>
      <x:c r="B350" s="46" t="str">
        <x:v>Celtic-Biscay Shelf</x:v>
      </x:c>
      <x:c r="C350" s="46" t="str">
        <x:v>LME</x:v>
      </x:c>
      <x:c r="D350" s="58" t="n">
        <x:v>2019</x:v>
      </x:c>
      <x:c r="E350" s="46" t="str">
        <x:v>Chlamys</x:v>
      </x:c>
      <x:c r="F350" s="46" t="str">
        <x:v>Cloak scallops</x:v>
      </x:c>
      <x:c r="G350" s="46" t="str">
        <x:v>Other demersal invertebrates</x:v>
      </x:c>
      <x:c r="H350" s="46" t="str">
        <x:v>Molluscs</x:v>
      </x:c>
      <x:c r="I350" s="60" t="n">
        <x:v>0.0568263155</x:v>
      </x:c>
      <x:c r="J350" s="60" t="n">
        <x:v>0.0568263155</x:v>
      </x:c>
      <x:c r="K350" s="60" t="n">
        <x:v>0</x:v>
      </x:c>
      <x:c r="L350" s="60" t="n">
        <x:v>0.0568263155</x:v>
      </x:c>
      <x:c r="M350" s="60" t="n">
        <x:v>0</x:v>
      </x:c>
      <x:c r="N350" s="46" t="str">
        <x:v>chlamys</x:v>
      </x:c>
      <x:c r="O350" s="62" t="n">
        <x:v>2</x:v>
      </x:c>
      <x:c r="P350" s="46" t="str">
        <x:v>exact_sea_around_us</x:v>
      </x:c>
      <x:c r="Q350" s="62" t="str">
        <x:v>Sea Around Us exploited organisms</x:v>
      </x:c>
      <x:c r="R350" s="46" t="str">
        <x:v>high</x:v>
      </x:c>
      <x:c r="S350" s="46" t="str">
        <x:v>Chlamys</x:v>
      </x:c>
      <x:c r="T350" s="62" t="n">
        <x:f>IF(O350="","",(1/'Metadata'!$B$5)^(O350-1))</x:f>
        <x:v>20</x:v>
      </x:c>
      <x:c r="U350" s="60" t="n">
        <x:f>IF(T350="","",I350*T350)</x:f>
        <x:v>1.13652631</x:v>
      </x:c>
    </x:row>
    <x:row r="351" ht="18" customHeight="1">
      <x:c r="A351" s="46" t="str">
        <x:v>LME_024</x:v>
      </x:c>
      <x:c r="B351" s="46" t="str">
        <x:v>Celtic-Biscay Shelf</x:v>
      </x:c>
      <x:c r="C351" s="46" t="str">
        <x:v>LME</x:v>
      </x:c>
      <x:c r="D351" s="58" t="n">
        <x:v>2019</x:v>
      </x:c>
      <x:c r="E351" s="46" t="str">
        <x:v>Stromateidae</x:v>
      </x:c>
      <x:c r="F351" s="46" t="str">
        <x:v>Butterfishes</x:v>
      </x:c>
      <x:c r="G351" s="46" t="str">
        <x:v>Small benthopelagics (&lt;30 cm)</x:v>
      </x:c>
      <x:c r="H351" s="46" t="str">
        <x:v>Perch-likes</x:v>
      </x:c>
      <x:c r="I351" s="60" t="n">
        <x:v>0.0431343535</x:v>
      </x:c>
      <x:c r="J351" s="60" t="n">
        <x:v>0.0431343535</x:v>
      </x:c>
      <x:c r="K351" s="60" t="n">
        <x:v>0</x:v>
      </x:c>
      <x:c r="L351" s="60" t="n">
        <x:v>0.0431343535</x:v>
      </x:c>
      <x:c r="M351" s="60" t="n">
        <x:v>0</x:v>
      </x:c>
      <x:c r="N351" s="46" t="str">
        <x:v>stromateidae</x:v>
      </x:c>
      <x:c r="O351" s="62" t="n">
        <x:v>3.62</x:v>
      </x:c>
      <x:c r="P351" s="46" t="str">
        <x:v>exact_sea_around_us</x:v>
      </x:c>
      <x:c r="Q351" s="62" t="str">
        <x:v>Sea Around Us exploited organisms</x:v>
      </x:c>
      <x:c r="R351" s="46" t="str">
        <x:v>high</x:v>
      </x:c>
      <x:c r="S351" s="46" t="str">
        <x:v>Stromateidae</x:v>
      </x:c>
      <x:c r="T351" s="62" t="n">
        <x:f>IF(O351="","",(1/'Metadata'!$B$5)^(O351-1))</x:f>
        <x:v>2562.7048371775754</x:v>
      </x:c>
      <x:c r="U351" s="60" t="n">
        <x:f>IF(T351="","",I351*T351)</x:f>
        <x:v>110.54061636297747</x:v>
      </x:c>
    </x:row>
    <x:row r="352" ht="18" customHeight="1">
      <x:c r="A352" s="46" t="str">
        <x:v>LME_024</x:v>
      </x:c>
      <x:c r="B352" s="46" t="str">
        <x:v>Celtic-Biscay Shelf</x:v>
      </x:c>
      <x:c r="C352" s="46" t="str">
        <x:v>LME</x:v>
      </x:c>
      <x:c r="D352" s="58" t="n">
        <x:v>2019</x:v>
      </x:c>
      <x:c r="E352" s="46" t="str">
        <x:v>Cyclopterus lumpus</x:v>
      </x:c>
      <x:c r="F352" s="46" t="str">
        <x:v>Lumpfish</x:v>
      </x:c>
      <x:c r="G352" s="46" t="str">
        <x:v>Medium benthopelagics (30 - 89 cm)</x:v>
      </x:c>
      <x:c r="H352" s="46" t="str">
        <x:v>Scorpionfishes</x:v>
      </x:c>
      <x:c r="I352" s="60" t="n">
        <x:v>0.0423796978</x:v>
      </x:c>
      <x:c r="J352" s="60" t="n">
        <x:v>0.0423796978</x:v>
      </x:c>
      <x:c r="K352" s="60" t="n">
        <x:v>0</x:v>
      </x:c>
      <x:c r="L352" s="60" t="n">
        <x:v>0.0423796978</x:v>
      </x:c>
      <x:c r="M352" s="60" t="n">
        <x:v>0</x:v>
      </x:c>
      <x:c r="N352" s="46" t="str">
        <x:v>cyclopterus lumpus</x:v>
      </x:c>
      <x:c r="O352" s="62" t="n">
        <x:v>3.89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Cyclopterus lumpus</x:v>
      </x:c>
      <x:c r="T352" s="62" t="n">
        <x:f>IF(O352="","",(1/'Metadata'!$B$5)^(O352-1))</x:f>
        <x:v>5754.090490759748</x:v>
      </x:c>
      <x:c r="U352" s="60" t="n">
        <x:f>IF(T352="","",I352*T352)</x:f>
        <x:v>243.8566161122518</x:v>
      </x:c>
    </x:row>
    <x:row r="353" ht="18" customHeight="1">
      <x:c r="A353" s="46" t="str">
        <x:v>LME_024</x:v>
      </x:c>
      <x:c r="B353" s="46" t="str">
        <x:v>Celtic-Biscay Shelf</x:v>
      </x:c>
      <x:c r="C353" s="46" t="str">
        <x:v>LME</x:v>
      </x:c>
      <x:c r="D353" s="58" t="n">
        <x:v>2019</x:v>
      </x:c>
      <x:c r="E353" s="46" t="str">
        <x:v>Hexanchus griseus</x:v>
      </x:c>
      <x:c r="F353" s="46" t="str">
        <x:v>Bluntnose sixgill shark</x:v>
      </x:c>
      <x:c r="G353" s="46" t="str">
        <x:v>Large sharks (&gt;=90 cm)</x:v>
      </x:c>
      <x:c r="H353" s="46" t="str">
        <x:v>Sharks &amp; rays</x:v>
      </x:c>
      <x:c r="I353" s="60" t="n">
        <x:v>0.039550113899999996</x:v>
      </x:c>
      <x:c r="J353" s="60" t="n">
        <x:v>0.039550113899999996</x:v>
      </x:c>
      <x:c r="K353" s="60" t="n">
        <x:v>0</x:v>
      </x:c>
      <x:c r="L353" s="60" t="n">
        <x:v>0</x:v>
      </x:c>
      <x:c r="M353" s="60" t="n">
        <x:v>0.039550113899999996</x:v>
      </x:c>
      <x:c r="N353" s="46" t="str">
        <x:v>hexanchus griseus</x:v>
      </x:c>
      <x:c r="O353" s="62" t="n">
        <x:v>4.48</x:v>
      </x:c>
      <x:c r="P353" s="46" t="str">
        <x:v>exact_2020_supplement</x:v>
      </x:c>
      <x:c r="Q353" s="62" t="str">
        <x:v>2020 supplement MeanTL</x:v>
      </x:c>
      <x:c r="R353" s="46" t="str">
        <x:v>high</x:v>
      </x:c>
      <x:c r="S353" s="46" t="str">
        <x:v>Hexanchus griseus</x:v>
      </x:c>
      <x:c r="T353" s="62" t="n">
        <x:f>IF(O353="","",(1/'Metadata'!$B$5)^(O353-1))</x:f>
        <x:v>33696.468277717824</x:v>
      </x:c>
      <x:c r="U353" s="60" t="n">
        <x:f>IF(T353="","",I353*T353)</x:f>
        <x:v>1332.6991584114767</x:v>
      </x:c>
    </x:row>
    <x:row r="354" ht="18" customHeight="1">
      <x:c r="A354" s="46" t="str">
        <x:v>LME_024</x:v>
      </x:c>
      <x:c r="B354" s="46" t="str">
        <x:v>Celtic-Biscay Shelf</x:v>
      </x:c>
      <x:c r="C354" s="46" t="str">
        <x:v>LME</x:v>
      </x:c>
      <x:c r="D354" s="58" t="n">
        <x:v>2019</x:v>
      </x:c>
      <x:c r="E354" s="46" t="str">
        <x:v>Centrolophus niger</x:v>
      </x:c>
      <x:c r="F354" s="46" t="str">
        <x:v>Rudderfish</x:v>
      </x:c>
      <x:c r="G354" s="46" t="str">
        <x:v>Large bathypelagics (&gt;=90 cm)</x:v>
      </x:c>
      <x:c r="H354" s="46" t="str">
        <x:v>Perch-likes</x:v>
      </x:c>
      <x:c r="I354" s="60" t="n">
        <x:v>0.036000000000000004</x:v>
      </x:c>
      <x:c r="J354" s="60" t="n">
        <x:v>0.036000000000000004</x:v>
      </x:c>
      <x:c r="K354" s="60" t="n">
        <x:v>0</x:v>
      </x:c>
      <x:c r="L354" s="60" t="n">
        <x:v>0.036000000000000004</x:v>
      </x:c>
      <x:c r="M354" s="60" t="n">
        <x:v>0</x:v>
      </x:c>
      <x:c r="N354" s="46" t="str">
        <x:v>centrolophus niger</x:v>
      </x:c>
      <x:c r="O354" s="62" t="n">
        <x:v>3.92</x:v>
      </x:c>
      <x:c r="P354" s="46" t="str">
        <x:v>exact_2020_supplement</x:v>
      </x:c>
      <x:c r="Q354" s="62" t="str">
        <x:v>2020 supplement MeanTL</x:v>
      </x:c>
      <x:c r="R354" s="46" t="str">
        <x:v>high</x:v>
      </x:c>
      <x:c r="S354" s="46" t="str">
        <x:v>Centrolophus niger</x:v>
      </x:c>
      <x:c r="T354" s="62" t="n">
        <x:f>IF(O354="","",(1/'Metadata'!$B$5)^(O354-1))</x:f>
        <x:v>6295.1718073679995</x:v>
      </x:c>
      <x:c r="U354" s="60" t="n">
        <x:f>IF(T354="","",I354*T354)</x:f>
        <x:v>226.626185065248</x:v>
      </x:c>
    </x:row>
    <x:row r="355" ht="18" customHeight="1">
      <x:c r="A355" s="46" t="str">
        <x:v>LME_024</x:v>
      </x:c>
      <x:c r="B355" s="46" t="str">
        <x:v>Celtic-Biscay Shelf</x:v>
      </x:c>
      <x:c r="C355" s="46" t="str">
        <x:v>LME</x:v>
      </x:c>
      <x:c r="D355" s="58" t="n">
        <x:v>2019</x:v>
      </x:c>
      <x:c r="E355" s="46" t="str">
        <x:v>Isurus</x:v>
      </x:c>
      <x:c r="F355" s="46" t="str">
        <x:v>Mako sharks</x:v>
      </x:c>
      <x:c r="G355" s="46" t="str">
        <x:v>Large sharks (&gt;=90 cm)</x:v>
      </x:c>
      <x:c r="H355" s="46" t="str">
        <x:v>Sharks &amp; rays</x:v>
      </x:c>
      <x:c r="I355" s="60" t="n">
        <x:v>0.0343962581</x:v>
      </x:c>
      <x:c r="J355" s="60" t="n">
        <x:v>0.0343962581</x:v>
      </x:c>
      <x:c r="K355" s="60" t="n">
        <x:v>0</x:v>
      </x:c>
      <x:c r="L355" s="60" t="n">
        <x:v>0.0343962581</x:v>
      </x:c>
      <x:c r="M355" s="60" t="n">
        <x:v>0</x:v>
      </x:c>
      <x:c r="N355" s="46" t="str">
        <x:v>isurus</x:v>
      </x:c>
      <x:c r="O355" s="62" t="n">
        <x:v>4.5</x:v>
      </x:c>
      <x:c r="P355" s="46" t="str">
        <x:v>exact_sea_around_us</x:v>
      </x:c>
      <x:c r="Q355" s="62" t="str">
        <x:v>Sea Around Us exploited organisms</x:v>
      </x:c>
      <x:c r="R355" s="46" t="str">
        <x:v>high</x:v>
      </x:c>
      <x:c r="S355" s="46" t="str">
        <x:v>Isurus</x:v>
      </x:c>
      <x:c r="T355" s="62" t="n">
        <x:f>IF(O355="","",(1/'Metadata'!$B$5)^(O355-1))</x:f>
        <x:v>35777.08763999664</x:v>
      </x:c>
      <x:c r="U355" s="60" t="n">
        <x:f>IF(T355="","",I355*T355)</x:f>
        <x:v>1230.597940531644</x:v>
      </x:c>
    </x:row>
    <x:row r="356" ht="18" customHeight="1">
      <x:c r="A356" s="46" t="str">
        <x:v>LME_024</x:v>
      </x:c>
      <x:c r="B356" s="46" t="str">
        <x:v>Celtic-Biscay Shelf</x:v>
      </x:c>
      <x:c r="C356" s="46" t="str">
        <x:v>LME</x:v>
      </x:c>
      <x:c r="D356" s="58" t="n">
        <x:v>2019</x:v>
      </x:c>
      <x:c r="E356" s="46" t="str">
        <x:v>Mya arenaria</x:v>
      </x:c>
      <x:c r="F356" s="46" t="str">
        <x:v>Sand gaper</x:v>
      </x:c>
      <x:c r="G356" s="46" t="str">
        <x:v>Other demersal invertebrates</x:v>
      </x:c>
      <x:c r="H356" s="46" t="str">
        <x:v>Molluscs</x:v>
      </x:c>
      <x:c r="I356" s="60" t="n">
        <x:v>0.0149556729</x:v>
      </x:c>
      <x:c r="J356" s="60" t="n">
        <x:v>0.0149556729</x:v>
      </x:c>
      <x:c r="K356" s="60" t="n">
        <x:v>0</x:v>
      </x:c>
      <x:c r="L356" s="60" t="n">
        <x:v>0.0149556729</x:v>
      </x:c>
      <x:c r="M356" s="60" t="n">
        <x:v>0</x:v>
      </x:c>
      <x:c r="N356" s="46" t="str">
        <x:v>mya arenaria</x:v>
      </x:c>
      <x:c r="O356" s="62" t="n">
        <x:v>2.31</x:v>
      </x:c>
      <x:c r="P356" s="46" t="str">
        <x:v>exact_2020_supplement</x:v>
      </x:c>
      <x:c r="Q356" s="62" t="str">
        <x:v>2020 supplement MeanTL</x:v>
      </x:c>
      <x:c r="R356" s="46" t="str">
        <x:v>high</x:v>
      </x:c>
      <x:c r="S356" s="46" t="str">
        <x:v>Mya arenaria</x:v>
      </x:c>
      <x:c r="T356" s="62" t="n">
        <x:f>IF(O356="","",(1/'Metadata'!$B$5)^(O356-1))</x:f>
        <x:v>50.62316502528833</x:v>
      </x:c>
      <x:c r="U356" s="60" t="n">
        <x:f>IF(T356="","",I356*T356)</x:f>
        <x:v>0.7571034972809325</x:v>
      </x:c>
    </x:row>
    <x:row r="357" ht="18" customHeight="1">
      <x:c r="A357" s="46" t="str">
        <x:v>LME_024</x:v>
      </x:c>
      <x:c r="B357" s="46" t="str">
        <x:v>Celtic-Biscay Shelf</x:v>
      </x:c>
      <x:c r="C357" s="46" t="str">
        <x:v>LME</x:v>
      </x:c>
      <x:c r="D357" s="58" t="n">
        <x:v>2019</x:v>
      </x:c>
      <x:c r="E357" s="46" t="str">
        <x:v>Callionymus lyra</x:v>
      </x:c>
      <x:c r="F357" s="46" t="str">
        <x:v>Dragonet</x:v>
      </x:c>
      <x:c r="G357" s="46" t="str">
        <x:v>Large reef assoc. fish (&gt;=90 cm)</x:v>
      </x:c>
      <x:c r="H357" s="46" t="str">
        <x:v>Perch-likes</x:v>
      </x:c>
      <x:c r="I357" s="60" t="n">
        <x:v>0.014554741500000001</x:v>
      </x:c>
      <x:c r="J357" s="60" t="n">
        <x:v>0.0071724868</x:v>
      </x:c>
      <x:c r="K357" s="60" t="n">
        <x:v>0.0073822547</x:v>
      </x:c>
      <x:c r="L357" s="60" t="n">
        <x:v>0.0071724868</x:v>
      </x:c>
      <x:c r="M357" s="60" t="n">
        <x:v>0.0073822547</x:v>
      </x:c>
      <x:c r="N357" s="46" t="str">
        <x:v>callionymus lyra</x:v>
      </x:c>
      <x:c r="O357" s="62" t="n">
        <x:v>3.27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Callionymus lyra</x:v>
      </x:c>
      <x:c r="T357" s="62" t="n">
        <x:f>IF(O357="","",(1/'Metadata'!$B$5)^(O357-1))</x:f>
        <x:v>898.1276980921442</x:v>
      </x:c>
      <x:c r="U357" s="60" t="n">
        <x:f>IF(T357="","",I357*T357)</x:f>
        <x:v>13.072016479721203</x:v>
      </x:c>
    </x:row>
    <x:row r="358" ht="18" customHeight="1">
      <x:c r="A358" s="46" t="str">
        <x:v>LME_024</x:v>
      </x:c>
      <x:c r="B358" s="46" t="str">
        <x:v>Celtic-Biscay Shelf</x:v>
      </x:c>
      <x:c r="C358" s="46" t="str">
        <x:v>LME</x:v>
      </x:c>
      <x:c r="D358" s="58" t="n">
        <x:v>2019</x:v>
      </x:c>
      <x:c r="E358" s="46" t="str">
        <x:v>Epinephelus</x:v>
      </x:c>
      <x:c r="F358" s="46" t="str">
        <x:v>Seabasses, hinds</x:v>
      </x:c>
      <x:c r="G358" s="46" t="str">
        <x:v>Medium reef assoc. fish (30 - 89 cm)</x:v>
      </x:c>
      <x:c r="H358" s="46" t="str">
        <x:v>Perch-likes</x:v>
      </x:c>
      <x:c r="I358" s="60" t="n">
        <x:v>0.012986995</x:v>
      </x:c>
      <x:c r="J358" s="60" t="n">
        <x:v>0.012986995</x:v>
      </x:c>
      <x:c r="K358" s="60" t="n">
        <x:v>0</x:v>
      </x:c>
      <x:c r="L358" s="60" t="n">
        <x:v>0.012986995</x:v>
      </x:c>
      <x:c r="M358" s="60" t="n">
        <x:v>0</x:v>
      </x:c>
      <x:c r="N358" s="46" t="str">
        <x:v>epinephelus</x:v>
      </x:c>
      <x:c r="O358" s="62" t="n">
        <x:v>3.84</x:v>
      </x:c>
      <x:c r="P358" s="46" t="str">
        <x:v>exact_sea_around_us</x:v>
      </x:c>
      <x:c r="Q358" s="62" t="str">
        <x:v>Sea Around Us exploited organisms</x:v>
      </x:c>
      <x:c r="R358" s="46" t="str">
        <x:v>high</x:v>
      </x:c>
      <x:c r="S358" s="46" t="str">
        <x:v>Epinephelus</x:v>
      </x:c>
      <x:c r="T358" s="62" t="n">
        <x:f>IF(O358="","",(1/'Metadata'!$B$5)^(O358-1))</x:f>
        <x:v>4953.648510535111</x:v>
      </x:c>
      <x:c r="U358" s="60" t="n">
        <x:f>IF(T358="","",I358*T358)</x:f>
        <x:v>64.33300843807693</x:v>
      </x:c>
    </x:row>
    <x:row r="359" ht="18" customHeight="1">
      <x:c r="A359" s="46" t="str">
        <x:v>LME_024</x:v>
      </x:c>
      <x:c r="B359" s="46" t="str">
        <x:v>Celtic-Biscay Shelf</x:v>
      </x:c>
      <x:c r="C359" s="46" t="str">
        <x:v>LME</x:v>
      </x:c>
      <x:c r="D359" s="58" t="n">
        <x:v>2019</x:v>
      </x:c>
      <x:c r="E359" s="46" t="str">
        <x:v>Ommastrephes bartramii</x:v>
      </x:c>
      <x:c r="F359" s="46" t="str">
        <x:v>Neon flying squid</x:v>
      </x:c>
      <x:c r="G359" s="46" t="str">
        <x:v>Cephalopods</x:v>
      </x:c>
      <x:c r="H359" s="46" t="str">
        <x:v>Other fishes &amp; inverts</x:v>
      </x:c>
      <x:c r="I359" s="60" t="n">
        <x:v>0.012938402</x:v>
      </x:c>
      <x:c r="J359" s="60" t="n">
        <x:v>0.012938402</x:v>
      </x:c>
      <x:c r="K359" s="60" t="n">
        <x:v>0</x:v>
      </x:c>
      <x:c r="L359" s="60" t="n">
        <x:v>0.012938402</x:v>
      </x:c>
      <x:c r="M359" s="60" t="n">
        <x:v>0</x:v>
      </x:c>
      <x:c r="N359" s="46" t="str">
        <x:v>ommastrephes bartramii</x:v>
      </x:c>
      <x:c r="O359" s="62" t="n">
        <x:v>4.37</x:v>
      </x:c>
      <x:c r="P359" s="46" t="str">
        <x:v>exact_2020_supplement</x:v>
      </x:c>
      <x:c r="Q359" s="62" t="str">
        <x:v>2020 supplement MeanTL</x:v>
      </x:c>
      <x:c r="R359" s="46" t="str">
        <x:v>high</x:v>
      </x:c>
      <x:c r="S359" s="46" t="str">
        <x:v>Ommastrephes bartramii</x:v>
      </x:c>
      <x:c r="T359" s="62" t="n">
        <x:f>IF(O359="","",(1/'Metadata'!$B$5)^(O359-1))</x:f>
        <x:v>24236.56596112542</x:v>
      </x:c>
      <x:c r="U359" s="60" t="n">
        <x:f>IF(T359="","",I359*T359)</x:f>
        <x:v>313.58243350455706</x:v>
      </x:c>
    </x:row>
    <x:row r="360" ht="18" customHeight="1">
      <x:c r="A360" s="46" t="str">
        <x:v>LME_024</x:v>
      </x:c>
      <x:c r="B360" s="46" t="str">
        <x:v>Celtic-Biscay Shelf</x:v>
      </x:c>
      <x:c r="C360" s="46" t="str">
        <x:v>LME</x:v>
      </x:c>
      <x:c r="D360" s="58" t="n">
        <x:v>2019</x:v>
      </x:c>
      <x:c r="E360" s="46" t="str">
        <x:v>Atherina presbyter</x:v>
      </x:c>
      <x:c r="F360" s="46" t="str">
        <x:v>Sand smelt</x:v>
      </x:c>
      <x:c r="G360" s="46" t="str">
        <x:v>Small pelagics (&lt;30 cm)</x:v>
      </x:c>
      <x:c r="H360" s="46" t="str">
        <x:v>Other fishes &amp; inverts</x:v>
      </x:c>
      <x:c r="I360" s="60" t="n">
        <x:v>0.011323781100000001</x:v>
      </x:c>
      <x:c r="J360" s="60" t="n">
        <x:v>0.011323781100000001</x:v>
      </x:c>
      <x:c r="K360" s="60" t="n">
        <x:v>0</x:v>
      </x:c>
      <x:c r="L360" s="60" t="n">
        <x:v>0.011323781100000001</x:v>
      </x:c>
      <x:c r="M360" s="60" t="n">
        <x:v>0</x:v>
      </x:c>
      <x:c r="N360" s="46" t="str">
        <x:v>atherina presbyter</x:v>
      </x:c>
      <x:c r="O360" s="62" t="n">
        <x:v>3.67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Atherina presbyter</x:v>
      </x:c>
      <x:c r="T360" s="62" t="n">
        <x:f>IF(O360="","",(1/'Metadata'!$B$5)^(O360-1))</x:f>
        <x:v>2976.8029570258213</x:v>
      </x:c>
      <x:c r="U360" s="60" t="n">
        <x:f>IF(T360="","",I360*T360)</x:f>
        <x:v>33.70866506319311</x:v>
      </x:c>
    </x:row>
    <x:row r="361" ht="18" customHeight="1">
      <x:c r="A361" s="46" t="str">
        <x:v>LME_024</x:v>
      </x:c>
      <x:c r="B361" s="46" t="str">
        <x:v>Celtic-Biscay Shelf</x:v>
      </x:c>
      <x:c r="C361" s="46" t="str">
        <x:v>LME</x:v>
      </x:c>
      <x:c r="D361" s="58" t="n">
        <x:v>2019</x:v>
      </x:c>
      <x:c r="E361" s="46" t="str">
        <x:v>Spectrunculus grandis</x:v>
      </x:c>
      <x:c r="F361" s="46" t="str">
        <x:v>Pudgy cuskeel</x:v>
      </x:c>
      <x:c r="G361" s="46" t="str">
        <x:v>Large bathydemersals (&gt;=90 cm)</x:v>
      </x:c>
      <x:c r="H361" s="46" t="str">
        <x:v>Other fishes &amp; inverts</x:v>
      </x:c>
      <x:c r="I361" s="60" t="n">
        <x:v>0.011</x:v>
      </x:c>
      <x:c r="J361" s="60" t="n">
        <x:v>0.011</x:v>
      </x:c>
      <x:c r="K361" s="60" t="n">
        <x:v>0</x:v>
      </x:c>
      <x:c r="L361" s="60" t="n">
        <x:v>0.011</x:v>
      </x:c>
      <x:c r="M361" s="60" t="n">
        <x:v>0</x:v>
      </x:c>
      <x:c r="N361" s="46" t="str">
        <x:v>spectrunculus grandis</x:v>
      </x:c>
      <x:c r="O361" s="62" t="n">
        <x:v>3.57</x:v>
      </x:c>
      <x:c r="P361" s="46" t="str">
        <x:v>exact_2020_supplement</x:v>
      </x:c>
      <x:c r="Q361" s="62" t="str">
        <x:v>2020 supplement MeanTL</x:v>
      </x:c>
      <x:c r="R361" s="46" t="str">
        <x:v>high</x:v>
      </x:c>
      <x:c r="S361" s="46" t="str">
        <x:v>Spectrunculus grandis</x:v>
      </x:c>
      <x:c r="T361" s="62" t="n">
        <x:f>IF(O361="","",(1/'Metadata'!$B$5)^(O361-1))</x:f>
        <x:v>2206.2112196552644</x:v>
      </x:c>
      <x:c r="U361" s="60" t="n">
        <x:f>IF(T361="","",I361*T361)</x:f>
        <x:v>24.268323416207906</x:v>
      </x:c>
    </x:row>
    <x:row r="362" ht="18" customHeight="1">
      <x:c r="A362" s="46" t="str">
        <x:v>LME_024</x:v>
      </x:c>
      <x:c r="B362" s="46" t="str">
        <x:v>Celtic-Biscay Shelf</x:v>
      </x:c>
      <x:c r="C362" s="46" t="str">
        <x:v>LME</x:v>
      </x:c>
      <x:c r="D362" s="58" t="n">
        <x:v>2019</x:v>
      </x:c>
      <x:c r="E362" s="46" t="str">
        <x:v>Buglossidium luteum</x:v>
      </x:c>
      <x:c r="F362" s="46" t="str">
        <x:v>Solenette</x:v>
      </x:c>
      <x:c r="G362" s="46" t="str">
        <x:v>Small to medium flatfishes (&lt;90 cm)</x:v>
      </x:c>
      <x:c r="H362" s="46" t="str">
        <x:v>Flatfishes</x:v>
      </x:c>
      <x:c r="I362" s="60" t="n">
        <x:v>0.0109040841</x:v>
      </x:c>
      <x:c r="J362" s="60" t="n">
        <x:v>0</x:v>
      </x:c>
      <x:c r="K362" s="60" t="n">
        <x:v>0.0109040841</x:v>
      </x:c>
      <x:c r="L362" s="60" t="n">
        <x:v>0</x:v>
      </x:c>
      <x:c r="M362" s="60" t="n">
        <x:v>0.0109040841</x:v>
      </x:c>
      <x:c r="N362" s="46" t="str">
        <x:v>buglossidium luteum</x:v>
      </x:c>
      <x:c r="O362" s="62" t="n">
        <x:v>3.31</x:v>
      </x:c>
      <x:c r="P362" s="46" t="str">
        <x:v>exact_2020_supplement</x:v>
      </x:c>
      <x:c r="Q362" s="62" t="str">
        <x:v>2020 supplement MeanTL</x:v>
      </x:c>
      <x:c r="R362" s="46" t="str">
        <x:v>high</x:v>
      </x:c>
      <x:c r="S362" s="46" t="str">
        <x:v>Buglossidium luteum</x:v>
      </x:c>
      <x:c r="T362" s="62" t="n">
        <x:f>IF(O362="","",(1/'Metadata'!$B$5)^(O362-1))</x:f>
        <x:v>1012.4633005057666</x:v>
      </x:c>
      <x:c r="U362" s="60" t="n">
        <x:f>IF(T362="","",I362*T362)</x:f>
        <x:v>11.03998497687845</x:v>
      </x:c>
    </x:row>
    <x:row r="363" ht="18" customHeight="1">
      <x:c r="A363" s="46" t="str">
        <x:v>LME_024</x:v>
      </x:c>
      <x:c r="B363" s="46" t="str">
        <x:v>Celtic-Biscay Shelf</x:v>
      </x:c>
      <x:c r="C363" s="46" t="str">
        <x:v>LME</x:v>
      </x:c>
      <x:c r="D363" s="58" t="n">
        <x:v>2019</x:v>
      </x:c>
      <x:c r="E363" s="46" t="str">
        <x:v>Dicentrarchus</x:v>
      </x:c>
      <x:c r="F363" s="46" t="str">
        <x:v>Seabasses</x:v>
      </x:c>
      <x:c r="G363" s="46" t="str">
        <x:v>Large demersals (&gt;=90 cm)</x:v>
      </x:c>
      <x:c r="H363" s="46" t="str">
        <x:v>Perch-likes</x:v>
      </x:c>
      <x:c r="I363" s="60" t="n">
        <x:v>0.0099392881</x:v>
      </x:c>
      <x:c r="J363" s="60" t="n">
        <x:v>0.0099392881</x:v>
      </x:c>
      <x:c r="K363" s="60" t="n">
        <x:v>0</x:v>
      </x:c>
      <x:c r="L363" s="60" t="n">
        <x:v>0.0099392881</x:v>
      </x:c>
      <x:c r="M363" s="60" t="n">
        <x:v>0</x:v>
      </x:c>
      <x:c r="N363" s="46" t="str">
        <x:v>dicentrarchus</x:v>
      </x:c>
      <x:c r="O363" s="62" t="n">
        <x:v>3.94</x:v>
      </x:c>
      <x:c r="P363" s="46" t="str">
        <x:v>exact_sea_around_us</x:v>
      </x:c>
      <x:c r="Q363" s="62" t="str">
        <x:v>Sea Around Us exploited organisms</x:v>
      </x:c>
      <x:c r="R363" s="46" t="str">
        <x:v>high</x:v>
      </x:c>
      <x:c r="S363" s="46" t="str">
        <x:v>Dicentrarchus</x:v>
      </x:c>
      <x:c r="T363" s="62" t="n">
        <x:f>IF(O363="","",(1/'Metadata'!$B$5)^(O363-1))</x:f>
        <x:v>6683.872968668722</x:v>
      </x:c>
      <x:c r="U363" s="60" t="n">
        <x:f>IF(T363="","",I363*T363)</x:f>
        <x:v>66.43293905940071</x:v>
      </x:c>
    </x:row>
    <x:row r="364" ht="18" customHeight="1">
      <x:c r="A364" s="46" t="str">
        <x:v>LME_024</x:v>
      </x:c>
      <x:c r="B364" s="46" t="str">
        <x:v>Celtic-Biscay Shelf</x:v>
      </x:c>
      <x:c r="C364" s="46" t="str">
        <x:v>LME</x:v>
      </x:c>
      <x:c r="D364" s="58" t="n">
        <x:v>2019</x:v>
      </x:c>
      <x:c r="E364" s="46" t="str">
        <x:v>Asterias rubens</x:v>
      </x:c>
      <x:c r="F364" s="46" t="str">
        <x:v>Red starfish</x:v>
      </x:c>
      <x:c r="G364" s="46" t="str">
        <x:v>Other demersal invertebrates</x:v>
      </x:c>
      <x:c r="H364" s="46" t="str">
        <x:v>Other fishes &amp; inverts</x:v>
      </x:c>
      <x:c r="I364" s="60" t="n">
        <x:v>0.0078907311</x:v>
      </x:c>
      <x:c r="J364" s="60" t="n">
        <x:v>0</x:v>
      </x:c>
      <x:c r="K364" s="60" t="n">
        <x:v>0.0078907311</x:v>
      </x:c>
      <x:c r="L364" s="60" t="n">
        <x:v>0</x:v>
      </x:c>
      <x:c r="M364" s="60" t="n">
        <x:v>0.0078907311</x:v>
      </x:c>
      <x:c r="N364" s="46" t="str">
        <x:v>asterias rubens</x:v>
      </x:c>
      <x:c r="O364" s="62" t="n">
        <x:v>3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Asterias rubens</x:v>
      </x:c>
      <x:c r="T364" s="62" t="n">
        <x:f>IF(O364="","",(1/'Metadata'!$B$5)^(O364-1))</x:f>
        <x:v>400</x:v>
      </x:c>
      <x:c r="U364" s="60" t="n">
        <x:f>IF(T364="","",I364*T364)</x:f>
        <x:v>3.1562924399999996</x:v>
      </x:c>
    </x:row>
    <x:row r="365" ht="18" customHeight="1">
      <x:c r="A365" s="46" t="str">
        <x:v>LME_024</x:v>
      </x:c>
      <x:c r="B365" s="46" t="str">
        <x:v>Celtic-Biscay Shelf</x:v>
      </x:c>
      <x:c r="C365" s="46" t="str">
        <x:v>LME</x:v>
      </x:c>
      <x:c r="D365" s="58" t="n">
        <x:v>2019</x:v>
      </x:c>
      <x:c r="E365" s="46" t="str">
        <x:v>Pandalus</x:v>
      </x:c>
      <x:c r="F365" s="46" t="str">
        <x:v>Seabed shrimps</x:v>
      </x:c>
      <x:c r="G365" s="46" t="str">
        <x:v>Shrimps</x:v>
      </x:c>
      <x:c r="H365" s="46" t="str">
        <x:v>Crustaceans</x:v>
      </x:c>
      <x:c r="I365" s="60" t="n">
        <x:v>0.0033294763999999998</x:v>
      </x:c>
      <x:c r="J365" s="60" t="n">
        <x:v>0.0033294763999999998</x:v>
      </x:c>
      <x:c r="K365" s="60" t="n">
        <x:v>0</x:v>
      </x:c>
      <x:c r="L365" s="60" t="n">
        <x:v>0.0033294763999999998</x:v>
      </x:c>
      <x:c r="M365" s="60" t="n">
        <x:v>0</x:v>
      </x:c>
      <x:c r="N365" s="46" t="str">
        <x:v>pandalus</x:v>
      </x:c>
      <x:c r="O365" s="62" t="n">
        <x:v>2.6</x:v>
      </x:c>
      <x:c r="P365" s="46" t="str">
        <x:v>exact_sea_around_us</x:v>
      </x:c>
      <x:c r="Q365" s="62" t="str">
        <x:v>Sea Around Us exploited organisms</x:v>
      </x:c>
      <x:c r="R365" s="46" t="str">
        <x:v>high</x:v>
      </x:c>
      <x:c r="S365" s="46" t="str">
        <x:v>Pandalus</x:v>
      </x:c>
      <x:c r="T365" s="62" t="n">
        <x:f>IF(O365="","",(1/'Metadata'!$B$5)^(O365-1))</x:f>
        <x:v>120.6835267309033</x:v>
      </x:c>
      <x:c r="U365" s="60" t="n">
        <x:f>IF(T365="","",I365*T365)</x:f>
        <x:v>0.40181295411931167</x:v>
      </x:c>
    </x:row>
    <x:row r="366" ht="18" customHeight="1">
      <x:c r="A366" s="46" t="str">
        <x:v>LME_024</x:v>
      </x:c>
      <x:c r="B366" s="46" t="str">
        <x:v>Celtic-Biscay Shelf</x:v>
      </x:c>
      <x:c r="C366" s="46" t="str">
        <x:v>LME</x:v>
      </x:c>
      <x:c r="D366" s="58" t="n">
        <x:v>2019</x:v>
      </x:c>
      <x:c r="E366" s="46" t="str">
        <x:v>Holothuriidae</x:v>
      </x:c>
      <x:c r="F366" s="46" t="str">
        <x:v>Fleshy sea cucumbers</x:v>
      </x:c>
      <x:c r="G366" s="46" t="str">
        <x:v>Other demersal invertebrates</x:v>
      </x:c>
      <x:c r="H366" s="46" t="str">
        <x:v>Other fishes &amp; inverts</x:v>
      </x:c>
      <x:c r="I366" s="60" t="n">
        <x:v>0.0028417813</x:v>
      </x:c>
      <x:c r="J366" s="60" t="n">
        <x:v>0.0028417813</x:v>
      </x:c>
      <x:c r="K366" s="60" t="n">
        <x:v>0</x:v>
      </x:c>
      <x:c r="L366" s="60" t="n">
        <x:v>0.0028417813</x:v>
      </x:c>
      <x:c r="M366" s="60" t="n">
        <x:v>0</x:v>
      </x:c>
      <x:c r="N366" s="46" t="str">
        <x:v>holothuriidae</x:v>
      </x:c>
      <x:c r="O366" s="62" t="n">
        <x:v>2</x:v>
      </x:c>
      <x:c r="P366" s="46" t="str">
        <x:v>exact_sea_around_us</x:v>
      </x:c>
      <x:c r="Q366" s="62" t="str">
        <x:v>Sea Around Us exploited organisms</x:v>
      </x:c>
      <x:c r="R366" s="46" t="str">
        <x:v>high</x:v>
      </x:c>
      <x:c r="S366" s="46" t="str">
        <x:v>Holothuriidae</x:v>
      </x:c>
      <x:c r="T366" s="62" t="n">
        <x:f>IF(O366="","",(1/'Metadata'!$B$5)^(O366-1))</x:f>
        <x:v>20</x:v>
      </x:c>
      <x:c r="U366" s="60" t="n">
        <x:f>IF(T366="","",I366*T366)</x:f>
        <x:v>0.056835626</x:v>
      </x:c>
    </x:row>
    <x:row r="367" ht="18" customHeight="1">
      <x:c r="A367" s="46" t="str">
        <x:v>LME_024</x:v>
      </x:c>
      <x:c r="B367" s="46" t="str">
        <x:v>Celtic-Biscay Shelf</x:v>
      </x:c>
      <x:c r="C367" s="46" t="str">
        <x:v>LME</x:v>
      </x:c>
      <x:c r="D367" s="58" t="n">
        <x:v>2019</x:v>
      </x:c>
      <x:c r="E367" s="46" t="str">
        <x:v>Arnoglossus laterna</x:v>
      </x:c>
      <x:c r="F367" s="46" t="str">
        <x:v>Mediterranean scaldfish</x:v>
      </x:c>
      <x:c r="G367" s="46" t="str">
        <x:v>Small to medium flatfishes (&lt;90 cm)</x:v>
      </x:c>
      <x:c r="H367" s="46" t="str">
        <x:v>Flatfishes</x:v>
      </x:c>
      <x:c r="I367" s="60" t="n">
        <x:v>0.0014526509</x:v>
      </x:c>
      <x:c r="J367" s="60" t="n">
        <x:v>0</x:v>
      </x:c>
      <x:c r="K367" s="60" t="n">
        <x:v>0.0014526509</x:v>
      </x:c>
      <x:c r="L367" s="60" t="n">
        <x:v>0</x:v>
      </x:c>
      <x:c r="M367" s="60" t="n">
        <x:v>0.0014526509</x:v>
      </x:c>
      <x:c r="N367" s="46" t="str">
        <x:v>arnoglossus laterna</x:v>
      </x:c>
      <x:c r="O367" s="62" t="n">
        <x:v>3.59</x:v>
      </x:c>
      <x:c r="P367" s="46" t="str">
        <x:v>exact_2020_supplement</x:v>
      </x:c>
      <x:c r="Q367" s="62" t="str">
        <x:v>2020 supplement MeanTL</x:v>
      </x:c>
      <x:c r="R367" s="46" t="str">
        <x:v>high</x:v>
      </x:c>
      <x:c r="S367" s="46" t="str">
        <x:v>Arnoglossus laterna</x:v>
      </x:c>
      <x:c r="T367" s="62" t="n">
        <x:f>IF(O367="","",(1/'Metadata'!$B$5)^(O367-1))</x:f>
        <x:v>2342.4357563948306</x:v>
      </x:c>
      <x:c r="U367" s="60" t="n">
        <x:f>IF(T367="","",I367*T367)</x:f>
        <x:v>3.4027414097191317</x:v>
      </x:c>
    </x:row>
    <x:row r="368" ht="18" customHeight="1">
      <x:c r="A368" s="46" t="str">
        <x:v>LME_024</x:v>
      </x:c>
      <x:c r="B368" s="46" t="str">
        <x:v>Celtic-Biscay Shelf</x:v>
      </x:c>
      <x:c r="C368" s="46" t="str">
        <x:v>LME</x:v>
      </x:c>
      <x:c r="D368" s="58" t="n">
        <x:v>2019</x:v>
      </x:c>
      <x:c r="E368" s="46" t="str">
        <x:v>Cetorhinus maximus</x:v>
      </x:c>
      <x:c r="F368" s="46" t="str">
        <x:v>Basking shark</x:v>
      </x:c>
      <x:c r="G368" s="46" t="str">
        <x:v>Large sharks (&gt;=90 cm)</x:v>
      </x:c>
      <x:c r="H368" s="46" t="str">
        <x:v>Sharks &amp; rays</x:v>
      </x:c>
      <x:c r="I368" s="60" t="n">
        <x:v>0.0010663313</x:v>
      </x:c>
      <x:c r="J368" s="60" t="n">
        <x:v>0.0010663313</x:v>
      </x:c>
      <x:c r="K368" s="60" t="n">
        <x:v>0</x:v>
      </x:c>
      <x:c r="L368" s="60" t="n">
        <x:v>0.0010663313</x:v>
      </x:c>
      <x:c r="M368" s="60" t="n">
        <x:v>0</x:v>
      </x:c>
      <x:c r="N368" s="46" t="str">
        <x:v>cetorhinus maximus</x:v>
      </x:c>
      <x:c r="O368" s="62" t="n">
        <x:v>3.2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Cetorhinus maximus</x:v>
      </x:c>
      <x:c r="T368" s="62" t="n">
        <x:f>IF(O368="","",(1/'Metadata'!$B$5)^(O368-1))</x:f>
        <x:v>728.2256812104325</x:v>
      </x:c>
      <x:c r="U368" s="60" t="n">
        <x:f>IF(T368="","",I368*T368)</x:f>
        <x:v>0.776529837338506</x:v>
      </x:c>
    </x:row>
    <x:row r="369" ht="18" customHeight="1">
      <x:c r="A369" s="46" t="str">
        <x:v>LME_024</x:v>
      </x:c>
      <x:c r="B369" s="46" t="str">
        <x:v>Celtic-Biscay Shelf</x:v>
      </x:c>
      <x:c r="C369" s="46" t="str">
        <x:v>LME</x:v>
      </x:c>
      <x:c r="D369" s="58" t="n">
        <x:v>2019</x:v>
      </x:c>
      <x:c r="E369" s="46" t="str">
        <x:v>Chamelea gallina</x:v>
      </x:c>
      <x:c r="F369" s="46" t="str">
        <x:v>Striped venus</x:v>
      </x:c>
      <x:c r="G369" s="46" t="str">
        <x:v>Other demersal invertebrates</x:v>
      </x:c>
      <x:c r="H369" s="46" t="str">
        <x:v>Molluscs</x:v>
      </x:c>
      <x:c r="I369" s="60" t="n">
        <x:v>0.0010380072000000001</x:v>
      </x:c>
      <x:c r="J369" s="60" t="n">
        <x:v>0.0010380072000000001</x:v>
      </x:c>
      <x:c r="K369" s="60" t="n">
        <x:v>0</x:v>
      </x:c>
      <x:c r="L369" s="60" t="n">
        <x:v>0.0010380072000000001</x:v>
      </x:c>
      <x:c r="M369" s="60" t="n">
        <x:v>0</x:v>
      </x:c>
      <x:c r="N369" s="46" t="str">
        <x:v>chamelea gallina</x:v>
      </x:c>
      <x:c r="O369" s="62" t="n">
        <x:v>2.1</x:v>
      </x:c>
      <x:c r="P369" s="46" t="str">
        <x:v>exact_sea_around_us</x:v>
      </x:c>
      <x:c r="Q369" s="62" t="str">
        <x:v>Sea Around Us exploited organisms</x:v>
      </x:c>
      <x:c r="R369" s="46" t="str">
        <x:v>high</x:v>
      </x:c>
      <x:c r="S369" s="46" t="str">
        <x:v>Chamelea gallina</x:v>
      </x:c>
      <x:c r="T369" s="62" t="n">
        <x:f>IF(O369="","",(1/'Metadata'!$B$5)^(O369-1))</x:f>
        <x:v>26.985656953471274</x:v>
      </x:c>
      <x:c r="U369" s="60" t="n">
        <x:f>IF(T369="","",I369*T369)</x:f>
        <x:v>0.028011306214433252</x:v>
      </x:c>
    </x:row>
    <x:row r="370" ht="18" customHeight="1">
      <x:c r="A370" s="46" t="str">
        <x:v>LME_024</x:v>
      </x:c>
      <x:c r="B370" s="46" t="str">
        <x:v>Celtic-Biscay Shelf</x:v>
      </x:c>
      <x:c r="C370" s="46" t="str">
        <x:v>LME</x:v>
      </x:c>
      <x:c r="D370" s="58" t="n">
        <x:v>2019</x:v>
      </x:c>
      <x:c r="E370" s="46" t="str">
        <x:v>Agonus cataphractus</x:v>
      </x:c>
      <x:c r="F370" s="46" t="str">
        <x:v>Hooknose</x:v>
      </x:c>
      <x:c r="G370" s="46" t="str">
        <x:v>Large reef assoc. fish (&gt;=90 cm)</x:v>
      </x:c>
      <x:c r="H370" s="46" t="str">
        <x:v>Scorpionfishes</x:v>
      </x:c>
      <x:c r="I370" s="60" t="n">
        <x:v>0.0007975634</x:v>
      </x:c>
      <x:c r="J370" s="60" t="n">
        <x:v>0</x:v>
      </x:c>
      <x:c r="K370" s="60" t="n">
        <x:v>0.0007975634</x:v>
      </x:c>
      <x:c r="L370" s="60" t="n">
        <x:v>0</x:v>
      </x:c>
      <x:c r="M370" s="60" t="n">
        <x:v>0.0007975634</x:v>
      </x:c>
      <x:c r="N370" s="46" t="str">
        <x:v>agonus cataphractus</x:v>
      </x:c>
      <x:c r="O370" s="62" t="n">
        <x:v>3.43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Agonus cataphractus</x:v>
      </x:c>
      <x:c r="T370" s="62" t="n">
        <x:f>IF(O370="","",(1/'Metadata'!$B$5)^(O370-1))</x:f>
        <x:v>1450.450424461182</x:v>
      </x:c>
      <x:c r="U370" s="60" t="n">
        <x:f>IF(T370="","",I370*T370)</x:f>
        <x:v>1.1568261720647033</x:v>
      </x:c>
    </x:row>
    <x:row r="371" ht="18" customHeight="1">
      <x:c r="A371" s="46" t="str">
        <x:v>LME_024</x:v>
      </x:c>
      <x:c r="B371" s="46" t="str">
        <x:v>Celtic-Biscay Shelf</x:v>
      </x:c>
      <x:c r="C371" s="46" t="str">
        <x:v>LME</x:v>
      </x:c>
      <x:c r="D371" s="58" t="n">
        <x:v>2019</x:v>
      </x:c>
      <x:c r="E371" s="46" t="str">
        <x:v>Zoarces viviparus</x:v>
      </x:c>
      <x:c r="F371" s="46" t="str">
        <x:v>Eelpout</x:v>
      </x:c>
      <x:c r="G371" s="46" t="str">
        <x:v>Medium demersals (30 - 89 cm)</x:v>
      </x:c>
      <x:c r="H371" s="46" t="str">
        <x:v>Perch-likes</x:v>
      </x:c>
      <x:c r="I371" s="60" t="n">
        <x:v>0.0007836552</x:v>
      </x:c>
      <x:c r="J371" s="60" t="n">
        <x:v>0</x:v>
      </x:c>
      <x:c r="K371" s="60" t="n">
        <x:v>0.0007836552</x:v>
      </x:c>
      <x:c r="L371" s="60" t="n">
        <x:v>0</x:v>
      </x:c>
      <x:c r="M371" s="60" t="n">
        <x:v>0.0007836552</x:v>
      </x:c>
      <x:c r="N371" s="46" t="str">
        <x:v>zoarces viviparus</x:v>
      </x:c>
      <x:c r="O371" s="62" t="n">
        <x:v>3.47</x:v>
      </x:c>
      <x:c r="P371" s="46" t="str">
        <x:v>exact_2020_supplement</x:v>
      </x:c>
      <x:c r="Q371" s="62" t="str">
        <x:v>2020 supplement MeanTL</x:v>
      </x:c>
      <x:c r="R371" s="46" t="str">
        <x:v>high</x:v>
      </x:c>
      <x:c r="S371" s="46" t="str">
        <x:v>Zoarces viviparus</x:v>
      </x:c>
      <x:c r="T371" s="62" t="n">
        <x:f>IF(O371="","",(1/'Metadata'!$B$5)^(O371-1))</x:f>
        <x:v>1635.0991368927735</x:v>
      </x:c>
      <x:c r="U371" s="60" t="n">
        <x:f>IF(T371="","",I371*T371)</x:f>
        <x:v>1.2813539411415338</x:v>
      </x:c>
    </x:row>
    <x:row r="372" ht="18" customHeight="1">
      <x:c r="A372" s="46" t="str">
        <x:v>LME_024</x:v>
      </x:c>
      <x:c r="B372" s="46" t="str">
        <x:v>Celtic-Biscay Shelf</x:v>
      </x:c>
      <x:c r="C372" s="46" t="str">
        <x:v>LME</x:v>
      </x:c>
      <x:c r="D372" s="58" t="n">
        <x:v>2019</x:v>
      </x:c>
      <x:c r="E372" s="46" t="str">
        <x:v>Lampris guttatus</x:v>
      </x:c>
      <x:c r="F372" s="46" t="str">
        <x:v>Opah</x:v>
      </x:c>
      <x:c r="G372" s="46" t="str">
        <x:v>Large bathypelagics (&gt;=90 cm)</x:v>
      </x:c>
      <x:c r="H372" s="46" t="str">
        <x:v>Other fishes &amp; inverts</x:v>
      </x:c>
      <x:c r="I372" s="60" t="n">
        <x:v>0.0004602258</x:v>
      </x:c>
      <x:c r="J372" s="60" t="n">
        <x:v>0.0004602258</x:v>
      </x:c>
      <x:c r="K372" s="60" t="n">
        <x:v>0</x:v>
      </x:c>
      <x:c r="L372" s="60" t="n">
        <x:v>0.0004602258</x:v>
      </x:c>
      <x:c r="M372" s="60" t="n">
        <x:v>0</x:v>
      </x:c>
      <x:c r="N372" s="46" t="str">
        <x:v>lampris guttatus</x:v>
      </x:c>
      <x:c r="O372" s="62" t="n">
        <x:v>4.22</x:v>
      </x:c>
      <x:c r="P372" s="46" t="str">
        <x:v>exact_2020_supplement</x:v>
      </x:c>
      <x:c r="Q372" s="62" t="str">
        <x:v>2020 supplement MeanTL</x:v>
      </x:c>
      <x:c r="R372" s="46" t="str">
        <x:v>high</x:v>
      </x:c>
      <x:c r="S372" s="46" t="str">
        <x:v>Lampris guttatus</x:v>
      </x:c>
      <x:c r="T372" s="62" t="n">
        <x:f>IF(O372="","",(1/'Metadata'!$B$5)^(O372-1))</x:f>
        <x:v>15463.812886046735</x:v>
      </x:c>
      <x:c r="U372" s="60" t="n">
        <x:f>IF(T372="","",I372*T372)</x:f>
        <x:v>7.116845656531167</x:v>
      </x:c>
    </x:row>
    <x:row r="373" ht="18" customHeight="1">
      <x:c r="A373" s="46" t="str">
        <x:v>LME_024</x:v>
      </x:c>
      <x:c r="B373" s="46" t="str">
        <x:v>Celtic-Biscay Shelf</x:v>
      </x:c>
      <x:c r="C373" s="46" t="str">
        <x:v>LME</x:v>
      </x:c>
      <x:c r="D373" s="58" t="n">
        <x:v>2019</x:v>
      </x:c>
      <x:c r="E373" s="46" t="str">
        <x:v>Holothuroidea</x:v>
      </x:c>
      <x:c r="F373" s="46" t="str">
        <x:v>Sea cucumbers</x:v>
      </x:c>
      <x:c r="G373" s="46" t="str">
        <x:v>Other demersal invertebrates</x:v>
      </x:c>
      <x:c r="H373" s="46" t="str">
        <x:v>Other fishes &amp; inverts</x:v>
      </x:c>
      <x:c r="I373" s="60" t="n">
        <x:v>0.0000887476</x:v>
      </x:c>
      <x:c r="J373" s="60" t="n">
        <x:v>0.0000887476</x:v>
      </x:c>
      <x:c r="K373" s="60" t="n">
        <x:v>0</x:v>
      </x:c>
      <x:c r="L373" s="60" t="n">
        <x:v>0.0000415448</x:v>
      </x:c>
      <x:c r="M373" s="60" t="n">
        <x:v>0.0000472028</x:v>
      </x:c>
      <x:c r="N373" s="46" t="str">
        <x:v>holothuroidea</x:v>
      </x:c>
      <x:c r="O373" s="62" t="n">
        <x:v>2</x:v>
      </x:c>
      <x:c r="P373" s="46" t="str">
        <x:v>exact_sea_around_us</x:v>
      </x:c>
      <x:c r="Q373" s="62" t="str">
        <x:v>Sea Around Us exploited organisms</x:v>
      </x:c>
      <x:c r="R373" s="46" t="str">
        <x:v>high</x:v>
      </x:c>
      <x:c r="S373" s="46" t="str">
        <x:v>Holothuroidea</x:v>
      </x:c>
      <x:c r="T373" s="62" t="n">
        <x:f>IF(O373="","",(1/'Metadata'!$B$5)^(O373-1))</x:f>
        <x:v>20</x:v>
      </x:c>
      <x:c r="U373" s="60" t="n">
        <x:f>IF(T373="","",I373*T373)</x:f>
        <x:v>0.001774952</x:v>
      </x:c>
    </x:row>
    <x:row r="374" ht="18" customHeight="1">
      <x:c r="A374" s="46" t="str">
        <x:v>LME_024</x:v>
      </x:c>
      <x:c r="B374" s="46" t="str">
        <x:v>Celtic-Biscay Shelf</x:v>
      </x:c>
      <x:c r="C374" s="46" t="str">
        <x:v>LME</x:v>
      </x:c>
      <x:c r="D374" s="58" t="n">
        <x:v>2019</x:v>
      </x:c>
      <x:c r="E374" s="46" t="str">
        <x:v>Trachinus</x:v>
      </x:c>
      <x:c r="F374" s="46" t="str">
        <x:v>Weevers</x:v>
      </x:c>
      <x:c r="G374" s="46" t="str">
        <x:v>Medium demersals (30 - 89 cm)</x:v>
      </x:c>
      <x:c r="H374" s="46" t="str">
        <x:v>Perch-likes</x:v>
      </x:c>
      <x:c r="I374" s="60" t="n">
        <x:v>0.0000765286</x:v>
      </x:c>
      <x:c r="J374" s="60" t="n">
        <x:v>0.0000765286</x:v>
      </x:c>
      <x:c r="K374" s="60" t="n">
        <x:v>0</x:v>
      </x:c>
      <x:c r="L374" s="60" t="n">
        <x:v>0.0000765286</x:v>
      </x:c>
      <x:c r="M374" s="60" t="n">
        <x:v>0</x:v>
      </x:c>
      <x:c r="N374" s="46" t="str">
        <x:v>trachinus</x:v>
      </x:c>
      <x:c r="O374" s="62" t="n">
        <x:v>3.95</x:v>
      </x:c>
      <x:c r="P374" s="46" t="str">
        <x:v>exact_sea_around_us</x:v>
      </x:c>
      <x:c r="Q374" s="62" t="str">
        <x:v>Sea Around Us exploited organisms</x:v>
      </x:c>
      <x:c r="R374" s="46" t="str">
        <x:v>high</x:v>
      </x:c>
      <x:c r="S374" s="46" t="str">
        <x:v>Trachinus</x:v>
      </x:c>
      <x:c r="T374" s="62" t="n">
        <x:f>IF(O374="","",(1/'Metadata'!$B$5)^(O374-1))</x:f>
        <x:v>6887.133274653882</x:v>
      </x:c>
      <x:c r="U374" s="60" t="n">
        <x:f>IF(T374="","",I374*T374)</x:f>
        <x:v>0.527062667522677</x:v>
      </x:c>
    </x:row>
    <x:row r="375" ht="18" customHeight="1">
      <x:c r="A375" s="46" t="str">
        <x:v>LME_024</x:v>
      </x:c>
      <x:c r="B375" s="46" t="str">
        <x:v>Celtic-Biscay Shelf</x:v>
      </x:c>
      <x:c r="C375" s="46" t="str">
        <x:v>LME</x:v>
      </x:c>
      <x:c r="D375" s="58" t="n">
        <x:v>2019</x:v>
      </x:c>
      <x:c r="E375" s="46" t="str">
        <x:v>Rutilus rutilus</x:v>
      </x:c>
      <x:c r="F375" s="46" t="str">
        <x:v>Roach</x:v>
      </x:c>
      <x:c r="G375" s="46" t="str">
        <x:v>Medium benthopelagics (30 - 89 cm)</x:v>
      </x:c>
      <x:c r="H375" s="46" t="str">
        <x:v>Other fishes &amp; inverts</x:v>
      </x:c>
      <x:c r="I375" s="60" t="n">
        <x:v>0.0000101149</x:v>
      </x:c>
      <x:c r="J375" s="60" t="n">
        <x:v>0.0000101149</x:v>
      </x:c>
      <x:c r="K375" s="60" t="n">
        <x:v>0</x:v>
      </x:c>
      <x:c r="L375" s="60" t="n">
        <x:v>0.0000101149</x:v>
      </x:c>
      <x:c r="M375" s="60" t="n">
        <x:v>0</x:v>
      </x:c>
      <x:c r="N375" s="46" t="str">
        <x:v>rutilus rutilus</x:v>
      </x:c>
      <x:c r="O375" s="62" t="n">
        <x:v>2.96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Rutilus rutilus</x:v>
      </x:c>
      <x:c r="T375" s="62" t="n">
        <x:f>IF(O375="","",(1/'Metadata'!$B$5)^(O375-1))</x:f>
        <x:v>354.8287419972627</x:v>
      </x:c>
      <x:c r="U375" s="60" t="n">
        <x:f>IF(T375="","",I375*T375)</x:f>
        <x:v>0.0035890572424281124</x:v>
      </x:c>
    </x:row>
    <x:row r="376" ht="18" customHeight="1">
      <x:c r="A376" s="46" t="str">
        <x:v>LME_024</x:v>
      </x:c>
      <x:c r="B376" s="46" t="str">
        <x:v>Celtic-Biscay Shelf</x:v>
      </x:c>
      <x:c r="C376" s="46" t="str">
        <x:v>LME</x:v>
      </x:c>
      <x:c r="D376" s="58" t="n">
        <x:v>2019</x:v>
      </x:c>
      <x:c r="E376" s="46" t="str">
        <x:v>Scardinius erythrophthalmus</x:v>
      </x:c>
      <x:c r="F376" s="46" t="str">
        <x:v>Rudd</x:v>
      </x:c>
      <x:c r="G376" s="46" t="str">
        <x:v>Medium benthopelagics (30 - 89 cm)</x:v>
      </x:c>
      <x:c r="H376" s="46" t="str">
        <x:v>Other fishes &amp; inverts</x:v>
      </x:c>
      <x:c r="I376" s="60" t="n">
        <x:v>0.0000052852</x:v>
      </x:c>
      <x:c r="J376" s="60" t="n">
        <x:v>0.0000052852</x:v>
      </x:c>
      <x:c r="K376" s="60" t="n">
        <x:v>0</x:v>
      </x:c>
      <x:c r="L376" s="60" t="n">
        <x:v>0.0000052852</x:v>
      </x:c>
      <x:c r="M376" s="60" t="n">
        <x:v>0</x:v>
      </x:c>
      <x:c r="N376" s="46" t="str">
        <x:v>scardinius erythrophthalmus</x:v>
      </x:c>
      <x:c r="O376" s="62" t="n">
        <x:v>2.89</x:v>
      </x:c>
      <x:c r="P376" s="46" t="str">
        <x:v>exact_2020_supplement</x:v>
      </x:c>
      <x:c r="Q376" s="62" t="str">
        <x:v>2020 supplement MeanTL</x:v>
      </x:c>
      <x:c r="R376" s="46" t="str">
        <x:v>high</x:v>
      </x:c>
      <x:c r="S376" s="46" t="str">
        <x:v>Scardinius erythrophthalmus</x:v>
      </x:c>
      <x:c r="T376" s="62" t="n">
        <x:f>IF(O376="","",(1/'Metadata'!$B$5)^(O376-1))</x:f>
        <x:v>287.70452453798737</x:v>
      </x:c>
      <x:c r="U376" s="60" t="n">
        <x:f>IF(T376="","",I376*T376)</x:f>
        <x:v>0.0015205759530881708</x:v>
      </x:c>
    </x:row>
    <x:row r="377" ht="18" customHeight="1">
      <x:c r="A377" s="46" t="str">
        <x:v>LME_024</x:v>
      </x:c>
      <x:c r="B377" s="46" t="str">
        <x:v>Celtic-Biscay Shelf</x:v>
      </x:c>
      <x:c r="C377" s="46" t="str">
        <x:v>LME</x:v>
      </x:c>
      <x:c r="D377" s="58" t="n">
        <x:v>2019</x:v>
      </x:c>
      <x:c r="E377" s="46" t="str">
        <x:v>Esox lucius</x:v>
      </x:c>
      <x:c r="F377" s="46" t="str">
        <x:v>Northern pike</x:v>
      </x:c>
      <x:c r="G377" s="46" t="str">
        <x:v>Large demersals (&gt;=90 cm)</x:v>
      </x:c>
      <x:c r="H377" s="46" t="str">
        <x:v>Salmon, smelts, etc</x:v>
      </x:c>
      <x:c r="I377" s="60" t="n">
        <x:v>0.0000047791000000000005</x:v>
      </x:c>
      <x:c r="J377" s="60" t="n">
        <x:v>0.0000047791000000000005</x:v>
      </x:c>
      <x:c r="K377" s="60" t="n">
        <x:v>0</x:v>
      </x:c>
      <x:c r="L377" s="60" t="n">
        <x:v>0.0000047791000000000005</x:v>
      </x:c>
      <x:c r="M377" s="60" t="n">
        <x:v>0</x:v>
      </x:c>
      <x:c r="N377" s="46" t="str">
        <x:v>esox lucius</x:v>
      </x:c>
      <x:c r="O377" s="62" t="n">
        <x:v>4.07</x:v>
      </x:c>
      <x:c r="P377" s="46" t="str">
        <x:v>exact_2020_supplement</x:v>
      </x:c>
      <x:c r="Q377" s="62" t="str">
        <x:v>2020 supplement MeanTL</x:v>
      </x:c>
      <x:c r="R377" s="46" t="str">
        <x:v>high</x:v>
      </x:c>
      <x:c r="S377" s="46" t="str">
        <x:v>Esox lucius</x:v>
      </x:c>
      <x:c r="T377" s="62" t="n">
        <x:f>IF(O377="","",(1/'Metadata'!$B$5)^(O377-1))</x:f>
        <x:v>9866.476519743796</x:v>
      </x:c>
      <x:c r="U377" s="60" t="n">
        <x:f>IF(T377="","",I377*T377)</x:f>
        <x:v>0.04715287793550758</x:v>
      </x:c>
    </x:row>
    <x:row r="378" ht="18" customHeight="1">
      <x:c r="A378" s="46" t="str">
        <x:v>LME_024</x:v>
      </x:c>
      <x:c r="B378" s="46" t="str">
        <x:v>Celtic-Biscay Shelf</x:v>
      </x:c>
      <x:c r="C378" s="46" t="str">
        <x:v>LME</x:v>
      </x:c>
      <x:c r="D378" s="58" t="n">
        <x:v>2019</x:v>
      </x:c>
      <x:c r="E378" s="46" t="str">
        <x:v>Thunnus</x:v>
      </x:c>
      <x:c r="F378" s="46" t="str">
        <x:v>Tunas</x:v>
      </x:c>
      <x:c r="G378" s="46" t="str">
        <x:v>Large pelagics (&gt;=90 cm)</x:v>
      </x:c>
      <x:c r="H378" s="46" t="str">
        <x:v>Tuna &amp; billfishes</x:v>
      </x:c>
      <x:c r="I378" s="60" t="n">
        <x:v>0.0000044822</x:v>
      </x:c>
      <x:c r="J378" s="60" t="n">
        <x:v>0.0000044822</x:v>
      </x:c>
      <x:c r="K378" s="60" t="n">
        <x:v>0</x:v>
      </x:c>
      <x:c r="L378" s="60" t="n">
        <x:v>0.0000044822</x:v>
      </x:c>
      <x:c r="M378" s="60" t="n">
        <x:v>0</x:v>
      </x:c>
      <x:c r="N378" s="46" t="str">
        <x:v>thunnus</x:v>
      </x:c>
      <x:c r="O378" s="62" t="n">
        <x:v>4.34</x:v>
      </x:c>
      <x:c r="P378" s="46" t="str">
        <x:v>exact_sea_around_us</x:v>
      </x:c>
      <x:c r="Q378" s="62" t="str">
        <x:v>Sea Around Us exploited organisms</x:v>
      </x:c>
      <x:c r="R378" s="46" t="str">
        <x:v>high</x:v>
      </x:c>
      <x:c r="S378" s="46" t="str">
        <x:v>Thunnus</x:v>
      </x:c>
      <x:c r="T378" s="62" t="n">
        <x:f>IF(O378="","",(1/'Metadata'!$B$5)^(O378-1))</x:f>
        <x:v>22153.389612394185</x:v>
      </x:c>
      <x:c r="U378" s="60" t="n">
        <x:f>IF(T378="","",I378*T378)</x:f>
        <x:v>0.09929592292067321</x:v>
      </x:c>
    </x:row>
    <x:row r="379" ht="18" customHeight="1">
      <x:c r="A379" s="46" t="str">
        <x:v>LME_024</x:v>
      </x:c>
      <x:c r="B379" s="46" t="str">
        <x:v>Celtic-Biscay Shelf</x:v>
      </x:c>
      <x:c r="C379" s="46" t="str">
        <x:v>LME</x:v>
      </x:c>
      <x:c r="D379" s="58" t="n">
        <x:v>2019</x:v>
      </x:c>
      <x:c r="E379" s="46" t="str">
        <x:v>Cyprinidae</x:v>
      </x:c>
      <x:c r="F379" s="46" t="str">
        <x:v>Carps, barbels, other cyprinids</x:v>
      </x:c>
      <x:c r="G379" s="46" t="str">
        <x:v>Medium demersals (30 - 89 cm)</x:v>
      </x:c>
      <x:c r="H379" s="46" t="str">
        <x:v>Other fishes &amp; inverts</x:v>
      </x:c>
      <x:c r="I379" s="60" t="n">
        <x:v>0.0000041252</x:v>
      </x:c>
      <x:c r="J379" s="60" t="n">
        <x:v>0.0000041252</x:v>
      </x:c>
      <x:c r="K379" s="60" t="n">
        <x:v>0</x:v>
      </x:c>
      <x:c r="L379" s="60" t="n">
        <x:v>0.0000041252</x:v>
      </x:c>
      <x:c r="M379" s="60" t="n">
        <x:v>0</x:v>
      </x:c>
      <x:c r="N379" s="46" t="str">
        <x:v>cyprinidae</x:v>
      </x:c>
      <x:c r="O379" s="62" t="n">
        <x:v>2.8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Cyprinidae</x:v>
      </x:c>
      <x:c r="T379" s="62" t="n">
        <x:f>IF(O379="","",(1/'Metadata'!$B$5)^(O379-1))</x:f>
        <x:v>219.71210866122343</x:v>
      </x:c>
      <x:c r="U379" s="60" t="n">
        <x:f>IF(T379="","",I379*T379)</x:f>
        <x:v>0.0009063563906492789</x:v>
      </x:c>
    </x:row>
    <x:row r="380" ht="18" customHeight="1">
      <x:c r="A380" s="46" t="str">
        <x:v>LME_024</x:v>
      </x:c>
      <x:c r="B380" s="46" t="str">
        <x:v>Celtic-Biscay Shelf</x:v>
      </x:c>
      <x:c r="C380" s="46" t="str">
        <x:v>LME</x:v>
      </x:c>
      <x:c r="D380" s="58" t="n">
        <x:v>2019</x:v>
      </x:c>
      <x:c r="E380" s="46" t="str">
        <x:v>Haemulidae</x:v>
      </x:c>
      <x:c r="F380" s="46" t="str">
        <x:v>Grunts, sweetlips, bonnetmouths</x:v>
      </x:c>
      <x:c r="G380" s="46" t="str">
        <x:v>Medium demersals (30 - 89 cm)</x:v>
      </x:c>
      <x:c r="H380" s="46" t="str">
        <x:v>Perch-likes</x:v>
      </x:c>
      <x:c r="I380" s="60" t="n">
        <x:v>0.0000027421</x:v>
      </x:c>
      <x:c r="J380" s="60" t="n">
        <x:v>0.0000027421</x:v>
      </x:c>
      <x:c r="K380" s="60" t="n">
        <x:v>0</x:v>
      </x:c>
      <x:c r="L380" s="60" t="n">
        <x:v>0.0000010673000000000001</x:v>
      </x:c>
      <x:c r="M380" s="60" t="n">
        <x:v>0.0000016747999999999998</x:v>
      </x:c>
      <x:c r="N380" s="46" t="str">
        <x:v>haemulidae</x:v>
      </x:c>
      <x:c r="O380" s="62" t="n">
        <x:v>3.36</x:v>
      </x:c>
      <x:c r="P380" s="46" t="str">
        <x:v>exact_sea_around_us</x:v>
      </x:c>
      <x:c r="Q380" s="62" t="str">
        <x:v>Sea Around Us exploited organisms</x:v>
      </x:c>
      <x:c r="R380" s="46" t="str">
        <x:v>high</x:v>
      </x:c>
      <x:c r="S380" s="46" t="str">
        <x:v>Haemulidae</x:v>
      </x:c>
      <x:c r="T380" s="62" t="n">
        <x:f>IF(O380="","",(1/'Metadata'!$B$5)^(O380-1))</x:f>
        <x:v>1176.0635493805207</x:v>
      </x:c>
      <x:c r="U380" s="60" t="n">
        <x:f>IF(T380="","",I380*T380)</x:f>
        <x:v>0.003224883858756326</x:v>
      </x:c>
    </x:row>
    <x:row r="381" ht="18" customHeight="1">
      <x:c r="A381" s="46" t="str">
        <x:v>LME_024</x:v>
      </x:c>
      <x:c r="B381" s="46" t="str">
        <x:v>Celtic-Biscay Shelf</x:v>
      </x:c>
      <x:c r="C381" s="46" t="str">
        <x:v>LME</x:v>
      </x:c>
      <x:c r="D381" s="58" t="n">
        <x:v>2019</x:v>
      </x:c>
      <x:c r="E381" s="46" t="str">
        <x:v>Umbrina cirrosa</x:v>
      </x:c>
      <x:c r="F381" s="46" t="str">
        <x:v>Shi drum</x:v>
      </x:c>
      <x:c r="G381" s="46" t="str">
        <x:v>Medium demersals (30 - 89 cm)</x:v>
      </x:c>
      <x:c r="H381" s="46" t="str">
        <x:v>Perch-likes</x:v>
      </x:c>
      <x:c r="I381" s="60" t="n">
        <x:v>0.0000022366000000000003</x:v>
      </x:c>
      <x:c r="J381" s="60" t="n">
        <x:v>0.0000022366000000000003</x:v>
      </x:c>
      <x:c r="K381" s="60" t="n">
        <x:v>0</x:v>
      </x:c>
      <x:c r="L381" s="60" t="n">
        <x:v>0.0000022366000000000003</x:v>
      </x:c>
      <x:c r="M381" s="60" t="n">
        <x:v>0</x:v>
      </x:c>
      <x:c r="N381" s="46" t="str">
        <x:v>umbrina cirrosa</x:v>
      </x:c>
      <x:c r="O381" s="62" t="n">
        <x:v>3.46</x:v>
      </x:c>
      <x:c r="P381" s="46" t="str">
        <x:v>exact_2020_supplement</x:v>
      </x:c>
      <x:c r="Q381" s="62" t="str">
        <x:v>2020 supplement MeanTL</x:v>
      </x:c>
      <x:c r="R381" s="46" t="str">
        <x:v>high</x:v>
      </x:c>
      <x:c r="S381" s="46" t="str">
        <x:v>Umbrina cirrosa</x:v>
      </x:c>
      <x:c r="T381" s="62" t="n">
        <x:f>IF(O381="","",(1/'Metadata'!$B$5)^(O381-1))</x:f>
        <x:v>1586.8423749532276</x:v>
      </x:c>
      <x:c r="U381" s="60" t="n">
        <x:f>IF(T381="","",I381*T381)</x:f>
        <x:v>0.0035491316558203894</x:v>
      </x:c>
    </x:row>
    <x:row r="382" ht="18" customHeight="1">
      <x:c r="A382" s="46" t="str">
        <x:v>LME_024</x:v>
      </x:c>
      <x:c r="B382" s="46" t="str">
        <x:v>Celtic-Biscay Shelf</x:v>
      </x:c>
      <x:c r="C382" s="46" t="str">
        <x:v>LME</x:v>
      </x:c>
      <x:c r="D382" s="58" t="n">
        <x:v>2019</x:v>
      </x:c>
      <x:c r="E382" s="46" t="str">
        <x:v>Scyllaridae</x:v>
      </x:c>
      <x:c r="F382" s="46" t="str">
        <x:v>Slipper lobsters</x:v>
      </x:c>
      <x:c r="G382" s="46" t="str">
        <x:v>Lobsters, crabs</x:v>
      </x:c>
      <x:c r="H382" s="46" t="str">
        <x:v>Crustaceans</x:v>
      </x:c>
      <x:c r="I382" s="60" t="n">
        <x:v>0.0000020088</x:v>
      </x:c>
      <x:c r="J382" s="60" t="n">
        <x:v>0.0000020088</x:v>
      </x:c>
      <x:c r="K382" s="60" t="n">
        <x:v>0</x:v>
      </x:c>
      <x:c r="L382" s="60" t="n">
        <x:v>0.0000020088</x:v>
      </x:c>
      <x:c r="M382" s="60" t="n">
        <x:v>0</x:v>
      </x:c>
      <x:c r="N382" s="46" t="str">
        <x:v>scyllaridae</x:v>
      </x:c>
      <x:c r="O382" s="62" t="n">
        <x:v>2.87</x:v>
      </x:c>
      <x:c r="P382" s="46" t="str">
        <x:v>exact_sea_around_us</x:v>
      </x:c>
      <x:c r="Q382" s="62" t="str">
        <x:v>Sea Around Us exploited organisms</x:v>
      </x:c>
      <x:c r="R382" s="46" t="str">
        <x:v>high</x:v>
      </x:c>
      <x:c r="S382" s="46" t="str">
        <x:v>Scyllaridae</x:v>
      </x:c>
      <x:c r="T382" s="62" t="n">
        <x:f>IF(O382="","",(1/'Metadata'!$B$5)^(O382-1))</x:f>
        <x:v>270.9730451511698</x:v>
      </x:c>
      <x:c r="U382" s="60" t="n">
        <x:f>IF(T382="","",I382*T382)</x:f>
        <x:v>0.0005443306530996699</x:v>
      </x:c>
    </x:row>
    <x:row r="383" ht="18" customHeight="1">
      <x:c r="A383" s="46" t="str">
        <x:v>LME_024</x:v>
      </x:c>
      <x:c r="B383" s="46" t="str">
        <x:v>Celtic-Biscay Shelf</x:v>
      </x:c>
      <x:c r="C383" s="46" t="str">
        <x:v>LME</x:v>
      </x:c>
      <x:c r="D383" s="58" t="n">
        <x:v>2019</x:v>
      </x:c>
      <x:c r="E383" s="46" t="str">
        <x:v>Donax trunculus</x:v>
      </x:c>
      <x:c r="F383" s="46" t="str">
        <x:v>Truncate donax</x:v>
      </x:c>
      <x:c r="G383" s="46" t="str">
        <x:v>Other demersal invertebrates</x:v>
      </x:c>
      <x:c r="H383" s="46" t="str">
        <x:v>Molluscs</x:v>
      </x:c>
      <x:c r="I383" s="60" t="n">
        <x:v>5.716000000000001e-7</x:v>
      </x:c>
      <x:c r="J383" s="60" t="n">
        <x:v>5.716000000000001e-7</x:v>
      </x:c>
      <x:c r="K383" s="60" t="n">
        <x:v>0</x:v>
      </x:c>
      <x:c r="L383" s="60" t="n">
        <x:v>0</x:v>
      </x:c>
      <x:c r="M383" s="60" t="n">
        <x:v>5.716000000000001e-7</x:v>
      </x:c>
      <x:c r="N383" s="46" t="str">
        <x:v>donax trunculus</x:v>
      </x:c>
      <x:c r="O383" s="62" t="n">
        <x:v>2</x:v>
      </x:c>
      <x:c r="P383" s="46" t="str">
        <x:v>exact_sea_around_us</x:v>
      </x:c>
      <x:c r="Q383" s="62" t="str">
        <x:v>Sea Around Us exploited organisms</x:v>
      </x:c>
      <x:c r="R383" s="46" t="str">
        <x:v>high</x:v>
      </x:c>
      <x:c r="S383" s="46" t="str">
        <x:v>Donax trunculus</x:v>
      </x:c>
      <x:c r="T383" s="62" t="n">
        <x:f>IF(O383="","",(1/'Metadata'!$B$5)^(O383-1))</x:f>
        <x:v>20</x:v>
      </x:c>
      <x:c r="U383" s="60" t="n">
        <x:f>IF(T383="","",I383*T383)</x:f>
        <x:v>0.000011432000000000002</x:v>
      </x:c>
    </x:row>
    <x:row r="384" ht="18" customHeight="1">
      <x:c r="A384" s="46" t="str">
        <x:v>LME_024</x:v>
      </x:c>
      <x:c r="B384" s="46" t="str">
        <x:v>Celtic-Biscay Shelf</x:v>
      </x:c>
      <x:c r="C384" s="46" t="str">
        <x:v>LME</x:v>
      </x:c>
      <x:c r="D384" s="58" t="n">
        <x:v>2019</x:v>
      </x:c>
      <x:c r="E384" s="46" t="str">
        <x:v>Ammodytes tobianus</x:v>
      </x:c>
      <x:c r="F384" s="46" t="str">
        <x:v>Small sandeel</x:v>
      </x:c>
      <x:c r="G384" s="46" t="str">
        <x:v>Small demersals (&lt;30 cm)</x:v>
      </x:c>
      <x:c r="H384" s="46" t="str">
        <x:v>Perch-likes</x:v>
      </x:c>
      <x:c r="I384" s="60" t="n">
        <x:v>4.7659999999999997e-7</x:v>
      </x:c>
      <x:c r="J384" s="60" t="n">
        <x:v>4.7659999999999997e-7</x:v>
      </x:c>
      <x:c r="K384" s="60" t="n">
        <x:v>0</x:v>
      </x:c>
      <x:c r="L384" s="60" t="n">
        <x:v>4.7659999999999997e-7</x:v>
      </x:c>
      <x:c r="M384" s="60" t="n">
        <x:v>0</x:v>
      </x:c>
      <x:c r="N384" s="46" t="str">
        <x:v>ammodytes tobianus</x:v>
      </x:c>
      <x:c r="O384" s="62" t="n">
        <x:v>3.08</x:v>
      </x:c>
      <x:c r="P384" s="46" t="str">
        <x:v>exact_2020_supplement</x:v>
      </x:c>
      <x:c r="Q384" s="62" t="str">
        <x:v>2020 supplement MeanTL</x:v>
      </x:c>
      <x:c r="R384" s="46" t="str">
        <x:v>high</x:v>
      </x:c>
      <x:c r="S384" s="46" t="str">
        <x:v>Ammodytes tobianus</x:v>
      </x:c>
      <x:c r="T384" s="62" t="n">
        <x:f>IF(O384="","",(1/'Metadata'!$B$5)^(O384-1))</x:f>
        <x:v>508.32607876637354</x:v>
      </x:c>
      <x:c r="U384" s="60" t="n">
        <x:f>IF(T384="","",I384*T384)</x:f>
        <x:v>0.0002422682091400536</x:v>
      </x:c>
    </x:row>
  </x:sheetData>
  <x:conditionalFormatting sqref="R2:R38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efd77ad9a9943e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6447.5123056993</x:v>
      </x:c>
      <x:c r="E2" s="60" t="n">
        <x:v>6447.5123056993</x:v>
      </x:c>
      <x:c r="F2" s="62" t="n">
        <x:v>0</x:v>
      </x:c>
      <x:c r="G2" s="66" t="n">
        <x:v>1</x:v>
      </x:c>
      <x:c r="H2" s="62" t="n">
        <x:f>IF(E2=0,"",I2/E2)</x:f>
        <x:v>556.1261167405597</x:v>
      </x:c>
      <x:c r="I2" s="60" t="n">
        <x:f>SUMIF('Species'!$H$2:$H$384,A2,'Species'!$U$2:$U$384)</x:f>
        <x:v>3585629.981205524</x:v>
      </x:c>
      <x:c r="J2" s="62" t="n">
        <x:v>3.1100000000000003</x:v>
      </x:c>
      <x:c r="K2" s="62" t="n">
        <x:f>IF(J2="","",(1/'Metadata'!$B$5)^(J2-1))</x:f>
        <x:v>556.1261167405605</x:v>
      </x:c>
      <x:c r="L2" s="60" t="n">
        <x:f>IF(E2=0,"",E2*K2)</x:f>
        <x:v>3585629.981205529</x:v>
      </x:c>
      <x:c r="M2" s="60" t="n">
        <x:f>I2-L2</x:f>
        <x:v>-5.122274160385132e-9</x:v>
      </x:c>
      <x:c r="N2" s="62" t="n">
        <x:f>IF(L2=0,"",I2/L2)</x:f>
        <x:v>0.9999999999999986</x:v>
      </x:c>
      <x:c r="O2" s="66" t="n">
        <x:f>IF(L2=0,"",M2/L2)</x:f>
        <x:v>-1.42855626130808e-15</x:v>
      </x:c>
    </x:row>
    <x:row r="3" ht="18" customHeight="1">
      <x:c r="A3" s="46" t="str">
        <x:v>Cod-likes</x:v>
      </x:c>
      <x:c r="B3" s="64" t="n">
        <x:v>27</x:v>
      </x:c>
      <x:c r="C3" s="64" t="n">
        <x:v>27</x:v>
      </x:c>
      <x:c r="D3" s="60" t="n">
        <x:v>410804.471906796</x:v>
      </x:c>
      <x:c r="E3" s="60" t="n">
        <x:v>410804.471906796</x:v>
      </x:c>
      <x:c r="F3" s="62" t="n">
        <x:v>0</x:v>
      </x:c>
      <x:c r="G3" s="66" t="n">
        <x:v>1</x:v>
      </x:c>
      <x:c r="H3" s="62" t="n">
        <x:f>IF(E3=0,"",I3/E3)</x:f>
        <x:v>14062.180904851455</x:v>
      </x:c>
      <x:c r="I3" s="60" t="n">
        <x:f>SUMIF('Species'!$H$2:$H$384,A3,'Species'!$U$2:$U$384)</x:f>
        <x:v>5776806800.475332</x:v>
      </x:c>
      <x:c r="J3" s="62" t="n">
        <x:v>4.160818219507097</x:v>
      </x:c>
      <x:c r="K3" s="62" t="n">
        <x:f>IF(J3="","",(1/'Metadata'!$B$5)^(J3-1))</x:f>
        <x:v>12951.477470615293</x:v>
      </x:c>
      <x:c r="L3" s="60" t="n">
        <x:f>IF(E3=0,"",E3*K3)</x:f>
        <x:v>5320524862.728881</x:v>
      </x:c>
      <x:c r="M3" s="60" t="n">
        <x:f>I3-L3</x:f>
        <x:v>456281937.7464514</x:v>
      </x:c>
      <x:c r="N3" s="62" t="n">
        <x:f>IF(L3=0,"",I3/L3)</x:f>
        <x:v>1.0857588207025926</x:v>
      </x:c>
      <x:c r="O3" s="66" t="n">
        <x:f>IF(L3=0,"",M3/L3)</x:f>
        <x:v>0.08575882070259244</x:v>
      </x:c>
    </x:row>
    <x:row r="4" ht="18" customHeight="1">
      <x:c r="A4" s="46" t="str">
        <x:v>Crustaceans</x:v>
      </x:c>
      <x:c r="B4" s="64" t="n">
        <x:v>30</x:v>
      </x:c>
      <x:c r="C4" s="64" t="n">
        <x:v>30</x:v>
      </x:c>
      <x:c r="D4" s="60" t="n">
        <x:v>56326.11743821189</x:v>
      </x:c>
      <x:c r="E4" s="60" t="n">
        <x:v>56326.11743821189</x:v>
      </x:c>
      <x:c r="F4" s="62" t="n">
        <x:v>0</x:v>
      </x:c>
      <x:c r="G4" s="66" t="n">
        <x:v>1</x:v>
      </x:c>
      <x:c r="H4" s="62" t="n">
        <x:f>IF(E4=0,"",I4/E4)</x:f>
        <x:v>554.5075181321483</x:v>
      </x:c>
      <x:c r="I4" s="60" t="n">
        <x:f>SUMIF('Species'!$H$2:$H$384,A4,'Species'!$U$2:$U$384)</x:f>
        <x:v>31233255.586682796</x:v>
      </x:c>
      <x:c r="J4" s="62" t="n">
        <x:v>3.008273074314981</x:v>
      </x:c>
      <x:c r="K4" s="62" t="n">
        <x:f>IF(J4="","",(1/'Metadata'!$B$5)^(J4-1))</x:f>
        <x:v>410.037435994962</x:v>
      </x:c>
      <x:c r="L4" s="60" t="n">
        <x:f>IF(E4=0,"",E4*K4)</x:f>
        <x:v>23095816.77391552</x:v>
      </x:c>
      <x:c r="M4" s="60" t="n">
        <x:f>I4-L4</x:f>
        <x:v>8137438.812767275</x:v>
      </x:c>
      <x:c r="N4" s="62" t="n">
        <x:f>IF(L4=0,"",I4/L4)</x:f>
        <x:v>1.3523338833358653</x:v>
      </x:c>
      <x:c r="O4" s="66" t="n">
        <x:f>IF(L4=0,"",M4/L4)</x:f>
        <x:v>0.3523338833358654</x:v>
      </x:c>
    </x:row>
    <x:row r="5" ht="18" customHeight="1">
      <x:c r="A5" s="46" t="str">
        <x:v>Flatfishes</x:v>
      </x:c>
      <x:c r="B5" s="64" t="n">
        <x:v>26</x:v>
      </x:c>
      <x:c r="C5" s="64" t="n">
        <x:v>26</x:v>
      </x:c>
      <x:c r="D5" s="60" t="n">
        <x:v>46661.755388687</x:v>
      </x:c>
      <x:c r="E5" s="60" t="n">
        <x:v>46661.755388687</x:v>
      </x:c>
      <x:c r="F5" s="62" t="n">
        <x:v>0</x:v>
      </x:c>
      <x:c r="G5" s="66" t="n">
        <x:v>1</x:v>
      </x:c>
      <x:c r="H5" s="62" t="n">
        <x:f>IF(E5=0,"",I5/E5)</x:f>
        <x:v>4104.82725559295</x:v>
      </x:c>
      <x:c r="I5" s="60" t="n">
        <x:f>SUMIF('Species'!$H$2:$H$384,A5,'Species'!$U$2:$U$384)</x:f>
        <x:v>191538445.31329358</x:v>
      </x:c>
      <x:c r="J5" s="62" t="n">
        <x:v>3.5160114712780515</x:v>
      </x:c>
      <x:c r="K5" s="62" t="n">
        <x:f>IF(J5="","",(1/'Metadata'!$B$5)^(J5-1))</x:f>
        <x:v>1876.749866162595</x:v>
      </x:c>
      <x:c r="L5" s="60" t="n">
        <x:f>IF(E5=0,"",E5*K5)</x:f>
        <x:v>87572443.18063007</x:v>
      </x:c>
      <x:c r="M5" s="60" t="n">
        <x:f>I5-L5</x:f>
        <x:v>103966002.1326635</x:v>
      </x:c>
      <x:c r="N5" s="62" t="n">
        <x:f>IF(L5=0,"",I5/L5)</x:f>
        <x:v>2.187199972464163</x:v>
      </x:c>
      <x:c r="O5" s="66" t="n">
        <x:f>IF(L5=0,"",M5/L5)</x:f>
        <x:v>1.187199972464163</x:v>
      </x:c>
    </x:row>
    <x:row r="6" ht="18" customHeight="1">
      <x:c r="A6" s="46" t="str">
        <x:v>Herring-likes</x:v>
      </x:c>
      <x:c r="B6" s="64" t="n">
        <x:v>7</x:v>
      </x:c>
      <x:c r="C6" s="64" t="n">
        <x:v>7</x:v>
      </x:c>
      <x:c r="D6" s="60" t="n">
        <x:v>116297.15182404731</x:v>
      </x:c>
      <x:c r="E6" s="60" t="n">
        <x:v>116297.15182404731</x:v>
      </x:c>
      <x:c r="F6" s="62" t="n">
        <x:v>0</x:v>
      </x:c>
      <x:c r="G6" s="66" t="n">
        <x:v>1</x:v>
      </x:c>
      <x:c r="H6" s="62" t="n">
        <x:f>IF(E6=0,"",I6/E6)</x:f>
        <x:v>875.9862826454254</x:v>
      </x:c>
      <x:c r="I6" s="60" t="n">
        <x:f>SUMIF('Species'!$H$2:$H$384,A6,'Species'!$U$2:$U$384)</x:f>
        <x:v>101874709.70859785</x:v>
      </x:c>
      <x:c r="J6" s="62" t="n">
        <x:v>3.2211317584161545</x:v>
      </x:c>
      <x:c r="K6" s="62" t="n">
        <x:f>IF(J6="","",(1/'Metadata'!$B$5)^(J6-1))</x:f>
        <x:v>775.816553806884</x:v>
      </x:c>
      <x:c r="L6" s="60" t="n">
        <x:f>IF(E6=0,"",E6*K6)</x:f>
        <x:v>90225255.54568836</x:v>
      </x:c>
      <x:c r="M6" s="60" t="n">
        <x:f>I6-L6</x:f>
        <x:v>11649454.162909493</x:v>
      </x:c>
      <x:c r="N6" s="62" t="n">
        <x:f>IF(L6=0,"",I6/L6)</x:f>
        <x:v>1.1291152249162701</x:v>
      </x:c>
      <x:c r="O6" s="66" t="n">
        <x:f>IF(L6=0,"",M6/L6)</x:f>
        <x:v>0.12911522491627003</x:v>
      </x:c>
    </x:row>
    <x:row r="7" ht="18" customHeight="1">
      <x:c r="A7" s="46" t="str">
        <x:v>Molluscs</x:v>
      </x:c>
      <x:c r="B7" s="64" t="n">
        <x:v>44</x:v>
      </x:c>
      <x:c r="C7" s="64" t="n">
        <x:v>44</x:v>
      </x:c>
      <x:c r="D7" s="60" t="n">
        <x:v>103364.6414470407</x:v>
      </x:c>
      <x:c r="E7" s="60" t="n">
        <x:v>103364.6414470407</x:v>
      </x:c>
      <x:c r="F7" s="62" t="n">
        <x:v>0</x:v>
      </x:c>
      <x:c r="G7" s="66" t="n">
        <x:v>1</x:v>
      </x:c>
      <x:c r="H7" s="62" t="n">
        <x:f>IF(E7=0,"",I7/E7)</x:f>
        <x:v>1105.8661721583658</x:v>
      </x:c>
      <x:c r="I7" s="60" t="n">
        <x:f>SUMIF('Species'!$H$2:$H$384,A7,'Species'!$U$2:$U$384)</x:f>
        <x:v>114307460.37356088</x:v>
      </x:c>
      <x:c r="J7" s="62" t="n">
        <x:v>2.518321230365662</x:v>
      </x:c>
      <x:c r="K7" s="62" t="n">
        <x:f>IF(J7="","",(1/'Metadata'!$B$5)^(J7-1))</x:f>
        <x:v>94.4890459047114</x:v>
      </x:c>
      <x:c r="L7" s="60" t="n">
        <x:f>IF(E7=0,"",E7*K7)</x:f>
        <x:v>9766826.350613464</x:v>
      </x:c>
      <x:c r="M7" s="60" t="n">
        <x:f>I7-L7</x:f>
        <x:v>104540634.02294742</x:v>
      </x:c>
      <x:c r="N7" s="62" t="n">
        <x:f>IF(L7=0,"",I7/L7)</x:f>
        <x:v>11.70364417980884</x:v>
      </x:c>
      <x:c r="O7" s="66" t="n">
        <x:f>IF(L7=0,"",M7/L7)</x:f>
        <x:v>10.70364417980884</x:v>
      </x:c>
    </x:row>
    <x:row r="8" ht="18" customHeight="1">
      <x:c r="A8" s="46" t="str">
        <x:v>Other fishes &amp; inverts</x:v>
      </x:c>
      <x:c r="B8" s="64" t="n">
        <x:v>66</x:v>
      </x:c>
      <x:c r="C8" s="64" t="n">
        <x:v>66</x:v>
      </x:c>
      <x:c r="D8" s="60" t="n">
        <x:v>102124.80158346529</x:v>
      </x:c>
      <x:c r="E8" s="60" t="n">
        <x:v>102124.80158346529</x:v>
      </x:c>
      <x:c r="F8" s="62" t="n">
        <x:v>0</x:v>
      </x:c>
      <x:c r="G8" s="66" t="n">
        <x:v>1</x:v>
      </x:c>
      <x:c r="H8" s="62" t="n">
        <x:f>IF(E8=0,"",I8/E8)</x:f>
        <x:v>14617.949135682016</x:v>
      </x:c>
      <x:c r="I8" s="60" t="n">
        <x:f>SUMIF('Species'!$H$2:$H$384,A8,'Species'!$U$2:$U$384)</x:f>
        <x:v>1492855155.038714</x:v>
      </x:c>
      <x:c r="J8" s="62" t="n">
        <x:v>3.904681502363087</x:v>
      </x:c>
      <x:c r="K8" s="62" t="n">
        <x:f>IF(J8="","",(1/'Metadata'!$B$5)^(J8-1))</x:f>
        <x:v>6012.8139004386585</x:v>
      </x:c>
      <x:c r="L8" s="60" t="n">
        <x:f>IF(E8=0,"",E8*K8)</x:f>
        <x:v>614057426.5406001</x:v>
      </x:c>
      <x:c r="M8" s="60" t="n">
        <x:f>I8-L8</x:f>
        <x:v>878797728.4981139</x:v>
      </x:c>
      <x:c r="N8" s="62" t="n">
        <x:f>IF(L8=0,"",I8/L8)</x:f>
        <x:v>2.431132806990015</x:v>
      </x:c>
      <x:c r="O8" s="66" t="n">
        <x:f>IF(L8=0,"",M8/L8)</x:f>
        <x:v>1.4311328069900149</x:v>
      </x:c>
    </x:row>
    <x:row r="9" ht="18" customHeight="1">
      <x:c r="A9" s="46" t="str">
        <x:v>Perch-likes</x:v>
      </x:c>
      <x:c r="B9" s="64" t="n">
        <x:v>87</x:v>
      </x:c>
      <x:c r="C9" s="64" t="n">
        <x:v>87</x:v>
      </x:c>
      <x:c r="D9" s="60" t="n">
        <x:v>239418.93469134293</x:v>
      </x:c>
      <x:c r="E9" s="60" t="n">
        <x:v>239418.93469134293</x:v>
      </x:c>
      <x:c r="F9" s="62" t="n">
        <x:v>0</x:v>
      </x:c>
      <x:c r="G9" s="66" t="n">
        <x:v>1</x:v>
      </x:c>
      <x:c r="H9" s="62" t="n">
        <x:f>IF(E9=0,"",I9/E9)</x:f>
        <x:v>3324.5758143233897</x:v>
      </x:c>
      <x:c r="I9" s="60" t="n">
        <x:f>SUMIF('Species'!$H$2:$H$384,A9,'Species'!$U$2:$U$384)</x:f>
        <x:v>795966399.7659099</x:v>
      </x:c>
      <x:c r="J9" s="62" t="n">
        <x:v>3.647282685777777</x:v>
      </x:c>
      <x:c r="K9" s="62" t="n">
        <x:f>IF(J9="","",(1/'Metadata'!$B$5)^(J9-1))</x:f>
        <x:v>2780.956407530398</x:v>
      </x:c>
      <x:c r="L9" s="60" t="n">
        <x:f>IF(E9=0,"",E9*K9)</x:f>
        <x:v>665813620.513992</x:v>
      </x:c>
      <x:c r="M9" s="60" t="n">
        <x:f>I9-L9</x:f>
        <x:v>130152779.25191796</x:v>
      </x:c>
      <x:c r="N9" s="62" t="n">
        <x:f>IF(L9=0,"",I9/L9)</x:f>
        <x:v>1.1954792981727276</x:v>
      </x:c>
      <x:c r="O9" s="66" t="n">
        <x:f>IF(L9=0,"",M9/L9)</x:f>
        <x:v>0.19547929817272763</x:v>
      </x:c>
    </x:row>
    <x:row r="10" ht="18" customHeight="1">
      <x:c r="A10" s="46" t="str">
        <x:v>Salmon, smelts, etc</x:v>
      </x:c>
      <x:c r="B10" s="64" t="n">
        <x:v>8</x:v>
      </x:c>
      <x:c r="C10" s="64" t="n">
        <x:v>8</x:v>
      </x:c>
      <x:c r="D10" s="60" t="n">
        <x:v>11424.3280812336</x:v>
      </x:c>
      <x:c r="E10" s="60" t="n">
        <x:v>11424.3280812336</x:v>
      </x:c>
      <x:c r="F10" s="62" t="n">
        <x:v>0</x:v>
      </x:c>
      <x:c r="G10" s="66" t="n">
        <x:v>1</x:v>
      </x:c>
      <x:c r="H10" s="62" t="n">
        <x:f>IF(E10=0,"",I10/E10)</x:f>
        <x:v>1279.1453670192957</x:v>
      </x:c>
      <x:c r="I10" s="60" t="n">
        <x:f>SUMIF('Species'!$H$2:$H$384,A10,'Species'!$U$2:$U$384)</x:f>
        <x:v>14613376.3364184</x:v>
      </x:c>
      <x:c r="J10" s="62" t="n">
        <x:v>3.367749921586502</x:v>
      </x:c>
      <x:c r="K10" s="62" t="n">
        <x:f>IF(J10="","",(1/'Metadata'!$B$5)^(J10-1))</x:f>
        <x:v>1203.6872774588871</x:v>
      </x:c>
      <x:c r="L10" s="60" t="n">
        <x:f>IF(E10=0,"",E10*K10)</x:f>
        <x:v>13751318.364897184</x:v>
      </x:c>
      <x:c r="M10" s="60" t="n">
        <x:f>I10-L10</x:f>
        <x:v>862057.9715212155</x:v>
      </x:c>
      <x:c r="N10" s="62" t="n">
        <x:f>IF(L10=0,"",I10/L10)</x:f>
        <x:v>1.062689114501325</x:v>
      </x:c>
      <x:c r="O10" s="66" t="n">
        <x:f>IF(L10=0,"",M10/L10)</x:f>
        <x:v>0.0626891145013252</x:v>
      </x:c>
    </x:row>
    <x:row r="11" ht="18" customHeight="1">
      <x:c r="A11" s="46" t="str">
        <x:v>Scorpionfishes</x:v>
      </x:c>
      <x:c r="B11" s="64" t="n">
        <x:v>18</x:v>
      </x:c>
      <x:c r="C11" s="64" t="n">
        <x:v>18</x:v>
      </x:c>
      <x:c r="D11" s="60" t="n">
        <x:v>11338.588108537</x:v>
      </x:c>
      <x:c r="E11" s="60" t="n">
        <x:v>11338.588108537</x:v>
      </x:c>
      <x:c r="F11" s="62" t="n">
        <x:v>0</x:v>
      </x:c>
      <x:c r="G11" s="66" t="n">
        <x:v>1</x:v>
      </x:c>
      <x:c r="H11" s="62" t="n">
        <x:f>IF(E11=0,"",I11/E11)</x:f>
        <x:v>4650.315624236553</x:v>
      </x:c>
      <x:c r="I11" s="60" t="n">
        <x:f>SUMIF('Species'!$H$2:$H$384,A11,'Species'!$U$2:$U$384)</x:f>
        <x:v>52728013.4379124</x:v>
      </x:c>
      <x:c r="J11" s="62" t="n">
        <x:v>3.80171193066121</x:v>
      </x:c>
      <x:c r="K11" s="62" t="n">
        <x:f>IF(J11="","",(1/'Metadata'!$B$5)^(J11-1))</x:f>
        <x:v>4416.8358685951225</x:v>
      </x:c>
      <x:c r="L11" s="60" t="n">
        <x:f>IF(E11=0,"",E11*K11)</x:f>
        <x:v>50080682.65701235</x:v>
      </x:c>
      <x:c r="M11" s="60" t="n">
        <x:f>I11-L11</x:f>
        <x:v>2647330.780900046</x:v>
      </x:c>
      <x:c r="N11" s="62" t="n">
        <x:f>IF(L11=0,"",I11/L11)</x:f>
        <x:v>1.0528613157897793</x:v>
      </x:c>
      <x:c r="O11" s="66" t="n">
        <x:f>IF(L11=0,"",M11/L11)</x:f>
        <x:v>0.05286131578977916</x:v>
      </x:c>
    </x:row>
    <x:row r="12" ht="18" customHeight="1">
      <x:c r="A12" s="46" t="str">
        <x:v>Sharks &amp; rays</x:v>
      </x:c>
      <x:c r="B12" s="64" t="n">
        <x:v>53</x:v>
      </x:c>
      <x:c r="C12" s="64" t="n">
        <x:v>53</x:v>
      </x:c>
      <x:c r="D12" s="60" t="n">
        <x:v>31528.077980077996</x:v>
      </x:c>
      <x:c r="E12" s="60" t="n">
        <x:v>31528.077980077996</x:v>
      </x:c>
      <x:c r="F12" s="62" t="n">
        <x:v>0</x:v>
      </x:c>
      <x:c r="G12" s="66" t="n">
        <x:v>1</x:v>
      </x:c>
      <x:c r="H12" s="62" t="n">
        <x:f>IF(E12=0,"",I12/E12)</x:f>
        <x:v>8613.392846013949</x:v>
      </x:c>
      <x:c r="I12" s="60" t="n">
        <x:f>SUMIF('Species'!$H$2:$H$384,A12,'Species'!$U$2:$U$384)</x:f>
        <x:v>271563721.3221737</x:v>
      </x:c>
      <x:c r="J12" s="62" t="n">
        <x:v>3.9589994018327253</x:v>
      </x:c>
      <x:c r="K12" s="62" t="n">
        <x:f>IF(J12="","",(1/'Metadata'!$B$5)^(J12-1))</x:f>
        <x:v>7075.334535033458</x:v>
      </x:c>
      <x:c r="L12" s="60" t="n">
        <x:f>IF(E12=0,"",E12*K12)</x:f>
        <x:v>223071698.95567378</x:v>
      </x:c>
      <x:c r="M12" s="60" t="n">
        <x:f>I12-L12</x:f>
        <x:v>48492022.36649993</x:v>
      </x:c>
      <x:c r="N12" s="62" t="n">
        <x:f>IF(L12=0,"",I12/L12)</x:f>
        <x:v>1.2173831220792186</x:v>
      </x:c>
      <x:c r="O12" s="66" t="n">
        <x:f>IF(L12=0,"",M12/L12)</x:f>
        <x:v>0.2173831220792186</x:v>
      </x:c>
    </x:row>
    <x:row r="13" ht="18" customHeight="1">
      <x:c r="A13" s="46" t="str">
        <x:v>Tuna &amp; billfishes</x:v>
      </x:c>
      <x:c r="B13" s="64" t="n">
        <x:v>16</x:v>
      </x:c>
      <x:c r="C13" s="64" t="n">
        <x:v>16</x:v>
      </x:c>
      <x:c r="D13" s="60" t="n">
        <x:v>3943.186333928101</x:v>
      </x:c>
      <x:c r="E13" s="60" t="n">
        <x:v>3943.186333928101</x:v>
      </x:c>
      <x:c r="F13" s="62" t="n">
        <x:v>0</x:v>
      </x:c>
      <x:c r="G13" s="66" t="n">
        <x:v>1</x:v>
      </x:c>
      <x:c r="H13" s="62" t="n">
        <x:f>IF(E13=0,"",I13/E13)</x:f>
        <x:v>25323.304237150394</x:v>
      </x:c>
      <x:c r="I13" s="60" t="n">
        <x:f>SUMIF('Species'!$H$2:$H$384,A13,'Species'!$U$2:$U$384)</x:f>
        <x:v>99854507.197835</x:v>
      </x:c>
      <x:c r="J13" s="62" t="n">
        <x:v>4.370216563873295</x:v>
      </x:c>
      <x:c r="K13" s="62" t="n">
        <x:f>IF(J13="","",(1/'Metadata'!$B$5)^(J13-1))</x:f>
        <x:v>24252.29495631148</x:v>
      </x:c>
      <x:c r="L13" s="60" t="n">
        <x:f>IF(E13=0,"",E13*K13)</x:f>
        <x:v>95631318.03812084</x:v>
      </x:c>
      <x:c r="M13" s="60" t="n">
        <x:f>I13-L13</x:f>
        <x:v>4223189.159714162</x:v>
      </x:c>
      <x:c r="N13" s="62" t="n">
        <x:f>IF(L13=0,"",I13/L13)</x:f>
        <x:v>1.0441611518731835</x:v>
      </x:c>
      <x:c r="O13" s="66" t="n">
        <x:f>IF(L13=0,"",M13/L13)</x:f>
        <x:v>0.04416115187318345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cbb54c3f7cc45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18</x:v>
      </x:c>
      <x:c r="C2" s="64" t="n">
        <x:v>18</x:v>
      </x:c>
      <x:c r="D2" s="60" t="n">
        <x:v>23035.566241771998</x:v>
      </x:c>
      <x:c r="E2" s="60" t="n">
        <x:v>23035.566241771998</x:v>
      </x:c>
      <x:c r="F2" s="62" t="n">
        <x:v>0</x:v>
      </x:c>
      <x:c r="G2" s="66" t="n">
        <x:v>1</x:v>
      </x:c>
      <x:c r="H2" s="62" t="n">
        <x:f>IF(E2=0,"",I2/E2)</x:f>
        <x:v>9322.952209433806</x:v>
      </x:c>
      <x:c r="I2" s="60" t="n">
        <x:f>SUMIF('Species'!$G$2:$G$384,A2,'Species'!$U$2:$U$384)</x:f>
        <x:v>214759483.18928707</x:v>
      </x:c>
      <x:c r="J2" s="62" t="n">
        <x:v>3.9487234371652957</x:v>
      </x:c>
      <x:c r="K2" s="62" t="n">
        <x:f>IF(J2="","",(1/'Metadata'!$B$5)^(J2-1))</x:f>
        <x:v>6860.845518161231</x:v>
      </x:c>
      <x:c r="L2" s="60" t="n">
        <x:f>IF(E2=0,"",E2*K2)</x:f>
        <x:v>158043461.40816757</x:v>
      </x:c>
      <x:c r="M2" s="60" t="n">
        <x:f>I2-L2</x:f>
        <x:v>56716021.781119496</x:v>
      </x:c>
      <x:c r="N2" s="62" t="n">
        <x:f>IF(L2=0,"",I2/L2)</x:f>
        <x:v>1.358863449811714</x:v>
      </x:c>
      <x:c r="O2" s="66" t="n">
        <x:f>IF(L2=0,"",M2/L2)</x:f>
        <x:v>0.358863449811714</x:v>
      </x:c>
    </x:row>
    <x:row r="3" ht="18" customHeight="1">
      <x:c r="A3" s="46" t="str">
        <x:v>Large bathydemersals (&gt;=90 cm)</x:v>
      </x:c>
      <x:c r="B3" s="64" t="n">
        <x:v>7</x:v>
      </x:c>
      <x:c r="C3" s="64" t="n">
        <x:v>7</x:v>
      </x:c>
      <x:c r="D3" s="60" t="n">
        <x:v>3303.0021313291</x:v>
      </x:c>
      <x:c r="E3" s="60" t="n">
        <x:v>3303.0021313291</x:v>
      </x:c>
      <x:c r="F3" s="62" t="n">
        <x:v>0</x:v>
      </x:c>
      <x:c r="G3" s="66" t="n">
        <x:v>1</x:v>
      </x:c>
      <x:c r="H3" s="62" t="n">
        <x:f>IF(E3=0,"",I3/E3)</x:f>
        <x:v>24152.093937124162</x:v>
      </x:c>
      <x:c r="I3" s="60" t="n">
        <x:f>SUMIF('Species'!$G$2:$G$384,A3,'Species'!$U$2:$U$384)</x:f>
        <x:v>79774417.75038174</x:v>
      </x:c>
      <x:c r="J3" s="62" t="n">
        <x:v>4.353509607422495</x:v>
      </x:c>
      <x:c r="K3" s="62" t="n">
        <x:f>IF(J3="","",(1/'Metadata'!$B$5)^(J3-1))</x:f>
        <x:v>23068.353079056582</x:v>
      </x:c>
      <x:c r="L3" s="60" t="n">
        <x:f>IF(E3=0,"",E3*K3)</x:f>
        <x:v>76194819.3863761</x:v>
      </x:c>
      <x:c r="M3" s="60" t="n">
        <x:f>I3-L3</x:f>
        <x:v>3579598.36400564</x:v>
      </x:c>
      <x:c r="N3" s="62" t="n">
        <x:f>IF(L3=0,"",I3/L3)</x:f>
        <x:v>1.0469795504843167</x:v>
      </x:c>
      <x:c r="O3" s="66" t="n">
        <x:f>IF(L3=0,"",M3/L3)</x:f>
        <x:v>0.04697955048431659</x:v>
      </x:c>
    </x:row>
    <x:row r="4" ht="18" customHeight="1">
      <x:c r="A4" s="46" t="str">
        <x:v>Large bathypelagics (&gt;=90 cm)</x:v>
      </x:c>
      <x:c r="B4" s="64" t="n">
        <x:v>4</x:v>
      </x:c>
      <x:c r="C4" s="64" t="n">
        <x:v>4</x:v>
      </x:c>
      <x:c r="D4" s="60" t="n">
        <x:v>502.240970406</x:v>
      </x:c>
      <x:c r="E4" s="60" t="n">
        <x:v>502.240970406</x:v>
      </x:c>
      <x:c r="F4" s="62" t="n">
        <x:v>0</x:v>
      </x:c>
      <x:c r="G4" s="66" t="n">
        <x:v>1</x:v>
      </x:c>
      <x:c r="H4" s="62" t="n">
        <x:f>IF(E4=0,"",I4/E4)</x:f>
        <x:v>2106.711642745734</x:v>
      </x:c>
      <x:c r="I4" s="60" t="n">
        <x:f>SUMIF('Species'!$G$2:$G$384,A4,'Species'!$U$2:$U$384)</x:f>
        <x:v>1058076.8998182358</x:v>
      </x:c>
      <x:c r="J4" s="62" t="n">
        <x:v>3.543595824316292</x:v>
      </x:c>
      <x:c r="K4" s="62" t="n">
        <x:f>IF(J4="","",(1/'Metadata'!$B$5)^(J4-1))</x:f>
        <x:v>2038.4237197831837</x:v>
      </x:c>
      <x:c r="L4" s="60" t="n">
        <x:f>IF(E4=0,"",E4*K4)</x:f>
        <x:v>1023779.9071225143</x:v>
      </x:c>
      <x:c r="M4" s="60" t="n">
        <x:f>I4-L4</x:f>
        <x:v>34296.99269572145</x:v>
      </x:c>
      <x:c r="N4" s="62" t="n">
        <x:f>IF(L4=0,"",I4/L4)</x:f>
        <x:v>1.0335003573103112</x:v>
      </x:c>
      <x:c r="O4" s="66" t="n">
        <x:f>IF(L4=0,"",M4/L4)</x:f>
        <x:v>0.0335003573103112</x:v>
      </x:c>
    </x:row>
    <x:row r="5" ht="18" customHeight="1">
      <x:c r="A5" s="46" t="str">
        <x:v>Large benthopelagics (&gt;=90 cm)</x:v>
      </x:c>
      <x:c r="B5" s="64" t="n">
        <x:v>16</x:v>
      </x:c>
      <x:c r="C5" s="64" t="n">
        <x:v>16</x:v>
      </x:c>
      <x:c r="D5" s="60" t="n">
        <x:v>11334.6682364972</x:v>
      </x:c>
      <x:c r="E5" s="60" t="n">
        <x:v>11334.6682364972</x:v>
      </x:c>
      <x:c r="F5" s="62" t="n">
        <x:v>0</x:v>
      </x:c>
      <x:c r="G5" s="66" t="n">
        <x:v>1</x:v>
      </x:c>
      <x:c r="H5" s="62" t="n">
        <x:f>IF(E5=0,"",I5/E5)</x:f>
        <x:v>15415.511317016812</x:v>
      </x:c>
      <x:c r="I5" s="60" t="n">
        <x:f>SUMIF('Species'!$G$2:$G$384,A5,'Species'!$U$2:$U$384)</x:f>
        <x:v>174729706.47435358</x:v>
      </x:c>
      <x:c r="J5" s="62" t="n">
        <x:v>4.163036179172793</x:v>
      </x:c>
      <x:c r="K5" s="62" t="n">
        <x:f>IF(J5="","",(1/'Metadata'!$B$5)^(J5-1))</x:f>
        <x:v>13037.818967092984</x:v>
      </x:c>
      <x:c r="L5" s="60" t="n">
        <x:f>IF(E5=0,"",E5*K5)</x:f>
        <x:v>147779352.51950958</x:v>
      </x:c>
      <x:c r="M5" s="60" t="n">
        <x:f>I5-L5</x:f>
        <x:v>26950353.954843998</x:v>
      </x:c>
      <x:c r="N5" s="62" t="n">
        <x:f>IF(L5=0,"",I5/L5)</x:f>
        <x:v>1.1823688728862582</x:v>
      </x:c>
      <x:c r="O5" s="66" t="n">
        <x:f>IF(L5=0,"",M5/L5)</x:f>
        <x:v>0.1823688728862583</x:v>
      </x:c>
    </x:row>
    <x:row r="6" ht="18" customHeight="1">
      <x:c r="A6" s="46" t="str">
        <x:v>Large demersals (&gt;=90 cm)</x:v>
      </x:c>
      <x:c r="B6" s="64" t="n">
        <x:v>17</x:v>
      </x:c>
      <x:c r="C6" s="64" t="n">
        <x:v>17</x:v>
      </x:c>
      <x:c r="D6" s="60" t="n">
        <x:v>64021.1661139796</x:v>
      </x:c>
      <x:c r="E6" s="60" t="n">
        <x:v>64021.1661139796</x:v>
      </x:c>
      <x:c r="F6" s="62" t="n">
        <x:v>0</x:v>
      </x:c>
      <x:c r="G6" s="66" t="n">
        <x:v>1</x:v>
      </x:c>
      <x:c r="H6" s="62" t="n">
        <x:f>IF(E6=0,"",I6/E6)</x:f>
        <x:v>25713.37561984539</x:v>
      </x:c>
      <x:c r="I6" s="60" t="n">
        <x:f>SUMIF('Species'!$G$2:$G$384,A6,'Species'!$U$2:$U$384)</x:f>
        <x:v>1646200291.9092748</x:v>
      </x:c>
      <x:c r="J6" s="62" t="n">
        <x:v>4.366725868769138</x:v>
      </x:c>
      <x:c r="K6" s="62" t="n">
        <x:f>IF(J6="","",(1/'Metadata'!$B$5)^(J6-1))</x:f>
        <x:v>24000.005566818</x:v>
      </x:c>
      <x:c r="L6" s="60" t="n">
        <x:f>IF(E6=0,"",E6*K6)</x:f>
        <x:v>1536508343.1296902</x:v>
      </x:c>
      <x:c r="M6" s="60" t="n">
        <x:f>I6-L6</x:f>
        <x:v>109691948.77958465</x:v>
      </x:c>
      <x:c r="N6" s="62" t="n">
        <x:f>IF(L6=0,"",I6/L6)</x:f>
        <x:v>1.071390402317084</x:v>
      </x:c>
      <x:c r="O6" s="66" t="n">
        <x:f>IF(L6=0,"",M6/L6)</x:f>
        <x:v>0.07139040231708395</x:v>
      </x:c>
    </x:row>
    <x:row r="7" ht="18" customHeight="1">
      <x:c r="A7" s="46" t="str">
        <x:v>Large flatfishes (&gt;=90 cm)</x:v>
      </x:c>
      <x:c r="B7" s="64" t="n">
        <x:v>3</x:v>
      </x:c>
      <x:c r="C7" s="64" t="n">
        <x:v>3</x:v>
      </x:c>
      <x:c r="D7" s="60" t="n">
        <x:v>11610.1101318199</x:v>
      </x:c>
      <x:c r="E7" s="60" t="n">
        <x:v>11610.1101318199</x:v>
      </x:c>
      <x:c r="F7" s="62" t="n">
        <x:v>0</x:v>
      </x:c>
      <x:c r="G7" s="66" t="n">
        <x:v>1</x:v>
      </x:c>
      <x:c r="H7" s="62" t="n">
        <x:f>IF(E7=0,"",I7/E7)</x:f>
        <x:v>3435.18848916247</x:v>
      </x:c>
      <x:c r="I7" s="60" t="n">
        <x:f>SUMIF('Species'!$G$2:$G$384,A7,'Species'!$U$2:$U$384)</x:f>
        <x:v>39882916.682736285</x:v>
      </x:c>
      <x:c r="J7" s="62" t="n">
        <x:v>3.384639012742936</x:v>
      </x:c>
      <x:c r="K7" s="62" t="n">
        <x:f>IF(J7="","",(1/'Metadata'!$B$5)^(J7-1))</x:f>
        <x:v>1266.155029350372</x:v>
      </x:c>
      <x:c r="L7" s="60" t="n">
        <x:f>IF(E7=0,"",E7*K7)</x:f>
        <x:v>14700199.334715476</x:v>
      </x:c>
      <x:c r="M7" s="60" t="n">
        <x:f>I7-L7</x:f>
        <x:v>25182717.348020807</x:v>
      </x:c>
      <x:c r="N7" s="62" t="n">
        <x:f>IF(L7=0,"",I7/L7)</x:f>
        <x:v>2.7130867939015073</x:v>
      </x:c>
      <x:c r="O7" s="66" t="n">
        <x:f>IF(L7=0,"",M7/L7)</x:f>
        <x:v>1.7130867939015073</x:v>
      </x:c>
    </x:row>
    <x:row r="8" ht="18" customHeight="1">
      <x:c r="A8" s="46" t="str">
        <x:v>Large pelagics (&gt;=90 cm)</x:v>
      </x:c>
      <x:c r="B8" s="64" t="n">
        <x:v>15</x:v>
      </x:c>
      <x:c r="C8" s="64" t="n">
        <x:v>15</x:v>
      </x:c>
      <x:c r="D8" s="60" t="n">
        <x:v>2940.8439910557</x:v>
      </x:c>
      <x:c r="E8" s="60" t="n">
        <x:v>2940.8439910557</x:v>
      </x:c>
      <x:c r="F8" s="62" t="n">
        <x:v>0</x:v>
      </x:c>
      <x:c r="G8" s="66" t="n">
        <x:v>1</x:v>
      </x:c>
      <x:c r="H8" s="62" t="n">
        <x:f>IF(E8=0,"",I8/E8)</x:f>
        <x:v>22668.101796234165</x:v>
      </x:c>
      <x:c r="I8" s="60" t="n">
        <x:f>SUMIF('Species'!$G$2:$G$384,A8,'Species'!$U$2:$U$384)</x:f>
        <x:v>66663350.95609416</x:v>
      </x:c>
      <x:c r="J8" s="62" t="n">
        <x:v>4.339233822418315</x:v>
      </x:c>
      <x:c r="K8" s="62" t="n">
        <x:f>IF(J8="","",(1/'Metadata'!$B$5)^(J8-1))</x:f>
        <x:v>22102.60006888954</x:v>
      </x:c>
      <x:c r="L8" s="60" t="n">
        <x:f>IF(E8=0,"",E8*K8)</x:f>
        <x:v>65000298.5993011</x:v>
      </x:c>
      <x:c r="M8" s="60" t="n">
        <x:f>I8-L8</x:f>
        <x:v>1663052.356793061</x:v>
      </x:c>
      <x:c r="N8" s="62" t="n">
        <x:f>IF(L8=0,"",I8/L8)</x:f>
        <x:v>1.0255853033390672</x:v>
      </x:c>
      <x:c r="O8" s="66" t="n">
        <x:f>IF(L8=0,"",M8/L8)</x:f>
        <x:v>0.02558530333906716</x:v>
      </x:c>
    </x:row>
    <x:row r="9" ht="18" customHeight="1">
      <x:c r="A9" s="46" t="str">
        <x:v>Large rays (&gt;=90 cm)</x:v>
      </x:c>
      <x:c r="B9" s="64" t="n">
        <x:v>17</x:v>
      </x:c>
      <x:c r="C9" s="64" t="n">
        <x:v>17</x:v>
      </x:c>
      <x:c r="D9" s="60" t="n">
        <x:v>6493.6687386614</x:v>
      </x:c>
      <x:c r="E9" s="60" t="n">
        <x:v>6493.6687386614</x:v>
      </x:c>
      <x:c r="F9" s="62" t="n">
        <x:v>0</x:v>
      </x:c>
      <x:c r="G9" s="66" t="n">
        <x:v>1</x:v>
      </x:c>
      <x:c r="H9" s="62" t="n">
        <x:f>IF(E9=0,"",I9/E9)</x:f>
        <x:v>5053.058912873765</x:v>
      </x:c>
      <x:c r="I9" s="60" t="n">
        <x:f>SUMIF('Species'!$G$2:$G$384,A9,'Species'!$U$2:$U$384)</x:f>
        <x:v>32812890.697142728</x:v>
      </x:c>
      <x:c r="J9" s="62" t="n">
        <x:v>3.8274665064395577</x:v>
      </x:c>
      <x:c r="K9" s="62" t="n">
        <x:f>IF(J9="","",(1/'Metadata'!$B$5)^(J9-1))</x:f>
        <x:v>4771.102387797891</x:v>
      </x:c>
      <x:c r="L9" s="60" t="n">
        <x:f>IF(E9=0,"",E9*K9)</x:f>
        <x:v>30981958.42459593</x:v>
      </x:c>
      <x:c r="M9" s="60" t="n">
        <x:f>I9-L9</x:f>
        <x:v>1830932.272546798</x:v>
      </x:c>
      <x:c r="N9" s="62" t="n">
        <x:f>IF(L9=0,"",I9/L9)</x:f>
        <x:v>1.0590967248569174</x:v>
      </x:c>
      <x:c r="O9" s="66" t="n">
        <x:f>IF(L9=0,"",M9/L9)</x:f>
        <x:v>0.059096724856917346</x:v>
      </x:c>
    </x:row>
    <x:row r="10" ht="18" customHeight="1">
      <x:c r="A10" s="46" t="str">
        <x:v>Large reef assoc. fish (&gt;=90 cm)</x:v>
      </x:c>
      <x:c r="B10" s="64" t="n">
        <x:v>8</x:v>
      </x:c>
      <x:c r="C10" s="64" t="n">
        <x:v>8</x:v>
      </x:c>
      <x:c r="D10" s="60" t="n">
        <x:v>225.11096351080002</x:v>
      </x:c>
      <x:c r="E10" s="60" t="n">
        <x:v>225.11096351080002</x:v>
      </x:c>
      <x:c r="F10" s="62" t="n">
        <x:v>0</x:v>
      </x:c>
      <x:c r="G10" s="66" t="n">
        <x:v>1</x:v>
      </x:c>
      <x:c r="H10" s="62" t="n">
        <x:f>IF(E10=0,"",I10/E10)</x:f>
        <x:v>5210.265527709239</x:v>
      </x:c>
      <x:c r="I10" s="60" t="n">
        <x:f>SUMIF('Species'!$G$2:$G$384,A10,'Species'!$U$2:$U$384)</x:f>
        <x:v>1172887.8930897338</x:v>
      </x:c>
      <x:c r="J10" s="62" t="n">
        <x:v>3.847234679937922</x:v>
      </x:c>
      <x:c r="K10" s="62" t="n">
        <x:f>IF(J10="","",(1/'Metadata'!$B$5)^(J10-1))</x:f>
        <x:v>5062.181627651995</x:v>
      </x:c>
      <x:c r="L10" s="60" t="n">
        <x:f>IF(E10=0,"",E10*K10)</x:f>
        <x:v>1139552.5836674105</x:v>
      </x:c>
      <x:c r="M10" s="60" t="n">
        <x:f>I10-L10</x:f>
        <x:v>33335.30942232325</x:v>
      </x:c>
      <x:c r="N10" s="62" t="n">
        <x:f>IF(L10=0,"",I10/L10)</x:f>
        <x:v>1.0292529804241597</x:v>
      </x:c>
      <x:c r="O10" s="66" t="n">
        <x:f>IF(L10=0,"",M10/L10)</x:f>
        <x:v>0.029252980424159594</x:v>
      </x:c>
    </x:row>
    <x:row r="11" ht="18" customHeight="1">
      <x:c r="A11" s="46" t="str">
        <x:v>Large sharks (&gt;=90 cm)</x:v>
      </x:c>
      <x:c r="B11" s="64" t="n">
        <x:v>21</x:v>
      </x:c>
      <x:c r="C11" s="64" t="n">
        <x:v>21</x:v>
      </x:c>
      <x:c r="D11" s="60" t="n">
        <x:v>13628.0902374108</x:v>
      </x:c>
      <x:c r="E11" s="60" t="n">
        <x:v>13628.0902374108</x:v>
      </x:c>
      <x:c r="F11" s="62" t="n">
        <x:v>0</x:v>
      </x:c>
      <x:c r="G11" s="66" t="n">
        <x:v>1</x:v>
      </x:c>
      <x:c r="H11" s="62" t="n">
        <x:f>IF(E11=0,"",I11/E11)</x:f>
        <x:v>11561.513410717504</x:v>
      </x:c>
      <x:c r="I11" s="60" t="n">
        <x:f>SUMIF('Species'!$G$2:$G$384,A11,'Species'!$U$2:$U$384)</x:f>
        <x:v>157561348.04229325</x:v>
      </x:c>
      <x:c r="J11" s="62" t="n">
        <x:v>4.062351560966312</x:v>
      </x:c>
      <x:c r="K11" s="62" t="n">
        <x:f>IF(J11="","",(1/'Metadata'!$B$5)^(J11-1))</x:f>
        <x:v>9642.979379863229</x:v>
      </x:c>
      <x:c r="L11" s="60" t="n">
        <x:f>IF(E11=0,"",E11*K11)</x:f>
        <x:v>131415393.14626771</x:v>
      </x:c>
      <x:c r="M11" s="60" t="n">
        <x:f>I11-L11</x:f>
        <x:v>26145954.89602554</x:v>
      </x:c>
      <x:c r="N11" s="62" t="n">
        <x:f>IF(L11=0,"",I11/L11)</x:f>
        <x:v>1.1989565626221932</x:v>
      </x:c>
      <x:c r="O11" s="66" t="n">
        <x:f>IF(L11=0,"",M11/L11)</x:f>
        <x:v>0.1989565626221931</x:v>
      </x:c>
    </x:row>
    <x:row r="12" ht="18" customHeight="1">
      <x:c r="A12" s="46" t="str">
        <x:v>Lobsters, crabs</x:v>
      </x:c>
      <x:c r="B12" s="64" t="n">
        <x:v>16</x:v>
      </x:c>
      <x:c r="C12" s="64" t="n">
        <x:v>16</x:v>
      </x:c>
      <x:c r="D12" s="60" t="n">
        <x:v>49997.756490729495</x:v>
      </x:c>
      <x:c r="E12" s="60" t="n">
        <x:v>49997.756490729495</x:v>
      </x:c>
      <x:c r="F12" s="62" t="n">
        <x:v>0</x:v>
      </x:c>
      <x:c r="G12" s="66" t="n">
        <x:v>1</x:v>
      </x:c>
      <x:c r="H12" s="62" t="n">
        <x:f>IF(E12=0,"",I12/E12)</x:f>
        <x:v>582.4170644208225</x:v>
      </x:c>
      <x:c r="I12" s="60" t="n">
        <x:f>SUMIF('Species'!$G$2:$G$384,A12,'Species'!$U$2:$U$384)</x:f>
        <x:v>29119546.562957797</x:v>
      </x:c>
      <x:c r="J12" s="62" t="n">
        <x:v>3.027793557984075</x:v>
      </x:c>
      <x:c r="K12" s="62" t="n">
        <x:f>IF(J12="","",(1/'Metadata'!$B$5)^(J12-1))</x:f>
        <x:v>434.73063341590756</x:v>
      </x:c>
      <x:c r="L12" s="60" t="n">
        <x:f>IF(E12=0,"",E12*K12)</x:f>
        <x:v>21735556.348589137</x:v>
      </x:c>
      <x:c r="M12" s="60" t="n">
        <x:f>I12-L12</x:f>
        <x:v>7383990.21436866</x:v>
      </x:c>
      <x:c r="N12" s="62" t="n">
        <x:f>IF(L12=0,"",I12/L12)</x:f>
        <x:v>1.33971940243655</x:v>
      </x:c>
      <x:c r="O12" s="66" t="n">
        <x:f>IF(L12=0,"",M12/L12)</x:f>
        <x:v>0.3397194024365499</x:v>
      </x:c>
    </x:row>
    <x:row r="13" ht="18" customHeight="1">
      <x:c r="A13" s="46" t="str">
        <x:v>Medium bathydemersals (30 - 89 cm)</x:v>
      </x:c>
      <x:c r="B13" s="64" t="n">
        <x:v>11</x:v>
      </x:c>
      <x:c r="C13" s="64" t="n">
        <x:v>11</x:v>
      </x:c>
      <x:c r="D13" s="60" t="n">
        <x:v>42224.7281989475</x:v>
      </x:c>
      <x:c r="E13" s="60" t="n">
        <x:v>42224.7281989475</x:v>
      </x:c>
      <x:c r="F13" s="62" t="n">
        <x:v>0</x:v>
      </x:c>
      <x:c r="G13" s="66" t="n">
        <x:v>1</x:v>
      </x:c>
      <x:c r="H13" s="62" t="n">
        <x:f>IF(E13=0,"",I13/E13)</x:f>
        <x:v>23980.306875625614</x:v>
      </x:c>
      <x:c r="I13" s="60" t="n">
        <x:f>SUMIF('Species'!$G$2:$G$384,A13,'Species'!$U$2:$U$384)</x:f>
        <x:v>1012561939.9506435</x:v>
      </x:c>
      <x:c r="J13" s="62" t="n">
        <x:v>4.177700433518736</x:v>
      </x:c>
      <x:c r="K13" s="62" t="n">
        <x:f>IF(J13="","",(1/'Metadata'!$B$5)^(J13-1))</x:f>
        <x:v>13623.339552228023</x:v>
      </x:c>
      <x:c r="L13" s="60" t="n">
        <x:f>IF(E13=0,"",E13*K13)</x:f>
        <x:v>575241809.7547994</x:v>
      </x:c>
      <x:c r="M13" s="60" t="n">
        <x:f>I13-L13</x:f>
        <x:v>437320130.1958442</x:v>
      </x:c>
      <x:c r="N13" s="62" t="n">
        <x:f>IF(L13=0,"",I13/L13)</x:f>
        <x:v>1.7602370390675441</x:v>
      </x:c>
      <x:c r="O13" s="66" t="n">
        <x:f>IF(L13=0,"",M13/L13)</x:f>
        <x:v>0.7602370390675441</x:v>
      </x:c>
    </x:row>
    <x:row r="14" ht="18" customHeight="1">
      <x:c r="A14" s="46" t="str">
        <x:v>Medium bathypelagics (30 - 89 cm)</x:v>
      </x:c>
      <x:c r="B14" s="64" t="n">
        <x:v>3</x:v>
      </x:c>
      <x:c r="C14" s="64" t="n">
        <x:v>3</x:v>
      </x:c>
      <x:c r="D14" s="60" t="n">
        <x:v>533.8130162827999</x:v>
      </x:c>
      <x:c r="E14" s="60" t="n">
        <x:v>533.8130162827999</x:v>
      </x:c>
      <x:c r="F14" s="62" t="n">
        <x:v>0</x:v>
      </x:c>
      <x:c r="G14" s="66" t="n">
        <x:v>1</x:v>
      </x:c>
      <x:c r="H14" s="62" t="n">
        <x:f>IF(E14=0,"",I14/E14)</x:f>
        <x:v>9733.8531079736</x:v>
      </x:c>
      <x:c r="I14" s="60" t="n">
        <x:f>SUMIF('Species'!$G$2:$G$384,A14,'Species'!$U$2:$U$384)</x:f>
        <x:v>5196057.487621094</x:v>
      </x:c>
      <x:c r="J14" s="62" t="n">
        <x:v>4.057614866773166</x:v>
      </x:c>
      <x:c r="K14" s="62" t="n">
        <x:f>IF(J14="","",(1/'Metadata'!$B$5)^(J14-1))</x:f>
        <x:v>9507.113021141111</x:v>
      </x:c>
      <x:c r="L14" s="60" t="n">
        <x:f>IF(E14=0,"",E14*K14)</x:f>
        <x:v>5075020.6779568195</x:v>
      </x:c>
      <x:c r="M14" s="60" t="n">
        <x:f>I14-L14</x:f>
        <x:v>121036.80966427457</x:v>
      </x:c>
      <x:c r="N14" s="62" t="n">
        <x:f>IF(L14=0,"",I14/L14)</x:f>
        <x:v>1.0238495204935802</x:v>
      </x:c>
      <x:c r="O14" s="66" t="n">
        <x:f>IF(L14=0,"",M14/L14)</x:f>
        <x:v>0.023849520493580224</x:v>
      </x:c>
    </x:row>
    <x:row r="15" ht="18" customHeight="1">
      <x:c r="A15" s="46" t="str">
        <x:v>Medium benthopelagics (30 - 89 cm)</x:v>
      </x:c>
      <x:c r="B15" s="64" t="n">
        <x:v>34</x:v>
      </x:c>
      <x:c r="C15" s="64" t="n">
        <x:v>34</x:v>
      </x:c>
      <x:c r="D15" s="60" t="n">
        <x:v>330489.95535401854</x:v>
      </x:c>
      <x:c r="E15" s="60" t="n">
        <x:v>330489.95535401854</x:v>
      </x:c>
      <x:c r="F15" s="62" t="n">
        <x:v>0</x:v>
      </x:c>
      <x:c r="G15" s="66" t="n">
        <x:v>1</x:v>
      </x:c>
      <x:c r="H15" s="62" t="n">
        <x:f>IF(E15=0,"",I15/E15)</x:f>
        <x:v>12143.712544386295</x:v>
      </x:c>
      <x:c r="I15" s="60" t="n">
        <x:f>SUMIF('Species'!$G$2:$G$384,A15,'Species'!$U$2:$U$384)</x:f>
        <x:v>4013375016.6262617</x:v>
      </x:c>
      <x:c r="J15" s="62" t="n">
        <x:v>4.121734642994178</x:v>
      </x:c>
      <x:c r="K15" s="62" t="n">
        <x:f>IF(J15="","",(1/'Metadata'!$B$5)^(J15-1))</x:f>
        <x:v>11520.475615774887</x:v>
      </x:c>
      <x:c r="L15" s="60" t="n">
        <x:f>IF(E15=0,"",E15*K15)</x:f>
        <x:v>3807401471.9145017</x:v>
      </x:c>
      <x:c r="M15" s="60" t="n">
        <x:f>I15-L15</x:f>
        <x:v>205973544.71176004</x:v>
      </x:c>
      <x:c r="N15" s="62" t="n">
        <x:f>IF(L15=0,"",I15/L15)</x:f>
        <x:v>1.0540981943278467</x:v>
      </x:c>
      <x:c r="O15" s="66" t="n">
        <x:f>IF(L15=0,"",M15/L15)</x:f>
        <x:v>0.05409819432784664</x:v>
      </x:c>
    </x:row>
    <x:row r="16" ht="18" customHeight="1">
      <x:c r="A16" s="46" t="str">
        <x:v>Medium demersals (30 - 89 cm)</x:v>
      </x:c>
      <x:c r="B16" s="64" t="n">
        <x:v>35</x:v>
      </x:c>
      <x:c r="C16" s="64" t="n">
        <x:v>35</x:v>
      </x:c>
      <x:c r="D16" s="60" t="n">
        <x:v>78687.93551411972</x:v>
      </x:c>
      <x:c r="E16" s="60" t="n">
        <x:v>78687.93551411972</x:v>
      </x:c>
      <x:c r="F16" s="62" t="n">
        <x:v>0</x:v>
      </x:c>
      <x:c r="G16" s="66" t="n">
        <x:v>1</x:v>
      </x:c>
      <x:c r="H16" s="62" t="n">
        <x:f>IF(E16=0,"",I16/E16)</x:f>
        <x:v>3610.980942630203</x:v>
      </x:c>
      <x:c r="I16" s="60" t="n">
        <x:f>SUMIF('Species'!$G$2:$G$384,A16,'Species'!$U$2:$U$384)</x:f>
        <x:v>284140635.55640066</x:v>
      </x:c>
      <x:c r="J16" s="62" t="n">
        <x:v>3.5791232622662763</x:v>
      </x:c>
      <x:c r="K16" s="62" t="n">
        <x:f>IF(J16="","",(1/'Metadata'!$B$5)^(J16-1))</x:f>
        <x:v>2267.340401406637</x:v>
      </x:c>
      <x:c r="L16" s="60" t="n">
        <x:f>IF(E16=0,"",E16*K16)</x:f>
        <x:v>178412335.29444376</x:v>
      </x:c>
      <x:c r="M16" s="60" t="n">
        <x:f>I16-L16</x:f>
        <x:v>105728300.2619569</x:v>
      </x:c>
      <x:c r="N16" s="62" t="n">
        <x:f>IF(L16=0,"",I16/L16)</x:f>
        <x:v>1.5926064477967157</x:v>
      </x:c>
      <x:c r="O16" s="66" t="n">
        <x:f>IF(L16=0,"",M16/L16)</x:f>
        <x:v>0.5926064477967156</x:v>
      </x:c>
    </x:row>
    <x:row r="17" ht="18" customHeight="1">
      <x:c r="A17" s="46" t="str">
        <x:v>Medium pelagics (30 - 89 cm)</x:v>
      </x:c>
      <x:c r="B17" s="64" t="n">
        <x:v>25</x:v>
      </x:c>
      <x:c r="C17" s="64" t="n">
        <x:v>25</x:v>
      </x:c>
      <x:c r="D17" s="60" t="n">
        <x:v>275446.120372709</x:v>
      </x:c>
      <x:c r="E17" s="60" t="n">
        <x:v>275446.120372709</x:v>
      </x:c>
      <x:c r="F17" s="62" t="n">
        <x:v>0</x:v>
      </x:c>
      <x:c r="G17" s="66" t="n">
        <x:v>1</x:v>
      </x:c>
      <x:c r="H17" s="62" t="n">
        <x:f>IF(E17=0,"",I17/E17)</x:f>
        <x:v>2918.8200412477677</x:v>
      </x:c>
      <x:c r="I17" s="60" t="n">
        <x:f>SUMIF('Species'!$G$2:$G$384,A17,'Species'!$U$2:$U$384)</x:f>
        <x:v>803977656.427808</x:v>
      </x:c>
      <x:c r="J17" s="62" t="n">
        <x:v>3.6079601160511316</x:v>
      </x:c>
      <x:c r="K17" s="62" t="n">
        <x:f>IF(J17="","",(1/'Metadata'!$B$5)^(J17-1))</x:f>
        <x:v>2471.919585215883</x:v>
      </x:c>
      <x:c r="L17" s="60" t="n">
        <x:f>IF(E17=0,"",E17*K17)</x:f>
        <x:v>680880659.621031</x:v>
      </x:c>
      <x:c r="M17" s="60" t="n">
        <x:f>I17-L17</x:f>
        <x:v>123096996.806777</x:v>
      </x:c>
      <x:c r="N17" s="62" t="n">
        <x:f>IF(L17=0,"",I17/L17)</x:f>
        <x:v>1.1807908552950985</x:v>
      </x:c>
      <x:c r="O17" s="66" t="n">
        <x:f>IF(L17=0,"",M17/L17)</x:f>
        <x:v>0.18079085529509845</x:v>
      </x:c>
    </x:row>
    <x:row r="18" ht="18" customHeight="1">
      <x:c r="A18" s="46" t="str">
        <x:v>Medium reef assoc. fish (30 - 89 cm)</x:v>
      </x:c>
      <x:c r="B18" s="64" t="n">
        <x:v>8</x:v>
      </x:c>
      <x:c r="C18" s="64" t="n">
        <x:v>8</x:v>
      </x:c>
      <x:c r="D18" s="60" t="n">
        <x:v>4381.5160343978</x:v>
      </x:c>
      <x:c r="E18" s="60" t="n">
        <x:v>4381.5160343978</x:v>
      </x:c>
      <x:c r="F18" s="62" t="n">
        <x:v>0</x:v>
      </x:c>
      <x:c r="G18" s="66" t="n">
        <x:v>1</x:v>
      </x:c>
      <x:c r="H18" s="62" t="n">
        <x:f>IF(E18=0,"",I18/E18)</x:f>
        <x:v>807.1010982419498</x:v>
      </x:c>
      <x:c r="I18" s="60" t="n">
        <x:f>SUMIF('Species'!$G$2:$G$384,A18,'Species'!$U$2:$U$384)</x:f>
        <x:v>3536326.403327177</x:v>
      </x:c>
      <x:c r="J18" s="62" t="n">
        <x:v>3.033317801119707</x:v>
      </x:c>
      <x:c r="K18" s="62" t="n">
        <x:f>IF(J18="","",(1/'Metadata'!$B$5)^(J18-1))</x:f>
        <x:v>441.9849179480947</x:v>
      </x:c>
      <x:c r="L18" s="60" t="n">
        <x:f>IF(E18=0,"",E18*K18)</x:f>
        <x:v>1936564.0049515725</x:v>
      </x:c>
      <x:c r="M18" s="60" t="n">
        <x:f>I18-L18</x:f>
        <x:v>1599762.3983756043</x:v>
      </x:c>
      <x:c r="N18" s="62" t="n">
        <x:f>IF(L18=0,"",I18/L18)</x:f>
        <x:v>1.8260828943867566</x:v>
      </x:c>
      <x:c r="O18" s="66" t="n">
        <x:f>IF(L18=0,"",M18/L18)</x:f>
        <x:v>0.8260828943867566</x:v>
      </x:c>
    </x:row>
    <x:row r="19" ht="18" customHeight="1">
      <x:c r="A19" s="46" t="str">
        <x:v>Other demersal invertebrates</x:v>
      </x:c>
      <x:c r="B19" s="64" t="n">
        <x:v>54</x:v>
      </x:c>
      <x:c r="C19" s="64" t="n">
        <x:v>54</x:v>
      </x:c>
      <x:c r="D19" s="60" t="n">
        <x:v>103471.15283692871</x:v>
      </x:c>
      <x:c r="E19" s="60" t="n">
        <x:v>103471.15283692871</x:v>
      </x:c>
      <x:c r="F19" s="62" t="n">
        <x:v>0</x:v>
      </x:c>
      <x:c r="G19" s="66" t="n">
        <x:v>1</x:v>
      </x:c>
      <x:c r="H19" s="62" t="n">
        <x:f>IF(E19=0,"",I19/E19)</x:f>
        <x:v>1104.8859498198888</x:v>
      </x:c>
      <x:c r="I19" s="60" t="n">
        <x:f>SUMIF('Species'!$G$2:$G$384,A19,'Species'!$U$2:$U$384)</x:f>
        <x:v>114323822.98118885</x:v>
      </x:c>
      <x:c r="J19" s="62" t="n">
        <x:v>2.5183527882466157</x:v>
      </x:c>
      <x:c r="K19" s="62" t="n">
        <x:f>IF(J19="","",(1/'Metadata'!$B$5)^(J19-1))</x:f>
        <x:v>94.49797922334159</x:v>
      </x:c>
      <x:c r="L19" s="60" t="n">
        <x:f>IF(E19=0,"",E19*K19)</x:f>
        <x:v>9777814.850999292</x:v>
      </x:c>
      <x:c r="M19" s="60" t="n">
        <x:f>I19-L19</x:f>
        <x:v>104546008.13018955</x:v>
      </x:c>
      <x:c r="N19" s="62" t="n">
        <x:f>IF(L19=0,"",I19/L19)</x:f>
        <x:v>11.692164836758487</x:v>
      </x:c>
      <x:c r="O19" s="66" t="n">
        <x:f>IF(L19=0,"",M19/L19)</x:f>
        <x:v>10.692164836758487</x:v>
      </x:c>
    </x:row>
    <x:row r="20" ht="18" customHeight="1">
      <x:c r="A20" s="46" t="str">
        <x:v>Shrimps</x:v>
      </x:c>
      <x:c r="B20" s="64" t="n">
        <x:v>13</x:v>
      </x:c>
      <x:c r="C20" s="64" t="n">
        <x:v>13</x:v>
      </x:c>
      <x:c r="D20" s="60" t="n">
        <x:v>6301.0128806085</x:v>
      </x:c>
      <x:c r="E20" s="60" t="n">
        <x:v>6301.0128806085</x:v>
      </x:c>
      <x:c r="F20" s="62" t="n">
        <x:v>0</x:v>
      </x:c>
      <x:c r="G20" s="66" t="n">
        <x:v>1</x:v>
      </x:c>
      <x:c r="H20" s="62" t="n">
        <x:f>IF(E20=0,"",I20/E20)</x:f>
        <x:v>333.71933002180657</x:v>
      </x:c>
      <x:c r="I20" s="60" t="n">
        <x:f>SUMIF('Species'!$G$2:$G$384,A20,'Species'!$U$2:$U$384)</x:f>
        <x:v>2102769.796975442</x:v>
      </x:c>
      <x:c r="J20" s="62" t="n">
        <x:v>2.8534163623914193</x:v>
      </x:c>
      <x:c r="K20" s="62" t="n">
        <x:f>IF(J20="","",(1/'Metadata'!$B$5)^(J20-1))</x:f>
        <x:v>257.83999371949</x:v>
      </x:c>
      <x:c r="L20" s="60" t="n">
        <x:f>IF(E20=0,"",E20*K20)</x:f>
        <x:v>1624653.1215625212</x:v>
      </x:c>
      <x:c r="M20" s="60" t="n">
        <x:f>I20-L20</x:f>
        <x:v>478116.675412921</x:v>
      </x:c>
      <x:c r="N20" s="62" t="n">
        <x:f>IF(L20=0,"",I20/L20)</x:f>
        <x:v>1.2942884662992487</x:v>
      </x:c>
      <x:c r="O20" s="66" t="n">
        <x:f>IF(L20=0,"",M20/L20)</x:f>
        <x:v>0.29428846629924854</x:v>
      </x:c>
    </x:row>
    <x:row r="21" ht="18" customHeight="1">
      <x:c r="A21" s="46" t="str">
        <x:v>Small bathydemersals (&lt;30 cm)</x:v>
      </x:c>
      <x:c r="B21" s="64" t="n">
        <x:v>1</x:v>
      </x:c>
      <x:c r="C21" s="64" t="n">
        <x:v>1</x:v>
      </x:c>
      <x:c r="D21" s="60" t="n">
        <x:v>39.8479686767</x:v>
      </x:c>
      <x:c r="E21" s="60" t="n">
        <x:v>39.8479686767</x:v>
      </x:c>
      <x:c r="F21" s="62" t="n">
        <x:v>0</x:v>
      </x:c>
      <x:c r="G21" s="66" t="n">
        <x:v>1</x:v>
      </x:c>
      <x:c r="H21" s="62" t="n">
        <x:f>IF(E21=0,"",I21/E21)</x:f>
        <x:v>2016.5834052007344</x:v>
      </x:c>
      <x:c r="I21" s="60" t="n">
        <x:f>SUMIF('Species'!$G$2:$G$384,A21,'Species'!$U$2:$U$384)</x:f>
        <x:v>80356.75236439188</x:v>
      </x:c>
      <x:c r="J21" s="62" t="n">
        <x:v>3.54</x:v>
      </x:c>
      <x:c r="K21" s="62" t="n">
        <x:f>IF(J21="","",(1/'Metadata'!$B$5)^(J21-1))</x:f>
        <x:v>2016.5834052007342</x:v>
      </x:c>
      <x:c r="L21" s="60" t="n">
        <x:f>IF(E21=0,"",E21*K21)</x:f>
        <x:v>80356.75236439188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benthopelagics (&lt;30 cm)</x:v>
      </x:c>
      <x:c r="B22" s="64" t="n">
        <x:v>2</x:v>
      </x:c>
      <x:c r="C22" s="64" t="n">
        <x:v>2</x:v>
      </x:c>
      <x:c r="D22" s="60" t="n">
        <x:v>0.8870752829000002</x:v>
      </x:c>
      <x:c r="E22" s="60" t="n">
        <x:v>0.8870752829000002</x:v>
      </x:c>
      <x:c r="F22" s="62" t="n">
        <x:v>0</x:v>
      </x:c>
      <x:c r="G22" s="66" t="n">
        <x:v>1</x:v>
      </x:c>
      <x:c r="H22" s="62" t="n">
        <x:f>IF(E22=0,"",I22/E22)</x:f>
        <x:v>1312.5755685500458</x:v>
      </x:c>
      <x:c r="I22" s="60" t="n">
        <x:f>SUMIF('Species'!$G$2:$G$384,A22,'Species'!$U$2:$U$384)</x:f>
        <x:v>1164.3533437991605</x:v>
      </x:c>
      <x:c r="J22" s="62" t="n">
        <x:v>3.391670086000093</x:v>
      </x:c>
      <x:c r="K22" s="62" t="n">
        <x:f>IF(J22="","",(1/'Metadata'!$B$5)^(J22-1))</x:f>
        <x:v>1293.107175460672</x:v>
      </x:c>
      <x:c r="L22" s="60" t="n">
        <x:f>IF(E22=0,"",E22*K22)</x:f>
        <x:v>1147.0834134917957</x:v>
      </x:c>
      <x:c r="M22" s="60" t="n">
        <x:f>I22-L22</x:f>
        <x:v>17.269930307364803</x:v>
      </x:c>
      <x:c r="N22" s="62" t="n">
        <x:f>IF(L22=0,"",I22/L22)</x:f>
        <x:v>1.0150555139270945</x:v>
      </x:c>
      <x:c r="O22" s="66" t="n">
        <x:f>IF(L22=0,"",M22/L22)</x:f>
        <x:v>0.015055513927094477</x:v>
      </x:c>
    </x:row>
    <x:row r="23" ht="18" customHeight="1">
      <x:c r="A23" s="46" t="str">
        <x:v>Small demersals (&lt;30 cm)</x:v>
      </x:c>
      <x:c r="B23" s="64" t="n">
        <x:v>4</x:v>
      </x:c>
      <x:c r="C23" s="64" t="n">
        <x:v>4</x:v>
      </x:c>
      <x:c r="D23" s="60" t="n">
        <x:v>2023.6314758065998</x:v>
      </x:c>
      <x:c r="E23" s="60" t="n">
        <x:v>2023.6314758065998</x:v>
      </x:c>
      <x:c r="F23" s="62" t="n">
        <x:v>0</x:v>
      </x:c>
      <x:c r="G23" s="66" t="n">
        <x:v>1</x:v>
      </x:c>
      <x:c r="H23" s="62" t="n">
        <x:f>IF(E23=0,"",I23/E23)</x:f>
        <x:v>616.972802783398</x:v>
      </x:c>
      <x:c r="I23" s="60" t="n">
        <x:f>SUMIF('Species'!$G$2:$G$384,A23,'Species'!$U$2:$U$384)</x:f>
        <x:v>1248525.583429102</x:v>
      </x:c>
      <x:c r="J23" s="62" t="n">
        <x:v>3.14138384717893</x:v>
      </x:c>
      <x:c r="K23" s="62" t="n">
        <x:f>IF(J23="","",(1/'Metadata'!$B$5)^(J23-1))</x:f>
        <x:v>610.948520463319</x:v>
      </x:c>
      <x:c r="L23" s="60" t="n">
        <x:f>IF(E23=0,"",E23*K23)</x:f>
        <x:v>1236334.656107045</x:v>
      </x:c>
      <x:c r="M23" s="60" t="n">
        <x:f>I23-L23</x:f>
        <x:v>12190.927322057076</x:v>
      </x:c>
      <x:c r="N23" s="62" t="n">
        <x:f>IF(L23=0,"",I23/L23)</x:f>
        <x:v>1.0098605399936322</x:v>
      </x:c>
      <x:c r="O23" s="66" t="n">
        <x:f>IF(L23=0,"",M23/L23)</x:f>
        <x:v>0.009860539993632237</x:v>
      </x:c>
    </x:row>
    <x:row r="24" ht="18" customHeight="1">
      <x:c r="A24" s="46" t="str">
        <x:v>Small pelagics (&lt;30 cm)</x:v>
      </x:c>
      <x:c r="B24" s="64" t="n">
        <x:v>9</x:v>
      </x:c>
      <x:c r="C24" s="64" t="n">
        <x:v>9</x:v>
      </x:c>
      <x:c r="D24" s="60" t="n">
        <x:v>62483.854388766915</x:v>
      </x:c>
      <x:c r="E24" s="60" t="n">
        <x:v>62483.854388766915</x:v>
      </x:c>
      <x:c r="F24" s="62" t="n">
        <x:v>0</x:v>
      </x:c>
      <x:c r="G24" s="66" t="n">
        <x:v>1</x:v>
      </x:c>
      <x:c r="H24" s="62" t="n">
        <x:f>IF(E24=0,"",I24/E24)</x:f>
        <x:v>475.5839945026388</x:v>
      </x:c>
      <x:c r="I24" s="60" t="n">
        <x:f>SUMIF('Species'!$G$2:$G$384,A24,'Species'!$U$2:$U$384)</x:f>
        <x:v>29716321.062131006</x:v>
      </x:c>
      <x:c r="J24" s="62" t="n">
        <x:v>3.0555302541982843</x:v>
      </x:c>
      <x:c r="K24" s="62" t="n">
        <x:f>IF(J24="","",(1/'Metadata'!$B$5)^(J24-1))</x:f>
        <x:v>472.3963329833603</x:v>
      </x:c>
      <x:c r="L24" s="60" t="n">
        <x:f>IF(E24=0,"",E24*K24)</x:f>
        <x:v>29517143.683919735</x:v>
      </x:c>
      <x:c r="M24" s="60" t="n">
        <x:f>I24-L24</x:f>
        <x:v>199177.37821127102</x:v>
      </x:c>
      <x:c r="N24" s="62" t="n">
        <x:f>IF(L24=0,"",I24/L24)</x:f>
        <x:v>1.0067478540723362</x:v>
      </x:c>
      <x:c r="O24" s="66" t="n">
        <x:f>IF(L24=0,"",M24/L24)</x:f>
        <x:v>0.006747854072336216</x:v>
      </x:c>
    </x:row>
    <x:row r="25" ht="18" customHeight="1">
      <x:c r="A25" s="46" t="str">
        <x:v>Small reef assoc. fish (&lt;30 cm)</x:v>
      </x:c>
      <x:c r="B25" s="64" t="n">
        <x:v>4</x:v>
      </x:c>
      <x:c r="C25" s="64" t="n">
        <x:v>4</x:v>
      </x:c>
      <x:c r="D25" s="60" t="n">
        <x:v>44.9234644765</x:v>
      </x:c>
      <x:c r="E25" s="60" t="n">
        <x:v>44.9234644765</x:v>
      </x:c>
      <x:c r="F25" s="62" t="n">
        <x:v>0</x:v>
      </x:c>
      <x:c r="G25" s="66" t="n">
        <x:v>1</x:v>
      </x:c>
      <x:c r="H25" s="62" t="n">
        <x:f>IF(E25=0,"",I25/E25)</x:f>
        <x:v>1935.5872578071476</x:v>
      </x:c>
      <x:c r="I25" s="60" t="n">
        <x:f>SUMIF('Species'!$G$2:$G$384,A25,'Species'!$U$2:$U$384)</x:f>
        <x:v>86953.28541726545</x:v>
      </x:c>
      <x:c r="J25" s="62" t="n">
        <x:v>3.4989368174327704</x:v>
      </x:c>
      <x:c r="K25" s="62" t="n">
        <x:f>IF(J25="","",(1/'Metadata'!$B$5)^(J25-1))</x:f>
        <x:v>1783.1659260198012</x:v>
      </x:c>
      <x:c r="L25" s="60" t="n">
        <x:f>IF(E25=0,"",E25*K25)</x:f>
        <x:v>80105.99113325577</x:v>
      </x:c>
      <x:c r="M25" s="60" t="n">
        <x:f>I25-L25</x:f>
        <x:v>6847.29428400968</x:v>
      </x:c>
      <x:c r="N25" s="62" t="n">
        <x:f>IF(L25=0,"",I25/L25)</x:f>
        <x:v>1.0854779297670665</x:v>
      </x:c>
      <x:c r="O25" s="66" t="n">
        <x:f>IF(L25=0,"",M25/L25)</x:f>
        <x:v>0.0854779297670664</x:v>
      </x:c>
    </x:row>
    <x:row r="26" ht="18" customHeight="1">
      <x:c r="A26" s="46" t="str">
        <x:v>Small to medium flatfishes (&lt;90 cm)</x:v>
      </x:c>
      <x:c r="B26" s="64" t="n">
        <x:v>23</x:v>
      </x:c>
      <x:c r="C26" s="64" t="n">
        <x:v>23</x:v>
      </x:c>
      <x:c r="D26" s="60" t="n">
        <x:v>35051.6452568671</x:v>
      </x:c>
      <x:c r="E26" s="60" t="n">
        <x:v>35051.6452568671</x:v>
      </x:c>
      <x:c r="F26" s="62" t="n">
        <x:v>0</x:v>
      </x:c>
      <x:c r="G26" s="66" t="n">
        <x:v>1</x:v>
      </x:c>
      <x:c r="H26" s="62" t="n">
        <x:f>IF(E26=0,"",I26/E26)</x:f>
        <x:v>4326.630819158078</x:v>
      </x:c>
      <x:c r="I26" s="60" t="n">
        <x:f>SUMIF('Species'!$G$2:$G$384,A26,'Species'!$U$2:$U$384)</x:f>
        <x:v>151655528.63055727</x:v>
      </x:c>
      <x:c r="J26" s="62" t="n">
        <x:v>3.5595257970879604</x:v>
      </x:c>
      <x:c r="K26" s="62" t="n">
        <x:f>IF(J26="","",(1/'Metadata'!$B$5)^(J26-1))</x:f>
        <x:v>2138.059744562439</x:v>
      </x:c>
      <x:c r="L26" s="60" t="n">
        <x:f>IF(E26=0,"",E26*K26)</x:f>
        <x:v>74942511.7043905</x:v>
      </x:c>
      <x:c r="M26" s="60" t="n">
        <x:f>I26-L26</x:f>
        <x:v>76713016.92616677</x:v>
      </x:c>
      <x:c r="N26" s="62" t="n">
        <x:f>IF(L26=0,"",I26/L26)</x:f>
        <x:v>2.0236248449846466</x:v>
      </x:c>
      <x:c r="O26" s="66" t="n">
        <x:f>IF(L26=0,"",M26/L26)</x:f>
        <x:v>1.0236248449846463</x:v>
      </x:c>
    </x:row>
    <x:row r="27" ht="18" customHeight="1">
      <x:c r="A27" s="46" t="str">
        <x:v>Small to medium rays (&lt;90 cm)</x:v>
      </x:c>
      <x:c r="B27" s="64" t="n">
        <x:v>8</x:v>
      </x:c>
      <x:c r="C27" s="64" t="n">
        <x:v>8</x:v>
      </x:c>
      <x:c r="D27" s="60" t="n">
        <x:v>4654.3435080516</x:v>
      </x:c>
      <x:c r="E27" s="60" t="n">
        <x:v>4654.3435080516</x:v>
      </x:c>
      <x:c r="F27" s="62" t="n">
        <x:v>0</x:v>
      </x:c>
      <x:c r="G27" s="66" t="n">
        <x:v>1</x:v>
      </x:c>
      <x:c r="H27" s="62" t="n">
        <x:f>IF(E27=0,"",I27/E27)</x:f>
        <x:v>10609.841422804082</x:v>
      </x:c>
      <x:c r="I27" s="60" t="n">
        <x:f>SUMIF('Species'!$G$2:$G$384,A27,'Species'!$U$2:$U$384)</x:f>
        <x:v>49381846.54768513</x:v>
      </x:c>
      <x:c r="J27" s="62" t="n">
        <x:v>4.037460949888752</x:v>
      </x:c>
      <x:c r="K27" s="62" t="n">
        <x:f>IF(J27="","",(1/'Metadata'!$B$5)^(J27-1))</x:f>
        <x:v>8950.09832499661</x:v>
      </x:c>
      <x:c r="L27" s="60" t="n">
        <x:f>IF(E27=0,"",E27*K27)</x:f>
        <x:v>41656832.035371475</x:v>
      </x:c>
      <x:c r="M27" s="60" t="n">
        <x:f>I27-L27</x:f>
        <x:v>7725014.5123136565</x:v>
      </x:c>
      <x:c r="N27" s="62" t="n">
        <x:f>IF(L27=0,"",I27/L27)</x:f>
        <x:v>1.1854441188843698</x:v>
      </x:c>
      <x:c r="O27" s="66" t="n">
        <x:f>IF(L27=0,"",M27/L27)</x:f>
        <x:v>0.1854441188843699</x:v>
      </x:c>
    </x:row>
    <x:row r="28" ht="18" customHeight="1">
      <x:c r="A28" s="46" t="str">
        <x:v>Small to medium sharks (&lt;90 cm)</x:v>
      </x:c>
      <x:c r="B28" s="64" t="n">
        <x:v>7</x:v>
      </x:c>
      <x:c r="C28" s="64" t="n">
        <x:v>7</x:v>
      </x:c>
      <x:c r="D28" s="60" t="n">
        <x:v>6751.9754959542</x:v>
      </x:c>
      <x:c r="E28" s="60" t="n">
        <x:v>6751.9754959542</x:v>
      </x:c>
      <x:c r="F28" s="62" t="n">
        <x:v>0</x:v>
      </x:c>
      <x:c r="G28" s="66" t="n">
        <x:v>1</x:v>
      </x:c>
      <x:c r="H28" s="62" t="n">
        <x:f>IF(E28=0,"",I28/E28)</x:f>
        <x:v>4710.863665620811</x:v>
      </x:c>
      <x:c r="I28" s="60" t="n">
        <x:f>SUMIF('Species'!$G$2:$G$384,A28,'Species'!$U$2:$U$384)</x:f>
        <x:v>31807636.035052694</x:v>
      </x:c>
      <x:c r="J28" s="62" t="n">
        <x:v>3.8228098529576164</x:v>
      </x:c>
      <x:c r="K28" s="62" t="n">
        <x:f>IF(J28="","",(1/'Metadata'!$B$5)^(J28-1))</x:f>
        <x:v>4705.007182620124</x:v>
      </x:c>
      <x:c r="L28" s="60" t="n">
        <x:f>IF(E28=0,"",E28*K28)</x:f>
        <x:v>31768093.20533958</x:v>
      </x:c>
      <x:c r="M28" s="60" t="n">
        <x:f>I28-L28</x:f>
        <x:v>39542.829713113606</x:v>
      </x:c>
      <x:c r="N28" s="62" t="n">
        <x:f>IF(L28=0,"",I28/L28)</x:f>
        <x:v>1.0012447341254485</x:v>
      </x:c>
      <x:c r="O28" s="66" t="n">
        <x:f>IF(L28=0,"",M28/L28)</x:f>
        <x:v>0.0012447341254484625</x:v>
      </x:c>
    </x:row>
  </x:sheetData>
  <x:conditionalFormatting sqref="G2:G28">
    <x:cfRule type="cellIs" dxfId="2" priority="1" operator="lessThan">
      <x:formula>0.9</x:formula>
    </x:cfRule>
  </x:conditionalFormatting>
  <x:conditionalFormatting sqref="O2:O2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2439461977f4e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LME_024</x:v>
      </x:c>
      <x:c r="B2" s="46" t="str">
        <x:v>raw_filtered_tonnes</x:v>
      </x:c>
      <x:c r="C2" s="46" t="n">
        <x:v>1139679.567089067</x:v>
      </x:c>
      <x:c r="D2" s="46" t="str">
        <x:v>tonnes</x:v>
      </x:c>
    </x:row>
    <x:row r="3" ht="18" customHeight="1">
      <x:c r="A3" s="46" t="str">
        <x:v>LME_024</x:v>
      </x:c>
      <x:c r="B3" s="46" t="str">
        <x:v>species_catch_tonnes</x:v>
      </x:c>
      <x:c r="C3" s="46" t="n">
        <x:v>1139679.567089067</x:v>
      </x:c>
      <x:c r="D3" s="46" t="str">
        <x:v>tonnes</x:v>
      </x:c>
    </x:row>
    <x:row r="4" ht="18" customHeight="1">
      <x:c r="A4" s="46" t="str">
        <x:v>LME_024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LME_024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LME_024</x:v>
      </x:c>
      <x:c r="B6" s="46" t="str">
        <x:v>matched_catch_tonnes</x:v>
      </x:c>
      <x:c r="C6" s="46" t="n">
        <x:v>1139679.567089067</x:v>
      </x:c>
      <x:c r="D6" s="46" t="str">
        <x:v>tonnes</x:v>
      </x:c>
    </x:row>
    <x:row r="7" ht="18" customHeight="1">
      <x:c r="A7" s="46" t="str">
        <x:v>LME_024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LME_024</x:v>
      </x:c>
      <x:c r="B8" s="46" t="str">
        <x:v>taxa_count</x:v>
      </x:c>
      <x:c r="C8" s="46" t="n">
        <x:v>383</x:v>
      </x:c>
      <x:c r="D8" s="46" t="str">
        <x:v>count</x:v>
      </x:c>
    </x:row>
    <x:row r="9" ht="18" customHeight="1">
      <x:c r="A9" s="46" t="str">
        <x:v>LME_024</x:v>
      </x:c>
      <x:c r="B9" s="46" t="str">
        <x:v>matched_taxa_count</x:v>
      </x:c>
      <x:c r="C9" s="46" t="n">
        <x:v>383</x:v>
      </x:c>
      <x:c r="D9" s="46" t="str">
        <x:v>count</x:v>
      </x:c>
    </x:row>
    <x:row r="10" ht="18" customHeight="1">
      <x:c r="A10" s="46" t="str">
        <x:v>LME_024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LME_024</x:v>
      </x:c>
      <x:c r="B11" s="46" t="str">
        <x:v>species_ppr</x:v>
      </x:c>
      <x:c r="C11" s="46" t="n">
        <x:v>8946927474.537638</x:v>
      </x:c>
      <x:c r="D11" s="46" t="str">
        <x:v>tonnes_primary_production_equivalent</x:v>
      </x:c>
    </x:row>
    <x:row r="12" ht="18" customHeight="1">
      <x:c r="A12" s="46" t="str">
        <x:v>LME_024</x:v>
      </x:c>
      <x:c r="B12" s="46" t="str">
        <x:v>commercial_ppr</x:v>
      </x:c>
      <x:c r="C12" s="46" t="n">
        <x:v>8946927474.537638</x:v>
      </x:c>
      <x:c r="D12" s="46" t="str">
        <x:v>tonnes_primary_production_equivalent</x:v>
      </x:c>
    </x:row>
    <x:row r="13" ht="18" customHeight="1">
      <x:c r="A13" s="46" t="str">
        <x:v>LME_024</x:v>
      </x:c>
      <x:c r="B13" s="46" t="str">
        <x:v>functional_ppr</x:v>
      </x:c>
      <x:c r="C13" s="46" t="n">
        <x:v>8946927474.537638</x:v>
      </x:c>
      <x:c r="D13" s="46" t="str">
        <x:v>tonnes_primary_production_equivalent</x:v>
      </x:c>
    </x:row>
    <x:row r="14" ht="18" customHeight="1">
      <x:c r="A14" s="46" t="str">
        <x:v>LME_024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LME_024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LME_024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LME_024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LME_024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LME_024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0af37d248ad40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LME_024 - Celtic-Biscay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LME_024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raw_data/SAU_downloads/LME_024-catch.zip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