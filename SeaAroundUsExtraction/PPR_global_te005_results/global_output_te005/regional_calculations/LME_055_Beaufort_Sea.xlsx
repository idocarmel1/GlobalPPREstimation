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87859d708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ec7c86c541e4522"/>
    <x:sheet xmlns:r="http://schemas.openxmlformats.org/officeDocument/2006/relationships" name="Commercial" sheetId="2" r:id="R49e69329b15d46ab"/>
    <x:sheet xmlns:r="http://schemas.openxmlformats.org/officeDocument/2006/relationships" name="Functional" sheetId="3" r:id="R05e7579cc2d141cc"/>
    <x:sheet xmlns:r="http://schemas.openxmlformats.org/officeDocument/2006/relationships" name="Missing TL" sheetId="4" r:id="R25691f30ffba46d2"/>
    <x:sheet xmlns:r="http://schemas.openxmlformats.org/officeDocument/2006/relationships" name="Validation" sheetId="5" r:id="R0ad845ece24a457e"/>
    <x:sheet xmlns:r="http://schemas.openxmlformats.org/officeDocument/2006/relationships" name="Metadata" sheetId="6" r:id="R93e30c81c1cb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aa8e3218049cb" /><Relationship Type="http://schemas.openxmlformats.org/officeDocument/2006/relationships/theme" Target="/xl/theme/theme1.xml" Id="Rd71f34a6b8fc4865" /><Relationship Type="http://schemas.openxmlformats.org/officeDocument/2006/relationships/sharedStrings" Target="/xl/sharedStrings.xml" Id="R37e23d3dd71040a0" /><Relationship Type="http://schemas.openxmlformats.org/officeDocument/2006/relationships/worksheet" Target="/xl/worksheets/sheet1.xml" Id="R2ec7c86c541e4522" /><Relationship Type="http://schemas.openxmlformats.org/officeDocument/2006/relationships/worksheet" Target="/xl/worksheets/sheet2.xml" Id="R49e69329b15d46ab" /><Relationship Type="http://schemas.openxmlformats.org/officeDocument/2006/relationships/worksheet" Target="/xl/worksheets/sheet3.xml" Id="R05e7579cc2d141cc" /><Relationship Type="http://schemas.openxmlformats.org/officeDocument/2006/relationships/worksheet" Target="/xl/worksheets/sheet4.xml" Id="R25691f30ffba46d2" /><Relationship Type="http://schemas.openxmlformats.org/officeDocument/2006/relationships/worksheet" Target="/xl/worksheets/sheet5.xml" Id="R0ad845ece24a457e" /><Relationship Type="http://schemas.openxmlformats.org/officeDocument/2006/relationships/worksheet" Target="/xl/worksheets/sheet6.xml" Id="R93e30c81c1cb416b" /></Relationships>
</file>

<file path=xl/tables/table1.xml><?xml version="1.0" encoding="utf-8"?>
<x:table xmlns:x="http://schemas.openxmlformats.org/spreadsheetml/2006/main" id="1" name="LME055SpeciesTable" displayName="LME055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5CommercialTable" displayName="LME055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5FunctionalTable" displayName="LME055FunctionalTable" ref="A1:O8" headerRowCount="1" totalsRowCount="0" totalsRowShown="0">
  <x:autoFilter ref="A1:O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5ValidationTable" displayName="LME05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4b88eb64d24e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c51eee9e3f48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991316d55145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65245d522745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LME_055</x:v>
      </x:c>
      <x:c r="B2" s="46" t="str">
        <x:v>Beaufort Sea</x:v>
      </x:c>
      <x:c r="C2" s="46" t="str">
        <x:v>LME</x:v>
      </x:c>
      <x:c r="D2" s="58" t="n">
        <x:v>2019</x:v>
      </x:c>
      <x:c r="E2" s="46" t="str">
        <x:v>Salvelinus alpinus</x:v>
      </x:c>
      <x:c r="F2" s="46" t="str">
        <x:v>Arctic char</x:v>
      </x:c>
      <x:c r="G2" s="46" t="str">
        <x:v>Medium benthopelagics (30 - 89 cm)</x:v>
      </x:c>
      <x:c r="H2" s="46" t="str">
        <x:v>Salmon, smelts, etc</x:v>
      </x:c>
      <x:c r="I2" s="60" t="n">
        <x:v>162.08282598070002</x:v>
      </x:c>
      <x:c r="J2" s="60" t="n">
        <x:v>162.08282598070002</x:v>
      </x:c>
      <x:c r="K2" s="60" t="n">
        <x:v>0</x:v>
      </x:c>
      <x:c r="L2" s="60" t="n">
        <x:v>0</x:v>
      </x:c>
      <x:c r="M2" s="60" t="n">
        <x:v>162.08282598070002</x:v>
      </x:c>
      <x:c r="N2" s="46" t="str">
        <x:v>salvelinus alpinus</x:v>
      </x:c>
      <x:c r="O2" s="62" t="n">
        <x:v>4.39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Salvelinus alpinus</x:v>
      </x:c>
      <x:c r="T2" s="62" t="n">
        <x:f>IF(O2="","",(1/'Metadata'!$B$5)^(O2-1))</x:f>
        <x:v>25733.07497204781</x:v>
      </x:c>
      <x:c r="U2" s="60" t="n">
        <x:f>IF(T2="","",I2*T2)</x:f>
        <x:v>4170889.512642732</x:v>
      </x:c>
    </x:row>
    <x:row r="3" ht="18" customHeight="1">
      <x:c r="A3" s="46" t="str">
        <x:v>LME_055</x:v>
      </x:c>
      <x:c r="B3" s="46" t="str">
        <x:v>Beaufort Sea</x:v>
      </x:c>
      <x:c r="C3" s="46" t="str">
        <x:v>LME</x:v>
      </x:c>
      <x:c r="D3" s="58" t="n">
        <x:v>2019</x:v>
      </x:c>
      <x:c r="E3" s="46" t="str">
        <x:v>Stenodus leucichthys</x:v>
      </x:c>
      <x:c r="F3" s="46" t="str">
        <x:v>Sheefish</x:v>
      </x:c>
      <x:c r="G3" s="46" t="str">
        <x:v>Large demersals (&gt;=90 cm)</x:v>
      </x:c>
      <x:c r="H3" s="46" t="str">
        <x:v>Salmon, smelts, etc</x:v>
      </x:c>
      <x:c r="I3" s="60" t="n">
        <x:v>18.6184566574</x:v>
      </x:c>
      <x:c r="J3" s="60" t="n">
        <x:v>18.6184566574</x:v>
      </x:c>
      <x:c r="K3" s="60" t="n">
        <x:v>0</x:v>
      </x:c>
      <x:c r="L3" s="60" t="n">
        <x:v>0</x:v>
      </x:c>
      <x:c r="M3" s="60" t="n">
        <x:v>18.6184566574</x:v>
      </x:c>
      <x:c r="N3" s="46" t="str">
        <x:v>stenodus leucichthys</x:v>
      </x:c>
      <x:c r="O3" s="62" t="n">
        <x:v>4.15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Stenodus leucichthys</x:v>
      </x:c>
      <x:c r="T3" s="62" t="n">
        <x:f>IF(O3="","",(1/'Metadata'!$B$5)^(O3-1))</x:f>
        <x:v>12538.46830130465</x:v>
      </x:c>
      <x:c r="U3" s="60" t="n">
        <x:f>IF(T3="","",I3*T3)</x:f>
        <x:v>233446.92861802442</x:v>
      </x:c>
    </x:row>
    <x:row r="4" ht="18" customHeight="1">
      <x:c r="A4" s="46" t="str">
        <x:v>LME_055</x:v>
      </x:c>
      <x:c r="B4" s="46" t="str">
        <x:v>Beaufort Sea</x:v>
      </x:c>
      <x:c r="C4" s="46" t="str">
        <x:v>LME</x:v>
      </x:c>
      <x:c r="D4" s="58" t="n">
        <x:v>2019</x:v>
      </x:c>
      <x:c r="E4" s="46" t="str">
        <x:v>Coregonus nasus</x:v>
      </x:c>
      <x:c r="F4" s="46" t="str">
        <x:v>Broad whitefish</x:v>
      </x:c>
      <x:c r="G4" s="46" t="str">
        <x:v>Medium demersals (30 - 89 cm)</x:v>
      </x:c>
      <x:c r="H4" s="46" t="str">
        <x:v>Salmon, smelts, etc</x:v>
      </x:c>
      <x:c r="I4" s="60" t="n">
        <x:v>16.0184532282</x:v>
      </x:c>
      <x:c r="J4" s="60" t="n">
        <x:v>16.0184532282</x:v>
      </x:c>
      <x:c r="K4" s="60" t="n">
        <x:v>0</x:v>
      </x:c>
      <x:c r="L4" s="60" t="n">
        <x:v>0</x:v>
      </x:c>
      <x:c r="M4" s="60" t="n">
        <x:v>16.0184532282</x:v>
      </x:c>
      <x:c r="N4" s="46" t="str">
        <x:v>coregonus nasus</x:v>
      </x:c>
      <x:c r="O4" s="62" t="n">
        <x:v>3.45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Coregonus nasus</x:v>
      </x:c>
      <x:c r="T4" s="62" t="n">
        <x:f>IF(O4="","",(1/'Metadata'!$B$5)^(O4-1))</x:f>
        <x:v>1540.009817222681</x:v>
      </x:c>
      <x:c r="U4" s="60" t="n">
        <x:f>IF(T4="","",I4*T4)</x:f>
        <x:v>24668.575228150345</x:v>
      </x:c>
    </x:row>
    <x:row r="5" ht="18" customHeight="1">
      <x:c r="A5" s="46" t="str">
        <x:v>LME_055</x:v>
      </x:c>
      <x:c r="B5" s="46" t="str">
        <x:v>Beaufort Sea</x:v>
      </x:c>
      <x:c r="C5" s="46" t="str">
        <x:v>LME</x:v>
      </x:c>
      <x:c r="D5" s="58" t="n">
        <x:v>2019</x:v>
      </x:c>
      <x:c r="E5" s="46" t="str">
        <x:v>Gadidae</x:v>
      </x:c>
      <x:c r="F5" s="46" t="str">
        <x:v>Cods, haddocks</x:v>
      </x:c>
      <x:c r="G5" s="46" t="str">
        <x:v>Medium demersals (30 - 89 cm)</x:v>
      </x:c>
      <x:c r="H5" s="46" t="str">
        <x:v>Cod-likes</x:v>
      </x:c>
      <x:c r="I5" s="60" t="n">
        <x:v>4.7276061189</x:v>
      </x:c>
      <x:c r="J5" s="60" t="n">
        <x:v>4.7276061189</x:v>
      </x:c>
      <x:c r="K5" s="60" t="n">
        <x:v>0</x:v>
      </x:c>
      <x:c r="L5" s="60" t="n">
        <x:v>0</x:v>
      </x:c>
      <x:c r="M5" s="60" t="n">
        <x:v>4.7276061189</x:v>
      </x:c>
      <x:c r="N5" s="46" t="str">
        <x:v>gadidae</x:v>
      </x:c>
      <x:c r="O5" s="62" t="n">
        <x:v>3.84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Gadidae</x:v>
      </x:c>
      <x:c r="T5" s="62" t="n">
        <x:f>IF(O5="","",(1/'Metadata'!$B$5)^(O5-1))</x:f>
        <x:v>4953.648510535111</x:v>
      </x:c>
      <x:c r="U5" s="60" t="n">
        <x:f>IF(T5="","",I5*T5)</x:f>
        <x:v>23418.899009285662</x:v>
      </x:c>
    </x:row>
    <x:row r="6" ht="18" customHeight="1">
      <x:c r="A6" s="46" t="str">
        <x:v>LME_055</x:v>
      </x:c>
      <x:c r="B6" s="46" t="str">
        <x:v>Beaufort Sea</x:v>
      </x:c>
      <x:c r="C6" s="46" t="str">
        <x:v>LME</x:v>
      </x:c>
      <x:c r="D6" s="58" t="n">
        <x:v>2019</x:v>
      </x:c>
      <x:c r="E6" s="46" t="str">
        <x:v>Coregonus</x:v>
      </x:c>
      <x:c r="F6" s="46" t="str">
        <x:v>Whitefishes</x:v>
      </x:c>
      <x:c r="G6" s="46" t="str">
        <x:v>Medium pelagics (30 - 89 cm)</x:v>
      </x:c>
      <x:c r="H6" s="46" t="str">
        <x:v>Salmon, smelts, etc</x:v>
      </x:c>
      <x:c r="I6" s="60" t="n">
        <x:v>4.6581454935</x:v>
      </x:c>
      <x:c r="J6" s="60" t="n">
        <x:v>4.6581454935</x:v>
      </x:c>
      <x:c r="K6" s="60" t="n">
        <x:v>0</x:v>
      </x:c>
      <x:c r="L6" s="60" t="n">
        <x:v>0</x:v>
      </x:c>
      <x:c r="M6" s="60" t="n">
        <x:v>4.6581454935</x:v>
      </x:c>
      <x:c r="N6" s="46" t="str">
        <x:v>coregonus</x:v>
      </x:c>
      <x:c r="O6" s="62" t="n">
        <x:v>3.3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Coregonus</x:v>
      </x:c>
      <x:c r="T6" s="62" t="n">
        <x:f>IF(O6="","",(1/'Metadata'!$B$5)^(O6-1))</x:f>
        <x:v>982.5824208926318</x:v>
      </x:c>
      <x:c r="U6" s="60" t="n">
        <x:f>IF(T6="","",I6*T6)</x:f>
        <x:v>4577.011875873333</x:v>
      </x:c>
    </x:row>
    <x:row r="7" ht="18" customHeight="1">
      <x:c r="A7" s="46" t="str">
        <x:v>LME_055</x:v>
      </x:c>
      <x:c r="B7" s="46" t="str">
        <x:v>Beaufort Sea</x:v>
      </x:c>
      <x:c r="C7" s="46" t="str">
        <x:v>LME</x:v>
      </x:c>
      <x:c r="D7" s="58" t="n">
        <x:v>2019</x:v>
      </x:c>
      <x:c r="E7" s="46" t="str">
        <x:v>Clupea pallasii</x:v>
      </x:c>
      <x:c r="F7" s="46" t="str">
        <x:v>Pacific herring</x:v>
      </x:c>
      <x:c r="G7" s="46" t="str">
        <x:v>Medium pelagics (30 - 89 cm)</x:v>
      </x:c>
      <x:c r="H7" s="46" t="str">
        <x:v>Herring-likes</x:v>
      </x:c>
      <x:c r="I7" s="60" t="n">
        <x:v>3.2151142473</x:v>
      </x:c>
      <x:c r="J7" s="60" t="n">
        <x:v>3.2151142473</x:v>
      </x:c>
      <x:c r="K7" s="60" t="n">
        <x:v>0</x:v>
      </x:c>
      <x:c r="L7" s="60" t="n">
        <x:v>0</x:v>
      </x:c>
      <x:c r="M7" s="60" t="n">
        <x:v>3.2151142473</x:v>
      </x:c>
      <x:c r="N7" s="46" t="str">
        <x:v>clupea pallasii</x:v>
      </x:c>
      <x:c r="O7" s="62" t="n">
        <x:v>3.16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Clupea pallasii</x:v>
      </x:c>
      <x:c r="T7" s="62" t="n">
        <x:f>IF(O7="","",(1/'Metadata'!$B$5)^(O7-1))</x:f>
        <x:v>645.9885058849935</x:v>
      </x:c>
      <x:c r="U7" s="60" t="n">
        <x:f>IF(T7="","",I7*T7)</x:f>
        <x:v>2076.9268488628823</x:v>
      </x:c>
    </x:row>
    <x:row r="8" ht="18" customHeight="1">
      <x:c r="A8" s="46" t="str">
        <x:v>LME_055</x:v>
      </x:c>
      <x:c r="B8" s="46" t="str">
        <x:v>Beaufort Sea</x:v>
      </x:c>
      <x:c r="C8" s="46" t="str">
        <x:v>LME</x:v>
      </x:c>
      <x:c r="D8" s="58" t="n">
        <x:v>2019</x:v>
      </x:c>
      <x:c r="E8" s="46" t="str">
        <x:v>Salvelinus malma</x:v>
      </x:c>
      <x:c r="F8" s="46" t="str">
        <x:v>Dolly varden</x:v>
      </x:c>
      <x:c r="G8" s="46" t="str">
        <x:v>Large benthopelagics (&gt;=90 cm)</x:v>
      </x:c>
      <x:c r="H8" s="46" t="str">
        <x:v>Salmon, smelts, etc</x:v>
      </x:c>
      <x:c r="I8" s="60" t="n">
        <x:v>2.0638098669</x:v>
      </x:c>
      <x:c r="J8" s="60" t="n">
        <x:v>2.0638098669</x:v>
      </x:c>
      <x:c r="K8" s="60" t="n">
        <x:v>0</x:v>
      </x:c>
      <x:c r="L8" s="60" t="n">
        <x:v>0</x:v>
      </x:c>
      <x:c r="M8" s="60" t="n">
        <x:v>2.0638098669</x:v>
      </x:c>
      <x:c r="N8" s="46" t="str">
        <x:v>salvelinus malma</x:v>
      </x:c>
      <x:c r="O8" s="62" t="n">
        <x:v>4.4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Salvelinus malma</x:v>
      </x:c>
      <x:c r="T8" s="62" t="n">
        <x:f>IF(O8="","",(1/'Metadata'!$B$5)^(O8-1))</x:f>
        <x:v>26515.632138719924</x:v>
      </x:c>
      <x:c r="U8" s="60" t="n">
        <x:f>IF(T8="","",I8*T8)</x:f>
        <x:v>54723.22323498092</x:v>
      </x:c>
    </x:row>
    <x:row r="9" ht="18" customHeight="1">
      <x:c r="A9" s="46" t="str">
        <x:v>LME_055</x:v>
      </x:c>
      <x:c r="B9" s="46" t="str">
        <x:v>Beaufort Sea</x:v>
      </x:c>
      <x:c r="C9" s="46" t="str">
        <x:v>LME</x:v>
      </x:c>
      <x:c r="D9" s="58" t="n">
        <x:v>2019</x:v>
      </x:c>
      <x:c r="E9" s="46" t="str">
        <x:v>Osmeridae</x:v>
      </x:c>
      <x:c r="F9" s="46" t="str">
        <x:v>Smelts</x:v>
      </x:c>
      <x:c r="G9" s="46" t="str">
        <x:v>Small pelagics (&lt;30 cm)</x:v>
      </x:c>
      <x:c r="H9" s="46" t="str">
        <x:v>Salmon, smelts, etc</x:v>
      </x:c>
      <x:c r="I9" s="60" t="n">
        <x:v>0.3013019341</x:v>
      </x:c>
      <x:c r="J9" s="60" t="n">
        <x:v>0.3013019341</x:v>
      </x:c>
      <x:c r="K9" s="60" t="n">
        <x:v>0</x:v>
      </x:c>
      <x:c r="L9" s="60" t="n">
        <x:v>0</x:v>
      </x:c>
      <x:c r="M9" s="60" t="n">
        <x:v>0.3013019341</x:v>
      </x:c>
      <x:c r="N9" s="46" t="str">
        <x:v>osmeridae</x:v>
      </x:c>
      <x:c r="O9" s="62" t="n">
        <x:v>3.46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Osmeridae</x:v>
      </x:c>
      <x:c r="T9" s="62" t="n">
        <x:f>IF(O9="","",(1/'Metadata'!$B$5)^(O9-1))</x:f>
        <x:v>1586.8423749532276</x:v>
      </x:c>
      <x:c r="U9" s="60" t="n">
        <x:f>IF(T9="","",I9*T9)</x:f>
        <x:v>478.11867668524485</x:v>
      </x:c>
    </x:row>
    <x:row r="10" ht="18" customHeight="1">
      <x:c r="A10" s="46" t="str">
        <x:v>LME_055</x:v>
      </x:c>
      <x:c r="B10" s="46" t="str">
        <x:v>Beaufort Sea</x:v>
      </x:c>
      <x:c r="C10" s="46" t="str">
        <x:v>LME</x:v>
      </x:c>
      <x:c r="D10" s="58" t="n">
        <x:v>2019</x:v>
      </x:c>
      <x:c r="E10" s="46" t="str">
        <x:v>Oncorhynchus gorbuscha</x:v>
      </x:c>
      <x:c r="F10" s="46" t="str">
        <x:v>Pink salmon</x:v>
      </x:c>
      <x:c r="G10" s="46" t="str">
        <x:v>Medium demersals (30 - 89 cm)</x:v>
      </x:c>
      <x:c r="H10" s="46" t="str">
        <x:v>Salmon, smelts, etc</x:v>
      </x:c>
      <x:c r="I10" s="60" t="n">
        <x:v>0.2774264905</x:v>
      </x:c>
      <x:c r="J10" s="60" t="n">
        <x:v>0.2774264905</x:v>
      </x:c>
      <x:c r="K10" s="60" t="n">
        <x:v>0</x:v>
      </x:c>
      <x:c r="L10" s="60" t="n">
        <x:v>0</x:v>
      </x:c>
      <x:c r="M10" s="60" t="n">
        <x:v>0.2774264905</x:v>
      </x:c>
      <x:c r="N10" s="46" t="str">
        <x:v>oncorhynchus gorbuscha</x:v>
      </x:c>
      <x:c r="O10" s="62" t="n">
        <x:v>4.49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Oncorhynchus gorbuscha</x:v>
      </x:c>
      <x:c r="T10" s="62" t="n">
        <x:f>IF(O10="","",(1/'Metadata'!$B$5)^(O10-1))</x:f>
        <x:v>34721.19667768202</x:v>
      </x:c>
      <x:c r="U10" s="60" t="n">
        <x:f>IF(T10="","",I10*T10)</x:f>
        <x:v>9632.579740249583</x:v>
      </x:c>
    </x:row>
    <x:row r="11" ht="18" customHeight="1">
      <x:c r="A11" s="46" t="str">
        <x:v>LME_055</x:v>
      </x:c>
      <x:c r="B11" s="46" t="str">
        <x:v>Beaufort Sea</x:v>
      </x:c>
      <x:c r="C11" s="46" t="str">
        <x:v>LME</x:v>
      </x:c>
      <x:c r="D11" s="58" t="n">
        <x:v>2019</x:v>
      </x:c>
      <x:c r="E11" s="46" t="str">
        <x:v>Coregonus sardinella</x:v>
      </x:c>
      <x:c r="F11" s="46" t="str">
        <x:v>Sardine cisco</x:v>
      </x:c>
      <x:c r="G11" s="46" t="str">
        <x:v>Medium pelagics (30 - 89 cm)</x:v>
      </x:c>
      <x:c r="H11" s="46" t="str">
        <x:v>Salmon, smelts, etc</x:v>
      </x:c>
      <x:c r="I11" s="60" t="n">
        <x:v>0.1808016234</x:v>
      </x:c>
      <x:c r="J11" s="60" t="n">
        <x:v>0.1808016234</x:v>
      </x:c>
      <x:c r="K11" s="60" t="n">
        <x:v>0</x:v>
      </x:c>
      <x:c r="L11" s="60" t="n">
        <x:v>0</x:v>
      </x:c>
      <x:c r="M11" s="60" t="n">
        <x:v>0.1808016234</x:v>
      </x:c>
      <x:c r="N11" s="46" t="str">
        <x:v>coregonus sardinella</x:v>
      </x:c>
      <x:c r="O11" s="62" t="n">
        <x:v>3.21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Coregonus sardinella</x:v>
      </x:c>
      <x:c r="T11" s="62" t="n">
        <x:f>IF(O11="","",(1/'Metadata'!$B$5)^(O11-1))</x:f>
        <x:v>750.3714304613432</x:v>
      </x:c>
      <x:c r="U11" s="60" t="n">
        <x:f>IF(T11="","",I11*T11)</x:f>
        <x:v>135.66837278039105</x:v>
      </x:c>
    </x:row>
    <x:row r="12" ht="18" customHeight="1">
      <x:c r="A12" s="46" t="str">
        <x:v>LME_055</x:v>
      </x:c>
      <x:c r="B12" s="46" t="str">
        <x:v>Beaufort Sea</x:v>
      </x:c>
      <x:c r="C12" s="46" t="str">
        <x:v>LME</x:v>
      </x:c>
      <x:c r="D12" s="58" t="n">
        <x:v>2019</x:v>
      </x:c>
      <x:c r="E12" s="46" t="str">
        <x:v>Eleginus gracilis</x:v>
      </x:c>
      <x:c r="F12" s="46" t="str">
        <x:v>Saffron cod</x:v>
      </x:c>
      <x:c r="G12" s="46" t="str">
        <x:v>Medium demersals (30 - 89 cm)</x:v>
      </x:c>
      <x:c r="H12" s="46" t="str">
        <x:v>Cod-likes</x:v>
      </x:c>
      <x:c r="I12" s="60" t="n">
        <x:v>0.1580462577</x:v>
      </x:c>
      <x:c r="J12" s="60" t="n">
        <x:v>0.1580462577</x:v>
      </x:c>
      <x:c r="K12" s="60" t="n">
        <x:v>0</x:v>
      </x:c>
      <x:c r="L12" s="60" t="n">
        <x:v>0</x:v>
      </x:c>
      <x:c r="M12" s="60" t="n">
        <x:v>0.1580462577</x:v>
      </x:c>
      <x:c r="N12" s="46" t="str">
        <x:v>eleginus gracilis</x:v>
      </x:c>
      <x:c r="O12" s="62" t="n">
        <x:v>4.1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Eleginus gracilis</x:v>
      </x:c>
      <x:c r="T12" s="62" t="n">
        <x:f>IF(O12="","",(1/'Metadata'!$B$5)^(O12-1))</x:f>
        <x:v>10794.262781388496</x:v>
      </x:c>
      <x:c r="U12" s="60" t="n">
        <x:f>IF(T12="","",I12*T12)</x:f>
        <x:v>1705.992837228845</x:v>
      </x:c>
    </x:row>
    <x:row r="13" ht="18" customHeight="1">
      <x:c r="A13" s="46" t="str">
        <x:v>LME_055</x:v>
      </x:c>
      <x:c r="B13" s="46" t="str">
        <x:v>Beaufort Sea</x:v>
      </x:c>
      <x:c r="C13" s="46" t="str">
        <x:v>LME</x:v>
      </x:c>
      <x:c r="D13" s="58" t="n">
        <x:v>2019</x:v>
      </x:c>
      <x:c r="E13" s="46" t="str">
        <x:v>Coregonus autumnalis</x:v>
      </x:c>
      <x:c r="F13" s="46" t="str">
        <x:v>Arctic cisco</x:v>
      </x:c>
      <x:c r="G13" s="46" t="str">
        <x:v>Medium pelagics (30 - 89 cm)</x:v>
      </x:c>
      <x:c r="H13" s="46" t="str">
        <x:v>Salmon, smelts, etc</x:v>
      </x:c>
      <x:c r="I13" s="60" t="n">
        <x:v>0.1502992299</x:v>
      </x:c>
      <x:c r="J13" s="60" t="n">
        <x:v>0.1502992299</x:v>
      </x:c>
      <x:c r="K13" s="60" t="n">
        <x:v>0</x:v>
      </x:c>
      <x:c r="L13" s="60" t="n">
        <x:v>0</x:v>
      </x:c>
      <x:c r="M13" s="60" t="n">
        <x:v>0.1502992299</x:v>
      </x:c>
      <x:c r="N13" s="46" t="str">
        <x:v>coregonus autumnalis</x:v>
      </x:c>
      <x:c r="O13" s="62" t="n">
        <x:v>3.67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Coregonus autumnalis</x:v>
      </x:c>
      <x:c r="T13" s="62" t="n">
        <x:f>IF(O13="","",(1/'Metadata'!$B$5)^(O13-1))</x:f>
        <x:v>2976.8029570258213</x:v>
      </x:c>
      <x:c r="U13" s="60" t="n">
        <x:f>IF(T13="","",I13*T13)</x:f>
        <x:v>447.41119200502374</x:v>
      </x:c>
    </x:row>
    <x:row r="14" ht="18" customHeight="1">
      <x:c r="A14" s="46" t="str">
        <x:v>LME_055</x:v>
      </x:c>
      <x:c r="B14" s="46" t="str">
        <x:v>Beaufort Sea</x:v>
      </x:c>
      <x:c r="C14" s="46" t="str">
        <x:v>LME</x:v>
      </x:c>
      <x:c r="D14" s="58" t="n">
        <x:v>2019</x:v>
      </x:c>
      <x:c r="E14" s="46" t="str">
        <x:v>Marine fishes not identified</x:v>
      </x:c>
      <x:c r="F14" s="46" t="str">
        <x:v>Marine fishes nei</x:v>
      </x:c>
      <x:c r="G14" s="46" t="str">
        <x:v>Medium demersals (30 - 89 cm)</x:v>
      </x:c>
      <x:c r="H14" s="46" t="str">
        <x:v>Other fishes &amp; inverts</x:v>
      </x:c>
      <x:c r="I14" s="60" t="n">
        <x:v>0.11589701059999999</x:v>
      </x:c>
      <x:c r="J14" s="60" t="n">
        <x:v>0.11589701059999999</x:v>
      </x:c>
      <x:c r="K14" s="60" t="n">
        <x:v>0</x:v>
      </x:c>
      <x:c r="L14" s="60" t="n">
        <x:v>0</x:v>
      </x:c>
      <x:c r="M14" s="60" t="n">
        <x:v>0.11589701059999999</x:v>
      </x:c>
      <x:c r="N14" s="46" t="str">
        <x:v>marine fishes not identified</x:v>
      </x:c>
      <x:c r="O14" s="62" t="n">
        <x:v>3.28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Marine fishes not identified</x:v>
      </x:c>
      <x:c r="T14" s="62" t="n">
        <x:f>IF(O14="","",(1/'Metadata'!$B$5)^(O14-1))</x:f>
        <x:v>925.4402624666747</x:v>
      </x:c>
      <x:c r="U14" s="60" t="n">
        <x:f>IF(T14="","",I14*T14)</x:f>
        <x:v>107.25575990876696</x:v>
      </x:c>
    </x:row>
    <x:row r="15" ht="18" customHeight="1">
      <x:c r="A15" s="46" t="str">
        <x:v>LME_055</x:v>
      </x:c>
      <x:c r="B15" s="46" t="str">
        <x:v>Beaufort Sea</x:v>
      </x:c>
      <x:c r="C15" s="46" t="str">
        <x:v>LME</x:v>
      </x:c>
      <x:c r="D15" s="58" t="n">
        <x:v>2019</x:v>
      </x:c>
      <x:c r="E15" s="46" t="str">
        <x:v>Boreogadus saida</x:v>
      </x:c>
      <x:c r="F15" s="46" t="str">
        <x:v>Polar cod</x:v>
      </x:c>
      <x:c r="G15" s="46" t="str">
        <x:v>Medium demersals (30 - 89 cm)</x:v>
      </x:c>
      <x:c r="H15" s="46" t="str">
        <x:v>Cod-likes</x:v>
      </x:c>
      <x:c r="I15" s="60" t="n">
        <x:v>0.1093732634</x:v>
      </x:c>
      <x:c r="J15" s="60" t="n">
        <x:v>0.1093732634</x:v>
      </x:c>
      <x:c r="K15" s="60" t="n">
        <x:v>0</x:v>
      </x:c>
      <x:c r="L15" s="60" t="n">
        <x:v>0</x:v>
      </x:c>
      <x:c r="M15" s="60" t="n">
        <x:v>0.1093732634</x:v>
      </x:c>
      <x:c r="N15" s="46" t="str">
        <x:v>boreogadus saida</x:v>
      </x:c>
      <x:c r="O15" s="62" t="n">
        <x:v>3.12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Boreogadus saida</x:v>
      </x:c>
      <x:c r="T15" s="62" t="n">
        <x:f>IF(O15="","",(1/'Metadata'!$B$5)^(O15-1))</x:f>
        <x:v>573.0382222196589</x:v>
      </x:c>
      <x:c r="U15" s="60" t="n">
        <x:f>IF(T15="","",I15*T15)</x:f>
        <x:v>62.675060417098486</x:v>
      </x:c>
    </x:row>
    <x:row r="16" ht="18" customHeight="1">
      <x:c r="A16" s="46" t="str">
        <x:v>LME_055</x:v>
      </x:c>
      <x:c r="B16" s="46" t="str">
        <x:v>Beaufort Sea</x:v>
      </x:c>
      <x:c r="C16" s="46" t="str">
        <x:v>LME</x:v>
      </x:c>
      <x:c r="D16" s="58" t="n">
        <x:v>2019</x:v>
      </x:c>
      <x:c r="E16" s="46" t="str">
        <x:v>Coregonus laurettae</x:v>
      </x:c>
      <x:c r="F16" s="46" t="str">
        <x:v>Bering cisco</x:v>
      </x:c>
      <x:c r="G16" s="46" t="str">
        <x:v>Medium pelagics (30 - 89 cm)</x:v>
      </x:c>
      <x:c r="H16" s="46" t="str">
        <x:v>Salmon, smelts, etc</x:v>
      </x:c>
      <x:c r="I16" s="60" t="n">
        <x:v>0.0652172438</x:v>
      </x:c>
      <x:c r="J16" s="60" t="n">
        <x:v>0.0652172438</x:v>
      </x:c>
      <x:c r="K16" s="60" t="n">
        <x:v>0</x:v>
      </x:c>
      <x:c r="L16" s="60" t="n">
        <x:v>0</x:v>
      </x:c>
      <x:c r="M16" s="60" t="n">
        <x:v>0.0652172438</x:v>
      </x:c>
      <x:c r="N16" s="46" t="str">
        <x:v>coregonus laurettae</x:v>
      </x:c>
      <x:c r="O16" s="62" t="n">
        <x:v>3.79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Coregonus laurettae</x:v>
      </x:c>
      <x:c r="T16" s="62" t="n">
        <x:f>IF(O16="","",(1/'Metadata'!$B$5)^(O16-1))</x:f>
        <x:v>4264.554685980751</x:v>
      </x:c>
      <x:c r="U16" s="60" t="n">
        <x:f>IF(T16="","",I16*T16)</x:f>
        <x:v>278.1225026540391</x:v>
      </x:c>
    </x:row>
    <x:row r="17" ht="18" customHeight="1">
      <x:c r="A17" s="46" t="str">
        <x:v>LME_055</x:v>
      </x:c>
      <x:c r="B17" s="46" t="str">
        <x:v>Beaufort Sea</x:v>
      </x:c>
      <x:c r="C17" s="46" t="str">
        <x:v>LME</x:v>
      </x:c>
      <x:c r="D17" s="58" t="n">
        <x:v>2019</x:v>
      </x:c>
      <x:c r="E17" s="46" t="str">
        <x:v>Cottidae</x:v>
      </x:c>
      <x:c r="F17" s="46" t="str">
        <x:v>Sculpins</x:v>
      </x:c>
      <x:c r="G17" s="46" t="str">
        <x:v>Large reef assoc. fish (&gt;=90 cm)</x:v>
      </x:c>
      <x:c r="H17" s="46" t="str">
        <x:v>Scorpionfishes</x:v>
      </x:c>
      <x:c r="I17" s="60" t="n">
        <x:v>0.0238986163</x:v>
      </x:c>
      <x:c r="J17" s="60" t="n">
        <x:v>0.0238986163</x:v>
      </x:c>
      <x:c r="K17" s="60" t="n">
        <x:v>0</x:v>
      </x:c>
      <x:c r="L17" s="60" t="n">
        <x:v>0</x:v>
      </x:c>
      <x:c r="M17" s="60" t="n">
        <x:v>0.0238986163</x:v>
      </x:c>
      <x:c r="N17" s="46" t="str">
        <x:v>cottidae</x:v>
      </x:c>
      <x:c r="O17" s="62" t="n">
        <x:v>3.81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Cottidae</x:v>
      </x:c>
      <x:c r="T17" s="62" t="n">
        <x:f>IF(O17="","",(1/'Metadata'!$B$5)^(O17-1))</x:f>
        <x:v>4527.873529309382</x:v>
      </x:c>
      <x:c r="U17" s="60" t="n">
        <x:f>IF(T17="","",I17*T17)</x:f>
        <x:v>108.20991213189174</x:v>
      </x:c>
    </x:row>
    <x:row r="18" ht="18" customHeight="1">
      <x:c r="A18" s="46" t="str">
        <x:v>LME_055</x:v>
      </x:c>
      <x:c r="B18" s="46" t="str">
        <x:v>Beaufort Sea</x:v>
      </x:c>
      <x:c r="C18" s="46" t="str">
        <x:v>LME</x:v>
      </x:c>
      <x:c r="D18" s="58" t="n">
        <x:v>2019</x:v>
      </x:c>
      <x:c r="E18" s="46" t="str">
        <x:v>Myoxocephalus quadricornis</x:v>
      </x:c>
      <x:c r="F18" s="46" t="str">
        <x:v>Fourhorn sculpin</x:v>
      </x:c>
      <x:c r="G18" s="46" t="str">
        <x:v>Medium demersals (30 - 89 cm)</x:v>
      </x:c>
      <x:c r="H18" s="46" t="str">
        <x:v>Scorpionfishes</x:v>
      </x:c>
      <x:c r="I18" s="60" t="n">
        <x:v>0.0214613214</x:v>
      </x:c>
      <x:c r="J18" s="60" t="n">
        <x:v>0.0214613214</x:v>
      </x:c>
      <x:c r="K18" s="60" t="n">
        <x:v>0</x:v>
      </x:c>
      <x:c r="L18" s="60" t="n">
        <x:v>0</x:v>
      </x:c>
      <x:c r="M18" s="60" t="n">
        <x:v>0.0214613214</x:v>
      </x:c>
      <x:c r="N18" s="46" t="str">
        <x:v>myoxocephalus quadricornis</x:v>
      </x:c>
      <x:c r="O18" s="62" t="n">
        <x:v>3.69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Myoxocephalus quadricornis</x:v>
      </x:c>
      <x:c r="T18" s="62" t="n">
        <x:f>IF(O18="","",(1/'Metadata'!$B$5)^(O18-1))</x:f>
        <x:v>3160.6083878807954</x:v>
      </x:c>
      <x:c r="U18" s="60" t="n">
        <x:f>IF(T18="","",I18*T18)</x:f>
        <x:v>67.83083243184562</x:v>
      </x:c>
    </x:row>
    <x:row r="19" ht="18" customHeight="1">
      <x:c r="A19" s="46" t="str">
        <x:v>LME_055</x:v>
      </x:c>
      <x:c r="B19" s="46" t="str">
        <x:v>Beaufort Sea</x:v>
      </x:c>
      <x:c r="C19" s="46" t="str">
        <x:v>LME</x:v>
      </x:c>
      <x:c r="D19" s="58" t="n">
        <x:v>2019</x:v>
      </x:c>
      <x:c r="E19" s="46" t="str">
        <x:v>Coregonus pidschian</x:v>
      </x:c>
      <x:c r="F19" s="46" t="str">
        <x:v>Humpback whitefish</x:v>
      </x:c>
      <x:c r="G19" s="46" t="str">
        <x:v>Medium demersals (30 - 89 cm)</x:v>
      </x:c>
      <x:c r="H19" s="46" t="str">
        <x:v>Salmon, smelts, etc</x:v>
      </x:c>
      <x:c r="I19" s="60" t="n">
        <x:v>0.000375642</x:v>
      </x:c>
      <x:c r="J19" s="60" t="n">
        <x:v>0.000375642</x:v>
      </x:c>
      <x:c r="K19" s="60" t="n">
        <x:v>0</x:v>
      </x:c>
      <x:c r="L19" s="60" t="n">
        <x:v>0</x:v>
      </x:c>
      <x:c r="M19" s="60" t="n">
        <x:v>0.000375642</x:v>
      </x:c>
      <x:c r="N19" s="46" t="str">
        <x:v>coregonus pidschian</x:v>
      </x:c>
      <x:c r="O19" s="62" t="n">
        <x:v>3.31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Coregonus pidschian</x:v>
      </x:c>
      <x:c r="T19" s="62" t="n">
        <x:f>IF(O19="","",(1/'Metadata'!$B$5)^(O19-1))</x:f>
        <x:v>1012.4633005057666</x:v>
      </x:c>
      <x:c r="U19" s="60" t="n">
        <x:f>IF(T19="","",I19*T19)</x:f>
        <x:v>0.38032373912858713</x:v>
      </x:c>
    </x:row>
    <x:row r="20" ht="18" customHeight="1">
      <x:c r="A20" s="46" t="str">
        <x:v>LME_055</x:v>
      </x:c>
      <x:c r="B20" s="46" t="str">
        <x:v>Beaufort Sea</x:v>
      </x:c>
      <x:c r="C20" s="46" t="str">
        <x:v>LME</x:v>
      </x:c>
      <x:c r="D20" s="58" t="n">
        <x:v>2019</x:v>
      </x:c>
      <x:c r="E20" s="46" t="str">
        <x:v>Oncorhynchus</x:v>
      </x:c>
      <x:c r="F20" s="46" t="str">
        <x:v>Salmons, trouts</x:v>
      </x:c>
      <x:c r="G20" s="46" t="str">
        <x:v>Large benthopelagics (&gt;=90 cm)</x:v>
      </x:c>
      <x:c r="H20" s="46" t="str">
        <x:v>Salmon, smelts, etc</x:v>
      </x:c>
      <x:c r="I20" s="60" t="n">
        <x:v>0.000012802</x:v>
      </x:c>
      <x:c r="J20" s="60" t="n">
        <x:v>0.000012802</x:v>
      </x:c>
      <x:c r="K20" s="60" t="n">
        <x:v>0</x:v>
      </x:c>
      <x:c r="L20" s="60" t="n">
        <x:v>0</x:v>
      </x:c>
      <x:c r="M20" s="60" t="n">
        <x:v>0.000012802</x:v>
      </x:c>
      <x:c r="N20" s="46" t="str">
        <x:v>oncorhynchus</x:v>
      </x:c>
      <x:c r="O20" s="62" t="n">
        <x:v>3.95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Oncorhynchus</x:v>
      </x:c>
      <x:c r="T20" s="62" t="n">
        <x:f>IF(O20="","",(1/'Metadata'!$B$5)^(O20-1))</x:f>
        <x:v>6887.133274653882</x:v>
      </x:c>
      <x:c r="U20" s="60" t="n">
        <x:f>IF(T20="","",I20*T20)</x:f>
        <x:v>0.088169080182119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d4b88eb64d24e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3</x:v>
      </x:c>
      <x:c r="C2" s="64" t="n">
        <x:v>3</x:v>
      </x:c>
      <x:c r="D2" s="60" t="n">
        <x:v>4.99502564</x:v>
      </x:c>
      <x:c r="E2" s="60" t="n">
        <x:v>4.99502564</x:v>
      </x:c>
      <x:c r="F2" s="62" t="n">
        <x:v>0</x:v>
      </x:c>
      <x:c r="G2" s="66" t="n">
        <x:v>1</x:v>
      </x:c>
      <x:c r="H2" s="62" t="n">
        <x:f>IF(E2=0,"",I2/E2)</x:f>
        <x:v>5042.530053345554</x:v>
      </x:c>
      <x:c r="I2" s="60" t="n">
        <x:f>SUMIF('Species'!$H$2:$H$20,A2,'Species'!$U$2:$U$20)</x:f>
        <x:v>25187.566906931606</x:v>
      </x:c>
      <x:c r="J2" s="62" t="n">
        <x:v>3.832461155285281</x:v>
      </x:c>
      <x:c r="K2" s="62" t="n">
        <x:f>IF(J2="","",(1/'Metadata'!$B$5)^(J2-1))</x:f>
        <x:v>4843.027382752513</x:v>
      </x:c>
      <x:c r="L2" s="60" t="n">
        <x:f>IF(E2=0,"",E2*K2)</x:f>
        <x:v>24191.045952070897</x:v>
      </x:c>
      <x:c r="M2" s="60" t="n">
        <x:f>I2-L2</x:f>
        <x:v>996.520954860709</x:v>
      </x:c>
      <x:c r="N2" s="62" t="n">
        <x:f>IF(L2=0,"",I2/L2)</x:f>
        <x:v>1.0411937936389808</x:v>
      </x:c>
      <x:c r="O2" s="66" t="n">
        <x:f>IF(L2=0,"",M2/L2)</x:f>
        <x:v>0.04119379363898074</x:v>
      </x:c>
    </x:row>
    <x:row r="3" ht="18" customHeight="1">
      <x:c r="A3" s="46" t="str">
        <x:v>Herring-likes</x:v>
      </x:c>
      <x:c r="B3" s="64" t="n">
        <x:v>1</x:v>
      </x:c>
      <x:c r="C3" s="64" t="n">
        <x:v>1</x:v>
      </x:c>
      <x:c r="D3" s="60" t="n">
        <x:v>3.2151142473</x:v>
      </x:c>
      <x:c r="E3" s="60" t="n">
        <x:v>3.2151142473</x:v>
      </x:c>
      <x:c r="F3" s="62" t="n">
        <x:v>0</x:v>
      </x:c>
      <x:c r="G3" s="66" t="n">
        <x:v>1</x:v>
      </x:c>
      <x:c r="H3" s="62" t="n">
        <x:f>IF(E3=0,"",I3/E3)</x:f>
        <x:v>645.9885058849934</x:v>
      </x:c>
      <x:c r="I3" s="60" t="n">
        <x:f>SUMIF('Species'!$H$2:$H$20,A3,'Species'!$U$2:$U$20)</x:f>
        <x:v>2076.9268488628823</x:v>
      </x:c>
      <x:c r="J3" s="62" t="n">
        <x:v>3.16</x:v>
      </x:c>
      <x:c r="K3" s="62" t="n">
        <x:f>IF(J3="","",(1/'Metadata'!$B$5)^(J3-1))</x:f>
        <x:v>645.9885058849935</x:v>
      </x:c>
      <x:c r="L3" s="60" t="n">
        <x:f>IF(E3=0,"",E3*K3)</x:f>
        <x:v>2076.9268488628823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Other fishes &amp; inverts</x:v>
      </x:c>
      <x:c r="B4" s="64" t="n">
        <x:v>1</x:v>
      </x:c>
      <x:c r="C4" s="64" t="n">
        <x:v>1</x:v>
      </x:c>
      <x:c r="D4" s="60" t="n">
        <x:v>0.11589701059999999</x:v>
      </x:c>
      <x:c r="E4" s="60" t="n">
        <x:v>0.11589701059999999</x:v>
      </x:c>
      <x:c r="F4" s="62" t="n">
        <x:v>0</x:v>
      </x:c>
      <x:c r="G4" s="66" t="n">
        <x:v>1</x:v>
      </x:c>
      <x:c r="H4" s="62" t="n">
        <x:f>IF(E4=0,"",I4/E4)</x:f>
        <x:v>925.4402624666747</x:v>
      </x:c>
      <x:c r="I4" s="60" t="n">
        <x:f>SUMIF('Species'!$H$2:$H$20,A4,'Species'!$U$2:$U$20)</x:f>
        <x:v>107.25575990876696</x:v>
      </x:c>
      <x:c r="J4" s="62" t="n">
        <x:v>3.28</x:v>
      </x:c>
      <x:c r="K4" s="62" t="n">
        <x:f>IF(J4="","",(1/'Metadata'!$B$5)^(J4-1))</x:f>
        <x:v>925.4402624666747</x:v>
      </x:c>
      <x:c r="L4" s="60" t="n">
        <x:f>IF(E4=0,"",E4*K4)</x:f>
        <x:v>107.25575990876696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Salmon, smelts, etc</x:v>
      </x:c>
      <x:c r="B5" s="64" t="n">
        <x:v>12</x:v>
      </x:c>
      <x:c r="C5" s="64" t="n">
        <x:v>12</x:v>
      </x:c>
      <x:c r="D5" s="60" t="n">
        <x:v>204.41712619240002</x:v>
      </x:c>
      <x:c r="E5" s="60" t="n">
        <x:v>204.41712619240002</x:v>
      </x:c>
      <x:c r="F5" s="62" t="n">
        <x:v>0</x:v>
      </x:c>
      <x:c r="G5" s="66" t="n">
        <x:v>1</x:v>
      </x:c>
      <x:c r="H5" s="62" t="n">
        <x:f>IF(E5=0,"",I5/E5)</x:f>
        <x:v>22010.27724233915</x:v>
      </x:c>
      <x:c r="I5" s="60" t="n">
        <x:f>SUMIF('Species'!$H$2:$H$20,A5,'Species'!$U$2:$U$20)</x:f>
        <x:v>4499277.620576953</x:v>
      </x:c>
      <x:c r="J5" s="62" t="n">
        <x:v>4.266741798624357</x:v>
      </x:c>
      <x:c r="K5" s="62" t="n">
        <x:f>IF(J5="","",(1/'Metadata'!$B$5)^(J5-1))</x:f>
        <x:v>17788.07975936889</x:v>
      </x:c>
      <x:c r="L5" s="60" t="n">
        <x:f>IF(E5=0,"",E5*K5)</x:f>
        <x:v>3636188.1448913873</x:v>
      </x:c>
      <x:c r="M5" s="60" t="n">
        <x:f>I5-L5</x:f>
        <x:v>863089.4756855653</x:v>
      </x:c>
      <x:c r="N5" s="62" t="n">
        <x:f>IF(L5=0,"",I5/L5)</x:f>
        <x:v>1.237361060895089</x:v>
      </x:c>
      <x:c r="O5" s="66" t="n">
        <x:f>IF(L5=0,"",M5/L5)</x:f>
        <x:v>0.237361060895089</x:v>
      </x:c>
    </x:row>
    <x:row r="6" ht="18" customHeight="1">
      <x:c r="A6" s="46" t="str">
        <x:v>Scorpionfishes</x:v>
      </x:c>
      <x:c r="B6" s="64" t="n">
        <x:v>2</x:v>
      </x:c>
      <x:c r="C6" s="64" t="n">
        <x:v>2</x:v>
      </x:c>
      <x:c r="D6" s="60" t="n">
        <x:v>0.045359937700000005</x:v>
      </x:c>
      <x:c r="E6" s="60" t="n">
        <x:v>0.045359937700000005</x:v>
      </x:c>
      <x:c r="F6" s="62" t="n">
        <x:v>0</x:v>
      </x:c>
      <x:c r="G6" s="66" t="n">
        <x:v>1</x:v>
      </x:c>
      <x:c r="H6" s="62" t="n">
        <x:f>IF(E6=0,"",I6/E6)</x:f>
        <x:v>3880.97412584712</x:v>
      </x:c>
      <x:c r="I6" s="60" t="n">
        <x:f>SUMIF('Species'!$H$2:$H$20,A6,'Species'!$U$2:$U$20)</x:f>
        <x:v>176.04074456373735</x:v>
      </x:c>
      <x:c r="J6" s="62" t="n">
        <x:v>3.7532239394808515</x:v>
      </x:c>
      <x:c r="K6" s="62" t="n">
        <x:f>IF(J6="","",(1/'Metadata'!$B$5)^(J6-1))</x:f>
        <x:v>3819.6795544954907</x:v>
      </x:c>
      <x:c r="L6" s="60" t="n">
        <x:f>IF(E6=0,"",E6*K6)</x:f>
        <x:v>173.26042662587923</x:v>
      </x:c>
      <x:c r="M6" s="60" t="n">
        <x:f>I6-L6</x:f>
        <x:v>2.780317937858115</x:v>
      </x:c>
      <x:c r="N6" s="62" t="n">
        <x:f>IF(L6=0,"",I6/L6)</x:f>
        <x:v>1.0160470454332982</x:v>
      </x:c>
      <x:c r="O6" s="66" t="n">
        <x:f>IF(L6=0,"",M6/L6)</x:f>
        <x:v>0.01604704543329821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dc51eee9e3f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benthopelagics (&gt;=90 cm)</x:v>
      </x:c>
      <x:c r="B2" s="64" t="n">
        <x:v>2</x:v>
      </x:c>
      <x:c r="C2" s="64" t="n">
        <x:v>2</x:v>
      </x:c>
      <x:c r="D2" s="60" t="n">
        <x:v>2.0638226689</x:v>
      </x:c>
      <x:c r="E2" s="60" t="n">
        <x:v>2.0638226689</x:v>
      </x:c>
      <x:c r="F2" s="62" t="n">
        <x:v>0</x:v>
      </x:c>
      <x:c r="G2" s="66" t="n">
        <x:v>1</x:v>
      </x:c>
      <x:c r="H2" s="62" t="n">
        <x:f>IF(E2=0,"",I2/E2)</x:f>
        <x:v>26515.51038211445</x:v>
      </x:c>
      <x:c r="I2" s="60" t="n">
        <x:f>SUMIF('Species'!$G$2:$G$20,A2,'Species'!$U$2:$U$20)</x:f>
        <x:v>54723.3114040611</x:v>
      </x:c>
      <x:c r="J2" s="62" t="n">
        <x:v>4.399997208626456</x:v>
      </x:c>
      <x:c r="K2" s="62" t="n">
        <x:f>IF(J2="","",(1/'Metadata'!$B$5)^(J2-1))</x:f>
        <x:v>26515.41041042069</x:v>
      </x:c>
      <x:c r="L2" s="60" t="n">
        <x:f>IF(E2=0,"",E2*K2)</x:f>
        <x:v>54723.10508021327</x:v>
      </x:c>
      <x:c r="M2" s="60" t="n">
        <x:f>I2-L2</x:f>
        <x:v>0.2063238478367566</x:v>
      </x:c>
      <x:c r="N2" s="62" t="n">
        <x:f>IF(L2=0,"",I2/L2)</x:f>
        <x:v>1.0000037703242084</x:v>
      </x:c>
      <x:c r="O2" s="66" t="n">
        <x:f>IF(L2=0,"",M2/L2)</x:f>
        <x:v>0.0000037703242082905673</x:v>
      </x:c>
    </x:row>
    <x:row r="3" ht="18" customHeight="1">
      <x:c r="A3" s="46" t="str">
        <x:v>Large demersals (&gt;=90 cm)</x:v>
      </x:c>
      <x:c r="B3" s="64" t="n">
        <x:v>1</x:v>
      </x:c>
      <x:c r="C3" s="64" t="n">
        <x:v>1</x:v>
      </x:c>
      <x:c r="D3" s="60" t="n">
        <x:v>18.6184566574</x:v>
      </x:c>
      <x:c r="E3" s="60" t="n">
        <x:v>18.6184566574</x:v>
      </x:c>
      <x:c r="F3" s="62" t="n">
        <x:v>0</x:v>
      </x:c>
      <x:c r="G3" s="66" t="n">
        <x:v>1</x:v>
      </x:c>
      <x:c r="H3" s="62" t="n">
        <x:f>IF(E3=0,"",I3/E3)</x:f>
        <x:v>12538.46830130465</x:v>
      </x:c>
      <x:c r="I3" s="60" t="n">
        <x:f>SUMIF('Species'!$G$2:$G$20,A3,'Species'!$U$2:$U$20)</x:f>
        <x:v>233446.92861802442</x:v>
      </x:c>
      <x:c r="J3" s="62" t="n">
        <x:v>4.15</x:v>
      </x:c>
      <x:c r="K3" s="62" t="n">
        <x:f>IF(J3="","",(1/'Metadata'!$B$5)^(J3-1))</x:f>
        <x:v>12538.46830130465</x:v>
      </x:c>
      <x:c r="L3" s="60" t="n">
        <x:f>IF(E3=0,"",E3*K3)</x:f>
        <x:v>233446.92861802442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reef assoc. fish (&gt;=90 cm)</x:v>
      </x:c>
      <x:c r="B4" s="64" t="n">
        <x:v>1</x:v>
      </x:c>
      <x:c r="C4" s="64" t="n">
        <x:v>1</x:v>
      </x:c>
      <x:c r="D4" s="60" t="n">
        <x:v>0.0238986163</x:v>
      </x:c>
      <x:c r="E4" s="60" t="n">
        <x:v>0.0238986163</x:v>
      </x:c>
      <x:c r="F4" s="62" t="n">
        <x:v>0</x:v>
      </x:c>
      <x:c r="G4" s="66" t="n">
        <x:v>1</x:v>
      </x:c>
      <x:c r="H4" s="62" t="n">
        <x:f>IF(E4=0,"",I4/E4)</x:f>
        <x:v>4527.873529309382</x:v>
      </x:c>
      <x:c r="I4" s="60" t="n">
        <x:f>SUMIF('Species'!$G$2:$G$20,A4,'Species'!$U$2:$U$20)</x:f>
        <x:v>108.20991213189174</x:v>
      </x:c>
      <x:c r="J4" s="62" t="n">
        <x:v>3.81</x:v>
      </x:c>
      <x:c r="K4" s="62" t="n">
        <x:f>IF(J4="","",(1/'Metadata'!$B$5)^(J4-1))</x:f>
        <x:v>4527.873529309382</x:v>
      </x:c>
      <x:c r="L4" s="60" t="n">
        <x:f>IF(E4=0,"",E4*K4)</x:f>
        <x:v>108.20991213189174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benthopelagics (30 - 89 cm)</x:v>
      </x:c>
      <x:c r="B5" s="64" t="n">
        <x:v>1</x:v>
      </x:c>
      <x:c r="C5" s="64" t="n">
        <x:v>1</x:v>
      </x:c>
      <x:c r="D5" s="60" t="n">
        <x:v>162.08282598070002</x:v>
      </x:c>
      <x:c r="E5" s="60" t="n">
        <x:v>162.08282598070002</x:v>
      </x:c>
      <x:c r="F5" s="62" t="n">
        <x:v>0</x:v>
      </x:c>
      <x:c r="G5" s="66" t="n">
        <x:v>1</x:v>
      </x:c>
      <x:c r="H5" s="62" t="n">
        <x:f>IF(E5=0,"",I5/E5)</x:f>
        <x:v>25733.07497204781</x:v>
      </x:c>
      <x:c r="I5" s="60" t="n">
        <x:f>SUMIF('Species'!$G$2:$G$20,A5,'Species'!$U$2:$U$20)</x:f>
        <x:v>4170889.512642732</x:v>
      </x:c>
      <x:c r="J5" s="62" t="n">
        <x:v>4.39</x:v>
      </x:c>
      <x:c r="K5" s="62" t="n">
        <x:f>IF(J5="","",(1/'Metadata'!$B$5)^(J5-1))</x:f>
        <x:v>25733.07497204781</x:v>
      </x:c>
      <x:c r="L5" s="60" t="n">
        <x:f>IF(E5=0,"",E5*K5)</x:f>
        <x:v>4170889.512642732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demersals (30 - 89 cm)</x:v>
      </x:c>
      <x:c r="B6" s="64" t="n">
        <x:v>8</x:v>
      </x:c>
      <x:c r="C6" s="64" t="n">
        <x:v>8</x:v>
      </x:c>
      <x:c r="D6" s="60" t="n">
        <x:v>21.428639332699998</x:v>
      </x:c>
      <x:c r="E6" s="60" t="n">
        <x:v>21.428639332699998</x:v>
      </x:c>
      <x:c r="F6" s="62" t="n">
        <x:v>0</x:v>
      </x:c>
      <x:c r="G6" s="66" t="n">
        <x:v>1</x:v>
      </x:c>
      <x:c r="H6" s="62" t="n">
        <x:f>IF(E6=0,"",I6/E6)</x:f>
        <x:v>2784.319987147481</x:v>
      </x:c>
      <x:c r="I6" s="60" t="n">
        <x:f>SUMIF('Species'!$G$2:$G$20,A6,'Species'!$U$2:$U$20)</x:f>
        <x:v>59664.18879141126</x:v>
      </x:c>
      <x:c r="J6" s="62" t="n">
        <x:v>3.5519347252345015</x:v>
      </x:c>
      <x:c r="K6" s="62" t="n">
        <x:f>IF(J6="","",(1/'Metadata'!$B$5)^(J6-1))</x:f>
        <x:v>2089.987191326436</x:v>
      </x:c>
      <x:c r="L6" s="60" t="n">
        <x:f>IF(E6=0,"",E6*K6)</x:f>
        <x:v>44785.58173289686</x:v>
      </x:c>
      <x:c r="M6" s="60" t="n">
        <x:f>I6-L6</x:f>
        <x:v>14878.607058514397</x:v>
      </x:c>
      <x:c r="N6" s="62" t="n">
        <x:f>IF(L6=0,"",I6/L6)</x:f>
        <x:v>1.3322186847376696</x:v>
      </x:c>
      <x:c r="O6" s="66" t="n">
        <x:f>IF(L6=0,"",M6/L6)</x:f>
        <x:v>0.3322186847376696</x:v>
      </x:c>
    </x:row>
    <x:row r="7" ht="18" customHeight="1">
      <x:c r="A7" s="46" t="str">
        <x:v>Medium pelagics (30 - 89 cm)</x:v>
      </x:c>
      <x:c r="B7" s="64" t="n">
        <x:v>5</x:v>
      </x:c>
      <x:c r="C7" s="64" t="n">
        <x:v>5</x:v>
      </x:c>
      <x:c r="D7" s="60" t="n">
        <x:v>8.2695778379</x:v>
      </x:c>
      <x:c r="E7" s="60" t="n">
        <x:v>8.2695778379</x:v>
      </x:c>
      <x:c r="F7" s="62" t="n">
        <x:v>0</x:v>
      </x:c>
      <x:c r="G7" s="66" t="n">
        <x:v>1</x:v>
      </x:c>
      <x:c r="H7" s="62" t="n">
        <x:f>IF(E7=0,"",I7/E7)</x:f>
        <x:v>908.7695816506257</x:v>
      </x:c>
      <x:c r="I7" s="60" t="n">
        <x:f>SUMIF('Species'!$G$2:$G$20,A7,'Species'!$U$2:$U$20)</x:f>
        <x:v>7515.140792175669</x:v>
      </x:c>
      <x:c r="J7" s="62" t="n">
        <x:v>3.254191013903172</x:v>
      </x:c>
      <x:c r="K7" s="62" t="n">
        <x:f>IF(J7="","",(1/'Metadata'!$B$5)^(J7-1))</x:f>
        <x:v>856.5843294377138</x:v>
      </x:c>
      <x:c r="L7" s="60" t="n">
        <x:f>IF(E7=0,"",E7*K7)</x:f>
        <x:v>7083.59078701055</x:v>
      </x:c>
      <x:c r="M7" s="60" t="n">
        <x:f>I7-L7</x:f>
        <x:v>431.5500051651188</x:v>
      </x:c>
      <x:c r="N7" s="62" t="n">
        <x:f>IF(L7=0,"",I7/L7)</x:f>
        <x:v>1.0609224922981815</x:v>
      </x:c>
      <x:c r="O7" s="66" t="n">
        <x:f>IF(L7=0,"",M7/L7)</x:f>
        <x:v>0.06092249229818138</x:v>
      </x:c>
    </x:row>
    <x:row r="8" ht="18" customHeight="1">
      <x:c r="A8" s="46" t="str">
        <x:v>Small pelagics (&lt;30 cm)</x:v>
      </x:c>
      <x:c r="B8" s="64" t="n">
        <x:v>1</x:v>
      </x:c>
      <x:c r="C8" s="64" t="n">
        <x:v>1</x:v>
      </x:c>
      <x:c r="D8" s="60" t="n">
        <x:v>0.3013019341</x:v>
      </x:c>
      <x:c r="E8" s="60" t="n">
        <x:v>0.3013019341</x:v>
      </x:c>
      <x:c r="F8" s="62" t="n">
        <x:v>0</x:v>
      </x:c>
      <x:c r="G8" s="66" t="n">
        <x:v>1</x:v>
      </x:c>
      <x:c r="H8" s="62" t="n">
        <x:f>IF(E8=0,"",I8/E8)</x:f>
        <x:v>1586.8423749532276</x:v>
      </x:c>
      <x:c r="I8" s="60" t="n">
        <x:f>SUMIF('Species'!$G$2:$G$20,A8,'Species'!$U$2:$U$20)</x:f>
        <x:v>478.11867668524485</x:v>
      </x:c>
      <x:c r="J8" s="62" t="n">
        <x:v>3.46</x:v>
      </x:c>
      <x:c r="K8" s="62" t="n">
        <x:f>IF(J8="","",(1/'Metadata'!$B$5)^(J8-1))</x:f>
        <x:v>1586.8423749532276</x:v>
      </x:c>
      <x:c r="L8" s="60" t="n">
        <x:f>IF(E8=0,"",E8*K8)</x:f>
        <x:v>478.11867668524485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</x:sheetData>
  <x:conditionalFormatting sqref="G2:G8">
    <x:cfRule type="cellIs" dxfId="2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991316d55145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LME_055</x:v>
      </x:c>
      <x:c r="B2" s="46" t="str">
        <x:v>raw_filtered_tonnes</x:v>
      </x:c>
      <x:c r="C2" s="46" t="n">
        <x:v>212.78852302800001</x:v>
      </x:c>
      <x:c r="D2" s="46" t="str">
        <x:v>tonnes</x:v>
      </x:c>
    </x:row>
    <x:row r="3" ht="18" customHeight="1">
      <x:c r="A3" s="46" t="str">
        <x:v>LME_055</x:v>
      </x:c>
      <x:c r="B3" s="46" t="str">
        <x:v>species_catch_tonnes</x:v>
      </x:c>
      <x:c r="C3" s="46" t="n">
        <x:v>212.78852302800001</x:v>
      </x:c>
      <x:c r="D3" s="46" t="str">
        <x:v>tonnes</x:v>
      </x:c>
    </x:row>
    <x:row r="4" ht="18" customHeight="1">
      <x:c r="A4" s="46" t="str">
        <x:v>LME_055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LME_055</x:v>
      </x:c>
      <x:c r="B6" s="46" t="str">
        <x:v>matched_catch_tonnes</x:v>
      </x:c>
      <x:c r="C6" s="46" t="n">
        <x:v>212.78852302800001</x:v>
      </x:c>
      <x:c r="D6" s="46" t="str">
        <x:v>tonnes</x:v>
      </x:c>
    </x:row>
    <x:row r="7" ht="18" customHeight="1">
      <x:c r="A7" s="46" t="str">
        <x:v>LME_055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LME_055</x:v>
      </x:c>
      <x:c r="B8" s="46" t="str">
        <x:v>taxa_count</x:v>
      </x:c>
      <x:c r="C8" s="46" t="n">
        <x:v>19</x:v>
      </x:c>
      <x:c r="D8" s="46" t="str">
        <x:v>count</x:v>
      </x:c>
    </x:row>
    <x:row r="9" ht="18" customHeight="1">
      <x:c r="A9" s="46" t="str">
        <x:v>LME_055</x:v>
      </x:c>
      <x:c r="B9" s="46" t="str">
        <x:v>matched_taxa_count</x:v>
      </x:c>
      <x:c r="C9" s="46" t="n">
        <x:v>19</x:v>
      </x:c>
      <x:c r="D9" s="46" t="str">
        <x:v>count</x:v>
      </x:c>
    </x:row>
    <x:row r="10" ht="18" customHeight="1">
      <x:c r="A10" s="46" t="str">
        <x:v>LME_055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LME_055</x:v>
      </x:c>
      <x:c r="B11" s="46" t="str">
        <x:v>species_ppr</x:v>
      </x:c>
      <x:c r="C11" s="46" t="n">
        <x:v>4526825.410837222</x:v>
      </x:c>
      <x:c r="D11" s="46" t="str">
        <x:v>tonnes_primary_production_equivalent</x:v>
      </x:c>
    </x:row>
    <x:row r="12" ht="18" customHeight="1">
      <x:c r="A12" s="46" t="str">
        <x:v>LME_055</x:v>
      </x:c>
      <x:c r="B12" s="46" t="str">
        <x:v>commercial_ppr</x:v>
      </x:c>
      <x:c r="C12" s="46" t="n">
        <x:v>4526825.410837219</x:v>
      </x:c>
      <x:c r="D12" s="46" t="str">
        <x:v>tonnes_primary_production_equivalent</x:v>
      </x:c>
    </x:row>
    <x:row r="13" ht="18" customHeight="1">
      <x:c r="A13" s="46" t="str">
        <x:v>LME_055</x:v>
      </x:c>
      <x:c r="B13" s="46" t="str">
        <x:v>functional_ppr</x:v>
      </x:c>
      <x:c r="C13" s="46" t="n">
        <x:v>4526825.410837221</x:v>
      </x:c>
      <x:c r="D13" s="46" t="str">
        <x:v>tonnes_primary_production_equivalent</x:v>
      </x:c>
    </x:row>
    <x:row r="14" ht="18" customHeight="1">
      <x:c r="A14" s="46" t="str">
        <x:v>LME_055</x:v>
      </x:c>
      <x:c r="B14" s="46" t="str">
        <x:v>commercial_ppr_difference</x:v>
      </x:c>
      <x:c r="C14" s="46" t="n">
        <x:v>-2.7939677238464355e-9</x:v>
      </x:c>
      <x:c r="D14" s="46" t="str">
        <x:v>tonnes_primary_production_equivalent</x:v>
      </x:c>
    </x:row>
    <x:row r="15" ht="18" customHeight="1">
      <x:c r="A15" s="46" t="str">
        <x:v>LME_055</x:v>
      </x:c>
      <x:c r="B15" s="46" t="str">
        <x:v>functional_ppr_difference</x:v>
      </x:c>
      <x:c r="C15" s="46" t="n">
        <x:v>-9.313225746154785e-10</x:v>
      </x:c>
      <x:c r="D15" s="46" t="str">
        <x:v>tonnes_primary_production_equivalent</x:v>
      </x:c>
    </x:row>
    <x:row r="16" ht="18" customHeight="1">
      <x:c r="A16" s="46" t="str">
        <x:v>LME_055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e65245d522745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LME_055 - Beaufort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