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97f47d4c884f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45803429dd34e04"/>
    <x:sheet xmlns:r="http://schemas.openxmlformats.org/officeDocument/2006/relationships" name="Commercial" sheetId="2" r:id="R95a0c709cb194410"/>
    <x:sheet xmlns:r="http://schemas.openxmlformats.org/officeDocument/2006/relationships" name="Functional" sheetId="3" r:id="Rd94a6431ecae42a5"/>
    <x:sheet xmlns:r="http://schemas.openxmlformats.org/officeDocument/2006/relationships" name="Missing TL" sheetId="4" r:id="Rb9dc40661d7a4840"/>
    <x:sheet xmlns:r="http://schemas.openxmlformats.org/officeDocument/2006/relationships" name="Validation" sheetId="5" r:id="Ra01ce8da26d94981"/>
    <x:sheet xmlns:r="http://schemas.openxmlformats.org/officeDocument/2006/relationships" name="Metadata" sheetId="6" r:id="R323b1752bcaf44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2b39130c514670" /><Relationship Type="http://schemas.openxmlformats.org/officeDocument/2006/relationships/theme" Target="/xl/theme/theme1.xml" Id="R29b87f10b539402e" /><Relationship Type="http://schemas.openxmlformats.org/officeDocument/2006/relationships/sharedStrings" Target="/xl/sharedStrings.xml" Id="R7bb5d461e1854c53" /><Relationship Type="http://schemas.openxmlformats.org/officeDocument/2006/relationships/worksheet" Target="/xl/worksheets/sheet1.xml" Id="R145803429dd34e04" /><Relationship Type="http://schemas.openxmlformats.org/officeDocument/2006/relationships/worksheet" Target="/xl/worksheets/sheet2.xml" Id="R95a0c709cb194410" /><Relationship Type="http://schemas.openxmlformats.org/officeDocument/2006/relationships/worksheet" Target="/xl/worksheets/sheet3.xml" Id="Rd94a6431ecae42a5" /><Relationship Type="http://schemas.openxmlformats.org/officeDocument/2006/relationships/worksheet" Target="/xl/worksheets/sheet4.xml" Id="Rb9dc40661d7a4840" /><Relationship Type="http://schemas.openxmlformats.org/officeDocument/2006/relationships/worksheet" Target="/xl/worksheets/sheet5.xml" Id="Ra01ce8da26d94981" /><Relationship Type="http://schemas.openxmlformats.org/officeDocument/2006/relationships/worksheet" Target="/xl/worksheets/sheet6.xml" Id="R323b1752bcaf4477" /></Relationships>
</file>

<file path=xl/tables/table1.xml><?xml version="1.0" encoding="utf-8"?>
<x:table xmlns:x="http://schemas.openxmlformats.org/spreadsheetml/2006/main" id="1" name="LME003SpeciesTable" displayName="LME003SpeciesTable" ref="A1:U278" headerRowCount="1" totalsRowCount="0" totalsRowShown="0">
  <x:autoFilter ref="A1:U27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03CommercialTable" displayName="LME003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03FunctionalTable" displayName="LME003FunctionalTable" ref="A1:O26" headerRowCount="1" totalsRowCount="0" totalsRowShown="0">
  <x:autoFilter ref="A1:O2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03ValidationTable" displayName="LME003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cc74a8c58448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a4f4a53d1c24b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1eac74d965944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cf1bdb9c4b4d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LME_003</x:v>
      </x:c>
      <x:c r="B2" s="46" t="str">
        <x:v>California Current</x:v>
      </x:c>
      <x:c r="C2" s="46" t="str">
        <x:v>LME</x:v>
      </x:c>
      <x:c r="D2" s="58" t="n">
        <x:v>2019</x:v>
      </x:c>
      <x:c r="E2" s="46" t="str">
        <x:v>Merluccius productus</x:v>
      </x:c>
      <x:c r="F2" s="46" t="str">
        <x:v>North Pacific hake</x:v>
      </x:c>
      <x:c r="G2" s="46" t="str">
        <x:v>Medium benthopelagics (30 - 89 cm)</x:v>
      </x:c>
      <x:c r="H2" s="46" t="str">
        <x:v>Cod-likes</x:v>
      </x:c>
      <x:c r="I2" s="60" t="n">
        <x:v>296455.4374190763</x:v>
      </x:c>
      <x:c r="J2" s="60" t="n">
        <x:v>287885.1968204624</x:v>
      </x:c>
      <x:c r="K2" s="60" t="n">
        <x:v>8570.2405986139</x:v>
      </x:c>
      <x:c r="L2" s="60" t="n">
        <x:v>286683.4318935448</x:v>
      </x:c>
      <x:c r="M2" s="60" t="n">
        <x:v>9772.0055255315</x:v>
      </x:c>
      <x:c r="N2" s="46" t="str">
        <x:v>merluccius productus</x:v>
      </x:c>
      <x:c r="O2" s="62" t="n">
        <x:v>4.35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Merluccius productus</x:v>
      </x:c>
      <x:c r="T2" s="62" t="n">
        <x:f>IF(O2="","",(1/'Metadata'!$B$5)^(O2-1))</x:f>
        <x:v>22827.086550132422</x:v>
      </x:c>
      <x:c r="U2" s="60" t="n">
        <x:f>IF(T2="","",I2*T2)</x:f>
        <x:v>6767213928.22262</x:v>
      </x:c>
    </x:row>
    <x:row r="3" ht="18" customHeight="1">
      <x:c r="A3" s="46" t="str">
        <x:v>LME_003</x:v>
      </x:c>
      <x:c r="B3" s="46" t="str">
        <x:v>California Current</x:v>
      </x:c>
      <x:c r="C3" s="46" t="str">
        <x:v>LME</x:v>
      </x:c>
      <x:c r="D3" s="58" t="n">
        <x:v>2019</x:v>
      </x:c>
      <x:c r="E3" s="46" t="str">
        <x:v>Actinopterygii</x:v>
      </x:c>
      <x:c r="F3" s="46" t="str">
        <x:v>Ray-finned fishes</x:v>
      </x:c>
      <x:c r="G3" s="46" t="str">
        <x:v>Medium demersals (30 - 89 cm)</x:v>
      </x:c>
      <x:c r="H3" s="46" t="str">
        <x:v>Other fishes &amp; inverts</x:v>
      </x:c>
      <x:c r="I3" s="60" t="n">
        <x:v>73148.2556770553</x:v>
      </x:c>
      <x:c r="J3" s="60" t="n">
        <x:v>56873.555358537495</x:v>
      </x:c>
      <x:c r="K3" s="60" t="n">
        <x:v>16274.7003185178</x:v>
      </x:c>
      <x:c r="L3" s="60" t="n">
        <x:v>7.2863910656</x:v>
      </x:c>
      <x:c r="M3" s="60" t="n">
        <x:v>73140.9692859897</x:v>
      </x:c>
      <x:c r="N3" s="46" t="str">
        <x:v>actinopterygii</x:v>
      </x:c>
      <x:c r="O3" s="62" t="n">
        <x:v>3.79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Actinopterygii</x:v>
      </x:c>
      <x:c r="T3" s="62" t="n">
        <x:f>IF(O3="","",(1/'Metadata'!$B$5)^(O3-1))</x:f>
        <x:v>4264.554685980751</x:v>
      </x:c>
      <x:c r="U3" s="60" t="n">
        <x:f>IF(T3="","",I3*T3)</x:f>
        <x:v>311944736.51890427</x:v>
      </x:c>
    </x:row>
    <x:row r="4" ht="18" customHeight="1">
      <x:c r="A4" s="46" t="str">
        <x:v>LME_003</x:v>
      </x:c>
      <x:c r="B4" s="46" t="str">
        <x:v>California Current</x:v>
      </x:c>
      <x:c r="C4" s="46" t="str">
        <x:v>LME</x:v>
      </x:c>
      <x:c r="D4" s="58" t="n">
        <x:v>2019</x:v>
      </x:c>
      <x:c r="E4" s="46" t="str">
        <x:v>Marine finfishes not identified</x:v>
      </x:c>
      <x:c r="F4" s="46" t="str">
        <x:v>Finfishes</x:v>
      </x:c>
      <x:c r="G4" s="46" t="str">
        <x:v>Medium demersals (30 - 89 cm)</x:v>
      </x:c>
      <x:c r="H4" s="46" t="str">
        <x:v>Other fishes &amp; inverts</x:v>
      </x:c>
      <x:c r="I4" s="60" t="n">
        <x:v>70988.9996407476</x:v>
      </x:c>
      <x:c r="J4" s="60" t="n">
        <x:v>61553.1619668728</x:v>
      </x:c>
      <x:c r="K4" s="60" t="n">
        <x:v>9435.8376738748</x:v>
      </x:c>
      <x:c r="L4" s="60" t="n">
        <x:v>11691.2665726158</x:v>
      </x:c>
      <x:c r="M4" s="60" t="n">
        <x:v>59297.7330681318</x:v>
      </x:c>
      <x:c r="N4" s="46" t="str">
        <x:v>marine finfishes not identified</x:v>
      </x:c>
      <x:c r="O4" s="62" t="n">
        <x:v>3.23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finfishes not identified</x:v>
      </x:c>
      <x:c r="T4" s="62" t="n">
        <x:f>IF(O4="","",(1/'Metadata'!$B$5)^(O4-1))</x:f>
        <x:v>796.7038031673321</x:v>
      </x:c>
      <x:c r="U4" s="60" t="n">
        <x:f>IF(T4="","",I4*T4)</x:f>
        <x:v>56557205.99682799</x:v>
      </x:c>
    </x:row>
    <x:row r="5" ht="18" customHeight="1">
      <x:c r="A5" s="46" t="str">
        <x:v>LME_003</x:v>
      </x:c>
      <x:c r="B5" s="46" t="str">
        <x:v>California Current</x:v>
      </x:c>
      <x:c r="C5" s="46" t="str">
        <x:v>LME</x:v>
      </x:c>
      <x:c r="D5" s="58" t="n">
        <x:v>2019</x:v>
      </x:c>
      <x:c r="E5" s="46" t="str">
        <x:v>Opisthonema libertate</x:v>
      </x:c>
      <x:c r="F5" s="46" t="str">
        <x:v>Pacific thread herring</x:v>
      </x:c>
      <x:c r="G5" s="46" t="str">
        <x:v>Small pelagics (&lt;30 cm)</x:v>
      </x:c>
      <x:c r="H5" s="46" t="str">
        <x:v>Herring-likes</x:v>
      </x:c>
      <x:c r="I5" s="60" t="n">
        <x:v>48608.5704892293</x:v>
      </x:c>
      <x:c r="J5" s="60" t="n">
        <x:v>48608.5704892293</x:v>
      </x:c>
      <x:c r="K5" s="60" t="n">
        <x:v>0</x:v>
      </x:c>
      <x:c r="L5" s="60" t="n">
        <x:v>48608.5704892293</x:v>
      </x:c>
      <x:c r="M5" s="60" t="n">
        <x:v>0</x:v>
      </x:c>
      <x:c r="N5" s="46" t="str">
        <x:v>opisthonema libertate</x:v>
      </x:c>
      <x:c r="O5" s="62" t="n">
        <x:v>2.89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Opisthonema libertate</x:v>
      </x:c>
      <x:c r="T5" s="62" t="n">
        <x:f>IF(O5="","",(1/'Metadata'!$B$5)^(O5-1))</x:f>
        <x:v>287.70452453798737</x:v>
      </x:c>
      <x:c r="U5" s="60" t="n">
        <x:f>IF(T5="","",I5*T5)</x:f>
        <x:v>13984905.66107496</x:v>
      </x:c>
    </x:row>
    <x:row r="6" ht="18" customHeight="1">
      <x:c r="A6" s="46" t="str">
        <x:v>LME_003</x:v>
      </x:c>
      <x:c r="B6" s="46" t="str">
        <x:v>California Current</x:v>
      </x:c>
      <x:c r="C6" s="46" t="str">
        <x:v>LME</x:v>
      </x:c>
      <x:c r="D6" s="58" t="n">
        <x:v>2019</x:v>
      </x:c>
      <x:c r="E6" s="46" t="str">
        <x:v>Cetengraulis mysticetus</x:v>
      </x:c>
      <x:c r="F6" s="46" t="str">
        <x:v>Pacific anchoveta</x:v>
      </x:c>
      <x:c r="G6" s="46" t="str">
        <x:v>Small pelagics (&lt;30 cm)</x:v>
      </x:c>
      <x:c r="H6" s="46" t="str">
        <x:v>Anchovies</x:v>
      </x:c>
      <x:c r="I6" s="60" t="n">
        <x:v>43429.4487376464</x:v>
      </x:c>
      <x:c r="J6" s="60" t="n">
        <x:v>43429.4487376464</x:v>
      </x:c>
      <x:c r="K6" s="60" t="n">
        <x:v>0</x:v>
      </x:c>
      <x:c r="L6" s="60" t="n">
        <x:v>43429.4487376464</x:v>
      </x:c>
      <x:c r="M6" s="60" t="n">
        <x:v>0</x:v>
      </x:c>
      <x:c r="N6" s="46" t="str">
        <x:v>cetengraulis mysticetus</x:v>
      </x:c>
      <x:c r="O6" s="62" t="n">
        <x:v>2.47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Cetengraulis mysticetus</x:v>
      </x:c>
      <x:c r="T6" s="62" t="n">
        <x:f>IF(O6="","",(1/'Metadata'!$B$5)^(O6-1))</x:f>
        <x:v>81.75495684463867</x:v>
      </x:c>
      <x:c r="U6" s="60" t="n">
        <x:f>IF(T6="","",I6*T6)</x:f>
        <x:v>3550572.707332729</x:v>
      </x:c>
    </x:row>
    <x:row r="7" ht="18" customHeight="1">
      <x:c r="A7" s="46" t="str">
        <x:v>LME_003</x:v>
      </x:c>
      <x:c r="B7" s="46" t="str">
        <x:v>California Current</x:v>
      </x:c>
      <x:c r="C7" s="46" t="str">
        <x:v>LME</x:v>
      </x:c>
      <x:c r="D7" s="58" t="n">
        <x:v>2019</x:v>
      </x:c>
      <x:c r="E7" s="46" t="str">
        <x:v>Engraulis mordax</x:v>
      </x:c>
      <x:c r="F7" s="46" t="str">
        <x:v>Californian anchovy</x:v>
      </x:c>
      <x:c r="G7" s="46" t="str">
        <x:v>Small pelagics (&lt;30 cm)</x:v>
      </x:c>
      <x:c r="H7" s="46" t="str">
        <x:v>Anchovies</x:v>
      </x:c>
      <x:c r="I7" s="60" t="n">
        <x:v>42586.4515851553</x:v>
      </x:c>
      <x:c r="J7" s="60" t="n">
        <x:v>42586.4113532204</x:v>
      </x:c>
      <x:c r="K7" s="60" t="n">
        <x:v>0.0402319349</x:v>
      </x:c>
      <x:c r="L7" s="60" t="n">
        <x:v>42586.4105458299</x:v>
      </x:c>
      <x:c r="M7" s="60" t="n">
        <x:v>0.0410393254</x:v>
      </x:c>
      <x:c r="N7" s="46" t="str">
        <x:v>engraulis mordax</x:v>
      </x:c>
      <x:c r="O7" s="62" t="n">
        <x:v>2.97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Engraulis mordax</x:v>
      </x:c>
      <x:c r="T7" s="62" t="n">
        <x:f>IF(O7="","",(1/'Metadata'!$B$5)^(O7-1))</x:f>
        <x:v>365.61928200434755</x:v>
      </x:c>
      <x:c r="U7" s="60" t="n">
        <x:f>IF(T7="","",I7*T7)</x:f>
        <x:v>15570427.85167739</x:v>
      </x:c>
    </x:row>
    <x:row r="8" ht="18" customHeight="1">
      <x:c r="A8" s="46" t="str">
        <x:v>LME_003</x:v>
      </x:c>
      <x:c r="B8" s="46" t="str">
        <x:v>California Current</x:v>
      </x:c>
      <x:c r="C8" s="46" t="str">
        <x:v>LME</x:v>
      </x:c>
      <x:c r="D8" s="58" t="n">
        <x:v>2019</x:v>
      </x:c>
      <x:c r="E8" s="46" t="str">
        <x:v>Stomolophus</x:v>
      </x:c>
      <x:c r="F8" s="46" t="str">
        <x:v>Cannonball jellies</x:v>
      </x:c>
      <x:c r="G8" s="46" t="str">
        <x:v>Jellyfish</x:v>
      </x:c>
      <x:c r="H8" s="46" t="str">
        <x:v>Other fishes &amp; inverts</x:v>
      </x:c>
      <x:c r="I8" s="60" t="n">
        <x:v>41355.7697874074</x:v>
      </x:c>
      <x:c r="J8" s="60" t="n">
        <x:v>41355.7697874074</x:v>
      </x:c>
      <x:c r="K8" s="60" t="n">
        <x:v>0</x:v>
      </x:c>
      <x:c r="L8" s="60" t="n">
        <x:v>13313.531839609499</x:v>
      </x:c>
      <x:c r="M8" s="60" t="n">
        <x:v>28042.2379477979</x:v>
      </x:c>
      <x:c r="N8" s="46" t="str">
        <x:v>stomolophus</x:v>
      </x:c>
      <x:c r="O8" s="62" t="n">
        <x:v>3.46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Stomolophus</x:v>
      </x:c>
      <x:c r="T8" s="62" t="n">
        <x:f>IF(O8="","",(1/'Metadata'!$B$5)^(O8-1))</x:f>
        <x:v>1586.8423749532276</x:v>
      </x:c>
      <x:c r="U8" s="60" t="n">
        <x:f>IF(T8="","",I8*T8)</x:f>
        <x:v>65625087.9474685</x:v>
      </x:c>
    </x:row>
    <x:row r="9" ht="18" customHeight="1">
      <x:c r="A9" s="46" t="str">
        <x:v>LME_003</x:v>
      </x:c>
      <x:c r="B9" s="46" t="str">
        <x:v>California Current</x:v>
      </x:c>
      <x:c r="C9" s="46" t="str">
        <x:v>LME</x:v>
      </x:c>
      <x:c r="D9" s="58" t="n">
        <x:v>2019</x:v>
      </x:c>
      <x:c r="E9" s="46" t="str">
        <x:v>Scomber japonicus</x:v>
      </x:c>
      <x:c r="F9" s="46" t="str">
        <x:v>Pacific chub mackerel</x:v>
      </x:c>
      <x:c r="G9" s="46" t="str">
        <x:v>Medium pelagics (30 - 89 cm)</x:v>
      </x:c>
      <x:c r="H9" s="46" t="str">
        <x:v>Perch-likes</x:v>
      </x:c>
      <x:c r="I9" s="60" t="n">
        <x:v>37651.152602539805</x:v>
      </x:c>
      <x:c r="J9" s="60" t="n">
        <x:v>37638.2305851166</x:v>
      </x:c>
      <x:c r="K9" s="60" t="n">
        <x:v>12.9220174232</x:v>
      </x:c>
      <x:c r="L9" s="60" t="n">
        <x:v>37578.323222753104</x:v>
      </x:c>
      <x:c r="M9" s="60" t="n">
        <x:v>72.8293797867</x:v>
      </x:c>
      <x:c r="N9" s="46" t="str">
        <x:v>scomber japonicus</x:v>
      </x:c>
      <x:c r="O9" s="62" t="n">
        <x:v>3.38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Scomber japonicus</x:v>
      </x:c>
      <x:c r="T9" s="62" t="n">
        <x:f>IF(O9="","",(1/'Metadata'!$B$5)^(O9-1))</x:f>
        <x:v>1248.6806726928048</x:v>
      </x:c>
      <x:c r="U9" s="60" t="n">
        <x:f>IF(T9="","",I9*T9)</x:f>
        <x:v>47014266.55939885</x:v>
      </x:c>
    </x:row>
    <x:row r="10" ht="18" customHeight="1">
      <x:c r="A10" s="46" t="str">
        <x:v>LME_003</x:v>
      </x:c>
      <x:c r="B10" s="46" t="str">
        <x:v>California Current</x:v>
      </x:c>
      <x:c r="C10" s="46" t="str">
        <x:v>LME</x:v>
      </x:c>
      <x:c r="D10" s="58" t="n">
        <x:v>2019</x:v>
      </x:c>
      <x:c r="E10" s="46" t="str">
        <x:v>Marine fishes not identified</x:v>
      </x:c>
      <x:c r="F10" s="46" t="str">
        <x:v>Marine fishes nei</x:v>
      </x:c>
      <x:c r="G10" s="46" t="str">
        <x:v>Medium demersals (30 - 89 cm)</x:v>
      </x:c>
      <x:c r="H10" s="46" t="str">
        <x:v>Other fishes &amp; inverts</x:v>
      </x:c>
      <x:c r="I10" s="60" t="n">
        <x:v>36533.0244594974</x:v>
      </x:c>
      <x:c r="J10" s="60" t="n">
        <x:v>26149.8158863983</x:v>
      </x:c>
      <x:c r="K10" s="60" t="n">
        <x:v>10383.2085730991</x:v>
      </x:c>
      <x:c r="L10" s="60" t="n">
        <x:v>21170.0716372506</x:v>
      </x:c>
      <x:c r="M10" s="60" t="n">
        <x:v>15362.9528222468</x:v>
      </x:c>
      <x:c r="N10" s="46" t="str">
        <x:v>marine fishes not identified</x:v>
      </x:c>
      <x:c r="O10" s="62" t="n">
        <x:v>3.28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Marine fishes not identified</x:v>
      </x:c>
      <x:c r="T10" s="62" t="n">
        <x:f>IF(O10="","",(1/'Metadata'!$B$5)^(O10-1))</x:f>
        <x:v>925.4402624666747</x:v>
      </x:c>
      <x:c r="U10" s="60" t="n">
        <x:f>IF(T10="","",I10*T10)</x:f>
        <x:v>33809131.744498715</x:v>
      </x:c>
    </x:row>
    <x:row r="11" ht="18" customHeight="1">
      <x:c r="A11" s="46" t="str">
        <x:v>LME_003</x:v>
      </x:c>
      <x:c r="B11" s="46" t="str">
        <x:v>California Current</x:v>
      </x:c>
      <x:c r="C11" s="46" t="str">
        <x:v>LME</x:v>
      </x:c>
      <x:c r="D11" s="58" t="n">
        <x:v>2019</x:v>
      </x:c>
      <x:c r="E11" s="46" t="str">
        <x:v>Sardinops sagax</x:v>
      </x:c>
      <x:c r="F11" s="46" t="str">
        <x:v>South American pilchard</x:v>
      </x:c>
      <x:c r="G11" s="46" t="str">
        <x:v>Medium pelagics (30 - 89 cm)</x:v>
      </x:c>
      <x:c r="H11" s="46" t="str">
        <x:v>Herring-likes</x:v>
      </x:c>
      <x:c r="I11" s="60" t="n">
        <x:v>35933.6616488165</x:v>
      </x:c>
      <x:c r="J11" s="60" t="n">
        <x:v>35933.6062707201</x:v>
      </x:c>
      <x:c r="K11" s="60" t="n">
        <x:v>0.0553780964</x:v>
      </x:c>
      <x:c r="L11" s="60" t="n">
        <x:v>35855.6859563918</x:v>
      </x:c>
      <x:c r="M11" s="60" t="n">
        <x:v>77.97569242470001</x:v>
      </x:c>
      <x:c r="N11" s="46" t="str">
        <x:v>sardinops sagax</x:v>
      </x:c>
      <x:c r="O11" s="62" t="n">
        <x:v>2.84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Sardinops sagax</x:v>
      </x:c>
      <x:c r="T11" s="62" t="n">
        <x:f>IF(O11="","",(1/'Metadata'!$B$5)^(O11-1))</x:f>
        <x:v>247.68242552675557</x:v>
      </x:c>
      <x:c r="U11" s="60" t="n">
        <x:f>IF(T11="","",I11*T11)</x:f>
        <x:v>8900136.475236626</x:v>
      </x:c>
    </x:row>
    <x:row r="12" ht="18" customHeight="1">
      <x:c r="A12" s="46" t="str">
        <x:v>LME_003</x:v>
      </x:c>
      <x:c r="B12" s="46" t="str">
        <x:v>California Current</x:v>
      </x:c>
      <x:c r="C12" s="46" t="str">
        <x:v>LME</x:v>
      </x:c>
      <x:c r="D12" s="58" t="n">
        <x:v>2019</x:v>
      </x:c>
      <x:c r="E12" s="46" t="str">
        <x:v>Metacarcinus magister</x:v>
      </x:c>
      <x:c r="F12" s="46" t="str">
        <x:v>Dungeness crab</x:v>
      </x:c>
      <x:c r="G12" s="46" t="str">
        <x:v>Lobsters, crabs</x:v>
      </x:c>
      <x:c r="H12" s="46" t="str">
        <x:v>Crustaceans</x:v>
      </x:c>
      <x:c r="I12" s="60" t="n">
        <x:v>23235.8766635545</x:v>
      </x:c>
      <x:c r="J12" s="60" t="n">
        <x:v>23235.8766635545</x:v>
      </x:c>
      <x:c r="K12" s="60" t="n">
        <x:v>0</x:v>
      </x:c>
      <x:c r="L12" s="60" t="n">
        <x:v>21915.3055897257</x:v>
      </x:c>
      <x:c r="M12" s="60" t="n">
        <x:v>1320.5710738288</x:v>
      </x:c>
      <x:c r="N12" s="46" t="str">
        <x:v>metacarcinus magister</x:v>
      </x:c>
      <x:c r="O12" s="62" t="n">
        <x:v>4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Metacarcinus magister</x:v>
      </x:c>
      <x:c r="T12" s="62" t="n">
        <x:f>IF(O12="","",(1/'Metadata'!$B$5)^(O12-1))</x:f>
        <x:v>8000</x:v>
      </x:c>
      <x:c r="U12" s="60" t="n">
        <x:f>IF(T12="","",I12*T12)</x:f>
        <x:v>185887013.308436</x:v>
      </x:c>
    </x:row>
    <x:row r="13" ht="18" customHeight="1">
      <x:c r="A13" s="46" t="str">
        <x:v>LME_003</x:v>
      </x:c>
      <x:c r="B13" s="46" t="str">
        <x:v>California Current</x:v>
      </x:c>
      <x:c r="C13" s="46" t="str">
        <x:v>LME</x:v>
      </x:c>
      <x:c r="D13" s="58" t="n">
        <x:v>2019</x:v>
      </x:c>
      <x:c r="E13" s="46" t="str">
        <x:v>Doryteuthis opalescens</x:v>
      </x:c>
      <x:c r="F13" s="46" t="str">
        <x:v>California market squid</x:v>
      </x:c>
      <x:c r="G13" s="46" t="str">
        <x:v>Cephalopods</x:v>
      </x:c>
      <x:c r="H13" s="46" t="str">
        <x:v>Other fishes &amp; inverts</x:v>
      </x:c>
      <x:c r="I13" s="60" t="n">
        <x:v>19028.2175641215</x:v>
      </x:c>
      <x:c r="J13" s="60" t="n">
        <x:v>19028.2175641215</x:v>
      </x:c>
      <x:c r="K13" s="60" t="n">
        <x:v>0</x:v>
      </x:c>
      <x:c r="L13" s="60" t="n">
        <x:v>19028.2175641215</x:v>
      </x:c>
      <x:c r="M13" s="60" t="n">
        <x:v>0</x:v>
      </x:c>
      <x:c r="N13" s="46" t="str">
        <x:v>doryteuthis opalescens</x:v>
      </x:c>
      <x:c r="O13" s="62" t="n">
        <x:v>3.86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Doryteuthis opalescens</x:v>
      </x:c>
      <x:c r="T13" s="62" t="n">
        <x:f>IF(O13="","",(1/'Metadata'!$B$5)^(O13-1))</x:f>
        <x:v>5259.51608454905</x:v>
      </x:c>
      <x:c r="U13" s="60" t="n">
        <x:f>IF(T13="","",I13*T13)</x:f>
        <x:v>100079216.33879577</x:v>
      </x:c>
    </x:row>
    <x:row r="14" ht="18" customHeight="1">
      <x:c r="A14" s="46" t="str">
        <x:v>LME_003</x:v>
      </x:c>
      <x:c r="B14" s="46" t="str">
        <x:v>California Current</x:v>
      </x:c>
      <x:c r="C14" s="46" t="str">
        <x:v>LME</x:v>
      </x:c>
      <x:c r="D14" s="58" t="n">
        <x:v>2019</x:v>
      </x:c>
      <x:c r="E14" s="46" t="str">
        <x:v>Pandalus jordani</x:v>
      </x:c>
      <x:c r="F14" s="46" t="str">
        <x:v>Ocean shrimp</x:v>
      </x:c>
      <x:c r="G14" s="46" t="str">
        <x:v>Shrimps</x:v>
      </x:c>
      <x:c r="H14" s="46" t="str">
        <x:v>Crustaceans</x:v>
      </x:c>
      <x:c r="I14" s="60" t="n">
        <x:v>13374.7415280945</x:v>
      </x:c>
      <x:c r="J14" s="60" t="n">
        <x:v>13374.7415280945</x:v>
      </x:c>
      <x:c r="K14" s="60" t="n">
        <x:v>0</x:v>
      </x:c>
      <x:c r="L14" s="60" t="n">
        <x:v>13374.7415280945</x:v>
      </x:c>
      <x:c r="M14" s="60" t="n">
        <x:v>0</x:v>
      </x:c>
      <x:c r="N14" s="46" t="str">
        <x:v>pandalus jordani</x:v>
      </x:c>
      <x:c r="O14" s="62" t="n">
        <x:v>3.23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Pandalus jordani</x:v>
      </x:c>
      <x:c r="T14" s="62" t="n">
        <x:f>IF(O14="","",(1/'Metadata'!$B$5)^(O14-1))</x:f>
        <x:v>796.7038031673321</x:v>
      </x:c>
      <x:c r="U14" s="60" t="n">
        <x:f>IF(T14="","",I14*T14)</x:f>
        <x:v>10655707.441812944</x:v>
      </x:c>
    </x:row>
    <x:row r="15" ht="18" customHeight="1">
      <x:c r="A15" s="46" t="str">
        <x:v>LME_003</x:v>
      </x:c>
      <x:c r="B15" s="46" t="str">
        <x:v>California Current</x:v>
      </x:c>
      <x:c r="C15" s="46" t="str">
        <x:v>LME</x:v>
      </x:c>
      <x:c r="D15" s="58" t="n">
        <x:v>2019</x:v>
      </x:c>
      <x:c r="E15" s="46" t="str">
        <x:v>Clupeiformes</x:v>
      </x:c>
      <x:c r="F15" s="46" t="str">
        <x:v>Herrings, shads, anchovies</x:v>
      </x:c>
      <x:c r="G15" s="46" t="str">
        <x:v>Small pelagics (&lt;30 cm)</x:v>
      </x:c>
      <x:c r="H15" s="46" t="str">
        <x:v>Other fishes &amp; inverts</x:v>
      </x:c>
      <x:c r="I15" s="60" t="n">
        <x:v>11592.6570575893</x:v>
      </x:c>
      <x:c r="J15" s="60" t="n">
        <x:v>11592.6570575893</x:v>
      </x:c>
      <x:c r="K15" s="60" t="n">
        <x:v>0</x:v>
      </x:c>
      <x:c r="L15" s="60" t="n">
        <x:v>11592.6570575893</x:v>
      </x:c>
      <x:c r="M15" s="60" t="n">
        <x:v>0</x:v>
      </x:c>
      <x:c r="N15" s="46" t="str">
        <x:v>clupeiformes</x:v>
      </x:c>
      <x:c r="O15" s="62" t="n">
        <x:v>3.24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Clupeiformes</x:v>
      </x:c>
      <x:c r="T15" s="62" t="n">
        <x:f>IF(O15="","",(1/'Metadata'!$B$5)^(O15-1))</x:f>
        <x:v>820.9320103116679</x:v>
      </x:c>
      <x:c r="U15" s="60" t="n">
        <x:f>IF(T15="","",I15*T15)</x:f>
        <x:v>9516783.26314053</x:v>
      </x:c>
    </x:row>
    <x:row r="16" ht="18" customHeight="1">
      <x:c r="A16" s="46" t="str">
        <x:v>LME_003</x:v>
      </x:c>
      <x:c r="B16" s="46" t="str">
        <x:v>California Current</x:v>
      </x:c>
      <x:c r="C16" s="46" t="str">
        <x:v>LME</x:v>
      </x:c>
      <x:c r="D16" s="58" t="n">
        <x:v>2019</x:v>
      </x:c>
      <x:c r="E16" s="46" t="str">
        <x:v>Elasmobranchii</x:v>
      </x:c>
      <x:c r="F16" s="46" t="str">
        <x:v>Sharks, rays, skates</x:v>
      </x:c>
      <x:c r="G16" s="46" t="str">
        <x:v>Large sharks (&gt;=90 cm)</x:v>
      </x:c>
      <x:c r="H16" s="46" t="str">
        <x:v>Sharks &amp; rays</x:v>
      </x:c>
      <x:c r="I16" s="60" t="n">
        <x:v>10164.7627157677</x:v>
      </x:c>
      <x:c r="J16" s="60" t="n">
        <x:v>10095.6208797606</x:v>
      </x:c>
      <x:c r="K16" s="60" t="n">
        <x:v>69.1418360071</x:v>
      </x:c>
      <x:c r="L16" s="60" t="n">
        <x:v>7638.1256641807</x:v>
      </x:c>
      <x:c r="M16" s="60" t="n">
        <x:v>2526.6370515870003</x:v>
      </x:c>
      <x:c r="N16" s="46" t="str">
        <x:v>elasmobranchii</x:v>
      </x:c>
      <x:c r="O16" s="62" t="n">
        <x:v>4.05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Elasmobranchii</x:v>
      </x:c>
      <x:c r="T16" s="62" t="n">
        <x:f>IF(O16="","",(1/'Metadata'!$B$5)^(O16-1))</x:f>
        <x:v>9292.690797132333</x:v>
      </x:c>
      <x:c r="U16" s="60" t="n">
        <x:f>IF(T16="","",I16*T16)</x:f>
        <x:v>94457996.94384836</x:v>
      </x:c>
    </x:row>
    <x:row r="17" ht="18" customHeight="1">
      <x:c r="A17" s="46" t="str">
        <x:v>LME_003</x:v>
      </x:c>
      <x:c r="B17" s="46" t="str">
        <x:v>California Current</x:v>
      </x:c>
      <x:c r="C17" s="46" t="str">
        <x:v>LME</x:v>
      </x:c>
      <x:c r="D17" s="58" t="n">
        <x:v>2019</x:v>
      </x:c>
      <x:c r="E17" s="46" t="str">
        <x:v>Stomolophus meleagris</x:v>
      </x:c>
      <x:c r="F17" s="46" t="str">
        <x:v>Cannonball jellyfish</x:v>
      </x:c>
      <x:c r="G17" s="46" t="str">
        <x:v>Jellyfish</x:v>
      </x:c>
      <x:c r="H17" s="46" t="str">
        <x:v>Other fishes &amp; inverts</x:v>
      </x:c>
      <x:c r="I17" s="60" t="n">
        <x:v>9321.0595956556</x:v>
      </x:c>
      <x:c r="J17" s="60" t="n">
        <x:v>9321.0595956556</x:v>
      </x:c>
      <x:c r="K17" s="60" t="n">
        <x:v>0</x:v>
      </x:c>
      <x:c r="L17" s="60" t="n">
        <x:v>9113.5846003358</x:v>
      </x:c>
      <x:c r="M17" s="60" t="n">
        <x:v>207.4749953198</x:v>
      </x:c>
      <x:c r="N17" s="46" t="str">
        <x:v>stomolophus meleagris</x:v>
      </x:c>
      <x:c r="O17" s="62" t="n">
        <x:v>3.34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Stomolophus meleagris</x:v>
      </x:c>
      <x:c r="T17" s="62" t="n">
        <x:f>IF(O17="","",(1/'Metadata'!$B$5)^(O17-1))</x:f>
        <x:v>1107.6694806197092</x:v>
      </x:c>
      <x:c r="U17" s="60" t="n">
        <x:f>IF(T17="","",I17*T17)</x:f>
        <x:v>10324653.241145197</x:v>
      </x:c>
    </x:row>
    <x:row r="18" ht="18" customHeight="1">
      <x:c r="A18" s="46" t="str">
        <x:v>LME_003</x:v>
      </x:c>
      <x:c r="B18" s="46" t="str">
        <x:v>California Current</x:v>
      </x:c>
      <x:c r="C18" s="46" t="str">
        <x:v>LME</x:v>
      </x:c>
      <x:c r="D18" s="58" t="n">
        <x:v>2019</x:v>
      </x:c>
      <x:c r="E18" s="46" t="str">
        <x:v>Megastraea undosa</x:v>
      </x:c>
      <x:c r="F18" s="46" t="str">
        <x:v>Wavy turban</x:v>
      </x:c>
      <x:c r="G18" s="46" t="str">
        <x:v>Other demersal invertebrates</x:v>
      </x:c>
      <x:c r="H18" s="46" t="str">
        <x:v>Molluscs</x:v>
      </x:c>
      <x:c r="I18" s="60" t="n">
        <x:v>8038.8978171836</x:v>
      </x:c>
      <x:c r="J18" s="60" t="n">
        <x:v>8038.8978171836</x:v>
      </x:c>
      <x:c r="K18" s="60" t="n">
        <x:v>0</x:v>
      </x:c>
      <x:c r="L18" s="60" t="n">
        <x:v>5981.4585805378</x:v>
      </x:c>
      <x:c r="M18" s="60" t="n">
        <x:v>2057.4392366458</x:v>
      </x:c>
      <x:c r="N18" s="46" t="str">
        <x:v>megastraea undosa</x:v>
      </x:c>
      <x:c r="O18" s="62" t="n">
        <x:v>2.37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Megastraea undosa</x:v>
      </x:c>
      <x:c r="T18" s="62" t="n">
        <x:f>IF(O18="","",(1/'Metadata'!$B$5)^(O18-1))</x:f>
        <x:v>60.59141490281355</x:v>
      </x:c>
      <x:c r="U18" s="60" t="n">
        <x:f>IF(T18="","",I18*T18)</x:f>
        <x:v>487088.19300229364</x:v>
      </x:c>
    </x:row>
    <x:row r="19" ht="18" customHeight="1">
      <x:c r="A19" s="46" t="str">
        <x:v>LME_003</x:v>
      </x:c>
      <x:c r="B19" s="46" t="str">
        <x:v>California Current</x:v>
      </x:c>
      <x:c r="C19" s="46" t="str">
        <x:v>LME</x:v>
      </x:c>
      <x:c r="D19" s="58" t="n">
        <x:v>2019</x:v>
      </x:c>
      <x:c r="E19" s="46" t="str">
        <x:v>Sebastes entomelas</x:v>
      </x:c>
      <x:c r="F19" s="46" t="str">
        <x:v>Widow rockfish</x:v>
      </x:c>
      <x:c r="G19" s="46" t="str">
        <x:v>Medium pelagics (30 - 89 cm)</x:v>
      </x:c>
      <x:c r="H19" s="46" t="str">
        <x:v>Scorpionfishes</x:v>
      </x:c>
      <x:c r="I19" s="60" t="n">
        <x:v>7925.725097975</x:v>
      </x:c>
      <x:c r="J19" s="60" t="n">
        <x:v>7848.5237704441</x:v>
      </x:c>
      <x:c r="K19" s="60" t="n">
        <x:v>77.2013275309</x:v>
      </x:c>
      <x:c r="L19" s="60" t="n">
        <x:v>7848.4052234387</x:v>
      </x:c>
      <x:c r="M19" s="60" t="n">
        <x:v>77.3198745363</x:v>
      </x:c>
      <x:c r="N19" s="46" t="str">
        <x:v>sebastes entomelas</x:v>
      </x:c>
      <x:c r="O19" s="62" t="n">
        <x:v>3.7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Sebastes entomelas</x:v>
      </x:c>
      <x:c r="T19" s="62" t="n">
        <x:f>IF(O19="","",(1/'Metadata'!$B$5)^(O19-1))</x:f>
        <x:v>3256.724252295237</x:v>
      </x:c>
      <x:c r="U19" s="60" t="n">
        <x:f>IF(T19="","",I19*T19)</x:f>
        <x:v>25811901.143600225</x:v>
      </x:c>
    </x:row>
    <x:row r="20" ht="18" customHeight="1">
      <x:c r="A20" s="46" t="str">
        <x:v>LME_003</x:v>
      </x:c>
      <x:c r="B20" s="46" t="str">
        <x:v>California Current</x:v>
      </x:c>
      <x:c r="C20" s="46" t="str">
        <x:v>LME</x:v>
      </x:c>
      <x:c r="D20" s="58" t="n">
        <x:v>2019</x:v>
      </x:c>
      <x:c r="E20" s="46" t="str">
        <x:v>Orthopristis reddingi</x:v>
      </x:c>
      <x:c r="F20" s="46" t="str">
        <x:v>Bronze-striped grunt</x:v>
      </x:c>
      <x:c r="G20" s="46" t="str">
        <x:v>Small pelagics (&lt;30 cm)</x:v>
      </x:c>
      <x:c r="H20" s="46" t="str">
        <x:v>Perch-likes</x:v>
      </x:c>
      <x:c r="I20" s="60" t="n">
        <x:v>7874.7254177399</x:v>
      </x:c>
      <x:c r="J20" s="60" t="n">
        <x:v>1258.8518401530998</x:v>
      </x:c>
      <x:c r="K20" s="60" t="n">
        <x:v>6615.8735775868</x:v>
      </x:c>
      <x:c r="L20" s="60" t="n">
        <x:v>0</x:v>
      </x:c>
      <x:c r="M20" s="60" t="n">
        <x:v>7874.7254177399</x:v>
      </x:c>
      <x:c r="N20" s="46" t="str">
        <x:v>orthopristis reddingi</x:v>
      </x:c>
      <x:c r="O20" s="62" t="n">
        <x:v>3.5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Orthopristis reddingi</x:v>
      </x:c>
      <x:c r="T20" s="62" t="n">
        <x:f>IF(O20="","",(1/'Metadata'!$B$5)^(O20-1))</x:f>
        <x:v>1788.8543819998317</x:v>
      </x:c>
      <x:c r="U20" s="60" t="n">
        <x:f>IF(T20="","",I20*T20)</x:f>
        <x:v>14086737.070569476</x:v>
      </x:c>
    </x:row>
    <x:row r="21" ht="18" customHeight="1">
      <x:c r="A21" s="46" t="str">
        <x:v>LME_003</x:v>
      </x:c>
      <x:c r="B21" s="46" t="str">
        <x:v>California Current</x:v>
      </x:c>
      <x:c r="C21" s="46" t="str">
        <x:v>LME</x:v>
      </x:c>
      <x:c r="D21" s="58" t="n">
        <x:v>2019</x:v>
      </x:c>
      <x:c r="E21" s="46" t="str">
        <x:v>Penaeus californiensis</x:v>
      </x:c>
      <x:c r="F21" s="46" t="str">
        <x:v>Yellowleg shrimp</x:v>
      </x:c>
      <x:c r="G21" s="46" t="str">
        <x:v>Shrimps</x:v>
      </x:c>
      <x:c r="H21" s="46" t="str">
        <x:v>Crustaceans</x:v>
      </x:c>
      <x:c r="I21" s="60" t="n">
        <x:v>7177.6539101647</x:v>
      </x:c>
      <x:c r="J21" s="60" t="n">
        <x:v>7177.6539101647</x:v>
      </x:c>
      <x:c r="K21" s="60" t="n">
        <x:v>0</x:v>
      </x:c>
      <x:c r="L21" s="60" t="n">
        <x:v>6308.7190881961005</x:v>
      </x:c>
      <x:c r="M21" s="60" t="n">
        <x:v>868.9348219686</x:v>
      </x:c>
      <x:c r="N21" s="46" t="str">
        <x:v>penaeus californiensis</x:v>
      </x:c>
      <x:c r="O21" s="62" t="n">
        <x:v>2.7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Penaeus californiensis</x:v>
      </x:c>
      <x:c r="T21" s="62" t="n">
        <x:f>IF(O21="","",(1/'Metadata'!$B$5)^(O21-1))</x:f>
        <x:v>162.83621261476185</x:v>
      </x:c>
      <x:c r="U21" s="60" t="n">
        <x:f>IF(T21="","",I21*T21)</x:f>
        <x:v>1168781.978190756</x:v>
      </x:c>
    </x:row>
    <x:row r="22" ht="18" customHeight="1">
      <x:c r="A22" s="46" t="str">
        <x:v>LME_003</x:v>
      </x:c>
      <x:c r="B22" s="46" t="str">
        <x:v>California Current</x:v>
      </x:c>
      <x:c r="C22" s="46" t="str">
        <x:v>LME</x:v>
      </x:c>
      <x:c r="D22" s="58" t="n">
        <x:v>2019</x:v>
      </x:c>
      <x:c r="E22" s="46" t="str">
        <x:v>Thunnus alalunga</x:v>
      </x:c>
      <x:c r="F22" s="46" t="str">
        <x:v>Albacore</x:v>
      </x:c>
      <x:c r="G22" s="46" t="str">
        <x:v>Large pelagics (&gt;=90 cm)</x:v>
      </x:c>
      <x:c r="H22" s="46" t="str">
        <x:v>Tuna &amp; billfishes</x:v>
      </x:c>
      <x:c r="I22" s="60" t="n">
        <x:v>7093.732263541299</x:v>
      </x:c>
      <x:c r="J22" s="60" t="n">
        <x:v>7092.067528982199</x:v>
      </x:c>
      <x:c r="K22" s="60" t="n">
        <x:v>1.6647345591</x:v>
      </x:c>
      <x:c r="L22" s="60" t="n">
        <x:v>6988.8211394099</x:v>
      </x:c>
      <x:c r="M22" s="60" t="n">
        <x:v>104.91112413140002</x:v>
      </x:c>
      <x:c r="N22" s="46" t="str">
        <x:v>thunnus alalunga</x:v>
      </x:c>
      <x:c r="O22" s="62" t="n">
        <x:v>4.3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Thunnus alalunga</x:v>
      </x:c>
      <x:c r="T22" s="62" t="n">
        <x:f>IF(O22="","",(1/'Metadata'!$B$5)^(O22-1))</x:f>
        <x:v>19651.648417852637</x:v>
      </x:c>
      <x:c r="U22" s="60" t="n">
        <x:f>IF(T22="","",I22*T22)</x:f>
        <x:v>139403532.41349158</x:v>
      </x:c>
    </x:row>
    <x:row r="23" ht="18" customHeight="1">
      <x:c r="A23" s="46" t="str">
        <x:v>LME_003</x:v>
      </x:c>
      <x:c r="B23" s="46" t="str">
        <x:v>California Current</x:v>
      </x:c>
      <x:c r="C23" s="46" t="str">
        <x:v>LME</x:v>
      </x:c>
      <x:c r="D23" s="58" t="n">
        <x:v>2019</x:v>
      </x:c>
      <x:c r="E23" s="46" t="str">
        <x:v>Thunnus albacares</x:v>
      </x:c>
      <x:c r="F23" s="46" t="str">
        <x:v>Yellowfin tuna</x:v>
      </x:c>
      <x:c r="G23" s="46" t="str">
        <x:v>Large pelagics (&gt;=90 cm)</x:v>
      </x:c>
      <x:c r="H23" s="46" t="str">
        <x:v>Tuna &amp; billfishes</x:v>
      </x:c>
      <x:c r="I23" s="60" t="n">
        <x:v>7023.9516971889</x:v>
      </x:c>
      <x:c r="J23" s="60" t="n">
        <x:v>6832.0646976311</x:v>
      </x:c>
      <x:c r="K23" s="60" t="n">
        <x:v>191.88699955779998</x:v>
      </x:c>
      <x:c r="L23" s="60" t="n">
        <x:v>4950.5361086146995</x:v>
      </x:c>
      <x:c r="M23" s="60" t="n">
        <x:v>2073.4155885742</x:v>
      </x:c>
      <x:c r="N23" s="46" t="str">
        <x:v>thunnus albacares</x:v>
      </x:c>
      <x:c r="O23" s="62" t="n">
        <x:v>4.41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Thunnus albacares</x:v>
      </x:c>
      <x:c r="T23" s="62" t="n">
        <x:f>IF(O23="","",(1/'Metadata'!$B$5)^(O23-1))</x:f>
        <x:v>27321.987305427916</x:v>
      </x:c>
      <x:c r="U23" s="60" t="n">
        <x:f>IF(T23="","",I23*T23)</x:f>
        <x:v>191908319.10453397</x:v>
      </x:c>
    </x:row>
    <x:row r="24" ht="18" customHeight="1">
      <x:c r="A24" s="46" t="str">
        <x:v>LME_003</x:v>
      </x:c>
      <x:c r="B24" s="46" t="str">
        <x:v>California Current</x:v>
      </x:c>
      <x:c r="C24" s="46" t="str">
        <x:v>LME</x:v>
      </x:c>
      <x:c r="D24" s="58" t="n">
        <x:v>2019</x:v>
      </x:c>
      <x:c r="E24" s="46" t="str">
        <x:v>Scombridae</x:v>
      </x:c>
      <x:c r="F24" s="46" t="str">
        <x:v>Mackerels, tunas, bonitos</x:v>
      </x:c>
      <x:c r="G24" s="46" t="str">
        <x:v>Medium pelagics (30 - 89 cm)</x:v>
      </x:c>
      <x:c r="H24" s="46" t="str">
        <x:v>Perch-likes</x:v>
      </x:c>
      <x:c r="I24" s="60" t="n">
        <x:v>6177.0003944497</x:v>
      </x:c>
      <x:c r="J24" s="60" t="n">
        <x:v>6109.4752203256</x:v>
      </x:c>
      <x:c r="K24" s="60" t="n">
        <x:v>67.5251741241</x:v>
      </x:c>
      <x:c r="L24" s="60" t="n">
        <x:v>6001.9699970775</x:v>
      </x:c>
      <x:c r="M24" s="60" t="n">
        <x:v>175.03039737219999</x:v>
      </x:c>
      <x:c r="N24" s="46" t="str">
        <x:v>scombridae</x:v>
      </x:c>
      <x:c r="O24" s="62" t="n">
        <x:v>4.26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Scombridae</x:v>
      </x:c>
      <x:c r="T24" s="62" t="n">
        <x:f>IF(O24="","",(1/'Metadata'!$B$5)^(O24-1))</x:f>
        <x:v>17432.42421569787</x:v>
      </x:c>
      <x:c r="U24" s="60" t="n">
        <x:f>IF(T24="","",I24*T24)</x:f>
        <x:v>107680091.25658025</x:v>
      </x:c>
    </x:row>
    <x:row r="25" ht="18" customHeight="1">
      <x:c r="A25" s="46" t="str">
        <x:v>LME_003</x:v>
      </x:c>
      <x:c r="B25" s="46" t="str">
        <x:v>California Current</x:v>
      </x:c>
      <x:c r="C25" s="46" t="str">
        <x:v>LME</x:v>
      </x:c>
      <x:c r="D25" s="58" t="n">
        <x:v>2019</x:v>
      </x:c>
      <x:c r="E25" s="46" t="str">
        <x:v>Penaeus stylirostris</x:v>
      </x:c>
      <x:c r="F25" s="46" t="str">
        <x:v>Blue shrimp</x:v>
      </x:c>
      <x:c r="G25" s="46" t="str">
        <x:v>Shrimps</x:v>
      </x:c>
      <x:c r="H25" s="46" t="str">
        <x:v>Crustaceans</x:v>
      </x:c>
      <x:c r="I25" s="60" t="n">
        <x:v>6120.7062424257</x:v>
      </x:c>
      <x:c r="J25" s="60" t="n">
        <x:v>6120.7062424257</x:v>
      </x:c>
      <x:c r="K25" s="60" t="n">
        <x:v>0</x:v>
      </x:c>
      <x:c r="L25" s="60" t="n">
        <x:v>5400.5640105062</x:v>
      </x:c>
      <x:c r="M25" s="60" t="n">
        <x:v>720.1422319195</x:v>
      </x:c>
      <x:c r="N25" s="46" t="str">
        <x:v>penaeus stylirostris</x:v>
      </x:c>
      <x:c r="O25" s="62" t="n">
        <x:v>2.7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Penaeus stylirostris</x:v>
      </x:c>
      <x:c r="T25" s="62" t="n">
        <x:f>IF(O25="","",(1/'Metadata'!$B$5)^(O25-1))</x:f>
        <x:v>162.83621261476185</x:v>
      </x:c>
      <x:c r="U25" s="60" t="n">
        <x:f>IF(T25="","",I25*T25)</x:f>
        <x:v>996672.6230441313</x:v>
      </x:c>
    </x:row>
    <x:row r="26" ht="18" customHeight="1">
      <x:c r="A26" s="46" t="str">
        <x:v>LME_003</x:v>
      </x:c>
      <x:c r="B26" s="46" t="str">
        <x:v>California Current</x:v>
      </x:c>
      <x:c r="C26" s="46" t="str">
        <x:v>LME</x:v>
      </x:c>
      <x:c r="D26" s="58" t="n">
        <x:v>2019</x:v>
      </x:c>
      <x:c r="E26" s="46" t="str">
        <x:v>Coryphaena hippurus</x:v>
      </x:c>
      <x:c r="F26" s="46" t="str">
        <x:v>Common dolphinfish</x:v>
      </x:c>
      <x:c r="G26" s="46" t="str">
        <x:v>Large pelagics (&gt;=90 cm)</x:v>
      </x:c>
      <x:c r="H26" s="46" t="str">
        <x:v>Perch-likes</x:v>
      </x:c>
      <x:c r="I26" s="60" t="n">
        <x:v>5618.574233353001</x:v>
      </x:c>
      <x:c r="J26" s="60" t="n">
        <x:v>5496.44620122</x:v>
      </x:c>
      <x:c r="K26" s="60" t="n">
        <x:v>122.128032133</x:v>
      </x:c>
      <x:c r="L26" s="60" t="n">
        <x:v>263.9108295295</x:v>
      </x:c>
      <x:c r="M26" s="60" t="n">
        <x:v>5354.663403823501</x:v>
      </x:c>
      <x:c r="N26" s="46" t="str">
        <x:v>coryphaena hippurus</x:v>
      </x:c>
      <x:c r="O26" s="62" t="n">
        <x:v>4.37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Coryphaena hippurus</x:v>
      </x:c>
      <x:c r="T26" s="62" t="n">
        <x:f>IF(O26="","",(1/'Metadata'!$B$5)^(O26-1))</x:f>
        <x:v>24236.56596112542</x:v>
      </x:c>
      <x:c r="U26" s="60" t="n">
        <x:f>IF(T26="","",I26*T26)</x:f>
        <x:v>136174945.01413968</x:v>
      </x:c>
    </x:row>
    <x:row r="27" ht="18" customHeight="1">
      <x:c r="A27" s="46" t="str">
        <x:v>LME_003</x:v>
      </x:c>
      <x:c r="B27" s="46" t="str">
        <x:v>California Current</x:v>
      </x:c>
      <x:c r="C27" s="46" t="str">
        <x:v>LME</x:v>
      </x:c>
      <x:c r="D27" s="58" t="n">
        <x:v>2019</x:v>
      </x:c>
      <x:c r="E27" s="46" t="str">
        <x:v>Katsuwonus pelamis</x:v>
      </x:c>
      <x:c r="F27" s="46" t="str">
        <x:v>Skipjack tuna</x:v>
      </x:c>
      <x:c r="G27" s="46" t="str">
        <x:v>Large pelagics (&gt;=90 cm)</x:v>
      </x:c>
      <x:c r="H27" s="46" t="str">
        <x:v>Tuna &amp; billfishes</x:v>
      </x:c>
      <x:c r="I27" s="60" t="n">
        <x:v>5601.3881522583</x:v>
      </x:c>
      <x:c r="J27" s="60" t="n">
        <x:v>5601.3881420012995</x:v>
      </x:c>
      <x:c r="K27" s="60" t="n">
        <x:v>0.000010257</x:v>
      </x:c>
      <x:c r="L27" s="60" t="n">
        <x:v>5601.3881420012995</x:v>
      </x:c>
      <x:c r="M27" s="60" t="n">
        <x:v>0.000010257</x:v>
      </x:c>
      <x:c r="N27" s="46" t="str">
        <x:v>katsuwonus pelamis</x:v>
      </x:c>
      <x:c r="O27" s="62" t="n">
        <x:v>4.43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Katsuwonus pelamis</x:v>
      </x:c>
      <x:c r="T27" s="62" t="n">
        <x:f>IF(O27="","",(1/'Metadata'!$B$5)^(O27-1))</x:f>
        <x:v>29009.008489223597</x:v>
      </x:c>
      <x:c r="U27" s="60" t="n">
        <x:f>IF(T27="","",I27*T27)</x:f>
        <x:v>162490716.4602975</x:v>
      </x:c>
    </x:row>
    <x:row r="28" ht="18" customHeight="1">
      <x:c r="A28" s="46" t="str">
        <x:v>LME_003</x:v>
      </x:c>
      <x:c r="B28" s="46" t="str">
        <x:v>California Current</x:v>
      </x:c>
      <x:c r="C28" s="46" t="str">
        <x:v>LME</x:v>
      </x:c>
      <x:c r="D28" s="58" t="n">
        <x:v>2019</x:v>
      </x:c>
      <x:c r="E28" s="46" t="str">
        <x:v>Carangidae</x:v>
      </x:c>
      <x:c r="F28" s="46" t="str">
        <x:v>Jacks, pompanos</x:v>
      </x:c>
      <x:c r="G28" s="46" t="str">
        <x:v>Medium pelagics (30 - 89 cm)</x:v>
      </x:c>
      <x:c r="H28" s="46" t="str">
        <x:v>Perch-likes</x:v>
      </x:c>
      <x:c r="I28" s="60" t="n">
        <x:v>5571.4772361155</x:v>
      </x:c>
      <x:c r="J28" s="60" t="n">
        <x:v>5552.7268570678</x:v>
      </x:c>
      <x:c r="K28" s="60" t="n">
        <x:v>18.7503790477</x:v>
      </x:c>
      <x:c r="L28" s="60" t="n">
        <x:v>2110.4940314588002</x:v>
      </x:c>
      <x:c r="M28" s="60" t="n">
        <x:v>3460.9832046567</x:v>
      </x:c>
      <x:c r="N28" s="46" t="str">
        <x:v>carangidae</x:v>
      </x:c>
      <x:c r="O28" s="62" t="n">
        <x:v>4.05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Carangidae</x:v>
      </x:c>
      <x:c r="T28" s="62" t="n">
        <x:f>IF(O28="","",(1/'Metadata'!$B$5)^(O28-1))</x:f>
        <x:v>9292.690797132333</x:v>
      </x:c>
      <x:c r="U28" s="60" t="n">
        <x:f>IF(T28="","",I28*T28)</x:f>
        <x:v>51774015.23848279</x:v>
      </x:c>
    </x:row>
    <x:row r="29" ht="18" customHeight="1">
      <x:c r="A29" s="46" t="str">
        <x:v>LME_003</x:v>
      </x:c>
      <x:c r="B29" s="46" t="str">
        <x:v>California Current</x:v>
      </x:c>
      <x:c r="C29" s="46" t="str">
        <x:v>LME</x:v>
      </x:c>
      <x:c r="D29" s="58" t="n">
        <x:v>2019</x:v>
      </x:c>
      <x:c r="E29" s="46" t="str">
        <x:v>Oncorhynchus tshawytscha</x:v>
      </x:c>
      <x:c r="F29" s="46" t="str">
        <x:v>Chinook salmon</x:v>
      </x:c>
      <x:c r="G29" s="46" t="str">
        <x:v>Large benthopelagics (&gt;=90 cm)</x:v>
      </x:c>
      <x:c r="H29" s="46" t="str">
        <x:v>Salmon, smelts, etc</x:v>
      </x:c>
      <x:c r="I29" s="60" t="n">
        <x:v>5130.3147835508</x:v>
      </x:c>
      <x:c r="J29" s="60" t="n">
        <x:v>5017.2362078228</x:v>
      </x:c>
      <x:c r="K29" s="60" t="n">
        <x:v>113.078575728</x:v>
      </x:c>
      <x:c r="L29" s="60" t="n">
        <x:v>2566.8288325677</x:v>
      </x:c>
      <x:c r="M29" s="60" t="n">
        <x:v>2563.4859509831</x:v>
      </x:c>
      <x:c r="N29" s="46" t="str">
        <x:v>oncorhynchus tshawytscha</x:v>
      </x:c>
      <x:c r="O29" s="62" t="n">
        <x:v>4.4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Oncorhynchus tshawytscha</x:v>
      </x:c>
      <x:c r="T29" s="62" t="n">
        <x:f>IF(O29="","",(1/'Metadata'!$B$5)^(O29-1))</x:f>
        <x:v>26515.632138719924</x:v>
      </x:c>
      <x:c r="U29" s="60" t="n">
        <x:f>IF(T29="","",I29*T29)</x:f>
        <x:v>136033539.55646953</x:v>
      </x:c>
    </x:row>
    <x:row r="30" ht="18" customHeight="1">
      <x:c r="A30" s="46" t="str">
        <x:v>LME_003</x:v>
      </x:c>
      <x:c r="B30" s="46" t="str">
        <x:v>California Current</x:v>
      </x:c>
      <x:c r="C30" s="46" t="str">
        <x:v>LME</x:v>
      </x:c>
      <x:c r="D30" s="58" t="n">
        <x:v>2019</x:v>
      </x:c>
      <x:c r="E30" s="46" t="str">
        <x:v>Anoplopoma fimbria</x:v>
      </x:c>
      <x:c r="F30" s="46" t="str">
        <x:v>Sablefish</x:v>
      </x:c>
      <x:c r="G30" s="46" t="str">
        <x:v>Large bathydemersals (&gt;=90 cm)</x:v>
      </x:c>
      <x:c r="H30" s="46" t="str">
        <x:v>Scorpionfishes</x:v>
      </x:c>
      <x:c r="I30" s="60" t="n">
        <x:v>4901.7322194977</x:v>
      </x:c>
      <x:c r="J30" s="60" t="n">
        <x:v>4754.9215048003</x:v>
      </x:c>
      <x:c r="K30" s="60" t="n">
        <x:v>146.8107146974</x:v>
      </x:c>
      <x:c r="L30" s="60" t="n">
        <x:v>4753.6857738925</x:v>
      </x:c>
      <x:c r="M30" s="60" t="n">
        <x:v>148.04644560519998</x:v>
      </x:c>
      <x:c r="N30" s="46" t="str">
        <x:v>anoplopoma fimbria</x:v>
      </x:c>
      <x:c r="O30" s="62" t="n">
        <x:v>3.84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Anoplopoma fimbria</x:v>
      </x:c>
      <x:c r="T30" s="62" t="n">
        <x:f>IF(O30="","",(1/'Metadata'!$B$5)^(O30-1))</x:f>
        <x:v>4953.648510535111</x:v>
      </x:c>
      <x:c r="U30" s="60" t="n">
        <x:f>IF(T30="","",I30*T30)</x:f>
        <x:v>24281458.508156743</x:v>
      </x:c>
    </x:row>
    <x:row r="31" ht="18" customHeight="1">
      <x:c r="A31" s="46" t="str">
        <x:v>LME_003</x:v>
      </x:c>
      <x:c r="B31" s="46" t="str">
        <x:v>California Current</x:v>
      </x:c>
      <x:c r="C31" s="46" t="str">
        <x:v>LME</x:v>
      </x:c>
      <x:c r="D31" s="58" t="n">
        <x:v>2019</x:v>
      </x:c>
      <x:c r="E31" s="46" t="str">
        <x:v>Microstomus pacificus</x:v>
      </x:c>
      <x:c r="F31" s="46" t="str">
        <x:v>Dover sole</x:v>
      </x:c>
      <x:c r="G31" s="46" t="str">
        <x:v>Small to medium flatfishes (&lt;90 cm)</x:v>
      </x:c>
      <x:c r="H31" s="46" t="str">
        <x:v>Flatfishes</x:v>
      </x:c>
      <x:c r="I31" s="60" t="n">
        <x:v>4705.0147846759</x:v>
      </x:c>
      <x:c r="J31" s="60" t="n">
        <x:v>4679.3943870418</x:v>
      </x:c>
      <x:c r="K31" s="60" t="n">
        <x:v>25.6203976341</x:v>
      </x:c>
      <x:c r="L31" s="60" t="n">
        <x:v>4679.3179071377</x:v>
      </x:c>
      <x:c r="M31" s="60" t="n">
        <x:v>25.6968775382</x:v>
      </x:c>
      <x:c r="N31" s="46" t="str">
        <x:v>microstomus pacificus</x:v>
      </x:c>
      <x:c r="O31" s="62" t="n">
        <x:v>3.22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Microstomus pacificus</x:v>
      </x:c>
      <x:c r="T31" s="62" t="n">
        <x:f>IF(O31="","",(1/'Metadata'!$B$5)^(O31-1))</x:f>
        <x:v>773.1906443023378</x:v>
      </x:c>
      <x:c r="U31" s="60" t="n">
        <x:f>IF(T31="","",I31*T31)</x:f>
        <x:v>3637873.4128155843</x:v>
      </x:c>
    </x:row>
    <x:row r="32" ht="18" customHeight="1">
      <x:c r="A32" s="46" t="str">
        <x:v>LME_003</x:v>
      </x:c>
      <x:c r="B32" s="46" t="str">
        <x:v>California Current</x:v>
      </x:c>
      <x:c r="C32" s="46" t="str">
        <x:v>LME</x:v>
      </x:c>
      <x:c r="D32" s="58" t="n">
        <x:v>2019</x:v>
      </x:c>
      <x:c r="E32" s="46" t="str">
        <x:v>Veneridae</x:v>
      </x:c>
      <x:c r="F32" s="46" t="str">
        <x:v>Venus clams</x:v>
      </x:c>
      <x:c r="G32" s="46" t="str">
        <x:v>Other demersal invertebrates</x:v>
      </x:c>
      <x:c r="H32" s="46" t="str">
        <x:v>Molluscs</x:v>
      </x:c>
      <x:c r="I32" s="60" t="n">
        <x:v>4559.613695236801</x:v>
      </x:c>
      <x:c r="J32" s="60" t="n">
        <x:v>4559.613695236801</x:v>
      </x:c>
      <x:c r="K32" s="60" t="n">
        <x:v>0</x:v>
      </x:c>
      <x:c r="L32" s="60" t="n">
        <x:v>2791.9629754256002</x:v>
      </x:c>
      <x:c r="M32" s="60" t="n">
        <x:v>1767.6507198112</x:v>
      </x:c>
      <x:c r="N32" s="46" t="str">
        <x:v>veneridae</x:v>
      </x:c>
      <x:c r="O32" s="62" t="n">
        <x:v>2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Veneridae</x:v>
      </x:c>
      <x:c r="T32" s="62" t="n">
        <x:f>IF(O32="","",(1/'Metadata'!$B$5)^(O32-1))</x:f>
        <x:v>20</x:v>
      </x:c>
      <x:c r="U32" s="60" t="n">
        <x:f>IF(T32="","",I32*T32)</x:f>
        <x:v>91192.27390473601</x:v>
      </x:c>
    </x:row>
    <x:row r="33" ht="18" customHeight="1">
      <x:c r="A33" s="46" t="str">
        <x:v>LME_003</x:v>
      </x:c>
      <x:c r="B33" s="46" t="str">
        <x:v>California Current</x:v>
      </x:c>
      <x:c r="C33" s="46" t="str">
        <x:v>LME</x:v>
      </x:c>
      <x:c r="D33" s="58" t="n">
        <x:v>2019</x:v>
      </x:c>
      <x:c r="E33" s="46" t="str">
        <x:v>Scomberomorus</x:v>
      </x:c>
      <x:c r="F33" s="46" t="str">
        <x:v>Spanish mackerels</x:v>
      </x:c>
      <x:c r="G33" s="46" t="str">
        <x:v>Large pelagics (&gt;=90 cm)</x:v>
      </x:c>
      <x:c r="H33" s="46" t="str">
        <x:v>Perch-likes</x:v>
      </x:c>
      <x:c r="I33" s="60" t="n">
        <x:v>4437.7169181389</x:v>
      </x:c>
      <x:c r="J33" s="60" t="n">
        <x:v>4437.7169181389</x:v>
      </x:c>
      <x:c r="K33" s="60" t="n">
        <x:v>0</x:v>
      </x:c>
      <x:c r="L33" s="60" t="n">
        <x:v>3545.1292756204</x:v>
      </x:c>
      <x:c r="M33" s="60" t="n">
        <x:v>892.5876425185</x:v>
      </x:c>
      <x:c r="N33" s="46" t="str">
        <x:v>scomberomorus</x:v>
      </x:c>
      <x:c r="O33" s="62" t="n">
        <x:v>4.35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Scomberomorus</x:v>
      </x:c>
      <x:c r="T33" s="62" t="n">
        <x:f>IF(O33="","",(1/'Metadata'!$B$5)^(O33-1))</x:f>
        <x:v>22827.086550132422</x:v>
      </x:c>
      <x:c r="U33" s="60" t="n">
        <x:f>IF(T33="","",I33*T33)</x:f>
        <x:v>101300148.17534359</x:v>
      </x:c>
    </x:row>
    <x:row r="34" ht="18" customHeight="1">
      <x:c r="A34" s="46" t="str">
        <x:v>LME_003</x:v>
      </x:c>
      <x:c r="B34" s="46" t="str">
        <x:v>California Current</x:v>
      </x:c>
      <x:c r="C34" s="46" t="str">
        <x:v>LME</x:v>
      </x:c>
      <x:c r="D34" s="58" t="n">
        <x:v>2019</x:v>
      </x:c>
      <x:c r="E34" s="46" t="str">
        <x:v>Paralabrax maculatofasciatus</x:v>
      </x:c>
      <x:c r="F34" s="46" t="str">
        <x:v>Spotted sand bass</x:v>
      </x:c>
      <x:c r="G34" s="46" t="str">
        <x:v>Small pelagics (&lt;30 cm)</x:v>
      </x:c>
      <x:c r="H34" s="46" t="str">
        <x:v>Perch-likes</x:v>
      </x:c>
      <x:c r="I34" s="60" t="n">
        <x:v>4432.028290296</x:v>
      </x:c>
      <x:c r="J34" s="60" t="n">
        <x:v>1031.1569377512</x:v>
      </x:c>
      <x:c r="K34" s="60" t="n">
        <x:v>3400.8713525448</x:v>
      </x:c>
      <x:c r="L34" s="60" t="n">
        <x:v>130.7623588993</x:v>
      </x:c>
      <x:c r="M34" s="60" t="n">
        <x:v>4301.265931396701</x:v>
      </x:c>
      <x:c r="N34" s="46" t="str">
        <x:v>paralabrax maculatofasciatus</x:v>
      </x:c>
      <x:c r="O34" s="62" t="n">
        <x:v>4.2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Paralabrax maculatofasciatus</x:v>
      </x:c>
      <x:c r="T34" s="62" t="n">
        <x:f>IF(O34="","",(1/'Metadata'!$B$5)^(O34-1))</x:f>
        <x:v>14564.51362420865</x:v>
      </x:c>
      <x:c r="U34" s="60" t="n">
        <x:f>IF(T34="","",I34*T34)</x:f>
        <x:v>64550336.41689426</x:v>
      </x:c>
    </x:row>
    <x:row r="35" ht="18" customHeight="1">
      <x:c r="A35" s="46" t="str">
        <x:v>LME_003</x:v>
      </x:c>
      <x:c r="B35" s="46" t="str">
        <x:v>California Current</x:v>
      </x:c>
      <x:c r="C35" s="46" t="str">
        <x:v>LME</x:v>
      </x:c>
      <x:c r="D35" s="58" t="n">
        <x:v>2019</x:v>
      </x:c>
      <x:c r="E35" s="46" t="str">
        <x:v>Micropogonias</x:v>
      </x:c>
      <x:c r="F35" s="46" t="str">
        <x:v>American croakers</x:v>
      </x:c>
      <x:c r="G35" s="46" t="str">
        <x:v>Medium demersals (30 - 89 cm)</x:v>
      </x:c>
      <x:c r="H35" s="46" t="str">
        <x:v>Perch-likes</x:v>
      </x:c>
      <x:c r="I35" s="60" t="n">
        <x:v>3915.6065321556</x:v>
      </x:c>
      <x:c r="J35" s="60" t="n">
        <x:v>749.7487751409001</x:v>
      </x:c>
      <x:c r="K35" s="60" t="n">
        <x:v>3165.8577570147</x:v>
      </x:c>
      <x:c r="L35" s="60" t="n">
        <x:v>0</x:v>
      </x:c>
      <x:c r="M35" s="60" t="n">
        <x:v>3915.6065321556</x:v>
      </x:c>
      <x:c r="N35" s="46" t="str">
        <x:v>micropogonias</x:v>
      </x:c>
      <x:c r="O35" s="62" t="n">
        <x:v>3.29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Micropogonias</x:v>
      </x:c>
      <x:c r="T35" s="62" t="n">
        <x:f>IF(O35="","",(1/'Metadata'!$B$5)^(O35-1))</x:f>
        <x:v>953.5834171618228</x:v>
      </x:c>
      <x:c r="U35" s="60" t="n">
        <x:f>IF(T35="","",I35*T35)</x:f>
        <x:v>3733857.4571940918</x:v>
      </x:c>
    </x:row>
    <x:row r="36" ht="18" customHeight="1">
      <x:c r="A36" s="46" t="str">
        <x:v>LME_003</x:v>
      </x:c>
      <x:c r="B36" s="46" t="str">
        <x:v>California Current</x:v>
      </x:c>
      <x:c r="C36" s="46" t="str">
        <x:v>LME</x:v>
      </x:c>
      <x:c r="D36" s="58" t="n">
        <x:v>2019</x:v>
      </x:c>
      <x:c r="E36" s="46" t="str">
        <x:v>Diplectrum pacificum</x:v>
      </x:c>
      <x:c r="F36" s="46" t="str">
        <x:v>Inshore sand perch</x:v>
      </x:c>
      <x:c r="G36" s="46" t="str">
        <x:v>Small demersals (&lt;30 cm)</x:v>
      </x:c>
      <x:c r="H36" s="46" t="str">
        <x:v>Perch-likes</x:v>
      </x:c>
      <x:c r="I36" s="60" t="n">
        <x:v>3808.077246435</x:v>
      </x:c>
      <x:c r="J36" s="60" t="n">
        <x:v>729.1391626743999</x:v>
      </x:c>
      <x:c r="K36" s="60" t="n">
        <x:v>3078.9380837606</x:v>
      </x:c>
      <x:c r="L36" s="60" t="n">
        <x:v>0</x:v>
      </x:c>
      <x:c r="M36" s="60" t="n">
        <x:v>3808.077246435</x:v>
      </x:c>
      <x:c r="N36" s="46" t="str">
        <x:v>diplectrum pacificum</x:v>
      </x:c>
      <x:c r="O36" s="62" t="n">
        <x:v>3.99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Diplectrum pacificum</x:v>
      </x:c>
      <x:c r="T36" s="62" t="n">
        <x:f>IF(O36="","",(1/'Metadata'!$B$5)^(O36-1))</x:f>
        <x:v>7763.895603143686</x:v>
      </x:c>
      <x:c r="U36" s="60" t="n">
        <x:f>IF(T36="","",I36*T36)</x:f>
        <x:v>29565514.19002821</x:v>
      </x:c>
    </x:row>
    <x:row r="37" ht="18" customHeight="1">
      <x:c r="A37" s="46" t="str">
        <x:v>LME_003</x:v>
      </x:c>
      <x:c r="B37" s="46" t="str">
        <x:v>California Current</x:v>
      </x:c>
      <x:c r="C37" s="46" t="str">
        <x:v>LME</x:v>
      </x:c>
      <x:c r="D37" s="58" t="n">
        <x:v>2019</x:v>
      </x:c>
      <x:c r="E37" s="46" t="str">
        <x:v>Porichthys analis</x:v>
      </x:c>
      <x:c r="F37" s="46" t="str">
        <x:v>Darkedge midshipman</x:v>
      </x:c>
      <x:c r="G37" s="46" t="str">
        <x:v>Small pelagics (&lt;30 cm)</x:v>
      </x:c>
      <x:c r="H37" s="46" t="str">
        <x:v>Other fishes &amp; inverts</x:v>
      </x:c>
      <x:c r="I37" s="60" t="n">
        <x:v>3659.6773432988</x:v>
      </x:c>
      <x:c r="J37" s="60" t="n">
        <x:v>711.0621930277</x:v>
      </x:c>
      <x:c r="K37" s="60" t="n">
        <x:v>2948.6151502711</x:v>
      </x:c>
      <x:c r="L37" s="60" t="n">
        <x:v>0</x:v>
      </x:c>
      <x:c r="M37" s="60" t="n">
        <x:v>3659.6773432988</x:v>
      </x:c>
      <x:c r="N37" s="46" t="str">
        <x:v>porichthys analis</x:v>
      </x:c>
      <x:c r="O37" s="62" t="n">
        <x:v>3.9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Porichthys analis</x:v>
      </x:c>
      <x:c r="T37" s="62" t="n">
        <x:f>IF(O37="","",(1/'Metadata'!$B$5)^(O37-1))</x:f>
        <x:v>5929.07559285558</x:v>
      </x:c>
      <x:c r="U37" s="60" t="n">
        <x:f>IF(T37="","",I37*T37)</x:f>
        <x:v>21698503.61387947</x:v>
      </x:c>
    </x:row>
    <x:row r="38" ht="18" customHeight="1">
      <x:c r="A38" s="46" t="str">
        <x:v>LME_003</x:v>
      </x:c>
      <x:c r="B38" s="46" t="str">
        <x:v>California Current</x:v>
      </x:c>
      <x:c r="C38" s="46" t="str">
        <x:v>LME</x:v>
      </x:c>
      <x:c r="D38" s="58" t="n">
        <x:v>2019</x:v>
      </x:c>
      <x:c r="E38" s="46" t="str">
        <x:v>Thunnus orientalis</x:v>
      </x:c>
      <x:c r="F38" s="46" t="str">
        <x:v>Pacific bluefin tuna</x:v>
      </x:c>
      <x:c r="G38" s="46" t="str">
        <x:v>Large pelagics (&gt;=90 cm)</x:v>
      </x:c>
      <x:c r="H38" s="46" t="str">
        <x:v>Tuna &amp; billfishes</x:v>
      </x:c>
      <x:c r="I38" s="60" t="n">
        <x:v>3477.9354029738</x:v>
      </x:c>
      <x:c r="J38" s="60" t="n">
        <x:v>3477.9354029738</x:v>
      </x:c>
      <x:c r="K38" s="60" t="n">
        <x:v>0</x:v>
      </x:c>
      <x:c r="L38" s="60" t="n">
        <x:v>3477.9354029738</x:v>
      </x:c>
      <x:c r="M38" s="60" t="n">
        <x:v>0</x:v>
      </x:c>
      <x:c r="N38" s="46" t="str">
        <x:v>thunnus orientalis</x:v>
      </x:c>
      <x:c r="O38" s="62" t="n">
        <x:v>4.05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Thunnus orientalis</x:v>
      </x:c>
      <x:c r="T38" s="62" t="n">
        <x:f>IF(O38="","",(1/'Metadata'!$B$5)^(O38-1))</x:f>
        <x:v>9292.690797132333</x:v>
      </x:c>
      <x:c r="U38" s="60" t="n">
        <x:f>IF(T38="","",I38*T38)</x:f>
        <x:v>32319378.312235363</x:v>
      </x:c>
    </x:row>
    <x:row r="39" ht="18" customHeight="1">
      <x:c r="A39" s="46" t="str">
        <x:v>LME_003</x:v>
      </x:c>
      <x:c r="B39" s="46" t="str">
        <x:v>California Current</x:v>
      </x:c>
      <x:c r="C39" s="46" t="str">
        <x:v>LME</x:v>
      </x:c>
      <x:c r="D39" s="58" t="n">
        <x:v>2019</x:v>
      </x:c>
      <x:c r="E39" s="46" t="str">
        <x:v>Haemulidae</x:v>
      </x:c>
      <x:c r="F39" s="46" t="str">
        <x:v>Grunts, sweetlips, bonnetmouths</x:v>
      </x:c>
      <x:c r="G39" s="46" t="str">
        <x:v>Medium demersals (30 - 89 cm)</x:v>
      </x:c>
      <x:c r="H39" s="46" t="str">
        <x:v>Perch-likes</x:v>
      </x:c>
      <x:c r="I39" s="60" t="n">
        <x:v>3473.2583181622</x:v>
      </x:c>
      <x:c r="J39" s="60" t="n">
        <x:v>1860.2359324261001</x:v>
      </x:c>
      <x:c r="K39" s="60" t="n">
        <x:v>1613.0223857361</x:v>
      </x:c>
      <x:c r="L39" s="60" t="n">
        <x:v>1071.5807421149</x:v>
      </x:c>
      <x:c r="M39" s="60" t="n">
        <x:v>2401.6775760473</x:v>
      </x:c>
      <x:c r="N39" s="46" t="str">
        <x:v>haemulidae</x:v>
      </x:c>
      <x:c r="O39" s="62" t="n">
        <x:v>3.36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Haemulidae</x:v>
      </x:c>
      <x:c r="T39" s="62" t="n">
        <x:f>IF(O39="","",(1/'Metadata'!$B$5)^(O39-1))</x:f>
        <x:v>1176.0635493805207</x:v>
      </x:c>
      <x:c r="U39" s="60" t="n">
        <x:f>IF(T39="","",I39*T39)</x:f>
        <x:v>4084772.5055732545</x:v>
      </x:c>
    </x:row>
    <x:row r="40" ht="18" customHeight="1">
      <x:c r="A40" s="46" t="str">
        <x:v>LME_003</x:v>
      </x:c>
      <x:c r="B40" s="46" t="str">
        <x:v>California Current</x:v>
      </x:c>
      <x:c r="C40" s="46" t="str">
        <x:v>LME</x:v>
      </x:c>
      <x:c r="D40" s="58" t="n">
        <x:v>2019</x:v>
      </x:c>
      <x:c r="E40" s="46" t="str">
        <x:v>Caranx</x:v>
      </x:c>
      <x:c r="F40" s="46" t="str">
        <x:v>Jacks</x:v>
      </x:c>
      <x:c r="G40" s="46" t="str">
        <x:v>Medium reef assoc. fish (30 - 89 cm)</x:v>
      </x:c>
      <x:c r="H40" s="46" t="str">
        <x:v>Perch-likes</x:v>
      </x:c>
      <x:c r="I40" s="60" t="n">
        <x:v>3384.6713055598</x:v>
      </x:c>
      <x:c r="J40" s="60" t="n">
        <x:v>3384.6713055598</x:v>
      </x:c>
      <x:c r="K40" s="60" t="n">
        <x:v>0</x:v>
      </x:c>
      <x:c r="L40" s="60" t="n">
        <x:v>2711.6518807494003</x:v>
      </x:c>
      <x:c r="M40" s="60" t="n">
        <x:v>673.0194248104</x:v>
      </x:c>
      <x:c r="N40" s="46" t="str">
        <x:v>caranx</x:v>
      </x:c>
      <x:c r="O40" s="62" t="n">
        <x:v>4.12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Caranx</x:v>
      </x:c>
      <x:c r="T40" s="62" t="n">
        <x:f>IF(O40="","",(1/'Metadata'!$B$5)^(O40-1))</x:f>
        <x:v>11460.764444393179</x:v>
      </x:c>
      <x:c r="U40" s="60" t="n">
        <x:f>IF(T40="","",I40*T40)</x:f>
        <x:v>38790920.5547176</x:v>
      </x:c>
    </x:row>
    <x:row r="41" ht="18" customHeight="1">
      <x:c r="A41" s="46" t="str">
        <x:v>LME_003</x:v>
      </x:c>
      <x:c r="B41" s="46" t="str">
        <x:v>California Current</x:v>
      </x:c>
      <x:c r="C41" s="46" t="str">
        <x:v>LME</x:v>
      </x:c>
      <x:c r="D41" s="58" t="n">
        <x:v>2019</x:v>
      </x:c>
      <x:c r="E41" s="46" t="str">
        <x:v>Oncorhynchus kisutch</x:v>
      </x:c>
      <x:c r="F41" s="46" t="str">
        <x:v>Coho salmon</x:v>
      </x:c>
      <x:c r="G41" s="46" t="str">
        <x:v>Large demersals (&gt;=90 cm)</x:v>
      </x:c>
      <x:c r="H41" s="46" t="str">
        <x:v>Salmon, smelts, etc</x:v>
      </x:c>
      <x:c r="I41" s="60" t="n">
        <x:v>3341.6800188558</x:v>
      </x:c>
      <x:c r="J41" s="60" t="n">
        <x:v>3333.4126794637</x:v>
      </x:c>
      <x:c r="K41" s="60" t="n">
        <x:v>8.2673393921</x:v>
      </x:c>
      <x:c r="L41" s="60" t="n">
        <x:v>441.0251083079</x:v>
      </x:c>
      <x:c r="M41" s="60" t="n">
        <x:v>2900.6549105479</x:v>
      </x:c>
      <x:c r="N41" s="46" t="str">
        <x:v>oncorhynchus kisutch</x:v>
      </x:c>
      <x:c r="O41" s="62" t="n">
        <x:v>4.22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Oncorhynchus kisutch</x:v>
      </x:c>
      <x:c r="T41" s="62" t="n">
        <x:f>IF(O41="","",(1/'Metadata'!$B$5)^(O41-1))</x:f>
        <x:v>15463.812886046735</x:v>
      </x:c>
      <x:c r="U41" s="60" t="n">
        <x:f>IF(T41="","",I41*T41)</x:f>
        <x:v>51675114.53662722</x:v>
      </x:c>
    </x:row>
    <x:row r="42" ht="18" customHeight="1">
      <x:c r="A42" s="46" t="str">
        <x:v>LME_003</x:v>
      </x:c>
      <x:c r="B42" s="46" t="str">
        <x:v>California Current</x:v>
      </x:c>
      <x:c r="C42" s="46" t="str">
        <x:v>LME</x:v>
      </x:c>
      <x:c r="D42" s="58" t="n">
        <x:v>2019</x:v>
      </x:c>
      <x:c r="E42" s="46" t="str">
        <x:v>Scorpaena sonorae</x:v>
      </x:c>
      <x:c r="F42" s="46" t="str">
        <x:v>Sonora scorpionfish</x:v>
      </x:c>
      <x:c r="G42" s="46" t="str">
        <x:v>Small demersals (&lt;30 cm)</x:v>
      </x:c>
      <x:c r="H42" s="46" t="str">
        <x:v>Scorpionfishes</x:v>
      </x:c>
      <x:c r="I42" s="60" t="n">
        <x:v>3237.8653984146</x:v>
      </x:c>
      <x:c r="J42" s="60" t="n">
        <x:v>619.9597132811</x:v>
      </x:c>
      <x:c r="K42" s="60" t="n">
        <x:v>2617.9056851335</x:v>
      </x:c>
      <x:c r="L42" s="60" t="n">
        <x:v>0</x:v>
      </x:c>
      <x:c r="M42" s="60" t="n">
        <x:v>3237.8653984146</x:v>
      </x:c>
      <x:c r="N42" s="46" t="str">
        <x:v>scorpaena sonorae</x:v>
      </x:c>
      <x:c r="O42" s="62" t="n">
        <x:v>3.64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Scorpaena sonorae</x:v>
      </x:c>
      <x:c r="T42" s="62" t="n">
        <x:f>IF(O42="","",(1/'Metadata'!$B$5)^(O42-1))</x:f>
        <x:v>2720.9413995404984</x:v>
      </x:c>
      <x:c r="U42" s="60" t="n">
        <x:f>IF(T42="","",I42*T42)</x:f>
        <x:v>8810042.008685974</x:v>
      </x:c>
    </x:row>
    <x:row r="43" ht="18" customHeight="1">
      <x:c r="A43" s="46" t="str">
        <x:v>LME_003</x:v>
      </x:c>
      <x:c r="B43" s="46" t="str">
        <x:v>California Current</x:v>
      </x:c>
      <x:c r="C43" s="46" t="str">
        <x:v>LME</x:v>
      </x:c>
      <x:c r="D43" s="58" t="n">
        <x:v>2019</x:v>
      </x:c>
      <x:c r="E43" s="46" t="str">
        <x:v>Chanos chanos</x:v>
      </x:c>
      <x:c r="F43" s="46" t="str">
        <x:v>Milkfish</x:v>
      </x:c>
      <x:c r="G43" s="46" t="str">
        <x:v>Large benthopelagics (&gt;=90 cm)</x:v>
      </x:c>
      <x:c r="H43" s="46" t="str">
        <x:v>Other fishes &amp; inverts</x:v>
      </x:c>
      <x:c r="I43" s="60" t="n">
        <x:v>3215.3022540412003</x:v>
      </x:c>
      <x:c r="J43" s="60" t="n">
        <x:v>3215.3022540412003</x:v>
      </x:c>
      <x:c r="K43" s="60" t="n">
        <x:v>0</x:v>
      </x:c>
      <x:c r="L43" s="60" t="n">
        <x:v>2397.0553738866</x:v>
      </x:c>
      <x:c r="M43" s="60" t="n">
        <x:v>818.2468801545999</x:v>
      </x:c>
      <x:c r="N43" s="46" t="str">
        <x:v>chanos chanos</x:v>
      </x:c>
      <x:c r="O43" s="62" t="n">
        <x:v>2.03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Chanos chanos</x:v>
      </x:c>
      <x:c r="T43" s="62" t="n">
        <x:f>IF(O43="","",(1/'Metadata'!$B$5)^(O43-1))</x:f>
        <x:v>21.880684071538855</x:v>
      </x:c>
      <x:c r="U43" s="60" t="n">
        <x:f>IF(T43="","",I43*T43)</x:f>
        <x:v>70353.01281518227</x:v>
      </x:c>
    </x:row>
    <x:row r="44" ht="18" customHeight="1">
      <x:c r="A44" s="46" t="str">
        <x:v>LME_003</x:v>
      </x:c>
      <x:c r="B44" s="46" t="str">
        <x:v>California Current</x:v>
      </x:c>
      <x:c r="C44" s="46" t="str">
        <x:v>LME</x:v>
      </x:c>
      <x:c r="D44" s="58" t="n">
        <x:v>2019</x:v>
      </x:c>
      <x:c r="E44" s="46" t="str">
        <x:v>Paralichthyidae</x:v>
      </x:c>
      <x:c r="F44" s="46" t="str">
        <x:v>Largetooth flounders</x:v>
      </x:c>
      <x:c r="G44" s="46" t="str">
        <x:v>Small to medium flatfishes (&lt;90 cm)</x:v>
      </x:c>
      <x:c r="H44" s="46" t="str">
        <x:v>Flatfishes</x:v>
      </x:c>
      <x:c r="I44" s="60" t="n">
        <x:v>2905.3855111549</x:v>
      </x:c>
      <x:c r="J44" s="60" t="n">
        <x:v>614.528275635</x:v>
      </x:c>
      <x:c r="K44" s="60" t="n">
        <x:v>2290.8572355199003</x:v>
      </x:c>
      <x:c r="L44" s="60" t="n">
        <x:v>31.6824743751</x:v>
      </x:c>
      <x:c r="M44" s="60" t="n">
        <x:v>2873.7030367798</x:v>
      </x:c>
      <x:c r="N44" s="46" t="str">
        <x:v>paralichthyidae</x:v>
      </x:c>
      <x:c r="O44" s="62" t="n">
        <x:v>4.06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Paralichthyidae</x:v>
      </x:c>
      <x:c r="T44" s="62" t="n">
        <x:f>IF(O44="","",(1/'Metadata'!$B$5)^(O44-1))</x:f>
        <x:v>9575.286708769883</x:v>
      </x:c>
      <x:c r="U44" s="60" t="n">
        <x:f>IF(T44="","",I44*T44)</x:f>
        <x:v>27819899.26881411</x:v>
      </x:c>
    </x:row>
    <x:row r="45" ht="18" customHeight="1">
      <x:c r="A45" s="46" t="str">
        <x:v>LME_003</x:v>
      </x:c>
      <x:c r="B45" s="46" t="str">
        <x:v>California Current</x:v>
      </x:c>
      <x:c r="C45" s="46" t="str">
        <x:v>LME</x:v>
      </x:c>
      <x:c r="D45" s="58" t="n">
        <x:v>2019</x:v>
      </x:c>
      <x:c r="E45" s="46" t="str">
        <x:v>Balistes polylepis</x:v>
      </x:c>
      <x:c r="F45" s="46" t="str">
        <x:v>Finescale triggerfish</x:v>
      </x:c>
      <x:c r="G45" s="46" t="str">
        <x:v>Small pelagics (&lt;30 cm)</x:v>
      </x:c>
      <x:c r="H45" s="46" t="str">
        <x:v>Other fishes &amp; inverts</x:v>
      </x:c>
      <x:c r="I45" s="60" t="n">
        <x:v>2809.8655641442</x:v>
      </x:c>
      <x:c r="J45" s="60" t="n">
        <x:v>479.8964310252</x:v>
      </x:c>
      <x:c r="K45" s="60" t="n">
        <x:v>2329.969133119</x:v>
      </x:c>
      <x:c r="L45" s="60" t="n">
        <x:v>0</x:v>
      </x:c>
      <x:c r="M45" s="60" t="n">
        <x:v>2809.8655641442</x:v>
      </x:c>
      <x:c r="N45" s="46" t="str">
        <x:v>balistes polylepis</x:v>
      </x:c>
      <x:c r="O45" s="62" t="n">
        <x:v>3.34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Balistes polylepis</x:v>
      </x:c>
      <x:c r="T45" s="62" t="n">
        <x:f>IF(O45="","",(1/'Metadata'!$B$5)^(O45-1))</x:f>
        <x:v>1107.6694806197092</x:v>
      </x:c>
      <x:c r="U45" s="60" t="n">
        <x:f>IF(T45="","",I45*T45)</x:f>
        <x:v>3112402.3300468125</x:v>
      </x:c>
    </x:row>
    <x:row r="46" ht="18" customHeight="1">
      <x:c r="A46" s="46" t="str">
        <x:v>LME_003</x:v>
      </x:c>
      <x:c r="B46" s="46" t="str">
        <x:v>California Current</x:v>
      </x:c>
      <x:c r="C46" s="46" t="str">
        <x:v>LME</x:v>
      </x:c>
      <x:c r="D46" s="58" t="n">
        <x:v>2019</x:v>
      </x:c>
      <x:c r="E46" s="46" t="str">
        <x:v>Gastropoda</x:v>
      </x:c>
      <x:c r="F46" s="46" t="str">
        <x:v>Sea snails</x:v>
      </x:c>
      <x:c r="G46" s="46" t="str">
        <x:v>Other demersal invertebrates</x:v>
      </x:c>
      <x:c r="H46" s="46" t="str">
        <x:v>Molluscs</x:v>
      </x:c>
      <x:c r="I46" s="60" t="n">
        <x:v>2759.1570388779</x:v>
      </x:c>
      <x:c r="J46" s="60" t="n">
        <x:v>1034.2753105682</x:v>
      </x:c>
      <x:c r="K46" s="60" t="n">
        <x:v>1724.8817283097</x:v>
      </x:c>
      <x:c r="L46" s="60" t="n">
        <x:v>769.5675541257999</x:v>
      </x:c>
      <x:c r="M46" s="60" t="n">
        <x:v>1989.5894847521001</x:v>
      </x:c>
      <x:c r="N46" s="46" t="str">
        <x:v>gastropoda</x:v>
      </x:c>
      <x:c r="O46" s="62" t="n">
        <x:v>3.06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Gastropoda</x:v>
      </x:c>
      <x:c r="T46" s="62" t="n">
        <x:f>IF(O46="","",(1/'Metadata'!$B$5)^(O46-1))</x:f>
        <x:v>478.7643354384948</x:v>
      </x:c>
      <x:c r="U46" s="60" t="n">
        <x:f>IF(T46="","",I46*T46)</x:f>
        <x:v>1320985.986088823</x:v>
      </x:c>
    </x:row>
    <x:row r="47" ht="18" customHeight="1">
      <x:c r="A47" s="46" t="str">
        <x:v>LME_003</x:v>
      </x:c>
      <x:c r="B47" s="46" t="str">
        <x:v>California Current</x:v>
      </x:c>
      <x:c r="C47" s="46" t="str">
        <x:v>LME</x:v>
      </x:c>
      <x:c r="D47" s="58" t="n">
        <x:v>2019</x:v>
      </x:c>
      <x:c r="E47" s="46" t="str">
        <x:v>Sebastes flavidus</x:v>
      </x:c>
      <x:c r="F47" s="46" t="str">
        <x:v>Yellowtail rockfish</x:v>
      </x:c>
      <x:c r="G47" s="46" t="str">
        <x:v>Medium reef assoc. fish (30 - 89 cm)</x:v>
      </x:c>
      <x:c r="H47" s="46" t="str">
        <x:v>Scorpionfishes</x:v>
      </x:c>
      <x:c r="I47" s="60" t="n">
        <x:v>2754.1732846628997</x:v>
      </x:c>
      <x:c r="J47" s="60" t="n">
        <x:v>2727.3396798876997</x:v>
      </x:c>
      <x:c r="K47" s="60" t="n">
        <x:v>26.833604775199998</x:v>
      </x:c>
      <x:c r="L47" s="60" t="n">
        <x:v>2702.5785805467</x:v>
      </x:c>
      <x:c r="M47" s="60" t="n">
        <x:v>51.5947041162</x:v>
      </x:c>
      <x:c r="N47" s="46" t="str">
        <x:v>sebastes flavidus</x:v>
      </x:c>
      <x:c r="O47" s="62" t="n">
        <x:v>4.15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Sebastes flavidus</x:v>
      </x:c>
      <x:c r="T47" s="62" t="n">
        <x:f>IF(O47="","",(1/'Metadata'!$B$5)^(O47-1))</x:f>
        <x:v>12538.46830130465</x:v>
      </x:c>
      <x:c r="U47" s="60" t="n">
        <x:f>IF(T47="","",I47*T47)</x:f>
        <x:v>34533114.42604588</x:v>
      </x:c>
    </x:row>
    <x:row r="48" ht="18" customHeight="1">
      <x:c r="A48" s="46" t="str">
        <x:v>LME_003</x:v>
      </x:c>
      <x:c r="B48" s="46" t="str">
        <x:v>California Current</x:v>
      </x:c>
      <x:c r="C48" s="46" t="str">
        <x:v>LME</x:v>
      </x:c>
      <x:c r="D48" s="58" t="n">
        <x:v>2019</x:v>
      </x:c>
      <x:c r="E48" s="46" t="str">
        <x:v>Eucinostomus</x:v>
      </x:c>
      <x:c r="F48" s="46" t="str">
        <x:v>Mojarras</x:v>
      </x:c>
      <x:c r="G48" s="46" t="str">
        <x:v>Large reef assoc. fish (&gt;=90 cm)</x:v>
      </x:c>
      <x:c r="H48" s="46" t="str">
        <x:v>Perch-likes</x:v>
      </x:c>
      <x:c r="I48" s="60" t="n">
        <x:v>2752.8737946830997</x:v>
      </x:c>
      <x:c r="J48" s="60" t="n">
        <x:v>529.5283024345</x:v>
      </x:c>
      <x:c r="K48" s="60" t="n">
        <x:v>2223.3454922486</x:v>
      </x:c>
      <x:c r="L48" s="60" t="n">
        <x:v>0</x:v>
      </x:c>
      <x:c r="M48" s="60" t="n">
        <x:v>2752.8737946830997</x:v>
      </x:c>
      <x:c r="N48" s="46" t="str">
        <x:v>eucinostomus</x:v>
      </x:c>
      <x:c r="O48" s="62" t="n">
        <x:v>3.5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Eucinostomus</x:v>
      </x:c>
      <x:c r="T48" s="62" t="n">
        <x:f>IF(O48="","",(1/'Metadata'!$B$5)^(O48-1))</x:f>
        <x:v>1788.8543819998317</x:v>
      </x:c>
      <x:c r="U48" s="60" t="n">
        <x:f>IF(T48="","",I48*T48)</x:f>
        <x:v>4924490.350711368</x:v>
      </x:c>
    </x:row>
    <x:row r="49" ht="18" customHeight="1">
      <x:c r="A49" s="46" t="str">
        <x:v>LME_003</x:v>
      </x:c>
      <x:c r="B49" s="46" t="str">
        <x:v>California Current</x:v>
      </x:c>
      <x:c r="C49" s="46" t="str">
        <x:v>LME</x:v>
      </x:c>
      <x:c r="D49" s="58" t="n">
        <x:v>2019</x:v>
      </x:c>
      <x:c r="E49" s="46" t="str">
        <x:v>Portunus</x:v>
      </x:c>
      <x:c r="F49" s="46" t="str">
        <x:v>Swimmer crabs</x:v>
      </x:c>
      <x:c r="G49" s="46" t="str">
        <x:v>Lobsters, crabs</x:v>
      </x:c>
      <x:c r="H49" s="46" t="str">
        <x:v>Crustaceans</x:v>
      </x:c>
      <x:c r="I49" s="60" t="n">
        <x:v>2618.7164029965</x:v>
      </x:c>
      <x:c r="J49" s="60" t="n">
        <x:v>0</x:v>
      </x:c>
      <x:c r="K49" s="60" t="n">
        <x:v>2618.7164029965</x:v>
      </x:c>
      <x:c r="L49" s="60" t="n">
        <x:v>0</x:v>
      </x:c>
      <x:c r="M49" s="60" t="n">
        <x:v>2618.7164029965</x:v>
      </x:c>
      <x:c r="N49" s="46" t="str">
        <x:v>portunus</x:v>
      </x:c>
      <x:c r="O49" s="62" t="n">
        <x:v>3.26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Portunus</x:v>
      </x:c>
      <x:c r="T49" s="62" t="n">
        <x:f>IF(O49="","",(1/'Metadata'!$B$5)^(O49-1))</x:f>
        <x:v>871.6212107848935</x:v>
      </x:c>
      <x:c r="U49" s="60" t="n">
        <x:f>IF(T49="","",I49*T49)</x:f>
        <x:v>2282528.7618820705</x:v>
      </x:c>
    </x:row>
    <x:row r="50" ht="18" customHeight="1">
      <x:c r="A50" s="46" t="str">
        <x:v>LME_003</x:v>
      </x:c>
      <x:c r="B50" s="46" t="str">
        <x:v>California Current</x:v>
      </x:c>
      <x:c r="C50" s="46" t="str">
        <x:v>LME</x:v>
      </x:c>
      <x:c r="D50" s="58" t="n">
        <x:v>2019</x:v>
      </x:c>
      <x:c r="E50" s="46" t="str">
        <x:v>Portunidae</x:v>
      </x:c>
      <x:c r="F50" s="46" t="str">
        <x:v>Swimming crabs</x:v>
      </x:c>
      <x:c r="G50" s="46" t="str">
        <x:v>Lobsters, crabs</x:v>
      </x:c>
      <x:c r="H50" s="46" t="str">
        <x:v>Crustaceans</x:v>
      </x:c>
      <x:c r="I50" s="60" t="n">
        <x:v>2575.4343010237</x:v>
      </x:c>
      <x:c r="J50" s="60" t="n">
        <x:v>0</x:v>
      </x:c>
      <x:c r="K50" s="60" t="n">
        <x:v>2575.4343010237</x:v>
      </x:c>
      <x:c r="L50" s="60" t="n">
        <x:v>0</x:v>
      </x:c>
      <x:c r="M50" s="60" t="n">
        <x:v>2575.4343010237</x:v>
      </x:c>
      <x:c r="N50" s="46" t="str">
        <x:v>portunidae</x:v>
      </x:c>
      <x:c r="O50" s="62" t="n">
        <x:v>3.56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Portunidae</x:v>
      </x:c>
      <x:c r="T50" s="62" t="n">
        <x:f>IF(O50="","",(1/'Metadata'!$B$5)^(O50-1))</x:f>
        <x:v>2141.099198485972</x:v>
      </x:c>
      <x:c r="U50" s="60" t="n">
        <x:f>IF(T50="","",I50*T50)</x:f>
        <x:v>5514260.317675123</x:v>
      </x:c>
    </x:row>
    <x:row r="51" ht="18" customHeight="1">
      <x:c r="A51" s="46" t="str">
        <x:v>LME_003</x:v>
      </x:c>
      <x:c r="B51" s="46" t="str">
        <x:v>California Current</x:v>
      </x:c>
      <x:c r="C51" s="46" t="str">
        <x:v>LME</x:v>
      </x:c>
      <x:c r="D51" s="58" t="n">
        <x:v>2019</x:v>
      </x:c>
      <x:c r="E51" s="46" t="str">
        <x:v>Mytilus</x:v>
      </x:c>
      <x:c r="F51" s="46" t="str">
        <x:v>Edible sea mussels</x:v>
      </x:c>
      <x:c r="G51" s="46" t="str">
        <x:v>Other demersal invertebrates</x:v>
      </x:c>
      <x:c r="H51" s="46" t="str">
        <x:v>Molluscs</x:v>
      </x:c>
      <x:c r="I51" s="60" t="n">
        <x:v>2539.7266627968997</x:v>
      </x:c>
      <x:c r="J51" s="60" t="n">
        <x:v>2539.7266627968997</x:v>
      </x:c>
      <x:c r="K51" s="60" t="n">
        <x:v>0</x:v>
      </x:c>
      <x:c r="L51" s="60" t="n">
        <x:v>2449.4509472964</x:v>
      </x:c>
      <x:c r="M51" s="60" t="n">
        <x:v>90.2757155005</x:v>
      </x:c>
      <x:c r="N51" s="46" t="str">
        <x:v>mytilus</x:v>
      </x:c>
      <x:c r="O51" s="62" t="n">
        <x:v>2.03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Mytilus</x:v>
      </x:c>
      <x:c r="T51" s="62" t="n">
        <x:f>IF(O51="","",(1/'Metadata'!$B$5)^(O51-1))</x:f>
        <x:v>21.880684071538855</x:v>
      </x:c>
      <x:c r="U51" s="60" t="n">
        <x:f>IF(T51="","",I51*T51)</x:f>
        <x:v>55570.956736722655</x:v>
      </x:c>
    </x:row>
    <x:row r="52" ht="18" customHeight="1">
      <x:c r="A52" s="46" t="str">
        <x:v>LME_003</x:v>
      </x:c>
      <x:c r="B52" s="46" t="str">
        <x:v>California Current</x:v>
      </x:c>
      <x:c r="C52" s="46" t="str">
        <x:v>LME</x:v>
      </x:c>
      <x:c r="D52" s="58" t="n">
        <x:v>2019</x:v>
      </x:c>
      <x:c r="E52" s="46" t="str">
        <x:v>Portunus xantusii</x:v>
      </x:c>
      <x:c r="F52" s="46" t="str">
        <x:v>Xantus swimcrab</x:v>
      </x:c>
      <x:c r="G52" s="46" t="str">
        <x:v>Lobsters, crabs</x:v>
      </x:c>
      <x:c r="H52" s="46" t="str">
        <x:v>Crustaceans</x:v>
      </x:c>
      <x:c r="I52" s="60" t="n">
        <x:v>2476.7615631195</x:v>
      </x:c>
      <x:c r="J52" s="60" t="n">
        <x:v>0</x:v>
      </x:c>
      <x:c r="K52" s="60" t="n">
        <x:v>2476.7615631195</x:v>
      </x:c>
      <x:c r="L52" s="60" t="n">
        <x:v>0</x:v>
      </x:c>
      <x:c r="M52" s="60" t="n">
        <x:v>2476.7615631195</x:v>
      </x:c>
      <x:c r="N52" s="46" t="str">
        <x:v>portunus xantusii</x:v>
      </x:c>
      <x:c r="O52" s="62" t="n">
        <x:v>3.26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Portunus xantusii</x:v>
      </x:c>
      <x:c r="T52" s="62" t="n">
        <x:f>IF(O52="","",(1/'Metadata'!$B$5)^(O52-1))</x:f>
        <x:v>871.6212107848935</x:v>
      </x:c>
      <x:c r="U52" s="60" t="n">
        <x:f>IF(T52="","",I52*T52)</x:f>
        <x:v>2158797.9124717037</x:v>
      </x:c>
    </x:row>
    <x:row r="53" ht="18" customHeight="1">
      <x:c r="A53" s="46" t="str">
        <x:v>LME_003</x:v>
      </x:c>
      <x:c r="B53" s="46" t="str">
        <x:v>California Current</x:v>
      </x:c>
      <x:c r="C53" s="46" t="str">
        <x:v>LME</x:v>
      </x:c>
      <x:c r="D53" s="58" t="n">
        <x:v>2019</x:v>
      </x:c>
      <x:c r="E53" s="46" t="str">
        <x:v>Prionace glauca</x:v>
      </x:c>
      <x:c r="F53" s="46" t="str">
        <x:v>Blue shark</x:v>
      </x:c>
      <x:c r="G53" s="46" t="str">
        <x:v>Large sharks (&gt;=90 cm)</x:v>
      </x:c>
      <x:c r="H53" s="46" t="str">
        <x:v>Sharks &amp; rays</x:v>
      </x:c>
      <x:c r="I53" s="60" t="n">
        <x:v>2241.7481074521997</x:v>
      </x:c>
      <x:c r="J53" s="60" t="n">
        <x:v>2206.417574135</x:v>
      </x:c>
      <x:c r="K53" s="60" t="n">
        <x:v>35.3305333172</x:v>
      </x:c>
      <x:c r="L53" s="60" t="n">
        <x:v>1368.7033823788</x:v>
      </x:c>
      <x:c r="M53" s="60" t="n">
        <x:v>873.0447250734</x:v>
      </x:c>
      <x:c r="N53" s="46" t="str">
        <x:v>prionace glauca</x:v>
      </x:c>
      <x:c r="O53" s="62" t="n">
        <x:v>4.35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Prionace glauca</x:v>
      </x:c>
      <x:c r="T53" s="62" t="n">
        <x:f>IF(O53="","",(1/'Metadata'!$B$5)^(O53-1))</x:f>
        <x:v>22827.086550132422</x:v>
      </x:c>
      <x:c r="U53" s="60" t="n">
        <x:f>IF(T53="","",I53*T53)</x:f>
        <x:v>51172578.07240692</x:v>
      </x:c>
    </x:row>
    <x:row r="54" ht="18" customHeight="1">
      <x:c r="A54" s="46" t="str">
        <x:v>LME_003</x:v>
      </x:c>
      <x:c r="B54" s="46" t="str">
        <x:v>California Current</x:v>
      </x:c>
      <x:c r="C54" s="46" t="str">
        <x:v>LME</x:v>
      </x:c>
      <x:c r="D54" s="58" t="n">
        <x:v>2019</x:v>
      </x:c>
      <x:c r="E54" s="46" t="str">
        <x:v>Prionotus stephanophrys</x:v>
      </x:c>
      <x:c r="F54" s="46" t="str">
        <x:v>Lumptail searobin</x:v>
      </x:c>
      <x:c r="G54" s="46" t="str">
        <x:v>Medium demersals (30 - 89 cm)</x:v>
      </x:c>
      <x:c r="H54" s="46" t="str">
        <x:v>Scorpionfishes</x:v>
      </x:c>
      <x:c r="I54" s="60" t="n">
        <x:v>2144.9625622349</x:v>
      </x:c>
      <x:c r="J54" s="60" t="n">
        <x:v>408.8350577596</x:v>
      </x:c>
      <x:c r="K54" s="60" t="n">
        <x:v>1736.1275044753</x:v>
      </x:c>
      <x:c r="L54" s="60" t="n">
        <x:v>0</x:v>
      </x:c>
      <x:c r="M54" s="60" t="n">
        <x:v>2144.9625622349</x:v>
      </x:c>
      <x:c r="N54" s="46" t="str">
        <x:v>prionotus stephanophrys</x:v>
      </x:c>
      <x:c r="O54" s="62" t="n">
        <x:v>3.5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Prionotus stephanophrys</x:v>
      </x:c>
      <x:c r="T54" s="62" t="n">
        <x:f>IF(O54="","",(1/'Metadata'!$B$5)^(O54-1))</x:f>
        <x:v>1788.8543819998317</x:v>
      </x:c>
      <x:c r="U54" s="60" t="n">
        <x:f>IF(T54="","",I54*T54)</x:f>
        <x:v>3837025.6786794877</x:v>
      </x:c>
    </x:row>
    <x:row r="55" ht="18" customHeight="1">
      <x:c r="A55" s="46" t="str">
        <x:v>LME_003</x:v>
      </x:c>
      <x:c r="B55" s="46" t="str">
        <x:v>California Current</x:v>
      </x:c>
      <x:c r="C55" s="46" t="str">
        <x:v>LME</x:v>
      </x:c>
      <x:c r="D55" s="58" t="n">
        <x:v>2019</x:v>
      </x:c>
      <x:c r="E55" s="46" t="str">
        <x:v>Pleuronectiformes</x:v>
      </x:c>
      <x:c r="F55" s="46" t="str">
        <x:v>Flatfishes</x:v>
      </x:c>
      <x:c r="G55" s="46" t="str">
        <x:v>Small to medium flatfishes (&lt;90 cm)</x:v>
      </x:c>
      <x:c r="H55" s="46" t="str">
        <x:v>Flatfishes</x:v>
      </x:c>
      <x:c r="I55" s="60" t="n">
        <x:v>2059.3446937823</x:v>
      </x:c>
      <x:c r="J55" s="60" t="n">
        <x:v>2057.7445052284</x:v>
      </x:c>
      <x:c r="K55" s="60" t="n">
        <x:v>1.6001885539</x:v>
      </x:c>
      <x:c r="L55" s="60" t="n">
        <x:v>1624.3431493875999</x:v>
      </x:c>
      <x:c r="M55" s="60" t="n">
        <x:v>435.0015443947</x:v>
      </x:c>
      <x:c r="N55" s="46" t="str">
        <x:v>pleuronectiformes</x:v>
      </x:c>
      <x:c r="O55" s="62" t="n">
        <x:v>3.57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Pleuronectiformes</x:v>
      </x:c>
      <x:c r="T55" s="62" t="n">
        <x:f>IF(O55="","",(1/'Metadata'!$B$5)^(O55-1))</x:f>
        <x:v>2206.2112196552644</x:v>
      </x:c>
      <x:c r="U55" s="60" t="n">
        <x:f>IF(T55="","",I55*T55)</x:f>
        <x:v>4543349.368560045</x:v>
      </x:c>
    </x:row>
    <x:row r="56" ht="18" customHeight="1">
      <x:c r="A56" s="46" t="str">
        <x:v>LME_003</x:v>
      </x:c>
      <x:c r="B56" s="46" t="str">
        <x:v>California Current</x:v>
      </x:c>
      <x:c r="C56" s="46" t="str">
        <x:v>LME</x:v>
      </x:c>
      <x:c r="D56" s="58" t="n">
        <x:v>2019</x:v>
      </x:c>
      <x:c r="E56" s="46" t="str">
        <x:v>Eopsetta jordani</x:v>
      </x:c>
      <x:c r="F56" s="46" t="str">
        <x:v>Petrale sole</x:v>
      </x:c>
      <x:c r="G56" s="46" t="str">
        <x:v>Small to medium flatfishes (&lt;90 cm)</x:v>
      </x:c>
      <x:c r="H56" s="46" t="str">
        <x:v>Flatfishes</x:v>
      </x:c>
      <x:c r="I56" s="60" t="n">
        <x:v>2050.6366703895</x:v>
      </x:c>
      <x:c r="J56" s="60" t="n">
        <x:v>2036.739443917</x:v>
      </x:c>
      <x:c r="K56" s="60" t="n">
        <x:v>13.8972264725</x:v>
      </x:c>
      <x:c r="L56" s="60" t="n">
        <x:v>2035.8855608845001</x:v>
      </x:c>
      <x:c r="M56" s="60" t="n">
        <x:v>14.751109505</x:v>
      </x:c>
      <x:c r="N56" s="46" t="str">
        <x:v>eopsetta jordani</x:v>
      </x:c>
      <x:c r="O56" s="62" t="n">
        <x:v>4.05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Eopsetta jordani</x:v>
      </x:c>
      <x:c r="T56" s="62" t="n">
        <x:f>IF(O56="","",(1/'Metadata'!$B$5)^(O56-1))</x:f>
        <x:v>9292.690797132333</x:v>
      </x:c>
      <x:c r="U56" s="60" t="n">
        <x:f>IF(T56="","",I56*T56)</x:f>
        <x:v>19055932.515190594</x:v>
      </x:c>
    </x:row>
    <x:row r="57" ht="18" customHeight="1">
      <x:c r="A57" s="46" t="str">
        <x:v>LME_003</x:v>
      </x:c>
      <x:c r="B57" s="46" t="str">
        <x:v>California Current</x:v>
      </x:c>
      <x:c r="C57" s="46" t="str">
        <x:v>LME</x:v>
      </x:c>
      <x:c r="D57" s="58" t="n">
        <x:v>2019</x:v>
      </x:c>
      <x:c r="E57" s="46" t="str">
        <x:v>Mugil cephalus</x:v>
      </x:c>
      <x:c r="F57" s="46" t="str">
        <x:v>Flathead grey mullet</x:v>
      </x:c>
      <x:c r="G57" s="46" t="str">
        <x:v>Large benthopelagics (&gt;=90 cm)</x:v>
      </x:c>
      <x:c r="H57" s="46" t="str">
        <x:v>Perch-likes</x:v>
      </x:c>
      <x:c r="I57" s="60" t="n">
        <x:v>2027.7053111214002</x:v>
      </x:c>
      <x:c r="J57" s="60" t="n">
        <x:v>2027.7053111214002</x:v>
      </x:c>
      <x:c r="K57" s="60" t="n">
        <x:v>0</x:v>
      </x:c>
      <x:c r="L57" s="60" t="n">
        <x:v>1678.0275654987001</x:v>
      </x:c>
      <x:c r="M57" s="60" t="n">
        <x:v>349.6777456227</x:v>
      </x:c>
      <x:c r="N57" s="46" t="str">
        <x:v>mugil cephalus</x:v>
      </x:c>
      <x:c r="O57" s="62" t="n">
        <x:v>2.14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Mugil cephalus</x:v>
      </x:c>
      <x:c r="T57" s="62" t="n">
        <x:f>IF(O57="","",(1/'Metadata'!$B$5)^(O57-1))</x:f>
        <x:v>30.421049660829848</x:v>
      </x:c>
      <x:c r="U57" s="60" t="n">
        <x:f>IF(T57="","",I57*T57)</x:f>
        <x:v>61684.92396715255</x:v>
      </x:c>
    </x:row>
    <x:row r="58" ht="18" customHeight="1">
      <x:c r="A58" s="46" t="str">
        <x:v>LME_003</x:v>
      </x:c>
      <x:c r="B58" s="46" t="str">
        <x:v>California Current</x:v>
      </x:c>
      <x:c r="C58" s="46" t="str">
        <x:v>LME</x:v>
      </x:c>
      <x:c r="D58" s="58" t="n">
        <x:v>2019</x:v>
      </x:c>
      <x:c r="E58" s="46" t="str">
        <x:v>Mullidae</x:v>
      </x:c>
      <x:c r="F58" s="46" t="str">
        <x:v>Goatfishes</x:v>
      </x:c>
      <x:c r="G58" s="46" t="str">
        <x:v>Medium reef assoc. fish (30 - 89 cm)</x:v>
      </x:c>
      <x:c r="H58" s="46" t="str">
        <x:v>Perch-likes</x:v>
      </x:c>
      <x:c r="I58" s="60" t="n">
        <x:v>1987.7511990502</x:v>
      </x:c>
      <x:c r="J58" s="60" t="n">
        <x:v>398.3291721264</x:v>
      </x:c>
      <x:c r="K58" s="60" t="n">
        <x:v>1589.4220269238</x:v>
      </x:c>
      <x:c r="L58" s="60" t="n">
        <x:v>0</x:v>
      </x:c>
      <x:c r="M58" s="60" t="n">
        <x:v>1987.7511990502</x:v>
      </x:c>
      <x:c r="N58" s="46" t="str">
        <x:v>mullidae</x:v>
      </x:c>
      <x:c r="O58" s="62" t="n">
        <x:v>3.46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Mullidae</x:v>
      </x:c>
      <x:c r="T58" s="62" t="n">
        <x:f>IF(O58="","",(1/'Metadata'!$B$5)^(O58-1))</x:f>
        <x:v>1586.8423749532276</x:v>
      </x:c>
      <x:c r="U58" s="60" t="n">
        <x:f>IF(T58="","",I58*T58)</x:f>
        <x:v>3154247.833516945</x:v>
      </x:c>
    </x:row>
    <x:row r="59" ht="18" customHeight="1">
      <x:c r="A59" s="46" t="str">
        <x:v>LME_003</x:v>
      </x:c>
      <x:c r="B59" s="46" t="str">
        <x:v>California Current</x:v>
      </x:c>
      <x:c r="C59" s="46" t="str">
        <x:v>LME</x:v>
      </x:c>
      <x:c r="D59" s="58" t="n">
        <x:v>2019</x:v>
      </x:c>
      <x:c r="E59" s="46" t="str">
        <x:v>Cancer antennarius</x:v>
      </x:c>
      <x:c r="F59" s="46" t="str">
        <x:v>California red rock crab</x:v>
      </x:c>
      <x:c r="G59" s="46" t="str">
        <x:v>Lobsters, crabs</x:v>
      </x:c>
      <x:c r="H59" s="46" t="str">
        <x:v>Crustaceans</x:v>
      </x:c>
      <x:c r="I59" s="60" t="n">
        <x:v>1973.8663282922</x:v>
      </x:c>
      <x:c r="J59" s="60" t="n">
        <x:v>1973.8663282922</x:v>
      </x:c>
      <x:c r="K59" s="60" t="n">
        <x:v>0</x:v>
      </x:c>
      <x:c r="L59" s="60" t="n">
        <x:v>1973.7851293403</x:v>
      </x:c>
      <x:c r="M59" s="60" t="n">
        <x:v>0.0811989519</x:v>
      </x:c>
      <x:c r="N59" s="46" t="str">
        <x:v>cancer antennarius</x:v>
      </x:c>
      <x:c r="O59" s="62" t="n">
        <x:v>3.77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Cancer antennarius</x:v>
      </x:c>
      <x:c r="T59" s="62" t="n">
        <x:f>IF(O59="","",(1/'Metadata'!$B$5)^(O59-1))</x:f>
        <x:v>4016.549170818885</x:v>
      </x:c>
      <x:c r="U59" s="60" t="n">
        <x:f>IF(T59="","",I59*T59)</x:f>
        <x:v>7928131.164209354</x:v>
      </x:c>
    </x:row>
    <x:row r="60" ht="18" customHeight="1">
      <x:c r="A60" s="46" t="str">
        <x:v>LME_003</x:v>
      </x:c>
      <x:c r="B60" s="46" t="str">
        <x:v>California Current</x:v>
      </x:c>
      <x:c r="C60" s="46" t="str">
        <x:v>LME</x:v>
      </x:c>
      <x:c r="D60" s="58" t="n">
        <x:v>2019</x:v>
      </x:c>
      <x:c r="E60" s="46" t="str">
        <x:v>Panopea generosa</x:v>
      </x:c>
      <x:c r="F60" s="46" t="str">
        <x:v>Pacific geoduck</x:v>
      </x:c>
      <x:c r="G60" s="46" t="str">
        <x:v>Other demersal invertebrates</x:v>
      </x:c>
      <x:c r="H60" s="46" t="str">
        <x:v>Molluscs</x:v>
      </x:c>
      <x:c r="I60" s="60" t="n">
        <x:v>1690.7868860348</x:v>
      </x:c>
      <x:c r="J60" s="60" t="n">
        <x:v>1690.7868860348</x:v>
      </x:c>
      <x:c r="K60" s="60" t="n">
        <x:v>0</x:v>
      </x:c>
      <x:c r="L60" s="60" t="n">
        <x:v>1688.8948005225</x:v>
      </x:c>
      <x:c r="M60" s="60" t="n">
        <x:v>1.8920855123</x:v>
      </x:c>
      <x:c r="N60" s="46" t="str">
        <x:v>panopea generosa</x:v>
      </x:c>
      <x:c r="O60" s="62" t="n">
        <x:v>2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Panopea generosa</x:v>
      </x:c>
      <x:c r="T60" s="62" t="n">
        <x:f>IF(O60="","",(1/'Metadata'!$B$5)^(O60-1))</x:f>
        <x:v>20</x:v>
      </x:c>
      <x:c r="U60" s="60" t="n">
        <x:f>IF(T60="","",I60*T60)</x:f>
        <x:v>33815.737720696</x:v>
      </x:c>
    </x:row>
    <x:row r="61" ht="18" customHeight="1">
      <x:c r="A61" s="46" t="str">
        <x:v>LME_003</x:v>
      </x:c>
      <x:c r="B61" s="46" t="str">
        <x:v>California Current</x:v>
      </x:c>
      <x:c r="C61" s="46" t="str">
        <x:v>LME</x:v>
      </x:c>
      <x:c r="D61" s="58" t="n">
        <x:v>2019</x:v>
      </x:c>
      <x:c r="E61" s="46" t="str">
        <x:v>Dosidicus gigas</x:v>
      </x:c>
      <x:c r="F61" s="46" t="str">
        <x:v>Jumbo flying squid</x:v>
      </x:c>
      <x:c r="G61" s="46" t="str">
        <x:v>Cephalopods</x:v>
      </x:c>
      <x:c r="H61" s="46" t="str">
        <x:v>Other fishes &amp; inverts</x:v>
      </x:c>
      <x:c r="I61" s="60" t="n">
        <x:v>1649.3413315153</x:v>
      </x:c>
      <x:c r="J61" s="60" t="n">
        <x:v>1649.3413315153</x:v>
      </x:c>
      <x:c r="K61" s="60" t="n">
        <x:v>0</x:v>
      </x:c>
      <x:c r="L61" s="60" t="n">
        <x:v>1649.3413315153</x:v>
      </x:c>
      <x:c r="M61" s="60" t="n">
        <x:v>0</x:v>
      </x:c>
      <x:c r="N61" s="46" t="str">
        <x:v>dosidicus gigas</x:v>
      </x:c>
      <x:c r="O61" s="62" t="n">
        <x:v>4.14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Dosidicus gigas</x:v>
      </x:c>
      <x:c r="T61" s="62" t="n">
        <x:f>IF(O61="","",(1/'Metadata'!$B$5)^(O61-1))</x:f>
        <x:v>12168.419864331923</x:v>
      </x:c>
      <x:c r="U61" s="60" t="n">
        <x:f>IF(T61="","",I61*T61)</x:f>
        <x:v>20069877.82147444</x:v>
      </x:c>
    </x:row>
    <x:row r="62" ht="18" customHeight="1">
      <x:c r="A62" s="46" t="str">
        <x:v>LME_003</x:v>
      </x:c>
      <x:c r="B62" s="46" t="str">
        <x:v>California Current</x:v>
      </x:c>
      <x:c r="C62" s="46" t="str">
        <x:v>LME</x:v>
      </x:c>
      <x:c r="D62" s="58" t="n">
        <x:v>2019</x:v>
      </x:c>
      <x:c r="E62" s="46" t="str">
        <x:v>Crassostrea</x:v>
      </x:c>
      <x:c r="F62" s="46" t="str">
        <x:v>Cupped oysters</x:v>
      </x:c>
      <x:c r="G62" s="46" t="str">
        <x:v>Other demersal invertebrates</x:v>
      </x:c>
      <x:c r="H62" s="46" t="str">
        <x:v>Molluscs</x:v>
      </x:c>
      <x:c r="I62" s="60" t="n">
        <x:v>1616.2011839433</x:v>
      </x:c>
      <x:c r="J62" s="60" t="n">
        <x:v>1616.2011839433</x:v>
      </x:c>
      <x:c r="K62" s="60" t="n">
        <x:v>0</x:v>
      </x:c>
      <x:c r="L62" s="60" t="n">
        <x:v>1469.7970724821</x:v>
      </x:c>
      <x:c r="M62" s="60" t="n">
        <x:v>146.4041114612</x:v>
      </x:c>
      <x:c r="N62" s="46" t="str">
        <x:v>crassostrea</x:v>
      </x:c>
      <x:c r="O62" s="62" t="n">
        <x:v>2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Crassostrea</x:v>
      </x:c>
      <x:c r="T62" s="62" t="n">
        <x:f>IF(O62="","",(1/'Metadata'!$B$5)^(O62-1))</x:f>
        <x:v>20</x:v>
      </x:c>
      <x:c r="U62" s="60" t="n">
        <x:f>IF(T62="","",I62*T62)</x:f>
        <x:v>32324.023678866</x:v>
      </x:c>
    </x:row>
    <x:row r="63" ht="18" customHeight="1">
      <x:c r="A63" s="46" t="str">
        <x:v>LME_003</x:v>
      </x:c>
      <x:c r="B63" s="46" t="str">
        <x:v>California Current</x:v>
      </x:c>
      <x:c r="C63" s="46" t="str">
        <x:v>LME</x:v>
      </x:c>
      <x:c r="D63" s="58" t="n">
        <x:v>2019</x:v>
      </x:c>
      <x:c r="E63" s="46" t="str">
        <x:v>Decapoda</x:v>
      </x:c>
      <x:c r="F63" s="46" t="str">
        <x:v>Crabs, lobsters, shrimps</x:v>
      </x:c>
      <x:c r="G63" s="46" t="str">
        <x:v>Lobsters, crabs</x:v>
      </x:c>
      <x:c r="H63" s="46" t="str">
        <x:v>Crustaceans</x:v>
      </x:c>
      <x:c r="I63" s="60" t="n">
        <x:v>1597.9766060817</x:v>
      </x:c>
      <x:c r="J63" s="60" t="n">
        <x:v>62.4126744713</x:v>
      </x:c>
      <x:c r="K63" s="60" t="n">
        <x:v>1535.5639316104</x:v>
      </x:c>
      <x:c r="L63" s="60" t="n">
        <x:v>62.4126744713</x:v>
      </x:c>
      <x:c r="M63" s="60" t="n">
        <x:v>1535.5639316104</x:v>
      </x:c>
      <x:c r="N63" s="46" t="str">
        <x:v>decapoda</x:v>
      </x:c>
      <x:c r="O63" s="62" t="n">
        <x:v>3.43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Decapoda</x:v>
      </x:c>
      <x:c r="T63" s="62" t="n">
        <x:f>IF(O63="","",(1/'Metadata'!$B$5)^(O63-1))</x:f>
        <x:v>1450.450424461182</x:v>
      </x:c>
      <x:c r="U63" s="60" t="n">
        <x:f>IF(T63="","",I63*T63)</x:f>
        <x:v>2317785.846570241</x:v>
      </x:c>
    </x:row>
    <x:row r="64" ht="18" customHeight="1">
      <x:c r="A64" s="46" t="str">
        <x:v>LME_003</x:v>
      </x:c>
      <x:c r="B64" s="46" t="str">
        <x:v>California Current</x:v>
      </x:c>
      <x:c r="C64" s="46" t="str">
        <x:v>LME</x:v>
      </x:c>
      <x:c r="D64" s="58" t="n">
        <x:v>2019</x:v>
      </x:c>
      <x:c r="E64" s="46" t="str">
        <x:v>Sarda chiliensis</x:v>
      </x:c>
      <x:c r="F64" s="46" t="str">
        <x:v>Eastern Pacific bonito</x:v>
      </x:c>
      <x:c r="G64" s="46" t="str">
        <x:v>Medium pelagics (30 - 89 cm)</x:v>
      </x:c>
      <x:c r="H64" s="46" t="str">
        <x:v>Tuna &amp; billfishes</x:v>
      </x:c>
      <x:c r="I64" s="60" t="n">
        <x:v>1584.5253253559</x:v>
      </x:c>
      <x:c r="J64" s="60" t="n">
        <x:v>1584.5253253559</x:v>
      </x:c>
      <x:c r="K64" s="60" t="n">
        <x:v>0</x:v>
      </x:c>
      <x:c r="L64" s="60" t="n">
        <x:v>1224.7845468879</x:v>
      </x:c>
      <x:c r="M64" s="60" t="n">
        <x:v>359.74077846800003</x:v>
      </x:c>
      <x:c r="N64" s="46" t="str">
        <x:v>sarda chiliensis</x:v>
      </x:c>
      <x:c r="O64" s="62" t="n">
        <x:v>4.49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Sarda chiliensis</x:v>
      </x:c>
      <x:c r="T64" s="62" t="n">
        <x:f>IF(O64="","",(1/'Metadata'!$B$5)^(O64-1))</x:f>
        <x:v>34721.19667768202</x:v>
      </x:c>
      <x:c r="U64" s="60" t="n">
        <x:f>IF(T64="","",I64*T64)</x:f>
        <x:v>55016615.46245029</x:v>
      </x:c>
    </x:row>
    <x:row r="65" ht="18" customHeight="1">
      <x:c r="A65" s="46" t="str">
        <x:v>LME_003</x:v>
      </x:c>
      <x:c r="B65" s="46" t="str">
        <x:v>California Current</x:v>
      </x:c>
      <x:c r="C65" s="46" t="str">
        <x:v>LME</x:v>
      </x:c>
      <x:c r="D65" s="58" t="n">
        <x:v>2019</x:v>
      </x:c>
      <x:c r="E65" s="46" t="str">
        <x:v>Serranidae</x:v>
      </x:c>
      <x:c r="F65" s="46" t="str">
        <x:v>Basses, groupers, hinds</x:v>
      </x:c>
      <x:c r="G65" s="46" t="str">
        <x:v>Medium reef assoc. fish (30 - 89 cm)</x:v>
      </x:c>
      <x:c r="H65" s="46" t="str">
        <x:v>Perch-likes</x:v>
      </x:c>
      <x:c r="I65" s="60" t="n">
        <x:v>1495.7702989021</x:v>
      </x:c>
      <x:c r="J65" s="60" t="n">
        <x:v>1495.7702989021</x:v>
      </x:c>
      <x:c r="K65" s="60" t="n">
        <x:v>0</x:v>
      </x:c>
      <x:c r="L65" s="60" t="n">
        <x:v>846.2308206980999</x:v>
      </x:c>
      <x:c r="M65" s="60" t="n">
        <x:v>649.539478204</x:v>
      </x:c>
      <x:c r="N65" s="46" t="str">
        <x:v>serranidae</x:v>
      </x:c>
      <x:c r="O65" s="62" t="n">
        <x:v>3.98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Serranidae</x:v>
      </x:c>
      <x:c r="T65" s="62" t="n">
        <x:f>IF(O65="","",(1/'Metadata'!$B$5)^(O65-1))</x:f>
        <x:v>7534.759367064222</x:v>
      </x:c>
      <x:c r="U65" s="60" t="n">
        <x:f>IF(T65="","",I65*T65)</x:f>
        <x:v>11270269.270629048</x:v>
      </x:c>
    </x:row>
    <x:row r="66" ht="18" customHeight="1">
      <x:c r="A66" s="46" t="str">
        <x:v>LME_003</x:v>
      </x:c>
      <x:c r="B66" s="46" t="str">
        <x:v>California Current</x:v>
      </x:c>
      <x:c r="C66" s="46" t="str">
        <x:v>LME</x:v>
      </x:c>
      <x:c r="D66" s="58" t="n">
        <x:v>2019</x:v>
      </x:c>
      <x:c r="E66" s="46" t="str">
        <x:v>Diogenidae</x:v>
      </x:c>
      <x:c r="F66" s="46" t="str">
        <x:v>Hermit crabs</x:v>
      </x:c>
      <x:c r="G66" s="46" t="str">
        <x:v>Lobsters, crabs</x:v>
      </x:c>
      <x:c r="H66" s="46" t="str">
        <x:v>Crustaceans</x:v>
      </x:c>
      <x:c r="I66" s="60" t="n">
        <x:v>1454.5405762196</x:v>
      </x:c>
      <x:c r="J66" s="60" t="n">
        <x:v>0</x:v>
      </x:c>
      <x:c r="K66" s="60" t="n">
        <x:v>1454.5405762196</x:v>
      </x:c>
      <x:c r="L66" s="60" t="n">
        <x:v>0</x:v>
      </x:c>
      <x:c r="M66" s="60" t="n">
        <x:v>1454.5405762196</x:v>
      </x:c>
      <x:c r="N66" s="46" t="str">
        <x:v>diogenidae</x:v>
      </x:c>
      <x:c r="O66" s="62" t="n">
        <x:v>4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Diogenidae</x:v>
      </x:c>
      <x:c r="T66" s="62" t="n">
        <x:f>IF(O66="","",(1/'Metadata'!$B$5)^(O66-1))</x:f>
        <x:v>8000</x:v>
      </x:c>
      <x:c r="U66" s="60" t="n">
        <x:f>IF(T66="","",I66*T66)</x:f>
        <x:v>11636324.609756801</x:v>
      </x:c>
    </x:row>
    <x:row r="67" ht="18" customHeight="1">
      <x:c r="A67" s="46" t="str">
        <x:v>LME_003</x:v>
      </x:c>
      <x:c r="B67" s="46" t="str">
        <x:v>California Current</x:v>
      </x:c>
      <x:c r="C67" s="46" t="str">
        <x:v>LME</x:v>
      </x:c>
      <x:c r="D67" s="58" t="n">
        <x:v>2019</x:v>
      </x:c>
      <x:c r="E67" s="46" t="str">
        <x:v>Lutjanus peru</x:v>
      </x:c>
      <x:c r="F67" s="46" t="str">
        <x:v>Pacific red snapper</x:v>
      </x:c>
      <x:c r="G67" s="46" t="str">
        <x:v>Medium reef assoc. fish (30 - 89 cm)</x:v>
      </x:c>
      <x:c r="H67" s="46" t="str">
        <x:v>Perch-likes</x:v>
      </x:c>
      <x:c r="I67" s="60" t="n">
        <x:v>1328.0872879469</x:v>
      </x:c>
      <x:c r="J67" s="60" t="n">
        <x:v>1328.0872879469</x:v>
      </x:c>
      <x:c r="K67" s="60" t="n">
        <x:v>0</x:v>
      </x:c>
      <x:c r="L67" s="60" t="n">
        <x:v>992.2481332693</x:v>
      </x:c>
      <x:c r="M67" s="60" t="n">
        <x:v>335.83915467760005</x:v>
      </x:c>
      <x:c r="N67" s="46" t="str">
        <x:v>lutjanus peru</x:v>
      </x:c>
      <x:c r="O67" s="62" t="n">
        <x:v>4.02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Lutjanus peru</x:v>
      </x:c>
      <x:c r="T67" s="62" t="n">
        <x:f>IF(O67="","",(1/'Metadata'!$B$5)^(O67-1))</x:f>
        <x:v>8493.967342839818</x:v>
      </x:c>
      <x:c r="U67" s="60" t="n">
        <x:f>IF(T67="","",I67*T67)</x:f>
        <x:v>11280730.052261671</x:v>
      </x:c>
    </x:row>
    <x:row r="68" ht="18" customHeight="1">
      <x:c r="A68" s="46" t="str">
        <x:v>LME_003</x:v>
      </x:c>
      <x:c r="B68" s="46" t="str">
        <x:v>California Current</x:v>
      </x:c>
      <x:c r="C68" s="46" t="str">
        <x:v>LME</x:v>
      </x:c>
      <x:c r="D68" s="58" t="n">
        <x:v>2019</x:v>
      </x:c>
      <x:c r="E68" s="46" t="str">
        <x:v>Callinectes bellicosus</x:v>
      </x:c>
      <x:c r="F68" s="46" t="str">
        <x:v>Warrior swimcrab</x:v>
      </x:c>
      <x:c r="G68" s="46" t="str">
        <x:v>Lobsters, crabs</x:v>
      </x:c>
      <x:c r="H68" s="46" t="str">
        <x:v>Crustaceans</x:v>
      </x:c>
      <x:c r="I68" s="60" t="n">
        <x:v>1259.6246203234</x:v>
      </x:c>
      <x:c r="J68" s="60" t="n">
        <x:v>0</x:v>
      </x:c>
      <x:c r="K68" s="60" t="n">
        <x:v>1259.6246203234</x:v>
      </x:c>
      <x:c r="L68" s="60" t="n">
        <x:v>0</x:v>
      </x:c>
      <x:c r="M68" s="60" t="n">
        <x:v>1259.6246203234</x:v>
      </x:c>
      <x:c r="N68" s="46" t="str">
        <x:v>callinectes bellicosus</x:v>
      </x:c>
      <x:c r="O68" s="62" t="n">
        <x:v>4.16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Callinectes bellicosus</x:v>
      </x:c>
      <x:c r="T68" s="62" t="n">
        <x:f>IF(O68="","",(1/'Metadata'!$B$5)^(O68-1))</x:f>
        <x:v>12919.77011769987</x:v>
      </x:c>
      <x:c r="U68" s="60" t="n">
        <x:f>IF(T68="","",I68*T68)</x:f>
        <x:v>16274060.529173309</x:v>
      </x:c>
    </x:row>
    <x:row r="69" ht="18" customHeight="1">
      <x:c r="A69" s="46" t="str">
        <x:v>LME_003</x:v>
      </x:c>
      <x:c r="B69" s="46" t="str">
        <x:v>California Current</x:v>
      </x:c>
      <x:c r="C69" s="46" t="str">
        <x:v>LME</x:v>
      </x:c>
      <x:c r="D69" s="58" t="n">
        <x:v>2019</x:v>
      </x:c>
      <x:c r="E69" s="46" t="str">
        <x:v>Achirus mazatlanus</x:v>
      </x:c>
      <x:c r="F69" s="46" t="str">
        <x:v>Mazatlan sole</x:v>
      </x:c>
      <x:c r="G69" s="46" t="str">
        <x:v>Small to medium flatfishes (&lt;90 cm)</x:v>
      </x:c>
      <x:c r="H69" s="46" t="str">
        <x:v>Flatfishes</x:v>
      </x:c>
      <x:c r="I69" s="60" t="n">
        <x:v>1222.2020619077</x:v>
      </x:c>
      <x:c r="J69" s="60" t="n">
        <x:v>237.469479607</x:v>
      </x:c>
      <x:c r="K69" s="60" t="n">
        <x:v>984.7325823007</x:v>
      </x:c>
      <x:c r="L69" s="60" t="n">
        <x:v>0</x:v>
      </x:c>
      <x:c r="M69" s="60" t="n">
        <x:v>1222.2020619077</x:v>
      </x:c>
      <x:c r="N69" s="46" t="str">
        <x:v>achirus mazatlanus</x:v>
      </x:c>
      <x:c r="O69" s="62" t="n">
        <x:v>3.2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Achirus mazatlanus</x:v>
      </x:c>
      <x:c r="T69" s="62" t="n">
        <x:f>IF(O69="","",(1/'Metadata'!$B$5)^(O69-1))</x:f>
        <x:v>728.2256812104325</x:v>
      </x:c>
      <x:c r="U69" s="60" t="n">
        <x:f>IF(T69="","",I69*T69)</x:f>
        <x:v>890038.92910953</x:v>
      </x:c>
    </x:row>
    <x:row r="70" ht="18" customHeight="1">
      <x:c r="A70" s="46" t="str">
        <x:v>LME_003</x:v>
      </x:c>
      <x:c r="B70" s="46" t="str">
        <x:v>California Current</x:v>
      </x:c>
      <x:c r="C70" s="46" t="str">
        <x:v>LME</x:v>
      </x:c>
      <x:c r="D70" s="58" t="n">
        <x:v>2019</x:v>
      </x:c>
      <x:c r="E70" s="46" t="str">
        <x:v>Cynoscion</x:v>
      </x:c>
      <x:c r="F70" s="46" t="str">
        <x:v>Weakfishes</x:v>
      </x:c>
      <x:c r="G70" s="46" t="str">
        <x:v>Medium demersals (30 - 89 cm)</x:v>
      </x:c>
      <x:c r="H70" s="46" t="str">
        <x:v>Perch-likes</x:v>
      </x:c>
      <x:c r="I70" s="60" t="n">
        <x:v>1218.6178806961</x:v>
      </x:c>
      <x:c r="J70" s="60" t="n">
        <x:v>1218.6178806961</x:v>
      </x:c>
      <x:c r="K70" s="60" t="n">
        <x:v>0</x:v>
      </x:c>
      <x:c r="L70" s="60" t="n">
        <x:v>944.3370762915999</x:v>
      </x:c>
      <x:c r="M70" s="60" t="n">
        <x:v>274.28080440450003</x:v>
      </x:c>
      <x:c r="N70" s="46" t="str">
        <x:v>cynoscion</x:v>
      </x:c>
      <x:c r="O70" s="62" t="n">
        <x:v>4.21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Cynoscion</x:v>
      </x:c>
      <x:c r="T70" s="62" t="n">
        <x:f>IF(O70="","",(1/'Metadata'!$B$5)^(O70-1))</x:f>
        <x:v>15007.428609226863</x:v>
      </x:c>
      <x:c r="U70" s="60" t="n">
        <x:f>IF(T70="","",I70*T70)</x:f>
        <x:v>18288320.84647406</x:v>
      </x:c>
    </x:row>
    <x:row r="71" ht="18" customHeight="1">
      <x:c r="A71" s="46" t="str">
        <x:v>LME_003</x:v>
      </x:c>
      <x:c r="B71" s="46" t="str">
        <x:v>California Current</x:v>
      </x:c>
      <x:c r="C71" s="46" t="str">
        <x:v>LME</x:v>
      </x:c>
      <x:c r="D71" s="58" t="n">
        <x:v>2019</x:v>
      </x:c>
      <x:c r="E71" s="46" t="str">
        <x:v>Trachurus symmetricus</x:v>
      </x:c>
      <x:c r="F71" s="46" t="str">
        <x:v>Pacific jack mackerel</x:v>
      </x:c>
      <x:c r="G71" s="46" t="str">
        <x:v>Medium pelagics (30 - 89 cm)</x:v>
      </x:c>
      <x:c r="H71" s="46" t="str">
        <x:v>Perch-likes</x:v>
      </x:c>
      <x:c r="I71" s="60" t="n">
        <x:v>1179.5071884822</x:v>
      </x:c>
      <x:c r="J71" s="60" t="n">
        <x:v>1179.4276897662</x:v>
      </x:c>
      <x:c r="K71" s="60" t="n">
        <x:v>0.079498716</x:v>
      </x:c>
      <x:c r="L71" s="60" t="n">
        <x:v>1177.2552875355</x:v>
      </x:c>
      <x:c r="M71" s="60" t="n">
        <x:v>2.2519009466999997</x:v>
      </x:c>
      <x:c r="N71" s="46" t="str">
        <x:v>trachurus symmetricus</x:v>
      </x:c>
      <x:c r="O71" s="62" t="n">
        <x:v>3.57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Trachurus symmetricus</x:v>
      </x:c>
      <x:c r="T71" s="62" t="n">
        <x:f>IF(O71="","",(1/'Metadata'!$B$5)^(O71-1))</x:f>
        <x:v>2206.2112196552644</x:v>
      </x:c>
      <x:c r="U71" s="60" t="n">
        <x:f>IF(T71="","",I71*T71)</x:f>
        <x:v>2602241.9928934663</x:v>
      </x:c>
    </x:row>
    <x:row r="72" ht="18" customHeight="1">
      <x:c r="A72" s="46" t="str">
        <x:v>LME_003</x:v>
      </x:c>
      <x:c r="B72" s="46" t="str">
        <x:v>California Current</x:v>
      </x:c>
      <x:c r="C72" s="46" t="str">
        <x:v>LME</x:v>
      </x:c>
      <x:c r="D72" s="58" t="n">
        <x:v>2019</x:v>
      </x:c>
      <x:c r="E72" s="46" t="str">
        <x:v>Peprilus</x:v>
      </x:c>
      <x:c r="F72" s="46" t="str">
        <x:v>Harvestfishes</x:v>
      </x:c>
      <x:c r="G72" s="46" t="str">
        <x:v>Small benthopelagics (&lt;30 cm)</x:v>
      </x:c>
      <x:c r="H72" s="46" t="str">
        <x:v>Perch-likes</x:v>
      </x:c>
      <x:c r="I72" s="60" t="n">
        <x:v>1075.8041166861</x:v>
      </x:c>
      <x:c r="J72" s="60" t="n">
        <x:v>1075.8041166861</x:v>
      </x:c>
      <x:c r="K72" s="60" t="n">
        <x:v>0</x:v>
      </x:c>
      <x:c r="L72" s="60" t="n">
        <x:v>0</x:v>
      </x:c>
      <x:c r="M72" s="60" t="n">
        <x:v>1075.8041166861</x:v>
      </x:c>
      <x:c r="N72" s="46" t="str">
        <x:v>peprilus</x:v>
      </x:c>
      <x:c r="O72" s="62" t="n">
        <x:v>3.78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Peprilus</x:v>
      </x:c>
      <x:c r="T72" s="62" t="n">
        <x:f>IF(O72="","",(1/'Metadata'!$B$5)^(O72-1))</x:f>
        <x:v>4138.694671981463</x:v>
      </x:c>
      <x:c r="U72" s="60" t="n">
        <x:f>IF(T72="","",I72*T72)</x:f>
        <x:v>4452424.7658244865</x:v>
      </x:c>
    </x:row>
    <x:row r="73" ht="18" customHeight="1">
      <x:c r="A73" s="46" t="str">
        <x:v>LME_003</x:v>
      </x:c>
      <x:c r="B73" s="46" t="str">
        <x:v>California Current</x:v>
      </x:c>
      <x:c r="C73" s="46" t="str">
        <x:v>LME</x:v>
      </x:c>
      <x:c r="D73" s="58" t="n">
        <x:v>2019</x:v>
      </x:c>
      <x:c r="E73" s="46" t="str">
        <x:v>Cancer productus</x:v>
      </x:c>
      <x:c r="F73" s="46" t="str">
        <x:v>Pacific rock crab</x:v>
      </x:c>
      <x:c r="G73" s="46" t="str">
        <x:v>Lobsters, crabs</x:v>
      </x:c>
      <x:c r="H73" s="46" t="str">
        <x:v>Crustaceans</x:v>
      </x:c>
      <x:c r="I73" s="60" t="n">
        <x:v>929.509678428</x:v>
      </x:c>
      <x:c r="J73" s="60" t="n">
        <x:v>929.509678428</x:v>
      </x:c>
      <x:c r="K73" s="60" t="n">
        <x:v>0</x:v>
      </x:c>
      <x:c r="L73" s="60" t="n">
        <x:v>901.5796435756</x:v>
      </x:c>
      <x:c r="M73" s="60" t="n">
        <x:v>27.9300348524</x:v>
      </x:c>
      <x:c r="N73" s="46" t="str">
        <x:v>cancer productus</x:v>
      </x:c>
      <x:c r="O73" s="62" t="n">
        <x:v>3.3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Cancer productus</x:v>
      </x:c>
      <x:c r="T73" s="62" t="n">
        <x:f>IF(O73="","",(1/'Metadata'!$B$5)^(O73-1))</x:f>
        <x:v>982.5824208926318</x:v>
      </x:c>
      <x:c r="U73" s="60" t="n">
        <x:f>IF(T73="","",I73*T73)</x:f>
        <x:v>913319.870072916</x:v>
      </x:c>
    </x:row>
    <x:row r="74" ht="18" customHeight="1">
      <x:c r="A74" s="46" t="str">
        <x:v>LME_003</x:v>
      </x:c>
      <x:c r="B74" s="46" t="str">
        <x:v>California Current</x:v>
      </x:c>
      <x:c r="C74" s="46" t="str">
        <x:v>LME</x:v>
      </x:c>
      <x:c r="D74" s="58" t="n">
        <x:v>2019</x:v>
      </x:c>
      <x:c r="E74" s="46" t="str">
        <x:v>Callinectes arcuatus</x:v>
      </x:c>
      <x:c r="F74" s="46" t="str">
        <x:v>Arched swimming crab</x:v>
      </x:c>
      <x:c r="G74" s="46" t="str">
        <x:v>Lobsters, crabs</x:v>
      </x:c>
      <x:c r="H74" s="46" t="str">
        <x:v>Crustaceans</x:v>
      </x:c>
      <x:c r="I74" s="60" t="n">
        <x:v>915.6044336679</x:v>
      </x:c>
      <x:c r="J74" s="60" t="n">
        <x:v>0</x:v>
      </x:c>
      <x:c r="K74" s="60" t="n">
        <x:v>915.6044336679</x:v>
      </x:c>
      <x:c r="L74" s="60" t="n">
        <x:v>0</x:v>
      </x:c>
      <x:c r="M74" s="60" t="n">
        <x:v>915.6044336679</x:v>
      </x:c>
      <x:c r="N74" s="46" t="str">
        <x:v>callinectes arcuatus</x:v>
      </x:c>
      <x:c r="O74" s="62" t="n">
        <x:v>3.6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Callinectes arcuatus</x:v>
      </x:c>
      <x:c r="T74" s="62" t="n">
        <x:f>IF(O74="","",(1/'Metadata'!$B$5)^(O74-1))</x:f>
        <x:v>2413.670534618066</x:v>
      </x:c>
      <x:c r="U74" s="60" t="n">
        <x:f>IF(T74="","",I74*T74)</x:f>
        <x:v>2209967.4429098717</x:v>
      </x:c>
    </x:row>
    <x:row r="75" ht="18" customHeight="1">
      <x:c r="A75" s="46" t="str">
        <x:v>LME_003</x:v>
      </x:c>
      <x:c r="B75" s="46" t="str">
        <x:v>California Current</x:v>
      </x:c>
      <x:c r="C75" s="46" t="str">
        <x:v>LME</x:v>
      </x:c>
      <x:c r="D75" s="58" t="n">
        <x:v>2019</x:v>
      </x:c>
      <x:c r="E75" s="46" t="str">
        <x:v>Oncorhynchus keta</x:v>
      </x:c>
      <x:c r="F75" s="46" t="str">
        <x:v>Chum salmon</x:v>
      </x:c>
      <x:c r="G75" s="46" t="str">
        <x:v>Large benthopelagics (&gt;=90 cm)</x:v>
      </x:c>
      <x:c r="H75" s="46" t="str">
        <x:v>Salmon, smelts, etc</x:v>
      </x:c>
      <x:c r="I75" s="60" t="n">
        <x:v>864.8200599237</x:v>
      </x:c>
      <x:c r="J75" s="60" t="n">
        <x:v>864.8200599237</x:v>
      </x:c>
      <x:c r="K75" s="60" t="n">
        <x:v>0</x:v>
      </x:c>
      <x:c r="L75" s="60" t="n">
        <x:v>848.7344563251</x:v>
      </x:c>
      <x:c r="M75" s="60" t="n">
        <x:v>16.0856035986</x:v>
      </x:c>
      <x:c r="N75" s="46" t="str">
        <x:v>oncorhynchus keta</x:v>
      </x:c>
      <x:c r="O75" s="62" t="n">
        <x:v>3.74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Oncorhynchus keta</x:v>
      </x:c>
      <x:c r="T75" s="62" t="n">
        <x:f>IF(O75="","",(1/'Metadata'!$B$5)^(O75-1))</x:f>
        <x:v>3671.3195599248957</x:v>
      </x:c>
      <x:c r="U75" s="60" t="n">
        <x:f>IF(T75="","",I75*T75)</x:f>
        <x:v>3175030.8018133002</x:v>
      </x:c>
    </x:row>
    <x:row r="76" ht="18" customHeight="1">
      <x:c r="A76" s="46" t="str">
        <x:v>LME_003</x:v>
      </x:c>
      <x:c r="B76" s="46" t="str">
        <x:v>California Current</x:v>
      </x:c>
      <x:c r="C76" s="46" t="str">
        <x:v>LME</x:v>
      </x:c>
      <x:c r="D76" s="58" t="n">
        <x:v>2019</x:v>
      </x:c>
      <x:c r="E76" s="46" t="str">
        <x:v>Kajikia audax</x:v>
      </x:c>
      <x:c r="F76" s="46" t="str">
        <x:v>Striped marlin</x:v>
      </x:c>
      <x:c r="G76" s="46" t="str">
        <x:v>Large pelagics (&gt;=90 cm)</x:v>
      </x:c>
      <x:c r="H76" s="46" t="str">
        <x:v>Tuna &amp; billfishes</x:v>
      </x:c>
      <x:c r="I76" s="60" t="n">
        <x:v>814.1907348857</x:v>
      </x:c>
      <x:c r="J76" s="60" t="n">
        <x:v>510.6105625377</x:v>
      </x:c>
      <x:c r="K76" s="60" t="n">
        <x:v>303.580172348</x:v>
      </x:c>
      <x:c r="L76" s="60" t="n">
        <x:v>1.7187123599</x:v>
      </x:c>
      <x:c r="M76" s="60" t="n">
        <x:v>812.4720225258</x:v>
      </x:c>
      <x:c r="N76" s="46" t="str">
        <x:v>kajikia audax</x:v>
      </x:c>
      <x:c r="O76" s="62" t="n">
        <x:v>4.58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Kajikia audax</x:v>
      </x:c>
      <x:c r="T76" s="62" t="n">
        <x:f>IF(O76="","",(1/'Metadata'!$B$5)^(O76-1))</x:f>
        <x:v>45466.06667430095</x:v>
      </x:c>
      <x:c r="U76" s="60" t="n">
        <x:f>IF(T76="","",I76*T76)</x:f>
        <x:v>37018050.23791132</x:v>
      </x:c>
    </x:row>
    <x:row r="77" ht="18" customHeight="1">
      <x:c r="A77" s="46" t="str">
        <x:v>LME_003</x:v>
      </x:c>
      <x:c r="B77" s="46" t="str">
        <x:v>California Current</x:v>
      </x:c>
      <x:c r="C77" s="46" t="str">
        <x:v>LME</x:v>
      </x:c>
      <x:c r="D77" s="58" t="n">
        <x:v>2019</x:v>
      </x:c>
      <x:c r="E77" s="46" t="str">
        <x:v>Epinephelus</x:v>
      </x:c>
      <x:c r="F77" s="46" t="str">
        <x:v>Seabasses, hinds</x:v>
      </x:c>
      <x:c r="G77" s="46" t="str">
        <x:v>Medium reef assoc. fish (30 - 89 cm)</x:v>
      </x:c>
      <x:c r="H77" s="46" t="str">
        <x:v>Perch-likes</x:v>
      </x:c>
      <x:c r="I77" s="60" t="n">
        <x:v>800.6613702806</x:v>
      </x:c>
      <x:c r="J77" s="60" t="n">
        <x:v>800.6613702806</x:v>
      </x:c>
      <x:c r="K77" s="60" t="n">
        <x:v>0</x:v>
      </x:c>
      <x:c r="L77" s="60" t="n">
        <x:v>292.0540252967</x:v>
      </x:c>
      <x:c r="M77" s="60" t="n">
        <x:v>508.6073449839</x:v>
      </x:c>
      <x:c r="N77" s="46" t="str">
        <x:v>epinephelus</x:v>
      </x:c>
      <x:c r="O77" s="62" t="n">
        <x:v>3.84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Epinephelus</x:v>
      </x:c>
      <x:c r="T77" s="62" t="n">
        <x:f>IF(O77="","",(1/'Metadata'!$B$5)^(O77-1))</x:f>
        <x:v>4953.648510535111</x:v>
      </x:c>
      <x:c r="U77" s="60" t="n">
        <x:f>IF(T77="","",I77*T77)</x:f>
        <x:v>3966195.004333495</x:v>
      </x:c>
    </x:row>
    <x:row r="78" ht="18" customHeight="1">
      <x:c r="A78" s="46" t="str">
        <x:v>LME_003</x:v>
      </x:c>
      <x:c r="B78" s="46" t="str">
        <x:v>California Current</x:v>
      </x:c>
      <x:c r="C78" s="46" t="str">
        <x:v>LME</x:v>
      </x:c>
      <x:c r="D78" s="58" t="n">
        <x:v>2019</x:v>
      </x:c>
      <x:c r="E78" s="46" t="str">
        <x:v>Syacium ovale</x:v>
      </x:c>
      <x:c r="F78" s="46" t="str">
        <x:v>Oval flounder</x:v>
      </x:c>
      <x:c r="G78" s="46" t="str">
        <x:v>Small to medium flatfishes (&lt;90 cm)</x:v>
      </x:c>
      <x:c r="H78" s="46" t="str">
        <x:v>Flatfishes</x:v>
      </x:c>
      <x:c r="I78" s="60" t="n">
        <x:v>790.8772891106</x:v>
      </x:c>
      <x:c r="J78" s="60" t="n">
        <x:v>153.6646233108</x:v>
      </x:c>
      <x:c r="K78" s="60" t="n">
        <x:v>637.2126657998</x:v>
      </x:c>
      <x:c r="L78" s="60" t="n">
        <x:v>0</x:v>
      </x:c>
      <x:c r="M78" s="60" t="n">
        <x:v>790.8772891106</x:v>
      </x:c>
      <x:c r="N78" s="46" t="str">
        <x:v>syacium ovale</x:v>
      </x:c>
      <x:c r="O78" s="62" t="n">
        <x:v>4.02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Syacium ovale</x:v>
      </x:c>
      <x:c r="T78" s="62" t="n">
        <x:f>IF(O78="","",(1/'Metadata'!$B$5)^(O78-1))</x:f>
        <x:v>8493.967342839818</x:v>
      </x:c>
      <x:c r="U78" s="60" t="n">
        <x:f>IF(T78="","",I78*T78)</x:f>
        <x:v>6717685.865899122</x:v>
      </x:c>
    </x:row>
    <x:row r="79" ht="18" customHeight="1">
      <x:c r="A79" s="46" t="str">
        <x:v>LME_003</x:v>
      </x:c>
      <x:c r="B79" s="46" t="str">
        <x:v>California Current</x:v>
      </x:c>
      <x:c r="C79" s="46" t="str">
        <x:v>LME</x:v>
      </x:c>
      <x:c r="D79" s="58" t="n">
        <x:v>2019</x:v>
      </x:c>
      <x:c r="E79" s="46" t="str">
        <x:v>Sebastes</x:v>
      </x:c>
      <x:c r="F79" s="46" t="str">
        <x:v>Redfishes</x:v>
      </x:c>
      <x:c r="G79" s="46" t="str">
        <x:v>Large reef assoc. fish (&gt;=90 cm)</x:v>
      </x:c>
      <x:c r="H79" s="46" t="str">
        <x:v>Scorpionfishes</x:v>
      </x:c>
      <x:c r="I79" s="60" t="n">
        <x:v>775.966883532</x:v>
      </x:c>
      <x:c r="J79" s="60" t="n">
        <x:v>496.2491874082</x:v>
      </x:c>
      <x:c r="K79" s="60" t="n">
        <x:v>279.7176961238</x:v>
      </x:c>
      <x:c r="L79" s="60" t="n">
        <x:v>477.99625976979996</x:v>
      </x:c>
      <x:c r="M79" s="60" t="n">
        <x:v>297.97062376220003</x:v>
      </x:c>
      <x:c r="N79" s="46" t="str">
        <x:v>sebastes</x:v>
      </x:c>
      <x:c r="O79" s="62" t="n">
        <x:v>3.79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Sebastes</x:v>
      </x:c>
      <x:c r="T79" s="62" t="n">
        <x:f>IF(O79="","",(1/'Metadata'!$B$5)^(O79-1))</x:f>
        <x:v>4264.554685980751</x:v>
      </x:c>
      <x:c r="U79" s="60" t="n">
        <x:f>IF(T79="","",I79*T79)</x:f>
        <x:v>3309153.20933227</x:v>
      </x:c>
    </x:row>
    <x:row r="80" ht="18" customHeight="1">
      <x:c r="A80" s="46" t="str">
        <x:v>LME_003</x:v>
      </x:c>
      <x:c r="B80" s="46" t="str">
        <x:v>California Current</x:v>
      </x:c>
      <x:c r="C80" s="46" t="str">
        <x:v>LME</x:v>
      </x:c>
      <x:c r="D80" s="58" t="n">
        <x:v>2019</x:v>
      </x:c>
      <x:c r="E80" s="46" t="str">
        <x:v>Penaeus brevirostris</x:v>
      </x:c>
      <x:c r="F80" s="46" t="str">
        <x:v>Crystal shrimp</x:v>
      </x:c>
      <x:c r="G80" s="46" t="str">
        <x:v>Shrimps</x:v>
      </x:c>
      <x:c r="H80" s="46" t="str">
        <x:v>Crustaceans</x:v>
      </x:c>
      <x:c r="I80" s="60" t="n">
        <x:v>774.6783210729</x:v>
      </x:c>
      <x:c r="J80" s="60" t="n">
        <x:v>774.6783210729</x:v>
      </x:c>
      <x:c r="K80" s="60" t="n">
        <x:v>0</x:v>
      </x:c>
      <x:c r="L80" s="60" t="n">
        <x:v>773.8133850637</x:v>
      </x:c>
      <x:c r="M80" s="60" t="n">
        <x:v>0.8649360092</x:v>
      </x:c>
      <x:c r="N80" s="46" t="str">
        <x:v>penaeus brevirostris</x:v>
      </x:c>
      <x:c r="O80" s="62" t="n">
        <x:v>2.7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Penaeus brevirostris</x:v>
      </x:c>
      <x:c r="T80" s="62" t="n">
        <x:f>IF(O80="","",(1/'Metadata'!$B$5)^(O80-1))</x:f>
        <x:v>162.83621261476185</x:v>
      </x:c>
      <x:c r="U80" s="60" t="n">
        <x:f>IF(T80="","",I80*T80)</x:f>
        <x:v>126145.68379827349</x:v>
      </x:c>
    </x:row>
    <x:row r="81" ht="18" customHeight="1">
      <x:c r="A81" s="46" t="str">
        <x:v>LME_003</x:v>
      </x:c>
      <x:c r="B81" s="46" t="str">
        <x:v>California Current</x:v>
      </x:c>
      <x:c r="C81" s="46" t="str">
        <x:v>LME</x:v>
      </x:c>
      <x:c r="D81" s="58" t="n">
        <x:v>2019</x:v>
      </x:c>
      <x:c r="E81" s="46" t="str">
        <x:v>Malacanthidae</x:v>
      </x:c>
      <x:c r="F81" s="46" t="str">
        <x:v>Tilefishes</x:v>
      </x:c>
      <x:c r="G81" s="46" t="str">
        <x:v>Medium demersals (30 - 89 cm)</x:v>
      </x:c>
      <x:c r="H81" s="46" t="str">
        <x:v>Perch-likes</x:v>
      </x:c>
      <x:c r="I81" s="60" t="n">
        <x:v>755.3655618454999</x:v>
      </x:c>
      <x:c r="J81" s="60" t="n">
        <x:v>755.3655618454999</x:v>
      </x:c>
      <x:c r="K81" s="60" t="n">
        <x:v>0</x:v>
      </x:c>
      <x:c r="L81" s="60" t="n">
        <x:v>533.2644096614999</x:v>
      </x:c>
      <x:c r="M81" s="60" t="n">
        <x:v>222.101152184</x:v>
      </x:c>
      <x:c r="N81" s="46" t="str">
        <x:v>malacanthidae</x:v>
      </x:c>
      <x:c r="O81" s="62" t="n">
        <x:v>3.62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Malacanthidae</x:v>
      </x:c>
      <x:c r="T81" s="62" t="n">
        <x:f>IF(O81="","",(1/'Metadata'!$B$5)^(O81-1))</x:f>
        <x:v>2562.7048371775754</x:v>
      </x:c>
      <x:c r="U81" s="60" t="n">
        <x:f>IF(T81="","",I81*T81)</x:f>
        <x:v>1935778.9791788196</x:v>
      </x:c>
    </x:row>
    <x:row r="82" ht="18" customHeight="1">
      <x:c r="A82" s="46" t="str">
        <x:v>LME_003</x:v>
      </x:c>
      <x:c r="B82" s="46" t="str">
        <x:v>California Current</x:v>
      </x:c>
      <x:c r="C82" s="46" t="str">
        <x:v>LME</x:v>
      </x:c>
      <x:c r="D82" s="58" t="n">
        <x:v>2019</x:v>
      </x:c>
      <x:c r="E82" s="46" t="str">
        <x:v>Rajidae</x:v>
      </x:c>
      <x:c r="F82" s="46" t="str">
        <x:v>Stingrays</x:v>
      </x:c>
      <x:c r="G82" s="46" t="str">
        <x:v>Large rays (&gt;=90 cm)</x:v>
      </x:c>
      <x:c r="H82" s="46" t="str">
        <x:v>Sharks &amp; rays</x:v>
      </x:c>
      <x:c r="I82" s="60" t="n">
        <x:v>728.4528811698999</x:v>
      </x:c>
      <x:c r="J82" s="60" t="n">
        <x:v>718.2705314903</x:v>
      </x:c>
      <x:c r="K82" s="60" t="n">
        <x:v>10.1823496796</x:v>
      </x:c>
      <x:c r="L82" s="60" t="n">
        <x:v>718.2113729755</x:v>
      </x:c>
      <x:c r="M82" s="60" t="n">
        <x:v>10.2415081944</x:v>
      </x:c>
      <x:c r="N82" s="46" t="str">
        <x:v>rajidae</x:v>
      </x:c>
      <x:c r="O82" s="62" t="n">
        <x:v>3.82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Rajidae</x:v>
      </x:c>
      <x:c r="T82" s="62" t="n">
        <x:f>IF(O82="","",(1/'Metadata'!$B$5)^(O82-1))</x:f>
        <x:v>4665.56868948727</x:v>
      </x:c>
      <x:c r="U82" s="60" t="n">
        <x:f>IF(T82="","",I82*T82)</x:f>
        <x:v>3398646.954153076</x:v>
      </x:c>
    </x:row>
    <x:row r="83" ht="18" customHeight="1">
      <x:c r="A83" s="46" t="str">
        <x:v>LME_003</x:v>
      </x:c>
      <x:c r="B83" s="46" t="str">
        <x:v>California Current</x:v>
      </x:c>
      <x:c r="C83" s="46" t="str">
        <x:v>LME</x:v>
      </x:c>
      <x:c r="D83" s="58" t="n">
        <x:v>2019</x:v>
      </x:c>
      <x:c r="E83" s="46" t="str">
        <x:v>Sphyrna</x:v>
      </x:c>
      <x:c r="F83" s="46" t="str">
        <x:v>Hammerhead sharks</x:v>
      </x:c>
      <x:c r="G83" s="46" t="str">
        <x:v>Large sharks (&gt;=90 cm)</x:v>
      </x:c>
      <x:c r="H83" s="46" t="str">
        <x:v>Sharks &amp; rays</x:v>
      </x:c>
      <x:c r="I83" s="60" t="n">
        <x:v>707.3834150135</x:v>
      </x:c>
      <x:c r="J83" s="60" t="n">
        <x:v>707.3834150135</x:v>
      </x:c>
      <x:c r="K83" s="60" t="n">
        <x:v>0</x:v>
      </x:c>
      <x:c r="L83" s="60" t="n">
        <x:v>571.5853242</x:v>
      </x:c>
      <x:c r="M83" s="60" t="n">
        <x:v>135.79809081349998</x:v>
      </x:c>
      <x:c r="N83" s="46" t="str">
        <x:v>sphyrna</x:v>
      </x:c>
      <x:c r="O83" s="62" t="n">
        <x:v>4.2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Sphyrna</x:v>
      </x:c>
      <x:c r="T83" s="62" t="n">
        <x:f>IF(O83="","",(1/'Metadata'!$B$5)^(O83-1))</x:f>
        <x:v>14564.51362420865</x:v>
      </x:c>
      <x:c r="U83" s="60" t="n">
        <x:f>IF(T83="","",I83*T83)</x:f>
        <x:v>10302695.385503363</x:v>
      </x:c>
    </x:row>
    <x:row r="84" ht="18" customHeight="1">
      <x:c r="A84" s="46" t="str">
        <x:v>LME_003</x:v>
      </x:c>
      <x:c r="B84" s="46" t="str">
        <x:v>California Current</x:v>
      </x:c>
      <x:c r="C84" s="46" t="str">
        <x:v>LME</x:v>
      </x:c>
      <x:c r="D84" s="58" t="n">
        <x:v>2019</x:v>
      </x:c>
      <x:c r="E84" s="46" t="str">
        <x:v>Sciaenidae</x:v>
      </x:c>
      <x:c r="F84" s="46" t="str">
        <x:v>Drums, croakers</x:v>
      </x:c>
      <x:c r="G84" s="46" t="str">
        <x:v>Medium demersals (30 - 89 cm)</x:v>
      </x:c>
      <x:c r="H84" s="46" t="str">
        <x:v>Perch-likes</x:v>
      </x:c>
      <x:c r="I84" s="60" t="n">
        <x:v>691.6946247807999</x:v>
      </x:c>
      <x:c r="J84" s="60" t="n">
        <x:v>691.2502832708</x:v>
      </x:c>
      <x:c r="K84" s="60" t="n">
        <x:v>0.44434151</x:v>
      </x:c>
      <x:c r="L84" s="60" t="n">
        <x:v>120.8265955464</x:v>
      </x:c>
      <x:c r="M84" s="60" t="n">
        <x:v>570.8680292344</x:v>
      </x:c>
      <x:c r="N84" s="46" t="str">
        <x:v>sciaenidae</x:v>
      </x:c>
      <x:c r="O84" s="62" t="n">
        <x:v>3.76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Sciaenidae</x:v>
      </x:c>
      <x:c r="T84" s="62" t="n">
        <x:f>IF(O84="","",(1/'Metadata'!$B$5)^(O84-1))</x:f>
        <x:v>3898.0085558913897</x:v>
      </x:c>
      <x:c r="U84" s="60" t="n">
        <x:f>IF(T84="","",I84*T84)</x:f>
        <x:v>2696231.5654596426</x:v>
      </x:c>
    </x:row>
    <x:row r="85" ht="18" customHeight="1">
      <x:c r="A85" s="46" t="str">
        <x:v>LME_003</x:v>
      </x:c>
      <x:c r="B85" s="46" t="str">
        <x:v>California Current</x:v>
      </x:c>
      <x:c r="C85" s="46" t="str">
        <x:v>LME</x:v>
      </x:c>
      <x:c r="D85" s="58" t="n">
        <x:v>2019</x:v>
      </x:c>
      <x:c r="E85" s="46" t="str">
        <x:v>Bivalvia</x:v>
      </x:c>
      <x:c r="F85" s="46" t="str">
        <x:v>Clams</x:v>
      </x:c>
      <x:c r="G85" s="46" t="str">
        <x:v>Other demersal invertebrates</x:v>
      </x:c>
      <x:c r="H85" s="46" t="str">
        <x:v>Molluscs</x:v>
      </x:c>
      <x:c r="I85" s="60" t="n">
        <x:v>677.8305610319</x:v>
      </x:c>
      <x:c r="J85" s="60" t="n">
        <x:v>677.8305610319</x:v>
      </x:c>
      <x:c r="K85" s="60" t="n">
        <x:v>0</x:v>
      </x:c>
      <x:c r="L85" s="60" t="n">
        <x:v>412.58018929450003</x:v>
      </x:c>
      <x:c r="M85" s="60" t="n">
        <x:v>265.2503717374</x:v>
      </x:c>
      <x:c r="N85" s="46" t="str">
        <x:v>bivalvia</x:v>
      </x:c>
      <x:c r="O85" s="62" t="n">
        <x:v>2.23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Bivalvia</x:v>
      </x:c>
      <x:c r="T85" s="62" t="n">
        <x:f>IF(O85="","",(1/'Metadata'!$B$5)^(O85-1))</x:f>
        <x:v>39.83519015836661</x:v>
      </x:c>
      <x:c r="U85" s="60" t="n">
        <x:f>IF(T85="","",I85*T85)</x:f>
        <x:v>27001.509293858056</x:v>
      </x:c>
    </x:row>
    <x:row r="86" ht="18" customHeight="1">
      <x:c r="A86" s="46" t="str">
        <x:v>LME_003</x:v>
      </x:c>
      <x:c r="B86" s="46" t="str">
        <x:v>California Current</x:v>
      </x:c>
      <x:c r="C86" s="46" t="str">
        <x:v>LME</x:v>
      </x:c>
      <x:c r="D86" s="58" t="n">
        <x:v>2019</x:v>
      </x:c>
      <x:c r="E86" s="46" t="str">
        <x:v>Ophiodon elongatus</x:v>
      </x:c>
      <x:c r="F86" s="46" t="str">
        <x:v>Lingcod</x:v>
      </x:c>
      <x:c r="G86" s="46" t="str">
        <x:v>Large demersals (&gt;=90 cm)</x:v>
      </x:c>
      <x:c r="H86" s="46" t="str">
        <x:v>Scorpionfishes</x:v>
      </x:c>
      <x:c r="I86" s="60" t="n">
        <x:v>676.4237457066</x:v>
      </x:c>
      <x:c r="J86" s="60" t="n">
        <x:v>656.2958575211001</x:v>
      </x:c>
      <x:c r="K86" s="60" t="n">
        <x:v>20.1278881855</x:v>
      </x:c>
      <x:c r="L86" s="60" t="n">
        <x:v>622.6115197801</x:v>
      </x:c>
      <x:c r="M86" s="60" t="n">
        <x:v>53.812225926500005</x:v>
      </x:c>
      <x:c r="N86" s="46" t="str">
        <x:v>ophiodon elongatus</x:v>
      </x:c>
      <x:c r="O86" s="62" t="n">
        <x:v>4.32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Ophiodon elongatus</x:v>
      </x:c>
      <x:c r="T86" s="62" t="n">
        <x:f>IF(O86="","",(1/'Metadata'!$B$5)^(O86-1))</x:f>
        <x:v>20865.057486776313</x:v>
      </x:c>
      <x:c r="U86" s="60" t="n">
        <x:f>IF(T86="","",I86*T86)</x:f>
        <x:v>14113620.339588773</x:v>
      </x:c>
    </x:row>
    <x:row r="87" ht="18" customHeight="1">
      <x:c r="A87" s="46" t="str">
        <x:v>LME_003</x:v>
      </x:c>
      <x:c r="B87" s="46" t="str">
        <x:v>California Current</x:v>
      </x:c>
      <x:c r="C87" s="46" t="str">
        <x:v>LME</x:v>
      </x:c>
      <x:c r="D87" s="58" t="n">
        <x:v>2019</x:v>
      </x:c>
      <x:c r="E87" s="46" t="str">
        <x:v>Hippoglossus stenolepis</x:v>
      </x:c>
      <x:c r="F87" s="46" t="str">
        <x:v>Pacific halibut</x:v>
      </x:c>
      <x:c r="G87" s="46" t="str">
        <x:v>Large flatfishes (&gt;=90 cm)</x:v>
      </x:c>
      <x:c r="H87" s="46" t="str">
        <x:v>Flatfishes</x:v>
      </x:c>
      <x:c r="I87" s="60" t="n">
        <x:v>656.3173283258</x:v>
      </x:c>
      <x:c r="J87" s="60" t="n">
        <x:v>628.4718416618</x:v>
      </x:c>
      <x:c r="K87" s="60" t="n">
        <x:v>27.845486664</x:v>
      </x:c>
      <x:c r="L87" s="60" t="n">
        <x:v>464.29274503880004</x:v>
      </x:c>
      <x:c r="M87" s="60" t="n">
        <x:v>192.02458328699998</x:v>
      </x:c>
      <x:c r="N87" s="46" t="str">
        <x:v>hippoglossus stenolepis</x:v>
      </x:c>
      <x:c r="O87" s="62" t="n">
        <x:v>4.14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Hippoglossus stenolepis</x:v>
      </x:c>
      <x:c r="T87" s="62" t="n">
        <x:f>IF(O87="","",(1/'Metadata'!$B$5)^(O87-1))</x:f>
        <x:v>12168.419864331923</x:v>
      </x:c>
      <x:c r="U87" s="60" t="n">
        <x:f>IF(T87="","",I87*T87)</x:f>
        <x:v>7986344.815304921</x:v>
      </x:c>
    </x:row>
    <x:row r="88" ht="18" customHeight="1">
      <x:c r="A88" s="46" t="str">
        <x:v>LME_003</x:v>
      </x:c>
      <x:c r="B88" s="46" t="str">
        <x:v>California Current</x:v>
      </x:c>
      <x:c r="C88" s="46" t="str">
        <x:v>LME</x:v>
      </x:c>
      <x:c r="D88" s="58" t="n">
        <x:v>2019</x:v>
      </x:c>
      <x:c r="E88" s="46" t="str">
        <x:v>Sebastolobus alascanus</x:v>
      </x:c>
      <x:c r="F88" s="46" t="str">
        <x:v>Shortspine thornyhead</x:v>
      </x:c>
      <x:c r="G88" s="46" t="str">
        <x:v>Medium bathydemersals (30 - 89 cm)</x:v>
      </x:c>
      <x:c r="H88" s="46" t="str">
        <x:v>Scorpionfishes</x:v>
      </x:c>
      <x:c r="I88" s="60" t="n">
        <x:v>648.0553717214</x:v>
      </x:c>
      <x:c r="J88" s="60" t="n">
        <x:v>629.5853165762</x:v>
      </x:c>
      <x:c r="K88" s="60" t="n">
        <x:v>18.4700551452</x:v>
      </x:c>
      <x:c r="L88" s="60" t="n">
        <x:v>629.5853165762</x:v>
      </x:c>
      <x:c r="M88" s="60" t="n">
        <x:v>18.4700551452</x:v>
      </x:c>
      <x:c r="N88" s="46" t="str">
        <x:v>sebastolobus alascanus</x:v>
      </x:c>
      <x:c r="O88" s="62" t="n">
        <x:v>3.62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Sebastolobus alascanus</x:v>
      </x:c>
      <x:c r="T88" s="62" t="n">
        <x:f>IF(O88="","",(1/'Metadata'!$B$5)^(O88-1))</x:f>
        <x:v>2562.7048371775754</x:v>
      </x:c>
      <x:c r="U88" s="60" t="n">
        <x:f>IF(T88="","",I88*T88)</x:f>
        <x:v>1660774.6358693435</x:v>
      </x:c>
    </x:row>
    <x:row r="89" ht="18" customHeight="1">
      <x:c r="A89" s="46" t="str">
        <x:v>LME_003</x:v>
      </x:c>
      <x:c r="B89" s="46" t="str">
        <x:v>California Current</x:v>
      </x:c>
      <x:c r="C89" s="46" t="str">
        <x:v>LME</x:v>
      </x:c>
      <x:c r="D89" s="58" t="n">
        <x:v>2019</x:v>
      </x:c>
      <x:c r="E89" s="46" t="str">
        <x:v>Atheresthes stomias</x:v>
      </x:c>
      <x:c r="F89" s="46" t="str">
        <x:v>Arrowtooth flounder</x:v>
      </x:c>
      <x:c r="G89" s="46" t="str">
        <x:v>Small to medium flatfishes (&lt;90 cm)</x:v>
      </x:c>
      <x:c r="H89" s="46" t="str">
        <x:v>Flatfishes</x:v>
      </x:c>
      <x:c r="I89" s="60" t="n">
        <x:v>607.7420461757999</x:v>
      </x:c>
      <x:c r="J89" s="60" t="n">
        <x:v>341.6843801627</x:v>
      </x:c>
      <x:c r="K89" s="60" t="n">
        <x:v>266.0576660131</x:v>
      </x:c>
      <x:c r="L89" s="60" t="n">
        <x:v>341.6229913832</x:v>
      </x:c>
      <x:c r="M89" s="60" t="n">
        <x:v>266.11905479259997</x:v>
      </x:c>
      <x:c r="N89" s="46" t="str">
        <x:v>atheresthes stomias</x:v>
      </x:c>
      <x:c r="O89" s="62" t="n">
        <x:v>4.17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Atheresthes stomias</x:v>
      </x:c>
      <x:c r="T89" s="62" t="n">
        <x:f>IF(O89="","",(1/'Metadata'!$B$5)^(O89-1))</x:f>
        <x:v>13312.667535064244</x:v>
      </x:c>
      <x:c r="U89" s="60" t="n">
        <x:f>IF(T89="","",I89*T89)</x:f>
        <x:v>8090667.807818086</x:v>
      </x:c>
    </x:row>
    <x:row r="90" ht="18" customHeight="1">
      <x:c r="A90" s="46" t="str">
        <x:v>LME_003</x:v>
      </x:c>
      <x:c r="B90" s="46" t="str">
        <x:v>California Current</x:v>
      </x:c>
      <x:c r="C90" s="46" t="str">
        <x:v>LME</x:v>
      </x:c>
      <x:c r="D90" s="58" t="n">
        <x:v>2019</x:v>
      </x:c>
      <x:c r="E90" s="46" t="str">
        <x:v>Stereolepis gigas</x:v>
      </x:c>
      <x:c r="F90" s="46" t="str">
        <x:v>Giant seabass</x:v>
      </x:c>
      <x:c r="G90" s="46" t="str">
        <x:v>Large demersals (&gt;=90 cm)</x:v>
      </x:c>
      <x:c r="H90" s="46" t="str">
        <x:v>Perch-likes</x:v>
      </x:c>
      <x:c r="I90" s="60" t="n">
        <x:v>602.9056934169</x:v>
      </x:c>
      <x:c r="J90" s="60" t="n">
        <x:v>602.887378133</x:v>
      </x:c>
      <x:c r="K90" s="60" t="n">
        <x:v>0.0183152839</x:v>
      </x:c>
      <x:c r="L90" s="60" t="n">
        <x:v>305.3400990287</x:v>
      </x:c>
      <x:c r="M90" s="60" t="n">
        <x:v>297.5655943882</x:v>
      </x:c>
      <x:c r="N90" s="46" t="str">
        <x:v>stereolepis gigas</x:v>
      </x:c>
      <x:c r="O90" s="62" t="n">
        <x:v>4.5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Stereolepis gigas</x:v>
      </x:c>
      <x:c r="T90" s="62" t="n">
        <x:f>IF(O90="","",(1/'Metadata'!$B$5)^(O90-1))</x:f>
        <x:v>35777.08763999664</x:v>
      </x:c>
      <x:c r="U90" s="60" t="n">
        <x:f>IF(T90="","",I90*T90)</x:f>
        <x:v>21570209.832029376</x:v>
      </x:c>
    </x:row>
    <x:row r="91" ht="18" customHeight="1">
      <x:c r="A91" s="46" t="str">
        <x:v>LME_003</x:v>
      </x:c>
      <x:c r="B91" s="46" t="str">
        <x:v>California Current</x:v>
      </x:c>
      <x:c r="C91" s="46" t="str">
        <x:v>LME</x:v>
      </x:c>
      <x:c r="D91" s="58" t="n">
        <x:v>2019</x:v>
      </x:c>
      <x:c r="E91" s="46" t="str">
        <x:v>Thunnus obesus</x:v>
      </x:c>
      <x:c r="F91" s="46" t="str">
        <x:v>Bigeye tuna</x:v>
      </x:c>
      <x:c r="G91" s="46" t="str">
        <x:v>Large pelagics (&gt;=90 cm)</x:v>
      </x:c>
      <x:c r="H91" s="46" t="str">
        <x:v>Tuna &amp; billfishes</x:v>
      </x:c>
      <x:c r="I91" s="60" t="n">
        <x:v>597.4812868244</x:v>
      </x:c>
      <x:c r="J91" s="60" t="n">
        <x:v>596.086300958</x:v>
      </x:c>
      <x:c r="K91" s="60" t="n">
        <x:v>1.3949858664</x:v>
      </x:c>
      <x:c r="L91" s="60" t="n">
        <x:v>596.086300958</x:v>
      </x:c>
      <x:c r="M91" s="60" t="n">
        <x:v>1.3949858664</x:v>
      </x:c>
      <x:c r="N91" s="46" t="str">
        <x:v>thunnus obesus</x:v>
      </x:c>
      <x:c r="O91" s="62" t="n">
        <x:v>4.49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Thunnus obesus</x:v>
      </x:c>
      <x:c r="T91" s="62" t="n">
        <x:f>IF(O91="","",(1/'Metadata'!$B$5)^(O91-1))</x:f>
        <x:v>34721.19667768202</x:v>
      </x:c>
      <x:c r="U91" s="60" t="n">
        <x:f>IF(T91="","",I91*T91)</x:f>
        <x:v>20745265.27106453</x:v>
      </x:c>
    </x:row>
    <x:row r="92" ht="18" customHeight="1">
      <x:c r="A92" s="46" t="str">
        <x:v>LME_003</x:v>
      </x:c>
      <x:c r="B92" s="46" t="str">
        <x:v>California Current</x:v>
      </x:c>
      <x:c r="C92" s="46" t="str">
        <x:v>LME</x:v>
      </x:c>
      <x:c r="D92" s="58" t="n">
        <x:v>2019</x:v>
      </x:c>
      <x:c r="E92" s="46" t="str">
        <x:v>Sebastes goodei</x:v>
      </x:c>
      <x:c r="F92" s="46" t="str">
        <x:v>Chilipepper rockfish</x:v>
      </x:c>
      <x:c r="G92" s="46" t="str">
        <x:v>Medium demersals (30 - 89 cm)</x:v>
      </x:c>
      <x:c r="H92" s="46" t="str">
        <x:v>Scorpionfishes</x:v>
      </x:c>
      <x:c r="I92" s="60" t="n">
        <x:v>556.1220720505</x:v>
      </x:c>
      <x:c r="J92" s="60" t="n">
        <x:v>556.1207436956</x:v>
      </x:c>
      <x:c r="K92" s="60" t="n">
        <x:v>0.0013283549</x:v>
      </x:c>
      <x:c r="L92" s="60" t="n">
        <x:v>556.1181145801</x:v>
      </x:c>
      <x:c r="M92" s="60" t="n">
        <x:v>0.0039574704</x:v>
      </x:c>
      <x:c r="N92" s="46" t="str">
        <x:v>sebastes goodei</x:v>
      </x:c>
      <x:c r="O92" s="62" t="n">
        <x:v>3.46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Sebastes goodei</x:v>
      </x:c>
      <x:c r="T92" s="62" t="n">
        <x:f>IF(O92="","",(1/'Metadata'!$B$5)^(O92-1))</x:f>
        <x:v>1586.8423749532276</x:v>
      </x:c>
      <x:c r="U92" s="60" t="n">
        <x:f>IF(T92="","",I92*T92)</x:f>
        <x:v>882478.0695765255</x:v>
      </x:c>
    </x:row>
    <x:row r="93" ht="18" customHeight="1">
      <x:c r="A93" s="46" t="str">
        <x:v>LME_003</x:v>
      </x:c>
      <x:c r="B93" s="46" t="str">
        <x:v>California Current</x:v>
      </x:c>
      <x:c r="C93" s="46" t="str">
        <x:v>LME</x:v>
      </x:c>
      <x:c r="D93" s="58" t="n">
        <x:v>2019</x:v>
      </x:c>
      <x:c r="E93" s="46" t="str">
        <x:v>Eptatretus stoutii</x:v>
      </x:c>
      <x:c r="F93" s="46" t="str">
        <x:v>Pacific hagfish</x:v>
      </x:c>
      <x:c r="G93" s="46" t="str">
        <x:v>Medium demersals (30 - 89 cm)</x:v>
      </x:c>
      <x:c r="H93" s="46" t="str">
        <x:v>Other fishes &amp; inverts</x:v>
      </x:c>
      <x:c r="I93" s="60" t="n">
        <x:v>539.6310146115</x:v>
      </x:c>
      <x:c r="J93" s="60" t="n">
        <x:v>539.6301753641</x:v>
      </x:c>
      <x:c r="K93" s="60" t="n">
        <x:v>0.0008392474</x:v>
      </x:c>
      <x:c r="L93" s="60" t="n">
        <x:v>539.6301753641</x:v>
      </x:c>
      <x:c r="M93" s="60" t="n">
        <x:v>0.0008392474</x:v>
      </x:c>
      <x:c r="N93" s="46" t="str">
        <x:v>eptatretus stoutii</x:v>
      </x:c>
      <x:c r="O93" s="62" t="n">
        <x:v>4.24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Eptatretus stoutii</x:v>
      </x:c>
      <x:c r="T93" s="62" t="n">
        <x:f>IF(O93="","",(1/'Metadata'!$B$5)^(O93-1))</x:f>
        <x:v>16418.64020623336</x:v>
      </x:c>
      <x:c r="U93" s="60" t="n">
        <x:f>IF(T93="","",I93*T93)</x:f>
        <x:v>8860007.473030875</x:v>
      </x:c>
    </x:row>
    <x:row r="94" ht="18" customHeight="1">
      <x:c r="A94" s="46" t="str">
        <x:v>LME_003</x:v>
      </x:c>
      <x:c r="B94" s="46" t="str">
        <x:v>California Current</x:v>
      </x:c>
      <x:c r="C94" s="46" t="str">
        <x:v>LME</x:v>
      </x:c>
      <x:c r="D94" s="58" t="n">
        <x:v>2019</x:v>
      </x:c>
      <x:c r="E94" s="46" t="str">
        <x:v>Siliqua patula</x:v>
      </x:c>
      <x:c r="F94" s="46" t="str">
        <x:v>Pacific razor clam</x:v>
      </x:c>
      <x:c r="G94" s="46" t="str">
        <x:v>Other demersal invertebrates</x:v>
      </x:c>
      <x:c r="H94" s="46" t="str">
        <x:v>Molluscs</x:v>
      </x:c>
      <x:c r="I94" s="60" t="n">
        <x:v>504.8203483889</x:v>
      </x:c>
      <x:c r="J94" s="60" t="n">
        <x:v>504.8203483889</x:v>
      </x:c>
      <x:c r="K94" s="60" t="n">
        <x:v>0</x:v>
      </x:c>
      <x:c r="L94" s="60" t="n">
        <x:v>67.4257182352</x:v>
      </x:c>
      <x:c r="M94" s="60" t="n">
        <x:v>437.3946301537</x:v>
      </x:c>
      <x:c r="N94" s="46" t="str">
        <x:v>siliqua patula</x:v>
      </x:c>
      <x:c r="O94" s="62" t="n">
        <x:v>2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Siliqua patula</x:v>
      </x:c>
      <x:c r="T94" s="62" t="n">
        <x:f>IF(O94="","",(1/'Metadata'!$B$5)^(O94-1))</x:f>
        <x:v>20</x:v>
      </x:c>
      <x:c r="U94" s="60" t="n">
        <x:f>IF(T94="","",I94*T94)</x:f>
        <x:v>10096.406967778</x:v>
      </x:c>
    </x:row>
    <x:row r="95" ht="18" customHeight="1">
      <x:c r="A95" s="46" t="str">
        <x:v>LME_003</x:v>
      </x:c>
      <x:c r="B95" s="46" t="str">
        <x:v>California Current</x:v>
      </x:c>
      <x:c r="C95" s="46" t="str">
        <x:v>LME</x:v>
      </x:c>
      <x:c r="D95" s="58" t="n">
        <x:v>2019</x:v>
      </x:c>
      <x:c r="E95" s="46" t="str">
        <x:v>Panulirus</x:v>
      </x:c>
      <x:c r="F95" s="46" t="str">
        <x:v>Spiny lobsters</x:v>
      </x:c>
      <x:c r="G95" s="46" t="str">
        <x:v>Lobsters, crabs</x:v>
      </x:c>
      <x:c r="H95" s="46" t="str">
        <x:v>Crustaceans</x:v>
      </x:c>
      <x:c r="I95" s="60" t="n">
        <x:v>502.7137472459</x:v>
      </x:c>
      <x:c r="J95" s="60" t="n">
        <x:v>502.7137472459</x:v>
      </x:c>
      <x:c r="K95" s="60" t="n">
        <x:v>0</x:v>
      </x:c>
      <x:c r="L95" s="60" t="n">
        <x:v>486.7464250399</x:v>
      </x:c>
      <x:c r="M95" s="60" t="n">
        <x:v>15.967322206</x:v>
      </x:c>
      <x:c r="N95" s="46" t="str">
        <x:v>panulirus</x:v>
      </x:c>
      <x:c r="O95" s="62" t="n">
        <x:v>2.6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Panulirus</x:v>
      </x:c>
      <x:c r="T95" s="62" t="n">
        <x:f>IF(O95="","",(1/'Metadata'!$B$5)^(O95-1))</x:f>
        <x:v>120.6835267309033</x:v>
      </x:c>
      <x:c r="U95" s="60" t="n">
        <x:f>IF(T95="","",I95*T95)</x:f>
        <x:v>60669.26795374313</x:v>
      </x:c>
    </x:row>
    <x:row r="96" ht="18" customHeight="1">
      <x:c r="A96" s="46" t="str">
        <x:v>LME_003</x:v>
      </x:c>
      <x:c r="B96" s="46" t="str">
        <x:v>California Current</x:v>
      </x:c>
      <x:c r="C96" s="46" t="str">
        <x:v>LME</x:v>
      </x:c>
      <x:c r="D96" s="58" t="n">
        <x:v>2019</x:v>
      </x:c>
      <x:c r="E96" s="46" t="str">
        <x:v>Mycteroperca</x:v>
      </x:c>
      <x:c r="F96" s="46" t="str">
        <x:v>Scamps, gags</x:v>
      </x:c>
      <x:c r="G96" s="46" t="str">
        <x:v>Medium reef assoc. fish (30 - 89 cm)</x:v>
      </x:c>
      <x:c r="H96" s="46" t="str">
        <x:v>Perch-likes</x:v>
      </x:c>
      <x:c r="I96" s="60" t="n">
        <x:v>494.9339752684</x:v>
      </x:c>
      <x:c r="J96" s="60" t="n">
        <x:v>494.9339752684</x:v>
      </x:c>
      <x:c r="K96" s="60" t="n">
        <x:v>0</x:v>
      </x:c>
      <x:c r="L96" s="60" t="n">
        <x:v>248.9662815149</x:v>
      </x:c>
      <x:c r="M96" s="60" t="n">
        <x:v>245.9676937535</x:v>
      </x:c>
      <x:c r="N96" s="46" t="str">
        <x:v>mycteroperca</x:v>
      </x:c>
      <x:c r="O96" s="62" t="n">
        <x:v>4.35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Mycteroperca</x:v>
      </x:c>
      <x:c r="T96" s="62" t="n">
        <x:f>IF(O96="","",(1/'Metadata'!$B$5)^(O96-1))</x:f>
        <x:v>22827.086550132422</x:v>
      </x:c>
      <x:c r="U96" s="60" t="n">
        <x:f>IF(T96="","",I96*T96)</x:f>
        <x:v>11297900.690052867</x:v>
      </x:c>
    </x:row>
    <x:row r="97" ht="18" customHeight="1">
      <x:c r="A97" s="46" t="str">
        <x:v>LME_003</x:v>
      </x:c>
      <x:c r="B97" s="46" t="str">
        <x:v>California Current</x:v>
      </x:c>
      <x:c r="C97" s="46" t="str">
        <x:v>LME</x:v>
      </x:c>
      <x:c r="D97" s="58" t="n">
        <x:v>2019</x:v>
      </x:c>
      <x:c r="E97" s="46" t="str">
        <x:v>Carcharhinus falciformis</x:v>
      </x:c>
      <x:c r="F97" s="46" t="str">
        <x:v>Silky shark</x:v>
      </x:c>
      <x:c r="G97" s="46" t="str">
        <x:v>Large sharks (&gt;=90 cm)</x:v>
      </x:c>
      <x:c r="H97" s="46" t="str">
        <x:v>Sharks &amp; rays</x:v>
      </x:c>
      <x:c r="I97" s="60" t="n">
        <x:v>464.3518219769</x:v>
      </x:c>
      <x:c r="J97" s="60" t="n">
        <x:v>464.3518219769</x:v>
      </x:c>
      <x:c r="K97" s="60" t="n">
        <x:v>0</x:v>
      </x:c>
      <x:c r="L97" s="60" t="n">
        <x:v>464.3518219769</x:v>
      </x:c>
      <x:c r="M97" s="60" t="n">
        <x:v>0</x:v>
      </x:c>
      <x:c r="N97" s="46" t="str">
        <x:v>carcharhinus falciformis</x:v>
      </x:c>
      <x:c r="O97" s="62" t="n">
        <x:v>4.51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Carcharhinus falciformis</x:v>
      </x:c>
      <x:c r="T97" s="62" t="n">
        <x:f>IF(O97="","",(1/'Metadata'!$B$5)^(O97-1))</x:f>
        <x:v>36865.088835568684</x:v>
      </x:c>
      <x:c r="U97" s="60" t="n">
        <x:f>IF(T97="","",I97*T97)</x:f>
        <x:v>17118371.168136593</x:v>
      </x:c>
    </x:row>
    <x:row r="98" ht="18" customHeight="1">
      <x:c r="A98" s="46" t="str">
        <x:v>LME_003</x:v>
      </x:c>
      <x:c r="B98" s="46" t="str">
        <x:v>California Current</x:v>
      </x:c>
      <x:c r="C98" s="46" t="str">
        <x:v>LME</x:v>
      </x:c>
      <x:c r="D98" s="58" t="n">
        <x:v>2019</x:v>
      </x:c>
      <x:c r="E98" s="46" t="str">
        <x:v>Sebastes alutus</x:v>
      </x:c>
      <x:c r="F98" s="46" t="str">
        <x:v>Pacific ocean perch</x:v>
      </x:c>
      <x:c r="G98" s="46" t="str">
        <x:v>Medium demersals (30 - 89 cm)</x:v>
      </x:c>
      <x:c r="H98" s="46" t="str">
        <x:v>Scorpionfishes</x:v>
      </x:c>
      <x:c r="I98" s="60" t="n">
        <x:v>461.3879125676</x:v>
      </x:c>
      <x:c r="J98" s="60" t="n">
        <x:v>457.6119429959</x:v>
      </x:c>
      <x:c r="K98" s="60" t="n">
        <x:v>3.7759695716999997</x:v>
      </x:c>
      <x:c r="L98" s="60" t="n">
        <x:v>457.6118338767</x:v>
      </x:c>
      <x:c r="M98" s="60" t="n">
        <x:v>3.7760786908999995</x:v>
      </x:c>
      <x:c r="N98" s="46" t="str">
        <x:v>sebastes alutus</x:v>
      </x:c>
      <x:c r="O98" s="62" t="n">
        <x:v>3.48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Sebastes alutus</x:v>
      </x:c>
      <x:c r="T98" s="62" t="n">
        <x:f>IF(O98="","",(1/'Metadata'!$B$5)^(O98-1))</x:f>
        <x:v>1684.8234138858888</x:v>
      </x:c>
      <x:c r="U98" s="60" t="n">
        <x:f>IF(T98="","",I98*T98)</x:f>
        <x:v>777357.1579778278</x:v>
      </x:c>
    </x:row>
    <x:row r="99" ht="18" customHeight="1">
      <x:c r="A99" s="46" t="str">
        <x:v>LME_003</x:v>
      </x:c>
      <x:c r="B99" s="46" t="str">
        <x:v>California Current</x:v>
      </x:c>
      <x:c r="C99" s="46" t="str">
        <x:v>LME</x:v>
      </x:c>
      <x:c r="D99" s="58" t="n">
        <x:v>2019</x:v>
      </x:c>
      <x:c r="E99" s="46" t="str">
        <x:v>Caulolatilus princeps</x:v>
      </x:c>
      <x:c r="F99" s="46" t="str">
        <x:v>Ocean whitefish</x:v>
      </x:c>
      <x:c r="G99" s="46" t="str">
        <x:v>Medium reef assoc. fish (30 - 89 cm)</x:v>
      </x:c>
      <x:c r="H99" s="46" t="str">
        <x:v>Perch-likes</x:v>
      </x:c>
      <x:c r="I99" s="60" t="n">
        <x:v>455.36415346900003</x:v>
      </x:c>
      <x:c r="J99" s="60" t="n">
        <x:v>455.2908309872</x:v>
      </x:c>
      <x:c r="K99" s="60" t="n">
        <x:v>0.0733224818</x:v>
      </x:c>
      <x:c r="L99" s="60" t="n">
        <x:v>280.854033839</x:v>
      </x:c>
      <x:c r="M99" s="60" t="n">
        <x:v>174.51011963</x:v>
      </x:c>
      <x:c r="N99" s="46" t="str">
        <x:v>caulolatilus princeps</x:v>
      </x:c>
      <x:c r="O99" s="62" t="n">
        <x:v>3.7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Caulolatilus princeps</x:v>
      </x:c>
      <x:c r="T99" s="62" t="n">
        <x:f>IF(O99="","",(1/'Metadata'!$B$5)^(O99-1))</x:f>
        <x:v>3256.724252295237</x:v>
      </x:c>
      <x:c r="U99" s="60" t="n">
        <x:f>IF(T99="","",I99*T99)</x:f>
        <x:v>1482995.4822283827</x:v>
      </x:c>
    </x:row>
    <x:row r="100" ht="18" customHeight="1">
      <x:c r="A100" s="46" t="str">
        <x:v>LME_003</x:v>
      </x:c>
      <x:c r="B100" s="46" t="str">
        <x:v>California Current</x:v>
      </x:c>
      <x:c r="C100" s="46" t="str">
        <x:v>LME</x:v>
      </x:c>
      <x:c r="D100" s="58" t="n">
        <x:v>2019</x:v>
      </x:c>
      <x:c r="E100" s="46" t="str">
        <x:v>Sicyonia disdorsalis</x:v>
      </x:c>
      <x:c r="F100" s="46" t="str">
        <x:v>Keeled rock shrimp</x:v>
      </x:c>
      <x:c r="G100" s="46" t="str">
        <x:v>Shrimps</x:v>
      </x:c>
      <x:c r="H100" s="46" t="str">
        <x:v>Crustaceans</x:v>
      </x:c>
      <x:c r="I100" s="60" t="n">
        <x:v>453.6437048962</x:v>
      </x:c>
      <x:c r="J100" s="60" t="n">
        <x:v>0</x:v>
      </x:c>
      <x:c r="K100" s="60" t="n">
        <x:v>453.6437048962</x:v>
      </x:c>
      <x:c r="L100" s="60" t="n">
        <x:v>0</x:v>
      </x:c>
      <x:c r="M100" s="60" t="n">
        <x:v>453.6437048962</x:v>
      </x:c>
      <x:c r="N100" s="46" t="str">
        <x:v>sicyonia disdorsalis</x:v>
      </x:c>
      <x:c r="O100" s="62" t="n">
        <x:v>3.01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Sicyonia disdorsalis</x:v>
      </x:c>
      <x:c r="T100" s="62" t="n">
        <x:f>IF(O100="","",(1/'Metadata'!$B$5)^(O100-1))</x:f>
        <x:v>412.16422316450075</x:v>
      </x:c>
      <x:c r="U100" s="60" t="n">
        <x:f>IF(T100="","",I100*T100)</x:f>
        <x:v>186975.7052220083</x:v>
      </x:c>
    </x:row>
    <x:row r="101" ht="18" customHeight="1">
      <x:c r="A101" s="46" t="str">
        <x:v>LME_003</x:v>
      </x:c>
      <x:c r="B101" s="46" t="str">
        <x:v>California Current</x:v>
      </x:c>
      <x:c r="C101" s="46" t="str">
        <x:v>LME</x:v>
      </x:c>
      <x:c r="D101" s="58" t="n">
        <x:v>2019</x:v>
      </x:c>
      <x:c r="E101" s="46" t="str">
        <x:v>Mugilidae</x:v>
      </x:c>
      <x:c r="F101" s="46" t="str">
        <x:v>Mullets, grey mullets</x:v>
      </x:c>
      <x:c r="G101" s="46" t="str">
        <x:v>Medium reef assoc. fish (30 - 89 cm)</x:v>
      </x:c>
      <x:c r="H101" s="46" t="str">
        <x:v>Perch-likes</x:v>
      </x:c>
      <x:c r="I101" s="60" t="n">
        <x:v>451.6112709073</x:v>
      </x:c>
      <x:c r="J101" s="60" t="n">
        <x:v>451.6112709073</x:v>
      </x:c>
      <x:c r="K101" s="60" t="n">
        <x:v>0</x:v>
      </x:c>
      <x:c r="L101" s="60" t="n">
        <x:v>289.1345437287</x:v>
      </x:c>
      <x:c r="M101" s="60" t="n">
        <x:v>162.47672717860002</x:v>
      </x:c>
      <x:c r="N101" s="46" t="str">
        <x:v>mugilidae</x:v>
      </x:c>
      <x:c r="O101" s="62" t="n">
        <x:v>2.53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Mugilidae</x:v>
      </x:c>
      <x:c r="T101" s="62" t="n">
        <x:f>IF(O101="","",(1/'Metadata'!$B$5)^(O101-1))</x:f>
        <x:v>97.8533939563155</x:v>
      </x:c>
      <x:c r="U101" s="60" t="n">
        <x:f>IF(T101="","",I101*T101)</x:f>
        <x:v>44191.695607204354</x:v>
      </x:c>
    </x:row>
    <x:row r="102" ht="18" customHeight="1">
      <x:c r="A102" s="46" t="str">
        <x:v>LME_003</x:v>
      </x:c>
      <x:c r="B102" s="46" t="str">
        <x:v>California Current</x:v>
      </x:c>
      <x:c r="C102" s="46" t="str">
        <x:v>LME</x:v>
      </x:c>
      <x:c r="D102" s="58" t="n">
        <x:v>2019</x:v>
      </x:c>
      <x:c r="E102" s="46" t="str">
        <x:v>Oncorhynchus gorbuscha</x:v>
      </x:c>
      <x:c r="F102" s="46" t="str">
        <x:v>Pink salmon</x:v>
      </x:c>
      <x:c r="G102" s="46" t="str">
        <x:v>Medium demersals (30 - 89 cm)</x:v>
      </x:c>
      <x:c r="H102" s="46" t="str">
        <x:v>Salmon, smelts, etc</x:v>
      </x:c>
      <x:c r="I102" s="60" t="n">
        <x:v>445.02618160270004</x:v>
      </x:c>
      <x:c r="J102" s="60" t="n">
        <x:v>445.02618160270004</x:v>
      </x:c>
      <x:c r="K102" s="60" t="n">
        <x:v>0</x:v>
      </x:c>
      <x:c r="L102" s="60" t="n">
        <x:v>445.02618160270004</x:v>
      </x:c>
      <x:c r="M102" s="60" t="n">
        <x:v>0</x:v>
      </x:c>
      <x:c r="N102" s="46" t="str">
        <x:v>oncorhynchus gorbuscha</x:v>
      </x:c>
      <x:c r="O102" s="62" t="n">
        <x:v>4.49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Oncorhynchus gorbuscha</x:v>
      </x:c>
      <x:c r="T102" s="62" t="n">
        <x:f>IF(O102="","",(1/'Metadata'!$B$5)^(O102-1))</x:f>
        <x:v>34721.19667768202</x:v>
      </x:c>
      <x:c r="U102" s="60" t="n">
        <x:f>IF(T102="","",I102*T102)</x:f>
        <x:v>15451841.578145184</x:v>
      </x:c>
    </x:row>
    <x:row r="103" ht="18" customHeight="1">
      <x:c r="A103" s="46" t="str">
        <x:v>LME_003</x:v>
      </x:c>
      <x:c r="B103" s="46" t="str">
        <x:v>California Current</x:v>
      </x:c>
      <x:c r="C103" s="46" t="str">
        <x:v>LME</x:v>
      </x:c>
      <x:c r="D103" s="58" t="n">
        <x:v>2019</x:v>
      </x:c>
      <x:c r="E103" s="46" t="str">
        <x:v>Sebastes paucispinis</x:v>
      </x:c>
      <x:c r="F103" s="46" t="str">
        <x:v>Bocaccio rockfish</x:v>
      </x:c>
      <x:c r="G103" s="46" t="str">
        <x:v>Medium reef assoc. fish (30 - 89 cm)</x:v>
      </x:c>
      <x:c r="H103" s="46" t="str">
        <x:v>Scorpionfishes</x:v>
      </x:c>
      <x:c r="I103" s="60" t="n">
        <x:v>429.3703620552</x:v>
      </x:c>
      <x:c r="J103" s="60" t="n">
        <x:v>428.9422674449</x:v>
      </x:c>
      <x:c r="K103" s="60" t="n">
        <x:v>0.4280946103</x:v>
      </x:c>
      <x:c r="L103" s="60" t="n">
        <x:v>428.9011420103</x:v>
      </x:c>
      <x:c r="M103" s="60" t="n">
        <x:v>0.4692200449</x:v>
      </x:c>
      <x:c r="N103" s="46" t="str">
        <x:v>sebastes paucispinis</x:v>
      </x:c>
      <x:c r="O103" s="62" t="n">
        <x:v>3.51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Sebastes paucispinis</x:v>
      </x:c>
      <x:c r="T103" s="62" t="n">
        <x:f>IF(O103="","",(1/'Metadata'!$B$5)^(O103-1))</x:f>
        <x:v>1843.2544417784343</x:v>
      </x:c>
      <x:c r="U103" s="60" t="n">
        <x:f>IF(T103="","",I103*T103)</x:f>
        <x:v>791438.827026262</x:v>
      </x:c>
    </x:row>
    <x:row r="104" ht="18" customHeight="1">
      <x:c r="A104" s="46" t="str">
        <x:v>LME_003</x:v>
      </x:c>
      <x:c r="B104" s="46" t="str">
        <x:v>California Current</x:v>
      </x:c>
      <x:c r="C104" s="46" t="str">
        <x:v>LME</x:v>
      </x:c>
      <x:c r="D104" s="58" t="n">
        <x:v>2019</x:v>
      </x:c>
      <x:c r="E104" s="46" t="str">
        <x:v>Sebastes pinniger</x:v>
      </x:c>
      <x:c r="F104" s="46" t="str">
        <x:v>Canary rockfish</x:v>
      </x:c>
      <x:c r="G104" s="46" t="str">
        <x:v>Medium reef assoc. fish (30 - 89 cm)</x:v>
      </x:c>
      <x:c r="H104" s="46" t="str">
        <x:v>Scorpionfishes</x:v>
      </x:c>
      <x:c r="I104" s="60" t="n">
        <x:v>428.7387901943</x:v>
      </x:c>
      <x:c r="J104" s="60" t="n">
        <x:v>413.8090282003</x:v>
      </x:c>
      <x:c r="K104" s="60" t="n">
        <x:v>14.929761994</x:v>
      </x:c>
      <x:c r="L104" s="60" t="n">
        <x:v>395.4348942783</x:v>
      </x:c>
      <x:c r="M104" s="60" t="n">
        <x:v>33.303895916</x:v>
      </x:c>
      <x:c r="N104" s="46" t="str">
        <x:v>sebastes pinniger</x:v>
      </x:c>
      <x:c r="O104" s="62" t="n">
        <x:v>3.8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Sebastes pinniger</x:v>
      </x:c>
      <x:c r="T104" s="62" t="n">
        <x:f>IF(O104="","",(1/'Metadata'!$B$5)^(O104-1))</x:f>
        <x:v>4394.242173224468</x:v>
      </x:c>
      <x:c r="U104" s="60" t="n">
        <x:f>IF(T104="","",I104*T104)</x:f>
        <x:v>1883982.0731690302</x:v>
      </x:c>
    </x:row>
    <x:row r="105" ht="18" customHeight="1">
      <x:c r="A105" s="46" t="str">
        <x:v>LME_003</x:v>
      </x:c>
      <x:c r="B105" s="46" t="str">
        <x:v>California Current</x:v>
      </x:c>
      <x:c r="C105" s="46" t="str">
        <x:v>LME</x:v>
      </x:c>
      <x:c r="D105" s="58" t="n">
        <x:v>2019</x:v>
      </x:c>
      <x:c r="E105" s="46" t="str">
        <x:v>Xiphias gladius</x:v>
      </x:c>
      <x:c r="F105" s="46" t="str">
        <x:v>Swordfish</x:v>
      </x:c>
      <x:c r="G105" s="46" t="str">
        <x:v>Large pelagics (&gt;=90 cm)</x:v>
      </x:c>
      <x:c r="H105" s="46" t="str">
        <x:v>Tuna &amp; billfishes</x:v>
      </x:c>
      <x:c r="I105" s="60" t="n">
        <x:v>420.4681197796</x:v>
      </x:c>
      <x:c r="J105" s="60" t="n">
        <x:v>419.2068957167</x:v>
      </x:c>
      <x:c r="K105" s="60" t="n">
        <x:v>1.2612240629</x:v>
      </x:c>
      <x:c r="L105" s="60" t="n">
        <x:v>419.2068957167</x:v>
      </x:c>
      <x:c r="M105" s="60" t="n">
        <x:v>1.2612240629</x:v>
      </x:c>
      <x:c r="N105" s="46" t="str">
        <x:v>xiphias gladius</x:v>
      </x:c>
      <x:c r="O105" s="62" t="n">
        <x:v>4.53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Xiphias gladius</x:v>
      </x:c>
      <x:c r="T105" s="62" t="n">
        <x:f>IF(O105="","",(1/'Metadata'!$B$5)^(O105-1))</x:f>
        <x:v>39141.35758252625</x:v>
      </x:c>
      <x:c r="U105" s="60" t="n">
        <x:f>IF(T105="","",I105*T105)</x:f>
        <x:v>16457693.028345803</x:v>
      </x:c>
    </x:row>
    <x:row r="106" ht="18" customHeight="1">
      <x:c r="A106" s="46" t="str">
        <x:v>LME_003</x:v>
      </x:c>
      <x:c r="B106" s="46" t="str">
        <x:v>California Current</x:v>
      </x:c>
      <x:c r="C106" s="46" t="str">
        <x:v>LME</x:v>
      </x:c>
      <x:c r="D106" s="58" t="n">
        <x:v>2019</x:v>
      </x:c>
      <x:c r="E106" s="46" t="str">
        <x:v>Alosa sapidissima</x:v>
      </x:c>
      <x:c r="F106" s="46" t="str">
        <x:v>American shad</x:v>
      </x:c>
      <x:c r="G106" s="46" t="str">
        <x:v>Medium pelagics (30 - 89 cm)</x:v>
      </x:c>
      <x:c r="H106" s="46" t="str">
        <x:v>Herring-likes</x:v>
      </x:c>
      <x:c r="I106" s="60" t="n">
        <x:v>415.82343965309997</x:v>
      </x:c>
      <x:c r="J106" s="60" t="n">
        <x:v>415.3052373972</x:v>
      </x:c>
      <x:c r="K106" s="60" t="n">
        <x:v>0.5182022559</x:v>
      </x:c>
      <x:c r="L106" s="60" t="n">
        <x:v>415.262314303</x:v>
      </x:c>
      <x:c r="M106" s="60" t="n">
        <x:v>0.5611253501</x:v>
      </x:c>
      <x:c r="N106" s="46" t="str">
        <x:v>alosa sapidissima</x:v>
      </x:c>
      <x:c r="O106" s="62" t="n">
        <x:v>3.48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Alosa sapidissima</x:v>
      </x:c>
      <x:c r="T106" s="62" t="n">
        <x:f>IF(O106="","",(1/'Metadata'!$B$5)^(O106-1))</x:f>
        <x:v>1684.8234138858888</x:v>
      </x:c>
      <x:c r="U106" s="60" t="n">
        <x:f>IF(T106="","",I106*T106)</x:f>
        <x:v>700589.0671701088</x:v>
      </x:c>
    </x:row>
    <x:row r="107" ht="18" customHeight="1">
      <x:c r="A107" s="46" t="str">
        <x:v>LME_003</x:v>
      </x:c>
      <x:c r="B107" s="46" t="str">
        <x:v>California Current</x:v>
      </x:c>
      <x:c r="C107" s="46" t="str">
        <x:v>LME</x:v>
      </x:c>
      <x:c r="D107" s="58" t="n">
        <x:v>2019</x:v>
      </x:c>
      <x:c r="E107" s="46" t="str">
        <x:v>Paralichthys californicus</x:v>
      </x:c>
      <x:c r="F107" s="46" t="str">
        <x:v>California flounder</x:v>
      </x:c>
      <x:c r="G107" s="46" t="str">
        <x:v>Large flatfishes (&gt;=90 cm)</x:v>
      </x:c>
      <x:c r="H107" s="46" t="str">
        <x:v>Flatfishes</x:v>
      </x:c>
      <x:c r="I107" s="60" t="n">
        <x:v>408.9673525612</x:v>
      </x:c>
      <x:c r="J107" s="60" t="n">
        <x:v>353.1605739287</x:v>
      </x:c>
      <x:c r="K107" s="60" t="n">
        <x:v>55.806778632500006</x:v>
      </x:c>
      <x:c r="L107" s="60" t="n">
        <x:v>330.82602051410004</x:v>
      </x:c>
      <x:c r="M107" s="60" t="n">
        <x:v>78.14133204710001</x:v>
      </x:c>
      <x:c r="N107" s="46" t="str">
        <x:v>paralichthys californicus</x:v>
      </x:c>
      <x:c r="O107" s="62" t="n">
        <x:v>4.5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Paralichthys californicus</x:v>
      </x:c>
      <x:c r="T107" s="62" t="n">
        <x:f>IF(O107="","",(1/'Metadata'!$B$5)^(O107-1))</x:f>
        <x:v>35777.08763999664</x:v>
      </x:c>
      <x:c r="U107" s="60" t="n">
        <x:f>IF(T107="","",I107*T107)</x:f>
        <x:v>14631660.814479455</x:v>
      </x:c>
    </x:row>
    <x:row r="108" ht="18" customHeight="1">
      <x:c r="A108" s="46" t="str">
        <x:v>LME_003</x:v>
      </x:c>
      <x:c r="B108" s="46" t="str">
        <x:v>California Current</x:v>
      </x:c>
      <x:c r="C108" s="46" t="str">
        <x:v>LME</x:v>
      </x:c>
      <x:c r="D108" s="58" t="n">
        <x:v>2019</x:v>
      </x:c>
      <x:c r="E108" s="46" t="str">
        <x:v>Gerreidae</x:v>
      </x:c>
      <x:c r="F108" s="46" t="str">
        <x:v>Mojarras, silverbellies</x:v>
      </x:c>
      <x:c r="G108" s="46" t="str">
        <x:v>Small benthopelagics (&lt;30 cm)</x:v>
      </x:c>
      <x:c r="H108" s="46" t="str">
        <x:v>Perch-likes</x:v>
      </x:c>
      <x:c r="I108" s="60" t="n">
        <x:v>402.6859544139</x:v>
      </x:c>
      <x:c r="J108" s="60" t="n">
        <x:v>402.6859544139</x:v>
      </x:c>
      <x:c r="K108" s="60" t="n">
        <x:v>0</x:v>
      </x:c>
      <x:c r="L108" s="60" t="n">
        <x:v>278.1359043521</x:v>
      </x:c>
      <x:c r="M108" s="60" t="n">
        <x:v>124.55005006180001</x:v>
      </x:c>
      <x:c r="N108" s="46" t="str">
        <x:v>gerreidae</x:v>
      </x:c>
      <x:c r="O108" s="62" t="n">
        <x:v>3.03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Gerreidae</x:v>
      </x:c>
      <x:c r="T108" s="62" t="n">
        <x:f>IF(O108="","",(1/'Metadata'!$B$5)^(O108-1))</x:f>
        <x:v>437.6136814307771</x:v>
      </x:c>
      <x:c r="U108" s="60" t="n">
        <x:f>IF(T108="","",I108*T108)</x:f>
        <x:v>176220.88297153285</x:v>
      </x:c>
    </x:row>
    <x:row r="109" ht="18" customHeight="1">
      <x:c r="A109" s="46" t="str">
        <x:v>LME_003</x:v>
      </x:c>
      <x:c r="B109" s="46" t="str">
        <x:v>California Current</x:v>
      </x:c>
      <x:c r="C109" s="46" t="str">
        <x:v>LME</x:v>
      </x:c>
      <x:c r="D109" s="58" t="n">
        <x:v>2019</x:v>
      </x:c>
      <x:c r="E109" s="46" t="str">
        <x:v>Rhinoptera steindachneri</x:v>
      </x:c>
      <x:c r="F109" s="46" t="str">
        <x:v>Pacific cownose ray</x:v>
      </x:c>
      <x:c r="G109" s="46" t="str">
        <x:v>Large rays (&gt;=90 cm)</x:v>
      </x:c>
      <x:c r="H109" s="46" t="str">
        <x:v>Sharks &amp; rays</x:v>
      </x:c>
      <x:c r="I109" s="60" t="n">
        <x:v>399.6988868052</x:v>
      </x:c>
      <x:c r="J109" s="60" t="n">
        <x:v>399.6988868052</x:v>
      </x:c>
      <x:c r="K109" s="60" t="n">
        <x:v>0</x:v>
      </x:c>
      <x:c r="L109" s="60" t="n">
        <x:v>327.8683707938</x:v>
      </x:c>
      <x:c r="M109" s="60" t="n">
        <x:v>71.83051601140001</x:v>
      </x:c>
      <x:c r="N109" s="46" t="str">
        <x:v>rhinoptera steindachneri</x:v>
      </x:c>
      <x:c r="O109" s="62" t="n">
        <x:v>3.55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Rhinoptera steindachneri</x:v>
      </x:c>
      <x:c r="T109" s="62" t="n">
        <x:f>IF(O109="","",(1/'Metadata'!$B$5)^(O109-1))</x:f>
        <x:v>2077.9088316274606</x:v>
      </x:c>
      <x:c r="U109" s="60" t="n">
        <x:f>IF(T109="","",I109*T109)</x:f>
        <x:v>830537.8468841898</x:v>
      </x:c>
    </x:row>
    <x:row r="110" ht="18" customHeight="1">
      <x:c r="A110" s="46" t="str">
        <x:v>LME_003</x:v>
      </x:c>
      <x:c r="B110" s="46" t="str">
        <x:v>California Current</x:v>
      </x:c>
      <x:c r="C110" s="46" t="str">
        <x:v>LME</x:v>
      </x:c>
      <x:c r="D110" s="58" t="n">
        <x:v>2019</x:v>
      </x:c>
      <x:c r="E110" s="46" t="str">
        <x:v>Miscellaneous marine crustaceans</x:v>
      </x:c>
      <x:c r="F110" s="46" t="str">
        <x:v>Marine crabs, shrimps, lobsters nei</x:v>
      </x:c>
      <x:c r="G110" s="46" t="str">
        <x:v>Shrimps</x:v>
      </x:c>
      <x:c r="H110" s="46" t="str">
        <x:v>Crustaceans</x:v>
      </x:c>
      <x:c r="I110" s="60" t="n">
        <x:v>393.377496852</x:v>
      </x:c>
      <x:c r="J110" s="60" t="n">
        <x:v>387.29082662379994</x:v>
      </x:c>
      <x:c r="K110" s="60" t="n">
        <x:v>6.0866702282</x:v>
      </x:c>
      <x:c r="L110" s="60" t="n">
        <x:v>387.29082662379994</x:v>
      </x:c>
      <x:c r="M110" s="60" t="n">
        <x:v>6.0866702282</x:v>
      </x:c>
      <x:c r="N110" s="46" t="str">
        <x:v>miscellaneous marine crustaceans</x:v>
      </x:c>
      <x:c r="O110" s="62" t="n">
        <x:v>2.7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Miscellaneous marine crustaceans</x:v>
      </x:c>
      <x:c r="T110" s="62" t="n">
        <x:f>IF(O110="","",(1/'Metadata'!$B$5)^(O110-1))</x:f>
        <x:v>162.83621261476185</x:v>
      </x:c>
      <x:c r="U110" s="60" t="n">
        <x:f>IF(T110="","",I110*T110)</x:f>
        <x:v>64056.10171525508</x:v>
      </x:c>
    </x:row>
    <x:row r="111" ht="18" customHeight="1">
      <x:c r="A111" s="46" t="str">
        <x:v>LME_003</x:v>
      </x:c>
      <x:c r="B111" s="46" t="str">
        <x:v>California Current</x:v>
      </x:c>
      <x:c r="C111" s="46" t="str">
        <x:v>LME</x:v>
      </x:c>
      <x:c r="D111" s="58" t="n">
        <x:v>2019</x:v>
      </x:c>
      <x:c r="E111" s="46" t="str">
        <x:v>Panulirus interruptus</x:v>
      </x:c>
      <x:c r="F111" s="46" t="str">
        <x:v>Mexican spiny loster</x:v>
      </x:c>
      <x:c r="G111" s="46" t="str">
        <x:v>Lobsters, crabs</x:v>
      </x:c>
      <x:c r="H111" s="46" t="str">
        <x:v>Crustaceans</x:v>
      </x:c>
      <x:c r="I111" s="60" t="n">
        <x:v>371.1527060518</x:v>
      </x:c>
      <x:c r="J111" s="60" t="n">
        <x:v>371.1527060518</x:v>
      </x:c>
      <x:c r="K111" s="60" t="n">
        <x:v>0</x:v>
      </x:c>
      <x:c r="L111" s="60" t="n">
        <x:v>371.1527060518</x:v>
      </x:c>
      <x:c r="M111" s="60" t="n">
        <x:v>0</x:v>
      </x:c>
      <x:c r="N111" s="46" t="str">
        <x:v>panulirus interruptus</x:v>
      </x:c>
      <x:c r="O111" s="62" t="n">
        <x:v>3.31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Panulirus interruptus</x:v>
      </x:c>
      <x:c r="T111" s="62" t="n">
        <x:f>IF(O111="","",(1/'Metadata'!$B$5)^(O111-1))</x:f>
        <x:v>1012.4633005057666</x:v>
      </x:c>
      <x:c r="U111" s="60" t="n">
        <x:f>IF(T111="","",I111*T111)</x:f>
        <x:v>375778.493760852</x:v>
      </x:c>
    </x:row>
    <x:row r="112" ht="18" customHeight="1">
      <x:c r="A112" s="46" t="str">
        <x:v>LME_003</x:v>
      </x:c>
      <x:c r="B112" s="46" t="str">
        <x:v>California Current</x:v>
      </x:c>
      <x:c r="C112" s="46" t="str">
        <x:v>LME</x:v>
      </x:c>
      <x:c r="D112" s="58" t="n">
        <x:v>2019</x:v>
      </x:c>
      <x:c r="E112" s="46" t="str">
        <x:v>Haliotis fulgens</x:v>
      </x:c>
      <x:c r="F112" s="46" t="str">
        <x:v>Green abalone</x:v>
      </x:c>
      <x:c r="G112" s="46" t="str">
        <x:v>Other demersal invertebrates</x:v>
      </x:c>
      <x:c r="H112" s="46" t="str">
        <x:v>Molluscs</x:v>
      </x:c>
      <x:c r="I112" s="60" t="n">
        <x:v>362.9292698899</x:v>
      </x:c>
      <x:c r="J112" s="60" t="n">
        <x:v>362.9292698899</x:v>
      </x:c>
      <x:c r="K112" s="60" t="n">
        <x:v>0</x:v>
      </x:c>
      <x:c r="L112" s="60" t="n">
        <x:v>334.8568613487</x:v>
      </x:c>
      <x:c r="M112" s="60" t="n">
        <x:v>28.0724085412</x:v>
      </x:c>
      <x:c r="N112" s="46" t="str">
        <x:v>haliotis fulgens</x:v>
      </x:c>
      <x:c r="O112" s="62" t="n">
        <x:v>2.046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Haliotis fulgens</x:v>
      </x:c>
      <x:c r="T112" s="62" t="n">
        <x:f>IF(O112="","",(1/'Metadata'!$B$5)^(O112-1))</x:f>
        <x:v>22.95500414191538</x:v>
      </x:c>
      <x:c r="U112" s="60" t="n">
        <x:f>IF(T112="","",I112*T112)</x:f>
        <x:v>8331.04289354498</x:v>
      </x:c>
    </x:row>
    <x:row r="113" ht="18" customHeight="1">
      <x:c r="A113" s="46" t="str">
        <x:v>LME_003</x:v>
      </x:c>
      <x:c r="B113" s="46" t="str">
        <x:v>California Current</x:v>
      </x:c>
      <x:c r="C113" s="46" t="str">
        <x:v>LME</x:v>
      </x:c>
      <x:c r="D113" s="58" t="n">
        <x:v>2019</x:v>
      </x:c>
      <x:c r="E113" s="46" t="str">
        <x:v>Sebastes jordani</x:v>
      </x:c>
      <x:c r="F113" s="46" t="str">
        <x:v>Shortbelly rockfish</x:v>
      </x:c>
      <x:c r="G113" s="46" t="str">
        <x:v>Medium demersals (30 - 89 cm)</x:v>
      </x:c>
      <x:c r="H113" s="46" t="str">
        <x:v>Scorpionfishes</x:v>
      </x:c>
      <x:c r="I113" s="60" t="n">
        <x:v>356.3408669393</x:v>
      </x:c>
      <x:c r="J113" s="60" t="n">
        <x:v>352.2206265474</x:v>
      </x:c>
      <x:c r="K113" s="60" t="n">
        <x:v>4.1202403918999995</x:v>
      </x:c>
      <x:c r="L113" s="60" t="n">
        <x:v>352.2206265474</x:v>
      </x:c>
      <x:c r="M113" s="60" t="n">
        <x:v>4.1202403918999995</x:v>
      </x:c>
      <x:c r="N113" s="46" t="str">
        <x:v>sebastes jordani</x:v>
      </x:c>
      <x:c r="O113" s="62" t="n">
        <x:v>3.2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Sebastes jordani</x:v>
      </x:c>
      <x:c r="T113" s="62" t="n">
        <x:f>IF(O113="","",(1/'Metadata'!$B$5)^(O113-1))</x:f>
        <x:v>728.2256812104325</x:v>
      </x:c>
      <x:c r="U113" s="60" t="n">
        <x:f>IF(T113="","",I113*T113)</x:f>
        <x:v>259496.57056998782</x:v>
      </x:c>
    </x:row>
    <x:row r="114" ht="18" customHeight="1">
      <x:c r="A114" s="46" t="str">
        <x:v>LME_003</x:v>
      </x:c>
      <x:c r="B114" s="46" t="str">
        <x:v>California Current</x:v>
      </x:c>
      <x:c r="C114" s="46" t="str">
        <x:v>LME</x:v>
      </x:c>
      <x:c r="D114" s="58" t="n">
        <x:v>2019</x:v>
      </x:c>
      <x:c r="E114" s="46" t="str">
        <x:v>Evibacus princeps</x:v>
      </x:c>
      <x:c r="F114" s="46" t="str">
        <x:v>Shield fan lobster</x:v>
      </x:c>
      <x:c r="G114" s="46" t="str">
        <x:v>Lobsters, crabs</x:v>
      </x:c>
      <x:c r="H114" s="46" t="str">
        <x:v>Crustaceans</x:v>
      </x:c>
      <x:c r="I114" s="60" t="n">
        <x:v>354.8286028005</x:v>
      </x:c>
      <x:c r="J114" s="60" t="n">
        <x:v>0</x:v>
      </x:c>
      <x:c r="K114" s="60" t="n">
        <x:v>354.8286028005</x:v>
      </x:c>
      <x:c r="L114" s="60" t="n">
        <x:v>0</x:v>
      </x:c>
      <x:c r="M114" s="60" t="n">
        <x:v>354.8286028005</x:v>
      </x:c>
      <x:c r="N114" s="46" t="str">
        <x:v>evibacus princeps</x:v>
      </x:c>
      <x:c r="O114" s="62" t="n">
        <x:v>3.3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Evibacus princeps</x:v>
      </x:c>
      <x:c r="T114" s="62" t="n">
        <x:f>IF(O114="","",(1/'Metadata'!$B$5)^(O114-1))</x:f>
        <x:v>982.5824208926318</x:v>
      </x:c>
      <x:c r="U114" s="60" t="n">
        <x:f>IF(T114="","",I114*T114)</x:f>
        <x:v>348648.34754166537</x:v>
      </x:c>
    </x:row>
    <x:row r="115" ht="18" customHeight="1">
      <x:c r="A115" s="46" t="str">
        <x:v>LME_003</x:v>
      </x:c>
      <x:c r="B115" s="46" t="str">
        <x:v>California Current</x:v>
      </x:c>
      <x:c r="C115" s="46" t="str">
        <x:v>LME</x:v>
      </x:c>
      <x:c r="D115" s="58" t="n">
        <x:v>2019</x:v>
      </x:c>
      <x:c r="E115" s="46" t="str">
        <x:v>Synodus scituliceps</x:v>
      </x:c>
      <x:c r="F115" s="46" t="str">
        <x:v>Shorthead lizardfish</x:v>
      </x:c>
      <x:c r="G115" s="46" t="str">
        <x:v>Medium demersals (30 - 89 cm)</x:v>
      </x:c>
      <x:c r="H115" s="46" t="str">
        <x:v>Other fishes &amp; inverts</x:v>
      </x:c>
      <x:c r="I115" s="60" t="n">
        <x:v>326.310633974</x:v>
      </x:c>
      <x:c r="J115" s="60" t="n">
        <x:v>62.4792633067</x:v>
      </x:c>
      <x:c r="K115" s="60" t="n">
        <x:v>263.8313706673</x:v>
      </x:c>
      <x:c r="L115" s="60" t="n">
        <x:v>0</x:v>
      </x:c>
      <x:c r="M115" s="60" t="n">
        <x:v>326.310633974</x:v>
      </x:c>
      <x:c r="N115" s="46" t="str">
        <x:v>synodus scituliceps</x:v>
      </x:c>
      <x:c r="O115" s="62" t="n">
        <x:v>4.2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Synodus scituliceps</x:v>
      </x:c>
      <x:c r="T115" s="62" t="n">
        <x:f>IF(O115="","",(1/'Metadata'!$B$5)^(O115-1))</x:f>
        <x:v>14564.51362420865</x:v>
      </x:c>
      <x:c r="U115" s="60" t="n">
        <x:f>IF(T115="","",I115*T115)</x:f>
        <x:v>4752555.674238484</x:v>
      </x:c>
    </x:row>
    <x:row r="116" ht="18" customHeight="1">
      <x:c r="A116" s="46" t="str">
        <x:v>LME_003</x:v>
      </x:c>
      <x:c r="B116" s="46" t="str">
        <x:v>California Current</x:v>
      </x:c>
      <x:c r="C116" s="46" t="str">
        <x:v>LME</x:v>
      </x:c>
      <x:c r="D116" s="58" t="n">
        <x:v>2019</x:v>
      </x:c>
      <x:c r="E116" s="46" t="str">
        <x:v>Dasyatis</x:v>
      </x:c>
      <x:c r="F116" s="46" t="str">
        <x:v>Rough whip stingrays</x:v>
      </x:c>
      <x:c r="G116" s="46" t="str">
        <x:v>Large rays (&gt;=90 cm)</x:v>
      </x:c>
      <x:c r="H116" s="46" t="str">
        <x:v>Sharks &amp; rays</x:v>
      </x:c>
      <x:c r="I116" s="60" t="n">
        <x:v>314.77492401629996</x:v>
      </x:c>
      <x:c r="J116" s="60" t="n">
        <x:v>314.77492401629996</x:v>
      </x:c>
      <x:c r="K116" s="60" t="n">
        <x:v>0</x:v>
      </x:c>
      <x:c r="L116" s="60" t="n">
        <x:v>258.2062270147</x:v>
      </x:c>
      <x:c r="M116" s="60" t="n">
        <x:v>56.5686970016</x:v>
      </x:c>
      <x:c r="N116" s="46" t="str">
        <x:v>dasyatis</x:v>
      </x:c>
      <x:c r="O116" s="62" t="n">
        <x:v>3.28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Dasyatis</x:v>
      </x:c>
      <x:c r="T116" s="62" t="n">
        <x:f>IF(O116="","",(1/'Metadata'!$B$5)^(O116-1))</x:f>
        <x:v>925.4402624666747</x:v>
      </x:c>
      <x:c r="U116" s="60" t="n">
        <x:f>IF(T116="","",I116*T116)</x:f>
        <x:v>291305.3882995722</x:v>
      </x:c>
    </x:row>
    <x:row r="117" ht="18" customHeight="1">
      <x:c r="A117" s="46" t="str">
        <x:v>LME_003</x:v>
      </x:c>
      <x:c r="B117" s="46" t="str">
        <x:v>California Current</x:v>
      </x:c>
      <x:c r="C117" s="46" t="str">
        <x:v>LME</x:v>
      </x:c>
      <x:c r="D117" s="58" t="n">
        <x:v>2019</x:v>
      </x:c>
      <x:c r="E117" s="46" t="str">
        <x:v>Clupea pallasii</x:v>
      </x:c>
      <x:c r="F117" s="46" t="str">
        <x:v>Pacific herring</x:v>
      </x:c>
      <x:c r="G117" s="46" t="str">
        <x:v>Medium pelagics (30 - 89 cm)</x:v>
      </x:c>
      <x:c r="H117" s="46" t="str">
        <x:v>Herring-likes</x:v>
      </x:c>
      <x:c r="I117" s="60" t="n">
        <x:v>312.5024349253</x:v>
      </x:c>
      <x:c r="J117" s="60" t="n">
        <x:v>312.4997866308</x:v>
      </x:c>
      <x:c r="K117" s="60" t="n">
        <x:v>0.0026482945</x:v>
      </x:c>
      <x:c r="L117" s="60" t="n">
        <x:v>309.2184829804</x:v>
      </x:c>
      <x:c r="M117" s="60" t="n">
        <x:v>3.2839519449</x:v>
      </x:c>
      <x:c r="N117" s="46" t="str">
        <x:v>clupea pallasii</x:v>
      </x:c>
      <x:c r="O117" s="62" t="n">
        <x:v>3.16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Clupea pallasii</x:v>
      </x:c>
      <x:c r="T117" s="62" t="n">
        <x:f>IF(O117="","",(1/'Metadata'!$B$5)^(O117-1))</x:f>
        <x:v>645.9885058849935</x:v>
      </x:c>
      <x:c r="U117" s="60" t="n">
        <x:f>IF(T117="","",I117*T117)</x:f>
        <x:v>201872.98102281697</x:v>
      </x:c>
    </x:row>
    <x:row r="118" ht="18" customHeight="1">
      <x:c r="A118" s="46" t="str">
        <x:v>LME_003</x:v>
      </x:c>
      <x:c r="B118" s="46" t="str">
        <x:v>California Current</x:v>
      </x:c>
      <x:c r="C118" s="46" t="str">
        <x:v>LME</x:v>
      </x:c>
      <x:c r="D118" s="58" t="n">
        <x:v>2019</x:v>
      </x:c>
      <x:c r="E118" s="46" t="str">
        <x:v>Sebastes crameri</x:v>
      </x:c>
      <x:c r="F118" s="46" t="str">
        <x:v>Darkblotched rockfish</x:v>
      </x:c>
      <x:c r="G118" s="46" t="str">
        <x:v>Medium demersals (30 - 89 cm)</x:v>
      </x:c>
      <x:c r="H118" s="46" t="str">
        <x:v>Scorpionfishes</x:v>
      </x:c>
      <x:c r="I118" s="60" t="n">
        <x:v>308.4887537468</x:v>
      </x:c>
      <x:c r="J118" s="60" t="n">
        <x:v>298.7198065532</x:v>
      </x:c>
      <x:c r="K118" s="60" t="n">
        <x:v>9.768947193599999</x:v>
      </x:c>
      <x:c r="L118" s="60" t="n">
        <x:v>298.71637562620003</x:v>
      </x:c>
      <x:c r="M118" s="60" t="n">
        <x:v>9.772378120599999</x:v>
      </x:c>
      <x:c r="N118" s="46" t="str">
        <x:v>sebastes crameri</x:v>
      </x:c>
      <x:c r="O118" s="62" t="n">
        <x:v>3.7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Sebastes crameri</x:v>
      </x:c>
      <x:c r="T118" s="62" t="n">
        <x:f>IF(O118="","",(1/'Metadata'!$B$5)^(O118-1))</x:f>
        <x:v>3256.724252295237</x:v>
      </x:c>
      <x:c r="U118" s="60" t="n">
        <x:f>IF(T118="","",I118*T118)</x:f>
        <x:v>1004662.8058875367</x:v>
      </x:c>
    </x:row>
    <x:row r="119" ht="18" customHeight="1">
      <x:c r="A119" s="46" t="str">
        <x:v>LME_003</x:v>
      </x:c>
      <x:c r="B119" s="46" t="str">
        <x:v>California Current</x:v>
      </x:c>
      <x:c r="C119" s="46" t="str">
        <x:v>LME</x:v>
      </x:c>
      <x:c r="D119" s="58" t="n">
        <x:v>2019</x:v>
      </x:c>
      <x:c r="E119" s="46" t="str">
        <x:v>Balistes</x:v>
      </x:c>
      <x:c r="F119" s="46" t="str">
        <x:v>Triggerfish</x:v>
      </x:c>
      <x:c r="G119" s="46" t="str">
        <x:v>Medium reef assoc. fish (30 - 89 cm)</x:v>
      </x:c>
      <x:c r="H119" s="46" t="str">
        <x:v>Other fishes &amp; inverts</x:v>
      </x:c>
      <x:c r="I119" s="60" t="n">
        <x:v>302.428448228</x:v>
      </x:c>
      <x:c r="J119" s="60" t="n">
        <x:v>302.428448228</x:v>
      </x:c>
      <x:c r="K119" s="60" t="n">
        <x:v>0</x:v>
      </x:c>
      <x:c r="L119" s="60" t="n">
        <x:v>0</x:v>
      </x:c>
      <x:c r="M119" s="60" t="n">
        <x:v>302.428448228</x:v>
      </x:c>
      <x:c r="N119" s="46" t="str">
        <x:v>balistes</x:v>
      </x:c>
      <x:c r="O119" s="62" t="n">
        <x:v>3.94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Balistes</x:v>
      </x:c>
      <x:c r="T119" s="62" t="n">
        <x:f>IF(O119="","",(1/'Metadata'!$B$5)^(O119-1))</x:f>
        <x:v>6683.872968668722</x:v>
      </x:c>
      <x:c r="U119" s="60" t="n">
        <x:f>IF(T119="","",I119*T119)</x:f>
        <x:v>2021393.330067557</x:v>
      </x:c>
    </x:row>
    <x:row r="120" ht="18" customHeight="1">
      <x:c r="A120" s="46" t="str">
        <x:v>LME_003</x:v>
      </x:c>
      <x:c r="B120" s="46" t="str">
        <x:v>California Current</x:v>
      </x:c>
      <x:c r="C120" s="46" t="str">
        <x:v>LME</x:v>
      </x:c>
      <x:c r="D120" s="58" t="n">
        <x:v>2019</x:v>
      </x:c>
      <x:c r="E120" s="46" t="str">
        <x:v>Lutjanus guttatus</x:v>
      </x:c>
      <x:c r="F120" s="46" t="str">
        <x:v>Spotted rose snapper</x:v>
      </x:c>
      <x:c r="G120" s="46" t="str">
        <x:v>Medium reef assoc. fish (30 - 89 cm)</x:v>
      </x:c>
      <x:c r="H120" s="46" t="str">
        <x:v>Perch-likes</x:v>
      </x:c>
      <x:c r="I120" s="60" t="n">
        <x:v>298.8818569048</x:v>
      </x:c>
      <x:c r="J120" s="60" t="n">
        <x:v>298.8818569048</x:v>
      </x:c>
      <x:c r="K120" s="60" t="n">
        <x:v>0</x:v>
      </x:c>
      <x:c r="L120" s="60" t="n">
        <x:v>197.5655132382</x:v>
      </x:c>
      <x:c r="M120" s="60" t="n">
        <x:v>101.3163436666</x:v>
      </x:c>
      <x:c r="N120" s="46" t="str">
        <x:v>lutjanus guttatus</x:v>
      </x:c>
      <x:c r="O120" s="62" t="n">
        <x:v>4.04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Lutjanus guttatus</x:v>
      </x:c>
      <x:c r="T120" s="62" t="n">
        <x:f>IF(O120="","",(1/'Metadata'!$B$5)^(O120-1))</x:f>
        <x:v>9018.435152653688</x:v>
      </x:c>
      <x:c r="U120" s="60" t="n">
        <x:f>IF(T120="","",I120*T120)</x:f>
        <x:v>2695446.6448006574</x:v>
      </x:c>
    </x:row>
    <x:row r="121" ht="18" customHeight="1">
      <x:c r="A121" s="46" t="str">
        <x:v>LME_003</x:v>
      </x:c>
      <x:c r="B121" s="46" t="str">
        <x:v>California Current</x:v>
      </x:c>
      <x:c r="C121" s="46" t="str">
        <x:v>LME</x:v>
      </x:c>
      <x:c r="D121" s="58" t="n">
        <x:v>2019</x:v>
      </x:c>
      <x:c r="E121" s="46" t="str">
        <x:v>Glyptocephalus zachirus</x:v>
      </x:c>
      <x:c r="F121" s="46" t="str">
        <x:v>Rex sole</x:v>
      </x:c>
      <x:c r="G121" s="46" t="str">
        <x:v>Small to medium flatfishes (&lt;90 cm)</x:v>
      </x:c>
      <x:c r="H121" s="46" t="str">
        <x:v>Flatfishes</x:v>
      </x:c>
      <x:c r="I121" s="60" t="n">
        <x:v>298.0869328496</x:v>
      </x:c>
      <x:c r="J121" s="60" t="n">
        <x:v>298.0869328496</x:v>
      </x:c>
      <x:c r="K121" s="60" t="n">
        <x:v>0</x:v>
      </x:c>
      <x:c r="L121" s="60" t="n">
        <x:v>298.0869328496</x:v>
      </x:c>
      <x:c r="M121" s="60" t="n">
        <x:v>0</x:v>
      </x:c>
      <x:c r="N121" s="46" t="str">
        <x:v>glyptocephalus zachirus</x:v>
      </x:c>
      <x:c r="O121" s="62" t="n">
        <x:v>3.25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Glyptocephalus zachirus</x:v>
      </x:c>
      <x:c r="T121" s="62" t="n">
        <x:f>IF(O121="","",(1/'Metadata'!$B$5)^(O121-1))</x:f>
        <x:v>845.8970107524513</x:v>
      </x:c>
      <x:c r="U121" s="60" t="n">
        <x:f>IF(T121="","",I121*T121)</x:f>
        <x:v>252150.8454418433</x:v>
      </x:c>
    </x:row>
    <x:row r="122" ht="18" customHeight="1">
      <x:c r="A122" s="46" t="str">
        <x:v>LME_003</x:v>
      </x:c>
      <x:c r="B122" s="46" t="str">
        <x:v>California Current</x:v>
      </x:c>
      <x:c r="C122" s="46" t="str">
        <x:v>LME</x:v>
      </x:c>
      <x:c r="D122" s="58" t="n">
        <x:v>2019</x:v>
      </x:c>
      <x:c r="E122" s="46" t="str">
        <x:v>Istiophoridae</x:v>
      </x:c>
      <x:c r="F122" s="46" t="str">
        <x:v>Billfishes</x:v>
      </x:c>
      <x:c r="G122" s="46" t="str">
        <x:v>Large pelagics (&gt;=90 cm)</x:v>
      </x:c>
      <x:c r="H122" s="46" t="str">
        <x:v>Tuna &amp; billfishes</x:v>
      </x:c>
      <x:c r="I122" s="60" t="n">
        <x:v>280.54533797109997</x:v>
      </x:c>
      <x:c r="J122" s="60" t="n">
        <x:v>244.6061390502</x:v>
      </x:c>
      <x:c r="K122" s="60" t="n">
        <x:v>35.9391989209</x:v>
      </x:c>
      <x:c r="L122" s="60" t="n">
        <x:v>244.6061390502</x:v>
      </x:c>
      <x:c r="M122" s="60" t="n">
        <x:v>35.9391989209</x:v>
      </x:c>
      <x:c r="N122" s="46" t="str">
        <x:v>istiophoridae</x:v>
      </x:c>
      <x:c r="O122" s="62" t="n">
        <x:v>4.48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Istiophoridae</x:v>
      </x:c>
      <x:c r="T122" s="62" t="n">
        <x:f>IF(O122="","",(1/'Metadata'!$B$5)^(O122-1))</x:f>
        <x:v>33696.468277717824</x:v>
      </x:c>
      <x:c r="U122" s="60" t="n">
        <x:f>IF(T122="","",I122*T122)</x:f>
        <x:v>9453387.081404796</x:v>
      </x:c>
    </x:row>
    <x:row r="123" ht="18" customHeight="1">
      <x:c r="A123" s="46" t="str">
        <x:v>LME_003</x:v>
      </x:c>
      <x:c r="B123" s="46" t="str">
        <x:v>California Current</x:v>
      </x:c>
      <x:c r="C123" s="46" t="str">
        <x:v>LME</x:v>
      </x:c>
      <x:c r="D123" s="58" t="n">
        <x:v>2019</x:v>
      </x:c>
      <x:c r="E123" s="46" t="str">
        <x:v>Sebastes melanops</x:v>
      </x:c>
      <x:c r="F123" s="46" t="str">
        <x:v>Black rockfish</x:v>
      </x:c>
      <x:c r="G123" s="46" t="str">
        <x:v>Medium reef assoc. fish (30 - 89 cm)</x:v>
      </x:c>
      <x:c r="H123" s="46" t="str">
        <x:v>Scorpionfishes</x:v>
      </x:c>
      <x:c r="I123" s="60" t="n">
        <x:v>262.6056809196</x:v>
      </x:c>
      <x:c r="J123" s="60" t="n">
        <x:v>249.2719570567</x:v>
      </x:c>
      <x:c r="K123" s="60" t="n">
        <x:v>13.333723862900001</x:v>
      </x:c>
      <x:c r="L123" s="60" t="n">
        <x:v>145.9240305262</x:v>
      </x:c>
      <x:c r="M123" s="60" t="n">
        <x:v>116.6816503934</x:v>
      </x:c>
      <x:c r="N123" s="46" t="str">
        <x:v>sebastes melanops</x:v>
      </x:c>
      <x:c r="O123" s="62" t="n">
        <x:v>4.38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Sebastes melanops</x:v>
      </x:c>
      <x:c r="T123" s="62" t="n">
        <x:f>IF(O123="","",(1/'Metadata'!$B$5)^(O123-1))</x:f>
        <x:v>24973.6134538561</x:v>
      </x:c>
      <x:c r="U123" s="60" t="n">
        <x:f>IF(T123="","",I123*T123)</x:f>
        <x:v>6558212.766072764</x:v>
      </x:c>
    </x:row>
    <x:row r="124" ht="18" customHeight="1">
      <x:c r="A124" s="46" t="str">
        <x:v>LME_003</x:v>
      </x:c>
      <x:c r="B124" s="46" t="str">
        <x:v>California Current</x:v>
      </x:c>
      <x:c r="C124" s="46" t="str">
        <x:v>LME</x:v>
      </x:c>
      <x:c r="D124" s="58" t="n">
        <x:v>2019</x:v>
      </x:c>
      <x:c r="E124" s="46" t="str">
        <x:v>Anadara tuberculosa</x:v>
      </x:c>
      <x:c r="F124" s="46" t="str">
        <x:v>Pustulose ark</x:v>
      </x:c>
      <x:c r="G124" s="46" t="str">
        <x:v>Other demersal invertebrates</x:v>
      </x:c>
      <x:c r="H124" s="46" t="str">
        <x:v>Molluscs</x:v>
      </x:c>
      <x:c r="I124" s="60" t="n">
        <x:v>258.9616609635</x:v>
      </x:c>
      <x:c r="J124" s="60" t="n">
        <x:v>258.9616609635</x:v>
      </x:c>
      <x:c r="K124" s="60" t="n">
        <x:v>0</x:v>
      </x:c>
      <x:c r="L124" s="60" t="n">
        <x:v>215.1830016873</x:v>
      </x:c>
      <x:c r="M124" s="60" t="n">
        <x:v>43.7786592762</x:v>
      </x:c>
      <x:c r="N124" s="46" t="str">
        <x:v>anadara tuberculosa</x:v>
      </x:c>
      <x:c r="O124" s="62" t="n">
        <x:v>2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Anadara tuberculosa</x:v>
      </x:c>
      <x:c r="T124" s="62" t="n">
        <x:f>IF(O124="","",(1/'Metadata'!$B$5)^(O124-1))</x:f>
        <x:v>20</x:v>
      </x:c>
      <x:c r="U124" s="60" t="n">
        <x:f>IF(T124="","",I124*T124)</x:f>
        <x:v>5179.23321927</x:v>
      </x:c>
    </x:row>
    <x:row r="125" ht="18" customHeight="1">
      <x:c r="A125" s="46" t="str">
        <x:v>LME_003</x:v>
      </x:c>
      <x:c r="B125" s="46" t="str">
        <x:v>California Current</x:v>
      </x:c>
      <x:c r="C125" s="46" t="str">
        <x:v>LME</x:v>
      </x:c>
      <x:c r="D125" s="58" t="n">
        <x:v>2019</x:v>
      </x:c>
      <x:c r="E125" s="46" t="str">
        <x:v>Sebastolobus altivelis</x:v>
      </x:c>
      <x:c r="F125" s="46" t="str">
        <x:v>Longspine thornyhead</x:v>
      </x:c>
      <x:c r="G125" s="46" t="str">
        <x:v>Medium bathydemersals (30 - 89 cm)</x:v>
      </x:c>
      <x:c r="H125" s="46" t="str">
        <x:v>Scorpionfishes</x:v>
      </x:c>
      <x:c r="I125" s="60" t="n">
        <x:v>238.0090319212</x:v>
      </x:c>
      <x:c r="J125" s="60" t="n">
        <x:v>226.15869203489999</x:v>
      </x:c>
      <x:c r="K125" s="60" t="n">
        <x:v>11.8503398863</x:v>
      </x:c>
      <x:c r="L125" s="60" t="n">
        <x:v>226.15869203489999</x:v>
      </x:c>
      <x:c r="M125" s="60" t="n">
        <x:v>11.8503398863</x:v>
      </x:c>
      <x:c r="N125" s="46" t="str">
        <x:v>sebastolobus altivelis</x:v>
      </x:c>
      <x:c r="O125" s="62" t="n">
        <x:v>3.33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Sebastolobus altivelis</x:v>
      </x:c>
      <x:c r="T125" s="62" t="n">
        <x:f>IF(O125="","",(1/'Metadata'!$B$5)^(O125-1))</x:f>
        <x:v>1074.9787762899762</x:v>
      </x:c>
      <x:c r="U125" s="60" t="n">
        <x:f>IF(T125="","",I125*T125)</x:f>
        <x:v>255854.65788061346</x:v>
      </x:c>
    </x:row>
    <x:row r="126" ht="18" customHeight="1">
      <x:c r="A126" s="46" t="str">
        <x:v>LME_003</x:v>
      </x:c>
      <x:c r="B126" s="46" t="str">
        <x:v>California Current</x:v>
      </x:c>
      <x:c r="C126" s="46" t="str">
        <x:v>LME</x:v>
      </x:c>
      <x:c r="D126" s="58" t="n">
        <x:v>2019</x:v>
      </x:c>
      <x:c r="E126" s="46" t="str">
        <x:v>Sicyonia ingentis</x:v>
      </x:c>
      <x:c r="F126" s="46" t="str">
        <x:v>Ridgeback rock shrimp</x:v>
      </x:c>
      <x:c r="G126" s="46" t="str">
        <x:v>Shrimps</x:v>
      </x:c>
      <x:c r="H126" s="46" t="str">
        <x:v>Crustaceans</x:v>
      </x:c>
      <x:c r="I126" s="60" t="n">
        <x:v>203.0760885773</x:v>
      </x:c>
      <x:c r="J126" s="60" t="n">
        <x:v>203.0760885773</x:v>
      </x:c>
      <x:c r="K126" s="60" t="n">
        <x:v>0</x:v>
      </x:c>
      <x:c r="L126" s="60" t="n">
        <x:v>203.0760885773</x:v>
      </x:c>
      <x:c r="M126" s="60" t="n">
        <x:v>0</x:v>
      </x:c>
      <x:c r="N126" s="46" t="str">
        <x:v>sicyonia ingentis</x:v>
      </x:c>
      <x:c r="O126" s="62" t="n">
        <x:v>2.6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Sicyonia ingentis</x:v>
      </x:c>
      <x:c r="T126" s="62" t="n">
        <x:f>IF(O126="","",(1/'Metadata'!$B$5)^(O126-1))</x:f>
        <x:v>120.6835267309033</x:v>
      </x:c>
      <x:c r="U126" s="60" t="n">
        <x:f>IF(T126="","",I126*T126)</x:f>
        <x:v>24507.93856422587</x:v>
      </x:c>
    </x:row>
    <x:row r="127" ht="18" customHeight="1">
      <x:c r="A127" s="46" t="str">
        <x:v>LME_003</x:v>
      </x:c>
      <x:c r="B127" s="46" t="str">
        <x:v>California Current</x:v>
      </x:c>
      <x:c r="C127" s="46" t="str">
        <x:v>LME</x:v>
      </x:c>
      <x:c r="D127" s="58" t="n">
        <x:v>2019</x:v>
      </x:c>
      <x:c r="E127" s="46" t="str">
        <x:v>Sebastes aleutianus</x:v>
      </x:c>
      <x:c r="F127" s="46" t="str">
        <x:v>Rougheye rockfish</x:v>
      </x:c>
      <x:c r="G127" s="46" t="str">
        <x:v>Large bathydemersals (&gt;=90 cm)</x:v>
      </x:c>
      <x:c r="H127" s="46" t="str">
        <x:v>Scorpionfishes</x:v>
      </x:c>
      <x:c r="I127" s="60" t="n">
        <x:v>194.8042284799</x:v>
      </x:c>
      <x:c r="J127" s="60" t="n">
        <x:v>174.7140704648</x:v>
      </x:c>
      <x:c r="K127" s="60" t="n">
        <x:v>20.090158015100002</x:v>
      </x:c>
      <x:c r="L127" s="60" t="n">
        <x:v>174.7140704648</x:v>
      </x:c>
      <x:c r="M127" s="60" t="n">
        <x:v>20.090158015100002</x:v>
      </x:c>
      <x:c r="N127" s="46" t="str">
        <x:v>sebastes aleutianus</x:v>
      </x:c>
      <x:c r="O127" s="62" t="n">
        <x:v>3.52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Sebastes aleutianus</x:v>
      </x:c>
      <x:c r="T127" s="62" t="n">
        <x:f>IF(O127="","",(1/'Metadata'!$B$5)^(O127-1))</x:f>
        <x:v>1899.308837725312</x:v>
      </x:c>
      <x:c r="U127" s="60" t="n">
        <x:f>IF(T127="","",I127*T127)</x:f>
        <x:v>369993.39277813496</x:v>
      </x:c>
    </x:row>
    <x:row r="128" ht="18" customHeight="1">
      <x:c r="A128" s="46" t="str">
        <x:v>LME_003</x:v>
      </x:c>
      <x:c r="B128" s="46" t="str">
        <x:v>California Current</x:v>
      </x:c>
      <x:c r="C128" s="46" t="str">
        <x:v>LME</x:v>
      </x:c>
      <x:c r="D128" s="58" t="n">
        <x:v>2019</x:v>
      </x:c>
      <x:c r="E128" s="46" t="str">
        <x:v>Parophrys vetulus</x:v>
      </x:c>
      <x:c r="F128" s="46" t="str">
        <x:v>English sole</x:v>
      </x:c>
      <x:c r="G128" s="46" t="str">
        <x:v>Small to medium flatfishes (&lt;90 cm)</x:v>
      </x:c>
      <x:c r="H128" s="46" t="str">
        <x:v>Flatfishes</x:v>
      </x:c>
      <x:c r="I128" s="60" t="n">
        <x:v>194.2308124554</x:v>
      </x:c>
      <x:c r="J128" s="60" t="n">
        <x:v>131.6252870961</x:v>
      </x:c>
      <x:c r="K128" s="60" t="n">
        <x:v>62.6055253593</x:v>
      </x:c>
      <x:c r="L128" s="60" t="n">
        <x:v>131.6252870961</x:v>
      </x:c>
      <x:c r="M128" s="60" t="n">
        <x:v>62.6055253593</x:v>
      </x:c>
      <x:c r="N128" s="46" t="str">
        <x:v>parophrys vetulus</x:v>
      </x:c>
      <x:c r="O128" s="62" t="n">
        <x:v>3.39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Parophrys vetulus</x:v>
      </x:c>
      <x:c r="T128" s="62" t="n">
        <x:f>IF(O128="","",(1/'Metadata'!$B$5)^(O128-1))</x:f>
        <x:v>1286.6537486023922</x:v>
      </x:c>
      <x:c r="U128" s="60" t="n">
        <x:f>IF(T128="","",I128*T128)</x:f>
        <x:v>249907.80293982863</x:v>
      </x:c>
    </x:row>
    <x:row r="129" ht="18" customHeight="1">
      <x:c r="A129" s="46" t="str">
        <x:v>LME_003</x:v>
      </x:c>
      <x:c r="B129" s="46" t="str">
        <x:v>California Current</x:v>
      </x:c>
      <x:c r="C129" s="46" t="str">
        <x:v>LME</x:v>
      </x:c>
      <x:c r="D129" s="58" t="n">
        <x:v>2019</x:v>
      </x:c>
      <x:c r="E129" s="46" t="str">
        <x:v>Osmeridae</x:v>
      </x:c>
      <x:c r="F129" s="46" t="str">
        <x:v>Smelts</x:v>
      </x:c>
      <x:c r="G129" s="46" t="str">
        <x:v>Small pelagics (&lt;30 cm)</x:v>
      </x:c>
      <x:c r="H129" s="46" t="str">
        <x:v>Salmon, smelts, etc</x:v>
      </x:c>
      <x:c r="I129" s="60" t="n">
        <x:v>179.72858984080003</x:v>
      </x:c>
      <x:c r="J129" s="60" t="n">
        <x:v>175.77562988030002</x:v>
      </x:c>
      <x:c r="K129" s="60" t="n">
        <x:v>3.9529599605</x:v>
      </x:c>
      <x:c r="L129" s="60" t="n">
        <x:v>175.6221459798</x:v>
      </x:c>
      <x:c r="M129" s="60" t="n">
        <x:v>4.106443861</x:v>
      </x:c>
      <x:c r="N129" s="46" t="str">
        <x:v>osmeridae</x:v>
      </x:c>
      <x:c r="O129" s="62" t="n">
        <x:v>3.46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Osmeridae</x:v>
      </x:c>
      <x:c r="T129" s="62" t="n">
        <x:f>IF(O129="","",(1/'Metadata'!$B$5)^(O129-1))</x:f>
        <x:v>1586.8423749532276</x:v>
      </x:c>
      <x:c r="U129" s="60" t="n">
        <x:f>IF(T129="","",I129*T129)</x:f>
        <x:v>285200.94234996964</x:v>
      </x:c>
    </x:row>
    <x:row r="130" ht="18" customHeight="1">
      <x:c r="A130" s="46" t="str">
        <x:v>LME_003</x:v>
      </x:c>
      <x:c r="B130" s="46" t="str">
        <x:v>California Current</x:v>
      </x:c>
      <x:c r="C130" s="46" t="str">
        <x:v>LME</x:v>
      </x:c>
      <x:c r="D130" s="58" t="n">
        <x:v>2019</x:v>
      </x:c>
      <x:c r="E130" s="46" t="str">
        <x:v>Batoidea</x:v>
      </x:c>
      <x:c r="F130" s="46" t="str">
        <x:v>Batoids, skates, rays, sawfishes</x:v>
      </x:c>
      <x:c r="G130" s="46" t="str">
        <x:v>Large rays (&gt;=90 cm)</x:v>
      </x:c>
      <x:c r="H130" s="46" t="str">
        <x:v>Sharks &amp; rays</x:v>
      </x:c>
      <x:c r="I130" s="60" t="n">
        <x:v>179.5724225067</x:v>
      </x:c>
      <x:c r="J130" s="60" t="n">
        <x:v>179.5724225067</x:v>
      </x:c>
      <x:c r="K130" s="60" t="n">
        <x:v>0</x:v>
      </x:c>
      <x:c r="L130" s="60" t="n">
        <x:v>147.3011798391</x:v>
      </x:c>
      <x:c r="M130" s="60" t="n">
        <x:v>32.2712426676</x:v>
      </x:c>
      <x:c r="N130" s="46" t="str">
        <x:v>batoidea</x:v>
      </x:c>
      <x:c r="O130" s="62" t="n">
        <x:v>3.72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Batoidea</x:v>
      </x:c>
      <x:c r="T130" s="62" t="n">
        <x:f>IF(O130="","",(1/'Metadata'!$B$5)^(O130-1))</x:f>
        <x:v>3457.8136804537753</x:v>
      </x:c>
      <x:c r="U130" s="60" t="n">
        <x:f>IF(T130="","",I130*T130)</x:f>
        <x:v>620927.9791758927</x:v>
      </x:c>
    </x:row>
    <x:row r="131" ht="18" customHeight="1">
      <x:c r="A131" s="46" t="str">
        <x:v>LME_003</x:v>
      </x:c>
      <x:c r="B131" s="46" t="str">
        <x:v>California Current</x:v>
      </x:c>
      <x:c r="C131" s="46" t="str">
        <x:v>LME</x:v>
      </x:c>
      <x:c r="D131" s="58" t="n">
        <x:v>2019</x:v>
      </x:c>
      <x:c r="E131" s="46" t="str">
        <x:v>Epinephelus labriformis</x:v>
      </x:c>
      <x:c r="F131" s="46" t="str">
        <x:v>Starry grouper</x:v>
      </x:c>
      <x:c r="G131" s="46" t="str">
        <x:v>Small pelagics (&lt;30 cm)</x:v>
      </x:c>
      <x:c r="H131" s="46" t="str">
        <x:v>Perch-likes</x:v>
      </x:c>
      <x:c r="I131" s="60" t="n">
        <x:v>176.8145267255</x:v>
      </x:c>
      <x:c r="J131" s="60" t="n">
        <x:v>176.8145267255</x:v>
      </x:c>
      <x:c r="K131" s="60" t="n">
        <x:v>0</x:v>
      </x:c>
      <x:c r="L131" s="60" t="n">
        <x:v>88.94288417519999</x:v>
      </x:c>
      <x:c r="M131" s="60" t="n">
        <x:v>87.87164255030001</x:v>
      </x:c>
      <x:c r="N131" s="46" t="str">
        <x:v>epinephelus labriformis</x:v>
      </x:c>
      <x:c r="O131" s="62" t="n">
        <x:v>4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Epinephelus labriformis</x:v>
      </x:c>
      <x:c r="T131" s="62" t="n">
        <x:f>IF(O131="","",(1/'Metadata'!$B$5)^(O131-1))</x:f>
        <x:v>8000</x:v>
      </x:c>
      <x:c r="U131" s="60" t="n">
        <x:f>IF(T131="","",I131*T131)</x:f>
        <x:v>1414516.213804</x:v>
      </x:c>
    </x:row>
    <x:row r="132" ht="18" customHeight="1">
      <x:c r="A132" s="46" t="str">
        <x:v>LME_003</x:v>
      </x:c>
      <x:c r="B132" s="46" t="str">
        <x:v>California Current</x:v>
      </x:c>
      <x:c r="C132" s="46" t="str">
        <x:v>LME</x:v>
      </x:c>
      <x:c r="D132" s="58" t="n">
        <x:v>2019</x:v>
      </x:c>
      <x:c r="E132" s="46" t="str">
        <x:v>Clinocardium nuttallii</x:v>
      </x:c>
      <x:c r="F132" s="46" t="str">
        <x:v>Nuttall cockle</x:v>
      </x:c>
      <x:c r="G132" s="46" t="str">
        <x:v>Other demersal invertebrates</x:v>
      </x:c>
      <x:c r="H132" s="46" t="str">
        <x:v>Molluscs</x:v>
      </x:c>
      <x:c r="I132" s="60" t="n">
        <x:v>176.5805906107</x:v>
      </x:c>
      <x:c r="J132" s="60" t="n">
        <x:v>176.5805906107</x:v>
      </x:c>
      <x:c r="K132" s="60" t="n">
        <x:v>0</x:v>
      </x:c>
      <x:c r="L132" s="60" t="n">
        <x:v>126.16778355699999</x:v>
      </x:c>
      <x:c r="M132" s="60" t="n">
        <x:v>50.4128070537</x:v>
      </x:c>
      <x:c r="N132" s="46" t="str">
        <x:v>clinocardium nuttallii</x:v>
      </x:c>
      <x:c r="O132" s="62" t="n">
        <x:v>2.05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Clinocardium nuttallii</x:v>
      </x:c>
      <x:c r="T132" s="62" t="n">
        <x:f>IF(O132="","",(1/'Metadata'!$B$5)^(O132-1))</x:f>
        <x:v>23.231726992830833</x:v>
      </x:c>
      <x:c r="U132" s="60" t="n">
        <x:f>IF(T132="","",I132*T132)</x:f>
        <x:v>4102.27207330061</x:v>
      </x:c>
    </x:row>
    <x:row r="133" ht="18" customHeight="1">
      <x:c r="A133" s="46" t="str">
        <x:v>LME_003</x:v>
      </x:c>
      <x:c r="B133" s="46" t="str">
        <x:v>California Current</x:v>
      </x:c>
      <x:c r="C133" s="46" t="str">
        <x:v>LME</x:v>
      </x:c>
      <x:c r="D133" s="58" t="n">
        <x:v>2019</x:v>
      </x:c>
      <x:c r="E133" s="46" t="str">
        <x:v>Selar crumenophthalmus</x:v>
      </x:c>
      <x:c r="F133" s="46" t="str">
        <x:v>Bigeye scad</x:v>
      </x:c>
      <x:c r="G133" s="46" t="str">
        <x:v>Medium pelagics (30 - 89 cm)</x:v>
      </x:c>
      <x:c r="H133" s="46" t="str">
        <x:v>Perch-likes</x:v>
      </x:c>
      <x:c r="I133" s="60" t="n">
        <x:v>173.74417102520002</x:v>
      </x:c>
      <x:c r="J133" s="60" t="n">
        <x:v>173.74417102520002</x:v>
      </x:c>
      <x:c r="K133" s="60" t="n">
        <x:v>0</x:v>
      </x:c>
      <x:c r="L133" s="60" t="n">
        <x:v>173.74417102520002</x:v>
      </x:c>
      <x:c r="M133" s="60" t="n">
        <x:v>0</x:v>
      </x:c>
      <x:c r="N133" s="46" t="str">
        <x:v>selar crumenophthalmus</x:v>
      </x:c>
      <x:c r="O133" s="62" t="n">
        <x:v>3.81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Selar crumenophthalmus</x:v>
      </x:c>
      <x:c r="T133" s="62" t="n">
        <x:f>IF(O133="","",(1/'Metadata'!$B$5)^(O133-1))</x:f>
        <x:v>4527.873529309382</x:v>
      </x:c>
      <x:c r="U133" s="60" t="n">
        <x:f>IF(T133="","",I133*T133)</x:f>
        <x:v>786691.6328568053</x:v>
      </x:c>
    </x:row>
    <x:row r="134" ht="18" customHeight="1">
      <x:c r="A134" s="46" t="str">
        <x:v>LME_003</x:v>
      </x:c>
      <x:c r="B134" s="46" t="str">
        <x:v>California Current</x:v>
      </x:c>
      <x:c r="C134" s="46" t="str">
        <x:v>LME</x:v>
      </x:c>
      <x:c r="D134" s="58" t="n">
        <x:v>2019</x:v>
      </x:c>
      <x:c r="E134" s="46" t="str">
        <x:v>Raja</x:v>
      </x:c>
      <x:c r="F134" s="46" t="str">
        <x:v>Stingrays, skates</x:v>
      </x:c>
      <x:c r="G134" s="46" t="str">
        <x:v>Small to medium rays (&lt;90 cm)</x:v>
      </x:c>
      <x:c r="H134" s="46" t="str">
        <x:v>Sharks &amp; rays</x:v>
      </x:c>
      <x:c r="I134" s="60" t="n">
        <x:v>163.1589305317</x:v>
      </x:c>
      <x:c r="J134" s="60" t="n">
        <x:v>0.1477060469</x:v>
      </x:c>
      <x:c r="K134" s="60" t="n">
        <x:v>163.01122448479998</x:v>
      </x:c>
      <x:c r="L134" s="60" t="n">
        <x:v>0</x:v>
      </x:c>
      <x:c r="M134" s="60" t="n">
        <x:v>163.1589305317</x:v>
      </x:c>
      <x:c r="N134" s="46" t="str">
        <x:v>raja</x:v>
      </x:c>
      <x:c r="O134" s="62" t="n">
        <x:v>3.8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Raja</x:v>
      </x:c>
      <x:c r="T134" s="62" t="n">
        <x:f>IF(O134="","",(1/'Metadata'!$B$5)^(O134-1))</x:f>
        <x:v>4394.242173224468</x:v>
      </x:c>
      <x:c r="U134" s="60" t="n">
        <x:f>IF(T134="","",I134*T134)</x:f>
        <x:v>716959.8534805975</x:v>
      </x:c>
    </x:row>
    <x:row r="135" ht="18" customHeight="1">
      <x:c r="A135" s="46" t="str">
        <x:v>LME_003</x:v>
      </x:c>
      <x:c r="B135" s="46" t="str">
        <x:v>California Current</x:v>
      </x:c>
      <x:c r="C135" s="46" t="str">
        <x:v>LME</x:v>
      </x:c>
      <x:c r="D135" s="58" t="n">
        <x:v>2019</x:v>
      </x:c>
      <x:c r="E135" s="46" t="str">
        <x:v>Lutjanus argentiventris</x:v>
      </x:c>
      <x:c r="F135" s="46" t="str">
        <x:v>Yellow snapper</x:v>
      </x:c>
      <x:c r="G135" s="46" t="str">
        <x:v>Medium reef assoc. fish (30 - 89 cm)</x:v>
      </x:c>
      <x:c r="H135" s="46" t="str">
        <x:v>Perch-likes</x:v>
      </x:c>
      <x:c r="I135" s="60" t="n">
        <x:v>160.5943065622</x:v>
      </x:c>
      <x:c r="J135" s="60" t="n">
        <x:v>160.5943065622</x:v>
      </x:c>
      <x:c r="K135" s="60" t="n">
        <x:v>0</x:v>
      </x:c>
      <x:c r="L135" s="60" t="n">
        <x:v>123.5884855878</x:v>
      </x:c>
      <x:c r="M135" s="60" t="n">
        <x:v>37.0058209744</x:v>
      </x:c>
      <x:c r="N135" s="46" t="str">
        <x:v>lutjanus argentiventris</x:v>
      </x:c>
      <x:c r="O135" s="62" t="n">
        <x:v>4.04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Lutjanus argentiventris</x:v>
      </x:c>
      <x:c r="T135" s="62" t="n">
        <x:f>IF(O135="","",(1/'Metadata'!$B$5)^(O135-1))</x:f>
        <x:v>9018.435152653688</x:v>
      </x:c>
      <x:c r="U135" s="60" t="n">
        <x:f>IF(T135="","",I135*T135)</x:f>
        <x:v>1448309.3396165874</x:v>
      </x:c>
    </x:row>
    <x:row r="136" ht="18" customHeight="1">
      <x:c r="A136" s="46" t="str">
        <x:v>LME_003</x:v>
      </x:c>
      <x:c r="B136" s="46" t="str">
        <x:v>California Current</x:v>
      </x:c>
      <x:c r="C136" s="46" t="str">
        <x:v>LME</x:v>
      </x:c>
      <x:c r="D136" s="58" t="n">
        <x:v>2019</x:v>
      </x:c>
      <x:c r="E136" s="46" t="str">
        <x:v>Carcharhinus</x:v>
      </x:c>
      <x:c r="F136" s="46" t="str">
        <x:v>Sharp-nosed sharks</x:v>
      </x:c>
      <x:c r="G136" s="46" t="str">
        <x:v>Large sharks (&gt;=90 cm)</x:v>
      </x:c>
      <x:c r="H136" s="46" t="str">
        <x:v>Sharks &amp; rays</x:v>
      </x:c>
      <x:c r="I136" s="60" t="n">
        <x:v>159.6461098457</x:v>
      </x:c>
      <x:c r="J136" s="60" t="n">
        <x:v>159.6461098457</x:v>
      </x:c>
      <x:c r="K136" s="60" t="n">
        <x:v>0</x:v>
      </x:c>
      <x:c r="L136" s="60" t="n">
        <x:v>159.6461098457</x:v>
      </x:c>
      <x:c r="M136" s="60" t="n">
        <x:v>0</x:v>
      </x:c>
      <x:c r="N136" s="46" t="str">
        <x:v>carcharhinus</x:v>
      </x:c>
      <x:c r="O136" s="62" t="n">
        <x:v>4.26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Carcharhinus</x:v>
      </x:c>
      <x:c r="T136" s="62" t="n">
        <x:f>IF(O136="","",(1/'Metadata'!$B$5)^(O136-1))</x:f>
        <x:v>17432.42421569787</x:v>
      </x:c>
      <x:c r="U136" s="60" t="n">
        <x:f>IF(T136="","",I136*T136)</x:f>
        <x:v>2783018.711216143</x:v>
      </x:c>
    </x:row>
    <x:row r="137" ht="18" customHeight="1">
      <x:c r="A137" s="46" t="str">
        <x:v>LME_003</x:v>
      </x:c>
      <x:c r="B137" s="46" t="str">
        <x:v>California Current</x:v>
      </x:c>
      <x:c r="C137" s="46" t="str">
        <x:v>LME</x:v>
      </x:c>
      <x:c r="D137" s="58" t="n">
        <x:v>2019</x:v>
      </x:c>
      <x:c r="E137" s="46" t="str">
        <x:v>Epinephelus itajara</x:v>
      </x:c>
      <x:c r="F137" s="46" t="str">
        <x:v>Atlantic goliath grouper</x:v>
      </x:c>
      <x:c r="G137" s="46" t="str">
        <x:v>Large reef assoc. fish (&gt;=90 cm)</x:v>
      </x:c>
      <x:c r="H137" s="46" t="str">
        <x:v>Perch-likes</x:v>
      </x:c>
      <x:c r="I137" s="60" t="n">
        <x:v>152.3143648235</x:v>
      </x:c>
      <x:c r="J137" s="60" t="n">
        <x:v>152.3143648235</x:v>
      </x:c>
      <x:c r="K137" s="60" t="n">
        <x:v>0</x:v>
      </x:c>
      <x:c r="L137" s="60" t="n">
        <x:v>76.6185853595</x:v>
      </x:c>
      <x:c r="M137" s="60" t="n">
        <x:v>75.695779464</x:v>
      </x:c>
      <x:c r="N137" s="46" t="str">
        <x:v>epinephelus itajara</x:v>
      </x:c>
      <x:c r="O137" s="62" t="n">
        <x:v>4.09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Epinephelus itajara</x:v>
      </x:c>
      <x:c r="T137" s="62" t="n">
        <x:f>IF(O137="","",(1/'Metadata'!$B$5)^(O137-1))</x:f>
        <x:v>10475.691168449957</x:v>
      </x:c>
      <x:c r="U137" s="60" t="n">
        <x:f>IF(T137="","",I137*T137)</x:f>
        <x:v>1595598.2464096039</x:v>
      </x:c>
    </x:row>
    <x:row r="138" ht="18" customHeight="1">
      <x:c r="A138" s="46" t="str">
        <x:v>LME_003</x:v>
      </x:c>
      <x:c r="B138" s="46" t="str">
        <x:v>California Current</x:v>
      </x:c>
      <x:c r="C138" s="46" t="str">
        <x:v>LME</x:v>
      </x:c>
      <x:c r="D138" s="58" t="n">
        <x:v>2019</x:v>
      </x:c>
      <x:c r="E138" s="46" t="str">
        <x:v>Pleuronectidae</x:v>
      </x:c>
      <x:c r="F138" s="46" t="str">
        <x:v>Righteye flounders</x:v>
      </x:c>
      <x:c r="G138" s="46" t="str">
        <x:v>Small to medium flatfishes (&lt;90 cm)</x:v>
      </x:c>
      <x:c r="H138" s="46" t="str">
        <x:v>Flatfishes</x:v>
      </x:c>
      <x:c r="I138" s="60" t="n">
        <x:v>140.7669293653</x:v>
      </x:c>
      <x:c r="J138" s="60" t="n">
        <x:v>3.0760727599</x:v>
      </x:c>
      <x:c r="K138" s="60" t="n">
        <x:v>137.6908566054</x:v>
      </x:c>
      <x:c r="L138" s="60" t="n">
        <x:v>3.070233656</x:v>
      </x:c>
      <x:c r="M138" s="60" t="n">
        <x:v>137.6966957093</x:v>
      </x:c>
      <x:c r="N138" s="46" t="str">
        <x:v>pleuronectidae</x:v>
      </x:c>
      <x:c r="O138" s="62" t="n">
        <x:v>3.49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Pleuronectidae</x:v>
      </x:c>
      <x:c r="T138" s="62" t="n">
        <x:f>IF(O138="","",(1/'Metadata'!$B$5)^(O138-1))</x:f>
        <x:v>1736.059833884101</x:v>
      </x:c>
      <x:c r="U138" s="60" t="n">
        <x:f>IF(T138="","",I138*T138)</x:f>
        <x:v>244379.8120102977</x:v>
      </x:c>
    </x:row>
    <x:row r="139" ht="18" customHeight="1">
      <x:c r="A139" s="46" t="str">
        <x:v>LME_003</x:v>
      </x:c>
      <x:c r="B139" s="46" t="str">
        <x:v>California Current</x:v>
      </x:c>
      <x:c r="C139" s="46" t="str">
        <x:v>LME</x:v>
      </x:c>
      <x:c r="D139" s="58" t="n">
        <x:v>2019</x:v>
      </x:c>
      <x:c r="E139" s="46" t="str">
        <x:v>Mycteroperca xenarcha</x:v>
      </x:c>
      <x:c r="F139" s="46" t="str">
        <x:v>Broomtail grouper</x:v>
      </x:c>
      <x:c r="G139" s="46" t="str">
        <x:v>Large demersals (&gt;=90 cm)</x:v>
      </x:c>
      <x:c r="H139" s="46" t="str">
        <x:v>Perch-likes</x:v>
      </x:c>
      <x:c r="I139" s="60" t="n">
        <x:v>136.8337074735</x:v>
      </x:c>
      <x:c r="J139" s="60" t="n">
        <x:v>136.8337074735</x:v>
      </x:c>
      <x:c r="K139" s="60" t="n">
        <x:v>0</x:v>
      </x:c>
      <x:c r="L139" s="60" t="n">
        <x:v>68.8313614298</x:v>
      </x:c>
      <x:c r="M139" s="60" t="n">
        <x:v>68.0023460437</x:v>
      </x:c>
      <x:c r="N139" s="46" t="str">
        <x:v>mycteroperca xenarcha</x:v>
      </x:c>
      <x:c r="O139" s="62" t="n">
        <x:v>4.35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Mycteroperca xenarcha</x:v>
      </x:c>
      <x:c r="T139" s="62" t="n">
        <x:f>IF(O139="","",(1/'Metadata'!$B$5)^(O139-1))</x:f>
        <x:v>22827.086550132422</x:v>
      </x:c>
      <x:c r="U139" s="60" t="n">
        <x:f>IF(T139="","",I139*T139)</x:f>
        <x:v>3123514.883473086</x:v>
      </x:c>
    </x:row>
    <x:row r="140" ht="18" customHeight="1">
      <x:c r="A140" s="46" t="str">
        <x:v>LME_003</x:v>
      </x:c>
      <x:c r="B140" s="46" t="str">
        <x:v>California Current</x:v>
      </x:c>
      <x:c r="C140" s="46" t="str">
        <x:v>LME</x:v>
      </x:c>
      <x:c r="D140" s="58" t="n">
        <x:v>2019</x:v>
      </x:c>
      <x:c r="E140" s="46" t="str">
        <x:v>Tresus</x:v>
      </x:c>
      <x:c r="F140" s="46" t="str">
        <x:v>Gaper clams</x:v>
      </x:c>
      <x:c r="G140" s="46" t="str">
        <x:v>Other demersal invertebrates</x:v>
      </x:c>
      <x:c r="H140" s="46" t="str">
        <x:v>Molluscs</x:v>
      </x:c>
      <x:c r="I140" s="60" t="n">
        <x:v>136.6889068439</x:v>
      </x:c>
      <x:c r="J140" s="60" t="n">
        <x:v>136.6889068439</x:v>
      </x:c>
      <x:c r="K140" s="60" t="n">
        <x:v>0</x:v>
      </x:c>
      <x:c r="L140" s="60" t="n">
        <x:v>124.1656213217</x:v>
      </x:c>
      <x:c r="M140" s="60" t="n">
        <x:v>12.5232855222</x:v>
      </x:c>
      <x:c r="N140" s="46" t="str">
        <x:v>tresus</x:v>
      </x:c>
      <x:c r="O140" s="62" t="n">
        <x:v>2.03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Tresus</x:v>
      </x:c>
      <x:c r="T140" s="62" t="n">
        <x:f>IF(O140="","",(1/'Metadata'!$B$5)^(O140-1))</x:f>
        <x:v>21.880684071538855</x:v>
      </x:c>
      <x:c r="U140" s="60" t="n">
        <x:f>IF(T140="","",I140*T140)</x:f>
        <x:v>2990.8467867353816</x:v>
      </x:c>
    </x:row>
    <x:row r="141" ht="18" customHeight="1">
      <x:c r="A141" s="46" t="str">
        <x:v>LME_003</x:v>
      </x:c>
      <x:c r="B141" s="46" t="str">
        <x:v>California Current</x:v>
      </x:c>
      <x:c r="C141" s="46" t="str">
        <x:v>LME</x:v>
      </x:c>
      <x:c r="D141" s="58" t="n">
        <x:v>2019</x:v>
      </x:c>
      <x:c r="E141" s="46" t="str">
        <x:v>Dermatolepis dermatolepis</x:v>
      </x:c>
      <x:c r="F141" s="46" t="str">
        <x:v>Leather bass</x:v>
      </x:c>
      <x:c r="G141" s="46" t="str">
        <x:v>Small pelagics (&lt;30 cm)</x:v>
      </x:c>
      <x:c r="H141" s="46" t="str">
        <x:v>Perch-likes</x:v>
      </x:c>
      <x:c r="I141" s="60" t="n">
        <x:v>132.125107486</x:v>
      </x:c>
      <x:c r="J141" s="60" t="n">
        <x:v>132.125107486</x:v>
      </x:c>
      <x:c r="K141" s="60" t="n">
        <x:v>0</x:v>
      </x:c>
      <x:c r="L141" s="60" t="n">
        <x:v>66.4627977655</x:v>
      </x:c>
      <x:c r="M141" s="60" t="n">
        <x:v>65.6623097205</x:v>
      </x:c>
      <x:c r="N141" s="46" t="str">
        <x:v>dermatolepis dermatolepis</x:v>
      </x:c>
      <x:c r="O141" s="62" t="n">
        <x:v>4.5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Dermatolepis dermatolepis</x:v>
      </x:c>
      <x:c r="T141" s="62" t="n">
        <x:f>IF(O141="","",(1/'Metadata'!$B$5)^(O141-1))</x:f>
        <x:v>35777.08763999664</x:v>
      </x:c>
      <x:c r="U141" s="60" t="n">
        <x:f>IF(T141="","",I141*T141)</x:f>
        <x:v>4727051.549970597</x:v>
      </x:c>
    </x:row>
    <x:row r="142" ht="18" customHeight="1">
      <x:c r="A142" s="46" t="str">
        <x:v>LME_003</x:v>
      </x:c>
      <x:c r="B142" s="46" t="str">
        <x:v>California Current</x:v>
      </x:c>
      <x:c r="C142" s="46" t="str">
        <x:v>LME</x:v>
      </x:c>
      <x:c r="D142" s="58" t="n">
        <x:v>2019</x:v>
      </x:c>
      <x:c r="E142" s="46" t="str">
        <x:v>Epinephelus analogus</x:v>
      </x:c>
      <x:c r="F142" s="46" t="str">
        <x:v>Spotted grouper</x:v>
      </x:c>
      <x:c r="G142" s="46" t="str">
        <x:v>Large reef assoc. fish (&gt;=90 cm)</x:v>
      </x:c>
      <x:c r="H142" s="46" t="str">
        <x:v>Perch-likes</x:v>
      </x:c>
      <x:c r="I142" s="60" t="n">
        <x:v>129.0268949298</x:v>
      </x:c>
      <x:c r="J142" s="60" t="n">
        <x:v>129.0268949298</x:v>
      </x:c>
      <x:c r="K142" s="60" t="n">
        <x:v>0</x:v>
      </x:c>
      <x:c r="L142" s="60" t="n">
        <x:v>64.90430613230001</x:v>
      </x:c>
      <x:c r="M142" s="60" t="n">
        <x:v>64.1225887975</x:v>
      </x:c>
      <x:c r="N142" s="46" t="str">
        <x:v>epinephelus analogus</x:v>
      </x:c>
      <x:c r="O142" s="62" t="n">
        <x:v>3.84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Epinephelus analogus</x:v>
      </x:c>
      <x:c r="T142" s="62" t="n">
        <x:f>IF(O142="","",(1/'Metadata'!$B$5)^(O142-1))</x:f>
        <x:v>4953.648510535111</x:v>
      </x:c>
      <x:c r="U142" s="60" t="n">
        <x:f>IF(T142="","",I142*T142)</x:f>
        <x:v>639153.8858879741</x:v>
      </x:c>
    </x:row>
    <x:row r="143" ht="18" customHeight="1">
      <x:c r="A143" s="46" t="str">
        <x:v>LME_003</x:v>
      </x:c>
      <x:c r="B143" s="46" t="str">
        <x:v>California Current</x:v>
      </x:c>
      <x:c r="C143" s="46" t="str">
        <x:v>LME</x:v>
      </x:c>
      <x:c r="D143" s="58" t="n">
        <x:v>2019</x:v>
      </x:c>
      <x:c r="E143" s="46" t="str">
        <x:v>Citharichthys sordidus</x:v>
      </x:c>
      <x:c r="F143" s="46" t="str">
        <x:v>Pacific sanddab</x:v>
      </x:c>
      <x:c r="G143" s="46" t="str">
        <x:v>Small to medium flatfishes (&lt;90 cm)</x:v>
      </x:c>
      <x:c r="H143" s="46" t="str">
        <x:v>Flatfishes</x:v>
      </x:c>
      <x:c r="I143" s="60" t="n">
        <x:v>128.7860724897</x:v>
      </x:c>
      <x:c r="J143" s="60" t="n">
        <x:v>18.3633877162</x:v>
      </x:c>
      <x:c r="K143" s="60" t="n">
        <x:v>110.4226847735</x:v>
      </x:c>
      <x:c r="L143" s="60" t="n">
        <x:v>18.2492727909</x:v>
      </x:c>
      <x:c r="M143" s="60" t="n">
        <x:v>110.5367996988</x:v>
      </x:c>
      <x:c r="N143" s="46" t="str">
        <x:v>citharichthys sordidus</x:v>
      </x:c>
      <x:c r="O143" s="62" t="n">
        <x:v>3.46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Citharichthys sordidus</x:v>
      </x:c>
      <x:c r="T143" s="62" t="n">
        <x:f>IF(O143="","",(1/'Metadata'!$B$5)^(O143-1))</x:f>
        <x:v>1586.8423749532276</x:v>
      </x:c>
      <x:c r="U143" s="60" t="n">
        <x:f>IF(T143="","",I143*T143)</x:f>
        <x:v>204363.19713045406</x:v>
      </x:c>
    </x:row>
    <x:row r="144" ht="18" customHeight="1">
      <x:c r="A144" s="46" t="str">
        <x:v>LME_003</x:v>
      </x:c>
      <x:c r="B144" s="46" t="str">
        <x:v>California Current</x:v>
      </x:c>
      <x:c r="C144" s="46" t="str">
        <x:v>LME</x:v>
      </x:c>
      <x:c r="D144" s="58" t="n">
        <x:v>2019</x:v>
      </x:c>
      <x:c r="E144" s="46" t="str">
        <x:v>Gadiformes</x:v>
      </x:c>
      <x:c r="F144" s="46" t="str">
        <x:v>Cods</x:v>
      </x:c>
      <x:c r="G144" s="46" t="str">
        <x:v>Medium benthopelagics (30 - 89 cm)</x:v>
      </x:c>
      <x:c r="H144" s="46" t="str">
        <x:v>Cod-likes</x:v>
      </x:c>
      <x:c r="I144" s="60" t="n">
        <x:v>127.6460049699</x:v>
      </x:c>
      <x:c r="J144" s="60" t="n">
        <x:v>127.6460049699</x:v>
      </x:c>
      <x:c r="K144" s="60" t="n">
        <x:v>0</x:v>
      </x:c>
      <x:c r="L144" s="60" t="n">
        <x:v>127.5323095554</x:v>
      </x:c>
      <x:c r="M144" s="60" t="n">
        <x:v>0.11369541450000001</x:v>
      </x:c>
      <x:c r="N144" s="46" t="str">
        <x:v>gadiformes</x:v>
      </x:c>
      <x:c r="O144" s="62" t="n">
        <x:v>3.91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Gadiformes</x:v>
      </x:c>
      <x:c r="T144" s="62" t="n">
        <x:f>IF(O144="","",(1/'Metadata'!$B$5)^(O144-1))</x:f>
        <x:v>6109.382089532312</x:v>
      </x:c>
      <x:c r="U144" s="60" t="n">
        <x:f>IF(T144="","",I144*T144)</x:f>
        <x:v>779838.2165634596</x:v>
      </x:c>
    </x:row>
    <x:row r="145" ht="18" customHeight="1">
      <x:c r="A145" s="46" t="str">
        <x:v>LME_003</x:v>
      </x:c>
      <x:c r="B145" s="46" t="str">
        <x:v>California Current</x:v>
      </x:c>
      <x:c r="C145" s="46" t="str">
        <x:v>LME</x:v>
      </x:c>
      <x:c r="D145" s="58" t="n">
        <x:v>2019</x:v>
      </x:c>
      <x:c r="E145" s="46" t="str">
        <x:v>Penaeidae</x:v>
      </x:c>
      <x:c r="F145" s="46" t="str">
        <x:v>Commercial shrimps and prawns</x:v>
      </x:c>
      <x:c r="G145" s="46" t="str">
        <x:v>Shrimps</x:v>
      </x:c>
      <x:c r="H145" s="46" t="str">
        <x:v>Crustaceans</x:v>
      </x:c>
      <x:c r="I145" s="60" t="n">
        <x:v>122.2893743844</x:v>
      </x:c>
      <x:c r="J145" s="60" t="n">
        <x:v>122.2893743844</x:v>
      </x:c>
      <x:c r="K145" s="60" t="n">
        <x:v>0</x:v>
      </x:c>
      <x:c r="L145" s="60" t="n">
        <x:v>122.2893743844</x:v>
      </x:c>
      <x:c r="M145" s="60" t="n">
        <x:v>0</x:v>
      </x:c>
      <x:c r="N145" s="46" t="str">
        <x:v>penaeidae</x:v>
      </x:c>
      <x:c r="O145" s="62" t="n">
        <x:v>3.31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Penaeidae</x:v>
      </x:c>
      <x:c r="T145" s="62" t="n">
        <x:f>IF(O145="","",(1/'Metadata'!$B$5)^(O145-1))</x:f>
        <x:v>1012.4633005057666</x:v>
      </x:c>
      <x:c r="U145" s="60" t="n">
        <x:f>IF(T145="","",I145*T145)</x:f>
        <x:v>123813.50360601497</x:v>
      </x:c>
    </x:row>
    <x:row r="146" ht="18" customHeight="1">
      <x:c r="A146" s="46" t="str">
        <x:v>LME_003</x:v>
      </x:c>
      <x:c r="B146" s="46" t="str">
        <x:v>California Current</x:v>
      </x:c>
      <x:c r="C146" s="46" t="str">
        <x:v>LME</x:v>
      </x:c>
      <x:c r="D146" s="58" t="n">
        <x:v>2019</x:v>
      </x:c>
      <x:c r="E146" s="46" t="str">
        <x:v>Hoplopagrus guentherii</x:v>
      </x:c>
      <x:c r="F146" s="46" t="str">
        <x:v>Mexican barred snapper</x:v>
      </x:c>
      <x:c r="G146" s="46" t="str">
        <x:v>Medium reef assoc. fish (30 - 89 cm)</x:v>
      </x:c>
      <x:c r="H146" s="46" t="str">
        <x:v>Perch-likes</x:v>
      </x:c>
      <x:c r="I146" s="60" t="n">
        <x:v>117.17344309319999</x:v>
      </x:c>
      <x:c r="J146" s="60" t="n">
        <x:v>117.17344309319999</x:v>
      </x:c>
      <x:c r="K146" s="60" t="n">
        <x:v>0</x:v>
      </x:c>
      <x:c r="L146" s="60" t="n">
        <x:v>78.8481001473</x:v>
      </x:c>
      <x:c r="M146" s="60" t="n">
        <x:v>38.3253429459</x:v>
      </x:c>
      <x:c r="N146" s="46" t="str">
        <x:v>hoplopagrus guentherii</x:v>
      </x:c>
      <x:c r="O146" s="62" t="n">
        <x:v>3.8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Hoplopagrus guentherii</x:v>
      </x:c>
      <x:c r="T146" s="62" t="n">
        <x:f>IF(O146="","",(1/'Metadata'!$B$5)^(O146-1))</x:f>
        <x:v>4394.242173224468</x:v>
      </x:c>
      <x:c r="U146" s="60" t="n">
        <x:f>IF(T146="","",I146*T146)</x:f>
        <x:v>514888.4852220567</x:v>
      </x:c>
    </x:row>
    <x:row r="147" ht="18" customHeight="1">
      <x:c r="A147" s="46" t="str">
        <x:v>LME_003</x:v>
      </x:c>
      <x:c r="B147" s="46" t="str">
        <x:v>California Current</x:v>
      </x:c>
      <x:c r="C147" s="46" t="str">
        <x:v>LME</x:v>
      </x:c>
      <x:c r="D147" s="58" t="n">
        <x:v>2019</x:v>
      </x:c>
      <x:c r="E147" s="46" t="str">
        <x:v>Triakis semifasciata</x:v>
      </x:c>
      <x:c r="F147" s="46" t="str">
        <x:v>Leopard shark</x:v>
      </x:c>
      <x:c r="G147" s="46" t="str">
        <x:v>Large sharks (&gt;=90 cm)</x:v>
      </x:c>
      <x:c r="H147" s="46" t="str">
        <x:v>Sharks &amp; rays</x:v>
      </x:c>
      <x:c r="I147" s="60" t="n">
        <x:v>109.6706216225</x:v>
      </x:c>
      <x:c r="J147" s="60" t="n">
        <x:v>4.9083305588999995</x:v>
      </x:c>
      <x:c r="K147" s="60" t="n">
        <x:v>104.76229106359999</x:v>
      </x:c>
      <x:c r="L147" s="60" t="n">
        <x:v>4.4703062554</x:v>
      </x:c>
      <x:c r="M147" s="60" t="n">
        <x:v>105.20031536709999</x:v>
      </x:c>
      <x:c r="N147" s="46" t="str">
        <x:v>triakis semifasciata</x:v>
      </x:c>
      <x:c r="O147" s="62" t="n">
        <x:v>3.67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Triakis semifasciata</x:v>
      </x:c>
      <x:c r="T147" s="62" t="n">
        <x:f>IF(O147="","",(1/'Metadata'!$B$5)^(O147-1))</x:f>
        <x:v>2976.8029570258213</x:v>
      </x:c>
      <x:c r="U147" s="60" t="n">
        <x:f>IF(T147="","",I147*T147)</x:f>
        <x:v>326467.83074471797</x:v>
      </x:c>
    </x:row>
    <x:row r="148" ht="18" customHeight="1">
      <x:c r="A148" s="46" t="str">
        <x:v>LME_003</x:v>
      </x:c>
      <x:c r="B148" s="46" t="str">
        <x:v>California Current</x:v>
      </x:c>
      <x:c r="C148" s="46" t="str">
        <x:v>LME</x:v>
      </x:c>
      <x:c r="D148" s="58" t="n">
        <x:v>2019</x:v>
      </x:c>
      <x:c r="E148" s="46" t="str">
        <x:v>Callinectes toxotes</x:v>
      </x:c>
      <x:c r="F148" s="46" t="str">
        <x:v>Giant swimcrab</x:v>
      </x:c>
      <x:c r="G148" s="46" t="str">
        <x:v>Lobsters, crabs</x:v>
      </x:c>
      <x:c r="H148" s="46" t="str">
        <x:v>Crustaceans</x:v>
      </x:c>
      <x:c r="I148" s="60" t="n">
        <x:v>104.1110413799</x:v>
      </x:c>
      <x:c r="J148" s="60" t="n">
        <x:v>0</x:v>
      </x:c>
      <x:c r="K148" s="60" t="n">
        <x:v>104.1110413799</x:v>
      </x:c>
      <x:c r="L148" s="60" t="n">
        <x:v>0</x:v>
      </x:c>
      <x:c r="M148" s="60" t="n">
        <x:v>104.1110413799</x:v>
      </x:c>
      <x:c r="N148" s="46" t="str">
        <x:v>callinectes toxotes</x:v>
      </x:c>
      <x:c r="O148" s="62" t="n">
        <x:v>3.63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Callinectes toxotes</x:v>
      </x:c>
      <x:c r="T148" s="62" t="n">
        <x:f>IF(O148="","",(1/'Metadata'!$B$5)^(O148-1))</x:f>
        <x:v>2640.638121038009</x:v>
      </x:c>
      <x:c r="U148" s="60" t="n">
        <x:f>IF(T148="","",I148*T148)</x:f>
        <x:v>274919.58468872955</x:v>
      </x:c>
    </x:row>
    <x:row r="149" ht="18" customHeight="1">
      <x:c r="A149" s="46" t="str">
        <x:v>LME_003</x:v>
      </x:c>
      <x:c r="B149" s="46" t="str">
        <x:v>California Current</x:v>
      </x:c>
      <x:c r="C149" s="46" t="str">
        <x:v>LME</x:v>
      </x:c>
      <x:c r="D149" s="58" t="n">
        <x:v>2019</x:v>
      </x:c>
      <x:c r="E149" s="46" t="str">
        <x:v>Makaira mazara</x:v>
      </x:c>
      <x:c r="F149" s="46" t="str">
        <x:v>Indo-Pacific blue marlin</x:v>
      </x:c>
      <x:c r="G149" s="46" t="str">
        <x:v>Large pelagics (&gt;=90 cm)</x:v>
      </x:c>
      <x:c r="H149" s="46" t="str">
        <x:v>Tuna &amp; billfishes</x:v>
      </x:c>
      <x:c r="I149" s="60" t="n">
        <x:v>94.74894752809999</x:v>
      </x:c>
      <x:c r="J149" s="60" t="n">
        <x:v>59.3460031561</x:v>
      </x:c>
      <x:c r="K149" s="60" t="n">
        <x:v>35.402944372</x:v>
      </x:c>
      <x:c r="L149" s="60" t="n">
        <x:v>0</x:v>
      </x:c>
      <x:c r="M149" s="60" t="n">
        <x:v>94.74894752809999</x:v>
      </x:c>
      <x:c r="N149" s="46" t="str">
        <x:v>makaira mazara</x:v>
      </x:c>
      <x:c r="O149" s="62" t="n">
        <x:v>4.46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Makaira mazara</x:v>
      </x:c>
      <x:c r="T149" s="62" t="n">
        <x:f>IF(O149="","",(1/'Metadata'!$B$5)^(O149-1))</x:f>
        <x:v>31736.84749906455</x:v>
      </x:c>
      <x:c r="U149" s="60" t="n">
        <x:f>IF(T149="","",I149*T149)</x:f>
        <x:v>3007032.8983961786</x:v>
      </x:c>
    </x:row>
    <x:row r="150" ht="18" customHeight="1">
      <x:c r="A150" s="46" t="str">
        <x:v>LME_003</x:v>
      </x:c>
      <x:c r="B150" s="46" t="str">
        <x:v>California Current</x:v>
      </x:c>
      <x:c r="C150" s="46" t="str">
        <x:v>LME</x:v>
      </x:c>
      <x:c r="D150" s="58" t="n">
        <x:v>2019</x:v>
      </x:c>
      <x:c r="E150" s="46" t="str">
        <x:v>Solenocera florea</x:v>
      </x:c>
      <x:c r="F150" s="46" t="str">
        <x:v>Flower shrimp</x:v>
      </x:c>
      <x:c r="G150" s="46" t="str">
        <x:v>Shrimps</x:v>
      </x:c>
      <x:c r="H150" s="46" t="str">
        <x:v>Crustaceans</x:v>
      </x:c>
      <x:c r="I150" s="60" t="n">
        <x:v>93.7688048007</x:v>
      </x:c>
      <x:c r="J150" s="60" t="n">
        <x:v>0</x:v>
      </x:c>
      <x:c r="K150" s="60" t="n">
        <x:v>93.7688048007</x:v>
      </x:c>
      <x:c r="L150" s="60" t="n">
        <x:v>0</x:v>
      </x:c>
      <x:c r="M150" s="60" t="n">
        <x:v>93.7688048007</x:v>
      </x:c>
      <x:c r="N150" s="46" t="str">
        <x:v>solenocera florea</x:v>
      </x:c>
      <x:c r="O150" s="62" t="n">
        <x:v>3.48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Solenocera florea</x:v>
      </x:c>
      <x:c r="T150" s="62" t="n">
        <x:f>IF(O150="","",(1/'Metadata'!$B$5)^(O150-1))</x:f>
        <x:v>1684.8234138858888</x:v>
      </x:c>
      <x:c r="U150" s="60" t="n">
        <x:f>IF(T150="","",I150*T150)</x:f>
        <x:v>157983.8778203149</x:v>
      </x:c>
    </x:row>
    <x:row r="151" ht="18" customHeight="1">
      <x:c r="A151" s="46" t="str">
        <x:v>LME_003</x:v>
      </x:c>
      <x:c r="B151" s="46" t="str">
        <x:v>California Current</x:v>
      </x:c>
      <x:c r="C151" s="46" t="str">
        <x:v>LME</x:v>
      </x:c>
      <x:c r="D151" s="58" t="n">
        <x:v>2019</x:v>
      </x:c>
      <x:c r="E151" s="46" t="str">
        <x:v>Squalus suckleyi</x:v>
      </x:c>
      <x:c r="F151" s="46" t="str">
        <x:v>Pacific spiny dogfish</x:v>
      </x:c>
      <x:c r="G151" s="46" t="str">
        <x:v>Large sharks (&gt;=90 cm)</x:v>
      </x:c>
      <x:c r="H151" s="46" t="str">
        <x:v>Sharks &amp; rays</x:v>
      </x:c>
      <x:c r="I151" s="60" t="n">
        <x:v>93.5882794274</x:v>
      </x:c>
      <x:c r="J151" s="60" t="n">
        <x:v>0</x:v>
      </x:c>
      <x:c r="K151" s="60" t="n">
        <x:v>93.5882794274</x:v>
      </x:c>
      <x:c r="L151" s="60" t="n">
        <x:v>0</x:v>
      </x:c>
      <x:c r="M151" s="60" t="n">
        <x:v>93.5882794274</x:v>
      </x:c>
      <x:c r="N151" s="46" t="str">
        <x:v>squalus suckleyi</x:v>
      </x:c>
      <x:c r="O151" s="62" t="n">
        <x:v>3.82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Squalus suckleyi</x:v>
      </x:c>
      <x:c r="T151" s="62" t="n">
        <x:f>IF(O151="","",(1/'Metadata'!$B$5)^(O151-1))</x:f>
        <x:v>4665.56868948727</x:v>
      </x:c>
      <x:c r="U151" s="60" t="n">
        <x:f>IF(T151="","",I151*T151)</x:f>
        <x:v>436642.546199463</x:v>
      </x:c>
    </x:row>
    <x:row r="152" ht="18" customHeight="1">
      <x:c r="A152" s="46" t="str">
        <x:v>LME_003</x:v>
      </x:c>
      <x:c r="B152" s="46" t="str">
        <x:v>California Current</x:v>
      </x:c>
      <x:c r="C152" s="46" t="str">
        <x:v>LME</x:v>
      </x:c>
      <x:c r="D152" s="58" t="n">
        <x:v>2019</x:v>
      </x:c>
      <x:c r="E152" s="46" t="str">
        <x:v>Carcharhinus limbatus</x:v>
      </x:c>
      <x:c r="F152" s="46" t="str">
        <x:v>Blacktip shark</x:v>
      </x:c>
      <x:c r="G152" s="46" t="str">
        <x:v>Large sharks (&gt;=90 cm)</x:v>
      </x:c>
      <x:c r="H152" s="46" t="str">
        <x:v>Sharks &amp; rays</x:v>
      </x:c>
      <x:c r="I152" s="60" t="n">
        <x:v>87.4298647469</x:v>
      </x:c>
      <x:c r="J152" s="60" t="n">
        <x:v>87.4298647469</x:v>
      </x:c>
      <x:c r="K152" s="60" t="n">
        <x:v>0</x:v>
      </x:c>
      <x:c r="L152" s="60" t="n">
        <x:v>87.4298647469</x:v>
      </x:c>
      <x:c r="M152" s="60" t="n">
        <x:v>0</x:v>
      </x:c>
      <x:c r="N152" s="46" t="str">
        <x:v>carcharhinus limbatus</x:v>
      </x:c>
      <x:c r="O152" s="62" t="n">
        <x:v>4.37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Carcharhinus limbatus</x:v>
      </x:c>
      <x:c r="T152" s="62" t="n">
        <x:f>IF(O152="","",(1/'Metadata'!$B$5)^(O152-1))</x:f>
        <x:v>24236.56596112542</x:v>
      </x:c>
      <x:c r="U152" s="60" t="n">
        <x:f>IF(T152="","",I152*T152)</x:f>
        <x:v>2118999.6839105156</x:v>
      </x:c>
    </x:row>
    <x:row r="153" ht="18" customHeight="1">
      <x:c r="A153" s="46" t="str">
        <x:v>LME_003</x:v>
      </x:c>
      <x:c r="B153" s="46" t="str">
        <x:v>California Current</x:v>
      </x:c>
      <x:c r="C153" s="46" t="str">
        <x:v>LME</x:v>
      </x:c>
      <x:c r="D153" s="58" t="n">
        <x:v>2019</x:v>
      </x:c>
      <x:c r="E153" s="46" t="str">
        <x:v>Gadus macrocephalus</x:v>
      </x:c>
      <x:c r="F153" s="46" t="str">
        <x:v>Pacific cod</x:v>
      </x:c>
      <x:c r="G153" s="46" t="str">
        <x:v>Large demersals (&gt;=90 cm)</x:v>
      </x:c>
      <x:c r="H153" s="46" t="str">
        <x:v>Cod-likes</x:v>
      </x:c>
      <x:c r="I153" s="60" t="n">
        <x:v>87.4006020274</x:v>
      </x:c>
      <x:c r="J153" s="60" t="n">
        <x:v>85.13719018340001</x:v>
      </x:c>
      <x:c r="K153" s="60" t="n">
        <x:v>2.263411844</x:v>
      </x:c>
      <x:c r="L153" s="60" t="n">
        <x:v>84.9917707633</x:v>
      </x:c>
      <x:c r="M153" s="60" t="n">
        <x:v>2.4088312641000003</x:v>
      </x:c>
      <x:c r="N153" s="46" t="str">
        <x:v>gadus macrocephalus</x:v>
      </x:c>
      <x:c r="O153" s="62" t="n">
        <x:v>4.16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Gadus macrocephalus</x:v>
      </x:c>
      <x:c r="T153" s="62" t="n">
        <x:f>IF(O153="","",(1/'Metadata'!$B$5)^(O153-1))</x:f>
        <x:v>12919.77011769987</x:v>
      </x:c>
      <x:c r="U153" s="60" t="n">
        <x:f>IF(T153="","",I153*T153)</x:f>
        <x:v>1129195.6863425812</x:v>
      </x:c>
    </x:row>
    <x:row r="154" ht="18" customHeight="1">
      <x:c r="A154" s="46" t="str">
        <x:v>LME_003</x:v>
      </x:c>
      <x:c r="B154" s="46" t="str">
        <x:v>California Current</x:v>
      </x:c>
      <x:c r="C154" s="46" t="str">
        <x:v>LME</x:v>
      </x:c>
      <x:c r="D154" s="58" t="n">
        <x:v>2019</x:v>
      </x:c>
      <x:c r="E154" s="46" t="str">
        <x:v>Saxidomus gigantea</x:v>
      </x:c>
      <x:c r="F154" s="46" t="str">
        <x:v>Butter clam</x:v>
      </x:c>
      <x:c r="G154" s="46" t="str">
        <x:v>Other demersal invertebrates</x:v>
      </x:c>
      <x:c r="H154" s="46" t="str">
        <x:v>Molluscs</x:v>
      </x:c>
      <x:c r="I154" s="60" t="n">
        <x:v>86.1020991786</x:v>
      </x:c>
      <x:c r="J154" s="60" t="n">
        <x:v>86.1020991786</x:v>
      </x:c>
      <x:c r="K154" s="60" t="n">
        <x:v>0</x:v>
      </x:c>
      <x:c r="L154" s="60" t="n">
        <x:v>34.1762970006</x:v>
      </x:c>
      <x:c r="M154" s="60" t="n">
        <x:v>51.925802178</x:v>
      </x:c>
      <x:c r="N154" s="46" t="str">
        <x:v>saxidomus gigantea</x:v>
      </x:c>
      <x:c r="O154" s="62" t="n">
        <x:v>2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Saxidomus gigantea</x:v>
      </x:c>
      <x:c r="T154" s="62" t="n">
        <x:f>IF(O154="","",(1/'Metadata'!$B$5)^(O154-1))</x:f>
        <x:v>20</x:v>
      </x:c>
      <x:c r="U154" s="60" t="n">
        <x:f>IF(T154="","",I154*T154)</x:f>
        <x:v>1722.041983572</x:v>
      </x:c>
    </x:row>
    <x:row r="155" ht="18" customHeight="1">
      <x:c r="A155" s="46" t="str">
        <x:v>LME_003</x:v>
      </x:c>
      <x:c r="B155" s="46" t="str">
        <x:v>California Current</x:v>
      </x:c>
      <x:c r="C155" s="46" t="str">
        <x:v>LME</x:v>
      </x:c>
      <x:c r="D155" s="58" t="n">
        <x:v>2019</x:v>
      </x:c>
      <x:c r="E155" s="46" t="str">
        <x:v>Strongylocentrotus</x:v>
      </x:c>
      <x:c r="F155" s="46" t="str">
        <x:v>Sickle-arched sea urchins</x:v>
      </x:c>
      <x:c r="G155" s="46" t="str">
        <x:v>Other demersal invertebrates</x:v>
      </x:c>
      <x:c r="H155" s="46" t="str">
        <x:v>Other fishes &amp; inverts</x:v>
      </x:c>
      <x:c r="I155" s="60" t="n">
        <x:v>83.9722633069</x:v>
      </x:c>
      <x:c r="J155" s="60" t="n">
        <x:v>83.9722633069</x:v>
      </x:c>
      <x:c r="K155" s="60" t="n">
        <x:v>0</x:v>
      </x:c>
      <x:c r="L155" s="60" t="n">
        <x:v>83.9722633069</x:v>
      </x:c>
      <x:c r="M155" s="60" t="n">
        <x:v>0</x:v>
      </x:c>
      <x:c r="N155" s="46" t="str">
        <x:v>strongylocentrotus</x:v>
      </x:c>
      <x:c r="O155" s="62" t="n">
        <x:v>2.1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Strongylocentrotus</x:v>
      </x:c>
      <x:c r="T155" s="62" t="n">
        <x:f>IF(O155="","",(1/'Metadata'!$B$5)^(O155-1))</x:f>
        <x:v>26.985656953471274</x:v>
      </x:c>
      <x:c r="U155" s="60" t="n">
        <x:f>IF(T155="","",I155*T155)</x:f>
        <x:v>2266.0466912065667</x:v>
      </x:c>
    </x:row>
    <x:row r="156" ht="18" customHeight="1">
      <x:c r="A156" s="46" t="str">
        <x:v>LME_003</x:v>
      </x:c>
      <x:c r="B156" s="46" t="str">
        <x:v>California Current</x:v>
      </x:c>
      <x:c r="C156" s="46" t="str">
        <x:v>LME</x:v>
      </x:c>
      <x:c r="D156" s="58" t="n">
        <x:v>2019</x:v>
      </x:c>
      <x:c r="E156" s="46" t="str">
        <x:v>Hydrolagus colliei</x:v>
      </x:c>
      <x:c r="F156" s="46" t="str">
        <x:v>Spotted ratfish</x:v>
      </x:c>
      <x:c r="G156" s="46" t="str">
        <x:v>Small to medium rays (&lt;90 cm)</x:v>
      </x:c>
      <x:c r="H156" s="46" t="str">
        <x:v>Sharks &amp; rays</x:v>
      </x:c>
      <x:c r="I156" s="60" t="n">
        <x:v>81.3386493262</x:v>
      </x:c>
      <x:c r="J156" s="60" t="n">
        <x:v>3.7437655215000003</x:v>
      </x:c>
      <x:c r="K156" s="60" t="n">
        <x:v>77.59488380469999</x:v>
      </x:c>
      <x:c r="L156" s="60" t="n">
        <x:v>3.7297424695</x:v>
      </x:c>
      <x:c r="M156" s="60" t="n">
        <x:v>77.60890685669999</x:v>
      </x:c>
      <x:c r="N156" s="46" t="str">
        <x:v>hydrolagus colliei</x:v>
      </x:c>
      <x:c r="O156" s="62" t="n">
        <x:v>3.68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Hydrolagus colliei</x:v>
      </x:c>
      <x:c r="T156" s="62" t="n">
        <x:f>IF(O156="","",(1/'Metadata'!$B$5)^(O156-1))</x:f>
        <x:v>3067.3291957408446</x:v>
      </x:c>
      <x:c r="U156" s="60" t="n">
        <x:f>IF(T156="","",I156*T156)</x:f>
        <x:v>249492.41382037965</x:v>
      </x:c>
    </x:row>
    <x:row r="157" ht="18" customHeight="1">
      <x:c r="A157" s="46" t="str">
        <x:v>LME_003</x:v>
      </x:c>
      <x:c r="B157" s="46" t="str">
        <x:v>California Current</x:v>
      </x:c>
      <x:c r="C157" s="46" t="str">
        <x:v>LME</x:v>
      </x:c>
      <x:c r="D157" s="58" t="n">
        <x:v>2019</x:v>
      </x:c>
      <x:c r="E157" s="46" t="str">
        <x:v>Perciformes</x:v>
      </x:c>
      <x:c r="F157" s="46" t="str">
        <x:v>Perch-likes</x:v>
      </x:c>
      <x:c r="G157" s="46" t="str">
        <x:v>Medium demersals (30 - 89 cm)</x:v>
      </x:c>
      <x:c r="H157" s="46" t="str">
        <x:v>Perch-likes</x:v>
      </x:c>
      <x:c r="I157" s="60" t="n">
        <x:v>77.445211564</x:v>
      </x:c>
      <x:c r="J157" s="60" t="n">
        <x:v>62.9106684498</x:v>
      </x:c>
      <x:c r="K157" s="60" t="n">
        <x:v>14.5345431142</x:v>
      </x:c>
      <x:c r="L157" s="60" t="n">
        <x:v>0</x:v>
      </x:c>
      <x:c r="M157" s="60" t="n">
        <x:v>77.445211564</x:v>
      </x:c>
      <x:c r="N157" s="46" t="str">
        <x:v>perciformes</x:v>
      </x:c>
      <x:c r="O157" s="62" t="n">
        <x:v>3.53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Perciformes</x:v>
      </x:c>
      <x:c r="T157" s="62" t="n">
        <x:f>IF(O157="","",(1/'Metadata'!$B$5)^(O157-1))</x:f>
        <x:v>1957.0678791263101</x:v>
      </x:c>
      <x:c r="U157" s="60" t="n">
        <x:f>IF(T157="","",I157*T157)</x:f>
        <x:v>151565.53594404587</x:v>
      </x:c>
    </x:row>
    <x:row r="158" ht="18" customHeight="1">
      <x:c r="A158" s="46" t="str">
        <x:v>LME_003</x:v>
      </x:c>
      <x:c r="B158" s="46" t="str">
        <x:v>California Current</x:v>
      </x:c>
      <x:c r="C158" s="46" t="str">
        <x:v>LME</x:v>
      </x:c>
      <x:c r="D158" s="58" t="n">
        <x:v>2019</x:v>
      </x:c>
      <x:c r="E158" s="46" t="str">
        <x:v>Istiophorus platypterus</x:v>
      </x:c>
      <x:c r="F158" s="46" t="str">
        <x:v>Indo-Pacific sailfish</x:v>
      </x:c>
      <x:c r="G158" s="46" t="str">
        <x:v>Large pelagics (&gt;=90 cm)</x:v>
      </x:c>
      <x:c r="H158" s="46" t="str">
        <x:v>Tuna &amp; billfishes</x:v>
      </x:c>
      <x:c r="I158" s="60" t="n">
        <x:v>75.475446948</x:v>
      </x:c>
      <x:c r="J158" s="60" t="n">
        <x:v>47.3704450869</x:v>
      </x:c>
      <x:c r="K158" s="60" t="n">
        <x:v>28.1050018611</x:v>
      </x:c>
      <x:c r="L158" s="60" t="n">
        <x:v>0.25799276120000003</x:v>
      </x:c>
      <x:c r="M158" s="60" t="n">
        <x:v>75.2174541868</x:v>
      </x:c>
      <x:c r="N158" s="46" t="str">
        <x:v>istiophorus platypterus</x:v>
      </x:c>
      <x:c r="O158" s="62" t="n">
        <x:v>4.5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Istiophorus platypterus</x:v>
      </x:c>
      <x:c r="T158" s="62" t="n">
        <x:f>IF(O158="","",(1/'Metadata'!$B$5)^(O158-1))</x:f>
        <x:v>35777.08763999664</x:v>
      </x:c>
      <x:c r="U158" s="60" t="n">
        <x:f>IF(T158="","",I158*T158)</x:f>
        <x:v>2700291.6801265124</x:v>
      </x:c>
    </x:row>
    <x:row r="159" ht="18" customHeight="1">
      <x:c r="A159" s="46" t="str">
        <x:v>LME_003</x:v>
      </x:c>
      <x:c r="B159" s="46" t="str">
        <x:v>California Current</x:v>
      </x:c>
      <x:c r="C159" s="46" t="str">
        <x:v>LME</x:v>
      </x:c>
      <x:c r="D159" s="58" t="n">
        <x:v>2019</x:v>
      </x:c>
      <x:c r="E159" s="46" t="str">
        <x:v>Atractoscion nobilis</x:v>
      </x:c>
      <x:c r="F159" s="46" t="str">
        <x:v>White weakfish</x:v>
      </x:c>
      <x:c r="G159" s="46" t="str">
        <x:v>Large demersals (&gt;=90 cm)</x:v>
      </x:c>
      <x:c r="H159" s="46" t="str">
        <x:v>Perch-likes</x:v>
      </x:c>
      <x:c r="I159" s="60" t="n">
        <x:v>75.34038377990001</x:v>
      </x:c>
      <x:c r="J159" s="60" t="n">
        <x:v>72.3395408729</x:v>
      </x:c>
      <x:c r="K159" s="60" t="n">
        <x:v>3.000842907</x:v>
      </x:c>
      <x:c r="L159" s="60" t="n">
        <x:v>72.3395408729</x:v>
      </x:c>
      <x:c r="M159" s="60" t="n">
        <x:v>3.000842907</x:v>
      </x:c>
      <x:c r="N159" s="46" t="str">
        <x:v>atractoscion nobilis</x:v>
      </x:c>
      <x:c r="O159" s="62" t="n">
        <x:v>3.21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Atractoscion nobilis</x:v>
      </x:c>
      <x:c r="T159" s="62" t="n">
        <x:f>IF(O159="","",(1/'Metadata'!$B$5)^(O159-1))</x:f>
        <x:v>750.3714304613432</x:v>
      </x:c>
      <x:c r="U159" s="60" t="n">
        <x:f>IF(T159="","",I159*T159)</x:f>
        <x:v>56533.271548430144</x:v>
      </x:c>
    </x:row>
    <x:row r="160" ht="18" customHeight="1">
      <x:c r="A160" s="46" t="str">
        <x:v>LME_003</x:v>
      </x:c>
      <x:c r="B160" s="46" t="str">
        <x:v>California Current</x:v>
      </x:c>
      <x:c r="C160" s="46" t="str">
        <x:v>LME</x:v>
      </x:c>
      <x:c r="D160" s="58" t="n">
        <x:v>2019</x:v>
      </x:c>
      <x:c r="E160" s="46" t="str">
        <x:v>Teuthida</x:v>
      </x:c>
      <x:c r="F160" s="46" t="str">
        <x:v>Squids</x:v>
      </x:c>
      <x:c r="G160" s="46" t="str">
        <x:v>Cephalopods</x:v>
      </x:c>
      <x:c r="H160" s="46" t="str">
        <x:v>Other fishes &amp; inverts</x:v>
      </x:c>
      <x:c r="I160" s="60" t="n">
        <x:v>74.875530287</x:v>
      </x:c>
      <x:c r="J160" s="60" t="n">
        <x:v>0</x:v>
      </x:c>
      <x:c r="K160" s="60" t="n">
        <x:v>74.875530287</x:v>
      </x:c>
      <x:c r="L160" s="60" t="n">
        <x:v>0</x:v>
      </x:c>
      <x:c r="M160" s="60" t="n">
        <x:v>74.875530287</x:v>
      </x:c>
      <x:c r="N160" s="46" t="str">
        <x:v>teuthida</x:v>
      </x:c>
      <x:c r="O160" s="62" t="n">
        <x:v>4.13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Teuthida</x:v>
      </x:c>
      <x:c r="T160" s="62" t="n">
        <x:f>IF(O160="","",(1/'Metadata'!$B$5)^(O160-1))</x:f>
        <x:v>11809.292685236613</x:v>
      </x:c>
      <x:c r="U160" s="60" t="n">
        <x:f>IF(T160="","",I160*T160)</x:f>
        <x:v>884227.0521214816</x:v>
      </x:c>
    </x:row>
    <x:row r="161" ht="18" customHeight="1">
      <x:c r="A161" s="46" t="str">
        <x:v>LME_003</x:v>
      </x:c>
      <x:c r="B161" s="46" t="str">
        <x:v>California Current</x:v>
      </x:c>
      <x:c r="C161" s="46" t="str">
        <x:v>LME</x:v>
      </x:c>
      <x:c r="D161" s="58" t="n">
        <x:v>2019</x:v>
      </x:c>
      <x:c r="E161" s="46" t="str">
        <x:v>Tresus nuttallii</x:v>
      </x:c>
      <x:c r="F161" s="46" t="str">
        <x:v>Pacific gaper clam</x:v>
      </x:c>
      <x:c r="G161" s="46" t="str">
        <x:v>Other demersal invertebrates</x:v>
      </x:c>
      <x:c r="H161" s="46" t="str">
        <x:v>Molluscs</x:v>
      </x:c>
      <x:c r="I161" s="60" t="n">
        <x:v>74.3756889146</x:v>
      </x:c>
      <x:c r="J161" s="60" t="n">
        <x:v>74.3756889146</x:v>
      </x:c>
      <x:c r="K161" s="60" t="n">
        <x:v>0</x:v>
      </x:c>
      <x:c r="L161" s="60" t="n">
        <x:v>0</x:v>
      </x:c>
      <x:c r="M161" s="60" t="n">
        <x:v>74.3756889146</x:v>
      </x:c>
      <x:c r="N161" s="46" t="str">
        <x:v>tresus nuttallii</x:v>
      </x:c>
      <x:c r="O161" s="62" t="n">
        <x:v>2.03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Tresus nuttallii</x:v>
      </x:c>
      <x:c r="T161" s="62" t="n">
        <x:f>IF(O161="","",(1/'Metadata'!$B$5)^(O161-1))</x:f>
        <x:v>21.880684071538855</x:v>
      </x:c>
      <x:c r="U161" s="60" t="n">
        <x:f>IF(T161="","",I161*T161)</x:f>
        <x:v>1627.3909517434174</x:v>
      </x:c>
    </x:row>
    <x:row r="162" ht="18" customHeight="1">
      <x:c r="A162" s="46" t="str">
        <x:v>LME_003</x:v>
      </x:c>
      <x:c r="B162" s="46" t="str">
        <x:v>California Current</x:v>
      </x:c>
      <x:c r="C162" s="46" t="str">
        <x:v>LME</x:v>
      </x:c>
      <x:c r="D162" s="58" t="n">
        <x:v>2019</x:v>
      </x:c>
      <x:c r="E162" s="46" t="str">
        <x:v>Mytilus californianus</x:v>
      </x:c>
      <x:c r="F162" s="46" t="str">
        <x:v>California mussel</x:v>
      </x:c>
      <x:c r="G162" s="46" t="str">
        <x:v>Other demersal invertebrates</x:v>
      </x:c>
      <x:c r="H162" s="46" t="str">
        <x:v>Molluscs</x:v>
      </x:c>
      <x:c r="I162" s="60" t="n">
        <x:v>71.6044413248</x:v>
      </x:c>
      <x:c r="J162" s="60" t="n">
        <x:v>71.6044413248</x:v>
      </x:c>
      <x:c r="K162" s="60" t="n">
        <x:v>0</x:v>
      </x:c>
      <x:c r="L162" s="60" t="n">
        <x:v>0</x:v>
      </x:c>
      <x:c r="M162" s="60" t="n">
        <x:v>71.6044413248</x:v>
      </x:c>
      <x:c r="N162" s="46" t="str">
        <x:v>mytilus californianus</x:v>
      </x:c>
      <x:c r="O162" s="62" t="n">
        <x:v>2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Mytilus californianus</x:v>
      </x:c>
      <x:c r="T162" s="62" t="n">
        <x:f>IF(O162="","",(1/'Metadata'!$B$5)^(O162-1))</x:f>
        <x:v>20</x:v>
      </x:c>
      <x:c r="U162" s="60" t="n">
        <x:f>IF(T162="","",I162*T162)</x:f>
        <x:v>1432.0888264960001</x:v>
      </x:c>
    </x:row>
    <x:row r="163" ht="18" customHeight="1">
      <x:c r="A163" s="46" t="str">
        <x:v>LME_003</x:v>
      </x:c>
      <x:c r="B163" s="46" t="str">
        <x:v>California Current</x:v>
      </x:c>
      <x:c r="C163" s="46" t="str">
        <x:v>LME</x:v>
      </x:c>
      <x:c r="D163" s="58" t="n">
        <x:v>2019</x:v>
      </x:c>
      <x:c r="E163" s="46" t="str">
        <x:v>Haliotis</x:v>
      </x:c>
      <x:c r="F163" s="46" t="str">
        <x:v>Abalones</x:v>
      </x:c>
      <x:c r="G163" s="46" t="str">
        <x:v>Other demersal invertebrates</x:v>
      </x:c>
      <x:c r="H163" s="46" t="str">
        <x:v>Molluscs</x:v>
      </x:c>
      <x:c r="I163" s="60" t="n">
        <x:v>71.58812132770001</x:v>
      </x:c>
      <x:c r="J163" s="60" t="n">
        <x:v>71.58812132770001</x:v>
      </x:c>
      <x:c r="K163" s="60" t="n">
        <x:v>0</x:v>
      </x:c>
      <x:c r="L163" s="60" t="n">
        <x:v>71.162144512</x:v>
      </x:c>
      <x:c r="M163" s="60" t="n">
        <x:v>0.4259768157</x:v>
      </x:c>
      <x:c r="N163" s="46" t="str">
        <x:v>haliotis</x:v>
      </x:c>
      <x:c r="O163" s="62" t="n">
        <x:v>2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Haliotis</x:v>
      </x:c>
      <x:c r="T163" s="62" t="n">
        <x:f>IF(O163="","",(1/'Metadata'!$B$5)^(O163-1))</x:f>
        <x:v>20</x:v>
      </x:c>
      <x:c r="U163" s="60" t="n">
        <x:f>IF(T163="","",I163*T163)</x:f>
        <x:v>1431.7624265540003</x:v>
      </x:c>
    </x:row>
    <x:row r="164" ht="18" customHeight="1">
      <x:c r="A164" s="46" t="str">
        <x:v>LME_003</x:v>
      </x:c>
      <x:c r="B164" s="46" t="str">
        <x:v>California Current</x:v>
      </x:c>
      <x:c r="C164" s="46" t="str">
        <x:v>LME</x:v>
      </x:c>
      <x:c r="D164" s="58" t="n">
        <x:v>2019</x:v>
      </x:c>
      <x:c r="E164" s="46" t="str">
        <x:v>Merlucciidae</x:v>
      </x:c>
      <x:c r="F164" s="46" t="str">
        <x:v>Merluccid hakes</x:v>
      </x:c>
      <x:c r="G164" s="46" t="str">
        <x:v>Large bathydemersals (&gt;=90 cm)</x:v>
      </x:c>
      <x:c r="H164" s="46" t="str">
        <x:v>Cod-likes</x:v>
      </x:c>
      <x:c r="I164" s="60" t="n">
        <x:v>62.7027866854</x:v>
      </x:c>
      <x:c r="J164" s="60" t="n">
        <x:v>62.7027866854</x:v>
      </x:c>
      <x:c r="K164" s="60" t="n">
        <x:v>0</x:v>
      </x:c>
      <x:c r="L164" s="60" t="n">
        <x:v>0</x:v>
      </x:c>
      <x:c r="M164" s="60" t="n">
        <x:v>62.7027866854</x:v>
      </x:c>
      <x:c r="N164" s="46" t="str">
        <x:v>merlucciidae</x:v>
      </x:c>
      <x:c r="O164" s="62" t="n">
        <x:v>4.35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Merlucciidae</x:v>
      </x:c>
      <x:c r="T164" s="62" t="n">
        <x:f>IF(O164="","",(1/'Metadata'!$B$5)^(O164-1))</x:f>
        <x:v>22827.086550132422</x:v>
      </x:c>
      <x:c r="U164" s="60" t="n">
        <x:f>IF(T164="","",I164*T164)</x:f>
        <x:v>1431321.9386021167</x:v>
      </x:c>
    </x:row>
    <x:row r="165" ht="18" customHeight="1">
      <x:c r="A165" s="46" t="str">
        <x:v>LME_003</x:v>
      </x:c>
      <x:c r="B165" s="46" t="str">
        <x:v>California Current</x:v>
      </x:c>
      <x:c r="C165" s="46" t="str">
        <x:v>LME</x:v>
      </x:c>
      <x:c r="D165" s="58" t="n">
        <x:v>2019</x:v>
      </x:c>
      <x:c r="E165" s="46" t="str">
        <x:v>Oncorhynchus mykiss</x:v>
      </x:c>
      <x:c r="F165" s="46" t="str">
        <x:v>Rainbow trout</x:v>
      </x:c>
      <x:c r="G165" s="46" t="str">
        <x:v>Large benthopelagics (&gt;=90 cm)</x:v>
      </x:c>
      <x:c r="H165" s="46" t="str">
        <x:v>Salmon, smelts, etc</x:v>
      </x:c>
      <x:c r="I165" s="60" t="n">
        <x:v>60.8464521808</x:v>
      </x:c>
      <x:c r="J165" s="60" t="n">
        <x:v>60.8464521808</x:v>
      </x:c>
      <x:c r="K165" s="60" t="n">
        <x:v>0</x:v>
      </x:c>
      <x:c r="L165" s="60" t="n">
        <x:v>60.8464521808</x:v>
      </x:c>
      <x:c r="M165" s="60" t="n">
        <x:v>0</x:v>
      </x:c>
      <x:c r="N165" s="46" t="str">
        <x:v>oncorhynchus mykiss</x:v>
      </x:c>
      <x:c r="O165" s="62" t="n">
        <x:v>4.08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Oncorhynchus mykiss</x:v>
      </x:c>
      <x:c r="T165" s="62" t="n">
        <x:f>IF(O165="","",(1/'Metadata'!$B$5)^(O165-1))</x:f>
        <x:v>10166.521575327472</x:v>
      </x:c>
      <x:c r="U165" s="60" t="n">
        <x:f>IF(T165="","",I165*T165)</x:f>
        <x:v>618596.7688782344</x:v>
      </x:c>
    </x:row>
    <x:row r="166" ht="18" customHeight="1">
      <x:c r="A166" s="46" t="str">
        <x:v>LME_003</x:v>
      </x:c>
      <x:c r="B166" s="46" t="str">
        <x:v>California Current</x:v>
      </x:c>
      <x:c r="C166" s="46" t="str">
        <x:v>LME</x:v>
      </x:c>
      <x:c r="D166" s="58" t="n">
        <x:v>2019</x:v>
      </x:c>
      <x:c r="E166" s="46" t="str">
        <x:v>Alopias vulpinus</x:v>
      </x:c>
      <x:c r="F166" s="46" t="str">
        <x:v>Thresher</x:v>
      </x:c>
      <x:c r="G166" s="46" t="str">
        <x:v>Large sharks (&gt;=90 cm)</x:v>
      </x:c>
      <x:c r="H166" s="46" t="str">
        <x:v>Sharks &amp; rays</x:v>
      </x:c>
      <x:c r="I166" s="60" t="n">
        <x:v>59.0775480439</x:v>
      </x:c>
      <x:c r="J166" s="60" t="n">
        <x:v>58.5240025497</x:v>
      </x:c>
      <x:c r="K166" s="60" t="n">
        <x:v>0.5535454942</x:v>
      </x:c>
      <x:c r="L166" s="60" t="n">
        <x:v>56.8265314839</x:v>
      </x:c>
      <x:c r="M166" s="60" t="n">
        <x:v>2.25101656</x:v>
      </x:c>
      <x:c r="N166" s="46" t="str">
        <x:v>alopias vulpinus</x:v>
      </x:c>
      <x:c r="O166" s="62" t="n">
        <x:v>4.5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Alopias vulpinus</x:v>
      </x:c>
      <x:c r="T166" s="62" t="n">
        <x:f>IF(O166="","",(1/'Metadata'!$B$5)^(O166-1))</x:f>
        <x:v>35777.08763999664</x:v>
      </x:c>
      <x:c r="U166" s="60" t="n">
        <x:f>IF(T166="","",I166*T166)</x:f>
        <x:v>2113622.613922722</x:v>
      </x:c>
    </x:row>
    <x:row r="167" ht="18" customHeight="1">
      <x:c r="A167" s="46" t="str">
        <x:v>LME_003</x:v>
      </x:c>
      <x:c r="B167" s="46" t="str">
        <x:v>California Current</x:v>
      </x:c>
      <x:c r="C167" s="46" t="str">
        <x:v>LME</x:v>
      </x:c>
      <x:c r="D167" s="58" t="n">
        <x:v>2019</x:v>
      </x:c>
      <x:c r="E167" s="46" t="str">
        <x:v>Scorpaenichthys marmoratus</x:v>
      </x:c>
      <x:c r="F167" s="46" t="str">
        <x:v>Cabezon</x:v>
      </x:c>
      <x:c r="G167" s="46" t="str">
        <x:v>Medium demersals (30 - 89 cm)</x:v>
      </x:c>
      <x:c r="H167" s="46" t="str">
        <x:v>Scorpionfishes</x:v>
      </x:c>
      <x:c r="I167" s="60" t="n">
        <x:v>55.737599544700004</x:v>
      </x:c>
      <x:c r="J167" s="60" t="n">
        <x:v>52.537280854399995</x:v>
      </x:c>
      <x:c r="K167" s="60" t="n">
        <x:v>3.2003186903</x:v>
      </x:c>
      <x:c r="L167" s="60" t="n">
        <x:v>46.8463591819</x:v>
      </x:c>
      <x:c r="M167" s="60" t="n">
        <x:v>8.8912403628</x:v>
      </x:c>
      <x:c r="N167" s="46" t="str">
        <x:v>scorpaenichthys marmoratus</x:v>
      </x:c>
      <x:c r="O167" s="62" t="n">
        <x:v>3.62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Scorpaenichthys marmoratus</x:v>
      </x:c>
      <x:c r="T167" s="62" t="n">
        <x:f>IF(O167="","",(1/'Metadata'!$B$5)^(O167-1))</x:f>
        <x:v>2562.7048371775754</x:v>
      </x:c>
      <x:c r="U167" s="60" t="n">
        <x:f>IF(T167="","",I167*T167)</x:f>
        <x:v>142839.01596586933</x:v>
      </x:c>
    </x:row>
    <x:row r="168" ht="18" customHeight="1">
      <x:c r="A168" s="46" t="str">
        <x:v>LME_003</x:v>
      </x:c>
      <x:c r="B168" s="46" t="str">
        <x:v>California Current</x:v>
      </x:c>
      <x:c r="C168" s="46" t="str">
        <x:v>LME</x:v>
      </x:c>
      <x:c r="D168" s="58" t="n">
        <x:v>2019</x:v>
      </x:c>
      <x:c r="E168" s="46" t="str">
        <x:v>Pandalus</x:v>
      </x:c>
      <x:c r="F168" s="46" t="str">
        <x:v>Seabed shrimps</x:v>
      </x:c>
      <x:c r="G168" s="46" t="str">
        <x:v>Shrimps</x:v>
      </x:c>
      <x:c r="H168" s="46" t="str">
        <x:v>Crustaceans</x:v>
      </x:c>
      <x:c r="I168" s="60" t="n">
        <x:v>55.0702833856</x:v>
      </x:c>
      <x:c r="J168" s="60" t="n">
        <x:v>55.0702833856</x:v>
      </x:c>
      <x:c r="K168" s="60" t="n">
        <x:v>0</x:v>
      </x:c>
      <x:c r="L168" s="60" t="n">
        <x:v>0</x:v>
      </x:c>
      <x:c r="M168" s="60" t="n">
        <x:v>55.0702833856</x:v>
      </x:c>
      <x:c r="N168" s="46" t="str">
        <x:v>pandalus</x:v>
      </x:c>
      <x:c r="O168" s="62" t="n">
        <x:v>2.6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Pandalus</x:v>
      </x:c>
      <x:c r="T168" s="62" t="n">
        <x:f>IF(O168="","",(1/'Metadata'!$B$5)^(O168-1))</x:f>
        <x:v>120.6835267309033</x:v>
      </x:c>
      <x:c r="U168" s="60" t="n">
        <x:f>IF(T168="","",I168*T168)</x:f>
        <x:v>6646.076017044477</x:v>
      </x:c>
    </x:row>
    <x:row r="169" ht="18" customHeight="1">
      <x:c r="A169" s="46" t="str">
        <x:v>LME_003</x:v>
      </x:c>
      <x:c r="B169" s="46" t="str">
        <x:v>California Current</x:v>
      </x:c>
      <x:c r="C169" s="46" t="str">
        <x:v>LME</x:v>
      </x:c>
      <x:c r="D169" s="58" t="n">
        <x:v>2019</x:v>
      </x:c>
      <x:c r="E169" s="46" t="str">
        <x:v>Loliginidae</x:v>
      </x:c>
      <x:c r="F169" s="46" t="str">
        <x:v>Common pencil squids</x:v>
      </x:c>
      <x:c r="G169" s="46" t="str">
        <x:v>Cephalopods</x:v>
      </x:c>
      <x:c r="H169" s="46" t="str">
        <x:v>Other fishes &amp; inverts</x:v>
      </x:c>
      <x:c r="I169" s="60" t="n">
        <x:v>52.0707676862</x:v>
      </x:c>
      <x:c r="J169" s="60" t="n">
        <x:v>52.0707676862</x:v>
      </x:c>
      <x:c r="K169" s="60" t="n">
        <x:v>0</x:v>
      </x:c>
      <x:c r="L169" s="60" t="n">
        <x:v>52.0707676862</x:v>
      </x:c>
      <x:c r="M169" s="60" t="n">
        <x:v>0</x:v>
      </x:c>
      <x:c r="N169" s="46" t="str">
        <x:v>loliginidae</x:v>
      </x:c>
      <x:c r="O169" s="62" t="n">
        <x:v>3.9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Loliginidae</x:v>
      </x:c>
      <x:c r="T169" s="62" t="n">
        <x:f>IF(O169="","",(1/'Metadata'!$B$5)^(O169-1))</x:f>
        <x:v>5929.07559285558</x:v>
      </x:c>
      <x:c r="U169" s="60" t="n">
        <x:f>IF(T169="","",I169*T169)</x:f>
        <x:v>308731.51778950146</x:v>
      </x:c>
    </x:row>
    <x:row r="170" ht="18" customHeight="1">
      <x:c r="A170" s="46" t="str">
        <x:v>LME_003</x:v>
      </x:c>
      <x:c r="B170" s="46" t="str">
        <x:v>California Current</x:v>
      </x:c>
      <x:c r="C170" s="46" t="str">
        <x:v>LME</x:v>
      </x:c>
      <x:c r="D170" s="58" t="n">
        <x:v>2019</x:v>
      </x:c>
      <x:c r="E170" s="46" t="str">
        <x:v>Chondrichthyes</x:v>
      </x:c>
      <x:c r="F170" s="46" t="str">
        <x:v>Sharks, rays, chimaeras</x:v>
      </x:c>
      <x:c r="G170" s="46" t="str">
        <x:v>Large sharks (&gt;=90 cm)</x:v>
      </x:c>
      <x:c r="H170" s="46" t="str">
        <x:v>Sharks &amp; rays</x:v>
      </x:c>
      <x:c r="I170" s="60" t="n">
        <x:v>49.4216195078</x:v>
      </x:c>
      <x:c r="J170" s="60" t="n">
        <x:v>49.4216195078</x:v>
      </x:c>
      <x:c r="K170" s="60" t="n">
        <x:v>0</x:v>
      </x:c>
      <x:c r="L170" s="60" t="n">
        <x:v>49.4216195078</x:v>
      </x:c>
      <x:c r="M170" s="60" t="n">
        <x:v>0</x:v>
      </x:c>
      <x:c r="N170" s="46" t="str">
        <x:v>chondrichthyes</x:v>
      </x:c>
      <x:c r="O170" s="62" t="n">
        <x:v>4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Chondrichthyes</x:v>
      </x:c>
      <x:c r="T170" s="62" t="n">
        <x:f>IF(O170="","",(1/'Metadata'!$B$5)^(O170-1))</x:f>
        <x:v>8000</x:v>
      </x:c>
      <x:c r="U170" s="60" t="n">
        <x:f>IF(T170="","",I170*T170)</x:f>
        <x:v>395372.9560624</x:v>
      </x:c>
    </x:row>
    <x:row r="171" ht="18" customHeight="1">
      <x:c r="A171" s="46" t="str">
        <x:v>LME_003</x:v>
      </x:c>
      <x:c r="B171" s="46" t="str">
        <x:v>California Current</x:v>
      </x:c>
      <x:c r="C171" s="46" t="str">
        <x:v>LME</x:v>
      </x:c>
      <x:c r="D171" s="58" t="n">
        <x:v>2019</x:v>
      </x:c>
      <x:c r="E171" s="46" t="str">
        <x:v>Bodianus pulcher</x:v>
      </x:c>
      <x:c r="F171" s="46" t="str">
        <x:v>California sheephead</x:v>
      </x:c>
      <x:c r="G171" s="46" t="str">
        <x:v>Medium reef assoc. fish (30 - 89 cm)</x:v>
      </x:c>
      <x:c r="H171" s="46" t="str">
        <x:v>Perch-likes</x:v>
      </x:c>
      <x:c r="I171" s="60" t="n">
        <x:v>36.9962759319</x:v>
      </x:c>
      <x:c r="J171" s="60" t="n">
        <x:v>27.0919691872</x:v>
      </x:c>
      <x:c r="K171" s="60" t="n">
        <x:v>9.9043067447</x:v>
      </x:c>
      <x:c r="L171" s="60" t="n">
        <x:v>27.0919691872</x:v>
      </x:c>
      <x:c r="M171" s="60" t="n">
        <x:v>9.9043067447</x:v>
      </x:c>
      <x:c r="N171" s="46" t="str">
        <x:v>bodianus pulcher</x:v>
      </x:c>
      <x:c r="O171" s="62" t="n">
        <x:v>3.56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Bodianus pulcher</x:v>
      </x:c>
      <x:c r="T171" s="62" t="n">
        <x:f>IF(O171="","",(1/'Metadata'!$B$5)^(O171-1))</x:f>
        <x:v>2141.099198485972</x:v>
      </x:c>
      <x:c r="U171" s="60" t="n">
        <x:f>IF(T171="","",I171*T171)</x:f>
        <x:v>79212.69674475695</x:v>
      </x:c>
    </x:row>
    <x:row r="172" ht="18" customHeight="1">
      <x:c r="A172" s="46" t="str">
        <x:v>LME_003</x:v>
      </x:c>
      <x:c r="B172" s="46" t="str">
        <x:v>California Current</x:v>
      </x:c>
      <x:c r="C172" s="46" t="str">
        <x:v>LME</x:v>
      </x:c>
      <x:c r="D172" s="58" t="n">
        <x:v>2019</x:v>
      </x:c>
      <x:c r="E172" s="46" t="str">
        <x:v>Sebastes babcocki</x:v>
      </x:c>
      <x:c r="F172" s="46" t="str">
        <x:v>Redbanded rockfish</x:v>
      </x:c>
      <x:c r="G172" s="46" t="str">
        <x:v>Medium demersals (30 - 89 cm)</x:v>
      </x:c>
      <x:c r="H172" s="46" t="str">
        <x:v>Scorpionfishes</x:v>
      </x:c>
      <x:c r="I172" s="60" t="n">
        <x:v>36.4668671753</x:v>
      </x:c>
      <x:c r="J172" s="60" t="n">
        <x:v>30.9542324956</x:v>
      </x:c>
      <x:c r="K172" s="60" t="n">
        <x:v>5.5126346797</x:v>
      </x:c>
      <x:c r="L172" s="60" t="n">
        <x:v>30.9521053104</x:v>
      </x:c>
      <x:c r="M172" s="60" t="n">
        <x:v>5.5147618649</x:v>
      </x:c>
      <x:c r="N172" s="46" t="str">
        <x:v>sebastes babcocki</x:v>
      </x:c>
      <x:c r="O172" s="62" t="n">
        <x:v>3.82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Sebastes babcocki</x:v>
      </x:c>
      <x:c r="T172" s="62" t="n">
        <x:f>IF(O172="","",(1/'Metadata'!$B$5)^(O172-1))</x:f>
        <x:v>4665.56868948727</x:v>
      </x:c>
      <x:c r="U172" s="60" t="n">
        <x:f>IF(T172="","",I172*T172)</x:f>
        <x:v>170138.67369677077</x:v>
      </x:c>
    </x:row>
    <x:row r="173" ht="18" customHeight="1">
      <x:c r="A173" s="46" t="str">
        <x:v>LME_003</x:v>
      </x:c>
      <x:c r="B173" s="46" t="str">
        <x:v>California Current</x:v>
      </x:c>
      <x:c r="C173" s="46" t="str">
        <x:v>LME</x:v>
      </x:c>
      <x:c r="D173" s="58" t="n">
        <x:v>2019</x:v>
      </x:c>
      <x:c r="E173" s="46" t="str">
        <x:v>Mollusca</x:v>
      </x:c>
      <x:c r="F173" s="46" t="str">
        <x:v>Clams, seasnails, squids, octopuses</x:v>
      </x:c>
      <x:c r="G173" s="46" t="str">
        <x:v>Other demersal invertebrates</x:v>
      </x:c>
      <x:c r="H173" s="46" t="str">
        <x:v>Molluscs</x:v>
      </x:c>
      <x:c r="I173" s="60" t="n">
        <x:v>36.281010994300004</x:v>
      </x:c>
      <x:c r="J173" s="60" t="n">
        <x:v>36.281010994300004</x:v>
      </x:c>
      <x:c r="K173" s="60" t="n">
        <x:v>0</x:v>
      </x:c>
      <x:c r="L173" s="60" t="n">
        <x:v>36.281010994300004</x:v>
      </x:c>
      <x:c r="M173" s="60" t="n">
        <x:v>0</x:v>
      </x:c>
      <x:c r="N173" s="46" t="str">
        <x:v>mollusca</x:v>
      </x:c>
      <x:c r="O173" s="62" t="n">
        <x:v>2.1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Mollusca</x:v>
      </x:c>
      <x:c r="T173" s="62" t="n">
        <x:f>IF(O173="","",(1/'Metadata'!$B$5)^(O173-1))</x:f>
        <x:v>26.985656953471274</x:v>
      </x:c>
      <x:c r="U173" s="60" t="n">
        <x:f>IF(T173="","",I173*T173)</x:f>
        <x:v>979.0669166172996</x:v>
      </x:c>
    </x:row>
    <x:row r="174" ht="18" customHeight="1">
      <x:c r="A174" s="46" t="str">
        <x:v>LME_003</x:v>
      </x:c>
      <x:c r="B174" s="46" t="str">
        <x:v>California Current</x:v>
      </x:c>
      <x:c r="C174" s="46" t="str">
        <x:v>LME</x:v>
      </x:c>
      <x:c r="D174" s="58" t="n">
        <x:v>2019</x:v>
      </x:c>
      <x:c r="E174" s="46" t="str">
        <x:v>Coryphaena</x:v>
      </x:c>
      <x:c r="F174" s="46" t="str">
        <x:v>Dolphinfishes</x:v>
      </x:c>
      <x:c r="G174" s="46" t="str">
        <x:v>Large pelagics (&gt;=90 cm)</x:v>
      </x:c>
      <x:c r="H174" s="46" t="str">
        <x:v>Perch-likes</x:v>
      </x:c>
      <x:c r="I174" s="60" t="n">
        <x:v>36.254368297</x:v>
      </x:c>
      <x:c r="J174" s="60" t="n">
        <x:v>36.254368297</x:v>
      </x:c>
      <x:c r="K174" s="60" t="n">
        <x:v>0</x:v>
      </x:c>
      <x:c r="L174" s="60" t="n">
        <x:v>36.254368297</x:v>
      </x:c>
      <x:c r="M174" s="60" t="n">
        <x:v>0</x:v>
      </x:c>
      <x:c r="N174" s="46" t="str">
        <x:v>coryphaena</x:v>
      </x:c>
      <x:c r="O174" s="62" t="n">
        <x:v>4.49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Coryphaena</x:v>
      </x:c>
      <x:c r="T174" s="62" t="n">
        <x:f>IF(O174="","",(1/'Metadata'!$B$5)^(O174-1))</x:f>
        <x:v>34721.19667768202</x:v>
      </x:c>
      <x:c r="U174" s="60" t="n">
        <x:f>IF(T174="","",I174*T174)</x:f>
        <x:v>1258795.0520652568</x:v>
      </x:c>
    </x:row>
    <x:row r="175" ht="18" customHeight="1">
      <x:c r="A175" s="46" t="str">
        <x:v>LME_003</x:v>
      </x:c>
      <x:c r="B175" s="46" t="str">
        <x:v>California Current</x:v>
      </x:c>
      <x:c r="C175" s="46" t="str">
        <x:v>LME</x:v>
      </x:c>
      <x:c r="D175" s="58" t="n">
        <x:v>2019</x:v>
      </x:c>
      <x:c r="E175" s="46" t="str">
        <x:v>Isurus oxyrinchus</x:v>
      </x:c>
      <x:c r="F175" s="46" t="str">
        <x:v>Shortfin mako</x:v>
      </x:c>
      <x:c r="G175" s="46" t="str">
        <x:v>Large sharks (&gt;=90 cm)</x:v>
      </x:c>
      <x:c r="H175" s="46" t="str">
        <x:v>Sharks &amp; rays</x:v>
      </x:c>
      <x:c r="I175" s="60" t="n">
        <x:v>33.8726109719</x:v>
      </x:c>
      <x:c r="J175" s="60" t="n">
        <x:v>33.8726109719</x:v>
      </x:c>
      <x:c r="K175" s="60" t="n">
        <x:v>0</x:v>
      </x:c>
      <x:c r="L175" s="60" t="n">
        <x:v>33.8227211175</x:v>
      </x:c>
      <x:c r="M175" s="60" t="n">
        <x:v>0.0498898544</x:v>
      </x:c>
      <x:c r="N175" s="46" t="str">
        <x:v>isurus oxyrinchus</x:v>
      </x:c>
      <x:c r="O175" s="62" t="n">
        <x:v>4.5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Isurus oxyrinchus</x:v>
      </x:c>
      <x:c r="T175" s="62" t="n">
        <x:f>IF(O175="","",(1/'Metadata'!$B$5)^(O175-1))</x:f>
        <x:v>35777.08763999664</x:v>
      </x:c>
      <x:c r="U175" s="60" t="n">
        <x:f>IF(T175="","",I175*T175)</x:f>
        <x:v>1211863.371337178</x:v>
      </x:c>
    </x:row>
    <x:row r="176" ht="18" customHeight="1">
      <x:c r="A176" s="46" t="str">
        <x:v>LME_003</x:v>
      </x:c>
      <x:c r="B176" s="46" t="str">
        <x:v>California Current</x:v>
      </x:c>
      <x:c r="C176" s="46" t="str">
        <x:v>LME</x:v>
      </x:c>
      <x:c r="D176" s="58" t="n">
        <x:v>2019</x:v>
      </x:c>
      <x:c r="E176" s="46" t="str">
        <x:v>Sebastes carnatus</x:v>
      </x:c>
      <x:c r="F176" s="46" t="str">
        <x:v>Gopher rockfish</x:v>
      </x:c>
      <x:c r="G176" s="46" t="str">
        <x:v>Medium demersals (30 - 89 cm)</x:v>
      </x:c>
      <x:c r="H176" s="46" t="str">
        <x:v>Scorpionfishes</x:v>
      </x:c>
      <x:c r="I176" s="60" t="n">
        <x:v>32.1720471092</x:v>
      </x:c>
      <x:c r="J176" s="60" t="n">
        <x:v>29.586924706500003</x:v>
      </x:c>
      <x:c r="K176" s="60" t="n">
        <x:v>2.5851224026999997</x:v>
      </x:c>
      <x:c r="L176" s="60" t="n">
        <x:v>29.586924706500003</x:v>
      </x:c>
      <x:c r="M176" s="60" t="n">
        <x:v>2.5851224026999997</x:v>
      </x:c>
      <x:c r="N176" s="46" t="str">
        <x:v>sebastes carnatus</x:v>
      </x:c>
      <x:c r="O176" s="62" t="n">
        <x:v>3.62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Sebastes carnatus</x:v>
      </x:c>
      <x:c r="T176" s="62" t="n">
        <x:f>IF(O176="","",(1/'Metadata'!$B$5)^(O176-1))</x:f>
        <x:v>2562.7048371775754</x:v>
      </x:c>
      <x:c r="U176" s="60" t="n">
        <x:f>IF(T176="","",I176*T176)</x:f>
        <x:v>82447.46074865168</x:v>
      </x:c>
    </x:row>
    <x:row r="177" ht="18" customHeight="1">
      <x:c r="A177" s="46" t="str">
        <x:v>LME_003</x:v>
      </x:c>
      <x:c r="B177" s="46" t="str">
        <x:v>California Current</x:v>
      </x:c>
      <x:c r="C177" s="46" t="str">
        <x:v>LME</x:v>
      </x:c>
      <x:c r="D177" s="58" t="n">
        <x:v>2019</x:v>
      </x:c>
      <x:c r="E177" s="46" t="str">
        <x:v>Sebastes proriger</x:v>
      </x:c>
      <x:c r="F177" s="46" t="str">
        <x:v>Redstripe rockfish</x:v>
      </x:c>
      <x:c r="G177" s="46" t="str">
        <x:v>Medium bathydemersals (30 - 89 cm)</x:v>
      </x:c>
      <x:c r="H177" s="46" t="str">
        <x:v>Scorpionfishes</x:v>
      </x:c>
      <x:c r="I177" s="60" t="n">
        <x:v>30.2737195146</x:v>
      </x:c>
      <x:c r="J177" s="60" t="n">
        <x:v>30.0623795309</x:v>
      </x:c>
      <x:c r="K177" s="60" t="n">
        <x:v>0.2113399837</x:v>
      </x:c>
      <x:c r="L177" s="60" t="n">
        <x:v>30.0188565546</x:v>
      </x:c>
      <x:c r="M177" s="60" t="n">
        <x:v>0.25486296</x:v>
      </x:c>
      <x:c r="N177" s="46" t="str">
        <x:v>sebastes proriger</x:v>
      </x:c>
      <x:c r="O177" s="62" t="n">
        <x:v>3.81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Sebastes proriger</x:v>
      </x:c>
      <x:c r="T177" s="62" t="n">
        <x:f>IF(O177="","",(1/'Metadata'!$B$5)^(O177-1))</x:f>
        <x:v>4527.873529309382</x:v>
      </x:c>
      <x:c r="U177" s="60" t="n">
        <x:f>IF(T177="","",I177*T177)</x:f>
        <x:v>137075.57322389423</x:v>
      </x:c>
    </x:row>
    <x:row r="178" ht="18" customHeight="1">
      <x:c r="A178" s="46" t="str">
        <x:v>LME_003</x:v>
      </x:c>
      <x:c r="B178" s="46" t="str">
        <x:v>California Current</x:v>
      </x:c>
      <x:c r="C178" s="46" t="str">
        <x:v>LME</x:v>
      </x:c>
      <x:c r="D178" s="58" t="n">
        <x:v>2019</x:v>
      </x:c>
      <x:c r="E178" s="46" t="str">
        <x:v>Seriola</x:v>
      </x:c>
      <x:c r="F178" s="46" t="str">
        <x:v>Amberjacks</x:v>
      </x:c>
      <x:c r="G178" s="46" t="str">
        <x:v>Large benthopelagics (&gt;=90 cm)</x:v>
      </x:c>
      <x:c r="H178" s="46" t="str">
        <x:v>Perch-likes</x:v>
      </x:c>
      <x:c r="I178" s="60" t="n">
        <x:v>30.1570543586</x:v>
      </x:c>
      <x:c r="J178" s="60" t="n">
        <x:v>30.1570543586</x:v>
      </x:c>
      <x:c r="K178" s="60" t="n">
        <x:v>0</x:v>
      </x:c>
      <x:c r="L178" s="60" t="n">
        <x:v>22.417750771999998</x:v>
      </x:c>
      <x:c r="M178" s="60" t="n">
        <x:v>7.7393035866</x:v>
      </x:c>
      <x:c r="N178" s="46" t="str">
        <x:v>seriola</x:v>
      </x:c>
      <x:c r="O178" s="62" t="n">
        <x:v>4.39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Seriola</x:v>
      </x:c>
      <x:c r="T178" s="62" t="n">
        <x:f>IF(O178="","",(1/'Metadata'!$B$5)^(O178-1))</x:f>
        <x:v>25733.07497204781</x:v>
      </x:c>
      <x:c r="U178" s="60" t="n">
        <x:f>IF(T178="","",I178*T178)</x:f>
        <x:v>776033.7407459749</x:v>
      </x:c>
    </x:row>
    <x:row r="179" ht="18" customHeight="1">
      <x:c r="A179" s="46" t="str">
        <x:v>LME_003</x:v>
      </x:c>
      <x:c r="B179" s="46" t="str">
        <x:v>California Current</x:v>
      </x:c>
      <x:c r="C179" s="46" t="str">
        <x:v>LME</x:v>
      </x:c>
      <x:c r="D179" s="58" t="n">
        <x:v>2019</x:v>
      </x:c>
      <x:c r="E179" s="46" t="str">
        <x:v>Magallana gigas</x:v>
      </x:c>
      <x:c r="F179" s="46" t="str">
        <x:v>Pacific cupped oyster</x:v>
      </x:c>
      <x:c r="G179" s="46" t="str">
        <x:v>Other demersal invertebrates</x:v>
      </x:c>
      <x:c r="H179" s="46" t="str">
        <x:v>Molluscs</x:v>
      </x:c>
      <x:c r="I179" s="60" t="n">
        <x:v>27.9044848096</x:v>
      </x:c>
      <x:c r="J179" s="60" t="n">
        <x:v>27.9044848096</x:v>
      </x:c>
      <x:c r="K179" s="60" t="n">
        <x:v>0</x:v>
      </x:c>
      <x:c r="L179" s="60" t="n">
        <x:v>0</x:v>
      </x:c>
      <x:c r="M179" s="60" t="n">
        <x:v>27.9044848096</x:v>
      </x:c>
      <x:c r="N179" s="46" t="str">
        <x:v>magallana gigas</x:v>
      </x:c>
      <x:c r="O179" s="62" t="n">
        <x:v>2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Magallana gigas</x:v>
      </x:c>
      <x:c r="T179" s="62" t="n">
        <x:f>IF(O179="","",(1/'Metadata'!$B$5)^(O179-1))</x:f>
        <x:v>20</x:v>
      </x:c>
      <x:c r="U179" s="60" t="n">
        <x:f>IF(T179="","",I179*T179)</x:f>
        <x:v>558.089696192</x:v>
      </x:c>
    </x:row>
    <x:row r="180" ht="18" customHeight="1">
      <x:c r="A180" s="46" t="str">
        <x:v>LME_003</x:v>
      </x:c>
      <x:c r="B180" s="46" t="str">
        <x:v>California Current</x:v>
      </x:c>
      <x:c r="C180" s="46" t="str">
        <x:v>LME</x:v>
      </x:c>
      <x:c r="D180" s="58" t="n">
        <x:v>2019</x:v>
      </x:c>
      <x:c r="E180" s="46" t="str">
        <x:v>Sebastes zacentrus</x:v>
      </x:c>
      <x:c r="F180" s="46" t="str">
        <x:v>Sharpchin rockfish</x:v>
      </x:c>
      <x:c r="G180" s="46" t="str">
        <x:v>Medium bathydemersals (30 - 89 cm)</x:v>
      </x:c>
      <x:c r="H180" s="46" t="str">
        <x:v>Scorpionfishes</x:v>
      </x:c>
      <x:c r="I180" s="60" t="n">
        <x:v>27.3561157672</x:v>
      </x:c>
      <x:c r="J180" s="60" t="n">
        <x:v>26.171173605499998</x:v>
      </x:c>
      <x:c r="K180" s="60" t="n">
        <x:v>1.1849421617</x:v>
      </x:c>
      <x:c r="L180" s="60" t="n">
        <x:v>26.171173605499998</x:v>
      </x:c>
      <x:c r="M180" s="60" t="n">
        <x:v>1.1849421617</x:v>
      </x:c>
      <x:c r="N180" s="46" t="str">
        <x:v>sebastes zacentrus</x:v>
      </x:c>
      <x:c r="O180" s="62" t="n">
        <x:v>3.7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Sebastes zacentrus</x:v>
      </x:c>
      <x:c r="T180" s="62" t="n">
        <x:f>IF(O180="","",(1/'Metadata'!$B$5)^(O180-1))</x:f>
        <x:v>3256.724252295237</x:v>
      </x:c>
      <x:c r="U180" s="60" t="n">
        <x:f>IF(T180="","",I180*T180)</x:f>
        <x:v>89091.32566763635</x:v>
      </x:c>
    </x:row>
    <x:row r="181" ht="18" customHeight="1">
      <x:c r="A181" s="46" t="str">
        <x:v>LME_003</x:v>
      </x:c>
      <x:c r="B181" s="46" t="str">
        <x:v>California Current</x:v>
      </x:c>
      <x:c r="C181" s="46" t="str">
        <x:v>LME</x:v>
      </x:c>
      <x:c r="D181" s="58" t="n">
        <x:v>2019</x:v>
      </x:c>
      <x:c r="E181" s="46" t="str">
        <x:v>Sebastes rufus</x:v>
      </x:c>
      <x:c r="F181" s="46" t="str">
        <x:v>Bank rockfish</x:v>
      </x:c>
      <x:c r="G181" s="46" t="str">
        <x:v>Medium demersals (30 - 89 cm)</x:v>
      </x:c>
      <x:c r="H181" s="46" t="str">
        <x:v>Scorpionfishes</x:v>
      </x:c>
      <x:c r="I181" s="60" t="n">
        <x:v>26.2228123584</x:v>
      </x:c>
      <x:c r="J181" s="60" t="n">
        <x:v>26.2228123584</x:v>
      </x:c>
      <x:c r="K181" s="60" t="n">
        <x:v>0</x:v>
      </x:c>
      <x:c r="L181" s="60" t="n">
        <x:v>26.2228123584</x:v>
      </x:c>
      <x:c r="M181" s="60" t="n">
        <x:v>0</x:v>
      </x:c>
      <x:c r="N181" s="46" t="str">
        <x:v>sebastes rufus</x:v>
      </x:c>
      <x:c r="O181" s="62" t="n">
        <x:v>3.74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Sebastes rufus</x:v>
      </x:c>
      <x:c r="T181" s="62" t="n">
        <x:f>IF(O181="","",(1/'Metadata'!$B$5)^(O181-1))</x:f>
        <x:v>3671.3195599248957</x:v>
      </x:c>
      <x:c r="U181" s="60" t="n">
        <x:f>IF(T181="","",I181*T181)</x:f>
        <x:v>96272.32392763419</x:v>
      </x:c>
    </x:row>
    <x:row r="182" ht="18" customHeight="1">
      <x:c r="A182" s="46" t="str">
        <x:v>LME_003</x:v>
      </x:c>
      <x:c r="B182" s="46" t="str">
        <x:v>California Current</x:v>
      </x:c>
      <x:c r="C182" s="46" t="str">
        <x:v>LME</x:v>
      </x:c>
      <x:c r="D182" s="58" t="n">
        <x:v>2019</x:v>
      </x:c>
      <x:c r="E182" s="46" t="str">
        <x:v>Amphistichus rhodoterus</x:v>
      </x:c>
      <x:c r="F182" s="46" t="str">
        <x:v>Redtail surfperch</x:v>
      </x:c>
      <x:c r="G182" s="46" t="str">
        <x:v>Medium demersals (30 - 89 cm)</x:v>
      </x:c>
      <x:c r="H182" s="46" t="str">
        <x:v>Perch-likes</x:v>
      </x:c>
      <x:c r="I182" s="60" t="n">
        <x:v>25.531372190200003</x:v>
      </x:c>
      <x:c r="J182" s="60" t="n">
        <x:v>20.0488764629</x:v>
      </x:c>
      <x:c r="K182" s="60" t="n">
        <x:v>5.4824957273</x:v>
      </x:c>
      <x:c r="L182" s="60" t="n">
        <x:v>0</x:v>
      </x:c>
      <x:c r="M182" s="60" t="n">
        <x:v>25.531372190200003</x:v>
      </x:c>
      <x:c r="N182" s="46" t="str">
        <x:v>amphistichus rhodoterus</x:v>
      </x:c>
      <x:c r="O182" s="62" t="n">
        <x:v>3.37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Amphistichus rhodoterus</x:v>
      </x:c>
      <x:c r="T182" s="62" t="n">
        <x:f>IF(O182="","",(1/'Metadata'!$B$5)^(O182-1))</x:f>
        <x:v>1211.828298056271</x:v>
      </x:c>
      <x:c r="U182" s="60" t="n">
        <x:f>IF(T182="","",I182*T182)</x:f>
        <x:v>30939.639308291276</x:v>
      </x:c>
    </x:row>
    <x:row r="183" ht="18" customHeight="1">
      <x:c r="A183" s="46" t="str">
        <x:v>LME_003</x:v>
      </x:c>
      <x:c r="B183" s="46" t="str">
        <x:v>California Current</x:v>
      </x:c>
      <x:c r="C183" s="46" t="str">
        <x:v>LME</x:v>
      </x:c>
      <x:c r="D183" s="58" t="n">
        <x:v>2019</x:v>
      </x:c>
      <x:c r="E183" s="46" t="str">
        <x:v>Sebastes aurora</x:v>
      </x:c>
      <x:c r="F183" s="46" t="str">
        <x:v>Aurora rockfish</x:v>
      </x:c>
      <x:c r="G183" s="46" t="str">
        <x:v>Medium bathydemersals (30 - 89 cm)</x:v>
      </x:c>
      <x:c r="H183" s="46" t="str">
        <x:v>Scorpionfishes</x:v>
      </x:c>
      <x:c r="I183" s="60" t="n">
        <x:v>21.6576396834</x:v>
      </x:c>
      <x:c r="J183" s="60" t="n">
        <x:v>21.6576396834</x:v>
      </x:c>
      <x:c r="K183" s="60" t="n">
        <x:v>0</x:v>
      </x:c>
      <x:c r="L183" s="60" t="n">
        <x:v>21.6576396834</x:v>
      </x:c>
      <x:c r="M183" s="60" t="n">
        <x:v>0</x:v>
      </x:c>
      <x:c r="N183" s="46" t="str">
        <x:v>sebastes aurora</x:v>
      </x:c>
      <x:c r="O183" s="62" t="n">
        <x:v>3.68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Sebastes aurora</x:v>
      </x:c>
      <x:c r="T183" s="62" t="n">
        <x:f>IF(O183="","",(1/'Metadata'!$B$5)^(O183-1))</x:f>
        <x:v>3067.3291957408446</x:v>
      </x:c>
      <x:c r="U183" s="60" t="n">
        <x:f>IF(T183="","",I183*T183)</x:f>
        <x:v>66431.11051172832</x:v>
      </x:c>
    </x:row>
    <x:row r="184" ht="18" customHeight="1">
      <x:c r="A184" s="46" t="str">
        <x:v>LME_003</x:v>
      </x:c>
      <x:c r="B184" s="46" t="str">
        <x:v>California Current</x:v>
      </x:c>
      <x:c r="C184" s="46" t="str">
        <x:v>LME</x:v>
      </x:c>
      <x:c r="D184" s="58" t="n">
        <x:v>2019</x:v>
      </x:c>
      <x:c r="E184" s="46" t="str">
        <x:v>Genyonemus lineatus</x:v>
      </x:c>
      <x:c r="F184" s="46" t="str">
        <x:v>White croaker</x:v>
      </x:c>
      <x:c r="G184" s="46" t="str">
        <x:v>Medium benthopelagics (30 - 89 cm)</x:v>
      </x:c>
      <x:c r="H184" s="46" t="str">
        <x:v>Perch-likes</x:v>
      </x:c>
      <x:c r="I184" s="60" t="n">
        <x:v>20.587532659</x:v>
      </x:c>
      <x:c r="J184" s="60" t="n">
        <x:v>19.9387574087</x:v>
      </x:c>
      <x:c r="K184" s="60" t="n">
        <x:v>0.6487752503</x:v>
      </x:c>
      <x:c r="L184" s="60" t="n">
        <x:v>19.3602181047</x:v>
      </x:c>
      <x:c r="M184" s="60" t="n">
        <x:v>1.2273145543</x:v>
      </x:c>
      <x:c r="N184" s="46" t="str">
        <x:v>genyonemus lineatus</x:v>
      </x:c>
      <x:c r="O184" s="62" t="n">
        <x:v>3.43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Genyonemus lineatus</x:v>
      </x:c>
      <x:c r="T184" s="62" t="n">
        <x:f>IF(O184="","",(1/'Metadata'!$B$5)^(O184-1))</x:f>
        <x:v>1450.450424461182</x:v>
      </x:c>
      <x:c r="U184" s="60" t="n">
        <x:f>IF(T184="","",I184*T184)</x:f>
        <x:v>29861.195483854997</x:v>
      </x:c>
    </x:row>
    <x:row r="185" ht="18" customHeight="1">
      <x:c r="A185" s="46" t="str">
        <x:v>LME_003</x:v>
      </x:c>
      <x:c r="B185" s="46" t="str">
        <x:v>California Current</x:v>
      </x:c>
      <x:c r="C185" s="46" t="str">
        <x:v>LME</x:v>
      </x:c>
      <x:c r="D185" s="58" t="n">
        <x:v>2019</x:v>
      </x:c>
      <x:c r="E185" s="46" t="str">
        <x:v>Sebastes reedi</x:v>
      </x:c>
      <x:c r="F185" s="46" t="str">
        <x:v>Yellowmouth rockfish</x:v>
      </x:c>
      <x:c r="G185" s="46" t="str">
        <x:v>Medium bathydemersals (30 - 89 cm)</x:v>
      </x:c>
      <x:c r="H185" s="46" t="str">
        <x:v>Scorpionfishes</x:v>
      </x:c>
      <x:c r="I185" s="60" t="n">
        <x:v>20.122731459</x:v>
      </x:c>
      <x:c r="J185" s="60" t="n">
        <x:v>20.1015399907</x:v>
      </x:c>
      <x:c r="K185" s="60" t="n">
        <x:v>0.0211914683</x:v>
      </x:c>
      <x:c r="L185" s="60" t="n">
        <x:v>20.1015399907</x:v>
      </x:c>
      <x:c r="M185" s="60" t="n">
        <x:v>0.0211914683</x:v>
      </x:c>
      <x:c r="N185" s="46" t="str">
        <x:v>sebastes reedi</x:v>
      </x:c>
      <x:c r="O185" s="62" t="n">
        <x:v>3.88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Sebastes reedi</x:v>
      </x:c>
      <x:c r="T185" s="62" t="n">
        <x:f>IF(O185="","",(1/'Metadata'!$B$5)^(O185-1))</x:f>
        <x:v>5584.269732662554</x:v>
      </x:c>
      <x:c r="U185" s="60" t="n">
        <x:f>IF(T185="","",I185*T185)</x:f>
        <x:v>112370.7602249903</x:v>
      </x:c>
    </x:row>
    <x:row r="186" ht="18" customHeight="1">
      <x:c r="A186" s="46" t="str">
        <x:v>LME_003</x:v>
      </x:c>
      <x:c r="B186" s="46" t="str">
        <x:v>California Current</x:v>
      </x:c>
      <x:c r="C186" s="46" t="str">
        <x:v>LME</x:v>
      </x:c>
      <x:c r="D186" s="58" t="n">
        <x:v>2019</x:v>
      </x:c>
      <x:c r="E186" s="46" t="str">
        <x:v>Myliobatis californica</x:v>
      </x:c>
      <x:c r="F186" s="46" t="str">
        <x:v>Bat eagle ray</x:v>
      </x:c>
      <x:c r="G186" s="46" t="str">
        <x:v>Large rays (&gt;=90 cm)</x:v>
      </x:c>
      <x:c r="H186" s="46" t="str">
        <x:v>Sharks &amp; rays</x:v>
      </x:c>
      <x:c r="I186" s="60" t="n">
        <x:v>19.6953500408</x:v>
      </x:c>
      <x:c r="J186" s="60" t="n">
        <x:v>4.931464638</x:v>
      </x:c>
      <x:c r="K186" s="60" t="n">
        <x:v>14.7638854028</x:v>
      </x:c>
      <x:c r="L186" s="60" t="n">
        <x:v>0</x:v>
      </x:c>
      <x:c r="M186" s="60" t="n">
        <x:v>19.6953500408</x:v>
      </x:c>
      <x:c r="N186" s="46" t="str">
        <x:v>myliobatis californica</x:v>
      </x:c>
      <x:c r="O186" s="62" t="n">
        <x:v>3.24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Myliobatis californica</x:v>
      </x:c>
      <x:c r="T186" s="62" t="n">
        <x:f>IF(O186="","",(1/'Metadata'!$B$5)^(O186-1))</x:f>
        <x:v>820.9320103116679</x:v>
      </x:c>
      <x:c r="U186" s="60" t="n">
        <x:f>IF(T186="","",I186*T186)</x:f>
        <x:v>16168.543302785936</x:v>
      </x:c>
    </x:row>
    <x:row r="187" ht="18" customHeight="1">
      <x:c r="A187" s="46" t="str">
        <x:v>LME_003</x:v>
      </x:c>
      <x:c r="B187" s="46" t="str">
        <x:v>California Current</x:v>
      </x:c>
      <x:c r="C187" s="46" t="str">
        <x:v>LME</x:v>
      </x:c>
      <x:c r="D187" s="58" t="n">
        <x:v>2019</x:v>
      </x:c>
      <x:c r="E187" s="46" t="str">
        <x:v>Sphyraena</x:v>
      </x:c>
      <x:c r="F187" s="46" t="str">
        <x:v>Barracudas, sennets</x:v>
      </x:c>
      <x:c r="G187" s="46" t="str">
        <x:v>Large pelagics (&gt;=90 cm)</x:v>
      </x:c>
      <x:c r="H187" s="46" t="str">
        <x:v>Perch-likes</x:v>
      </x:c>
      <x:c r="I187" s="60" t="n">
        <x:v>18.0193294922</x:v>
      </x:c>
      <x:c r="J187" s="60" t="n">
        <x:v>18.0193294922</x:v>
      </x:c>
      <x:c r="K187" s="60" t="n">
        <x:v>0</x:v>
      </x:c>
      <x:c r="L187" s="60" t="n">
        <x:v>18.0193294922</x:v>
      </x:c>
      <x:c r="M187" s="60" t="n">
        <x:v>0</x:v>
      </x:c>
      <x:c r="N187" s="46" t="str">
        <x:v>sphyraena</x:v>
      </x:c>
      <x:c r="O187" s="62" t="n">
        <x:v>4.4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Sphyraena</x:v>
      </x:c>
      <x:c r="T187" s="62" t="n">
        <x:f>IF(O187="","",(1/'Metadata'!$B$5)^(O187-1))</x:f>
        <x:v>26515.632138719924</x:v>
      </x:c>
      <x:c r="U187" s="60" t="n">
        <x:f>IF(T187="","",I187*T187)</x:f>
        <x:v>477793.9122015621</x:v>
      </x:c>
    </x:row>
    <x:row r="188" ht="18" customHeight="1">
      <x:c r="A188" s="46" t="str">
        <x:v>LME_003</x:v>
      </x:c>
      <x:c r="B188" s="46" t="str">
        <x:v>California Current</x:v>
      </x:c>
      <x:c r="C188" s="46" t="str">
        <x:v>LME</x:v>
      </x:c>
      <x:c r="D188" s="58" t="n">
        <x:v>2019</x:v>
      </x:c>
      <x:c r="E188" s="46" t="str">
        <x:v>Sebastes chrysomelas</x:v>
      </x:c>
      <x:c r="F188" s="46" t="str">
        <x:v>Black-and-yellow rockfish</x:v>
      </x:c>
      <x:c r="G188" s="46" t="str">
        <x:v>Medium demersals (30 - 89 cm)</x:v>
      </x:c>
      <x:c r="H188" s="46" t="str">
        <x:v>Scorpionfishes</x:v>
      </x:c>
      <x:c r="I188" s="60" t="n">
        <x:v>17.3706445262</x:v>
      </x:c>
      <x:c r="J188" s="60" t="n">
        <x:v>17.0179322106</x:v>
      </x:c>
      <x:c r="K188" s="60" t="n">
        <x:v>0.3527123156</x:v>
      </x:c>
      <x:c r="L188" s="60" t="n">
        <x:v>17.0159382854</x:v>
      </x:c>
      <x:c r="M188" s="60" t="n">
        <x:v>0.3547062408</x:v>
      </x:c>
      <x:c r="N188" s="46" t="str">
        <x:v>sebastes chrysomelas</x:v>
      </x:c>
      <x:c r="O188" s="62" t="n">
        <x:v>3.47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Sebastes chrysomelas</x:v>
      </x:c>
      <x:c r="T188" s="62" t="n">
        <x:f>IF(O188="","",(1/'Metadata'!$B$5)^(O188-1))</x:f>
        <x:v>1635.0991368927735</x:v>
      </x:c>
      <x:c r="U188" s="60" t="n">
        <x:f>IF(T188="","",I188*T188)</x:f>
        <x:v>28402.7258720608</x:v>
      </x:c>
    </x:row>
    <x:row r="189" ht="18" customHeight="1">
      <x:c r="A189" s="46" t="str">
        <x:v>LME_003</x:v>
      </x:c>
      <x:c r="B189" s="46" t="str">
        <x:v>California Current</x:v>
      </x:c>
      <x:c r="C189" s="46" t="str">
        <x:v>LME</x:v>
      </x:c>
      <x:c r="D189" s="58" t="n">
        <x:v>2019</x:v>
      </x:c>
      <x:c r="E189" s="46" t="str">
        <x:v>Sebastes elongatus</x:v>
      </x:c>
      <x:c r="F189" s="46" t="str">
        <x:v>Greenstriped rockfish</x:v>
      </x:c>
      <x:c r="G189" s="46" t="str">
        <x:v>Medium demersals (30 - 89 cm)</x:v>
      </x:c>
      <x:c r="H189" s="46" t="str">
        <x:v>Scorpionfishes</x:v>
      </x:c>
      <x:c r="I189" s="60" t="n">
        <x:v>16.7000341736</x:v>
      </x:c>
      <x:c r="J189" s="60" t="n">
        <x:v>13.075335651</x:v>
      </x:c>
      <x:c r="K189" s="60" t="n">
        <x:v>3.6246985225999997</x:v>
      </x:c>
      <x:c r="L189" s="60" t="n">
        <x:v>12.9951951605</x:v>
      </x:c>
      <x:c r="M189" s="60" t="n">
        <x:v>3.7048390131</x:v>
      </x:c>
      <x:c r="N189" s="46" t="str">
        <x:v>sebastes elongatus</x:v>
      </x:c>
      <x:c r="O189" s="62" t="n">
        <x:v>3.7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Sebastes elongatus</x:v>
      </x:c>
      <x:c r="T189" s="62" t="n">
        <x:f>IF(O189="","",(1/'Metadata'!$B$5)^(O189-1))</x:f>
        <x:v>3256.724252295237</x:v>
      </x:c>
      <x:c r="U189" s="60" t="n">
        <x:f>IF(T189="","",I189*T189)</x:f>
        <x:v>54387.40630732236</x:v>
      </x:c>
    </x:row>
    <x:row r="190" ht="18" customHeight="1">
      <x:c r="A190" s="46" t="str">
        <x:v>LME_003</x:v>
      </x:c>
      <x:c r="B190" s="46" t="str">
        <x:v>California Current</x:v>
      </x:c>
      <x:c r="C190" s="46" t="str">
        <x:v>LME</x:v>
      </x:c>
      <x:c r="D190" s="58" t="n">
        <x:v>2019</x:v>
      </x:c>
      <x:c r="E190" s="46" t="str">
        <x:v>Sebastes auriculatus</x:v>
      </x:c>
      <x:c r="F190" s="46" t="str">
        <x:v>Brown rockfish</x:v>
      </x:c>
      <x:c r="G190" s="46" t="str">
        <x:v>Medium demersals (30 - 89 cm)</x:v>
      </x:c>
      <x:c r="H190" s="46" t="str">
        <x:v>Scorpionfishes</x:v>
      </x:c>
      <x:c r="I190" s="60" t="n">
        <x:v>16.3052126319</x:v>
      </x:c>
      <x:c r="J190" s="60" t="n">
        <x:v>15.2844166046</x:v>
      </x:c>
      <x:c r="K190" s="60" t="n">
        <x:v>1.0207960273</x:v>
      </x:c>
      <x:c r="L190" s="60" t="n">
        <x:v>15.275514083300001</x:v>
      </x:c>
      <x:c r="M190" s="60" t="n">
        <x:v>1.0296985485999999</x:v>
      </x:c>
      <x:c r="N190" s="46" t="str">
        <x:v>sebastes auriculatus</x:v>
      </x:c>
      <x:c r="O190" s="62" t="n">
        <x:v>4.03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Sebastes auriculatus</x:v>
      </x:c>
      <x:c r="T190" s="62" t="n">
        <x:f>IF(O190="","",(1/'Metadata'!$B$5)^(O190-1))</x:f>
        <x:v>8752.273628615554</x:v>
      </x:c>
      <x:c r="U190" s="60" t="n">
        <x:f>IF(T190="","",I190*T190)</x:f>
        <x:v>142707.68252714758</x:v>
      </x:c>
    </x:row>
    <x:row r="191" ht="18" customHeight="1">
      <x:c r="A191" s="46" t="str">
        <x:v>LME_003</x:v>
      </x:c>
      <x:c r="B191" s="46" t="str">
        <x:v>California Current</x:v>
      </x:c>
      <x:c r="C191" s="46" t="str">
        <x:v>LME</x:v>
      </x:c>
      <x:c r="D191" s="58" t="n">
        <x:v>2019</x:v>
      </x:c>
      <x:c r="E191" s="46" t="str">
        <x:v>Gadus chalcogrammus</x:v>
      </x:c>
      <x:c r="F191" s="46" t="str">
        <x:v>Alaska pollock</x:v>
      </x:c>
      <x:c r="G191" s="46" t="str">
        <x:v>Medium benthopelagics (30 - 89 cm)</x:v>
      </x:c>
      <x:c r="H191" s="46" t="str">
        <x:v>Cod-likes</x:v>
      </x:c>
      <x:c r="I191" s="60" t="n">
        <x:v>15.493501294599998</x:v>
      </x:c>
      <x:c r="J191" s="60" t="n">
        <x:v>15.435630546299999</x:v>
      </x:c>
      <x:c r="K191" s="60" t="n">
        <x:v>0.0578707483</x:v>
      </x:c>
      <x:c r="L191" s="60" t="n">
        <x:v>15.435630546299999</x:v>
      </x:c>
      <x:c r="M191" s="60" t="n">
        <x:v>0.0578707483</x:v>
      </x:c>
      <x:c r="N191" s="46" t="str">
        <x:v>gadus chalcogrammus</x:v>
      </x:c>
      <x:c r="O191" s="62" t="n">
        <x:v>3.57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Gadus chalcogrammus</x:v>
      </x:c>
      <x:c r="T191" s="62" t="n">
        <x:f>IF(O191="","",(1/'Metadata'!$B$5)^(O191-1))</x:f>
        <x:v>2206.2112196552644</x:v>
      </x:c>
      <x:c r="U191" s="60" t="n">
        <x:f>IF(T191="","",I191*T191)</x:f>
        <x:v>34181.93638788988</x:v>
      </x:c>
    </x:row>
    <x:row r="192" ht="18" customHeight="1">
      <x:c r="A192" s="46" t="str">
        <x:v>LME_003</x:v>
      </x:c>
      <x:c r="B192" s="46" t="str">
        <x:v>California Current</x:v>
      </x:c>
      <x:c r="C192" s="46" t="str">
        <x:v>LME</x:v>
      </x:c>
      <x:c r="D192" s="58" t="n">
        <x:v>2019</x:v>
      </x:c>
      <x:c r="E192" s="46" t="str">
        <x:v>Seriola lalandi</x:v>
      </x:c>
      <x:c r="F192" s="46" t="str">
        <x:v>Yellowtail amberjack</x:v>
      </x:c>
      <x:c r="G192" s="46" t="str">
        <x:v>Large benthopelagics (&gt;=90 cm)</x:v>
      </x:c>
      <x:c r="H192" s="46" t="str">
        <x:v>Perch-likes</x:v>
      </x:c>
      <x:c r="I192" s="60" t="n">
        <x:v>13.6125592461</x:v>
      </x:c>
      <x:c r="J192" s="60" t="n">
        <x:v>11.9482271945</x:v>
      </x:c>
      <x:c r="K192" s="60" t="n">
        <x:v>1.6643320516</x:v>
      </x:c>
      <x:c r="L192" s="60" t="n">
        <x:v>11.9482271945</x:v>
      </x:c>
      <x:c r="M192" s="60" t="n">
        <x:v>1.6643320516</x:v>
      </x:c>
      <x:c r="N192" s="46" t="str">
        <x:v>seriola lalandi</x:v>
      </x:c>
      <x:c r="O192" s="62" t="n">
        <x:v>4.16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Seriola lalandi</x:v>
      </x:c>
      <x:c r="T192" s="62" t="n">
        <x:f>IF(O192="","",(1/'Metadata'!$B$5)^(O192-1))</x:f>
        <x:v>12919.77011769987</x:v>
      </x:c>
      <x:c r="U192" s="60" t="n">
        <x:f>IF(T192="","",I192*T192)</x:f>
        <x:v>175871.13617318185</x:v>
      </x:c>
    </x:row>
    <x:row r="193" ht="18" customHeight="1">
      <x:c r="A193" s="46" t="str">
        <x:v>LME_003</x:v>
      </x:c>
      <x:c r="B193" s="46" t="str">
        <x:v>California Current</x:v>
      </x:c>
      <x:c r="C193" s="46" t="str">
        <x:v>LME</x:v>
      </x:c>
      <x:c r="D193" s="58" t="n">
        <x:v>2019</x:v>
      </x:c>
      <x:c r="E193" s="46" t="str">
        <x:v>Haliotis corrugata</x:v>
      </x:c>
      <x:c r="F193" s="46" t="str">
        <x:v>Pink abalone</x:v>
      </x:c>
      <x:c r="G193" s="46" t="str">
        <x:v>Other demersal invertebrates</x:v>
      </x:c>
      <x:c r="H193" s="46" t="str">
        <x:v>Molluscs</x:v>
      </x:c>
      <x:c r="I193" s="60" t="n">
        <x:v>13.4750812164</x:v>
      </x:c>
      <x:c r="J193" s="60" t="n">
        <x:v>13.4750812164</x:v>
      </x:c>
      <x:c r="K193" s="60" t="n">
        <x:v>0</x:v>
      </x:c>
      <x:c r="L193" s="60" t="n">
        <x:v>0</x:v>
      </x:c>
      <x:c r="M193" s="60" t="n">
        <x:v>13.4750812164</x:v>
      </x:c>
      <x:c r="N193" s="46" t="str">
        <x:v>haliotis corrugata</x:v>
      </x:c>
      <x:c r="O193" s="62" t="n">
        <x:v>2</x:v>
      </x:c>
      <x:c r="P193" s="46" t="str">
        <x:v>exact_sea_around_us</x:v>
      </x:c>
      <x:c r="Q193" s="62" t="str">
        <x:v>Sea Around Us exploited organisms</x:v>
      </x:c>
      <x:c r="R193" s="46" t="str">
        <x:v>high</x:v>
      </x:c>
      <x:c r="S193" s="46" t="str">
        <x:v>Haliotis corrugata</x:v>
      </x:c>
      <x:c r="T193" s="62" t="n">
        <x:f>IF(O193="","",(1/'Metadata'!$B$5)^(O193-1))</x:f>
        <x:v>20</x:v>
      </x:c>
      <x:c r="U193" s="60" t="n">
        <x:f>IF(T193="","",I193*T193)</x:f>
        <x:v>269.501624328</x:v>
      </x:c>
    </x:row>
    <x:row r="194" ht="18" customHeight="1">
      <x:c r="A194" s="46" t="str">
        <x:v>LME_003</x:v>
      </x:c>
      <x:c r="B194" s="46" t="str">
        <x:v>California Current</x:v>
      </x:c>
      <x:c r="C194" s="46" t="str">
        <x:v>LME</x:v>
      </x:c>
      <x:c r="D194" s="58" t="n">
        <x:v>2019</x:v>
      </x:c>
      <x:c r="E194" s="46" t="str">
        <x:v>Galeorhinus galeus</x:v>
      </x:c>
      <x:c r="F194" s="46" t="str">
        <x:v>Tope shark</x:v>
      </x:c>
      <x:c r="G194" s="46" t="str">
        <x:v>Large sharks (&gt;=90 cm)</x:v>
      </x:c>
      <x:c r="H194" s="46" t="str">
        <x:v>Sharks &amp; rays</x:v>
      </x:c>
      <x:c r="I194" s="60" t="n">
        <x:v>11.7086425189</x:v>
      </x:c>
      <x:c r="J194" s="60" t="n">
        <x:v>10.2989453653</x:v>
      </x:c>
      <x:c r="K194" s="60" t="n">
        <x:v>1.4096971536</x:v>
      </x:c>
      <x:c r="L194" s="60" t="n">
        <x:v>10.2849252115</x:v>
      </x:c>
      <x:c r="M194" s="60" t="n">
        <x:v>1.4237173074</x:v>
      </x:c>
      <x:c r="N194" s="46" t="str">
        <x:v>galeorhinus galeus</x:v>
      </x:c>
      <x:c r="O194" s="62" t="n">
        <x:v>4.34</x:v>
      </x:c>
      <x:c r="P194" s="46" t="str">
        <x:v>exact_2020_supplement</x:v>
      </x:c>
      <x:c r="Q194" s="62" t="str">
        <x:v>2020 supplement MeanTL</x:v>
      </x:c>
      <x:c r="R194" s="46" t="str">
        <x:v>high</x:v>
      </x:c>
      <x:c r="S194" s="46" t="str">
        <x:v>Galeorhinus galeus</x:v>
      </x:c>
      <x:c r="T194" s="62" t="n">
        <x:f>IF(O194="","",(1/'Metadata'!$B$5)^(O194-1))</x:f>
        <x:v>22153.389612394185</x:v>
      </x:c>
      <x:c r="U194" s="60" t="n">
        <x:f>IF(T194="","",I194*T194)</x:f>
        <x:v>259386.11955343615</x:v>
      </x:c>
    </x:row>
    <x:row r="195" ht="18" customHeight="1">
      <x:c r="A195" s="46" t="str">
        <x:v>LME_003</x:v>
      </x:c>
      <x:c r="B195" s="46" t="str">
        <x:v>California Current</x:v>
      </x:c>
      <x:c r="C195" s="46" t="str">
        <x:v>LME</x:v>
      </x:c>
      <x:c r="D195" s="58" t="n">
        <x:v>2019</x:v>
      </x:c>
      <x:c r="E195" s="46" t="str">
        <x:v>Hexagrammidae</x:v>
      </x:c>
      <x:c r="F195" s="46" t="str">
        <x:v>Greenlings</x:v>
      </x:c>
      <x:c r="G195" s="46" t="str">
        <x:v>Medium demersals (30 - 89 cm)</x:v>
      </x:c>
      <x:c r="H195" s="46" t="str">
        <x:v>Scorpionfishes</x:v>
      </x:c>
      <x:c r="I195" s="60" t="n">
        <x:v>11.501742663500002</x:v>
      </x:c>
      <x:c r="J195" s="60" t="n">
        <x:v>10.6652358736</x:v>
      </x:c>
      <x:c r="K195" s="60" t="n">
        <x:v>0.8365067898999999</x:v>
      </x:c>
      <x:c r="L195" s="60" t="n">
        <x:v>10.5565244794</x:v>
      </x:c>
      <x:c r="M195" s="60" t="n">
        <x:v>0.9452181840999999</x:v>
      </x:c>
      <x:c r="N195" s="46" t="str">
        <x:v>hexagrammidae</x:v>
      </x:c>
      <x:c r="O195" s="62" t="n">
        <x:v>3.72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Hexagrammidae</x:v>
      </x:c>
      <x:c r="T195" s="62" t="n">
        <x:f>IF(O195="","",(1/'Metadata'!$B$5)^(O195-1))</x:f>
        <x:v>3457.8136804537753</x:v>
      </x:c>
      <x:c r="U195" s="60" t="n">
        <x:f>IF(T195="","",I195*T195)</x:f>
        <x:v>39770.88313090915</x:v>
      </x:c>
    </x:row>
    <x:row r="196" ht="18" customHeight="1">
      <x:c r="A196" s="46" t="str">
        <x:v>LME_003</x:v>
      </x:c>
      <x:c r="B196" s="46" t="str">
        <x:v>California Current</x:v>
      </x:c>
      <x:c r="C196" s="46" t="str">
        <x:v>LME</x:v>
      </x:c>
      <x:c r="D196" s="58" t="n">
        <x:v>2019</x:v>
      </x:c>
      <x:c r="E196" s="46" t="str">
        <x:v>Platichthys stellatus</x:v>
      </x:c>
      <x:c r="F196" s="46" t="str">
        <x:v>Starry flounder</x:v>
      </x:c>
      <x:c r="G196" s="46" t="str">
        <x:v>Small to medium flatfishes (&lt;90 cm)</x:v>
      </x:c>
      <x:c r="H196" s="46" t="str">
        <x:v>Flatfishes</x:v>
      </x:c>
      <x:c r="I196" s="60" t="n">
        <x:v>11.045221223</x:v>
      </x:c>
      <x:c r="J196" s="60" t="n">
        <x:v>9.3158720841</x:v>
      </x:c>
      <x:c r="K196" s="60" t="n">
        <x:v>1.7293491389</x:v>
      </x:c>
      <x:c r="L196" s="60" t="n">
        <x:v>9.1192007472</x:v>
      </x:c>
      <x:c r="M196" s="60" t="n">
        <x:v>1.9260204758</x:v>
      </x:c>
      <x:c r="N196" s="46" t="str">
        <x:v>platichthys stellatus</x:v>
      </x:c>
      <x:c r="O196" s="62" t="n">
        <x:v>3.58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Platichthys stellatus</x:v>
      </x:c>
      <x:c r="T196" s="62" t="n">
        <x:f>IF(O196="","",(1/'Metadata'!$B$5)^(O196-1))</x:f>
        <x:v>2273.3033337150473</x:v>
      </x:c>
      <x:c r="U196" s="60" t="n">
        <x:f>IF(T196="","",I196*T196)</x:f>
        <x:v>25109.138227866093</x:v>
      </x:c>
    </x:row>
    <x:row r="197" ht="18" customHeight="1">
      <x:c r="A197" s="46" t="str">
        <x:v>LME_003</x:v>
      </x:c>
      <x:c r="B197" s="46" t="str">
        <x:v>California Current</x:v>
      </x:c>
      <x:c r="C197" s="46" t="str">
        <x:v>LME</x:v>
      </x:c>
      <x:c r="D197" s="58" t="n">
        <x:v>2019</x:v>
      </x:c>
      <x:c r="E197" s="46" t="str">
        <x:v>Sebastes rastrelliger</x:v>
      </x:c>
      <x:c r="F197" s="46" t="str">
        <x:v>Grass rockfish</x:v>
      </x:c>
      <x:c r="G197" s="46" t="str">
        <x:v>Medium demersals (30 - 89 cm)</x:v>
      </x:c>
      <x:c r="H197" s="46" t="str">
        <x:v>Scorpionfishes</x:v>
      </x:c>
      <x:c r="I197" s="60" t="n">
        <x:v>10.8899721939</x:v>
      </x:c>
      <x:c r="J197" s="60" t="n">
        <x:v>10.6421287449</x:v>
      </x:c>
      <x:c r="K197" s="60" t="n">
        <x:v>0.24784344900000002</x:v>
      </x:c>
      <x:c r="L197" s="60" t="n">
        <x:v>10.6242384565</x:v>
      </x:c>
      <x:c r="M197" s="60" t="n">
        <x:v>0.2657337374</x:v>
      </x:c>
      <x:c r="N197" s="46" t="str">
        <x:v>sebastes rastrelliger</x:v>
      </x:c>
      <x:c r="O197" s="62" t="n">
        <x:v>3.87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Sebastes rastrelliger</x:v>
      </x:c>
      <x:c r="T197" s="62" t="n">
        <x:f>IF(O197="","",(1/'Metadata'!$B$5)^(O197-1))</x:f>
        <x:v>5419.460903023396</x:v>
      </x:c>
      <x:c r="U197" s="60" t="n">
        <x:f>IF(T197="","",I197*T197)</x:f>
        <x:v>59017.77853985297</x:v>
      </x:c>
    </x:row>
    <x:row r="198" ht="18" customHeight="1">
      <x:c r="A198" s="46" t="str">
        <x:v>LME_003</x:v>
      </x:c>
      <x:c r="B198" s="46" t="str">
        <x:v>California Current</x:v>
      </x:c>
      <x:c r="C198" s="46" t="str">
        <x:v>LME</x:v>
      </x:c>
      <x:c r="D198" s="58" t="n">
        <x:v>2019</x:v>
      </x:c>
      <x:c r="E198" s="46" t="str">
        <x:v>Clupeidae</x:v>
      </x:c>
      <x:c r="F198" s="46" t="str">
        <x:v>Herrings, sardines, menhadens</x:v>
      </x:c>
      <x:c r="G198" s="46" t="str">
        <x:v>Small pelagics (&lt;30 cm)</x:v>
      </x:c>
      <x:c r="H198" s="46" t="str">
        <x:v>Herring-likes</x:v>
      </x:c>
      <x:c r="I198" s="60" t="n">
        <x:v>10.5770383332</x:v>
      </x:c>
      <x:c r="J198" s="60" t="n">
        <x:v>10.5770383332</x:v>
      </x:c>
      <x:c r="K198" s="60" t="n">
        <x:v>0</x:v>
      </x:c>
      <x:c r="L198" s="60" t="n">
        <x:v>0</x:v>
      </x:c>
      <x:c r="M198" s="60" t="n">
        <x:v>10.5770383332</x:v>
      </x:c>
      <x:c r="N198" s="46" t="str">
        <x:v>clupeidae</x:v>
      </x:c>
      <x:c r="O198" s="62" t="n">
        <x:v>3.16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Clupeidae</x:v>
      </x:c>
      <x:c r="T198" s="62" t="n">
        <x:f>IF(O198="","",(1/'Metadata'!$B$5)^(O198-1))</x:f>
        <x:v>645.9885058849935</x:v>
      </x:c>
      <x:c r="U198" s="60" t="n">
        <x:f>IF(T198="","",I198*T198)</x:f>
        <x:v>6832.64518955217</x:v>
      </x:c>
    </x:row>
    <x:row r="199" ht="18" customHeight="1">
      <x:c r="A199" s="46" t="str">
        <x:v>LME_003</x:v>
      </x:c>
      <x:c r="B199" s="46" t="str">
        <x:v>California Current</x:v>
      </x:c>
      <x:c r="C199" s="46" t="str">
        <x:v>LME</x:v>
      </x:c>
      <x:c r="D199" s="58" t="n">
        <x:v>2019</x:v>
      </x:c>
      <x:c r="E199" s="46" t="str">
        <x:v>Sebastes saxicola</x:v>
      </x:c>
      <x:c r="F199" s="46" t="str">
        <x:v>Stripetail rockfish</x:v>
      </x:c>
      <x:c r="G199" s="46" t="str">
        <x:v>Medium demersals (30 - 89 cm)</x:v>
      </x:c>
      <x:c r="H199" s="46" t="str">
        <x:v>Scorpionfishes</x:v>
      </x:c>
      <x:c r="I199" s="60" t="n">
        <x:v>9.7316783204</x:v>
      </x:c>
      <x:c r="J199" s="60" t="n">
        <x:v>5.6887710487</x:v>
      </x:c>
      <x:c r="K199" s="60" t="n">
        <x:v>4.0429072717</x:v>
      </x:c>
      <x:c r="L199" s="60" t="n">
        <x:v>5.6887710487</x:v>
      </x:c>
      <x:c r="M199" s="60" t="n">
        <x:v>4.0429072717</x:v>
      </x:c>
      <x:c r="N199" s="46" t="str">
        <x:v>sebastes saxicola</x:v>
      </x:c>
      <x:c r="O199" s="62" t="n">
        <x:v>3.7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Sebastes saxicola</x:v>
      </x:c>
      <x:c r="T199" s="62" t="n">
        <x:f>IF(O199="","",(1/'Metadata'!$B$5)^(O199-1))</x:f>
        <x:v>3256.724252295237</x:v>
      </x:c>
      <x:c r="U199" s="60" t="n">
        <x:f>IF(T199="","",I199*T199)</x:f>
        <x:v>31693.39280158246</x:v>
      </x:c>
    </x:row>
    <x:row r="200" ht="18" customHeight="1">
      <x:c r="A200" s="46" t="str">
        <x:v>LME_003</x:v>
      </x:c>
      <x:c r="B200" s="46" t="str">
        <x:v>California Current</x:v>
      </x:c>
      <x:c r="C200" s="46" t="str">
        <x:v>LME</x:v>
      </x:c>
      <x:c r="D200" s="58" t="n">
        <x:v>2019</x:v>
      </x:c>
      <x:c r="E200" s="46" t="str">
        <x:v>Oncorhynchus</x:v>
      </x:c>
      <x:c r="F200" s="46" t="str">
        <x:v>Salmons, trouts</x:v>
      </x:c>
      <x:c r="G200" s="46" t="str">
        <x:v>Large benthopelagics (&gt;=90 cm)</x:v>
      </x:c>
      <x:c r="H200" s="46" t="str">
        <x:v>Salmon, smelts, etc</x:v>
      </x:c>
      <x:c r="I200" s="60" t="n">
        <x:v>8.8422970551</x:v>
      </x:c>
      <x:c r="J200" s="60" t="n">
        <x:v>8.8422970551</x:v>
      </x:c>
      <x:c r="K200" s="60" t="n">
        <x:v>0</x:v>
      </x:c>
      <x:c r="L200" s="60" t="n">
        <x:v>8.8422970551</x:v>
      </x:c>
      <x:c r="M200" s="60" t="n">
        <x:v>0</x:v>
      </x:c>
      <x:c r="N200" s="46" t="str">
        <x:v>oncorhynchus</x:v>
      </x:c>
      <x:c r="O200" s="62" t="n">
        <x:v>3.95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Oncorhynchus</x:v>
      </x:c>
      <x:c r="T200" s="62" t="n">
        <x:f>IF(O200="","",(1/'Metadata'!$B$5)^(O200-1))</x:f>
        <x:v>6887.133274653882</x:v>
      </x:c>
      <x:c r="U200" s="60" t="n">
        <x:f>IF(T200="","",I200*T200)</x:f>
        <x:v>60898.07827255323</x:v>
      </x:c>
    </x:row>
    <x:row r="201" ht="18" customHeight="1">
      <x:c r="A201" s="46" t="str">
        <x:v>LME_003</x:v>
      </x:c>
      <x:c r="B201" s="46" t="str">
        <x:v>California Current</x:v>
      </x:c>
      <x:c r="C201" s="46" t="str">
        <x:v>LME</x:v>
      </x:c>
      <x:c r="D201" s="58" t="n">
        <x:v>2019</x:v>
      </x:c>
      <x:c r="E201" s="46" t="str">
        <x:v>Sebastes chlorostictus</x:v>
      </x:c>
      <x:c r="F201" s="46" t="str">
        <x:v>Greenspotted rockfish</x:v>
      </x:c>
      <x:c r="G201" s="46" t="str">
        <x:v>Medium demersals (30 - 89 cm)</x:v>
      </x:c>
      <x:c r="H201" s="46" t="str">
        <x:v>Scorpionfishes</x:v>
      </x:c>
      <x:c r="I201" s="60" t="n">
        <x:v>8.2069399044</x:v>
      </x:c>
      <x:c r="J201" s="60" t="n">
        <x:v>7.5041611246</x:v>
      </x:c>
      <x:c r="K201" s="60" t="n">
        <x:v>0.7027787798</x:v>
      </x:c>
      <x:c r="L201" s="60" t="n">
        <x:v>5.1775486544</x:v>
      </x:c>
      <x:c r="M201" s="60" t="n">
        <x:v>3.02939125</x:v>
      </x:c>
      <x:c r="N201" s="46" t="str">
        <x:v>sebastes chlorostictus</x:v>
      </x:c>
      <x:c r="O201" s="62" t="n">
        <x:v>3.46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Sebastes chlorostictus</x:v>
      </x:c>
      <x:c r="T201" s="62" t="n">
        <x:f>IF(O201="","",(1/'Metadata'!$B$5)^(O201-1))</x:f>
        <x:v>1586.8423749532276</x:v>
      </x:c>
      <x:c r="U201" s="60" t="n">
        <x:f>IF(T201="","",I201*T201)</x:f>
        <x:v>13023.120008996511</x:v>
      </x:c>
    </x:row>
    <x:row r="202" ht="18" customHeight="1">
      <x:c r="A202" s="46" t="str">
        <x:v>LME_003</x:v>
      </x:c>
      <x:c r="B202" s="46" t="str">
        <x:v>California Current</x:v>
      </x:c>
      <x:c r="C202" s="46" t="str">
        <x:v>LME</x:v>
      </x:c>
      <x:c r="D202" s="58" t="n">
        <x:v>2019</x:v>
      </x:c>
      <x:c r="E202" s="46" t="str">
        <x:v>Galeocerdo cuvier</x:v>
      </x:c>
      <x:c r="F202" s="46" t="str">
        <x:v>Tiger shark</x:v>
      </x:c>
      <x:c r="G202" s="46" t="str">
        <x:v>Large sharks (&gt;=90 cm)</x:v>
      </x:c>
      <x:c r="H202" s="46" t="str">
        <x:v>Sharks &amp; rays</x:v>
      </x:c>
      <x:c r="I202" s="60" t="n">
        <x:v>7.1849178209</x:v>
      </x:c>
      <x:c r="J202" s="60" t="n">
        <x:v>7.1849178209</x:v>
      </x:c>
      <x:c r="K202" s="60" t="n">
        <x:v>0</x:v>
      </x:c>
      <x:c r="L202" s="60" t="n">
        <x:v>5.15051111</x:v>
      </x:c>
      <x:c r="M202" s="60" t="n">
        <x:v>2.0344067109</x:v>
      </x:c>
      <x:c r="N202" s="46" t="str">
        <x:v>galeocerdo cuvier</x:v>
      </x:c>
      <x:c r="O202" s="62" t="n">
        <x:v>4.54</x:v>
      </x:c>
      <x:c r="P202" s="46" t="str">
        <x:v>exact_2020_supplement</x:v>
      </x:c>
      <x:c r="Q202" s="62" t="str">
        <x:v>2020 supplement MeanTL</x:v>
      </x:c>
      <x:c r="R202" s="46" t="str">
        <x:v>high</x:v>
      </x:c>
      <x:c r="S202" s="46" t="str">
        <x:v>Galeocerdo cuvier</x:v>
      </x:c>
      <x:c r="T202" s="62" t="n">
        <x:f>IF(O202="","",(1/'Metadata'!$B$5)^(O202-1))</x:f>
        <x:v>40331.66810401469</x:v>
      </x:c>
      <x:c r="U202" s="60" t="n">
        <x:f>IF(T202="","",I202*T202)</x:f>
        <x:v>289779.72090715927</x:v>
      </x:c>
    </x:row>
    <x:row r="203" ht="18" customHeight="1">
      <x:c r="A203" s="46" t="str">
        <x:v>LME_003</x:v>
      </x:c>
      <x:c r="B203" s="46" t="str">
        <x:v>California Current</x:v>
      </x:c>
      <x:c r="C203" s="46" t="str">
        <x:v>LME</x:v>
      </x:c>
      <x:c r="D203" s="58" t="n">
        <x:v>2019</x:v>
      </x:c>
      <x:c r="E203" s="46" t="str">
        <x:v>Marine pelagic fishes not identified</x:v>
      </x:c>
      <x:c r="F203" s="46" t="str">
        <x:v>Pelagic fishes</x:v>
      </x:c>
      <x:c r="G203" s="46" t="str">
        <x:v>Medium pelagics (30 - 89 cm)</x:v>
      </x:c>
      <x:c r="H203" s="46" t="str">
        <x:v>Other fishes &amp; inverts</x:v>
      </x:c>
      <x:c r="I203" s="60" t="n">
        <x:v>6.4915160955</x:v>
      </x:c>
      <x:c r="J203" s="60" t="n">
        <x:v>4.2745474465</x:v>
      </x:c>
      <x:c r="K203" s="60" t="n">
        <x:v>2.216968649</x:v>
      </x:c>
      <x:c r="L203" s="60" t="n">
        <x:v>4.2745474465</x:v>
      </x:c>
      <x:c r="M203" s="60" t="n">
        <x:v>2.216968649</x:v>
      </x:c>
      <x:c r="N203" s="46" t="str">
        <x:v>marine pelagic fishes not identified</x:v>
      </x:c>
      <x:c r="O203" s="62" t="n">
        <x:v>3.35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Marine pelagic fishes not identified</x:v>
      </x:c>
      <x:c r="T203" s="62" t="n">
        <x:f>IF(O203="","",(1/'Metadata'!$B$5)^(O203-1))</x:f>
        <x:v>1141.3543275066227</x:v>
      </x:c>
      <x:c r="U203" s="60" t="n">
        <x:f>IF(T203="","",I203*T203)</x:f>
        <x:v>7409.119987677819</x:v>
      </x:c>
    </x:row>
    <x:row r="204" ht="18" customHeight="1">
      <x:c r="A204" s="46" t="str">
        <x:v>LME_003</x:v>
      </x:c>
      <x:c r="B204" s="46" t="str">
        <x:v>California Current</x:v>
      </x:c>
      <x:c r="C204" s="46" t="str">
        <x:v>LME</x:v>
      </x:c>
      <x:c r="D204" s="58" t="n">
        <x:v>2019</x:v>
      </x:c>
      <x:c r="E204" s="46" t="str">
        <x:v>Psettichthys melanostictus</x:v>
      </x:c>
      <x:c r="F204" s="46" t="str">
        <x:v>Pacific sand sole</x:v>
      </x:c>
      <x:c r="G204" s="46" t="str">
        <x:v>Small to medium flatfishes (&lt;90 cm)</x:v>
      </x:c>
      <x:c r="H204" s="46" t="str">
        <x:v>Flatfishes</x:v>
      </x:c>
      <x:c r="I204" s="60" t="n">
        <x:v>6.3005713424</x:v>
      </x:c>
      <x:c r="J204" s="60" t="n">
        <x:v>5.9959301611999996</x:v>
      </x:c>
      <x:c r="K204" s="60" t="n">
        <x:v>0.3046411812</x:v>
      </x:c>
      <x:c r="L204" s="60" t="n">
        <x:v>5.9398310515</x:v>
      </x:c>
      <x:c r="M204" s="60" t="n">
        <x:v>0.3607402909</x:v>
      </x:c>
      <x:c r="N204" s="46" t="str">
        <x:v>psettichthys melanostictus</x:v>
      </x:c>
      <x:c r="O204" s="62" t="n">
        <x:v>4.06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Psettichthys melanostictus</x:v>
      </x:c>
      <x:c r="T204" s="62" t="n">
        <x:f>IF(O204="","",(1/'Metadata'!$B$5)^(O204-1))</x:f>
        <x:v>9575.286708769883</x:v>
      </x:c>
      <x:c r="U204" s="60" t="n">
        <x:f>IF(T204="","",I204*T204)</x:f>
        <x:v>60329.77703253914</x:v>
      </x:c>
    </x:row>
    <x:row r="205" ht="18" customHeight="1">
      <x:c r="A205" s="46" t="str">
        <x:v>LME_003</x:v>
      </x:c>
      <x:c r="B205" s="46" t="str">
        <x:v>California Current</x:v>
      </x:c>
      <x:c r="C205" s="46" t="str">
        <x:v>LME</x:v>
      </x:c>
      <x:c r="D205" s="58" t="n">
        <x:v>2019</x:v>
      </x:c>
      <x:c r="E205" s="46" t="str">
        <x:v>Totoaba macdonaldi</x:v>
      </x:c>
      <x:c r="F205" s="46" t="str">
        <x:v>Totoaba</x:v>
      </x:c>
      <x:c r="G205" s="46" t="str">
        <x:v>Large benthopelagics (&gt;=90 cm)</x:v>
      </x:c>
      <x:c r="H205" s="46" t="str">
        <x:v>Perch-likes</x:v>
      </x:c>
      <x:c r="I205" s="60" t="n">
        <x:v>5.9856971725</x:v>
      </x:c>
      <x:c r="J205" s="60" t="n">
        <x:v>5.9856971725</x:v>
      </x:c>
      <x:c r="K205" s="60" t="n">
        <x:v>0</x:v>
      </x:c>
      <x:c r="L205" s="60" t="n">
        <x:v>0</x:v>
      </x:c>
      <x:c r="M205" s="60" t="n">
        <x:v>5.9856971725</x:v>
      </x:c>
      <x:c r="N205" s="46" t="str">
        <x:v>totoaba macdonaldi</x:v>
      </x:c>
      <x:c r="O205" s="62" t="n">
        <x:v>4.06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Totoaba macdonaldi</x:v>
      </x:c>
      <x:c r="T205" s="62" t="n">
        <x:f>IF(O205="","",(1/'Metadata'!$B$5)^(O205-1))</x:f>
        <x:v>9575.286708769883</x:v>
      </x:c>
      <x:c r="U205" s="60" t="n">
        <x:f>IF(T205="","",I205*T205)</x:f>
        <x:v>57314.766578560724</x:v>
      </x:c>
    </x:row>
    <x:row r="206" ht="18" customHeight="1">
      <x:c r="A206" s="46" t="str">
        <x:v>LME_003</x:v>
      </x:c>
      <x:c r="B206" s="46" t="str">
        <x:v>California Current</x:v>
      </x:c>
      <x:c r="C206" s="46" t="str">
        <x:v>LME</x:v>
      </x:c>
      <x:c r="D206" s="58" t="n">
        <x:v>2019</x:v>
      </x:c>
      <x:c r="E206" s="46" t="str">
        <x:v>Cephalopoda</x:v>
      </x:c>
      <x:c r="F206" s="46" t="str">
        <x:v>Squids, cuttlefishes, octopuses</x:v>
      </x:c>
      <x:c r="G206" s="46" t="str">
        <x:v>Cephalopods</x:v>
      </x:c>
      <x:c r="H206" s="46" t="str">
        <x:v>Other fishes &amp; inverts</x:v>
      </x:c>
      <x:c r="I206" s="60" t="n">
        <x:v>5.7676624738</x:v>
      </x:c>
      <x:c r="J206" s="60" t="n">
        <x:v>5.7676624738</x:v>
      </x:c>
      <x:c r="K206" s="60" t="n">
        <x:v>0</x:v>
      </x:c>
      <x:c r="L206" s="60" t="n">
        <x:v>0</x:v>
      </x:c>
      <x:c r="M206" s="60" t="n">
        <x:v>5.7676624738</x:v>
      </x:c>
      <x:c r="N206" s="46" t="str">
        <x:v>cephalopoda</x:v>
      </x:c>
      <x:c r="O206" s="62" t="n">
        <x:v>3.81</x:v>
      </x:c>
      <x:c r="P206" s="46" t="str">
        <x:v>exact_sea_around_us</x:v>
      </x:c>
      <x:c r="Q206" s="62" t="str">
        <x:v>Sea Around Us exploited organisms</x:v>
      </x:c>
      <x:c r="R206" s="46" t="str">
        <x:v>high</x:v>
      </x:c>
      <x:c r="S206" s="46" t="str">
        <x:v>Cephalopoda</x:v>
      </x:c>
      <x:c r="T206" s="62" t="n">
        <x:f>IF(O206="","",(1/'Metadata'!$B$5)^(O206-1))</x:f>
        <x:v>4527.873529309382</x:v>
      </x:c>
      <x:c r="U206" s="60" t="n">
        <x:f>IF(T206="","",I206*T206)</x:f>
        <x:v>26115.246241110086</x:v>
      </x:c>
    </x:row>
    <x:row r="207" ht="18" customHeight="1">
      <x:c r="A207" s="46" t="str">
        <x:v>LME_003</x:v>
      </x:c>
      <x:c r="B207" s="46" t="str">
        <x:v>California Current</x:v>
      </x:c>
      <x:c r="C207" s="46" t="str">
        <x:v>LME</x:v>
      </x:c>
      <x:c r="D207" s="58" t="n">
        <x:v>2019</x:v>
      </x:c>
      <x:c r="E207" s="46" t="str">
        <x:v>Hippoglossoides elassodon</x:v>
      </x:c>
      <x:c r="F207" s="46" t="str">
        <x:v>Flathead sole</x:v>
      </x:c>
      <x:c r="G207" s="46" t="str">
        <x:v>Small to medium flatfishes (&lt;90 cm)</x:v>
      </x:c>
      <x:c r="H207" s="46" t="str">
        <x:v>Flatfishes</x:v>
      </x:c>
      <x:c r="I207" s="60" t="n">
        <x:v>5.7629673901</x:v>
      </x:c>
      <x:c r="J207" s="60" t="n">
        <x:v>1.0015823353</x:v>
      </x:c>
      <x:c r="K207" s="60" t="n">
        <x:v>4.7613850548</x:v>
      </x:c>
      <x:c r="L207" s="60" t="n">
        <x:v>1.0015823353</x:v>
      </x:c>
      <x:c r="M207" s="60" t="n">
        <x:v>4.7613850548</x:v>
      </x:c>
      <x:c r="N207" s="46" t="str">
        <x:v>hippoglossoides elassodon</x:v>
      </x:c>
      <x:c r="O207" s="62" t="n">
        <x:v>3.67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Hippoglossoides elassodon</x:v>
      </x:c>
      <x:c r="T207" s="62" t="n">
        <x:f>IF(O207="","",(1/'Metadata'!$B$5)^(O207-1))</x:f>
        <x:v>2976.8029570258213</x:v>
      </x:c>
      <x:c r="U207" s="60" t="n">
        <x:f>IF(T207="","",I207*T207)</x:f>
        <x:v>17155.21836809306</x:v>
      </x:c>
    </x:row>
    <x:row r="208" ht="18" customHeight="1">
      <x:c r="A208" s="46" t="str">
        <x:v>LME_003</x:v>
      </x:c>
      <x:c r="B208" s="46" t="str">
        <x:v>California Current</x:v>
      </x:c>
      <x:c r="C208" s="46" t="str">
        <x:v>LME</x:v>
      </x:c>
      <x:c r="D208" s="58" t="n">
        <x:v>2019</x:v>
      </x:c>
      <x:c r="E208" s="46" t="str">
        <x:v>Alopias</x:v>
      </x:c>
      <x:c r="F208" s="46" t="str">
        <x:v>Thresher sharks</x:v>
      </x:c>
      <x:c r="G208" s="46" t="str">
        <x:v>Large sharks (&gt;=90 cm)</x:v>
      </x:c>
      <x:c r="H208" s="46" t="str">
        <x:v>Sharks &amp; rays</x:v>
      </x:c>
      <x:c r="I208" s="60" t="n">
        <x:v>4.4913038187000005</x:v>
      </x:c>
      <x:c r="J208" s="60" t="n">
        <x:v>4.4913038187000005</x:v>
      </x:c>
      <x:c r="K208" s="60" t="n">
        <x:v>0</x:v>
      </x:c>
      <x:c r="L208" s="60" t="n">
        <x:v>4.4913038187000005</x:v>
      </x:c>
      <x:c r="M208" s="60" t="n">
        <x:v>0</x:v>
      </x:c>
      <x:c r="N208" s="46" t="str">
        <x:v>alopias</x:v>
      </x:c>
      <x:c r="O208" s="62" t="n">
        <x:v>4.5</x:v>
      </x:c>
      <x:c r="P208" s="46" t="str">
        <x:v>exact_sea_around_us</x:v>
      </x:c>
      <x:c r="Q208" s="62" t="str">
        <x:v>Sea Around Us exploited organisms</x:v>
      </x:c>
      <x:c r="R208" s="46" t="str">
        <x:v>high</x:v>
      </x:c>
      <x:c r="S208" s="46" t="str">
        <x:v>Alopias</x:v>
      </x:c>
      <x:c r="T208" s="62" t="n">
        <x:f>IF(O208="","",(1/'Metadata'!$B$5)^(O208-1))</x:f>
        <x:v>35777.08763999664</x:v>
      </x:c>
      <x:c r="U208" s="60" t="n">
        <x:f>IF(T208="","",I208*T208)</x:f>
        <x:v>160685.77033948147</x:v>
      </x:c>
    </x:row>
    <x:row r="209" ht="18" customHeight="1">
      <x:c r="A209" s="46" t="str">
        <x:v>LME_003</x:v>
      </x:c>
      <x:c r="B209" s="46" t="str">
        <x:v>California Current</x:v>
      </x:c>
      <x:c r="C209" s="46" t="str">
        <x:v>LME</x:v>
      </x:c>
      <x:c r="D209" s="58" t="n">
        <x:v>2019</x:v>
      </x:c>
      <x:c r="E209" s="46" t="str">
        <x:v>Lutjanidae</x:v>
      </x:c>
      <x:c r="F209" s="46" t="str">
        <x:v>Snappers</x:v>
      </x:c>
      <x:c r="G209" s="46" t="str">
        <x:v>Medium reef assoc. fish (30 - 89 cm)</x:v>
      </x:c>
      <x:c r="H209" s="46" t="str">
        <x:v>Perch-likes</x:v>
      </x:c>
      <x:c r="I209" s="60" t="n">
        <x:v>3.6693054859</x:v>
      </x:c>
      <x:c r="J209" s="60" t="n">
        <x:v>3.6693054859</x:v>
      </x:c>
      <x:c r="K209" s="60" t="n">
        <x:v>0</x:v>
      </x:c>
      <x:c r="L209" s="60" t="n">
        <x:v>0</x:v>
      </x:c>
      <x:c r="M209" s="60" t="n">
        <x:v>3.6693054859</x:v>
      </x:c>
      <x:c r="N209" s="46" t="str">
        <x:v>lutjanidae</x:v>
      </x:c>
      <x:c r="O209" s="62" t="n">
        <x:v>4.02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Lutjanidae</x:v>
      </x:c>
      <x:c r="T209" s="62" t="n">
        <x:f>IF(O209="","",(1/'Metadata'!$B$5)^(O209-1))</x:f>
        <x:v>8493.967342839818</x:v>
      </x:c>
      <x:c r="U209" s="60" t="n">
        <x:f>IF(T209="","",I209*T209)</x:f>
        <x:v>31166.96096813759</x:v>
      </x:c>
    </x:row>
    <x:row r="210" ht="18" customHeight="1">
      <x:c r="A210" s="46" t="str">
        <x:v>LME_003</x:v>
      </x:c>
      <x:c r="B210" s="46" t="str">
        <x:v>California Current</x:v>
      </x:c>
      <x:c r="C210" s="46" t="str">
        <x:v>LME</x:v>
      </x:c>
      <x:c r="D210" s="58" t="n">
        <x:v>2019</x:v>
      </x:c>
      <x:c r="E210" s="46" t="str">
        <x:v>Microstomus bathybius</x:v>
      </x:c>
      <x:c r="F210" s="46" t="str">
        <x:v>Deep-sea sole</x:v>
      </x:c>
      <x:c r="G210" s="46" t="str">
        <x:v>Medium bathydemersals (30 - 89 cm)</x:v>
      </x:c>
      <x:c r="H210" s="46" t="str">
        <x:v>Flatfishes</x:v>
      </x:c>
      <x:c r="I210" s="60" t="n">
        <x:v>3.5009703333999997</x:v>
      </x:c>
      <x:c r="J210" s="60" t="n">
        <x:v>0</x:v>
      </x:c>
      <x:c r="K210" s="60" t="n">
        <x:v>3.5009703333999997</x:v>
      </x:c>
      <x:c r="L210" s="60" t="n">
        <x:v>0</x:v>
      </x:c>
      <x:c r="M210" s="60" t="n">
        <x:v>3.5009703333999997</x:v>
      </x:c>
      <x:c r="N210" s="46" t="str">
        <x:v>microstomus bathybius</x:v>
      </x:c>
      <x:c r="O210" s="62" t="n">
        <x:v>3.2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Microstomus bathybius</x:v>
      </x:c>
      <x:c r="T210" s="62" t="n">
        <x:f>IF(O210="","",(1/'Metadata'!$B$5)^(O210-1))</x:f>
        <x:v>728.2256812104325</x:v>
      </x:c>
      <x:c r="U210" s="60" t="n">
        <x:f>IF(T210="","",I210*T210)</x:f>
        <x:v>2549.49650593773</x:v>
      </x:c>
    </x:row>
    <x:row r="211" ht="18" customHeight="1">
      <x:c r="A211" s="46" t="str">
        <x:v>LME_003</x:v>
      </x:c>
      <x:c r="B211" s="46" t="str">
        <x:v>California Current</x:v>
      </x:c>
      <x:c r="C211" s="46" t="str">
        <x:v>LME</x:v>
      </x:c>
      <x:c r="D211" s="58" t="n">
        <x:v>2019</x:v>
      </x:c>
      <x:c r="E211" s="46" t="str">
        <x:v>Hyperprosopon ellipticum</x:v>
      </x:c>
      <x:c r="F211" s="46" t="str">
        <x:v>Silver surfperch</x:v>
      </x:c>
      <x:c r="G211" s="46" t="str">
        <x:v>Small demersals (&lt;30 cm)</x:v>
      </x:c>
      <x:c r="H211" s="46" t="str">
        <x:v>Perch-likes</x:v>
      </x:c>
      <x:c r="I211" s="60" t="n">
        <x:v>3.3566027982</x:v>
      </x:c>
      <x:c r="J211" s="60" t="n">
        <x:v>2.8463198697</x:v>
      </x:c>
      <x:c r="K211" s="60" t="n">
        <x:v>0.5102829285</x:v>
      </x:c>
      <x:c r="L211" s="60" t="n">
        <x:v>0</x:v>
      </x:c>
      <x:c r="M211" s="60" t="n">
        <x:v>3.3566027982</x:v>
      </x:c>
      <x:c r="N211" s="46" t="str">
        <x:v>hyperprosopon ellipticum</x:v>
      </x:c>
      <x:c r="O211" s="62" t="n">
        <x:v>3.3</x:v>
      </x:c>
      <x:c r="P211" s="46" t="str">
        <x:v>exact_sea_around_us</x:v>
      </x:c>
      <x:c r="Q211" s="62" t="str">
        <x:v>Sea Around Us exploited organisms</x:v>
      </x:c>
      <x:c r="R211" s="46" t="str">
        <x:v>high</x:v>
      </x:c>
      <x:c r="S211" s="46" t="str">
        <x:v>Hyperprosopon ellipticum</x:v>
      </x:c>
      <x:c r="T211" s="62" t="n">
        <x:f>IF(O211="","",(1/'Metadata'!$B$5)^(O211-1))</x:f>
        <x:v>982.5824208926318</x:v>
      </x:c>
      <x:c r="U211" s="60" t="n">
        <x:f>IF(T211="","",I211*T211)</x:f>
        <x:v>3298.138903430338</x:v>
      </x:c>
    </x:row>
    <x:row r="212" ht="18" customHeight="1">
      <x:c r="A212" s="46" t="str">
        <x:v>LME_003</x:v>
      </x:c>
      <x:c r="B212" s="46" t="str">
        <x:v>California Current</x:v>
      </x:c>
      <x:c r="C212" s="46" t="str">
        <x:v>LME</x:v>
      </x:c>
      <x:c r="D212" s="58" t="n">
        <x:v>2019</x:v>
      </x:c>
      <x:c r="E212" s="46" t="str">
        <x:v>Oncorhynchus nerka</x:v>
      </x:c>
      <x:c r="F212" s="46" t="str">
        <x:v>Sockeye salmon</x:v>
      </x:c>
      <x:c r="G212" s="46" t="str">
        <x:v>Medium pelagics (30 - 89 cm)</x:v>
      </x:c>
      <x:c r="H212" s="46" t="str">
        <x:v>Salmon, smelts, etc</x:v>
      </x:c>
      <x:c r="I212" s="60" t="n">
        <x:v>3.1908567924</x:v>
      </x:c>
      <x:c r="J212" s="60" t="n">
        <x:v>3.1908567924</x:v>
      </x:c>
      <x:c r="K212" s="60" t="n">
        <x:v>0</x:v>
      </x:c>
      <x:c r="L212" s="60" t="n">
        <x:v>3.1908567924</x:v>
      </x:c>
      <x:c r="M212" s="60" t="n">
        <x:v>0</x:v>
      </x:c>
      <x:c r="N212" s="46" t="str">
        <x:v>oncorhynchus nerka</x:v>
      </x:c>
      <x:c r="O212" s="62" t="n">
        <x:v>3.54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Oncorhynchus nerka</x:v>
      </x:c>
      <x:c r="T212" s="62" t="n">
        <x:f>IF(O212="","",(1/'Metadata'!$B$5)^(O212-1))</x:f>
        <x:v>2016.5834052007342</x:v>
      </x:c>
      <x:c r="U212" s="60" t="n">
        <x:f>IF(T212="","",I212*T212)</x:f>
        <x:v>6434.628855925884</x:v>
      </x:c>
    </x:row>
    <x:row r="213" ht="18" customHeight="1">
      <x:c r="A213" s="46" t="str">
        <x:v>LME_003</x:v>
      </x:c>
      <x:c r="B213" s="46" t="str">
        <x:v>California Current</x:v>
      </x:c>
      <x:c r="C213" s="46" t="str">
        <x:v>LME</x:v>
      </x:c>
      <x:c r="D213" s="58" t="n">
        <x:v>2019</x:v>
      </x:c>
      <x:c r="E213" s="46" t="str">
        <x:v>Amphistichus koelzi</x:v>
      </x:c>
      <x:c r="F213" s="46" t="str">
        <x:v>Calico surfperch</x:v>
      </x:c>
      <x:c r="G213" s="46" t="str">
        <x:v>Small demersals (&lt;30 cm)</x:v>
      </x:c>
      <x:c r="H213" s="46" t="str">
        <x:v>Perch-likes</x:v>
      </x:c>
      <x:c r="I213" s="60" t="n">
        <x:v>3.1702475632</x:v>
      </x:c>
      <x:c r="J213" s="60" t="n">
        <x:v>2.6481941357</x:v>
      </x:c>
      <x:c r="K213" s="60" t="n">
        <x:v>0.5220534275</x:v>
      </x:c>
      <x:c r="L213" s="60" t="n">
        <x:v>0</x:v>
      </x:c>
      <x:c r="M213" s="60" t="n">
        <x:v>3.1702475632</x:v>
      </x:c>
      <x:c r="N213" s="46" t="str">
        <x:v>amphistichus koelzi</x:v>
      </x:c>
      <x:c r="O213" s="62" t="n">
        <x:v>3.36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Amphistichus koelzi</x:v>
      </x:c>
      <x:c r="T213" s="62" t="n">
        <x:f>IF(O213="","",(1/'Metadata'!$B$5)^(O213-1))</x:f>
        <x:v>1176.0635493805207</x:v>
      </x:c>
      <x:c r="U213" s="60" t="n">
        <x:f>IF(T213="","",I213*T213)</x:f>
        <x:v>3728.4126015919383</x:v>
      </x:c>
    </x:row>
    <x:row r="214" ht="18" customHeight="1">
      <x:c r="A214" s="46" t="str">
        <x:v>LME_003</x:v>
      </x:c>
      <x:c r="B214" s="46" t="str">
        <x:v>California Current</x:v>
      </x:c>
      <x:c r="C214" s="46" t="str">
        <x:v>LME</x:v>
      </x:c>
      <x:c r="D214" s="58" t="n">
        <x:v>2019</x:v>
      </x:c>
      <x:c r="E214" s="46" t="str">
        <x:v>Embiotoca lateralis</x:v>
      </x:c>
      <x:c r="F214" s="46" t="str">
        <x:v>Striped seaperch</x:v>
      </x:c>
      <x:c r="G214" s="46" t="str">
        <x:v>Medium demersals (30 - 89 cm)</x:v>
      </x:c>
      <x:c r="H214" s="46" t="str">
        <x:v>Perch-likes</x:v>
      </x:c>
      <x:c r="I214" s="60" t="n">
        <x:v>3.0502707561999998</x:v>
      </x:c>
      <x:c r="J214" s="60" t="n">
        <x:v>2.722758511</x:v>
      </x:c>
      <x:c r="K214" s="60" t="n">
        <x:v>0.3275122452</x:v>
      </x:c>
      <x:c r="L214" s="60" t="n">
        <x:v>0</x:v>
      </x:c>
      <x:c r="M214" s="60" t="n">
        <x:v>3.0502707561999998</x:v>
      </x:c>
      <x:c r="N214" s="46" t="str">
        <x:v>embiotoca lateralis</x:v>
      </x:c>
      <x:c r="O214" s="62" t="n">
        <x:v>3.31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Embiotoca lateralis</x:v>
      </x:c>
      <x:c r="T214" s="62" t="n">
        <x:f>IF(O214="","",(1/'Metadata'!$B$5)^(O214-1))</x:f>
        <x:v>1012.4633005057666</x:v>
      </x:c>
      <x:c r="U214" s="60" t="n">
        <x:f>IF(T214="","",I214*T214)</x:f>
        <x:v>3088.287197258472</x:v>
      </x:c>
    </x:row>
    <x:row r="215" ht="18" customHeight="1">
      <x:c r="A215" s="46" t="str">
        <x:v>LME_003</x:v>
      </x:c>
      <x:c r="B215" s="46" t="str">
        <x:v>California Current</x:v>
      </x:c>
      <x:c r="C215" s="46" t="str">
        <x:v>LME</x:v>
      </x:c>
      <x:c r="D215" s="58" t="n">
        <x:v>2019</x:v>
      </x:c>
      <x:c r="E215" s="46" t="str">
        <x:v>Sphyraenidae</x:v>
      </x:c>
      <x:c r="F215" s="46" t="str">
        <x:v>Barracudas</x:v>
      </x:c>
      <x:c r="G215" s="46" t="str">
        <x:v>Medium reef assoc. fish (30 - 89 cm)</x:v>
      </x:c>
      <x:c r="H215" s="46" t="str">
        <x:v>Perch-likes</x:v>
      </x:c>
      <x:c r="I215" s="60" t="n">
        <x:v>2.8123223816</x:v>
      </x:c>
      <x:c r="J215" s="60" t="n">
        <x:v>2.8123223816</x:v>
      </x:c>
      <x:c r="K215" s="60" t="n">
        <x:v>0</x:v>
      </x:c>
      <x:c r="L215" s="60" t="n">
        <x:v>0</x:v>
      </x:c>
      <x:c r="M215" s="60" t="n">
        <x:v>2.8123223816</x:v>
      </x:c>
      <x:c r="N215" s="46" t="str">
        <x:v>sphyraenidae</x:v>
      </x:c>
      <x:c r="O215" s="62" t="n">
        <x:v>4.4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Sphyraenidae</x:v>
      </x:c>
      <x:c r="T215" s="62" t="n">
        <x:f>IF(O215="","",(1/'Metadata'!$B$5)^(O215-1))</x:f>
        <x:v>26515.632138719924</x:v>
      </x:c>
      <x:c r="U215" s="60" t="n">
        <x:f>IF(T215="","",I215*T215)</x:f>
        <x:v>74570.50572599431</x:v>
      </x:c>
    </x:row>
    <x:row r="216" ht="18" customHeight="1">
      <x:c r="A216" s="46" t="str">
        <x:v>LME_003</x:v>
      </x:c>
      <x:c r="B216" s="46" t="str">
        <x:v>California Current</x:v>
      </x:c>
      <x:c r="C216" s="46" t="str">
        <x:v>LME</x:v>
      </x:c>
      <x:c r="D216" s="58" t="n">
        <x:v>2019</x:v>
      </x:c>
      <x:c r="E216" s="46" t="str">
        <x:v>Octopodidae</x:v>
      </x:c>
      <x:c r="F216" s="46" t="str">
        <x:v>Octopuses</x:v>
      </x:c>
      <x:c r="G216" s="46" t="str">
        <x:v>Cephalopods</x:v>
      </x:c>
      <x:c r="H216" s="46" t="str">
        <x:v>Other fishes &amp; inverts</x:v>
      </x:c>
      <x:c r="I216" s="60" t="n">
        <x:v>2.6151925152</x:v>
      </x:c>
      <x:c r="J216" s="60" t="n">
        <x:v>2.6151925152</x:v>
      </x:c>
      <x:c r="K216" s="60" t="n">
        <x:v>0</x:v>
      </x:c>
      <x:c r="L216" s="60" t="n">
        <x:v>2.6151925152</x:v>
      </x:c>
      <x:c r="M216" s="60" t="n">
        <x:v>0</x:v>
      </x:c>
      <x:c r="N216" s="46" t="str">
        <x:v>octopodidae</x:v>
      </x:c>
      <x:c r="O216" s="62" t="n">
        <x:v>3.59</x:v>
      </x:c>
      <x:c r="P216" s="46" t="str">
        <x:v>exact_sea_around_us</x:v>
      </x:c>
      <x:c r="Q216" s="62" t="str">
        <x:v>Sea Around Us exploited organisms</x:v>
      </x:c>
      <x:c r="R216" s="46" t="str">
        <x:v>high</x:v>
      </x:c>
      <x:c r="S216" s="46" t="str">
        <x:v>Octopodidae</x:v>
      </x:c>
      <x:c r="T216" s="62" t="n">
        <x:f>IF(O216="","",(1/'Metadata'!$B$5)^(O216-1))</x:f>
        <x:v>2342.4357563948306</x:v>
      </x:c>
      <x:c r="U216" s="60" t="n">
        <x:f>IF(T216="","",I216*T216)</x:f>
        <x:v>6125.920457460611</x:v>
      </x:c>
    </x:row>
    <x:row r="217" ht="18" customHeight="1">
      <x:c r="A217" s="46" t="str">
        <x:v>LME_003</x:v>
      </x:c>
      <x:c r="B217" s="46" t="str">
        <x:v>California Current</x:v>
      </x:c>
      <x:c r="C217" s="46" t="str">
        <x:v>LME</x:v>
      </x:c>
      <x:c r="D217" s="58" t="n">
        <x:v>2019</x:v>
      </x:c>
      <x:c r="E217" s="46" t="str">
        <x:v>Notorynchus cepedianus</x:v>
      </x:c>
      <x:c r="F217" s="46" t="str">
        <x:v>Broadnose sevengill shark</x:v>
      </x:c>
      <x:c r="G217" s="46" t="str">
        <x:v>Large sharks (&gt;=90 cm)</x:v>
      </x:c>
      <x:c r="H217" s="46" t="str">
        <x:v>Sharks &amp; rays</x:v>
      </x:c>
      <x:c r="I217" s="60" t="n">
        <x:v>2.5448970498</x:v>
      </x:c>
      <x:c r="J217" s="60" t="n">
        <x:v>0</x:v>
      </x:c>
      <x:c r="K217" s="60" t="n">
        <x:v>2.5448970498</x:v>
      </x:c>
      <x:c r="L217" s="60" t="n">
        <x:v>0</x:v>
      </x:c>
      <x:c r="M217" s="60" t="n">
        <x:v>2.5448970498</x:v>
      </x:c>
      <x:c r="N217" s="46" t="str">
        <x:v>notorynchus cepedianus</x:v>
      </x:c>
      <x:c r="O217" s="62" t="n">
        <x:v>4.68</x:v>
      </x:c>
      <x:c r="P217" s="46" t="str">
        <x:v>exact_2020_supplement</x:v>
      </x:c>
      <x:c r="Q217" s="62" t="str">
        <x:v>2020 supplement MeanTL</x:v>
      </x:c>
      <x:c r="R217" s="46" t="str">
        <x:v>high</x:v>
      </x:c>
      <x:c r="S217" s="46" t="str">
        <x:v>Notorynchus cepedianus</x:v>
      </x:c>
      <x:c r="T217" s="62" t="n">
        <x:f>IF(O217="","",(1/'Metadata'!$B$5)^(O217-1))</x:f>
        <x:v>61346.583914816816</x:v>
      </x:c>
      <x:c r="U217" s="60" t="n">
        <x:f>IF(T217="","",I217*T217)</x:f>
        <x:v>156120.74042012545</x:v>
      </x:c>
    </x:row>
    <x:row r="218" ht="18" customHeight="1">
      <x:c r="A218" s="46" t="str">
        <x:v>LME_003</x:v>
      </x:c>
      <x:c r="B218" s="46" t="str">
        <x:v>California Current</x:v>
      </x:c>
      <x:c r="C218" s="46" t="str">
        <x:v>LME</x:v>
      </x:c>
      <x:c r="D218" s="58" t="n">
        <x:v>2019</x:v>
      </x:c>
      <x:c r="E218" s="46" t="str">
        <x:v>Pleuronichthys decurrens</x:v>
      </x:c>
      <x:c r="F218" s="46" t="str">
        <x:v>Curlfin sole</x:v>
      </x:c>
      <x:c r="G218" s="46" t="str">
        <x:v>Small to medium flatfishes (&lt;90 cm)</x:v>
      </x:c>
      <x:c r="H218" s="46" t="str">
        <x:v>Flatfishes</x:v>
      </x:c>
      <x:c r="I218" s="60" t="n">
        <x:v>2.3259916258</x:v>
      </x:c>
      <x:c r="J218" s="60" t="n">
        <x:v>0.4049412898</x:v>
      </x:c>
      <x:c r="K218" s="60" t="n">
        <x:v>1.921050336</x:v>
      </x:c>
      <x:c r="L218" s="60" t="n">
        <x:v>0.3979572865</x:v>
      </x:c>
      <x:c r="M218" s="60" t="n">
        <x:v>1.9280343393</x:v>
      </x:c>
      <x:c r="N218" s="46" t="str">
        <x:v>pleuronichthys decurrens</x:v>
      </x:c>
      <x:c r="O218" s="62" t="n">
        <x:v>3.85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Pleuronichthys decurrens</x:v>
      </x:c>
      <x:c r="T218" s="62" t="n">
        <x:f>IF(O218="","",(1/'Metadata'!$B$5)^(O218-1))</x:f>
        <x:v>5104.291725436732</x:v>
      </x:c>
      <x:c r="U218" s="60" t="n">
        <x:f>IF(T218="","",I218*T218)</x:f>
        <x:v>11872.539809006072</x:v>
      </x:c>
    </x:row>
    <x:row r="219" ht="18" customHeight="1">
      <x:c r="A219" s="46" t="str">
        <x:v>LME_003</x:v>
      </x:c>
      <x:c r="B219" s="46" t="str">
        <x:v>California Current</x:v>
      </x:c>
      <x:c r="C219" s="46" t="str">
        <x:v>LME</x:v>
      </x:c>
      <x:c r="D219" s="58" t="n">
        <x:v>2019</x:v>
      </x:c>
      <x:c r="E219" s="46" t="str">
        <x:v>Sebastes serriceps</x:v>
      </x:c>
      <x:c r="F219" s="46" t="str">
        <x:v>Treefish</x:v>
      </x:c>
      <x:c r="G219" s="46" t="str">
        <x:v>Medium demersals (30 - 89 cm)</x:v>
      </x:c>
      <x:c r="H219" s="46" t="str">
        <x:v>Scorpionfishes</x:v>
      </x:c>
      <x:c r="I219" s="60" t="n">
        <x:v>2.2860093961</x:v>
      </x:c>
      <x:c r="J219" s="60" t="n">
        <x:v>2.2860093961</x:v>
      </x:c>
      <x:c r="K219" s="60" t="n">
        <x:v>0</x:v>
      </x:c>
      <x:c r="L219" s="60" t="n">
        <x:v>2.2860093961</x:v>
      </x:c>
      <x:c r="M219" s="60" t="n">
        <x:v>0</x:v>
      </x:c>
      <x:c r="N219" s="46" t="str">
        <x:v>sebastes serriceps</x:v>
      </x:c>
      <x:c r="O219" s="62" t="n">
        <x:v>3.71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Sebastes serriceps</x:v>
      </x:c>
      <x:c r="T219" s="62" t="n">
        <x:f>IF(O219="","",(1/'Metadata'!$B$5)^(O219-1))</x:f>
        <x:v>3355.7630537706395</x:v>
      </x:c>
      <x:c r="U219" s="60" t="n">
        <x:f>IF(T219="","",I219*T219)</x:f>
        <x:v>7671.305872004911</x:v>
      </x:c>
    </x:row>
    <x:row r="220" ht="18" customHeight="1">
      <x:c r="A220" s="46" t="str">
        <x:v>LME_003</x:v>
      </x:c>
      <x:c r="B220" s="46" t="str">
        <x:v>California Current</x:v>
      </x:c>
      <x:c r="C220" s="46" t="str">
        <x:v>LME</x:v>
      </x:c>
      <x:c r="D220" s="58" t="n">
        <x:v>2019</x:v>
      </x:c>
      <x:c r="E220" s="46" t="str">
        <x:v>Xystreurys liolepis</x:v>
      </x:c>
      <x:c r="F220" s="46" t="str">
        <x:v>Fantail flounder</x:v>
      </x:c>
      <x:c r="G220" s="46" t="str">
        <x:v>Small to medium flatfishes (&lt;90 cm)</x:v>
      </x:c>
      <x:c r="H220" s="46" t="str">
        <x:v>Flatfishes</x:v>
      </x:c>
      <x:c r="I220" s="60" t="n">
        <x:v>2.0856623665000003</x:v>
      </x:c>
      <x:c r="J220" s="60" t="n">
        <x:v>2.0856623665000003</x:v>
      </x:c>
      <x:c r="K220" s="60" t="n">
        <x:v>0</x:v>
      </x:c>
      <x:c r="L220" s="60" t="n">
        <x:v>2.0856623665000003</x:v>
      </x:c>
      <x:c r="M220" s="60" t="n">
        <x:v>0</x:v>
      </x:c>
      <x:c r="N220" s="46" t="str">
        <x:v>xystreurys liolepis</x:v>
      </x:c>
      <x:c r="O220" s="62" t="n">
        <x:v>3.5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Xystreurys liolepis</x:v>
      </x:c>
      <x:c r="T220" s="62" t="n">
        <x:f>IF(O220="","",(1/'Metadata'!$B$5)^(O220-1))</x:f>
        <x:v>1788.8543819998317</x:v>
      </x:c>
      <x:c r="U220" s="60" t="n">
        <x:f>IF(T220="","",I220*T220)</x:f>
        <x:v>3730.9462636856647</x:v>
      </x:c>
    </x:row>
    <x:row r="221" ht="18" customHeight="1">
      <x:c r="A221" s="46" t="str">
        <x:v>LME_003</x:v>
      </x:c>
      <x:c r="B221" s="46" t="str">
        <x:v>California Current</x:v>
      </x:c>
      <x:c r="C221" s="46" t="str">
        <x:v>LME</x:v>
      </x:c>
      <x:c r="D221" s="58" t="n">
        <x:v>2019</x:v>
      </x:c>
      <x:c r="E221" s="46" t="str">
        <x:v>Sebastes rosaceus</x:v>
      </x:c>
      <x:c r="F221" s="46" t="str">
        <x:v>Rosy rockfish</x:v>
      </x:c>
      <x:c r="G221" s="46" t="str">
        <x:v>Medium demersals (30 - 89 cm)</x:v>
      </x:c>
      <x:c r="H221" s="46" t="str">
        <x:v>Scorpionfishes</x:v>
      </x:c>
      <x:c r="I221" s="60" t="n">
        <x:v>2.0014993498</x:v>
      </x:c>
      <x:c r="J221" s="60" t="n">
        <x:v>1.1433907576999998</x:v>
      </x:c>
      <x:c r="K221" s="60" t="n">
        <x:v>0.8581085921</x:v>
      </x:c>
      <x:c r="L221" s="60" t="n">
        <x:v>0.5961872147999999</x:v>
      </x:c>
      <x:c r="M221" s="60" t="n">
        <x:v>1.405312135</x:v>
      </x:c>
      <x:c r="N221" s="46" t="str">
        <x:v>sebastes rosaceus</x:v>
      </x:c>
      <x:c r="O221" s="62" t="n">
        <x:v>3.68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Sebastes rosaceus</x:v>
      </x:c>
      <x:c r="T221" s="62" t="n">
        <x:f>IF(O221="","",(1/'Metadata'!$B$5)^(O221-1))</x:f>
        <x:v>3067.3291957408446</x:v>
      </x:c>
      <x:c r="U221" s="60" t="n">
        <x:f>IF(T221="","",I221*T221)</x:f>
        <x:v>6139.2573908978575</x:v>
      </x:c>
    </x:row>
    <x:row r="222" ht="18" customHeight="1">
      <x:c r="A222" s="46" t="str">
        <x:v>LME_003</x:v>
      </x:c>
      <x:c r="B222" s="46" t="str">
        <x:v>California Current</x:v>
      </x:c>
      <x:c r="C222" s="46" t="str">
        <x:v>LME</x:v>
      </x:c>
      <x:c r="D222" s="58" t="n">
        <x:v>2019</x:v>
      </x:c>
      <x:c r="E222" s="46" t="str">
        <x:v>Euthynnus lineatus</x:v>
      </x:c>
      <x:c r="F222" s="46" t="str">
        <x:v>Black skipjack</x:v>
      </x:c>
      <x:c r="G222" s="46" t="str">
        <x:v>Medium pelagics (30 - 89 cm)</x:v>
      </x:c>
      <x:c r="H222" s="46" t="str">
        <x:v>Tuna &amp; billfishes</x:v>
      </x:c>
      <x:c r="I222" s="60" t="n">
        <x:v>1.992568509</x:v>
      </x:c>
      <x:c r="J222" s="60" t="n">
        <x:v>1.992568509</x:v>
      </x:c>
      <x:c r="K222" s="60" t="n">
        <x:v>0</x:v>
      </x:c>
      <x:c r="L222" s="60" t="n">
        <x:v>1.992568509</x:v>
      </x:c>
      <x:c r="M222" s="60" t="n">
        <x:v>0</x:v>
      </x:c>
      <x:c r="N222" s="46" t="str">
        <x:v>euthynnus lineatus</x:v>
      </x:c>
      <x:c r="O222" s="62" t="n">
        <x:v>3.83</x:v>
      </x:c>
      <x:c r="P222" s="46" t="str">
        <x:v>exact_2020_supplement</x:v>
      </x:c>
      <x:c r="Q222" s="62" t="str">
        <x:v>2020 supplement MeanTL</x:v>
      </x:c>
      <x:c r="R222" s="46" t="str">
        <x:v>high</x:v>
      </x:c>
      <x:c r="S222" s="46" t="str">
        <x:v>Euthynnus lineatus</x:v>
      </x:c>
      <x:c r="T222" s="62" t="n">
        <x:f>IF(O222="","",(1/'Metadata'!$B$5)^(O222-1))</x:f>
        <x:v>4807.451236307852</x:v>
      </x:c>
      <x:c r="U222" s="60" t="n">
        <x:f>IF(T222="","",I222*T222)</x:f>
        <x:v>9579.175942020143</x:v>
      </x:c>
    </x:row>
    <x:row r="223" ht="18" customHeight="1">
      <x:c r="A223" s="46" t="str">
        <x:v>LME_003</x:v>
      </x:c>
      <x:c r="B223" s="46" t="str">
        <x:v>California Current</x:v>
      </x:c>
      <x:c r="C223" s="46" t="str">
        <x:v>LME</x:v>
      </x:c>
      <x:c r="D223" s="58" t="n">
        <x:v>2019</x:v>
      </x:c>
      <x:c r="E223" s="46" t="str">
        <x:v>Crangon franciscorum</x:v>
      </x:c>
      <x:c r="F223" s="46" t="str">
        <x:v>California bay shrimp</x:v>
      </x:c>
      <x:c r="G223" s="46" t="str">
        <x:v>Shrimps</x:v>
      </x:c>
      <x:c r="H223" s="46" t="str">
        <x:v>Crustaceans</x:v>
      </x:c>
      <x:c r="I223" s="60" t="n">
        <x:v>1.981913541</x:v>
      </x:c>
      <x:c r="J223" s="60" t="n">
        <x:v>1.981913541</x:v>
      </x:c>
      <x:c r="K223" s="60" t="n">
        <x:v>0</x:v>
      </x:c>
      <x:c r="L223" s="60" t="n">
        <x:v>0</x:v>
      </x:c>
      <x:c r="M223" s="60" t="n">
        <x:v>1.981913541</x:v>
      </x:c>
      <x:c r="N223" s="46" t="str">
        <x:v>crangon franciscorum</x:v>
      </x:c>
      <x:c r="O223" s="62" t="n">
        <x:v>3.33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Crangon franciscorum</x:v>
      </x:c>
      <x:c r="T223" s="62" t="n">
        <x:f>IF(O223="","",(1/'Metadata'!$B$5)^(O223-1))</x:f>
        <x:v>1074.9787762899762</x:v>
      </x:c>
      <x:c r="U223" s="60" t="n">
        <x:f>IF(T223="","",I223*T223)</x:f>
        <x:v>2130.5149930167136</x:v>
      </x:c>
    </x:row>
    <x:row r="224" ht="18" customHeight="1">
      <x:c r="A224" s="46" t="str">
        <x:v>LME_003</x:v>
      </x:c>
      <x:c r="B224" s="46" t="str">
        <x:v>California Current</x:v>
      </x:c>
      <x:c r="C224" s="46" t="str">
        <x:v>LME</x:v>
      </x:c>
      <x:c r="D224" s="58" t="n">
        <x:v>2019</x:v>
      </x:c>
      <x:c r="E224" s="46" t="str">
        <x:v>Mugil curema</x:v>
      </x:c>
      <x:c r="F224" s="46" t="str">
        <x:v>White mullet</x:v>
      </x:c>
      <x:c r="G224" s="46" t="str">
        <x:v>Medium benthopelagics (30 - 89 cm)</x:v>
      </x:c>
      <x:c r="H224" s="46" t="str">
        <x:v>Perch-likes</x:v>
      </x:c>
      <x:c r="I224" s="60" t="n">
        <x:v>1.6226503172</x:v>
      </x:c>
      <x:c r="J224" s="60" t="n">
        <x:v>1.6226503172</x:v>
      </x:c>
      <x:c r="K224" s="60" t="n">
        <x:v>0</x:v>
      </x:c>
      <x:c r="L224" s="60" t="n">
        <x:v>1.2630858812</x:v>
      </x:c>
      <x:c r="M224" s="60" t="n">
        <x:v>0.359564436</x:v>
      </x:c>
      <x:c r="N224" s="46" t="str">
        <x:v>mugil curema</x:v>
      </x:c>
      <x:c r="O224" s="62" t="n">
        <x:v>2.01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Mugil curema</x:v>
      </x:c>
      <x:c r="T224" s="62" t="n">
        <x:f>IF(O224="","",(1/'Metadata'!$B$5)^(O224-1))</x:f>
        <x:v>20.608211158225036</x:v>
      </x:c>
      <x:c r="U224" s="60" t="n">
        <x:f>IF(T224="","",I224*T224)</x:f>
        <x:v>33.439920372818435</x:v>
      </x:c>
    </x:row>
    <x:row r="225" ht="18" customHeight="1">
      <x:c r="A225" s="46" t="str">
        <x:v>LME_003</x:v>
      </x:c>
      <x:c r="B225" s="46" t="str">
        <x:v>California Current</x:v>
      </x:c>
      <x:c r="C225" s="46" t="str">
        <x:v>LME</x:v>
      </x:c>
      <x:c r="D225" s="58" t="n">
        <x:v>2019</x:v>
      </x:c>
      <x:c r="E225" s="46" t="str">
        <x:v>Scorpaena</x:v>
      </x:c>
      <x:c r="F225" s="46" t="str">
        <x:v>Scorpionfishes</x:v>
      </x:c>
      <x:c r="G225" s="46" t="str">
        <x:v>Large reef assoc. fish (&gt;=90 cm)</x:v>
      </x:c>
      <x:c r="H225" s="46" t="str">
        <x:v>Scorpionfishes</x:v>
      </x:c>
      <x:c r="I225" s="60" t="n">
        <x:v>1.5055913474</x:v>
      </x:c>
      <x:c r="J225" s="60" t="n">
        <x:v>0</x:v>
      </x:c>
      <x:c r="K225" s="60" t="n">
        <x:v>1.5055913474</x:v>
      </x:c>
      <x:c r="L225" s="60" t="n">
        <x:v>0</x:v>
      </x:c>
      <x:c r="M225" s="60" t="n">
        <x:v>1.5055913474</x:v>
      </x:c>
      <x:c r="N225" s="46" t="str">
        <x:v>scorpaena</x:v>
      </x:c>
      <x:c r="O225" s="62" t="n">
        <x:v>3.87</x:v>
      </x:c>
      <x:c r="P225" s="46" t="str">
        <x:v>exact_sea_around_us</x:v>
      </x:c>
      <x:c r="Q225" s="62" t="str">
        <x:v>Sea Around Us exploited organisms</x:v>
      </x:c>
      <x:c r="R225" s="46" t="str">
        <x:v>high</x:v>
      </x:c>
      <x:c r="S225" s="46" t="str">
        <x:v>Scorpaena</x:v>
      </x:c>
      <x:c r="T225" s="62" t="n">
        <x:f>IF(O225="","",(1/'Metadata'!$B$5)^(O225-1))</x:f>
        <x:v>5419.460903023396</x:v>
      </x:c>
      <x:c r="U225" s="60" t="n">
        <x:f>IF(T225="","",I225*T225)</x:f>
        <x:v>8159.493443164615</x:v>
      </x:c>
    </x:row>
    <x:row r="226" ht="18" customHeight="1">
      <x:c r="A226" s="46" t="str">
        <x:v>LME_003</x:v>
      </x:c>
      <x:c r="B226" s="46" t="str">
        <x:v>California Current</x:v>
      </x:c>
      <x:c r="C226" s="46" t="str">
        <x:v>LME</x:v>
      </x:c>
      <x:c r="D226" s="58" t="n">
        <x:v>2019</x:v>
      </x:c>
      <x:c r="E226" s="46" t="str">
        <x:v>Caliraja inornata</x:v>
      </x:c>
      <x:c r="F226" s="46" t="str">
        <x:v>California skate</x:v>
      </x:c>
      <x:c r="G226" s="46" t="str">
        <x:v>Small to medium rays (&lt;90 cm)</x:v>
      </x:c>
      <x:c r="H226" s="46" t="str">
        <x:v>Sharks &amp; rays</x:v>
      </x:c>
      <x:c r="I226" s="60" t="n">
        <x:v>1.4915126963</x:v>
      </x:c>
      <x:c r="J226" s="60" t="n">
        <x:v>1.4915126963</x:v>
      </x:c>
      <x:c r="K226" s="60" t="n">
        <x:v>0</x:v>
      </x:c>
      <x:c r="L226" s="60" t="n">
        <x:v>1.4915126963</x:v>
      </x:c>
      <x:c r="M226" s="60" t="n">
        <x:v>0</x:v>
      </x:c>
      <x:c r="N226" s="46" t="str">
        <x:v>caliraja inornata</x:v>
      </x:c>
      <x:c r="O226" s="62" t="n">
        <x:v>4.24</x:v>
      </x:c>
      <x:c r="P226" s="46" t="str">
        <x:v>exact_sea_around_us</x:v>
      </x:c>
      <x:c r="Q226" s="62" t="str">
        <x:v>Sea Around Us exploited organisms</x:v>
      </x:c>
      <x:c r="R226" s="46" t="str">
        <x:v>high</x:v>
      </x:c>
      <x:c r="S226" s="46" t="str">
        <x:v>Caliraja inornata</x:v>
      </x:c>
      <x:c r="T226" s="62" t="n">
        <x:f>IF(O226="","",(1/'Metadata'!$B$5)^(O226-1))</x:f>
        <x:v>16418.64020623336</x:v>
      </x:c>
      <x:c r="U226" s="60" t="n">
        <x:f>IF(T226="","",I226*T226)</x:f>
        <x:v>24488.610323578705</x:v>
      </x:c>
    </x:row>
    <x:row r="227" ht="18" customHeight="1">
      <x:c r="A227" s="46" t="str">
        <x:v>LME_003</x:v>
      </x:c>
      <x:c r="B227" s="46" t="str">
        <x:v>California Current</x:v>
      </x:c>
      <x:c r="C227" s="46" t="str">
        <x:v>LME</x:v>
      </x:c>
      <x:c r="D227" s="58" t="n">
        <x:v>2019</x:v>
      </x:c>
      <x:c r="E227" s="46" t="str">
        <x:v>Scorpaenidae</x:v>
      </x:c>
      <x:c r="F227" s="46" t="str">
        <x:v>Scorpionfishes, rockfishes</x:v>
      </x:c>
      <x:c r="G227" s="46" t="str">
        <x:v>Large reef assoc. fish (&gt;=90 cm)</x:v>
      </x:c>
      <x:c r="H227" s="46" t="str">
        <x:v>Scorpionfishes</x:v>
      </x:c>
      <x:c r="I227" s="60" t="n">
        <x:v>1.488635086</x:v>
      </x:c>
      <x:c r="J227" s="60" t="n">
        <x:v>1.488635086</x:v>
      </x:c>
      <x:c r="K227" s="60" t="n">
        <x:v>0</x:v>
      </x:c>
      <x:c r="L227" s="60" t="n">
        <x:v>1.488635086</x:v>
      </x:c>
      <x:c r="M227" s="60" t="n">
        <x:v>0</x:v>
      </x:c>
      <x:c r="N227" s="46" t="str">
        <x:v>scorpaenidae</x:v>
      </x:c>
      <x:c r="O227" s="62" t="n">
        <x:v>3.92</x:v>
      </x:c>
      <x:c r="P227" s="46" t="str">
        <x:v>exact_sea_around_us</x:v>
      </x:c>
      <x:c r="Q227" s="62" t="str">
        <x:v>Sea Around Us exploited organisms</x:v>
      </x:c>
      <x:c r="R227" s="46" t="str">
        <x:v>high</x:v>
      </x:c>
      <x:c r="S227" s="46" t="str">
        <x:v>Scorpaenidae</x:v>
      </x:c>
      <x:c r="T227" s="62" t="n">
        <x:f>IF(O227="","",(1/'Metadata'!$B$5)^(O227-1))</x:f>
        <x:v>6295.1718073679995</x:v>
      </x:c>
      <x:c r="U227" s="60" t="n">
        <x:f>IF(T227="","",I227*T227)</x:f>
        <x:v>9371.213624846037</x:v>
      </x:c>
    </x:row>
    <x:row r="228" ht="18" customHeight="1">
      <x:c r="A228" s="46" t="str">
        <x:v>LME_003</x:v>
      </x:c>
      <x:c r="B228" s="46" t="str">
        <x:v>California Current</x:v>
      </x:c>
      <x:c r="C228" s="46" t="str">
        <x:v>LME</x:v>
      </x:c>
      <x:c r="D228" s="58" t="n">
        <x:v>2019</x:v>
      </x:c>
      <x:c r="E228" s="46" t="str">
        <x:v>Scorpaeniformes</x:v>
      </x:c>
      <x:c r="F228" s="46" t="str">
        <x:v>Scorpionfishes, flatheads</x:v>
      </x:c>
      <x:c r="G228" s="46" t="str">
        <x:v>Medium demersals (30 - 89 cm)</x:v>
      </x:c>
      <x:c r="H228" s="46" t="str">
        <x:v>Scorpionfishes</x:v>
      </x:c>
      <x:c r="I228" s="60" t="n">
        <x:v>1.2741905833</x:v>
      </x:c>
      <x:c r="J228" s="60" t="n">
        <x:v>0</x:v>
      </x:c>
      <x:c r="K228" s="60" t="n">
        <x:v>1.2741905833</x:v>
      </x:c>
      <x:c r="L228" s="60" t="n">
        <x:v>0</x:v>
      </x:c>
      <x:c r="M228" s="60" t="n">
        <x:v>1.2741905833</x:v>
      </x:c>
      <x:c r="N228" s="46" t="str">
        <x:v>scorpaeniformes</x:v>
      </x:c>
      <x:c r="O228" s="62" t="n">
        <x:v>3.78</x:v>
      </x:c>
      <x:c r="P228" s="46" t="str">
        <x:v>exact_sea_around_us</x:v>
      </x:c>
      <x:c r="Q228" s="62" t="str">
        <x:v>Sea Around Us exploited organisms</x:v>
      </x:c>
      <x:c r="R228" s="46" t="str">
        <x:v>high</x:v>
      </x:c>
      <x:c r="S228" s="46" t="str">
        <x:v>Scorpaeniformes</x:v>
      </x:c>
      <x:c r="T228" s="62" t="n">
        <x:f>IF(O228="","",(1/'Metadata'!$B$5)^(O228-1))</x:f>
        <x:v>4138.694671981463</x:v>
      </x:c>
      <x:c r="U228" s="60" t="n">
        <x:f>IF(T228="","",I228*T228)</x:f>
        <x:v>5273.485778192663</x:v>
      </x:c>
    </x:row>
    <x:row r="229" ht="18" customHeight="1">
      <x:c r="A229" s="46" t="str">
        <x:v>LME_003</x:v>
      </x:c>
      <x:c r="B229" s="46" t="str">
        <x:v>California Current</x:v>
      </x:c>
      <x:c r="C229" s="46" t="str">
        <x:v>LME</x:v>
      </x:c>
      <x:c r="D229" s="58" t="n">
        <x:v>2019</x:v>
      </x:c>
      <x:c r="E229" s="46" t="str">
        <x:v>Apristurus brunneus</x:v>
      </x:c>
      <x:c r="F229" s="46" t="str">
        <x:v>Brown catshark</x:v>
      </x:c>
      <x:c r="G229" s="46" t="str">
        <x:v>Small to medium sharks (&lt;90 cm)</x:v>
      </x:c>
      <x:c r="H229" s="46" t="str">
        <x:v>Sharks &amp; rays</x:v>
      </x:c>
      <x:c r="I229" s="60" t="n">
        <x:v>1.1601356049</x:v>
      </x:c>
      <x:c r="J229" s="60" t="n">
        <x:v>1.1601356049</x:v>
      </x:c>
      <x:c r="K229" s="60" t="n">
        <x:v>0</x:v>
      </x:c>
      <x:c r="L229" s="60" t="n">
        <x:v>1.1601356049</x:v>
      </x:c>
      <x:c r="M229" s="60" t="n">
        <x:v>0</x:v>
      </x:c>
      <x:c r="N229" s="46" t="str">
        <x:v>apristurus brunneus</x:v>
      </x:c>
      <x:c r="O229" s="62" t="n">
        <x:v>3.58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Apristurus brunneus</x:v>
      </x:c>
      <x:c r="T229" s="62" t="n">
        <x:f>IF(O229="","",(1/'Metadata'!$B$5)^(O229-1))</x:f>
        <x:v>2273.3033337150473</x:v>
      </x:c>
      <x:c r="U229" s="60" t="n">
        <x:f>IF(T229="","",I229*T229)</x:f>
        <x:v>2637.340138180693</x:v>
      </x:c>
    </x:row>
    <x:row r="230" ht="18" customHeight="1">
      <x:c r="A230" s="46" t="str">
        <x:v>LME_003</x:v>
      </x:c>
      <x:c r="B230" s="46" t="str">
        <x:v>California Current</x:v>
      </x:c>
      <x:c r="C230" s="46" t="str">
        <x:v>LME</x:v>
      </x:c>
      <x:c r="D230" s="58" t="n">
        <x:v>2019</x:v>
      </x:c>
      <x:c r="E230" s="46" t="str">
        <x:v>Rajiformes</x:v>
      </x:c>
      <x:c r="F230" s="46" t="str">
        <x:v>Skates and rays</x:v>
      </x:c>
      <x:c r="G230" s="46" t="str">
        <x:v>Large rays (&gt;=90 cm)</x:v>
      </x:c>
      <x:c r="H230" s="46" t="str">
        <x:v>Sharks &amp; rays</x:v>
      </x:c>
      <x:c r="I230" s="60" t="n">
        <x:v>1.0992948476</x:v>
      </x:c>
      <x:c r="J230" s="60" t="n">
        <x:v>0.5816235266</x:v>
      </x:c>
      <x:c r="K230" s="60" t="n">
        <x:v>0.517671321</x:v>
      </x:c>
      <x:c r="L230" s="60" t="n">
        <x:v>0</x:v>
      </x:c>
      <x:c r="M230" s="60" t="n">
        <x:v>1.0992948476</x:v>
      </x:c>
      <x:c r="N230" s="46" t="str">
        <x:v>rajiformes</x:v>
      </x:c>
      <x:c r="O230" s="62" t="n">
        <x:v>3.61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Rajiformes</x:v>
      </x:c>
      <x:c r="T230" s="62" t="n">
        <x:f>IF(O230="","",(1/'Metadata'!$B$5)^(O230-1))</x:f>
        <x:v>2487.0716021897506</x:v>
      </x:c>
      <x:c r="U230" s="60" t="n">
        <x:f>IF(T230="","",I230*T230)</x:f>
        <x:v>2734.02499789947</x:v>
      </x:c>
    </x:row>
    <x:row r="231" ht="18" customHeight="1">
      <x:c r="A231" s="46" t="str">
        <x:v>LME_003</x:v>
      </x:c>
      <x:c r="B231" s="46" t="str">
        <x:v>California Current</x:v>
      </x:c>
      <x:c r="C231" s="46" t="str">
        <x:v>LME</x:v>
      </x:c>
      <x:c r="D231" s="58" t="n">
        <x:v>2019</x:v>
      </x:c>
      <x:c r="E231" s="46" t="str">
        <x:v>Istiompax indica</x:v>
      </x:c>
      <x:c r="F231" s="46" t="str">
        <x:v>Black marlin</x:v>
      </x:c>
      <x:c r="G231" s="46" t="str">
        <x:v>Large pelagics (&gt;=90 cm)</x:v>
      </x:c>
      <x:c r="H231" s="46" t="str">
        <x:v>Tuna &amp; billfishes</x:v>
      </x:c>
      <x:c r="I231" s="60" t="n">
        <x:v>1.0144738371</x:v>
      </x:c>
      <x:c r="J231" s="60" t="n">
        <x:v>1.0144738371</x:v>
      </x:c>
      <x:c r="K231" s="60" t="n">
        <x:v>0</x:v>
      </x:c>
      <x:c r="L231" s="60" t="n">
        <x:v>1.0144738371</x:v>
      </x:c>
      <x:c r="M231" s="60" t="n">
        <x:v>0</x:v>
      </x:c>
      <x:c r="N231" s="46" t="str">
        <x:v>istiompax indica</x:v>
      </x:c>
      <x:c r="O231" s="62" t="n">
        <x:v>4.5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Istiompax indica</x:v>
      </x:c>
      <x:c r="T231" s="62" t="n">
        <x:f>IF(O231="","",(1/'Metadata'!$B$5)^(O231-1))</x:f>
        <x:v>35777.08763999664</x:v>
      </x:c>
      <x:c r="U231" s="60" t="n">
        <x:f>IF(T231="","",I231*T231)</x:f>
        <x:v>36294.91937841037</x:v>
      </x:c>
    </x:row>
    <x:row r="232" ht="18" customHeight="1">
      <x:c r="A232" s="46" t="str">
        <x:v>LME_003</x:v>
      </x:c>
      <x:c r="B232" s="46" t="str">
        <x:v>California Current</x:v>
      </x:c>
      <x:c r="C232" s="46" t="str">
        <x:v>LME</x:v>
      </x:c>
      <x:c r="D232" s="58" t="n">
        <x:v>2019</x:v>
      </x:c>
      <x:c r="E232" s="46" t="str">
        <x:v>Sebastes levis</x:v>
      </x:c>
      <x:c r="F232" s="46" t="str">
        <x:v>Cowcod</x:v>
      </x:c>
      <x:c r="G232" s="46" t="str">
        <x:v>Large bathydemersals (&gt;=90 cm)</x:v>
      </x:c>
      <x:c r="H232" s="46" t="str">
        <x:v>Scorpionfishes</x:v>
      </x:c>
      <x:c r="I232" s="60" t="n">
        <x:v>0.9930760173000001</x:v>
      </x:c>
      <x:c r="J232" s="60" t="n">
        <x:v>0.9930760173000001</x:v>
      </x:c>
      <x:c r="K232" s="60" t="n">
        <x:v>0</x:v>
      </x:c>
      <x:c r="L232" s="60" t="n">
        <x:v>0.9930760173000001</x:v>
      </x:c>
      <x:c r="M232" s="60" t="n">
        <x:v>0</x:v>
      </x:c>
      <x:c r="N232" s="46" t="str">
        <x:v>sebastes levis</x:v>
      </x:c>
      <x:c r="O232" s="62" t="n">
        <x:v>3.95</x:v>
      </x:c>
      <x:c r="P232" s="46" t="str">
        <x:v>exact_sea_around_us</x:v>
      </x:c>
      <x:c r="Q232" s="62" t="str">
        <x:v>Sea Around Us exploited organisms</x:v>
      </x:c>
      <x:c r="R232" s="46" t="str">
        <x:v>high</x:v>
      </x:c>
      <x:c r="S232" s="46" t="str">
        <x:v>Sebastes levis</x:v>
      </x:c>
      <x:c r="T232" s="62" t="n">
        <x:f>IF(O232="","",(1/'Metadata'!$B$5)^(O232-1))</x:f>
        <x:v>6887.133274653882</x:v>
      </x:c>
      <x:c r="U232" s="60" t="n">
        <x:f>IF(T232="","",I232*T232)</x:f>
        <x:v>6839.446883007585</x:v>
      </x:c>
    </x:row>
    <x:row r="233" ht="18" customHeight="1">
      <x:c r="A233" s="46" t="str">
        <x:v>LME_003</x:v>
      </x:c>
      <x:c r="B233" s="46" t="str">
        <x:v>California Current</x:v>
      </x:c>
      <x:c r="C233" s="46" t="str">
        <x:v>LME</x:v>
      </x:c>
      <x:c r="D233" s="58" t="n">
        <x:v>2019</x:v>
      </x:c>
      <x:c r="E233" s="46" t="str">
        <x:v>Allosmerus elongatus</x:v>
      </x:c>
      <x:c r="F233" s="46" t="str">
        <x:v>Whitebait smelt</x:v>
      </x:c>
      <x:c r="G233" s="46" t="str">
        <x:v>Small pelagics (&lt;30 cm)</x:v>
      </x:c>
      <x:c r="H233" s="46" t="str">
        <x:v>Salmon, smelts, etc</x:v>
      </x:c>
      <x:c r="I233" s="60" t="n">
        <x:v>0.9605230492</x:v>
      </x:c>
      <x:c r="J233" s="60" t="n">
        <x:v>0</x:v>
      </x:c>
      <x:c r="K233" s="60" t="n">
        <x:v>0.9605230492</x:v>
      </x:c>
      <x:c r="L233" s="60" t="n">
        <x:v>0</x:v>
      </x:c>
      <x:c r="M233" s="60" t="n">
        <x:v>0.9605230492</x:v>
      </x:c>
      <x:c r="N233" s="46" t="str">
        <x:v>allosmerus elongatus</x:v>
      </x:c>
      <x:c r="O233" s="62" t="n">
        <x:v>3.3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Allosmerus elongatus</x:v>
      </x:c>
      <x:c r="T233" s="62" t="n">
        <x:f>IF(O233="","",(1/'Metadata'!$B$5)^(O233-1))</x:f>
        <x:v>982.5824208926318</x:v>
      </x:c>
      <x:c r="U233" s="60" t="n">
        <x:f>IF(T233="","",I233*T233)</x:f>
        <x:v>943.7930630061085</x:v>
      </x:c>
    </x:row>
    <x:row r="234" ht="18" customHeight="1">
      <x:c r="A234" s="46" t="str">
        <x:v>LME_003</x:v>
      </x:c>
      <x:c r="B234" s="46" t="str">
        <x:v>California Current</x:v>
      </x:c>
      <x:c r="C234" s="46" t="str">
        <x:v>LME</x:v>
      </x:c>
      <x:c r="D234" s="58" t="n">
        <x:v>2019</x:v>
      </x:c>
      <x:c r="E234" s="46" t="str">
        <x:v>Sebastes atrovirens</x:v>
      </x:c>
      <x:c r="F234" s="46" t="str">
        <x:v>Kelp rockfish</x:v>
      </x:c>
      <x:c r="G234" s="46" t="str">
        <x:v>Medium demersals (30 - 89 cm)</x:v>
      </x:c>
      <x:c r="H234" s="46" t="str">
        <x:v>Scorpionfishes</x:v>
      </x:c>
      <x:c r="I234" s="60" t="n">
        <x:v>0.8933258383</x:v>
      </x:c>
      <x:c r="J234" s="60" t="n">
        <x:v>0.8933258383</x:v>
      </x:c>
      <x:c r="K234" s="60" t="n">
        <x:v>0</x:v>
      </x:c>
      <x:c r="L234" s="60" t="n">
        <x:v>0.8933258383</x:v>
      </x:c>
      <x:c r="M234" s="60" t="n">
        <x:v>0</x:v>
      </x:c>
      <x:c r="N234" s="46" t="str">
        <x:v>sebastes atrovirens</x:v>
      </x:c>
      <x:c r="O234" s="62" t="n">
        <x:v>3.35</x:v>
      </x:c>
      <x:c r="P234" s="46" t="str">
        <x:v>exact_2020_supplement</x:v>
      </x:c>
      <x:c r="Q234" s="62" t="str">
        <x:v>2020 supplement MeanTL</x:v>
      </x:c>
      <x:c r="R234" s="46" t="str">
        <x:v>high</x:v>
      </x:c>
      <x:c r="S234" s="46" t="str">
        <x:v>Sebastes atrovirens</x:v>
      </x:c>
      <x:c r="T234" s="62" t="n">
        <x:f>IF(O234="","",(1/'Metadata'!$B$5)^(O234-1))</x:f>
        <x:v>1141.3543275066227</x:v>
      </x:c>
      <x:c r="U234" s="60" t="n">
        <x:f>IF(T234="","",I234*T234)</x:f>
        <x:v>1019.6013114171865</x:v>
      </x:c>
    </x:row>
    <x:row r="235" ht="18" customHeight="1">
      <x:c r="A235" s="46" t="str">
        <x:v>LME_003</x:v>
      </x:c>
      <x:c r="B235" s="46" t="str">
        <x:v>California Current</x:v>
      </x:c>
      <x:c r="C235" s="46" t="str">
        <x:v>LME</x:v>
      </x:c>
      <x:c r="D235" s="58" t="n">
        <x:v>2019</x:v>
      </x:c>
      <x:c r="E235" s="46" t="str">
        <x:v>Sebastes helvomaculatus</x:v>
      </x:c>
      <x:c r="F235" s="46" t="str">
        <x:v>Rosethorn rockfish</x:v>
      </x:c>
      <x:c r="G235" s="46" t="str">
        <x:v>Medium demersals (30 - 89 cm)</x:v>
      </x:c>
      <x:c r="H235" s="46" t="str">
        <x:v>Scorpionfishes</x:v>
      </x:c>
      <x:c r="I235" s="60" t="n">
        <x:v>0.8181205307</x:v>
      </x:c>
      <x:c r="J235" s="60" t="n">
        <x:v>0.0180769712</x:v>
      </x:c>
      <x:c r="K235" s="60" t="n">
        <x:v>0.8000435595</x:v>
      </x:c>
      <x:c r="L235" s="60" t="n">
        <x:v>0</x:v>
      </x:c>
      <x:c r="M235" s="60" t="n">
        <x:v>0.8181205307</x:v>
      </x:c>
      <x:c r="N235" s="46" t="str">
        <x:v>sebastes helvomaculatus</x:v>
      </x:c>
      <x:c r="O235" s="62" t="n">
        <x:v>3.7</x:v>
      </x:c>
      <x:c r="P235" s="46" t="str">
        <x:v>exact_sea_around_us</x:v>
      </x:c>
      <x:c r="Q235" s="62" t="str">
        <x:v>Sea Around Us exploited organisms</x:v>
      </x:c>
      <x:c r="R235" s="46" t="str">
        <x:v>high</x:v>
      </x:c>
      <x:c r="S235" s="46" t="str">
        <x:v>Sebastes helvomaculatus</x:v>
      </x:c>
      <x:c r="T235" s="62" t="n">
        <x:f>IF(O235="","",(1/'Metadata'!$B$5)^(O235-1))</x:f>
        <x:v>3256.724252295237</x:v>
      </x:c>
      <x:c r="U235" s="60" t="n">
        <x:f>IF(T235="","",I235*T235)</x:f>
        <x:v>2664.39297363134</x:v>
      </x:c>
    </x:row>
    <x:row r="236" ht="18" customHeight="1">
      <x:c r="A236" s="46" t="str">
        <x:v>LME_003</x:v>
      </x:c>
      <x:c r="B236" s="46" t="str">
        <x:v>California Current</x:v>
      </x:c>
      <x:c r="C236" s="46" t="str">
        <x:v>LME</x:v>
      </x:c>
      <x:c r="D236" s="58" t="n">
        <x:v>2019</x:v>
      </x:c>
      <x:c r="E236" s="46" t="str">
        <x:v>Isurus</x:v>
      </x:c>
      <x:c r="F236" s="46" t="str">
        <x:v>Mako sharks</x:v>
      </x:c>
      <x:c r="G236" s="46" t="str">
        <x:v>Large sharks (&gt;=90 cm)</x:v>
      </x:c>
      <x:c r="H236" s="46" t="str">
        <x:v>Sharks &amp; rays</x:v>
      </x:c>
      <x:c r="I236" s="60" t="n">
        <x:v>0.7540145911</x:v>
      </x:c>
      <x:c r="J236" s="60" t="n">
        <x:v>0</x:v>
      </x:c>
      <x:c r="K236" s="60" t="n">
        <x:v>0.7540145911</x:v>
      </x:c>
      <x:c r="L236" s="60" t="n">
        <x:v>0</x:v>
      </x:c>
      <x:c r="M236" s="60" t="n">
        <x:v>0.7540145911</x:v>
      </x:c>
      <x:c r="N236" s="46" t="str">
        <x:v>isurus</x:v>
      </x:c>
      <x:c r="O236" s="62" t="n">
        <x:v>4.5</x:v>
      </x:c>
      <x:c r="P236" s="46" t="str">
        <x:v>exact_sea_around_us</x:v>
      </x:c>
      <x:c r="Q236" s="62" t="str">
        <x:v>Sea Around Us exploited organisms</x:v>
      </x:c>
      <x:c r="R236" s="46" t="str">
        <x:v>high</x:v>
      </x:c>
      <x:c r="S236" s="46" t="str">
        <x:v>Isurus</x:v>
      </x:c>
      <x:c r="T236" s="62" t="n">
        <x:f>IF(O236="","",(1/'Metadata'!$B$5)^(O236-1))</x:f>
        <x:v>35777.08763999664</x:v>
      </x:c>
      <x:c r="U236" s="60" t="n">
        <x:f>IF(T236="","",I236*T236)</x:f>
        <x:v>26976.44610762093</x:v>
      </x:c>
    </x:row>
    <x:row r="237" ht="18" customHeight="1">
      <x:c r="A237" s="46" t="str">
        <x:v>LME_003</x:v>
      </x:c>
      <x:c r="B237" s="46" t="str">
        <x:v>California Current</x:v>
      </x:c>
      <x:c r="C237" s="46" t="str">
        <x:v>LME</x:v>
      </x:c>
      <x:c r="D237" s="58" t="n">
        <x:v>2019</x:v>
      </x:c>
      <x:c r="E237" s="46" t="str">
        <x:v>Alopias superciliosus</x:v>
      </x:c>
      <x:c r="F237" s="46" t="str">
        <x:v>Bigeye thresher</x:v>
      </x:c>
      <x:c r="G237" s="46" t="str">
        <x:v>Large sharks (&gt;=90 cm)</x:v>
      </x:c>
      <x:c r="H237" s="46" t="str">
        <x:v>Sharks &amp; rays</x:v>
      </x:c>
      <x:c r="I237" s="60" t="n">
        <x:v>0.6955834458</x:v>
      </x:c>
      <x:c r="J237" s="60" t="n">
        <x:v>0.6955834458</x:v>
      </x:c>
      <x:c r="K237" s="60" t="n">
        <x:v>0</x:v>
      </x:c>
      <x:c r="L237" s="60" t="n">
        <x:v>0.6955834458</x:v>
      </x:c>
      <x:c r="M237" s="60" t="n">
        <x:v>0</x:v>
      </x:c>
      <x:c r="N237" s="46" t="str">
        <x:v>alopias superciliosus</x:v>
      </x:c>
      <x:c r="O237" s="62" t="n">
        <x:v>4.51</x:v>
      </x:c>
      <x:c r="P237" s="46" t="str">
        <x:v>exact_2020_supplement</x:v>
      </x:c>
      <x:c r="Q237" s="62" t="str">
        <x:v>2020 supplement MeanTL</x:v>
      </x:c>
      <x:c r="R237" s="46" t="str">
        <x:v>high</x:v>
      </x:c>
      <x:c r="S237" s="46" t="str">
        <x:v>Alopias superciliosus</x:v>
      </x:c>
      <x:c r="T237" s="62" t="n">
        <x:f>IF(O237="","",(1/'Metadata'!$B$5)^(O237-1))</x:f>
        <x:v>36865.088835568684</x:v>
      </x:c>
      <x:c r="U237" s="60" t="n">
        <x:f>IF(T237="","",I237*T237)</x:f>
        <x:v>25642.745521967972</x:v>
      </x:c>
    </x:row>
    <x:row r="238" ht="18" customHeight="1">
      <x:c r="A238" s="46" t="str">
        <x:v>LME_003</x:v>
      </x:c>
      <x:c r="B238" s="46" t="str">
        <x:v>California Current</x:v>
      </x:c>
      <x:c r="C238" s="46" t="str">
        <x:v>LME</x:v>
      </x:c>
      <x:c r="D238" s="58" t="n">
        <x:v>2019</x:v>
      </x:c>
      <x:c r="E238" s="46" t="str">
        <x:v>Mya arenaria</x:v>
      </x:c>
      <x:c r="F238" s="46" t="str">
        <x:v>Sand gaper</x:v>
      </x:c>
      <x:c r="G238" s="46" t="str">
        <x:v>Other demersal invertebrates</x:v>
      </x:c>
      <x:c r="H238" s="46" t="str">
        <x:v>Molluscs</x:v>
      </x:c>
      <x:c r="I238" s="60" t="n">
        <x:v>0.6784759377</x:v>
      </x:c>
      <x:c r="J238" s="60" t="n">
        <x:v>0.6784759377</x:v>
      </x:c>
      <x:c r="K238" s="60" t="n">
        <x:v>0</x:v>
      </x:c>
      <x:c r="L238" s="60" t="n">
        <x:v>0</x:v>
      </x:c>
      <x:c r="M238" s="60" t="n">
        <x:v>0.6784759377</x:v>
      </x:c>
      <x:c r="N238" s="46" t="str">
        <x:v>mya arenaria</x:v>
      </x:c>
      <x:c r="O238" s="62" t="n">
        <x:v>2.31</x:v>
      </x:c>
      <x:c r="P238" s="46" t="str">
        <x:v>exact_2020_supplement</x:v>
      </x:c>
      <x:c r="Q238" s="62" t="str">
        <x:v>2020 supplement MeanTL</x:v>
      </x:c>
      <x:c r="R238" s="46" t="str">
        <x:v>high</x:v>
      </x:c>
      <x:c r="S238" s="46" t="str">
        <x:v>Mya arenaria</x:v>
      </x:c>
      <x:c r="T238" s="62" t="n">
        <x:f>IF(O238="","",(1/'Metadata'!$B$5)^(O238-1))</x:f>
        <x:v>50.62316502528833</x:v>
      </x:c>
      <x:c r="U238" s="60" t="n">
        <x:f>IF(T238="","",I238*T238)</x:f>
        <x:v>34.34659935987435</x:v>
      </x:c>
    </x:row>
    <x:row r="239" ht="18" customHeight="1">
      <x:c r="A239" s="46" t="str">
        <x:v>LME_003</x:v>
      </x:c>
      <x:c r="B239" s="46" t="str">
        <x:v>California Current</x:v>
      </x:c>
      <x:c r="C239" s="46" t="str">
        <x:v>LME</x:v>
      </x:c>
      <x:c r="D239" s="58" t="n">
        <x:v>2019</x:v>
      </x:c>
      <x:c r="E239" s="46" t="str">
        <x:v>Sebastes rosenblatti</x:v>
      </x:c>
      <x:c r="F239" s="46" t="str">
        <x:v>Greenblotched rockfish</x:v>
      </x:c>
      <x:c r="G239" s="46" t="str">
        <x:v>Medium demersals (30 - 89 cm)</x:v>
      </x:c>
      <x:c r="H239" s="46" t="str">
        <x:v>Scorpionfishes</x:v>
      </x:c>
      <x:c r="I239" s="60" t="n">
        <x:v>0.5957960218</x:v>
      </x:c>
      <x:c r="J239" s="60" t="n">
        <x:v>0.5957960218</x:v>
      </x:c>
      <x:c r="K239" s="60" t="n">
        <x:v>0</x:v>
      </x:c>
      <x:c r="L239" s="60" t="n">
        <x:v>0.5957960218</x:v>
      </x:c>
      <x:c r="M239" s="60" t="n">
        <x:v>0</x:v>
      </x:c>
      <x:c r="N239" s="46" t="str">
        <x:v>sebastes rosenblatti</x:v>
      </x:c>
      <x:c r="O239" s="62" t="n">
        <x:v>3.75</x:v>
      </x:c>
      <x:c r="P239" s="46" t="str">
        <x:v>exact_sea_around_us</x:v>
      </x:c>
      <x:c r="Q239" s="62" t="str">
        <x:v>Sea Around Us exploited organisms</x:v>
      </x:c>
      <x:c r="R239" s="46" t="str">
        <x:v>high</x:v>
      </x:c>
      <x:c r="S239" s="46" t="str">
        <x:v>Sebastes rosenblatti</x:v>
      </x:c>
      <x:c r="T239" s="62" t="n">
        <x:f>IF(O239="","",(1/'Metadata'!$B$5)^(O239-1))</x:f>
        <x:v>3782.966436012703</x:v>
      </x:c>
      <x:c r="U239" s="60" t="n">
        <x:f>IF(T239="","",I239*T239)</x:f>
        <x:v>2253.876353179293</x:v>
      </x:c>
    </x:row>
    <x:row r="240" ht="18" customHeight="1">
      <x:c r="A240" s="46" t="str">
        <x:v>LME_003</x:v>
      </x:c>
      <x:c r="B240" s="46" t="str">
        <x:v>California Current</x:v>
      </x:c>
      <x:c r="C240" s="46" t="str">
        <x:v>LME</x:v>
      </x:c>
      <x:c r="D240" s="58" t="n">
        <x:v>2019</x:v>
      </x:c>
      <x:c r="E240" s="46" t="str">
        <x:v>Sebastes ovalis</x:v>
      </x:c>
      <x:c r="F240" s="46" t="str">
        <x:v>Speckled rockfish</x:v>
      </x:c>
      <x:c r="G240" s="46" t="str">
        <x:v>Medium demersals (30 - 89 cm)</x:v>
      </x:c>
      <x:c r="H240" s="46" t="str">
        <x:v>Scorpionfishes</x:v>
      </x:c>
      <x:c r="I240" s="60" t="n">
        <x:v>0.4963724374</x:v>
      </x:c>
      <x:c r="J240" s="60" t="n">
        <x:v>0.4963724374</x:v>
      </x:c>
      <x:c r="K240" s="60" t="n">
        <x:v>0</x:v>
      </x:c>
      <x:c r="L240" s="60" t="n">
        <x:v>0.4963724374</x:v>
      </x:c>
      <x:c r="M240" s="60" t="n">
        <x:v>0</x:v>
      </x:c>
      <x:c r="N240" s="46" t="str">
        <x:v>sebastes ovalis</x:v>
      </x:c>
      <x:c r="O240" s="62" t="n">
        <x:v>3.79</x:v>
      </x:c>
      <x:c r="P240" s="46" t="str">
        <x:v>exact_sea_around_us</x:v>
      </x:c>
      <x:c r="Q240" s="62" t="str">
        <x:v>Sea Around Us exploited organisms</x:v>
      </x:c>
      <x:c r="R240" s="46" t="str">
        <x:v>high</x:v>
      </x:c>
      <x:c r="S240" s="46" t="str">
        <x:v>Sebastes ovalis</x:v>
      </x:c>
      <x:c r="T240" s="62" t="n">
        <x:f>IF(O240="","",(1/'Metadata'!$B$5)^(O240-1))</x:f>
        <x:v>4264.554685980751</x:v>
      </x:c>
      <x:c r="U240" s="60" t="n">
        <x:f>IF(T240="","",I240*T240)</x:f>
        <x:v>2116.807403905857</x:v>
      </x:c>
    </x:row>
    <x:row r="241" ht="18" customHeight="1">
      <x:c r="A241" s="46" t="str">
        <x:v>LME_003</x:v>
      </x:c>
      <x:c r="B241" s="46" t="str">
        <x:v>California Current</x:v>
      </x:c>
      <x:c r="C241" s="46" t="str">
        <x:v>LME</x:v>
      </x:c>
      <x:c r="D241" s="58" t="n">
        <x:v>2019</x:v>
      </x:c>
      <x:c r="E241" s="46" t="str">
        <x:v>Cottidae</x:v>
      </x:c>
      <x:c r="F241" s="46" t="str">
        <x:v>Sculpins</x:v>
      </x:c>
      <x:c r="G241" s="46" t="str">
        <x:v>Large reef assoc. fish (&gt;=90 cm)</x:v>
      </x:c>
      <x:c r="H241" s="46" t="str">
        <x:v>Scorpionfishes</x:v>
      </x:c>
      <x:c r="I241" s="60" t="n">
        <x:v>0.42118729219999995</x:v>
      </x:c>
      <x:c r="J241" s="60" t="n">
        <x:v>0.372375242</x:v>
      </x:c>
      <x:c r="K241" s="60" t="n">
        <x:v>0.048812050200000005</x:v>
      </x:c>
      <x:c r="L241" s="60" t="n">
        <x:v>0.1444200582</x:v>
      </x:c>
      <x:c r="M241" s="60" t="n">
        <x:v>0.276767234</x:v>
      </x:c>
      <x:c r="N241" s="46" t="str">
        <x:v>cottidae</x:v>
      </x:c>
      <x:c r="O241" s="62" t="n">
        <x:v>3.81</x:v>
      </x:c>
      <x:c r="P241" s="46" t="str">
        <x:v>exact_sea_around_us</x:v>
      </x:c>
      <x:c r="Q241" s="62" t="str">
        <x:v>Sea Around Us exploited organisms</x:v>
      </x:c>
      <x:c r="R241" s="46" t="str">
        <x:v>high</x:v>
      </x:c>
      <x:c r="S241" s="46" t="str">
        <x:v>Cottidae</x:v>
      </x:c>
      <x:c r="T241" s="62" t="n">
        <x:f>IF(O241="","",(1/'Metadata'!$B$5)^(O241-1))</x:f>
        <x:v>4527.873529309382</x:v>
      </x:c>
      <x:c r="U241" s="60" t="n">
        <x:f>IF(T241="","",I241*T241)</x:f>
        <x:v>1907.082791233876</x:v>
      </x:c>
    </x:row>
    <x:row r="242" ht="18" customHeight="1">
      <x:c r="A242" s="46" t="str">
        <x:v>LME_003</x:v>
      </x:c>
      <x:c r="B242" s="46" t="str">
        <x:v>California Current</x:v>
      </x:c>
      <x:c r="C242" s="46" t="str">
        <x:v>LME</x:v>
      </x:c>
      <x:c r="D242" s="58" t="n">
        <x:v>2019</x:v>
      </x:c>
      <x:c r="E242" s="46" t="str">
        <x:v>Hyperprosopon argenteum</x:v>
      </x:c>
      <x:c r="F242" s="46" t="str">
        <x:v>Walleye surfperch</x:v>
      </x:c>
      <x:c r="G242" s="46" t="str">
        <x:v>Medium demersals (30 - 89 cm)</x:v>
      </x:c>
      <x:c r="H242" s="46" t="str">
        <x:v>Perch-likes</x:v>
      </x:c>
      <x:c r="I242" s="60" t="n">
        <x:v>0.3852884038</x:v>
      </x:c>
      <x:c r="J242" s="60" t="n">
        <x:v>0</x:v>
      </x:c>
      <x:c r="K242" s="60" t="n">
        <x:v>0.3852884038</x:v>
      </x:c>
      <x:c r="L242" s="60" t="n">
        <x:v>0</x:v>
      </x:c>
      <x:c r="M242" s="60" t="n">
        <x:v>0.3852884038</x:v>
      </x:c>
      <x:c r="N242" s="46" t="str">
        <x:v>hyperprosopon argenteum</x:v>
      </x:c>
      <x:c r="O242" s="62" t="n">
        <x:v>3.5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Hyperprosopon argenteum</x:v>
      </x:c>
      <x:c r="T242" s="62" t="n">
        <x:f>IF(O242="","",(1/'Metadata'!$B$5)^(O242-1))</x:f>
        <x:v>1788.8543819998317</x:v>
      </x:c>
      <x:c r="U242" s="60" t="n">
        <x:f>IF(T242="","",I242*T242)</x:f>
        <x:v>689.2248494713507</x:v>
      </x:c>
    </x:row>
    <x:row r="243" ht="18" customHeight="1">
      <x:c r="A243" s="46" t="str">
        <x:v>LME_003</x:v>
      </x:c>
      <x:c r="B243" s="46" t="str">
        <x:v>California Current</x:v>
      </x:c>
      <x:c r="C243" s="46" t="str">
        <x:v>LME</x:v>
      </x:c>
      <x:c r="D243" s="58" t="n">
        <x:v>2019</x:v>
      </x:c>
      <x:c r="E243" s="46" t="str">
        <x:v>Miscellaneous aquatic invertebrates</x:v>
      </x:c>
      <x:c r="F243" s="46" t="str">
        <x:v>Aquatic invertebrates</x:v>
      </x:c>
      <x:c r="G243" s="46" t="str">
        <x:v>Other demersal invertebrates</x:v>
      </x:c>
      <x:c r="H243" s="46" t="str">
        <x:v>Other fishes &amp; inverts</x:v>
      </x:c>
      <x:c r="I243" s="60" t="n">
        <x:v>0.3335337068</x:v>
      </x:c>
      <x:c r="J243" s="60" t="n">
        <x:v>0</x:v>
      </x:c>
      <x:c r="K243" s="60" t="n">
        <x:v>0.3335337068</x:v>
      </x:c>
      <x:c r="L243" s="60" t="n">
        <x:v>0</x:v>
      </x:c>
      <x:c r="M243" s="60" t="n">
        <x:v>0.3335337068</x:v>
      </x:c>
      <x:c r="N243" s="46" t="str">
        <x:v>miscellaneous aquatic invertebrates</x:v>
      </x:c>
      <x:c r="O243" s="62" t="n">
        <x:v>2.43</x:v>
      </x:c>
      <x:c r="P243" s="46" t="str">
        <x:v>exact_sea_around_us</x:v>
      </x:c>
      <x:c r="Q243" s="62" t="str">
        <x:v>Sea Around Us exploited organisms</x:v>
      </x:c>
      <x:c r="R243" s="46" t="str">
        <x:v>high</x:v>
      </x:c>
      <x:c r="S243" s="46" t="str">
        <x:v>Miscellaneous aquatic invertebrates</x:v>
      </x:c>
      <x:c r="T243" s="62" t="n">
        <x:f>IF(O243="","",(1/'Metadata'!$B$5)^(O243-1))</x:f>
        <x:v>72.52252122305909</x:v>
      </x:c>
      <x:c r="U243" s="60" t="n">
        <x:f>IF(T243="","",I243*T243)</x:f>
        <x:v>24.188705330008567</x:v>
      </x:c>
    </x:row>
    <x:row r="244" ht="18" customHeight="1">
      <x:c r="A244" s="46" t="str">
        <x:v>LME_003</x:v>
      </x:c>
      <x:c r="B244" s="46" t="str">
        <x:v>California Current</x:v>
      </x:c>
      <x:c r="C244" s="46" t="str">
        <x:v>LME</x:v>
      </x:c>
      <x:c r="D244" s="58" t="n">
        <x:v>2019</x:v>
      </x:c>
      <x:c r="E244" s="46" t="str">
        <x:v>Anarrhichthys ocellatus</x:v>
      </x:c>
      <x:c r="F244" s="46" t="str">
        <x:v>Wolf-eel</x:v>
      </x:c>
      <x:c r="G244" s="46" t="str">
        <x:v>Large demersals (&gt;=90 cm)</x:v>
      </x:c>
      <x:c r="H244" s="46" t="str">
        <x:v>Perch-likes</x:v>
      </x:c>
      <x:c r="I244" s="60" t="n">
        <x:v>0.31507175719999997</x:v>
      </x:c>
      <x:c r="J244" s="60" t="n">
        <x:v>0.31507175719999997</x:v>
      </x:c>
      <x:c r="K244" s="60" t="n">
        <x:v>0</x:v>
      </x:c>
      <x:c r="L244" s="60" t="n">
        <x:v>0.29406089329999996</x:v>
      </x:c>
      <x:c r="M244" s="60" t="n">
        <x:v>0.0210108639</x:v>
      </x:c>
      <x:c r="N244" s="46" t="str">
        <x:v>anarrhichthys ocellatus</x:v>
      </x:c>
      <x:c r="O244" s="62" t="n">
        <x:v>3.51</x:v>
      </x:c>
      <x:c r="P244" s="46" t="str">
        <x:v>exact_2020_supplement</x:v>
      </x:c>
      <x:c r="Q244" s="62" t="str">
        <x:v>2020 supplement MeanTL</x:v>
      </x:c>
      <x:c r="R244" s="46" t="str">
        <x:v>high</x:v>
      </x:c>
      <x:c r="S244" s="46" t="str">
        <x:v>Anarrhichthys ocellatus</x:v>
      </x:c>
      <x:c r="T244" s="62" t="n">
        <x:f>IF(O244="","",(1/'Metadata'!$B$5)^(O244-1))</x:f>
        <x:v>1843.2544417784343</x:v>
      </x:c>
      <x:c r="U244" s="60" t="n">
        <x:f>IF(T244="","",I244*T244)</x:f>
        <x:v>580.7574159378363</x:v>
      </x:c>
    </x:row>
    <x:row r="245" ht="18" customHeight="1">
      <x:c r="A245" s="46" t="str">
        <x:v>LME_003</x:v>
      </x:c>
      <x:c r="B245" s="46" t="str">
        <x:v>California Current</x:v>
      </x:c>
      <x:c r="C245" s="46" t="str">
        <x:v>LME</x:v>
      </x:c>
      <x:c r="D245" s="58" t="n">
        <x:v>2019</x:v>
      </x:c>
      <x:c r="E245" s="46" t="str">
        <x:v>Cebidichthys violaceus</x:v>
      </x:c>
      <x:c r="F245" s="46" t="str">
        <x:v>Monkeyface prickleback</x:v>
      </x:c>
      <x:c r="G245" s="46" t="str">
        <x:v>Medium demersals (30 - 89 cm)</x:v>
      </x:c>
      <x:c r="H245" s="46" t="str">
        <x:v>Perch-likes</x:v>
      </x:c>
      <x:c r="I245" s="60" t="n">
        <x:v>0.2929359025</x:v>
      </x:c>
      <x:c r="J245" s="60" t="n">
        <x:v>0.11821347089999999</x:v>
      </x:c>
      <x:c r="K245" s="60" t="n">
        <x:v>0.1747224316</x:v>
      </x:c>
      <x:c r="L245" s="60" t="n">
        <x:v>0.099139888</x:v>
      </x:c>
      <x:c r="M245" s="60" t="n">
        <x:v>0.1937960145</x:v>
      </x:c>
      <x:c r="N245" s="46" t="str">
        <x:v>cebidichthys violaceus</x:v>
      </x:c>
      <x:c r="O245" s="62" t="n">
        <x:v>2.33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Cebidichthys violaceus</x:v>
      </x:c>
      <x:c r="T245" s="62" t="n">
        <x:f>IF(O245="","",(1/'Metadata'!$B$5)^(O245-1))</x:f>
        <x:v>53.748938814498814</x:v>
      </x:c>
      <x:c r="U245" s="60" t="n">
        <x:f>IF(T245="","",I245*T245)</x:f>
        <x:v>15.744993900042491</x:v>
      </x:c>
    </x:row>
    <x:row r="246" ht="18" customHeight="1">
      <x:c r="A246" s="46" t="str">
        <x:v>LME_003</x:v>
      </x:c>
      <x:c r="B246" s="46" t="str">
        <x:v>California Current</x:v>
      </x:c>
      <x:c r="C246" s="46" t="str">
        <x:v>LME</x:v>
      </x:c>
      <x:c r="D246" s="58" t="n">
        <x:v>2019</x:v>
      </x:c>
      <x:c r="E246" s="46" t="str">
        <x:v>Enophrys bison</x:v>
      </x:c>
      <x:c r="F246" s="46" t="str">
        <x:v>Buffalo sculpin</x:v>
      </x:c>
      <x:c r="G246" s="46" t="str">
        <x:v>Medium demersals (30 - 89 cm)</x:v>
      </x:c>
      <x:c r="H246" s="46" t="str">
        <x:v>Scorpionfishes</x:v>
      </x:c>
      <x:c r="I246" s="60" t="n">
        <x:v>0.2277297415</x:v>
      </x:c>
      <x:c r="J246" s="60" t="n">
        <x:v>0.0221109413</x:v>
      </x:c>
      <x:c r="K246" s="60" t="n">
        <x:v>0.2056188002</x:v>
      </x:c>
      <x:c r="L246" s="60" t="n">
        <x:v>0</x:v>
      </x:c>
      <x:c r="M246" s="60" t="n">
        <x:v>0.2277297415</x:v>
      </x:c>
      <x:c r="N246" s="46" t="str">
        <x:v>enophrys bison</x:v>
      </x:c>
      <x:c r="O246" s="62" t="n">
        <x:v>3.34</x:v>
      </x:c>
      <x:c r="P246" s="46" t="str">
        <x:v>exact_2020_supplement</x:v>
      </x:c>
      <x:c r="Q246" s="62" t="str">
        <x:v>2020 supplement MeanTL</x:v>
      </x:c>
      <x:c r="R246" s="46" t="str">
        <x:v>high</x:v>
      </x:c>
      <x:c r="S246" s="46" t="str">
        <x:v>Enophrys bison</x:v>
      </x:c>
      <x:c r="T246" s="62" t="n">
        <x:f>IF(O246="","",(1/'Metadata'!$B$5)^(O246-1))</x:f>
        <x:v>1107.6694806197092</x:v>
      </x:c>
      <x:c r="U246" s="60" t="n">
        <x:f>IF(T246="","",I246*T246)</x:f>
        <x:v>252.24928448896566</x:v>
      </x:c>
    </x:row>
    <x:row r="247" ht="18" customHeight="1">
      <x:c r="A247" s="46" t="str">
        <x:v>LME_003</x:v>
      </x:c>
      <x:c r="B247" s="46" t="str">
        <x:v>California Current</x:v>
      </x:c>
      <x:c r="C247" s="46" t="str">
        <x:v>LME</x:v>
      </x:c>
      <x:c r="D247" s="58" t="n">
        <x:v>2019</x:v>
      </x:c>
      <x:c r="E247" s="46" t="str">
        <x:v>Caliraja stellulata</x:v>
      </x:c>
      <x:c r="F247" s="46" t="str">
        <x:v>Starry skate</x:v>
      </x:c>
      <x:c r="G247" s="46" t="str">
        <x:v>Small to medium rays (&lt;90 cm)</x:v>
      </x:c>
      <x:c r="H247" s="46" t="str">
        <x:v>Sharks &amp; rays</x:v>
      </x:c>
      <x:c r="I247" s="60" t="n">
        <x:v>0.225806747</x:v>
      </x:c>
      <x:c r="J247" s="60" t="n">
        <x:v>0</x:v>
      </x:c>
      <x:c r="K247" s="60" t="n">
        <x:v>0.225806747</x:v>
      </x:c>
      <x:c r="L247" s="60" t="n">
        <x:v>0</x:v>
      </x:c>
      <x:c r="M247" s="60" t="n">
        <x:v>0.225806747</x:v>
      </x:c>
      <x:c r="N247" s="46" t="str">
        <x:v>caliraja stellulata</x:v>
      </x:c>
      <x:c r="O247" s="62" t="n">
        <x:v>3.63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Caliraja stellulata</x:v>
      </x:c>
      <x:c r="T247" s="62" t="n">
        <x:f>IF(O247="","",(1/'Metadata'!$B$5)^(O247-1))</x:f>
        <x:v>2640.638121038009</x:v>
      </x:c>
      <x:c r="U247" s="60" t="n">
        <x:f>IF(T247="","",I247*T247)</x:f>
        <x:v>596.2739041157851</x:v>
      </x:c>
    </x:row>
    <x:row r="248" ht="18" customHeight="1">
      <x:c r="A248" s="46" t="str">
        <x:v>LME_003</x:v>
      </x:c>
      <x:c r="B248" s="46" t="str">
        <x:v>California Current</x:v>
      </x:c>
      <x:c r="C248" s="46" t="str">
        <x:v>LME</x:v>
      </x:c>
      <x:c r="D248" s="58" t="n">
        <x:v>2019</x:v>
      </x:c>
      <x:c r="E248" s="46" t="str">
        <x:v>Squilla mantoidea</x:v>
      </x:c>
      <x:c r="F248" s="46" t="str">
        <x:v>Catalina mantis</x:v>
      </x:c>
      <x:c r="G248" s="46" t="str">
        <x:v>Shrimps</x:v>
      </x:c>
      <x:c r="H248" s="46" t="str">
        <x:v>Crustaceans</x:v>
      </x:c>
      <x:c r="I248" s="60" t="n">
        <x:v>0.2074860947</x:v>
      </x:c>
      <x:c r="J248" s="60" t="n">
        <x:v>0</x:v>
      </x:c>
      <x:c r="K248" s="60" t="n">
        <x:v>0.2074860947</x:v>
      </x:c>
      <x:c r="L248" s="60" t="n">
        <x:v>0</x:v>
      </x:c>
      <x:c r="M248" s="60" t="n">
        <x:v>0.2074860947</x:v>
      </x:c>
      <x:c r="N248" s="46" t="str">
        <x:v>squilla mantoidea</x:v>
      </x:c>
      <x:c r="O248" s="62" t="n">
        <x:v>3.62</x:v>
      </x:c>
      <x:c r="P248" s="46" t="str">
        <x:v>exact_sea_around_us</x:v>
      </x:c>
      <x:c r="Q248" s="62" t="str">
        <x:v>Sea Around Us exploited organisms</x:v>
      </x:c>
      <x:c r="R248" s="46" t="str">
        <x:v>high</x:v>
      </x:c>
      <x:c r="S248" s="46" t="str">
        <x:v>Squilla mantoidea</x:v>
      </x:c>
      <x:c r="T248" s="62" t="n">
        <x:f>IF(O248="","",(1/'Metadata'!$B$5)^(O248-1))</x:f>
        <x:v>2562.7048371775754</x:v>
      </x:c>
      <x:c r="U248" s="60" t="n">
        <x:f>IF(T248="","",I248*T248)</x:f>
        <x:v>531.7256185347745</x:v>
      </x:c>
    </x:row>
    <x:row r="249" ht="18" customHeight="1">
      <x:c r="A249" s="46" t="str">
        <x:v>LME_003</x:v>
      </x:c>
      <x:c r="B249" s="46" t="str">
        <x:v>California Current</x:v>
      </x:c>
      <x:c r="C249" s="46" t="str">
        <x:v>LME</x:v>
      </x:c>
      <x:c r="D249" s="58" t="n">
        <x:v>2019</x:v>
      </x:c>
      <x:c r="E249" s="46" t="str">
        <x:v>Echinodermata</x:v>
      </x:c>
      <x:c r="F249" s="46" t="str">
        <x:v>Sea urchins, stars, cucumbers</x:v>
      </x:c>
      <x:c r="G249" s="46" t="str">
        <x:v>Other demersal invertebrates</x:v>
      </x:c>
      <x:c r="H249" s="46" t="str">
        <x:v>Other fishes &amp; inverts</x:v>
      </x:c>
      <x:c r="I249" s="60" t="n">
        <x:v>0.2041733596</x:v>
      </x:c>
      <x:c r="J249" s="60" t="n">
        <x:v>0.2041733596</x:v>
      </x:c>
      <x:c r="K249" s="60" t="n">
        <x:v>0</x:v>
      </x:c>
      <x:c r="L249" s="60" t="n">
        <x:v>0.1928336907</x:v>
      </x:c>
      <x:c r="M249" s="60" t="n">
        <x:v>0.0113396689</x:v>
      </x:c>
      <x:c r="N249" s="46" t="str">
        <x:v>echinodermata</x:v>
      </x:c>
      <x:c r="O249" s="62" t="n">
        <x:v>2.3</x:v>
      </x:c>
      <x:c r="P249" s="46" t="str">
        <x:v>exact_sea_around_us</x:v>
      </x:c>
      <x:c r="Q249" s="62" t="str">
        <x:v>Sea Around Us exploited organisms</x:v>
      </x:c>
      <x:c r="R249" s="46" t="str">
        <x:v>high</x:v>
      </x:c>
      <x:c r="S249" s="46" t="str">
        <x:v>Echinodermata</x:v>
      </x:c>
      <x:c r="T249" s="62" t="n">
        <x:f>IF(O249="","",(1/'Metadata'!$B$5)^(O249-1))</x:f>
        <x:v>49.12912104463159</x:v>
      </x:c>
      <x:c r="U249" s="60" t="n">
        <x:f>IF(T249="","",I249*T249)</x:f>
        <x:v>10.030857697877492</x:v>
      </x:c>
    </x:row>
    <x:row r="250" ht="18" customHeight="1">
      <x:c r="A250" s="46" t="str">
        <x:v>LME_003</x:v>
      </x:c>
      <x:c r="B250" s="46" t="str">
        <x:v>California Current</x:v>
      </x:c>
      <x:c r="C250" s="46" t="str">
        <x:v>LME</x:v>
      </x:c>
      <x:c r="D250" s="58" t="n">
        <x:v>2019</x:v>
      </x:c>
      <x:c r="E250" s="46" t="str">
        <x:v>Hemilepidotus hemilepidotus</x:v>
      </x:c>
      <x:c r="F250" s="46" t="str">
        <x:v>Red Irish lord</x:v>
      </x:c>
      <x:c r="G250" s="46" t="str">
        <x:v>Medium demersals (30 - 89 cm)</x:v>
      </x:c>
      <x:c r="H250" s="46" t="str">
        <x:v>Scorpionfishes</x:v>
      </x:c>
      <x:c r="I250" s="60" t="n">
        <x:v>0.1177120875</x:v>
      </x:c>
      <x:c r="J250" s="60" t="n">
        <x:v>0</x:v>
      </x:c>
      <x:c r="K250" s="60" t="n">
        <x:v>0.1177120875</x:v>
      </x:c>
      <x:c r="L250" s="60" t="n">
        <x:v>0</x:v>
      </x:c>
      <x:c r="M250" s="60" t="n">
        <x:v>0.1177120875</x:v>
      </x:c>
      <x:c r="N250" s="46" t="str">
        <x:v>hemilepidotus hemilepidotus</x:v>
      </x:c>
      <x:c r="O250" s="62" t="n">
        <x:v>3.53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Hemilepidotus hemilepidotus</x:v>
      </x:c>
      <x:c r="T250" s="62" t="n">
        <x:f>IF(O250="","",(1/'Metadata'!$B$5)^(O250-1))</x:f>
        <x:v>1957.0678791263101</x:v>
      </x:c>
      <x:c r="U250" s="60" t="n">
        <x:f>IF(T250="","",I250*T250)</x:f>
        <x:v>230.37054543115565</x:v>
      </x:c>
    </x:row>
    <x:row r="251" ht="18" customHeight="1">
      <x:c r="A251" s="46" t="str">
        <x:v>LME_003</x:v>
      </x:c>
      <x:c r="B251" s="46" t="str">
        <x:v>California Current</x:v>
      </x:c>
      <x:c r="C251" s="46" t="str">
        <x:v>LME</x:v>
      </x:c>
      <x:c r="D251" s="58" t="n">
        <x:v>2019</x:v>
      </x:c>
      <x:c r="E251" s="46" t="str">
        <x:v>Sebastes nigrocinctus</x:v>
      </x:c>
      <x:c r="F251" s="46" t="str">
        <x:v>Tiger rockfish</x:v>
      </x:c>
      <x:c r="G251" s="46" t="str">
        <x:v>Medium reef assoc. fish (30 - 89 cm)</x:v>
      </x:c>
      <x:c r="H251" s="46" t="str">
        <x:v>Scorpionfishes</x:v>
      </x:c>
      <x:c r="I251" s="60" t="n">
        <x:v>0.1131147937</x:v>
      </x:c>
      <x:c r="J251" s="60" t="n">
        <x:v>0.0925032532</x:v>
      </x:c>
      <x:c r="K251" s="60" t="n">
        <x:v>0.020611540499999997</x:v>
      </x:c>
      <x:c r="L251" s="60" t="n">
        <x:v>0</x:v>
      </x:c>
      <x:c r="M251" s="60" t="n">
        <x:v>0.1131147937</x:v>
      </x:c>
      <x:c r="N251" s="46" t="str">
        <x:v>sebastes nigrocinctus</x:v>
      </x:c>
      <x:c r="O251" s="62" t="n">
        <x:v>3.52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Sebastes nigrocinctus</x:v>
      </x:c>
      <x:c r="T251" s="62" t="n">
        <x:f>IF(O251="","",(1/'Metadata'!$B$5)^(O251-1))</x:f>
        <x:v>1899.308837725312</x:v>
      </x:c>
      <x:c r="U251" s="60" t="n">
        <x:f>IF(T251="","",I251*T251)</x:f>
        <x:v>214.83992735188545</x:v>
      </x:c>
    </x:row>
    <x:row r="252" ht="18" customHeight="1">
      <x:c r="A252" s="46" t="str">
        <x:v>LME_003</x:v>
      </x:c>
      <x:c r="B252" s="46" t="str">
        <x:v>California Current</x:v>
      </x:c>
      <x:c r="C252" s="46" t="str">
        <x:v>LME</x:v>
      </x:c>
      <x:c r="D252" s="58" t="n">
        <x:v>2019</x:v>
      </x:c>
      <x:c r="E252" s="46" t="str">
        <x:v>Mola mola</x:v>
      </x:c>
      <x:c r="F252" s="46" t="str">
        <x:v>Ocean sunfish</x:v>
      </x:c>
      <x:c r="G252" s="46" t="str">
        <x:v>Large pelagics (&gt;=90 cm)</x:v>
      </x:c>
      <x:c r="H252" s="46" t="str">
        <x:v>Other fishes &amp; inverts</x:v>
      </x:c>
      <x:c r="I252" s="60" t="n">
        <x:v>0.10716081790000001</x:v>
      </x:c>
      <x:c r="J252" s="60" t="n">
        <x:v>0.10660036860000001</x:v>
      </x:c>
      <x:c r="K252" s="60" t="n">
        <x:v>0.0005604493</x:v>
      </x:c>
      <x:c r="L252" s="60" t="n">
        <x:v>0.0996906922</x:v>
      </x:c>
      <x:c r="M252" s="60" t="n">
        <x:v>0.0074701257</x:v>
      </x:c>
      <x:c r="N252" s="46" t="str">
        <x:v>mola mola</x:v>
      </x:c>
      <x:c r="O252" s="62" t="n">
        <x:v>3.68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Mola mola</x:v>
      </x:c>
      <x:c r="T252" s="62" t="n">
        <x:f>IF(O252="","",(1/'Metadata'!$B$5)^(O252-1))</x:f>
        <x:v>3067.3291957408446</x:v>
      </x:c>
      <x:c r="U252" s="60" t="n">
        <x:f>IF(T252="","",I252*T252)</x:f>
        <x:v>328.69750538413814</x:v>
      </x:c>
    </x:row>
    <x:row r="253" ht="18" customHeight="1">
      <x:c r="A253" s="46" t="str">
        <x:v>LME_003</x:v>
      </x:c>
      <x:c r="B253" s="46" t="str">
        <x:v>California Current</x:v>
      </x:c>
      <x:c r="C253" s="46" t="str">
        <x:v>LME</x:v>
      </x:c>
      <x:c r="D253" s="58" t="n">
        <x:v>2019</x:v>
      </x:c>
      <x:c r="E253" s="46" t="str">
        <x:v>Sebastes rubrivinctus</x:v>
      </x:c>
      <x:c r="F253" s="46" t="str">
        <x:v>Flag rockfish</x:v>
      </x:c>
      <x:c r="G253" s="46" t="str">
        <x:v>Medium demersals (30 - 89 cm)</x:v>
      </x:c>
      <x:c r="H253" s="46" t="str">
        <x:v>Scorpionfishes</x:v>
      </x:c>
      <x:c r="I253" s="60" t="n">
        <x:v>0.0990938539</x:v>
      </x:c>
      <x:c r="J253" s="60" t="n">
        <x:v>0.0990938539</x:v>
      </x:c>
      <x:c r="K253" s="60" t="n">
        <x:v>0</x:v>
      </x:c>
      <x:c r="L253" s="60" t="n">
        <x:v>0.0990938539</x:v>
      </x:c>
      <x:c r="M253" s="60" t="n">
        <x:v>0</x:v>
      </x:c>
      <x:c r="N253" s="46" t="str">
        <x:v>sebastes rubrivinctus</x:v>
      </x:c>
      <x:c r="O253" s="62" t="n">
        <x:v>3.77</x:v>
      </x:c>
      <x:c r="P253" s="46" t="str">
        <x:v>exact_sea_around_us</x:v>
      </x:c>
      <x:c r="Q253" s="62" t="str">
        <x:v>Sea Around Us exploited organisms</x:v>
      </x:c>
      <x:c r="R253" s="46" t="str">
        <x:v>high</x:v>
      </x:c>
      <x:c r="S253" s="46" t="str">
        <x:v>Sebastes rubrivinctus</x:v>
      </x:c>
      <x:c r="T253" s="62" t="n">
        <x:f>IF(O253="","",(1/'Metadata'!$B$5)^(O253-1))</x:f>
        <x:v>4016.549170818885</x:v>
      </x:c>
      <x:c r="U253" s="60" t="n">
        <x:f>IF(T253="","",I253*T253)</x:f>
        <x:v>398.01533671529273</x:v>
      </x:c>
    </x:row>
    <x:row r="254" ht="18" customHeight="1">
      <x:c r="A254" s="46" t="str">
        <x:v>LME_003</x:v>
      </x:c>
      <x:c r="B254" s="46" t="str">
        <x:v>California Current</x:v>
      </x:c>
      <x:c r="C254" s="46" t="str">
        <x:v>LME</x:v>
      </x:c>
      <x:c r="D254" s="58" t="n">
        <x:v>2019</x:v>
      </x:c>
      <x:c r="E254" s="46" t="str">
        <x:v>Pleuronichthys verticalis</x:v>
      </x:c>
      <x:c r="F254" s="46" t="str">
        <x:v>Hornyhead turbot</x:v>
      </x:c>
      <x:c r="G254" s="46" t="str">
        <x:v>Small to medium flatfishes (&lt;90 cm)</x:v>
      </x:c>
      <x:c r="H254" s="46" t="str">
        <x:v>Flatfishes</x:v>
      </x:c>
      <x:c r="I254" s="60" t="n">
        <x:v>0.099078184</x:v>
      </x:c>
      <x:c r="J254" s="60" t="n">
        <x:v>0.099078184</x:v>
      </x:c>
      <x:c r="K254" s="60" t="n">
        <x:v>0</x:v>
      </x:c>
      <x:c r="L254" s="60" t="n">
        <x:v>0.099078184</x:v>
      </x:c>
      <x:c r="M254" s="60" t="n">
        <x:v>0</x:v>
      </x:c>
      <x:c r="N254" s="46" t="str">
        <x:v>pleuronichthys verticalis</x:v>
      </x:c>
      <x:c r="O254" s="62" t="n">
        <x:v>3.1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Pleuronichthys verticalis</x:v>
      </x:c>
      <x:c r="T254" s="62" t="n">
        <x:f>IF(O254="","",(1/'Metadata'!$B$5)^(O254-1))</x:f>
        <x:v>539.7131390694254</x:v>
      </x:c>
      <x:c r="U254" s="60" t="n">
        <x:f>IF(T254="","",I254*T254)</x:f>
        <x:v>53.473797699938125</x:v>
      </x:c>
    </x:row>
    <x:row r="255" ht="18" customHeight="1">
      <x:c r="A255" s="46" t="str">
        <x:v>LME_003</x:v>
      </x:c>
      <x:c r="B255" s="46" t="str">
        <x:v>California Current</x:v>
      </x:c>
      <x:c r="C255" s="46" t="str">
        <x:v>LME</x:v>
      </x:c>
      <x:c r="D255" s="58" t="n">
        <x:v>2019</x:v>
      </x:c>
      <x:c r="E255" s="46" t="str">
        <x:v>Pleuronichthys guttulatus</x:v>
      </x:c>
      <x:c r="F255" s="46" t="str">
        <x:v>Diamond turbot</x:v>
      </x:c>
      <x:c r="G255" s="46" t="str">
        <x:v>Medium demersals (30 - 89 cm)</x:v>
      </x:c>
      <x:c r="H255" s="46" t="str">
        <x:v>Flatfishes</x:v>
      </x:c>
      <x:c r="I255" s="60" t="n">
        <x:v>0.099064045</x:v>
      </x:c>
      <x:c r="J255" s="60" t="n">
        <x:v>0.099064045</x:v>
      </x:c>
      <x:c r="K255" s="60" t="n">
        <x:v>0</x:v>
      </x:c>
      <x:c r="L255" s="60" t="n">
        <x:v>0.099064045</x:v>
      </x:c>
      <x:c r="M255" s="60" t="n">
        <x:v>0</x:v>
      </x:c>
      <x:c r="N255" s="46" t="str">
        <x:v>pleuronichthys guttulatus</x:v>
      </x:c>
      <x:c r="O255" s="62" t="n">
        <x:v>3.3</x:v>
      </x:c>
      <x:c r="P255" s="46" t="str">
        <x:v>exact_sea_around_us</x:v>
      </x:c>
      <x:c r="Q255" s="62" t="str">
        <x:v>Sea Around Us exploited organisms</x:v>
      </x:c>
      <x:c r="R255" s="46" t="str">
        <x:v>high</x:v>
      </x:c>
      <x:c r="S255" s="46" t="str">
        <x:v>Pleuronichthys guttulatus</x:v>
      </x:c>
      <x:c r="T255" s="62" t="n">
        <x:f>IF(O255="","",(1/'Metadata'!$B$5)^(O255-1))</x:f>
        <x:v>982.5824208926318</x:v>
      </x:c>
      <x:c r="U255" s="60" t="n">
        <x:f>IF(T255="","",I255*T255)</x:f>
        <x:v>97.33858915951663</x:v>
      </x:c>
    </x:row>
    <x:row r="256" ht="18" customHeight="1">
      <x:c r="A256" s="46" t="str">
        <x:v>LME_003</x:v>
      </x:c>
      <x:c r="B256" s="46" t="str">
        <x:v>California Current</x:v>
      </x:c>
      <x:c r="C256" s="46" t="str">
        <x:v>LME</x:v>
      </x:c>
      <x:c r="D256" s="58" t="n">
        <x:v>2019</x:v>
      </x:c>
      <x:c r="E256" s="46" t="str">
        <x:v>Sebastes eos</x:v>
      </x:c>
      <x:c r="F256" s="46" t="str">
        <x:v>Pink rockfish</x:v>
      </x:c>
      <x:c r="G256" s="46" t="str">
        <x:v>Medium demersals (30 - 89 cm)</x:v>
      </x:c>
      <x:c r="H256" s="46" t="str">
        <x:v>Scorpionfishes</x:v>
      </x:c>
      <x:c r="I256" s="60" t="n">
        <x:v>0.0990636772</x:v>
      </x:c>
      <x:c r="J256" s="60" t="n">
        <x:v>0.0990636772</x:v>
      </x:c>
      <x:c r="K256" s="60" t="n">
        <x:v>0</x:v>
      </x:c>
      <x:c r="L256" s="60" t="n">
        <x:v>0.0990636772</x:v>
      </x:c>
      <x:c r="M256" s="60" t="n">
        <x:v>0</x:v>
      </x:c>
      <x:c r="N256" s="46" t="str">
        <x:v>sebastes eos</x:v>
      </x:c>
      <x:c r="O256" s="62" t="n">
        <x:v>3.73</x:v>
      </x:c>
      <x:c r="P256" s="46" t="str">
        <x:v>exact_sea_around_us</x:v>
      </x:c>
      <x:c r="Q256" s="62" t="str">
        <x:v>Sea Around Us exploited organisms</x:v>
      </x:c>
      <x:c r="R256" s="46" t="str">
        <x:v>high</x:v>
      </x:c>
      <x:c r="S256" s="46" t="str">
        <x:v>Sebastes eos</x:v>
      </x:c>
      <x:c r="T256" s="62" t="n">
        <x:f>IF(O256="","",(1/'Metadata'!$B$5)^(O256-1))</x:f>
        <x:v>3562.967723629534</x:v>
      </x:c>
      <x:c r="U256" s="60" t="n">
        <x:f>IF(T256="","",I256*T256)</x:f>
        <x:v>352.96068444765496</x:v>
      </x:c>
    </x:row>
    <x:row r="257" ht="18" customHeight="1">
      <x:c r="A257" s="46" t="str">
        <x:v>LME_003</x:v>
      </x:c>
      <x:c r="B257" s="46" t="str">
        <x:v>California Current</x:v>
      </x:c>
      <x:c r="C257" s="46" t="str">
        <x:v>LME</x:v>
      </x:c>
      <x:c r="D257" s="58" t="n">
        <x:v>2019</x:v>
      </x:c>
      <x:c r="E257" s="46" t="str">
        <x:v>Anguilliformes</x:v>
      </x:c>
      <x:c r="F257" s="46" t="str">
        <x:v>Eels, morays</x:v>
      </x:c>
      <x:c r="G257" s="46" t="str">
        <x:v>Large demersals (&gt;=90 cm)</x:v>
      </x:c>
      <x:c r="H257" s="46" t="str">
        <x:v>Other fishes &amp; inverts</x:v>
      </x:c>
      <x:c r="I257" s="60" t="n">
        <x:v>0.09899971510000001</x:v>
      </x:c>
      <x:c r="J257" s="60" t="n">
        <x:v>0.09899971510000001</x:v>
      </x:c>
      <x:c r="K257" s="60" t="n">
        <x:v>0</x:v>
      </x:c>
      <x:c r="L257" s="60" t="n">
        <x:v>0.09899971510000001</x:v>
      </x:c>
      <x:c r="M257" s="60" t="n">
        <x:v>0</x:v>
      </x:c>
      <x:c r="N257" s="46" t="str">
        <x:v>anguilliformes</x:v>
      </x:c>
      <x:c r="O257" s="62" t="n">
        <x:v>3.89</x:v>
      </x:c>
      <x:c r="P257" s="46" t="str">
        <x:v>exact_sea_around_us</x:v>
      </x:c>
      <x:c r="Q257" s="62" t="str">
        <x:v>Sea Around Us exploited organisms</x:v>
      </x:c>
      <x:c r="R257" s="46" t="str">
        <x:v>high</x:v>
      </x:c>
      <x:c r="S257" s="46" t="str">
        <x:v>Anguilliformes</x:v>
      </x:c>
      <x:c r="T257" s="62" t="n">
        <x:f>IF(O257="","",(1/'Metadata'!$B$5)^(O257-1))</x:f>
        <x:v>5754.090490759748</x:v>
      </x:c>
      <x:c r="U257" s="60" t="n">
        <x:f>IF(T257="","",I257*T257)</x:f>
        <x:v>569.6533192448343</x:v>
      </x:c>
    </x:row>
    <x:row r="258" ht="18" customHeight="1">
      <x:c r="A258" s="46" t="str">
        <x:v>LME_003</x:v>
      </x:c>
      <x:c r="B258" s="46" t="str">
        <x:v>California Current</x:v>
      </x:c>
      <x:c r="C258" s="46" t="str">
        <x:v>LME</x:v>
      </x:c>
      <x:c r="D258" s="58" t="n">
        <x:v>2019</x:v>
      </x:c>
      <x:c r="E258" s="46" t="str">
        <x:v>Thaleichthys pacificus</x:v>
      </x:c>
      <x:c r="F258" s="46" t="str">
        <x:v>Eulachon</x:v>
      </x:c>
      <x:c r="G258" s="46" t="str">
        <x:v>Small pelagics (&lt;30 cm)</x:v>
      </x:c>
      <x:c r="H258" s="46" t="str">
        <x:v>Salmon, smelts, etc</x:v>
      </x:c>
      <x:c r="I258" s="60" t="n">
        <x:v>0.084277052</x:v>
      </x:c>
      <x:c r="J258" s="60" t="n">
        <x:v>0.084277052</x:v>
      </x:c>
      <x:c r="K258" s="60" t="n">
        <x:v>0</x:v>
      </x:c>
      <x:c r="L258" s="60" t="n">
        <x:v>0.0763238397</x:v>
      </x:c>
      <x:c r="M258" s="60" t="n">
        <x:v>0.0079532123</x:v>
      </x:c>
      <x:c r="N258" s="46" t="str">
        <x:v>thaleichthys pacificus</x:v>
      </x:c>
      <x:c r="O258" s="62" t="n">
        <x:v>3.25</x:v>
      </x:c>
      <x:c r="P258" s="46" t="str">
        <x:v>exact_2020_supplement</x:v>
      </x:c>
      <x:c r="Q258" s="62" t="str">
        <x:v>2020 supplement MeanTL</x:v>
      </x:c>
      <x:c r="R258" s="46" t="str">
        <x:v>high</x:v>
      </x:c>
      <x:c r="S258" s="46" t="str">
        <x:v>Thaleichthys pacificus</x:v>
      </x:c>
      <x:c r="T258" s="62" t="n">
        <x:f>IF(O258="","",(1/'Metadata'!$B$5)^(O258-1))</x:f>
        <x:v>845.8970107524513</x:v>
      </x:c>
      <x:c r="U258" s="60" t="n">
        <x:f>IF(T258="","",I258*T258)</x:f>
        <x:v>71.28970636182889</x:v>
      </x:c>
    </x:row>
    <x:row r="259" ht="18" customHeight="1">
      <x:c r="A259" s="46" t="str">
        <x:v>LME_003</x:v>
      </x:c>
      <x:c r="B259" s="46" t="str">
        <x:v>California Current</x:v>
      </x:c>
      <x:c r="C259" s="46" t="str">
        <x:v>LME</x:v>
      </x:c>
      <x:c r="D259" s="58" t="n">
        <x:v>2019</x:v>
      </x:c>
      <x:c r="E259" s="46" t="str">
        <x:v>Brachyura</x:v>
      </x:c>
      <x:c r="F259" s="46" t="str">
        <x:v>Marine crabs</x:v>
      </x:c>
      <x:c r="G259" s="46" t="str">
        <x:v>Lobsters, crabs</x:v>
      </x:c>
      <x:c r="H259" s="46" t="str">
        <x:v>Crustaceans</x:v>
      </x:c>
      <x:c r="I259" s="60" t="n">
        <x:v>0.0831647174</x:v>
      </x:c>
      <x:c r="J259" s="60" t="n">
        <x:v>0.0791501545</x:v>
      </x:c>
      <x:c r="K259" s="60" t="n">
        <x:v>0.0040145629</x:v>
      </x:c>
      <x:c r="L259" s="60" t="n">
        <x:v>0</x:v>
      </x:c>
      <x:c r="M259" s="60" t="n">
        <x:v>0.0831647174</x:v>
      </x:c>
      <x:c r="N259" s="46" t="str">
        <x:v>brachyura</x:v>
      </x:c>
      <x:c r="O259" s="62" t="n">
        <x:v>2.6</x:v>
      </x:c>
      <x:c r="P259" s="46" t="str">
        <x:v>exact_sea_around_us</x:v>
      </x:c>
      <x:c r="Q259" s="62" t="str">
        <x:v>Sea Around Us exploited organisms</x:v>
      </x:c>
      <x:c r="R259" s="46" t="str">
        <x:v>high</x:v>
      </x:c>
      <x:c r="S259" s="46" t="str">
        <x:v>Brachyura</x:v>
      </x:c>
      <x:c r="T259" s="62" t="n">
        <x:f>IF(O259="","",(1/'Metadata'!$B$5)^(O259-1))</x:f>
        <x:v>120.6835267309033</x:v>
      </x:c>
      <x:c r="U259" s="60" t="n">
        <x:f>IF(T259="","",I259*T259)</x:f>
        <x:v>10.036611395410919</x:v>
      </x:c>
    </x:row>
    <x:row r="260" ht="18" customHeight="1">
      <x:c r="A260" s="46" t="str">
        <x:v>LME_003</x:v>
      </x:c>
      <x:c r="B260" s="46" t="str">
        <x:v>California Current</x:v>
      </x:c>
      <x:c r="C260" s="46" t="str">
        <x:v>LME</x:v>
      </x:c>
      <x:c r="D260" s="58" t="n">
        <x:v>2019</x:v>
      </x:c>
      <x:c r="E260" s="46" t="str">
        <x:v>Lepidopsetta bilineata</x:v>
      </x:c>
      <x:c r="F260" s="46" t="str">
        <x:v>Rock sole</x:v>
      </x:c>
      <x:c r="G260" s="46" t="str">
        <x:v>Small to medium flatfishes (&lt;90 cm)</x:v>
      </x:c>
      <x:c r="H260" s="46" t="str">
        <x:v>Flatfishes</x:v>
      </x:c>
      <x:c r="I260" s="60" t="n">
        <x:v>0.07991986949999999</x:v>
      </x:c>
      <x:c r="J260" s="60" t="n">
        <x:v>0.079371452</x:v>
      </x:c>
      <x:c r="K260" s="60" t="n">
        <x:v>0.0005484175</x:v>
      </x:c>
      <x:c r="L260" s="60" t="n">
        <x:v>0</x:v>
      </x:c>
      <x:c r="M260" s="60" t="n">
        <x:v>0.07991986949999999</x:v>
      </x:c>
      <x:c r="N260" s="46" t="str">
        <x:v>lepidopsetta bilineata</x:v>
      </x:c>
      <x:c r="O260" s="62" t="n">
        <x:v>3.18</x:v>
      </x:c>
      <x:c r="P260" s="46" t="str">
        <x:v>exact_2020_supplement</x:v>
      </x:c>
      <x:c r="Q260" s="62" t="str">
        <x:v>2020 supplement MeanTL</x:v>
      </x:c>
      <x:c r="R260" s="46" t="str">
        <x:v>high</x:v>
      </x:c>
      <x:c r="S260" s="46" t="str">
        <x:v>Lepidopsetta bilineata</x:v>
      </x:c>
      <x:c r="T260" s="62" t="n">
        <x:f>IF(O260="","",(1/'Metadata'!$B$5)^(O260-1))</x:f>
        <x:v>685.8756591046288</x:v>
      </x:c>
      <x:c r="U260" s="60" t="n">
        <x:f>IF(T260="","",I260*T260)</x:f>
        <x:v>54.81509316886841</x:v>
      </x:c>
    </x:row>
    <x:row r="261" ht="18" customHeight="1">
      <x:c r="A261" s="46" t="str">
        <x:v>LME_003</x:v>
      </x:c>
      <x:c r="B261" s="46" t="str">
        <x:v>California Current</x:v>
      </x:c>
      <x:c r="C261" s="46" t="str">
        <x:v>LME</x:v>
      </x:c>
      <x:c r="D261" s="58" t="n">
        <x:v>2019</x:v>
      </x:c>
      <x:c r="E261" s="46" t="str">
        <x:v>Sebastidae</x:v>
      </x:c>
      <x:c r="F261" s="46" t="str">
        <x:v>Rockfishes, rockcods, thornyheads</x:v>
      </x:c>
      <x:c r="G261" s="46" t="str">
        <x:v>Medium demersals (30 - 89 cm)</x:v>
      </x:c>
      <x:c r="H261" s="46" t="str">
        <x:v>Scorpionfishes</x:v>
      </x:c>
      <x:c r="I261" s="60" t="n">
        <x:v>0.0581760393</x:v>
      </x:c>
      <x:c r="J261" s="60" t="n">
        <x:v>0</x:v>
      </x:c>
      <x:c r="K261" s="60" t="n">
        <x:v>0.0581760393</x:v>
      </x:c>
      <x:c r="L261" s="60" t="n">
        <x:v>0</x:v>
      </x:c>
      <x:c r="M261" s="60" t="n">
        <x:v>0.0581760393</x:v>
      </x:c>
      <x:c r="N261" s="46" t="str">
        <x:v>sebastidae</x:v>
      </x:c>
      <x:c r="O261" s="62" t="n">
        <x:v>3.74</x:v>
      </x:c>
      <x:c r="P261" s="46" t="str">
        <x:v>exact_sea_around_us</x:v>
      </x:c>
      <x:c r="Q261" s="62" t="str">
        <x:v>Sea Around Us exploited organisms</x:v>
      </x:c>
      <x:c r="R261" s="46" t="str">
        <x:v>high</x:v>
      </x:c>
      <x:c r="S261" s="46" t="str">
        <x:v>Sebastidae</x:v>
      </x:c>
      <x:c r="T261" s="62" t="n">
        <x:f>IF(O261="","",(1/'Metadata'!$B$5)^(O261-1))</x:f>
        <x:v>3671.3195599248957</x:v>
      </x:c>
      <x:c r="U261" s="60" t="n">
        <x:f>IF(T261="","",I261*T261)</x:f>
        <x:v>213.58283100104944</x:v>
      </x:c>
    </x:row>
    <x:row r="262" ht="18" customHeight="1">
      <x:c r="A262" s="46" t="str">
        <x:v>LME_003</x:v>
      </x:c>
      <x:c r="B262" s="46" t="str">
        <x:v>California Current</x:v>
      </x:c>
      <x:c r="C262" s="46" t="str">
        <x:v>LME</x:v>
      </x:c>
      <x:c r="D262" s="58" t="n">
        <x:v>2019</x:v>
      </x:c>
      <x:c r="E262" s="46" t="str">
        <x:v>Hexanchus griseus</x:v>
      </x:c>
      <x:c r="F262" s="46" t="str">
        <x:v>Bluntnose sixgill shark</x:v>
      </x:c>
      <x:c r="G262" s="46" t="str">
        <x:v>Large sharks (&gt;=90 cm)</x:v>
      </x:c>
      <x:c r="H262" s="46" t="str">
        <x:v>Sharks &amp; rays</x:v>
      </x:c>
      <x:c r="I262" s="60" t="n">
        <x:v>0.054923834399999996</x:v>
      </x:c>
      <x:c r="J262" s="60" t="n">
        <x:v>0.0502196569</x:v>
      </x:c>
      <x:c r="K262" s="60" t="n">
        <x:v>0.0047041775</x:v>
      </x:c>
      <x:c r="L262" s="60" t="n">
        <x:v>0</x:v>
      </x:c>
      <x:c r="M262" s="60" t="n">
        <x:v>0.054923834399999996</x:v>
      </x:c>
      <x:c r="N262" s="46" t="str">
        <x:v>hexanchus griseus</x:v>
      </x:c>
      <x:c r="O262" s="62" t="n">
        <x:v>4.48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Hexanchus griseus</x:v>
      </x:c>
      <x:c r="T262" s="62" t="n">
        <x:f>IF(O262="","",(1/'Metadata'!$B$5)^(O262-1))</x:f>
        <x:v>33696.468277717824</x:v>
      </x:c>
      <x:c r="U262" s="60" t="n">
        <x:f>IF(T262="","",I262*T262)</x:f>
        <x:v>1850.7392435502268</x:v>
      </x:c>
    </x:row>
    <x:row r="263" ht="18" customHeight="1">
      <x:c r="A263" s="46" t="str">
        <x:v>LME_003</x:v>
      </x:c>
      <x:c r="B263" s="46" t="str">
        <x:v>California Current</x:v>
      </x:c>
      <x:c r="C263" s="46" t="str">
        <x:v>LME</x:v>
      </x:c>
      <x:c r="D263" s="58" t="n">
        <x:v>2019</x:v>
      </x:c>
      <x:c r="E263" s="46" t="str">
        <x:v>Leukoma staminea</x:v>
      </x:c>
      <x:c r="F263" s="46" t="str">
        <x:v>Pacific littleneck clam</x:v>
      </x:c>
      <x:c r="G263" s="46" t="str">
        <x:v>Other demersal invertebrates</x:v>
      </x:c>
      <x:c r="H263" s="46" t="str">
        <x:v>Molluscs</x:v>
      </x:c>
      <x:c r="I263" s="60" t="n">
        <x:v>0.0471666881</x:v>
      </x:c>
      <x:c r="J263" s="60" t="n">
        <x:v>0.0471666881</x:v>
      </x:c>
      <x:c r="K263" s="60" t="n">
        <x:v>0</x:v>
      </x:c>
      <x:c r="L263" s="60" t="n">
        <x:v>0</x:v>
      </x:c>
      <x:c r="M263" s="60" t="n">
        <x:v>0.0471666881</x:v>
      </x:c>
      <x:c r="N263" s="46" t="str">
        <x:v>leukoma staminea</x:v>
      </x:c>
      <x:c r="O263" s="62" t="n">
        <x:v>2.1</x:v>
      </x:c>
      <x:c r="P263" s="46" t="str">
        <x:v>exact_sea_around_us</x:v>
      </x:c>
      <x:c r="Q263" s="62" t="str">
        <x:v>Sea Around Us exploited organisms</x:v>
      </x:c>
      <x:c r="R263" s="46" t="str">
        <x:v>high</x:v>
      </x:c>
      <x:c r="S263" s="46" t="str">
        <x:v>Leukoma staminea</x:v>
      </x:c>
      <x:c r="T263" s="62" t="n">
        <x:f>IF(O263="","",(1/'Metadata'!$B$5)^(O263-1))</x:f>
        <x:v>26.985656953471274</x:v>
      </x:c>
      <x:c r="U263" s="60" t="n">
        <x:f>IF(T263="","",I263*T263)</x:f>
        <x:v>1.2728240646979758</x:v>
      </x:c>
    </x:row>
    <x:row r="264" ht="18" customHeight="1">
      <x:c r="A264" s="46" t="str">
        <x:v>LME_003</x:v>
      </x:c>
      <x:c r="B264" s="46" t="str">
        <x:v>California Current</x:v>
      </x:c>
      <x:c r="C264" s="46" t="str">
        <x:v>LME</x:v>
      </x:c>
      <x:c r="D264" s="58" t="n">
        <x:v>2019</x:v>
      </x:c>
      <x:c r="E264" s="46" t="str">
        <x:v>Octopoda</x:v>
      </x:c>
      <x:c r="F264" s="46" t="str">
        <x:v>Octopuses, argonauts</x:v>
      </x:c>
      <x:c r="G264" s="46" t="str">
        <x:v>Cephalopods</x:v>
      </x:c>
      <x:c r="H264" s="46" t="str">
        <x:v>Other fishes &amp; inverts</x:v>
      </x:c>
      <x:c r="I264" s="60" t="n">
        <x:v>0.0469464098</x:v>
      </x:c>
      <x:c r="J264" s="60" t="n">
        <x:v>0.0469464098</x:v>
      </x:c>
      <x:c r="K264" s="60" t="n">
        <x:v>0</x:v>
      </x:c>
      <x:c r="L264" s="60" t="n">
        <x:v>0</x:v>
      </x:c>
      <x:c r="M264" s="60" t="n">
        <x:v>0.0469464098</x:v>
      </x:c>
      <x:c r="N264" s="46" t="str">
        <x:v>octopoda</x:v>
      </x:c>
      <x:c r="O264" s="62" t="n">
        <x:v>3.58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Octopoda</x:v>
      </x:c>
      <x:c r="T264" s="62" t="n">
        <x:f>IF(O264="","",(1/'Metadata'!$B$5)^(O264-1))</x:f>
        <x:v>2273.3033337150473</x:v>
      </x:c>
      <x:c r="U264" s="60" t="n">
        <x:f>IF(T264="","",I264*T264)</x:f>
        <x:v>106.72342990429276</x:v>
      </x:c>
    </x:row>
    <x:row r="265" ht="18" customHeight="1">
      <x:c r="A265" s="46" t="str">
        <x:v>LME_003</x:v>
      </x:c>
      <x:c r="B265" s="46" t="str">
        <x:v>California Current</x:v>
      </x:c>
      <x:c r="C265" s="46" t="str">
        <x:v>LME</x:v>
      </x:c>
      <x:c r="D265" s="58" t="n">
        <x:v>2019</x:v>
      </x:c>
      <x:c r="E265" s="46" t="str">
        <x:v>Phanerodon furcatus</x:v>
      </x:c>
      <x:c r="F265" s="46" t="str">
        <x:v>White seaperch</x:v>
      </x:c>
      <x:c r="G265" s="46" t="str">
        <x:v>Medium demersals (30 - 89 cm)</x:v>
      </x:c>
      <x:c r="H265" s="46" t="str">
        <x:v>Perch-likes</x:v>
      </x:c>
      <x:c r="I265" s="60" t="n">
        <x:v>0.0386080726</x:v>
      </x:c>
      <x:c r="J265" s="60" t="n">
        <x:v>0</x:v>
      </x:c>
      <x:c r="K265" s="60" t="n">
        <x:v>0.0386080726</x:v>
      </x:c>
      <x:c r="L265" s="60" t="n">
        <x:v>0</x:v>
      </x:c>
      <x:c r="M265" s="60" t="n">
        <x:v>0.0386080726</x:v>
      </x:c>
      <x:c r="N265" s="46" t="str">
        <x:v>phanerodon furcatus</x:v>
      </x:c>
      <x:c r="O265" s="62" t="n">
        <x:v>3.3</x:v>
      </x:c>
      <x:c r="P265" s="46" t="str">
        <x:v>exact_sea_around_us</x:v>
      </x:c>
      <x:c r="Q265" s="62" t="str">
        <x:v>Sea Around Us exploited organisms</x:v>
      </x:c>
      <x:c r="R265" s="46" t="str">
        <x:v>high</x:v>
      </x:c>
      <x:c r="S265" s="46" t="str">
        <x:v>Phanerodon furcatus</x:v>
      </x:c>
      <x:c r="T265" s="62" t="n">
        <x:f>IF(O265="","",(1/'Metadata'!$B$5)^(O265-1))</x:f>
        <x:v>982.5824208926318</x:v>
      </x:c>
      <x:c r="U265" s="60" t="n">
        <x:f>IF(T265="","",I265*T265)</x:f>
        <x:v>37.93561344130649</x:v>
      </x:c>
    </x:row>
    <x:row r="266" ht="18" customHeight="1">
      <x:c r="A266" s="46" t="str">
        <x:v>LME_003</x:v>
      </x:c>
      <x:c r="B266" s="46" t="str">
        <x:v>California Current</x:v>
      </x:c>
      <x:c r="C266" s="46" t="str">
        <x:v>LME</x:v>
      </x:c>
      <x:c r="D266" s="58" t="n">
        <x:v>2019</x:v>
      </x:c>
      <x:c r="E266" s="46" t="str">
        <x:v>Lampris guttatus</x:v>
      </x:c>
      <x:c r="F266" s="46" t="str">
        <x:v>Opah</x:v>
      </x:c>
      <x:c r="G266" s="46" t="str">
        <x:v>Large bathypelagics (&gt;=90 cm)</x:v>
      </x:c>
      <x:c r="H266" s="46" t="str">
        <x:v>Other fishes &amp; inverts</x:v>
      </x:c>
      <x:c r="I266" s="60" t="n">
        <x:v>0.0259456609</x:v>
      </x:c>
      <x:c r="J266" s="60" t="n">
        <x:v>0.0259456609</x:v>
      </x:c>
      <x:c r="K266" s="60" t="n">
        <x:v>0</x:v>
      </x:c>
      <x:c r="L266" s="60" t="n">
        <x:v>0</x:v>
      </x:c>
      <x:c r="M266" s="60" t="n">
        <x:v>0.0259456609</x:v>
      </x:c>
      <x:c r="N266" s="46" t="str">
        <x:v>lampris guttatus</x:v>
      </x:c>
      <x:c r="O266" s="62" t="n">
        <x:v>4.22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Lampris guttatus</x:v>
      </x:c>
      <x:c r="T266" s="62" t="n">
        <x:f>IF(O266="","",(1/'Metadata'!$B$5)^(O266-1))</x:f>
        <x:v>15463.812886046735</x:v>
      </x:c>
      <x:c r="U266" s="60" t="n">
        <x:f>IF(T266="","",I266*T266)</x:f>
        <x:v>401.21884536241896</x:v>
      </x:c>
    </x:row>
    <x:row r="267" ht="18" customHeight="1">
      <x:c r="A267" s="46" t="str">
        <x:v>LME_003</x:v>
      </x:c>
      <x:c r="B267" s="46" t="str">
        <x:v>California Current</x:v>
      </x:c>
      <x:c r="C267" s="46" t="str">
        <x:v>LME</x:v>
      </x:c>
      <x:c r="D267" s="58" t="n">
        <x:v>2019</x:v>
      </x:c>
      <x:c r="E267" s="46" t="str">
        <x:v>Trichiuridae</x:v>
      </x:c>
      <x:c r="F267" s="46" t="str">
        <x:v>Cutlassfishes</x:v>
      </x:c>
      <x:c r="G267" s="46" t="str">
        <x:v>Large benthopelagics (&gt;=90 cm)</x:v>
      </x:c>
      <x:c r="H267" s="46" t="str">
        <x:v>Perch-likes</x:v>
      </x:c>
      <x:c r="I267" s="60" t="n">
        <x:v>0.0239862898</x:v>
      </x:c>
      <x:c r="J267" s="60" t="n">
        <x:v>0.0239862898</x:v>
      </x:c>
      <x:c r="K267" s="60" t="n">
        <x:v>0</x:v>
      </x:c>
      <x:c r="L267" s="60" t="n">
        <x:v>0</x:v>
      </x:c>
      <x:c r="M267" s="60" t="n">
        <x:v>0.0239862898</x:v>
      </x:c>
      <x:c r="N267" s="46" t="str">
        <x:v>trichiuridae</x:v>
      </x:c>
      <x:c r="O267" s="62" t="n">
        <x:v>4.15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Trichiuridae</x:v>
      </x:c>
      <x:c r="T267" s="62" t="n">
        <x:f>IF(O267="","",(1/'Metadata'!$B$5)^(O267-1))</x:f>
        <x:v>12538.46830130465</x:v>
      </x:c>
      <x:c r="U267" s="60" t="n">
        <x:f>IF(T267="","",I267*T267)</x:f>
        <x:v>300.75133432320706</x:v>
      </x:c>
    </x:row>
    <x:row r="268" ht="18" customHeight="1">
      <x:c r="A268" s="46" t="str">
        <x:v>LME_003</x:v>
      </x:c>
      <x:c r="B268" s="46" t="str">
        <x:v>California Current</x:v>
      </x:c>
      <x:c r="C268" s="46" t="str">
        <x:v>LME</x:v>
      </x:c>
      <x:c r="D268" s="58" t="n">
        <x:v>2019</x:v>
      </x:c>
      <x:c r="E268" s="46" t="str">
        <x:v>Ammodytidae</x:v>
      </x:c>
      <x:c r="F268" s="46" t="str">
        <x:v>Sand lances</x:v>
      </x:c>
      <x:c r="G268" s="46" t="str">
        <x:v>Large reef assoc. fish (&gt;=90 cm)</x:v>
      </x:c>
      <x:c r="H268" s="46" t="str">
        <x:v>Perch-likes</x:v>
      </x:c>
      <x:c r="I268" s="60" t="n">
        <x:v>0.0188015063</x:v>
      </x:c>
      <x:c r="J268" s="60" t="n">
        <x:v>0.0015191681</x:v>
      </x:c>
      <x:c r="K268" s="60" t="n">
        <x:v>0.0172823382</x:v>
      </x:c>
      <x:c r="L268" s="60" t="n">
        <x:v>0</x:v>
      </x:c>
      <x:c r="M268" s="60" t="n">
        <x:v>0.0188015063</x:v>
      </x:c>
      <x:c r="N268" s="46" t="str">
        <x:v>ammodytidae</x:v>
      </x:c>
      <x:c r="O268" s="62" t="n">
        <x:v>3.11</x:v>
      </x:c>
      <x:c r="P268" s="46" t="str">
        <x:v>exact_sea_around_us</x:v>
      </x:c>
      <x:c r="Q268" s="62" t="str">
        <x:v>Sea Around Us exploited organisms</x:v>
      </x:c>
      <x:c r="R268" s="46" t="str">
        <x:v>high</x:v>
      </x:c>
      <x:c r="S268" s="46" t="str">
        <x:v>Ammodytidae</x:v>
      </x:c>
      <x:c r="T268" s="62" t="n">
        <x:f>IF(O268="","",(1/'Metadata'!$B$5)^(O268-1))</x:f>
        <x:v>556.1261167405597</x:v>
      </x:c>
      <x:c r="U268" s="60" t="n">
        <x:f>IF(T268="","",I268*T268)</x:f>
        <x:v>10.456008687492169</x:v>
      </x:c>
    </x:row>
    <x:row r="269" ht="18" customHeight="1">
      <x:c r="A269" s="46" t="str">
        <x:v>LME_003</x:v>
      </x:c>
      <x:c r="B269" s="46" t="str">
        <x:v>California Current</x:v>
      </x:c>
      <x:c r="C269" s="46" t="str">
        <x:v>LME</x:v>
      </x:c>
      <x:c r="D269" s="58" t="n">
        <x:v>2019</x:v>
      </x:c>
      <x:c r="E269" s="46" t="str">
        <x:v>Alepisaurus ferox</x:v>
      </x:c>
      <x:c r="F269" s="46" t="str">
        <x:v>Long snouted lancetfish</x:v>
      </x:c>
      <x:c r="G269" s="46" t="str">
        <x:v>Large bathypelagics (&gt;=90 cm)</x:v>
      </x:c>
      <x:c r="H269" s="46" t="str">
        <x:v>Other fishes &amp; inverts</x:v>
      </x:c>
      <x:c r="I269" s="60" t="n">
        <x:v>0.0107456452</x:v>
      </x:c>
      <x:c r="J269" s="60" t="n">
        <x:v>0.0107456452</x:v>
      </x:c>
      <x:c r="K269" s="60" t="n">
        <x:v>0</x:v>
      </x:c>
      <x:c r="L269" s="60" t="n">
        <x:v>0</x:v>
      </x:c>
      <x:c r="M269" s="60" t="n">
        <x:v>0.0107456452</x:v>
      </x:c>
      <x:c r="N269" s="46" t="str">
        <x:v>alepisaurus ferox</x:v>
      </x:c>
      <x:c r="O269" s="62" t="n">
        <x:v>4.03</x:v>
      </x:c>
      <x:c r="P269" s="46" t="str">
        <x:v>exact_2020_supplement</x:v>
      </x:c>
      <x:c r="Q269" s="62" t="str">
        <x:v>2020 supplement MeanTL</x:v>
      </x:c>
      <x:c r="R269" s="46" t="str">
        <x:v>high</x:v>
      </x:c>
      <x:c r="S269" s="46" t="str">
        <x:v>Alepisaurus ferox</x:v>
      </x:c>
      <x:c r="T269" s="62" t="n">
        <x:f>IF(O269="","",(1/'Metadata'!$B$5)^(O269-1))</x:f>
        <x:v>8752.273628615554</x:v>
      </x:c>
      <x:c r="U269" s="60" t="n">
        <x:f>IF(T269="","",I269*T269)</x:f>
        <x:v>94.04882710641932</x:v>
      </x:c>
    </x:row>
    <x:row r="270" ht="18" customHeight="1">
      <x:c r="A270" s="46" t="str">
        <x:v>LME_003</x:v>
      </x:c>
      <x:c r="B270" s="46" t="str">
        <x:v>California Current</x:v>
      </x:c>
      <x:c r="C270" s="46" t="str">
        <x:v>LME</x:v>
      </x:c>
      <x:c r="D270" s="58" t="n">
        <x:v>2019</x:v>
      </x:c>
      <x:c r="E270" s="46" t="str">
        <x:v>Scyliorhinidae</x:v>
      </x:c>
      <x:c r="F270" s="46" t="str">
        <x:v>Cat/swellsharks</x:v>
      </x:c>
      <x:c r="G270" s="46" t="str">
        <x:v>Large sharks (&gt;=90 cm)</x:v>
      </x:c>
      <x:c r="H270" s="46" t="str">
        <x:v>Sharks &amp; rays</x:v>
      </x:c>
      <x:c r="I270" s="60" t="n">
        <x:v>0.006652108</x:v>
      </x:c>
      <x:c r="J270" s="60" t="n">
        <x:v>0.006652108</x:v>
      </x:c>
      <x:c r="K270" s="60" t="n">
        <x:v>0</x:v>
      </x:c>
      <x:c r="L270" s="60" t="n">
        <x:v>0</x:v>
      </x:c>
      <x:c r="M270" s="60" t="n">
        <x:v>0.006652108</x:v>
      </x:c>
      <x:c r="N270" s="46" t="str">
        <x:v>scyliorhinidae</x:v>
      </x:c>
      <x:c r="O270" s="62" t="n">
        <x:v>3.97</x:v>
      </x:c>
      <x:c r="P270" s="46" t="str">
        <x:v>exact_sea_around_us</x:v>
      </x:c>
      <x:c r="Q270" s="62" t="str">
        <x:v>Sea Around Us exploited organisms</x:v>
      </x:c>
      <x:c r="R270" s="46" t="str">
        <x:v>high</x:v>
      </x:c>
      <x:c r="S270" s="46" t="str">
        <x:v>Scyliorhinidae</x:v>
      </x:c>
      <x:c r="T270" s="62" t="n">
        <x:f>IF(O270="","",(1/'Metadata'!$B$5)^(O270-1))</x:f>
        <x:v>7312.385640086951</x:v>
      </x:c>
      <x:c r="U270" s="60" t="n">
        <x:f>IF(T270="","",I270*T270)</x:f>
        <x:v>48.64277901550753</x:v>
      </x:c>
    </x:row>
    <x:row r="271" ht="18" customHeight="1">
      <x:c r="A271" s="46" t="str">
        <x:v>LME_003</x:v>
      </x:c>
      <x:c r="B271" s="46" t="str">
        <x:v>California Current</x:v>
      </x:c>
      <x:c r="C271" s="46" t="str">
        <x:v>LME</x:v>
      </x:c>
      <x:c r="D271" s="58" t="n">
        <x:v>2019</x:v>
      </x:c>
      <x:c r="E271" s="46" t="str">
        <x:v>Stromateidae</x:v>
      </x:c>
      <x:c r="F271" s="46" t="str">
        <x:v>Butterfishes</x:v>
      </x:c>
      <x:c r="G271" s="46" t="str">
        <x:v>Small benthopelagics (&lt;30 cm)</x:v>
      </x:c>
      <x:c r="H271" s="46" t="str">
        <x:v>Perch-likes</x:v>
      </x:c>
      <x:c r="I271" s="60" t="n">
        <x:v>0.0066430666</x:v>
      </x:c>
      <x:c r="J271" s="60" t="n">
        <x:v>0.0066430666</x:v>
      </x:c>
      <x:c r="K271" s="60" t="n">
        <x:v>0</x:v>
      </x:c>
      <x:c r="L271" s="60" t="n">
        <x:v>0</x:v>
      </x:c>
      <x:c r="M271" s="60" t="n">
        <x:v>0.0066430666</x:v>
      </x:c>
      <x:c r="N271" s="46" t="str">
        <x:v>stromateidae</x:v>
      </x:c>
      <x:c r="O271" s="62" t="n">
        <x:v>3.62</x:v>
      </x:c>
      <x:c r="P271" s="46" t="str">
        <x:v>exact_sea_around_us</x:v>
      </x:c>
      <x:c r="Q271" s="62" t="str">
        <x:v>Sea Around Us exploited organisms</x:v>
      </x:c>
      <x:c r="R271" s="46" t="str">
        <x:v>high</x:v>
      </x:c>
      <x:c r="S271" s="46" t="str">
        <x:v>Stromateidae</x:v>
      </x:c>
      <x:c r="T271" s="62" t="n">
        <x:f>IF(O271="","",(1/'Metadata'!$B$5)^(O271-1))</x:f>
        <x:v>2562.7048371775754</x:v>
      </x:c>
      <x:c r="U271" s="60" t="n">
        <x:f>IF(T271="","",I271*T271)</x:f>
        <x:v>17.02421890951279</x:v>
      </x:c>
    </x:row>
    <x:row r="272" ht="18" customHeight="1">
      <x:c r="A272" s="46" t="str">
        <x:v>LME_003</x:v>
      </x:c>
      <x:c r="B272" s="46" t="str">
        <x:v>California Current</x:v>
      </x:c>
      <x:c r="C272" s="46" t="str">
        <x:v>LME</x:v>
      </x:c>
      <x:c r="D272" s="58" t="n">
        <x:v>2019</x:v>
      </x:c>
      <x:c r="E272" s="46" t="str">
        <x:v>Hexagrammos lagocephalus</x:v>
      </x:c>
      <x:c r="F272" s="46" t="str">
        <x:v>Rock greenling</x:v>
      </x:c>
      <x:c r="G272" s="46" t="str">
        <x:v>Medium demersals (30 - 89 cm)</x:v>
      </x:c>
      <x:c r="H272" s="46" t="str">
        <x:v>Scorpionfishes</x:v>
      </x:c>
      <x:c r="I272" s="60" t="n">
        <x:v>0.0065196522</x:v>
      </x:c>
      <x:c r="J272" s="60" t="n">
        <x:v>0</x:v>
      </x:c>
      <x:c r="K272" s="60" t="n">
        <x:v>0.0065196522</x:v>
      </x:c>
      <x:c r="L272" s="60" t="n">
        <x:v>0</x:v>
      </x:c>
      <x:c r="M272" s="60" t="n">
        <x:v>0.0065196522</x:v>
      </x:c>
      <x:c r="N272" s="46" t="str">
        <x:v>hexagrammos lagocephalus</x:v>
      </x:c>
      <x:c r="O272" s="62" t="n">
        <x:v>3.67</x:v>
      </x:c>
      <x:c r="P272" s="46" t="str">
        <x:v>exact_2020_supplement</x:v>
      </x:c>
      <x:c r="Q272" s="62" t="str">
        <x:v>2020 supplement MeanTL</x:v>
      </x:c>
      <x:c r="R272" s="46" t="str">
        <x:v>high</x:v>
      </x:c>
      <x:c r="S272" s="46" t="str">
        <x:v>Hexagrammos lagocephalus</x:v>
      </x:c>
      <x:c r="T272" s="62" t="n">
        <x:f>IF(O272="","",(1/'Metadata'!$B$5)^(O272-1))</x:f>
        <x:v>2976.8029570258213</x:v>
      </x:c>
      <x:c r="U272" s="60" t="n">
        <x:f>IF(T272="","",I272*T272)</x:f>
        <x:v>19.407719947739903</x:v>
      </x:c>
    </x:row>
    <x:row r="273" ht="18" customHeight="1">
      <x:c r="A273" s="46" t="str">
        <x:v>LME_003</x:v>
      </x:c>
      <x:c r="B273" s="46" t="str">
        <x:v>California Current</x:v>
      </x:c>
      <x:c r="C273" s="46" t="str">
        <x:v>LME</x:v>
      </x:c>
      <x:c r="D273" s="58" t="n">
        <x:v>2019</x:v>
      </x:c>
      <x:c r="E273" s="46" t="str">
        <x:v>Gadidae</x:v>
      </x:c>
      <x:c r="F273" s="46" t="str">
        <x:v>Cods, haddocks</x:v>
      </x:c>
      <x:c r="G273" s="46" t="str">
        <x:v>Medium demersals (30 - 89 cm)</x:v>
      </x:c>
      <x:c r="H273" s="46" t="str">
        <x:v>Cod-likes</x:v>
      </x:c>
      <x:c r="I273" s="60" t="n">
        <x:v>0.0060506168</x:v>
      </x:c>
      <x:c r="J273" s="60" t="n">
        <x:v>0.0060506168</x:v>
      </x:c>
      <x:c r="K273" s="60" t="n">
        <x:v>0</x:v>
      </x:c>
      <x:c r="L273" s="60" t="n">
        <x:v>0</x:v>
      </x:c>
      <x:c r="M273" s="60" t="n">
        <x:v>0.0060506168</x:v>
      </x:c>
      <x:c r="N273" s="46" t="str">
        <x:v>gadidae</x:v>
      </x:c>
      <x:c r="O273" s="62" t="n">
        <x:v>3.84</x:v>
      </x:c>
      <x:c r="P273" s="46" t="str">
        <x:v>exact_sea_around_us</x:v>
      </x:c>
      <x:c r="Q273" s="62" t="str">
        <x:v>Sea Around Us exploited organisms</x:v>
      </x:c>
      <x:c r="R273" s="46" t="str">
        <x:v>high</x:v>
      </x:c>
      <x:c r="S273" s="46" t="str">
        <x:v>Gadidae</x:v>
      </x:c>
      <x:c r="T273" s="62" t="n">
        <x:f>IF(O273="","",(1/'Metadata'!$B$5)^(O273-1))</x:f>
        <x:v>4953.648510535111</x:v>
      </x:c>
      <x:c r="U273" s="60" t="n">
        <x:f>IF(T273="","",I273*T273)</x:f>
        <x:v>29.972628899138723</x:v>
      </x:c>
    </x:row>
    <x:row r="274" ht="18" customHeight="1">
      <x:c r="A274" s="46" t="str">
        <x:v>LME_003</x:v>
      </x:c>
      <x:c r="B274" s="46" t="str">
        <x:v>California Current</x:v>
      </x:c>
      <x:c r="C274" s="46" t="str">
        <x:v>LME</x:v>
      </x:c>
      <x:c r="D274" s="58" t="n">
        <x:v>2019</x:v>
      </x:c>
      <x:c r="E274" s="46" t="str">
        <x:v>Thunnus</x:v>
      </x:c>
      <x:c r="F274" s="46" t="str">
        <x:v>Tunas</x:v>
      </x:c>
      <x:c r="G274" s="46" t="str">
        <x:v>Large pelagics (&gt;=90 cm)</x:v>
      </x:c>
      <x:c r="H274" s="46" t="str">
        <x:v>Tuna &amp; billfishes</x:v>
      </x:c>
      <x:c r="I274" s="60" t="n">
        <x:v>0.0052974728</x:v>
      </x:c>
      <x:c r="J274" s="60" t="n">
        <x:v>0.0052974728</x:v>
      </x:c>
      <x:c r="K274" s="60" t="n">
        <x:v>0</x:v>
      </x:c>
      <x:c r="L274" s="60" t="n">
        <x:v>0</x:v>
      </x:c>
      <x:c r="M274" s="60" t="n">
        <x:v>0.0052974728</x:v>
      </x:c>
      <x:c r="N274" s="46" t="str">
        <x:v>thunnus</x:v>
      </x:c>
      <x:c r="O274" s="62" t="n">
        <x:v>4.34</x:v>
      </x:c>
      <x:c r="P274" s="46" t="str">
        <x:v>exact_sea_around_us</x:v>
      </x:c>
      <x:c r="Q274" s="62" t="str">
        <x:v>Sea Around Us exploited organisms</x:v>
      </x:c>
      <x:c r="R274" s="46" t="str">
        <x:v>high</x:v>
      </x:c>
      <x:c r="S274" s="46" t="str">
        <x:v>Thunnus</x:v>
      </x:c>
      <x:c r="T274" s="62" t="n">
        <x:f>IF(O274="","",(1/'Metadata'!$B$5)^(O274-1))</x:f>
        <x:v>22153.389612394185</x:v>
      </x:c>
      <x:c r="U274" s="60" t="n">
        <x:f>IF(T274="","",I274*T274)</x:f>
        <x:v>117.35697889946074</x:v>
      </x:c>
    </x:row>
    <x:row r="275" ht="18" customHeight="1">
      <x:c r="A275" s="46" t="str">
        <x:v>LME_003</x:v>
      </x:c>
      <x:c r="B275" s="46" t="str">
        <x:v>California Current</x:v>
      </x:c>
      <x:c r="C275" s="46" t="str">
        <x:v>LME</x:v>
      </x:c>
      <x:c r="D275" s="58" t="n">
        <x:v>2019</x:v>
      </x:c>
      <x:c r="E275" s="46" t="str">
        <x:v>Lamnidae</x:v>
      </x:c>
      <x:c r="F275" s="46" t="str">
        <x:v>Mackerel/white sharks</x:v>
      </x:c>
      <x:c r="G275" s="46" t="str">
        <x:v>Large sharks (&gt;=90 cm)</x:v>
      </x:c>
      <x:c r="H275" s="46" t="str">
        <x:v>Sharks &amp; rays</x:v>
      </x:c>
      <x:c r="I275" s="60" t="n">
        <x:v>0.0030305664</x:v>
      </x:c>
      <x:c r="J275" s="60" t="n">
        <x:v>0</x:v>
      </x:c>
      <x:c r="K275" s="60" t="n">
        <x:v>0.0030305664</x:v>
      </x:c>
      <x:c r="L275" s="60" t="n">
        <x:v>0</x:v>
      </x:c>
      <x:c r="M275" s="60" t="n">
        <x:v>0.0030305664</x:v>
      </x:c>
      <x:c r="N275" s="46" t="str">
        <x:v>lamnidae</x:v>
      </x:c>
      <x:c r="O275" s="62" t="n">
        <x:v>4.5</x:v>
      </x:c>
      <x:c r="P275" s="46" t="str">
        <x:v>exact_sea_around_us</x:v>
      </x:c>
      <x:c r="Q275" s="62" t="str">
        <x:v>Sea Around Us exploited organisms</x:v>
      </x:c>
      <x:c r="R275" s="46" t="str">
        <x:v>high</x:v>
      </x:c>
      <x:c r="S275" s="46" t="str">
        <x:v>Lamnidae</x:v>
      </x:c>
      <x:c r="T275" s="62" t="n">
        <x:f>IF(O275="","",(1/'Metadata'!$B$5)^(O275-1))</x:f>
        <x:v>35777.08763999664</x:v>
      </x:c>
      <x:c r="U275" s="60" t="n">
        <x:f>IF(T275="","",I275*T275)</x:f>
        <x:v>108.4248396916291</x:v>
      </x:c>
    </x:row>
    <x:row r="276" ht="18" customHeight="1">
      <x:c r="A276" s="46" t="str">
        <x:v>LME_003</x:v>
      </x:c>
      <x:c r="B276" s="46" t="str">
        <x:v>California Current</x:v>
      </x:c>
      <x:c r="C276" s="46" t="str">
        <x:v>LME</x:v>
      </x:c>
      <x:c r="D276" s="58" t="n">
        <x:v>2019</x:v>
      </x:c>
      <x:c r="E276" s="46" t="str">
        <x:v>Hypomesus pretiosus</x:v>
      </x:c>
      <x:c r="F276" s="46" t="str">
        <x:v>Surf smelt</x:v>
      </x:c>
      <x:c r="G276" s="46" t="str">
        <x:v>Small pelagics (&lt;30 cm)</x:v>
      </x:c>
      <x:c r="H276" s="46" t="str">
        <x:v>Salmon, smelts, etc</x:v>
      </x:c>
      <x:c r="I276" s="60" t="n">
        <x:v>0.002612673</x:v>
      </x:c>
      <x:c r="J276" s="60" t="n">
        <x:v>0</x:v>
      </x:c>
      <x:c r="K276" s="60" t="n">
        <x:v>0.002612673</x:v>
      </x:c>
      <x:c r="L276" s="60" t="n">
        <x:v>0</x:v>
      </x:c>
      <x:c r="M276" s="60" t="n">
        <x:v>0.002612673</x:v>
      </x:c>
      <x:c r="N276" s="46" t="str">
        <x:v>hypomesus pretiosus</x:v>
      </x:c>
      <x:c r="O276" s="62" t="n">
        <x:v>3.43</x:v>
      </x:c>
      <x:c r="P276" s="46" t="str">
        <x:v>exact_2020_supplement</x:v>
      </x:c>
      <x:c r="Q276" s="62" t="str">
        <x:v>2020 supplement MeanTL</x:v>
      </x:c>
      <x:c r="R276" s="46" t="str">
        <x:v>high</x:v>
      </x:c>
      <x:c r="S276" s="46" t="str">
        <x:v>Hypomesus pretiosus</x:v>
      </x:c>
      <x:c r="T276" s="62" t="n">
        <x:f>IF(O276="","",(1/'Metadata'!$B$5)^(O276-1))</x:f>
        <x:v>1450.450424461182</x:v>
      </x:c>
      <x:c r="U276" s="60" t="n">
        <x:f>IF(T276="","",I276*T276)</x:f>
        <x:v>3.789552661828269</x:v>
      </x:c>
    </x:row>
    <x:row r="277" ht="18" customHeight="1">
      <x:c r="A277" s="46" t="str">
        <x:v>LME_003</x:v>
      </x:c>
      <x:c r="B277" s="46" t="str">
        <x:v>California Current</x:v>
      </x:c>
      <x:c r="C277" s="46" t="str">
        <x:v>LME</x:v>
      </x:c>
      <x:c r="D277" s="58" t="n">
        <x:v>2019</x:v>
      </x:c>
      <x:c r="E277" s="46" t="str">
        <x:v>Scomberesocidae</x:v>
      </x:c>
      <x:c r="F277" s="46" t="str">
        <x:v>Sauries</x:v>
      </x:c>
      <x:c r="G277" s="46" t="str">
        <x:v>Medium pelagics (30 - 89 cm)</x:v>
      </x:c>
      <x:c r="H277" s="46" t="str">
        <x:v>Other fishes &amp; inverts</x:v>
      </x:c>
      <x:c r="I277" s="60" t="n">
        <x:v>0.0020247259</x:v>
      </x:c>
      <x:c r="J277" s="60" t="n">
        <x:v>0</x:v>
      </x:c>
      <x:c r="K277" s="60" t="n">
        <x:v>0.0020247259</x:v>
      </x:c>
      <x:c r="L277" s="60" t="n">
        <x:v>0</x:v>
      </x:c>
      <x:c r="M277" s="60" t="n">
        <x:v>0.0020247259</x:v>
      </x:c>
      <x:c r="N277" s="46" t="str">
        <x:v>scomberesocidae</x:v>
      </x:c>
      <x:c r="O277" s="62" t="n">
        <x:v>4.01</x:v>
      </x:c>
      <x:c r="P277" s="46" t="str">
        <x:v>exact_sea_around_us</x:v>
      </x:c>
      <x:c r="Q277" s="62" t="str">
        <x:v>Sea Around Us exploited organisms</x:v>
      </x:c>
      <x:c r="R277" s="46" t="str">
        <x:v>high</x:v>
      </x:c>
      <x:c r="S277" s="46" t="str">
        <x:v>Scomberesocidae</x:v>
      </x:c>
      <x:c r="T277" s="62" t="n">
        <x:f>IF(O277="","",(1/'Metadata'!$B$5)^(O277-1))</x:f>
        <x:v>8243.284463290014</x:v>
      </x:c>
      <x:c r="U277" s="60" t="n">
        <x:f>IF(T277="","",I277*T277)</x:f>
        <x:v>16.69039155389089</x:v>
      </x:c>
    </x:row>
    <x:row r="278" ht="18" customHeight="1">
      <x:c r="A278" s="46" t="str">
        <x:v>LME_003</x:v>
      </x:c>
      <x:c r="B278" s="46" t="str">
        <x:v>California Current</x:v>
      </x:c>
      <x:c r="C278" s="46" t="str">
        <x:v>LME</x:v>
      </x:c>
      <x:c r="D278" s="58" t="n">
        <x:v>2019</x:v>
      </x:c>
      <x:c r="E278" s="46" t="str">
        <x:v>Microgadus proximus</x:v>
      </x:c>
      <x:c r="F278" s="46" t="str">
        <x:v>Pacific tomcod</x:v>
      </x:c>
      <x:c r="G278" s="46" t="str">
        <x:v>Medium demersals (30 - 89 cm)</x:v>
      </x:c>
      <x:c r="H278" s="46" t="str">
        <x:v>Cod-likes</x:v>
      </x:c>
      <x:c r="I278" s="60" t="n">
        <x:v>0.0002804448</x:v>
      </x:c>
      <x:c r="J278" s="60" t="n">
        <x:v>0.0002804448</x:v>
      </x:c>
      <x:c r="K278" s="60" t="n">
        <x:v>0</x:v>
      </x:c>
      <x:c r="L278" s="60" t="n">
        <x:v>0</x:v>
      </x:c>
      <x:c r="M278" s="60" t="n">
        <x:v>0.0002804448</x:v>
      </x:c>
      <x:c r="N278" s="46" t="str">
        <x:v>microgadus proximus</x:v>
      </x:c>
      <x:c r="O278" s="62" t="n">
        <x:v>3.58</x:v>
      </x:c>
      <x:c r="P278" s="46" t="str">
        <x:v>exact_2020_supplement</x:v>
      </x:c>
      <x:c r="Q278" s="62" t="str">
        <x:v>2020 supplement MeanTL</x:v>
      </x:c>
      <x:c r="R278" s="46" t="str">
        <x:v>high</x:v>
      </x:c>
      <x:c r="S278" s="46" t="str">
        <x:v>Microgadus proximus</x:v>
      </x:c>
      <x:c r="T278" s="62" t="n">
        <x:f>IF(O278="","",(1/'Metadata'!$B$5)^(O278-1))</x:f>
        <x:v>2273.3033337150473</x:v>
      </x:c>
      <x:c r="U278" s="60" t="n">
        <x:f>IF(T278="","",I278*T278)</x:f>
        <x:v>0.6375360987630496</x:v>
      </x:c>
    </x:row>
  </x:sheetData>
  <x:conditionalFormatting sqref="R2:R27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6cc74a8c58448c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86015.9003228017</x:v>
      </x:c>
      <x:c r="E2" s="60" t="n">
        <x:v>86015.9003228017</x:v>
      </x:c>
      <x:c r="F2" s="62" t="n">
        <x:v>0</x:v>
      </x:c>
      <x:c r="G2" s="66" t="n">
        <x:v>1</x:v>
      </x:c>
      <x:c r="H2" s="62" t="n">
        <x:f>IF(E2=0,"",I2/E2)</x:f>
        <x:v>222.29611603497207</x:v>
      </x:c>
      <x:c r="I2" s="60" t="n">
        <x:f>SUMIF('Species'!$H$2:$H$278,A2,'Species'!$U$2:$U$278)</x:f>
        <x:v>19121000.55901012</x:v>
      </x:c>
      <x:c r="J2" s="62" t="n">
        <x:v>2.717549879878815</x:v>
      </x:c>
      <x:c r="K2" s="62" t="n">
        <x:f>IF(J2="","",(1/'Metadata'!$B$5)^(J2-1))</x:f>
        <x:v>171.62632881232653</x:v>
      </x:c>
      <x:c r="L2" s="60" t="n">
        <x:f>IF(E2=0,"",E2*K2)</x:f>
        <x:v>14762593.191889469</x:v>
      </x:c>
      <x:c r="M2" s="60" t="n">
        <x:f>I2-L2</x:f>
        <x:v>4358407.36712065</x:v>
      </x:c>
      <x:c r="N2" s="62" t="n">
        <x:f>IF(L2=0,"",I2/L2)</x:f>
        <x:v>1.2952331823053382</x:v>
      </x:c>
      <x:c r="O2" s="66" t="n">
        <x:f>IF(L2=0,"",M2/L2)</x:f>
        <x:v>0.2952331823053383</x:v>
      </x:c>
    </x:row>
    <x:row r="3" ht="18" customHeight="1">
      <x:c r="A3" s="46" t="str">
        <x:v>Cod-likes</x:v>
      </x:c>
      <x:c r="B3" s="64" t="n">
        <x:v>7</x:v>
      </x:c>
      <x:c r="C3" s="64" t="n">
        <x:v>7</x:v>
      </x:c>
      <x:c r="D3" s="60" t="n">
        <x:v>296748.68664511514</x:v>
      </x:c>
      <x:c r="E3" s="60" t="n">
        <x:v>296748.68664511514</x:v>
      </x:c>
      <x:c r="F3" s="62" t="n">
        <x:v>0</x:v>
      </x:c>
      <x:c r="G3" s="66" t="n">
        <x:v>1</x:v>
      </x:c>
      <x:c r="H3" s="62" t="n">
        <x:f>IF(E3=0,"",I3/E3)</x:f>
        <x:v>22815.900461617537</x:v>
      </x:c>
      <x:c r="I3" s="60" t="n">
        <x:f>SUMIF('Species'!$H$2:$H$278,A3,'Species'!$U$2:$U$278)</x:f>
        <x:v>6770588496.610681</x:v>
      </x:c>
      <x:c r="J3" s="62" t="n">
        <x:v>4.349714038871416</x:v>
      </x:c>
      <x:c r="K3" s="62" t="n">
        <x:f>IF(J3="","",(1/'Metadata'!$B$5)^(J3-1))</x:f>
        <x:v>22807.539803783155</x:v>
      </x:c>
      <x:c r="L3" s="60" t="n">
        <x:f>IF(E3=0,"",E3*K3)</x:f>
        <x:v>6768107482.378839</x:v>
      </x:c>
      <x:c r="M3" s="60" t="n">
        <x:f>I3-L3</x:f>
        <x:v>2481014.231842041</x:v>
      </x:c>
      <x:c r="N3" s="62" t="n">
        <x:f>IF(L3=0,"",I3/L3)</x:f>
        <x:v>1.000366574295444</x:v>
      </x:c>
      <x:c r="O3" s="66" t="n">
        <x:f>IF(L3=0,"",M3/L3)</x:f>
        <x:v>0.0003665742954439636</x:v>
      </x:c>
    </x:row>
    <x:row r="4" ht="18" customHeight="1">
      <x:c r="A4" s="46" t="str">
        <x:v>Crustaceans</x:v>
      </x:c>
      <x:c r="B4" s="64" t="n">
        <x:v>27</x:v>
      </x:c>
      <x:c r="C4" s="64" t="n">
        <x:v>27</x:v>
      </x:c>
      <x:c r="D4" s="60" t="n">
        <x:v>69141.99559019222</x:v>
      </x:c>
      <x:c r="E4" s="60" t="n">
        <x:v>69141.99559019222</x:v>
      </x:c>
      <x:c r="F4" s="62" t="n">
        <x:v>0</x:v>
      </x:c>
      <x:c r="G4" s="66" t="n">
        <x:v>1</x:v>
      </x:c>
      <x:c r="H4" s="62" t="n">
        <x:f>IF(E4=0,"",I4/E4)</x:f>
        <x:v>3640.2792039143774</x:v>
      </x:c>
      <x:c r="I4" s="60" t="n">
        <x:f>SUMIF('Species'!$H$2:$H$278,A4,'Species'!$U$2:$U$278)</x:f>
        <x:v>251696168.66411632</x:v>
      </x:c>
      <x:c r="J4" s="62" t="n">
        <x:v>3.4448973993077403</x:v>
      </x:c>
      <x:c r="K4" s="62" t="n">
        <x:f>IF(J4="","",(1/'Metadata'!$B$5)^(J4-1))</x:f>
        <x:v>1516.6481958380625</x:v>
      </x:c>
      <x:c r="L4" s="60" t="n">
        <x:f>IF(E4=0,"",E4*K4)</x:f>
        <x:v>104864082.86850831</x:v>
      </x:c>
      <x:c r="M4" s="60" t="n">
        <x:f>I4-L4</x:f>
        <x:v>146832085.795608</x:v>
      </x:c>
      <x:c r="N4" s="62" t="n">
        <x:f>IF(L4=0,"",I4/L4)</x:f>
        <x:v>2.4002133216548933</x:v>
      </x:c>
      <x:c r="O4" s="66" t="n">
        <x:f>IF(L4=0,"",M4/L4)</x:f>
        <x:v>1.4002133216548933</x:v>
      </x:c>
    </x:row>
    <x:row r="5" ht="18" customHeight="1">
      <x:c r="A5" s="46" t="str">
        <x:v>Flatfishes</x:v>
      </x:c>
      <x:c r="B5" s="64" t="n">
        <x:v>22</x:v>
      </x:c>
      <x:c r="C5" s="64" t="n">
        <x:v>22</x:v>
      </x:c>
      <x:c r="D5" s="60" t="n">
        <x:v>16199.6579316234</x:v>
      </x:c>
      <x:c r="E5" s="60" t="n">
        <x:v>16199.6579316234</x:v>
      </x:c>
      <x:c r="F5" s="62" t="n">
        <x:v>0</x:v>
      </x:c>
      <x:c r="G5" s="66" t="n">
        <x:v>1</x:v>
      </x:c>
      <x:c r="H5" s="62" t="n">
        <x:f>IF(E5=0,"",I5/E5)</x:f>
        <x:v>5830.074165630021</x:v>
      </x:c>
      <x:c r="I5" s="60" t="n">
        <x:f>SUMIF('Species'!$H$2:$H$278,A5,'Species'!$U$2:$U$278)</x:f>
        <x:v>94445207.19920105</x:v>
      </x:c>
      <x:c r="J5" s="62" t="n">
        <x:v>3.670684679623381</x:v>
      </x:c>
      <x:c r="K5" s="62" t="n">
        <x:f>IF(J5="","",(1/'Metadata'!$B$5)^(J5-1))</x:f>
        <x:v>2982.9149938226474</x:v>
      </x:c>
      <x:c r="L5" s="60" t="n">
        <x:f>IF(E5=0,"",E5*K5)</x:f>
        <x:v>48322202.539037414</x:v>
      </x:c>
      <x:c r="M5" s="60" t="n">
        <x:f>I5-L5</x:f>
        <x:v>46123004.66016363</x:v>
      </x:c>
      <x:c r="N5" s="62" t="n">
        <x:f>IF(L5=0,"",I5/L5)</x:f>
        <x:v>1.9544888733683623</x:v>
      </x:c>
      <x:c r="O5" s="66" t="n">
        <x:f>IF(L5=0,"",M5/L5)</x:f>
        <x:v>0.9544888733683622</x:v>
      </x:c>
    </x:row>
    <x:row r="6" ht="18" customHeight="1">
      <x:c r="A6" s="46" t="str">
        <x:v>Herring-likes</x:v>
      </x:c>
      <x:c r="B6" s="64" t="n">
        <x:v>5</x:v>
      </x:c>
      <x:c r="C6" s="64" t="n">
        <x:v>5</x:v>
      </x:c>
      <x:c r="D6" s="60" t="n">
        <x:v>85281.13505095741</x:v>
      </x:c>
      <x:c r="E6" s="60" t="n">
        <x:v>85281.13505095741</x:v>
      </x:c>
      <x:c r="F6" s="62" t="n">
        <x:v>0</x:v>
      </x:c>
      <x:c r="G6" s="66" t="n">
        <x:v>1</x:v>
      </x:c>
      <x:c r="H6" s="62" t="n">
        <x:f>IF(E6=0,"",I6/E6)</x:f>
        <x:v>279.01055509493875</x:v>
      </x:c>
      <x:c r="I6" s="60" t="n">
        <x:f>SUMIF('Species'!$H$2:$H$278,A6,'Species'!$U$2:$U$278)</x:f>
        <x:v>23794336.829694066</x:v>
      </x:c>
      <x:c r="J6" s="62" t="n">
        <x:v>2.872831891315812</x:v>
      </x:c>
      <x:c r="K6" s="62" t="n">
        <x:f>IF(J6="","",(1/'Metadata'!$B$5)^(J6-1))</x:f>
        <x:v>273.28164765264574</x:v>
      </x:c>
      <x:c r="L6" s="60" t="n">
        <x:f>IF(E6=0,"",E6*K6)</x:f>
        <x:v>23305769.10041344</x:v>
      </x:c>
      <x:c r="M6" s="60" t="n">
        <x:f>I6-L6</x:f>
        <x:v>488567.72928062454</x:v>
      </x:c>
      <x:c r="N6" s="62" t="n">
        <x:f>IF(L6=0,"",I6/L6)</x:f>
        <x:v>1.020963381520499</x:v>
      </x:c>
      <x:c r="O6" s="66" t="n">
        <x:f>IF(L6=0,"",M6/L6)</x:f>
        <x:v>0.020963381520499032</x:v>
      </x:c>
    </x:row>
    <x:row r="7" ht="18" customHeight="1">
      <x:c r="A7" s="46" t="str">
        <x:v>Molluscs</x:v>
      </x:c>
      <x:c r="B7" s="64" t="n">
        <x:v>21</x:v>
      </x:c>
      <x:c r="C7" s="64" t="n">
        <x:v>21</x:v>
      </x:c>
      <x:c r="D7" s="60" t="n">
        <x:v>23704.251192193897</x:v>
      </x:c>
      <x:c r="E7" s="60" t="n">
        <x:v>23704.251192193897</x:v>
      </x:c>
      <x:c r="F7" s="62" t="n">
        <x:v>0</x:v>
      </x:c>
      <x:c r="G7" s="66" t="n">
        <x:v>1</x:v>
      </x:c>
      <x:c r="H7" s="62" t="n">
        <x:f>IF(E7=0,"",I7/E7)</x:f>
        <x:v>88.03205919884694</x:v>
      </x:c>
      <x:c r="I7" s="60" t="n">
        <x:f>SUMIF('Species'!$H$2:$H$278,A7,'Species'!$U$2:$U$278)</x:f>
        <x:v>2086734.044215551</x:v>
      </x:c>
      <x:c r="J7" s="62" t="n">
        <x:v>2.260159677334492</x:v>
      </x:c>
      <x:c r="K7" s="62" t="n">
        <x:f>IF(J7="","",(1/'Metadata'!$B$5)^(J7-1))</x:f>
        <x:v>43.60191255016226</x:v>
      </x:c>
      <x:c r="L7" s="60" t="n">
        <x:f>IF(E7=0,"",E7*K7)</x:f>
        <x:v>1033550.6875491178</x:v>
      </x:c>
      <x:c r="M7" s="60" t="n">
        <x:f>I7-L7</x:f>
        <x:v>1053183.3566664332</x:v>
      </x:c>
      <x:c r="N7" s="62" t="n">
        <x:f>IF(L7=0,"",I7/L7)</x:f>
        <x:v>2.018995361672944</x:v>
      </x:c>
      <x:c r="O7" s="66" t="n">
        <x:f>IF(L7=0,"",M7/L7)</x:f>
        <x:v>1.018995361672944</x:v>
      </x:c>
    </x:row>
    <x:row r="8" ht="18" customHeight="1">
      <x:c r="A8" s="46" t="str">
        <x:v>Other fishes &amp; inverts</x:v>
      </x:c>
      <x:c r="B8" s="64" t="n">
        <x:v>28</x:v>
      </x:c>
      <x:c r="C8" s="64" t="n">
        <x:v>28</x:v>
      </x:c>
      <x:c r="D8" s="60" t="n">
        <x:v>274697.1628342929</x:v>
      </x:c>
      <x:c r="E8" s="60" t="n">
        <x:v>274697.1628342929</x:v>
      </x:c>
      <x:c r="F8" s="62" t="n">
        <x:v>0</x:v>
      </x:c>
      <x:c r="G8" s="66" t="n">
        <x:v>1</x:v>
      </x:c>
      <x:c r="H8" s="62" t="n">
        <x:f>IF(E8=0,"",I8/E8)</x:f>
        <x:v>2365.071148745038</x:v>
      </x:c>
      <x:c r="I8" s="60" t="n">
        <x:f>SUMIF('Species'!$H$2:$H$278,A8,'Species'!$U$2:$U$278)</x:f>
        <x:v>649678334.4615039</x:v>
      </x:c>
      <x:c r="J8" s="62" t="n">
        <x:v>3.4736230585997245</x:v>
      </x:c>
      <x:c r="K8" s="62" t="n">
        <x:f>IF(J8="","",(1/'Metadata'!$B$5)^(J8-1))</x:f>
        <x:v>1652.9426938529516</x:v>
      </x:c>
      <x:c r="L8" s="60" t="n">
        <x:f>IF(E8=0,"",E8*K8)</x:f>
        <x:v>454058668.32907903</x:v>
      </x:c>
      <x:c r="M8" s="60" t="n">
        <x:f>I8-L8</x:f>
        <x:v>195619666.13242483</x:v>
      </x:c>
      <x:c r="N8" s="62" t="n">
        <x:f>IF(L8=0,"",I8/L8)</x:f>
        <x:v>1.4308246483924616</x:v>
      </x:c>
      <x:c r="O8" s="66" t="n">
        <x:f>IF(L8=0,"",M8/L8)</x:f>
        <x:v>0.43082464839246165</x:v>
      </x:c>
    </x:row>
    <x:row r="9" ht="18" customHeight="1">
      <x:c r="A9" s="46" t="str">
        <x:v>Perch-likes</x:v>
      </x:c>
      <x:c r="B9" s="64" t="n">
        <x:v>59</x:v>
      </x:c>
      <x:c r="C9" s="64" t="n">
        <x:v>59</x:v>
      </x:c>
      <x:c r="D9" s="60" t="n">
        <x:v>105901.82907491212</x:v>
      </x:c>
      <x:c r="E9" s="60" t="n">
        <x:v>105901.82907491212</x:v>
      </x:c>
      <x:c r="F9" s="62" t="n">
        <x:v>0</x:v>
      </x:c>
      <x:c r="G9" s="66" t="n">
        <x:v>1</x:v>
      </x:c>
      <x:c r="H9" s="62" t="n">
        <x:f>IF(E9=0,"",I9/E9)</x:f>
        <x:v>6780.962844066384</x:v>
      </x:c>
      <x:c r="I9" s="60" t="n">
        <x:f>SUMIF('Species'!$H$2:$H$278,A9,'Species'!$U$2:$U$278)</x:f>
        <x:v>718116368.0756482</x:v>
      </x:c>
      <x:c r="J9" s="62" t="n">
        <x:v>3.6830621714664256</x:v>
      </x:c>
      <x:c r="K9" s="62" t="n">
        <x:f>IF(J9="","",(1/'Metadata'!$B$5)^(J9-1))</x:f>
        <x:v>3095.596630805025</x:v>
      </x:c>
      <x:c r="L9" s="60" t="n">
        <x:f>IF(E9=0,"",E9*K9)</x:f>
        <x:v>327829345.28038764</x:v>
      </x:c>
      <x:c r="M9" s="60" t="n">
        <x:f>I9-L9</x:f>
        <x:v>390287022.79526055</x:v>
      </x:c>
      <x:c r="N9" s="62" t="n">
        <x:f>IF(L9=0,"",I9/L9)</x:f>
        <x:v>2.1905188733530054</x:v>
      </x:c>
      <x:c r="O9" s="66" t="n">
        <x:f>IF(L9=0,"",M9/L9)</x:f>
        <x:v>1.1905188733530057</x:v>
      </x:c>
    </x:row>
    <x:row r="10" ht="18" customHeight="1">
      <x:c r="A10" s="46" t="str">
        <x:v>Salmon, smelts, etc</x:v>
      </x:c>
      <x:c r="B10" s="64" t="n">
        <x:v>11</x:v>
      </x:c>
      <x:c r="C10" s="64" t="n">
        <x:v>11</x:v>
      </x:c>
      <x:c r="D10" s="60" t="n">
        <x:v>10035.4966525763</x:v>
      </x:c>
      <x:c r="E10" s="60" t="n">
        <x:v>10035.4966525763</x:v>
      </x:c>
      <x:c r="F10" s="62" t="n">
        <x:v>0</x:v>
      </x:c>
      <x:c r="G10" s="66" t="n">
        <x:v>1</x:v>
      </x:c>
      <x:c r="H10" s="62" t="n">
        <x:f>IF(E10=0,"",I10/E10)</x:f>
        <x:v>20657.44057724479</x:v>
      </x:c>
      <x:c r="I10" s="60" t="n">
        <x:f>SUMIF('Species'!$H$2:$H$278,A10,'Species'!$U$2:$U$278)</x:f>
        <x:v>207307675.7637339</x:v>
      </x:c>
      <x:c r="J10" s="62" t="n">
        <x:v>4.267617291847776</x:v>
      </x:c>
      <x:c r="K10" s="62" t="n">
        <x:f>IF(J10="","",(1/'Metadata'!$B$5)^(J10-1))</x:f>
        <x:v>17834.794560147824</x:v>
      </x:c>
      <x:c r="L10" s="60" t="n">
        <x:f>IF(E10=0,"",E10*K10)</x:f>
        <x:v>178981021.1077495</x:v>
      </x:c>
      <x:c r="M10" s="60" t="n">
        <x:f>I10-L10</x:f>
        <x:v>28326654.6559844</x:v>
      </x:c>
      <x:c r="N10" s="62" t="n">
        <x:f>IF(L10=0,"",I10/L10)</x:f>
        <x:v>1.1582662478997217</x:v>
      </x:c>
      <x:c r="O10" s="66" t="n">
        <x:f>IF(L10=0,"",M10/L10)</x:f>
        <x:v>0.15826624789972168</x:v>
      </x:c>
    </x:row>
    <x:row r="11" ht="18" customHeight="1">
      <x:c r="A11" s="46" t="str">
        <x:v>Scorpionfishes</x:v>
      </x:c>
      <x:c r="B11" s="64" t="n">
        <x:v>50</x:v>
      </x:c>
      <x:c r="C11" s="64" t="n">
        <x:v>50</x:v>
      </x:c>
      <x:c r="D11" s="60" t="n">
        <x:v>26654.983233390798</x:v>
      </x:c>
      <x:c r="E11" s="60" t="n">
        <x:v>26654.983233390798</x:v>
      </x:c>
      <x:c r="F11" s="62" t="n">
        <x:v>0</x:v>
      </x:c>
      <x:c r="G11" s="66" t="n">
        <x:v>1</x:v>
      </x:c>
      <x:c r="H11" s="62" t="n">
        <x:f>IF(E11=0,"",I11/E11)</x:f>
        <x:v>4894.444380320522</x:v>
      </x:c>
      <x:c r="I11" s="60" t="n">
        <x:f>SUMIF('Species'!$H$2:$H$278,A11,'Species'!$U$2:$U$278)</x:f>
        <x:v>130461332.89420733</x:v>
      </x:c>
      <x:c r="J11" s="62" t="n">
        <x:v>3.7506601786566134</x:v>
      </x:c>
      <x:c r="K11" s="62" t="n">
        <x:f>IF(J11="","",(1/'Metadata'!$B$5)^(J11-1))</x:f>
        <x:v>3790.455481919389</x:v>
      </x:c>
      <x:c r="L11" s="60" t="n">
        <x:f>IF(E11=0,"",E11*K11)</x:f>
        <x:v>101034527.31747556</x:v>
      </x:c>
      <x:c r="M11" s="60" t="n">
        <x:f>I11-L11</x:f>
        <x:v>29426805.57673177</x:v>
      </x:c>
      <x:c r="N11" s="62" t="n">
        <x:f>IF(L11=0,"",I11/L11)</x:f>
        <x:v>1.2912549438101042</x:v>
      </x:c>
      <x:c r="O11" s="66" t="n">
        <x:f>IF(L11=0,"",M11/L11)</x:f>
        <x:v>0.2912549438101041</x:v>
      </x:c>
    </x:row>
    <x:row r="12" ht="18" customHeight="1">
      <x:c r="A12" s="46" t="str">
        <x:v>Sharks &amp; rays</x:v>
      </x:c>
      <x:c r="B12" s="64" t="n">
        <x:v>31</x:v>
      </x:c>
      <x:c r="C12" s="64" t="n">
        <x:v>31</x:v>
      </x:c>
      <x:c r="D12" s="60" t="n">
        <x:v>16089.065474423</x:v>
      </x:c>
      <x:c r="E12" s="60" t="n">
        <x:v>16089.065474423</x:v>
      </x:c>
      <x:c r="F12" s="62" t="n">
        <x:v>0</x:v>
      </x:c>
      <x:c r="G12" s="66" t="n">
        <x:v>1</x:v>
      </x:c>
      <x:c r="H12" s="62" t="n">
        <x:f>IF(E12=0,"",I12/E12)</x:f>
        <x:v>11778.976483298646</x:v>
      </x:c>
      <x:c r="I12" s="60" t="n">
        <x:f>SUMIF('Species'!$H$2:$H$278,A12,'Species'!$U$2:$U$278)</x:f>
        <x:v>189512723.86148068</x:v>
      </x:c>
      <x:c r="J12" s="62" t="n">
        <x:v>4.0676772054501535</x:v>
      </x:c>
      <x:c r="K12" s="62" t="n">
        <x:f>IF(J12="","",(1/'Metadata'!$B$5)^(J12-1))</x:f>
        <x:v>9798.059248826445</x:v>
      </x:c>
      <x:c r="L12" s="60" t="n">
        <x:f>IF(E12=0,"",E12*K12)</x:f>
        <x:v>157641616.7766445</x:v>
      </x:c>
      <x:c r="M12" s="60" t="n">
        <x:f>I12-L12</x:f>
        <x:v>31871107.084836185</x:v>
      </x:c>
      <x:c r="N12" s="62" t="n">
        <x:f>IF(L12=0,"",I12/L12)</x:f>
        <x:v>1.2021744494665578</x:v>
      </x:c>
      <x:c r="O12" s="66" t="n">
        <x:f>IF(L12=0,"",M12/L12)</x:f>
        <x:v>0.2021744494665578</x:v>
      </x:c>
    </x:row>
    <x:row r="13" ht="18" customHeight="1">
      <x:c r="A13" s="46" t="str">
        <x:v>Tuna &amp; billfishes</x:v>
      </x:c>
      <x:c r="B13" s="64" t="n">
        <x:v>14</x:v>
      </x:c>
      <x:c r="C13" s="64" t="n">
        <x:v>14</x:v>
      </x:c>
      <x:c r="D13" s="60" t="n">
        <x:v>27067.455055073995</x:v>
      </x:c>
      <x:c r="E13" s="60" t="n">
        <x:v>27067.455055073995</x:v>
      </x:c>
      <x:c r="F13" s="62" t="n">
        <x:v>0</x:v>
      </x:c>
      <x:c r="G13" s="66" t="n">
        <x:v>1</x:v>
      </x:c>
      <x:c r="H13" s="62" t="n">
        <x:f>IF(E13=0,"",I13/E13)</x:f>
        <x:v>24773.89440707151</x:v>
      </x:c>
      <x:c r="I13" s="60" t="n">
        <x:f>SUMIF('Species'!$H$2:$H$278,A13,'Species'!$U$2:$U$278)</x:f>
        <x:v>670566273.4025571</x:v>
      </x:c>
      <x:c r="J13" s="62" t="n">
        <x:v>4.3535925266604085</x:v>
      </x:c>
      <x:c r="K13" s="62" t="n">
        <x:f>IF(J13="","",(1/'Metadata'!$B$5)^(J13-1))</x:f>
        <x:v>23074.08405824649</x:v>
      </x:c>
      <x:c r="L13" s="60" t="n">
        <x:f>IF(E13=0,"",E13*K13)</x:f>
        <x:v>624556733.1835862</x:v>
      </x:c>
      <x:c r="M13" s="60" t="n">
        <x:f>I13-L13</x:f>
        <x:v>46009540.218970895</x:v>
      </x:c>
      <x:c r="N13" s="62" t="n">
        <x:f>IF(L13=0,"",I13/L13)</x:f>
        <x:v>1.073667511331507</x:v>
      </x:c>
      <x:c r="O13" s="66" t="n">
        <x:f>IF(L13=0,"",M13/L13)</x:f>
        <x:v>0.0736675113315071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a4f4a53d1c24b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7</x:v>
      </x:c>
      <x:c r="C2" s="64" t="n">
        <x:v>7</x:v>
      </x:c>
      <x:c r="D2" s="60" t="n">
        <x:v>20812.934995008804</x:v>
      </x:c>
      <x:c r="E2" s="60" t="n">
        <x:v>20812.934995008804</x:v>
      </x:c>
      <x:c r="F2" s="62" t="n">
        <x:v>0</x:v>
      </x:c>
      <x:c r="G2" s="66" t="n">
        <x:v>1</x:v>
      </x:c>
      <x:c r="H2" s="62" t="n">
        <x:f>IF(E2=0,"",I2/E2)</x:f>
        <x:v>5831.681146816474</x:v>
      </x:c>
      <x:c r="I2" s="60" t="n">
        <x:f>SUMIF('Species'!$G$2:$G$278,A2,'Species'!$U$2:$U$278)</x:f>
        <x:v>121374400.62030967</x:v>
      </x:c>
      <x:c r="J2" s="62" t="n">
        <x:v>3.883211871210261</x:v>
      </x:c>
      <x:c r="K2" s="62" t="n">
        <x:f>IF(J2="","",(1/'Metadata'!$B$5)^(J2-1))</x:f>
        <x:v>5638.260382409147</x:v>
      </x:c>
      <x:c r="L2" s="60" t="n">
        <x:f>IF(E2=0,"",E2*K2)</x:f>
        <x:v>117348746.82401505</x:v>
      </x:c>
      <x:c r="M2" s="60" t="n">
        <x:f>I2-L2</x:f>
        <x:v>4025653.7962946147</x:v>
      </x:c>
      <x:c r="N2" s="62" t="n">
        <x:f>IF(L2=0,"",I2/L2)</x:f>
        <x:v>1.0343050429190503</x:v>
      </x:c>
      <x:c r="O2" s="66" t="n">
        <x:f>IF(L2=0,"",M2/L2)</x:f>
        <x:v>0.03430504291905039</x:v>
      </x:c>
    </x:row>
    <x:row r="3" ht="18" customHeight="1">
      <x:c r="A3" s="46" t="str">
        <x:v>Jellyfish</x:v>
      </x:c>
      <x:c r="B3" s="64" t="n">
        <x:v>2</x:v>
      </x:c>
      <x:c r="C3" s="64" t="n">
        <x:v>2</x:v>
      </x:c>
      <x:c r="D3" s="60" t="n">
        <x:v>50676.829383063</x:v>
      </x:c>
      <x:c r="E3" s="60" t="n">
        <x:v>50676.829383063</x:v>
      </x:c>
      <x:c r="F3" s="62" t="n">
        <x:v>0</x:v>
      </x:c>
      <x:c r="G3" s="66" t="n">
        <x:v>1</x:v>
      </x:c>
      <x:c r="H3" s="62" t="n">
        <x:f>IF(E3=0,"",I3/E3)</x:f>
        <x:v>1498.7074391437225</x:v>
      </x:c>
      <x:c r="I3" s="60" t="n">
        <x:f>SUMIF('Species'!$G$2:$G$278,A3,'Species'!$U$2:$U$278)</x:f>
        <x:v>75949741.1886137</x:v>
      </x:c>
      <x:c r="J3" s="62" t="n">
        <x:v>3.437928233374196</x:v>
      </x:c>
      <x:c r="K3" s="62" t="n">
        <x:f>IF(J3="","",(1/'Metadata'!$B$5)^(J3-1))</x:f>
        <x:v>1485.3122363855962</x:v>
      </x:c>
      <x:c r="L3" s="60" t="n">
        <x:f>IF(E3=0,"",E3*K3)</x:f>
        <x:v>75270914.7838886</x:v>
      </x:c>
      <x:c r="M3" s="60" t="n">
        <x:f>I3-L3</x:f>
        <x:v>678826.4047251046</x:v>
      </x:c>
      <x:c r="N3" s="62" t="n">
        <x:f>IF(L3=0,"",I3/L3)</x:f>
        <x:v>1.0090184423382405</x:v>
      </x:c>
      <x:c r="O3" s="66" t="n">
        <x:f>IF(L3=0,"",M3/L3)</x:f>
        <x:v>0.00901844233824038</x:v>
      </x:c>
    </x:row>
    <x:row r="4" ht="18" customHeight="1">
      <x:c r="A4" s="46" t="str">
        <x:v>Large bathydemersals (&gt;=90 cm)</x:v>
      </x:c>
      <x:c r="B4" s="64" t="n">
        <x:v>4</x:v>
      </x:c>
      <x:c r="C4" s="64" t="n">
        <x:v>4</x:v>
      </x:c>
      <x:c r="D4" s="60" t="n">
        <x:v>5160.2323106803</x:v>
      </x:c>
      <x:c r="E4" s="60" t="n">
        <x:v>5160.2323106803</x:v>
      </x:c>
      <x:c r="F4" s="62" t="n">
        <x:v>0</x:v>
      </x:c>
      <x:c r="G4" s="66" t="n">
        <x:v>1</x:v>
      </x:c>
      <x:c r="H4" s="62" t="n">
        <x:f>IF(E4=0,"",I4/E4)</x:f>
        <x:v>5055.898981993792</x:v>
      </x:c>
      <x:c r="I4" s="60" t="n">
        <x:f>SUMIF('Species'!$G$2:$G$278,A4,'Species'!$U$2:$U$278)</x:f>
        <x:v>26089613.286420003</x:v>
      </x:c>
      <x:c r="J4" s="62" t="n">
        <x:v>3.834137920209619</x:v>
      </x:c>
      <x:c r="K4" s="62" t="n">
        <x:f>IF(J4="","",(1/'Metadata'!$B$5)^(J4-1))</x:f>
        <x:v>4867.415783383676</x:v>
      </x:c>
      <x:c r="L4" s="60" t="n">
        <x:f>IF(E4=0,"",E4*K4)</x:f>
        <x:v>25116996.19493171</x:v>
      </x:c>
      <x:c r="M4" s="60" t="n">
        <x:f>I4-L4</x:f>
        <x:v>972617.0914882943</x:v>
      </x:c>
      <x:c r="N4" s="62" t="n">
        <x:f>IF(L4=0,"",I4/L4)</x:f>
        <x:v>1.0387234637430314</x:v>
      </x:c>
      <x:c r="O4" s="66" t="n">
        <x:f>IF(L4=0,"",M4/L4)</x:f>
        <x:v>0.038723463743031344</x:v>
      </x:c>
    </x:row>
    <x:row r="5" ht="18" customHeight="1">
      <x:c r="A5" s="46" t="str">
        <x:v>Large bathypelagics (&gt;=90 cm)</x:v>
      </x:c>
      <x:c r="B5" s="64" t="n">
        <x:v>2</x:v>
      </x:c>
      <x:c r="C5" s="64" t="n">
        <x:v>2</x:v>
      </x:c>
      <x:c r="D5" s="60" t="n">
        <x:v>0.0366913061</x:v>
      </x:c>
      <x:c r="E5" s="60" t="n">
        <x:v>0.0366913061</x:v>
      </x:c>
      <x:c r="F5" s="62" t="n">
        <x:v>0</x:v>
      </x:c>
      <x:c r="G5" s="66" t="n">
        <x:v>1</x:v>
      </x:c>
      <x:c r="H5" s="62" t="n">
        <x:f>IF(E5=0,"",I5/E5)</x:f>
        <x:v>13498.229556588018</x:v>
      </x:c>
      <x:c r="I5" s="60" t="n">
        <x:f>SUMIF('Species'!$G$2:$G$278,A5,'Species'!$U$2:$U$278)</x:f>
        <x:v>495.26767246883827</x:v>
      </x:c>
      <x:c r="J5" s="62" t="n">
        <x:v>4.164355412630023</x:v>
      </x:c>
      <x:c r="K5" s="62" t="n">
        <x:f>IF(J5="","",(1/'Metadata'!$B$5)^(J5-1))</x:f>
        <x:v>13089.447295674412</x:v>
      </x:c>
      <x:c r="L5" s="60" t="n">
        <x:f>IF(E5=0,"",E5*K5)</x:f>
        <x:v>480.2689174054071</x:v>
      </x:c>
      <x:c r="M5" s="60" t="n">
        <x:f>I5-L5</x:f>
        <x:v>14.99875506343119</x:v>
      </x:c>
      <x:c r="N5" s="62" t="n">
        <x:f>IF(L5=0,"",I5/L5)</x:f>
        <x:v>1.0312299099938844</x:v>
      </x:c>
      <x:c r="O5" s="66" t="n">
        <x:f>IF(L5=0,"",M5/L5)</x:f>
        <x:v>0.031229909993884454</x:v>
      </x:c>
    </x:row>
    <x:row r="6" ht="18" customHeight="1">
      <x:c r="A6" s="46" t="str">
        <x:v>Large benthopelagics (&gt;=90 cm)</x:v>
      </x:c>
      <x:c r="B6" s="64" t="n">
        <x:v>10</x:v>
      </x:c>
      <x:c r="C6" s="64" t="n">
        <x:v>10</x:v>
      </x:c>
      <x:c r="D6" s="60" t="n">
        <x:v>11357.61045494</x:v>
      </x:c>
      <x:c r="E6" s="60" t="n">
        <x:v>11357.61045494</x:v>
      </x:c>
      <x:c r="F6" s="62" t="n">
        <x:v>0</x:v>
      </x:c>
      <x:c r="G6" s="66" t="n">
        <x:v>1</x:v>
      </x:c>
      <x:c r="H6" s="62" t="n">
        <x:f>IF(E6=0,"",I6/E6)</x:f>
        <x:v>12417.191459116035</x:v>
      </x:c>
      <x:c r="I6" s="60" t="n">
        <x:f>SUMIF('Species'!$G$2:$G$278,A6,'Species'!$U$2:$U$278)</x:f>
        <x:v>141029623.53704795</x:v>
      </x:c>
      <x:c r="J6" s="62" t="n">
        <x:v>3.272762782954974</x:v>
      </x:c>
      <x:c r="K6" s="62" t="n">
        <x:f>IF(J6="","",(1/'Metadata'!$B$5)^(J6-1))</x:f>
        <x:v>905.5919506841435</x:v>
      </x:c>
      <x:c r="L6" s="60" t="n">
        <x:f>IF(E6=0,"",E6*K6)</x:f>
        <x:v>10285360.606999738</x:v>
      </x:c>
      <x:c r="M6" s="60" t="n">
        <x:f>I6-L6</x:f>
        <x:v>130744262.93004821</x:v>
      </x:c>
      <x:c r="N6" s="62" t="n">
        <x:f>IF(L6=0,"",I6/L6)</x:f>
        <x:v>13.711684881623864</x:v>
      </x:c>
      <x:c r="O6" s="66" t="n">
        <x:f>IF(L6=0,"",M6/L6)</x:f>
        <x:v>12.711684881623864</x:v>
      </x:c>
    </x:row>
    <x:row r="7" ht="18" customHeight="1">
      <x:c r="A7" s="46" t="str">
        <x:v>Large demersals (&gt;=90 cm)</x:v>
      </x:c>
      <x:c r="B7" s="64" t="n">
        <x:v>8</x:v>
      </x:c>
      <x:c r="C7" s="64" t="n">
        <x:v>8</x:v>
      </x:c>
      <x:c r="D7" s="60" t="n">
        <x:v>4920.998222732401</x:v>
      </x:c>
      <x:c r="E7" s="60" t="n">
        <x:v>4920.998222732401</x:v>
      </x:c>
      <x:c r="F7" s="62" t="n">
        <x:v>0</x:v>
      </x:c>
      <x:c r="G7" s="66" t="n">
        <x:v>1</x:v>
      </x:c>
      <x:c r="H7" s="62" t="n">
        <x:f>IF(E7=0,"",I7/E7)</x:f>
        <x:v>18628.19997310321</x:v>
      </x:c>
      <x:c r="I7" s="60" t="n">
        <x:f>SUMIF('Species'!$G$2:$G$278,A7,'Species'!$U$2:$U$278)</x:f>
        <x:v>91669338.96034464</x:v>
      </x:c>
      <x:c r="J7" s="62" t="n">
        <x:v>4.255084376846237</x:v>
      </x:c>
      <x:c r="K7" s="62" t="n">
        <x:f>IF(J7="","",(1/'Metadata'!$B$5)^(J7-1))</x:f>
        <x:v>17177.59712107665</x:v>
      </x:c>
      <x:c r="L7" s="60" t="n">
        <x:f>IF(E7=0,"",E7*K7)</x:f>
        <x:v>84530924.9036314</x:v>
      </x:c>
      <x:c r="M7" s="60" t="n">
        <x:f>I7-L7</x:f>
        <x:v>7138414.056713238</x:v>
      </x:c>
      <x:c r="N7" s="62" t="n">
        <x:f>IF(L7=0,"",I7/L7)</x:f>
        <x:v>1.0844473672191723</x:v>
      </x:c>
      <x:c r="O7" s="66" t="n">
        <x:f>IF(L7=0,"",M7/L7)</x:f>
        <x:v>0.0844473672191723</x:v>
      </x:c>
    </x:row>
    <x:row r="8" ht="18" customHeight="1">
      <x:c r="A8" s="46" t="str">
        <x:v>Large flatfishes (&gt;=90 cm)</x:v>
      </x:c>
      <x:c r="B8" s="64" t="n">
        <x:v>2</x:v>
      </x:c>
      <x:c r="C8" s="64" t="n">
        <x:v>2</x:v>
      </x:c>
      <x:c r="D8" s="60" t="n">
        <x:v>1065.284680887</x:v>
      </x:c>
      <x:c r="E8" s="60" t="n">
        <x:v>1065.284680887</x:v>
      </x:c>
      <x:c r="F8" s="62" t="n">
        <x:v>0</x:v>
      </x:c>
      <x:c r="G8" s="66" t="n">
        <x:v>1</x:v>
      </x:c>
      <x:c r="H8" s="62" t="n">
        <x:f>IF(E8=0,"",I8/E8)</x:f>
        <x:v>21231.888560484782</x:v>
      </x:c>
      <x:c r="I8" s="60" t="n">
        <x:f>SUMIF('Species'!$G$2:$G$278,A8,'Species'!$U$2:$U$278)</x:f>
        <x:v>22618005.629784375</x:v>
      </x:c>
      <x:c r="J8" s="62" t="n">
        <x:v>4.2782055422025245</x:v>
      </x:c>
      <x:c r="K8" s="62" t="n">
        <x:f>IF(J8="","",(1/'Metadata'!$B$5)^(J8-1))</x:f>
        <x:v>18409.574142827147</x:v>
      </x:c>
      <x:c r="L8" s="60" t="n">
        <x:f>IF(E8=0,"",E8*K8)</x:f>
        <x:v>19611437.316007182</x:v>
      </x:c>
      <x:c r="M8" s="60" t="n">
        <x:f>I8-L8</x:f>
        <x:v>3006568.3137771934</x:v>
      </x:c>
      <x:c r="N8" s="62" t="n">
        <x:f>IF(L8=0,"",I8/L8)</x:f>
        <x:v>1.1533068823733374</x:v>
      </x:c>
      <x:c r="O8" s="66" t="n">
        <x:f>IF(L8=0,"",M8/L8)</x:f>
        <x:v>0.15330688237333742</x:v>
      </x:c>
    </x:row>
    <x:row r="9" ht="18" customHeight="1">
      <x:c r="A9" s="46" t="str">
        <x:v>Large pelagics (&gt;=90 cm)</x:v>
      </x:c>
      <x:c r="B9" s="64" t="n">
        <x:v>17</x:v>
      </x:c>
      <x:c r="C9" s="64" t="n">
        <x:v>17</x:v>
      </x:c>
      <x:c r="D9" s="60" t="n">
        <x:v>35591.609171308104</x:v>
      </x:c>
      <x:c r="E9" s="60" t="n">
        <x:v>35591.609171308104</x:v>
      </x:c>
      <x:c r="F9" s="62" t="n">
        <x:v>0</x:v>
      </x:c>
      <x:c r="G9" s="66" t="n">
        <x:v>1</x:v>
      </x:c>
      <x:c r="H9" s="62" t="n">
        <x:f>IF(E9=0,"",I9/E9)</x:f>
        <x:v>24015.550561407937</x:v>
      </x:c>
      <x:c r="I9" s="60" t="n">
        <x:f>SUMIF('Species'!$G$2:$G$278,A9,'Species'!$U$2:$U$278)</x:f>
        <x:v>854752089.6154202</x:v>
      </x:c>
      <x:c r="J9" s="62" t="n">
        <x:v>4.349851633821059</x:v>
      </x:c>
      <x:c r="K9" s="62" t="n">
        <x:f>IF(J9="","",(1/'Metadata'!$B$5)^(J9-1))</x:f>
        <x:v>22816.942955511888</x:v>
      </x:c>
      <x:c r="L9" s="60" t="n">
        <x:f>IF(E9=0,"",E9*K9)</x:f>
        <x:v>812091716.1566107</x:v>
      </x:c>
      <x:c r="M9" s="60" t="n">
        <x:f>I9-L9</x:f>
        <x:v>42660373.458809495</x:v>
      </x:c>
      <x:c r="N9" s="62" t="n">
        <x:f>IF(L9=0,"",I9/L9)</x:f>
        <x:v>1.0525314722587105</x:v>
      </x:c>
      <x:c r="O9" s="66" t="n">
        <x:f>IF(L9=0,"",M9/L9)</x:f>
        <x:v>0.052531472258710375</x:v>
      </x:c>
    </x:row>
    <x:row r="10" ht="18" customHeight="1">
      <x:c r="A10" s="46" t="str">
        <x:v>Large rays (&gt;=90 cm)</x:v>
      </x:c>
      <x:c r="B10" s="64" t="n">
        <x:v>6</x:v>
      </x:c>
      <x:c r="C10" s="64" t="n">
        <x:v>6</x:v>
      </x:c>
      <x:c r="D10" s="60" t="n">
        <x:v>1643.2937593865</x:v>
      </x:c>
      <x:c r="E10" s="60" t="n">
        <x:v>1643.2937593865</x:v>
      </x:c>
      <x:c r="F10" s="62" t="n">
        <x:v>0</x:v>
      </x:c>
      <x:c r="G10" s="66" t="n">
        <x:v>1</x:v>
      </x:c>
      <x:c r="H10" s="62" t="n">
        <x:f>IF(E10=0,"",I10/E10)</x:f>
        <x:v>3140.2302280633908</x:v>
      </x:c>
      <x:c r="I10" s="60" t="n">
        <x:f>SUMIF('Species'!$G$2:$G$278,A10,'Species'!$U$2:$U$278)</x:f>
        <x:v>5160320.736813416</x:v>
      </x:c>
      <x:c r="J10" s="62" t="n">
        <x:v>3.632870611938951</x:v>
      </x:c>
      <x:c r="K10" s="62" t="n">
        <x:f>IF(J10="","",(1/'Metadata'!$B$5)^(J10-1))</x:f>
        <x:v>2663.4444344303483</x:v>
      </x:c>
      <x:c r="L10" s="60" t="n">
        <x:f>IF(E10=0,"",E10*K10)</x:f>
        <x:v>4376821.617572097</x:v>
      </x:c>
      <x:c r="M10" s="60" t="n">
        <x:f>I10-L10</x:f>
        <x:v>783499.1192413187</x:v>
      </x:c>
      <x:c r="N10" s="62" t="n">
        <x:f>IF(L10=0,"",I10/L10)</x:f>
        <x:v>1.1790109782166402</x:v>
      </x:c>
      <x:c r="O10" s="66" t="n">
        <x:f>IF(L10=0,"",M10/L10)</x:f>
        <x:v>0.17901097821664022</x:v>
      </x:c>
    </x:row>
    <x:row r="11" ht="18" customHeight="1">
      <x:c r="A11" s="46" t="str">
        <x:v>Large reef assoc. fish (&gt;=90 cm)</x:v>
      </x:c>
      <x:c r="B11" s="64" t="n">
        <x:v>8</x:v>
      </x:c>
      <x:c r="C11" s="64" t="n">
        <x:v>8</x:v>
      </x:c>
      <x:c r="D11" s="60" t="n">
        <x:v>3813.6161532003</x:v>
      </x:c>
      <x:c r="E11" s="60" t="n">
        <x:v>3813.6161532003</x:v>
      </x:c>
      <x:c r="F11" s="62" t="n">
        <x:v>0</x:v>
      </x:c>
      <x:c r="G11" s="66" t="n">
        <x:v>1</x:v>
      </x:c>
      <x:c r="H11" s="62" t="n">
        <x:f>IF(E11=0,"",I11/E11)</x:f>
        <x:v>2750.104760650332</x:v>
      </x:c>
      <x:c r="I11" s="60" t="n">
        <x:f>SUMIF('Species'!$G$2:$G$278,A11,'Species'!$U$2:$U$278)</x:f>
        <x:v>10487843.93820915</x:v>
      </x:c>
      <x:c r="J11" s="62" t="n">
        <x:v>3.5944170918858465</x:v>
      </x:c>
      <x:c r="K11" s="62" t="n">
        <x:f>IF(J11="","",(1/'Metadata'!$B$5)^(J11-1))</x:f>
        <x:v>2373.637845563797</x:v>
      </x:c>
      <x:c r="L11" s="60" t="n">
        <x:f>IF(E11=0,"",E11*K11)</x:f>
        <x:v>9052143.629689654</x:v>
      </x:c>
      <x:c r="M11" s="60" t="n">
        <x:f>I11-L11</x:f>
        <x:v>1435700.3085194957</x:v>
      </x:c>
      <x:c r="N11" s="62" t="n">
        <x:f>IF(L11=0,"",I11/L11)</x:f>
        <x:v>1.1586033504606155</x:v>
      </x:c>
      <x:c r="O11" s="66" t="n">
        <x:f>IF(L11=0,"",M11/L11)</x:f>
        <x:v>0.15860335046061544</x:v>
      </x:c>
    </x:row>
    <x:row r="12" ht="18" customHeight="1">
      <x:c r="A12" s="46" t="str">
        <x:v>Large sharks (&gt;=90 cm)</x:v>
      </x:c>
      <x:c r="B12" s="64" t="n">
        <x:v>20</x:v>
      </x:c>
      <x:c r="C12" s="64" t="n">
        <x:v>20</x:v>
      </x:c>
      <x:c r="D12" s="60" t="n">
        <x:v>14198.3966801304</x:v>
      </x:c>
      <x:c r="E12" s="60" t="n">
        <x:v>14198.3966801304</x:v>
      </x:c>
      <x:c r="F12" s="62" t="n">
        <x:v>0</x:v>
      </x:c>
      <x:c r="G12" s="66" t="n">
        <x:v>1</x:v>
      </x:c>
      <x:c r="H12" s="62" t="n">
        <x:f>IF(E12=0,"",I12/E12)</x:f>
        <x:v>12914.009431050525</x:v>
      </x:c>
      <x:c r="I12" s="60" t="n">
        <x:f>SUMIF('Species'!$G$2:$G$278,A12,'Species'!$U$2:$U$278)</x:f>
        <x:v>183358228.63300043</x:v>
      </x:c>
      <x:c r="J12" s="62" t="n">
        <x:v>4.123326419006599</x:v>
      </x:c>
      <x:c r="K12" s="62" t="n">
        <x:f>IF(J12="","",(1/'Metadata'!$B$5)^(J12-1))</x:f>
        <x:v>11575.542594400757</x:v>
      </x:c>
      <x:c r="L12" s="60" t="n">
        <x:f>IF(E12=0,"",E12*K12)</x:f>
        <x:v>164354145.54304773</x:v>
      </x:c>
      <x:c r="M12" s="60" t="n">
        <x:f>I12-L12</x:f>
        <x:v>19004083.089952707</x:v>
      </x:c>
      <x:c r="N12" s="62" t="n">
        <x:f>IF(L12=0,"",I12/L12)</x:f>
        <x:v>1.1156288636782523</x:v>
      </x:c>
      <x:c r="O12" s="66" t="n">
        <x:f>IF(L12=0,"",M12/L12)</x:f>
        <x:v>0.11562886367825233</x:v>
      </x:c>
    </x:row>
    <x:row r="13" ht="18" customHeight="1">
      <x:c r="A13" s="46" t="str">
        <x:v>Lobsters, crabs</x:v>
      </x:c>
      <x:c r="B13" s="64" t="n">
        <x:v>15</x:v>
      </x:c>
      <x:c r="C13" s="64" t="n">
        <x:v>15</x:v>
      </x:c>
      <x:c r="D13" s="60" t="n">
        <x:v>40370.8004359025</x:v>
      </x:c>
      <x:c r="E13" s="60" t="n">
        <x:v>40370.8004359025</x:v>
      </x:c>
      <x:c r="F13" s="62" t="n">
        <x:v>0</x:v>
      </x:c>
      <x:c r="G13" s="66" t="n">
        <x:v>1</x:v>
      </x:c>
      <x:c r="H13" s="62" t="n">
        <x:f>IF(E13=0,"",I13/E13)</x:f>
        <x:v>5899.863587591737</x:v>
      </x:c>
      <x:c r="I13" s="60" t="n">
        <x:f>SUMIF('Species'!$G$2:$G$278,A13,'Species'!$U$2:$U$278)</x:f>
        <x:v>238182215.4937138</x:v>
      </x:c>
      <x:c r="J13" s="62" t="n">
        <x:v>3.793639180330657</x:v>
      </x:c>
      <x:c r="K13" s="62" t="n">
        <x:f>IF(J13="","",(1/'Metadata'!$B$5)^(J13-1))</x:f>
        <x:v>4311.301256455947</x:v>
      </x:c>
      <x:c r="L13" s="60" t="n">
        <x:f>IF(E13=0,"",E13*K13)</x:f>
        <x:v>174050682.64343873</x:v>
      </x:c>
      <x:c r="M13" s="60" t="n">
        <x:f>I13-L13</x:f>
        <x:v>64131532.85027507</x:v>
      </x:c>
      <x:c r="N13" s="62" t="n">
        <x:f>IF(L13=0,"",I13/L13)</x:f>
        <x:v>1.368464701638978</x:v>
      </x:c>
      <x:c r="O13" s="66" t="n">
        <x:f>IF(L13=0,"",M13/L13)</x:f>
        <x:v>0.3684647016389778</x:v>
      </x:c>
    </x:row>
    <x:row r="14" ht="18" customHeight="1">
      <x:c r="A14" s="46" t="str">
        <x:v>Medium bathydemersals (30 - 89 cm)</x:v>
      </x:c>
      <x:c r="B14" s="64" t="n">
        <x:v>7</x:v>
      </x:c>
      <x:c r="C14" s="64" t="n">
        <x:v>7</x:v>
      </x:c>
      <x:c r="D14" s="60" t="n">
        <x:v>988.9755804001999</x:v>
      </x:c>
      <x:c r="E14" s="60" t="n">
        <x:v>988.9755804001999</x:v>
      </x:c>
      <x:c r="F14" s="62" t="n">
        <x:v>0</x:v>
      </x:c>
      <x:c r="G14" s="66" t="n">
        <x:v>1</x:v>
      </x:c>
      <x:c r="H14" s="62" t="n">
        <x:f>IF(E14=0,"",I14/E14)</x:f>
        <x:v>2350.055558443264</x:v>
      </x:c>
      <x:c r="I14" s="60" t="n">
        <x:f>SUMIF('Species'!$G$2:$G$278,A14,'Species'!$U$2:$U$278)</x:f>
        <x:v>2324147.559884143</x:v>
      </x:c>
      <x:c r="J14" s="62" t="n">
        <x:v>3.5633543523440574</x:v>
      </x:c>
      <x:c r="K14" s="62" t="n">
        <x:f>IF(J14="","",(1/'Metadata'!$B$5)^(J14-1))</x:f>
        <x:v>2162.7230151293465</x:v>
      </x:c>
      <x:c r="L14" s="60" t="n">
        <x:f>IF(E14=0,"",E14*K14)</x:f>
        <x:v>2138880.2491324157</x:v>
      </x:c>
      <x:c r="M14" s="60" t="n">
        <x:f>I14-L14</x:f>
        <x:v>185267.31075172732</x:v>
      </x:c>
      <x:c r="N14" s="62" t="n">
        <x:f>IF(L14=0,"",I14/L14)</x:f>
        <x:v>1.0866188328340853</x:v>
      </x:c>
      <x:c r="O14" s="66" t="n">
        <x:f>IF(L14=0,"",M14/L14)</x:f>
        <x:v>0.08661883283408524</x:v>
      </x:c>
    </x:row>
    <x:row r="15" ht="18" customHeight="1">
      <x:c r="A15" s="46" t="str">
        <x:v>Medium benthopelagics (30 - 89 cm)</x:v>
      </x:c>
      <x:c r="B15" s="64" t="n">
        <x:v>5</x:v>
      </x:c>
      <x:c r="C15" s="64" t="n">
        <x:v>5</x:v>
      </x:c>
      <x:c r="D15" s="60" t="n">
        <x:v>296620.78710831696</x:v>
      </x:c>
      <x:c r="E15" s="60" t="n">
        <x:v>296620.78710831696</x:v>
      </x:c>
      <x:c r="F15" s="62" t="n">
        <x:v>0</x:v>
      </x:c>
      <x:c r="G15" s="66" t="n">
        <x:v>1</x:v>
      </x:c>
      <x:c r="H15" s="62" t="n">
        <x:f>IF(E15=0,"",I15/E15)</x:f>
        <x:v>22817.206808029558</x:v>
      </x:c>
      <x:c r="I15" s="60" t="n">
        <x:f>SUMIF('Species'!$G$2:$G$278,A15,'Species'!$U$2:$U$278)</x:f>
        <x:v>6768057843.010976</x:v>
      </x:c>
      <x:c r="J15" s="62" t="n">
        <x:v>4.349693255803573</x:v>
      </x:c>
      <x:c r="K15" s="62" t="n">
        <x:f>IF(J15="","",(1/'Metadata'!$B$5)^(J15-1))</x:f>
        <x:v>22806.11983899405</x:v>
      </x:c>
      <x:c r="L15" s="60" t="n">
        <x:f>IF(E15=0,"",E15*K15)</x:f>
        <x:v>6764769217.529018</x:v>
      </x:c>
      <x:c r="M15" s="60" t="n">
        <x:f>I15-L15</x:f>
        <x:v>3288625.4819574356</x:v>
      </x:c>
      <x:c r="N15" s="62" t="n">
        <x:f>IF(L15=0,"",I15/L15)</x:f>
        <x:v>1.0004861400849323</x:v>
      </x:c>
      <x:c r="O15" s="66" t="n">
        <x:f>IF(L15=0,"",M15/L15)</x:f>
        <x:v>0.0004861400849323695</x:v>
      </x:c>
    </x:row>
    <x:row r="16" ht="18" customHeight="1">
      <x:c r="A16" s="46" t="str">
        <x:v>Medium demersals (30 - 89 cm)</x:v>
      </x:c>
      <x:c r="B16" s="64" t="n">
        <x:v>49</x:v>
      </x:c>
      <x:c r="C16" s="64" t="n">
        <x:v>49</x:v>
      </x:c>
      <x:c r="D16" s="60" t="n">
        <x:v>196220.2209344742</x:v>
      </x:c>
      <x:c r="E16" s="60" t="n">
        <x:v>196220.2209344742</x:v>
      </x:c>
      <x:c r="F16" s="62" t="n">
        <x:v>0</x:v>
      </x:c>
      <x:c r="G16" s="66" t="n">
        <x:v>1</x:v>
      </x:c>
      <x:c r="H16" s="62" t="n">
        <x:f>IF(E16=0,"",I16/E16)</x:f>
        <x:v>2395.019374037017</x:v>
      </x:c>
      <x:c r="I16" s="60" t="n">
        <x:f>SUMIF('Species'!$G$2:$G$278,A16,'Species'!$U$2:$U$278)</x:f>
        <x:v>469951230.7158895</x:v>
      </x:c>
      <x:c r="J16" s="62" t="n">
        <x:v>3.473882762746042</x:v>
      </x:c>
      <x:c r="K16" s="62" t="n">
        <x:f>IF(J16="","",(1/'Metadata'!$B$5)^(J16-1))</x:f>
        <x:v>1654.229190418671</x:v>
      </x:c>
      <x:c r="L16" s="60" t="n">
        <x:f>IF(E16=0,"",E16*K16)</x:f>
        <x:v>324593217.220208</x:v>
      </x:c>
      <x:c r="M16" s="60" t="n">
        <x:f>I16-L16</x:f>
        <x:v>145358013.49568152</x:v>
      </x:c>
      <x:c r="N16" s="62" t="n">
        <x:f>IF(L16=0,"",I16/L16)</x:f>
        <x:v>1.4478159301679705</x:v>
      </x:c>
      <x:c r="O16" s="66" t="n">
        <x:f>IF(L16=0,"",M16/L16)</x:f>
        <x:v>0.44781593016797044</x:v>
      </x:c>
    </x:row>
    <x:row r="17" ht="18" customHeight="1">
      <x:c r="A17" s="46" t="str">
        <x:v>Medium pelagics (30 - 89 cm)</x:v>
      </x:c>
      <x:c r="B17" s="64" t="n">
        <x:v>14</x:v>
      </x:c>
      <x:c r="C17" s="64" t="n">
        <x:v>14</x:v>
      </x:c>
      <x:c r="D17" s="60" t="n">
        <x:v>96936.796505461</x:v>
      </x:c>
      <x:c r="E17" s="60" t="n">
        <x:v>96936.796505461</x:v>
      </x:c>
      <x:c r="F17" s="62" t="n">
        <x:v>0</x:v>
      </x:c>
      <x:c r="G17" s="66" t="n">
        <x:v>1</x:v>
      </x:c>
      <x:c r="H17" s="62" t="n">
        <x:f>IF(E17=0,"",I17/E17)</x:f>
        <x:v>3100.080384933494</x:v>
      </x:c>
      <x:c r="I17" s="60" t="n">
        <x:f>SUMIF('Species'!$G$2:$G$278,A17,'Species'!$U$2:$U$278)</x:f>
        <x:v>300511861.4248693</x:v>
      </x:c>
      <x:c r="J17" s="62" t="n">
        <x:v>3.3215329331459094</x:v>
      </x:c>
      <x:c r="K17" s="62" t="n">
        <x:f>IF(J17="","",(1/'Metadata'!$B$5)^(J17-1))</x:f>
        <x:v>1048.0547773131934</x:v>
      </x:c>
      <x:c r="L17" s="60" t="n">
        <x:f>IF(E17=0,"",E17*K17)</x:f>
        <x:v>101595072.67498527</x:v>
      </x:c>
      <x:c r="M17" s="60" t="n">
        <x:f>I17-L17</x:f>
        <x:v>198916788.749884</x:v>
      </x:c>
      <x:c r="N17" s="62" t="n">
        <x:f>IF(L17=0,"",I17/L17)</x:f>
        <x:v>2.9579373636184356</x:v>
      </x:c>
      <x:c r="O17" s="66" t="n">
        <x:f>IF(L17=0,"",M17/L17)</x:f>
        <x:v>1.9579373636184354</x:v>
      </x:c>
    </x:row>
    <x:row r="18" ht="18" customHeight="1">
      <x:c r="A18" s="46" t="str">
        <x:v>Medium reef assoc. fish (30 - 89 cm)</x:v>
      </x:c>
      <x:c r="B18" s="64" t="n">
        <x:v>20</x:v>
      </x:c>
      <x:c r="C18" s="64" t="n">
        <x:v>20</x:v>
      </x:c>
      <x:c r="D18" s="60" t="n">
        <x:v>15196.408052597602</x:v>
      </x:c>
      <x:c r="E18" s="60" t="n">
        <x:v>15196.408052597602</x:v>
      </x:c>
      <x:c r="F18" s="62" t="n">
        <x:v>0</x:v>
      </x:c>
      <x:c r="G18" s="66" t="n">
        <x:v>1</x:v>
      </x:c>
      <x:c r="H18" s="62" t="n">
        <x:f>IF(E18=0,"",I18/E18)</x:f>
        <x:v>8680.959409758976</x:v>
      </x:c>
      <x:c r="I18" s="60" t="n">
        <x:f>SUMIF('Species'!$G$2:$G$278,A18,'Species'!$U$2:$U$278)</x:f>
        <x:v>131919401.47873423</x:v>
      </x:c>
      <x:c r="J18" s="62" t="n">
        <x:v>3.9179086095006173</x:v>
      </x:c>
      <x:c r="K18" s="62" t="n">
        <x:f>IF(J18="","",(1/'Metadata'!$B$5)^(J18-1))</x:f>
        <x:v>6255.854302815467</x:v>
      </x:c>
      <x:c r="L18" s="60" t="n">
        <x:f>IF(E18=0,"",E18*K18)</x:f>
        <x:v>95066514.70318232</x:v>
      </x:c>
      <x:c r="M18" s="60" t="n">
        <x:f>I18-L18</x:f>
        <x:v>36852886.7755519</x:v>
      </x:c>
      <x:c r="N18" s="62" t="n">
        <x:f>IF(L18=0,"",I18/L18)</x:f>
        <x:v>1.387653706361429</x:v>
      </x:c>
      <x:c r="O18" s="66" t="n">
        <x:f>IF(L18=0,"",M18/L18)</x:f>
        <x:v>0.3876537063614289</x:v>
      </x:c>
    </x:row>
    <x:row r="19" ht="18" customHeight="1">
      <x:c r="A19" s="46" t="str">
        <x:v>Other demersal invertebrates</x:v>
      </x:c>
      <x:c r="B19" s="64" t="n">
        <x:v>24</x:v>
      </x:c>
      <x:c r="C19" s="64" t="n">
        <x:v>24</x:v>
      </x:c>
      <x:c r="D19" s="60" t="n">
        <x:v>23788.7611625672</x:v>
      </x:c>
      <x:c r="E19" s="60" t="n">
        <x:v>23788.7611625672</x:v>
      </x:c>
      <x:c r="F19" s="62" t="n">
        <x:v>0</x:v>
      </x:c>
      <x:c r="G19" s="66" t="n">
        <x:v>1</x:v>
      </x:c>
      <x:c r="H19" s="62" t="n">
        <x:f>IF(E19=0,"",I19/E19)</x:f>
        <x:v>87.81601934601727</x:v>
      </x:c>
      <x:c r="I19" s="60" t="n">
        <x:f>SUMIF('Species'!$G$2:$G$278,A19,'Species'!$U$2:$U$278)</x:f>
        <x:v>2089034.3104697855</x:v>
      </x:c>
      <x:c r="J19" s="62" t="n">
        <x:v>2.259597050777358</x:v>
      </x:c>
      <x:c r="K19" s="62" t="n">
        <x:f>IF(J19="","",(1/'Metadata'!$B$5)^(J19-1))</x:f>
        <x:v>43.528484360668635</x:v>
      </x:c>
      <x:c r="L19" s="60" t="n">
        <x:f>IF(E19=0,"",E19*K19)</x:f>
        <x:v>1035488.7182244877</x:v>
      </x:c>
      <x:c r="M19" s="60" t="n">
        <x:f>I19-L19</x:f>
        <x:v>1053545.5922452977</x:v>
      </x:c>
      <x:c r="N19" s="62" t="n">
        <x:f>IF(L19=0,"",I19/L19)</x:f>
        <x:v>2.017438021006903</x:v>
      </x:c>
      <x:c r="O19" s="66" t="n">
        <x:f>IF(L19=0,"",M19/L19)</x:f>
        <x:v>1.0174380210069034</x:v>
      </x:c>
    </x:row>
    <x:row r="20" ht="18" customHeight="1">
      <x:c r="A20" s="46" t="str">
        <x:v>Shrimps</x:v>
      </x:c>
      <x:c r="B20" s="64" t="n">
        <x:v>12</x:v>
      </x:c>
      <x:c r="C20" s="64" t="n">
        <x:v>12</x:v>
      </x:c>
      <x:c r="D20" s="60" t="n">
        <x:v>28771.1951542897</x:v>
      </x:c>
      <x:c r="E20" s="60" t="n">
        <x:v>28771.1951542897</x:v>
      </x:c>
      <x:c r="F20" s="62" t="n">
        <x:v>0</x:v>
      </x:c>
      <x:c r="G20" s="66" t="n">
        <x:v>1</x:v>
      </x:c>
      <x:c r="H20" s="62" t="n">
        <x:f>IF(E20=0,"",I20/E20)</x:f>
        <x:v>469.7042683813443</x:v>
      </x:c>
      <x:c r="I20" s="60" t="n">
        <x:f>SUMIF('Species'!$G$2:$G$278,A20,'Species'!$U$2:$U$278)</x:f>
        <x:v>13513953.170402523</x:v>
      </x:c>
      <x:c r="J20" s="62" t="n">
        <x:v>2.9555543334449332</x:v>
      </x:c>
      <x:c r="K20" s="62" t="n">
        <x:f>IF(J20="","",(1/'Metadata'!$B$5)^(J20-1))</x:f>
        <x:v>350.1344520352351</x:v>
      </x:c>
      <x:c r="L20" s="60" t="n">
        <x:f>IF(E20=0,"",E20*K20)</x:f>
        <x:v>10073786.649746036</x:v>
      </x:c>
      <x:c r="M20" s="60" t="n">
        <x:f>I20-L20</x:f>
        <x:v>3440166.520656487</x:v>
      </x:c>
      <x:c r="N20" s="62" t="n">
        <x:f>IF(L20=0,"",I20/L20)</x:f>
        <x:v>1.3414968611374367</x:v>
      </x:c>
      <x:c r="O20" s="66" t="n">
        <x:f>IF(L20=0,"",M20/L20)</x:f>
        <x:v>0.3414968611374368</x:v>
      </x:c>
    </x:row>
    <x:row r="21" ht="18" customHeight="1">
      <x:c r="A21" s="46" t="str">
        <x:v>Small benthopelagics (&lt;30 cm)</x:v>
      </x:c>
      <x:c r="B21" s="64" t="n">
        <x:v>3</x:v>
      </x:c>
      <x:c r="C21" s="64" t="n">
        <x:v>3</x:v>
      </x:c>
      <x:c r="D21" s="60" t="n">
        <x:v>1478.4967141666</x:v>
      </x:c>
      <x:c r="E21" s="60" t="n">
        <x:v>1478.4967141666</x:v>
      </x:c>
      <x:c r="F21" s="62" t="n">
        <x:v>0</x:v>
      </x:c>
      <x:c r="G21" s="66" t="n">
        <x:v>1</x:v>
      </x:c>
      <x:c r="H21" s="62" t="n">
        <x:f>IF(E21=0,"",I21/E21)</x:f>
        <x:v>3130.654690446178</x:v>
      </x:c>
      <x:c r="I21" s="60" t="n">
        <x:f>SUMIF('Species'!$G$2:$G$278,A21,'Species'!$U$2:$U$278)</x:f>
        <x:v>4628662.673014929</x:v>
      </x:c>
      <x:c r="J21" s="62" t="n">
        <x:v>3.575727967598953</x:v>
      </x:c>
      <x:c r="K21" s="62" t="n">
        <x:f>IF(J21="","",(1/'Metadata'!$B$5)^(J21-1))</x:f>
        <x:v>2244.3952790329963</x:v>
      </x:c>
      <x:c r="L21" s="60" t="n">
        <x:f>IF(E21=0,"",E21*K21)</x:f>
        <x:v>3318331.0453413143</x:v>
      </x:c>
      <x:c r="M21" s="60" t="n">
        <x:f>I21-L21</x:f>
        <x:v>1310331.6276736143</x:v>
      </x:c>
      <x:c r="N21" s="62" t="n">
        <x:f>IF(L21=0,"",I21/L21)</x:f>
        <x:v>1.3948767045148256</x:v>
      </x:c>
      <x:c r="O21" s="66" t="n">
        <x:f>IF(L21=0,"",M21/L21)</x:f>
        <x:v>0.39487670451482554</x:v>
      </x:c>
    </x:row>
    <x:row r="22" ht="18" customHeight="1">
      <x:c r="A22" s="46" t="str">
        <x:v>Small demersals (&lt;30 cm)</x:v>
      </x:c>
      <x:c r="B22" s="64" t="n">
        <x:v>4</x:v>
      </x:c>
      <x:c r="C22" s="64" t="n">
        <x:v>4</x:v>
      </x:c>
      <x:c r="D22" s="60" t="n">
        <x:v>7052.469495210999</x:v>
      </x:c>
      <x:c r="E22" s="60" t="n">
        <x:v>7052.469495210999</x:v>
      </x:c>
      <x:c r="F22" s="62" t="n">
        <x:v>0</x:v>
      </x:c>
      <x:c r="G22" s="66" t="n">
        <x:v>1</x:v>
      </x:c>
      <x:c r="H22" s="62" t="n">
        <x:f>IF(E22=0,"",I22/E22)</x:f>
        <x:v>5442.4315874436625</x:v>
      </x:c>
      <x:c r="I22" s="60" t="n">
        <x:f>SUMIF('Species'!$G$2:$G$278,A22,'Species'!$U$2:$U$278)</x:f>
        <x:v>38382582.7502192</x:v>
      </x:c>
      <x:c r="J22" s="62" t="n">
        <x:v>3.8286995928003447</x:v>
      </x:c>
      <x:c r="K22" s="62" t="n">
        <x:f>IF(J22="","",(1/'Metadata'!$B$5)^(J22-1))</x:f>
        <x:v>4788.759416253687</x:v>
      </x:c>
      <x:c r="L22" s="60" t="n">
        <x:f>IF(E22=0,"",E22*K22)</x:f>
        <x:v>33772579.70303356</x:v>
      </x:c>
      <x:c r="M22" s="60" t="n">
        <x:f>I22-L22</x:f>
        <x:v>4610003.0471856445</x:v>
      </x:c>
      <x:c r="N22" s="62" t="n">
        <x:f>IF(L22=0,"",I22/L22)</x:f>
        <x:v>1.1365013596154623</x:v>
      </x:c>
      <x:c r="O22" s="66" t="n">
        <x:f>IF(L22=0,"",M22/L22)</x:f>
        <x:v>0.13650135961546223</x:v>
      </x:c>
    </x:row>
    <x:row r="23" ht="18" customHeight="1">
      <x:c r="A23" s="46" t="str">
        <x:v>Small pelagics (&lt;30 cm)</x:v>
      </x:c>
      <x:c r="B23" s="64" t="n">
        <x:v>15</x:v>
      </x:c>
      <x:c r="C23" s="64" t="n">
        <x:v>15</x:v>
      </x:c>
      <x:c r="D23" s="60" t="n">
        <x:v>165493.7171602589</x:v>
      </x:c>
      <x:c r="E23" s="60" t="n">
        <x:v>165493.7171602589</x:v>
      </x:c>
      <x:c r="F23" s="62" t="n">
        <x:v>0</x:v>
      </x:c>
      <x:c r="G23" s="66" t="n">
        <x:v>1</x:v>
      </x:c>
      <x:c r="H23" s="62" t="n">
        <x:f>IF(E23=0,"",I23/E23)</x:f>
        <x:v>921.5170929454104</x:v>
      </x:c>
      <x:c r="I23" s="60" t="n">
        <x:f>SUMIF('Species'!$G$2:$G$278,A23,'Species'!$U$2:$U$278)</x:f>
        <x:v>152505289.13825175</x:v>
      </x:c>
      <x:c r="J23" s="62" t="n">
        <x:v>2.922079423396063</x:v>
      </x:c>
      <x:c r="K23" s="62" t="n">
        <x:f>IF(J23="","",(1/'Metadata'!$B$5)^(J23-1))</x:f>
        <x:v>316.7254660654611</x:v>
      </x:c>
      <x:c r="L23" s="60" t="n">
        <x:f>IF(E23=0,"",E23*K23)</x:f>
        <x:v>52416074.6984886</x:v>
      </x:c>
      <x:c r="M23" s="60" t="n">
        <x:f>I23-L23</x:f>
        <x:v>100089214.43976316</x:v>
      </x:c>
      <x:c r="N23" s="62" t="n">
        <x:f>IF(L23=0,"",I23/L23)</x:f>
        <x:v>2.9095137324857556</x:v>
      </x:c>
      <x:c r="O23" s="66" t="n">
        <x:f>IF(L23=0,"",M23/L23)</x:f>
        <x:v>1.9095137324857558</x:v>
      </x:c>
    </x:row>
    <x:row r="24" ht="18" customHeight="1">
      <x:c r="A24" s="46" t="str">
        <x:v>Small to medium flatfishes (&lt;90 cm)</x:v>
      </x:c>
      <x:c r="B24" s="64" t="n">
        <x:v>18</x:v>
      </x:c>
      <x:c r="C24" s="64" t="n">
        <x:v>18</x:v>
      </x:c>
      <x:c r="D24" s="60" t="n">
        <x:v>15130.773216357999</x:v>
      </x:c>
      <x:c r="E24" s="60" t="n">
        <x:v>15130.773216357999</x:v>
      </x:c>
      <x:c r="F24" s="62" t="n">
        <x:v>0</x:v>
      </x:c>
      <x:c r="G24" s="66" t="n">
        <x:v>1</x:v>
      </x:c>
      <x:c r="H24" s="62" t="n">
        <x:f>IF(E24=0,"",I24/E24)</x:f>
        <x:v>4746.918991335584</x:v>
      </x:c>
      <x:c r="I24" s="60" t="n">
        <x:f>SUMIF('Species'!$G$2:$G$278,A24,'Species'!$U$2:$U$278)</x:f>
        <x:v>71824554.73432158</x:v>
      </x:c>
      <x:c r="J24" s="62" t="n">
        <x:v>3.628023403535823</x:v>
      </x:c>
      <x:c r="K24" s="62" t="n">
        <x:f>IF(J24="","",(1/'Metadata'!$B$5)^(J24-1))</x:f>
        <x:v>2625.0481707715608</x:v>
      </x:c>
      <x:c r="L24" s="60" t="n">
        <x:f>IF(E24=0,"",E24*K24)</x:f>
        <x:v>39719008.55395989</x:v>
      </x:c>
      <x:c r="M24" s="60" t="n">
        <x:f>I24-L24</x:f>
        <x:v>32105546.180361688</x:v>
      </x:c>
      <x:c r="N24" s="62" t="n">
        <x:f>IF(L24=0,"",I24/L24)</x:f>
        <x:v>1.8083169079294865</x:v>
      </x:c>
      <x:c r="O24" s="66" t="n">
        <x:f>IF(L24=0,"",M24/L24)</x:f>
        <x:v>0.8083169079294866</x:v>
      </x:c>
    </x:row>
    <x:row r="25" ht="18" customHeight="1">
      <x:c r="A25" s="46" t="str">
        <x:v>Small to medium rays (&lt;90 cm)</x:v>
      </x:c>
      <x:c r="B25" s="64" t="n">
        <x:v>4</x:v>
      </x:c>
      <x:c r="C25" s="64" t="n">
        <x:v>4</x:v>
      </x:c>
      <x:c r="D25" s="60" t="n">
        <x:v>246.2148993012</x:v>
      </x:c>
      <x:c r="E25" s="60" t="n">
        <x:v>246.2148993012</x:v>
      </x:c>
      <x:c r="F25" s="62" t="n">
        <x:v>0</x:v>
      </x:c>
      <x:c r="G25" s="66" t="n">
        <x:v>1</x:v>
      </x:c>
      <x:c r="H25" s="62" t="n">
        <x:f>IF(E25=0,"",I25/E25)</x:f>
        <x:v>4027.1208377024445</x:v>
      </x:c>
      <x:c r="I25" s="60" t="n">
        <x:f>SUMIF('Species'!$G$2:$G$278,A25,'Species'!$U$2:$U$278)</x:f>
        <x:v>991537.1515286716</x:v>
      </x:c>
      <x:c r="J25" s="62" t="n">
        <x:v>3.7628667497145343</x:v>
      </x:c>
      <x:c r="K25" s="62" t="n">
        <x:f>IF(J25="","",(1/'Metadata'!$B$5)^(J25-1))</x:f>
        <x:v>3931.628869674056</x:v>
      </x:c>
      <x:c r="L25" s="60" t="n">
        <x:f>IF(E25=0,"",E25*K25)</x:f>
        <x:v>968025.6062364886</x:v>
      </x:c>
      <x:c r="M25" s="60" t="n">
        <x:f>I25-L25</x:f>
        <x:v>23511.54529218306</x:v>
      </x:c>
      <x:c r="N25" s="62" t="n">
        <x:f>IF(L25=0,"",I25/L25)</x:f>
        <x:v>1.0242881439713065</x:v>
      </x:c>
      <x:c r="O25" s="66" t="n">
        <x:f>IF(L25=0,"",M25/L25)</x:f>
        <x:v>0.024288143971306467</x:v>
      </x:c>
    </x:row>
    <x:row r="26" ht="18" customHeight="1">
      <x:c r="A26" s="46" t="str">
        <x:v>Small to medium sharks (&lt;90 cm)</x:v>
      </x:c>
      <x:c r="B26" s="64" t="n">
        <x:v>1</x:v>
      </x:c>
      <x:c r="C26" s="64" t="n">
        <x:v>1</x:v>
      </x:c>
      <x:c r="D26" s="60" t="n">
        <x:v>1.1601356049</x:v>
      </x:c>
      <x:c r="E26" s="60" t="n">
        <x:v>1.1601356049</x:v>
      </x:c>
      <x:c r="F26" s="62" t="n">
        <x:v>0</x:v>
      </x:c>
      <x:c r="G26" s="66" t="n">
        <x:v>1</x:v>
      </x:c>
      <x:c r="H26" s="62" t="n">
        <x:f>IF(E26=0,"",I26/E26)</x:f>
        <x:v>2273.3033337150473</x:v>
      </x:c>
      <x:c r="I26" s="60" t="n">
        <x:f>SUMIF('Species'!$G$2:$G$278,A26,'Species'!$U$2:$U$278)</x:f>
        <x:v>2637.340138180693</x:v>
      </x:c>
      <x:c r="J26" s="62" t="n">
        <x:v>3.58</x:v>
      </x:c>
      <x:c r="K26" s="62" t="n">
        <x:f>IF(J26="","",(1/'Metadata'!$B$5)^(J26-1))</x:f>
        <x:v>2273.3033337150473</x:v>
      </x:c>
      <x:c r="L26" s="60" t="n">
        <x:f>IF(E26=0,"",E26*K26)</x:f>
        <x:v>2637.340138180693</x:v>
      </x:c>
      <x:c r="M26" s="60" t="n">
        <x:f>I26-L26</x:f>
        <x:v>0</x:v>
      </x:c>
      <x:c r="N26" s="62" t="n">
        <x:f>IF(L26=0,"",I26/L26)</x:f>
        <x:v>1</x:v>
      </x:c>
      <x:c r="O26" s="66" t="n">
        <x:f>IF(L26=0,"",M26/L26)</x:f>
        <x:v>0</x:v>
      </x:c>
    </x:row>
  </x:sheetData>
  <x:conditionalFormatting sqref="G2:G26">
    <x:cfRule type="cellIs" dxfId="2" priority="1" operator="lessThan">
      <x:formula>0.9</x:formula>
    </x:cfRule>
  </x:conditionalFormatting>
  <x:conditionalFormatting sqref="O2:O2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1eac74d965944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LME_003</x:v>
      </x:c>
      <x:c r="B2" s="46" t="str">
        <x:v>raw_filtered_tonnes</x:v>
      </x:c>
      <x:c r="C2" s="46" t="n">
        <x:v>1037537.6190575529</x:v>
      </x:c>
      <x:c r="D2" s="46" t="str">
        <x:v>tonnes</x:v>
      </x:c>
    </x:row>
    <x:row r="3" ht="18" customHeight="1">
      <x:c r="A3" s="46" t="str">
        <x:v>LME_003</x:v>
      </x:c>
      <x:c r="B3" s="46" t="str">
        <x:v>species_catch_tonnes</x:v>
      </x:c>
      <x:c r="C3" s="46" t="n">
        <x:v>1037537.6190575529</x:v>
      </x:c>
      <x:c r="D3" s="46" t="str">
        <x:v>tonnes</x:v>
      </x:c>
    </x:row>
    <x:row r="4" ht="18" customHeight="1">
      <x:c r="A4" s="46" t="str">
        <x:v>LME_003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LME_003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LME_003</x:v>
      </x:c>
      <x:c r="B6" s="46" t="str">
        <x:v>matched_catch_tonnes</x:v>
      </x:c>
      <x:c r="C6" s="46" t="n">
        <x:v>1037537.6190575529</x:v>
      </x:c>
      <x:c r="D6" s="46" t="str">
        <x:v>tonnes</x:v>
      </x:c>
    </x:row>
    <x:row r="7" ht="18" customHeight="1">
      <x:c r="A7" s="46" t="str">
        <x:v>LME_003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LME_003</x:v>
      </x:c>
      <x:c r="B8" s="46" t="str">
        <x:v>taxa_count</x:v>
      </x:c>
      <x:c r="C8" s="46" t="n">
        <x:v>277</x:v>
      </x:c>
      <x:c r="D8" s="46" t="str">
        <x:v>count</x:v>
      </x:c>
    </x:row>
    <x:row r="9" ht="18" customHeight="1">
      <x:c r="A9" s="46" t="str">
        <x:v>LME_003</x:v>
      </x:c>
      <x:c r="B9" s="46" t="str">
        <x:v>matched_taxa_count</x:v>
      </x:c>
      <x:c r="C9" s="46" t="n">
        <x:v>277</x:v>
      </x:c>
      <x:c r="D9" s="46" t="str">
        <x:v>count</x:v>
      </x:c>
    </x:row>
    <x:row r="10" ht="18" customHeight="1">
      <x:c r="A10" s="46" t="str">
        <x:v>LME_003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LME_003</x:v>
      </x:c>
      <x:c r="B11" s="46" t="str">
        <x:v>species_ppr</x:v>
      </x:c>
      <x:c r="C11" s="46" t="n">
        <x:v>9727374652.36605</x:v>
      </x:c>
      <x:c r="D11" s="46" t="str">
        <x:v>tonnes_primary_production_equivalent</x:v>
      </x:c>
    </x:row>
    <x:row r="12" ht="18" customHeight="1">
      <x:c r="A12" s="46" t="str">
        <x:v>LME_003</x:v>
      </x:c>
      <x:c r="B12" s="46" t="str">
        <x:v>commercial_ppr</x:v>
      </x:c>
      <x:c r="C12" s="46" t="n">
        <x:v>9727374652.366049</x:v>
      </x:c>
      <x:c r="D12" s="46" t="str">
        <x:v>tonnes_primary_production_equivalent</x:v>
      </x:c>
    </x:row>
    <x:row r="13" ht="18" customHeight="1">
      <x:c r="A13" s="46" t="str">
        <x:v>LME_003</x:v>
      </x:c>
      <x:c r="B13" s="46" t="str">
        <x:v>functional_ppr</x:v>
      </x:c>
      <x:c r="C13" s="46" t="n">
        <x:v>9727374652.366049</x:v>
      </x:c>
      <x:c r="D13" s="46" t="str">
        <x:v>tonnes_primary_production_equivalent</x:v>
      </x:c>
    </x:row>
    <x:row r="14" ht="18" customHeight="1">
      <x:c r="A14" s="46" t="str">
        <x:v>LME_003</x:v>
      </x:c>
      <x:c r="B14" s="46" t="str">
        <x:v>commercial_ppr_difference</x:v>
      </x:c>
      <x:c r="C14" s="46" t="n">
        <x:v>-0.0000019073486328125</x:v>
      </x:c>
      <x:c r="D14" s="46" t="str">
        <x:v>tonnes_primary_production_equivalent</x:v>
      </x:c>
    </x:row>
    <x:row r="15" ht="18" customHeight="1">
      <x:c r="A15" s="46" t="str">
        <x:v>LME_003</x:v>
      </x:c>
      <x:c r="B15" s="46" t="str">
        <x:v>functional_ppr_difference</x:v>
      </x:c>
      <x:c r="C15" s="46" t="n">
        <x:v>-0.0000019073486328125</x:v>
      </x:c>
      <x:c r="D15" s="46" t="str">
        <x:v>tonnes_primary_production_equivalent</x:v>
      </x:c>
    </x:row>
    <x:row r="16" ht="18" customHeight="1">
      <x:c r="A16" s="46" t="str">
        <x:v>LME_003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LME_003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LME_003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LME_003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9cf1bdb9c4b4d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LME_003 - California Current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LME_003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raw_data/SAU_downloads/LME_003-catch.zip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