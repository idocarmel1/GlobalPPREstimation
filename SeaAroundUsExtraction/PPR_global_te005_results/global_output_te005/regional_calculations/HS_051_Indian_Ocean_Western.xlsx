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9984ff214049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7eb7cbb5a4c34b5f"/>
    <x:sheet xmlns:r="http://schemas.openxmlformats.org/officeDocument/2006/relationships" name="Commercial" sheetId="2" r:id="Ra61644c8bfea476a"/>
    <x:sheet xmlns:r="http://schemas.openxmlformats.org/officeDocument/2006/relationships" name="Functional" sheetId="3" r:id="R3073d58778004897"/>
    <x:sheet xmlns:r="http://schemas.openxmlformats.org/officeDocument/2006/relationships" name="Missing TL" sheetId="4" r:id="Rce3ad10be909429e"/>
    <x:sheet xmlns:r="http://schemas.openxmlformats.org/officeDocument/2006/relationships" name="Validation" sheetId="5" r:id="R5e93b1ae1b8f4468"/>
    <x:sheet xmlns:r="http://schemas.openxmlformats.org/officeDocument/2006/relationships" name="Metadata" sheetId="6" r:id="Rd9372186fd8344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33f6ae58c54c83" /><Relationship Type="http://schemas.openxmlformats.org/officeDocument/2006/relationships/theme" Target="/xl/theme/theme1.xml" Id="R17895884982942d1" /><Relationship Type="http://schemas.openxmlformats.org/officeDocument/2006/relationships/sharedStrings" Target="/xl/sharedStrings.xml" Id="Rb597b0e7791443e0" /><Relationship Type="http://schemas.openxmlformats.org/officeDocument/2006/relationships/worksheet" Target="/xl/worksheets/sheet1.xml" Id="R7eb7cbb5a4c34b5f" /><Relationship Type="http://schemas.openxmlformats.org/officeDocument/2006/relationships/worksheet" Target="/xl/worksheets/sheet2.xml" Id="Ra61644c8bfea476a" /><Relationship Type="http://schemas.openxmlformats.org/officeDocument/2006/relationships/worksheet" Target="/xl/worksheets/sheet3.xml" Id="R3073d58778004897" /><Relationship Type="http://schemas.openxmlformats.org/officeDocument/2006/relationships/worksheet" Target="/xl/worksheets/sheet4.xml" Id="Rce3ad10be909429e" /><Relationship Type="http://schemas.openxmlformats.org/officeDocument/2006/relationships/worksheet" Target="/xl/worksheets/sheet5.xml" Id="R5e93b1ae1b8f4468" /><Relationship Type="http://schemas.openxmlformats.org/officeDocument/2006/relationships/worksheet" Target="/xl/worksheets/sheet6.xml" Id="Rd9372186fd83449b" /></Relationships>
</file>

<file path=xl/tables/table1.xml><?xml version="1.0" encoding="utf-8"?>
<x:table xmlns:x="http://schemas.openxmlformats.org/spreadsheetml/2006/main" id="1" name="HS051SpeciesTable" displayName="HS051SpeciesTable" ref="A1:U37" headerRowCount="1" totalsRowCount="0" totalsRowShown="0">
  <x:autoFilter ref="A1:U37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S051CommercialTable" displayName="HS051CommercialTable" ref="A1:O5" headerRowCount="1" totalsRowCount="0" totalsRowShown="0">
  <x:autoFilter ref="A1:O5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S051FunctionalTable" displayName="HS051FunctionalTable" ref="A1:O7" headerRowCount="1" totalsRowCount="0" totalsRowShown="0">
  <x:autoFilter ref="A1:O7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HS051ValidationTable" displayName="HS051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534a3ac645b4ee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4ed40c91cdc4c6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e69c0d8a73a4d5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09699242b31406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HS_051</x:v>
      </x:c>
      <x:c r="B2" s="46" t="str">
        <x:v>Indian Ocean, Western</x:v>
      </x:c>
      <x:c r="C2" s="46" t="str">
        <x:v>High Seas</x:v>
      </x:c>
      <x:c r="D2" s="58" t="n">
        <x:v>2019</x:v>
      </x:c>
      <x:c r="E2" s="46" t="str">
        <x:v>Katsuwonus pelamis</x:v>
      </x:c>
      <x:c r="F2" s="46" t="str">
        <x:v>Skipjack tuna</x:v>
      </x:c>
      <x:c r="G2" s="46" t="str">
        <x:v>Large pelagics (&gt;=90 cm)</x:v>
      </x:c>
      <x:c r="H2" s="46" t="str">
        <x:v>Tuna &amp; billfishes</x:v>
      </x:c>
      <x:c r="I2" s="60" t="n">
        <x:v>199245.4945859515</x:v>
      </x:c>
      <x:c r="J2" s="60" t="n">
        <x:v>199245.4945859515</x:v>
      </x:c>
      <x:c r="K2" s="60" t="n">
        <x:v>0</x:v>
      </x:c>
      <x:c r="L2" s="60" t="n">
        <x:v>199245.4945859515</x:v>
      </x:c>
      <x:c r="M2" s="60" t="n">
        <x:v>0</x:v>
      </x:c>
      <x:c r="N2" s="46" t="str">
        <x:v>katsuwonus pelamis</x:v>
      </x:c>
      <x:c r="O2" s="62" t="n">
        <x:v>4.43</x:v>
      </x:c>
      <x:c r="P2" s="46" t="str">
        <x:v>exact_2020_supplement</x:v>
      </x:c>
      <x:c r="Q2" s="62" t="str">
        <x:v>2020 supplement MeanTL</x:v>
      </x:c>
      <x:c r="R2" s="46" t="str">
        <x:v>high</x:v>
      </x:c>
      <x:c r="S2" s="46" t="str">
        <x:v>Katsuwonus pelamis</x:v>
      </x:c>
      <x:c r="T2" s="62" t="n">
        <x:f>IF(O2="","",(1/'Metadata'!$B$5)^(O2-1))</x:f>
        <x:v>29009.008489223597</x:v>
      </x:c>
      <x:c r="U2" s="60" t="n">
        <x:f>IF(T2="","",I2*T2)</x:f>
        <x:v>5779914243.883421</x:v>
      </x:c>
    </x:row>
    <x:row r="3" ht="18" customHeight="1">
      <x:c r="A3" s="46" t="str">
        <x:v>HS_051</x:v>
      </x:c>
      <x:c r="B3" s="46" t="str">
        <x:v>Indian Ocean, Western</x:v>
      </x:c>
      <x:c r="C3" s="46" t="str">
        <x:v>High Seas</x:v>
      </x:c>
      <x:c r="D3" s="58" t="n">
        <x:v>2019</x:v>
      </x:c>
      <x:c r="E3" s="46" t="str">
        <x:v>Thunnus albacares</x:v>
      </x:c>
      <x:c r="F3" s="46" t="str">
        <x:v>Yellowfin tuna</x:v>
      </x:c>
      <x:c r="G3" s="46" t="str">
        <x:v>Large pelagics (&gt;=90 cm)</x:v>
      </x:c>
      <x:c r="H3" s="46" t="str">
        <x:v>Tuna &amp; billfishes</x:v>
      </x:c>
      <x:c r="I3" s="60" t="n">
        <x:v>85261.61390728361</x:v>
      </x:c>
      <x:c r="J3" s="60" t="n">
        <x:v>85261.61390728361</x:v>
      </x:c>
      <x:c r="K3" s="60" t="n">
        <x:v>0</x:v>
      </x:c>
      <x:c r="L3" s="60" t="n">
        <x:v>85261.61390728361</x:v>
      </x:c>
      <x:c r="M3" s="60" t="n">
        <x:v>0</x:v>
      </x:c>
      <x:c r="N3" s="46" t="str">
        <x:v>thunnus albacares</x:v>
      </x:c>
      <x:c r="O3" s="62" t="n">
        <x:v>4.41</x:v>
      </x:c>
      <x:c r="P3" s="46" t="str">
        <x:v>exact_2020_supplement</x:v>
      </x:c>
      <x:c r="Q3" s="62" t="str">
        <x:v>2020 supplement MeanTL</x:v>
      </x:c>
      <x:c r="R3" s="46" t="str">
        <x:v>high</x:v>
      </x:c>
      <x:c r="S3" s="46" t="str">
        <x:v>Thunnus albacares</x:v>
      </x:c>
      <x:c r="T3" s="62" t="n">
        <x:f>IF(O3="","",(1/'Metadata'!$B$5)^(O3-1))</x:f>
        <x:v>27321.987305427916</x:v>
      </x:c>
      <x:c r="U3" s="60" t="n">
        <x:f>IF(T3="","",I3*T3)</x:f>
        <x:v>2329516732.8150992</x:v>
      </x:c>
    </x:row>
    <x:row r="4" ht="18" customHeight="1">
      <x:c r="A4" s="46" t="str">
        <x:v>HS_051</x:v>
      </x:c>
      <x:c r="B4" s="46" t="str">
        <x:v>Indian Ocean, Western</x:v>
      </x:c>
      <x:c r="C4" s="46" t="str">
        <x:v>High Seas</x:v>
      </x:c>
      <x:c r="D4" s="58" t="n">
        <x:v>2019</x:v>
      </x:c>
      <x:c r="E4" s="46" t="str">
        <x:v>Marine pelagic fishes not identified</x:v>
      </x:c>
      <x:c r="F4" s="46" t="str">
        <x:v>Pelagic fishes</x:v>
      </x:c>
      <x:c r="G4" s="46" t="str">
        <x:v>Medium pelagics (30 - 89 cm)</x:v>
      </x:c>
      <x:c r="H4" s="46" t="str">
        <x:v>Other fishes &amp; inverts</x:v>
      </x:c>
      <x:c r="I4" s="60" t="n">
        <x:v>23963.6263892427</x:v>
      </x:c>
      <x:c r="J4" s="60" t="n">
        <x:v>23963.6263892427</x:v>
      </x:c>
      <x:c r="K4" s="60" t="n">
        <x:v>0</x:v>
      </x:c>
      <x:c r="L4" s="60" t="n">
        <x:v>23963.6263892427</x:v>
      </x:c>
      <x:c r="M4" s="60" t="n">
        <x:v>0</x:v>
      </x:c>
      <x:c r="N4" s="46" t="str">
        <x:v>marine pelagic fishes not identified</x:v>
      </x:c>
      <x:c r="O4" s="62" t="n">
        <x:v>3.35</x:v>
      </x:c>
      <x:c r="P4" s="46" t="str">
        <x:v>exact_sea_around_us</x:v>
      </x:c>
      <x:c r="Q4" s="62" t="str">
        <x:v>Sea Around Us exploited organisms</x:v>
      </x:c>
      <x:c r="R4" s="46" t="str">
        <x:v>high</x:v>
      </x:c>
      <x:c r="S4" s="46" t="str">
        <x:v>Marine pelagic fishes not identified</x:v>
      </x:c>
      <x:c r="T4" s="62" t="n">
        <x:f>IF(O4="","",(1/'Metadata'!$B$5)^(O4-1))</x:f>
        <x:v>1141.3543275066227</x:v>
      </x:c>
      <x:c r="U4" s="60" t="n">
        <x:f>IF(T4="","",I4*T4)</x:f>
        <x:v>27350988.68211406</x:v>
      </x:c>
    </x:row>
    <x:row r="5" ht="18" customHeight="1">
      <x:c r="A5" s="46" t="str">
        <x:v>HS_051</x:v>
      </x:c>
      <x:c r="B5" s="46" t="str">
        <x:v>Indian Ocean, Western</x:v>
      </x:c>
      <x:c r="C5" s="46" t="str">
        <x:v>High Seas</x:v>
      </x:c>
      <x:c r="D5" s="58" t="n">
        <x:v>2019</x:v>
      </x:c>
      <x:c r="E5" s="46" t="str">
        <x:v>Thunnus obesus</x:v>
      </x:c>
      <x:c r="F5" s="46" t="str">
        <x:v>Bigeye tuna</x:v>
      </x:c>
      <x:c r="G5" s="46" t="str">
        <x:v>Large pelagics (&gt;=90 cm)</x:v>
      </x:c>
      <x:c r="H5" s="46" t="str">
        <x:v>Tuna &amp; billfishes</x:v>
      </x:c>
      <x:c r="I5" s="60" t="n">
        <x:v>22819.531361405</x:v>
      </x:c>
      <x:c r="J5" s="60" t="n">
        <x:v>22819.531361405</x:v>
      </x:c>
      <x:c r="K5" s="60" t="n">
        <x:v>0</x:v>
      </x:c>
      <x:c r="L5" s="60" t="n">
        <x:v>22819.531361405</x:v>
      </x:c>
      <x:c r="M5" s="60" t="n">
        <x:v>0</x:v>
      </x:c>
      <x:c r="N5" s="46" t="str">
        <x:v>thunnus obesus</x:v>
      </x:c>
      <x:c r="O5" s="62" t="n">
        <x:v>4.49</x:v>
      </x:c>
      <x:c r="P5" s="46" t="str">
        <x:v>exact_2020_supplement</x:v>
      </x:c>
      <x:c r="Q5" s="62" t="str">
        <x:v>2020 supplement MeanTL</x:v>
      </x:c>
      <x:c r="R5" s="46" t="str">
        <x:v>high</x:v>
      </x:c>
      <x:c r="S5" s="46" t="str">
        <x:v>Thunnus obesus</x:v>
      </x:c>
      <x:c r="T5" s="62" t="n">
        <x:f>IF(O5="","",(1/'Metadata'!$B$5)^(O5-1))</x:f>
        <x:v>34721.19667768202</x:v>
      </x:c>
      <x:c r="U5" s="60" t="n">
        <x:f>IF(T5="","",I5*T5)</x:f>
        <x:v>792321436.4918759</x:v>
      </x:c>
    </x:row>
    <x:row r="6" ht="18" customHeight="1">
      <x:c r="A6" s="46" t="str">
        <x:v>HS_051</x:v>
      </x:c>
      <x:c r="B6" s="46" t="str">
        <x:v>Indian Ocean, Western</x:v>
      </x:c>
      <x:c r="C6" s="46" t="str">
        <x:v>High Seas</x:v>
      </x:c>
      <x:c r="D6" s="58" t="n">
        <x:v>2019</x:v>
      </x:c>
      <x:c r="E6" s="46" t="str">
        <x:v>Marine fishes not identified</x:v>
      </x:c>
      <x:c r="F6" s="46" t="str">
        <x:v>Marine fishes nei</x:v>
      </x:c>
      <x:c r="G6" s="46" t="str">
        <x:v>Medium demersals (30 - 89 cm)</x:v>
      </x:c>
      <x:c r="H6" s="46" t="str">
        <x:v>Other fishes &amp; inverts</x:v>
      </x:c>
      <x:c r="I6" s="60" t="n">
        <x:v>14385.8709648595</x:v>
      </x:c>
      <x:c r="J6" s="60" t="n">
        <x:v>372.64390697389996</x:v>
      </x:c>
      <x:c r="K6" s="60" t="n">
        <x:v>14013.2270578856</x:v>
      </x:c>
      <x:c r="L6" s="60" t="n">
        <x:v>372.64390697389996</x:v>
      </x:c>
      <x:c r="M6" s="60" t="n">
        <x:v>14013.2270578856</x:v>
      </x:c>
      <x:c r="N6" s="46" t="str">
        <x:v>marine fishes not identified</x:v>
      </x:c>
      <x:c r="O6" s="62" t="n">
        <x:v>3.28</x:v>
      </x:c>
      <x:c r="P6" s="46" t="str">
        <x:v>exact_sea_around_us</x:v>
      </x:c>
      <x:c r="Q6" s="62" t="str">
        <x:v>Sea Around Us exploited organisms</x:v>
      </x:c>
      <x:c r="R6" s="46" t="str">
        <x:v>high</x:v>
      </x:c>
      <x:c r="S6" s="46" t="str">
        <x:v>Marine fishes not identified</x:v>
      </x:c>
      <x:c r="T6" s="62" t="n">
        <x:f>IF(O6="","",(1/'Metadata'!$B$5)^(O6-1))</x:f>
        <x:v>925.4402624666747</x:v>
      </x:c>
      <x:c r="U6" s="60" t="n">
        <x:f>IF(T6="","",I6*T6)</x:f>
        <x:v>13313264.20153129</x:v>
      </x:c>
    </x:row>
    <x:row r="7" ht="18" customHeight="1">
      <x:c r="A7" s="46" t="str">
        <x:v>HS_051</x:v>
      </x:c>
      <x:c r="B7" s="46" t="str">
        <x:v>Indian Ocean, Western</x:v>
      </x:c>
      <x:c r="C7" s="46" t="str">
        <x:v>High Seas</x:v>
      </x:c>
      <x:c r="D7" s="58" t="n">
        <x:v>2019</x:v>
      </x:c>
      <x:c r="E7" s="46" t="str">
        <x:v>Euthynnus affinis</x:v>
      </x:c>
      <x:c r="F7" s="46" t="str">
        <x:v>Kawakawa</x:v>
      </x:c>
      <x:c r="G7" s="46" t="str">
        <x:v>Large pelagics (&gt;=90 cm)</x:v>
      </x:c>
      <x:c r="H7" s="46" t="str">
        <x:v>Tuna &amp; billfishes</x:v>
      </x:c>
      <x:c r="I7" s="60" t="n">
        <x:v>6312.4838045969</x:v>
      </x:c>
      <x:c r="J7" s="60" t="n">
        <x:v>6312.4838045969</x:v>
      </x:c>
      <x:c r="K7" s="60" t="n">
        <x:v>0</x:v>
      </x:c>
      <x:c r="L7" s="60" t="n">
        <x:v>6312.4838045969</x:v>
      </x:c>
      <x:c r="M7" s="60" t="n">
        <x:v>0</x:v>
      </x:c>
      <x:c r="N7" s="46" t="str">
        <x:v>euthynnus affinis</x:v>
      </x:c>
      <x:c r="O7" s="62" t="n">
        <x:v>4.5</x:v>
      </x:c>
      <x:c r="P7" s="46" t="str">
        <x:v>exact_2020_supplement</x:v>
      </x:c>
      <x:c r="Q7" s="62" t="str">
        <x:v>2020 supplement MeanTL</x:v>
      </x:c>
      <x:c r="R7" s="46" t="str">
        <x:v>high</x:v>
      </x:c>
      <x:c r="S7" s="46" t="str">
        <x:v>Euthynnus affinis</x:v>
      </x:c>
      <x:c r="T7" s="62" t="n">
        <x:f>IF(O7="","",(1/'Metadata'!$B$5)^(O7-1))</x:f>
        <x:v>35777.08763999664</x:v>
      </x:c>
      <x:c r="U7" s="60" t="n">
        <x:f>IF(T7="","",I7*T7)</x:f>
        <x:v>225842286.3031227</x:v>
      </x:c>
    </x:row>
    <x:row r="8" ht="18" customHeight="1">
      <x:c r="A8" s="46" t="str">
        <x:v>HS_051</x:v>
      </x:c>
      <x:c r="B8" s="46" t="str">
        <x:v>Indian Ocean, Western</x:v>
      </x:c>
      <x:c r="C8" s="46" t="str">
        <x:v>High Seas</x:v>
      </x:c>
      <x:c r="D8" s="58" t="n">
        <x:v>2019</x:v>
      </x:c>
      <x:c r="E8" s="46" t="str">
        <x:v>Auxis rochei</x:v>
      </x:c>
      <x:c r="F8" s="46" t="str">
        <x:v>Bullet tuna</x:v>
      </x:c>
      <x:c r="G8" s="46" t="str">
        <x:v>Medium pelagics (30 - 89 cm)</x:v>
      </x:c>
      <x:c r="H8" s="46" t="str">
        <x:v>Tuna &amp; billfishes</x:v>
      </x:c>
      <x:c r="I8" s="60" t="n">
        <x:v>5300.5579285691</x:v>
      </x:c>
      <x:c r="J8" s="60" t="n">
        <x:v>5300.5579285691</x:v>
      </x:c>
      <x:c r="K8" s="60" t="n">
        <x:v>0</x:v>
      </x:c>
      <x:c r="L8" s="60" t="n">
        <x:v>5300.5579285691</x:v>
      </x:c>
      <x:c r="M8" s="60" t="n">
        <x:v>0</x:v>
      </x:c>
      <x:c r="N8" s="46" t="str">
        <x:v>auxis rochei</x:v>
      </x:c>
      <x:c r="O8" s="62" t="n">
        <x:v>4.13</x:v>
      </x:c>
      <x:c r="P8" s="46" t="str">
        <x:v>exact_2020_supplement</x:v>
      </x:c>
      <x:c r="Q8" s="62" t="str">
        <x:v>2020 supplement MeanTL</x:v>
      </x:c>
      <x:c r="R8" s="46" t="str">
        <x:v>high</x:v>
      </x:c>
      <x:c r="S8" s="46" t="str">
        <x:v>Auxis rochei</x:v>
      </x:c>
      <x:c r="T8" s="62" t="n">
        <x:f>IF(O8="","",(1/'Metadata'!$B$5)^(O8-1))</x:f>
        <x:v>11809.292685236613</x:v>
      </x:c>
      <x:c r="U8" s="60" t="n">
        <x:f>IF(T8="","",I8*T8)</x:f>
        <x:v>62595839.973524004</x:v>
      </x:c>
    </x:row>
    <x:row r="9" ht="18" customHeight="1">
      <x:c r="A9" s="46" t="str">
        <x:v>HS_051</x:v>
      </x:c>
      <x:c r="B9" s="46" t="str">
        <x:v>Indian Ocean, Western</x:v>
      </x:c>
      <x:c r="C9" s="46" t="str">
        <x:v>High Seas</x:v>
      </x:c>
      <x:c r="D9" s="58" t="n">
        <x:v>2019</x:v>
      </x:c>
      <x:c r="E9" s="46" t="str">
        <x:v>Thunnus alalunga</x:v>
      </x:c>
      <x:c r="F9" s="46" t="str">
        <x:v>Albacore</x:v>
      </x:c>
      <x:c r="G9" s="46" t="str">
        <x:v>Large pelagics (&gt;=90 cm)</x:v>
      </x:c>
      <x:c r="H9" s="46" t="str">
        <x:v>Tuna &amp; billfishes</x:v>
      </x:c>
      <x:c r="I9" s="60" t="n">
        <x:v>3922.4550887424</x:v>
      </x:c>
      <x:c r="J9" s="60" t="n">
        <x:v>3922.4550887424</x:v>
      </x:c>
      <x:c r="K9" s="60" t="n">
        <x:v>0</x:v>
      </x:c>
      <x:c r="L9" s="60" t="n">
        <x:v>3922.4550887424</x:v>
      </x:c>
      <x:c r="M9" s="60" t="n">
        <x:v>0</x:v>
      </x:c>
      <x:c r="N9" s="46" t="str">
        <x:v>thunnus alalunga</x:v>
      </x:c>
      <x:c r="O9" s="62" t="n">
        <x:v>4.3</x:v>
      </x:c>
      <x:c r="P9" s="46" t="str">
        <x:v>exact_2020_supplement</x:v>
      </x:c>
      <x:c r="Q9" s="62" t="str">
        <x:v>2020 supplement MeanTL</x:v>
      </x:c>
      <x:c r="R9" s="46" t="str">
        <x:v>high</x:v>
      </x:c>
      <x:c r="S9" s="46" t="str">
        <x:v>Thunnus alalunga</x:v>
      </x:c>
      <x:c r="T9" s="62" t="n">
        <x:f>IF(O9="","",(1/'Metadata'!$B$5)^(O9-1))</x:f>
        <x:v>19651.648417852637</x:v>
      </x:c>
      <x:c r="U9" s="60" t="n">
        <x:f>IF(T9="","",I9*T9)</x:f>
        <x:v>77082708.33878261</x:v>
      </x:c>
    </x:row>
    <x:row r="10" ht="18" customHeight="1">
      <x:c r="A10" s="46" t="str">
        <x:v>HS_051</x:v>
      </x:c>
      <x:c r="B10" s="46" t="str">
        <x:v>Indian Ocean, Western</x:v>
      </x:c>
      <x:c r="C10" s="46" t="str">
        <x:v>High Seas</x:v>
      </x:c>
      <x:c r="D10" s="58" t="n">
        <x:v>2019</x:v>
      </x:c>
      <x:c r="E10" s="46" t="str">
        <x:v>Thunnus maccoyii</x:v>
      </x:c>
      <x:c r="F10" s="46" t="str">
        <x:v>Southern bluefin tuna</x:v>
      </x:c>
      <x:c r="G10" s="46" t="str">
        <x:v>Large pelagics (&gt;=90 cm)</x:v>
      </x:c>
      <x:c r="H10" s="46" t="str">
        <x:v>Tuna &amp; billfishes</x:v>
      </x:c>
      <x:c r="I10" s="60" t="n">
        <x:v>3750.6063975788998</x:v>
      </x:c>
      <x:c r="J10" s="60" t="n">
        <x:v>3750.6063975788998</x:v>
      </x:c>
      <x:c r="K10" s="60" t="n">
        <x:v>0</x:v>
      </x:c>
      <x:c r="L10" s="60" t="n">
        <x:v>3750.6063975788998</x:v>
      </x:c>
      <x:c r="M10" s="60" t="n">
        <x:v>0</x:v>
      </x:c>
      <x:c r="N10" s="46" t="str">
        <x:v>thunnus maccoyii</x:v>
      </x:c>
      <x:c r="O10" s="62" t="n">
        <x:v>3.93</x:v>
      </x:c>
      <x:c r="P10" s="46" t="str">
        <x:v>exact_2020_supplement</x:v>
      </x:c>
      <x:c r="Q10" s="62" t="str">
        <x:v>2020 supplement MeanTL</x:v>
      </x:c>
      <x:c r="R10" s="46" t="str">
        <x:v>high</x:v>
      </x:c>
      <x:c r="S10" s="46" t="str">
        <x:v>Thunnus maccoyii</x:v>
      </x:c>
      <x:c r="T10" s="62" t="n">
        <x:f>IF(O10="","",(1/'Metadata'!$B$5)^(O10-1))</x:f>
        <x:v>6486.611494177253</x:v>
      </x:c>
      <x:c r="U10" s="60" t="n">
        <x:f>IF(T10="","",I10*T10)</x:f>
        <x:v>24328726.56867003</x:v>
      </x:c>
    </x:row>
    <x:row r="11" ht="18" customHeight="1">
      <x:c r="A11" s="46" t="str">
        <x:v>HS_051</x:v>
      </x:c>
      <x:c r="B11" s="46" t="str">
        <x:v>Indian Ocean, Western</x:v>
      </x:c>
      <x:c r="C11" s="46" t="str">
        <x:v>High Seas</x:v>
      </x:c>
      <x:c r="D11" s="58" t="n">
        <x:v>2019</x:v>
      </x:c>
      <x:c r="E11" s="46" t="str">
        <x:v>Auxis thazard</x:v>
      </x:c>
      <x:c r="F11" s="46" t="str">
        <x:v>Frigate tuna</x:v>
      </x:c>
      <x:c r="G11" s="46" t="str">
        <x:v>Medium pelagics (30 - 89 cm)</x:v>
      </x:c>
      <x:c r="H11" s="46" t="str">
        <x:v>Tuna &amp; billfishes</x:v>
      </x:c>
      <x:c r="I11" s="60" t="n">
        <x:v>3389.7276803252</x:v>
      </x:c>
      <x:c r="J11" s="60" t="n">
        <x:v>3389.7276803252</x:v>
      </x:c>
      <x:c r="K11" s="60" t="n">
        <x:v>0</x:v>
      </x:c>
      <x:c r="L11" s="60" t="n">
        <x:v>3389.7276803252</x:v>
      </x:c>
      <x:c r="M11" s="60" t="n">
        <x:v>0</x:v>
      </x:c>
      <x:c r="N11" s="46" t="str">
        <x:v>auxis thazard</x:v>
      </x:c>
      <x:c r="O11" s="62" t="n">
        <x:v>4.37</x:v>
      </x:c>
      <x:c r="P11" s="46" t="str">
        <x:v>exact_2020_supplement</x:v>
      </x:c>
      <x:c r="Q11" s="62" t="str">
        <x:v>2020 supplement MeanTL</x:v>
      </x:c>
      <x:c r="R11" s="46" t="str">
        <x:v>high</x:v>
      </x:c>
      <x:c r="S11" s="46" t="str">
        <x:v>Auxis thazard</x:v>
      </x:c>
      <x:c r="T11" s="62" t="n">
        <x:f>IF(O11="","",(1/'Metadata'!$B$5)^(O11-1))</x:f>
        <x:v>24236.56596112542</x:v>
      </x:c>
      <x:c r="U11" s="60" t="n">
        <x:f>IF(T11="","",I11*T11)</x:f>
        <x:v>82155358.51445436</x:v>
      </x:c>
    </x:row>
    <x:row r="12" ht="18" customHeight="1">
      <x:c r="A12" s="46" t="str">
        <x:v>HS_051</x:v>
      </x:c>
      <x:c r="B12" s="46" t="str">
        <x:v>Indian Ocean, Western</x:v>
      </x:c>
      <x:c r="C12" s="46" t="str">
        <x:v>High Seas</x:v>
      </x:c>
      <x:c r="D12" s="58" t="n">
        <x:v>2019</x:v>
      </x:c>
      <x:c r="E12" s="46" t="str">
        <x:v>Thunnus tonggol</x:v>
      </x:c>
      <x:c r="F12" s="46" t="str">
        <x:v>Longtail tuna</x:v>
      </x:c>
      <x:c r="G12" s="46" t="str">
        <x:v>Large pelagics (&gt;=90 cm)</x:v>
      </x:c>
      <x:c r="H12" s="46" t="str">
        <x:v>Tuna &amp; billfishes</x:v>
      </x:c>
      <x:c r="I12" s="60" t="n">
        <x:v>3198.1873860709</x:v>
      </x:c>
      <x:c r="J12" s="60" t="n">
        <x:v>3198.1873860709</x:v>
      </x:c>
      <x:c r="K12" s="60" t="n">
        <x:v>0</x:v>
      </x:c>
      <x:c r="L12" s="60" t="n">
        <x:v>3198.1873860709</x:v>
      </x:c>
      <x:c r="M12" s="60" t="n">
        <x:v>0</x:v>
      </x:c>
      <x:c r="N12" s="46" t="str">
        <x:v>thunnus tonggol</x:v>
      </x:c>
      <x:c r="O12" s="62" t="n">
        <x:v>4.5</x:v>
      </x:c>
      <x:c r="P12" s="46" t="str">
        <x:v>exact_2020_supplement</x:v>
      </x:c>
      <x:c r="Q12" s="62" t="str">
        <x:v>2020 supplement MeanTL</x:v>
      </x:c>
      <x:c r="R12" s="46" t="str">
        <x:v>high</x:v>
      </x:c>
      <x:c r="S12" s="46" t="str">
        <x:v>Thunnus tonggol</x:v>
      </x:c>
      <x:c r="T12" s="62" t="n">
        <x:f>IF(O12="","",(1/'Metadata'!$B$5)^(O12-1))</x:f>
        <x:v>35777.08763999664</x:v>
      </x:c>
      <x:c r="U12" s="60" t="n">
        <x:f>IF(T12="","",I12*T12)</x:f>
        <x:v>114421830.40059036</x:v>
      </x:c>
    </x:row>
    <x:row r="13" ht="18" customHeight="1">
      <x:c r="A13" s="46" t="str">
        <x:v>HS_051</x:v>
      </x:c>
      <x:c r="B13" s="46" t="str">
        <x:v>Indian Ocean, Western</x:v>
      </x:c>
      <x:c r="C13" s="46" t="str">
        <x:v>High Seas</x:v>
      </x:c>
      <x:c r="D13" s="58" t="n">
        <x:v>2019</x:v>
      </x:c>
      <x:c r="E13" s="46" t="str">
        <x:v>Prionace glauca</x:v>
      </x:c>
      <x:c r="F13" s="46" t="str">
        <x:v>Blue shark</x:v>
      </x:c>
      <x:c r="G13" s="46" t="str">
        <x:v>Large sharks (&gt;=90 cm)</x:v>
      </x:c>
      <x:c r="H13" s="46" t="str">
        <x:v>Sharks &amp; rays</x:v>
      </x:c>
      <x:c r="I13" s="60" t="n">
        <x:v>2652.22391509</x:v>
      </x:c>
      <x:c r="J13" s="60" t="n">
        <x:v>2652.22391509</x:v>
      </x:c>
      <x:c r="K13" s="60" t="n">
        <x:v>0</x:v>
      </x:c>
      <x:c r="L13" s="60" t="n">
        <x:v>2652.22391509</x:v>
      </x:c>
      <x:c r="M13" s="60" t="n">
        <x:v>0</x:v>
      </x:c>
      <x:c r="N13" s="46" t="str">
        <x:v>prionace glauca</x:v>
      </x:c>
      <x:c r="O13" s="62" t="n">
        <x:v>4.35</x:v>
      </x:c>
      <x:c r="P13" s="46" t="str">
        <x:v>exact_2020_supplement</x:v>
      </x:c>
      <x:c r="Q13" s="62" t="str">
        <x:v>2020 supplement MeanTL</x:v>
      </x:c>
      <x:c r="R13" s="46" t="str">
        <x:v>high</x:v>
      </x:c>
      <x:c r="S13" s="46" t="str">
        <x:v>Prionace glauca</x:v>
      </x:c>
      <x:c r="T13" s="62" t="n">
        <x:f>IF(O13="","",(1/'Metadata'!$B$5)^(O13-1))</x:f>
        <x:v>22827.086550132422</x:v>
      </x:c>
      <x:c r="U13" s="60" t="n">
        <x:f>IF(T13="","",I13*T13)</x:f>
        <x:v>60542544.860090494</x:v>
      </x:c>
    </x:row>
    <x:row r="14" ht="18" customHeight="1">
      <x:c r="A14" s="46" t="str">
        <x:v>HS_051</x:v>
      </x:c>
      <x:c r="B14" s="46" t="str">
        <x:v>Indian Ocean, Western</x:v>
      </x:c>
      <x:c r="C14" s="46" t="str">
        <x:v>High Seas</x:v>
      </x:c>
      <x:c r="D14" s="58" t="n">
        <x:v>2019</x:v>
      </x:c>
      <x:c r="E14" s="46" t="str">
        <x:v>Xiphias gladius</x:v>
      </x:c>
      <x:c r="F14" s="46" t="str">
        <x:v>Swordfish</x:v>
      </x:c>
      <x:c r="G14" s="46" t="str">
        <x:v>Large pelagics (&gt;=90 cm)</x:v>
      </x:c>
      <x:c r="H14" s="46" t="str">
        <x:v>Tuna &amp; billfishes</x:v>
      </x:c>
      <x:c r="I14" s="60" t="n">
        <x:v>2311.5398316055002</x:v>
      </x:c>
      <x:c r="J14" s="60" t="n">
        <x:v>2311.5398316055002</x:v>
      </x:c>
      <x:c r="K14" s="60" t="n">
        <x:v>0</x:v>
      </x:c>
      <x:c r="L14" s="60" t="n">
        <x:v>2311.5398316055002</x:v>
      </x:c>
      <x:c r="M14" s="60" t="n">
        <x:v>0</x:v>
      </x:c>
      <x:c r="N14" s="46" t="str">
        <x:v>xiphias gladius</x:v>
      </x:c>
      <x:c r="O14" s="62" t="n">
        <x:v>4.53</x:v>
      </x:c>
      <x:c r="P14" s="46" t="str">
        <x:v>exact_2020_supplement</x:v>
      </x:c>
      <x:c r="Q14" s="62" t="str">
        <x:v>2020 supplement MeanTL</x:v>
      </x:c>
      <x:c r="R14" s="46" t="str">
        <x:v>high</x:v>
      </x:c>
      <x:c r="S14" s="46" t="str">
        <x:v>Xiphias gladius</x:v>
      </x:c>
      <x:c r="T14" s="62" t="n">
        <x:f>IF(O14="","",(1/'Metadata'!$B$5)^(O14-1))</x:f>
        <x:v>39141.35758252625</x:v>
      </x:c>
      <x:c r="U14" s="60" t="n">
        <x:f>IF(T14="","",I14*T14)</x:f>
        <x:v>90476807.1151234</x:v>
      </x:c>
    </x:row>
    <x:row r="15" ht="18" customHeight="1">
      <x:c r="A15" s="46" t="str">
        <x:v>HS_051</x:v>
      </x:c>
      <x:c r="B15" s="46" t="str">
        <x:v>Indian Ocean, Western</x:v>
      </x:c>
      <x:c r="C15" s="46" t="str">
        <x:v>High Seas</x:v>
      </x:c>
      <x:c r="D15" s="58" t="n">
        <x:v>2019</x:v>
      </x:c>
      <x:c r="E15" s="46" t="str">
        <x:v>Scombroidei</x:v>
      </x:c>
      <x:c r="F15" s="46" t="str">
        <x:v>Tunas, bonitos, billfishes</x:v>
      </x:c>
      <x:c r="G15" s="46" t="str">
        <x:v>Large pelagics (&gt;=90 cm)</x:v>
      </x:c>
      <x:c r="H15" s="46" t="str">
        <x:v>Tuna &amp; billfishes</x:v>
      </x:c>
      <x:c r="I15" s="60" t="n">
        <x:v>405.964273469</x:v>
      </x:c>
      <x:c r="J15" s="60" t="n">
        <x:v>405.964273469</x:v>
      </x:c>
      <x:c r="K15" s="60" t="n">
        <x:v>0</x:v>
      </x:c>
      <x:c r="L15" s="60" t="n">
        <x:v>405.964273469</x:v>
      </x:c>
      <x:c r="M15" s="60" t="n">
        <x:v>0</x:v>
      </x:c>
      <x:c r="N15" s="46" t="str">
        <x:v>scombroidei</x:v>
      </x:c>
      <x:c r="O15" s="62" t="n">
        <x:v>4.2</x:v>
      </x:c>
      <x:c r="P15" s="46" t="str">
        <x:v>exact_sea_around_us</x:v>
      </x:c>
      <x:c r="Q15" s="62" t="str">
        <x:v>Sea Around Us exploited organisms</x:v>
      </x:c>
      <x:c r="R15" s="46" t="str">
        <x:v>high</x:v>
      </x:c>
      <x:c r="S15" s="46" t="str">
        <x:v>Scombroidei</x:v>
      </x:c>
      <x:c r="T15" s="62" t="n">
        <x:f>IF(O15="","",(1/'Metadata'!$B$5)^(O15-1))</x:f>
        <x:v>14564.51362420865</x:v>
      </x:c>
      <x:c r="U15" s="60" t="n">
        <x:f>IF(T15="","",I15*T15)</x:f>
        <x:v>5912672.191881216</x:v>
      </x:c>
    </x:row>
    <x:row r="16" ht="18" customHeight="1">
      <x:c r="A16" s="46" t="str">
        <x:v>HS_051</x:v>
      </x:c>
      <x:c r="B16" s="46" t="str">
        <x:v>Indian Ocean, Western</x:v>
      </x:c>
      <x:c r="C16" s="46" t="str">
        <x:v>High Seas</x:v>
      </x:c>
      <x:c r="D16" s="58" t="n">
        <x:v>2019</x:v>
      </x:c>
      <x:c r="E16" s="46" t="str">
        <x:v>Istiompax indica</x:v>
      </x:c>
      <x:c r="F16" s="46" t="str">
        <x:v>Black marlin</x:v>
      </x:c>
      <x:c r="G16" s="46" t="str">
        <x:v>Large pelagics (&gt;=90 cm)</x:v>
      </x:c>
      <x:c r="H16" s="46" t="str">
        <x:v>Tuna &amp; billfishes</x:v>
      </x:c>
      <x:c r="I16" s="60" t="n">
        <x:v>214.1496959971</x:v>
      </x:c>
      <x:c r="J16" s="60" t="n">
        <x:v>214.1496959971</x:v>
      </x:c>
      <x:c r="K16" s="60" t="n">
        <x:v>0</x:v>
      </x:c>
      <x:c r="L16" s="60" t="n">
        <x:v>214.1496959971</x:v>
      </x:c>
      <x:c r="M16" s="60" t="n">
        <x:v>0</x:v>
      </x:c>
      <x:c r="N16" s="46" t="str">
        <x:v>istiompax indica</x:v>
      </x:c>
      <x:c r="O16" s="62" t="n">
        <x:v>4.5</x:v>
      </x:c>
      <x:c r="P16" s="46" t="str">
        <x:v>exact_2020_supplement</x:v>
      </x:c>
      <x:c r="Q16" s="62" t="str">
        <x:v>2020 supplement MeanTL</x:v>
      </x:c>
      <x:c r="R16" s="46" t="str">
        <x:v>high</x:v>
      </x:c>
      <x:c r="S16" s="46" t="str">
        <x:v>Istiompax indica</x:v>
      </x:c>
      <x:c r="T16" s="62" t="n">
        <x:f>IF(O16="","",(1/'Metadata'!$B$5)^(O16-1))</x:f>
        <x:v>35777.08763999664</x:v>
      </x:c>
      <x:c r="U16" s="60" t="n">
        <x:f>IF(T16="","",I16*T16)</x:f>
        <x:v>7661652.441766883</x:v>
      </x:c>
    </x:row>
    <x:row r="17" ht="18" customHeight="1">
      <x:c r="A17" s="46" t="str">
        <x:v>HS_051</x:v>
      </x:c>
      <x:c r="B17" s="46" t="str">
        <x:v>Indian Ocean, Western</x:v>
      </x:c>
      <x:c r="C17" s="46" t="str">
        <x:v>High Seas</x:v>
      </x:c>
      <x:c r="D17" s="58" t="n">
        <x:v>2019</x:v>
      </x:c>
      <x:c r="E17" s="46" t="str">
        <x:v>Scomberomorus commerson</x:v>
      </x:c>
      <x:c r="F17" s="46" t="str">
        <x:v>Narrow-barred Spanish mackerel</x:v>
      </x:c>
      <x:c r="G17" s="46" t="str">
        <x:v>Large pelagics (&gt;=90 cm)</x:v>
      </x:c>
      <x:c r="H17" s="46" t="str">
        <x:v>Perch-likes</x:v>
      </x:c>
      <x:c r="I17" s="60" t="n">
        <x:v>204.39599492690002</x:v>
      </x:c>
      <x:c r="J17" s="60" t="n">
        <x:v>204.39599492690002</x:v>
      </x:c>
      <x:c r="K17" s="60" t="n">
        <x:v>0</x:v>
      </x:c>
      <x:c r="L17" s="60" t="n">
        <x:v>204.39599492690002</x:v>
      </x:c>
      <x:c r="M17" s="60" t="n">
        <x:v>0</x:v>
      </x:c>
      <x:c r="N17" s="46" t="str">
        <x:v>scomberomorus commerson</x:v>
      </x:c>
      <x:c r="O17" s="62" t="n">
        <x:v>4.5</x:v>
      </x:c>
      <x:c r="P17" s="46" t="str">
        <x:v>exact_2020_supplement</x:v>
      </x:c>
      <x:c r="Q17" s="62" t="str">
        <x:v>2020 supplement MeanTL</x:v>
      </x:c>
      <x:c r="R17" s="46" t="str">
        <x:v>high</x:v>
      </x:c>
      <x:c r="S17" s="46" t="str">
        <x:v>Scomberomorus commerson</x:v>
      </x:c>
      <x:c r="T17" s="62" t="n">
        <x:f>IF(O17="","",(1/'Metadata'!$B$5)^(O17-1))</x:f>
        <x:v>35777.08763999664</x:v>
      </x:c>
      <x:c r="U17" s="60" t="n">
        <x:f>IF(T17="","",I17*T17)</x:f>
        <x:v>7312693.42376401</x:v>
      </x:c>
    </x:row>
    <x:row r="18" ht="18" customHeight="1">
      <x:c r="A18" s="46" t="str">
        <x:v>HS_051</x:v>
      </x:c>
      <x:c r="B18" s="46" t="str">
        <x:v>Indian Ocean, Western</x:v>
      </x:c>
      <x:c r="C18" s="46" t="str">
        <x:v>High Seas</x:v>
      </x:c>
      <x:c r="D18" s="58" t="n">
        <x:v>2019</x:v>
      </x:c>
      <x:c r="E18" s="46" t="str">
        <x:v>Istiophorus platypterus</x:v>
      </x:c>
      <x:c r="F18" s="46" t="str">
        <x:v>Indo-Pacific sailfish</x:v>
      </x:c>
      <x:c r="G18" s="46" t="str">
        <x:v>Large pelagics (&gt;=90 cm)</x:v>
      </x:c>
      <x:c r="H18" s="46" t="str">
        <x:v>Tuna &amp; billfishes</x:v>
      </x:c>
      <x:c r="I18" s="60" t="n">
        <x:v>167.0644910289</x:v>
      </x:c>
      <x:c r="J18" s="60" t="n">
        <x:v>167.0644910289</x:v>
      </x:c>
      <x:c r="K18" s="60" t="n">
        <x:v>0</x:v>
      </x:c>
      <x:c r="L18" s="60" t="n">
        <x:v>167.0644910289</x:v>
      </x:c>
      <x:c r="M18" s="60" t="n">
        <x:v>0</x:v>
      </x:c>
      <x:c r="N18" s="46" t="str">
        <x:v>istiophorus platypterus</x:v>
      </x:c>
      <x:c r="O18" s="62" t="n">
        <x:v>4.5</x:v>
      </x:c>
      <x:c r="P18" s="46" t="str">
        <x:v>exact_2020_supplement</x:v>
      </x:c>
      <x:c r="Q18" s="62" t="str">
        <x:v>2020 supplement MeanTL</x:v>
      </x:c>
      <x:c r="R18" s="46" t="str">
        <x:v>high</x:v>
      </x:c>
      <x:c r="S18" s="46" t="str">
        <x:v>Istiophorus platypterus</x:v>
      </x:c>
      <x:c r="T18" s="62" t="n">
        <x:f>IF(O18="","",(1/'Metadata'!$B$5)^(O18-1))</x:f>
        <x:v>35777.08763999664</x:v>
      </x:c>
      <x:c r="U18" s="60" t="n">
        <x:f>IF(T18="","",I18*T18)</x:f>
        <x:v>5977080.937072387</x:v>
      </x:c>
    </x:row>
    <x:row r="19" ht="18" customHeight="1">
      <x:c r="A19" s="46" t="str">
        <x:v>HS_051</x:v>
      </x:c>
      <x:c r="B19" s="46" t="str">
        <x:v>Indian Ocean, Western</x:v>
      </x:c>
      <x:c r="C19" s="46" t="str">
        <x:v>High Seas</x:v>
      </x:c>
      <x:c r="D19" s="58" t="n">
        <x:v>2019</x:v>
      </x:c>
      <x:c r="E19" s="46" t="str">
        <x:v>Isurus</x:v>
      </x:c>
      <x:c r="F19" s="46" t="str">
        <x:v>Mako sharks</x:v>
      </x:c>
      <x:c r="G19" s="46" t="str">
        <x:v>Large sharks (&gt;=90 cm)</x:v>
      </x:c>
      <x:c r="H19" s="46" t="str">
        <x:v>Sharks &amp; rays</x:v>
      </x:c>
      <x:c r="I19" s="60" t="n">
        <x:v>151.817662406</x:v>
      </x:c>
      <x:c r="J19" s="60" t="n">
        <x:v>151.817662406</x:v>
      </x:c>
      <x:c r="K19" s="60" t="n">
        <x:v>0</x:v>
      </x:c>
      <x:c r="L19" s="60" t="n">
        <x:v>151.817662406</x:v>
      </x:c>
      <x:c r="M19" s="60" t="n">
        <x:v>0</x:v>
      </x:c>
      <x:c r="N19" s="46" t="str">
        <x:v>isurus</x:v>
      </x:c>
      <x:c r="O19" s="62" t="n">
        <x:v>4.5</x:v>
      </x:c>
      <x:c r="P19" s="46" t="str">
        <x:v>exact_sea_around_us</x:v>
      </x:c>
      <x:c r="Q19" s="62" t="str">
        <x:v>Sea Around Us exploited organisms</x:v>
      </x:c>
      <x:c r="R19" s="46" t="str">
        <x:v>high</x:v>
      </x:c>
      <x:c r="S19" s="46" t="str">
        <x:v>Isurus</x:v>
      </x:c>
      <x:c r="T19" s="62" t="n">
        <x:f>IF(O19="","",(1/'Metadata'!$B$5)^(O19-1))</x:f>
        <x:v>35777.08763999664</x:v>
      </x:c>
      <x:c r="U19" s="60" t="n">
        <x:f>IF(T19="","",I19*T19)</x:f>
        <x:v>5431593.813198885</x:v>
      </x:c>
    </x:row>
    <x:row r="20" ht="18" customHeight="1">
      <x:c r="A20" s="46" t="str">
        <x:v>HS_051</x:v>
      </x:c>
      <x:c r="B20" s="46" t="str">
        <x:v>Indian Ocean, Western</x:v>
      </x:c>
      <x:c r="C20" s="46" t="str">
        <x:v>High Seas</x:v>
      </x:c>
      <x:c r="D20" s="58" t="n">
        <x:v>2019</x:v>
      </x:c>
      <x:c r="E20" s="46" t="str">
        <x:v>Kajikia audax</x:v>
      </x:c>
      <x:c r="F20" s="46" t="str">
        <x:v>Striped marlin</x:v>
      </x:c>
      <x:c r="G20" s="46" t="str">
        <x:v>Large pelagics (&gt;=90 cm)</x:v>
      </x:c>
      <x:c r="H20" s="46" t="str">
        <x:v>Tuna &amp; billfishes</x:v>
      </x:c>
      <x:c r="I20" s="60" t="n">
        <x:v>61.4291546812</x:v>
      </x:c>
      <x:c r="J20" s="60" t="n">
        <x:v>61.4291546812</x:v>
      </x:c>
      <x:c r="K20" s="60" t="n">
        <x:v>0</x:v>
      </x:c>
      <x:c r="L20" s="60" t="n">
        <x:v>61.4291546812</x:v>
      </x:c>
      <x:c r="M20" s="60" t="n">
        <x:v>0</x:v>
      </x:c>
      <x:c r="N20" s="46" t="str">
        <x:v>kajikia audax</x:v>
      </x:c>
      <x:c r="O20" s="62" t="n">
        <x:v>4.58</x:v>
      </x:c>
      <x:c r="P20" s="46" t="str">
        <x:v>exact_2020_supplement</x:v>
      </x:c>
      <x:c r="Q20" s="62" t="str">
        <x:v>2020 supplement MeanTL</x:v>
      </x:c>
      <x:c r="R20" s="46" t="str">
        <x:v>high</x:v>
      </x:c>
      <x:c r="S20" s="46" t="str">
        <x:v>Kajikia audax</x:v>
      </x:c>
      <x:c r="T20" s="62" t="n">
        <x:f>IF(O20="","",(1/'Metadata'!$B$5)^(O20-1))</x:f>
        <x:v>45466.06667430095</x:v>
      </x:c>
      <x:c r="U20" s="60" t="n">
        <x:f>IF(T20="","",I20*T20)</x:f>
        <x:v>2792942.0424813856</x:v>
      </x:c>
    </x:row>
    <x:row r="21" ht="18" customHeight="1">
      <x:c r="A21" s="46" t="str">
        <x:v>HS_051</x:v>
      </x:c>
      <x:c r="B21" s="46" t="str">
        <x:v>Indian Ocean, Western</x:v>
      </x:c>
      <x:c r="C21" s="46" t="str">
        <x:v>High Seas</x:v>
      </x:c>
      <x:c r="D21" s="58" t="n">
        <x:v>2019</x:v>
      </x:c>
      <x:c r="E21" s="46" t="str">
        <x:v>Decapterus macarellus</x:v>
      </x:c>
      <x:c r="F21" s="46" t="str">
        <x:v>Mackerel scad</x:v>
      </x:c>
      <x:c r="G21" s="46" t="str">
        <x:v>Medium pelagics (30 - 89 cm)</x:v>
      </x:c>
      <x:c r="H21" s="46" t="str">
        <x:v>Perch-likes</x:v>
      </x:c>
      <x:c r="I21" s="60" t="n">
        <x:v>43.0115681633</x:v>
      </x:c>
      <x:c r="J21" s="60" t="n">
        <x:v>43.0115681633</x:v>
      </x:c>
      <x:c r="K21" s="60" t="n">
        <x:v>0</x:v>
      </x:c>
      <x:c r="L21" s="60" t="n">
        <x:v>43.0115681633</x:v>
      </x:c>
      <x:c r="M21" s="60" t="n">
        <x:v>0</x:v>
      </x:c>
      <x:c r="N21" s="46" t="str">
        <x:v>decapterus macarellus</x:v>
      </x:c>
      <x:c r="O21" s="62" t="n">
        <x:v>3.96</x:v>
      </x:c>
      <x:c r="P21" s="46" t="str">
        <x:v>exact_2020_supplement</x:v>
      </x:c>
      <x:c r="Q21" s="62" t="str">
        <x:v>2020 supplement MeanTL</x:v>
      </x:c>
      <x:c r="R21" s="46" t="str">
        <x:v>high</x:v>
      </x:c>
      <x:c r="S21" s="46" t="str">
        <x:v>Decapterus macarellus</x:v>
      </x:c>
      <x:c r="T21" s="62" t="n">
        <x:f>IF(O21="","",(1/'Metadata'!$B$5)^(O21-1))</x:f>
        <x:v>7096.574839945253</x:v>
      </x:c>
      <x:c r="U21" s="60" t="n">
        <x:f>IF(T21="","",I21*T21)</x:f>
        <x:v>305234.812454265</x:v>
      </x:c>
    </x:row>
    <x:row r="22" ht="18" customHeight="1">
      <x:c r="A22" s="46" t="str">
        <x:v>HS_051</x:v>
      </x:c>
      <x:c r="B22" s="46" t="str">
        <x:v>Indian Ocean, Western</x:v>
      </x:c>
      <x:c r="C22" s="46" t="str">
        <x:v>High Seas</x:v>
      </x:c>
      <x:c r="D22" s="58" t="n">
        <x:v>2019</x:v>
      </x:c>
      <x:c r="E22" s="46" t="str">
        <x:v>Elasmobranchii</x:v>
      </x:c>
      <x:c r="F22" s="46" t="str">
        <x:v>Sharks, rays, skates</x:v>
      </x:c>
      <x:c r="G22" s="46" t="str">
        <x:v>Large sharks (&gt;=90 cm)</x:v>
      </x:c>
      <x:c r="H22" s="46" t="str">
        <x:v>Sharks &amp; rays</x:v>
      </x:c>
      <x:c r="I22" s="60" t="n">
        <x:v>29.4204211334</x:v>
      </x:c>
      <x:c r="J22" s="60" t="n">
        <x:v>29.4204211334</x:v>
      </x:c>
      <x:c r="K22" s="60" t="n">
        <x:v>0</x:v>
      </x:c>
      <x:c r="L22" s="60" t="n">
        <x:v>29.4204211334</x:v>
      </x:c>
      <x:c r="M22" s="60" t="n">
        <x:v>0</x:v>
      </x:c>
      <x:c r="N22" s="46" t="str">
        <x:v>elasmobranchii</x:v>
      </x:c>
      <x:c r="O22" s="62" t="n">
        <x:v>4.05</x:v>
      </x:c>
      <x:c r="P22" s="46" t="str">
        <x:v>exact_sea_around_us</x:v>
      </x:c>
      <x:c r="Q22" s="62" t="str">
        <x:v>Sea Around Us exploited organisms</x:v>
      </x:c>
      <x:c r="R22" s="46" t="str">
        <x:v>high</x:v>
      </x:c>
      <x:c r="S22" s="46" t="str">
        <x:v>Elasmobranchii</x:v>
      </x:c>
      <x:c r="T22" s="62" t="n">
        <x:f>IF(O22="","",(1/'Metadata'!$B$5)^(O22-1))</x:f>
        <x:v>9292.690797132333</x:v>
      </x:c>
      <x:c r="U22" s="60" t="n">
        <x:f>IF(T22="","",I22*T22)</x:f>
        <x:v>273394.8767141038</x:v>
      </x:c>
    </x:row>
    <x:row r="23" ht="18" customHeight="1">
      <x:c r="A23" s="46" t="str">
        <x:v>HS_051</x:v>
      </x:c>
      <x:c r="B23" s="46" t="str">
        <x:v>Indian Ocean, Western</x:v>
      </x:c>
      <x:c r="C23" s="46" t="str">
        <x:v>High Seas</x:v>
      </x:c>
      <x:c r="D23" s="58" t="n">
        <x:v>2019</x:v>
      </x:c>
      <x:c r="E23" s="46" t="str">
        <x:v>Isurus oxyrinchus</x:v>
      </x:c>
      <x:c r="F23" s="46" t="str">
        <x:v>Shortfin mako</x:v>
      </x:c>
      <x:c r="G23" s="46" t="str">
        <x:v>Large sharks (&gt;=90 cm)</x:v>
      </x:c>
      <x:c r="H23" s="46" t="str">
        <x:v>Sharks &amp; rays</x:v>
      </x:c>
      <x:c r="I23" s="60" t="n">
        <x:v>23.6600843724</x:v>
      </x:c>
      <x:c r="J23" s="60" t="n">
        <x:v>23.6600843724</x:v>
      </x:c>
      <x:c r="K23" s="60" t="n">
        <x:v>0</x:v>
      </x:c>
      <x:c r="L23" s="60" t="n">
        <x:v>23.6600843724</x:v>
      </x:c>
      <x:c r="M23" s="60" t="n">
        <x:v>0</x:v>
      </x:c>
      <x:c r="N23" s="46" t="str">
        <x:v>isurus oxyrinchus</x:v>
      </x:c>
      <x:c r="O23" s="62" t="n">
        <x:v>4.5</x:v>
      </x:c>
      <x:c r="P23" s="46" t="str">
        <x:v>exact_2020_supplement</x:v>
      </x:c>
      <x:c r="Q23" s="62" t="str">
        <x:v>2020 supplement MeanTL</x:v>
      </x:c>
      <x:c r="R23" s="46" t="str">
        <x:v>high</x:v>
      </x:c>
      <x:c r="S23" s="46" t="str">
        <x:v>Isurus oxyrinchus</x:v>
      </x:c>
      <x:c r="T23" s="62" t="n">
        <x:f>IF(O23="","",(1/'Metadata'!$B$5)^(O23-1))</x:f>
        <x:v>35777.08763999664</x:v>
      </x:c>
      <x:c r="U23" s="60" t="n">
        <x:f>IF(T23="","",I23*T23)</x:f>
        <x:v>846488.9121610696</x:v>
      </x:c>
    </x:row>
    <x:row r="24" ht="18" customHeight="1">
      <x:c r="A24" s="46" t="str">
        <x:v>HS_051</x:v>
      </x:c>
      <x:c r="B24" s="46" t="str">
        <x:v>Indian Ocean, Western</x:v>
      </x:c>
      <x:c r="C24" s="46" t="str">
        <x:v>High Seas</x:v>
      </x:c>
      <x:c r="D24" s="58" t="n">
        <x:v>2019</x:v>
      </x:c>
      <x:c r="E24" s="46" t="str">
        <x:v>Carcharhinus falciformis</x:v>
      </x:c>
      <x:c r="F24" s="46" t="str">
        <x:v>Silky shark</x:v>
      </x:c>
      <x:c r="G24" s="46" t="str">
        <x:v>Large sharks (&gt;=90 cm)</x:v>
      </x:c>
      <x:c r="H24" s="46" t="str">
        <x:v>Sharks &amp; rays</x:v>
      </x:c>
      <x:c r="I24" s="60" t="n">
        <x:v>12.1527374839</x:v>
      </x:c>
      <x:c r="J24" s="60" t="n">
        <x:v>12.1527374839</x:v>
      </x:c>
      <x:c r="K24" s="60" t="n">
        <x:v>0</x:v>
      </x:c>
      <x:c r="L24" s="60" t="n">
        <x:v>12.1527374839</x:v>
      </x:c>
      <x:c r="M24" s="60" t="n">
        <x:v>0</x:v>
      </x:c>
      <x:c r="N24" s="46" t="str">
        <x:v>carcharhinus falciformis</x:v>
      </x:c>
      <x:c r="O24" s="62" t="n">
        <x:v>4.51</x:v>
      </x:c>
      <x:c r="P24" s="46" t="str">
        <x:v>exact_2020_supplement</x:v>
      </x:c>
      <x:c r="Q24" s="62" t="str">
        <x:v>2020 supplement MeanTL</x:v>
      </x:c>
      <x:c r="R24" s="46" t="str">
        <x:v>high</x:v>
      </x:c>
      <x:c r="S24" s="46" t="str">
        <x:v>Carcharhinus falciformis</x:v>
      </x:c>
      <x:c r="T24" s="62" t="n">
        <x:f>IF(O24="","",(1/'Metadata'!$B$5)^(O24-1))</x:f>
        <x:v>36865.088835568684</x:v>
      </x:c>
      <x:c r="U24" s="60" t="n">
        <x:f>IF(T24="","",I24*T24)</x:f>
        <x:v>448011.7469393189</x:v>
      </x:c>
    </x:row>
    <x:row r="25" ht="18" customHeight="1">
      <x:c r="A25" s="46" t="str">
        <x:v>HS_051</x:v>
      </x:c>
      <x:c r="B25" s="46" t="str">
        <x:v>Indian Ocean, Western</x:v>
      </x:c>
      <x:c r="C25" s="46" t="str">
        <x:v>High Seas</x:v>
      </x:c>
      <x:c r="D25" s="58" t="n">
        <x:v>2019</x:v>
      </x:c>
      <x:c r="E25" s="46" t="str">
        <x:v>Tetrapturus angustirostris</x:v>
      </x:c>
      <x:c r="F25" s="46" t="str">
        <x:v>Shortbill spearfish</x:v>
      </x:c>
      <x:c r="G25" s="46" t="str">
        <x:v>Large pelagics (&gt;=90 cm)</x:v>
      </x:c>
      <x:c r="H25" s="46" t="str">
        <x:v>Tuna &amp; billfishes</x:v>
      </x:c>
      <x:c r="I25" s="60" t="n">
        <x:v>9.9829960154</x:v>
      </x:c>
      <x:c r="J25" s="60" t="n">
        <x:v>9.9829960154</x:v>
      </x:c>
      <x:c r="K25" s="60" t="n">
        <x:v>0</x:v>
      </x:c>
      <x:c r="L25" s="60" t="n">
        <x:v>9.9829960154</x:v>
      </x:c>
      <x:c r="M25" s="60" t="n">
        <x:v>0</x:v>
      </x:c>
      <x:c r="N25" s="46" t="str">
        <x:v>tetrapturus angustirostris</x:v>
      </x:c>
      <x:c r="O25" s="62" t="n">
        <x:v>4.5</x:v>
      </x:c>
      <x:c r="P25" s="46" t="str">
        <x:v>exact_2020_supplement</x:v>
      </x:c>
      <x:c r="Q25" s="62" t="str">
        <x:v>2020 supplement MeanTL</x:v>
      </x:c>
      <x:c r="R25" s="46" t="str">
        <x:v>high</x:v>
      </x:c>
      <x:c r="S25" s="46" t="str">
        <x:v>Tetrapturus angustirostris</x:v>
      </x:c>
      <x:c r="T25" s="62" t="n">
        <x:f>IF(O25="","",(1/'Metadata'!$B$5)^(O25-1))</x:f>
        <x:v>35777.08763999664</x:v>
      </x:c>
      <x:c r="U25" s="60" t="n">
        <x:f>IF(T25="","",I25*T25)</x:f>
        <x:v>357162.523352703</x:v>
      </x:c>
    </x:row>
    <x:row r="26" ht="18" customHeight="1">
      <x:c r="A26" s="46" t="str">
        <x:v>HS_051</x:v>
      </x:c>
      <x:c r="B26" s="46" t="str">
        <x:v>Indian Ocean, Western</x:v>
      </x:c>
      <x:c r="C26" s="46" t="str">
        <x:v>High Seas</x:v>
      </x:c>
      <x:c r="D26" s="58" t="n">
        <x:v>2019</x:v>
      </x:c>
      <x:c r="E26" s="46" t="str">
        <x:v>Makaira</x:v>
      </x:c>
      <x:c r="F26" s="46" t="str">
        <x:v>Blue marlins</x:v>
      </x:c>
      <x:c r="G26" s="46" t="str">
        <x:v>Large pelagics (&gt;=90 cm)</x:v>
      </x:c>
      <x:c r="H26" s="46" t="str">
        <x:v>Tuna &amp; billfishes</x:v>
      </x:c>
      <x:c r="I26" s="60" t="n">
        <x:v>3.337168214</x:v>
      </x:c>
      <x:c r="J26" s="60" t="n">
        <x:v>3.337168214</x:v>
      </x:c>
      <x:c r="K26" s="60" t="n">
        <x:v>0</x:v>
      </x:c>
      <x:c r="L26" s="60" t="n">
        <x:v>3.337168214</x:v>
      </x:c>
      <x:c r="M26" s="60" t="n">
        <x:v>0</x:v>
      </x:c>
      <x:c r="N26" s="46" t="str">
        <x:v>makaira</x:v>
      </x:c>
      <x:c r="O26" s="62" t="n">
        <x:v>4.47</x:v>
      </x:c>
      <x:c r="P26" s="46" t="str">
        <x:v>exact_sea_around_us</x:v>
      </x:c>
      <x:c r="Q26" s="62" t="str">
        <x:v>Sea Around Us exploited organisms</x:v>
      </x:c>
      <x:c r="R26" s="46" t="str">
        <x:v>high</x:v>
      </x:c>
      <x:c r="S26" s="46" t="str">
        <x:v>Makaira</x:v>
      </x:c>
      <x:c r="T26" s="62" t="n">
        <x:f>IF(O26="","",(1/'Metadata'!$B$5)^(O26-1))</x:f>
        <x:v>32701.982737855422</x:v>
      </x:c>
      <x:c r="U26" s="60" t="n">
        <x:f>IF(T26="","",I26*T26)</x:f>
        <x:v>109132.01732754782</x:v>
      </x:c>
    </x:row>
    <x:row r="27" ht="18" customHeight="1">
      <x:c r="A27" s="46" t="str">
        <x:v>HS_051</x:v>
      </x:c>
      <x:c r="B27" s="46" t="str">
        <x:v>Indian Ocean, Western</x:v>
      </x:c>
      <x:c r="C27" s="46" t="str">
        <x:v>High Seas</x:v>
      </x:c>
      <x:c r="D27" s="58" t="n">
        <x:v>2019</x:v>
      </x:c>
      <x:c r="E27" s="46" t="str">
        <x:v>Istiophoridae</x:v>
      </x:c>
      <x:c r="F27" s="46" t="str">
        <x:v>Billfishes</x:v>
      </x:c>
      <x:c r="G27" s="46" t="str">
        <x:v>Large pelagics (&gt;=90 cm)</x:v>
      </x:c>
      <x:c r="H27" s="46" t="str">
        <x:v>Tuna &amp; billfishes</x:v>
      </x:c>
      <x:c r="I27" s="60" t="n">
        <x:v>2.8782416964</x:v>
      </x:c>
      <x:c r="J27" s="60" t="n">
        <x:v>2.8782416964</x:v>
      </x:c>
      <x:c r="K27" s="60" t="n">
        <x:v>0</x:v>
      </x:c>
      <x:c r="L27" s="60" t="n">
        <x:v>2.8782416964</x:v>
      </x:c>
      <x:c r="M27" s="60" t="n">
        <x:v>0</x:v>
      </x:c>
      <x:c r="N27" s="46" t="str">
        <x:v>istiophoridae</x:v>
      </x:c>
      <x:c r="O27" s="62" t="n">
        <x:v>4.48</x:v>
      </x:c>
      <x:c r="P27" s="46" t="str">
        <x:v>exact_sea_around_us</x:v>
      </x:c>
      <x:c r="Q27" s="62" t="str">
        <x:v>Sea Around Us exploited organisms</x:v>
      </x:c>
      <x:c r="R27" s="46" t="str">
        <x:v>high</x:v>
      </x:c>
      <x:c r="S27" s="46" t="str">
        <x:v>Istiophoridae</x:v>
      </x:c>
      <x:c r="T27" s="62" t="n">
        <x:f>IF(O27="","",(1/'Metadata'!$B$5)^(O27-1))</x:f>
        <x:v>33696.468277717824</x:v>
      </x:c>
      <x:c r="U27" s="60" t="n">
        <x:f>IF(T27="","",I27*T27)</x:f>
        <x:v>96986.58001834733</x:v>
      </x:c>
    </x:row>
    <x:row r="28" ht="18" customHeight="1">
      <x:c r="A28" s="46" t="str">
        <x:v>HS_051</x:v>
      </x:c>
      <x:c r="B28" s="46" t="str">
        <x:v>Indian Ocean, Western</x:v>
      </x:c>
      <x:c r="C28" s="46" t="str">
        <x:v>High Seas</x:v>
      </x:c>
      <x:c r="D28" s="58" t="n">
        <x:v>2019</x:v>
      </x:c>
      <x:c r="E28" s="46" t="str">
        <x:v>Rajiformes</x:v>
      </x:c>
      <x:c r="F28" s="46" t="str">
        <x:v>Skates and rays</x:v>
      </x:c>
      <x:c r="G28" s="46" t="str">
        <x:v>Large rays (&gt;=90 cm)</x:v>
      </x:c>
      <x:c r="H28" s="46" t="str">
        <x:v>Sharks &amp; rays</x:v>
      </x:c>
      <x:c r="I28" s="60" t="n">
        <x:v>2.4930363256</x:v>
      </x:c>
      <x:c r="J28" s="60" t="n">
        <x:v>2.4930363256</x:v>
      </x:c>
      <x:c r="K28" s="60" t="n">
        <x:v>0</x:v>
      </x:c>
      <x:c r="L28" s="60" t="n">
        <x:v>2.4930363256</x:v>
      </x:c>
      <x:c r="M28" s="60" t="n">
        <x:v>0</x:v>
      </x:c>
      <x:c r="N28" s="46" t="str">
        <x:v>rajiformes</x:v>
      </x:c>
      <x:c r="O28" s="62" t="n">
        <x:v>3.61</x:v>
      </x:c>
      <x:c r="P28" s="46" t="str">
        <x:v>exact_sea_around_us</x:v>
      </x:c>
      <x:c r="Q28" s="62" t="str">
        <x:v>Sea Around Us exploited organisms</x:v>
      </x:c>
      <x:c r="R28" s="46" t="str">
        <x:v>high</x:v>
      </x:c>
      <x:c r="S28" s="46" t="str">
        <x:v>Rajiformes</x:v>
      </x:c>
      <x:c r="T28" s="62" t="n">
        <x:f>IF(O28="","",(1/'Metadata'!$B$5)^(O28-1))</x:f>
        <x:v>2487.0716021897506</x:v>
      </x:c>
      <x:c r="U28" s="60" t="n">
        <x:f>IF(T28="","",I28*T28)</x:f>
        <x:v>6200.35984862724</x:v>
      </x:c>
    </x:row>
    <x:row r="29" ht="18" customHeight="1">
      <x:c r="A29" s="46" t="str">
        <x:v>HS_051</x:v>
      </x:c>
      <x:c r="B29" s="46" t="str">
        <x:v>Indian Ocean, Western</x:v>
      </x:c>
      <x:c r="C29" s="46" t="str">
        <x:v>High Seas</x:v>
      </x:c>
      <x:c r="D29" s="58" t="n">
        <x:v>2019</x:v>
      </x:c>
      <x:c r="E29" s="46" t="str">
        <x:v>Coryphaena hippurus</x:v>
      </x:c>
      <x:c r="F29" s="46" t="str">
        <x:v>Common dolphinfish</x:v>
      </x:c>
      <x:c r="G29" s="46" t="str">
        <x:v>Large pelagics (&gt;=90 cm)</x:v>
      </x:c>
      <x:c r="H29" s="46" t="str">
        <x:v>Perch-likes</x:v>
      </x:c>
      <x:c r="I29" s="60" t="n">
        <x:v>2.1213477334</x:v>
      </x:c>
      <x:c r="J29" s="60" t="n">
        <x:v>2.1213477334</x:v>
      </x:c>
      <x:c r="K29" s="60" t="n">
        <x:v>0</x:v>
      </x:c>
      <x:c r="L29" s="60" t="n">
        <x:v>2.1213477334</x:v>
      </x:c>
      <x:c r="M29" s="60" t="n">
        <x:v>0</x:v>
      </x:c>
      <x:c r="N29" s="46" t="str">
        <x:v>coryphaena hippurus</x:v>
      </x:c>
      <x:c r="O29" s="62" t="n">
        <x:v>4.37</x:v>
      </x:c>
      <x:c r="P29" s="46" t="str">
        <x:v>exact_2020_supplement</x:v>
      </x:c>
      <x:c r="Q29" s="62" t="str">
        <x:v>2020 supplement MeanTL</x:v>
      </x:c>
      <x:c r="R29" s="46" t="str">
        <x:v>high</x:v>
      </x:c>
      <x:c r="S29" s="46" t="str">
        <x:v>Coryphaena hippurus</x:v>
      </x:c>
      <x:c r="T29" s="62" t="n">
        <x:f>IF(O29="","",(1/'Metadata'!$B$5)^(O29-1))</x:f>
        <x:v>24236.56596112542</x:v>
      </x:c>
      <x:c r="U29" s="60" t="n">
        <x:f>IF(T29="","",I29*T29)</x:f>
        <x:v>51414.184267033</x:v>
      </x:c>
    </x:row>
    <x:row r="30" ht="18" customHeight="1">
      <x:c r="A30" s="46" t="str">
        <x:v>HS_051</x:v>
      </x:c>
      <x:c r="B30" s="46" t="str">
        <x:v>Indian Ocean, Western</x:v>
      </x:c>
      <x:c r="C30" s="46" t="str">
        <x:v>High Seas</x:v>
      </x:c>
      <x:c r="D30" s="58" t="n">
        <x:v>2019</x:v>
      </x:c>
      <x:c r="E30" s="46" t="str">
        <x:v>Sphyrna lewini</x:v>
      </x:c>
      <x:c r="F30" s="46" t="str">
        <x:v>Scalloped hammerhead</x:v>
      </x:c>
      <x:c r="G30" s="46" t="str">
        <x:v>Large sharks (&gt;=90 cm)</x:v>
      </x:c>
      <x:c r="H30" s="46" t="str">
        <x:v>Sharks &amp; rays</x:v>
      </x:c>
      <x:c r="I30" s="60" t="n">
        <x:v>2.1146216455999998</x:v>
      </x:c>
      <x:c r="J30" s="60" t="n">
        <x:v>2.1146216455999998</x:v>
      </x:c>
      <x:c r="K30" s="60" t="n">
        <x:v>0</x:v>
      </x:c>
      <x:c r="L30" s="60" t="n">
        <x:v>2.1146216455999998</x:v>
      </x:c>
      <x:c r="M30" s="60" t="n">
        <x:v>0</x:v>
      </x:c>
      <x:c r="N30" s="46" t="str">
        <x:v>sphyrna lewini</x:v>
      </x:c>
      <x:c r="O30" s="62" t="n">
        <x:v>4.08</x:v>
      </x:c>
      <x:c r="P30" s="46" t="str">
        <x:v>exact_2020_supplement</x:v>
      </x:c>
      <x:c r="Q30" s="62" t="str">
        <x:v>2020 supplement MeanTL</x:v>
      </x:c>
      <x:c r="R30" s="46" t="str">
        <x:v>high</x:v>
      </x:c>
      <x:c r="S30" s="46" t="str">
        <x:v>Sphyrna lewini</x:v>
      </x:c>
      <x:c r="T30" s="62" t="n">
        <x:f>IF(O30="","",(1/'Metadata'!$B$5)^(O30-1))</x:f>
        <x:v>10166.521575327472</x:v>
      </x:c>
      <x:c r="U30" s="60" t="n">
        <x:f>IF(T30="","",I30*T30)</x:f>
        <x:v>21498.34658364688</x:v>
      </x:c>
    </x:row>
    <x:row r="31" ht="18" customHeight="1">
      <x:c r="A31" s="46" t="str">
        <x:v>HS_051</x:v>
      </x:c>
      <x:c r="B31" s="46" t="str">
        <x:v>Indian Ocean, Western</x:v>
      </x:c>
      <x:c r="C31" s="46" t="str">
        <x:v>High Seas</x:v>
      </x:c>
      <x:c r="D31" s="58" t="n">
        <x:v>2019</x:v>
      </x:c>
      <x:c r="E31" s="46" t="str">
        <x:v>Acanthocybium solandri</x:v>
      </x:c>
      <x:c r="F31" s="46" t="str">
        <x:v>Wahoo</x:v>
      </x:c>
      <x:c r="G31" s="46" t="str">
        <x:v>Large pelagics (&gt;=90 cm)</x:v>
      </x:c>
      <x:c r="H31" s="46" t="str">
        <x:v>Perch-likes</x:v>
      </x:c>
      <x:c r="I31" s="60" t="n">
        <x:v>1.8804658197</x:v>
      </x:c>
      <x:c r="J31" s="60" t="n">
        <x:v>1.8804658197</x:v>
      </x:c>
      <x:c r="K31" s="60" t="n">
        <x:v>0</x:v>
      </x:c>
      <x:c r="L31" s="60" t="n">
        <x:v>1.8804658197</x:v>
      </x:c>
      <x:c r="M31" s="60" t="n">
        <x:v>0</x:v>
      </x:c>
      <x:c r="N31" s="46" t="str">
        <x:v>acanthocybium solandri</x:v>
      </x:c>
      <x:c r="O31" s="62" t="n">
        <x:v>4.26</x:v>
      </x:c>
      <x:c r="P31" s="46" t="str">
        <x:v>exact_2020_supplement</x:v>
      </x:c>
      <x:c r="Q31" s="62" t="str">
        <x:v>2020 supplement MeanTL</x:v>
      </x:c>
      <x:c r="R31" s="46" t="str">
        <x:v>high</x:v>
      </x:c>
      <x:c r="S31" s="46" t="str">
        <x:v>Acanthocybium solandri</x:v>
      </x:c>
      <x:c r="T31" s="62" t="n">
        <x:f>IF(O31="","",(1/'Metadata'!$B$5)^(O31-1))</x:f>
        <x:v>17432.42421569787</x:v>
      </x:c>
      <x:c r="U31" s="60" t="n">
        <x:f>IF(T31="","",I31*T31)</x:f>
        <x:v>32781.07789213042</x:v>
      </x:c>
    </x:row>
    <x:row r="32" ht="18" customHeight="1">
      <x:c r="A32" s="46" t="str">
        <x:v>HS_051</x:v>
      </x:c>
      <x:c r="B32" s="46" t="str">
        <x:v>Indian Ocean, Western</x:v>
      </x:c>
      <x:c r="C32" s="46" t="str">
        <x:v>High Seas</x:v>
      </x:c>
      <x:c r="D32" s="58" t="n">
        <x:v>2019</x:v>
      </x:c>
      <x:c r="E32" s="46" t="str">
        <x:v>Isurus paucus</x:v>
      </x:c>
      <x:c r="F32" s="46" t="str">
        <x:v>Longfin mako</x:v>
      </x:c>
      <x:c r="G32" s="46" t="str">
        <x:v>Large sharks (&gt;=90 cm)</x:v>
      </x:c>
      <x:c r="H32" s="46" t="str">
        <x:v>Sharks &amp; rays</x:v>
      </x:c>
      <x:c r="I32" s="60" t="n">
        <x:v>1.7811161592</x:v>
      </x:c>
      <x:c r="J32" s="60" t="n">
        <x:v>1.7811161592</x:v>
      </x:c>
      <x:c r="K32" s="60" t="n">
        <x:v>0</x:v>
      </x:c>
      <x:c r="L32" s="60" t="n">
        <x:v>1.7811161592</x:v>
      </x:c>
      <x:c r="M32" s="60" t="n">
        <x:v>0</x:v>
      </x:c>
      <x:c r="N32" s="46" t="str">
        <x:v>isurus paucus</x:v>
      </x:c>
      <x:c r="O32" s="62" t="n">
        <x:v>4.51</x:v>
      </x:c>
      <x:c r="P32" s="46" t="str">
        <x:v>exact_2020_supplement</x:v>
      </x:c>
      <x:c r="Q32" s="62" t="str">
        <x:v>2020 supplement MeanTL</x:v>
      </x:c>
      <x:c r="R32" s="46" t="str">
        <x:v>high</x:v>
      </x:c>
      <x:c r="S32" s="46" t="str">
        <x:v>Isurus paucus</x:v>
      </x:c>
      <x:c r="T32" s="62" t="n">
        <x:f>IF(O32="","",(1/'Metadata'!$B$5)^(O32-1))</x:f>
        <x:v>36865.088835568684</x:v>
      </x:c>
      <x:c r="U32" s="60" t="n">
        <x:f>IF(T32="","",I32*T32)</x:f>
        <x:v>65661.0054353749</x:v>
      </x:c>
    </x:row>
    <x:row r="33" ht="18" customHeight="1">
      <x:c r="A33" s="46" t="str">
        <x:v>HS_051</x:v>
      </x:c>
      <x:c r="B33" s="46" t="str">
        <x:v>Indian Ocean, Western</x:v>
      </x:c>
      <x:c r="C33" s="46" t="str">
        <x:v>High Seas</x:v>
      </x:c>
      <x:c r="D33" s="58" t="n">
        <x:v>2019</x:v>
      </x:c>
      <x:c r="E33" s="46" t="str">
        <x:v>Scomberomorus guttatus</x:v>
      </x:c>
      <x:c r="F33" s="46" t="str">
        <x:v>Indo-Pacific king mackerel</x:v>
      </x:c>
      <x:c r="G33" s="46" t="str">
        <x:v>Medium pelagics (30 - 89 cm)</x:v>
      </x:c>
      <x:c r="H33" s="46" t="str">
        <x:v>Perch-likes</x:v>
      </x:c>
      <x:c r="I33" s="60" t="n">
        <x:v>0.275021709</x:v>
      </x:c>
      <x:c r="J33" s="60" t="n">
        <x:v>0.275021709</x:v>
      </x:c>
      <x:c r="K33" s="60" t="n">
        <x:v>0</x:v>
      </x:c>
      <x:c r="L33" s="60" t="n">
        <x:v>0.275021709</x:v>
      </x:c>
      <x:c r="M33" s="60" t="n">
        <x:v>0</x:v>
      </x:c>
      <x:c r="N33" s="46" t="str">
        <x:v>scomberomorus guttatus</x:v>
      </x:c>
      <x:c r="O33" s="62" t="n">
        <x:v>4.28</x:v>
      </x:c>
      <x:c r="P33" s="46" t="str">
        <x:v>exact_2020_supplement</x:v>
      </x:c>
      <x:c r="Q33" s="62" t="str">
        <x:v>2020 supplement MeanTL</x:v>
      </x:c>
      <x:c r="R33" s="46" t="str">
        <x:v>high</x:v>
      </x:c>
      <x:c r="S33" s="46" t="str">
        <x:v>Scomberomorus guttatus</x:v>
      </x:c>
      <x:c r="T33" s="62" t="n">
        <x:f>IF(O33="","",(1/'Metadata'!$B$5)^(O33-1))</x:f>
        <x:v>18508.805249333516</x:v>
      </x:c>
      <x:c r="U33" s="60" t="n">
        <x:f>IF(T33="","",I33*T33)</x:f>
        <x:v>5090.323251219875</x:v>
      </x:c>
    </x:row>
    <x:row r="34" ht="18" customHeight="1">
      <x:c r="A34" s="46" t="str">
        <x:v>HS_051</x:v>
      </x:c>
      <x:c r="B34" s="46" t="str">
        <x:v>Indian Ocean, Western</x:v>
      </x:c>
      <x:c r="C34" s="46" t="str">
        <x:v>High Seas</x:v>
      </x:c>
      <x:c r="D34" s="58" t="n">
        <x:v>2019</x:v>
      </x:c>
      <x:c r="E34" s="46" t="str">
        <x:v>Sphyrna</x:v>
      </x:c>
      <x:c r="F34" s="46" t="str">
        <x:v>Hammerhead sharks</x:v>
      </x:c>
      <x:c r="G34" s="46" t="str">
        <x:v>Large sharks (&gt;=90 cm)</x:v>
      </x:c>
      <x:c r="H34" s="46" t="str">
        <x:v>Sharks &amp; rays</x:v>
      </x:c>
      <x:c r="I34" s="60" t="n">
        <x:v>0.1309717526</x:v>
      </x:c>
      <x:c r="J34" s="60" t="n">
        <x:v>0.1309717526</x:v>
      </x:c>
      <x:c r="K34" s="60" t="n">
        <x:v>0</x:v>
      </x:c>
      <x:c r="L34" s="60" t="n">
        <x:v>0.1309717526</x:v>
      </x:c>
      <x:c r="M34" s="60" t="n">
        <x:v>0</x:v>
      </x:c>
      <x:c r="N34" s="46" t="str">
        <x:v>sphyrna</x:v>
      </x:c>
      <x:c r="O34" s="62" t="n">
        <x:v>4.2</x:v>
      </x:c>
      <x:c r="P34" s="46" t="str">
        <x:v>exact_sea_around_us</x:v>
      </x:c>
      <x:c r="Q34" s="62" t="str">
        <x:v>Sea Around Us exploited organisms</x:v>
      </x:c>
      <x:c r="R34" s="46" t="str">
        <x:v>high</x:v>
      </x:c>
      <x:c r="S34" s="46" t="str">
        <x:v>Sphyrna</x:v>
      </x:c>
      <x:c r="T34" s="62" t="n">
        <x:f>IF(O34="","",(1/'Metadata'!$B$5)^(O34-1))</x:f>
        <x:v>14564.51362420865</x:v>
      </x:c>
      <x:c r="U34" s="60" t="n">
        <x:f>IF(T34="","",I34*T34)</x:f>
        <x:v>1907.5398751291846</x:v>
      </x:c>
    </x:row>
    <x:row r="35" ht="18" customHeight="1">
      <x:c r="A35" s="46" t="str">
        <x:v>HS_051</x:v>
      </x:c>
      <x:c r="B35" s="46" t="str">
        <x:v>Indian Ocean, Western</x:v>
      </x:c>
      <x:c r="C35" s="46" t="str">
        <x:v>High Seas</x:v>
      </x:c>
      <x:c r="D35" s="58" t="n">
        <x:v>2019</x:v>
      </x:c>
      <x:c r="E35" s="46" t="str">
        <x:v>Ruvettus pretiosus</x:v>
      </x:c>
      <x:c r="F35" s="46" t="str">
        <x:v>Oilfish</x:v>
      </x:c>
      <x:c r="G35" s="46" t="str">
        <x:v>Large benthopelagics (&gt;=90 cm)</x:v>
      </x:c>
      <x:c r="H35" s="46" t="str">
        <x:v>Perch-likes</x:v>
      </x:c>
      <x:c r="I35" s="60" t="n">
        <x:v>0.0267831636</x:v>
      </x:c>
      <x:c r="J35" s="60" t="n">
        <x:v>0.0267831636</x:v>
      </x:c>
      <x:c r="K35" s="60" t="n">
        <x:v>0</x:v>
      </x:c>
      <x:c r="L35" s="60" t="n">
        <x:v>0.0267831636</x:v>
      </x:c>
      <x:c r="M35" s="60" t="n">
        <x:v>0</x:v>
      </x:c>
      <x:c r="N35" s="46" t="str">
        <x:v>ruvettus pretiosus</x:v>
      </x:c>
      <x:c r="O35" s="62" t="n">
        <x:v>4.18</x:v>
      </x:c>
      <x:c r="P35" s="46" t="str">
        <x:v>exact_2020_supplement</x:v>
      </x:c>
      <x:c r="Q35" s="62" t="str">
        <x:v>2020 supplement MeanTL</x:v>
      </x:c>
      <x:c r="R35" s="46" t="str">
        <x:v>high</x:v>
      </x:c>
      <x:c r="S35" s="46" t="str">
        <x:v>Ruvettus pretiosus</x:v>
      </x:c>
      <x:c r="T35" s="62" t="n">
        <x:f>IF(O35="","",(1/'Metadata'!$B$5)^(O35-1))</x:f>
        <x:v>13717.513182092556</x:v>
      </x:c>
      <x:c r="U35" s="60" t="n">
        <x:f>IF(T35="","",I35*T35)</x:f>
        <x:v>367.39839974114153</x:v>
      </x:c>
    </x:row>
    <x:row r="36" ht="18" customHeight="1">
      <x:c r="A36" s="46" t="str">
        <x:v>HS_051</x:v>
      </x:c>
      <x:c r="B36" s="46" t="str">
        <x:v>Indian Ocean, Western</x:v>
      </x:c>
      <x:c r="C36" s="46" t="str">
        <x:v>High Seas</x:v>
      </x:c>
      <x:c r="D36" s="58" t="n">
        <x:v>2019</x:v>
      </x:c>
      <x:c r="E36" s="46" t="str">
        <x:v>Lamna nasus</x:v>
      </x:c>
      <x:c r="F36" s="46" t="str">
        <x:v>Porbeagle</x:v>
      </x:c>
      <x:c r="G36" s="46" t="str">
        <x:v>Large sharks (&gt;=90 cm)</x:v>
      </x:c>
      <x:c r="H36" s="46" t="str">
        <x:v>Sharks &amp; rays</x:v>
      </x:c>
      <x:c r="I36" s="60" t="n">
        <x:v>0.0012124092</x:v>
      </x:c>
      <x:c r="J36" s="60" t="n">
        <x:v>0.0012124092</x:v>
      </x:c>
      <x:c r="K36" s="60" t="n">
        <x:v>0</x:v>
      </x:c>
      <x:c r="L36" s="60" t="n">
        <x:v>0.0012124092</x:v>
      </x:c>
      <x:c r="M36" s="60" t="n">
        <x:v>0</x:v>
      </x:c>
      <x:c r="N36" s="46" t="str">
        <x:v>lamna nasus</x:v>
      </x:c>
      <x:c r="O36" s="62" t="n">
        <x:v>4.57</x:v>
      </x:c>
      <x:c r="P36" s="46" t="str">
        <x:v>exact_2020_supplement</x:v>
      </x:c>
      <x:c r="Q36" s="62" t="str">
        <x:v>2020 supplement MeanTL</x:v>
      </x:c>
      <x:c r="R36" s="46" t="str">
        <x:v>high</x:v>
      </x:c>
      <x:c r="S36" s="46" t="str">
        <x:v>Lamna nasus</x:v>
      </x:c>
      <x:c r="T36" s="62" t="n">
        <x:f>IF(O36="","",(1/'Metadata'!$B$5)^(O36-1))</x:f>
        <x:v>44124.224393105345</x:v>
      </x:c>
      <x:c r="U36" s="60" t="n">
        <x:f>IF(T36="","",I36*T36)</x:f>
        <x:v>53.49661559706534</x:v>
      </x:c>
    </x:row>
    <x:row r="37" ht="18" customHeight="1">
      <x:c r="A37" s="46" t="str">
        <x:v>HS_051</x:v>
      </x:c>
      <x:c r="B37" s="46" t="str">
        <x:v>Indian Ocean, Western</x:v>
      </x:c>
      <x:c r="C37" s="46" t="str">
        <x:v>High Seas</x:v>
      </x:c>
      <x:c r="D37" s="58" t="n">
        <x:v>2019</x:v>
      </x:c>
      <x:c r="E37" s="46" t="str">
        <x:v>Coryphaena</x:v>
      </x:c>
      <x:c r="F37" s="46" t="str">
        <x:v>Dolphinfishes</x:v>
      </x:c>
      <x:c r="G37" s="46" t="str">
        <x:v>Large pelagics (&gt;=90 cm)</x:v>
      </x:c>
      <x:c r="H37" s="46" t="str">
        <x:v>Perch-likes</x:v>
      </x:c>
      <x:c r="I37" s="60" t="n">
        <x:v>0.0000209171</x:v>
      </x:c>
      <x:c r="J37" s="60" t="n">
        <x:v>0.0000209171</x:v>
      </x:c>
      <x:c r="K37" s="60" t="n">
        <x:v>0</x:v>
      </x:c>
      <x:c r="L37" s="60" t="n">
        <x:v>0.0000209171</x:v>
      </x:c>
      <x:c r="M37" s="60" t="n">
        <x:v>0</x:v>
      </x:c>
      <x:c r="N37" s="46" t="str">
        <x:v>coryphaena</x:v>
      </x:c>
      <x:c r="O37" s="62" t="n">
        <x:v>4.49</x:v>
      </x:c>
      <x:c r="P37" s="46" t="str">
        <x:v>exact_sea_around_us</x:v>
      </x:c>
      <x:c r="Q37" s="62" t="str">
        <x:v>Sea Around Us exploited organisms</x:v>
      </x:c>
      <x:c r="R37" s="46" t="str">
        <x:v>high</x:v>
      </x:c>
      <x:c r="S37" s="46" t="str">
        <x:v>Coryphaena</x:v>
      </x:c>
      <x:c r="T37" s="62" t="n">
        <x:f>IF(O37="","",(1/'Metadata'!$B$5)^(O37-1))</x:f>
        <x:v>34721.19667768202</x:v>
      </x:c>
      <x:c r="U37" s="60" t="n">
        <x:f>IF(T37="","",I37*T37)</x:f>
        <x:v>0.7262667430267425</x:v>
      </x:c>
    </x:row>
  </x:sheetData>
  <x:conditionalFormatting sqref="R2:R37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3534a3ac645b4ee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Other fishes &amp; inverts</x:v>
      </x:c>
      <x:c r="B2" s="64" t="n">
        <x:v>2</x:v>
      </x:c>
      <x:c r="C2" s="64" t="n">
        <x:v>2</x:v>
      </x:c>
      <x:c r="D2" s="60" t="n">
        <x:v>38349.497354102205</x:v>
      </x:c>
      <x:c r="E2" s="60" t="n">
        <x:v>38349.497354102205</x:v>
      </x:c>
      <x:c r="F2" s="62" t="n">
        <x:v>0</x:v>
      </x:c>
      <x:c r="G2" s="66" t="n">
        <x:v>1</x:v>
      </x:c>
      <x:c r="H2" s="62" t="n">
        <x:f>IF(E2=0,"",I2/E2)</x:f>
        <x:v>1060.3594750713346</x:v>
      </x:c>
      <x:c r="I2" s="60" t="n">
        <x:f>SUMIF('Species'!$H$2:$H$37,A2,'Species'!$U$2:$U$37)</x:f>
        <x:v>40664252.88364535</x:v>
      </x:c>
      <x:c r="J2" s="62" t="n">
        <x:v>3.3237412212149255</x:v>
      </x:c>
      <x:c r="K2" s="62" t="n">
        <x:f>IF(J2="","",(1/'Metadata'!$B$5)^(J2-1))</x:f>
        <x:v>1055.0111048525068</x:v>
      </x:c>
      <x:c r="L2" s="60" t="n">
        <x:f>IF(E2=0,"",E2*K2)</x:f>
        <x:v>40459145.574089654</x:v>
      </x:c>
      <x:c r="M2" s="60" t="n">
        <x:f>I2-L2</x:f>
        <x:v>205107.30955569446</x:v>
      </x:c>
      <x:c r="N2" s="62" t="n">
        <x:f>IF(L2=0,"",I2/L2)</x:f>
        <x:v>1.0050694918700174</x:v>
      </x:c>
      <x:c r="O2" s="66" t="n">
        <x:f>IF(L2=0,"",M2/L2)</x:f>
        <x:v>0.005069491870017313</x:v>
      </x:c>
    </x:row>
    <x:row r="3" ht="18" customHeight="1">
      <x:c r="A3" s="46" t="str">
        <x:v>Perch-likes</x:v>
      </x:c>
      <x:c r="B3" s="64" t="n">
        <x:v>7</x:v>
      </x:c>
      <x:c r="C3" s="64" t="n">
        <x:v>7</x:v>
      </x:c>
      <x:c r="D3" s="60" t="n">
        <x:v>251.71120243299998</x:v>
      </x:c>
      <x:c r="E3" s="60" t="n">
        <x:v>251.71120243299998</x:v>
      </x:c>
      <x:c r="F3" s="62" t="n">
        <x:v>0</x:v>
      </x:c>
      <x:c r="G3" s="66" t="n">
        <x:v>1</x:v>
      </x:c>
      <x:c r="H3" s="62" t="n">
        <x:f>IF(E3=0,"",I3/E3)</x:f>
        <x:v>30620.73468242531</x:v>
      </x:c>
      <x:c r="I3" s="60" t="n">
        <x:f>SUMIF('Species'!$H$2:$H$37,A3,'Species'!$U$2:$U$37)</x:f>
        <x:v>7707581.946295141</x:v>
      </x:c>
      <x:c r="J3" s="62" t="n">
        <x:v>4.404563606325193</x:v>
      </x:c>
      <x:c r="K3" s="62" t="n">
        <x:f>IF(J3="","",(1/'Metadata'!$B$5)^(J3-1))</x:f>
        <x:v>26880.625725262827</x:v>
      </x:c>
      <x:c r="L3" s="60" t="n">
        <x:f>IF(E3=0,"",E3*K3)</x:f>
        <x:v>6766154.623457339</x:v>
      </x:c>
      <x:c r="M3" s="60" t="n">
        <x:f>I3-L3</x:f>
        <x:v>941427.3228378026</x:v>
      </x:c>
      <x:c r="N3" s="62" t="n">
        <x:f>IF(L3=0,"",I3/L3)</x:f>
        <x:v>1.1391377193146017</x:v>
      </x:c>
      <x:c r="O3" s="66" t="n">
        <x:f>IF(L3=0,"",M3/L3)</x:f>
        <x:v>0.13913771931460184</x:v>
      </x:c>
    </x:row>
    <x:row r="4" ht="18" customHeight="1">
      <x:c r="A4" s="46" t="str">
        <x:v>Sharks &amp; rays</x:v>
      </x:c>
      <x:c r="B4" s="64" t="n">
        <x:v>10</x:v>
      </x:c>
      <x:c r="C4" s="64" t="n">
        <x:v>10</x:v>
      </x:c>
      <x:c r="D4" s="60" t="n">
        <x:v>2875.7957787779</x:v>
      </x:c>
      <x:c r="E4" s="60" t="n">
        <x:v>2875.7957787779</x:v>
      </x:c>
      <x:c r="F4" s="62" t="n">
        <x:v>0</x:v>
      </x:c>
      <x:c r="G4" s="66" t="n">
        <x:v>1</x:v>
      </x:c>
      <x:c r="H4" s="62" t="n">
        <x:f>IF(E4=0,"",I4/E4)</x:f>
        <x:v>23519.52647562668</x:v>
      </x:c>
      <x:c r="I4" s="60" t="n">
        <x:f>SUMIF('Species'!$H$2:$H$37,A4,'Species'!$U$2:$U$37)</x:f>
        <x:v>67637354.95746227</x:v>
      </x:c>
      <x:c r="J4" s="62" t="n">
        <x:v>4.356012171875731</x:v>
      </x:c>
      <x:c r="K4" s="62" t="n">
        <x:f>IF(J4="","",(1/'Metadata'!$B$5)^(J4-1))</x:f>
        <x:v>23241.946728126466</x:v>
      </x:c>
      <x:c r="L4" s="60" t="n">
        <x:f>IF(E4=0,"",E4*K4)</x:f>
        <x:v>66839092.29132692</x:v>
      </x:c>
      <x:c r="M4" s="60" t="n">
        <x:f>I4-L4</x:f>
        <x:v>798262.6661353484</x:v>
      </x:c>
      <x:c r="N4" s="62" t="n">
        <x:f>IF(L4=0,"",I4/L4)</x:f>
        <x:v>1.011943050672442</x:v>
      </x:c>
      <x:c r="O4" s="66" t="n">
        <x:f>IF(L4=0,"",M4/L4)</x:f>
        <x:v>0.011943050672442054</x:v>
      </x:c>
    </x:row>
    <x:row r="5" ht="18" customHeight="1">
      <x:c r="A5" s="46" t="str">
        <x:v>Tuna &amp; billfishes</x:v>
      </x:c>
      <x:c r="B5" s="64" t="n">
        <x:v>17</x:v>
      </x:c>
      <x:c r="C5" s="64" t="n">
        <x:v>17</x:v>
      </x:c>
      <x:c r="D5" s="60" t="n">
        <x:v>336377.00399323105</x:v>
      </x:c>
      <x:c r="E5" s="60" t="n">
        <x:v>336377.00399323105</x:v>
      </x:c>
      <x:c r="F5" s="62" t="n">
        <x:v>0</x:v>
      </x:c>
      <x:c r="G5" s="66" t="n">
        <x:v>1</x:v>
      </x:c>
      <x:c r="H5" s="62" t="n">
        <x:f>IF(E5=0,"",I5/E5)</x:f>
        <x:v>28544.05469207337</x:v>
      </x:c>
      <x:c r="I5" s="60" t="n">
        <x:f>SUMIF('Species'!$H$2:$H$37,A5,'Species'!$U$2:$U$37)</x:f>
        <x:v>9601563599.138569</x:v>
      </x:c>
      <x:c r="J5" s="62" t="n">
        <x:v>4.4190764558988285</x:v>
      </x:c>
      <x:c r="K5" s="62" t="n">
        <x:f>IF(J5="","",(1/'Metadata'!$B$5)^(J5-1))</x:f>
        <x:v>28075.081560185434</x:v>
      </x:c>
      <x:c r="L5" s="60" t="n">
        <x:f>IF(E5=0,"",E5*K5)</x:f>
        <x:v>9443811822.080784</x:v>
      </x:c>
      <x:c r="M5" s="60" t="n">
        <x:f>I5-L5</x:f>
        <x:v>157751777.05778503</x:v>
      </x:c>
      <x:c r="N5" s="62" t="n">
        <x:f>IF(L5=0,"",I5/L5)</x:f>
        <x:v>1.016704248245284</x:v>
      </x:c>
      <x:c r="O5" s="66" t="n">
        <x:f>IF(L5=0,"",M5/L5)</x:f>
        <x:v>0.01670424824528398</x:v>
      </x:c>
    </x:row>
  </x:sheetData>
  <x:conditionalFormatting sqref="G2:G5">
    <x:cfRule type="cellIs" dxfId="1" priority="1" operator="lessThan">
      <x:formula>0.9</x:formula>
    </x:cfRule>
  </x:conditionalFormatting>
  <x:conditionalFormatting sqref="O2:O5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e4ed40c91cdc4c6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Large benthopelagics (&gt;=90 cm)</x:v>
      </x:c>
      <x:c r="B2" s="64" t="n">
        <x:v>1</x:v>
      </x:c>
      <x:c r="C2" s="64" t="n">
        <x:v>1</x:v>
      </x:c>
      <x:c r="D2" s="60" t="n">
        <x:v>0.0267831636</x:v>
      </x:c>
      <x:c r="E2" s="60" t="n">
        <x:v>0.0267831636</x:v>
      </x:c>
      <x:c r="F2" s="62" t="n">
        <x:v>0</x:v>
      </x:c>
      <x:c r="G2" s="66" t="n">
        <x:v>1</x:v>
      </x:c>
      <x:c r="H2" s="62" t="n">
        <x:f>IF(E2=0,"",I2/E2)</x:f>
        <x:v>13717.513182092556</x:v>
      </x:c>
      <x:c r="I2" s="60" t="n">
        <x:f>SUMIF('Species'!$G$2:$G$37,A2,'Species'!$U$2:$U$37)</x:f>
        <x:v>367.39839974114153</x:v>
      </x:c>
      <x:c r="J2" s="62" t="n">
        <x:v>4.18</x:v>
      </x:c>
      <x:c r="K2" s="62" t="n">
        <x:f>IF(J2="","",(1/'Metadata'!$B$5)^(J2-1))</x:f>
        <x:v>13717.513182092556</x:v>
      </x:c>
      <x:c r="L2" s="60" t="n">
        <x:f>IF(E2=0,"",E2*K2)</x:f>
        <x:v>367.39839974114153</x:v>
      </x:c>
      <x:c r="M2" s="60" t="n">
        <x:f>I2-L2</x:f>
        <x:v>0</x:v>
      </x:c>
      <x:c r="N2" s="62" t="n">
        <x:f>IF(L2=0,"",I2/L2)</x:f>
        <x:v>1</x:v>
      </x:c>
      <x:c r="O2" s="66" t="n">
        <x:f>IF(L2=0,"",M2/L2)</x:f>
        <x:v>0</x:v>
      </x:c>
    </x:row>
    <x:row r="3" ht="18" customHeight="1">
      <x:c r="A3" s="46" t="str">
        <x:v>Large pelagics (&gt;=90 cm)</x:v>
      </x:c>
      <x:c r="B3" s="64" t="n">
        <x:v>19</x:v>
      </x:c>
      <x:c r="C3" s="64" t="n">
        <x:v>19</x:v>
      </x:c>
      <x:c r="D3" s="60" t="n">
        <x:v>327895.1162137338</x:v>
      </x:c>
      <x:c r="E3" s="60" t="n">
        <x:v>327895.1162137338</x:v>
      </x:c>
      <x:c r="F3" s="62" t="n">
        <x:v>0</x:v>
      </x:c>
      <x:c r="G3" s="66" t="n">
        <x:v>1</x:v>
      </x:c>
      <x:c r="H3" s="62" t="n">
        <x:f>IF(E3=0,"",I3/E3)</x:f>
        <x:v>28863.526237742648</x:v>
      </x:c>
      <x:c r="I3" s="60" t="n">
        <x:f>SUMIF('Species'!$G$2:$G$37,A3,'Species'!$U$2:$U$37)</x:f>
        <x:v>9464209290.06278</x:v>
      </x:c>
      <x:c r="J3" s="62" t="n">
        <x:v>4.424306053536078</x:v>
      </x:c>
      <x:c r="K3" s="62" t="n">
        <x:f>IF(J3="","",(1/'Metadata'!$B$5)^(J3-1))</x:f>
        <x:v>28518.382521978725</x:v>
      </x:c>
      <x:c r="L3" s="60" t="n">
        <x:f>IF(E3=0,"",E3*K3)</x:f>
        <x:v>9351038351.271929</x:v>
      </x:c>
      <x:c r="M3" s="60" t="n">
        <x:f>I3-L3</x:f>
        <x:v>113170938.7908516</x:v>
      </x:c>
      <x:c r="N3" s="62" t="n">
        <x:f>IF(L3=0,"",I3/L3)</x:f>
        <x:v>1.0121024996946417</x:v>
      </x:c>
      <x:c r="O3" s="66" t="n">
        <x:f>IF(L3=0,"",M3/L3)</x:f>
        <x:v>0.012102499694641727</x:v>
      </x:c>
    </x:row>
    <x:row r="4" ht="18" customHeight="1">
      <x:c r="A4" s="46" t="str">
        <x:v>Large rays (&gt;=90 cm)</x:v>
      </x:c>
      <x:c r="B4" s="64" t="n">
        <x:v>1</x:v>
      </x:c>
      <x:c r="C4" s="64" t="n">
        <x:v>1</x:v>
      </x:c>
      <x:c r="D4" s="60" t="n">
        <x:v>2.4930363256</x:v>
      </x:c>
      <x:c r="E4" s="60" t="n">
        <x:v>2.4930363256</x:v>
      </x:c>
      <x:c r="F4" s="62" t="n">
        <x:v>0</x:v>
      </x:c>
      <x:c r="G4" s="66" t="n">
        <x:v>1</x:v>
      </x:c>
      <x:c r="H4" s="62" t="n">
        <x:f>IF(E4=0,"",I4/E4)</x:f>
        <x:v>2487.0716021897506</x:v>
      </x:c>
      <x:c r="I4" s="60" t="n">
        <x:f>SUMIF('Species'!$G$2:$G$37,A4,'Species'!$U$2:$U$37)</x:f>
        <x:v>6200.35984862724</x:v>
      </x:c>
      <x:c r="J4" s="62" t="n">
        <x:v>3.61</x:v>
      </x:c>
      <x:c r="K4" s="62" t="n">
        <x:f>IF(J4="","",(1/'Metadata'!$B$5)^(J4-1))</x:f>
        <x:v>2487.0716021897506</x:v>
      </x:c>
      <x:c r="L4" s="60" t="n">
        <x:f>IF(E4=0,"",E4*K4)</x:f>
        <x:v>6200.35984862724</x:v>
      </x:c>
      <x:c r="M4" s="60" t="n">
        <x:f>I4-L4</x:f>
        <x:v>0</x:v>
      </x:c>
      <x:c r="N4" s="62" t="n">
        <x:f>IF(L4=0,"",I4/L4)</x:f>
        <x:v>1</x:v>
      </x:c>
      <x:c r="O4" s="66" t="n">
        <x:f>IF(L4=0,"",M4/L4)</x:f>
        <x:v>0</x:v>
      </x:c>
    </x:row>
    <x:row r="5" ht="18" customHeight="1">
      <x:c r="A5" s="46" t="str">
        <x:v>Large sharks (&gt;=90 cm)</x:v>
      </x:c>
      <x:c r="B5" s="64" t="n">
        <x:v>9</x:v>
      </x:c>
      <x:c r="C5" s="64" t="n">
        <x:v>9</x:v>
      </x:c>
      <x:c r="D5" s="60" t="n">
        <x:v>2873.3027424523</x:v>
      </x:c>
      <x:c r="E5" s="60" t="n">
        <x:v>2873.3027424523</x:v>
      </x:c>
      <x:c r="F5" s="62" t="n">
        <x:v>0</x:v>
      </x:c>
      <x:c r="G5" s="66" t="n">
        <x:v>1</x:v>
      </x:c>
      <x:c r="H5" s="62" t="n">
        <x:f>IF(E5=0,"",I5/E5)</x:f>
        <x:v>23537.775396369107</x:v>
      </x:c>
      <x:c r="I5" s="60" t="n">
        <x:f>SUMIF('Species'!$G$2:$G$37,A5,'Species'!$U$2:$U$37)</x:f>
        <x:v>67631154.59761363</x:v>
      </x:c>
      <x:c r="J5" s="62" t="n">
        <x:v>4.35665945328341</x:v>
      </x:c>
      <x:c r="K5" s="62" t="n">
        <x:f>IF(J5="","",(1/'Metadata'!$B$5)^(J5-1))</x:f>
        <x:v>23287.058487655417</x:v>
      </x:c>
      <x:c r="L5" s="60" t="n">
        <x:f>IF(E5=0,"",E5*K5)</x:f>
        <x:v>66910769.016227424</x:v>
      </x:c>
      <x:c r="M5" s="60" t="n">
        <x:f>I5-L5</x:f>
        <x:v>720385.5813862085</x:v>
      </x:c>
      <x:c r="N5" s="62" t="n">
        <x:f>IF(L5=0,"",I5/L5)</x:f>
        <x:v>1.0107663623057672</x:v>
      </x:c>
      <x:c r="O5" s="66" t="n">
        <x:f>IF(L5=0,"",M5/L5)</x:f>
        <x:v>0.010766362305767226</x:v>
      </x:c>
    </x:row>
    <x:row r="6" ht="18" customHeight="1">
      <x:c r="A6" s="46" t="str">
        <x:v>Medium demersals (30 - 89 cm)</x:v>
      </x:c>
      <x:c r="B6" s="64" t="n">
        <x:v>1</x:v>
      </x:c>
      <x:c r="C6" s="64" t="n">
        <x:v>1</x:v>
      </x:c>
      <x:c r="D6" s="60" t="n">
        <x:v>14385.8709648595</x:v>
      </x:c>
      <x:c r="E6" s="60" t="n">
        <x:v>14385.8709648595</x:v>
      </x:c>
      <x:c r="F6" s="62" t="n">
        <x:v>0</x:v>
      </x:c>
      <x:c r="G6" s="66" t="n">
        <x:v>1</x:v>
      </x:c>
      <x:c r="H6" s="62" t="n">
        <x:f>IF(E6=0,"",I6/E6)</x:f>
        <x:v>925.4402624666747</x:v>
      </x:c>
      <x:c r="I6" s="60" t="n">
        <x:f>SUMIF('Species'!$G$2:$G$37,A6,'Species'!$U$2:$U$37)</x:f>
        <x:v>13313264.20153129</x:v>
      </x:c>
      <x:c r="J6" s="62" t="n">
        <x:v>3.28</x:v>
      </x:c>
      <x:c r="K6" s="62" t="n">
        <x:f>IF(J6="","",(1/'Metadata'!$B$5)^(J6-1))</x:f>
        <x:v>925.4402624666747</x:v>
      </x:c>
      <x:c r="L6" s="60" t="n">
        <x:f>IF(E6=0,"",E6*K6)</x:f>
        <x:v>13313264.20153129</x:v>
      </x:c>
      <x:c r="M6" s="60" t="n">
        <x:f>I6-L6</x:f>
        <x:v>0</x:v>
      </x:c>
      <x:c r="N6" s="62" t="n">
        <x:f>IF(L6=0,"",I6/L6)</x:f>
        <x:v>1</x:v>
      </x:c>
      <x:c r="O6" s="66" t="n">
        <x:f>IF(L6=0,"",M6/L6)</x:f>
        <x:v>0</x:v>
      </x:c>
    </x:row>
    <x:row r="7" ht="18" customHeight="1">
      <x:c r="A7" s="46" t="str">
        <x:v>Medium pelagics (30 - 89 cm)</x:v>
      </x:c>
      <x:c r="B7" s="64" t="n">
        <x:v>5</x:v>
      </x:c>
      <x:c r="C7" s="64" t="n">
        <x:v>5</x:v>
      </x:c>
      <x:c r="D7" s="60" t="n">
        <x:v>32697.198588009298</x:v>
      </x:c>
      <x:c r="E7" s="60" t="n">
        <x:v>32697.198588009298</x:v>
      </x:c>
      <x:c r="F7" s="62" t="n">
        <x:v>0</x:v>
      </x:c>
      <x:c r="G7" s="66" t="n">
        <x:v>1</x:v>
      </x:c>
      <x:c r="H7" s="62" t="n">
        <x:f>IF(E7=0,"",I7/E7)</x:f>
        <x:v>5273.005632018425</x:v>
      </x:c>
      <x:c r="I7" s="60" t="n">
        <x:f>SUMIF('Species'!$G$2:$G$37,A7,'Species'!$U$2:$U$37)</x:f>
        <x:v>172412512.3057979</x:v>
      </x:c>
      <x:c r="J7" s="62" t="n">
        <x:v>3.5830000909551445</x:v>
      </x:c>
      <x:c r="K7" s="62" t="n">
        <x:f>IF(J7="","",(1/'Metadata'!$B$5)^(J7-1))</x:f>
        <x:v>2293.826665893785</x:v>
      </x:c>
      <x:c r="L7" s="60" t="n">
        <x:f>IF(E7=0,"",E7*K7)</x:f>
        <x:v>75001706.02120034</x:v>
      </x:c>
      <x:c r="M7" s="60" t="n">
        <x:f>I7-L7</x:f>
        <x:v>97410806.28459756</x:v>
      </x:c>
      <x:c r="N7" s="62" t="n">
        <x:f>IF(L7=0,"",I7/L7)</x:f>
        <x:v>2.2987812071509808</x:v>
      </x:c>
      <x:c r="O7" s="66" t="n">
        <x:f>IF(L7=0,"",M7/L7)</x:f>
        <x:v>1.2987812071509808</x:v>
      </x:c>
    </x:row>
  </x:sheetData>
  <x:conditionalFormatting sqref="G2:G7">
    <x:cfRule type="cellIs" dxfId="2" priority="1" operator="lessThan">
      <x:formula>0.9</x:formula>
    </x:cfRule>
  </x:conditionalFormatting>
  <x:conditionalFormatting sqref="O2:O7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9e69c0d8a73a4d5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HS_051</x:v>
      </x:c>
      <x:c r="B2" s="46" t="str">
        <x:v>raw_filtered_tonnes</x:v>
      </x:c>
      <x:c r="C2" s="46" t="n">
        <x:v>377854.0083285441</x:v>
      </x:c>
      <x:c r="D2" s="46" t="str">
        <x:v>tonnes</x:v>
      </x:c>
    </x:row>
    <x:row r="3" ht="18" customHeight="1">
      <x:c r="A3" s="46" t="str">
        <x:v>HS_051</x:v>
      </x:c>
      <x:c r="B3" s="46" t="str">
        <x:v>species_catch_tonnes</x:v>
      </x:c>
      <x:c r="C3" s="46" t="n">
        <x:v>377854.0083285441</x:v>
      </x:c>
      <x:c r="D3" s="46" t="str">
        <x:v>tonnes</x:v>
      </x:c>
    </x:row>
    <x:row r="4" ht="18" customHeight="1">
      <x:c r="A4" s="46" t="str">
        <x:v>HS_051</x:v>
      </x:c>
      <x:c r="B4" s="46" t="str">
        <x:v>catch_difference_tonnes</x:v>
      </x:c>
      <x:c r="C4" s="46" t="n">
        <x:v>0</x:v>
      </x:c>
      <x:c r="D4" s="46" t="str">
        <x:v>tonnes</x:v>
      </x:c>
    </x:row>
    <x:row r="5" ht="18" customHeight="1">
      <x:c r="A5" s="46" t="str">
        <x:v>HS_051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HS_051</x:v>
      </x:c>
      <x:c r="B6" s="46" t="str">
        <x:v>matched_catch_tonnes</x:v>
      </x:c>
      <x:c r="C6" s="46" t="n">
        <x:v>377854.0083285441</x:v>
      </x:c>
      <x:c r="D6" s="46" t="str">
        <x:v>tonnes</x:v>
      </x:c>
    </x:row>
    <x:row r="7" ht="18" customHeight="1">
      <x:c r="A7" s="46" t="str">
        <x:v>HS_051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HS_051</x:v>
      </x:c>
      <x:c r="B8" s="46" t="str">
        <x:v>taxa_count</x:v>
      </x:c>
      <x:c r="C8" s="46" t="n">
        <x:v>36</x:v>
      </x:c>
      <x:c r="D8" s="46" t="str">
        <x:v>count</x:v>
      </x:c>
    </x:row>
    <x:row r="9" ht="18" customHeight="1">
      <x:c r="A9" s="46" t="str">
        <x:v>HS_051</x:v>
      </x:c>
      <x:c r="B9" s="46" t="str">
        <x:v>matched_taxa_count</x:v>
      </x:c>
      <x:c r="C9" s="46" t="n">
        <x:v>36</x:v>
      </x:c>
      <x:c r="D9" s="46" t="str">
        <x:v>count</x:v>
      </x:c>
    </x:row>
    <x:row r="10" ht="18" customHeight="1">
      <x:c r="A10" s="46" t="str">
        <x:v>HS_051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HS_051</x:v>
      </x:c>
      <x:c r="B11" s="46" t="str">
        <x:v>species_ppr</x:v>
      </x:c>
      <x:c r="C11" s="46" t="n">
        <x:v>9717572788.92597</x:v>
      </x:c>
      <x:c r="D11" s="46" t="str">
        <x:v>tonnes_primary_production_equivalent</x:v>
      </x:c>
    </x:row>
    <x:row r="12" ht="18" customHeight="1">
      <x:c r="A12" s="46" t="str">
        <x:v>HS_051</x:v>
      </x:c>
      <x:c r="B12" s="46" t="str">
        <x:v>commercial_ppr</x:v>
      </x:c>
      <x:c r="C12" s="46" t="n">
        <x:v>9717572788.925966</x:v>
      </x:c>
      <x:c r="D12" s="46" t="str">
        <x:v>tonnes_primary_production_equivalent</x:v>
      </x:c>
    </x:row>
    <x:row r="13" ht="18" customHeight="1">
      <x:c r="A13" s="46" t="str">
        <x:v>HS_051</x:v>
      </x:c>
      <x:c r="B13" s="46" t="str">
        <x:v>functional_ppr</x:v>
      </x:c>
      <x:c r="C13" s="46" t="n">
        <x:v>9717572788.925964</x:v>
      </x:c>
      <x:c r="D13" s="46" t="str">
        <x:v>tonnes_primary_production_equivalent</x:v>
      </x:c>
    </x:row>
    <x:row r="14" ht="18" customHeight="1">
      <x:c r="A14" s="46" t="str">
        <x:v>HS_051</x:v>
      </x:c>
      <x:c r="B14" s="46" t="str">
        <x:v>commercial_ppr_difference</x:v>
      </x:c>
      <x:c r="C14" s="46" t="n">
        <x:v>-0.000003814697265625</x:v>
      </x:c>
      <x:c r="D14" s="46" t="str">
        <x:v>tonnes_primary_production_equivalent</x:v>
      </x:c>
    </x:row>
    <x:row r="15" ht="18" customHeight="1">
      <x:c r="A15" s="46" t="str">
        <x:v>HS_051</x:v>
      </x:c>
      <x:c r="B15" s="46" t="str">
        <x:v>functional_ppr_difference</x:v>
      </x:c>
      <x:c r="C15" s="46" t="n">
        <x:v>-0.0000057220458984375</x:v>
      </x:c>
      <x:c r="D15" s="46" t="str">
        <x:v>tonnes_primary_production_equivalent</x:v>
      </x:c>
    </x:row>
    <x:row r="16" ht="18" customHeight="1">
      <x:c r="A16" s="46" t="str">
        <x:v>HS_051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HS_051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HS_051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HS_051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a09699242b31406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HS_051 - Indian Ocean, Western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HS_051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0.05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High Seas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raw_data/SAU_downloads/HS_051-catch.zip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