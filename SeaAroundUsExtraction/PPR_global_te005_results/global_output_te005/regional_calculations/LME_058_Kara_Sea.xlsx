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304ca53d8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4ab02bb50994019"/>
    <x:sheet xmlns:r="http://schemas.openxmlformats.org/officeDocument/2006/relationships" name="Commercial" sheetId="2" r:id="R14b3a7ee360d4be7"/>
    <x:sheet xmlns:r="http://schemas.openxmlformats.org/officeDocument/2006/relationships" name="Functional" sheetId="3" r:id="R84f91a998200457c"/>
    <x:sheet xmlns:r="http://schemas.openxmlformats.org/officeDocument/2006/relationships" name="Missing TL" sheetId="4" r:id="R3c77745ec94b4d71"/>
    <x:sheet xmlns:r="http://schemas.openxmlformats.org/officeDocument/2006/relationships" name="Validation" sheetId="5" r:id="R0b5f327b60ef4568"/>
    <x:sheet xmlns:r="http://schemas.openxmlformats.org/officeDocument/2006/relationships" name="Metadata" sheetId="6" r:id="Rd83ceba86233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b3a293ca54563" /><Relationship Type="http://schemas.openxmlformats.org/officeDocument/2006/relationships/theme" Target="/xl/theme/theme1.xml" Id="R46f863e94c004ad8" /><Relationship Type="http://schemas.openxmlformats.org/officeDocument/2006/relationships/sharedStrings" Target="/xl/sharedStrings.xml" Id="Rb1e2aaf8dba34746" /><Relationship Type="http://schemas.openxmlformats.org/officeDocument/2006/relationships/worksheet" Target="/xl/worksheets/sheet1.xml" Id="R84ab02bb50994019" /><Relationship Type="http://schemas.openxmlformats.org/officeDocument/2006/relationships/worksheet" Target="/xl/worksheets/sheet2.xml" Id="R14b3a7ee360d4be7" /><Relationship Type="http://schemas.openxmlformats.org/officeDocument/2006/relationships/worksheet" Target="/xl/worksheets/sheet3.xml" Id="R84f91a998200457c" /><Relationship Type="http://schemas.openxmlformats.org/officeDocument/2006/relationships/worksheet" Target="/xl/worksheets/sheet4.xml" Id="R3c77745ec94b4d71" /><Relationship Type="http://schemas.openxmlformats.org/officeDocument/2006/relationships/worksheet" Target="/xl/worksheets/sheet5.xml" Id="R0b5f327b60ef4568" /><Relationship Type="http://schemas.openxmlformats.org/officeDocument/2006/relationships/worksheet" Target="/xl/worksheets/sheet6.xml" Id="Rd83ceba8623348c5" /></Relationships>
</file>

<file path=xl/tables/table1.xml><?xml version="1.0" encoding="utf-8"?>
<x:table xmlns:x="http://schemas.openxmlformats.org/spreadsheetml/2006/main" id="1" name="LME058SpeciesTable" displayName="LME058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8CommercialTable" displayName="LME058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8FunctionalTable" displayName="LME058FunctionalTable" ref="A1:O4" headerRowCount="1" totalsRowCount="0" totalsRowShown="0">
  <x:autoFilter ref="A1:O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8ValidationTable" displayName="LME05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898432d0b144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a15c87a43f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cdab2a17954e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9eb7b01bed43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LME_058</x:v>
      </x:c>
      <x:c r="B2" s="46" t="str">
        <x:v>Kara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291.6251263832</x:v>
      </x:c>
      <x:c r="J2" s="60" t="n">
        <x:v>291.6251263832</x:v>
      </x:c>
      <x:c r="K2" s="60" t="n">
        <x:v>0</x:v>
      </x:c>
      <x:c r="L2" s="60" t="n">
        <x:v>0</x:v>
      </x:c>
      <x:c r="M2" s="60" t="n">
        <x:v>291.6251263832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269881.63350194576</x:v>
      </x:c>
    </x:row>
    <x:row r="3" ht="18" customHeight="1">
      <x:c r="A3" s="46" t="str">
        <x:v>LME_058</x:v>
      </x:c>
      <x:c r="B3" s="46" t="str">
        <x:v>Kara Sea</x:v>
      </x:c>
      <x:c r="C3" s="46" t="str">
        <x:v>LME</x:v>
      </x:c>
      <x:c r="D3" s="58" t="n">
        <x:v>2019</x:v>
      </x:c>
      <x:c r="E3" s="46" t="str">
        <x:v>Coregonus muksun</x:v>
      </x:c>
      <x:c r="F3" s="46" t="str">
        <x:v>Muksun</x:v>
      </x:c>
      <x:c r="G3" s="46" t="str">
        <x:v>Large benthopelagics (&gt;=90 cm)</x:v>
      </x:c>
      <x:c r="H3" s="46" t="str">
        <x:v>Salmon, smelts, etc</x:v>
      </x:c>
      <x:c r="I3" s="60" t="n">
        <x:v>189.9309432293</x:v>
      </x:c>
      <x:c r="J3" s="60" t="n">
        <x:v>189.9309432293</x:v>
      </x:c>
      <x:c r="K3" s="60" t="n">
        <x:v>0</x:v>
      </x:c>
      <x:c r="L3" s="60" t="n">
        <x:v>0</x:v>
      </x:c>
      <x:c r="M3" s="60" t="n">
        <x:v>189.9309432293</x:v>
      </x:c>
      <x:c r="N3" s="46" t="str">
        <x:v>coregonus muksun</x:v>
      </x:c>
      <x:c r="O3" s="62" t="n">
        <x:v>3.27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Coregonus muksun</x:v>
      </x:c>
      <x:c r="T3" s="62" t="n">
        <x:f>IF(O3="","",(1/'Metadata'!$B$5)^(O3-1))</x:f>
        <x:v>898.1276980921442</x:v>
      </x:c>
      <x:c r="U3" s="60" t="n">
        <x:f>IF(T3="","",I3*T3)</x:f>
        <x:v>170582.24083900094</x:v>
      </x:c>
    </x:row>
    <x:row r="4" ht="18" customHeight="1">
      <x:c r="A4" s="46" t="str">
        <x:v>LME_058</x:v>
      </x:c>
      <x:c r="B4" s="46" t="str">
        <x:v>Kara Sea</x:v>
      </x:c>
      <x:c r="C4" s="46" t="str">
        <x:v>LME</x:v>
      </x:c>
      <x:c r="D4" s="58" t="n">
        <x:v>2019</x:v>
      </x:c>
      <x:c r="E4" s="46" t="str">
        <x:v>Coregonus sardinella</x:v>
      </x:c>
      <x:c r="F4" s="46" t="str">
        <x:v>Sardine cisco</x:v>
      </x:c>
      <x:c r="G4" s="46" t="str">
        <x:v>Medium pelagics (30 - 89 cm)</x:v>
      </x:c>
      <x:c r="H4" s="46" t="str">
        <x:v>Salmon, smelts, etc</x:v>
      </x:c>
      <x:c r="I4" s="60" t="n">
        <x:v>114.1507163341</x:v>
      </x:c>
      <x:c r="J4" s="60" t="n">
        <x:v>114.1507163341</x:v>
      </x:c>
      <x:c r="K4" s="60" t="n">
        <x:v>0</x:v>
      </x:c>
      <x:c r="L4" s="60" t="n">
        <x:v>0</x:v>
      </x:c>
      <x:c r="M4" s="60" t="n">
        <x:v>114.1507163341</x:v>
      </x:c>
      <x:c r="N4" s="46" t="str">
        <x:v>coregonus sardinella</x:v>
      </x:c>
      <x:c r="O4" s="62" t="n">
        <x:v>3.21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Coregonus sardinella</x:v>
      </x:c>
      <x:c r="T4" s="62" t="n">
        <x:f>IF(O4="","",(1/'Metadata'!$B$5)^(O4-1))</x:f>
        <x:v>750.3714304613432</x:v>
      </x:c>
      <x:c r="U4" s="60" t="n">
        <x:f>IF(T4="","",I4*T4)</x:f>
        <x:v>85655.43630380562</x:v>
      </x:c>
    </x:row>
    <x:row r="5" ht="18" customHeight="1">
      <x:c r="A5" s="46" t="str">
        <x:v>LME_058</x:v>
      </x:c>
      <x:c r="B5" s="46" t="str">
        <x:v>Kara Sea</x:v>
      </x:c>
      <x:c r="C5" s="46" t="str">
        <x:v>LME</x:v>
      </x:c>
      <x:c r="D5" s="58" t="n">
        <x:v>2019</x:v>
      </x:c>
      <x:c r="E5" s="46" t="str">
        <x:v>Coregonus</x:v>
      </x:c>
      <x:c r="F5" s="46" t="str">
        <x:v>Whitefishes</x:v>
      </x:c>
      <x:c r="G5" s="46" t="str">
        <x:v>Medium pelagics (30 - 89 cm)</x:v>
      </x:c>
      <x:c r="H5" s="46" t="str">
        <x:v>Salmon, smelts, etc</x:v>
      </x:c>
      <x:c r="I5" s="60" t="n">
        <x:v>112.2737144817</x:v>
      </x:c>
      <x:c r="J5" s="60" t="n">
        <x:v>112.2737144817</x:v>
      </x:c>
      <x:c r="K5" s="60" t="n">
        <x:v>0</x:v>
      </x:c>
      <x:c r="L5" s="60" t="n">
        <x:v>0</x:v>
      </x:c>
      <x:c r="M5" s="60" t="n">
        <x:v>112.2737144817</x:v>
      </x:c>
      <x:c r="N5" s="46" t="str">
        <x:v>coregonus</x:v>
      </x:c>
      <x:c r="O5" s="62" t="n">
        <x:v>3.3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Coregonus</x:v>
      </x:c>
      <x:c r="T5" s="62" t="n">
        <x:f>IF(O5="","",(1/'Metadata'!$B$5)^(O5-1))</x:f>
        <x:v>982.5824208926318</x:v>
      </x:c>
      <x:c r="U5" s="60" t="n">
        <x:f>IF(T5="","",I5*T5)</x:f>
        <x:v>110318.17817803692</x:v>
      </x:c>
    </x:row>
    <x:row r="6" ht="18" customHeight="1">
      <x:c r="A6" s="46" t="str">
        <x:v>LME_058</x:v>
      </x:c>
      <x:c r="B6" s="46" t="str">
        <x:v>Kara Sea</x:v>
      </x:c>
      <x:c r="C6" s="46" t="str">
        <x:v>LME</x:v>
      </x:c>
      <x:c r="D6" s="58" t="n">
        <x:v>2019</x:v>
      </x:c>
      <x:c r="E6" s="46" t="str">
        <x:v>Coregonus autumnalis</x:v>
      </x:c>
      <x:c r="F6" s="46" t="str">
        <x:v>Arctic cisco</x:v>
      </x:c>
      <x:c r="G6" s="46" t="str">
        <x:v>Medium pelagics (30 - 89 cm)</x:v>
      </x:c>
      <x:c r="H6" s="46" t="str">
        <x:v>Salmon, smelts, etc</x:v>
      </x:c>
      <x:c r="I6" s="60" t="n">
        <x:v>11.3087014795</x:v>
      </x:c>
      <x:c r="J6" s="60" t="n">
        <x:v>11.3087014795</x:v>
      </x:c>
      <x:c r="K6" s="60" t="n">
        <x:v>0</x:v>
      </x:c>
      <x:c r="L6" s="60" t="n">
        <x:v>0</x:v>
      </x:c>
      <x:c r="M6" s="60" t="n">
        <x:v>11.3087014795</x:v>
      </x:c>
      <x:c r="N6" s="46" t="str">
        <x:v>coregonus autumnalis</x:v>
      </x:c>
      <x:c r="O6" s="62" t="n">
        <x:v>3.67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Coregonus autumnalis</x:v>
      </x:c>
      <x:c r="T6" s="62" t="n">
        <x:f>IF(O6="","",(1/'Metadata'!$B$5)^(O6-1))</x:f>
        <x:v>2976.8029570258213</x:v>
      </x:c>
      <x:c r="U6" s="60" t="n">
        <x:f>IF(T6="","",I6*T6)</x:f>
        <x:v>33663.77600429788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898432d0b144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291.6251263832</x:v>
      </x:c>
      <x:c r="E2" s="60" t="n">
        <x:v>291.6251263832</x:v>
      </x:c>
      <x:c r="F2" s="62" t="n">
        <x:v>0</x:v>
      </x:c>
      <x:c r="G2" s="66" t="n">
        <x:v>1</x:v>
      </x:c>
      <x:c r="H2" s="62" t="n">
        <x:f>IF(E2=0,"",I2/E2)</x:f>
        <x:v>925.4402624666747</x:v>
      </x:c>
      <x:c r="I2" s="60" t="n">
        <x:f>SUMIF('Species'!$H$2:$H$6,A2,'Species'!$U$2:$U$6)</x:f>
        <x:v>269881.63350194576</x:v>
      </x:c>
      <x:c r="J2" s="62" t="n">
        <x:v>3.28</x:v>
      </x:c>
      <x:c r="K2" s="62" t="n">
        <x:f>IF(J2="","",(1/'Metadata'!$B$5)^(J2-1))</x:f>
        <x:v>925.4402624666747</x:v>
      </x:c>
      <x:c r="L2" s="60" t="n">
        <x:f>IF(E2=0,"",E2*K2)</x:f>
        <x:v>269881.63350194576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Salmon, smelts, etc</x:v>
      </x:c>
      <x:c r="B3" s="64" t="n">
        <x:v>4</x:v>
      </x:c>
      <x:c r="C3" s="64" t="n">
        <x:v>4</x:v>
      </x:c>
      <x:c r="D3" s="60" t="n">
        <x:v>427.6640755245999</x:v>
      </x:c>
      <x:c r="E3" s="60" t="n">
        <x:v>427.6640755245999</x:v>
      </x:c>
      <x:c r="F3" s="62" t="n">
        <x:v>0</x:v>
      </x:c>
      <x:c r="G3" s="66" t="n">
        <x:v>1</x:v>
      </x:c>
      <x:c r="H3" s="62" t="n">
        <x:f>IF(E3=0,"",I3/E3)</x:f>
        <x:v>935.8270994219155</x:v>
      </x:c>
      <x:c r="I3" s="60" t="n">
        <x:f>SUMIF('Species'!$H$2:$H$6,A3,'Species'!$U$2:$U$6)</x:f>
        <x:v>400219.63132514135</x:v>
      </x:c>
      <x:c r="J3" s="62" t="n">
        <x:v>3.272438009423462</x:v>
      </x:c>
      <x:c r="K3" s="62" t="n">
        <x:f>IF(J3="","",(1/'Metadata'!$B$5)^(J3-1))</x:f>
        <x:v>904.7112974656105</x:v>
      </x:c>
      <x:c r="L3" s="60" t="n">
        <x:f>IF(E3=0,"",E3*K3)</x:f>
        <x:v>386912.5206472917</x:v>
      </x:c>
      <x:c r="M3" s="60" t="n">
        <x:f>I3-L3</x:f>
        <x:v>13307.110677849676</x:v>
      </x:c>
      <x:c r="N3" s="62" t="n">
        <x:f>IF(L3=0,"",I3/L3)</x:f>
        <x:v>1.0343930732858873</x:v>
      </x:c>
      <x:c r="O3" s="66" t="n">
        <x:f>IF(L3=0,"",M3/L3)</x:f>
        <x:v>0.034393073285887275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0a15c87a43f43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1</x:v>
      </x:c>
      <x:c r="C2" s="64" t="n">
        <x:v>1</x:v>
      </x:c>
      <x:c r="D2" s="60" t="n">
        <x:v>189.9309432293</x:v>
      </x:c>
      <x:c r="E2" s="60" t="n">
        <x:v>189.9309432293</x:v>
      </x:c>
      <x:c r="F2" s="62" t="n">
        <x:v>0</x:v>
      </x:c>
      <x:c r="G2" s="66" t="n">
        <x:v>1</x:v>
      </x:c>
      <x:c r="H2" s="62" t="n">
        <x:f>IF(E2=0,"",I2/E2)</x:f>
        <x:v>898.1276980921442</x:v>
      </x:c>
      <x:c r="I2" s="60" t="n">
        <x:f>SUMIF('Species'!$G$2:$G$6,A2,'Species'!$U$2:$U$6)</x:f>
        <x:v>170582.24083900094</x:v>
      </x:c>
      <x:c r="J2" s="62" t="n">
        <x:v>3.2699999999999996</x:v>
      </x:c>
      <x:c r="K2" s="62" t="n">
        <x:f>IF(J2="","",(1/'Metadata'!$B$5)^(J2-1))</x:f>
        <x:v>898.127698092143</x:v>
      </x:c>
      <x:c r="L2" s="60" t="n">
        <x:f>IF(E2=0,"",E2*K2)</x:f>
        <x:v>170582.2408390007</x:v>
      </x:c>
      <x:c r="M2" s="60" t="n">
        <x:f>I2-L2</x:f>
        <x:v>2.3283064365386963e-10</x:v>
      </x:c>
      <x:c r="N2" s="62" t="n">
        <x:f>IF(L2=0,"",I2/L2)</x:f>
        <x:v>1.0000000000000013</x:v>
      </x:c>
      <x:c r="O2" s="66" t="n">
        <x:f>IF(L2=0,"",M2/L2)</x:f>
        <x:v>1.3649172534532499e-15</x:v>
      </x:c>
    </x:row>
    <x:row r="3" ht="18" customHeight="1">
      <x:c r="A3" s="46" t="str">
        <x:v>Medium demersals (30 - 89 cm)</x:v>
      </x:c>
      <x:c r="B3" s="64" t="n">
        <x:v>1</x:v>
      </x:c>
      <x:c r="C3" s="64" t="n">
        <x:v>1</x:v>
      </x:c>
      <x:c r="D3" s="60" t="n">
        <x:v>291.6251263832</x:v>
      </x:c>
      <x:c r="E3" s="60" t="n">
        <x:v>291.6251263832</x:v>
      </x:c>
      <x:c r="F3" s="62" t="n">
        <x:v>0</x:v>
      </x:c>
      <x:c r="G3" s="66" t="n">
        <x:v>1</x:v>
      </x:c>
      <x:c r="H3" s="62" t="n">
        <x:f>IF(E3=0,"",I3/E3)</x:f>
        <x:v>925.4402624666747</x:v>
      </x:c>
      <x:c r="I3" s="60" t="n">
        <x:f>SUMIF('Species'!$G$2:$G$6,A3,'Species'!$U$2:$U$6)</x:f>
        <x:v>269881.63350194576</x:v>
      </x:c>
      <x:c r="J3" s="62" t="n">
        <x:v>3.28</x:v>
      </x:c>
      <x:c r="K3" s="62" t="n">
        <x:f>IF(J3="","",(1/'Metadata'!$B$5)^(J3-1))</x:f>
        <x:v>925.4402624666747</x:v>
      </x:c>
      <x:c r="L3" s="60" t="n">
        <x:f>IF(E3=0,"",E3*K3)</x:f>
        <x:v>269881.63350194576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Medium pelagics (30 - 89 cm)</x:v>
      </x:c>
      <x:c r="B4" s="64" t="n">
        <x:v>3</x:v>
      </x:c>
      <x:c r="C4" s="64" t="n">
        <x:v>3</x:v>
      </x:c>
      <x:c r="D4" s="60" t="n">
        <x:v>237.7331322953</x:v>
      </x:c>
      <x:c r="E4" s="60" t="n">
        <x:v>237.7331322953</x:v>
      </x:c>
      <x:c r="F4" s="62" t="n">
        <x:v>0</x:v>
      </x:c>
      <x:c r="G4" s="66" t="n">
        <x:v>1</x:v>
      </x:c>
      <x:c r="H4" s="62" t="n">
        <x:f>IF(E4=0,"",I4/E4)</x:f>
        <x:v>965.9460937102219</x:v>
      </x:c>
      <x:c r="I4" s="60" t="n">
        <x:f>SUMIF('Species'!$G$2:$G$6,A4,'Species'!$U$2:$U$6)</x:f>
        <x:v>229637.39048614044</x:v>
      </x:c>
      <x:c r="J4" s="62" t="n">
        <x:v>3.2743857961073335</x:v>
      </x:c>
      <x:c r="K4" s="62" t="n">
        <x:f>IF(J4="","",(1/'Metadata'!$B$5)^(J4-1))</x:f>
        <x:v>910.0057625028187</x:v>
      </x:c>
      <x:c r="L4" s="60" t="n">
        <x:f>IF(E4=0,"",E4*K4)</x:f>
        <x:v>216338.52032656796</x:v>
      </x:c>
      <x:c r="M4" s="60" t="n">
        <x:f>I4-L4</x:f>
        <x:v>13298.870159572485</x:v>
      </x:c>
      <x:c r="N4" s="62" t="n">
        <x:f>IF(L4=0,"",I4/L4)</x:f>
        <x:v>1.0614725021669629</x:v>
      </x:c>
      <x:c r="O4" s="66" t="n">
        <x:f>IF(L4=0,"",M4/L4)</x:f>
        <x:v>0.06147250216696285</x:v>
      </x:c>
    </x:row>
  </x:sheetData>
  <x:conditionalFormatting sqref="G2:G4">
    <x:cfRule type="cellIs" dxfId="2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1cdab2a17954e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LME_058</x:v>
      </x:c>
      <x:c r="B2" s="46" t="str">
        <x:v>raw_filtered_tonnes</x:v>
      </x:c>
      <x:c r="C2" s="46" t="n">
        <x:v>719.2892019077999</x:v>
      </x:c>
      <x:c r="D2" s="46" t="str">
        <x:v>tonnes</x:v>
      </x:c>
    </x:row>
    <x:row r="3" ht="18" customHeight="1">
      <x:c r="A3" s="46" t="str">
        <x:v>LME_058</x:v>
      </x:c>
      <x:c r="B3" s="46" t="str">
        <x:v>species_catch_tonnes</x:v>
      </x:c>
      <x:c r="C3" s="46" t="n">
        <x:v>719.2892019078</x:v>
      </x:c>
      <x:c r="D3" s="46" t="str">
        <x:v>tonnes</x:v>
      </x:c>
    </x:row>
    <x:row r="4" ht="18" customHeight="1">
      <x:c r="A4" s="46" t="str">
        <x:v>LME_058</x:v>
      </x:c>
      <x:c r="B4" s="46" t="str">
        <x:v>catch_difference_tonnes</x:v>
      </x:c>
      <x:c r="C4" s="46" t="n">
        <x:v>1.1368683772161603e-13</x:v>
      </x:c>
      <x:c r="D4" s="46" t="str">
        <x:v>tonnes</x:v>
      </x:c>
    </x:row>
    <x:row r="5" ht="18" customHeight="1">
      <x:c r="A5" s="46" t="str">
        <x:v>LME_058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LME_058</x:v>
      </x:c>
      <x:c r="B6" s="46" t="str">
        <x:v>matched_catch_tonnes</x:v>
      </x:c>
      <x:c r="C6" s="46" t="n">
        <x:v>719.2892019078</x:v>
      </x:c>
      <x:c r="D6" s="46" t="str">
        <x:v>tonnes</x:v>
      </x:c>
    </x:row>
    <x:row r="7" ht="18" customHeight="1">
      <x:c r="A7" s="46" t="str">
        <x:v>LME_058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LME_058</x:v>
      </x:c>
      <x:c r="B8" s="46" t="str">
        <x:v>taxa_count</x:v>
      </x:c>
      <x:c r="C8" s="46" t="n">
        <x:v>5</x:v>
      </x:c>
      <x:c r="D8" s="46" t="str">
        <x:v>count</x:v>
      </x:c>
    </x:row>
    <x:row r="9" ht="18" customHeight="1">
      <x:c r="A9" s="46" t="str">
        <x:v>LME_058</x:v>
      </x:c>
      <x:c r="B9" s="46" t="str">
        <x:v>matched_taxa_count</x:v>
      </x:c>
      <x:c r="C9" s="46" t="n">
        <x:v>5</x:v>
      </x:c>
      <x:c r="D9" s="46" t="str">
        <x:v>count</x:v>
      </x:c>
    </x:row>
    <x:row r="10" ht="18" customHeight="1">
      <x:c r="A10" s="46" t="str">
        <x:v>LME_058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LME_058</x:v>
      </x:c>
      <x:c r="B11" s="46" t="str">
        <x:v>species_ppr</x:v>
      </x:c>
      <x:c r="C11" s="46" t="n">
        <x:v>670101.2648270872</x:v>
      </x:c>
      <x:c r="D11" s="46" t="str">
        <x:v>tonnes_primary_production_equivalent</x:v>
      </x:c>
    </x:row>
    <x:row r="12" ht="18" customHeight="1">
      <x:c r="A12" s="46" t="str">
        <x:v>LME_058</x:v>
      </x:c>
      <x:c r="B12" s="46" t="str">
        <x:v>commercial_ppr</x:v>
      </x:c>
      <x:c r="C12" s="46" t="n">
        <x:v>670101.264827087</x:v>
      </x:c>
      <x:c r="D12" s="46" t="str">
        <x:v>tonnes_primary_production_equivalent</x:v>
      </x:c>
    </x:row>
    <x:row r="13" ht="18" customHeight="1">
      <x:c r="A13" s="46" t="str">
        <x:v>LME_058</x:v>
      </x:c>
      <x:c r="B13" s="46" t="str">
        <x:v>functional_ppr</x:v>
      </x:c>
      <x:c r="C13" s="46" t="n">
        <x:v>670101.264827087</x:v>
      </x:c>
      <x:c r="D13" s="46" t="str">
        <x:v>tonnes_primary_production_equivalent</x:v>
      </x:c>
    </x:row>
    <x:row r="14" ht="18" customHeight="1">
      <x:c r="A14" s="46" t="str">
        <x:v>LME_058</x:v>
      </x:c>
      <x:c r="B14" s="46" t="str">
        <x:v>commercial_ppr_difference</x:v>
      </x:c>
      <x:c r="C14" s="46" t="n">
        <x:v>-1.1641532182693481e-10</x:v>
      </x:c>
      <x:c r="D14" s="46" t="str">
        <x:v>tonnes_primary_production_equivalent</x:v>
      </x:c>
    </x:row>
    <x:row r="15" ht="18" customHeight="1">
      <x:c r="A15" s="46" t="str">
        <x:v>LME_058</x:v>
      </x:c>
      <x:c r="B15" s="46" t="str">
        <x:v>functional_ppr_difference</x:v>
      </x:c>
      <x:c r="C15" s="46" t="n">
        <x:v>-1.1641532182693481e-10</x:v>
      </x:c>
      <x:c r="D15" s="46" t="str">
        <x:v>tonnes_primary_production_equivalent</x:v>
      </x:c>
    </x:row>
    <x:row r="16" ht="18" customHeight="1">
      <x:c r="A16" s="46" t="str">
        <x:v>LME_058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59eb7b01bed43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LME_058 - Kara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