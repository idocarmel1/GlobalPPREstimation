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335f3b24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2ccc7470e6945ee"/>
    <x:sheet xmlns:r="http://schemas.openxmlformats.org/officeDocument/2006/relationships" name="Commercial" sheetId="2" r:id="R4a02f8bd70d74c98"/>
    <x:sheet xmlns:r="http://schemas.openxmlformats.org/officeDocument/2006/relationships" name="Functional" sheetId="3" r:id="Rfcfa3e4a101f444b"/>
    <x:sheet xmlns:r="http://schemas.openxmlformats.org/officeDocument/2006/relationships" name="Missing TL" sheetId="4" r:id="Rbea3a1d741e741e3"/>
    <x:sheet xmlns:r="http://schemas.openxmlformats.org/officeDocument/2006/relationships" name="Validation" sheetId="5" r:id="Rf5a69f7a2c7d4e7e"/>
    <x:sheet xmlns:r="http://schemas.openxmlformats.org/officeDocument/2006/relationships" name="Metadata" sheetId="6" r:id="Rfb8674dbbfd4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02a78104e45e4" /><Relationship Type="http://schemas.openxmlformats.org/officeDocument/2006/relationships/theme" Target="/xl/theme/theme1.xml" Id="R94ce08465fed4655" /><Relationship Type="http://schemas.openxmlformats.org/officeDocument/2006/relationships/sharedStrings" Target="/xl/sharedStrings.xml" Id="R14efb785bb634434" /><Relationship Type="http://schemas.openxmlformats.org/officeDocument/2006/relationships/worksheet" Target="/xl/worksheets/sheet1.xml" Id="Rf2ccc7470e6945ee" /><Relationship Type="http://schemas.openxmlformats.org/officeDocument/2006/relationships/worksheet" Target="/xl/worksheets/sheet2.xml" Id="R4a02f8bd70d74c98" /><Relationship Type="http://schemas.openxmlformats.org/officeDocument/2006/relationships/worksheet" Target="/xl/worksheets/sheet3.xml" Id="Rfcfa3e4a101f444b" /><Relationship Type="http://schemas.openxmlformats.org/officeDocument/2006/relationships/worksheet" Target="/xl/worksheets/sheet4.xml" Id="Rbea3a1d741e741e3" /><Relationship Type="http://schemas.openxmlformats.org/officeDocument/2006/relationships/worksheet" Target="/xl/worksheets/sheet5.xml" Id="Rf5a69f7a2c7d4e7e" /><Relationship Type="http://schemas.openxmlformats.org/officeDocument/2006/relationships/worksheet" Target="/xl/worksheets/sheet6.xml" Id="Rfb8674dbbfd445bd" /></Relationships>
</file>

<file path=xl/tables/table1.xml><?xml version="1.0" encoding="utf-8"?>
<x:table xmlns:x="http://schemas.openxmlformats.org/spreadsheetml/2006/main" id="1" name="HS057SpeciesTable" displayName="HS057SpeciesTable" ref="A1:U35" headerRowCount="1" totalsRowCount="0" totalsRowShown="0">
  <x:autoFilter ref="A1:U3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7CommercialTable" displayName="HS05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7FunctionalTable" displayName="HS057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7ValidationTable" displayName="HS0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afb0e731a4d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a5b2cd2c5541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e5c020808a40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5d42a0b4bf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HS_057</x:v>
      </x:c>
      <x:c r="B2" s="46" t="str">
        <x:v>Indian Ocean, Eastern</x:v>
      </x:c>
      <x:c r="C2" s="46" t="str">
        <x:v>High Seas</x:v>
      </x:c>
      <x:c r="D2" s="58" t="n">
        <x:v>2019</x:v>
      </x:c>
      <x:c r="E2" s="46" t="str">
        <x:v>Thunnus albacares</x:v>
      </x:c>
      <x:c r="F2" s="46" t="str">
        <x:v>Yellowfin tuna</x:v>
      </x:c>
      <x:c r="G2" s="46" t="str">
        <x:v>Large pelagics (&gt;=90 cm)</x:v>
      </x:c>
      <x:c r="H2" s="46" t="str">
        <x:v>Tuna &amp; billfishes</x:v>
      </x:c>
      <x:c r="I2" s="60" t="n">
        <x:v>69201.48165909661</x:v>
      </x:c>
      <x:c r="J2" s="60" t="n">
        <x:v>69201.48165909661</x:v>
      </x:c>
      <x:c r="K2" s="60" t="n">
        <x:v>0</x:v>
      </x:c>
      <x:c r="L2" s="60" t="n">
        <x:v>69201.48165909661</x:v>
      </x:c>
      <x:c r="M2" s="60" t="n">
        <x:v>0</x:v>
      </x:c>
      <x:c r="N2" s="46" t="str">
        <x:v>thunnus albacares</x:v>
      </x:c>
      <x:c r="O2" s="62" t="n">
        <x:v>4.41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albacares</x:v>
      </x:c>
      <x:c r="T2" s="62" t="n">
        <x:f>IF(O2="","",(1/'Metadata'!$B$5)^(O2-1))</x:f>
        <x:v>27321.987305427916</x:v>
      </x:c>
      <x:c r="U2" s="60" t="n">
        <x:f>IF(T2="","",I2*T2)</x:f>
        <x:v>1890722003.4066403</x:v>
      </x:c>
    </x:row>
    <x:row r="3" ht="18" customHeight="1">
      <x:c r="A3" s="46" t="str">
        <x:v>HS_057</x:v>
      </x:c>
      <x:c r="B3" s="46" t="str">
        <x:v>Indian Ocean, Eastern</x:v>
      </x:c>
      <x:c r="C3" s="46" t="str">
        <x:v>High Seas</x:v>
      </x:c>
      <x:c r="D3" s="58" t="n">
        <x:v>2019</x:v>
      </x:c>
      <x:c r="E3" s="46" t="str">
        <x:v>Katsuwonus pelamis</x:v>
      </x:c>
      <x:c r="F3" s="46" t="str">
        <x:v>Skipjack tuna</x:v>
      </x:c>
      <x:c r="G3" s="46" t="str">
        <x:v>Large pelagics (&gt;=90 cm)</x:v>
      </x:c>
      <x:c r="H3" s="46" t="str">
        <x:v>Tuna &amp; billfishes</x:v>
      </x:c>
      <x:c r="I3" s="60" t="n">
        <x:v>55710.378629988394</x:v>
      </x:c>
      <x:c r="J3" s="60" t="n">
        <x:v>55710.378629988394</x:v>
      </x:c>
      <x:c r="K3" s="60" t="n">
        <x:v>0</x:v>
      </x:c>
      <x:c r="L3" s="60" t="n">
        <x:v>55710.378629988394</x:v>
      </x:c>
      <x:c r="M3" s="60" t="n">
        <x:v>0</x:v>
      </x:c>
      <x:c r="N3" s="46" t="str">
        <x:v>katsuwonus pelamis</x:v>
      </x:c>
      <x:c r="O3" s="62" t="n">
        <x:v>4.43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Katsuwonus pelamis</x:v>
      </x:c>
      <x:c r="T3" s="62" t="n">
        <x:f>IF(O3="","",(1/'Metadata'!$B$5)^(O3-1))</x:f>
        <x:v>29009.008489223597</x:v>
      </x:c>
      <x:c r="U3" s="60" t="n">
        <x:f>IF(T3="","",I3*T3)</x:f>
        <x:v>1616102846.6151943</x:v>
      </x:c>
    </x:row>
    <x:row r="4" ht="18" customHeight="1">
      <x:c r="A4" s="46" t="str">
        <x:v>HS_057</x:v>
      </x:c>
      <x:c r="B4" s="46" t="str">
        <x:v>Indian Ocean, Eastern</x:v>
      </x:c>
      <x:c r="C4" s="46" t="str">
        <x:v>High Seas</x:v>
      </x:c>
      <x:c r="D4" s="58" t="n">
        <x:v>2019</x:v>
      </x:c>
      <x:c r="E4" s="46" t="str">
        <x:v>Thunnus alalunga</x:v>
      </x:c>
      <x:c r="F4" s="46" t="str">
        <x:v>Albacore</x:v>
      </x:c>
      <x:c r="G4" s="46" t="str">
        <x:v>Large pelagics (&gt;=90 cm)</x:v>
      </x:c>
      <x:c r="H4" s="46" t="str">
        <x:v>Tuna &amp; billfishes</x:v>
      </x:c>
      <x:c r="I4" s="60" t="n">
        <x:v>27963.842694857696</x:v>
      </x:c>
      <x:c r="J4" s="60" t="n">
        <x:v>27963.842694857696</x:v>
      </x:c>
      <x:c r="K4" s="60" t="n">
        <x:v>0</x:v>
      </x:c>
      <x:c r="L4" s="60" t="n">
        <x:v>27963.842694857696</x:v>
      </x:c>
      <x:c r="M4" s="60" t="n">
        <x:v>0</x:v>
      </x:c>
      <x:c r="N4" s="46" t="str">
        <x:v>thunnus alalunga</x:v>
      </x:c>
      <x:c r="O4" s="62" t="n">
        <x:v>4.3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alalunga</x:v>
      </x:c>
      <x:c r="T4" s="62" t="n">
        <x:f>IF(O4="","",(1/'Metadata'!$B$5)^(O4-1))</x:f>
        <x:v>19651.648417852637</x:v>
      </x:c>
      <x:c r="U4" s="60" t="n">
        <x:f>IF(T4="","",I4*T4)</x:f>
        <x:v>549535605.0514803</x:v>
      </x:c>
    </x:row>
    <x:row r="5" ht="18" customHeight="1">
      <x:c r="A5" s="46" t="str">
        <x:v>HS_057</x:v>
      </x:c>
      <x:c r="B5" s="46" t="str">
        <x:v>Indian Ocean, Eastern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24803.2176088363</x:v>
      </x:c>
      <x:c r="J5" s="60" t="n">
        <x:v>24803.2176088363</x:v>
      </x:c>
      <x:c r="K5" s="60" t="n">
        <x:v>0</x:v>
      </x:c>
      <x:c r="L5" s="60" t="n">
        <x:v>24803.2176088363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34721.19667768202</x:v>
      </x:c>
      <x:c r="U5" s="60" t="n">
        <x:f>IF(T5="","",I5*T5)</x:f>
        <x:v>861197396.8357512</x:v>
      </x:c>
    </x:row>
    <x:row r="6" ht="18" customHeight="1">
      <x:c r="A6" s="46" t="str">
        <x:v>HS_057</x:v>
      </x:c>
      <x:c r="B6" s="46" t="str">
        <x:v>Indian Ocean, Eastern</x:v>
      </x:c>
      <x:c r="C6" s="46" t="str">
        <x:v>High Seas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18676.0058537108</x:v>
      </x:c>
      <x:c r="J6" s="60" t="n">
        <x:v>0</x:v>
      </x:c>
      <x:c r="K6" s="60" t="n">
        <x:v>18676.0058537108</x:v>
      </x:c>
      <x:c r="L6" s="60" t="n">
        <x:v>0</x:v>
      </x:c>
      <x:c r="M6" s="60" t="n">
        <x:v>18676.0058537108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17283527.759087276</x:v>
      </x:c>
    </x:row>
    <x:row r="7" ht="18" customHeight="1">
      <x:c r="A7" s="46" t="str">
        <x:v>HS_057</x:v>
      </x:c>
      <x:c r="B7" s="46" t="str">
        <x:v>Indian Ocean, Eastern</x:v>
      </x:c>
      <x:c r="C7" s="46" t="str">
        <x:v>High Seas</x:v>
      </x:c>
      <x:c r="D7" s="58" t="n">
        <x:v>2019</x:v>
      </x:c>
      <x:c r="E7" s="46" t="str">
        <x:v>Scombroidei</x:v>
      </x:c>
      <x:c r="F7" s="46" t="str">
        <x:v>Tunas, bonitos, billfishes</x:v>
      </x:c>
      <x:c r="G7" s="46" t="str">
        <x:v>Large pelagics (&gt;=90 cm)</x:v>
      </x:c>
      <x:c r="H7" s="46" t="str">
        <x:v>Tuna &amp; billfishes</x:v>
      </x:c>
      <x:c r="I7" s="60" t="n">
        <x:v>16830.9051860067</x:v>
      </x:c>
      <x:c r="J7" s="60" t="n">
        <x:v>16830.9051860067</x:v>
      </x:c>
      <x:c r="K7" s="60" t="n">
        <x:v>0</x:v>
      </x:c>
      <x:c r="L7" s="60" t="n">
        <x:v>16830.9051860067</x:v>
      </x:c>
      <x:c r="M7" s="60" t="n">
        <x:v>0</x:v>
      </x:c>
      <x:c r="N7" s="46" t="str">
        <x:v>scombroidei</x:v>
      </x:c>
      <x:c r="O7" s="62" t="n">
        <x:v>4.2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Scombroidei</x:v>
      </x:c>
      <x:c r="T7" s="62" t="n">
        <x:f>IF(O7="","",(1/'Metadata'!$B$5)^(O7-1))</x:f>
        <x:v>14564.51362420865</x:v>
      </x:c>
      <x:c r="U7" s="60" t="n">
        <x:f>IF(T7="","",I7*T7)</x:f>
        <x:v>245133947.8893586</x:v>
      </x:c>
    </x:row>
    <x:row r="8" ht="18" customHeight="1">
      <x:c r="A8" s="46" t="str">
        <x:v>HS_057</x:v>
      </x:c>
      <x:c r="B8" s="46" t="str">
        <x:v>Indian Ocean, Eastern</x:v>
      </x:c>
      <x:c r="C8" s="46" t="str">
        <x:v>High Seas</x:v>
      </x:c>
      <x:c r="D8" s="58" t="n">
        <x:v>2019</x:v>
      </x:c>
      <x:c r="E8" s="46" t="str">
        <x:v>Xiphias gladius</x:v>
      </x:c>
      <x:c r="F8" s="46" t="str">
        <x:v>Swordfish</x:v>
      </x:c>
      <x:c r="G8" s="46" t="str">
        <x:v>Large pelagics (&gt;=90 cm)</x:v>
      </x:c>
      <x:c r="H8" s="46" t="str">
        <x:v>Tuna &amp; billfishes</x:v>
      </x:c>
      <x:c r="I8" s="60" t="n">
        <x:v>13594.0819892526</x:v>
      </x:c>
      <x:c r="J8" s="60" t="n">
        <x:v>13594.0819892526</x:v>
      </x:c>
      <x:c r="K8" s="60" t="n">
        <x:v>0</x:v>
      </x:c>
      <x:c r="L8" s="60" t="n">
        <x:v>13594.0819892526</x:v>
      </x:c>
      <x:c r="M8" s="60" t="n">
        <x:v>0</x:v>
      </x:c>
      <x:c r="N8" s="46" t="str">
        <x:v>xiphias gladius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Xiphias gladius</x:v>
      </x:c>
      <x:c r="T8" s="62" t="n">
        <x:f>IF(O8="","",(1/'Metadata'!$B$5)^(O8-1))</x:f>
        <x:v>39141.35758252625</x:v>
      </x:c>
      <x:c r="U8" s="60" t="n">
        <x:f>IF(T8="","",I8*T8)</x:f>
        <x:v>532090824.1475158</x:v>
      </x:c>
    </x:row>
    <x:row r="9" ht="18" customHeight="1">
      <x:c r="A9" s="46" t="str">
        <x:v>HS_057</x:v>
      </x:c>
      <x:c r="B9" s="46" t="str">
        <x:v>Indian Ocean, Eastern</x:v>
      </x:c>
      <x:c r="C9" s="46" t="str">
        <x:v>High Seas</x:v>
      </x:c>
      <x:c r="D9" s="58" t="n">
        <x:v>2019</x:v>
      </x:c>
      <x:c r="E9" s="46" t="str">
        <x:v>Prionace glauca</x:v>
      </x:c>
      <x:c r="F9" s="46" t="str">
        <x:v>Blue shark</x:v>
      </x:c>
      <x:c r="G9" s="46" t="str">
        <x:v>Large sharks (&gt;=90 cm)</x:v>
      </x:c>
      <x:c r="H9" s="46" t="str">
        <x:v>Sharks &amp; rays</x:v>
      </x:c>
      <x:c r="I9" s="60" t="n">
        <x:v>5638.1797762593</x:v>
      </x:c>
      <x:c r="J9" s="60" t="n">
        <x:v>5638.1797762593</x:v>
      </x:c>
      <x:c r="K9" s="60" t="n">
        <x:v>0</x:v>
      </x:c>
      <x:c r="L9" s="60" t="n">
        <x:v>5638.1797762593</x:v>
      </x:c>
      <x:c r="M9" s="60" t="n">
        <x:v>0</x:v>
      </x:c>
      <x:c r="N9" s="46" t="str">
        <x:v>prionace glauca</x:v>
      </x:c>
      <x:c r="O9" s="62" t="n">
        <x:v>4.35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Prionace glauca</x:v>
      </x:c>
      <x:c r="T9" s="62" t="n">
        <x:f>IF(O9="","",(1/'Metadata'!$B$5)^(O9-1))</x:f>
        <x:v>22827.086550132422</x:v>
      </x:c>
      <x:c r="U9" s="60" t="n">
        <x:f>IF(T9="","",I9*T9)</x:f>
        <x:v>128703217.7378773</x:v>
      </x:c>
    </x:row>
    <x:row r="10" ht="18" customHeight="1">
      <x:c r="A10" s="46" t="str">
        <x:v>HS_057</x:v>
      </x:c>
      <x:c r="B10" s="46" t="str">
        <x:v>Indian Ocean, Eastern</x:v>
      </x:c>
      <x:c r="C10" s="46" t="str">
        <x:v>High Seas</x:v>
      </x:c>
      <x:c r="D10" s="58" t="n">
        <x:v>2019</x:v>
      </x:c>
      <x:c r="E10" s="46" t="str">
        <x:v>Thunnus maccoyii</x:v>
      </x:c>
      <x:c r="F10" s="46" t="str">
        <x:v>Southern bluefin tuna</x:v>
      </x:c>
      <x:c r="G10" s="46" t="str">
        <x:v>Large pelagics (&gt;=90 cm)</x:v>
      </x:c>
      <x:c r="H10" s="46" t="str">
        <x:v>Tuna &amp; billfishes</x:v>
      </x:c>
      <x:c r="I10" s="60" t="n">
        <x:v>5346.2664067557</x:v>
      </x:c>
      <x:c r="J10" s="60" t="n">
        <x:v>5346.2664067557</x:v>
      </x:c>
      <x:c r="K10" s="60" t="n">
        <x:v>0</x:v>
      </x:c>
      <x:c r="L10" s="60" t="n">
        <x:v>5346.2664067557</x:v>
      </x:c>
      <x:c r="M10" s="60" t="n">
        <x:v>0</x:v>
      </x:c>
      <x:c r="N10" s="46" t="str">
        <x:v>thunnus maccoyii</x:v>
      </x:c>
      <x:c r="O10" s="62" t="n">
        <x:v>3.93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maccoyii</x:v>
      </x:c>
      <x:c r="T10" s="62" t="n">
        <x:f>IF(O10="","",(1/'Metadata'!$B$5)^(O10-1))</x:f>
        <x:v>6486.611494177253</x:v>
      </x:c>
      <x:c r="U10" s="60" t="n">
        <x:f>IF(T10="","",I10*T10)</x:f>
        <x:v>34679153.12499525</x:v>
      </x:c>
    </x:row>
    <x:row r="11" ht="18" customHeight="1">
      <x:c r="A11" s="46" t="str">
        <x:v>HS_057</x:v>
      </x:c>
      <x:c r="B11" s="46" t="str">
        <x:v>Indian Ocean, Eastern</x:v>
      </x:c>
      <x:c r="C11" s="46" t="str">
        <x:v>High Seas</x:v>
      </x:c>
      <x:c r="D11" s="58" t="n">
        <x:v>2019</x:v>
      </x:c>
      <x:c r="E11" s="46" t="str">
        <x:v>Marine pelagic fishes not identified</x:v>
      </x:c>
      <x:c r="F11" s="46" t="str">
        <x:v>Pelagic fishes</x:v>
      </x:c>
      <x:c r="G11" s="46" t="str">
        <x:v>Medium pelagics (30 - 89 cm)</x:v>
      </x:c>
      <x:c r="H11" s="46" t="str">
        <x:v>Other fishes &amp; inverts</x:v>
      </x:c>
      <x:c r="I11" s="60" t="n">
        <x:v>4075.8756351995</x:v>
      </x:c>
      <x:c r="J11" s="60" t="n">
        <x:v>4075.8756351995</x:v>
      </x:c>
      <x:c r="K11" s="60" t="n">
        <x:v>0</x:v>
      </x:c>
      <x:c r="L11" s="60" t="n">
        <x:v>4075.8756351995</x:v>
      </x:c>
      <x:c r="M11" s="60" t="n">
        <x:v>0</x:v>
      </x:c>
      <x:c r="N11" s="46" t="str">
        <x:v>marine pelagic fishes not identified</x:v>
      </x:c>
      <x:c r="O11" s="62" t="n">
        <x:v>3.35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pelagic fishes not identified</x:v>
      </x:c>
      <x:c r="T11" s="62" t="n">
        <x:f>IF(O11="","",(1/'Metadata'!$B$5)^(O11-1))</x:f>
        <x:v>1141.3543275066227</x:v>
      </x:c>
      <x:c r="U11" s="60" t="n">
        <x:f>IF(T11="","",I11*T11)</x:f>
        <x:v>4652018.294613753</x:v>
      </x:c>
    </x:row>
    <x:row r="12" ht="18" customHeight="1">
      <x:c r="A12" s="46" t="str">
        <x:v>HS_057</x:v>
      </x:c>
      <x:c r="B12" s="46" t="str">
        <x:v>Indian Ocean, Eastern</x:v>
      </x:c>
      <x:c r="C12" s="46" t="str">
        <x:v>High Seas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2187.9276656243</x:v>
      </x:c>
      <x:c r="J12" s="60" t="n">
        <x:v>2187.9276656243</x:v>
      </x:c>
      <x:c r="K12" s="60" t="n">
        <x:v>0</x:v>
      </x:c>
      <x:c r="L12" s="60" t="n">
        <x:v>2187.9276656243</x:v>
      </x:c>
      <x:c r="M12" s="60" t="n">
        <x:v>0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35777.08763999664</x:v>
      </x:c>
      <x:c r="U12" s="60" t="n">
        <x:f>IF(T12="","",I12*T12)</x:f>
        <x:v>78277679.84301384</x:v>
      </x:c>
    </x:row>
    <x:row r="13" ht="18" customHeight="1">
      <x:c r="A13" s="46" t="str">
        <x:v>HS_057</x:v>
      </x:c>
      <x:c r="B13" s="46" t="str">
        <x:v>Indian Ocean, Eastern</x:v>
      </x:c>
      <x:c r="C13" s="46" t="str">
        <x:v>High Seas</x:v>
      </x:c>
      <x:c r="D13" s="58" t="n">
        <x:v>2019</x:v>
      </x:c>
      <x:c r="E13" s="46" t="str">
        <x:v>Istiompax indica</x:v>
      </x:c>
      <x:c r="F13" s="46" t="str">
        <x:v>Black marlin</x:v>
      </x:c>
      <x:c r="G13" s="46" t="str">
        <x:v>Large pelagics (&gt;=90 cm)</x:v>
      </x:c>
      <x:c r="H13" s="46" t="str">
        <x:v>Tuna &amp; billfishes</x:v>
      </x:c>
      <x:c r="I13" s="60" t="n">
        <x:v>1170.3167107945</x:v>
      </x:c>
      <x:c r="J13" s="60" t="n">
        <x:v>1170.3167107945</x:v>
      </x:c>
      <x:c r="K13" s="60" t="n">
        <x:v>0</x:v>
      </x:c>
      <x:c r="L13" s="60" t="n">
        <x:v>1170.3167107945</x:v>
      </x:c>
      <x:c r="M13" s="60" t="n">
        <x:v>0</x:v>
      </x:c>
      <x:c r="N13" s="46" t="str">
        <x:v>istiompax indica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Istiompax indica</x:v>
      </x:c>
      <x:c r="T13" s="62" t="n">
        <x:f>IF(O13="","",(1/'Metadata'!$B$5)^(O13-1))</x:f>
        <x:v>35777.08763999664</x:v>
      </x:c>
      <x:c r="U13" s="60" t="n">
        <x:f>IF(T13="","",I13*T13)</x:f>
        <x:v>41870523.52864743</x:v>
      </x:c>
    </x:row>
    <x:row r="14" ht="18" customHeight="1">
      <x:c r="A14" s="46" t="str">
        <x:v>HS_057</x:v>
      </x:c>
      <x:c r="B14" s="46" t="str">
        <x:v>Indian Ocean, Eastern</x:v>
      </x:c>
      <x:c r="C14" s="46" t="str">
        <x:v>High Seas</x:v>
      </x:c>
      <x:c r="D14" s="58" t="n">
        <x:v>2019</x:v>
      </x:c>
      <x:c r="E14" s="46" t="str">
        <x:v>Istiophorus platypterus</x:v>
      </x:c>
      <x:c r="F14" s="46" t="str">
        <x:v>Indo-Pacific sailfish</x:v>
      </x:c>
      <x:c r="G14" s="46" t="str">
        <x:v>Large pelagics (&gt;=90 cm)</x:v>
      </x:c>
      <x:c r="H14" s="46" t="str">
        <x:v>Tuna &amp; billfishes</x:v>
      </x:c>
      <x:c r="I14" s="60" t="n">
        <x:v>1130.6439011188</x:v>
      </x:c>
      <x:c r="J14" s="60" t="n">
        <x:v>1130.6439011188</x:v>
      </x:c>
      <x:c r="K14" s="60" t="n">
        <x:v>0</x:v>
      </x:c>
      <x:c r="L14" s="60" t="n">
        <x:v>1130.6439011188</x:v>
      </x:c>
      <x:c r="M14" s="60" t="n">
        <x:v>0</x:v>
      </x:c>
      <x:c r="N14" s="46" t="str">
        <x:v>istiophorus platypterus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platypterus</x:v>
      </x:c>
      <x:c r="T14" s="62" t="n">
        <x:f>IF(O14="","",(1/'Metadata'!$B$5)^(O14-1))</x:f>
        <x:v>35777.08763999664</x:v>
      </x:c>
      <x:c r="U14" s="60" t="n">
        <x:f>IF(T14="","",I14*T14)</x:f>
        <x:v>40451145.939954996</x:v>
      </x:c>
    </x:row>
    <x:row r="15" ht="18" customHeight="1">
      <x:c r="A15" s="46" t="str">
        <x:v>HS_057</x:v>
      </x:c>
      <x:c r="B15" s="46" t="str">
        <x:v>Indian Ocean, Eastern</x:v>
      </x:c>
      <x:c r="C15" s="46" t="str">
        <x:v>High Seas</x:v>
      </x:c>
      <x:c r="D15" s="58" t="n">
        <x:v>2019</x:v>
      </x:c>
      <x:c r="E15" s="46" t="str">
        <x:v>Isurus oxyrinchus</x:v>
      </x:c>
      <x:c r="F15" s="46" t="str">
        <x:v>Shortfin mako</x:v>
      </x:c>
      <x:c r="G15" s="46" t="str">
        <x:v>Large sharks (&gt;=90 cm)</x:v>
      </x:c>
      <x:c r="H15" s="46" t="str">
        <x:v>Sharks &amp; rays</x:v>
      </x:c>
      <x:c r="I15" s="60" t="n">
        <x:v>653.3041529816</x:v>
      </x:c>
      <x:c r="J15" s="60" t="n">
        <x:v>653.3041529816</x:v>
      </x:c>
      <x:c r="K15" s="60" t="n">
        <x:v>0</x:v>
      </x:c>
      <x:c r="L15" s="60" t="n">
        <x:v>653.3041529816</x:v>
      </x:c>
      <x:c r="M15" s="60" t="n">
        <x:v>0</x:v>
      </x:c>
      <x:c r="N15" s="46" t="str">
        <x:v>isurus oxyrinchus</x:v>
      </x:c>
      <x:c r="O15" s="62" t="n">
        <x:v>4.5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Isurus oxyrinchus</x:v>
      </x:c>
      <x:c r="T15" s="62" t="n">
        <x:f>IF(O15="","",(1/'Metadata'!$B$5)^(O15-1))</x:f>
        <x:v>35777.08763999664</x:v>
      </x:c>
      <x:c r="U15" s="60" t="n">
        <x:f>IF(T15="","",I15*T15)</x:f>
        <x:v>23373319.936796475</x:v>
      </x:c>
    </x:row>
    <x:row r="16" ht="18" customHeight="1">
      <x:c r="A16" s="46" t="str">
        <x:v>HS_057</x:v>
      </x:c>
      <x:c r="B16" s="46" t="str">
        <x:v>Indian Ocean, Eastern</x:v>
      </x:c>
      <x:c r="C16" s="46" t="str">
        <x:v>High Seas</x:v>
      </x:c>
      <x:c r="D16" s="58" t="n">
        <x:v>2019</x:v>
      </x:c>
      <x:c r="E16" s="46" t="str">
        <x:v>Elasmobranchii</x:v>
      </x:c>
      <x:c r="F16" s="46" t="str">
        <x:v>Sharks, rays, skates</x:v>
      </x:c>
      <x:c r="G16" s="46" t="str">
        <x:v>Large sharks (&gt;=90 cm)</x:v>
      </x:c>
      <x:c r="H16" s="46" t="str">
        <x:v>Sharks &amp; rays</x:v>
      </x:c>
      <x:c r="I16" s="60" t="n">
        <x:v>649.2496631980999</x:v>
      </x:c>
      <x:c r="J16" s="60" t="n">
        <x:v>649.2496631980999</x:v>
      </x:c>
      <x:c r="K16" s="60" t="n">
        <x:v>0</x:v>
      </x:c>
      <x:c r="L16" s="60" t="n">
        <x:v>649.2496631980999</x:v>
      </x:c>
      <x:c r="M16" s="60" t="n">
        <x:v>0</x:v>
      </x:c>
      <x:c r="N16" s="46" t="str">
        <x:v>elasmobranchii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Elasmobranchii</x:v>
      </x:c>
      <x:c r="T16" s="62" t="n">
        <x:f>IF(O16="","",(1/'Metadata'!$B$5)^(O16-1))</x:f>
        <x:v>9292.690797132333</x:v>
      </x:c>
      <x:c r="U16" s="60" t="n">
        <x:f>IF(T16="","",I16*T16)</x:f>
        <x:v>6033276.37024225</x:v>
      </x:c>
    </x:row>
    <x:row r="17" ht="18" customHeight="1">
      <x:c r="A17" s="46" t="str">
        <x:v>HS_057</x:v>
      </x:c>
      <x:c r="B17" s="46" t="str">
        <x:v>Indian Ocean, Eastern</x:v>
      </x:c>
      <x:c r="C17" s="46" t="str">
        <x:v>High Seas</x:v>
      </x:c>
      <x:c r="D17" s="58" t="n">
        <x:v>2019</x:v>
      </x:c>
      <x:c r="E17" s="46" t="str">
        <x:v>Kajikia audax</x:v>
      </x:c>
      <x:c r="F17" s="46" t="str">
        <x:v>Striped marlin</x:v>
      </x:c>
      <x:c r="G17" s="46" t="str">
        <x:v>Large pelagics (&gt;=90 cm)</x:v>
      </x:c>
      <x:c r="H17" s="46" t="str">
        <x:v>Tuna &amp; billfishes</x:v>
      </x:c>
      <x:c r="I17" s="60" t="n">
        <x:v>512.7907277165</x:v>
      </x:c>
      <x:c r="J17" s="60" t="n">
        <x:v>512.7907277165</x:v>
      </x:c>
      <x:c r="K17" s="60" t="n">
        <x:v>0</x:v>
      </x:c>
      <x:c r="L17" s="60" t="n">
        <x:v>512.7907277165</x:v>
      </x:c>
      <x:c r="M17" s="60" t="n">
        <x:v>0</x:v>
      </x:c>
      <x:c r="N17" s="46" t="str">
        <x:v>kajikia audax</x:v>
      </x:c>
      <x:c r="O17" s="62" t="n">
        <x:v>4.58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Kajikia audax</x:v>
      </x:c>
      <x:c r="T17" s="62" t="n">
        <x:f>IF(O17="","",(1/'Metadata'!$B$5)^(O17-1))</x:f>
        <x:v>45466.06667430095</x:v>
      </x:c>
      <x:c r="U17" s="60" t="n">
        <x:f>IF(T17="","",I17*T17)</x:f>
        <x:v>23314577.41632169</x:v>
      </x:c>
    </x:row>
    <x:row r="18" ht="18" customHeight="1">
      <x:c r="A18" s="46" t="str">
        <x:v>HS_057</x:v>
      </x:c>
      <x:c r="B18" s="46" t="str">
        <x:v>Indian Ocean, Eastern</x:v>
      </x:c>
      <x:c r="C18" s="46" t="str">
        <x:v>High Seas</x:v>
      </x:c>
      <x:c r="D18" s="58" t="n">
        <x:v>2019</x:v>
      </x:c>
      <x:c r="E18" s="46" t="str">
        <x:v>Isurus</x:v>
      </x:c>
      <x:c r="F18" s="46" t="str">
        <x:v>Mako sharks</x:v>
      </x:c>
      <x:c r="G18" s="46" t="str">
        <x:v>Large sharks (&gt;=90 cm)</x:v>
      </x:c>
      <x:c r="H18" s="46" t="str">
        <x:v>Sharks &amp; rays</x:v>
      </x:c>
      <x:c r="I18" s="60" t="n">
        <x:v>510.2490733207</x:v>
      </x:c>
      <x:c r="J18" s="60" t="n">
        <x:v>510.2490733207</x:v>
      </x:c>
      <x:c r="K18" s="60" t="n">
        <x:v>0</x:v>
      </x:c>
      <x:c r="L18" s="60" t="n">
        <x:v>510.2490733207</x:v>
      </x:c>
      <x:c r="M18" s="60" t="n">
        <x:v>0</x:v>
      </x:c>
      <x:c r="N18" s="46" t="str">
        <x:v>isurus</x:v>
      </x:c>
      <x:c r="O18" s="62" t="n">
        <x:v>4.5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Isurus</x:v>
      </x:c>
      <x:c r="T18" s="62" t="n">
        <x:f>IF(O18="","",(1/'Metadata'!$B$5)^(O18-1))</x:f>
        <x:v>35777.08763999664</x:v>
      </x:c>
      <x:c r="U18" s="60" t="n">
        <x:f>IF(T18="","",I18*T18)</x:f>
        <x:v>18255225.814421754</x:v>
      </x:c>
    </x:row>
    <x:row r="19" ht="18" customHeight="1">
      <x:c r="A19" s="46" t="str">
        <x:v>HS_057</x:v>
      </x:c>
      <x:c r="B19" s="46" t="str">
        <x:v>Indian Ocean, Eastern</x:v>
      </x:c>
      <x:c r="C19" s="46" t="str">
        <x:v>High Seas</x:v>
      </x:c>
      <x:c r="D19" s="58" t="n">
        <x:v>2019</x:v>
      </x:c>
      <x:c r="E19" s="46" t="str">
        <x:v>Carcharhinus falciformis</x:v>
      </x:c>
      <x:c r="F19" s="46" t="str">
        <x:v>Silky shark</x:v>
      </x:c>
      <x:c r="G19" s="46" t="str">
        <x:v>Large sharks (&gt;=90 cm)</x:v>
      </x:c>
      <x:c r="H19" s="46" t="str">
        <x:v>Sharks &amp; rays</x:v>
      </x:c>
      <x:c r="I19" s="60" t="n">
        <x:v>254.1960674001</x:v>
      </x:c>
      <x:c r="J19" s="60" t="n">
        <x:v>254.1960674001</x:v>
      </x:c>
      <x:c r="K19" s="60" t="n">
        <x:v>0</x:v>
      </x:c>
      <x:c r="L19" s="60" t="n">
        <x:v>254.1960674001</x:v>
      </x:c>
      <x:c r="M19" s="60" t="n">
        <x:v>0</x:v>
      </x:c>
      <x:c r="N19" s="46" t="str">
        <x:v>carcharhinus falciformis</x:v>
      </x:c>
      <x:c r="O19" s="62" t="n">
        <x:v>4.51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Carcharhinus falciformis</x:v>
      </x:c>
      <x:c r="T19" s="62" t="n">
        <x:f>IF(O19="","",(1/'Metadata'!$B$5)^(O19-1))</x:f>
        <x:v>36865.088835568684</x:v>
      </x:c>
      <x:c r="U19" s="60" t="n">
        <x:f>IF(T19="","",I19*T19)</x:f>
        <x:v>9370960.60635689</x:v>
      </x:c>
    </x:row>
    <x:row r="20" ht="18" customHeight="1">
      <x:c r="A20" s="46" t="str">
        <x:v>HS_057</x:v>
      </x:c>
      <x:c r="B20" s="46" t="str">
        <x:v>Indian Ocean, Eastern</x:v>
      </x:c>
      <x:c r="C20" s="46" t="str">
        <x:v>High Seas</x:v>
      </x:c>
      <x:c r="D20" s="58" t="n">
        <x:v>2019</x:v>
      </x:c>
      <x:c r="E20" s="46" t="str">
        <x:v>Coryphaena hippurus</x:v>
      </x:c>
      <x:c r="F20" s="46" t="str">
        <x:v>Common dolphinfish</x:v>
      </x:c>
      <x:c r="G20" s="46" t="str">
        <x:v>Large pelagics (&gt;=90 cm)</x:v>
      </x:c>
      <x:c r="H20" s="46" t="str">
        <x:v>Perch-likes</x:v>
      </x:c>
      <x:c r="I20" s="60" t="n">
        <x:v>167.8345991873</x:v>
      </x:c>
      <x:c r="J20" s="60" t="n">
        <x:v>167.8345991873</x:v>
      </x:c>
      <x:c r="K20" s="60" t="n">
        <x:v>0</x:v>
      </x:c>
      <x:c r="L20" s="60" t="n">
        <x:v>167.8345991873</x:v>
      </x:c>
      <x:c r="M20" s="60" t="n">
        <x:v>0</x:v>
      </x:c>
      <x:c r="N20" s="46" t="str">
        <x:v>coryphaena hippurus</x:v>
      </x:c>
      <x:c r="O20" s="62" t="n">
        <x:v>4.37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Coryphaena hippurus</x:v>
      </x:c>
      <x:c r="T20" s="62" t="n">
        <x:f>IF(O20="","",(1/'Metadata'!$B$5)^(O20-1))</x:f>
        <x:v>24236.56596112542</x:v>
      </x:c>
      <x:c r="U20" s="60" t="n">
        <x:f>IF(T20="","",I20*T20)</x:f>
        <x:v>4067734.333762043</x:v>
      </x:c>
    </x:row>
    <x:row r="21" ht="18" customHeight="1">
      <x:c r="A21" s="46" t="str">
        <x:v>HS_057</x:v>
      </x:c>
      <x:c r="B21" s="46" t="str">
        <x:v>Indian Ocean, Eastern</x:v>
      </x:c>
      <x:c r="C21" s="46" t="str">
        <x:v>High Seas</x:v>
      </x:c>
      <x:c r="D21" s="58" t="n">
        <x:v>2019</x:v>
      </x:c>
      <x:c r="E21" s="46" t="str">
        <x:v>Auxis thazard</x:v>
      </x:c>
      <x:c r="F21" s="46" t="str">
        <x:v>Frigate tuna</x:v>
      </x:c>
      <x:c r="G21" s="46" t="str">
        <x:v>Medium pelagics (30 - 89 cm)</x:v>
      </x:c>
      <x:c r="H21" s="46" t="str">
        <x:v>Tuna &amp; billfishes</x:v>
      </x:c>
      <x:c r="I21" s="60" t="n">
        <x:v>115.5246962178</x:v>
      </x:c>
      <x:c r="J21" s="60" t="n">
        <x:v>115.5246962178</x:v>
      </x:c>
      <x:c r="K21" s="60" t="n">
        <x:v>0</x:v>
      </x:c>
      <x:c r="L21" s="60" t="n">
        <x:v>115.5246962178</x:v>
      </x:c>
      <x:c r="M21" s="60" t="n">
        <x:v>0</x:v>
      </x:c>
      <x:c r="N21" s="46" t="str">
        <x:v>auxis thazard</x:v>
      </x:c>
      <x:c r="O21" s="62" t="n">
        <x:v>4.37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Auxis thazard</x:v>
      </x:c>
      <x:c r="T21" s="62" t="n">
        <x:f>IF(O21="","",(1/'Metadata'!$B$5)^(O21-1))</x:f>
        <x:v>24236.56596112542</x:v>
      </x:c>
      <x:c r="U21" s="60" t="n">
        <x:f>IF(T21="","",I21*T21)</x:f>
        <x:v>2799921.920021686</x:v>
      </x:c>
    </x:row>
    <x:row r="22" ht="18" customHeight="1">
      <x:c r="A22" s="46" t="str">
        <x:v>HS_057</x:v>
      </x:c>
      <x:c r="B22" s="46" t="str">
        <x:v>Indian Ocean, Eastern</x:v>
      </x:c>
      <x:c r="C22" s="46" t="str">
        <x:v>High Seas</x:v>
      </x:c>
      <x:c r="D22" s="58" t="n">
        <x:v>2019</x:v>
      </x:c>
      <x:c r="E22" s="46" t="str">
        <x:v>Tetrapturus angustirostris</x:v>
      </x:c>
      <x:c r="F22" s="46" t="str">
        <x:v>Shortbill spearfish</x:v>
      </x:c>
      <x:c r="G22" s="46" t="str">
        <x:v>Large pelagics (&gt;=90 cm)</x:v>
      </x:c>
      <x:c r="H22" s="46" t="str">
        <x:v>Tuna &amp; billfishes</x:v>
      </x:c>
      <x:c r="I22" s="60" t="n">
        <x:v>90.32172009680001</x:v>
      </x:c>
      <x:c r="J22" s="60" t="n">
        <x:v>90.32172009680001</x:v>
      </x:c>
      <x:c r="K22" s="60" t="n">
        <x:v>0</x:v>
      </x:c>
      <x:c r="L22" s="60" t="n">
        <x:v>90.32172009680001</x:v>
      </x:c>
      <x:c r="M22" s="60" t="n">
        <x:v>0</x:v>
      </x:c>
      <x:c r="N22" s="46" t="str">
        <x:v>tetrapturus angustirostris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Tetrapturus angustirostris</x:v>
      </x:c>
      <x:c r="T22" s="62" t="n">
        <x:f>IF(O22="","",(1/'Metadata'!$B$5)^(O22-1))</x:f>
        <x:v>35777.08763999664</x:v>
      </x:c>
      <x:c r="U22" s="60" t="n">
        <x:f>IF(T22="","",I22*T22)</x:f>
        <x:v>3231448.0956984595</x:v>
      </x:c>
    </x:row>
    <x:row r="23" ht="18" customHeight="1">
      <x:c r="A23" s="46" t="str">
        <x:v>HS_057</x:v>
      </x:c>
      <x:c r="B23" s="46" t="str">
        <x:v>Indian Ocean, Eastern</x:v>
      </x:c>
      <x:c r="C23" s="46" t="str">
        <x:v>High Seas</x:v>
      </x:c>
      <x:c r="D23" s="58" t="n">
        <x:v>2019</x:v>
      </x:c>
      <x:c r="E23" s="46" t="str">
        <x:v>Makaira</x:v>
      </x:c>
      <x:c r="F23" s="46" t="str">
        <x:v>Blue marlins</x:v>
      </x:c>
      <x:c r="G23" s="46" t="str">
        <x:v>Large pelagics (&gt;=90 cm)</x:v>
      </x:c>
      <x:c r="H23" s="46" t="str">
        <x:v>Tuna &amp; billfishes</x:v>
      </x:c>
      <x:c r="I23" s="60" t="n">
        <x:v>55.1017346243</x:v>
      </x:c>
      <x:c r="J23" s="60" t="n">
        <x:v>55.1017346243</x:v>
      </x:c>
      <x:c r="K23" s="60" t="n">
        <x:v>0</x:v>
      </x:c>
      <x:c r="L23" s="60" t="n">
        <x:v>55.1017346243</x:v>
      </x:c>
      <x:c r="M23" s="60" t="n">
        <x:v>0</x:v>
      </x:c>
      <x:c r="N23" s="46" t="str">
        <x:v>makaira</x:v>
      </x:c>
      <x:c r="O23" s="62" t="n">
        <x:v>4.47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Makaira</x:v>
      </x:c>
      <x:c r="T23" s="62" t="n">
        <x:f>IF(O23="","",(1/'Metadata'!$B$5)^(O23-1))</x:f>
        <x:v>32701.982737855422</x:v>
      </x:c>
      <x:c r="U23" s="60" t="n">
        <x:f>IF(T23="","",I23*T23)</x:f>
        <x:v>1801935.974509749</x:v>
      </x:c>
    </x:row>
    <x:row r="24" ht="18" customHeight="1">
      <x:c r="A24" s="46" t="str">
        <x:v>HS_057</x:v>
      </x:c>
      <x:c r="B24" s="46" t="str">
        <x:v>Indian Ocean, Eastern</x:v>
      </x:c>
      <x:c r="C24" s="46" t="str">
        <x:v>High Seas</x:v>
      </x:c>
      <x:c r="D24" s="58" t="n">
        <x:v>2019</x:v>
      </x:c>
      <x:c r="E24" s="46" t="str">
        <x:v>Acanthocybium solandri</x:v>
      </x:c>
      <x:c r="F24" s="46" t="str">
        <x:v>Wahoo</x:v>
      </x:c>
      <x:c r="G24" s="46" t="str">
        <x:v>Large pelagics (&gt;=90 cm)</x:v>
      </x:c>
      <x:c r="H24" s="46" t="str">
        <x:v>Perch-likes</x:v>
      </x:c>
      <x:c r="I24" s="60" t="n">
        <x:v>40.64161916300001</x:v>
      </x:c>
      <x:c r="J24" s="60" t="n">
        <x:v>40.64161916300001</x:v>
      </x:c>
      <x:c r="K24" s="60" t="n">
        <x:v>0</x:v>
      </x:c>
      <x:c r="L24" s="60" t="n">
        <x:v>40.64161916300001</x:v>
      </x:c>
      <x:c r="M24" s="60" t="n">
        <x:v>0</x:v>
      </x:c>
      <x:c r="N24" s="46" t="str">
        <x:v>acanthocybium solandri</x:v>
      </x:c>
      <x:c r="O24" s="62" t="n">
        <x:v>4.26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Acanthocybium solandri</x:v>
      </x:c>
      <x:c r="T24" s="62" t="n">
        <x:f>IF(O24="","",(1/'Metadata'!$B$5)^(O24-1))</x:f>
        <x:v>17432.42421569787</x:v>
      </x:c>
      <x:c r="U24" s="60" t="n">
        <x:f>IF(T24="","",I24*T24)</x:f>
        <x:v>708481.9460622519</x:v>
      </x:c>
    </x:row>
    <x:row r="25" ht="18" customHeight="1">
      <x:c r="A25" s="46" t="str">
        <x:v>HS_057</x:v>
      </x:c>
      <x:c r="B25" s="46" t="str">
        <x:v>Indian Ocean, Eastern</x:v>
      </x:c>
      <x:c r="C25" s="46" t="str">
        <x:v>High Seas</x:v>
      </x:c>
      <x:c r="D25" s="58" t="n">
        <x:v>2019</x:v>
      </x:c>
      <x:c r="E25" s="46" t="str">
        <x:v>Auxis rochei</x:v>
      </x:c>
      <x:c r="F25" s="46" t="str">
        <x:v>Bullet tuna</x:v>
      </x:c>
      <x:c r="G25" s="46" t="str">
        <x:v>Medium pelagics (30 - 89 cm)</x:v>
      </x:c>
      <x:c r="H25" s="46" t="str">
        <x:v>Tuna &amp; billfishes</x:v>
      </x:c>
      <x:c r="I25" s="60" t="n">
        <x:v>40.1879941447</x:v>
      </x:c>
      <x:c r="J25" s="60" t="n">
        <x:v>40.1879941447</x:v>
      </x:c>
      <x:c r="K25" s="60" t="n">
        <x:v>0</x:v>
      </x:c>
      <x:c r="L25" s="60" t="n">
        <x:v>40.1879941447</x:v>
      </x:c>
      <x:c r="M25" s="60" t="n">
        <x:v>0</x:v>
      </x:c>
      <x:c r="N25" s="46" t="str">
        <x:v>auxis rochei</x:v>
      </x:c>
      <x:c r="O25" s="62" t="n">
        <x:v>4.13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Auxis rochei</x:v>
      </x:c>
      <x:c r="T25" s="62" t="n">
        <x:f>IF(O25="","",(1/'Metadata'!$B$5)^(O25-1))</x:f>
        <x:v>11809.292685236613</x:v>
      </x:c>
      <x:c r="U25" s="60" t="n">
        <x:f>IF(T25="","",I25*T25)</x:f>
        <x:v>474591.7852873375</x:v>
      </x:c>
    </x:row>
    <x:row r="26" ht="18" customHeight="1">
      <x:c r="A26" s="46" t="str">
        <x:v>HS_057</x:v>
      </x:c>
      <x:c r="B26" s="46" t="str">
        <x:v>Indian Ocean, Eastern</x:v>
      </x:c>
      <x:c r="C26" s="46" t="str">
        <x:v>High Seas</x:v>
      </x:c>
      <x:c r="D26" s="58" t="n">
        <x:v>2019</x:v>
      </x:c>
      <x:c r="E26" s="46" t="str">
        <x:v>Istiophoridae</x:v>
      </x:c>
      <x:c r="F26" s="46" t="str">
        <x:v>Billfishes</x:v>
      </x:c>
      <x:c r="G26" s="46" t="str">
        <x:v>Large pelagics (&gt;=90 cm)</x:v>
      </x:c>
      <x:c r="H26" s="46" t="str">
        <x:v>Tuna &amp; billfishes</x:v>
      </x:c>
      <x:c r="I26" s="60" t="n">
        <x:v>18.1851735754</x:v>
      </x:c>
      <x:c r="J26" s="60" t="n">
        <x:v>18.1851735754</x:v>
      </x:c>
      <x:c r="K26" s="60" t="n">
        <x:v>0</x:v>
      </x:c>
      <x:c r="L26" s="60" t="n">
        <x:v>18.1851735754</x:v>
      </x:c>
      <x:c r="M26" s="60" t="n">
        <x:v>0</x:v>
      </x:c>
      <x:c r="N26" s="46" t="str">
        <x:v>istiophoridae</x:v>
      </x:c>
      <x:c r="O26" s="62" t="n">
        <x:v>4.48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Istiophoridae</x:v>
      </x:c>
      <x:c r="T26" s="62" t="n">
        <x:f>IF(O26="","",(1/'Metadata'!$B$5)^(O26-1))</x:f>
        <x:v>33696.468277717824</x:v>
      </x:c>
      <x:c r="U26" s="60" t="n">
        <x:f>IF(T26="","",I26*T26)</x:f>
        <x:v>612776.1245082585</x:v>
      </x:c>
    </x:row>
    <x:row r="27" ht="18" customHeight="1">
      <x:c r="A27" s="46" t="str">
        <x:v>HS_057</x:v>
      </x:c>
      <x:c r="B27" s="46" t="str">
        <x:v>Indian Ocean, Eastern</x:v>
      </x:c>
      <x:c r="C27" s="46" t="str">
        <x:v>High Seas</x:v>
      </x:c>
      <x:c r="D27" s="58" t="n">
        <x:v>2019</x:v>
      </x:c>
      <x:c r="E27" s="46" t="str">
        <x:v>Sphyrna lewini</x:v>
      </x:c>
      <x:c r="F27" s="46" t="str">
        <x:v>Scalloped hammerhead</x:v>
      </x:c>
      <x:c r="G27" s="46" t="str">
        <x:v>Large sharks (&gt;=90 cm)</x:v>
      </x:c>
      <x:c r="H27" s="46" t="str">
        <x:v>Sharks &amp; rays</x:v>
      </x:c>
      <x:c r="I27" s="60" t="n">
        <x:v>10.8912382273</x:v>
      </x:c>
      <x:c r="J27" s="60" t="n">
        <x:v>10.8912382273</x:v>
      </x:c>
      <x:c r="K27" s="60" t="n">
        <x:v>0</x:v>
      </x:c>
      <x:c r="L27" s="60" t="n">
        <x:v>10.8912382273</x:v>
      </x:c>
      <x:c r="M27" s="60" t="n">
        <x:v>0</x:v>
      </x:c>
      <x:c r="N27" s="46" t="str">
        <x:v>sphyrna lewini</x:v>
      </x:c>
      <x:c r="O27" s="62" t="n">
        <x:v>4.08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Sphyrna lewini</x:v>
      </x:c>
      <x:c r="T27" s="62" t="n">
        <x:f>IF(O27="","",(1/'Metadata'!$B$5)^(O27-1))</x:f>
        <x:v>10166.521575327472</x:v>
      </x:c>
      <x:c r="U27" s="60" t="n">
        <x:f>IF(T27="","",I27*T27)</x:f>
        <x:v>110726.00841987679</x:v>
      </x:c>
    </x:row>
    <x:row r="28" ht="18" customHeight="1">
      <x:c r="A28" s="46" t="str">
        <x:v>HS_057</x:v>
      </x:c>
      <x:c r="B28" s="46" t="str">
        <x:v>Indian Ocean, Eastern</x:v>
      </x:c>
      <x:c r="C28" s="46" t="str">
        <x:v>High Seas</x:v>
      </x:c>
      <x:c r="D28" s="58" t="n">
        <x:v>2019</x:v>
      </x:c>
      <x:c r="E28" s="46" t="str">
        <x:v>Scomberomorus guttatus</x:v>
      </x:c>
      <x:c r="F28" s="46" t="str">
        <x:v>Indo-Pacific king mackerel</x:v>
      </x:c>
      <x:c r="G28" s="46" t="str">
        <x:v>Medium pelagics (30 - 89 cm)</x:v>
      </x:c>
      <x:c r="H28" s="46" t="str">
        <x:v>Perch-likes</x:v>
      </x:c>
      <x:c r="I28" s="60" t="n">
        <x:v>7.6311703075</x:v>
      </x:c>
      <x:c r="J28" s="60" t="n">
        <x:v>7.6311703075</x:v>
      </x:c>
      <x:c r="K28" s="60" t="n">
        <x:v>0</x:v>
      </x:c>
      <x:c r="L28" s="60" t="n">
        <x:v>7.6311703075</x:v>
      </x:c>
      <x:c r="M28" s="60" t="n">
        <x:v>0</x:v>
      </x:c>
      <x:c r="N28" s="46" t="str">
        <x:v>scomberomorus guttatus</x:v>
      </x:c>
      <x:c r="O28" s="62" t="n">
        <x:v>4.28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Scomberomorus guttatus</x:v>
      </x:c>
      <x:c r="T28" s="62" t="n">
        <x:f>IF(O28="","",(1/'Metadata'!$B$5)^(O28-1))</x:f>
        <x:v>18508.805249333516</x:v>
      </x:c>
      <x:c r="U28" s="60" t="n">
        <x:f>IF(T28="","",I28*T28)</x:f>
        <x:v>141243.84504601406</x:v>
      </x:c>
    </x:row>
    <x:row r="29" ht="18" customHeight="1">
      <x:c r="A29" s="46" t="str">
        <x:v>HS_057</x:v>
      </x:c>
      <x:c r="B29" s="46" t="str">
        <x:v>Indian Ocean, Eastern</x:v>
      </x:c>
      <x:c r="C29" s="46" t="str">
        <x:v>High Seas</x:v>
      </x:c>
      <x:c r="D29" s="58" t="n">
        <x:v>2019</x:v>
      </x:c>
      <x:c r="E29" s="46" t="str">
        <x:v>Sphyrna</x:v>
      </x:c>
      <x:c r="F29" s="46" t="str">
        <x:v>Hammerhead sharks</x:v>
      </x:c>
      <x:c r="G29" s="46" t="str">
        <x:v>Large sharks (&gt;=90 cm)</x:v>
      </x:c>
      <x:c r="H29" s="46" t="str">
        <x:v>Sharks &amp; rays</x:v>
      </x:c>
      <x:c r="I29" s="60" t="n">
        <x:v>2.6771429816</x:v>
      </x:c>
      <x:c r="J29" s="60" t="n">
        <x:v>2.6771429816</x:v>
      </x:c>
      <x:c r="K29" s="60" t="n">
        <x:v>0</x:v>
      </x:c>
      <x:c r="L29" s="60" t="n">
        <x:v>2.6771429816</x:v>
      </x:c>
      <x:c r="M29" s="60" t="n">
        <x:v>0</x:v>
      </x:c>
      <x:c r="N29" s="46" t="str">
        <x:v>sphyrna</x:v>
      </x:c>
      <x:c r="O29" s="62" t="n">
        <x:v>4.2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Sphyrna</x:v>
      </x:c>
      <x:c r="T29" s="62" t="n">
        <x:f>IF(O29="","",(1/'Metadata'!$B$5)^(O29-1))</x:f>
        <x:v>14564.51362420865</x:v>
      </x:c>
      <x:c r="U29" s="60" t="n">
        <x:f>IF(T29="","",I29*T29)</x:f>
        <x:v>38991.28542946777</x:v>
      </x:c>
    </x:row>
    <x:row r="30" ht="18" customHeight="1">
      <x:c r="A30" s="46" t="str">
        <x:v>HS_057</x:v>
      </x:c>
      <x:c r="B30" s="46" t="str">
        <x:v>Indian Ocean, Eastern</x:v>
      </x:c>
      <x:c r="C30" s="46" t="str">
        <x:v>High Seas</x:v>
      </x:c>
      <x:c r="D30" s="58" t="n">
        <x:v>2019</x:v>
      </x:c>
      <x:c r="E30" s="46" t="str">
        <x:v>Decapterus macarellus</x:v>
      </x:c>
      <x:c r="F30" s="46" t="str">
        <x:v>Mackerel scad</x:v>
      </x:c>
      <x:c r="G30" s="46" t="str">
        <x:v>Medium pelagics (30 - 89 cm)</x:v>
      </x:c>
      <x:c r="H30" s="46" t="str">
        <x:v>Perch-likes</x:v>
      </x:c>
      <x:c r="I30" s="60" t="n">
        <x:v>1.5434046297</x:v>
      </x:c>
      <x:c r="J30" s="60" t="n">
        <x:v>1.5434046297</x:v>
      </x:c>
      <x:c r="K30" s="60" t="n">
        <x:v>0</x:v>
      </x:c>
      <x:c r="L30" s="60" t="n">
        <x:v>1.5434046297</x:v>
      </x:c>
      <x:c r="M30" s="60" t="n">
        <x:v>0</x:v>
      </x:c>
      <x:c r="N30" s="46" t="str">
        <x:v>decapterus macarellus</x:v>
      </x:c>
      <x:c r="O30" s="62" t="n">
        <x:v>3.96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Decapterus macarellus</x:v>
      </x:c>
      <x:c r="T30" s="62" t="n">
        <x:f>IF(O30="","",(1/'Metadata'!$B$5)^(O30-1))</x:f>
        <x:v>7096.574839945253</x:v>
      </x:c>
      <x:c r="U30" s="60" t="n">
        <x:f>IF(T30="","",I30*T30)</x:f>
        <x:v>10952.88646298404</x:v>
      </x:c>
    </x:row>
    <x:row r="31" ht="18" customHeight="1">
      <x:c r="A31" s="46" t="str">
        <x:v>HS_057</x:v>
      </x:c>
      <x:c r="B31" s="46" t="str">
        <x:v>Indian Ocean, Eastern</x:v>
      </x:c>
      <x:c r="C31" s="46" t="str">
        <x:v>High Seas</x:v>
      </x:c>
      <x:c r="D31" s="58" t="n">
        <x:v>2019</x:v>
      </x:c>
      <x:c r="E31" s="46" t="str">
        <x:v>Lamna nasus</x:v>
      </x:c>
      <x:c r="F31" s="46" t="str">
        <x:v>Porbeagle</x:v>
      </x:c>
      <x:c r="G31" s="46" t="str">
        <x:v>Large sharks (&gt;=90 cm)</x:v>
      </x:c>
      <x:c r="H31" s="46" t="str">
        <x:v>Sharks &amp; rays</x:v>
      </x:c>
      <x:c r="I31" s="60" t="n">
        <x:v>0.0565876778</x:v>
      </x:c>
      <x:c r="J31" s="60" t="n">
        <x:v>0.0565876778</x:v>
      </x:c>
      <x:c r="K31" s="60" t="n">
        <x:v>0</x:v>
      </x:c>
      <x:c r="L31" s="60" t="n">
        <x:v>0.0565876778</x:v>
      </x:c>
      <x:c r="M31" s="60" t="n">
        <x:v>0</x:v>
      </x:c>
      <x:c r="N31" s="46" t="str">
        <x:v>lamna nasus</x:v>
      </x:c>
      <x:c r="O31" s="62" t="n">
        <x:v>4.57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Lamna nasus</x:v>
      </x:c>
      <x:c r="T31" s="62" t="n">
        <x:f>IF(O31="","",(1/'Metadata'!$B$5)^(O31-1))</x:f>
        <x:v>44124.224393105345</x:v>
      </x:c>
      <x:c r="U31" s="60" t="n">
        <x:f>IF(T31="","",I31*T31)</x:f>
        <x:v>2496.887393131946</x:v>
      </x:c>
    </x:row>
    <x:row r="32" ht="18" customHeight="1">
      <x:c r="A32" s="46" t="str">
        <x:v>HS_057</x:v>
      </x:c>
      <x:c r="B32" s="46" t="str">
        <x:v>Indian Ocean, Eastern</x:v>
      </x:c>
      <x:c r="C32" s="46" t="str">
        <x:v>High Seas</x:v>
      </x:c>
      <x:c r="D32" s="58" t="n">
        <x:v>2019</x:v>
      </x:c>
      <x:c r="E32" s="46" t="str">
        <x:v>Coryphaena</x:v>
      </x:c>
      <x:c r="F32" s="46" t="str">
        <x:v>Dolphinfishes</x:v>
      </x:c>
      <x:c r="G32" s="46" t="str">
        <x:v>Large pelagics (&gt;=90 cm)</x:v>
      </x:c>
      <x:c r="H32" s="46" t="str">
        <x:v>Perch-likes</x:v>
      </x:c>
      <x:c r="I32" s="60" t="n">
        <x:v>0.0089790829</x:v>
      </x:c>
      <x:c r="J32" s="60" t="n">
        <x:v>0.0089790829</x:v>
      </x:c>
      <x:c r="K32" s="60" t="n">
        <x:v>0</x:v>
      </x:c>
      <x:c r="L32" s="60" t="n">
        <x:v>0.0089790829</x:v>
      </x:c>
      <x:c r="M32" s="60" t="n">
        <x:v>0</x:v>
      </x:c>
      <x:c r="N32" s="46" t="str">
        <x:v>coryphaena</x:v>
      </x:c>
      <x:c r="O32" s="62" t="n">
        <x:v>4.49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Coryphaena</x:v>
      </x:c>
      <x:c r="T32" s="62" t="n">
        <x:f>IF(O32="","",(1/'Metadata'!$B$5)^(O32-1))</x:f>
        <x:v>34721.19667768202</x:v>
      </x:c>
      <x:c r="U32" s="60" t="n">
        <x:f>IF(T32="","",I32*T32)</x:f>
        <x:v>311.7645033561114</x:v>
      </x:c>
    </x:row>
    <x:row r="33" ht="18" customHeight="1">
      <x:c r="A33" s="46" t="str">
        <x:v>HS_057</x:v>
      </x:c>
      <x:c r="B33" s="46" t="str">
        <x:v>Indian Ocean, Eastern</x:v>
      </x:c>
      <x:c r="C33" s="46" t="str">
        <x:v>High Seas</x:v>
      </x:c>
      <x:c r="D33" s="58" t="n">
        <x:v>2019</x:v>
      </x:c>
      <x:c r="E33" s="46" t="str">
        <x:v>Rajiformes</x:v>
      </x:c>
      <x:c r="F33" s="46" t="str">
        <x:v>Skates and rays</x:v>
      </x:c>
      <x:c r="G33" s="46" t="str">
        <x:v>Large rays (&gt;=90 cm)</x:v>
      </x:c>
      <x:c r="H33" s="46" t="str">
        <x:v>Sharks &amp; rays</x:v>
      </x:c>
      <x:c r="I33" s="60" t="n">
        <x:v>0.0037337253</x:v>
      </x:c>
      <x:c r="J33" s="60" t="n">
        <x:v>0.0037337253</x:v>
      </x:c>
      <x:c r="K33" s="60" t="n">
        <x:v>0</x:v>
      </x:c>
      <x:c r="L33" s="60" t="n">
        <x:v>0.0037337253</x:v>
      </x:c>
      <x:c r="M33" s="60" t="n">
        <x:v>0</x:v>
      </x:c>
      <x:c r="N33" s="46" t="str">
        <x:v>rajiformes</x:v>
      </x:c>
      <x:c r="O33" s="62" t="n">
        <x:v>3.61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Rajiformes</x:v>
      </x:c>
      <x:c r="T33" s="62" t="n">
        <x:f>IF(O33="","",(1/'Metadata'!$B$5)^(O33-1))</x:f>
        <x:v>2487.0716021897506</x:v>
      </x:c>
      <x:c r="U33" s="60" t="n">
        <x:f>IF(T33="","",I33*T33)</x:f>
        <x:v>9.286042164007407</x:v>
      </x:c>
    </x:row>
    <x:row r="34" ht="18" customHeight="1">
      <x:c r="A34" s="46" t="str">
        <x:v>HS_057</x:v>
      </x:c>
      <x:c r="B34" s="46" t="str">
        <x:v>Indian Ocean, Eastern</x:v>
      </x:c>
      <x:c r="C34" s="46" t="str">
        <x:v>High Seas</x:v>
      </x:c>
      <x:c r="D34" s="58" t="n">
        <x:v>2019</x:v>
      </x:c>
      <x:c r="E34" s="46" t="str">
        <x:v>Lamniformes</x:v>
      </x:c>
      <x:c r="F34" s="46" t="str">
        <x:v>Mackerel sharks</x:v>
      </x:c>
      <x:c r="G34" s="46" t="str">
        <x:v>Large sharks (&gt;=90 cm)</x:v>
      </x:c>
      <x:c r="H34" s="46" t="str">
        <x:v>Sharks &amp; rays</x:v>
      </x:c>
      <x:c r="I34" s="60" t="n">
        <x:v>0.0006375137</x:v>
      </x:c>
      <x:c r="J34" s="60" t="n">
        <x:v>0.0006375137</x:v>
      </x:c>
      <x:c r="K34" s="60" t="n">
        <x:v>0</x:v>
      </x:c>
      <x:c r="L34" s="60" t="n">
        <x:v>0.0006375137</x:v>
      </x:c>
      <x:c r="M34" s="60" t="n">
        <x:v>0</x:v>
      </x:c>
      <x:c r="N34" s="46" t="str">
        <x:v>lamniformes</x:v>
      </x:c>
      <x:c r="O34" s="62" t="n">
        <x:v>4.34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Lamniformes</x:v>
      </x:c>
      <x:c r="T34" s="62" t="n">
        <x:f>IF(O34="","",(1/'Metadata'!$B$5)^(O34-1))</x:f>
        <x:v>22153.389612394185</x:v>
      </x:c>
      <x:c r="U34" s="60" t="n">
        <x:f>IF(T34="","",I34*T34)</x:f>
        <x:v>14.123089379338982</x:v>
      </x:c>
    </x:row>
    <x:row r="35" ht="18" customHeight="1">
      <x:c r="A35" s="46" t="str">
        <x:v>HS_057</x:v>
      </x:c>
      <x:c r="B35" s="46" t="str">
        <x:v>Indian Ocean, Eastern</x:v>
      </x:c>
      <x:c r="C35" s="46" t="str">
        <x:v>High Seas</x:v>
      </x:c>
      <x:c r="D35" s="58" t="n">
        <x:v>2019</x:v>
      </x:c>
      <x:c r="E35" s="46" t="str">
        <x:v>Thunnus</x:v>
      </x:c>
      <x:c r="F35" s="46" t="str">
        <x:v>Tunas</x:v>
      </x:c>
      <x:c r="G35" s="46" t="str">
        <x:v>Large pelagics (&gt;=90 cm)</x:v>
      </x:c>
      <x:c r="H35" s="46" t="str">
        <x:v>Tuna &amp; billfishes</x:v>
      </x:c>
      <x:c r="I35" s="60" t="n">
        <x:v>0.0001130595</x:v>
      </x:c>
      <x:c r="J35" s="60" t="n">
        <x:v>0.0001130595</x:v>
      </x:c>
      <x:c r="K35" s="60" t="n">
        <x:v>0</x:v>
      </x:c>
      <x:c r="L35" s="60" t="n">
        <x:v>0.0001130595</x:v>
      </x:c>
      <x:c r="M35" s="60" t="n">
        <x:v>0</x:v>
      </x:c>
      <x:c r="N35" s="46" t="str">
        <x:v>thunnus</x:v>
      </x:c>
      <x:c r="O35" s="62" t="n">
        <x:v>4.34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Thunnus</x:v>
      </x:c>
      <x:c r="T35" s="62" t="n">
        <x:f>IF(O35="","",(1/'Metadata'!$B$5)^(O35-1))</x:f>
        <x:v>22153.389612394185</x:v>
      </x:c>
      <x:c r="U35" s="60" t="n">
        <x:f>IF(T35="","",I35*T35)</x:f>
        <x:v>2.5046511528824804</x:v>
      </x:c>
    </x:row>
  </x:sheetData>
  <x:conditionalFormatting sqref="R2:R3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77afb0e731a4d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22751.8814889103</x:v>
      </x:c>
      <x:c r="E2" s="60" t="n">
        <x:v>22751.8814889103</x:v>
      </x:c>
      <x:c r="F2" s="62" t="n">
        <x:v>0</x:v>
      </x:c>
      <x:c r="G2" s="66" t="n">
        <x:v>1</x:v>
      </x:c>
      <x:c r="H2" s="62" t="n">
        <x:f>IF(E2=0,"",I2/E2)</x:f>
        <x:v>964.1200910963266</x:v>
      </x:c>
      <x:c r="I2" s="60" t="n">
        <x:f>SUMIF('Species'!$H$2:$H$35,A2,'Species'!$U$2:$U$35)</x:f>
        <x:v>21935546.05370103</x:v>
      </x:c>
      <x:c r="J2" s="62" t="n">
        <x:v>3.2925401186975694</x:v>
      </x:c>
      <x:c r="K2" s="62" t="n">
        <x:f>IF(J2="","",(1/'Metadata'!$B$5)^(J2-1))</x:f>
        <x:v>960.8674036696634</x:v>
      </x:c>
      <x:c r="L2" s="60" t="n">
        <x:f>IF(E2=0,"",E2*K2)</x:f>
        <x:v>21861541.294849116</x:v>
      </x:c>
      <x:c r="M2" s="60" t="n">
        <x:f>I2-L2</x:f>
        <x:v>74004.75885191187</x:v>
      </x:c>
      <x:c r="N2" s="62" t="n">
        <x:f>IF(L2=0,"",I2/L2)</x:f>
        <x:v>1.0033851574257187</x:v>
      </x:c>
      <x:c r="O2" s="66" t="n">
        <x:f>IF(L2=0,"",M2/L2)</x:f>
        <x:v>0.0033851574257185804</x:v>
      </x:c>
    </x:row>
    <x:row r="3" ht="18" customHeight="1">
      <x:c r="A3" s="46" t="str">
        <x:v>Perch-likes</x:v>
      </x:c>
      <x:c r="B3" s="64" t="n">
        <x:v>6</x:v>
      </x:c>
      <x:c r="C3" s="64" t="n">
        <x:v>6</x:v>
      </x:c>
      <x:c r="D3" s="60" t="n">
        <x:v>2405.5874379947004</x:v>
      </x:c>
      <x:c r="E3" s="60" t="n">
        <x:v>2405.5874379947004</x:v>
      </x:c>
      <x:c r="F3" s="62" t="n">
        <x:v>0</x:v>
      </x:c>
      <x:c r="G3" s="66" t="n">
        <x:v>1</x:v>
      </x:c>
      <x:c r="H3" s="62" t="n">
        <x:f>IF(E3=0,"",I3/E3)</x:f>
        <x:v>34588.80908033483</x:v>
      </x:c>
      <x:c r="I3" s="60" t="n">
        <x:f>SUMIF('Species'!$H$2:$H$35,A3,'Species'!$U$2:$U$35)</x:f>
        <x:v>83206404.6188505</x:v>
      </x:c>
      <x:c r="J3" s="62" t="n">
        <x:v>4.485830956832564</x:v>
      </x:c>
      <x:c r="K3" s="62" t="n">
        <x:f>IF(J3="","",(1/'Metadata'!$B$5)^(J3-1))</x:f>
        <x:v>34290.248674722694</x:v>
      </x:c>
      <x:c r="L3" s="60" t="n">
        <x:f>IF(E3=0,"",E3*K3)</x:f>
        <x:v>82488191.45762734</x:v>
      </x:c>
      <x:c r="M3" s="60" t="n">
        <x:f>I3-L3</x:f>
        <x:v>718213.1612231582</x:v>
      </x:c>
      <x:c r="N3" s="62" t="n">
        <x:f>IF(L3=0,"",I3/L3)</x:f>
        <x:v>1.008706860321845</x:v>
      </x:c>
      <x:c r="O3" s="66" t="n">
        <x:f>IF(L3=0,"",M3/L3)</x:f>
        <x:v>0.008706860321844867</x:v>
      </x:c>
    </x:row>
    <x:row r="4" ht="18" customHeight="1">
      <x:c r="A4" s="46" t="str">
        <x:v>Sharks &amp; rays</x:v>
      </x:c>
      <x:c r="B4" s="64" t="n">
        <x:v>10</x:v>
      </x:c>
      <x:c r="C4" s="64" t="n">
        <x:v>10</x:v>
      </x:c>
      <x:c r="D4" s="60" t="n">
        <x:v>7718.8080732855</x:v>
      </x:c>
      <x:c r="E4" s="60" t="n">
        <x:v>7718.8080732855</x:v>
      </x:c>
      <x:c r="F4" s="62" t="n">
        <x:v>0</x:v>
      </x:c>
      <x:c r="G4" s="66" t="n">
        <x:v>1</x:v>
      </x:c>
      <x:c r="H4" s="62" t="n">
        <x:f>IF(E4=0,"",I4/E4)</x:f>
        <x:v>24082.505523025084</x:v>
      </x:c>
      <x:c r="I4" s="60" t="n">
        <x:f>SUMIF('Species'!$H$2:$H$35,A4,'Species'!$U$2:$U$35)</x:f>
        <x:v>185888238.05606866</x:v>
      </x:c>
      <x:c r="J4" s="62" t="n">
        <x:v>4.352214970212532</x:v>
      </x:c>
      <x:c r="K4" s="62" t="n">
        <x:f>IF(J4="","",(1/'Metadata'!$B$5)^(J4-1))</x:f>
        <x:v>22979.058362174514</x:v>
      </x:c>
      <x:c r="L4" s="60" t="n">
        <x:f>IF(E4=0,"",E4*K4)</x:f>
        <x:v>177370941.20245132</x:v>
      </x:c>
      <x:c r="M4" s="60" t="n">
        <x:f>I4-L4</x:f>
        <x:v>8517296.85361734</x:v>
      </x:c>
      <x:c r="N4" s="62" t="n">
        <x:f>IF(L4=0,"",I4/L4)</x:f>
        <x:v>1.0480196857268502</x:v>
      </x:c>
      <x:c r="O4" s="66" t="n">
        <x:f>IF(L4=0,"",M4/L4)</x:f>
        <x:v>0.04801968572685022</x:v>
      </x:c>
    </x:row>
    <x:row r="5" ht="18" customHeight="1">
      <x:c r="A5" s="46" t="str">
        <x:v>Tuna &amp; billfishes</x:v>
      </x:c>
      <x:c r="B5" s="64" t="n">
        <x:v>16</x:v>
      </x:c>
      <x:c r="C5" s="64" t="n">
        <x:v>16</x:v>
      </x:c>
      <x:c r="D5" s="60" t="n">
        <x:v>216583.2469461423</x:v>
      </x:c>
      <x:c r="E5" s="60" t="n">
        <x:v>216583.2469461423</x:v>
      </x:c>
      <x:c r="F5" s="62" t="n">
        <x:v>0</x:v>
      </x:c>
      <x:c r="G5" s="66" t="n">
        <x:v>1</x:v>
      </x:c>
      <x:c r="H5" s="62" t="n">
        <x:f>IF(E5=0,"",I5/E5)</x:f>
        <x:v>26982.782753339026</x:v>
      </x:c>
      <x:c r="I5" s="60" t="n">
        <x:f>SUMIF('Species'!$H$2:$H$35,A5,'Species'!$U$2:$U$35)</x:f>
        <x:v>5844018700.360536</x:v>
      </x:c>
      <x:c r="J5" s="62" t="n">
        <x:v>4.390811671107426</x:v>
      </x:c>
      <x:c r="K5" s="62" t="n">
        <x:f>IF(J5="","",(1/'Metadata'!$B$5)^(J5-1))</x:f>
        <x:v>25795.722347532595</x:v>
      </x:c>
      <x:c r="L5" s="60" t="n">
        <x:f>IF(E5=0,"",E5*K5)</x:f>
        <x:v>5586921303.349773</x:v>
      </x:c>
      <x:c r="M5" s="60" t="n">
        <x:f>I5-L5</x:f>
        <x:v>257097397.0107622</x:v>
      </x:c>
      <x:c r="N5" s="62" t="n">
        <x:f>IF(L5=0,"",I5/L5)</x:f>
        <x:v>1.0460177230090235</x:v>
      </x:c>
      <x:c r="O5" s="66" t="n">
        <x:f>IF(L5=0,"",M5/L5)</x:f>
        <x:v>0.04601772300902346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ba5b2cd2c5541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18</x:v>
      </x:c>
      <x:c r="C2" s="64" t="n">
        <x:v>18</x:v>
      </x:c>
      <x:c r="D2" s="60" t="n">
        <x:v>218823.94711883733</x:v>
      </x:c>
      <x:c r="E2" s="60" t="n">
        <x:v>218823.94711883733</x:v>
      </x:c>
      <x:c r="F2" s="62" t="n">
        <x:v>0</x:v>
      </x:c>
      <x:c r="G2" s="66" t="n">
        <x:v>1</x:v>
      </x:c>
      <x:c r="H2" s="62" t="n">
        <x:f>IF(E2=0,"",I2/E2)</x:f>
        <x:v>27071.07002016335</x:v>
      </x:c>
      <x:c r="I2" s="60" t="n">
        <x:f>SUMIF('Species'!$G$2:$G$35,A2,'Species'!$U$2:$U$35)</x:f>
        <x:v>5923798394.542568</x:v>
      </x:c>
      <x:c r="J2" s="62" t="n">
        <x:v>4.391922031754247</x:v>
      </x:c>
      <x:c r="K2" s="62" t="n">
        <x:f>IF(J2="","",(1/'Metadata'!$B$5)^(J2-1))</x:f>
        <x:v>25881.670641310484</x:v>
      </x:c>
      <x:c r="L2" s="60" t="n">
        <x:f>IF(E2=0,"",E2*K2)</x:f>
        <x:v>5663529327.76129</x:v>
      </x:c>
      <x:c r="M2" s="60" t="n">
        <x:f>I2-L2</x:f>
        <x:v>260269066.7812786</x:v>
      </x:c>
      <x:c r="N2" s="62" t="n">
        <x:f>IF(L2=0,"",I2/L2)</x:f>
        <x:v>1.045955278364235</x:v>
      </x:c>
      <x:c r="O2" s="66" t="n">
        <x:f>IF(L2=0,"",M2/L2)</x:f>
        <x:v>0.04595527836423497</x:v>
      </x:c>
    </x:row>
    <x:row r="3" ht="18" customHeight="1">
      <x:c r="A3" s="46" t="str">
        <x:v>Large rays (&gt;=90 cm)</x:v>
      </x:c>
      <x:c r="B3" s="64" t="n">
        <x:v>1</x:v>
      </x:c>
      <x:c r="C3" s="64" t="n">
        <x:v>1</x:v>
      </x:c>
      <x:c r="D3" s="60" t="n">
        <x:v>0.0037337253</x:v>
      </x:c>
      <x:c r="E3" s="60" t="n">
        <x:v>0.0037337253</x:v>
      </x:c>
      <x:c r="F3" s="62" t="n">
        <x:v>0</x:v>
      </x:c>
      <x:c r="G3" s="66" t="n">
        <x:v>1</x:v>
      </x:c>
      <x:c r="H3" s="62" t="n">
        <x:f>IF(E3=0,"",I3/E3)</x:f>
        <x:v>2487.0716021897506</x:v>
      </x:c>
      <x:c r="I3" s="60" t="n">
        <x:f>SUMIF('Species'!$G$2:$G$35,A3,'Species'!$U$2:$U$35)</x:f>
        <x:v>9.286042164007407</x:v>
      </x:c>
      <x:c r="J3" s="62" t="n">
        <x:v>3.61</x:v>
      </x:c>
      <x:c r="K3" s="62" t="n">
        <x:f>IF(J3="","",(1/'Metadata'!$B$5)^(J3-1))</x:f>
        <x:v>2487.0716021897506</x:v>
      </x:c>
      <x:c r="L3" s="60" t="n">
        <x:f>IF(E3=0,"",E3*K3)</x:f>
        <x:v>9.286042164007407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sharks (&gt;=90 cm)</x:v>
      </x:c>
      <x:c r="B4" s="64" t="n">
        <x:v>9</x:v>
      </x:c>
      <x:c r="C4" s="64" t="n">
        <x:v>9</x:v>
      </x:c>
      <x:c r="D4" s="60" t="n">
        <x:v>7718.8043395602</x:v>
      </x:c>
      <x:c r="E4" s="60" t="n">
        <x:v>7718.8043395602</x:v>
      </x:c>
      <x:c r="F4" s="62" t="n">
        <x:v>0</x:v>
      </x:c>
      <x:c r="G4" s="66" t="n">
        <x:v>1</x:v>
      </x:c>
      <x:c r="H4" s="62" t="n">
        <x:f>IF(E4=0,"",I4/E4)</x:f>
        <x:v>24082.515969127155</x:v>
      </x:c>
      <x:c r="I4" s="60" t="n">
        <x:f>SUMIF('Species'!$G$2:$G$35,A4,'Species'!$U$2:$U$35)</x:f>
        <x:v>185888228.7700265</x:v>
      </x:c>
      <x:c r="J4" s="62" t="n">
        <x:v>4.35221532923534</x:v>
      </x:c>
      <x:c r="K4" s="62" t="n">
        <x:f>IF(J4="","",(1/'Metadata'!$B$5)^(J4-1))</x:f>
        <x:v>22979.083076997205</x:v>
      </x:c>
      <x:c r="L4" s="60" t="n">
        <x:f>IF(E4=0,"",E4*K4)</x:f>
        <x:v>177371046.17384037</x:v>
      </x:c>
      <x:c r="M4" s="60" t="n">
        <x:f>I4-L4</x:f>
        <x:v>8517182.596186131</x:v>
      </x:c>
      <x:c r="N4" s="62" t="n">
        <x:f>IF(L4=0,"",I4/L4)</x:f>
        <x:v>1.0480190131361038</x:v>
      </x:c>
      <x:c r="O4" s="66" t="n">
        <x:f>IF(L4=0,"",M4/L4)</x:f>
        <x:v>0.04801901313610389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18676.0058537108</x:v>
      </x:c>
      <x:c r="E5" s="60" t="n">
        <x:v>18676.0058537108</x:v>
      </x:c>
      <x:c r="F5" s="62" t="n">
        <x:v>0</x:v>
      </x:c>
      <x:c r="G5" s="66" t="n">
        <x:v>1</x:v>
      </x:c>
      <x:c r="H5" s="62" t="n">
        <x:f>IF(E5=0,"",I5/E5)</x:f>
        <x:v>925.4402624666747</x:v>
      </x:c>
      <x:c r="I5" s="60" t="n">
        <x:f>SUMIF('Species'!$G$2:$G$35,A5,'Species'!$U$2:$U$35)</x:f>
        <x:v>17283527.759087276</x:v>
      </x:c>
      <x:c r="J5" s="62" t="n">
        <x:v>3.28</x:v>
      </x:c>
      <x:c r="K5" s="62" t="n">
        <x:f>IF(J5="","",(1/'Metadata'!$B$5)^(J5-1))</x:f>
        <x:v>925.4402624666747</x:v>
      </x:c>
      <x:c r="L5" s="60" t="n">
        <x:f>IF(E5=0,"",E5*K5)</x:f>
        <x:v>17283527.759087276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pelagics (30 - 89 cm)</x:v>
      </x:c>
      <x:c r="B6" s="64" t="n">
        <x:v>5</x:v>
      </x:c>
      <x:c r="C6" s="64" t="n">
        <x:v>5</x:v>
      </x:c>
      <x:c r="D6" s="60" t="n">
        <x:v>4240.762900499199</x:v>
      </x:c>
      <x:c r="E6" s="60" t="n">
        <x:v>4240.762900499199</x:v>
      </x:c>
      <x:c r="F6" s="62" t="n">
        <x:v>0</x:v>
      </x:c>
      <x:c r="G6" s="66" t="n">
        <x:v>1</x:v>
      </x:c>
      <x:c r="H6" s="62" t="n">
        <x:f>IF(E6=0,"",I6/E6)</x:f>
        <x:v>1905.0177812300687</x:v>
      </x:c>
      <x:c r="I6" s="60" t="n">
        <x:f>SUMIF('Species'!$G$2:$G$35,A6,'Species'!$U$2:$U$35)</x:f>
        <x:v>8078728.731431774</x:v>
      </x:c>
      <x:c r="J6" s="62" t="n">
        <x:v>3.3870735866338135</x:v>
      </x:c>
      <x:c r="K6" s="62" t="n">
        <x:f>IF(J6="","",(1/'Metadata'!$B$5)^(J6-1))</x:f>
        <x:v>1275.423274918128</x:v>
      </x:c>
      <x:c r="L6" s="60" t="n">
        <x:f>IF(E6=0,"",E6*K6)</x:f>
        <x:v>5408767.706705987</x:v>
      </x:c>
      <x:c r="M6" s="60" t="n">
        <x:f>I6-L6</x:f>
        <x:v>2669961.0247257864</x:v>
      </x:c>
      <x:c r="N6" s="62" t="n">
        <x:f>IF(L6=0,"",I6/L6)</x:f>
        <x:v>1.493635735440343</x:v>
      </x:c>
      <x:c r="O6" s="66" t="n">
        <x:f>IF(L6=0,"",M6/L6)</x:f>
        <x:v>0.4936357354403428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e5c020808a40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HS_057</x:v>
      </x:c>
      <x:c r="B2" s="46" t="str">
        <x:v>raw_filtered_tonnes</x:v>
      </x:c>
      <x:c r="C2" s="46" t="n">
        <x:v>249459.5239463328</x:v>
      </x:c>
      <x:c r="D2" s="46" t="str">
        <x:v>tonnes</x:v>
      </x:c>
    </x:row>
    <x:row r="3" ht="18" customHeight="1">
      <x:c r="A3" s="46" t="str">
        <x:v>HS_057</x:v>
      </x:c>
      <x:c r="B3" s="46" t="str">
        <x:v>species_catch_tonnes</x:v>
      </x:c>
      <x:c r="C3" s="46" t="n">
        <x:v>249459.52394633277</x:v>
      </x:c>
      <x:c r="D3" s="46" t="str">
        <x:v>tonnes</x:v>
      </x:c>
    </x:row>
    <x:row r="4" ht="18" customHeight="1">
      <x:c r="A4" s="46" t="str">
        <x:v>HS_057</x:v>
      </x:c>
      <x:c r="B4" s="46" t="str">
        <x:v>catch_difference_tonnes</x:v>
      </x:c>
      <x:c r="C4" s="46" t="n">
        <x:v>-2.9103830456733704e-11</x:v>
      </x:c>
      <x:c r="D4" s="46" t="str">
        <x:v>tonnes</x:v>
      </x:c>
    </x:row>
    <x:row r="5" ht="18" customHeight="1">
      <x:c r="A5" s="46" t="str">
        <x:v>HS_057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HS_057</x:v>
      </x:c>
      <x:c r="B6" s="46" t="str">
        <x:v>matched_catch_tonnes</x:v>
      </x:c>
      <x:c r="C6" s="46" t="n">
        <x:v>249459.52394633277</x:v>
      </x:c>
      <x:c r="D6" s="46" t="str">
        <x:v>tonnes</x:v>
      </x:c>
    </x:row>
    <x:row r="7" ht="18" customHeight="1">
      <x:c r="A7" s="46" t="str">
        <x:v>HS_057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HS_057</x:v>
      </x:c>
      <x:c r="B8" s="46" t="str">
        <x:v>taxa_count</x:v>
      </x:c>
      <x:c r="C8" s="46" t="n">
        <x:v>34</x:v>
      </x:c>
      <x:c r="D8" s="46" t="str">
        <x:v>count</x:v>
      </x:c>
    </x:row>
    <x:row r="9" ht="18" customHeight="1">
      <x:c r="A9" s="46" t="str">
        <x:v>HS_057</x:v>
      </x:c>
      <x:c r="B9" s="46" t="str">
        <x:v>matched_taxa_count</x:v>
      </x:c>
      <x:c r="C9" s="46" t="n">
        <x:v>34</x:v>
      </x:c>
      <x:c r="D9" s="46" t="str">
        <x:v>count</x:v>
      </x:c>
    </x:row>
    <x:row r="10" ht="18" customHeight="1">
      <x:c r="A10" s="46" t="str">
        <x:v>HS_057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HS_057</x:v>
      </x:c>
      <x:c r="B11" s="46" t="str">
        <x:v>species_ppr</x:v>
      </x:c>
      <x:c r="C11" s="46" t="n">
        <x:v>6135048889.089157</x:v>
      </x:c>
      <x:c r="D11" s="46" t="str">
        <x:v>tonnes_primary_production_equivalent</x:v>
      </x:c>
    </x:row>
    <x:row r="12" ht="18" customHeight="1">
      <x:c r="A12" s="46" t="str">
        <x:v>HS_057</x:v>
      </x:c>
      <x:c r="B12" s="46" t="str">
        <x:v>commercial_ppr</x:v>
      </x:c>
      <x:c r="C12" s="46" t="n">
        <x:v>6135048889.089157</x:v>
      </x:c>
      <x:c r="D12" s="46" t="str">
        <x:v>tonnes_primary_production_equivalent</x:v>
      </x:c>
    </x:row>
    <x:row r="13" ht="18" customHeight="1">
      <x:c r="A13" s="46" t="str">
        <x:v>HS_057</x:v>
      </x:c>
      <x:c r="B13" s="46" t="str">
        <x:v>functional_ppr</x:v>
      </x:c>
      <x:c r="C13" s="46" t="n">
        <x:v>6135048889.089157</x:v>
      </x:c>
      <x:c r="D13" s="46" t="str">
        <x:v>tonnes_primary_production_equivalent</x:v>
      </x:c>
    </x:row>
    <x:row r="14" ht="18" customHeight="1">
      <x:c r="A14" s="46" t="str">
        <x:v>HS_057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HS_057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HS_057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HS_057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HS_057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HS_057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65d42a0b4bf41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HS_057 - Indian Ocean, Eastern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HS_057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raw_data/SAU_downloads/HS_057-catch.zip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