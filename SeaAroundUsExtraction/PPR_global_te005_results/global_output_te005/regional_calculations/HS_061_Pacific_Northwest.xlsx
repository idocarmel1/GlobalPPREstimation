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ce311ace8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65ef4ded48642c7"/>
    <x:sheet xmlns:r="http://schemas.openxmlformats.org/officeDocument/2006/relationships" name="Commercial" sheetId="2" r:id="R1f105a9419474e0f"/>
    <x:sheet xmlns:r="http://schemas.openxmlformats.org/officeDocument/2006/relationships" name="Functional" sheetId="3" r:id="R0d16fd49860a46df"/>
    <x:sheet xmlns:r="http://schemas.openxmlformats.org/officeDocument/2006/relationships" name="Missing TL" sheetId="4" r:id="Rd2b581d09af64e0f"/>
    <x:sheet xmlns:r="http://schemas.openxmlformats.org/officeDocument/2006/relationships" name="Validation" sheetId="5" r:id="R24d47741fe454d39"/>
    <x:sheet xmlns:r="http://schemas.openxmlformats.org/officeDocument/2006/relationships" name="Metadata" sheetId="6" r:id="R88c993acc926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11b015bd24026" /><Relationship Type="http://schemas.openxmlformats.org/officeDocument/2006/relationships/theme" Target="/xl/theme/theme1.xml" Id="R854720776a0449df" /><Relationship Type="http://schemas.openxmlformats.org/officeDocument/2006/relationships/sharedStrings" Target="/xl/sharedStrings.xml" Id="Rd12fd1967a7b44df" /><Relationship Type="http://schemas.openxmlformats.org/officeDocument/2006/relationships/worksheet" Target="/xl/worksheets/sheet1.xml" Id="R365ef4ded48642c7" /><Relationship Type="http://schemas.openxmlformats.org/officeDocument/2006/relationships/worksheet" Target="/xl/worksheets/sheet2.xml" Id="R1f105a9419474e0f" /><Relationship Type="http://schemas.openxmlformats.org/officeDocument/2006/relationships/worksheet" Target="/xl/worksheets/sheet3.xml" Id="R0d16fd49860a46df" /><Relationship Type="http://schemas.openxmlformats.org/officeDocument/2006/relationships/worksheet" Target="/xl/worksheets/sheet4.xml" Id="Rd2b581d09af64e0f" /><Relationship Type="http://schemas.openxmlformats.org/officeDocument/2006/relationships/worksheet" Target="/xl/worksheets/sheet5.xml" Id="R24d47741fe454d39" /><Relationship Type="http://schemas.openxmlformats.org/officeDocument/2006/relationships/worksheet" Target="/xl/worksheets/sheet6.xml" Id="R88c993acc9264a47" /></Relationships>
</file>

<file path=xl/tables/table1.xml><?xml version="1.0" encoding="utf-8"?>
<x:table xmlns:x="http://schemas.openxmlformats.org/spreadsheetml/2006/main" id="1" name="HS061SpeciesTable" displayName="HS061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61CommercialTable" displayName="HS06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61FunctionalTable" displayName="HS061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61ValidationTable" displayName="HS06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879673969b4a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e12267f252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e36d482ee54c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5b17327de149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HS_061</x:v>
      </x:c>
      <x:c r="B2" s="46" t="str">
        <x:v>Pacific, Northwest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72655.3063072491</x:v>
      </x:c>
      <x:c r="J2" s="60" t="n">
        <x:v>72032.706635308</x:v>
      </x:c>
      <x:c r="K2" s="60" t="n">
        <x:v>622.5996719411</x:v>
      </x:c>
      <x:c r="L2" s="60" t="n">
        <x:v>72032.706635308</x:v>
      </x:c>
      <x:c r="M2" s="60" t="n">
        <x:v>622.5996719411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2107658397.4541302</x:v>
      </x:c>
    </x:row>
    <x:row r="3" ht="18" customHeight="1">
      <x:c r="A3" s="46" t="str">
        <x:v>HS_061</x:v>
      </x:c>
      <x:c r="B3" s="46" t="str">
        <x:v>Pacific, Northwest</x:v>
      </x:c>
      <x:c r="C3" s="46" t="str">
        <x:v>High Seas</x:v>
      </x:c>
      <x:c r="D3" s="58" t="n">
        <x:v>2019</x:v>
      </x:c>
      <x:c r="E3" s="46" t="str">
        <x:v>Marine pelagic fishes not identified</x:v>
      </x:c>
      <x:c r="F3" s="46" t="str">
        <x:v>Pelagic fishes</x:v>
      </x:c>
      <x:c r="G3" s="46" t="str">
        <x:v>Medium pelagics (30 - 89 cm)</x:v>
      </x:c>
      <x:c r="H3" s="46" t="str">
        <x:v>Other fishes &amp; inverts</x:v>
      </x:c>
      <x:c r="I3" s="60" t="n">
        <x:v>25382.1194237364</x:v>
      </x:c>
      <x:c r="J3" s="60" t="n">
        <x:v>24519.7565405098</x:v>
      </x:c>
      <x:c r="K3" s="60" t="n">
        <x:v>862.3628832265999</x:v>
      </x:c>
      <x:c r="L3" s="60" t="n">
        <x:v>24519.7565405098</x:v>
      </x:c>
      <x:c r="M3" s="60" t="n">
        <x:v>862.3628832265999</x:v>
      </x:c>
      <x:c r="N3" s="46" t="str">
        <x:v>marine pelagic fishes not identified</x:v>
      </x:c>
      <x:c r="O3" s="62" t="n">
        <x:v>3.35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pelagic fishes not identified</x:v>
      </x:c>
      <x:c r="T3" s="62" t="n">
        <x:f>IF(O3="","",(1/'Metadata'!$B$5)^(O3-1))</x:f>
        <x:v>1141.3543275066227</x:v>
      </x:c>
      <x:c r="U3" s="60" t="n">
        <x:f>IF(T3="","",I3*T3)</x:f>
        <x:v>28969991.845571443</x:v>
      </x:c>
    </x:row>
    <x:row r="4" ht="18" customHeight="1">
      <x:c r="A4" s="46" t="str">
        <x:v>HS_061</x:v>
      </x:c>
      <x:c r="B4" s="46" t="str">
        <x:v>Pacific, Northwest</x:v>
      </x:c>
      <x:c r="C4" s="46" t="str">
        <x:v>High Seas</x:v>
      </x:c>
      <x:c r="D4" s="58" t="n">
        <x:v>2019</x:v>
      </x:c>
      <x:c r="E4" s="46" t="str">
        <x:v>Thunnus albacares</x:v>
      </x:c>
      <x:c r="F4" s="46" t="str">
        <x:v>Yellowfin tuna</x:v>
      </x:c>
      <x:c r="G4" s="46" t="str">
        <x:v>Large pelagics (&gt;=90 cm)</x:v>
      </x:c>
      <x:c r="H4" s="46" t="str">
        <x:v>Tuna &amp; billfishes</x:v>
      </x:c>
      <x:c r="I4" s="60" t="n">
        <x:v>10949.2645311531</x:v>
      </x:c>
      <x:c r="J4" s="60" t="n">
        <x:v>10842.4639836515</x:v>
      </x:c>
      <x:c r="K4" s="60" t="n">
        <x:v>106.8005475016</x:v>
      </x:c>
      <x:c r="L4" s="60" t="n">
        <x:v>10842.4639836515</x:v>
      </x:c>
      <x:c r="M4" s="60" t="n">
        <x:v>106.8005475016</x:v>
      </x:c>
      <x:c r="N4" s="46" t="str">
        <x:v>thunnus albacares</x:v>
      </x:c>
      <x:c r="O4" s="62" t="n">
        <x:v>4.41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albacares</x:v>
      </x:c>
      <x:c r="T4" s="62" t="n">
        <x:f>IF(O4="","",(1/'Metadata'!$B$5)^(O4-1))</x:f>
        <x:v>27321.987305427916</x:v>
      </x:c>
      <x:c r="U4" s="60" t="n">
        <x:f>IF(T4="","",I4*T4)</x:f>
        <x:v>299155666.5239371</x:v>
      </x:c>
    </x:row>
    <x:row r="5" ht="18" customHeight="1">
      <x:c r="A5" s="46" t="str">
        <x:v>HS_061</x:v>
      </x:c>
      <x:c r="B5" s="46" t="str">
        <x:v>Pacific, Northwest</x:v>
      </x:c>
      <x:c r="C5" s="46" t="str">
        <x:v>High Seas</x:v>
      </x:c>
      <x:c r="D5" s="58" t="n">
        <x:v>2019</x:v>
      </x:c>
      <x:c r="E5" s="46" t="str">
        <x:v>Thunnus alalunga</x:v>
      </x:c>
      <x:c r="F5" s="46" t="str">
        <x:v>Albacore</x:v>
      </x:c>
      <x:c r="G5" s="46" t="str">
        <x:v>Large pelagics (&gt;=90 cm)</x:v>
      </x:c>
      <x:c r="H5" s="46" t="str">
        <x:v>Tuna &amp; billfishes</x:v>
      </x:c>
      <x:c r="I5" s="60" t="n">
        <x:v>10034.4824575577</x:v>
      </x:c>
      <x:c r="J5" s="60" t="n">
        <x:v>9961.3322853683</x:v>
      </x:c>
      <x:c r="K5" s="60" t="n">
        <x:v>73.1501721894</x:v>
      </x:c>
      <x:c r="L5" s="60" t="n">
        <x:v>9961.3322853683</x:v>
      </x:c>
      <x:c r="M5" s="60" t="n">
        <x:v>73.1501721894</x:v>
      </x:c>
      <x:c r="N5" s="46" t="str">
        <x:v>thunnus alalunga</x:v>
      </x:c>
      <x:c r="O5" s="62" t="n">
        <x:v>4.3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alalunga</x:v>
      </x:c>
      <x:c r="T5" s="62" t="n">
        <x:f>IF(O5="","",(1/'Metadata'!$B$5)^(O5-1))</x:f>
        <x:v>19651.648417852637</x:v>
      </x:c>
      <x:c r="U5" s="60" t="n">
        <x:f>IF(T5="","",I5*T5)</x:f>
        <x:v>197194121.31103382</x:v>
      </x:c>
    </x:row>
    <x:row r="6" ht="18" customHeight="1">
      <x:c r="A6" s="46" t="str">
        <x:v>HS_061</x:v>
      </x:c>
      <x:c r="B6" s="46" t="str">
        <x:v>Pacific, Northwest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5089.5104894907</x:v>
      </x:c>
      <x:c r="J6" s="60" t="n">
        <x:v>2380.333117275</x:v>
      </x:c>
      <x:c r="K6" s="60" t="n">
        <x:v>2709.1773722157</x:v>
      </x:c>
      <x:c r="L6" s="60" t="n">
        <x:v>2380.333117275</x:v>
      </x:c>
      <x:c r="M6" s="60" t="n">
        <x:v>2709.1773722157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22827.086550132422</x:v>
      </x:c>
      <x:c r="U6" s="60" t="n">
        <x:f>IF(T6="","",I6*T6)</x:f>
        <x:v>116178696.44141103</x:v>
      </x:c>
    </x:row>
    <x:row r="7" ht="18" customHeight="1">
      <x:c r="A7" s="46" t="str">
        <x:v>HS_061</x:v>
      </x:c>
      <x:c r="B7" s="46" t="str">
        <x:v>Pacific, Northwest</x:v>
      </x:c>
      <x:c r="C7" s="46" t="str">
        <x:v>High Seas</x:v>
      </x:c>
      <x:c r="D7" s="58" t="n">
        <x:v>2019</x:v>
      </x:c>
      <x:c r="E7" s="46" t="str">
        <x:v>Xiphias gladius</x:v>
      </x:c>
      <x:c r="F7" s="46" t="str">
        <x:v>Swordfish</x:v>
      </x:c>
      <x:c r="G7" s="46" t="str">
        <x:v>Large pelagics (&gt;=90 cm)</x:v>
      </x:c>
      <x:c r="H7" s="46" t="str">
        <x:v>Tuna &amp; billfishes</x:v>
      </x:c>
      <x:c r="I7" s="60" t="n">
        <x:v>3151.350691433</x:v>
      </x:c>
      <x:c r="J7" s="60" t="n">
        <x:v>2775.2160249073</x:v>
      </x:c>
      <x:c r="K7" s="60" t="n">
        <x:v>376.1346665257</x:v>
      </x:c>
      <x:c r="L7" s="60" t="n">
        <x:v>2775.2160249073</x:v>
      </x:c>
      <x:c r="M7" s="60" t="n">
        <x:v>376.1346665257</x:v>
      </x:c>
      <x:c r="N7" s="46" t="str">
        <x:v>xiphias gladius</x:v>
      </x:c>
      <x:c r="O7" s="62" t="n">
        <x:v>4.53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Xiphias gladius</x:v>
      </x:c>
      <x:c r="T7" s="62" t="n">
        <x:f>IF(O7="","",(1/'Metadata'!$B$5)^(O7-1))</x:f>
        <x:v>39141.35758252625</x:v>
      </x:c>
      <x:c r="U7" s="60" t="n">
        <x:f>IF(T7="","",I7*T7)</x:f>
        <x:v>123348144.28132041</x:v>
      </x:c>
    </x:row>
    <x:row r="8" ht="18" customHeight="1">
      <x:c r="A8" s="46" t="str">
        <x:v>HS_061</x:v>
      </x:c>
      <x:c r="B8" s="46" t="str">
        <x:v>Pacific, Northwest</x:v>
      </x:c>
      <x:c r="C8" s="46" t="str">
        <x:v>High Seas</x:v>
      </x:c>
      <x:c r="D8" s="58" t="n">
        <x:v>2019</x:v>
      </x:c>
      <x:c r="E8" s="46" t="str">
        <x:v>Thunnus obesus</x:v>
      </x:c>
      <x:c r="F8" s="46" t="str">
        <x:v>Bigeye tuna</x:v>
      </x:c>
      <x:c r="G8" s="46" t="str">
        <x:v>Large pelagics (&gt;=90 cm)</x:v>
      </x:c>
      <x:c r="H8" s="46" t="str">
        <x:v>Tuna &amp; billfishes</x:v>
      </x:c>
      <x:c r="I8" s="60" t="n">
        <x:v>2649.9175952201</x:v>
      </x:c>
      <x:c r="J8" s="60" t="n">
        <x:v>2612.0326109804</x:v>
      </x:c>
      <x:c r="K8" s="60" t="n">
        <x:v>37.8849842397</x:v>
      </x:c>
      <x:c r="L8" s="60" t="n">
        <x:v>2612.0326109804</x:v>
      </x:c>
      <x:c r="M8" s="60" t="n">
        <x:v>37.8849842397</x:v>
      </x:c>
      <x:c r="N8" s="46" t="str">
        <x:v>thunnus obesus</x:v>
      </x:c>
      <x:c r="O8" s="62" t="n">
        <x:v>4.49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Thunnus obesus</x:v>
      </x:c>
      <x:c r="T8" s="62" t="n">
        <x:f>IF(O8="","",(1/'Metadata'!$B$5)^(O8-1))</x:f>
        <x:v>34721.19667768202</x:v>
      </x:c>
      <x:c r="U8" s="60" t="n">
        <x:f>IF(T8="","",I8*T8)</x:f>
        <x:v>92008310.00328726</x:v>
      </x:c>
    </x:row>
    <x:row r="9" ht="18" customHeight="1">
      <x:c r="A9" s="46" t="str">
        <x:v>HS_061</x:v>
      </x:c>
      <x:c r="B9" s="46" t="str">
        <x:v>Pacific, Northwest</x:v>
      </x:c>
      <x:c r="C9" s="46" t="str">
        <x:v>High Seas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1273.5882444248</x:v>
      </x:c>
      <x:c r="J9" s="60" t="n">
        <x:v>0</x:v>
      </x:c>
      <x:c r="K9" s="60" t="n">
        <x:v>1273.5882444248</x:v>
      </x:c>
      <x:c r="L9" s="60" t="n">
        <x:v>0</x:v>
      </x:c>
      <x:c r="M9" s="60" t="n">
        <x:v>1273.5882444248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925.4402624666747</x:v>
      </x:c>
      <x:c r="U9" s="60" t="n">
        <x:f>IF(T9="","",I9*T9)</x:f>
        <x:v>1178629.8391949583</x:v>
      </x:c>
    </x:row>
    <x:row r="10" ht="18" customHeight="1">
      <x:c r="A10" s="46" t="str">
        <x:v>HS_061</x:v>
      </x:c>
      <x:c r="B10" s="46" t="str">
        <x:v>Pacific, Northwest</x:v>
      </x:c>
      <x:c r="C10" s="46" t="str">
        <x:v>High Seas</x:v>
      </x:c>
      <x:c r="D10" s="58" t="n">
        <x:v>2019</x:v>
      </x:c>
      <x:c r="E10" s="46" t="str">
        <x:v>Isurus</x:v>
      </x:c>
      <x:c r="F10" s="46" t="str">
        <x:v>Mako sharks</x:v>
      </x:c>
      <x:c r="G10" s="46" t="str">
        <x:v>Large sharks (&gt;=90 cm)</x:v>
      </x:c>
      <x:c r="H10" s="46" t="str">
        <x:v>Sharks &amp; rays</x:v>
      </x:c>
      <x:c r="I10" s="60" t="n">
        <x:v>384.2379263961</x:v>
      </x:c>
      <x:c r="J10" s="60" t="n">
        <x:v>97.1261636707</x:v>
      </x:c>
      <x:c r="K10" s="60" t="n">
        <x:v>287.1117627254</x:v>
      </x:c>
      <x:c r="L10" s="60" t="n">
        <x:v>97.1261636707</x:v>
      </x:c>
      <x:c r="M10" s="60" t="n">
        <x:v>287.1117627254</x:v>
      </x:c>
      <x:c r="N10" s="46" t="str">
        <x:v>isurus</x:v>
      </x:c>
      <x:c r="O10" s="62" t="n">
        <x:v>4.5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Isurus</x:v>
      </x:c>
      <x:c r="T10" s="62" t="n">
        <x:f>IF(O10="","",(1/'Metadata'!$B$5)^(O10-1))</x:f>
        <x:v>35777.08763999664</x:v>
      </x:c>
      <x:c r="U10" s="60" t="n">
        <x:f>IF(T10="","",I10*T10)</x:f>
        <x:v>13746913.967283847</x:v>
      </x:c>
    </x:row>
    <x:row r="11" ht="18" customHeight="1">
      <x:c r="A11" s="46" t="str">
        <x:v>HS_061</x:v>
      </x:c>
      <x:c r="B11" s="46" t="str">
        <x:v>Pacific, Northwest</x:v>
      </x:c>
      <x:c r="C11" s="46" t="str">
        <x:v>High Seas</x:v>
      </x:c>
      <x:c r="D11" s="58" t="n">
        <x:v>2019</x:v>
      </x:c>
      <x:c r="E11" s="46" t="str">
        <x:v>Kajikia audax</x:v>
      </x:c>
      <x:c r="F11" s="46" t="str">
        <x:v>Striped marlin</x:v>
      </x:c>
      <x:c r="G11" s="46" t="str">
        <x:v>Large pelagics (&gt;=90 cm)</x:v>
      </x:c>
      <x:c r="H11" s="46" t="str">
        <x:v>Tuna &amp; billfishes</x:v>
      </x:c>
      <x:c r="I11" s="60" t="n">
        <x:v>343.3841316011</x:v>
      </x:c>
      <x:c r="J11" s="60" t="n">
        <x:v>343.3841316011</x:v>
      </x:c>
      <x:c r="K11" s="60" t="n">
        <x:v>0</x:v>
      </x:c>
      <x:c r="L11" s="60" t="n">
        <x:v>343.3841316011</x:v>
      </x:c>
      <x:c r="M11" s="60" t="n">
        <x:v>0</x:v>
      </x:c>
      <x:c r="N11" s="46" t="str">
        <x:v>kajikia audax</x:v>
      </x:c>
      <x:c r="O11" s="62" t="n">
        <x:v>4.58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Kajikia audax</x:v>
      </x:c>
      <x:c r="T11" s="62" t="n">
        <x:f>IF(O11="","",(1/'Metadata'!$B$5)^(O11-1))</x:f>
        <x:v>45466.06667430095</x:v>
      </x:c>
      <x:c r="U11" s="60" t="n">
        <x:f>IF(T11="","",I11*T11)</x:f>
        <x:v>15612325.822272545</x:v>
      </x:c>
    </x:row>
    <x:row r="12" ht="18" customHeight="1">
      <x:c r="A12" s="46" t="str">
        <x:v>HS_061</x:v>
      </x:c>
      <x:c r="B12" s="46" t="str">
        <x:v>Pacific, Northwest</x:v>
      </x:c>
      <x:c r="C12" s="46" t="str">
        <x:v>High Seas</x:v>
      </x:c>
      <x:c r="D12" s="58" t="n">
        <x:v>2019</x:v>
      </x:c>
      <x:c r="E12" s="46" t="str">
        <x:v>Thunnus orientalis</x:v>
      </x:c>
      <x:c r="F12" s="46" t="str">
        <x:v>Pacific bluefin tuna</x:v>
      </x:c>
      <x:c r="G12" s="46" t="str">
        <x:v>Large pelagics (&gt;=90 cm)</x:v>
      </x:c>
      <x:c r="H12" s="46" t="str">
        <x:v>Tuna &amp; billfishes</x:v>
      </x:c>
      <x:c r="I12" s="60" t="n">
        <x:v>320.0870595899</x:v>
      </x:c>
      <x:c r="J12" s="60" t="n">
        <x:v>318.0411603784</x:v>
      </x:c>
      <x:c r="K12" s="60" t="n">
        <x:v>2.0458992115</x:v>
      </x:c>
      <x:c r="L12" s="60" t="n">
        <x:v>318.0411603784</x:v>
      </x:c>
      <x:c r="M12" s="60" t="n">
        <x:v>2.0458992115</x:v>
      </x:c>
      <x:c r="N12" s="46" t="str">
        <x:v>thunnus orientalis</x:v>
      </x:c>
      <x:c r="O12" s="62" t="n">
        <x:v>4.05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Thunnus orientalis</x:v>
      </x:c>
      <x:c r="T12" s="62" t="n">
        <x:f>IF(O12="","",(1/'Metadata'!$B$5)^(O12-1))</x:f>
        <x:v>9292.690797132333</x:v>
      </x:c>
      <x:c r="U12" s="60" t="n">
        <x:f>IF(T12="","",I12*T12)</x:f>
        <x:v>2974470.072932212</x:v>
      </x:c>
    </x:row>
    <x:row r="13" ht="18" customHeight="1">
      <x:c r="A13" s="46" t="str">
        <x:v>HS_061</x:v>
      </x:c>
      <x:c r="B13" s="46" t="str">
        <x:v>Pacific, Northwest</x:v>
      </x:c>
      <x:c r="C13" s="46" t="str">
        <x:v>High Seas</x:v>
      </x:c>
      <x:c r="D13" s="58" t="n">
        <x:v>2019</x:v>
      </x:c>
      <x:c r="E13" s="46" t="str">
        <x:v>Scombridae</x:v>
      </x:c>
      <x:c r="F13" s="46" t="str">
        <x:v>Mackerels, tunas, bonitos</x:v>
      </x:c>
      <x:c r="G13" s="46" t="str">
        <x:v>Medium pelagics (30 - 89 cm)</x:v>
      </x:c>
      <x:c r="H13" s="46" t="str">
        <x:v>Perch-likes</x:v>
      </x:c>
      <x:c r="I13" s="60" t="n">
        <x:v>299.99400429310003</x:v>
      </x:c>
      <x:c r="J13" s="60" t="n">
        <x:v>0</x:v>
      </x:c>
      <x:c r="K13" s="60" t="n">
        <x:v>299.99400429310003</x:v>
      </x:c>
      <x:c r="L13" s="60" t="n">
        <x:v>0</x:v>
      </x:c>
      <x:c r="M13" s="60" t="n">
        <x:v>299.99400429310003</x:v>
      </x:c>
      <x:c r="N13" s="46" t="str">
        <x:v>scombridae</x:v>
      </x:c>
      <x:c r="O13" s="62" t="n">
        <x:v>4.26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Scombridae</x:v>
      </x:c>
      <x:c r="T13" s="62" t="n">
        <x:f>IF(O13="","",(1/'Metadata'!$B$5)^(O13-1))</x:f>
        <x:v>17432.42421569787</x:v>
      </x:c>
      <x:c r="U13" s="60" t="n">
        <x:f>IF(T13="","",I13*T13)</x:f>
        <x:v>5229622.745003208</x:v>
      </x:c>
    </x:row>
    <x:row r="14" ht="18" customHeight="1">
      <x:c r="A14" s="46" t="str">
        <x:v>HS_061</x:v>
      </x:c>
      <x:c r="B14" s="46" t="str">
        <x:v>Pacific, Northwest</x:v>
      </x:c>
      <x:c r="C14" s="46" t="str">
        <x:v>High Seas</x:v>
      </x:c>
      <x:c r="D14" s="58" t="n">
        <x:v>2019</x:v>
      </x:c>
      <x:c r="E14" s="46" t="str">
        <x:v>Coryphaena hippurus</x:v>
      </x:c>
      <x:c r="F14" s="46" t="str">
        <x:v>Common dolphinfish</x:v>
      </x:c>
      <x:c r="G14" s="46" t="str">
        <x:v>Large pelagics (&gt;=90 cm)</x:v>
      </x:c>
      <x:c r="H14" s="46" t="str">
        <x:v>Perch-likes</x:v>
      </x:c>
      <x:c r="I14" s="60" t="n">
        <x:v>105.3560259306</x:v>
      </x:c>
      <x:c r="J14" s="60" t="n">
        <x:v>0</x:v>
      </x:c>
      <x:c r="K14" s="60" t="n">
        <x:v>105.3560259306</x:v>
      </x:c>
      <x:c r="L14" s="60" t="n">
        <x:v>0</x:v>
      </x:c>
      <x:c r="M14" s="60" t="n">
        <x:v>105.3560259306</x:v>
      </x:c>
      <x:c r="N14" s="46" t="str">
        <x:v>coryphaena hippurus</x:v>
      </x:c>
      <x:c r="O14" s="62" t="n">
        <x:v>4.37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Coryphaena hippurus</x:v>
      </x:c>
      <x:c r="T14" s="62" t="n">
        <x:f>IF(O14="","",(1/'Metadata'!$B$5)^(O14-1))</x:f>
        <x:v>24236.56596112542</x:v>
      </x:c>
      <x:c r="U14" s="60" t="n">
        <x:f>IF(T14="","",I14*T14)</x:f>
        <x:v>2553468.271869027</x:v>
      </x:c>
    </x:row>
    <x:row r="15" ht="18" customHeight="1">
      <x:c r="A15" s="46" t="str">
        <x:v>HS_061</x:v>
      </x:c>
      <x:c r="B15" s="46" t="str">
        <x:v>Pacific, Northwest</x:v>
      </x:c>
      <x:c r="C15" s="46" t="str">
        <x:v>High Seas</x:v>
      </x:c>
      <x:c r="D15" s="58" t="n">
        <x:v>2019</x:v>
      </x:c>
      <x:c r="E15" s="46" t="str">
        <x:v>Carcharhinus longimanus</x:v>
      </x:c>
      <x:c r="F15" s="46" t="str">
        <x:v>Oceanic whitetip shark</x:v>
      </x:c>
      <x:c r="G15" s="46" t="str">
        <x:v>Large sharks (&gt;=90 cm)</x:v>
      </x:c>
      <x:c r="H15" s="46" t="str">
        <x:v>Sharks &amp; rays</x:v>
      </x:c>
      <x:c r="I15" s="60" t="n">
        <x:v>98.8679461356</x:v>
      </x:c>
      <x:c r="J15" s="60" t="n">
        <x:v>1.4429922052</x:v>
      </x:c>
      <x:c r="K15" s="60" t="n">
        <x:v>97.4249539304</x:v>
      </x:c>
      <x:c r="L15" s="60" t="n">
        <x:v>1.4429922052</x:v>
      </x:c>
      <x:c r="M15" s="60" t="n">
        <x:v>97.4249539304</x:v>
      </x:c>
      <x:c r="N15" s="46" t="str">
        <x:v>carcharhinus longimanus</x:v>
      </x:c>
      <x:c r="O15" s="62" t="n">
        <x:v>4.16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Carcharhinus longimanus</x:v>
      </x:c>
      <x:c r="T15" s="62" t="n">
        <x:f>IF(O15="","",(1/'Metadata'!$B$5)^(O15-1))</x:f>
        <x:v>12919.77011769987</x:v>
      </x:c>
      <x:c r="U15" s="60" t="n">
        <x:f>IF(T15="","",I15*T15)</x:f>
        <x:v>1277351.1360810853</x:v>
      </x:c>
    </x:row>
    <x:row r="16" ht="18" customHeight="1">
      <x:c r="A16" s="46" t="str">
        <x:v>HS_061</x:v>
      </x:c>
      <x:c r="B16" s="46" t="str">
        <x:v>Pacific, Northwest</x:v>
      </x:c>
      <x:c r="C16" s="46" t="str">
        <x:v>High Seas</x:v>
      </x:c>
      <x:c r="D16" s="58" t="n">
        <x:v>2019</x:v>
      </x:c>
      <x:c r="E16" s="46" t="str">
        <x:v>Istiophoridae</x:v>
      </x:c>
      <x:c r="F16" s="46" t="str">
        <x:v>Billfishes</x:v>
      </x:c>
      <x:c r="G16" s="46" t="str">
        <x:v>Large pelagics (&gt;=90 cm)</x:v>
      </x:c>
      <x:c r="H16" s="46" t="str">
        <x:v>Tuna &amp; billfishes</x:v>
      </x:c>
      <x:c r="I16" s="60" t="n">
        <x:v>72.6318530955</x:v>
      </x:c>
      <x:c r="J16" s="60" t="n">
        <x:v>0</x:v>
      </x:c>
      <x:c r="K16" s="60" t="n">
        <x:v>72.6318530955</x:v>
      </x:c>
      <x:c r="L16" s="60" t="n">
        <x:v>0</x:v>
      </x:c>
      <x:c r="M16" s="60" t="n">
        <x:v>72.6318530955</x:v>
      </x:c>
      <x:c r="N16" s="46" t="str">
        <x:v>istiophoridae</x:v>
      </x:c>
      <x:c r="O16" s="62" t="n">
        <x:v>4.48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Istiophoridae</x:v>
      </x:c>
      <x:c r="T16" s="62" t="n">
        <x:f>IF(O16="","",(1/'Metadata'!$B$5)^(O16-1))</x:f>
        <x:v>33696.468277717824</x:v>
      </x:c>
      <x:c r="U16" s="60" t="n">
        <x:f>IF(T16="","",I16*T16)</x:f>
        <x:v>2447436.9337843773</x:v>
      </x:c>
    </x:row>
    <x:row r="17" ht="18" customHeight="1">
      <x:c r="A17" s="46" t="str">
        <x:v>HS_061</x:v>
      </x:c>
      <x:c r="B17" s="46" t="str">
        <x:v>Pacific, Northwest</x:v>
      </x:c>
      <x:c r="C17" s="46" t="str">
        <x:v>High Seas</x:v>
      </x:c>
      <x:c r="D17" s="58" t="n">
        <x:v>2019</x:v>
      </x:c>
      <x:c r="E17" s="46" t="str">
        <x:v>Elasmobranchii</x:v>
      </x:c>
      <x:c r="F17" s="46" t="str">
        <x:v>Sharks, rays, skates</x:v>
      </x:c>
      <x:c r="G17" s="46" t="str">
        <x:v>Large sharks (&gt;=90 cm)</x:v>
      </x:c>
      <x:c r="H17" s="46" t="str">
        <x:v>Sharks &amp; rays</x:v>
      </x:c>
      <x:c r="I17" s="60" t="n">
        <x:v>54.164554739900005</x:v>
      </x:c>
      <x:c r="J17" s="60" t="n">
        <x:v>0</x:v>
      </x:c>
      <x:c r="K17" s="60" t="n">
        <x:v>54.164554739900005</x:v>
      </x:c>
      <x:c r="L17" s="60" t="n">
        <x:v>0</x:v>
      </x:c>
      <x:c r="M17" s="60" t="n">
        <x:v>54.164554739900005</x:v>
      </x:c>
      <x:c r="N17" s="46" t="str">
        <x:v>elasmobranchii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Elasmobranchii</x:v>
      </x:c>
      <x:c r="T17" s="62" t="n">
        <x:f>IF(O17="","",(1/'Metadata'!$B$5)^(O17-1))</x:f>
        <x:v>9292.690797132333</x:v>
      </x:c>
      <x:c r="U17" s="60" t="n">
        <x:f>IF(T17="","",I17*T17)</x:f>
        <x:v>503334.4593622392</x:v>
      </x:c>
    </x:row>
    <x:row r="18" ht="18" customHeight="1">
      <x:c r="A18" s="46" t="str">
        <x:v>HS_061</x:v>
      </x:c>
      <x:c r="B18" s="46" t="str">
        <x:v>Pacific, Northwest</x:v>
      </x:c>
      <x:c r="C18" s="46" t="str">
        <x:v>High Seas</x:v>
      </x:c>
      <x:c r="D18" s="58" t="n">
        <x:v>2019</x:v>
      </x:c>
      <x:c r="E18" s="46" t="str">
        <x:v>Alopias</x:v>
      </x:c>
      <x:c r="F18" s="46" t="str">
        <x:v>Thresher sharks</x:v>
      </x:c>
      <x:c r="G18" s="46" t="str">
        <x:v>Large sharks (&gt;=90 cm)</x:v>
      </x:c>
      <x:c r="H18" s="46" t="str">
        <x:v>Sharks &amp; rays</x:v>
      </x:c>
      <x:c r="I18" s="60" t="n">
        <x:v>52.9959798476</x:v>
      </x:c>
      <x:c r="J18" s="60" t="n">
        <x:v>25.2921639849</x:v>
      </x:c>
      <x:c r="K18" s="60" t="n">
        <x:v>27.703815862699997</x:v>
      </x:c>
      <x:c r="L18" s="60" t="n">
        <x:v>25.2921639849</x:v>
      </x:c>
      <x:c r="M18" s="60" t="n">
        <x:v>27.703815862699997</x:v>
      </x:c>
      <x:c r="N18" s="46" t="str">
        <x:v>alopias</x:v>
      </x:c>
      <x:c r="O18" s="62" t="n">
        <x:v>4.5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Alopias</x:v>
      </x:c>
      <x:c r="T18" s="62" t="n">
        <x:f>IF(O18="","",(1/'Metadata'!$B$5)^(O18-1))</x:f>
        <x:v>35777.08763999664</x:v>
      </x:c>
      <x:c r="U18" s="60" t="n">
        <x:f>IF(T18="","",I18*T18)</x:f>
        <x:v>1896041.8155750807</x:v>
      </x:c>
    </x:row>
    <x:row r="19" ht="18" customHeight="1">
      <x:c r="A19" s="46" t="str">
        <x:v>HS_061</x:v>
      </x:c>
      <x:c r="B19" s="46" t="str">
        <x:v>Pacific, Northwest</x:v>
      </x:c>
      <x:c r="C19" s="46" t="str">
        <x:v>High Seas</x:v>
      </x:c>
      <x:c r="D19" s="58" t="n">
        <x:v>2019</x:v>
      </x:c>
      <x:c r="E19" s="46" t="str">
        <x:v>Carcharhinus falciformis</x:v>
      </x:c>
      <x:c r="F19" s="46" t="str">
        <x:v>Silky shark</x:v>
      </x:c>
      <x:c r="G19" s="46" t="str">
        <x:v>Large sharks (&gt;=90 cm)</x:v>
      </x:c>
      <x:c r="H19" s="46" t="str">
        <x:v>Sharks &amp; rays</x:v>
      </x:c>
      <x:c r="I19" s="60" t="n">
        <x:v>49.912305248900005</x:v>
      </x:c>
      <x:c r="J19" s="60" t="n">
        <x:v>0.4640219217</x:v>
      </x:c>
      <x:c r="K19" s="60" t="n">
        <x:v>49.4482833272</x:v>
      </x:c>
      <x:c r="L19" s="60" t="n">
        <x:v>0.4640219217</x:v>
      </x:c>
      <x:c r="M19" s="60" t="n">
        <x:v>49.4482833272</x:v>
      </x:c>
      <x:c r="N19" s="46" t="str">
        <x:v>carcharhinus falciformis</x:v>
      </x:c>
      <x:c r="O19" s="62" t="n">
        <x:v>4.51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Carcharhinus falciformis</x:v>
      </x:c>
      <x:c r="T19" s="62" t="n">
        <x:f>IF(O19="","",(1/'Metadata'!$B$5)^(O19-1))</x:f>
        <x:v>36865.088835568684</x:v>
      </x:c>
      <x:c r="U19" s="60" t="n">
        <x:f>IF(T19="","",I19*T19)</x:f>
        <x:v>1840021.5669887199</x:v>
      </x:c>
    </x:row>
    <x:row r="20" ht="18" customHeight="1">
      <x:c r="A20" s="46" t="str">
        <x:v>HS_061</x:v>
      </x:c>
      <x:c r="B20" s="46" t="str">
        <x:v>Pacific, Northwest</x:v>
      </x:c>
      <x:c r="C20" s="46" t="str">
        <x:v>High Seas</x:v>
      </x:c>
      <x:c r="D20" s="58" t="n">
        <x:v>2019</x:v>
      </x:c>
      <x:c r="E20" s="46" t="str">
        <x:v>Sphyrna</x:v>
      </x:c>
      <x:c r="F20" s="46" t="str">
        <x:v>Hammerhead sharks</x:v>
      </x:c>
      <x:c r="G20" s="46" t="str">
        <x:v>Large sharks (&gt;=90 cm)</x:v>
      </x:c>
      <x:c r="H20" s="46" t="str">
        <x:v>Sharks &amp; rays</x:v>
      </x:c>
      <x:c r="I20" s="60" t="n">
        <x:v>13.0788354761</x:v>
      </x:c>
      <x:c r="J20" s="60" t="n">
        <x:v>13.0788354761</x:v>
      </x:c>
      <x:c r="K20" s="60" t="n">
        <x:v>0</x:v>
      </x:c>
      <x:c r="L20" s="60" t="n">
        <x:v>13.0788354761</x:v>
      </x:c>
      <x:c r="M20" s="60" t="n">
        <x:v>0</x:v>
      </x:c>
      <x:c r="N20" s="46" t="str">
        <x:v>sphyrna</x:v>
      </x:c>
      <x:c r="O20" s="62" t="n">
        <x:v>4.2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Sphyrna</x:v>
      </x:c>
      <x:c r="T20" s="62" t="n">
        <x:f>IF(O20="","",(1/'Metadata'!$B$5)^(O20-1))</x:f>
        <x:v>14564.51362420865</x:v>
      </x:c>
      <x:c r="U20" s="60" t="n">
        <x:f>IF(T20="","",I20*T20)</x:f>
        <x:v>190486.87748044188</x:v>
      </x:c>
    </x:row>
    <x:row r="21" ht="18" customHeight="1">
      <x:c r="A21" s="46" t="str">
        <x:v>HS_061</x:v>
      </x:c>
      <x:c r="B21" s="46" t="str">
        <x:v>Pacific, Northwest</x:v>
      </x:c>
      <x:c r="C21" s="46" t="str">
        <x:v>High Seas</x:v>
      </x:c>
      <x:c r="D21" s="58" t="n">
        <x:v>2019</x:v>
      </x:c>
      <x:c r="E21" s="46" t="str">
        <x:v>Acanthocybium solandri</x:v>
      </x:c>
      <x:c r="F21" s="46" t="str">
        <x:v>Wahoo</x:v>
      </x:c>
      <x:c r="G21" s="46" t="str">
        <x:v>Large pelagics (&gt;=90 cm)</x:v>
      </x:c>
      <x:c r="H21" s="46" t="str">
        <x:v>Perch-likes</x:v>
      </x:c>
      <x:c r="I21" s="60" t="n">
        <x:v>11.3610936201</x:v>
      </x:c>
      <x:c r="J21" s="60" t="n">
        <x:v>0</x:v>
      </x:c>
      <x:c r="K21" s="60" t="n">
        <x:v>11.3610936201</x:v>
      </x:c>
      <x:c r="L21" s="60" t="n">
        <x:v>0</x:v>
      </x:c>
      <x:c r="M21" s="60" t="n">
        <x:v>11.3610936201</x:v>
      </x:c>
      <x:c r="N21" s="46" t="str">
        <x:v>acanthocybium solandri</x:v>
      </x:c>
      <x:c r="O21" s="62" t="n">
        <x:v>4.26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Acanthocybium solandri</x:v>
      </x:c>
      <x:c r="T21" s="62" t="n">
        <x:f>IF(O21="","",(1/'Metadata'!$B$5)^(O21-1))</x:f>
        <x:v>17432.42421569787</x:v>
      </x:c>
      <x:c r="U21" s="60" t="n">
        <x:f>IF(T21="","",I21*T21)</x:f>
        <x:v>198051.40353984182</x:v>
      </x:c>
    </x:row>
    <x:row r="22" ht="18" customHeight="1">
      <x:c r="A22" s="46" t="str">
        <x:v>HS_061</x:v>
      </x:c>
      <x:c r="B22" s="46" t="str">
        <x:v>Pacific, Northwest</x:v>
      </x:c>
      <x:c r="C22" s="46" t="str">
        <x:v>High Seas</x:v>
      </x:c>
      <x:c r="D22" s="58" t="n">
        <x:v>2019</x:v>
      </x:c>
      <x:c r="E22" s="46" t="str">
        <x:v>Istiompax indica</x:v>
      </x:c>
      <x:c r="F22" s="46" t="str">
        <x:v>Black marlin</x:v>
      </x:c>
      <x:c r="G22" s="46" t="str">
        <x:v>Large pelagics (&gt;=90 cm)</x:v>
      </x:c>
      <x:c r="H22" s="46" t="str">
        <x:v>Tuna &amp; billfishes</x:v>
      </x:c>
      <x:c r="I22" s="60" t="n">
        <x:v>4.0678810274</x:v>
      </x:c>
      <x:c r="J22" s="60" t="n">
        <x:v>4.0678810274</x:v>
      </x:c>
      <x:c r="K22" s="60" t="n">
        <x:v>0</x:v>
      </x:c>
      <x:c r="L22" s="60" t="n">
        <x:v>4.0678810274</x:v>
      </x:c>
      <x:c r="M22" s="60" t="n">
        <x:v>0</x:v>
      </x:c>
      <x:c r="N22" s="46" t="str">
        <x:v>istiompax indica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Istiompax indica</x:v>
      </x:c>
      <x:c r="T22" s="62" t="n">
        <x:f>IF(O22="","",(1/'Metadata'!$B$5)^(O22-1))</x:f>
        <x:v>35777.08763999664</x:v>
      </x:c>
      <x:c r="U22" s="60" t="n">
        <x:f>IF(T22="","",I22*T22)</x:f>
        <x:v>145536.93602636937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e879673969b4a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26655.7076681612</x:v>
      </x:c>
      <x:c r="E2" s="60" t="n">
        <x:v>26655.7076681612</x:v>
      </x:c>
      <x:c r="F2" s="62" t="n">
        <x:v>0</x:v>
      </x:c>
      <x:c r="G2" s="66" t="n">
        <x:v>1</x:v>
      </x:c>
      <x:c r="H2" s="62" t="n">
        <x:f>IF(E2=0,"",I2/E2)</x:f>
        <x:v>1131.038127371771</x:v>
      </x:c>
      <x:c r="I2" s="60" t="n">
        <x:f>SUMIF('Species'!$H$2:$H$22,A2,'Species'!$U$2:$U$22)</x:f>
        <x:v>30148621.6847664</x:v>
      </x:c>
      <x:c r="J2" s="62" t="n">
        <x:v>3.346655456376563</x:v>
      </x:c>
      <x:c r="K2" s="62" t="n">
        <x:f>IF(J2="","",(1/'Metadata'!$B$5)^(J2-1))</x:f>
        <x:v>1129.9757887352496</x:v>
      </x:c>
      <x:c r="L2" s="60" t="n">
        <x:f>IF(E2=0,"",E2*K2)</x:f>
        <x:v>30120304.296626695</x:v>
      </x:c>
      <x:c r="M2" s="60" t="n">
        <x:f>I2-L2</x:f>
        <x:v>28317.388139706105</x:v>
      </x:c>
      <x:c r="N2" s="62" t="n">
        <x:f>IF(L2=0,"",I2/L2)</x:f>
        <x:v>1.0009401428305915</x:v>
      </x:c>
      <x:c r="O2" s="66" t="n">
        <x:f>IF(L2=0,"",M2/L2)</x:f>
        <x:v>0.0009401428305914391</x:v>
      </x:c>
    </x:row>
    <x:row r="3" ht="18" customHeight="1">
      <x:c r="A3" s="46" t="str">
        <x:v>Perch-likes</x:v>
      </x:c>
      <x:c r="B3" s="64" t="n">
        <x:v>3</x:v>
      </x:c>
      <x:c r="C3" s="64" t="n">
        <x:v>3</x:v>
      </x:c>
      <x:c r="D3" s="60" t="n">
        <x:v>416.71112384380007</x:v>
      </x:c>
      <x:c r="E3" s="60" t="n">
        <x:v>416.71112384380007</x:v>
      </x:c>
      <x:c r="F3" s="62" t="n">
        <x:v>0</x:v>
      </x:c>
      <x:c r="G3" s="66" t="n">
        <x:v>1</x:v>
      </x:c>
      <x:c r="H3" s="62" t="n">
        <x:f>IF(E3=0,"",I3/E3)</x:f>
        <x:v>19152.69826923009</x:v>
      </x:c>
      <x:c r="I3" s="60" t="n">
        <x:f>SUMIF('Species'!$H$2:$H$22,A3,'Species'!$U$2:$U$22)</x:f>
        <x:v>7981142.420412077</x:v>
      </x:c>
      <x:c r="J3" s="62" t="n">
        <x:v>4.287811023486644</x:v>
      </x:c>
      <x:c r="K3" s="62" t="n">
        <x:f>IF(J3="","",(1/'Metadata'!$B$5)^(J3-1))</x:f>
        <x:v>18947.01337228872</x:v>
      </x:c>
      <x:c r="L3" s="60" t="n">
        <x:f>IF(E3=0,"",E3*K3)</x:f>
        <x:v>7895431.23584994</x:v>
      </x:c>
      <x:c r="M3" s="60" t="n">
        <x:f>I3-L3</x:f>
        <x:v>85711.18456213642</x:v>
      </x:c>
      <x:c r="N3" s="62" t="n">
        <x:f>IF(L3=0,"",I3/L3)</x:f>
        <x:v>1.0108557952063413</x:v>
      </x:c>
      <x:c r="O3" s="66" t="n">
        <x:f>IF(L3=0,"",M3/L3)</x:f>
        <x:v>0.010855795206341208</x:v>
      </x:c>
    </x:row>
    <x:row r="4" ht="18" customHeight="1">
      <x:c r="A4" s="46" t="str">
        <x:v>Sharks &amp; rays</x:v>
      </x:c>
      <x:c r="B4" s="64" t="n">
        <x:v>7</x:v>
      </x:c>
      <x:c r="C4" s="64" t="n">
        <x:v>7</x:v>
      </x:c>
      <x:c r="D4" s="60" t="n">
        <x:v>5742.7680373349</x:v>
      </x:c>
      <x:c r="E4" s="60" t="n">
        <x:v>5742.7680373349</x:v>
      </x:c>
      <x:c r="F4" s="62" t="n">
        <x:v>0</x:v>
      </x:c>
      <x:c r="G4" s="66" t="n">
        <x:v>1</x:v>
      </x:c>
      <x:c r="H4" s="62" t="n">
        <x:f>IF(E4=0,"",I4/E4)</x:f>
        <x:v>23618.026251871186</x:v>
      </x:c>
      <x:c r="I4" s="60" t="n">
        <x:f>SUMIF('Species'!$H$2:$H$22,A4,'Species'!$U$2:$U$22)</x:f>
        <x:v>135632846.26418245</x:v>
      </x:c>
      <x:c r="J4" s="62" t="n">
        <x:v>4.356368871775674</x:v>
      </x:c>
      <x:c r="K4" s="62" t="n">
        <x:f>IF(J4="","",(1/'Metadata'!$B$5)^(J4-1))</x:f>
        <x:v>23266.795821409265</x:v>
      </x:c>
      <x:c r="L4" s="60" t="n">
        <x:f>IF(E4=0,"",E4*K4)</x:f>
        <x:v>133615811.37438634</x:v>
      </x:c>
      <x:c r="M4" s="60" t="n">
        <x:f>I4-L4</x:f>
        <x:v>2017034.889796108</x:v>
      </x:c>
      <x:c r="N4" s="62" t="n">
        <x:f>IF(L4=0,"",I4/L4)</x:f>
        <x:v>1.015095779975803</x:v>
      </x:c>
      <x:c r="O4" s="66" t="n">
        <x:f>IF(L4=0,"",M4/L4)</x:f>
        <x:v>0.01509577997580282</x:v>
      </x:c>
    </x:row>
    <x:row r="5" ht="18" customHeight="1">
      <x:c r="A5" s="46" t="str">
        <x:v>Tuna &amp; billfishes</x:v>
      </x:c>
      <x:c r="B5" s="64" t="n">
        <x:v>9</x:v>
      </x:c>
      <x:c r="C5" s="64" t="n">
        <x:v>9</x:v>
      </x:c>
      <x:c r="D5" s="60" t="n">
        <x:v>100180.4925079269</x:v>
      </x:c>
      <x:c r="E5" s="60" t="n">
        <x:v>100180.4925079269</x:v>
      </x:c>
      <x:c r="F5" s="62" t="n">
        <x:v>0</x:v>
      </x:c>
      <x:c r="G5" s="66" t="n">
        <x:v>1</x:v>
      </x:c>
      <x:c r="H5" s="62" t="n">
        <x:f>IF(E5=0,"",I5/E5)</x:f>
        <x:v>28354.26676619666</x:v>
      </x:c>
      <x:c r="I5" s="60" t="n">
        <x:f>SUMIF('Species'!$H$2:$H$22,A5,'Species'!$U$2:$U$22)</x:f>
        <x:v>2840544409.338725</x:v>
      </x:c>
      <x:c r="J5" s="62" t="n">
        <x:v>4.418864628473072</x:v>
      </x:c>
      <x:c r="K5" s="62" t="n">
        <x:f>IF(J5="","",(1/'Metadata'!$B$5)^(J5-1))</x:f>
        <x:v>28057.271375474214</x:v>
      </x:c>
      <x:c r="L5" s="60" t="n">
        <x:f>IF(E5=0,"",E5*K5)</x:f>
        <x:v>2810791264.8235664</x:v>
      </x:c>
      <x:c r="M5" s="60" t="n">
        <x:f>I5-L5</x:f>
        <x:v>29753144.515158653</x:v>
      </x:c>
      <x:c r="N5" s="62" t="n">
        <x:f>IF(L5=0,"",I5/L5)</x:f>
        <x:v>1.0105853269460143</x:v>
      </x:c>
      <x:c r="O5" s="66" t="n">
        <x:f>IF(L5=0,"",M5/L5)</x:f>
        <x:v>0.01058532694601435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ee12267f25246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11</x:v>
      </x:c>
      <x:c r="C2" s="64" t="n">
        <x:v>11</x:v>
      </x:c>
      <x:c r="D2" s="60" t="n">
        <x:v>100297.2096274776</x:v>
      </x:c>
      <x:c r="E2" s="60" t="n">
        <x:v>100297.2096274776</x:v>
      </x:c>
      <x:c r="F2" s="62" t="n">
        <x:v>0</x:v>
      </x:c>
      <x:c r="G2" s="66" t="n">
        <x:v>1</x:v>
      </x:c>
      <x:c r="H2" s="62" t="n">
        <x:f>IF(E2=0,"",I2/E2)</x:f>
        <x:v>28348.70421195825</x:v>
      </x:c>
      <x:c r="I2" s="60" t="n">
        <x:f>SUMIF('Species'!$G$2:$G$22,A2,'Species'!$U$2:$U$22)</x:f>
        <x:v>2843295929.014134</x:v>
      </x:c>
      <x:c r="J2" s="62" t="n">
        <x:v>4.418795303922495</x:v>
      </x:c>
      <x:c r="K2" s="62" t="n">
        <x:f>IF(J2="","",(1/'Metadata'!$B$5)^(J2-1))</x:f>
        <x:v>28051.445108277094</x:v>
      </x:c>
      <x:c r="L2" s="60" t="n">
        <x:f>IF(E2=0,"",E2*K2)</x:f>
        <x:v>2813481670.3785486</x:v>
      </x:c>
      <x:c r="M2" s="60" t="n">
        <x:f>I2-L2</x:f>
        <x:v>29814258.635585308</x:v>
      </x:c>
      <x:c r="N2" s="62" t="n">
        <x:f>IF(L2=0,"",I2/L2)</x:f>
        <x:v>1.010596926558819</x:v>
      </x:c>
      <x:c r="O2" s="66" t="n">
        <x:f>IF(L2=0,"",M2/L2)</x:f>
        <x:v>0.01059692655881915</x:v>
      </x:c>
    </x:row>
    <x:row r="3" ht="18" customHeight="1">
      <x:c r="A3" s="46" t="str">
        <x:v>Large sharks (&gt;=90 cm)</x:v>
      </x:c>
      <x:c r="B3" s="64" t="n">
        <x:v>7</x:v>
      </x:c>
      <x:c r="C3" s="64" t="n">
        <x:v>7</x:v>
      </x:c>
      <x:c r="D3" s="60" t="n">
        <x:v>5742.7680373349</x:v>
      </x:c>
      <x:c r="E3" s="60" t="n">
        <x:v>5742.7680373349</x:v>
      </x:c>
      <x:c r="F3" s="62" t="n">
        <x:v>0</x:v>
      </x:c>
      <x:c r="G3" s="66" t="n">
        <x:v>1</x:v>
      </x:c>
      <x:c r="H3" s="62" t="n">
        <x:f>IF(E3=0,"",I3/E3)</x:f>
        <x:v>23618.026251871186</x:v>
      </x:c>
      <x:c r="I3" s="60" t="n">
        <x:f>SUMIF('Species'!$G$2:$G$22,A3,'Species'!$U$2:$U$22)</x:f>
        <x:v>135632846.26418245</x:v>
      </x:c>
      <x:c r="J3" s="62" t="n">
        <x:v>4.356368871775674</x:v>
      </x:c>
      <x:c r="K3" s="62" t="n">
        <x:f>IF(J3="","",(1/'Metadata'!$B$5)^(J3-1))</x:f>
        <x:v>23266.795821409265</x:v>
      </x:c>
      <x:c r="L3" s="60" t="n">
        <x:f>IF(E3=0,"",E3*K3)</x:f>
        <x:v>133615811.37438634</x:v>
      </x:c>
      <x:c r="M3" s="60" t="n">
        <x:f>I3-L3</x:f>
        <x:v>2017034.889796108</x:v>
      </x:c>
      <x:c r="N3" s="62" t="n">
        <x:f>IF(L3=0,"",I3/L3)</x:f>
        <x:v>1.015095779975803</x:v>
      </x:c>
      <x:c r="O3" s="66" t="n">
        <x:f>IF(L3=0,"",M3/L3)</x:f>
        <x:v>0.01509577997580282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1273.5882444248</x:v>
      </x:c>
      <x:c r="E4" s="60" t="n">
        <x:v>1273.5882444248</x:v>
      </x:c>
      <x:c r="F4" s="62" t="n">
        <x:v>0</x:v>
      </x:c>
      <x:c r="G4" s="66" t="n">
        <x:v>1</x:v>
      </x:c>
      <x:c r="H4" s="62" t="n">
        <x:f>IF(E4=0,"",I4/E4)</x:f>
        <x:v>925.4402624666747</x:v>
      </x:c>
      <x:c r="I4" s="60" t="n">
        <x:f>SUMIF('Species'!$G$2:$G$22,A4,'Species'!$U$2:$U$22)</x:f>
        <x:v>1178629.8391949583</x:v>
      </x:c>
      <x:c r="J4" s="62" t="n">
        <x:v>3.28</x:v>
      </x:c>
      <x:c r="K4" s="62" t="n">
        <x:f>IF(J4="","",(1/'Metadata'!$B$5)^(J4-1))</x:f>
        <x:v>925.4402624666747</x:v>
      </x:c>
      <x:c r="L4" s="60" t="n">
        <x:f>IF(E4=0,"",E4*K4)</x:f>
        <x:v>1178629.8391949583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2</x:v>
      </x:c>
      <x:c r="C5" s="64" t="n">
        <x:v>2</x:v>
      </x:c>
      <x:c r="D5" s="60" t="n">
        <x:v>25682.1134280295</x:v>
      </x:c>
      <x:c r="E5" s="60" t="n">
        <x:v>25682.1134280295</x:v>
      </x:c>
      <x:c r="F5" s="62" t="n">
        <x:v>0</x:v>
      </x:c>
      <x:c r="G5" s="66" t="n">
        <x:v>1</x:v>
      </x:c>
      <x:c r="H5" s="62" t="n">
        <x:f>IF(E5=0,"",I5/E5)</x:f>
        <x:v>1331.6510997591474</x:v>
      </x:c>
      <x:c r="I5" s="60" t="n">
        <x:f>SUMIF('Species'!$G$2:$G$22,A5,'Species'!$U$2:$U$22)</x:f>
        <x:v>34199614.59057465</x:v>
      </x:c>
      <x:c r="J5" s="62" t="n">
        <x:v>3.3606297538429515</x:v>
      </x:c>
      <x:c r="K5" s="62" t="n">
        <x:f>IF(J5="","",(1/'Metadata'!$B$5)^(J5-1))</x:f>
        <x:v>1178.2843744079025</x:v>
      </x:c>
      <x:c r="L5" s="60" t="n">
        <x:f>IF(E5=0,"",E5*K5)</x:f>
        <x:v>30260832.954018533</x:v>
      </x:c>
      <x:c r="M5" s="60" t="n">
        <x:f>I5-L5</x:f>
        <x:v>3938781.6365561187</x:v>
      </x:c>
      <x:c r="N5" s="62" t="n">
        <x:f>IF(L5=0,"",I5/L5)</x:f>
        <x:v>1.1301610448906385</x:v>
      </x:c>
      <x:c r="O5" s="66" t="n">
        <x:f>IF(L5=0,"",M5/L5)</x:f>
        <x:v>0.13016104489063848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8e36d482ee54c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HS_061</x:v>
      </x:c>
      <x:c r="B2" s="46" t="str">
        <x:v>raw_filtered_tonnes</x:v>
      </x:c>
      <x:c r="C2" s="46" t="n">
        <x:v>132995.67933726677</x:v>
      </x:c>
      <x:c r="D2" s="46" t="str">
        <x:v>tonnes</x:v>
      </x:c>
    </x:row>
    <x:row r="3" ht="18" customHeight="1">
      <x:c r="A3" s="46" t="str">
        <x:v>HS_061</x:v>
      </x:c>
      <x:c r="B3" s="46" t="str">
        <x:v>species_catch_tonnes</x:v>
      </x:c>
      <x:c r="C3" s="46" t="n">
        <x:v>132995.67933726683</x:v>
      </x:c>
      <x:c r="D3" s="46" t="str">
        <x:v>tonnes</x:v>
      </x:c>
    </x:row>
    <x:row r="4" ht="18" customHeight="1">
      <x:c r="A4" s="46" t="str">
        <x:v>HS_061</x:v>
      </x:c>
      <x:c r="B4" s="46" t="str">
        <x:v>catch_difference_tonnes</x:v>
      </x:c>
      <x:c r="C4" s="46" t="n">
        <x:v>5.820766091346741e-11</x:v>
      </x:c>
      <x:c r="D4" s="46" t="str">
        <x:v>tonnes</x:v>
      </x:c>
    </x:row>
    <x:row r="5" ht="18" customHeight="1">
      <x:c r="A5" s="46" t="str">
        <x:v>HS_061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HS_061</x:v>
      </x:c>
      <x:c r="B6" s="46" t="str">
        <x:v>matched_catch_tonnes</x:v>
      </x:c>
      <x:c r="C6" s="46" t="n">
        <x:v>132995.67933726683</x:v>
      </x:c>
      <x:c r="D6" s="46" t="str">
        <x:v>tonnes</x:v>
      </x:c>
    </x:row>
    <x:row r="7" ht="18" customHeight="1">
      <x:c r="A7" s="46" t="str">
        <x:v>HS_061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HS_061</x:v>
      </x:c>
      <x:c r="B8" s="46" t="str">
        <x:v>taxa_count</x:v>
      </x:c>
      <x:c r="C8" s="46" t="n">
        <x:v>21</x:v>
      </x:c>
      <x:c r="D8" s="46" t="str">
        <x:v>count</x:v>
      </x:c>
    </x:row>
    <x:row r="9" ht="18" customHeight="1">
      <x:c r="A9" s="46" t="str">
        <x:v>HS_061</x:v>
      </x:c>
      <x:c r="B9" s="46" t="str">
        <x:v>matched_taxa_count</x:v>
      </x:c>
      <x:c r="C9" s="46" t="n">
        <x:v>21</x:v>
      </x:c>
      <x:c r="D9" s="46" t="str">
        <x:v>count</x:v>
      </x:c>
    </x:row>
    <x:row r="10" ht="18" customHeight="1">
      <x:c r="A10" s="46" t="str">
        <x:v>HS_061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HS_061</x:v>
      </x:c>
      <x:c r="B11" s="46" t="str">
        <x:v>species_ppr</x:v>
      </x:c>
      <x:c r="C11" s="46" t="n">
        <x:v>3014307019.708086</x:v>
      </x:c>
      <x:c r="D11" s="46" t="str">
        <x:v>tonnes_primary_production_equivalent</x:v>
      </x:c>
    </x:row>
    <x:row r="12" ht="18" customHeight="1">
      <x:c r="A12" s="46" t="str">
        <x:v>HS_061</x:v>
      </x:c>
      <x:c r="B12" s="46" t="str">
        <x:v>commercial_ppr</x:v>
      </x:c>
      <x:c r="C12" s="46" t="n">
        <x:v>3014307019.7080855</x:v>
      </x:c>
      <x:c r="D12" s="46" t="str">
        <x:v>tonnes_primary_production_equivalent</x:v>
      </x:c>
    </x:row>
    <x:row r="13" ht="18" customHeight="1">
      <x:c r="A13" s="46" t="str">
        <x:v>HS_061</x:v>
      </x:c>
      <x:c r="B13" s="46" t="str">
        <x:v>functional_ppr</x:v>
      </x:c>
      <x:c r="C13" s="46" t="n">
        <x:v>3014307019.7080855</x:v>
      </x:c>
      <x:c r="D13" s="46" t="str">
        <x:v>tonnes_primary_production_equivalent</x:v>
      </x:c>
    </x:row>
    <x:row r="14" ht="18" customHeight="1">
      <x:c r="A14" s="46" t="str">
        <x:v>HS_061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HS_061</x:v>
      </x:c>
      <x:c r="B15" s="46" t="str">
        <x:v>functional_ppr_difference</x:v>
      </x:c>
      <x:c r="C15" s="46" t="n">
        <x:v>-4.76837158203125e-7</x:v>
      </x:c>
      <x:c r="D15" s="46" t="str">
        <x:v>tonnes_primary_production_equivalent</x:v>
      </x:c>
    </x:row>
    <x:row r="16" ht="18" customHeight="1">
      <x:c r="A16" s="46" t="str">
        <x:v>HS_061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HS_061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HS_061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HS_061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95b17327de149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HS_061 - Pacific, Northwest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HS_061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raw_data/SAU_downloads/HS_061-catch.zip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