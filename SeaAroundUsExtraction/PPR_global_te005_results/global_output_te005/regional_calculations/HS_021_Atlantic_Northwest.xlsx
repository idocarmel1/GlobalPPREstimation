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09a62bc9e49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80fdce700cc4e54"/>
    <x:sheet xmlns:r="http://schemas.openxmlformats.org/officeDocument/2006/relationships" name="Commercial" sheetId="2" r:id="Rb5bdd23753124966"/>
    <x:sheet xmlns:r="http://schemas.openxmlformats.org/officeDocument/2006/relationships" name="Functional" sheetId="3" r:id="Rf5c966bd98784bd7"/>
    <x:sheet xmlns:r="http://schemas.openxmlformats.org/officeDocument/2006/relationships" name="Missing TL" sheetId="4" r:id="Rd0fd221c1e674c9b"/>
    <x:sheet xmlns:r="http://schemas.openxmlformats.org/officeDocument/2006/relationships" name="Validation" sheetId="5" r:id="R95a5446fbacb4382"/>
    <x:sheet xmlns:r="http://schemas.openxmlformats.org/officeDocument/2006/relationships" name="Metadata" sheetId="6" r:id="Raf67768f59fd43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6549f77fc74d87" /><Relationship Type="http://schemas.openxmlformats.org/officeDocument/2006/relationships/theme" Target="/xl/theme/theme1.xml" Id="R0b8883c190fc4f28" /><Relationship Type="http://schemas.openxmlformats.org/officeDocument/2006/relationships/sharedStrings" Target="/xl/sharedStrings.xml" Id="Rfa348031b37646d9" /><Relationship Type="http://schemas.openxmlformats.org/officeDocument/2006/relationships/worksheet" Target="/xl/worksheets/sheet1.xml" Id="R080fdce700cc4e54" /><Relationship Type="http://schemas.openxmlformats.org/officeDocument/2006/relationships/worksheet" Target="/xl/worksheets/sheet2.xml" Id="Rb5bdd23753124966" /><Relationship Type="http://schemas.openxmlformats.org/officeDocument/2006/relationships/worksheet" Target="/xl/worksheets/sheet3.xml" Id="Rf5c966bd98784bd7" /><Relationship Type="http://schemas.openxmlformats.org/officeDocument/2006/relationships/worksheet" Target="/xl/worksheets/sheet4.xml" Id="Rd0fd221c1e674c9b" /><Relationship Type="http://schemas.openxmlformats.org/officeDocument/2006/relationships/worksheet" Target="/xl/worksheets/sheet5.xml" Id="R95a5446fbacb4382" /><Relationship Type="http://schemas.openxmlformats.org/officeDocument/2006/relationships/worksheet" Target="/xl/worksheets/sheet6.xml" Id="Raf67768f59fd43a4" /></Relationships>
</file>

<file path=xl/tables/table1.xml><?xml version="1.0" encoding="utf-8"?>
<x:table xmlns:x="http://schemas.openxmlformats.org/spreadsheetml/2006/main" id="1" name="HS021SpeciesTable" displayName="HS021SpeciesTable" ref="A1:U68" headerRowCount="1" totalsRowCount="0" totalsRowShown="0">
  <x:autoFilter ref="A1:U6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21CommercialTable" displayName="HS021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21FunctionalTable" displayName="HS021FunctionalTable" ref="A1:O22" headerRowCount="1" totalsRowCount="0" totalsRowShown="0">
  <x:autoFilter ref="A1:O2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21ValidationTable" displayName="HS02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a507829cc249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f193ff7c454b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d3b0947047344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5095a44b624e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HS_021</x:v>
      </x:c>
      <x:c r="B2" s="46" t="str">
        <x:v>Atlantic, Northwest</x:v>
      </x:c>
      <x:c r="C2" s="46" t="str">
        <x:v>High Seas</x:v>
      </x:c>
      <x:c r="D2" s="58" t="n">
        <x:v>2019</x:v>
      </x:c>
      <x:c r="E2" s="46" t="str">
        <x:v>Sebastes</x:v>
      </x:c>
      <x:c r="F2" s="46" t="str">
        <x:v>Redfishes</x:v>
      </x:c>
      <x:c r="G2" s="46" t="str">
        <x:v>Large reef assoc. fish (&gt;=90 cm)</x:v>
      </x:c>
      <x:c r="H2" s="46" t="str">
        <x:v>Scorpionfishes</x:v>
      </x:c>
      <x:c r="I2" s="60" t="n">
        <x:v>32742.6339197331</x:v>
      </x:c>
      <x:c r="J2" s="60" t="n">
        <x:v>18300.0009132739</x:v>
      </x:c>
      <x:c r="K2" s="60" t="n">
        <x:v>14442.6330064592</x:v>
      </x:c>
      <x:c r="L2" s="60" t="n">
        <x:v>18258.335954746</x:v>
      </x:c>
      <x:c r="M2" s="60" t="n">
        <x:v>14484.2979649871</x:v>
      </x:c>
      <x:c r="N2" s="46" t="str">
        <x:v>sebastes</x:v>
      </x:c>
      <x:c r="O2" s="62" t="n">
        <x:v>3.79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Sebastes</x:v>
      </x:c>
      <x:c r="T2" s="62" t="n">
        <x:f>IF(O2="","",(1/'Metadata'!$B$5)^(O2-1))</x:f>
        <x:v>4264.554685980751</x:v>
      </x:c>
      <x:c r="U2" s="60" t="n">
        <x:f>IF(T2="","",I2*T2)</x:f>
        <x:v>139632752.91375008</x:v>
      </x:c>
    </x:row>
    <x:row r="3" ht="18" customHeight="1">
      <x:c r="A3" s="46" t="str">
        <x:v>HS_021</x:v>
      </x:c>
      <x:c r="B3" s="46" t="str">
        <x:v>Atlantic, Northwest</x:v>
      </x:c>
      <x:c r="C3" s="46" t="str">
        <x:v>High Seas</x:v>
      </x:c>
      <x:c r="D3" s="58" t="n">
        <x:v>2019</x:v>
      </x:c>
      <x:c r="E3" s="46" t="str">
        <x:v>Gadus morhua</x:v>
      </x:c>
      <x:c r="F3" s="46" t="str">
        <x:v>Atlantic cod</x:v>
      </x:c>
      <x:c r="G3" s="46" t="str">
        <x:v>Large benthopelagics (&gt;=90 cm)</x:v>
      </x:c>
      <x:c r="H3" s="46" t="str">
        <x:v>Cod-likes</x:v>
      </x:c>
      <x:c r="I3" s="60" t="n">
        <x:v>28345.6961578025</x:v>
      </x:c>
      <x:c r="J3" s="60" t="n">
        <x:v>17549.557421951202</x:v>
      </x:c>
      <x:c r="K3" s="60" t="n">
        <x:v>10796.1387358513</x:v>
      </x:c>
      <x:c r="L3" s="60" t="n">
        <x:v>17528.9873589645</x:v>
      </x:c>
      <x:c r="M3" s="60" t="n">
        <x:v>10816.708798838</x:v>
      </x:c>
      <x:c r="N3" s="46" t="str">
        <x:v>gadus morhua</x:v>
      </x:c>
      <x:c r="O3" s="62" t="n">
        <x:v>4.09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Gadus morhua</x:v>
      </x:c>
      <x:c r="T3" s="62" t="n">
        <x:f>IF(O3="","",(1/'Metadata'!$B$5)^(O3-1))</x:f>
        <x:v>10475.691168449957</x:v>
      </x:c>
      <x:c r="U3" s="60" t="n">
        <x:f>IF(T3="","",I3*T3)</x:f>
        <x:v>296940758.9038575</x:v>
      </x:c>
    </x:row>
    <x:row r="4" ht="18" customHeight="1">
      <x:c r="A4" s="46" t="str">
        <x:v>HS_021</x:v>
      </x:c>
      <x:c r="B4" s="46" t="str">
        <x:v>Atlantic, Northwest</x:v>
      </x:c>
      <x:c r="C4" s="46" t="str">
        <x:v>High Seas</x:v>
      </x:c>
      <x:c r="D4" s="58" t="n">
        <x:v>2019</x:v>
      </x:c>
      <x:c r="E4" s="46" t="str">
        <x:v>Reinhardtius hippoglossoides</x:v>
      </x:c>
      <x:c r="F4" s="46" t="str">
        <x:v>Greenland halibut</x:v>
      </x:c>
      <x:c r="G4" s="46" t="str">
        <x:v>Small to medium flatfishes (&lt;90 cm)</x:v>
      </x:c>
      <x:c r="H4" s="46" t="str">
        <x:v>Flatfishes</x:v>
      </x:c>
      <x:c r="I4" s="60" t="n">
        <x:v>10360.4692396401</x:v>
      </x:c>
      <x:c r="J4" s="60" t="n">
        <x:v>5157.3510712328</x:v>
      </x:c>
      <x:c r="K4" s="60" t="n">
        <x:v>5203.1181684073</x:v>
      </x:c>
      <x:c r="L4" s="60" t="n">
        <x:v>5135.7497136169</x:v>
      </x:c>
      <x:c r="M4" s="60" t="n">
        <x:v>5224.7195260232</x:v>
      </x:c>
      <x:c r="N4" s="46" t="str">
        <x:v>reinhardtius hippoglossoides</x:v>
      </x:c>
      <x:c r="O4" s="62" t="n">
        <x:v>4.38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Reinhardtius hippoglossoides</x:v>
      </x:c>
      <x:c r="T4" s="62" t="n">
        <x:f>IF(O4="","",(1/'Metadata'!$B$5)^(O4-1))</x:f>
        <x:v>24973.6134538561</x:v>
      </x:c>
      <x:c r="U4" s="60" t="n">
        <x:f>IF(T4="","",I4*T4)</x:f>
        <x:v>258738353.99133828</x:v>
      </x:c>
    </x:row>
    <x:row r="5" ht="18" customHeight="1">
      <x:c r="A5" s="46" t="str">
        <x:v>HS_021</x:v>
      </x:c>
      <x:c r="B5" s="46" t="str">
        <x:v>Atlantic, Northwest</x:v>
      </x:c>
      <x:c r="C5" s="46" t="str">
        <x:v>High Seas</x:v>
      </x:c>
      <x:c r="D5" s="58" t="n">
        <x:v>2019</x:v>
      </x:c>
      <x:c r="E5" s="46" t="str">
        <x:v>Marine fishes not identified</x:v>
      </x:c>
      <x:c r="F5" s="46" t="str">
        <x:v>Marine fishes nei</x:v>
      </x:c>
      <x:c r="G5" s="46" t="str">
        <x:v>Medium demersals (30 - 89 cm)</x:v>
      </x:c>
      <x:c r="H5" s="46" t="str">
        <x:v>Other fishes &amp; inverts</x:v>
      </x:c>
      <x:c r="I5" s="60" t="n">
        <x:v>4035.9393006742</x:v>
      </x:c>
      <x:c r="J5" s="60" t="n">
        <x:v>2391.676505063</x:v>
      </x:c>
      <x:c r="K5" s="60" t="n">
        <x:v>1644.2627956111999</x:v>
      </x:c>
      <x:c r="L5" s="60" t="n">
        <x:v>2354.4298630071</x:v>
      </x:c>
      <x:c r="M5" s="60" t="n">
        <x:v>1681.5094376670997</x:v>
      </x:c>
      <x:c r="N5" s="46" t="str">
        <x:v>marine fishes not identified</x:v>
      </x:c>
      <x:c r="O5" s="62" t="n">
        <x:v>3.28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Marine fishes not identified</x:v>
      </x:c>
      <x:c r="T5" s="62" t="n">
        <x:f>IF(O5="","",(1/'Metadata'!$B$5)^(O5-1))</x:f>
        <x:v>925.4402624666747</x:v>
      </x:c>
      <x:c r="U5" s="60" t="n">
        <x:f>IF(T5="","",I5*T5)</x:f>
        <x:v>3735020.725715499</x:v>
      </x:c>
    </x:row>
    <x:row r="6" ht="18" customHeight="1">
      <x:c r="A6" s="46" t="str">
        <x:v>HS_021</x:v>
      </x:c>
      <x:c r="B6" s="46" t="str">
        <x:v>Atlantic, Northwest</x:v>
      </x:c>
      <x:c r="C6" s="46" t="str">
        <x:v>High Seas</x:v>
      </x:c>
      <x:c r="D6" s="58" t="n">
        <x:v>2019</x:v>
      </x:c>
      <x:c r="E6" s="46" t="str">
        <x:v>Prionace glauca</x:v>
      </x:c>
      <x:c r="F6" s="46" t="str">
        <x:v>Blue shark</x:v>
      </x:c>
      <x:c r="G6" s="46" t="str">
        <x:v>Large sharks (&gt;=90 cm)</x:v>
      </x:c>
      <x:c r="H6" s="46" t="str">
        <x:v>Sharks &amp; rays</x:v>
      </x:c>
      <x:c r="I6" s="60" t="n">
        <x:v>3679.9928432594</x:v>
      </x:c>
      <x:c r="J6" s="60" t="n">
        <x:v>3679.9928432594</x:v>
      </x:c>
      <x:c r="K6" s="60" t="n">
        <x:v>0</x:v>
      </x:c>
      <x:c r="L6" s="60" t="n">
        <x:v>3573.0470594186</x:v>
      </x:c>
      <x:c r="M6" s="60" t="n">
        <x:v>106.9457838408</x:v>
      </x:c>
      <x:c r="N6" s="46" t="str">
        <x:v>prionace glauca</x:v>
      </x:c>
      <x:c r="O6" s="62" t="n">
        <x:v>4.35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Prionace glauca</x:v>
      </x:c>
      <x:c r="T6" s="62" t="n">
        <x:f>IF(O6="","",(1/'Metadata'!$B$5)^(O6-1))</x:f>
        <x:v>22827.086550132422</x:v>
      </x:c>
      <x:c r="U6" s="60" t="n">
        <x:f>IF(T6="","",I6*T6)</x:f>
        <x:v>84003515.13695022</x:v>
      </x:c>
    </x:row>
    <x:row r="7" ht="18" customHeight="1">
      <x:c r="A7" s="46" t="str">
        <x:v>HS_021</x:v>
      </x:c>
      <x:c r="B7" s="46" t="str">
        <x:v>Atlantic, Northwest</x:v>
      </x:c>
      <x:c r="C7" s="46" t="str">
        <x:v>High Seas</x:v>
      </x:c>
      <x:c r="D7" s="58" t="n">
        <x:v>2019</x:v>
      </x:c>
      <x:c r="E7" s="46" t="str">
        <x:v>Hippoglossoides platessoides</x:v>
      </x:c>
      <x:c r="F7" s="46" t="str">
        <x:v>American plaice</x:v>
      </x:c>
      <x:c r="G7" s="46" t="str">
        <x:v>Small to medium flatfishes (&lt;90 cm)</x:v>
      </x:c>
      <x:c r="H7" s="46" t="str">
        <x:v>Flatfishes</x:v>
      </x:c>
      <x:c r="I7" s="60" t="n">
        <x:v>2268.5752648918</x:v>
      </x:c>
      <x:c r="J7" s="60" t="n">
        <x:v>1609.8243184729</x:v>
      </x:c>
      <x:c r="K7" s="60" t="n">
        <x:v>658.7509464189</x:v>
      </x:c>
      <x:c r="L7" s="60" t="n">
        <x:v>545.236282288</x:v>
      </x:c>
      <x:c r="M7" s="60" t="n">
        <x:v>1723.3389826037999</x:v>
      </x:c>
      <x:c r="N7" s="46" t="str">
        <x:v>hippoglossoides platessoides</x:v>
      </x:c>
      <x:c r="O7" s="62" t="n">
        <x:v>4.08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Hippoglossoides platessoides</x:v>
      </x:c>
      <x:c r="T7" s="62" t="n">
        <x:f>IF(O7="","",(1/'Metadata'!$B$5)^(O7-1))</x:f>
        <x:v>10166.521575327472</x:v>
      </x:c>
      <x:c r="U7" s="60" t="n">
        <x:f>IF(T7="","",I7*T7)</x:f>
        <x:v>23063519.37577672</x:v>
      </x:c>
    </x:row>
    <x:row r="8" ht="18" customHeight="1">
      <x:c r="A8" s="46" t="str">
        <x:v>HS_021</x:v>
      </x:c>
      <x:c r="B8" s="46" t="str">
        <x:v>Atlantic, Northwest</x:v>
      </x:c>
      <x:c r="C8" s="46" t="str">
        <x:v>High Seas</x:v>
      </x:c>
      <x:c r="D8" s="58" t="n">
        <x:v>2019</x:v>
      </x:c>
      <x:c r="E8" s="46" t="str">
        <x:v>Myzopsetta ferruginea</x:v>
      </x:c>
      <x:c r="F8" s="46" t="str">
        <x:v>Yellowtail flounder</x:v>
      </x:c>
      <x:c r="G8" s="46" t="str">
        <x:v>Small to medium flatfishes (&lt;90 cm)</x:v>
      </x:c>
      <x:c r="H8" s="46" t="str">
        <x:v>Flatfishes</x:v>
      </x:c>
      <x:c r="I8" s="60" t="n">
        <x:v>1330.9878381439</x:v>
      </x:c>
      <x:c r="J8" s="60" t="n">
        <x:v>104.79223818919999</x:v>
      </x:c>
      <x:c r="K8" s="60" t="n">
        <x:v>1226.1955999547</x:v>
      </x:c>
      <x:c r="L8" s="60" t="n">
        <x:v>103.5090399615</x:v>
      </x:c>
      <x:c r="M8" s="60" t="n">
        <x:v>1227.4787981824</x:v>
      </x:c>
      <x:c r="N8" s="46" t="str">
        <x:v>myzopsetta ferruginea</x:v>
      </x:c>
      <x:c r="O8" s="62" t="n">
        <x:v>3.28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Myzopsetta ferruginea</x:v>
      </x:c>
      <x:c r="T8" s="62" t="n">
        <x:f>IF(O8="","",(1/'Metadata'!$B$5)^(O8-1))</x:f>
        <x:v>925.4402624666747</x:v>
      </x:c>
      <x:c r="U8" s="60" t="n">
        <x:f>IF(T8="","",I8*T8)</x:f>
        <x:v>1231749.7342718428</x:v>
      </x:c>
    </x:row>
    <x:row r="9" ht="18" customHeight="1">
      <x:c r="A9" s="46" t="str">
        <x:v>HS_021</x:v>
      </x:c>
      <x:c r="B9" s="46" t="str">
        <x:v>Atlantic, Northwest</x:v>
      </x:c>
      <x:c r="C9" s="46" t="str">
        <x:v>High Seas</x:v>
      </x:c>
      <x:c r="D9" s="58" t="n">
        <x:v>2019</x:v>
      </x:c>
      <x:c r="E9" s="46" t="str">
        <x:v>Xiphias gladius</x:v>
      </x:c>
      <x:c r="F9" s="46" t="str">
        <x:v>Swordfish</x:v>
      </x:c>
      <x:c r="G9" s="46" t="str">
        <x:v>Large pelagics (&gt;=90 cm)</x:v>
      </x:c>
      <x:c r="H9" s="46" t="str">
        <x:v>Tuna &amp; billfishes</x:v>
      </x:c>
      <x:c r="I9" s="60" t="n">
        <x:v>1232.6478637303999</x:v>
      </x:c>
      <x:c r="J9" s="60" t="n">
        <x:v>1232.6478637303999</x:v>
      </x:c>
      <x:c r="K9" s="60" t="n">
        <x:v>0</x:v>
      </x:c>
      <x:c r="L9" s="60" t="n">
        <x:v>1232.6478637303999</x:v>
      </x:c>
      <x:c r="M9" s="60" t="n">
        <x:v>0</x:v>
      </x:c>
      <x:c r="N9" s="46" t="str">
        <x:v>xiphias gladius</x:v>
      </x:c>
      <x:c r="O9" s="62" t="n">
        <x:v>4.53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Xiphias gladius</x:v>
      </x:c>
      <x:c r="T9" s="62" t="n">
        <x:f>IF(O9="","",(1/'Metadata'!$B$5)^(O9-1))</x:f>
        <x:v>39141.35758252625</x:v>
      </x:c>
      <x:c r="U9" s="60" t="n">
        <x:f>IF(T9="","",I9*T9)</x:f>
        <x:v>48247510.80760867</x:v>
      </x:c>
    </x:row>
    <x:row r="10" ht="18" customHeight="1">
      <x:c r="A10" s="46" t="str">
        <x:v>HS_021</x:v>
      </x:c>
      <x:c r="B10" s="46" t="str">
        <x:v>Atlantic, Northwest</x:v>
      </x:c>
      <x:c r="C10" s="46" t="str">
        <x:v>High Seas</x:v>
      </x:c>
      <x:c r="D10" s="58" t="n">
        <x:v>2019</x:v>
      </x:c>
      <x:c r="E10" s="46" t="str">
        <x:v>Hippoglossus hippoglossus</x:v>
      </x:c>
      <x:c r="F10" s="46" t="str">
        <x:v>Atlantic halibut</x:v>
      </x:c>
      <x:c r="G10" s="46" t="str">
        <x:v>Large flatfishes (&gt;=90 cm)</x:v>
      </x:c>
      <x:c r="H10" s="46" t="str">
        <x:v>Flatfishes</x:v>
      </x:c>
      <x:c r="I10" s="60" t="n">
        <x:v>1027.7270369283</x:v>
      </x:c>
      <x:c r="J10" s="60" t="n">
        <x:v>507.9107793093</x:v>
      </x:c>
      <x:c r="K10" s="60" t="n">
        <x:v>519.816257619</x:v>
      </x:c>
      <x:c r="L10" s="60" t="n">
        <x:v>507.019847994</x:v>
      </x:c>
      <x:c r="M10" s="60" t="n">
        <x:v>520.7071889343</x:v>
      </x:c>
      <x:c r="N10" s="46" t="str">
        <x:v>hippoglossus hippoglossus</x:v>
      </x:c>
      <x:c r="O10" s="62" t="n">
        <x:v>4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Hippoglossus hippoglossus</x:v>
      </x:c>
      <x:c r="T10" s="62" t="n">
        <x:f>IF(O10="","",(1/'Metadata'!$B$5)^(O10-1))</x:f>
        <x:v>8000</x:v>
      </x:c>
      <x:c r="U10" s="60" t="n">
        <x:f>IF(T10="","",I10*T10)</x:f>
        <x:v>8221816.2954264</x:v>
      </x:c>
    </x:row>
    <x:row r="11" ht="18" customHeight="1">
      <x:c r="A11" s="46" t="str">
        <x:v>HS_021</x:v>
      </x:c>
      <x:c r="B11" s="46" t="str">
        <x:v>Atlantic, Northwest</x:v>
      </x:c>
      <x:c r="C11" s="46" t="str">
        <x:v>High Seas</x:v>
      </x:c>
      <x:c r="D11" s="58" t="n">
        <x:v>2019</x:v>
      </x:c>
      <x:c r="E11" s="46" t="str">
        <x:v>Glyptocephalus cynoglossus</x:v>
      </x:c>
      <x:c r="F11" s="46" t="str">
        <x:v>Witch flounder</x:v>
      </x:c>
      <x:c r="G11" s="46" t="str">
        <x:v>Small to medium flatfishes (&lt;90 cm)</x:v>
      </x:c>
      <x:c r="H11" s="46" t="str">
        <x:v>Flatfishes</x:v>
      </x:c>
      <x:c r="I11" s="60" t="n">
        <x:v>801.905376178</x:v>
      </x:c>
      <x:c r="J11" s="60" t="n">
        <x:v>422.0543538987</x:v>
      </x:c>
      <x:c r="K11" s="60" t="n">
        <x:v>379.8510222793</x:v>
      </x:c>
      <x:c r="L11" s="60" t="n">
        <x:v>421.3669060903</x:v>
      </x:c>
      <x:c r="M11" s="60" t="n">
        <x:v>380.53847008770003</x:v>
      </x:c>
      <x:c r="N11" s="46" t="str">
        <x:v>glyptocephalus cynoglossus</x:v>
      </x:c>
      <x:c r="O11" s="62" t="n">
        <x:v>3.17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Glyptocephalus cynoglossus</x:v>
      </x:c>
      <x:c r="T11" s="62" t="n">
        <x:f>IF(O11="","",(1/'Metadata'!$B$5)^(O11-1))</x:f>
        <x:v>665.6333767532121</x:v>
      </x:c>
      <x:c r="U11" s="60" t="n">
        <x:f>IF(T11="","",I11*T11)</x:f>
        <x:v>533774.983381917</x:v>
      </x:c>
    </x:row>
    <x:row r="12" ht="18" customHeight="1">
      <x:c r="A12" s="46" t="str">
        <x:v>HS_021</x:v>
      </x:c>
      <x:c r="B12" s="46" t="str">
        <x:v>Atlantic, Northwest</x:v>
      </x:c>
      <x:c r="C12" s="46" t="str">
        <x:v>High Seas</x:v>
      </x:c>
      <x:c r="D12" s="58" t="n">
        <x:v>2019</x:v>
      </x:c>
      <x:c r="E12" s="46" t="str">
        <x:v>Isurus oxyrinchus</x:v>
      </x:c>
      <x:c r="F12" s="46" t="str">
        <x:v>Shortfin mako</x:v>
      </x:c>
      <x:c r="G12" s="46" t="str">
        <x:v>Large sharks (&gt;=90 cm)</x:v>
      </x:c>
      <x:c r="H12" s="46" t="str">
        <x:v>Sharks &amp; rays</x:v>
      </x:c>
      <x:c r="I12" s="60" t="n">
        <x:v>469.8518086091</x:v>
      </x:c>
      <x:c r="J12" s="60" t="n">
        <x:v>469.8518086091</x:v>
      </x:c>
      <x:c r="K12" s="60" t="n">
        <x:v>0</x:v>
      </x:c>
      <x:c r="L12" s="60" t="n">
        <x:v>457.4949416309</x:v>
      </x:c>
      <x:c r="M12" s="60" t="n">
        <x:v>12.3568669782</x:v>
      </x:c>
      <x:c r="N12" s="46" t="str">
        <x:v>isurus oxyrinchus</x:v>
      </x:c>
      <x:c r="O12" s="62" t="n">
        <x:v>4.5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Isurus oxyrinchus</x:v>
      </x:c>
      <x:c r="T12" s="62" t="n">
        <x:f>IF(O12="","",(1/'Metadata'!$B$5)^(O12-1))</x:f>
        <x:v>35777.08763999664</x:v>
      </x:c>
      <x:c r="U12" s="60" t="n">
        <x:f>IF(T12="","",I12*T12)</x:f>
        <x:v>16809929.334418695</x:v>
      </x:c>
    </x:row>
    <x:row r="13" ht="18" customHeight="1">
      <x:c r="A13" s="46" t="str">
        <x:v>HS_021</x:v>
      </x:c>
      <x:c r="B13" s="46" t="str">
        <x:v>Atlantic, Northwest</x:v>
      </x:c>
      <x:c r="C13" s="46" t="str">
        <x:v>High Seas</x:v>
      </x:c>
      <x:c r="D13" s="58" t="n">
        <x:v>2019</x:v>
      </x:c>
      <x:c r="E13" s="46" t="str">
        <x:v>Merluccius bilinearis</x:v>
      </x:c>
      <x:c r="F13" s="46" t="str">
        <x:v>Silver hake</x:v>
      </x:c>
      <x:c r="G13" s="46" t="str">
        <x:v>Medium demersals (30 - 89 cm)</x:v>
      </x:c>
      <x:c r="H13" s="46" t="str">
        <x:v>Cod-likes</x:v>
      </x:c>
      <x:c r="I13" s="60" t="n">
        <x:v>454.17723681250004</x:v>
      </x:c>
      <x:c r="J13" s="60" t="n">
        <x:v>85.3218221393</x:v>
      </x:c>
      <x:c r="K13" s="60" t="n">
        <x:v>368.8554146732</x:v>
      </x:c>
      <x:c r="L13" s="60" t="n">
        <x:v>85.3041549503</x:v>
      </x:c>
      <x:c r="M13" s="60" t="n">
        <x:v>368.8730818622</x:v>
      </x:c>
      <x:c r="N13" s="46" t="str">
        <x:v>merluccius bilinearis</x:v>
      </x:c>
      <x:c r="O13" s="62" t="n">
        <x:v>4.49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Merluccius bilinearis</x:v>
      </x:c>
      <x:c r="T13" s="62" t="n">
        <x:f>IF(O13="","",(1/'Metadata'!$B$5)^(O13-1))</x:f>
        <x:v>34721.19667768202</x:v>
      </x:c>
      <x:c r="U13" s="60" t="n">
        <x:f>IF(T13="","",I13*T13)</x:f>
        <x:v>15769577.165892975</x:v>
      </x:c>
    </x:row>
    <x:row r="14" ht="18" customHeight="1">
      <x:c r="A14" s="46" t="str">
        <x:v>HS_021</x:v>
      </x:c>
      <x:c r="B14" s="46" t="str">
        <x:v>Atlantic, Northwest</x:v>
      </x:c>
      <x:c r="C14" s="46" t="str">
        <x:v>High Seas</x:v>
      </x:c>
      <x:c r="D14" s="58" t="n">
        <x:v>2019</x:v>
      </x:c>
      <x:c r="E14" s="46" t="str">
        <x:v>Illex illecebrosus</x:v>
      </x:c>
      <x:c r="F14" s="46" t="str">
        <x:v>Northern shortfin squid</x:v>
      </x:c>
      <x:c r="G14" s="46" t="str">
        <x:v>Cephalopods</x:v>
      </x:c>
      <x:c r="H14" s="46" t="str">
        <x:v>Other fishes &amp; inverts</x:v>
      </x:c>
      <x:c r="I14" s="60" t="n">
        <x:v>149.3269473657</x:v>
      </x:c>
      <x:c r="J14" s="60" t="n">
        <x:v>149.3269473657</x:v>
      </x:c>
      <x:c r="K14" s="60" t="n">
        <x:v>0</x:v>
      </x:c>
      <x:c r="L14" s="60" t="n">
        <x:v>149.260813512</x:v>
      </x:c>
      <x:c r="M14" s="60" t="n">
        <x:v>0.06613385370000001</x:v>
      </x:c>
      <x:c r="N14" s="46" t="str">
        <x:v>illex illecebrosus</x:v>
      </x:c>
      <x:c r="O14" s="62" t="n">
        <x:v>3.98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Illex illecebrosus</x:v>
      </x:c>
      <x:c r="T14" s="62" t="n">
        <x:f>IF(O14="","",(1/'Metadata'!$B$5)^(O14-1))</x:f>
        <x:v>7534.759367064222</x:v>
      </x:c>
      <x:c r="U14" s="60" t="n">
        <x:f>IF(T14="","",I14*T14)</x:f>
        <x:v>1125142.6154188141</x:v>
      </x:c>
    </x:row>
    <x:row r="15" ht="18" customHeight="1">
      <x:c r="A15" s="46" t="str">
        <x:v>HS_021</x:v>
      </x:c>
      <x:c r="B15" s="46" t="str">
        <x:v>Atlantic, Northwest</x:v>
      </x:c>
      <x:c r="C15" s="46" t="str">
        <x:v>High Seas</x:v>
      </x:c>
      <x:c r="D15" s="58" t="n">
        <x:v>2019</x:v>
      </x:c>
      <x:c r="E15" s="46" t="str">
        <x:v>Sebastes mentella</x:v>
      </x:c>
      <x:c r="F15" s="46" t="str">
        <x:v>Beaked redfish</x:v>
      </x:c>
      <x:c r="G15" s="46" t="str">
        <x:v>Medium bathypelagics (30 - 89 cm)</x:v>
      </x:c>
      <x:c r="H15" s="46" t="str">
        <x:v>Scorpionfishes</x:v>
      </x:c>
      <x:c r="I15" s="60" t="n">
        <x:v>88.6631177081</x:v>
      </x:c>
      <x:c r="J15" s="60" t="n">
        <x:v>4.04</x:v>
      </x:c>
      <x:c r="K15" s="60" t="n">
        <x:v>84.6231177081</x:v>
      </x:c>
      <x:c r="L15" s="60" t="n">
        <x:v>4</x:v>
      </x:c>
      <x:c r="M15" s="60" t="n">
        <x:v>84.6631177081</x:v>
      </x:c>
      <x:c r="N15" s="46" t="str">
        <x:v>sebastes mentella</x:v>
      </x:c>
      <x:c r="O15" s="62" t="n">
        <x:v>3.65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Sebastes mentella</x:v>
      </x:c>
      <x:c r="T15" s="62" t="n">
        <x:f>IF(O15="","",(1/'Metadata'!$B$5)^(O15-1))</x:f>
        <x:v>2803.6867455443476</x:v>
      </x:c>
      <x:c r="U15" s="60" t="n">
        <x:f>IF(T15="","",I15*T15)</x:f>
        <x:v>248583.60793683832</x:v>
      </x:c>
    </x:row>
    <x:row r="16" ht="18" customHeight="1">
      <x:c r="A16" s="46" t="str">
        <x:v>HS_021</x:v>
      </x:c>
      <x:c r="B16" s="46" t="str">
        <x:v>Atlantic, Northwest</x:v>
      </x:c>
      <x:c r="C16" s="46" t="str">
        <x:v>High Seas</x:v>
      </x:c>
      <x:c r="D16" s="58" t="n">
        <x:v>2019</x:v>
      </x:c>
      <x:c r="E16" s="46" t="str">
        <x:v>Anarhichas</x:v>
      </x:c>
      <x:c r="F16" s="46" t="str">
        <x:v>Wolffishes</x:v>
      </x:c>
      <x:c r="G16" s="46" t="str">
        <x:v>Large demersals (&gt;=90 cm)</x:v>
      </x:c>
      <x:c r="H16" s="46" t="str">
        <x:v>Perch-likes</x:v>
      </x:c>
      <x:c r="I16" s="60" t="n">
        <x:v>86.6071361144</x:v>
      </x:c>
      <x:c r="J16" s="60" t="n">
        <x:v>61.9342910109</x:v>
      </x:c>
      <x:c r="K16" s="60" t="n">
        <x:v>24.672845103500002</x:v>
      </x:c>
      <x:c r="L16" s="60" t="n">
        <x:v>61.8521773811</x:v>
      </x:c>
      <x:c r="M16" s="60" t="n">
        <x:v>24.7549587333</x:v>
      </x:c>
      <x:c r="N16" s="46" t="str">
        <x:v>anarhichas</x:v>
      </x:c>
      <x:c r="O16" s="62" t="n">
        <x:v>3.35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Anarhichas</x:v>
      </x:c>
      <x:c r="T16" s="62" t="n">
        <x:f>IF(O16="","",(1/'Metadata'!$B$5)^(O16-1))</x:f>
        <x:v>1141.3543275066227</x:v>
      </x:c>
      <x:c r="U16" s="60" t="n">
        <x:f>IF(T16="","",I16*T16)</x:f>
        <x:v>98849.42959712555</x:v>
      </x:c>
    </x:row>
    <x:row r="17" ht="18" customHeight="1">
      <x:c r="A17" s="46" t="str">
        <x:v>HS_021</x:v>
      </x:c>
      <x:c r="B17" s="46" t="str">
        <x:v>Atlantic, Northwest</x:v>
      </x:c>
      <x:c r="C17" s="46" t="str">
        <x:v>High Seas</x:v>
      </x:c>
      <x:c r="D17" s="58" t="n">
        <x:v>2019</x:v>
      </x:c>
      <x:c r="E17" s="46" t="str">
        <x:v>Macrourus berglax</x:v>
      </x:c>
      <x:c r="F17" s="46" t="str">
        <x:v>Roughhead grenadier</x:v>
      </x:c>
      <x:c r="G17" s="46" t="str">
        <x:v>Large benthopelagics (&gt;=90 cm)</x:v>
      </x:c>
      <x:c r="H17" s="46" t="str">
        <x:v>Cod-likes</x:v>
      </x:c>
      <x:c r="I17" s="60" t="n">
        <x:v>85.522417057</x:v>
      </x:c>
      <x:c r="J17" s="60" t="n">
        <x:v>69.7888159579</x:v>
      </x:c>
      <x:c r="K17" s="60" t="n">
        <x:v>15.7336010991</x:v>
      </x:c>
      <x:c r="L17" s="60" t="n">
        <x:v>69.43990447590001</x:v>
      </x:c>
      <x:c r="M17" s="60" t="n">
        <x:v>16.0825125811</x:v>
      </x:c>
      <x:c r="N17" s="46" t="str">
        <x:v>macrourus berglax</x:v>
      </x:c>
      <x:c r="O17" s="62" t="n">
        <x:v>4.48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Macrourus berglax</x:v>
      </x:c>
      <x:c r="T17" s="62" t="n">
        <x:f>IF(O17="","",(1/'Metadata'!$B$5)^(O17-1))</x:f>
        <x:v>33696.468277717824</x:v>
      </x:c>
      <x:c r="U17" s="60" t="n">
        <x:f>IF(T17="","",I17*T17)</x:f>
        <x:v>2881803.413394954</x:v>
      </x:c>
    </x:row>
    <x:row r="18" ht="18" customHeight="1">
      <x:c r="A18" s="46" t="str">
        <x:v>HS_021</x:v>
      </x:c>
      <x:c r="B18" s="46" t="str">
        <x:v>Atlantic, Northwest</x:v>
      </x:c>
      <x:c r="C18" s="46" t="str">
        <x:v>High Seas</x:v>
      </x:c>
      <x:c r="D18" s="58" t="n">
        <x:v>2019</x:v>
      </x:c>
      <x:c r="E18" s="46" t="str">
        <x:v>Coryphaenoides rupestris</x:v>
      </x:c>
      <x:c r="F18" s="46" t="str">
        <x:v>Roundnose grenadier</x:v>
      </x:c>
      <x:c r="G18" s="46" t="str">
        <x:v>Large bathypelagics (&gt;=90 cm)</x:v>
      </x:c>
      <x:c r="H18" s="46" t="str">
        <x:v>Cod-likes</x:v>
      </x:c>
      <x:c r="I18" s="60" t="n">
        <x:v>72.5693858215</x:v>
      </x:c>
      <x:c r="J18" s="60" t="n">
        <x:v>38.4933829469</x:v>
      </x:c>
      <x:c r="K18" s="60" t="n">
        <x:v>34.07600287460001</x:v>
      </x:c>
      <x:c r="L18" s="60" t="n">
        <x:v>38.2718096435</x:v>
      </x:c>
      <x:c r="M18" s="60" t="n">
        <x:v>34.29757617800001</x:v>
      </x:c>
      <x:c r="N18" s="46" t="str">
        <x:v>coryphaenoides rupestris</x:v>
      </x:c>
      <x:c r="O18" s="62" t="n">
        <x:v>3.54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Coryphaenoides rupestris</x:v>
      </x:c>
      <x:c r="T18" s="62" t="n">
        <x:f>IF(O18="","",(1/'Metadata'!$B$5)^(O18-1))</x:f>
        <x:v>2016.5834052007342</x:v>
      </x:c>
      <x:c r="U18" s="60" t="n">
        <x:f>IF(T18="","",I18*T18)</x:f>
        <x:v>146342.21917324635</x:v>
      </x:c>
    </x:row>
    <x:row r="19" ht="18" customHeight="1">
      <x:c r="A19" s="46" t="str">
        <x:v>HS_021</x:v>
      </x:c>
      <x:c r="B19" s="46" t="str">
        <x:v>Atlantic, Northwest</x:v>
      </x:c>
      <x:c r="C19" s="46" t="str">
        <x:v>High Seas</x:v>
      </x:c>
      <x:c r="D19" s="58" t="n">
        <x:v>2019</x:v>
      </x:c>
      <x:c r="E19" s="46" t="str">
        <x:v>Thunnus obesus</x:v>
      </x:c>
      <x:c r="F19" s="46" t="str">
        <x:v>Bigeye tuna</x:v>
      </x:c>
      <x:c r="G19" s="46" t="str">
        <x:v>Large pelagics (&gt;=90 cm)</x:v>
      </x:c>
      <x:c r="H19" s="46" t="str">
        <x:v>Tuna &amp; billfishes</x:v>
      </x:c>
      <x:c r="I19" s="60" t="n">
        <x:v>67.6637024119</x:v>
      </x:c>
      <x:c r="J19" s="60" t="n">
        <x:v>67.6637024119</x:v>
      </x:c>
      <x:c r="K19" s="60" t="n">
        <x:v>0</x:v>
      </x:c>
      <x:c r="L19" s="60" t="n">
        <x:v>67.6637024119</x:v>
      </x:c>
      <x:c r="M19" s="60" t="n">
        <x:v>0</x:v>
      </x:c>
      <x:c r="N19" s="46" t="str">
        <x:v>thunnus obesus</x:v>
      </x:c>
      <x:c r="O19" s="62" t="n">
        <x:v>4.49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Thunnus obesus</x:v>
      </x:c>
      <x:c r="T19" s="62" t="n">
        <x:f>IF(O19="","",(1/'Metadata'!$B$5)^(O19-1))</x:f>
        <x:v>34721.19667768202</x:v>
      </x:c>
      <x:c r="U19" s="60" t="n">
        <x:f>IF(T19="","",I19*T19)</x:f>
        <x:v>2349364.7193837273</x:v>
      </x:c>
    </x:row>
    <x:row r="20" ht="18" customHeight="1">
      <x:c r="A20" s="46" t="str">
        <x:v>HS_021</x:v>
      </x:c>
      <x:c r="B20" s="46" t="str">
        <x:v>Atlantic, Northwest</x:v>
      </x:c>
      <x:c r="C20" s="46" t="str">
        <x:v>High Seas</x:v>
      </x:c>
      <x:c r="D20" s="58" t="n">
        <x:v>2019</x:v>
      </x:c>
      <x:c r="E20" s="46" t="str">
        <x:v>Melanogrammus aeglefinus</x:v>
      </x:c>
      <x:c r="F20" s="46" t="str">
        <x:v>Haddock</x:v>
      </x:c>
      <x:c r="G20" s="46" t="str">
        <x:v>Medium demersals (30 - 89 cm)</x:v>
      </x:c>
      <x:c r="H20" s="46" t="str">
        <x:v>Cod-likes</x:v>
      </x:c>
      <x:c r="I20" s="60" t="n">
        <x:v>66.4139294897</x:v>
      </x:c>
      <x:c r="J20" s="60" t="n">
        <x:v>0.33255582930000005</x:v>
      </x:c>
      <x:c r="K20" s="60" t="n">
        <x:v>66.0813736604</x:v>
      </x:c>
      <x:c r="L20" s="60" t="n">
        <x:v>0.30595136300000003</x:v>
      </x:c>
      <x:c r="M20" s="60" t="n">
        <x:v>66.10797812669999</x:v>
      </x:c>
      <x:c r="N20" s="46" t="str">
        <x:v>melanogrammus aeglefinus</x:v>
      </x:c>
      <x:c r="O20" s="62" t="n">
        <x:v>4.03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Melanogrammus aeglefinus</x:v>
      </x:c>
      <x:c r="T20" s="62" t="n">
        <x:f>IF(O20="","",(1/'Metadata'!$B$5)^(O20-1))</x:f>
        <x:v>8752.273628615554</x:v>
      </x:c>
      <x:c r="U20" s="60" t="n">
        <x:f>IF(T20="","",I20*T20)</x:f>
        <x:v>581272.8836454342</x:v>
      </x:c>
    </x:row>
    <x:row r="21" ht="18" customHeight="1">
      <x:c r="A21" s="46" t="str">
        <x:v>HS_021</x:v>
      </x:c>
      <x:c r="B21" s="46" t="str">
        <x:v>Atlantic, Northwest</x:v>
      </x:c>
      <x:c r="C21" s="46" t="str">
        <x:v>High Seas</x:v>
      </x:c>
      <x:c r="D21" s="58" t="n">
        <x:v>2019</x:v>
      </x:c>
      <x:c r="E21" s="46" t="str">
        <x:v>Istiophorus albicans</x:v>
      </x:c>
      <x:c r="F21" s="46" t="str">
        <x:v>Atlantic sailfish</x:v>
      </x:c>
      <x:c r="G21" s="46" t="str">
        <x:v>Large pelagics (&gt;=90 cm)</x:v>
      </x:c>
      <x:c r="H21" s="46" t="str">
        <x:v>Tuna &amp; billfishes</x:v>
      </x:c>
      <x:c r="I21" s="60" t="n">
        <x:v>54.8180574974</x:v>
      </x:c>
      <x:c r="J21" s="60" t="n">
        <x:v>54.8180574974</x:v>
      </x:c>
      <x:c r="K21" s="60" t="n">
        <x:v>0</x:v>
      </x:c>
      <x:c r="L21" s="60" t="n">
        <x:v>54.8180574974</x:v>
      </x:c>
      <x:c r="M21" s="60" t="n">
        <x:v>0</x:v>
      </x:c>
      <x:c r="N21" s="46" t="str">
        <x:v>istiophorus albicans</x:v>
      </x:c>
      <x:c r="O21" s="62" t="n">
        <x:v>4.5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Istiophorus albicans</x:v>
      </x:c>
      <x:c r="T21" s="62" t="n">
        <x:f>IF(O21="","",(1/'Metadata'!$B$5)^(O21-1))</x:f>
        <x:v>35777.08763999664</x:v>
      </x:c>
      <x:c r="U21" s="60" t="n">
        <x:f>IF(T21="","",I21*T21)</x:f>
        <x:v>1961230.4473388544</x:v>
      </x:c>
    </x:row>
    <x:row r="22" ht="18" customHeight="1">
      <x:c r="A22" s="46" t="str">
        <x:v>HS_021</x:v>
      </x:c>
      <x:c r="B22" s="46" t="str">
        <x:v>Atlantic, Northwest</x:v>
      </x:c>
      <x:c r="C22" s="46" t="str">
        <x:v>High Seas</x:v>
      </x:c>
      <x:c r="D22" s="58" t="n">
        <x:v>2019</x:v>
      </x:c>
      <x:c r="E22" s="46" t="str">
        <x:v>Urophycis tenuis</x:v>
      </x:c>
      <x:c r="F22" s="46" t="str">
        <x:v>White hake</x:v>
      </x:c>
      <x:c r="G22" s="46" t="str">
        <x:v>Large demersals (&gt;=90 cm)</x:v>
      </x:c>
      <x:c r="H22" s="46" t="str">
        <x:v>Cod-likes</x:v>
      </x:c>
      <x:c r="I22" s="60" t="n">
        <x:v>34.6783596061</x:v>
      </x:c>
      <x:c r="J22" s="60" t="n">
        <x:v>4.6260955134</x:v>
      </x:c>
      <x:c r="K22" s="60" t="n">
        <x:v>30.0522640927</x:v>
      </x:c>
      <x:c r="L22" s="60" t="n">
        <x:v>4.60194674</x:v>
      </x:c>
      <x:c r="M22" s="60" t="n">
        <x:v>30.0764128661</x:v>
      </x:c>
      <x:c r="N22" s="46" t="str">
        <x:v>urophycis tenuis</x:v>
      </x:c>
      <x:c r="O22" s="62" t="n">
        <x:v>4.27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Urophycis tenuis</x:v>
      </x:c>
      <x:c r="T22" s="62" t="n">
        <x:f>IF(O22="","",(1/'Metadata'!$B$5)^(O22-1))</x:f>
        <x:v>17962.55396184286</x:v>
      </x:c>
      <x:c r="U22" s="60" t="n">
        <x:f>IF(T22="","",I22*T22)</x:f>
        <x:v>622911.905732763</x:v>
      </x:c>
    </x:row>
    <x:row r="23" ht="18" customHeight="1">
      <x:c r="A23" s="46" t="str">
        <x:v>HS_021</x:v>
      </x:c>
      <x:c r="B23" s="46" t="str">
        <x:v>Atlantic, Northwest</x:v>
      </x:c>
      <x:c r="C23" s="46" t="str">
        <x:v>High Seas</x:v>
      </x:c>
      <x:c r="D23" s="58" t="n">
        <x:v>2019</x:v>
      </x:c>
      <x:c r="E23" s="46" t="str">
        <x:v>Marine pelagic fishes not identified</x:v>
      </x:c>
      <x:c r="F23" s="46" t="str">
        <x:v>Pelagic fishes</x:v>
      </x:c>
      <x:c r="G23" s="46" t="str">
        <x:v>Medium pelagics (30 - 89 cm)</x:v>
      </x:c>
      <x:c r="H23" s="46" t="str">
        <x:v>Other fishes &amp; inverts</x:v>
      </x:c>
      <x:c r="I23" s="60" t="n">
        <x:v>32.2442025614</x:v>
      </x:c>
      <x:c r="J23" s="60" t="n">
        <x:v>32.2442025614</x:v>
      </x:c>
      <x:c r="K23" s="60" t="n">
        <x:v>0</x:v>
      </x:c>
      <x:c r="L23" s="60" t="n">
        <x:v>32.2442025614</x:v>
      </x:c>
      <x:c r="M23" s="60" t="n">
        <x:v>0</x:v>
      </x:c>
      <x:c r="N23" s="46" t="str">
        <x:v>marine pelagic fishes not identified</x:v>
      </x:c>
      <x:c r="O23" s="62" t="n">
        <x:v>3.35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Marine pelagic fishes not identified</x:v>
      </x:c>
      <x:c r="T23" s="62" t="n">
        <x:f>IF(O23="","",(1/'Metadata'!$B$5)^(O23-1))</x:f>
        <x:v>1141.3543275066227</x:v>
      </x:c>
      <x:c r="U23" s="60" t="n">
        <x:f>IF(T23="","",I23*T23)</x:f>
        <x:v>36802.06013045402</x:v>
      </x:c>
    </x:row>
    <x:row r="24" ht="18" customHeight="1">
      <x:c r="A24" s="46" t="str">
        <x:v>HS_021</x:v>
      </x:c>
      <x:c r="B24" s="46" t="str">
        <x:v>Atlantic, Northwest</x:v>
      </x:c>
      <x:c r="C24" s="46" t="str">
        <x:v>High Seas</x:v>
      </x:c>
      <x:c r="D24" s="58" t="n">
        <x:v>2019</x:v>
      </x:c>
      <x:c r="E24" s="46" t="str">
        <x:v>Elasmobranchii</x:v>
      </x:c>
      <x:c r="F24" s="46" t="str">
        <x:v>Sharks, rays, skates</x:v>
      </x:c>
      <x:c r="G24" s="46" t="str">
        <x:v>Large sharks (&gt;=90 cm)</x:v>
      </x:c>
      <x:c r="H24" s="46" t="str">
        <x:v>Sharks &amp; rays</x:v>
      </x:c>
      <x:c r="I24" s="60" t="n">
        <x:v>27.862022100399997</x:v>
      </x:c>
      <x:c r="J24" s="60" t="n">
        <x:v>27.1859407947</x:v>
      </x:c>
      <x:c r="K24" s="60" t="n">
        <x:v>0.6760813057</x:v>
      </x:c>
      <x:c r="L24" s="60" t="n">
        <x:v>27.1859407947</x:v>
      </x:c>
      <x:c r="M24" s="60" t="n">
        <x:v>0.6760813057</x:v>
      </x:c>
      <x:c r="N24" s="46" t="str">
        <x:v>elasmobranchii</x:v>
      </x:c>
      <x:c r="O24" s="62" t="n">
        <x:v>4.05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Elasmobranchii</x:v>
      </x:c>
      <x:c r="T24" s="62" t="n">
        <x:f>IF(O24="","",(1/'Metadata'!$B$5)^(O24-1))</x:f>
        <x:v>9292.690797132333</x:v>
      </x:c>
      <x:c r="U24" s="60" t="n">
        <x:f>IF(T24="","",I24*T24)</x:f>
        <x:v>258913.15636188473</x:v>
      </x:c>
    </x:row>
    <x:row r="25" ht="18" customHeight="1">
      <x:c r="A25" s="46" t="str">
        <x:v>HS_021</x:v>
      </x:c>
      <x:c r="B25" s="46" t="str">
        <x:v>Atlantic, Northwest</x:v>
      </x:c>
      <x:c r="C25" s="46" t="str">
        <x:v>High Seas</x:v>
      </x:c>
      <x:c r="D25" s="58" t="n">
        <x:v>2019</x:v>
      </x:c>
      <x:c r="E25" s="46" t="str">
        <x:v>Thunnus alalunga</x:v>
      </x:c>
      <x:c r="F25" s="46" t="str">
        <x:v>Albacore</x:v>
      </x:c>
      <x:c r="G25" s="46" t="str">
        <x:v>Large pelagics (&gt;=90 cm)</x:v>
      </x:c>
      <x:c r="H25" s="46" t="str">
        <x:v>Tuna &amp; billfishes</x:v>
      </x:c>
      <x:c r="I25" s="60" t="n">
        <x:v>23.1800392012</x:v>
      </x:c>
      <x:c r="J25" s="60" t="n">
        <x:v>23.1800392012</x:v>
      </x:c>
      <x:c r="K25" s="60" t="n">
        <x:v>0</x:v>
      </x:c>
      <x:c r="L25" s="60" t="n">
        <x:v>23.1800392012</x:v>
      </x:c>
      <x:c r="M25" s="60" t="n">
        <x:v>0</x:v>
      </x:c>
      <x:c r="N25" s="46" t="str">
        <x:v>thunnus alalunga</x:v>
      </x:c>
      <x:c r="O25" s="62" t="n">
        <x:v>4.3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Thunnus alalunga</x:v>
      </x:c>
      <x:c r="T25" s="62" t="n">
        <x:f>IF(O25="","",(1/'Metadata'!$B$5)^(O25-1))</x:f>
        <x:v>19651.648417852637</x:v>
      </x:c>
      <x:c r="U25" s="60" t="n">
        <x:f>IF(T25="","",I25*T25)</x:f>
        <x:v>455525.98069402407</x:v>
      </x:c>
    </x:row>
    <x:row r="26" ht="18" customHeight="1">
      <x:c r="A26" s="46" t="str">
        <x:v>HS_021</x:v>
      </x:c>
      <x:c r="B26" s="46" t="str">
        <x:v>Atlantic, Northwest</x:v>
      </x:c>
      <x:c r="C26" s="46" t="str">
        <x:v>High Seas</x:v>
      </x:c>
      <x:c r="D26" s="58" t="n">
        <x:v>2019</x:v>
      </x:c>
      <x:c r="E26" s="46" t="str">
        <x:v>Lophius americanus</x:v>
      </x:c>
      <x:c r="F26" s="46" t="str">
        <x:v>American angler</x:v>
      </x:c>
      <x:c r="G26" s="46" t="str">
        <x:v>Large demersals (&gt;=90 cm)</x:v>
      </x:c>
      <x:c r="H26" s="46" t="str">
        <x:v>Other fishes &amp; inverts</x:v>
      </x:c>
      <x:c r="I26" s="60" t="n">
        <x:v>22.404028450200002</x:v>
      </x:c>
      <x:c r="J26" s="60" t="n">
        <x:v>0.331622954</x:v>
      </x:c>
      <x:c r="K26" s="60" t="n">
        <x:v>22.072405496200002</x:v>
      </x:c>
      <x:c r="L26" s="60" t="n">
        <x:v>0.3213400718</x:v>
      </x:c>
      <x:c r="M26" s="60" t="n">
        <x:v>22.0826883784</x:v>
      </x:c>
      <x:c r="N26" s="46" t="str">
        <x:v>lophius americanus</x:v>
      </x:c>
      <x:c r="O26" s="62" t="n">
        <x:v>4.51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Lophius americanus</x:v>
      </x:c>
      <x:c r="T26" s="62" t="n">
        <x:f>IF(O26="","",(1/'Metadata'!$B$5)^(O26-1))</x:f>
        <x:v>36865.088835568684</x:v>
      </x:c>
      <x:c r="U26" s="60" t="n">
        <x:f>IF(T26="","",I26*T26)</x:f>
        <x:v>825926.4990912313</x:v>
      </x:c>
    </x:row>
    <x:row r="27" ht="18" customHeight="1">
      <x:c r="A27" s="46" t="str">
        <x:v>HS_021</x:v>
      </x:c>
      <x:c r="B27" s="46" t="str">
        <x:v>Atlantic, Northwest</x:v>
      </x:c>
      <x:c r="C27" s="46" t="str">
        <x:v>High Seas</x:v>
      </x:c>
      <x:c r="D27" s="58" t="n">
        <x:v>2019</x:v>
      </x:c>
      <x:c r="E27" s="46" t="str">
        <x:v>Teuthida</x:v>
      </x:c>
      <x:c r="F27" s="46" t="str">
        <x:v>Squids</x:v>
      </x:c>
      <x:c r="G27" s="46" t="str">
        <x:v>Cephalopods</x:v>
      </x:c>
      <x:c r="H27" s="46" t="str">
        <x:v>Other fishes &amp; inverts</x:v>
      </x:c>
      <x:c r="I27" s="60" t="n">
        <x:v>21.8473096254</x:v>
      </x:c>
      <x:c r="J27" s="60" t="n">
        <x:v>0</x:v>
      </x:c>
      <x:c r="K27" s="60" t="n">
        <x:v>21.8473096254</x:v>
      </x:c>
      <x:c r="L27" s="60" t="n">
        <x:v>0</x:v>
      </x:c>
      <x:c r="M27" s="60" t="n">
        <x:v>21.8473096254</x:v>
      </x:c>
      <x:c r="N27" s="46" t="str">
        <x:v>teuthida</x:v>
      </x:c>
      <x:c r="O27" s="62" t="n">
        <x:v>4.13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Teuthida</x:v>
      </x:c>
      <x:c r="T27" s="62" t="n">
        <x:f>IF(O27="","",(1/'Metadata'!$B$5)^(O27-1))</x:f>
        <x:v>11809.292685236613</x:v>
      </x:c>
      <x:c r="U27" s="60" t="n">
        <x:f>IF(T27="","",I27*T27)</x:f>
        <x:v>258001.27375133568</x:v>
      </x:c>
    </x:row>
    <x:row r="28" ht="18" customHeight="1">
      <x:c r="A28" s="46" t="str">
        <x:v>HS_021</x:v>
      </x:c>
      <x:c r="B28" s="46" t="str">
        <x:v>Atlantic, Northwest</x:v>
      </x:c>
      <x:c r="C28" s="46" t="str">
        <x:v>High Seas</x:v>
      </x:c>
      <x:c r="D28" s="58" t="n">
        <x:v>2019</x:v>
      </x:c>
      <x:c r="E28" s="46" t="str">
        <x:v>Isurus paucus</x:v>
      </x:c>
      <x:c r="F28" s="46" t="str">
        <x:v>Longfin mako</x:v>
      </x:c>
      <x:c r="G28" s="46" t="str">
        <x:v>Large sharks (&gt;=90 cm)</x:v>
      </x:c>
      <x:c r="H28" s="46" t="str">
        <x:v>Sharks &amp; rays</x:v>
      </x:c>
      <x:c r="I28" s="60" t="n">
        <x:v>21.317987408</x:v>
      </x:c>
      <x:c r="J28" s="60" t="n">
        <x:v>21.317987408</x:v>
      </x:c>
      <x:c r="K28" s="60" t="n">
        <x:v>0</x:v>
      </x:c>
      <x:c r="L28" s="60" t="n">
        <x:v>20.5812800291</x:v>
      </x:c>
      <x:c r="M28" s="60" t="n">
        <x:v>0.7367073788999999</x:v>
      </x:c>
      <x:c r="N28" s="46" t="str">
        <x:v>isurus paucus</x:v>
      </x:c>
      <x:c r="O28" s="62" t="n">
        <x:v>4.51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Isurus paucus</x:v>
      </x:c>
      <x:c r="T28" s="62" t="n">
        <x:f>IF(O28="","",(1/'Metadata'!$B$5)^(O28-1))</x:f>
        <x:v>36865.088835568684</x:v>
      </x:c>
      <x:c r="U28" s="60" t="n">
        <x:f>IF(T28="","",I28*T28)</x:f>
        <x:v>785889.4995914546</x:v>
      </x:c>
    </x:row>
    <x:row r="29" ht="18" customHeight="1">
      <x:c r="A29" s="46" t="str">
        <x:v>HS_021</x:v>
      </x:c>
      <x:c r="B29" s="46" t="str">
        <x:v>Atlantic, Northwest</x:v>
      </x:c>
      <x:c r="C29" s="46" t="str">
        <x:v>High Seas</x:v>
      </x:c>
      <x:c r="D29" s="58" t="n">
        <x:v>2019</x:v>
      </x:c>
      <x:c r="E29" s="46" t="str">
        <x:v>Thunnus albacares</x:v>
      </x:c>
      <x:c r="F29" s="46" t="str">
        <x:v>Yellowfin tuna</x:v>
      </x:c>
      <x:c r="G29" s="46" t="str">
        <x:v>Large pelagics (&gt;=90 cm)</x:v>
      </x:c>
      <x:c r="H29" s="46" t="str">
        <x:v>Tuna &amp; billfishes</x:v>
      </x:c>
      <x:c r="I29" s="60" t="n">
        <x:v>18.222974937599997</x:v>
      </x:c>
      <x:c r="J29" s="60" t="n">
        <x:v>18.222974937599997</x:v>
      </x:c>
      <x:c r="K29" s="60" t="n">
        <x:v>0</x:v>
      </x:c>
      <x:c r="L29" s="60" t="n">
        <x:v>18.222974937599997</x:v>
      </x:c>
      <x:c r="M29" s="60" t="n">
        <x:v>0</x:v>
      </x:c>
      <x:c r="N29" s="46" t="str">
        <x:v>thunnus albacares</x:v>
      </x:c>
      <x:c r="O29" s="62" t="n">
        <x:v>4.41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Thunnus albacares</x:v>
      </x:c>
      <x:c r="T29" s="62" t="n">
        <x:f>IF(O29="","",(1/'Metadata'!$B$5)^(O29-1))</x:f>
        <x:v>27321.987305427916</x:v>
      </x:c>
      <x:c r="U29" s="60" t="n">
        <x:f>IF(T29="","",I29*T29)</x:f>
        <x:v>497887.88991223817</x:v>
      </x:c>
    </x:row>
    <x:row r="30" ht="18" customHeight="1">
      <x:c r="A30" s="46" t="str">
        <x:v>HS_021</x:v>
      </x:c>
      <x:c r="B30" s="46" t="str">
        <x:v>Atlantic, Northwest</x:v>
      </x:c>
      <x:c r="C30" s="46" t="str">
        <x:v>High Seas</x:v>
      </x:c>
      <x:c r="D30" s="58" t="n">
        <x:v>2019</x:v>
      </x:c>
      <x:c r="E30" s="46" t="str">
        <x:v>Thunnus thynnus</x:v>
      </x:c>
      <x:c r="F30" s="46" t="str">
        <x:v>Atlantic bluefin tuna</x:v>
      </x:c>
      <x:c r="G30" s="46" t="str">
        <x:v>Large pelagics (&gt;=90 cm)</x:v>
      </x:c>
      <x:c r="H30" s="46" t="str">
        <x:v>Tuna &amp; billfishes</x:v>
      </x:c>
      <x:c r="I30" s="60" t="n">
        <x:v>15.8643185421</x:v>
      </x:c>
      <x:c r="J30" s="60" t="n">
        <x:v>15.8643185421</x:v>
      </x:c>
      <x:c r="K30" s="60" t="n">
        <x:v>0</x:v>
      </x:c>
      <x:c r="L30" s="60" t="n">
        <x:v>15.8643185421</x:v>
      </x:c>
      <x:c r="M30" s="60" t="n">
        <x:v>0</x:v>
      </x:c>
      <x:c r="N30" s="46" t="str">
        <x:v>thunnus thynnus</x:v>
      </x:c>
      <x:c r="O30" s="62" t="n">
        <x:v>4.45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Thunnus thynnus</x:v>
      </x:c>
      <x:c r="T30" s="62" t="n">
        <x:f>IF(O30="","",(1/'Metadata'!$B$5)^(O30-1))</x:f>
        <x:v>30800.19634445362</x:v>
      </x:c>
      <x:c r="U30" s="60" t="n">
        <x:f>IF(T30="","",I30*T30)</x:f>
        <x:v>488624.1259676362</x:v>
      </x:c>
    </x:row>
    <x:row r="31" ht="18" customHeight="1">
      <x:c r="A31" s="46" t="str">
        <x:v>HS_021</x:v>
      </x:c>
      <x:c r="B31" s="46" t="str">
        <x:v>Atlantic, Northwest</x:v>
      </x:c>
      <x:c r="C31" s="46" t="str">
        <x:v>High Seas</x:v>
      </x:c>
      <x:c r="D31" s="58" t="n">
        <x:v>2019</x:v>
      </x:c>
      <x:c r="E31" s="46" t="str">
        <x:v>Mallotus villosus</x:v>
      </x:c>
      <x:c r="F31" s="46" t="str">
        <x:v>Capelin</x:v>
      </x:c>
      <x:c r="G31" s="46" t="str">
        <x:v>Small pelagics (&lt;30 cm)</x:v>
      </x:c>
      <x:c r="H31" s="46" t="str">
        <x:v>Salmon, smelts, etc</x:v>
      </x:c>
      <x:c r="I31" s="60" t="n">
        <x:v>13.7906267014</x:v>
      </x:c>
      <x:c r="J31" s="60" t="n">
        <x:v>0</x:v>
      </x:c>
      <x:c r="K31" s="60" t="n">
        <x:v>13.7906267014</x:v>
      </x:c>
      <x:c r="L31" s="60" t="n">
        <x:v>0</x:v>
      </x:c>
      <x:c r="M31" s="60" t="n">
        <x:v>13.7906267014</x:v>
      </x:c>
      <x:c r="N31" s="46" t="str">
        <x:v>mallotus villosus</x:v>
      </x:c>
      <x:c r="O31" s="62" t="n">
        <x:v>3.15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Mallotus villosus</x:v>
      </x:c>
      <x:c r="T31" s="62" t="n">
        <x:f>IF(O31="","",(1/'Metadata'!$B$5)^(O31-1))</x:f>
        <x:v>626.9234150652317</x:v>
      </x:c>
      <x:c r="U31" s="60" t="n">
        <x:f>IF(T31="","",I31*T31)</x:f>
        <x:v>8645.66678753146</x:v>
      </x:c>
    </x:row>
    <x:row r="32" ht="18" customHeight="1">
      <x:c r="A32" s="46" t="str">
        <x:v>HS_021</x:v>
      </x:c>
      <x:c r="B32" s="46" t="str">
        <x:v>Atlantic, Northwest</x:v>
      </x:c>
      <x:c r="C32" s="46" t="str">
        <x:v>High Seas</x:v>
      </x:c>
      <x:c r="D32" s="58" t="n">
        <x:v>2019</x:v>
      </x:c>
      <x:c r="E32" s="46" t="str">
        <x:v>Rajidae</x:v>
      </x:c>
      <x:c r="F32" s="46" t="str">
        <x:v>Stingrays</x:v>
      </x:c>
      <x:c r="G32" s="46" t="str">
        <x:v>Large rays (&gt;=90 cm)</x:v>
      </x:c>
      <x:c r="H32" s="46" t="str">
        <x:v>Sharks &amp; rays</x:v>
      </x:c>
      <x:c r="I32" s="60" t="n">
        <x:v>12.933121725</x:v>
      </x:c>
      <x:c r="J32" s="60" t="n">
        <x:v>0</x:v>
      </x:c>
      <x:c r="K32" s="60" t="n">
        <x:v>12.933121725</x:v>
      </x:c>
      <x:c r="L32" s="60" t="n">
        <x:v>0</x:v>
      </x:c>
      <x:c r="M32" s="60" t="n">
        <x:v>12.933121725</x:v>
      </x:c>
      <x:c r="N32" s="46" t="str">
        <x:v>rajidae</x:v>
      </x:c>
      <x:c r="O32" s="62" t="n">
        <x:v>3.82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Rajidae</x:v>
      </x:c>
      <x:c r="T32" s="62" t="n">
        <x:f>IF(O32="","",(1/'Metadata'!$B$5)^(O32-1))</x:f>
        <x:v>4665.56868948727</x:v>
      </x:c>
      <x:c r="U32" s="60" t="n">
        <x:f>IF(T32="","",I32*T32)</x:f>
        <x:v>60340.36777748758</x:v>
      </x:c>
    </x:row>
    <x:row r="33" ht="18" customHeight="1">
      <x:c r="A33" s="46" t="str">
        <x:v>HS_021</x:v>
      </x:c>
      <x:c r="B33" s="46" t="str">
        <x:v>Atlantic, Northwest</x:v>
      </x:c>
      <x:c r="C33" s="46" t="str">
        <x:v>High Seas</x:v>
      </x:c>
      <x:c r="D33" s="58" t="n">
        <x:v>2019</x:v>
      </x:c>
      <x:c r="E33" s="46" t="str">
        <x:v>Anarhichas lupus</x:v>
      </x:c>
      <x:c r="F33" s="46" t="str">
        <x:v>Atlantic wolffish</x:v>
      </x:c>
      <x:c r="G33" s="46" t="str">
        <x:v>Large demersals (&gt;=90 cm)</x:v>
      </x:c>
      <x:c r="H33" s="46" t="str">
        <x:v>Perch-likes</x:v>
      </x:c>
      <x:c r="I33" s="60" t="n">
        <x:v>10.789422008399999</x:v>
      </x:c>
      <x:c r="J33" s="60" t="n">
        <x:v>1</x:v>
      </x:c>
      <x:c r="K33" s="60" t="n">
        <x:v>9.789422008399999</x:v>
      </x:c>
      <x:c r="L33" s="60" t="n">
        <x:v>1</x:v>
      </x:c>
      <x:c r="M33" s="60" t="n">
        <x:v>9.789422008399999</x:v>
      </x:c>
      <x:c r="N33" s="46" t="str">
        <x:v>anarhichas lupus</x:v>
      </x:c>
      <x:c r="O33" s="62" t="n">
        <x:v>3.55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Anarhichas lupus</x:v>
      </x:c>
      <x:c r="T33" s="62" t="n">
        <x:f>IF(O33="","",(1/'Metadata'!$B$5)^(O33-1))</x:f>
        <x:v>2077.9088316274606</x:v>
      </x:c>
      <x:c r="U33" s="60" t="n">
        <x:f>IF(T33="","",I33*T33)</x:f>
        <x:v>22419.435279410052</x:v>
      </x:c>
    </x:row>
    <x:row r="34" ht="18" customHeight="1">
      <x:c r="A34" s="46" t="str">
        <x:v>HS_021</x:v>
      </x:c>
      <x:c r="B34" s="46" t="str">
        <x:v>Atlantic, Northwest</x:v>
      </x:c>
      <x:c r="C34" s="46" t="str">
        <x:v>High Seas</x:v>
      </x:c>
      <x:c r="D34" s="58" t="n">
        <x:v>2019</x:v>
      </x:c>
      <x:c r="E34" s="46" t="str">
        <x:v>Brosme brosme</x:v>
      </x:c>
      <x:c r="F34" s="46" t="str">
        <x:v>Tusk</x:v>
      </x:c>
      <x:c r="G34" s="46" t="str">
        <x:v>Large demersals (&gt;=90 cm)</x:v>
      </x:c>
      <x:c r="H34" s="46" t="str">
        <x:v>Cod-likes</x:v>
      </x:c>
      <x:c r="I34" s="60" t="n">
        <x:v>10.634253271199999</x:v>
      </x:c>
      <x:c r="J34" s="60" t="n">
        <x:v>0.13</x:v>
      </x:c>
      <x:c r="K34" s="60" t="n">
        <x:v>10.5042532712</x:v>
      </x:c>
      <x:c r="L34" s="60" t="n">
        <x:v>0.13</x:v>
      </x:c>
      <x:c r="M34" s="60" t="n">
        <x:v>10.5042532712</x:v>
      </x:c>
      <x:c r="N34" s="46" t="str">
        <x:v>brosme brosme</x:v>
      </x:c>
      <x:c r="O34" s="62" t="n">
        <x:v>3.9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Brosme brosme</x:v>
      </x:c>
      <x:c r="T34" s="62" t="n">
        <x:f>IF(O34="","",(1/'Metadata'!$B$5)^(O34-1))</x:f>
        <x:v>5929.07559285558</x:v>
      </x:c>
      <x:c r="U34" s="60" t="n">
        <x:f>IF(T34="","",I34*T34)</x:f>
        <x:v>63051.291518516526</x:v>
      </x:c>
    </x:row>
    <x:row r="35" ht="18" customHeight="1">
      <x:c r="A35" s="46" t="str">
        <x:v>HS_021</x:v>
      </x:c>
      <x:c r="B35" s="46" t="str">
        <x:v>Atlantic, Northwest</x:v>
      </x:c>
      <x:c r="C35" s="46" t="str">
        <x:v>High Seas</x:v>
      </x:c>
      <x:c r="D35" s="58" t="n">
        <x:v>2019</x:v>
      </x:c>
      <x:c r="E35" s="46" t="str">
        <x:v>Coryphaena hippurus</x:v>
      </x:c>
      <x:c r="F35" s="46" t="str">
        <x:v>Common dolphinfish</x:v>
      </x:c>
      <x:c r="G35" s="46" t="str">
        <x:v>Large pelagics (&gt;=90 cm)</x:v>
      </x:c>
      <x:c r="H35" s="46" t="str">
        <x:v>Perch-likes</x:v>
      </x:c>
      <x:c r="I35" s="60" t="n">
        <x:v>9.9203586336</x:v>
      </x:c>
      <x:c r="J35" s="60" t="n">
        <x:v>9.680819432</x:v>
      </x:c>
      <x:c r="K35" s="60" t="n">
        <x:v>0.2395392016</x:v>
      </x:c>
      <x:c r="L35" s="60" t="n">
        <x:v>9.675819432</x:v>
      </x:c>
      <x:c r="M35" s="60" t="n">
        <x:v>0.2445392016</x:v>
      </x:c>
      <x:c r="N35" s="46" t="str">
        <x:v>coryphaena hippurus</x:v>
      </x:c>
      <x:c r="O35" s="62" t="n">
        <x:v>4.37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Coryphaena hippurus</x:v>
      </x:c>
      <x:c r="T35" s="62" t="n">
        <x:f>IF(O35="","",(1/'Metadata'!$B$5)^(O35-1))</x:f>
        <x:v>24236.56596112542</x:v>
      </x:c>
      <x:c r="U35" s="60" t="n">
        <x:f>IF(T35="","",I35*T35)</x:f>
        <x:v>240435.4263812664</x:v>
      </x:c>
    </x:row>
    <x:row r="36" ht="18" customHeight="1">
      <x:c r="A36" s="46" t="str">
        <x:v>HS_021</x:v>
      </x:c>
      <x:c r="B36" s="46" t="str">
        <x:v>Atlantic, Northwest</x:v>
      </x:c>
      <x:c r="C36" s="46" t="str">
        <x:v>High Seas</x:v>
      </x:c>
      <x:c r="D36" s="58" t="n">
        <x:v>2019</x:v>
      </x:c>
      <x:c r="E36" s="46" t="str">
        <x:v>Scomber scombrus</x:v>
      </x:c>
      <x:c r="F36" s="46" t="str">
        <x:v>Atlantic mackerel</x:v>
      </x:c>
      <x:c r="G36" s="46" t="str">
        <x:v>Medium pelagics (30 - 89 cm)</x:v>
      </x:c>
      <x:c r="H36" s="46" t="str">
        <x:v>Perch-likes</x:v>
      </x:c>
      <x:c r="I36" s="60" t="n">
        <x:v>8.8104</x:v>
      </x:c>
      <x:c r="J36" s="60" t="n">
        <x:v>0</x:v>
      </x:c>
      <x:c r="K36" s="60" t="n">
        <x:v>8.8104</x:v>
      </x:c>
      <x:c r="L36" s="60" t="n">
        <x:v>0</x:v>
      </x:c>
      <x:c r="M36" s="60" t="n">
        <x:v>8.8104</x:v>
      </x:c>
      <x:c r="N36" s="46" t="str">
        <x:v>scomber scombrus</x:v>
      </x:c>
      <x:c r="O36" s="62" t="n">
        <x:v>3.63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Scomber scombrus</x:v>
      </x:c>
      <x:c r="T36" s="62" t="n">
        <x:f>IF(O36="","",(1/'Metadata'!$B$5)^(O36-1))</x:f>
        <x:v>2640.638121038009</x:v>
      </x:c>
      <x:c r="U36" s="60" t="n">
        <x:f>IF(T36="","",I36*T36)</x:f>
        <x:v>23265.078101593273</x:v>
      </x:c>
    </x:row>
    <x:row r="37" ht="18" customHeight="1">
      <x:c r="A37" s="46" t="str">
        <x:v>HS_021</x:v>
      </x:c>
      <x:c r="B37" s="46" t="str">
        <x:v>Atlantic, Northwest</x:v>
      </x:c>
      <x:c r="C37" s="46" t="str">
        <x:v>High Seas</x:v>
      </x:c>
      <x:c r="D37" s="58" t="n">
        <x:v>2019</x:v>
      </x:c>
      <x:c r="E37" s="46" t="str">
        <x:v>Pandalus borealis</x:v>
      </x:c>
      <x:c r="F37" s="46" t="str">
        <x:v>Northern prawn</x:v>
      </x:c>
      <x:c r="G37" s="46" t="str">
        <x:v>Shrimps</x:v>
      </x:c>
      <x:c r="H37" s="46" t="str">
        <x:v>Crustaceans</x:v>
      </x:c>
      <x:c r="I37" s="60" t="n">
        <x:v>7.2276758879</x:v>
      </x:c>
      <x:c r="J37" s="60" t="n">
        <x:v>0</x:v>
      </x:c>
      <x:c r="K37" s="60" t="n">
        <x:v>7.2276758879</x:v>
      </x:c>
      <x:c r="L37" s="60" t="n">
        <x:v>0</x:v>
      </x:c>
      <x:c r="M37" s="60" t="n">
        <x:v>7.2276758879</x:v>
      </x:c>
      <x:c r="N37" s="46" t="str">
        <x:v>pandalus borealis</x:v>
      </x:c>
      <x:c r="O37" s="62" t="n">
        <x:v>3.07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Pandalus borealis</x:v>
      </x:c>
      <x:c r="T37" s="62" t="n">
        <x:f>IF(O37="","",(1/'Metadata'!$B$5)^(O37-1))</x:f>
        <x:v>493.32382598718914</x:v>
      </x:c>
      <x:c r="U37" s="60" t="n">
        <x:f>IF(T37="","",I37*T37)</x:f>
        <x:v>3565.5847220141823</x:v>
      </x:c>
    </x:row>
    <x:row r="38" ht="18" customHeight="1">
      <x:c r="A38" s="46" t="str">
        <x:v>HS_021</x:v>
      </x:c>
      <x:c r="B38" s="46" t="str">
        <x:v>Atlantic, Northwest</x:v>
      </x:c>
      <x:c r="C38" s="46" t="str">
        <x:v>High Seas</x:v>
      </x:c>
      <x:c r="D38" s="58" t="n">
        <x:v>2019</x:v>
      </x:c>
      <x:c r="E38" s="46" t="str">
        <x:v>Sebastes norvegicus</x:v>
      </x:c>
      <x:c r="F38" s="46" t="str">
        <x:v>Golden redfish</x:v>
      </x:c>
      <x:c r="G38" s="46" t="str">
        <x:v>Medium benthopelagics (30 - 89 cm)</x:v>
      </x:c>
      <x:c r="H38" s="46" t="str">
        <x:v>Scorpionfishes</x:v>
      </x:c>
      <x:c r="I38" s="60" t="n">
        <x:v>5.0224</x:v>
      </x:c>
      <x:c r="J38" s="60" t="n">
        <x:v>0</x:v>
      </x:c>
      <x:c r="K38" s="60" t="n">
        <x:v>5.0224</x:v>
      </x:c>
      <x:c r="L38" s="60" t="n">
        <x:v>0</x:v>
      </x:c>
      <x:c r="M38" s="60" t="n">
        <x:v>5.0224</x:v>
      </x:c>
      <x:c r="N38" s="46" t="str">
        <x:v>sebastes norvegicus</x:v>
      </x:c>
      <x:c r="O38" s="62" t="n">
        <x:v>4.04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Sebastes norvegicus</x:v>
      </x:c>
      <x:c r="T38" s="62" t="n">
        <x:f>IF(O38="","",(1/'Metadata'!$B$5)^(O38-1))</x:f>
        <x:v>9018.435152653688</x:v>
      </x:c>
      <x:c r="U38" s="60" t="n">
        <x:f>IF(T38="","",I38*T38)</x:f>
        <x:v>45294.188710687886</x:v>
      </x:c>
    </x:row>
    <x:row r="39" ht="18" customHeight="1">
      <x:c r="A39" s="46" t="str">
        <x:v>HS_021</x:v>
      </x:c>
      <x:c r="B39" s="46" t="str">
        <x:v>Atlantic, Northwest</x:v>
      </x:c>
      <x:c r="C39" s="46" t="str">
        <x:v>High Seas</x:v>
      </x:c>
      <x:c r="D39" s="58" t="n">
        <x:v>2019</x:v>
      </x:c>
      <x:c r="E39" s="46" t="str">
        <x:v>Anarhichas minor</x:v>
      </x:c>
      <x:c r="F39" s="46" t="str">
        <x:v>Spotted wolffish</x:v>
      </x:c>
      <x:c r="G39" s="46" t="str">
        <x:v>Large demersals (&gt;=90 cm)</x:v>
      </x:c>
      <x:c r="H39" s="46" t="str">
        <x:v>Perch-likes</x:v>
      </x:c>
      <x:c r="I39" s="60" t="n">
        <x:v>4.2366678037</x:v>
      </x:c>
      <x:c r="J39" s="60" t="n">
        <x:v>1</x:v>
      </x:c>
      <x:c r="K39" s="60" t="n">
        <x:v>3.2366678037</x:v>
      </x:c>
      <x:c r="L39" s="60" t="n">
        <x:v>1</x:v>
      </x:c>
      <x:c r="M39" s="60" t="n">
        <x:v>3.2366678037</x:v>
      </x:c>
      <x:c r="N39" s="46" t="str">
        <x:v>anarhichas minor</x:v>
      </x:c>
      <x:c r="O39" s="62" t="n">
        <x:v>3.45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Anarhichas minor</x:v>
      </x:c>
      <x:c r="T39" s="62" t="n">
        <x:f>IF(O39="","",(1/'Metadata'!$B$5)^(O39-1))</x:f>
        <x:v>1540.009817222681</x:v>
      </x:c>
      <x:c r="U39" s="60" t="n">
        <x:f>IF(T39="","",I39*T39)</x:f>
        <x:v>6524.510010009254</x:v>
      </x:c>
    </x:row>
    <x:row r="40" ht="18" customHeight="1">
      <x:c r="A40" s="46" t="str">
        <x:v>HS_021</x:v>
      </x:c>
      <x:c r="B40" s="46" t="str">
        <x:v>Atlantic, Northwest</x:v>
      </x:c>
      <x:c r="C40" s="46" t="str">
        <x:v>High Seas</x:v>
      </x:c>
      <x:c r="D40" s="58" t="n">
        <x:v>2019</x:v>
      </x:c>
      <x:c r="E40" s="46" t="str">
        <x:v>Mollusca</x:v>
      </x:c>
      <x:c r="F40" s="46" t="str">
        <x:v>Clams, seasnails, squids, octopuses</x:v>
      </x:c>
      <x:c r="G40" s="46" t="str">
        <x:v>Other demersal invertebrates</x:v>
      </x:c>
      <x:c r="H40" s="46" t="str">
        <x:v>Molluscs</x:v>
      </x:c>
      <x:c r="I40" s="60" t="n">
        <x:v>3.4029850746</x:v>
      </x:c>
      <x:c r="J40" s="60" t="n">
        <x:v>3.4029850746</x:v>
      </x:c>
      <x:c r="K40" s="60" t="n">
        <x:v>0</x:v>
      </x:c>
      <x:c r="L40" s="60" t="n">
        <x:v>3.4029850746</x:v>
      </x:c>
      <x:c r="M40" s="60" t="n">
        <x:v>0</x:v>
      </x:c>
      <x:c r="N40" s="46" t="str">
        <x:v>mollusca</x:v>
      </x:c>
      <x:c r="O40" s="62" t="n">
        <x:v>2.1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Mollusca</x:v>
      </x:c>
      <x:c r="T40" s="62" t="n">
        <x:f>IF(O40="","",(1/'Metadata'!$B$5)^(O40-1))</x:f>
        <x:v>26.985656953471274</x:v>
      </x:c>
      <x:c r="U40" s="60" t="n">
        <x:f>IF(T40="","",I40*T40)</x:f>
        <x:v>91.83178784093846</x:v>
      </x:c>
    </x:row>
    <x:row r="41" ht="18" customHeight="1">
      <x:c r="A41" s="46" t="str">
        <x:v>HS_021</x:v>
      </x:c>
      <x:c r="B41" s="46" t="str">
        <x:v>Atlantic, Northwest</x:v>
      </x:c>
      <x:c r="C41" s="46" t="str">
        <x:v>High Seas</x:v>
      </x:c>
      <x:c r="D41" s="58" t="n">
        <x:v>2019</x:v>
      </x:c>
      <x:c r="E41" s="46" t="str">
        <x:v>Tetrapturus pfluegeri</x:v>
      </x:c>
      <x:c r="F41" s="46" t="str">
        <x:v>Longbill spearfish</x:v>
      </x:c>
      <x:c r="G41" s="46" t="str">
        <x:v>Large pelagics (&gt;=90 cm)</x:v>
      </x:c>
      <x:c r="H41" s="46" t="str">
        <x:v>Tuna &amp; billfishes</x:v>
      </x:c>
      <x:c r="I41" s="60" t="n">
        <x:v>3.3932152363</x:v>
      </x:c>
      <x:c r="J41" s="60" t="n">
        <x:v>3.3932152363</x:v>
      </x:c>
      <x:c r="K41" s="60" t="n">
        <x:v>0</x:v>
      </x:c>
      <x:c r="L41" s="60" t="n">
        <x:v>3.3932152363</x:v>
      </x:c>
      <x:c r="M41" s="60" t="n">
        <x:v>0</x:v>
      </x:c>
      <x:c r="N41" s="46" t="str">
        <x:v>tetrapturus pfluegeri</x:v>
      </x:c>
      <x:c r="O41" s="62" t="n">
        <x:v>4.4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Tetrapturus pfluegeri</x:v>
      </x:c>
      <x:c r="T41" s="62" t="n">
        <x:f>IF(O41="","",(1/'Metadata'!$B$5)^(O41-1))</x:f>
        <x:v>26515.632138719924</x:v>
      </x:c>
      <x:c r="U41" s="60" t="n">
        <x:f>IF(T41="","",I41*T41)</x:f>
        <x:v>89973.2469732304</x:v>
      </x:c>
    </x:row>
    <x:row r="42" ht="18" customHeight="1">
      <x:c r="A42" s="46" t="str">
        <x:v>HS_021</x:v>
      </x:c>
      <x:c r="B42" s="46" t="str">
        <x:v>Atlantic, Northwest</x:v>
      </x:c>
      <x:c r="C42" s="46" t="str">
        <x:v>High Seas</x:v>
      </x:c>
      <x:c r="D42" s="58" t="n">
        <x:v>2019</x:v>
      </x:c>
      <x:c r="E42" s="46" t="str">
        <x:v>Thunnus atlanticus</x:v>
      </x:c>
      <x:c r="F42" s="46" t="str">
        <x:v>Blackfin tuna</x:v>
      </x:c>
      <x:c r="G42" s="46" t="str">
        <x:v>Large pelagics (&gt;=90 cm)</x:v>
      </x:c>
      <x:c r="H42" s="46" t="str">
        <x:v>Tuna &amp; billfishes</x:v>
      </x:c>
      <x:c r="I42" s="60" t="n">
        <x:v>2.1561414118</x:v>
      </x:c>
      <x:c r="J42" s="60" t="n">
        <x:v>2.1561414118</x:v>
      </x:c>
      <x:c r="K42" s="60" t="n">
        <x:v>0</x:v>
      </x:c>
      <x:c r="L42" s="60" t="n">
        <x:v>2.1561414118</x:v>
      </x:c>
      <x:c r="M42" s="60" t="n">
        <x:v>0</x:v>
      </x:c>
      <x:c r="N42" s="46" t="str">
        <x:v>thunnus atlanticus</x:v>
      </x:c>
      <x:c r="O42" s="62" t="n">
        <x:v>4.35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Thunnus atlanticus</x:v>
      </x:c>
      <x:c r="T42" s="62" t="n">
        <x:f>IF(O42="","",(1/'Metadata'!$B$5)^(O42-1))</x:f>
        <x:v>22827.086550132422</x:v>
      </x:c>
      <x:c r="U42" s="60" t="n">
        <x:f>IF(T42="","",I42*T42)</x:f>
        <x:v>49218.42662148332</x:v>
      </x:c>
    </x:row>
    <x:row r="43" ht="18" customHeight="1">
      <x:c r="A43" s="46" t="str">
        <x:v>HS_021</x:v>
      </x:c>
      <x:c r="B43" s="46" t="str">
        <x:v>Atlantic, Northwest</x:v>
      </x:c>
      <x:c r="C43" s="46" t="str">
        <x:v>High Seas</x:v>
      </x:c>
      <x:c r="D43" s="58" t="n">
        <x:v>2019</x:v>
      </x:c>
      <x:c r="E43" s="46" t="str">
        <x:v>Antimora rostrata</x:v>
      </x:c>
      <x:c r="F43" s="46" t="str">
        <x:v>Blue antimora</x:v>
      </x:c>
      <x:c r="G43" s="46" t="str">
        <x:v>Medium bathypelagics (30 - 89 cm)</x:v>
      </x:c>
      <x:c r="H43" s="46" t="str">
        <x:v>Cod-likes</x:v>
      </x:c>
      <x:c r="I43" s="60" t="n">
        <x:v>1.9774627335</x:v>
      </x:c>
      <x:c r="J43" s="60" t="n">
        <x:v>0</x:v>
      </x:c>
      <x:c r="K43" s="60" t="n">
        <x:v>1.9774627335</x:v>
      </x:c>
      <x:c r="L43" s="60" t="n">
        <x:v>0</x:v>
      </x:c>
      <x:c r="M43" s="60" t="n">
        <x:v>1.9774627335</x:v>
      </x:c>
      <x:c r="N43" s="46" t="str">
        <x:v>antimora rostrata</x:v>
      </x:c>
      <x:c r="O43" s="62" t="n">
        <x:v>3.58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Antimora rostrata</x:v>
      </x:c>
      <x:c r="T43" s="62" t="n">
        <x:f>IF(O43="","",(1/'Metadata'!$B$5)^(O43-1))</x:f>
        <x:v>2273.3033337150473</x:v>
      </x:c>
      <x:c r="U43" s="60" t="n">
        <x:f>IF(T43="","",I43*T43)</x:f>
        <x:v>4495.37262436282</x:v>
      </x:c>
    </x:row>
    <x:row r="44" ht="18" customHeight="1">
      <x:c r="A44" s="46" t="str">
        <x:v>HS_021</x:v>
      </x:c>
      <x:c r="B44" s="46" t="str">
        <x:v>Atlantic, Northwest</x:v>
      </x:c>
      <x:c r="C44" s="46" t="str">
        <x:v>High Seas</x:v>
      </x:c>
      <x:c r="D44" s="58" t="n">
        <x:v>2019</x:v>
      </x:c>
      <x:c r="E44" s="46" t="str">
        <x:v>Chionoecetes opilio</x:v>
      </x:c>
      <x:c r="F44" s="46" t="str">
        <x:v>Snow crab</x:v>
      </x:c>
      <x:c r="G44" s="46" t="str">
        <x:v>Lobsters, crabs</x:v>
      </x:c>
      <x:c r="H44" s="46" t="str">
        <x:v>Crustaceans</x:v>
      </x:c>
      <x:c r="I44" s="60" t="n">
        <x:v>1.5710905816</x:v>
      </x:c>
      <x:c r="J44" s="60" t="n">
        <x:v>1.5710905816</x:v>
      </x:c>
      <x:c r="K44" s="60" t="n">
        <x:v>0</x:v>
      </x:c>
      <x:c r="L44" s="60" t="n">
        <x:v>1.5710905816</x:v>
      </x:c>
      <x:c r="M44" s="60" t="n">
        <x:v>0</x:v>
      </x:c>
      <x:c r="N44" s="46" t="str">
        <x:v>chionoecetes opilio</x:v>
      </x:c>
      <x:c r="O44" s="62" t="n">
        <x:v>3.54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Chionoecetes opilio</x:v>
      </x:c>
      <x:c r="T44" s="62" t="n">
        <x:f>IF(O44="","",(1/'Metadata'!$B$5)^(O44-1))</x:f>
        <x:v>2016.5834052007342</x:v>
      </x:c>
      <x:c r="U44" s="60" t="n">
        <x:f>IF(T44="","",I44*T44)</x:f>
        <x:v>3168.23519492173</x:v>
      </x:c>
    </x:row>
    <x:row r="45" ht="18" customHeight="1">
      <x:c r="A45" s="46" t="str">
        <x:v>HS_021</x:v>
      </x:c>
      <x:c r="B45" s="46" t="str">
        <x:v>Atlantic, Northwest</x:v>
      </x:c>
      <x:c r="C45" s="46" t="str">
        <x:v>High Seas</x:v>
      </x:c>
      <x:c r="D45" s="58" t="n">
        <x:v>2019</x:v>
      </x:c>
      <x:c r="E45" s="46" t="str">
        <x:v>Scorpaeniformes</x:v>
      </x:c>
      <x:c r="F45" s="46" t="str">
        <x:v>Scorpionfishes, flatheads</x:v>
      </x:c>
      <x:c r="G45" s="46" t="str">
        <x:v>Medium demersals (30 - 89 cm)</x:v>
      </x:c>
      <x:c r="H45" s="46" t="str">
        <x:v>Scorpionfishes</x:v>
      </x:c>
      <x:c r="I45" s="60" t="n">
        <x:v>1.3846153846</x:v>
      </x:c>
      <x:c r="J45" s="60" t="n">
        <x:v>1.3846153846</x:v>
      </x:c>
      <x:c r="K45" s="60" t="n">
        <x:v>0</x:v>
      </x:c>
      <x:c r="L45" s="60" t="n">
        <x:v>1.3846153846</x:v>
      </x:c>
      <x:c r="M45" s="60" t="n">
        <x:v>0</x:v>
      </x:c>
      <x:c r="N45" s="46" t="str">
        <x:v>scorpaeniformes</x:v>
      </x:c>
      <x:c r="O45" s="62" t="n">
        <x:v>3.78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Scorpaeniformes</x:v>
      </x:c>
      <x:c r="T45" s="62" t="n">
        <x:f>IF(O45="","",(1/'Metadata'!$B$5)^(O45-1))</x:f>
        <x:v>4138.694671981463</x:v>
      </x:c>
      <x:c r="U45" s="60" t="n">
        <x:f>IF(T45="","",I45*T45)</x:f>
        <x:v>5730.500314987585</x:v>
      </x:c>
    </x:row>
    <x:row r="46" ht="18" customHeight="1">
      <x:c r="A46" s="46" t="str">
        <x:v>HS_021</x:v>
      </x:c>
      <x:c r="B46" s="46" t="str">
        <x:v>Atlantic, Northwest</x:v>
      </x:c>
      <x:c r="C46" s="46" t="str">
        <x:v>High Seas</x:v>
      </x:c>
      <x:c r="D46" s="58" t="n">
        <x:v>2019</x:v>
      </x:c>
      <x:c r="E46" s="46" t="str">
        <x:v>Gaidropsarus ensis</x:v>
      </x:c>
      <x:c r="F46" s="46" t="str">
        <x:v>Threadfin rockling</x:v>
      </x:c>
      <x:c r="G46" s="46" t="str">
        <x:v>Medium benthopelagics (30 - 89 cm)</x:v>
      </x:c>
      <x:c r="H46" s="46" t="str">
        <x:v>Cod-likes</x:v>
      </x:c>
      <x:c r="I46" s="60" t="n">
        <x:v>1.2580512184000001</x:v>
      </x:c>
      <x:c r="J46" s="60" t="n">
        <x:v>0.1995363238</x:v>
      </x:c>
      <x:c r="K46" s="60" t="n">
        <x:v>1.0585148946</x:v>
      </x:c>
      <x:c r="L46" s="60" t="n">
        <x:v>0.1972816761</x:v>
      </x:c>
      <x:c r="M46" s="60" t="n">
        <x:v>1.0607695423</x:v>
      </x:c>
      <x:c r="N46" s="46" t="str">
        <x:v>gaidropsarus ensis</x:v>
      </x:c>
      <x:c r="O46" s="62" t="n">
        <x:v>3.38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Gaidropsarus ensis</x:v>
      </x:c>
      <x:c r="T46" s="62" t="n">
        <x:f>IF(O46="","",(1/'Metadata'!$B$5)^(O46-1))</x:f>
        <x:v>1248.6806726928048</x:v>
      </x:c>
      <x:c r="U46" s="60" t="n">
        <x:f>IF(T46="","",I46*T46)</x:f>
        <x:v>1570.9042416737148</x:v>
      </x:c>
    </x:row>
    <x:row r="47" ht="18" customHeight="1">
      <x:c r="A47" s="46" t="str">
        <x:v>HS_021</x:v>
      </x:c>
      <x:c r="B47" s="46" t="str">
        <x:v>Atlantic, Northwest</x:v>
      </x:c>
      <x:c r="C47" s="46" t="str">
        <x:v>High Seas</x:v>
      </x:c>
      <x:c r="D47" s="58" t="n">
        <x:v>2019</x:v>
      </x:c>
      <x:c r="E47" s="46" t="str">
        <x:v>Lycodes</x:v>
      </x:c>
      <x:c r="F47" s="46" t="str">
        <x:v>Eelpouts</x:v>
      </x:c>
      <x:c r="G47" s="46" t="str">
        <x:v>Medium bathydemersals (30 - 89 cm)</x:v>
      </x:c>
      <x:c r="H47" s="46" t="str">
        <x:v>Perch-likes</x:v>
      </x:c>
      <x:c r="I47" s="60" t="n">
        <x:v>1.2426443725</x:v>
      </x:c>
      <x:c r="J47" s="60" t="n">
        <x:v>0</x:v>
      </x:c>
      <x:c r="K47" s="60" t="n">
        <x:v>1.2426443725</x:v>
      </x:c>
      <x:c r="L47" s="60" t="n">
        <x:v>0</x:v>
      </x:c>
      <x:c r="M47" s="60" t="n">
        <x:v>1.2426443725</x:v>
      </x:c>
      <x:c r="N47" s="46" t="str">
        <x:v>lycodes</x:v>
      </x:c>
      <x:c r="O47" s="62" t="n">
        <x:v>3.3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Lycodes</x:v>
      </x:c>
      <x:c r="T47" s="62" t="n">
        <x:f>IF(O47="","",(1/'Metadata'!$B$5)^(O47-1))</x:f>
        <x:v>982.5824208926318</x:v>
      </x:c>
      <x:c r="U47" s="60" t="n">
        <x:f>IF(T47="","",I47*T47)</x:f>
        <x:v>1221.0005158396555</x:v>
      </x:c>
    </x:row>
    <x:row r="48" ht="18" customHeight="1">
      <x:c r="A48" s="46" t="str">
        <x:v>HS_021</x:v>
      </x:c>
      <x:c r="B48" s="46" t="str">
        <x:v>Atlantic, Northwest</x:v>
      </x:c>
      <x:c r="C48" s="46" t="str">
        <x:v>High Seas</x:v>
      </x:c>
      <x:c r="D48" s="58" t="n">
        <x:v>2019</x:v>
      </x:c>
      <x:c r="E48" s="46" t="str">
        <x:v>Marine finfishes not identified</x:v>
      </x:c>
      <x:c r="F48" s="46" t="str">
        <x:v>Finfishes</x:v>
      </x:c>
      <x:c r="G48" s="46" t="str">
        <x:v>Medium demersals (30 - 89 cm)</x:v>
      </x:c>
      <x:c r="H48" s="46" t="str">
        <x:v>Other fishes &amp; inverts</x:v>
      </x:c>
      <x:c r="I48" s="60" t="n">
        <x:v>1.0657950764</x:v>
      </x:c>
      <x:c r="J48" s="60" t="n">
        <x:v>1.0657950764</x:v>
      </x:c>
      <x:c r="K48" s="60" t="n">
        <x:v>0</x:v>
      </x:c>
      <x:c r="L48" s="60" t="n">
        <x:v>1</x:v>
      </x:c>
      <x:c r="M48" s="60" t="n">
        <x:v>0.0657950764</x:v>
      </x:c>
      <x:c r="N48" s="46" t="str">
        <x:v>marine finfishes not identified</x:v>
      </x:c>
      <x:c r="O48" s="62" t="n">
        <x:v>3.23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Marine finfishes not identified</x:v>
      </x:c>
      <x:c r="T48" s="62" t="n">
        <x:f>IF(O48="","",(1/'Metadata'!$B$5)^(O48-1))</x:f>
        <x:v>796.7038031673321</x:v>
      </x:c>
      <x:c r="U48" s="60" t="n">
        <x:f>IF(T48="","",I48*T48)</x:f>
        <x:v>849.1229907648973</x:v>
      </x:c>
    </x:row>
    <x:row r="49" ht="18" customHeight="1">
      <x:c r="A49" s="46" t="str">
        <x:v>HS_021</x:v>
      </x:c>
      <x:c r="B49" s="46" t="str">
        <x:v>Atlantic, Northwest</x:v>
      </x:c>
      <x:c r="C49" s="46" t="str">
        <x:v>High Seas</x:v>
      </x:c>
      <x:c r="D49" s="58" t="n">
        <x:v>2019</x:v>
      </x:c>
      <x:c r="E49" s="46" t="str">
        <x:v>Lophiidae</x:v>
      </x:c>
      <x:c r="F49" s="46" t="str">
        <x:v>Goosefishes</x:v>
      </x:c>
      <x:c r="G49" s="46" t="str">
        <x:v>Medium bathydemersals (30 - 89 cm)</x:v>
      </x:c>
      <x:c r="H49" s="46" t="str">
        <x:v>Other fishes &amp; inverts</x:v>
      </x:c>
      <x:c r="I49" s="60" t="n">
        <x:v>1.0648832234</x:v>
      </x:c>
      <x:c r="J49" s="60" t="n">
        <x:v>0</x:v>
      </x:c>
      <x:c r="K49" s="60" t="n">
        <x:v>1.0648832234</x:v>
      </x:c>
      <x:c r="L49" s="60" t="n">
        <x:v>0</x:v>
      </x:c>
      <x:c r="M49" s="60" t="n">
        <x:v>1.0648832234</x:v>
      </x:c>
      <x:c r="N49" s="46" t="str">
        <x:v>lophiidae</x:v>
      </x:c>
      <x:c r="O49" s="62" t="n">
        <x:v>4.46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Lophiidae</x:v>
      </x:c>
      <x:c r="T49" s="62" t="n">
        <x:f>IF(O49="","",(1/'Metadata'!$B$5)^(O49-1))</x:f>
        <x:v>31736.84749906455</x:v>
      </x:c>
      <x:c r="U49" s="60" t="n">
        <x:f>IF(T49="","",I49*T49)</x:f>
        <x:v>33796.03646535809</x:v>
      </x:c>
    </x:row>
    <x:row r="50" ht="18" customHeight="1">
      <x:c r="A50" s="46" t="str">
        <x:v>HS_021</x:v>
      </x:c>
      <x:c r="B50" s="46" t="str">
        <x:v>Atlantic, Northwest</x:v>
      </x:c>
      <x:c r="C50" s="46" t="str">
        <x:v>High Seas</x:v>
      </x:c>
      <x:c r="D50" s="58" t="n">
        <x:v>2019</x:v>
      </x:c>
      <x:c r="E50" s="46" t="str">
        <x:v>Katsuwonus pelamis</x:v>
      </x:c>
      <x:c r="F50" s="46" t="str">
        <x:v>Skipjack tuna</x:v>
      </x:c>
      <x:c r="G50" s="46" t="str">
        <x:v>Large pelagics (&gt;=90 cm)</x:v>
      </x:c>
      <x:c r="H50" s="46" t="str">
        <x:v>Tuna &amp; billfishes</x:v>
      </x:c>
      <x:c r="I50" s="60" t="n">
        <x:v>0.980070448</x:v>
      </x:c>
      <x:c r="J50" s="60" t="n">
        <x:v>0.980070448</x:v>
      </x:c>
      <x:c r="K50" s="60" t="n">
        <x:v>0</x:v>
      </x:c>
      <x:c r="L50" s="60" t="n">
        <x:v>0.980070448</x:v>
      </x:c>
      <x:c r="M50" s="60" t="n">
        <x:v>0</x:v>
      </x:c>
      <x:c r="N50" s="46" t="str">
        <x:v>katsuwonus pelamis</x:v>
      </x:c>
      <x:c r="O50" s="62" t="n">
        <x:v>4.43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Katsuwonus pelamis</x:v>
      </x:c>
      <x:c r="T50" s="62" t="n">
        <x:f>IF(O50="","",(1/'Metadata'!$B$5)^(O50-1))</x:f>
        <x:v>29009.008489223597</x:v>
      </x:c>
      <x:c r="U50" s="60" t="n">
        <x:f>IF(T50="","",I50*T50)</x:f>
        <x:v>28430.871946069175</x:v>
      </x:c>
    </x:row>
    <x:row r="51" ht="18" customHeight="1">
      <x:c r="A51" s="46" t="str">
        <x:v>HS_021</x:v>
      </x:c>
      <x:c r="B51" s="46" t="str">
        <x:v>Atlantic, Northwest</x:v>
      </x:c>
      <x:c r="C51" s="46" t="str">
        <x:v>High Seas</x:v>
      </x:c>
      <x:c r="D51" s="58" t="n">
        <x:v>2019</x:v>
      </x:c>
      <x:c r="E51" s="46" t="str">
        <x:v>Istiophoridae</x:v>
      </x:c>
      <x:c r="F51" s="46" t="str">
        <x:v>Billfishes</x:v>
      </x:c>
      <x:c r="G51" s="46" t="str">
        <x:v>Large pelagics (&gt;=90 cm)</x:v>
      </x:c>
      <x:c r="H51" s="46" t="str">
        <x:v>Tuna &amp; billfishes</x:v>
      </x:c>
      <x:c r="I51" s="60" t="n">
        <x:v>0.9196784456</x:v>
      </x:c>
      <x:c r="J51" s="60" t="n">
        <x:v>0.9196784456</x:v>
      </x:c>
      <x:c r="K51" s="60" t="n">
        <x:v>0</x:v>
      </x:c>
      <x:c r="L51" s="60" t="n">
        <x:v>0.9196784456</x:v>
      </x:c>
      <x:c r="M51" s="60" t="n">
        <x:v>0</x:v>
      </x:c>
      <x:c r="N51" s="46" t="str">
        <x:v>istiophoridae</x:v>
      </x:c>
      <x:c r="O51" s="62" t="n">
        <x:v>4.48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Istiophoridae</x:v>
      </x:c>
      <x:c r="T51" s="62" t="n">
        <x:f>IF(O51="","",(1/'Metadata'!$B$5)^(O51-1))</x:f>
        <x:v>33696.468277717824</x:v>
      </x:c>
      <x:c r="U51" s="60" t="n">
        <x:f>IF(T51="","",I51*T51)</x:f>
        <x:v>30989.915567861237</x:v>
      </x:c>
    </x:row>
    <x:row r="52" ht="18" customHeight="1">
      <x:c r="A52" s="46" t="str">
        <x:v>HS_021</x:v>
      </x:c>
      <x:c r="B52" s="46" t="str">
        <x:v>Atlantic, Northwest</x:v>
      </x:c>
      <x:c r="C52" s="46" t="str">
        <x:v>High Seas</x:v>
      </x:c>
      <x:c r="D52" s="58" t="n">
        <x:v>2019</x:v>
      </x:c>
      <x:c r="E52" s="46" t="str">
        <x:v>Makaira nigricans</x:v>
      </x:c>
      <x:c r="F52" s="46" t="str">
        <x:v>Blue marlin</x:v>
      </x:c>
      <x:c r="G52" s="46" t="str">
        <x:v>Large pelagics (&gt;=90 cm)</x:v>
      </x:c>
      <x:c r="H52" s="46" t="str">
        <x:v>Tuna &amp; billfishes</x:v>
      </x:c>
      <x:c r="I52" s="60" t="n">
        <x:v>0.6194779143</x:v>
      </x:c>
      <x:c r="J52" s="60" t="n">
        <x:v>0.6194779143</x:v>
      </x:c>
      <x:c r="K52" s="60" t="n">
        <x:v>0</x:v>
      </x:c>
      <x:c r="L52" s="60" t="n">
        <x:v>0.6194779143</x:v>
      </x:c>
      <x:c r="M52" s="60" t="n">
        <x:v>0</x:v>
      </x:c>
      <x:c r="N52" s="46" t="str">
        <x:v>makaira nigricans</x:v>
      </x:c>
      <x:c r="O52" s="62" t="n">
        <x:v>4.49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Makaira nigricans</x:v>
      </x:c>
      <x:c r="T52" s="62" t="n">
        <x:f>IF(O52="","",(1/'Metadata'!$B$5)^(O52-1))</x:f>
        <x:v>34721.19667768202</x:v>
      </x:c>
      <x:c r="U52" s="60" t="n">
        <x:f>IF(T52="","",I52*T52)</x:f>
        <x:v>21509.014499890545</x:v>
      </x:c>
    </x:row>
    <x:row r="53" ht="18" customHeight="1">
      <x:c r="A53" s="46" t="str">
        <x:v>HS_021</x:v>
      </x:c>
      <x:c r="B53" s="46" t="str">
        <x:v>Atlantic, Northwest</x:v>
      </x:c>
      <x:c r="C53" s="46" t="str">
        <x:v>High Seas</x:v>
      </x:c>
      <x:c r="D53" s="58" t="n">
        <x:v>2019</x:v>
      </x:c>
      <x:c r="E53" s="46" t="str">
        <x:v>Scombridae</x:v>
      </x:c>
      <x:c r="F53" s="46" t="str">
        <x:v>Mackerels, tunas, bonitos</x:v>
      </x:c>
      <x:c r="G53" s="46" t="str">
        <x:v>Medium pelagics (30 - 89 cm)</x:v>
      </x:c>
      <x:c r="H53" s="46" t="str">
        <x:v>Perch-likes</x:v>
      </x:c>
      <x:c r="I53" s="60" t="n">
        <x:v>0.33212806380000004</x:v>
      </x:c>
      <x:c r="J53" s="60" t="n">
        <x:v>0.33212806380000004</x:v>
      </x:c>
      <x:c r="K53" s="60" t="n">
        <x:v>0</x:v>
      </x:c>
      <x:c r="L53" s="60" t="n">
        <x:v>0.33212806380000004</x:v>
      </x:c>
      <x:c r="M53" s="60" t="n">
        <x:v>0</x:v>
      </x:c>
      <x:c r="N53" s="46" t="str">
        <x:v>scombridae</x:v>
      </x:c>
      <x:c r="O53" s="62" t="n">
        <x:v>4.26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Scombridae</x:v>
      </x:c>
      <x:c r="T53" s="62" t="n">
        <x:f>IF(O53="","",(1/'Metadata'!$B$5)^(O53-1))</x:f>
        <x:v>17432.42421569787</x:v>
      </x:c>
      <x:c r="U53" s="60" t="n">
        <x:f>IF(T53="","",I53*T53)</x:f>
        <x:v>5789.797302099967</x:v>
      </x:c>
    </x:row>
    <x:row r="54" ht="18" customHeight="1">
      <x:c r="A54" s="46" t="str">
        <x:v>HS_021</x:v>
      </x:c>
      <x:c r="B54" s="46" t="str">
        <x:v>Atlantic, Northwest</x:v>
      </x:c>
      <x:c r="C54" s="46" t="str">
        <x:v>High Seas</x:v>
      </x:c>
      <x:c r="D54" s="58" t="n">
        <x:v>2019</x:v>
      </x:c>
      <x:c r="E54" s="46" t="str">
        <x:v>Ruvettus pretiosus</x:v>
      </x:c>
      <x:c r="F54" s="46" t="str">
        <x:v>Oilfish</x:v>
      </x:c>
      <x:c r="G54" s="46" t="str">
        <x:v>Large benthopelagics (&gt;=90 cm)</x:v>
      </x:c>
      <x:c r="H54" s="46" t="str">
        <x:v>Perch-likes</x:v>
      </x:c>
      <x:c r="I54" s="60" t="n">
        <x:v>0.1542031132</x:v>
      </x:c>
      <x:c r="J54" s="60" t="n">
        <x:v>0.1542031132</x:v>
      </x:c>
      <x:c r="K54" s="60" t="n">
        <x:v>0</x:v>
      </x:c>
      <x:c r="L54" s="60" t="n">
        <x:v>0.1458222164</x:v>
      </x:c>
      <x:c r="M54" s="60" t="n">
        <x:v>0.0083808968</x:v>
      </x:c>
      <x:c r="N54" s="46" t="str">
        <x:v>ruvettus pretiosus</x:v>
      </x:c>
      <x:c r="O54" s="62" t="n">
        <x:v>4.18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Ruvettus pretiosus</x:v>
      </x:c>
      <x:c r="T54" s="62" t="n">
        <x:f>IF(O54="","",(1/'Metadata'!$B$5)^(O54-1))</x:f>
        <x:v>13717.513182092556</x:v>
      </x:c>
      <x:c r="U54" s="60" t="n">
        <x:f>IF(T54="","",I54*T54)</x:f>
        <x:v>2115.2832380407103</x:v>
      </x:c>
    </x:row>
    <x:row r="55" ht="18" customHeight="1">
      <x:c r="A55" s="46" t="str">
        <x:v>HS_021</x:v>
      </x:c>
      <x:c r="B55" s="46" t="str">
        <x:v>Atlantic, Northwest</x:v>
      </x:c>
      <x:c r="C55" s="46" t="str">
        <x:v>High Seas</x:v>
      </x:c>
      <x:c r="D55" s="58" t="n">
        <x:v>2019</x:v>
      </x:c>
      <x:c r="E55" s="46" t="str">
        <x:v>Centroscyllium fabricii</x:v>
      </x:c>
      <x:c r="F55" s="46" t="str">
        <x:v>Black dogfish</x:v>
      </x:c>
      <x:c r="G55" s="46" t="str">
        <x:v>Small to medium sharks (&lt;90 cm)</x:v>
      </x:c>
      <x:c r="H55" s="46" t="str">
        <x:v>Sharks &amp; rays</x:v>
      </x:c>
      <x:c r="I55" s="60" t="n">
        <x:v>0.1276234665</x:v>
      </x:c>
      <x:c r="J55" s="60" t="n">
        <x:v>0</x:v>
      </x:c>
      <x:c r="K55" s="60" t="n">
        <x:v>0.1276234665</x:v>
      </x:c>
      <x:c r="L55" s="60" t="n">
        <x:v>0</x:v>
      </x:c>
      <x:c r="M55" s="60" t="n">
        <x:v>0.1276234665</x:v>
      </x:c>
      <x:c r="N55" s="46" t="str">
        <x:v>centroscyllium fabricii</x:v>
      </x:c>
      <x:c r="O55" s="62" t="n">
        <x:v>3.84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Centroscyllium fabricii</x:v>
      </x:c>
      <x:c r="T55" s="62" t="n">
        <x:f>IF(O55="","",(1/'Metadata'!$B$5)^(O55-1))</x:f>
        <x:v>4953.648510535111</x:v>
      </x:c>
      <x:c r="U55" s="60" t="n">
        <x:f>IF(T55="","",I55*T55)</x:f>
        <x:v>632.2017947370526</x:v>
      </x:c>
    </x:row>
    <x:row r="56" ht="18" customHeight="1">
      <x:c r="A56" s="46" t="str">
        <x:v>HS_021</x:v>
      </x:c>
      <x:c r="B56" s="46" t="str">
        <x:v>Atlantic, Northwest</x:v>
      </x:c>
      <x:c r="C56" s="46" t="str">
        <x:v>High Seas</x:v>
      </x:c>
      <x:c r="D56" s="58" t="n">
        <x:v>2019</x:v>
      </x:c>
      <x:c r="E56" s="46" t="str">
        <x:v>Kajikia albida</x:v>
      </x:c>
      <x:c r="F56" s="46" t="str">
        <x:v>Atlantic white marlin</x:v>
      </x:c>
      <x:c r="G56" s="46" t="str">
        <x:v>Large pelagics (&gt;=90 cm)</x:v>
      </x:c>
      <x:c r="H56" s="46" t="str">
        <x:v>Tuna &amp; billfishes</x:v>
      </x:c>
      <x:c r="I56" s="60" t="n">
        <x:v>0.0977751321</x:v>
      </x:c>
      <x:c r="J56" s="60" t="n">
        <x:v>0.0977751321</x:v>
      </x:c>
      <x:c r="K56" s="60" t="n">
        <x:v>0</x:v>
      </x:c>
      <x:c r="L56" s="60" t="n">
        <x:v>0.0977751321</x:v>
      </x:c>
      <x:c r="M56" s="60" t="n">
        <x:v>0</x:v>
      </x:c>
      <x:c r="N56" s="46" t="str">
        <x:v>kajikia albida</x:v>
      </x:c>
      <x:c r="O56" s="62" t="n">
        <x:v>4.49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Kajikia albida</x:v>
      </x:c>
      <x:c r="T56" s="62" t="n">
        <x:f>IF(O56="","",(1/'Metadata'!$B$5)^(O56-1))</x:f>
        <x:v>34721.19667768202</x:v>
      </x:c>
      <x:c r="U56" s="60" t="n">
        <x:f>IF(T56="","",I56*T56)</x:f>
        <x:v>3394.86959183044</x:v>
      </x:c>
    </x:row>
    <x:row r="57" ht="18" customHeight="1">
      <x:c r="A57" s="46" t="str">
        <x:v>HS_021</x:v>
      </x:c>
      <x:c r="B57" s="46" t="str">
        <x:v>Atlantic, Northwest</x:v>
      </x:c>
      <x:c r="C57" s="46" t="str">
        <x:v>High Seas</x:v>
      </x:c>
      <x:c r="D57" s="58" t="n">
        <x:v>2019</x:v>
      </x:c>
      <x:c r="E57" s="46" t="str">
        <x:v>Sarda sarda</x:v>
      </x:c>
      <x:c r="F57" s="46" t="str">
        <x:v>Atlantic bonito</x:v>
      </x:c>
      <x:c r="G57" s="46" t="str">
        <x:v>Medium pelagics (30 - 89 cm)</x:v>
      </x:c>
      <x:c r="H57" s="46" t="str">
        <x:v>Tuna &amp; billfishes</x:v>
      </x:c>
      <x:c r="I57" s="60" t="n">
        <x:v>0.0588175683</x:v>
      </x:c>
      <x:c r="J57" s="60" t="n">
        <x:v>0.0588175683</x:v>
      </x:c>
      <x:c r="K57" s="60" t="n">
        <x:v>0</x:v>
      </x:c>
      <x:c r="L57" s="60" t="n">
        <x:v>0.0588175683</x:v>
      </x:c>
      <x:c r="M57" s="60" t="n">
        <x:v>0</x:v>
      </x:c>
      <x:c r="N57" s="46" t="str">
        <x:v>sarda sarda</x:v>
      </x:c>
      <x:c r="O57" s="62" t="n">
        <x:v>4.5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Sarda sarda</x:v>
      </x:c>
      <x:c r="T57" s="62" t="n">
        <x:f>IF(O57="","",(1/'Metadata'!$B$5)^(O57-1))</x:f>
        <x:v>35777.08763999664</x:v>
      </x:c>
      <x:c r="U57" s="60" t="n">
        <x:f>IF(T57="","",I57*T57)</x:f>
        <x:v>2104.321295840588</x:v>
      </x:c>
    </x:row>
    <x:row r="58" ht="18" customHeight="1">
      <x:c r="A58" s="46" t="str">
        <x:v>HS_021</x:v>
      </x:c>
      <x:c r="B58" s="46" t="str">
        <x:v>Atlantic, Northwest</x:v>
      </x:c>
      <x:c r="C58" s="46" t="str">
        <x:v>High Seas</x:v>
      </x:c>
      <x:c r="D58" s="58" t="n">
        <x:v>2019</x:v>
      </x:c>
      <x:c r="E58" s="46" t="str">
        <x:v>Brama brama</x:v>
      </x:c>
      <x:c r="F58" s="46" t="str">
        <x:v>Atlantic pomfret</x:v>
      </x:c>
      <x:c r="G58" s="46" t="str">
        <x:v>Medium bathypelagics (30 - 89 cm)</x:v>
      </x:c>
      <x:c r="H58" s="46" t="str">
        <x:v>Perch-likes</x:v>
      </x:c>
      <x:c r="I58" s="60" t="n">
        <x:v>0.0583589806</x:v>
      </x:c>
      <x:c r="J58" s="60" t="n">
        <x:v>0.0583589806</x:v>
      </x:c>
      <x:c r="K58" s="60" t="n">
        <x:v>0</x:v>
      </x:c>
      <x:c r="L58" s="60" t="n">
        <x:v>0.0583589806</x:v>
      </x:c>
      <x:c r="M58" s="60" t="n">
        <x:v>0</x:v>
      </x:c>
      <x:c r="N58" s="46" t="str">
        <x:v>brama brama</x:v>
      </x:c>
      <x:c r="O58" s="62" t="n">
        <x:v>4.08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Brama brama</x:v>
      </x:c>
      <x:c r="T58" s="62" t="n">
        <x:f>IF(O58="","",(1/'Metadata'!$B$5)^(O58-1))</x:f>
        <x:v>10166.521575327472</x:v>
      </x:c>
      <x:c r="U58" s="60" t="n">
        <x:f>IF(T58="","",I58*T58)</x:f>
        <x:v>593.3078353840174</x:v>
      </x:c>
    </x:row>
    <x:row r="59" ht="18" customHeight="1">
      <x:c r="A59" s="46" t="str">
        <x:v>HS_021</x:v>
      </x:c>
      <x:c r="B59" s="46" t="str">
        <x:v>Atlantic, Northwest</x:v>
      </x:c>
      <x:c r="C59" s="46" t="str">
        <x:v>High Seas</x:v>
      </x:c>
      <x:c r="D59" s="58" t="n">
        <x:v>2019</x:v>
      </x:c>
      <x:c r="E59" s="46" t="str">
        <x:v>Lamna nasus</x:v>
      </x:c>
      <x:c r="F59" s="46" t="str">
        <x:v>Porbeagle</x:v>
      </x:c>
      <x:c r="G59" s="46" t="str">
        <x:v>Large sharks (&gt;=90 cm)</x:v>
      </x:c>
      <x:c r="H59" s="46" t="str">
        <x:v>Sharks &amp; rays</x:v>
      </x:c>
      <x:c r="I59" s="60" t="n">
        <x:v>0.021270112600000002</x:v>
      </x:c>
      <x:c r="J59" s="60" t="n">
        <x:v>0.021270112600000002</x:v>
      </x:c>
      <x:c r="K59" s="60" t="n">
        <x:v>0</x:v>
      </x:c>
      <x:c r="L59" s="60" t="n">
        <x:v>0.021270112600000002</x:v>
      </x:c>
      <x:c r="M59" s="60" t="n">
        <x:v>0</x:v>
      </x:c>
      <x:c r="N59" s="46" t="str">
        <x:v>lamna nasus</x:v>
      </x:c>
      <x:c r="O59" s="62" t="n">
        <x:v>4.57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Lamna nasus</x:v>
      </x:c>
      <x:c r="T59" s="62" t="n">
        <x:f>IF(O59="","",(1/'Metadata'!$B$5)^(O59-1))</x:f>
        <x:v>44124.224393105345</x:v>
      </x:c>
      <x:c r="U59" s="60" t="n">
        <x:f>IF(T59="","",I59*T59)</x:f>
        <x:v>938.5272212290174</x:v>
      </x:c>
    </x:row>
    <x:row r="60" ht="18" customHeight="1">
      <x:c r="A60" s="46" t="str">
        <x:v>HS_021</x:v>
      </x:c>
      <x:c r="B60" s="46" t="str">
        <x:v>Atlantic, Northwest</x:v>
      </x:c>
      <x:c r="C60" s="46" t="str">
        <x:v>High Seas</x:v>
      </x:c>
      <x:c r="D60" s="58" t="n">
        <x:v>2019</x:v>
      </x:c>
      <x:c r="E60" s="46" t="str">
        <x:v>Gadiformes</x:v>
      </x:c>
      <x:c r="F60" s="46" t="str">
        <x:v>Cods</x:v>
      </x:c>
      <x:c r="G60" s="46" t="str">
        <x:v>Medium benthopelagics (30 - 89 cm)</x:v>
      </x:c>
      <x:c r="H60" s="46" t="str">
        <x:v>Cod-likes</x:v>
      </x:c>
      <x:c r="I60" s="60" t="n">
        <x:v>0.017634091</x:v>
      </x:c>
      <x:c r="J60" s="60" t="n">
        <x:v>0</x:v>
      </x:c>
      <x:c r="K60" s="60" t="n">
        <x:v>0.017634091</x:v>
      </x:c>
      <x:c r="L60" s="60" t="n">
        <x:v>0</x:v>
      </x:c>
      <x:c r="M60" s="60" t="n">
        <x:v>0.017634091</x:v>
      </x:c>
      <x:c r="N60" s="46" t="str">
        <x:v>gadiformes</x:v>
      </x:c>
      <x:c r="O60" s="62" t="n">
        <x:v>3.91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Gadiformes</x:v>
      </x:c>
      <x:c r="T60" s="62" t="n">
        <x:f>IF(O60="","",(1/'Metadata'!$B$5)^(O60-1))</x:f>
        <x:v>6109.382089532312</x:v>
      </x:c>
      <x:c r="U60" s="60" t="n">
        <x:f>IF(T60="","",I60*T60)</x:f>
        <x:v>107.73339972058295</x:v>
      </x:c>
    </x:row>
    <x:row r="61" ht="18" customHeight="1">
      <x:c r="A61" s="46" t="str">
        <x:v>HS_021</x:v>
      </x:c>
      <x:c r="B61" s="46" t="str">
        <x:v>Atlantic, Northwest</x:v>
      </x:c>
      <x:c r="C61" s="46" t="str">
        <x:v>High Seas</x:v>
      </x:c>
      <x:c r="D61" s="58" t="n">
        <x:v>2019</x:v>
      </x:c>
      <x:c r="E61" s="46" t="str">
        <x:v>Alepocephalus bairdii</x:v>
      </x:c>
      <x:c r="F61" s="46" t="str">
        <x:v>Baird's slickhead</x:v>
      </x:c>
      <x:c r="G61" s="46" t="str">
        <x:v>Large bathydemersals (&gt;=90 cm)</x:v>
      </x:c>
      <x:c r="H61" s="46" t="str">
        <x:v>Salmon, smelts, etc</x:v>
      </x:c>
      <x:c r="I61" s="60" t="n">
        <x:v>0.004492981900000001</x:v>
      </x:c>
      <x:c r="J61" s="60" t="n">
        <x:v>0.004492981900000001</x:v>
      </x:c>
      <x:c r="K61" s="60" t="n">
        <x:v>0</x:v>
      </x:c>
      <x:c r="L61" s="60" t="n">
        <x:v>0</x:v>
      </x:c>
      <x:c r="M61" s="60" t="n">
        <x:v>0.004492981900000001</x:v>
      </x:c>
      <x:c r="N61" s="46" t="str">
        <x:v>alepocephalus bairdii</x:v>
      </x:c>
      <x:c r="O61" s="62" t="n">
        <x:v>3.69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Alepocephalus bairdii</x:v>
      </x:c>
      <x:c r="T61" s="62" t="n">
        <x:f>IF(O61="","",(1/'Metadata'!$B$5)^(O61-1))</x:f>
        <x:v>3160.6083878807954</x:v>
      </x:c>
      <x:c r="U61" s="60" t="n">
        <x:f>IF(T61="","",I61*T61)</x:f>
        <x:v>14.200556279736595</x:v>
      </x:c>
    </x:row>
    <x:row r="62" ht="18" customHeight="1">
      <x:c r="A62" s="46" t="str">
        <x:v>HS_021</x:v>
      </x:c>
      <x:c r="B62" s="46" t="str">
        <x:v>Atlantic, Northwest</x:v>
      </x:c>
      <x:c r="C62" s="46" t="str">
        <x:v>High Seas</x:v>
      </x:c>
      <x:c r="D62" s="58" t="n">
        <x:v>2019</x:v>
      </x:c>
      <x:c r="E62" s="46" t="str">
        <x:v>Molva dypterygia</x:v>
      </x:c>
      <x:c r="F62" s="46" t="str">
        <x:v>Blue ling</x:v>
      </x:c>
      <x:c r="G62" s="46" t="str">
        <x:v>Large demersals (&gt;=90 cm)</x:v>
      </x:c>
      <x:c r="H62" s="46" t="str">
        <x:v>Cod-likes</x:v>
      </x:c>
      <x:c r="I62" s="60" t="n">
        <x:v>0.0043237341000000006</x:v>
      </x:c>
      <x:c r="J62" s="60" t="n">
        <x:v>0</x:v>
      </x:c>
      <x:c r="K62" s="60" t="n">
        <x:v>0.0043237341000000006</x:v>
      </x:c>
      <x:c r="L62" s="60" t="n">
        <x:v>0</x:v>
      </x:c>
      <x:c r="M62" s="60" t="n">
        <x:v>0.0043237341000000006</x:v>
      </x:c>
      <x:c r="N62" s="46" t="str">
        <x:v>molva dypterygia</x:v>
      </x:c>
      <x:c r="O62" s="62" t="n">
        <x:v>4.49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Molva dypterygia</x:v>
      </x:c>
      <x:c r="T62" s="62" t="n">
        <x:f>IF(O62="","",(1/'Metadata'!$B$5)^(O62-1))</x:f>
        <x:v>34721.19667768202</x:v>
      </x:c>
      <x:c r="U62" s="60" t="n">
        <x:f>IF(T62="","",I62*T62)</x:f>
        <x:v>150.12522206810047</x:v>
      </x:c>
    </x:row>
    <x:row r="63" ht="18" customHeight="1">
      <x:c r="A63" s="46" t="str">
        <x:v>HS_021</x:v>
      </x:c>
      <x:c r="B63" s="46" t="str">
        <x:v>Atlantic, Northwest</x:v>
      </x:c>
      <x:c r="C63" s="46" t="str">
        <x:v>High Seas</x:v>
      </x:c>
      <x:c r="D63" s="58" t="n">
        <x:v>2019</x:v>
      </x:c>
      <x:c r="E63" s="46" t="str">
        <x:v>Squalidae</x:v>
      </x:c>
      <x:c r="F63" s="46" t="str">
        <x:v>Dogfish sharks</x:v>
      </x:c>
      <x:c r="G63" s="46" t="str">
        <x:v>Large sharks (&gt;=90 cm)</x:v>
      </x:c>
      <x:c r="H63" s="46" t="str">
        <x:v>Sharks &amp; rays</x:v>
      </x:c>
      <x:c r="I63" s="60" t="n">
        <x:v>0.0034075691</x:v>
      </x:c>
      <x:c r="J63" s="60" t="n">
        <x:v>0.0034075691</x:v>
      </x:c>
      <x:c r="K63" s="60" t="n">
        <x:v>0</x:v>
      </x:c>
      <x:c r="L63" s="60" t="n">
        <x:v>0</x:v>
      </x:c>
      <x:c r="M63" s="60" t="n">
        <x:v>0.0034075691</x:v>
      </x:c>
      <x:c r="N63" s="46" t="str">
        <x:v>squalidae</x:v>
      </x:c>
      <x:c r="O63" s="62" t="n">
        <x:v>4.23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Squalidae</x:v>
      </x:c>
      <x:c r="T63" s="62" t="n">
        <x:f>IF(O63="","",(1/'Metadata'!$B$5)^(O63-1))</x:f>
        <x:v>15934.076063346663</x:v>
      </x:c>
      <x:c r="U63" s="60" t="n">
        <x:f>IF(T63="","",I63*T63)</x:f>
        <x:v>54.29646523050973</x:v>
      </x:c>
    </x:row>
    <x:row r="64" ht="18" customHeight="1">
      <x:c r="A64" s="46" t="str">
        <x:v>HS_021</x:v>
      </x:c>
      <x:c r="B64" s="46" t="str">
        <x:v>Atlantic, Northwest</x:v>
      </x:c>
      <x:c r="C64" s="46" t="str">
        <x:v>High Seas</x:v>
      </x:c>
      <x:c r="D64" s="58" t="n">
        <x:v>2019</x:v>
      </x:c>
      <x:c r="E64" s="46" t="str">
        <x:v>Miscellaneous marine crustaceans</x:v>
      </x:c>
      <x:c r="F64" s="46" t="str">
        <x:v>Marine crabs, shrimps, lobsters nei</x:v>
      </x:c>
      <x:c r="G64" s="46" t="str">
        <x:v>Shrimps</x:v>
      </x:c>
      <x:c r="H64" s="46" t="str">
        <x:v>Crustaceans</x:v>
      </x:c>
      <x:c r="I64" s="60" t="n">
        <x:v>0.0031598481</x:v>
      </x:c>
      <x:c r="J64" s="60" t="n">
        <x:v>0</x:v>
      </x:c>
      <x:c r="K64" s="60" t="n">
        <x:v>0.0031598481</x:v>
      </x:c>
      <x:c r="L64" s="60" t="n">
        <x:v>0</x:v>
      </x:c>
      <x:c r="M64" s="60" t="n">
        <x:v>0.0031598481</x:v>
      </x:c>
      <x:c r="N64" s="46" t="str">
        <x:v>miscellaneous marine crustaceans</x:v>
      </x:c>
      <x:c r="O64" s="62" t="n">
        <x:v>2.7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Miscellaneous marine crustaceans</x:v>
      </x:c>
      <x:c r="T64" s="62" t="n">
        <x:f>IF(O64="","",(1/'Metadata'!$B$5)^(O64-1))</x:f>
        <x:v>162.83621261476185</x:v>
      </x:c>
      <x:c r="U64" s="60" t="n">
        <x:f>IF(T64="","",I64*T64)</x:f>
        <x:v>0.5145376970419512</x:v>
      </x:c>
    </x:row>
    <x:row r="65" ht="18" customHeight="1">
      <x:c r="A65" s="46" t="str">
        <x:v>HS_021</x:v>
      </x:c>
      <x:c r="B65" s="46" t="str">
        <x:v>Atlantic, Northwest</x:v>
      </x:c>
      <x:c r="C65" s="46" t="str">
        <x:v>High Seas</x:v>
      </x:c>
      <x:c r="D65" s="58" t="n">
        <x:v>2019</x:v>
      </x:c>
      <x:c r="E65" s="46" t="str">
        <x:v>Squalus</x:v>
      </x:c>
      <x:c r="F65" s="46" t="str">
        <x:v>Dogfishes</x:v>
      </x:c>
      <x:c r="G65" s="46" t="str">
        <x:v>Large sharks (&gt;=90 cm)</x:v>
      </x:c>
      <x:c r="H65" s="46" t="str">
        <x:v>Sharks &amp; rays</x:v>
      </x:c>
      <x:c r="I65" s="60" t="n">
        <x:v>0.002687846</x:v>
      </x:c>
      <x:c r="J65" s="60" t="n">
        <x:v>0</x:v>
      </x:c>
      <x:c r="K65" s="60" t="n">
        <x:v>0.002687846</x:v>
      </x:c>
      <x:c r="L65" s="60" t="n">
        <x:v>0</x:v>
      </x:c>
      <x:c r="M65" s="60" t="n">
        <x:v>0.002687846</x:v>
      </x:c>
      <x:c r="N65" s="46" t="str">
        <x:v>squalus</x:v>
      </x:c>
      <x:c r="O65" s="62" t="n">
        <x:v>4.23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Squalus</x:v>
      </x:c>
      <x:c r="T65" s="62" t="n">
        <x:f>IF(O65="","",(1/'Metadata'!$B$5)^(O65-1))</x:f>
        <x:v>15934.076063346663</x:v>
      </x:c>
      <x:c r="U65" s="60" t="n">
        <x:f>IF(T65="","",I65*T65)</x:f>
        <x:v>42.828342610562075</x:v>
      </x:c>
    </x:row>
    <x:row r="66" ht="18" customHeight="1">
      <x:c r="A66" s="46" t="str">
        <x:v>HS_021</x:v>
      </x:c>
      <x:c r="B66" s="46" t="str">
        <x:v>Atlantic, Northwest</x:v>
      </x:c>
      <x:c r="C66" s="46" t="str">
        <x:v>High Seas</x:v>
      </x:c>
      <x:c r="D66" s="58" t="n">
        <x:v>2019</x:v>
      </x:c>
      <x:c r="E66" s="46" t="str">
        <x:v>Sphyrna</x:v>
      </x:c>
      <x:c r="F66" s="46" t="str">
        <x:v>Hammerhead sharks</x:v>
      </x:c>
      <x:c r="G66" s="46" t="str">
        <x:v>Large sharks (&gt;=90 cm)</x:v>
      </x:c>
      <x:c r="H66" s="46" t="str">
        <x:v>Sharks &amp; rays</x:v>
      </x:c>
      <x:c r="I66" s="60" t="n">
        <x:v>0.0014457644</x:v>
      </x:c>
      <x:c r="J66" s="60" t="n">
        <x:v>0.0014457644</x:v>
      </x:c>
      <x:c r="K66" s="60" t="n">
        <x:v>0</x:v>
      </x:c>
      <x:c r="L66" s="60" t="n">
        <x:v>0.0014457644</x:v>
      </x:c>
      <x:c r="M66" s="60" t="n">
        <x:v>0</x:v>
      </x:c>
      <x:c r="N66" s="46" t="str">
        <x:v>sphyrna</x:v>
      </x:c>
      <x:c r="O66" s="62" t="n">
        <x:v>4.2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Sphyrna</x:v>
      </x:c>
      <x:c r="T66" s="62" t="n">
        <x:f>IF(O66="","",(1/'Metadata'!$B$5)^(O66-1))</x:f>
        <x:v>14564.51362420865</x:v>
      </x:c>
      <x:c r="U66" s="60" t="n">
        <x:f>IF(T66="","",I66*T66)</x:f>
        <x:v>21.056855301195842</x:v>
      </x:c>
    </x:row>
    <x:row r="67" ht="18" customHeight="1">
      <x:c r="A67" s="46" t="str">
        <x:v>HS_021</x:v>
      </x:c>
      <x:c r="B67" s="46" t="str">
        <x:v>Atlantic, Northwest</x:v>
      </x:c>
      <x:c r="C67" s="46" t="str">
        <x:v>High Seas</x:v>
      </x:c>
      <x:c r="D67" s="58" t="n">
        <x:v>2019</x:v>
      </x:c>
      <x:c r="E67" s="46" t="str">
        <x:v>Hoplostethus mediterraneus</x:v>
      </x:c>
      <x:c r="F67" s="46" t="str">
        <x:v>Mediterranean slimehead</x:v>
      </x:c>
      <x:c r="G67" s="46" t="str">
        <x:v>Medium benthopelagics (30 - 89 cm)</x:v>
      </x:c>
      <x:c r="H67" s="46" t="str">
        <x:v>Other fishes &amp; inverts</x:v>
      </x:c>
      <x:c r="I67" s="60" t="n">
        <x:v>0.0011985721</x:v>
      </x:c>
      <x:c r="J67" s="60" t="n">
        <x:v>0.0011985721</x:v>
      </x:c>
      <x:c r="K67" s="60" t="n">
        <x:v>0</x:v>
      </x:c>
      <x:c r="L67" s="60" t="n">
        <x:v>0</x:v>
      </x:c>
      <x:c r="M67" s="60" t="n">
        <x:v>0.0011985721</x:v>
      </x:c>
      <x:c r="N67" s="46" t="str">
        <x:v>hoplostethus mediterraneus</x:v>
      </x:c>
      <x:c r="O67" s="62" t="n">
        <x:v>3.49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Hoplostethus mediterraneus</x:v>
      </x:c>
      <x:c r="T67" s="62" t="n">
        <x:f>IF(O67="","",(1/'Metadata'!$B$5)^(O67-1))</x:f>
        <x:v>1736.059833884101</x:v>
      </x:c>
      <x:c r="U67" s="60" t="n">
        <x:f>IF(T67="","",I67*T67)</x:f>
        <x:v>2.080792880824118</x:v>
      </x:c>
    </x:row>
    <x:row r="68" ht="18" customHeight="1">
      <x:c r="A68" s="46" t="str">
        <x:v>HS_021</x:v>
      </x:c>
      <x:c r="B68" s="46" t="str">
        <x:v>Atlantic, Northwest</x:v>
      </x:c>
      <x:c r="C68" s="46" t="str">
        <x:v>High Seas</x:v>
      </x:c>
      <x:c r="D68" s="58" t="n">
        <x:v>2019</x:v>
      </x:c>
      <x:c r="E68" s="46" t="str">
        <x:v>Carcharhinus longimanus</x:v>
      </x:c>
      <x:c r="F68" s="46" t="str">
        <x:v>Oceanic whitetip shark</x:v>
      </x:c>
      <x:c r="G68" s="46" t="str">
        <x:v>Large sharks (&gt;=90 cm)</x:v>
      </x:c>
      <x:c r="H68" s="46" t="str">
        <x:v>Sharks &amp; rays</x:v>
      </x:c>
      <x:c r="I68" s="60" t="n">
        <x:v>0.00008659</x:v>
      </x:c>
      <x:c r="J68" s="60" t="n">
        <x:v>0.00008659</x:v>
      </x:c>
      <x:c r="K68" s="60" t="n">
        <x:v>0</x:v>
      </x:c>
      <x:c r="L68" s="60" t="n">
        <x:v>0.00008659</x:v>
      </x:c>
      <x:c r="M68" s="60" t="n">
        <x:v>0</x:v>
      </x:c>
      <x:c r="N68" s="46" t="str">
        <x:v>carcharhinus longimanus</x:v>
      </x:c>
      <x:c r="O68" s="62" t="n">
        <x:v>4.16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Carcharhinus longimanus</x:v>
      </x:c>
      <x:c r="T68" s="62" t="n">
        <x:f>IF(O68="","",(1/'Metadata'!$B$5)^(O68-1))</x:f>
        <x:v>12919.77011769987</x:v>
      </x:c>
      <x:c r="U68" s="60" t="n">
        <x:f>IF(T68="","",I68*T68)</x:f>
        <x:v>1.1187228944916316</x:v>
      </x:c>
    </x:row>
  </x:sheetData>
  <x:conditionalFormatting sqref="R2:R6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7a507829cc2499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11</x:v>
      </x:c>
      <x:c r="C2" s="64" t="n">
        <x:v>11</x:v>
      </x:c>
      <x:c r="D2" s="60" t="n">
        <x:v>29072.9492116375</x:v>
      </x:c>
      <x:c r="E2" s="60" t="n">
        <x:v>29072.9492116375</x:v>
      </x:c>
      <x:c r="F2" s="62" t="n">
        <x:v>0</x:v>
      </x:c>
      <x:c r="G2" s="66" t="n">
        <x:v>1</x:v>
      </x:c>
      <x:c r="H2" s="62" t="n">
        <x:f>IF(E2=0,"",I2/E2)</x:f>
        <x:v>10904.020765523424</x:v>
      </x:c>
      <x:c r="I2" s="60" t="n">
        <x:f>SUMIF('Species'!$H$2:$H$68,A2,'Species'!$U$2:$U$68)</x:f>
        <x:v>317012041.9187032</x:v>
      </x:c>
      <x:c r="J2" s="62" t="n">
        <x:v>4.095965857393727</x:v>
      </x:c>
      <x:c r="K2" s="62" t="n">
        <x:f>IF(J2="","",(1/'Metadata'!$B$5)^(J2-1))</x:f>
        <x:v>10664.596933648992</x:v>
      </x:c>
      <x:c r="L2" s="60" t="n">
        <x:f>IF(E2=0,"",E2*K2)</x:f>
        <x:v>310051285.0145622</x:v>
      </x:c>
      <x:c r="M2" s="60" t="n">
        <x:f>I2-L2</x:f>
        <x:v>6960756.904141009</x:v>
      </x:c>
      <x:c r="N2" s="62" t="n">
        <x:f>IF(L2=0,"",I2/L2)</x:f>
        <x:v>1.0224503404454979</x:v>
      </x:c>
      <x:c r="O2" s="66" t="n">
        <x:f>IF(L2=0,"",M2/L2)</x:f>
        <x:v>0.022450340445497857</x:v>
      </x:c>
    </x:row>
    <x:row r="3" ht="18" customHeight="1">
      <x:c r="A3" s="46" t="str">
        <x:v>Crustaceans</x:v>
      </x:c>
      <x:c r="B3" s="64" t="n">
        <x:v>3</x:v>
      </x:c>
      <x:c r="C3" s="64" t="n">
        <x:v>3</x:v>
      </x:c>
      <x:c r="D3" s="60" t="n">
        <x:v>8.8019263176</x:v>
      </x:c>
      <x:c r="E3" s="60" t="n">
        <x:v>8.8019263176</x:v>
      </x:c>
      <x:c r="F3" s="62" t="n">
        <x:v>0</x:v>
      </x:c>
      <x:c r="G3" s="66" t="n">
        <x:v>1</x:v>
      </x:c>
      <x:c r="H3" s="62" t="n">
        <x:f>IF(E3=0,"",I3/E3)</x:f>
        <x:v>765.0977992359733</x:v>
      </x:c>
      <x:c r="I3" s="60" t="n">
        <x:f>SUMIF('Species'!$H$2:$H$68,A3,'Species'!$U$2:$U$68)</x:f>
        <x:v>6734.3344546329545</x:v>
      </x:c>
      <x:c r="J3" s="62" t="n">
        <x:v>3.1537593275554734</x:v>
      </x:c>
      <x:c r="K3" s="62" t="n">
        <x:f>IF(J3="","",(1/'Metadata'!$B$5)^(J3-1))</x:f>
        <x:v>634.023694663965</x:v>
      </x:c>
      <x:c r="L3" s="60" t="n">
        <x:f>IF(E3=0,"",E3*K3)</x:f>
        <x:v>5580.62984404474</x:v>
      </x:c>
      <x:c r="M3" s="60" t="n">
        <x:f>I3-L3</x:f>
        <x:v>1153.7046105882146</x:v>
      </x:c>
      <x:c r="N3" s="62" t="n">
        <x:f>IF(L3=0,"",I3/L3)</x:f>
        <x:v>1.206733763540932</x:v>
      </x:c>
      <x:c r="O3" s="66" t="n">
        <x:f>IF(L3=0,"",M3/L3)</x:f>
        <x:v>0.2067337635409322</x:v>
      </x:c>
    </x:row>
    <x:row r="4" ht="18" customHeight="1">
      <x:c r="A4" s="46" t="str">
        <x:v>Flatfishes</x:v>
      </x:c>
      <x:c r="B4" s="64" t="n">
        <x:v>5</x:v>
      </x:c>
      <x:c r="C4" s="64" t="n">
        <x:v>5</x:v>
      </x:c>
      <x:c r="D4" s="60" t="n">
        <x:v>15789.6647557821</x:v>
      </x:c>
      <x:c r="E4" s="60" t="n">
        <x:v>15789.6647557821</x:v>
      </x:c>
      <x:c r="F4" s="62" t="n">
        <x:v>0</x:v>
      </x:c>
      <x:c r="G4" s="66" t="n">
        <x:v>1</x:v>
      </x:c>
      <x:c r="H4" s="62" t="n">
        <x:f>IF(E4=0,"",I4/E4)</x:f>
        <x:v>18479.759950149884</x:v>
      </x:c>
      <x:c r="I4" s="60" t="n">
        <x:f>SUMIF('Species'!$H$2:$H$68,A4,'Species'!$U$2:$U$68)</x:f>
        <x:v>291789214.3801952</x:v>
      </x:c>
      <x:c r="J4" s="62" t="n">
        <x:v>4.157987624509237</x:v>
      </x:c>
      <x:c r="K4" s="62" t="n">
        <x:f>IF(J4="","",(1/'Metadata'!$B$5)^(J4-1))</x:f>
        <x:v>12842.117092251548</x:v>
      </x:c>
      <x:c r="L4" s="60" t="n">
        <x:f>IF(E4=0,"",E4*K4)</x:f>
        <x:v>202772723.64115116</x:v>
      </x:c>
      <x:c r="M4" s="60" t="n">
        <x:f>I4-L4</x:f>
        <x:v>89016490.73904404</x:v>
      </x:c>
      <x:c r="N4" s="62" t="n">
        <x:f>IF(L4=0,"",I4/L4)</x:f>
        <x:v>1.4389963755508723</x:v>
      </x:c>
      <x:c r="O4" s="66" t="n">
        <x:f>IF(L4=0,"",M4/L4)</x:f>
        <x:v>0.43899637555087234</x:v>
      </x:c>
    </x:row>
    <x:row r="5" ht="18" customHeight="1">
      <x:c r="A5" s="46" t="str">
        <x:v>Molluscs</x:v>
      </x:c>
      <x:c r="B5" s="64" t="n">
        <x:v>1</x:v>
      </x:c>
      <x:c r="C5" s="64" t="n">
        <x:v>1</x:v>
      </x:c>
      <x:c r="D5" s="60" t="n">
        <x:v>3.4029850746</x:v>
      </x:c>
      <x:c r="E5" s="60" t="n">
        <x:v>3.4029850746</x:v>
      </x:c>
      <x:c r="F5" s="62" t="n">
        <x:v>0</x:v>
      </x:c>
      <x:c r="G5" s="66" t="n">
        <x:v>1</x:v>
      </x:c>
      <x:c r="H5" s="62" t="n">
        <x:f>IF(E5=0,"",I5/E5)</x:f>
        <x:v>26.985656953471274</x:v>
      </x:c>
      <x:c r="I5" s="60" t="n">
        <x:f>SUMIF('Species'!$H$2:$H$68,A5,'Species'!$U$2:$U$68)</x:f>
        <x:v>91.83178784093846</x:v>
      </x:c>
      <x:c r="J5" s="62" t="n">
        <x:v>2.1</x:v>
      </x:c>
      <x:c r="K5" s="62" t="n">
        <x:f>IF(J5="","",(1/'Metadata'!$B$5)^(J5-1))</x:f>
        <x:v>26.985656953471274</x:v>
      </x:c>
      <x:c r="L5" s="60" t="n">
        <x:f>IF(E5=0,"",E5*K5)</x:f>
        <x:v>91.83178784093846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Other fishes &amp; inverts</x:v>
      </x:c>
      <x:c r="B6" s="64" t="n">
        <x:v>8</x:v>
      </x:c>
      <x:c r="C6" s="64" t="n">
        <x:v>8</x:v>
      </x:c>
      <x:c r="D6" s="60" t="n">
        <x:v>4263.8936655488</x:v>
      </x:c>
      <x:c r="E6" s="60" t="n">
        <x:v>4263.8936655488</x:v>
      </x:c>
      <x:c r="F6" s="62" t="n">
        <x:v>0</x:v>
      </x:c>
      <x:c r="G6" s="66" t="n">
        <x:v>1</x:v>
      </x:c>
      <x:c r="H6" s="62" t="n">
        <x:f>IF(E6=0,"",I6/E6)</x:f>
        <x:v>1410.8092007454143</x:v>
      </x:c>
      <x:c r="I6" s="60" t="n">
        <x:f>SUMIF('Species'!$H$2:$H$68,A6,'Species'!$U$2:$U$68)</x:f>
        <x:v>6015540.414356337</x:v>
      </x:c>
      <x:c r="J6" s="62" t="n">
        <x:v>3.31614458092747</x:v>
      </x:c>
      <x:c r="K6" s="62" t="n">
        <x:f>IF(J6="","",(1/'Metadata'!$B$5)^(J6-1))</x:f>
        <x:v>1031.2728255819682</x:v>
      </x:c>
      <x:c r="L6" s="60" t="n">
        <x:f>IF(E6=0,"",E6*K6)</x:f>
        <x:v>4397237.668451566</x:v>
      </x:c>
      <x:c r="M6" s="60" t="n">
        <x:f>I6-L6</x:f>
        <x:v>1618302.7459047707</x:v>
      </x:c>
      <x:c r="N6" s="62" t="n">
        <x:f>IF(L6=0,"",I6/L6)</x:f>
        <x:v>1.3680271270109983</x:v>
      </x:c>
      <x:c r="O6" s="66" t="n">
        <x:f>IF(L6=0,"",M6/L6)</x:f>
        <x:v>0.3680271270109983</x:v>
      </x:c>
    </x:row>
    <x:row r="7" ht="18" customHeight="1">
      <x:c r="A7" s="46" t="str">
        <x:v>Perch-likes</x:v>
      </x:c>
      <x:c r="B7" s="64" t="n">
        <x:v>9</x:v>
      </x:c>
      <x:c r="C7" s="64" t="n">
        <x:v>9</x:v>
      </x:c>
      <x:c r="D7" s="60" t="n">
        <x:v>122.1513190902</x:v>
      </x:c>
      <x:c r="E7" s="60" t="n">
        <x:v>122.1513190902</x:v>
      </x:c>
      <x:c r="F7" s="62" t="n">
        <x:v>0</x:v>
      </x:c>
      <x:c r="G7" s="66" t="n">
        <x:v>1</x:v>
      </x:c>
      <x:c r="H7" s="62" t="n">
        <x:f>IF(E7=0,"",I7/E7)</x:f>
        <x:v>3284.5594402832585</x:v>
      </x:c>
      <x:c r="I7" s="60" t="n">
        <x:f>SUMIF('Species'!$H$2:$H$68,A7,'Species'!$U$2:$U$68)</x:f>
        <x:v>401213.268260769</x:v>
      </x:c>
      <x:c r="J7" s="62" t="n">
        <x:v>3.4775297234903038</x:v>
      </x:c>
      <x:c r="K7" s="62" t="n">
        <x:f>IF(J7="","",(1/'Metadata'!$B$5)^(J7-1))</x:f>
        <x:v>1672.4012574224896</x:v>
      </x:c>
      <x:c r="L7" s="60" t="n">
        <x:f>IF(E7=0,"",E7*K7)</x:f>
        <x:v>204286.01964226624</x:v>
      </x:c>
      <x:c r="M7" s="60" t="n">
        <x:f>I7-L7</x:f>
        <x:v>196927.24861850278</x:v>
      </x:c>
      <x:c r="N7" s="62" t="n">
        <x:f>IF(L7=0,"",I7/L7)</x:f>
        <x:v>1.9639780977834425</x:v>
      </x:c>
      <x:c r="O7" s="66" t="n">
        <x:f>IF(L7=0,"",M7/L7)</x:f>
        <x:v>0.9639780977834425</x:v>
      </x:c>
    </x:row>
    <x:row r="8" ht="18" customHeight="1">
      <x:c r="A8" s="46" t="str">
        <x:v>Salmon, smelts, etc</x:v>
      </x:c>
      <x:c r="B8" s="64" t="n">
        <x:v>2</x:v>
      </x:c>
      <x:c r="C8" s="64" t="n">
        <x:v>2</x:v>
      </x:c>
      <x:c r="D8" s="60" t="n">
        <x:v>13.795119683300001</x:v>
      </x:c>
      <x:c r="E8" s="60" t="n">
        <x:v>13.795119683300001</x:v>
      </x:c>
      <x:c r="F8" s="62" t="n">
        <x:v>0</x:v>
      </x:c>
      <x:c r="G8" s="66" t="n">
        <x:v>1</x:v>
      </x:c>
      <x:c r="H8" s="62" t="n">
        <x:f>IF(E8=0,"",I8/E8)</x:f>
        <x:v>627.7486199916481</x:v>
      </x:c>
      <x:c r="I8" s="60" t="n">
        <x:f>SUMIF('Species'!$H$2:$H$68,A8,'Species'!$U$2:$U$68)</x:f>
        <x:v>8659.867343811196</x:v>
      </x:c>
      <x:c r="J8" s="62" t="n">
        <x:v>3.1501758745325668</x:v>
      </x:c>
      <x:c r="K8" s="62" t="n">
        <x:f>IF(J8="","",(1/'Metadata'!$B$5)^(J8-1))</x:f>
        <x:v>627.2538111247803</x:v>
      </x:c>
      <x:c r="L8" s="60" t="n">
        <x:f>IF(E8=0,"",E8*K8)</x:f>
        <x:v>8653.041396272398</x:v>
      </x:c>
      <x:c r="M8" s="60" t="n">
        <x:f>I8-L8</x:f>
        <x:v>6.825947538798573</x:v>
      </x:c>
      <x:c r="N8" s="62" t="n">
        <x:f>IF(L8=0,"",I8/L8)</x:f>
        <x:v>1.0007888495184756</x:v>
      </x:c>
      <x:c r="O8" s="66" t="n">
        <x:f>IF(L8=0,"",M8/L8)</x:f>
        <x:v>0.0007888495184755605</x:v>
      </x:c>
    </x:row>
    <x:row r="9" ht="18" customHeight="1">
      <x:c r="A9" s="46" t="str">
        <x:v>Scorpionfishes</x:v>
      </x:c>
      <x:c r="B9" s="64" t="n">
        <x:v>4</x:v>
      </x:c>
      <x:c r="C9" s="64" t="n">
        <x:v>4</x:v>
      </x:c>
      <x:c r="D9" s="60" t="n">
        <x:v>32837.70405282581</x:v>
      </x:c>
      <x:c r="E9" s="60" t="n">
        <x:v>32837.70405282581</x:v>
      </x:c>
      <x:c r="F9" s="62" t="n">
        <x:v>0</x:v>
      </x:c>
      <x:c r="G9" s="66" t="n">
        <x:v>1</x:v>
      </x:c>
      <x:c r="H9" s="62" t="n">
        <x:f>IF(E9=0,"",I9/E9)</x:f>
        <x:v>4261.3320646779775</x:v>
      </x:c>
      <x:c r="I9" s="60" t="n">
        <x:f>SUMIF('Species'!$H$2:$H$68,A9,'Species'!$U$2:$U$68)</x:f>
        <x:v>139932361.21071258</x:v>
      </x:c>
      <x:c r="J9" s="62" t="n">
        <x:v>3.7896598092663534</x:v>
      </x:c>
      <x:c r="K9" s="62" t="n">
        <x:f>IF(J9="","",(1/'Metadata'!$B$5)^(J9-1))</x:f>
        <x:v>4260.210805318728</x:v>
      </x:c>
      <x:c r="L9" s="60" t="n">
        <x:f>IF(E9=0,"",E9*K9)</x:f>
        <x:v>139895541.62770706</x:v>
      </x:c>
      <x:c r="M9" s="60" t="n">
        <x:f>I9-L9</x:f>
        <x:v>36819.58300551772</x:v>
      </x:c>
      <x:c r="N9" s="62" t="n">
        <x:f>IF(L9=0,"",I9/L9)</x:f>
        <x:v>1.0002631933982822</x:v>
      </x:c>
      <x:c r="O9" s="66" t="n">
        <x:f>IF(L9=0,"",M9/L9)</x:f>
        <x:v>0.0002631933982821466</x:v>
      </x:c>
    </x:row>
    <x:row r="10" ht="18" customHeight="1">
      <x:c r="A10" s="46" t="str">
        <x:v>Sharks &amp; rays</x:v>
      </x:c>
      <x:c r="B10" s="64" t="n">
        <x:v>11</x:v>
      </x:c>
      <x:c r="C10" s="64" t="n">
        <x:v>11</x:v>
      </x:c>
      <x:c r="D10" s="60" t="n">
        <x:v>4212.114304450501</x:v>
      </x:c>
      <x:c r="E10" s="60" t="n">
        <x:v>4212.114304450501</x:v>
      </x:c>
      <x:c r="F10" s="62" t="n">
        <x:v>0</x:v>
      </x:c>
      <x:c r="G10" s="66" t="n">
        <x:v>1</x:v>
      </x:c>
      <x:c r="H10" s="62" t="n">
        <x:f>IF(E10=0,"",I10/E10)</x:f>
        <x:v>24196.94010127248</x:v>
      </x:c>
      <x:c r="I10" s="60" t="n">
        <x:f>SUMIF('Species'!$H$2:$H$68,A10,'Species'!$U$2:$U$68)</x:f>
        <x:v>101920277.52450177</x:v>
      </x:c>
      <x:c r="J10" s="62" t="n">
        <x:v>4.36391560403777</x:v>
      </x:c>
      <x:c r="K10" s="62" t="n">
        <x:f>IF(J10="","",(1/'Metadata'!$B$5)^(J10-1))</x:f>
        <x:v>23798.802434794783</x:v>
      </x:c>
      <x:c r="L10" s="60" t="n">
        <x:f>IF(E10=0,"",E10*K10)</x:f>
        <x:v>100243276.1643905</x:v>
      </x:c>
      <x:c r="M10" s="60" t="n">
        <x:f>I10-L10</x:f>
        <x:v>1677001.3601112664</x:v>
      </x:c>
      <x:c r="N10" s="62" t="n">
        <x:f>IF(L10=0,"",I10/L10)</x:f>
        <x:v>1.0167293151648509</x:v>
      </x:c>
      <x:c r="O10" s="66" t="n">
        <x:f>IF(L10=0,"",M10/L10)</x:f>
        <x:v>0.016729315164850815</x:v>
      </x:c>
    </x:row>
    <x:row r="11" ht="18" customHeight="1">
      <x:c r="A11" s="46" t="str">
        <x:v>Tuna &amp; billfishes</x:v>
      </x:c>
      <x:c r="B11" s="64" t="n">
        <x:v>13</x:v>
      </x:c>
      <x:c r="C11" s="64" t="n">
        <x:v>13</x:v>
      </x:c>
      <x:c r="D11" s="60" t="n">
        <x:v>1420.622132477</x:v>
      </x:c>
      <x:c r="E11" s="60" t="n">
        <x:v>1420.622132477</x:v>
      </x:c>
      <x:c r="F11" s="62" t="n">
        <x:v>0</x:v>
      </x:c>
      <x:c r="G11" s="66" t="n">
        <x:v>1</x:v>
      </x:c>
      <x:c r="H11" s="62" t="n">
        <x:f>IF(E11=0,"",I11/E11)</x:f>
        <x:v>38170.43490857994</x:v>
      </x:c>
      <x:c r="I11" s="60" t="n">
        <x:f>SUMIF('Species'!$H$2:$H$68,A11,'Species'!$U$2:$U$68)</x:f>
        <x:v>54225764.63740136</x:v>
      </x:c>
      <x:c r="J11" s="62" t="n">
        <x:v>4.520045156948439</x:v>
      </x:c>
      <x:c r="K11" s="62" t="n">
        <x:f>IF(J11="","",(1/'Metadata'!$B$5)^(J11-1))</x:f>
        <x:v>37991.31580097283</x:v>
      </x:c>
      <x:c r="L11" s="60" t="n">
        <x:f>IF(E11=0,"",E11*K11)</x:f>
        <x:v>53971304.06878516</x:v>
      </x:c>
      <x:c r="M11" s="60" t="n">
        <x:f>I11-L11</x:f>
        <x:v>254460.5686161965</x:v>
      </x:c>
      <x:c r="N11" s="62" t="n">
        <x:f>IF(L11=0,"",I11/L11)</x:f>
        <x:v>1.0047147381929458</x:v>
      </x:c>
      <x:c r="O11" s="66" t="n">
        <x:f>IF(L11=0,"",M11/L11)</x:f>
        <x:v>0.004714738192945875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7f193ff7c454b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2</x:v>
      </x:c>
      <x:c r="C2" s="64" t="n">
        <x:v>2</x:v>
      </x:c>
      <x:c r="D2" s="60" t="n">
        <x:v>171.17425699109998</x:v>
      </x:c>
      <x:c r="E2" s="60" t="n">
        <x:v>171.17425699109998</x:v>
      </x:c>
      <x:c r="F2" s="62" t="n">
        <x:v>0</x:v>
      </x:c>
      <x:c r="G2" s="66" t="n">
        <x:v>1</x:v>
      </x:c>
      <x:c r="H2" s="62" t="n">
        <x:f>IF(E2=0,"",I2/E2)</x:f>
        <x:v>8080.326525045555</x:v>
      </x:c>
      <x:c r="I2" s="60" t="n">
        <x:f>SUMIF('Species'!$G$2:$G$68,A2,'Species'!$U$2:$U$68)</x:f>
        <x:v>1383143.8891701498</x:v>
      </x:c>
      <x:c r="J2" s="62" t="n">
        <x:v>3.9991447972458873</x:v>
      </x:c>
      <x:c r="K2" s="62" t="n">
        <x:f>IF(J2="","",(1/'Metadata'!$B$5)^(J2-1))</x:f>
        <x:v>7979.530564191168</x:v>
      </x:c>
      <x:c r="L2" s="60" t="n">
        <x:f>IF(E2=0,"",E2*K2)</x:f>
        <x:v>1365890.2154631962</x:v>
      </x:c>
      <x:c r="M2" s="60" t="n">
        <x:f>I2-L2</x:f>
        <x:v>17253.673706953647</x:v>
      </x:c>
      <x:c r="N2" s="62" t="n">
        <x:f>IF(L2=0,"",I2/L2)</x:f>
        <x:v>1.012631815874823</x:v>
      </x:c>
      <x:c r="O2" s="66" t="n">
        <x:f>IF(L2=0,"",M2/L2)</x:f>
        <x:v>0.012631815874823173</x:v>
      </x:c>
    </x:row>
    <x:row r="3" ht="18" customHeight="1">
      <x:c r="A3" s="46" t="str">
        <x:v>Large bathydemersals (&gt;=90 cm)</x:v>
      </x:c>
      <x:c r="B3" s="64" t="n">
        <x:v>1</x:v>
      </x:c>
      <x:c r="C3" s="64" t="n">
        <x:v>1</x:v>
      </x:c>
      <x:c r="D3" s="60" t="n">
        <x:v>0.004492981900000001</x:v>
      </x:c>
      <x:c r="E3" s="60" t="n">
        <x:v>0.004492981900000001</x:v>
      </x:c>
      <x:c r="F3" s="62" t="n">
        <x:v>0</x:v>
      </x:c>
      <x:c r="G3" s="66" t="n">
        <x:v>1</x:v>
      </x:c>
      <x:c r="H3" s="62" t="n">
        <x:f>IF(E3=0,"",I3/E3)</x:f>
        <x:v>3160.6083878807954</x:v>
      </x:c>
      <x:c r="I3" s="60" t="n">
        <x:f>SUMIF('Species'!$G$2:$G$68,A3,'Species'!$U$2:$U$68)</x:f>
        <x:v>14.200556279736595</x:v>
      </x:c>
      <x:c r="J3" s="62" t="n">
        <x:v>3.69</x:v>
      </x:c>
      <x:c r="K3" s="62" t="n">
        <x:f>IF(J3="","",(1/'Metadata'!$B$5)^(J3-1))</x:f>
        <x:v>3160.6083878807954</x:v>
      </x:c>
      <x:c r="L3" s="60" t="n">
        <x:f>IF(E3=0,"",E3*K3)</x:f>
        <x:v>14.200556279736595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72.5693858215</x:v>
      </x:c>
      <x:c r="E4" s="60" t="n">
        <x:v>72.5693858215</x:v>
      </x:c>
      <x:c r="F4" s="62" t="n">
        <x:v>0</x:v>
      </x:c>
      <x:c r="G4" s="66" t="n">
        <x:v>1</x:v>
      </x:c>
      <x:c r="H4" s="62" t="n">
        <x:f>IF(E4=0,"",I4/E4)</x:f>
        <x:v>2016.583405200734</x:v>
      </x:c>
      <x:c r="I4" s="60" t="n">
        <x:f>SUMIF('Species'!$G$2:$G$68,A4,'Species'!$U$2:$U$68)</x:f>
        <x:v>146342.21917324635</x:v>
      </x:c>
      <x:c r="J4" s="62" t="n">
        <x:v>3.54</x:v>
      </x:c>
      <x:c r="K4" s="62" t="n">
        <x:f>IF(J4="","",(1/'Metadata'!$B$5)^(J4-1))</x:f>
        <x:v>2016.5834052007342</x:v>
      </x:c>
      <x:c r="L4" s="60" t="n">
        <x:f>IF(E4=0,"",E4*K4)</x:f>
        <x:v>146342.21917324635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3</x:v>
      </x:c>
      <x:c r="C5" s="64" t="n">
        <x:v>3</x:v>
      </x:c>
      <x:c r="D5" s="60" t="n">
        <x:v>28431.3727779727</x:v>
      </x:c>
      <x:c r="E5" s="60" t="n">
        <x:v>28431.3727779727</x:v>
      </x:c>
      <x:c r="F5" s="62" t="n">
        <x:v>0</x:v>
      </x:c>
      <x:c r="G5" s="66" t="n">
        <x:v>1</x:v>
      </x:c>
      <x:c r="H5" s="62" t="n">
        <x:f>IF(E5=0,"",I5/E5)</x:f>
        <x:v>10545.557541026674</x:v>
      </x:c>
      <x:c r="I5" s="60" t="n">
        <x:f>SUMIF('Species'!$G$2:$G$68,A5,'Species'!$U$2:$U$68)</x:f>
        <x:v>299824677.6004905</x:v>
      </x:c>
      <x:c r="J5" s="62" t="n">
        <x:v>4.091173619761276</x:v>
      </x:c>
      <x:c r="K5" s="62" t="n">
        <x:f>IF(J5="","",(1/'Metadata'!$B$5)^(J5-1))</x:f>
        <x:v>10512.586955516392</x:v>
      </x:c>
      <x:c r="L5" s="60" t="n">
        <x:f>IF(E5=0,"",E5*K5)</x:f>
        <x:v>298887278.59313965</x:v>
      </x:c>
      <x:c r="M5" s="60" t="n">
        <x:f>I5-L5</x:f>
        <x:v>937399.007350862</x:v>
      </x:c>
      <x:c r="N5" s="62" t="n">
        <x:f>IF(L5=0,"",I5/L5)</x:f>
        <x:v>1.0031362961038797</x:v>
      </x:c>
      <x:c r="O5" s="66" t="n">
        <x:f>IF(L5=0,"",M5/L5)</x:f>
        <x:v>0.003136296103879672</x:v>
      </x:c>
    </x:row>
    <x:row r="6" ht="18" customHeight="1">
      <x:c r="A6" s="46" t="str">
        <x:v>Large demersals (&gt;=90 cm)</x:v>
      </x:c>
      <x:c r="B6" s="64" t="n">
        <x:v>7</x:v>
      </x:c>
      <x:c r="C6" s="64" t="n">
        <x:v>7</x:v>
      </x:c>
      <x:c r="D6" s="60" t="n">
        <x:v>169.35419098810002</x:v>
      </x:c>
      <x:c r="E6" s="60" t="n">
        <x:v>169.35419098810002</x:v>
      </x:c>
      <x:c r="F6" s="62" t="n">
        <x:v>0</x:v>
      </x:c>
      <x:c r="G6" s="66" t="n">
        <x:v>1</x:v>
      </x:c>
      <x:c r="H6" s="62" t="n">
        <x:f>IF(E6=0,"",I6/E6)</x:f>
        <x:v>9682.861622044828</x:v>
      </x:c>
      <x:c r="I6" s="60" t="n">
        <x:f>SUMIF('Species'!$G$2:$G$68,A6,'Species'!$U$2:$U$68)</x:f>
        <x:v>1639833.1964511236</x:v>
      </x:c>
      <x:c r="J6" s="62" t="n">
        <x:v>3.7416530378783994</x:v>
      </x:c>
      <x:c r="K6" s="62" t="n">
        <x:f>IF(J6="","",(1/'Metadata'!$B$5)^(J6-1))</x:f>
        <x:v>3689.5452407833736</x:v>
      </x:c>
      <x:c r="L6" s="60" t="n">
        <x:f>IF(E6=0,"",E6*K6)</x:f>
        <x:v>624839.9493668629</x:v>
      </x:c>
      <x:c r="M6" s="60" t="n">
        <x:f>I6-L6</x:f>
        <x:v>1014993.2470842607</x:v>
      </x:c>
      <x:c r="N6" s="62" t="n">
        <x:f>IF(L6=0,"",I6/L6)</x:f>
        <x:v>2.6244051746574972</x:v>
      </x:c>
      <x:c r="O6" s="66" t="n">
        <x:f>IF(L6=0,"",M6/L6)</x:f>
        <x:v>1.6244051746574972</x:v>
      </x:c>
    </x:row>
    <x:row r="7" ht="18" customHeight="1">
      <x:c r="A7" s="46" t="str">
        <x:v>Large flatfishes (&gt;=90 cm)</x:v>
      </x:c>
      <x:c r="B7" s="64" t="n">
        <x:v>1</x:v>
      </x:c>
      <x:c r="C7" s="64" t="n">
        <x:v>1</x:v>
      </x:c>
      <x:c r="D7" s="60" t="n">
        <x:v>1027.7270369283</x:v>
      </x:c>
      <x:c r="E7" s="60" t="n">
        <x:v>1027.7270369283</x:v>
      </x:c>
      <x:c r="F7" s="62" t="n">
        <x:v>0</x:v>
      </x:c>
      <x:c r="G7" s="66" t="n">
        <x:v>1</x:v>
      </x:c>
      <x:c r="H7" s="62" t="n">
        <x:f>IF(E7=0,"",I7/E7)</x:f>
        <x:v>8000</x:v>
      </x:c>
      <x:c r="I7" s="60" t="n">
        <x:f>SUMIF('Species'!$G$2:$G$68,A7,'Species'!$U$2:$U$68)</x:f>
        <x:v>8221816.2954264</x:v>
      </x:c>
      <x:c r="J7" s="62" t="n">
        <x:v>4</x:v>
      </x:c>
      <x:c r="K7" s="62" t="n">
        <x:f>IF(J7="","",(1/'Metadata'!$B$5)^(J7-1))</x:f>
        <x:v>8000</x:v>
      </x:c>
      <x:c r="L7" s="60" t="n">
        <x:f>IF(E7=0,"",E7*K7)</x:f>
        <x:v>8221816.2954264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Large pelagics (&gt;=90 cm)</x:v>
      </x:c>
      <x:c r="B8" s="64" t="n">
        <x:v>13</x:v>
      </x:c>
      <x:c r="C8" s="64" t="n">
        <x:v>13</x:v>
      </x:c>
      <x:c r="D8" s="60" t="n">
        <x:v>1430.4836735423</x:v>
      </x:c>
      <x:c r="E8" s="60" t="n">
        <x:v>1430.4836735423</x:v>
      </x:c>
      <x:c r="F8" s="62" t="n">
        <x:v>0</x:v>
      </x:c>
      <x:c r="G8" s="66" t="n">
        <x:v>1</x:v>
      </x:c>
      <x:c r="H8" s="62" t="n">
        <x:f>IF(E8=0,"",I8/E8)</x:f>
        <x:v>38073.90237989756</x:v>
      </x:c>
      <x:c r="I8" s="60" t="n">
        <x:f>SUMIF('Species'!$G$2:$G$68,A8,'Species'!$U$2:$U$68)</x:f>
        <x:v>54464095.74248678</x:v>
      </x:c>
      <x:c r="J8" s="62" t="n">
        <x:v>4.519005422774407</x:v>
      </x:c>
      <x:c r="K8" s="62" t="n">
        <x:f>IF(J8="","",(1/'Metadata'!$B$5)^(J8-1))</x:f>
        <x:v>37873.16587198026</x:v>
      </x:c>
      <x:c r="L8" s="60" t="n">
        <x:f>IF(E8=0,"",E8*K8)</x:f>
        <x:v>54176945.44522718</x:v>
      </x:c>
      <x:c r="M8" s="60" t="n">
        <x:f>I8-L8</x:f>
        <x:v>287150.29725959897</x:v>
      </x:c>
      <x:c r="N8" s="62" t="n">
        <x:f>IF(L8=0,"",I8/L8)</x:f>
        <x:v>1.0053002304744165</x:v>
      </x:c>
      <x:c r="O8" s="66" t="n">
        <x:f>IF(L8=0,"",M8/L8)</x:f>
        <x:v>0.0053002304744166045</x:v>
      </x:c>
    </x:row>
    <x:row r="9" ht="18" customHeight="1">
      <x:c r="A9" s="46" t="str">
        <x:v>Large rays (&gt;=90 cm)</x:v>
      </x:c>
      <x:c r="B9" s="64" t="n">
        <x:v>1</x:v>
      </x:c>
      <x:c r="C9" s="64" t="n">
        <x:v>1</x:v>
      </x:c>
      <x:c r="D9" s="60" t="n">
        <x:v>12.933121725</x:v>
      </x:c>
      <x:c r="E9" s="60" t="n">
        <x:v>12.933121725</x:v>
      </x:c>
      <x:c r="F9" s="62" t="n">
        <x:v>0</x:v>
      </x:c>
      <x:c r="G9" s="66" t="n">
        <x:v>1</x:v>
      </x:c>
      <x:c r="H9" s="62" t="n">
        <x:f>IF(E9=0,"",I9/E9)</x:f>
        <x:v>4665.56868948727</x:v>
      </x:c>
      <x:c r="I9" s="60" t="n">
        <x:f>SUMIF('Species'!$G$2:$G$68,A9,'Species'!$U$2:$U$68)</x:f>
        <x:v>60340.36777748758</x:v>
      </x:c>
      <x:c r="J9" s="62" t="n">
        <x:v>3.82</x:v>
      </x:c>
      <x:c r="K9" s="62" t="n">
        <x:f>IF(J9="","",(1/'Metadata'!$B$5)^(J9-1))</x:f>
        <x:v>4665.56868948727</x:v>
      </x:c>
      <x:c r="L9" s="60" t="n">
        <x:f>IF(E9=0,"",E9*K9)</x:f>
        <x:v>60340.36777748758</x:v>
      </x:c>
      <x:c r="M9" s="60" t="n">
        <x:f>I9-L9</x:f>
        <x:v>0</x:v>
      </x:c>
      <x:c r="N9" s="62" t="n">
        <x:f>IF(L9=0,"",I9/L9)</x:f>
        <x:v>1</x:v>
      </x:c>
      <x:c r="O9" s="66" t="n">
        <x:f>IF(L9=0,"",M9/L9)</x:f>
        <x:v>0</x:v>
      </x:c>
    </x:row>
    <x:row r="10" ht="18" customHeight="1">
      <x:c r="A10" s="46" t="str">
        <x:v>Large reef assoc. fish (&gt;=90 cm)</x:v>
      </x:c>
      <x:c r="B10" s="64" t="n">
        <x:v>1</x:v>
      </x:c>
      <x:c r="C10" s="64" t="n">
        <x:v>1</x:v>
      </x:c>
      <x:c r="D10" s="60" t="n">
        <x:v>32742.6339197331</x:v>
      </x:c>
      <x:c r="E10" s="60" t="n">
        <x:v>32742.6339197331</x:v>
      </x:c>
      <x:c r="F10" s="62" t="n">
        <x:v>0</x:v>
      </x:c>
      <x:c r="G10" s="66" t="n">
        <x:v>1</x:v>
      </x:c>
      <x:c r="H10" s="62" t="n">
        <x:f>IF(E10=0,"",I10/E10)</x:f>
        <x:v>4264.554685980751</x:v>
      </x:c>
      <x:c r="I10" s="60" t="n">
        <x:f>SUMIF('Species'!$G$2:$G$68,A10,'Species'!$U$2:$U$68)</x:f>
        <x:v>139632752.91375008</x:v>
      </x:c>
      <x:c r="J10" s="62" t="n">
        <x:v>3.79</x:v>
      </x:c>
      <x:c r="K10" s="62" t="n">
        <x:f>IF(J10="","",(1/'Metadata'!$B$5)^(J10-1))</x:f>
        <x:v>4264.554685980751</x:v>
      </x:c>
      <x:c r="L10" s="60" t="n">
        <x:f>IF(E10=0,"",E10*K10)</x:f>
        <x:v>139632752.91375008</x:v>
      </x:c>
      <x:c r="M10" s="60" t="n">
        <x:f>I10-L10</x:f>
        <x:v>0</x:v>
      </x:c>
      <x:c r="N10" s="62" t="n">
        <x:f>IF(L10=0,"",I10/L10)</x:f>
        <x:v>1</x:v>
      </x:c>
      <x:c r="O10" s="66" t="n">
        <x:f>IF(L10=0,"",M10/L10)</x:f>
        <x:v>0</x:v>
      </x:c>
    </x:row>
    <x:row r="11" ht="18" customHeight="1">
      <x:c r="A11" s="46" t="str">
        <x:v>Large sharks (&gt;=90 cm)</x:v>
      </x:c>
      <x:c r="B11" s="64" t="n">
        <x:v>9</x:v>
      </x:c>
      <x:c r="C11" s="64" t="n">
        <x:v>9</x:v>
      </x:c>
      <x:c r="D11" s="60" t="n">
        <x:v>4199.053559259</x:v>
      </x:c>
      <x:c r="E11" s="60" t="n">
        <x:v>4199.053559259</x:v>
      </x:c>
      <x:c r="F11" s="62" t="n">
        <x:v>0</x:v>
      </x:c>
      <x:c r="G11" s="66" t="n">
        <x:v>1</x:v>
      </x:c>
      <x:c r="H11" s="62" t="n">
        <x:f>IF(E11=0,"",I11/E11)</x:f>
        <x:v>24257.68176505576</x:v>
      </x:c>
      <x:c r="I11" s="60" t="n">
        <x:f>SUMIF('Species'!$G$2:$G$68,A11,'Species'!$U$2:$U$68)</x:f>
        <x:v>101859304.95492955</x:v>
      </x:c>
      <x:c r="J11" s="62" t="n">
        <x:v>4.365606792430694</x:v>
      </x:c>
      <x:c r="K11" s="62" t="n">
        <x:f>IF(J11="","",(1/'Metadata'!$B$5)^(J11-1))</x:f>
        <x:v>23919.68139041508</x:v>
      </x:c>
      <x:c r="L11" s="60" t="n">
        <x:f>IF(E11=0,"",E11*K11)</x:f>
        <x:v>100440023.27876371</x:v>
      </x:c>
      <x:c r="M11" s="60" t="n">
        <x:f>I11-L11</x:f>
        <x:v>1419281.676165834</x:v>
      </x:c>
      <x:c r="N11" s="62" t="n">
        <x:f>IF(L11=0,"",I11/L11)</x:f>
        <x:v>1.0141306386621072</x:v>
      </x:c>
      <x:c r="O11" s="66" t="n">
        <x:f>IF(L11=0,"",M11/L11)</x:f>
        <x:v>0.014130638662107084</x:v>
      </x:c>
    </x:row>
    <x:row r="12" ht="18" customHeight="1">
      <x:c r="A12" s="46" t="str">
        <x:v>Lobsters, crabs</x:v>
      </x:c>
      <x:c r="B12" s="64" t="n">
        <x:v>1</x:v>
      </x:c>
      <x:c r="C12" s="64" t="n">
        <x:v>1</x:v>
      </x:c>
      <x:c r="D12" s="60" t="n">
        <x:v>1.5710905816</x:v>
      </x:c>
      <x:c r="E12" s="60" t="n">
        <x:v>1.5710905816</x:v>
      </x:c>
      <x:c r="F12" s="62" t="n">
        <x:v>0</x:v>
      </x:c>
      <x:c r="G12" s="66" t="n">
        <x:v>1</x:v>
      </x:c>
      <x:c r="H12" s="62" t="n">
        <x:f>IF(E12=0,"",I12/E12)</x:f>
        <x:v>2016.5834052007342</x:v>
      </x:c>
      <x:c r="I12" s="60" t="n">
        <x:f>SUMIF('Species'!$G$2:$G$68,A12,'Species'!$U$2:$U$68)</x:f>
        <x:v>3168.23519492173</x:v>
      </x:c>
      <x:c r="J12" s="62" t="n">
        <x:v>3.54</x:v>
      </x:c>
      <x:c r="K12" s="62" t="n">
        <x:f>IF(J12="","",(1/'Metadata'!$B$5)^(J12-1))</x:f>
        <x:v>2016.5834052007342</x:v>
      </x:c>
      <x:c r="L12" s="60" t="n">
        <x:f>IF(E12=0,"",E12*K12)</x:f>
        <x:v>3168.23519492173</x:v>
      </x:c>
      <x:c r="M12" s="60" t="n">
        <x:f>I12-L12</x:f>
        <x:v>0</x:v>
      </x:c>
      <x:c r="N12" s="62" t="n">
        <x:f>IF(L12=0,"",I12/L12)</x:f>
        <x:v>1</x:v>
      </x:c>
      <x:c r="O12" s="66" t="n">
        <x:f>IF(L12=0,"",M12/L12)</x:f>
        <x:v>0</x:v>
      </x:c>
    </x:row>
    <x:row r="13" ht="18" customHeight="1">
      <x:c r="A13" s="46" t="str">
        <x:v>Medium bathydemersals (30 - 89 cm)</x:v>
      </x:c>
      <x:c r="B13" s="64" t="n">
        <x:v>2</x:v>
      </x:c>
      <x:c r="C13" s="64" t="n">
        <x:v>2</x:v>
      </x:c>
      <x:c r="D13" s="60" t="n">
        <x:v>2.3075275959</x:v>
      </x:c>
      <x:c r="E13" s="60" t="n">
        <x:v>2.3075275959</x:v>
      </x:c>
      <x:c r="F13" s="62" t="n">
        <x:v>0</x:v>
      </x:c>
      <x:c r="G13" s="66" t="n">
        <x:v>1</x:v>
      </x:c>
      <x:c r="H13" s="62" t="n">
        <x:f>IF(E13=0,"",I13/E13)</x:f>
        <x:v>15175.132485269423</x:v>
      </x:c>
      <x:c r="I13" s="60" t="n">
        <x:f>SUMIF('Species'!$G$2:$G$68,A13,'Species'!$U$2:$U$68)</x:f>
        <x:v>35017.03698119774</x:v>
      </x:c>
      <x:c r="J13" s="62" t="n">
        <x:v>3.8353195087845586</x:v>
      </x:c>
      <x:c r="K13" s="62" t="n">
        <x:f>IF(J13="","",(1/'Metadata'!$B$5)^(J13-1))</x:f>
        <x:v>4884.675616611967</x:v>
      </x:c>
      <x:c r="L13" s="60" t="n">
        <x:f>IF(E13=0,"",E13*K13)</x:f>
        <x:v>11271.523782351962</x:v>
      </x:c>
      <x:c r="M13" s="60" t="n">
        <x:f>I13-L13</x:f>
        <x:v>23745.51319884578</x:v>
      </x:c>
      <x:c r="N13" s="62" t="n">
        <x:f>IF(L13=0,"",I13/L13)</x:f>
        <x:v>3.1066817279864662</x:v>
      </x:c>
      <x:c r="O13" s="66" t="n">
        <x:f>IF(L13=0,"",M13/L13)</x:f>
        <x:v>2.1066817279864662</x:v>
      </x:c>
    </x:row>
    <x:row r="14" ht="18" customHeight="1">
      <x:c r="A14" s="46" t="str">
        <x:v>Medium bathypelagics (30 - 89 cm)</x:v>
      </x:c>
      <x:c r="B14" s="64" t="n">
        <x:v>3</x:v>
      </x:c>
      <x:c r="C14" s="64" t="n">
        <x:v>3</x:v>
      </x:c>
      <x:c r="D14" s="60" t="n">
        <x:v>90.69893942220001</x:v>
      </x:c>
      <x:c r="E14" s="60" t="n">
        <x:v>90.69893942220001</x:v>
      </x:c>
      <x:c r="F14" s="62" t="n">
        <x:v>0</x:v>
      </x:c>
      <x:c r="G14" s="66" t="n">
        <x:v>1</x:v>
      </x:c>
      <x:c r="H14" s="62" t="n">
        <x:f>IF(E14=0,"",I14/E14)</x:f>
        <x:v>2796.8605808690945</x:v>
      </x:c>
      <x:c r="I14" s="60" t="n">
        <x:f>SUMIF('Species'!$G$2:$G$68,A14,'Species'!$U$2:$U$68)</x:f>
        <x:v>253672.28839658515</x:v>
      </x:c>
      <x:c r="J14" s="62" t="n">
        <x:v>3.6487505032538525</x:v>
      </x:c>
      <x:c r="K14" s="62" t="n">
        <x:f>IF(J14="","",(1/'Metadata'!$B$5)^(J14-1))</x:f>
        <x:v>2793.21172090088</x:v>
      </x:c>
      <x:c r="L14" s="60" t="n">
        <x:f>IF(E14=0,"",E14*K14)</x:f>
        <x:v>253341.34066736797</x:v>
      </x:c>
      <x:c r="M14" s="60" t="n">
        <x:f>I14-L14</x:f>
        <x:v>330.9477292171796</x:v>
      </x:c>
      <x:c r="N14" s="62" t="n">
        <x:f>IF(L14=0,"",I14/L14)</x:f>
        <x:v>1.0013063313249444</x:v>
      </x:c>
      <x:c r="O14" s="66" t="n">
        <x:f>IF(L14=0,"",M14/L14)</x:f>
        <x:v>0.0013063313249443455</x:v>
      </x:c>
    </x:row>
    <x:row r="15" ht="18" customHeight="1">
      <x:c r="A15" s="46" t="str">
        <x:v>Medium benthopelagics (30 - 89 cm)</x:v>
      </x:c>
      <x:c r="B15" s="64" t="n">
        <x:v>4</x:v>
      </x:c>
      <x:c r="C15" s="64" t="n">
        <x:v>4</x:v>
      </x:c>
      <x:c r="D15" s="60" t="n">
        <x:v>6.2992838815</x:v>
      </x:c>
      <x:c r="E15" s="60" t="n">
        <x:v>6.2992838815</x:v>
      </x:c>
      <x:c r="F15" s="62" t="n">
        <x:v>0</x:v>
      </x:c>
      <x:c r="G15" s="66" t="n">
        <x:v>1</x:v>
      </x:c>
      <x:c r="H15" s="62" t="n">
        <x:f>IF(E15=0,"",I15/E15)</x:f>
        <x:v>7457.1821223870975</x:v>
      </x:c>
      <x:c r="I15" s="60" t="n">
        <x:f>SUMIF('Species'!$G$2:$G$68,A15,'Species'!$U$2:$U$68)</x:f>
        <x:v>46974.90714496301</x:v>
      </x:c>
      <x:c r="J15" s="62" t="n">
        <x:v>3.907720606611147</x:v>
      </x:c>
      <x:c r="K15" s="62" t="n">
        <x:f>IF(J15="","",(1/'Metadata'!$B$5)^(J15-1))</x:f>
        <x:v>6067.806574870321</x:v>
      </x:c>
      <x:c r="L15" s="60" t="n">
        <x:f>IF(E15=0,"",E15*K15)</x:f>
        <x:v>38222.836153140335</x:v>
      </x:c>
      <x:c r="M15" s="60" t="n">
        <x:f>I15-L15</x:f>
        <x:v>8752.070991822671</x:v>
      </x:c>
      <x:c r="N15" s="62" t="n">
        <x:f>IF(L15=0,"",I15/L15)</x:f>
        <x:v>1.2289749237015635</x:v>
      </x:c>
      <x:c r="O15" s="66" t="n">
        <x:f>IF(L15=0,"",M15/L15)</x:f>
        <x:v>0.2289749237015635</x:v>
      </x:c>
    </x:row>
    <x:row r="16" ht="18" customHeight="1">
      <x:c r="A16" s="46" t="str">
        <x:v>Medium demersals (30 - 89 cm)</x:v>
      </x:c>
      <x:c r="B16" s="64" t="n">
        <x:v>5</x:v>
      </x:c>
      <x:c r="C16" s="64" t="n">
        <x:v>5</x:v>
      </x:c>
      <x:c r="D16" s="60" t="n">
        <x:v>4558.9808774374</x:v>
      </x:c>
      <x:c r="E16" s="60" t="n">
        <x:v>4558.9808774374</x:v>
      </x:c>
      <x:c r="F16" s="62" t="n">
        <x:v>0</x:v>
      </x:c>
      <x:c r="G16" s="66" t="n">
        <x:v>1</x:v>
      </x:c>
      <x:c r="H16" s="62" t="n">
        <x:f>IF(E16=0,"",I16/E16)</x:f>
        <x:v>4407.2241008945875</x:v>
      </x:c>
      <x:c r="I16" s="60" t="n">
        <x:f>SUMIF('Species'!$G$2:$G$68,A16,'Species'!$U$2:$U$68)</x:f>
        <x:v>20092450.39855966</x:v>
      </x:c>
      <x:c r="J16" s="62" t="n">
        <x:v>3.411609220948551</x:v>
      </x:c>
      <x:c r="K16" s="62" t="n">
        <x:f>IF(J16="","",(1/'Metadata'!$B$5)^(J16-1))</x:f>
        <x:v>1372.7009500986521</x:v>
      </x:c>
      <x:c r="L16" s="60" t="n">
        <x:f>IF(E16=0,"",E16*K16)</x:f>
        <x:v>6258117.381939905</x:v>
      </x:c>
      <x:c r="M16" s="60" t="n">
        <x:f>I16-L16</x:f>
        <x:v>13834333.016619755</x:v>
      </x:c>
      <x:c r="N16" s="62" t="n">
        <x:f>IF(L16=0,"",I16/L16)</x:f>
        <x:v>3.2106221683447167</x:v>
      </x:c>
      <x:c r="O16" s="66" t="n">
        <x:f>IF(L16=0,"",M16/L16)</x:f>
        <x:v>2.2106221683447167</x:v>
      </x:c>
    </x:row>
    <x:row r="17" ht="18" customHeight="1">
      <x:c r="A17" s="46" t="str">
        <x:v>Medium pelagics (30 - 89 cm)</x:v>
      </x:c>
      <x:c r="B17" s="64" t="n">
        <x:v>4</x:v>
      </x:c>
      <x:c r="C17" s="64" t="n">
        <x:v>4</x:v>
      </x:c>
      <x:c r="D17" s="60" t="n">
        <x:v>41.4455481935</x:v>
      </x:c>
      <x:c r="E17" s="60" t="n">
        <x:v>41.4455481935</x:v>
      </x:c>
      <x:c r="F17" s="62" t="n">
        <x:v>0</x:v>
      </x:c>
      <x:c r="G17" s="66" t="n">
        <x:v>1</x:v>
      </x:c>
      <x:c r="H17" s="62" t="n">
        <x:f>IF(E17=0,"",I17/E17)</x:f>
        <x:v>1639.7721780079232</x:v>
      </x:c>
      <x:c r="I17" s="60" t="n">
        <x:f>SUMIF('Species'!$G$2:$G$68,A17,'Species'!$U$2:$U$68)</x:f>
        <x:v>67961.25682998785</x:v>
      </x:c>
      <x:c r="J17" s="62" t="n">
        <x:v>3.418446162863106</x:v>
      </x:c>
      <x:c r="K17" s="62" t="n">
        <x:f>IF(J17="","",(1/'Metadata'!$B$5)^(J17-1))</x:f>
        <x:v>1401.1060255340628</x:v>
      </x:c>
      <x:c r="L17" s="60" t="n">
        <x:f>IF(E17=0,"",E17*K17)</x:f>
        <x:v>58069.60730547525</x:v>
      </x:c>
      <x:c r="M17" s="60" t="n">
        <x:f>I17-L17</x:f>
        <x:v>9891.649524512599</x:v>
      </x:c>
      <x:c r="N17" s="62" t="n">
        <x:f>IF(L17=0,"",I17/L17)</x:f>
        <x:v>1.17034125050093</x:v>
      </x:c>
      <x:c r="O17" s="66" t="n">
        <x:f>IF(L17=0,"",M17/L17)</x:f>
        <x:v>0.17034125050093007</x:v>
      </x:c>
    </x:row>
    <x:row r="18" ht="18" customHeight="1">
      <x:c r="A18" s="46" t="str">
        <x:v>Other demersal invertebrates</x:v>
      </x:c>
      <x:c r="B18" s="64" t="n">
        <x:v>1</x:v>
      </x:c>
      <x:c r="C18" s="64" t="n">
        <x:v>1</x:v>
      </x:c>
      <x:c r="D18" s="60" t="n">
        <x:v>3.4029850746</x:v>
      </x:c>
      <x:c r="E18" s="60" t="n">
        <x:v>3.4029850746</x:v>
      </x:c>
      <x:c r="F18" s="62" t="n">
        <x:v>0</x:v>
      </x:c>
      <x:c r="G18" s="66" t="n">
        <x:v>1</x:v>
      </x:c>
      <x:c r="H18" s="62" t="n">
        <x:f>IF(E18=0,"",I18/E18)</x:f>
        <x:v>26.985656953471274</x:v>
      </x:c>
      <x:c r="I18" s="60" t="n">
        <x:f>SUMIF('Species'!$G$2:$G$68,A18,'Species'!$U$2:$U$68)</x:f>
        <x:v>91.83178784093846</x:v>
      </x:c>
      <x:c r="J18" s="62" t="n">
        <x:v>2.1</x:v>
      </x:c>
      <x:c r="K18" s="62" t="n">
        <x:f>IF(J18="","",(1/'Metadata'!$B$5)^(J18-1))</x:f>
        <x:v>26.985656953471274</x:v>
      </x:c>
      <x:c r="L18" s="60" t="n">
        <x:f>IF(E18=0,"",E18*K18)</x:f>
        <x:v>91.83178784093846</x:v>
      </x:c>
      <x:c r="M18" s="60" t="n">
        <x:f>I18-L18</x:f>
        <x:v>0</x:v>
      </x:c>
      <x:c r="N18" s="62" t="n">
        <x:f>IF(L18=0,"",I18/L18)</x:f>
        <x:v>1</x:v>
      </x:c>
      <x:c r="O18" s="66" t="n">
        <x:f>IF(L18=0,"",M18/L18)</x:f>
        <x:v>0</x:v>
      </x:c>
    </x:row>
    <x:row r="19" ht="18" customHeight="1">
      <x:c r="A19" s="46" t="str">
        <x:v>Shrimps</x:v>
      </x:c>
      <x:c r="B19" s="64" t="n">
        <x:v>2</x:v>
      </x:c>
      <x:c r="C19" s="64" t="n">
        <x:v>2</x:v>
      </x:c>
      <x:c r="D19" s="60" t="n">
        <x:v>7.230835736</x:v>
      </x:c>
      <x:c r="E19" s="60" t="n">
        <x:v>7.230835736</x:v>
      </x:c>
      <x:c r="F19" s="62" t="n">
        <x:v>0</x:v>
      </x:c>
      <x:c r="G19" s="66" t="n">
        <x:v>1</x:v>
      </x:c>
      <x:c r="H19" s="62" t="n">
        <x:f>IF(E19=0,"",I19/E19)</x:f>
        <x:v>493.1794041395195</x:v>
      </x:c>
      <x:c r="I19" s="60" t="n">
        <x:f>SUMIF('Species'!$G$2:$G$68,A19,'Species'!$U$2:$U$68)</x:f>
        <x:v>3566.099259711224</x:v>
      </x:c>
      <x:c r="J19" s="62" t="n">
        <x:v>3.0698383113875507</x:v>
      </x:c>
      <x:c r="K19" s="62" t="n">
        <x:f>IF(J19="","",(1/'Metadata'!$B$5)^(J19-1))</x:f>
        <x:v>493.08492972944447</x:v>
      </x:c>
      <x:c r="L19" s="60" t="n">
        <x:f>IF(E19=0,"",E19*K19)</x:f>
        <x:v>3565.416130770716</x:v>
      </x:c>
      <x:c r="M19" s="60" t="n">
        <x:f>I19-L19</x:f>
        <x:v>0.6831289405081407</x:v>
      </x:c>
      <x:c r="N19" s="62" t="n">
        <x:f>IF(L19=0,"",I19/L19)</x:f>
        <x:v>1.0001915986564969</x:v>
      </x:c>
      <x:c r="O19" s="66" t="n">
        <x:f>IF(L19=0,"",M19/L19)</x:f>
        <x:v>0.0001915986564969269</x:v>
      </x:c>
    </x:row>
    <x:row r="20" ht="18" customHeight="1">
      <x:c r="A20" s="46" t="str">
        <x:v>Small pelagics (&lt;30 cm)</x:v>
      </x:c>
      <x:c r="B20" s="64" t="n">
        <x:v>1</x:v>
      </x:c>
      <x:c r="C20" s="64" t="n">
        <x:v>1</x:v>
      </x:c>
      <x:c r="D20" s="60" t="n">
        <x:v>13.7906267014</x:v>
      </x:c>
      <x:c r="E20" s="60" t="n">
        <x:v>13.7906267014</x:v>
      </x:c>
      <x:c r="F20" s="62" t="n">
        <x:v>0</x:v>
      </x:c>
      <x:c r="G20" s="66" t="n">
        <x:v>1</x:v>
      </x:c>
      <x:c r="H20" s="62" t="n">
        <x:f>IF(E20=0,"",I20/E20)</x:f>
        <x:v>626.9234150652317</x:v>
      </x:c>
      <x:c r="I20" s="60" t="n">
        <x:f>SUMIF('Species'!$G$2:$G$68,A20,'Species'!$U$2:$U$68)</x:f>
        <x:v>8645.66678753146</x:v>
      </x:c>
      <x:c r="J20" s="62" t="n">
        <x:v>3.1500000000000004</x:v>
      </x:c>
      <x:c r="K20" s="62" t="n">
        <x:f>IF(J20="","",(1/'Metadata'!$B$5)^(J20-1))</x:f>
        <x:v>626.9234150652325</x:v>
      </x:c>
      <x:c r="L20" s="60" t="n">
        <x:f>IF(E20=0,"",E20*K20)</x:f>
        <x:v>8645.66678753147</x:v>
      </x:c>
      <x:c r="M20" s="60" t="n">
        <x:f>I20-L20</x:f>
        <x:v>-1.0913936421275139e-11</x:v>
      </x:c>
      <x:c r="N20" s="62" t="n">
        <x:f>IF(L20=0,"",I20/L20)</x:f>
        <x:v>0.9999999999999988</x:v>
      </x:c>
      <x:c r="O20" s="66" t="n">
        <x:f>IF(L20=0,"",M20/L20)</x:f>
        <x:v>-1.2623591319775244e-15</x:v>
      </x:c>
    </x:row>
    <x:row r="21" ht="18" customHeight="1">
      <x:c r="A21" s="46" t="str">
        <x:v>Small to medium flatfishes (&lt;90 cm)</x:v>
      </x:c>
      <x:c r="B21" s="64" t="n">
        <x:v>4</x:v>
      </x:c>
      <x:c r="C21" s="64" t="n">
        <x:v>4</x:v>
      </x:c>
      <x:c r="D21" s="60" t="n">
        <x:v>14761.9377188538</x:v>
      </x:c>
      <x:c r="E21" s="60" t="n">
        <x:v>14761.9377188538</x:v>
      </x:c>
      <x:c r="F21" s="62" t="n">
        <x:v>0</x:v>
      </x:c>
      <x:c r="G21" s="66" t="n">
        <x:v>1</x:v>
      </x:c>
      <x:c r="H21" s="62" t="n">
        <x:f>IF(E21=0,"",I21/E21)</x:f>
        <x:v>19209.361500191084</x:v>
      </x:c>
      <x:c r="I21" s="60" t="n">
        <x:f>SUMIF('Species'!$G$2:$G$68,A21,'Species'!$U$2:$U$68)</x:f>
        <x:v>283567398.0847688</x:v>
      </x:c>
      <x:c r="J21" s="62" t="n">
        <x:v>4.168986732912251</x:v>
      </x:c>
      <x:c r="K21" s="62" t="n">
        <x:f>IF(J21="","",(1/'Metadata'!$B$5)^(J21-1))</x:f>
        <x:v>13272.318510312874</x:v>
      </x:c>
      <x:c r="L21" s="60" t="n">
        <x:f>IF(E21=0,"",E21*K21)</x:f>
        <x:v>195925139.2340291</x:v>
      </x:c>
      <x:c r="M21" s="60" t="n">
        <x:f>I21-L21</x:f>
        <x:v>87642258.85073966</x:v>
      </x:c>
      <x:c r="N21" s="62" t="n">
        <x:f>IF(L21=0,"",I21/L21)</x:f>
        <x:v>1.4473252344919991</x:v>
      </x:c>
      <x:c r="O21" s="66" t="n">
        <x:f>IF(L21=0,"",M21/L21)</x:f>
        <x:v>0.4473252344919992</x:v>
      </x:c>
    </x:row>
    <x:row r="22" ht="18" customHeight="1">
      <x:c r="A22" s="46" t="str">
        <x:v>Small to medium sharks (&lt;90 cm)</x:v>
      </x:c>
      <x:c r="B22" s="64" t="n">
        <x:v>1</x:v>
      </x:c>
      <x:c r="C22" s="64" t="n">
        <x:v>1</x:v>
      </x:c>
      <x:c r="D22" s="60" t="n">
        <x:v>0.1276234665</x:v>
      </x:c>
      <x:c r="E22" s="60" t="n">
        <x:v>0.1276234665</x:v>
      </x:c>
      <x:c r="F22" s="62" t="n">
        <x:v>0</x:v>
      </x:c>
      <x:c r="G22" s="66" t="n">
        <x:v>1</x:v>
      </x:c>
      <x:c r="H22" s="62" t="n">
        <x:f>IF(E22=0,"",I22/E22)</x:f>
        <x:v>4953.648510535111</x:v>
      </x:c>
      <x:c r="I22" s="60" t="n">
        <x:f>SUMIF('Species'!$G$2:$G$68,A22,'Species'!$U$2:$U$68)</x:f>
        <x:v>632.2017947370526</x:v>
      </x:c>
      <x:c r="J22" s="62" t="n">
        <x:v>3.84</x:v>
      </x:c>
      <x:c r="K22" s="62" t="n">
        <x:f>IF(J22="","",(1/'Metadata'!$B$5)^(J22-1))</x:f>
        <x:v>4953.648510535111</x:v>
      </x:c>
      <x:c r="L22" s="60" t="n">
        <x:f>IF(E22=0,"",E22*K22)</x:f>
        <x:v>632.2017947370526</x:v>
      </x:c>
      <x:c r="M22" s="60" t="n">
        <x:f>I22-L22</x:f>
        <x:v>0</x:v>
      </x:c>
      <x:c r="N22" s="62" t="n">
        <x:f>IF(L22=0,"",I22/L22)</x:f>
        <x:v>1</x:v>
      </x:c>
      <x:c r="O22" s="66" t="n">
        <x:f>IF(L22=0,"",M22/L22)</x:f>
        <x:v>0</x:v>
      </x:c>
    </x:row>
  </x:sheetData>
  <x:conditionalFormatting sqref="G2:G22">
    <x:cfRule type="cellIs" dxfId="2" priority="1" operator="lessThan">
      <x:formula>0.9</x:formula>
    </x:cfRule>
  </x:conditionalFormatting>
  <x:conditionalFormatting sqref="O2:O2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d3b0947047344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HS_021</x:v>
      </x:c>
      <x:c r="B2" s="46" t="str">
        <x:v>raw_filtered_tonnes</x:v>
      </x:c>
      <x:c r="C2" s="46" t="n">
        <x:v>87745.0994728874</x:v>
      </x:c>
      <x:c r="D2" s="46" t="str">
        <x:v>tonnes</x:v>
      </x:c>
    </x:row>
    <x:row r="3" ht="18" customHeight="1">
      <x:c r="A3" s="46" t="str">
        <x:v>HS_021</x:v>
      </x:c>
      <x:c r="B3" s="46" t="str">
        <x:v>species_catch_tonnes</x:v>
      </x:c>
      <x:c r="C3" s="46" t="n">
        <x:v>87745.0994728874</x:v>
      </x:c>
      <x:c r="D3" s="46" t="str">
        <x:v>tonnes</x:v>
      </x:c>
    </x:row>
    <x:row r="4" ht="18" customHeight="1">
      <x:c r="A4" s="46" t="str">
        <x:v>HS_021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HS_021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HS_021</x:v>
      </x:c>
      <x:c r="B6" s="46" t="str">
        <x:v>matched_catch_tonnes</x:v>
      </x:c>
      <x:c r="C6" s="46" t="n">
        <x:v>87745.0994728874</x:v>
      </x:c>
      <x:c r="D6" s="46" t="str">
        <x:v>tonnes</x:v>
      </x:c>
    </x:row>
    <x:row r="7" ht="18" customHeight="1">
      <x:c r="A7" s="46" t="str">
        <x:v>HS_021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HS_021</x:v>
      </x:c>
      <x:c r="B8" s="46" t="str">
        <x:v>taxa_count</x:v>
      </x:c>
      <x:c r="C8" s="46" t="n">
        <x:v>67</x:v>
      </x:c>
      <x:c r="D8" s="46" t="str">
        <x:v>count</x:v>
      </x:c>
    </x:row>
    <x:row r="9" ht="18" customHeight="1">
      <x:c r="A9" s="46" t="str">
        <x:v>HS_021</x:v>
      </x:c>
      <x:c r="B9" s="46" t="str">
        <x:v>matched_taxa_count</x:v>
      </x:c>
      <x:c r="C9" s="46" t="n">
        <x:v>67</x:v>
      </x:c>
      <x:c r="D9" s="46" t="str">
        <x:v>count</x:v>
      </x:c>
    </x:row>
    <x:row r="10" ht="18" customHeight="1">
      <x:c r="A10" s="46" t="str">
        <x:v>HS_021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HS_021</x:v>
      </x:c>
      <x:c r="B11" s="46" t="str">
        <x:v>species_ppr</x:v>
      </x:c>
      <x:c r="C11" s="46" t="n">
        <x:v>911311899.3877176</x:v>
      </x:c>
      <x:c r="D11" s="46" t="str">
        <x:v>tonnes_primary_production_equivalent</x:v>
      </x:c>
    </x:row>
    <x:row r="12" ht="18" customHeight="1">
      <x:c r="A12" s="46" t="str">
        <x:v>HS_021</x:v>
      </x:c>
      <x:c r="B12" s="46" t="str">
        <x:v>commercial_ppr</x:v>
      </x:c>
      <x:c r="C12" s="46" t="n">
        <x:v>911311899.3877176</x:v>
      </x:c>
      <x:c r="D12" s="46" t="str">
        <x:v>tonnes_primary_production_equivalent</x:v>
      </x:c>
    </x:row>
    <x:row r="13" ht="18" customHeight="1">
      <x:c r="A13" s="46" t="str">
        <x:v>HS_021</x:v>
      </x:c>
      <x:c r="B13" s="46" t="str">
        <x:v>functional_ppr</x:v>
      </x:c>
      <x:c r="C13" s="46" t="n">
        <x:v>911311899.3877176</x:v>
      </x:c>
      <x:c r="D13" s="46" t="str">
        <x:v>tonnes_primary_production_equivalent</x:v>
      </x:c>
    </x:row>
    <x:row r="14" ht="18" customHeight="1">
      <x:c r="A14" s="46" t="str">
        <x:v>HS_021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HS_021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HS_021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HS_021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HS_021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HS_021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45095a44b624e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HS_021 - Atlantic, Northwest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HS_021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raw_data/SAU_downloads/HS_021-catch.zip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