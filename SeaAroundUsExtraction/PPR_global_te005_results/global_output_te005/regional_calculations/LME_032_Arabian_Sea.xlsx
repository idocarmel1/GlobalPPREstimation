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7640e5dac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bafb06490fd4a26"/>
    <x:sheet xmlns:r="http://schemas.openxmlformats.org/officeDocument/2006/relationships" name="Commercial" sheetId="2" r:id="Rd7be3882c73f4b37"/>
    <x:sheet xmlns:r="http://schemas.openxmlformats.org/officeDocument/2006/relationships" name="Functional" sheetId="3" r:id="R4e8085cadb724ce8"/>
    <x:sheet xmlns:r="http://schemas.openxmlformats.org/officeDocument/2006/relationships" name="Missing TL" sheetId="4" r:id="Rcc50bbbddc6d43e0"/>
    <x:sheet xmlns:r="http://schemas.openxmlformats.org/officeDocument/2006/relationships" name="Validation" sheetId="5" r:id="R333b325b4e674e57"/>
    <x:sheet xmlns:r="http://schemas.openxmlformats.org/officeDocument/2006/relationships" name="Metadata" sheetId="6" r:id="R1f06984863c4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1920247244baf" /><Relationship Type="http://schemas.openxmlformats.org/officeDocument/2006/relationships/theme" Target="/xl/theme/theme1.xml" Id="R21d6c6303e4a4d06" /><Relationship Type="http://schemas.openxmlformats.org/officeDocument/2006/relationships/sharedStrings" Target="/xl/sharedStrings.xml" Id="R64b3679c3e394616" /><Relationship Type="http://schemas.openxmlformats.org/officeDocument/2006/relationships/worksheet" Target="/xl/worksheets/sheet1.xml" Id="R2bafb06490fd4a26" /><Relationship Type="http://schemas.openxmlformats.org/officeDocument/2006/relationships/worksheet" Target="/xl/worksheets/sheet2.xml" Id="Rd7be3882c73f4b37" /><Relationship Type="http://schemas.openxmlformats.org/officeDocument/2006/relationships/worksheet" Target="/xl/worksheets/sheet3.xml" Id="R4e8085cadb724ce8" /><Relationship Type="http://schemas.openxmlformats.org/officeDocument/2006/relationships/worksheet" Target="/xl/worksheets/sheet4.xml" Id="Rcc50bbbddc6d43e0" /><Relationship Type="http://schemas.openxmlformats.org/officeDocument/2006/relationships/worksheet" Target="/xl/worksheets/sheet5.xml" Id="R333b325b4e674e57" /><Relationship Type="http://schemas.openxmlformats.org/officeDocument/2006/relationships/worksheet" Target="/xl/worksheets/sheet6.xml" Id="R1f06984863c445c9" /></Relationships>
</file>

<file path=xl/tables/table1.xml><?xml version="1.0" encoding="utf-8"?>
<x:table xmlns:x="http://schemas.openxmlformats.org/spreadsheetml/2006/main" id="1" name="LME032SpeciesTable" displayName="LME032SpeciesTable" ref="A1:U394" headerRowCount="1" totalsRowCount="0" totalsRowShown="0">
  <x:autoFilter ref="A1:U3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2CommercialTable" displayName="LME03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2FunctionalTable" displayName="LME03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2ValidationTable" displayName="LME03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cf8f18d9d747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2bf6f02e4842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bfa6ba98b04e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5511e6634c44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LME_032</x:v>
      </x:c>
      <x:c r="B2" s="46" t="str">
        <x:v>Arabian Sea</x:v>
      </x:c>
      <x:c r="C2" s="46" t="str">
        <x:v>LME</x:v>
      </x:c>
      <x:c r="D2" s="58" t="n">
        <x:v>2019</x:v>
      </x:c>
      <x:c r="E2" s="46" t="str">
        <x:v>Sardinella longiceps</x:v>
      </x:c>
      <x:c r="F2" s="46" t="str">
        <x:v>Indian oil sardine</x:v>
      </x:c>
      <x:c r="G2" s="46" t="str">
        <x:v>Small pelagics (&lt;30 cm)</x:v>
      </x:c>
      <x:c r="H2" s="46" t="str">
        <x:v>Herring-likes</x:v>
      </x:c>
      <x:c r="I2" s="60" t="n">
        <x:v>613277.9170222926</x:v>
      </x:c>
      <x:c r="J2" s="60" t="n">
        <x:v>608735.6964675124</x:v>
      </x:c>
      <x:c r="K2" s="60" t="n">
        <x:v>4542.2205547802</x:v>
      </x:c>
      <x:c r="L2" s="60" t="n">
        <x:v>518298.3197553134</x:v>
      </x:c>
      <x:c r="M2" s="60" t="n">
        <x:v>94979.59726697921</x:v>
      </x:c>
      <x:c r="N2" s="46" t="str">
        <x:v>sardinella longiceps</x:v>
      </x:c>
      <x:c r="O2" s="62" t="n">
        <x:v>2.41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Sardinella longiceps</x:v>
      </x:c>
      <x:c r="T2" s="62" t="n">
        <x:f>IF(O2="","",(1/'Metadata'!$B$5)^(O2-1))</x:f>
        <x:v>68.30496826356979</x:v>
      </x:c>
      <x:c r="U2" s="60" t="n">
        <x:f>IF(T2="","",I2*T2)</x:f>
        <x:v>41889928.65895589</x:v>
      </x:c>
    </x:row>
    <x:row r="3" ht="18" customHeight="1">
      <x:c r="A3" s="46" t="str">
        <x:v>LME_032</x:v>
      </x:c>
      <x:c r="B3" s="46" t="str">
        <x:v>Arabian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558935.3734599937</x:v>
      </x:c>
      <x:c r="J3" s="60" t="n">
        <x:v>493606.0262186922</x:v>
      </x:c>
      <x:c r="K3" s="60" t="n">
        <x:v>65329.3472413015</x:v>
      </x:c>
      <x:c r="L3" s="60" t="n">
        <x:v>406066.6823980592</x:v>
      </x:c>
      <x:c r="M3" s="60" t="n">
        <x:v>152868.6910619345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517261298.7167254</x:v>
      </x:c>
    </x:row>
    <x:row r="4" ht="18" customHeight="1">
      <x:c r="A4" s="46" t="str">
        <x:v>LME_032</x:v>
      </x:c>
      <x:c r="B4" s="46" t="str">
        <x:v>Arabian Sea</x:v>
      </x:c>
      <x:c r="C4" s="46" t="str">
        <x:v>LME</x:v>
      </x:c>
      <x:c r="D4" s="58" t="n">
        <x:v>2019</x:v>
      </x:c>
      <x:c r="E4" s="46" t="str">
        <x:v>Rastrelliger kanagurta</x:v>
      </x:c>
      <x:c r="F4" s="46" t="str">
        <x:v>Indian mackerel</x:v>
      </x:c>
      <x:c r="G4" s="46" t="str">
        <x:v>Medium pelagics (30 - 89 cm)</x:v>
      </x:c>
      <x:c r="H4" s="46" t="str">
        <x:v>Perch-likes</x:v>
      </x:c>
      <x:c r="I4" s="60" t="n">
        <x:v>288152.29221300775</x:v>
      </x:c>
      <x:c r="J4" s="60" t="n">
        <x:v>271292.4672809085</x:v>
      </x:c>
      <x:c r="K4" s="60" t="n">
        <x:v>16859.824932099298</x:v>
      </x:c>
      <x:c r="L4" s="60" t="n">
        <x:v>227126.3419500746</x:v>
      </x:c>
      <x:c r="M4" s="60" t="n">
        <x:v>61025.9502629332</x:v>
      </x:c>
      <x:c r="N4" s="46" t="str">
        <x:v>rastrelliger kanagurta</x:v>
      </x:c>
      <x:c r="O4" s="62" t="n">
        <x:v>3.19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Rastrelliger kanagurta</x:v>
      </x:c>
      <x:c r="T4" s="62" t="n">
        <x:f>IF(O4="","",(1/'Metadata'!$B$5)^(O4-1))</x:f>
        <x:v>706.7335205557481</x:v>
      </x:c>
      <x:c r="U4" s="60" t="n">
        <x:f>IF(T4="","",I4*T4)</x:f>
        <x:v>203646883.93190765</x:v>
      </x:c>
    </x:row>
    <x:row r="5" ht="18" customHeight="1">
      <x:c r="A5" s="46" t="str">
        <x:v>LME_032</x:v>
      </x:c>
      <x:c r="B5" s="46" t="str">
        <x:v>Arabian Sea</x:v>
      </x:c>
      <x:c r="C5" s="46" t="str">
        <x:v>LME</x:v>
      </x:c>
      <x:c r="D5" s="58" t="n">
        <x:v>2019</x:v>
      </x:c>
      <x:c r="E5" s="46" t="str">
        <x:v>Katsuwonus pelamis</x:v>
      </x:c>
      <x:c r="F5" s="46" t="str">
        <x:v>Skipjack tuna</x:v>
      </x:c>
      <x:c r="G5" s="46" t="str">
        <x:v>Large pelagics (&gt;=90 cm)</x:v>
      </x:c>
      <x:c r="H5" s="46" t="str">
        <x:v>Tuna &amp; billfishes</x:v>
      </x:c>
      <x:c r="I5" s="60" t="n">
        <x:v>243529.13951983087</x:v>
      </x:c>
      <x:c r="J5" s="60" t="n">
        <x:v>243529.12869407138</x:v>
      </x:c>
      <x:c r="K5" s="60" t="n">
        <x:v>0.0108257595</x:v>
      </x:c>
      <x:c r="L5" s="60" t="n">
        <x:v>242424.5446211917</x:v>
      </x:c>
      <x:c r="M5" s="60" t="n">
        <x:v>1104.5948986392</x:v>
      </x:c>
      <x:c r="N5" s="46" t="str">
        <x:v>katsuwonus pelamis</x:v>
      </x:c>
      <x:c r="O5" s="62" t="n">
        <x:v>4.43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Katsuwonus pelamis</x:v>
      </x:c>
      <x:c r="T5" s="62" t="n">
        <x:f>IF(O5="","",(1/'Metadata'!$B$5)^(O5-1))</x:f>
        <x:v>29009.008489223597</x:v>
      </x:c>
      <x:c r="U5" s="60" t="n">
        <x:f>IF(T5="","",I5*T5)</x:f>
        <x:v>7064538875.704092</x:v>
      </x:c>
    </x:row>
    <x:row r="6" ht="18" customHeight="1">
      <x:c r="A6" s="46" t="str">
        <x:v>LME_032</x:v>
      </x:c>
      <x:c r="B6" s="46" t="str">
        <x:v>Arabian Sea</x:v>
      </x:c>
      <x:c r="C6" s="46" t="str">
        <x:v>LME</x:v>
      </x:c>
      <x:c r="D6" s="58" t="n">
        <x:v>2019</x:v>
      </x:c>
      <x:c r="E6" s="46" t="str">
        <x:v>Thunnus albacares</x:v>
      </x:c>
      <x:c r="F6" s="46" t="str">
        <x:v>Yellowfin tuna</x:v>
      </x:c>
      <x:c r="G6" s="46" t="str">
        <x:v>Large pelagics (&gt;=90 cm)</x:v>
      </x:c>
      <x:c r="H6" s="46" t="str">
        <x:v>Tuna &amp; billfishes</x:v>
      </x:c>
      <x:c r="I6" s="60" t="n">
        <x:v>222031.9280930008</x:v>
      </x:c>
      <x:c r="J6" s="60" t="n">
        <x:v>222031.9280930008</x:v>
      </x:c>
      <x:c r="K6" s="60" t="n">
        <x:v>0</x:v>
      </x:c>
      <x:c r="L6" s="60" t="n">
        <x:v>169560.3512404637</x:v>
      </x:c>
      <x:c r="M6" s="60" t="n">
        <x:v>52471.576852537095</x:v>
      </x:c>
      <x:c r="N6" s="46" t="str">
        <x:v>thunnus albacares</x:v>
      </x:c>
      <x:c r="O6" s="62" t="n">
        <x:v>4.41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albacares</x:v>
      </x:c>
      <x:c r="T6" s="62" t="n">
        <x:f>IF(O6="","",(1/'Metadata'!$B$5)^(O6-1))</x:f>
        <x:v>27321.987305427916</x:v>
      </x:c>
      <x:c r="U6" s="60" t="n">
        <x:f>IF(T6="","",I6*T6)</x:f>
        <x:v>6066353520.756652</x:v>
      </x:c>
    </x:row>
    <x:row r="7" ht="18" customHeight="1">
      <x:c r="A7" s="46" t="str">
        <x:v>LME_032</x:v>
      </x:c>
      <x:c r="B7" s="46" t="str">
        <x:v>Arabian Sea</x:v>
      </x:c>
      <x:c r="C7" s="46" t="str">
        <x:v>LME</x:v>
      </x:c>
      <x:c r="D7" s="58" t="n">
        <x:v>2019</x:v>
      </x:c>
      <x:c r="E7" s="46" t="str">
        <x:v>Decapoda</x:v>
      </x:c>
      <x:c r="F7" s="46" t="str">
        <x:v>Crabs, lobsters, shrimps</x:v>
      </x:c>
      <x:c r="G7" s="46" t="str">
        <x:v>Lobsters, crabs</x:v>
      </x:c>
      <x:c r="H7" s="46" t="str">
        <x:v>Crustaceans</x:v>
      </x:c>
      <x:c r="I7" s="60" t="n">
        <x:v>181058.9199327877</x:v>
      </x:c>
      <x:c r="J7" s="60" t="n">
        <x:v>179608.1619540921</x:v>
      </x:c>
      <x:c r="K7" s="60" t="n">
        <x:v>1450.7579786956</x:v>
      </x:c>
      <x:c r="L7" s="60" t="n">
        <x:v>179278.4708203531</x:v>
      </x:c>
      <x:c r="M7" s="60" t="n">
        <x:v>1780.4491124346</x:v>
      </x:c>
      <x:c r="N7" s="46" t="str">
        <x:v>decapoda</x:v>
      </x:c>
      <x:c r="O7" s="62" t="n">
        <x:v>3.43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Decapoda</x:v>
      </x:c>
      <x:c r="T7" s="62" t="n">
        <x:f>IF(O7="","",(1/'Metadata'!$B$5)^(O7-1))</x:f>
        <x:v>1450.450424461182</x:v>
      </x:c>
      <x:c r="U7" s="60" t="n">
        <x:f>IF(T7="","",I7*T7)</x:f>
        <x:v>262616987.26899508</x:v>
      </x:c>
    </x:row>
    <x:row r="8" ht="18" customHeight="1">
      <x:c r="A8" s="46" t="str">
        <x:v>LME_032</x:v>
      </x:c>
      <x:c r="B8" s="46" t="str">
        <x:v>Arabian Sea</x:v>
      </x:c>
      <x:c r="C8" s="46" t="str">
        <x:v>LME</x:v>
      </x:c>
      <x:c r="D8" s="58" t="n">
        <x:v>2019</x:v>
      </x:c>
      <x:c r="E8" s="46" t="str">
        <x:v>Nemipteridae</x:v>
      </x:c>
      <x:c r="F8" s="46" t="str">
        <x:v>Threadfins, whiptail breams</x:v>
      </x:c>
      <x:c r="G8" s="46" t="str">
        <x:v>Small demersals (&lt;30 cm)</x:v>
      </x:c>
      <x:c r="H8" s="46" t="str">
        <x:v>Perch-likes</x:v>
      </x:c>
      <x:c r="I8" s="60" t="n">
        <x:v>157523.98867517282</x:v>
      </x:c>
      <x:c r="J8" s="60" t="n">
        <x:v>146247.92383395712</x:v>
      </x:c>
      <x:c r="K8" s="60" t="n">
        <x:v>11276.064841215699</x:v>
      </x:c>
      <x:c r="L8" s="60" t="n">
        <x:v>144581.8463866238</x:v>
      </x:c>
      <x:c r="M8" s="60" t="n">
        <x:v>12942.142288549</x:v>
      </x:c>
      <x:c r="N8" s="46" t="str">
        <x:v>nemipteridae</x:v>
      </x:c>
      <x:c r="O8" s="62" t="n">
        <x:v>3.51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Nemipteridae</x:v>
      </x:c>
      <x:c r="T8" s="62" t="n">
        <x:f>IF(O8="","",(1/'Metadata'!$B$5)^(O8-1))</x:f>
        <x:v>1843.2544417784343</x:v>
      </x:c>
      <x:c r="U8" s="60" t="n">
        <x:f>IF(T8="","",I8*T8)</x:f>
        <x:v>290356791.81216806</x:v>
      </x:c>
    </x:row>
    <x:row r="9" ht="18" customHeight="1">
      <x:c r="A9" s="46" t="str">
        <x:v>LME_032</x:v>
      </x:c>
      <x:c r="B9" s="46" t="str">
        <x:v>Arabian Sea</x:v>
      </x:c>
      <x:c r="C9" s="46" t="str">
        <x:v>LME</x:v>
      </x:c>
      <x:c r="D9" s="58" t="n">
        <x:v>2019</x:v>
      </x:c>
      <x:c r="E9" s="46" t="str">
        <x:v>Clupeiformes</x:v>
      </x:c>
      <x:c r="F9" s="46" t="str">
        <x:v>Herrings, shads, anchovies</x:v>
      </x:c>
      <x:c r="G9" s="46" t="str">
        <x:v>Small pelagics (&lt;30 cm)</x:v>
      </x:c>
      <x:c r="H9" s="46" t="str">
        <x:v>Other fishes &amp; inverts</x:v>
      </x:c>
      <x:c r="I9" s="60" t="n">
        <x:v>155067.7538998992</x:v>
      </x:c>
      <x:c r="J9" s="60" t="n">
        <x:v>152190.2336098758</x:v>
      </x:c>
      <x:c r="K9" s="60" t="n">
        <x:v>2877.5202900234003</x:v>
      </x:c>
      <x:c r="L9" s="60" t="n">
        <x:v>37279.9475677003</x:v>
      </x:c>
      <x:c r="M9" s="60" t="n">
        <x:v>117787.8063321989</x:v>
      </x:c>
      <x:c r="N9" s="46" t="str">
        <x:v>clupeiformes</x:v>
      </x:c>
      <x:c r="O9" s="62" t="n">
        <x:v>3.24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Clupeiformes</x:v>
      </x:c>
      <x:c r="T9" s="62" t="n">
        <x:f>IF(O9="","",(1/'Metadata'!$B$5)^(O9-1))</x:f>
        <x:v>820.9320103116679</x:v>
      </x:c>
      <x:c r="U9" s="60" t="n">
        <x:f>IF(T9="","",I9*T9)</x:f>
        <x:v>127300082.94355923</x:v>
      </x:c>
    </x:row>
    <x:row r="10" ht="18" customHeight="1">
      <x:c r="A10" s="46" t="str">
        <x:v>LME_032</x:v>
      </x:c>
      <x:c r="B10" s="46" t="str">
        <x:v>Arabian Sea</x:v>
      </x:c>
      <x:c r="C10" s="46" t="str">
        <x:v>LME</x:v>
      </x:c>
      <x:c r="D10" s="58" t="n">
        <x:v>2019</x:v>
      </x:c>
      <x:c r="E10" s="46" t="str">
        <x:v>Penaeidae</x:v>
      </x:c>
      <x:c r="F10" s="46" t="str">
        <x:v>Commercial shrimps and prawns</x:v>
      </x:c>
      <x:c r="G10" s="46" t="str">
        <x:v>Shrimps</x:v>
      </x:c>
      <x:c r="H10" s="46" t="str">
        <x:v>Crustaceans</x:v>
      </x:c>
      <x:c r="I10" s="60" t="n">
        <x:v>152834.2850174809</x:v>
      </x:c>
      <x:c r="J10" s="60" t="n">
        <x:v>152771.8463774177</x:v>
      </x:c>
      <x:c r="K10" s="60" t="n">
        <x:v>62.4386400632</x:v>
      </x:c>
      <x:c r="L10" s="60" t="n">
        <x:v>150350.3410169571</x:v>
      </x:c>
      <x:c r="M10" s="60" t="n">
        <x:v>2483.9440005238002</x:v>
      </x:c>
      <x:c r="N10" s="46" t="str">
        <x:v>penaeidae</x:v>
      </x:c>
      <x:c r="O10" s="62" t="n">
        <x:v>3.31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Penaeidae</x:v>
      </x:c>
      <x:c r="T10" s="62" t="n">
        <x:f>IF(O10="","",(1/'Metadata'!$B$5)^(O10-1))</x:f>
        <x:v>1012.4633005057666</x:v>
      </x:c>
      <x:c r="U10" s="60" t="n">
        <x:f>IF(T10="","",I10*T10)</x:f>
        <x:v>154739104.63923773</x:v>
      </x:c>
    </x:row>
    <x:row r="11" ht="18" customHeight="1">
      <x:c r="A11" s="46" t="str">
        <x:v>LME_032</x:v>
      </x:c>
      <x:c r="B11" s="46" t="str">
        <x:v>Arabian Sea</x:v>
      </x:c>
      <x:c r="C11" s="46" t="str">
        <x:v>LME</x:v>
      </x:c>
      <x:c r="D11" s="58" t="n">
        <x:v>2019</x:v>
      </x:c>
      <x:c r="E11" s="46" t="str">
        <x:v>Carangidae</x:v>
      </x:c>
      <x:c r="F11" s="46" t="str">
        <x:v>Jacks, pompanos</x:v>
      </x:c>
      <x:c r="G11" s="46" t="str">
        <x:v>Medium pelagics (30 - 89 cm)</x:v>
      </x:c>
      <x:c r="H11" s="46" t="str">
        <x:v>Perch-likes</x:v>
      </x:c>
      <x:c r="I11" s="60" t="n">
        <x:v>150824.2976232832</x:v>
      </x:c>
      <x:c r="J11" s="60" t="n">
        <x:v>143907.3391550958</x:v>
      </x:c>
      <x:c r="K11" s="60" t="n">
        <x:v>6916.9584681874</x:v>
      </x:c>
      <x:c r="L11" s="60" t="n">
        <x:v>128919.7402217349</x:v>
      </x:c>
      <x:c r="M11" s="60" t="n">
        <x:v>21904.5574015483</x:v>
      </x:c>
      <x:c r="N11" s="46" t="str">
        <x:v>carangidae</x:v>
      </x:c>
      <x:c r="O11" s="62" t="n">
        <x:v>4.05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Carangidae</x:v>
      </x:c>
      <x:c r="T11" s="62" t="n">
        <x:f>IF(O11="","",(1/'Metadata'!$B$5)^(O11-1))</x:f>
        <x:v>9292.690797132333</x:v>
      </x:c>
      <x:c r="U11" s="60" t="n">
        <x:f>IF(T11="","",I11*T11)</x:f>
        <x:v>1401563562.5078318</x:v>
      </x:c>
    </x:row>
    <x:row r="12" ht="18" customHeight="1">
      <x:c r="A12" s="46" t="str">
        <x:v>LME_032</x:v>
      </x:c>
      <x:c r="B12" s="46" t="str">
        <x:v>Arabian Sea</x:v>
      </x:c>
      <x:c r="C12" s="46" t="str">
        <x:v>LME</x:v>
      </x:c>
      <x:c r="D12" s="58" t="n">
        <x:v>2019</x:v>
      </x:c>
      <x:c r="E12" s="46" t="str">
        <x:v>Sciaenidae</x:v>
      </x:c>
      <x:c r="F12" s="46" t="str">
        <x:v>Drums, croakers</x:v>
      </x:c>
      <x:c r="G12" s="46" t="str">
        <x:v>Medium demersals (30 - 89 cm)</x:v>
      </x:c>
      <x:c r="H12" s="46" t="str">
        <x:v>Perch-likes</x:v>
      </x:c>
      <x:c r="I12" s="60" t="n">
        <x:v>143027.64937485452</x:v>
      </x:c>
      <x:c r="J12" s="60" t="n">
        <x:v>136353.8684607191</x:v>
      </x:c>
      <x:c r="K12" s="60" t="n">
        <x:v>6673.7809141354</x:v>
      </x:c>
      <x:c r="L12" s="60" t="n">
        <x:v>116229.33607150751</x:v>
      </x:c>
      <x:c r="M12" s="60" t="n">
        <x:v>26798.313303347</x:v>
      </x:c>
      <x:c r="N12" s="46" t="str">
        <x:v>sciaenidae</x:v>
      </x:c>
      <x:c r="O12" s="62" t="n">
        <x:v>3.76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Sciaenidae</x:v>
      </x:c>
      <x:c r="T12" s="62" t="n">
        <x:f>IF(O12="","",(1/'Metadata'!$B$5)^(O12-1))</x:f>
        <x:v>3898.0085558913897</x:v>
      </x:c>
      <x:c r="U12" s="60" t="n">
        <x:f>IF(T12="","",I12*T12)</x:f>
        <x:v>557523000.9922167</x:v>
      </x:c>
    </x:row>
    <x:row r="13" ht="18" customHeight="1">
      <x:c r="A13" s="46" t="str">
        <x:v>LME_032</x:v>
      </x:c>
      <x:c r="B13" s="46" t="str">
        <x:v>Arabian Sea</x:v>
      </x:c>
      <x:c r="C13" s="46" t="str">
        <x:v>LME</x:v>
      </x:c>
      <x:c r="D13" s="58" t="n">
        <x:v>2019</x:v>
      </x:c>
      <x:c r="E13" s="46" t="str">
        <x:v>Perciformes</x:v>
      </x:c>
      <x:c r="F13" s="46" t="str">
        <x:v>Perch-likes</x:v>
      </x:c>
      <x:c r="G13" s="46" t="str">
        <x:v>Medium demersals (30 - 89 cm)</x:v>
      </x:c>
      <x:c r="H13" s="46" t="str">
        <x:v>Perch-likes</x:v>
      </x:c>
      <x:c r="I13" s="60" t="n">
        <x:v>116754.076682559</x:v>
      </x:c>
      <x:c r="J13" s="60" t="n">
        <x:v>106836.0879339301</x:v>
      </x:c>
      <x:c r="K13" s="60" t="n">
        <x:v>9917.9887486289</x:v>
      </x:c>
      <x:c r="L13" s="60" t="n">
        <x:v>106830.3803869642</x:v>
      </x:c>
      <x:c r="M13" s="60" t="n">
        <x:v>9923.696295594798</x:v>
      </x:c>
      <x:c r="N13" s="46" t="str">
        <x:v>perciformes</x:v>
      </x:c>
      <x:c r="O13" s="62" t="n">
        <x:v>3.53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Perciformes</x:v>
      </x:c>
      <x:c r="T13" s="62" t="n">
        <x:f>IF(O13="","",(1/'Metadata'!$B$5)^(O13-1))</x:f>
        <x:v>1957.0678791263101</x:v>
      </x:c>
      <x:c r="U13" s="60" t="n">
        <x:f>IF(T13="","",I13*T13)</x:f>
        <x:v>228495653.2324863</x:v>
      </x:c>
    </x:row>
    <x:row r="14" ht="18" customHeight="1">
      <x:c r="A14" s="46" t="str">
        <x:v>LME_032</x:v>
      </x:c>
      <x:c r="B14" s="46" t="str">
        <x:v>Arabian Sea</x:v>
      </x:c>
      <x:c r="C14" s="46" t="str">
        <x:v>LME</x:v>
      </x:c>
      <x:c r="D14" s="58" t="n">
        <x:v>2019</x:v>
      </x:c>
      <x:c r="E14" s="46" t="str">
        <x:v>Clupeidae</x:v>
      </x:c>
      <x:c r="F14" s="46" t="str">
        <x:v>Herrings, sardines, menhadens</x:v>
      </x:c>
      <x:c r="G14" s="46" t="str">
        <x:v>Small pelagics (&lt;30 cm)</x:v>
      </x:c>
      <x:c r="H14" s="46" t="str">
        <x:v>Herring-likes</x:v>
      </x:c>
      <x:c r="I14" s="60" t="n">
        <x:v>106818.4070016068</x:v>
      </x:c>
      <x:c r="J14" s="60" t="n">
        <x:v>104074.81586511071</x:v>
      </x:c>
      <x:c r="K14" s="60" t="n">
        <x:v>2743.5911364961</x:v>
      </x:c>
      <x:c r="L14" s="60" t="n">
        <x:v>88121.9988163873</x:v>
      </x:c>
      <x:c r="M14" s="60" t="n">
        <x:v>18696.4081852195</x:v>
      </x:c>
      <x:c r="N14" s="46" t="str">
        <x:v>clupeidae</x:v>
      </x:c>
      <x:c r="O14" s="62" t="n">
        <x:v>3.16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Clupeidae</x:v>
      </x:c>
      <x:c r="T14" s="62" t="n">
        <x:f>IF(O14="","",(1/'Metadata'!$B$5)^(O14-1))</x:f>
        <x:v>645.9885058849935</x:v>
      </x:c>
      <x:c r="U14" s="60" t="n">
        <x:f>IF(T14="","",I14*T14)</x:f>
        <x:v>69003463.1399831</x:v>
      </x:c>
    </x:row>
    <x:row r="15" ht="18" customHeight="1">
      <x:c r="A15" s="46" t="str">
        <x:v>LME_032</x:v>
      </x:c>
      <x:c r="B15" s="46" t="str">
        <x:v>Arabian Sea</x:v>
      </x:c>
      <x:c r="C15" s="46" t="str">
        <x:v>LME</x:v>
      </x:c>
      <x:c r="D15" s="58" t="n">
        <x:v>2019</x:v>
      </x:c>
      <x:c r="E15" s="46" t="str">
        <x:v>Harpadon nehereus</x:v>
      </x:c>
      <x:c r="F15" s="46" t="str">
        <x:v>Bombay-duck</x:v>
      </x:c>
      <x:c r="G15" s="46" t="str">
        <x:v>Medium benthopelagics (30 - 89 cm)</x:v>
      </x:c>
      <x:c r="H15" s="46" t="str">
        <x:v>Other fishes &amp; inverts</x:v>
      </x:c>
      <x:c r="I15" s="60" t="n">
        <x:v>102577.5547632831</x:v>
      </x:c>
      <x:c r="J15" s="60" t="n">
        <x:v>95792.89251542841</x:v>
      </x:c>
      <x:c r="K15" s="60" t="n">
        <x:v>6784.662247854701</x:v>
      </x:c>
      <x:c r="L15" s="60" t="n">
        <x:v>94960.8777682898</x:v>
      </x:c>
      <x:c r="M15" s="60" t="n">
        <x:v>7616.6769949933005</x:v>
      </x:c>
      <x:c r="N15" s="46" t="str">
        <x:v>harpadon nehereus</x:v>
      </x:c>
      <x:c r="O15" s="62" t="n">
        <x:v>4.2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Harpadon nehereus</x:v>
      </x:c>
      <x:c r="T15" s="62" t="n">
        <x:f>IF(O15="","",(1/'Metadata'!$B$5)^(O15-1))</x:f>
        <x:v>14564.51362420865</x:v>
      </x:c>
      <x:c r="U15" s="60" t="n">
        <x:f>IF(T15="","",I15*T15)</x:f>
        <x:v>1493992193.8878455</x:v>
      </x:c>
    </x:row>
    <x:row r="16" ht="18" customHeight="1">
      <x:c r="A16" s="46" t="str">
        <x:v>LME_032</x:v>
      </x:c>
      <x:c r="B16" s="46" t="str">
        <x:v>Arabian Sea</x:v>
      </x:c>
      <x:c r="C16" s="46" t="str">
        <x:v>LME</x:v>
      </x:c>
      <x:c r="D16" s="58" t="n">
        <x:v>2019</x:v>
      </x:c>
      <x:c r="E16" s="46" t="str">
        <x:v>Scomberomorus commerson</x:v>
      </x:c>
      <x:c r="F16" s="46" t="str">
        <x:v>Narrow-barred Spanish mackerel</x:v>
      </x:c>
      <x:c r="G16" s="46" t="str">
        <x:v>Large pelagics (&gt;=90 cm)</x:v>
      </x:c>
      <x:c r="H16" s="46" t="str">
        <x:v>Perch-likes</x:v>
      </x:c>
      <x:c r="I16" s="60" t="n">
        <x:v>98172.6892566576</x:v>
      </x:c>
      <x:c r="J16" s="60" t="n">
        <x:v>98172.6892566576</x:v>
      </x:c>
      <x:c r="K16" s="60" t="n">
        <x:v>0</x:v>
      </x:c>
      <x:c r="L16" s="60" t="n">
        <x:v>85073.6108486943</x:v>
      </x:c>
      <x:c r="M16" s="60" t="n">
        <x:v>13099.0784079633</x:v>
      </x:c>
      <x:c r="N16" s="46" t="str">
        <x:v>scomberomorus commerson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Scomberomorus commerson</x:v>
      </x:c>
      <x:c r="T16" s="62" t="n">
        <x:f>IF(O16="","",(1/'Metadata'!$B$5)^(O16-1))</x:f>
        <x:v>35777.08763999664</x:v>
      </x:c>
      <x:c r="U16" s="60" t="n">
        <x:f>IF(T16="","",I16*T16)</x:f>
        <x:v>3512332907.389595</x:v>
      </x:c>
    </x:row>
    <x:row r="17" ht="18" customHeight="1">
      <x:c r="A17" s="46" t="str">
        <x:v>LME_032</x:v>
      </x:c>
      <x:c r="B17" s="46" t="str">
        <x:v>Arabian Sea</x:v>
      </x:c>
      <x:c r="C17" s="46" t="str">
        <x:v>LME</x:v>
      </x:c>
      <x:c r="D17" s="58" t="n">
        <x:v>2019</x:v>
      </x:c>
      <x:c r="E17" s="46" t="str">
        <x:v>Decapterus</x:v>
      </x:c>
      <x:c r="F17" s="46" t="str">
        <x:v>Scads</x:v>
      </x:c>
      <x:c r="G17" s="46" t="str">
        <x:v>Medium pelagics (30 - 89 cm)</x:v>
      </x:c>
      <x:c r="H17" s="46" t="str">
        <x:v>Perch-likes</x:v>
      </x:c>
      <x:c r="I17" s="60" t="n">
        <x:v>84215.86558689631</x:v>
      </x:c>
      <x:c r="J17" s="60" t="n">
        <x:v>77590.630206158</x:v>
      </x:c>
      <x:c r="K17" s="60" t="n">
        <x:v>6625.235380738301</x:v>
      </x:c>
      <x:c r="L17" s="60" t="n">
        <x:v>77590.630206158</x:v>
      </x:c>
      <x:c r="M17" s="60" t="n">
        <x:v>6625.235380738301</x:v>
      </x:c>
      <x:c r="N17" s="46" t="str">
        <x:v>decapterus</x:v>
      </x:c>
      <x:c r="O17" s="62" t="n">
        <x:v>3.63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Decapterus</x:v>
      </x:c>
      <x:c r="T17" s="62" t="n">
        <x:f>IF(O17="","",(1/'Metadata'!$B$5)^(O17-1))</x:f>
        <x:v>2640.638121038009</x:v>
      </x:c>
      <x:c r="U17" s="60" t="n">
        <x:f>IF(T17="","",I17*T17)</x:f>
        <x:v>222383625.06497142</x:v>
      </x:c>
    </x:row>
    <x:row r="18" ht="18" customHeight="1">
      <x:c r="A18" s="46" t="str">
        <x:v>LME_032</x:v>
      </x:c>
      <x:c r="B18" s="46" t="str">
        <x:v>Arabian Sea</x:v>
      </x:c>
      <x:c r="C18" s="46" t="str">
        <x:v>LME</x:v>
      </x:c>
      <x:c r="D18" s="58" t="n">
        <x:v>2019</x:v>
      </x:c>
      <x:c r="E18" s="46" t="str">
        <x:v>Teuthida</x:v>
      </x:c>
      <x:c r="F18" s="46" t="str">
        <x:v>Squids</x:v>
      </x:c>
      <x:c r="G18" s="46" t="str">
        <x:v>Cephalopods</x:v>
      </x:c>
      <x:c r="H18" s="46" t="str">
        <x:v>Other fishes &amp; inverts</x:v>
      </x:c>
      <x:c r="I18" s="60" t="n">
        <x:v>79150.8219431701</x:v>
      </x:c>
      <x:c r="J18" s="60" t="n">
        <x:v>79150.8219431701</x:v>
      </x:c>
      <x:c r="K18" s="60" t="n">
        <x:v>0</x:v>
      </x:c>
      <x:c r="L18" s="60" t="n">
        <x:v>79117.4004336189</x:v>
      </x:c>
      <x:c r="M18" s="60" t="n">
        <x:v>33.421509551199996</x:v>
      </x:c>
      <x:c r="N18" s="46" t="str">
        <x:v>teuthida</x:v>
      </x:c>
      <x:c r="O18" s="62" t="n">
        <x:v>4.13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Teuthida</x:v>
      </x:c>
      <x:c r="T18" s="62" t="n">
        <x:f>IF(O18="","",(1/'Metadata'!$B$5)^(O18-1))</x:f>
        <x:v>11809.292685236613</x:v>
      </x:c>
      <x:c r="U18" s="60" t="n">
        <x:f>IF(T18="","",I18*T18)</x:f>
        <x:v>934715222.6039442</x:v>
      </x:c>
    </x:row>
    <x:row r="19" ht="18" customHeight="1">
      <x:c r="A19" s="46" t="str">
        <x:v>LME_032</x:v>
      </x:c>
      <x:c r="B19" s="46" t="str">
        <x:v>Arabian Sea</x:v>
      </x:c>
      <x:c r="C19" s="46" t="str">
        <x:v>LME</x:v>
      </x:c>
      <x:c r="D19" s="58" t="n">
        <x:v>2019</x:v>
      </x:c>
      <x:c r="E19" s="46" t="str">
        <x:v>Bivalvia</x:v>
      </x:c>
      <x:c r="F19" s="46" t="str">
        <x:v>Clams</x:v>
      </x:c>
      <x:c r="G19" s="46" t="str">
        <x:v>Other demersal invertebrates</x:v>
      </x:c>
      <x:c r="H19" s="46" t="str">
        <x:v>Molluscs</x:v>
      </x:c>
      <x:c r="I19" s="60" t="n">
        <x:v>78490.7834505041</x:v>
      </x:c>
      <x:c r="J19" s="60" t="n">
        <x:v>78475.1744529008</x:v>
      </x:c>
      <x:c r="K19" s="60" t="n">
        <x:v>15.6089976033</x:v>
      </x:c>
      <x:c r="L19" s="60" t="n">
        <x:v>453.0974834374</x:v>
      </x:c>
      <x:c r="M19" s="60" t="n">
        <x:v>78037.6859670667</x:v>
      </x:c>
      <x:c r="N19" s="46" t="str">
        <x:v>bivalvia</x:v>
      </x:c>
      <x:c r="O19" s="62" t="n">
        <x:v>2.23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Bivalvia</x:v>
      </x:c>
      <x:c r="T19" s="62" t="n">
        <x:f>IF(O19="","",(1/'Metadata'!$B$5)^(O19-1))</x:f>
        <x:v>39.83519015836661</x:v>
      </x:c>
      <x:c r="U19" s="60" t="n">
        <x:f>IF(T19="","",I19*T19)</x:f>
        <x:v>3126695.284430005</x:v>
      </x:c>
    </x:row>
    <x:row r="20" ht="18" customHeight="1">
      <x:c r="A20" s="46" t="str">
        <x:v>LME_032</x:v>
      </x:c>
      <x:c r="B20" s="46" t="str">
        <x:v>Arabian Sea</x:v>
      </x:c>
      <x:c r="C20" s="46" t="str">
        <x:v>LME</x:v>
      </x:c>
      <x:c r="D20" s="58" t="n">
        <x:v>2019</x:v>
      </x:c>
      <x:c r="E20" s="46" t="str">
        <x:v>Sepiidae</x:v>
      </x:c>
      <x:c r="F20" s="46" t="str">
        <x:v>Cuttlefishes</x:v>
      </x:c>
      <x:c r="G20" s="46" t="str">
        <x:v>Cephalopods</x:v>
      </x:c>
      <x:c r="H20" s="46" t="str">
        <x:v>Other fishes &amp; inverts</x:v>
      </x:c>
      <x:c r="I20" s="60" t="n">
        <x:v>75386.4217273971</x:v>
      </x:c>
      <x:c r="J20" s="60" t="n">
        <x:v>75336.68796269479</x:v>
      </x:c>
      <x:c r="K20" s="60" t="n">
        <x:v>49.7337647023</x:v>
      </x:c>
      <x:c r="L20" s="60" t="n">
        <x:v>73572.9395354935</x:v>
      </x:c>
      <x:c r="M20" s="60" t="n">
        <x:v>1813.4821919036</x:v>
      </x:c>
      <x:c r="N20" s="46" t="str">
        <x:v>sepiidae</x:v>
      </x:c>
      <x:c r="O20" s="62" t="n">
        <x:v>3.6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Sepiidae</x:v>
      </x:c>
      <x:c r="T20" s="62" t="n">
        <x:f>IF(O20="","",(1/'Metadata'!$B$5)^(O20-1))</x:f>
        <x:v>2413.670534618066</x:v>
      </x:c>
      <x:c r="U20" s="60" t="n">
        <x:f>IF(T20="","",I20*T20)</x:f>
        <x:v>181957984.83370957</x:v>
      </x:c>
    </x:row>
    <x:row r="21" ht="18" customHeight="1">
      <x:c r="A21" s="46" t="str">
        <x:v>LME_032</x:v>
      </x:c>
      <x:c r="B21" s="46" t="str">
        <x:v>Arabian Sea</x:v>
      </x:c>
      <x:c r="C21" s="46" t="str">
        <x:v>LME</x:v>
      </x:c>
      <x:c r="D21" s="58" t="n">
        <x:v>2019</x:v>
      </x:c>
      <x:c r="E21" s="46" t="str">
        <x:v>Trichiurus lepturus</x:v>
      </x:c>
      <x:c r="F21" s="46" t="str">
        <x:v>Largehead hairtail</x:v>
      </x:c>
      <x:c r="G21" s="46" t="str">
        <x:v>Large benthopelagics (&gt;=90 cm)</x:v>
      </x:c>
      <x:c r="H21" s="46" t="str">
        <x:v>Perch-likes</x:v>
      </x:c>
      <x:c r="I21" s="60" t="n">
        <x:v>74234.1031082304</x:v>
      </x:c>
      <x:c r="J21" s="60" t="n">
        <x:v>74234.1031082304</x:v>
      </x:c>
      <x:c r="K21" s="60" t="n">
        <x:v>0</x:v>
      </x:c>
      <x:c r="L21" s="60" t="n">
        <x:v>66328.1015027901</x:v>
      </x:c>
      <x:c r="M21" s="60" t="n">
        <x:v>7906.0016054402995</x:v>
      </x:c>
      <x:c r="N21" s="46" t="str">
        <x:v>trichiurus lepturus</x:v>
      </x:c>
      <x:c r="O21" s="62" t="n">
        <x:v>4.42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Trichiurus lepturus</x:v>
      </x:c>
      <x:c r="T21" s="62" t="n">
        <x:f>IF(O21="","",(1/'Metadata'!$B$5)^(O21-1))</x:f>
        <x:v>28152.864182630117</x:v>
      </x:c>
      <x:c r="U21" s="60" t="n">
        <x:f>IF(T21="","",I21*T21)</x:f>
        <x:v>2089902622.5253706</x:v>
      </x:c>
    </x:row>
    <x:row r="22" ht="18" customHeight="1">
      <x:c r="A22" s="46" t="str">
        <x:v>LME_032</x:v>
      </x:c>
      <x:c r="B22" s="46" t="str">
        <x:v>Arabian Sea</x:v>
      </x:c>
      <x:c r="C22" s="46" t="str">
        <x:v>LME</x:v>
      </x:c>
      <x:c r="D22" s="58" t="n">
        <x:v>2019</x:v>
      </x:c>
      <x:c r="E22" s="46" t="str">
        <x:v>Synodontidae</x:v>
      </x:c>
      <x:c r="F22" s="46" t="str">
        <x:v>Lizardfishes, sauries</x:v>
      </x:c>
      <x:c r="G22" s="46" t="str">
        <x:v>Medium demersals (30 - 89 cm)</x:v>
      </x:c>
      <x:c r="H22" s="46" t="str">
        <x:v>Other fishes &amp; inverts</x:v>
      </x:c>
      <x:c r="I22" s="60" t="n">
        <x:v>58709.7523362319</x:v>
      </x:c>
      <x:c r="J22" s="60" t="n">
        <x:v>54340.5859083042</x:v>
      </x:c>
      <x:c r="K22" s="60" t="n">
        <x:v>4369.1664279277</x:v>
      </x:c>
      <x:c r="L22" s="60" t="n">
        <x:v>54247.1457927243</x:v>
      </x:c>
      <x:c r="M22" s="60" t="n">
        <x:v>4462.6065435076</x:v>
      </x:c>
      <x:c r="N22" s="46" t="str">
        <x:v>synodontidae</x:v>
      </x:c>
      <x:c r="O22" s="62" t="n">
        <x:v>4.3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Synodontidae</x:v>
      </x:c>
      <x:c r="T22" s="62" t="n">
        <x:f>IF(O22="","",(1/'Metadata'!$B$5)^(O22-1))</x:f>
        <x:v>19651.648417852637</x:v>
      </x:c>
      <x:c r="U22" s="60" t="n">
        <x:f>IF(T22="","",I22*T22)</x:f>
        <x:v>1153743411.6108317</x:v>
      </x:c>
    </x:row>
    <x:row r="23" ht="18" customHeight="1">
      <x:c r="A23" s="46" t="str">
        <x:v>LME_032</x:v>
      </x:c>
      <x:c r="B23" s="46" t="str">
        <x:v>Arabian Sea</x:v>
      </x:c>
      <x:c r="C23" s="46" t="str">
        <x:v>LME</x:v>
      </x:c>
      <x:c r="D23" s="58" t="n">
        <x:v>2019</x:v>
      </x:c>
      <x:c r="E23" s="46" t="str">
        <x:v>Marine pelagic fishes not identified</x:v>
      </x:c>
      <x:c r="F23" s="46" t="str">
        <x:v>Pelagic fishes</x:v>
      </x:c>
      <x:c r="G23" s="46" t="str">
        <x:v>Medium pelagics (30 - 89 cm)</x:v>
      </x:c>
      <x:c r="H23" s="46" t="str">
        <x:v>Other fishes &amp; inverts</x:v>
      </x:c>
      <x:c r="I23" s="60" t="n">
        <x:v>52625.4796585807</x:v>
      </x:c>
      <x:c r="J23" s="60" t="n">
        <x:v>52625.4796585807</x:v>
      </x:c>
      <x:c r="K23" s="60" t="n">
        <x:v>0</x:v>
      </x:c>
      <x:c r="L23" s="60" t="n">
        <x:v>52618.1078336476</x:v>
      </x:c>
      <x:c r="M23" s="60" t="n">
        <x:v>7.3718249331</x:v>
      </x:c>
      <x:c r="N23" s="46" t="str">
        <x:v>marine pelagic fishes not identified</x:v>
      </x:c>
      <x:c r="O23" s="62" t="n">
        <x:v>3.35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Marine pelagic fishes not identified</x:v>
      </x:c>
      <x:c r="T23" s="62" t="n">
        <x:f>IF(O23="","",(1/'Metadata'!$B$5)^(O23-1))</x:f>
        <x:v>1141.3543275066227</x:v>
      </x:c>
      <x:c r="U23" s="60" t="n">
        <x:f>IF(T23="","",I23*T23)</x:f>
        <x:v>60064318.94543283</x:v>
      </x:c>
    </x:row>
    <x:row r="24" ht="18" customHeight="1">
      <x:c r="A24" s="46" t="str">
        <x:v>LME_032</x:v>
      </x:c>
      <x:c r="B24" s="46" t="str">
        <x:v>Arabian Sea</x:v>
      </x:c>
      <x:c r="C24" s="46" t="str">
        <x:v>LME</x:v>
      </x:c>
      <x:c r="D24" s="58" t="n">
        <x:v>2019</x:v>
      </x:c>
      <x:c r="E24" s="46" t="str">
        <x:v>Carcharhinidae</x:v>
      </x:c>
      <x:c r="F24" s="46" t="str">
        <x:v>Requiem sharks</x:v>
      </x:c>
      <x:c r="G24" s="46" t="str">
        <x:v>Large sharks (&gt;=90 cm)</x:v>
      </x:c>
      <x:c r="H24" s="46" t="str">
        <x:v>Sharks &amp; rays</x:v>
      </x:c>
      <x:c r="I24" s="60" t="n">
        <x:v>52462.17270755059</x:v>
      </x:c>
      <x:c r="J24" s="60" t="n">
        <x:v>49660.4776866887</x:v>
      </x:c>
      <x:c r="K24" s="60" t="n">
        <x:v>2801.6950208619</x:v>
      </x:c>
      <x:c r="L24" s="60" t="n">
        <x:v>4183.2624692286</x:v>
      </x:c>
      <x:c r="M24" s="60" t="n">
        <x:v>48278.910238322</x:v>
      </x:c>
      <x:c r="N24" s="46" t="str">
        <x:v>carcharhinidae</x:v>
      </x:c>
      <x:c r="O24" s="62" t="n">
        <x:v>4.24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Carcharhinidae</x:v>
      </x:c>
      <x:c r="T24" s="62" t="n">
        <x:f>IF(O24="","",(1/'Metadata'!$B$5)^(O24-1))</x:f>
        <x:v>16418.64020623336</x:v>
      </x:c>
      <x:c r="U24" s="60" t="n">
        <x:f>IF(T24="","",I24*T24)</x:f>
        <x:v>861357538.1225485</x:v>
      </x:c>
    </x:row>
    <x:row r="25" ht="18" customHeight="1">
      <x:c r="A25" s="46" t="str">
        <x:v>LME_032</x:v>
      </x:c>
      <x:c r="B25" s="46" t="str">
        <x:v>Arabian Sea</x:v>
      </x:c>
      <x:c r="C25" s="46" t="str">
        <x:v>LME</x:v>
      </x:c>
      <x:c r="D25" s="58" t="n">
        <x:v>2019</x:v>
      </x:c>
      <x:c r="E25" s="46" t="str">
        <x:v>Serranidae</x:v>
      </x:c>
      <x:c r="F25" s="46" t="str">
        <x:v>Basses, groupers, hinds</x:v>
      </x:c>
      <x:c r="G25" s="46" t="str">
        <x:v>Medium reef assoc. fish (30 - 89 cm)</x:v>
      </x:c>
      <x:c r="H25" s="46" t="str">
        <x:v>Perch-likes</x:v>
      </x:c>
      <x:c r="I25" s="60" t="n">
        <x:v>50351.75019455371</x:v>
      </x:c>
      <x:c r="J25" s="60" t="n">
        <x:v>46475.8200565813</x:v>
      </x:c>
      <x:c r="K25" s="60" t="n">
        <x:v>3875.9301379724</x:v>
      </x:c>
      <x:c r="L25" s="60" t="n">
        <x:v>42947.142389937304</x:v>
      </x:c>
      <x:c r="M25" s="60" t="n">
        <x:v>7404.607804616399</x:v>
      </x:c>
      <x:c r="N25" s="46" t="str">
        <x:v>serranidae</x:v>
      </x:c>
      <x:c r="O25" s="62" t="n">
        <x:v>3.98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Serranidae</x:v>
      </x:c>
      <x:c r="T25" s="62" t="n">
        <x:f>IF(O25="","",(1/'Metadata'!$B$5)^(O25-1))</x:f>
        <x:v>7534.759367064222</x:v>
      </x:c>
      <x:c r="U25" s="60" t="n">
        <x:f>IF(T25="","",I25*T25)</x:f>
        <x:v>379388321.4264913</x:v>
      </x:c>
    </x:row>
    <x:row r="26" ht="18" customHeight="1">
      <x:c r="A26" s="46" t="str">
        <x:v>LME_032</x:v>
      </x:c>
      <x:c r="B26" s="46" t="str">
        <x:v>Arabian Sea</x:v>
      </x:c>
      <x:c r="C26" s="46" t="str">
        <x:v>LME</x:v>
      </x:c>
      <x:c r="D26" s="58" t="n">
        <x:v>2019</x:v>
      </x:c>
      <x:c r="E26" s="46" t="str">
        <x:v>Siluriformes</x:v>
      </x:c>
      <x:c r="F26" s="46" t="str">
        <x:v>Catfishes</x:v>
      </x:c>
      <x:c r="G26" s="46" t="str">
        <x:v>Medium demersals (30 - 89 cm)</x:v>
      </x:c>
      <x:c r="H26" s="46" t="str">
        <x:v>Other fishes &amp; inverts</x:v>
      </x:c>
      <x:c r="I26" s="60" t="n">
        <x:v>47637.669497103205</x:v>
      </x:c>
      <x:c r="J26" s="60" t="n">
        <x:v>45068.1574933661</x:v>
      </x:c>
      <x:c r="K26" s="60" t="n">
        <x:v>2569.5120037371</x:v>
      </x:c>
      <x:c r="L26" s="60" t="n">
        <x:v>44038.6682373063</x:v>
      </x:c>
      <x:c r="M26" s="60" t="n">
        <x:v>3599.0012597969</x:v>
      </x:c>
      <x:c r="N26" s="46" t="str">
        <x:v>siluriformes</x:v>
      </x:c>
      <x:c r="O26" s="62" t="n">
        <x:v>3.48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Siluriformes</x:v>
      </x:c>
      <x:c r="T26" s="62" t="n">
        <x:f>IF(O26="","",(1/'Metadata'!$B$5)^(O26-1))</x:f>
        <x:v>1684.8234138858888</x:v>
      </x:c>
      <x:c r="U26" s="60" t="n">
        <x:f>IF(T26="","",I26*T26)</x:f>
        <x:v>80261060.9516771</x:v>
      </x:c>
    </x:row>
    <x:row r="27" ht="18" customHeight="1">
      <x:c r="A27" s="46" t="str">
        <x:v>LME_032</x:v>
      </x:c>
      <x:c r="B27" s="46" t="str">
        <x:v>Arabian Sea</x:v>
      </x:c>
      <x:c r="C27" s="46" t="str">
        <x:v>LME</x:v>
      </x:c>
      <x:c r="D27" s="58" t="n">
        <x:v>2019</x:v>
      </x:c>
      <x:c r="E27" s="46" t="str">
        <x:v>Scomberoides commersonnianus</x:v>
      </x:c>
      <x:c r="F27" s="46" t="str">
        <x:v>Talang queenfish</x:v>
      </x:c>
      <x:c r="G27" s="46" t="str">
        <x:v>Large reef assoc. fish (&gt;=90 cm)</x:v>
      </x:c>
      <x:c r="H27" s="46" t="str">
        <x:v>Perch-likes</x:v>
      </x:c>
      <x:c r="I27" s="60" t="n">
        <x:v>43941.1621795168</x:v>
      </x:c>
      <x:c r="J27" s="60" t="n">
        <x:v>43941.1621795168</x:v>
      </x:c>
      <x:c r="K27" s="60" t="n">
        <x:v>0</x:v>
      </x:c>
      <x:c r="L27" s="60" t="n">
        <x:v>38485.5018726059</x:v>
      </x:c>
      <x:c r="M27" s="60" t="n">
        <x:v>5455.6603069109</x:v>
      </x:c>
      <x:c r="N27" s="46" t="str">
        <x:v>scomberoides commersonnianus</x:v>
      </x:c>
      <x:c r="O27" s="62" t="n">
        <x:v>4.48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Scomberoides commersonnianus</x:v>
      </x:c>
      <x:c r="T27" s="62" t="n">
        <x:f>IF(O27="","",(1/'Metadata'!$B$5)^(O27-1))</x:f>
        <x:v>33696.468277717824</x:v>
      </x:c>
      <x:c r="U27" s="60" t="n">
        <x:f>IF(T27="","",I27*T27)</x:f>
        <x:v>1480661977.4681423</x:v>
      </x:c>
    </x:row>
    <x:row r="28" ht="18" customHeight="1">
      <x:c r="A28" s="46" t="str">
        <x:v>LME_032</x:v>
      </x:c>
      <x:c r="B28" s="46" t="str">
        <x:v>Arabian Sea</x:v>
      </x:c>
      <x:c r="C28" s="46" t="str">
        <x:v>LME</x:v>
      </x:c>
      <x:c r="D28" s="58" t="n">
        <x:v>2019</x:v>
      </x:c>
      <x:c r="E28" s="46" t="str">
        <x:v>Stolephorus</x:v>
      </x:c>
      <x:c r="F28" s="46" t="str">
        <x:v>Garment anchovies</x:v>
      </x:c>
      <x:c r="G28" s="46" t="str">
        <x:v>Small pelagics (&lt;30 cm)</x:v>
      </x:c>
      <x:c r="H28" s="46" t="str">
        <x:v>Anchovies</x:v>
      </x:c>
      <x:c r="I28" s="60" t="n">
        <x:v>43167.411262873204</x:v>
      </x:c>
      <x:c r="J28" s="60" t="n">
        <x:v>39672.757913030204</x:v>
      </x:c>
      <x:c r="K28" s="60" t="n">
        <x:v>3494.653349843</x:v>
      </x:c>
      <x:c r="L28" s="60" t="n">
        <x:v>39672.757913030204</x:v>
      </x:c>
      <x:c r="M28" s="60" t="n">
        <x:v>3494.653349843</x:v>
      </x:c>
      <x:c r="N28" s="46" t="str">
        <x:v>stolephorus</x:v>
      </x:c>
      <x:c r="O28" s="62" t="n">
        <x:v>3.44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Stolephorus</x:v>
      </x:c>
      <x:c r="T28" s="62" t="n">
        <x:f>IF(O28="","",(1/'Metadata'!$B$5)^(O28-1))</x:f>
        <x:v>1494.5594310916586</x:v>
      </x:c>
      <x:c r="U28" s="60" t="n">
        <x:f>IF(T28="","",I28*T28)</x:f>
        <x:v>64516261.618739426</x:v>
      </x:c>
    </x:row>
    <x:row r="29" ht="18" customHeight="1">
      <x:c r="A29" s="46" t="str">
        <x:v>LME_032</x:v>
      </x:c>
      <x:c r="B29" s="46" t="str">
        <x:v>Arabian Sea</x:v>
      </x:c>
      <x:c r="C29" s="46" t="str">
        <x:v>LME</x:v>
      </x:c>
      <x:c r="D29" s="58" t="n">
        <x:v>2019</x:v>
      </x:c>
      <x:c r="E29" s="46" t="str">
        <x:v>Elasmobranchii</x:v>
      </x:c>
      <x:c r="F29" s="46" t="str">
        <x:v>Sharks, rays, skates</x:v>
      </x:c>
      <x:c r="G29" s="46" t="str">
        <x:v>Large sharks (&gt;=90 cm)</x:v>
      </x:c>
      <x:c r="H29" s="46" t="str">
        <x:v>Sharks &amp; rays</x:v>
      </x:c>
      <x:c r="I29" s="60" t="n">
        <x:v>42497.6305360087</x:v>
      </x:c>
      <x:c r="J29" s="60" t="n">
        <x:v>38103.2053508781</x:v>
      </x:c>
      <x:c r="K29" s="60" t="n">
        <x:v>4394.4251851306</x:v>
      </x:c>
      <x:c r="L29" s="60" t="n">
        <x:v>35348.1101669739</x:v>
      </x:c>
      <x:c r="M29" s="60" t="n">
        <x:v>7149.5203690348</x:v>
      </x:c>
      <x:c r="N29" s="46" t="str">
        <x:v>elasmobranchii</x:v>
      </x:c>
      <x:c r="O29" s="62" t="n">
        <x:v>4.05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Elasmobranchii</x:v>
      </x:c>
      <x:c r="T29" s="62" t="n">
        <x:f>IF(O29="","",(1/'Metadata'!$B$5)^(O29-1))</x:f>
        <x:v>9292.690797132333</x:v>
      </x:c>
      <x:c r="U29" s="60" t="n">
        <x:f>IF(T29="","",I29*T29)</x:f>
        <x:v>394917340.18189806</x:v>
      </x:c>
    </x:row>
    <x:row r="30" ht="18" customHeight="1">
      <x:c r="A30" s="46" t="str">
        <x:v>LME_032</x:v>
      </x:c>
      <x:c r="B30" s="46" t="str">
        <x:v>Arabian Sea</x:v>
      </x:c>
      <x:c r="C30" s="46" t="str">
        <x:v>LME</x:v>
      </x:c>
      <x:c r="D30" s="58" t="n">
        <x:v>2019</x:v>
      </x:c>
      <x:c r="E30" s="46" t="str">
        <x:v>Soleidae</x:v>
      </x:c>
      <x:c r="F30" s="46" t="str">
        <x:v>Soles</x:v>
      </x:c>
      <x:c r="G30" s="46" t="str">
        <x:v>Small to medium flatfishes (&lt;90 cm)</x:v>
      </x:c>
      <x:c r="H30" s="46" t="str">
        <x:v>Flatfishes</x:v>
      </x:c>
      <x:c r="I30" s="60" t="n">
        <x:v>40713.9737355251</x:v>
      </x:c>
      <x:c r="J30" s="60" t="n">
        <x:v>38235.902749776695</x:v>
      </x:c>
      <x:c r="K30" s="60" t="n">
        <x:v>2478.0709857484</x:v>
      </x:c>
      <x:c r="L30" s="60" t="n">
        <x:v>35619.4065232552</x:v>
      </x:c>
      <x:c r="M30" s="60" t="n">
        <x:v>5094.5672122699</x:v>
      </x:c>
      <x:c r="N30" s="46" t="str">
        <x:v>soleidae</x:v>
      </x:c>
      <x:c r="O30" s="62" t="n">
        <x:v>3.15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Soleidae</x:v>
      </x:c>
      <x:c r="T30" s="62" t="n">
        <x:f>IF(O30="","",(1/'Metadata'!$B$5)^(O30-1))</x:f>
        <x:v>626.9234150652317</x:v>
      </x:c>
      <x:c r="U30" s="60" t="n">
        <x:f>IF(T30="","",I30*T30)</x:f>
        <x:v>25524543.455151543</x:v>
      </x:c>
    </x:row>
    <x:row r="31" ht="18" customHeight="1">
      <x:c r="A31" s="46" t="str">
        <x:v>LME_032</x:v>
      </x:c>
      <x:c r="B31" s="46" t="str">
        <x:v>Arabian Sea</x:v>
      </x:c>
      <x:c r="C31" s="46" t="str">
        <x:v>LME</x:v>
      </x:c>
      <x:c r="D31" s="58" t="n">
        <x:v>2019</x:v>
      </x:c>
      <x:c r="E31" s="46" t="str">
        <x:v>Sphyraena</x:v>
      </x:c>
      <x:c r="F31" s="46" t="str">
        <x:v>Barracudas, sennets</x:v>
      </x:c>
      <x:c r="G31" s="46" t="str">
        <x:v>Large pelagics (&gt;=90 cm)</x:v>
      </x:c>
      <x:c r="H31" s="46" t="str">
        <x:v>Perch-likes</x:v>
      </x:c>
      <x:c r="I31" s="60" t="n">
        <x:v>40473.894674019495</x:v>
      </x:c>
      <x:c r="J31" s="60" t="n">
        <x:v>39134.2567723935</x:v>
      </x:c>
      <x:c r="K31" s="60" t="n">
        <x:v>1339.637901626</x:v>
      </x:c>
      <x:c r="L31" s="60" t="n">
        <x:v>32609.722486262897</x:v>
      </x:c>
      <x:c r="M31" s="60" t="n">
        <x:v>7864.172187756601</x:v>
      </x:c>
      <x:c r="N31" s="46" t="str">
        <x:v>sphyraena</x:v>
      </x:c>
      <x:c r="O31" s="62" t="n">
        <x:v>4.4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Sphyraena</x:v>
      </x:c>
      <x:c r="T31" s="62" t="n">
        <x:f>IF(O31="","",(1/'Metadata'!$B$5)^(O31-1))</x:f>
        <x:v>26515.632138719924</x:v>
      </x:c>
      <x:c r="U31" s="60" t="n">
        <x:f>IF(T31="","",I31*T31)</x:f>
        <x:v>1073190902.3975965</x:v>
      </x:c>
    </x:row>
    <x:row r="32" ht="18" customHeight="1">
      <x:c r="A32" s="46" t="str">
        <x:v>LME_032</x:v>
      </x:c>
      <x:c r="B32" s="46" t="str">
        <x:v>Arabian Sea</x:v>
      </x:c>
      <x:c r="C32" s="46" t="str">
        <x:v>LME</x:v>
      </x:c>
      <x:c r="D32" s="58" t="n">
        <x:v>2019</x:v>
      </x:c>
      <x:c r="E32" s="46" t="str">
        <x:v>Netuma thalassina</x:v>
      </x:c>
      <x:c r="F32" s="46" t="str">
        <x:v>Giant catfish</x:v>
      </x:c>
      <x:c r="G32" s="46" t="str">
        <x:v>Large demersals (&gt;=90 cm)</x:v>
      </x:c>
      <x:c r="H32" s="46" t="str">
        <x:v>Other fishes &amp; inverts</x:v>
      </x:c>
      <x:c r="I32" s="60" t="n">
        <x:v>39820.19000043</x:v>
      </x:c>
      <x:c r="J32" s="60" t="n">
        <x:v>25305.1435102226</x:v>
      </x:c>
      <x:c r="K32" s="60" t="n">
        <x:v>14515.0464902074</x:v>
      </x:c>
      <x:c r="L32" s="60" t="n">
        <x:v>4292.0998180712</x:v>
      </x:c>
      <x:c r="M32" s="60" t="n">
        <x:v>35528.0901823588</x:v>
      </x:c>
      <x:c r="N32" s="46" t="str">
        <x:v>netuma thalassina</x:v>
      </x:c>
      <x:c r="O32" s="62" t="n">
        <x:v>3.54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Netuma thalassina</x:v>
      </x:c>
      <x:c r="T32" s="62" t="n">
        <x:f>IF(O32="","",(1/'Metadata'!$B$5)^(O32-1))</x:f>
        <x:v>2016.5834052007342</x:v>
      </x:c>
      <x:c r="U32" s="60" t="n">
        <x:f>IF(T32="","",I32*T32)</x:f>
        <x:v>80300734.34680735</x:v>
      </x:c>
    </x:row>
    <x:row r="33" ht="18" customHeight="1">
      <x:c r="A33" s="46" t="str">
        <x:v>LME_032</x:v>
      </x:c>
      <x:c r="B33" s="46" t="str">
        <x:v>Arabian Sea</x:v>
      </x:c>
      <x:c r="C33" s="46" t="str">
        <x:v>LME</x:v>
      </x:c>
      <x:c r="D33" s="58" t="n">
        <x:v>2019</x:v>
      </x:c>
      <x:c r="E33" s="46" t="str">
        <x:v>Ariidae</x:v>
      </x:c>
      <x:c r="F33" s="46" t="str">
        <x:v>Sea catfishes, coblers</x:v>
      </x:c>
      <x:c r="G33" s="46" t="str">
        <x:v>Medium demersals (30 - 89 cm)</x:v>
      </x:c>
      <x:c r="H33" s="46" t="str">
        <x:v>Other fishes &amp; inverts</x:v>
      </x:c>
      <x:c r="I33" s="60" t="n">
        <x:v>39522.5817605995</x:v>
      </x:c>
      <x:c r="J33" s="60" t="n">
        <x:v>39358.4639418682</x:v>
      </x:c>
      <x:c r="K33" s="60" t="n">
        <x:v>164.1178187313</x:v>
      </x:c>
      <x:c r="L33" s="60" t="n">
        <x:v>23377.208090572898</x:v>
      </x:c>
      <x:c r="M33" s="60" t="n">
        <x:v>16145.3736700266</x:v>
      </x:c>
      <x:c r="N33" s="46" t="str">
        <x:v>ariidae</x:v>
      </x:c>
      <x:c r="O33" s="62" t="n">
        <x:v>3.48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Ariidae</x:v>
      </x:c>
      <x:c r="T33" s="62" t="n">
        <x:f>IF(O33="","",(1/'Metadata'!$B$5)^(O33-1))</x:f>
        <x:v>1684.8234138858888</x:v>
      </x:c>
      <x:c r="U33" s="60" t="n">
        <x:f>IF(T33="","",I33*T33)</x:f>
        <x:v>66588571.127477415</x:v>
      </x:c>
    </x:row>
    <x:row r="34" ht="18" customHeight="1">
      <x:c r="A34" s="46" t="str">
        <x:v>LME_032</x:v>
      </x:c>
      <x:c r="B34" s="46" t="str">
        <x:v>Arabian Sea</x:v>
      </x:c>
      <x:c r="C34" s="46" t="str">
        <x:v>LME</x:v>
      </x:c>
      <x:c r="D34" s="58" t="n">
        <x:v>2019</x:v>
      </x:c>
      <x:c r="E34" s="46" t="str">
        <x:v>Thryssa</x:v>
      </x:c>
      <x:c r="F34" s="46" t="str">
        <x:v>Thryssas</x:v>
      </x:c>
      <x:c r="G34" s="46" t="str">
        <x:v>Small pelagics (&lt;30 cm)</x:v>
      </x:c>
      <x:c r="H34" s="46" t="str">
        <x:v>Anchovies</x:v>
      </x:c>
      <x:c r="I34" s="60" t="n">
        <x:v>37279.243769348104</x:v>
      </x:c>
      <x:c r="J34" s="60" t="n">
        <x:v>35209.0604975205</x:v>
      </x:c>
      <x:c r="K34" s="60" t="n">
        <x:v>2070.1832718276</x:v>
      </x:c>
      <x:c r="L34" s="60" t="n">
        <x:v>34888.1946828526</x:v>
      </x:c>
      <x:c r="M34" s="60" t="n">
        <x:v>2391.0490864955</x:v>
      </x:c>
      <x:c r="N34" s="46" t="str">
        <x:v>thryssa</x:v>
      </x:c>
      <x:c r="O34" s="62" t="n">
        <x:v>3.34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Thryssa</x:v>
      </x:c>
      <x:c r="T34" s="62" t="n">
        <x:f>IF(O34="","",(1/'Metadata'!$B$5)^(O34-1))</x:f>
        <x:v>1107.6694806197092</x:v>
      </x:c>
      <x:c r="U34" s="60" t="n">
        <x:f>IF(T34="","",I34*T34)</x:f>
        <x:v>41293080.58388935</x:v>
      </x:c>
    </x:row>
    <x:row r="35" ht="18" customHeight="1">
      <x:c r="A35" s="46" t="str">
        <x:v>LME_032</x:v>
      </x:c>
      <x:c r="B35" s="46" t="str">
        <x:v>Arabian Sea</x:v>
      </x:c>
      <x:c r="C35" s="46" t="str">
        <x:v>LME</x:v>
      </x:c>
      <x:c r="D35" s="58" t="n">
        <x:v>2019</x:v>
      </x:c>
      <x:c r="E35" s="46" t="str">
        <x:v>Coryphaena hippurus</x:v>
      </x:c>
      <x:c r="F35" s="46" t="str">
        <x:v>Common dolphinfish</x:v>
      </x:c>
      <x:c r="G35" s="46" t="str">
        <x:v>Large pelagics (&gt;=90 cm)</x:v>
      </x:c>
      <x:c r="H35" s="46" t="str">
        <x:v>Perch-likes</x:v>
      </x:c>
      <x:c r="I35" s="60" t="n">
        <x:v>37268.1745783361</x:v>
      </x:c>
      <x:c r="J35" s="60" t="n">
        <x:v>36934.3304686362</x:v>
      </x:c>
      <x:c r="K35" s="60" t="n">
        <x:v>333.8441096999</x:v>
      </x:c>
      <x:c r="L35" s="60" t="n">
        <x:v>11858.4332832444</x:v>
      </x:c>
      <x:c r="M35" s="60" t="n">
        <x:v>25409.741295091702</x:v>
      </x:c>
      <x:c r="N35" s="46" t="str">
        <x:v>coryphaena hippurus</x:v>
      </x:c>
      <x:c r="O35" s="62" t="n">
        <x:v>4.37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Coryphaena hippurus</x:v>
      </x:c>
      <x:c r="T35" s="62" t="n">
        <x:f>IF(O35="","",(1/'Metadata'!$B$5)^(O35-1))</x:f>
        <x:v>24236.56596112542</x:v>
      </x:c>
      <x:c r="U35" s="60" t="n">
        <x:f>IF(T35="","",I35*T35)</x:f>
        <x:v>903252571.4185803</x:v>
      </x:c>
    </x:row>
    <x:row r="36" ht="18" customHeight="1">
      <x:c r="A36" s="46" t="str">
        <x:v>LME_032</x:v>
      </x:c>
      <x:c r="B36" s="46" t="str">
        <x:v>Arabian Sea</x:v>
      </x:c>
      <x:c r="C36" s="46" t="str">
        <x:v>LME</x:v>
      </x:c>
      <x:c r="D36" s="58" t="n">
        <x:v>2019</x:v>
      </x:c>
      <x:c r="E36" s="46" t="str">
        <x:v>Thunnus tonggol</x:v>
      </x:c>
      <x:c r="F36" s="46" t="str">
        <x:v>Longtail tuna</x:v>
      </x:c>
      <x:c r="G36" s="46" t="str">
        <x:v>Large pelagics (&gt;=90 cm)</x:v>
      </x:c>
      <x:c r="H36" s="46" t="str">
        <x:v>Tuna &amp; billfishes</x:v>
      </x:c>
      <x:c r="I36" s="60" t="n">
        <x:v>33414.7520106393</x:v>
      </x:c>
      <x:c r="J36" s="60" t="n">
        <x:v>33414.7520106393</x:v>
      </x:c>
      <x:c r="K36" s="60" t="n">
        <x:v>0</x:v>
      </x:c>
      <x:c r="L36" s="60" t="n">
        <x:v>25724.844064325902</x:v>
      </x:c>
      <x:c r="M36" s="60" t="n">
        <x:v>7689.9079463134</x:v>
      </x:c>
      <x:c r="N36" s="46" t="str">
        <x:v>thunnus tonggol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Thunnus tonggol</x:v>
      </x:c>
      <x:c r="T36" s="62" t="n">
        <x:f>IF(O36="","",(1/'Metadata'!$B$5)^(O36-1))</x:f>
        <x:v>35777.08763999664</x:v>
      </x:c>
      <x:c r="U36" s="60" t="n">
        <x:f>IF(T36="","",I36*T36)</x:f>
        <x:v>1195482511.153396</x:v>
      </x:c>
    </x:row>
    <x:row r="37" ht="18" customHeight="1">
      <x:c r="A37" s="46" t="str">
        <x:v>LME_032</x:v>
      </x:c>
      <x:c r="B37" s="46" t="str">
        <x:v>Arabian Sea</x:v>
      </x:c>
      <x:c r="C37" s="46" t="str">
        <x:v>LME</x:v>
      </x:c>
      <x:c r="D37" s="58" t="n">
        <x:v>2019</x:v>
      </x:c>
      <x:c r="E37" s="46" t="str">
        <x:v>Engraulidae</x:v>
      </x:c>
      <x:c r="F37" s="46" t="str">
        <x:v>Anchovies, round herrings</x:v>
      </x:c>
      <x:c r="G37" s="46" t="str">
        <x:v>Small pelagics (&lt;30 cm)</x:v>
      </x:c>
      <x:c r="H37" s="46" t="str">
        <x:v>Anchovies</x:v>
      </x:c>
      <x:c r="I37" s="60" t="n">
        <x:v>32631.194418032403</x:v>
      </x:c>
      <x:c r="J37" s="60" t="n">
        <x:v>30837.4083887203</x:v>
      </x:c>
      <x:c r="K37" s="60" t="n">
        <x:v>1793.7860293121</x:v>
      </x:c>
      <x:c r="L37" s="60" t="n">
        <x:v>28544.037672419403</x:v>
      </x:c>
      <x:c r="M37" s="60" t="n">
        <x:v>4087.156745613</x:v>
      </x:c>
      <x:c r="N37" s="46" t="str">
        <x:v>engraulidae</x:v>
      </x:c>
      <x:c r="O37" s="62" t="n">
        <x:v>3.2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Engraulidae</x:v>
      </x:c>
      <x:c r="T37" s="62" t="n">
        <x:f>IF(O37="","",(1/'Metadata'!$B$5)^(O37-1))</x:f>
        <x:v>728.2256812104325</x:v>
      </x:c>
      <x:c r="U37" s="60" t="n">
        <x:f>IF(T37="","",I37*T37)</x:f>
        <x:v>23762873.78378171</x:v>
      </x:c>
    </x:row>
    <x:row r="38" ht="18" customHeight="1">
      <x:c r="A38" s="46" t="str">
        <x:v>LME_032</x:v>
      </x:c>
      <x:c r="B38" s="46" t="str">
        <x:v>Arabian Sea</x:v>
      </x:c>
      <x:c r="C38" s="46" t="str">
        <x:v>LME</x:v>
      </x:c>
      <x:c r="D38" s="58" t="n">
        <x:v>2019</x:v>
      </x:c>
      <x:c r="E38" s="46" t="str">
        <x:v>Sphyraena barracuda</x:v>
      </x:c>
      <x:c r="F38" s="46" t="str">
        <x:v>Great barracuda</x:v>
      </x:c>
      <x:c r="G38" s="46" t="str">
        <x:v>Large pelagics (&gt;=90 cm)</x:v>
      </x:c>
      <x:c r="H38" s="46" t="str">
        <x:v>Perch-likes</x:v>
      </x:c>
      <x:c r="I38" s="60" t="n">
        <x:v>30840.7489412191</x:v>
      </x:c>
      <x:c r="J38" s="60" t="n">
        <x:v>30549.2407858838</x:v>
      </x:c>
      <x:c r="K38" s="60" t="n">
        <x:v>291.5081553353</x:v>
      </x:c>
      <x:c r="L38" s="60" t="n">
        <x:v>22322.7884799462</x:v>
      </x:c>
      <x:c r="M38" s="60" t="n">
        <x:v>8517.9604612729</x:v>
      </x:c>
      <x:c r="N38" s="46" t="str">
        <x:v>sphyraena barracuda</x:v>
      </x:c>
      <x:c r="O38" s="62" t="n">
        <x:v>4.49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Sphyraena barracuda</x:v>
      </x:c>
      <x:c r="T38" s="62" t="n">
        <x:f>IF(O38="","",(1/'Metadata'!$B$5)^(O38-1))</x:f>
        <x:v>34721.19667768202</x:v>
      </x:c>
      <x:c r="U38" s="60" t="n">
        <x:f>IF(T38="","",I38*T38)</x:f>
        <x:v>1070827709.6750818</x:v>
      </x:c>
    </x:row>
    <x:row r="39" ht="18" customHeight="1">
      <x:c r="A39" s="46" t="str">
        <x:v>LME_032</x:v>
      </x:c>
      <x:c r="B39" s="46" t="str">
        <x:v>Arabian Sea</x:v>
      </x:c>
      <x:c r="C39" s="46" t="str">
        <x:v>LME</x:v>
      </x:c>
      <x:c r="D39" s="58" t="n">
        <x:v>2019</x:v>
      </x:c>
      <x:c r="E39" s="46" t="str">
        <x:v>Scombridae</x:v>
      </x:c>
      <x:c r="F39" s="46" t="str">
        <x:v>Mackerels, tunas, bonitos</x:v>
      </x:c>
      <x:c r="G39" s="46" t="str">
        <x:v>Medium pelagics (30 - 89 cm)</x:v>
      </x:c>
      <x:c r="H39" s="46" t="str">
        <x:v>Perch-likes</x:v>
      </x:c>
      <x:c r="I39" s="60" t="n">
        <x:v>27457.2087055127</x:v>
      </x:c>
      <x:c r="J39" s="60" t="n">
        <x:v>26579.66330393</x:v>
      </x:c>
      <x:c r="K39" s="60" t="n">
        <x:v>877.5454015827</x:v>
      </x:c>
      <x:c r="L39" s="60" t="n">
        <x:v>16491.494286491503</x:v>
      </x:c>
      <x:c r="M39" s="60" t="n">
        <x:v>10965.7144190212</x:v>
      </x:c>
      <x:c r="N39" s="46" t="str">
        <x:v>scombridae</x:v>
      </x:c>
      <x:c r="O39" s="62" t="n">
        <x:v>4.26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Scombridae</x:v>
      </x:c>
      <x:c r="T39" s="62" t="n">
        <x:f>IF(O39="","",(1/'Metadata'!$B$5)^(O39-1))</x:f>
        <x:v>17432.42421569787</x:v>
      </x:c>
      <x:c r="U39" s="60" t="n">
        <x:f>IF(T39="","",I39*T39)</x:f>
        <x:v>478645709.9334499</x:v>
      </x:c>
    </x:row>
    <x:row r="40" ht="18" customHeight="1">
      <x:c r="A40" s="46" t="str">
        <x:v>LME_032</x:v>
      </x:c>
      <x:c r="B40" s="46" t="str">
        <x:v>Arabian Sea</x:v>
      </x:c>
      <x:c r="C40" s="46" t="str">
        <x:v>LME</x:v>
      </x:c>
      <x:c r="D40" s="58" t="n">
        <x:v>2019</x:v>
      </x:c>
      <x:c r="E40" s="46" t="str">
        <x:v>Lethrinus nebulosus</x:v>
      </x:c>
      <x:c r="F40" s="46" t="str">
        <x:v>Spangled emperor</x:v>
      </x:c>
      <x:c r="G40" s="46" t="str">
        <x:v>Medium demersals (30 - 89 cm)</x:v>
      </x:c>
      <x:c r="H40" s="46" t="str">
        <x:v>Perch-likes</x:v>
      </x:c>
      <x:c r="I40" s="60" t="n">
        <x:v>26837.7335499289</x:v>
      </x:c>
      <x:c r="J40" s="60" t="n">
        <x:v>26837.7335499289</x:v>
      </x:c>
      <x:c r="K40" s="60" t="n">
        <x:v>0</x:v>
      </x:c>
      <x:c r="L40" s="60" t="n">
        <x:v>25163.6678101481</x:v>
      </x:c>
      <x:c r="M40" s="60" t="n">
        <x:v>1674.0657397808</x:v>
      </x:c>
      <x:c r="N40" s="46" t="str">
        <x:v>lethrinus nebulosus</x:v>
      </x:c>
      <x:c r="O40" s="62" t="n">
        <x:v>3.76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Lethrinus nebulosus</x:v>
      </x:c>
      <x:c r="T40" s="62" t="n">
        <x:f>IF(O40="","",(1/'Metadata'!$B$5)^(O40-1))</x:f>
        <x:v>3898.0085558913897</x:v>
      </x:c>
      <x:c r="U40" s="60" t="n">
        <x:f>IF(T40="","",I40*T40)</x:f>
        <x:v>104613714.99835625</x:v>
      </x:c>
    </x:row>
    <x:row r="41" ht="18" customHeight="1">
      <x:c r="A41" s="46" t="str">
        <x:v>LME_032</x:v>
      </x:c>
      <x:c r="B41" s="46" t="str">
        <x:v>Arabian Sea</x:v>
      </x:c>
      <x:c r="C41" s="46" t="str">
        <x:v>LME</x:v>
      </x:c>
      <x:c r="D41" s="58" t="n">
        <x:v>2019</x:v>
      </x:c>
      <x:c r="E41" s="46" t="str">
        <x:v>Parastromateus niger</x:v>
      </x:c>
      <x:c r="F41" s="46" t="str">
        <x:v>Black pomfret</x:v>
      </x:c>
      <x:c r="G41" s="46" t="str">
        <x:v>Medium benthopelagics (30 - 89 cm)</x:v>
      </x:c>
      <x:c r="H41" s="46" t="str">
        <x:v>Perch-likes</x:v>
      </x:c>
      <x:c r="I41" s="60" t="n">
        <x:v>26280.4960242716</x:v>
      </x:c>
      <x:c r="J41" s="60" t="n">
        <x:v>26237.9368921452</x:v>
      </x:c>
      <x:c r="K41" s="60" t="n">
        <x:v>42.5591321264</x:v>
      </x:c>
      <x:c r="L41" s="60" t="n">
        <x:v>21460.3717542617</x:v>
      </x:c>
      <x:c r="M41" s="60" t="n">
        <x:v>4820.1242700099</x:v>
      </x:c>
      <x:c r="N41" s="46" t="str">
        <x:v>parastromateus niger</x:v>
      </x:c>
      <x:c r="O41" s="62" t="n">
        <x:v>2.93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Parastromateus niger</x:v>
      </x:c>
      <x:c r="T41" s="62" t="n">
        <x:f>IF(O41="","",(1/'Metadata'!$B$5)^(O41-1))</x:f>
        <x:v>324.3305747088626</x:v>
      </x:c>
      <x:c r="U41" s="60" t="n">
        <x:f>IF(T41="","",I41*T41)</x:f>
        <x:v>8523568.379185988</x:v>
      </x:c>
    </x:row>
    <x:row r="42" ht="18" customHeight="1">
      <x:c r="A42" s="46" t="str">
        <x:v>LME_032</x:v>
      </x:c>
      <x:c r="B42" s="46" t="str">
        <x:v>Arabian Sea</x:v>
      </x:c>
      <x:c r="C42" s="46" t="str">
        <x:v>LME</x:v>
      </x:c>
      <x:c r="D42" s="58" t="n">
        <x:v>2019</x:v>
      </x:c>
      <x:c r="E42" s="46" t="str">
        <x:v>Scomberomorus guttatus</x:v>
      </x:c>
      <x:c r="F42" s="46" t="str">
        <x:v>Indo-Pacific king mackerel</x:v>
      </x:c>
      <x:c r="G42" s="46" t="str">
        <x:v>Medium pelagics (30 - 89 cm)</x:v>
      </x:c>
      <x:c r="H42" s="46" t="str">
        <x:v>Perch-likes</x:v>
      </x:c>
      <x:c r="I42" s="60" t="n">
        <x:v>26024.869424465003</x:v>
      </x:c>
      <x:c r="J42" s="60" t="n">
        <x:v>26024.869424465003</x:v>
      </x:c>
      <x:c r="K42" s="60" t="n">
        <x:v>0</x:v>
      </x:c>
      <x:c r="L42" s="60" t="n">
        <x:v>24345.4314193328</x:v>
      </x:c>
      <x:c r="M42" s="60" t="n">
        <x:v>1679.4380051322</x:v>
      </x:c>
      <x:c r="N42" s="46" t="str">
        <x:v>scomberomorus guttatus</x:v>
      </x:c>
      <x:c r="O42" s="62" t="n">
        <x:v>4.28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Scomberomorus guttatus</x:v>
      </x:c>
      <x:c r="T42" s="62" t="n">
        <x:f>IF(O42="","",(1/'Metadata'!$B$5)^(O42-1))</x:f>
        <x:v>18508.805249333516</x:v>
      </x:c>
      <x:c r="U42" s="60" t="n">
        <x:f>IF(T42="","",I42*T42)</x:f>
        <x:v>481689239.8167572</x:v>
      </x:c>
    </x:row>
    <x:row r="43" ht="18" customHeight="1">
      <x:c r="A43" s="46" t="str">
        <x:v>LME_032</x:v>
      </x:c>
      <x:c r="B43" s="46" t="str">
        <x:v>Arabian Sea</x:v>
      </x:c>
      <x:c r="C43" s="46" t="str">
        <x:v>LME</x:v>
      </x:c>
      <x:c r="D43" s="58" t="n">
        <x:v>2019</x:v>
      </x:c>
      <x:c r="E43" s="46" t="str">
        <x:v>Alopias superciliosus</x:v>
      </x:c>
      <x:c r="F43" s="46" t="str">
        <x:v>Bigeye thresher</x:v>
      </x:c>
      <x:c r="G43" s="46" t="str">
        <x:v>Large sharks (&gt;=90 cm)</x:v>
      </x:c>
      <x:c r="H43" s="46" t="str">
        <x:v>Sharks &amp; rays</x:v>
      </x:c>
      <x:c r="I43" s="60" t="n">
        <x:v>25711.153310591697</x:v>
      </x:c>
      <x:c r="J43" s="60" t="n">
        <x:v>25711.153310591697</x:v>
      </x:c>
      <x:c r="K43" s="60" t="n">
        <x:v>0</x:v>
      </x:c>
      <x:c r="L43" s="60" t="n">
        <x:v>359.25095656310003</x:v>
      </x:c>
      <x:c r="M43" s="60" t="n">
        <x:v>25351.9023540286</x:v>
      </x:c>
      <x:c r="N43" s="46" t="str">
        <x:v>alopias superciliosus</x:v>
      </x:c>
      <x:c r="O43" s="62" t="n">
        <x:v>4.51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Alopias superciliosus</x:v>
      </x:c>
      <x:c r="T43" s="62" t="n">
        <x:f>IF(O43="","",(1/'Metadata'!$B$5)^(O43-1))</x:f>
        <x:v>36865.088835568684</x:v>
      </x:c>
      <x:c r="U43" s="60" t="n">
        <x:f>IF(T43="","",I43*T43)</x:f>
        <x:v>947843950.8598888</x:v>
      </x:c>
    </x:row>
    <x:row r="44" ht="18" customHeight="1">
      <x:c r="A44" s="46" t="str">
        <x:v>LME_032</x:v>
      </x:c>
      <x:c r="B44" s="46" t="str">
        <x:v>Arabian Sea</x:v>
      </x:c>
      <x:c r="C44" s="46" t="str">
        <x:v>LME</x:v>
      </x:c>
      <x:c r="D44" s="58" t="n">
        <x:v>2019</x:v>
      </x:c>
      <x:c r="E44" s="46" t="str">
        <x:v>Isurus oxyrinchus</x:v>
      </x:c>
      <x:c r="F44" s="46" t="str">
        <x:v>Shortfin mako</x:v>
      </x:c>
      <x:c r="G44" s="46" t="str">
        <x:v>Large sharks (&gt;=90 cm)</x:v>
      </x:c>
      <x:c r="H44" s="46" t="str">
        <x:v>Sharks &amp; rays</x:v>
      </x:c>
      <x:c r="I44" s="60" t="n">
        <x:v>25338.1160043816</x:v>
      </x:c>
      <x:c r="J44" s="60" t="n">
        <x:v>25338.1160043816</x:v>
      </x:c>
      <x:c r="K44" s="60" t="n">
        <x:v>0</x:v>
      </x:c>
      <x:c r="L44" s="60" t="n">
        <x:v>820.6195307218001</x:v>
      </x:c>
      <x:c r="M44" s="60" t="n">
        <x:v>24517.4964736598</x:v>
      </x:c>
      <x:c r="N44" s="46" t="str">
        <x:v>isurus oxyrinchus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Isurus oxyrinchus</x:v>
      </x:c>
      <x:c r="T44" s="62" t="n">
        <x:f>IF(O44="","",(1/'Metadata'!$B$5)^(O44-1))</x:f>
        <x:v>35777.08763999664</x:v>
      </x:c>
      <x:c r="U44" s="60" t="n">
        <x:f>IF(T44="","",I44*T44)</x:f>
        <x:v>906523996.921162</x:v>
      </x:c>
    </x:row>
    <x:row r="45" ht="18" customHeight="1">
      <x:c r="A45" s="46" t="str">
        <x:v>LME_032</x:v>
      </x:c>
      <x:c r="B45" s="46" t="str">
        <x:v>Arabian Sea</x:v>
      </x:c>
      <x:c r="C45" s="46" t="str">
        <x:v>LME</x:v>
      </x:c>
      <x:c r="D45" s="58" t="n">
        <x:v>2019</x:v>
      </x:c>
      <x:c r="E45" s="46" t="str">
        <x:v>Mugilidae</x:v>
      </x:c>
      <x:c r="F45" s="46" t="str">
        <x:v>Mullets, grey mullets</x:v>
      </x:c>
      <x:c r="G45" s="46" t="str">
        <x:v>Medium reef assoc. fish (30 - 89 cm)</x:v>
      </x:c>
      <x:c r="H45" s="46" t="str">
        <x:v>Perch-likes</x:v>
      </x:c>
      <x:c r="I45" s="60" t="n">
        <x:v>22213.1715084985</x:v>
      </x:c>
      <x:c r="J45" s="60" t="n">
        <x:v>22075.5779914634</x:v>
      </x:c>
      <x:c r="K45" s="60" t="n">
        <x:v>137.5935170351</x:v>
      </x:c>
      <x:c r="L45" s="60" t="n">
        <x:v>16574.8830408662</x:v>
      </x:c>
      <x:c r="M45" s="60" t="n">
        <x:v>5638.2884676323</x:v>
      </x:c>
      <x:c r="N45" s="46" t="str">
        <x:v>mugilidae</x:v>
      </x:c>
      <x:c r="O45" s="62" t="n">
        <x:v>2.53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Mugilidae</x:v>
      </x:c>
      <x:c r="T45" s="62" t="n">
        <x:f>IF(O45="","",(1/'Metadata'!$B$5)^(O45-1))</x:f>
        <x:v>97.8533939563155</x:v>
      </x:c>
      <x:c r="U45" s="60" t="n">
        <x:f>IF(T45="","",I45*T45)</x:f>
        <x:v>2173634.2226403067</x:v>
      </x:c>
    </x:row>
    <x:row r="46" ht="18" customHeight="1">
      <x:c r="A46" s="46" t="str">
        <x:v>LME_032</x:v>
      </x:c>
      <x:c r="B46" s="46" t="str">
        <x:v>Arabian Sea</x:v>
      </x:c>
      <x:c r="C46" s="46" t="str">
        <x:v>LME</x:v>
      </x:c>
      <x:c r="D46" s="58" t="n">
        <x:v>2019</x:v>
      </x:c>
      <x:c r="E46" s="46" t="str">
        <x:v>Thunnus obesus</x:v>
      </x:c>
      <x:c r="F46" s="46" t="str">
        <x:v>Bigeye tuna</x:v>
      </x:c>
      <x:c r="G46" s="46" t="str">
        <x:v>Large pelagics (&gt;=90 cm)</x:v>
      </x:c>
      <x:c r="H46" s="46" t="str">
        <x:v>Tuna &amp; billfishes</x:v>
      </x:c>
      <x:c r="I46" s="60" t="n">
        <x:v>22130.3281729363</x:v>
      </x:c>
      <x:c r="J46" s="60" t="n">
        <x:v>22130.3281729363</x:v>
      </x:c>
      <x:c r="K46" s="60" t="n">
        <x:v>0</x:v>
      </x:c>
      <x:c r="L46" s="60" t="n">
        <x:v>22129.3098293533</x:v>
      </x:c>
      <x:c r="M46" s="60" t="n">
        <x:v>1.018343583</x:v>
      </x:c>
      <x:c r="N46" s="46" t="str">
        <x:v>thunnus obesus</x:v>
      </x:c>
      <x:c r="O46" s="62" t="n">
        <x:v>4.49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Thunnus obesus</x:v>
      </x:c>
      <x:c r="T46" s="62" t="n">
        <x:f>IF(O46="","",(1/'Metadata'!$B$5)^(O46-1))</x:f>
        <x:v>34721.19667768202</x:v>
      </x:c>
      <x:c r="U46" s="60" t="n">
        <x:f>IF(T46="","",I46*T46)</x:f>
        <x:v>768391477.0341687</x:v>
      </x:c>
    </x:row>
    <x:row r="47" ht="18" customHeight="1">
      <x:c r="A47" s="46" t="str">
        <x:v>LME_032</x:v>
      </x:c>
      <x:c r="B47" s="46" t="str">
        <x:v>Arabian Sea</x:v>
      </x:c>
      <x:c r="C47" s="46" t="str">
        <x:v>LME</x:v>
      </x:c>
      <x:c r="D47" s="58" t="n">
        <x:v>2019</x:v>
      </x:c>
      <x:c r="E47" s="46" t="str">
        <x:v>Penaeus semisulcatus</x:v>
      </x:c>
      <x:c r="F47" s="46" t="str">
        <x:v>Green tiger prawn</x:v>
      </x:c>
      <x:c r="G47" s="46" t="str">
        <x:v>Shrimps</x:v>
      </x:c>
      <x:c r="H47" s="46" t="str">
        <x:v>Crustaceans</x:v>
      </x:c>
      <x:c r="I47" s="60" t="n">
        <x:v>20702.3987437151</x:v>
      </x:c>
      <x:c r="J47" s="60" t="n">
        <x:v>20702.3987437151</x:v>
      </x:c>
      <x:c r="K47" s="60" t="n">
        <x:v>0</x:v>
      </x:c>
      <x:c r="L47" s="60" t="n">
        <x:v>10783.3239671598</x:v>
      </x:c>
      <x:c r="M47" s="60" t="n">
        <x:v>9919.0747765553</x:v>
      </x:c>
      <x:c r="N47" s="46" t="str">
        <x:v>penaeus semisulcatus</x:v>
      </x:c>
      <x:c r="O47" s="62" t="n">
        <x:v>2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Penaeus semisulcatus</x:v>
      </x:c>
      <x:c r="T47" s="62" t="n">
        <x:f>IF(O47="","",(1/'Metadata'!$B$5)^(O47-1))</x:f>
        <x:v>20</x:v>
      </x:c>
      <x:c r="U47" s="60" t="n">
        <x:f>IF(T47="","",I47*T47)</x:f>
        <x:v>414047.97487430205</x:v>
      </x:c>
    </x:row>
    <x:row r="48" ht="18" customHeight="1">
      <x:c r="A48" s="46" t="str">
        <x:v>LME_032</x:v>
      </x:c>
      <x:c r="B48" s="46" t="str">
        <x:v>Arabian Sea</x:v>
      </x:c>
      <x:c r="C48" s="46" t="str">
        <x:v>LME</x:v>
      </x:c>
      <x:c r="D48" s="58" t="n">
        <x:v>2019</x:v>
      </x:c>
      <x:c r="E48" s="46" t="str">
        <x:v>Caranx ignobilis</x:v>
      </x:c>
      <x:c r="F48" s="46" t="str">
        <x:v>Giant trevally</x:v>
      </x:c>
      <x:c r="G48" s="46" t="str">
        <x:v>Large reef assoc. fish (&gt;=90 cm)</x:v>
      </x:c>
      <x:c r="H48" s="46" t="str">
        <x:v>Perch-likes</x:v>
      </x:c>
      <x:c r="I48" s="60" t="n">
        <x:v>19580.0758965742</x:v>
      </x:c>
      <x:c r="J48" s="60" t="n">
        <x:v>19580.0758965742</x:v>
      </x:c>
      <x:c r="K48" s="60" t="n">
        <x:v>0</x:v>
      </x:c>
      <x:c r="L48" s="60" t="n">
        <x:v>19545.432033599798</x:v>
      </x:c>
      <x:c r="M48" s="60" t="n">
        <x:v>34.6438629744</x:v>
      </x:c>
      <x:c r="N48" s="46" t="str">
        <x:v>caranx ignobilis</x:v>
      </x:c>
      <x:c r="O48" s="62" t="n">
        <x:v>4.22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Caranx ignobilis</x:v>
      </x:c>
      <x:c r="T48" s="62" t="n">
        <x:f>IF(O48="","",(1/'Metadata'!$B$5)^(O48-1))</x:f>
        <x:v>15463.812886046735</x:v>
      </x:c>
      <x:c r="U48" s="60" t="n">
        <x:f>IF(T48="","",I48*T48)</x:f>
        <x:v>302782629.9592172</x:v>
      </x:c>
    </x:row>
    <x:row r="49" ht="18" customHeight="1">
      <x:c r="A49" s="46" t="str">
        <x:v>LME_032</x:v>
      </x:c>
      <x:c r="B49" s="46" t="str">
        <x:v>Arabian Sea</x:v>
      </x:c>
      <x:c r="C49" s="46" t="str">
        <x:v>LME</x:v>
      </x:c>
      <x:c r="D49" s="58" t="n">
        <x:v>2019</x:v>
      </x:c>
      <x:c r="E49" s="46" t="str">
        <x:v>Euthynnus affinis</x:v>
      </x:c>
      <x:c r="F49" s="46" t="str">
        <x:v>Kawakawa</x:v>
      </x:c>
      <x:c r="G49" s="46" t="str">
        <x:v>Large pelagics (&gt;=90 cm)</x:v>
      </x:c>
      <x:c r="H49" s="46" t="str">
        <x:v>Tuna &amp; billfishes</x:v>
      </x:c>
      <x:c r="I49" s="60" t="n">
        <x:v>19336.7028234089</x:v>
      </x:c>
      <x:c r="J49" s="60" t="n">
        <x:v>19336.7028234089</x:v>
      </x:c>
      <x:c r="K49" s="60" t="n">
        <x:v>0</x:v>
      </x:c>
      <x:c r="L49" s="60" t="n">
        <x:v>14535.485574574599</x:v>
      </x:c>
      <x:c r="M49" s="60" t="n">
        <x:v>4801.2172488343</x:v>
      </x:c>
      <x:c r="N49" s="46" t="str">
        <x:v>euthynnus affinis</x:v>
      </x:c>
      <x:c r="O49" s="62" t="n">
        <x:v>4.5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Euthynnus affinis</x:v>
      </x:c>
      <x:c r="T49" s="62" t="n">
        <x:f>IF(O49="","",(1/'Metadata'!$B$5)^(O49-1))</x:f>
        <x:v>35777.08763999664</x:v>
      </x:c>
      <x:c r="U49" s="60" t="n">
        <x:f>IF(T49="","",I49*T49)</x:f>
        <x:v>691810911.5816706</x:v>
      </x:c>
    </x:row>
    <x:row r="50" ht="18" customHeight="1">
      <x:c r="A50" s="46" t="str">
        <x:v>LME_032</x:v>
      </x:c>
      <x:c r="B50" s="46" t="str">
        <x:v>Arabian Sea</x:v>
      </x:c>
      <x:c r="C50" s="46" t="str">
        <x:v>LME</x:v>
      </x:c>
      <x:c r="D50" s="58" t="n">
        <x:v>2019</x:v>
      </x:c>
      <x:c r="E50" s="46" t="str">
        <x:v>Chirocentrus</x:v>
      </x:c>
      <x:c r="F50" s="46" t="str">
        <x:v>Wolf herrings</x:v>
      </x:c>
      <x:c r="G50" s="46" t="str">
        <x:v>Large pelagics (&gt;=90 cm)</x:v>
      </x:c>
      <x:c r="H50" s="46" t="str">
        <x:v>Herring-likes</x:v>
      </x:c>
      <x:c r="I50" s="60" t="n">
        <x:v>17808.4238839016</x:v>
      </x:c>
      <x:c r="J50" s="60" t="n">
        <x:v>17197.4202054696</x:v>
      </x:c>
      <x:c r="K50" s="60" t="n">
        <x:v>611.003678432</x:v>
      </x:c>
      <x:c r="L50" s="60" t="n">
        <x:v>17122.357318884202</x:v>
      </x:c>
      <x:c r="M50" s="60" t="n">
        <x:v>686.0665650174</x:v>
      </x:c>
      <x:c r="N50" s="46" t="str">
        <x:v>chirocentrus</x:v>
      </x:c>
      <x:c r="O50" s="62" t="n">
        <x:v>4.3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Chirocentrus</x:v>
      </x:c>
      <x:c r="T50" s="62" t="n">
        <x:f>IF(O50="","",(1/'Metadata'!$B$5)^(O50-1))</x:f>
        <x:v>19651.648417852637</x:v>
      </x:c>
      <x:c r="U50" s="60" t="n">
        <x:f>IF(T50="","",I50*T50)</x:f>
        <x:v>349964885.042524</x:v>
      </x:c>
    </x:row>
    <x:row r="51" ht="18" customHeight="1">
      <x:c r="A51" s="46" t="str">
        <x:v>LME_032</x:v>
      </x:c>
      <x:c r="B51" s="46" t="str">
        <x:v>Arabian Sea</x:v>
      </x:c>
      <x:c r="C51" s="46" t="str">
        <x:v>LME</x:v>
      </x:c>
      <x:c r="D51" s="58" t="n">
        <x:v>2019</x:v>
      </x:c>
      <x:c r="E51" s="46" t="str">
        <x:v>Rachycentron canadum</x:v>
      </x:c>
      <x:c r="F51" s="46" t="str">
        <x:v>Cobia</x:v>
      </x:c>
      <x:c r="G51" s="46" t="str">
        <x:v>Large pelagics (&gt;=90 cm)</x:v>
      </x:c>
      <x:c r="H51" s="46" t="str">
        <x:v>Perch-likes</x:v>
      </x:c>
      <x:c r="I51" s="60" t="n">
        <x:v>17654.1943609377</x:v>
      </x:c>
      <x:c r="J51" s="60" t="n">
        <x:v>17654.1943609377</x:v>
      </x:c>
      <x:c r="K51" s="60" t="n">
        <x:v>0</x:v>
      </x:c>
      <x:c r="L51" s="60" t="n">
        <x:v>17343.4755699574</x:v>
      </x:c>
      <x:c r="M51" s="60" t="n">
        <x:v>310.7187909803</x:v>
      </x:c>
      <x:c r="N51" s="46" t="str">
        <x:v>rachycentron canadum</x:v>
      </x:c>
      <x:c r="O51" s="62" t="n">
        <x:v>3.96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Rachycentron canadum</x:v>
      </x:c>
      <x:c r="T51" s="62" t="n">
        <x:f>IF(O51="","",(1/'Metadata'!$B$5)^(O51-1))</x:f>
        <x:v>7096.574839945253</x:v>
      </x:c>
      <x:c r="U51" s="60" t="n">
        <x:f>IF(T51="","",I51*T51)</x:f>
        <x:v>125284311.52133386</x:v>
      </x:c>
    </x:row>
    <x:row r="52" ht="18" customHeight="1">
      <x:c r="A52" s="46" t="str">
        <x:v>LME_032</x:v>
      </x:c>
      <x:c r="B52" s="46" t="str">
        <x:v>Arabian Sea</x:v>
      </x:c>
      <x:c r="C52" s="46" t="str">
        <x:v>LME</x:v>
      </x:c>
      <x:c r="D52" s="58" t="n">
        <x:v>2019</x:v>
      </x:c>
      <x:c r="E52" s="46" t="str">
        <x:v>Lethrinidae</x:v>
      </x:c>
      <x:c r="F52" s="46" t="str">
        <x:v>Emperors, scavengers</x:v>
      </x:c>
      <x:c r="G52" s="46" t="str">
        <x:v>Medium reef assoc. fish (30 - 89 cm)</x:v>
      </x:c>
      <x:c r="H52" s="46" t="str">
        <x:v>Perch-likes</x:v>
      </x:c>
      <x:c r="I52" s="60" t="n">
        <x:v>17566.1944697042</x:v>
      </x:c>
      <x:c r="J52" s="60" t="n">
        <x:v>16745.9254303371</x:v>
      </x:c>
      <x:c r="K52" s="60" t="n">
        <x:v>820.2690393671</x:v>
      </x:c>
      <x:c r="L52" s="60" t="n">
        <x:v>11257.5124196422</x:v>
      </x:c>
      <x:c r="M52" s="60" t="n">
        <x:v>6308.682050062</x:v>
      </x:c>
      <x:c r="N52" s="46" t="str">
        <x:v>lethrinidae</x:v>
      </x:c>
      <x:c r="O52" s="62" t="n">
        <x:v>3.59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Lethrinidae</x:v>
      </x:c>
      <x:c r="T52" s="62" t="n">
        <x:f>IF(O52="","",(1/'Metadata'!$B$5)^(O52-1))</x:f>
        <x:v>2342.4357563948306</x:v>
      </x:c>
      <x:c r="U52" s="60" t="n">
        <x:f>IF(T52="","",I52*T52)</x:f>
        <x:v>41147682.02962025</x:v>
      </x:c>
    </x:row>
    <x:row r="53" ht="18" customHeight="1">
      <x:c r="A53" s="46" t="str">
        <x:v>LME_032</x:v>
      </x:c>
      <x:c r="B53" s="46" t="str">
        <x:v>Arabian Sea</x:v>
      </x:c>
      <x:c r="C53" s="46" t="str">
        <x:v>LME</x:v>
      </x:c>
      <x:c r="D53" s="58" t="n">
        <x:v>2019</x:v>
      </x:c>
      <x:c r="E53" s="46" t="str">
        <x:v>Sepia</x:v>
      </x:c>
      <x:c r="F53" s="46" t="str">
        <x:v>Sepia cuttlefishes</x:v>
      </x:c>
      <x:c r="G53" s="46" t="str">
        <x:v>Cephalopods</x:v>
      </x:c>
      <x:c r="H53" s="46" t="str">
        <x:v>Other fishes &amp; inverts</x:v>
      </x:c>
      <x:c r="I53" s="60" t="n">
        <x:v>16656.4226604486</x:v>
      </x:c>
      <x:c r="J53" s="60" t="n">
        <x:v>16656.4226604486</x:v>
      </x:c>
      <x:c r="K53" s="60" t="n">
        <x:v>0</x:v>
      </x:c>
      <x:c r="L53" s="60" t="n">
        <x:v>10059.3610019117</x:v>
      </x:c>
      <x:c r="M53" s="60" t="n">
        <x:v>6597.0616585369</x:v>
      </x:c>
      <x:c r="N53" s="46" t="str">
        <x:v>sepia</x:v>
      </x:c>
      <x:c r="O53" s="62" t="n">
        <x:v>3.69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Sepia</x:v>
      </x:c>
      <x:c r="T53" s="62" t="n">
        <x:f>IF(O53="","",(1/'Metadata'!$B$5)^(O53-1))</x:f>
        <x:v>3160.6083878807954</x:v>
      </x:c>
      <x:c r="U53" s="60" t="n">
        <x:f>IF(T53="","",I53*T53)</x:f>
        <x:v>52644429.1727016</x:v>
      </x:c>
    </x:row>
    <x:row r="54" ht="18" customHeight="1">
      <x:c r="A54" s="46" t="str">
        <x:v>LME_032</x:v>
      </x:c>
      <x:c r="B54" s="46" t="str">
        <x:v>Arabian Sea</x:v>
      </x:c>
      <x:c r="C54" s="46" t="str">
        <x:v>LME</x:v>
      </x:c>
      <x:c r="D54" s="58" t="n">
        <x:v>2019</x:v>
      </x:c>
      <x:c r="E54" s="46" t="str">
        <x:v>Otolithes ruber</x:v>
      </x:c>
      <x:c r="F54" s="46" t="str">
        <x:v>Tigertooth croaker</x:v>
      </x:c>
      <x:c r="G54" s="46" t="str">
        <x:v>Medium benthopelagics (30 - 89 cm)</x:v>
      </x:c>
      <x:c r="H54" s="46" t="str">
        <x:v>Perch-likes</x:v>
      </x:c>
      <x:c r="I54" s="60" t="n">
        <x:v>16570.2936860305</x:v>
      </x:c>
      <x:c r="J54" s="60" t="n">
        <x:v>16135.3615226586</x:v>
      </x:c>
      <x:c r="K54" s="60" t="n">
        <x:v>434.9321633719</x:v>
      </x:c>
      <x:c r="L54" s="60" t="n">
        <x:v>9839.9671568519</x:v>
      </x:c>
      <x:c r="M54" s="60" t="n">
        <x:v>6730.326529178601</x:v>
      </x:c>
      <x:c r="N54" s="46" t="str">
        <x:v>otolithes ruber</x:v>
      </x:c>
      <x:c r="O54" s="62" t="n">
        <x:v>3.6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Otolithes ruber</x:v>
      </x:c>
      <x:c r="T54" s="62" t="n">
        <x:f>IF(O54="","",(1/'Metadata'!$B$5)^(O54-1))</x:f>
        <x:v>2413.670534618066</x:v>
      </x:c>
      <x:c r="U54" s="60" t="n">
        <x:f>IF(T54="","",I54*T54)</x:f>
        <x:v>39995229.6199396</x:v>
      </x:c>
    </x:row>
    <x:row r="55" ht="18" customHeight="1">
      <x:c r="A55" s="46" t="str">
        <x:v>LME_032</x:v>
      </x:c>
      <x:c r="B55" s="46" t="str">
        <x:v>Arabian Sea</x:v>
      </x:c>
      <x:c r="C55" s="46" t="str">
        <x:v>LME</x:v>
      </x:c>
      <x:c r="D55" s="58" t="n">
        <x:v>2019</x:v>
      </x:c>
      <x:c r="E55" s="46" t="str">
        <x:v>Auxis thazard</x:v>
      </x:c>
      <x:c r="F55" s="46" t="str">
        <x:v>Frigate tuna</x:v>
      </x:c>
      <x:c r="G55" s="46" t="str">
        <x:v>Medium pelagics (30 - 89 cm)</x:v>
      </x:c>
      <x:c r="H55" s="46" t="str">
        <x:v>Tuna &amp; billfishes</x:v>
      </x:c>
      <x:c r="I55" s="60" t="n">
        <x:v>16143.5219502987</x:v>
      </x:c>
      <x:c r="J55" s="60" t="n">
        <x:v>16143.5219502987</x:v>
      </x:c>
      <x:c r="K55" s="60" t="n">
        <x:v>0</x:v>
      </x:c>
      <x:c r="L55" s="60" t="n">
        <x:v>13782.6293239276</x:v>
      </x:c>
      <x:c r="M55" s="60" t="n">
        <x:v>2360.8926263711</x:v>
      </x:c>
      <x:c r="N55" s="46" t="str">
        <x:v>auxis thazard</x:v>
      </x:c>
      <x:c r="O55" s="62" t="n">
        <x:v>4.37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Auxis thazard</x:v>
      </x:c>
      <x:c r="T55" s="62" t="n">
        <x:f>IF(O55="","",(1/'Metadata'!$B$5)^(O55-1))</x:f>
        <x:v>24236.56596112542</x:v>
      </x:c>
      <x:c r="U55" s="60" t="n">
        <x:f>IF(T55="","",I55*T55)</x:f>
        <x:v>391263534.5932905</x:v>
      </x:c>
    </x:row>
    <x:row r="56" ht="18" customHeight="1">
      <x:c r="A56" s="46" t="str">
        <x:v>LME_032</x:v>
      </x:c>
      <x:c r="B56" s="46" t="str">
        <x:v>Arabian Sea</x:v>
      </x:c>
      <x:c r="C56" s="46" t="str">
        <x:v>LME</x:v>
      </x:c>
      <x:c r="D56" s="58" t="n">
        <x:v>2019</x:v>
      </x:c>
      <x:c r="E56" s="46" t="str">
        <x:v>Epinephelus</x:v>
      </x:c>
      <x:c r="F56" s="46" t="str">
        <x:v>Seabasses, hinds</x:v>
      </x:c>
      <x:c r="G56" s="46" t="str">
        <x:v>Medium reef assoc. fish (30 - 89 cm)</x:v>
      </x:c>
      <x:c r="H56" s="46" t="str">
        <x:v>Perch-likes</x:v>
      </x:c>
      <x:c r="I56" s="60" t="n">
        <x:v>15164.639378659</x:v>
      </x:c>
      <x:c r="J56" s="60" t="n">
        <x:v>15164.639378659</x:v>
      </x:c>
      <x:c r="K56" s="60" t="n">
        <x:v>0</x:v>
      </x:c>
      <x:c r="L56" s="60" t="n">
        <x:v>12685.6839960088</x:v>
      </x:c>
      <x:c r="M56" s="60" t="n">
        <x:v>2478.9553826502</x:v>
      </x:c>
      <x:c r="N56" s="46" t="str">
        <x:v>epinephelus</x:v>
      </x:c>
      <x:c r="O56" s="62" t="n">
        <x:v>3.84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Epinephelus</x:v>
      </x:c>
      <x:c r="T56" s="62" t="n">
        <x:f>IF(O56="","",(1/'Metadata'!$B$5)^(O56-1))</x:f>
        <x:v>4953.648510535111</x:v>
      </x:c>
      <x:c r="U56" s="60" t="n">
        <x:f>IF(T56="","",I56*T56)</x:f>
        <x:v>75120293.27089624</x:v>
      </x:c>
    </x:row>
    <x:row r="57" ht="18" customHeight="1">
      <x:c r="A57" s="46" t="str">
        <x:v>LME_032</x:v>
      </x:c>
      <x:c r="B57" s="46" t="str">
        <x:v>Arabian Sea</x:v>
      </x:c>
      <x:c r="C57" s="46" t="str">
        <x:v>LME</x:v>
      </x:c>
      <x:c r="D57" s="58" t="n">
        <x:v>2019</x:v>
      </x:c>
      <x:c r="E57" s="46" t="str">
        <x:v>Nemipterus japonicus</x:v>
      </x:c>
      <x:c r="F57" s="46" t="str">
        <x:v>Japanese threadfin bream</x:v>
      </x:c>
      <x:c r="G57" s="46" t="str">
        <x:v>Small demersals (&lt;30 cm)</x:v>
      </x:c>
      <x:c r="H57" s="46" t="str">
        <x:v>Perch-likes</x:v>
      </x:c>
      <x:c r="I57" s="60" t="n">
        <x:v>14164.110741267299</x:v>
      </x:c>
      <x:c r="J57" s="60" t="n">
        <x:v>14080.0097578128</x:v>
      </x:c>
      <x:c r="K57" s="60" t="n">
        <x:v>84.1009834545</x:v>
      </x:c>
      <x:c r="L57" s="60" t="n">
        <x:v>8874.5930551983</x:v>
      </x:c>
      <x:c r="M57" s="60" t="n">
        <x:v>5289.517686069</x:v>
      </x:c>
      <x:c r="N57" s="46" t="str">
        <x:v>nemipterus japonicus</x:v>
      </x:c>
      <x:c r="O57" s="62" t="n">
        <x:v>3.77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Nemipterus japonicus</x:v>
      </x:c>
      <x:c r="T57" s="62" t="n">
        <x:f>IF(O57="","",(1/'Metadata'!$B$5)^(O57-1))</x:f>
        <x:v>4016.549170818885</x:v>
      </x:c>
      <x:c r="U57" s="60" t="n">
        <x:f>IF(T57="","",I57*T57)</x:f>
        <x:v>56890847.25322404</x:v>
      </x:c>
    </x:row>
    <x:row r="58" ht="18" customHeight="1">
      <x:c r="A58" s="46" t="str">
        <x:v>LME_032</x:v>
      </x:c>
      <x:c r="B58" s="46" t="str">
        <x:v>Arabian Sea</x:v>
      </x:c>
      <x:c r="C58" s="46" t="str">
        <x:v>LME</x:v>
      </x:c>
      <x:c r="D58" s="58" t="n">
        <x:v>2019</x:v>
      </x:c>
      <x:c r="E58" s="46" t="str">
        <x:v>Rhizostomeae</x:v>
      </x:c>
      <x:c r="F58" s="46" t="str">
        <x:v>Oral arm jellyfishes</x:v>
      </x:c>
      <x:c r="G58" s="46" t="str">
        <x:v>Jellyfish</x:v>
      </x:c>
      <x:c r="H58" s="46" t="str">
        <x:v>Other fishes &amp; inverts</x:v>
      </x:c>
      <x:c r="I58" s="60" t="n">
        <x:v>13295.6041304956</x:v>
      </x:c>
      <x:c r="J58" s="60" t="n">
        <x:v>13295.6041304956</x:v>
      </x:c>
      <x:c r="K58" s="60" t="n">
        <x:v>0</x:v>
      </x:c>
      <x:c r="L58" s="60" t="n">
        <x:v>0</x:v>
      </x:c>
      <x:c r="M58" s="60" t="n">
        <x:v>13295.6041304956</x:v>
      </x:c>
      <x:c r="N58" s="46" t="str">
        <x:v>rhizostomeae</x:v>
      </x:c>
      <x:c r="O58" s="62" t="n">
        <x:v>3.46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Rhizostomeae</x:v>
      </x:c>
      <x:c r="T58" s="62" t="n">
        <x:f>IF(O58="","",(1/'Metadata'!$B$5)^(O58-1))</x:f>
        <x:v>1586.8423749532276</x:v>
      </x:c>
      <x:c r="U58" s="60" t="n">
        <x:f>IF(T58="","",I58*T58)</x:f>
        <x:v>21098028.03487358</x:v>
      </x:c>
    </x:row>
    <x:row r="59" ht="18" customHeight="1">
      <x:c r="A59" s="46" t="str">
        <x:v>LME_032</x:v>
      </x:c>
      <x:c r="B59" s="46" t="str">
        <x:v>Arabian Sea</x:v>
      </x:c>
      <x:c r="C59" s="46" t="str">
        <x:v>LME</x:v>
      </x:c>
      <x:c r="D59" s="58" t="n">
        <x:v>2019</x:v>
      </x:c>
      <x:c r="E59" s="46" t="str">
        <x:v>Pampus</x:v>
      </x:c>
      <x:c r="F59" s="46" t="str">
        <x:v>Silver pomfrets</x:v>
      </x:c>
      <x:c r="G59" s="46" t="str">
        <x:v>Medium benthopelagics (30 - 89 cm)</x:v>
      </x:c>
      <x:c r="H59" s="46" t="str">
        <x:v>Perch-likes</x:v>
      </x:c>
      <x:c r="I59" s="60" t="n">
        <x:v>12893.3051865943</x:v>
      </x:c>
      <x:c r="J59" s="60" t="n">
        <x:v>12893.3051865943</x:v>
      </x:c>
      <x:c r="K59" s="60" t="n">
        <x:v>0</x:v>
      </x:c>
      <x:c r="L59" s="60" t="n">
        <x:v>12893.3051865943</x:v>
      </x:c>
      <x:c r="M59" s="60" t="n">
        <x:v>0</x:v>
      </x:c>
      <x:c r="N59" s="46" t="str">
        <x:v>pampus</x:v>
      </x:c>
      <x:c r="O59" s="62" t="n">
        <x:v>3.41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Pampus</x:v>
      </x:c>
      <x:c r="T59" s="62" t="n">
        <x:f>IF(O59="","",(1/'Metadata'!$B$5)^(O59-1))</x:f>
        <x:v>1366.0993652713958</x:v>
      </x:c>
      <x:c r="U59" s="60" t="n">
        <x:f>IF(T59="","",I59*T59)</x:f>
        <x:v>17613536.03165687</x:v>
      </x:c>
    </x:row>
    <x:row r="60" ht="18" customHeight="1">
      <x:c r="A60" s="46" t="str">
        <x:v>LME_032</x:v>
      </x:c>
      <x:c r="B60" s="46" t="str">
        <x:v>Arabian Sea</x:v>
      </x:c>
      <x:c r="C60" s="46" t="str">
        <x:v>LME</x:v>
      </x:c>
      <x:c r="D60" s="58" t="n">
        <x:v>2019</x:v>
      </x:c>
      <x:c r="E60" s="46" t="str">
        <x:v>Sardinella sindensis</x:v>
      </x:c>
      <x:c r="F60" s="46" t="str">
        <x:v>Sind sardinella</x:v>
      </x:c>
      <x:c r="G60" s="46" t="str">
        <x:v>Small pelagics (&lt;30 cm)</x:v>
      </x:c>
      <x:c r="H60" s="46" t="str">
        <x:v>Herring-likes</x:v>
      </x:c>
      <x:c r="I60" s="60" t="n">
        <x:v>12522.8035879446</x:v>
      </x:c>
      <x:c r="J60" s="60" t="n">
        <x:v>12457.3867776685</x:v>
      </x:c>
      <x:c r="K60" s="60" t="n">
        <x:v>65.4168102761</x:v>
      </x:c>
      <x:c r="L60" s="60" t="n">
        <x:v>0</x:v>
      </x:c>
      <x:c r="M60" s="60" t="n">
        <x:v>12522.8035879446</x:v>
      </x:c>
      <x:c r="N60" s="46" t="str">
        <x:v>sardinella sindensis</x:v>
      </x:c>
      <x:c r="O60" s="62" t="n">
        <x:v>2.9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Sardinella sindensis</x:v>
      </x:c>
      <x:c r="T60" s="62" t="n">
        <x:f>IF(O60="","",(1/'Metadata'!$B$5)^(O60-1))</x:f>
        <x:v>296.453779642779</x:v>
      </x:c>
      <x:c r="U60" s="60" t="n">
        <x:f>IF(T60="","",I60*T60)</x:f>
        <x:v>3712432.4553703307</x:v>
      </x:c>
    </x:row>
    <x:row r="61" ht="18" customHeight="1">
      <x:c r="A61" s="46" t="str">
        <x:v>LME_032</x:v>
      </x:c>
      <x:c r="B61" s="46" t="str">
        <x:v>Arabian Sea</x:v>
      </x:c>
      <x:c r="C61" s="46" t="str">
        <x:v>LME</x:v>
      </x:c>
      <x:c r="D61" s="58" t="n">
        <x:v>2019</x:v>
      </x:c>
      <x:c r="E61" s="46" t="str">
        <x:v>Sparidae</x:v>
      </x:c>
      <x:c r="F61" s="46" t="str">
        <x:v>Porgies, seabreams</x:v>
      </x:c>
      <x:c r="G61" s="46" t="str">
        <x:v>Medium benthopelagics (30 - 89 cm)</x:v>
      </x:c>
      <x:c r="H61" s="46" t="str">
        <x:v>Perch-likes</x:v>
      </x:c>
      <x:c r="I61" s="60" t="n">
        <x:v>12499.482958135999</x:v>
      </x:c>
      <x:c r="J61" s="60" t="n">
        <x:v>12243.0317485939</x:v>
      </x:c>
      <x:c r="K61" s="60" t="n">
        <x:v>256.4512095421</x:v>
      </x:c>
      <x:c r="L61" s="60" t="n">
        <x:v>7084.7384862012</x:v>
      </x:c>
      <x:c r="M61" s="60" t="n">
        <x:v>5414.7444719348005</x:v>
      </x:c>
      <x:c r="N61" s="46" t="str">
        <x:v>sparidae</x:v>
      </x:c>
      <x:c r="O61" s="62" t="n">
        <x:v>3.31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Sparidae</x:v>
      </x:c>
      <x:c r="T61" s="62" t="n">
        <x:f>IF(O61="","",(1/'Metadata'!$B$5)^(O61-1))</x:f>
        <x:v>1012.4633005057666</x:v>
      </x:c>
      <x:c r="U61" s="60" t="n">
        <x:f>IF(T61="","",I61*T61)</x:f>
        <x:v>12655267.770409957</x:v>
      </x:c>
    </x:row>
    <x:row r="62" ht="18" customHeight="1">
      <x:c r="A62" s="46" t="str">
        <x:v>LME_032</x:v>
      </x:c>
      <x:c r="B62" s="46" t="str">
        <x:v>Arabian Sea</x:v>
      </x:c>
      <x:c r="C62" s="46" t="str">
        <x:v>LME</x:v>
      </x:c>
      <x:c r="D62" s="58" t="n">
        <x:v>2019</x:v>
      </x:c>
      <x:c r="E62" s="46" t="str">
        <x:v>Leiognathidae</x:v>
      </x:c>
      <x:c r="F62" s="46" t="str">
        <x:v>Slipmouths, ponyfishes</x:v>
      </x:c>
      <x:c r="G62" s="46" t="str">
        <x:v>Small benthopelagics (&lt;30 cm)</x:v>
      </x:c>
      <x:c r="H62" s="46" t="str">
        <x:v>Perch-likes</x:v>
      </x:c>
      <x:c r="I62" s="60" t="n">
        <x:v>12368.060038965601</x:v>
      </x:c>
      <x:c r="J62" s="60" t="n">
        <x:v>10401.3162592493</x:v>
      </x:c>
      <x:c r="K62" s="60" t="n">
        <x:v>1966.7437797163002</x:v>
      </x:c>
      <x:c r="L62" s="60" t="n">
        <x:v>6132.3852155492</x:v>
      </x:c>
      <x:c r="M62" s="60" t="n">
        <x:v>6235.674823416401</x:v>
      </x:c>
      <x:c r="N62" s="46" t="str">
        <x:v>leiognathidae</x:v>
      </x:c>
      <x:c r="O62" s="62" t="n">
        <x:v>3.24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Leiognathidae</x:v>
      </x:c>
      <x:c r="T62" s="62" t="n">
        <x:f>IF(O62="","",(1/'Metadata'!$B$5)^(O62-1))</x:f>
        <x:v>820.9320103116679</x:v>
      </x:c>
      <x:c r="U62" s="60" t="n">
        <x:f>IF(T62="","",I62*T62)</x:f>
        <x:v>10153336.391443437</x:v>
      </x:c>
    </x:row>
    <x:row r="63" ht="18" customHeight="1">
      <x:c r="A63" s="46" t="str">
        <x:v>LME_032</x:v>
      </x:c>
      <x:c r="B63" s="46" t="str">
        <x:v>Arabian Sea</x:v>
      </x:c>
      <x:c r="C63" s="46" t="str">
        <x:v>LME</x:v>
      </x:c>
      <x:c r="D63" s="58" t="n">
        <x:v>2019</x:v>
      </x:c>
      <x:c r="E63" s="46" t="str">
        <x:v>Mullidae</x:v>
      </x:c>
      <x:c r="F63" s="46" t="str">
        <x:v>Goatfishes</x:v>
      </x:c>
      <x:c r="G63" s="46" t="str">
        <x:v>Medium reef assoc. fish (30 - 89 cm)</x:v>
      </x:c>
      <x:c r="H63" s="46" t="str">
        <x:v>Perch-likes</x:v>
      </x:c>
      <x:c r="I63" s="60" t="n">
        <x:v>12162.7222768532</x:v>
      </x:c>
      <x:c r="J63" s="60" t="n">
        <x:v>11776.4557339148</x:v>
      </x:c>
      <x:c r="K63" s="60" t="n">
        <x:v>386.2665429384</x:v>
      </x:c>
      <x:c r="L63" s="60" t="n">
        <x:v>8929.6084852749</x:v>
      </x:c>
      <x:c r="M63" s="60" t="n">
        <x:v>3233.1137915783</x:v>
      </x:c>
      <x:c r="N63" s="46" t="str">
        <x:v>mullidae</x:v>
      </x:c>
      <x:c r="O63" s="62" t="n">
        <x:v>3.46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Mullidae</x:v>
      </x:c>
      <x:c r="T63" s="62" t="n">
        <x:f>IF(O63="","",(1/'Metadata'!$B$5)^(O63-1))</x:f>
        <x:v>1586.8423749532276</x:v>
      </x:c>
      <x:c r="U63" s="60" t="n">
        <x:f>IF(T63="","",I63*T63)</x:f>
        <x:v>19300323.103698257</x:v>
      </x:c>
    </x:row>
    <x:row r="64" ht="18" customHeight="1">
      <x:c r="A64" s="46" t="str">
        <x:v>LME_032</x:v>
      </x:c>
      <x:c r="B64" s="46" t="str">
        <x:v>Arabian Sea</x:v>
      </x:c>
      <x:c r="C64" s="46" t="str">
        <x:v>LME</x:v>
      </x:c>
      <x:c r="D64" s="58" t="n">
        <x:v>2019</x:v>
      </x:c>
      <x:c r="E64" s="46" t="str">
        <x:v>Portunus pelagicus</x:v>
      </x:c>
      <x:c r="F64" s="46" t="str">
        <x:v>Blue swimming crab</x:v>
      </x:c>
      <x:c r="G64" s="46" t="str">
        <x:v>Lobsters, crabs</x:v>
      </x:c>
      <x:c r="H64" s="46" t="str">
        <x:v>Crustaceans</x:v>
      </x:c>
      <x:c r="I64" s="60" t="n">
        <x:v>11587.998194488999</x:v>
      </x:c>
      <x:c r="J64" s="60" t="n">
        <x:v>11587.998194488999</x:v>
      </x:c>
      <x:c r="K64" s="60" t="n">
        <x:v>0</x:v>
      </x:c>
      <x:c r="L64" s="60" t="n">
        <x:v>5084.7286888605995</x:v>
      </x:c>
      <x:c r="M64" s="60" t="n">
        <x:v>6503.2695056284</x:v>
      </x:c>
      <x:c r="N64" s="46" t="str">
        <x:v>portunus pelagicus</x:v>
      </x:c>
      <x:c r="O64" s="62" t="n">
        <x:v>2.48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Portunus pelagicus</x:v>
      </x:c>
      <x:c r="T64" s="62" t="n">
        <x:f>IF(O64="","",(1/'Metadata'!$B$5)^(O64-1))</x:f>
        <x:v>84.24117069429444</x:v>
      </x:c>
      <x:c r="U64" s="60" t="n">
        <x:f>IF(T64="","",I64*T64)</x:f>
        <x:v>976186.5339071235</x:v>
      </x:c>
    </x:row>
    <x:row r="65" ht="18" customHeight="1">
      <x:c r="A65" s="46" t="str">
        <x:v>LME_032</x:v>
      </x:c>
      <x:c r="B65" s="46" t="str">
        <x:v>Arabian Sea</x:v>
      </x:c>
      <x:c r="C65" s="46" t="str">
        <x:v>LME</x:v>
      </x:c>
      <x:c r="D65" s="58" t="n">
        <x:v>2019</x:v>
      </x:c>
      <x:c r="E65" s="46" t="str">
        <x:v>Epinephelus coioides</x:v>
      </x:c>
      <x:c r="F65" s="46" t="str">
        <x:v>Orange-spotted grouper</x:v>
      </x:c>
      <x:c r="G65" s="46" t="str">
        <x:v>Large reef assoc. fish (&gt;=90 cm)</x:v>
      </x:c>
      <x:c r="H65" s="46" t="str">
        <x:v>Perch-likes</x:v>
      </x:c>
      <x:c r="I65" s="60" t="n">
        <x:v>11581.6270094666</x:v>
      </x:c>
      <x:c r="J65" s="60" t="n">
        <x:v>11581.6270094666</x:v>
      </x:c>
      <x:c r="K65" s="60" t="n">
        <x:v>0</x:v>
      </x:c>
      <x:c r="L65" s="60" t="n">
        <x:v>10934.6861973071</x:v>
      </x:c>
      <x:c r="M65" s="60" t="n">
        <x:v>646.9408121595</x:v>
      </x:c>
      <x:c r="N65" s="46" t="str">
        <x:v>epinephelus coioides</x:v>
      </x:c>
      <x:c r="O65" s="62" t="n">
        <x:v>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Epinephelus coioides</x:v>
      </x:c>
      <x:c r="T65" s="62" t="n">
        <x:f>IF(O65="","",(1/'Metadata'!$B$5)^(O65-1))</x:f>
        <x:v>8000</x:v>
      </x:c>
      <x:c r="U65" s="60" t="n">
        <x:f>IF(T65="","",I65*T65)</x:f>
        <x:v>92653016.0757328</x:v>
      </x:c>
    </x:row>
    <x:row r="66" ht="18" customHeight="1">
      <x:c r="A66" s="46" t="str">
        <x:v>LME_032</x:v>
      </x:c>
      <x:c r="B66" s="46" t="str">
        <x:v>Arabian Sea</x:v>
      </x:c>
      <x:c r="C66" s="46" t="str">
        <x:v>LME</x:v>
      </x:c>
      <x:c r="D66" s="58" t="n">
        <x:v>2019</x:v>
      </x:c>
      <x:c r="E66" s="46" t="str">
        <x:v>Siganidae</x:v>
      </x:c>
      <x:c r="F66" s="46" t="str">
        <x:v>Rabbitfishes</x:v>
      </x:c>
      <x:c r="G66" s="46" t="str">
        <x:v>Medium reef assoc. fish (30 - 89 cm)</x:v>
      </x:c>
      <x:c r="H66" s="46" t="str">
        <x:v>Perch-likes</x:v>
      </x:c>
      <x:c r="I66" s="60" t="n">
        <x:v>11511.6699557431</x:v>
      </x:c>
      <x:c r="J66" s="60" t="n">
        <x:v>11453.6827165665</x:v>
      </x:c>
      <x:c r="K66" s="60" t="n">
        <x:v>57.9872391766</x:v>
      </x:c>
      <x:c r="L66" s="60" t="n">
        <x:v>4719.709531559</x:v>
      </x:c>
      <x:c r="M66" s="60" t="n">
        <x:v>6791.9604241841</x:v>
      </x:c>
      <x:c r="N66" s="46" t="str">
        <x:v>siganidae</x:v>
      </x:c>
      <x:c r="O66" s="62" t="n">
        <x:v>2.11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Siganidae</x:v>
      </x:c>
      <x:c r="T66" s="62" t="n">
        <x:f>IF(O66="","",(1/'Metadata'!$B$5)^(O66-1))</x:f>
        <x:v>27.80630583702799</x:v>
      </x:c>
      <x:c r="U66" s="60" t="n">
        <x:f>IF(T66="","",I66*T66)</x:f>
        <x:v>320097.01548431907</x:v>
      </x:c>
    </x:row>
    <x:row r="67" ht="18" customHeight="1">
      <x:c r="A67" s="46" t="str">
        <x:v>LME_032</x:v>
      </x:c>
      <x:c r="B67" s="46" t="str">
        <x:v>Arabian Sea</x:v>
      </x:c>
      <x:c r="C67" s="46" t="str">
        <x:v>LME</x:v>
      </x:c>
      <x:c r="D67" s="58" t="n">
        <x:v>2019</x:v>
      </x:c>
      <x:c r="E67" s="46" t="str">
        <x:v>Batoidea</x:v>
      </x:c>
      <x:c r="F67" s="46" t="str">
        <x:v>Batoids, skates, rays, sawfishes</x:v>
      </x:c>
      <x:c r="G67" s="46" t="str">
        <x:v>Large rays (&gt;=90 cm)</x:v>
      </x:c>
      <x:c r="H67" s="46" t="str">
        <x:v>Sharks &amp; rays</x:v>
      </x:c>
      <x:c r="I67" s="60" t="n">
        <x:v>10916.374918167</x:v>
      </x:c>
      <x:c r="J67" s="60" t="n">
        <x:v>10359.4261256456</x:v>
      </x:c>
      <x:c r="K67" s="60" t="n">
        <x:v>556.9487925214</x:v>
      </x:c>
      <x:c r="L67" s="60" t="n">
        <x:v>9907.5281451328</x:v>
      </x:c>
      <x:c r="M67" s="60" t="n">
        <x:v>1008.8467730342</x:v>
      </x:c>
      <x:c r="N67" s="46" t="str">
        <x:v>batoidea</x:v>
      </x:c>
      <x:c r="O67" s="62" t="n">
        <x:v>3.72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Batoidea</x:v>
      </x:c>
      <x:c r="T67" s="62" t="n">
        <x:f>IF(O67="","",(1/'Metadata'!$B$5)^(O67-1))</x:f>
        <x:v>3457.8136804537753</x:v>
      </x:c>
      <x:c r="U67" s="60" t="n">
        <x:f>IF(T67="","",I67*T67)</x:f>
        <x:v>37746790.53300031</x:v>
      </x:c>
    </x:row>
    <x:row r="68" ht="18" customHeight="1">
      <x:c r="A68" s="46" t="str">
        <x:v>LME_032</x:v>
      </x:c>
      <x:c r="B68" s="46" t="str">
        <x:v>Arabian Sea</x:v>
      </x:c>
      <x:c r="C68" s="46" t="str">
        <x:v>LME</x:v>
      </x:c>
      <x:c r="D68" s="58" t="n">
        <x:v>2019</x:v>
      </x:c>
      <x:c r="E68" s="46" t="str">
        <x:v>Nematalosa nasus</x:v>
      </x:c>
      <x:c r="F68" s="46" t="str">
        <x:v>Bloch's gizzard shad</x:v>
      </x:c>
      <x:c r="G68" s="46" t="str">
        <x:v>Small pelagics (&lt;30 cm)</x:v>
      </x:c>
      <x:c r="H68" s="46" t="str">
        <x:v>Herring-likes</x:v>
      </x:c>
      <x:c r="I68" s="60" t="n">
        <x:v>10576.3247043267</x:v>
      </x:c>
      <x:c r="J68" s="60" t="n">
        <x:v>9921.0855099612</x:v>
      </x:c>
      <x:c r="K68" s="60" t="n">
        <x:v>655.2391943655</x:v>
      </x:c>
      <x:c r="L68" s="60" t="n">
        <x:v>486.3166495562</x:v>
      </x:c>
      <x:c r="M68" s="60" t="n">
        <x:v>10090.0080547705</x:v>
      </x:c>
      <x:c r="N68" s="46" t="str">
        <x:v>nematalosa nasus</x:v>
      </x:c>
      <x:c r="O68" s="62" t="n">
        <x:v>2.67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Nematalosa nasus</x:v>
      </x:c>
      <x:c r="T68" s="62" t="n">
        <x:f>IF(O68="","",(1/'Metadata'!$B$5)^(O68-1))</x:f>
        <x:v>148.84014785129105</x:v>
      </x:c>
      <x:c r="U68" s="60" t="n">
        <x:f>IF(T68="","",I68*T68)</x:f>
        <x:v>1574181.7327152481</x:v>
      </x:c>
    </x:row>
    <x:row r="69" ht="18" customHeight="1">
      <x:c r="A69" s="46" t="str">
        <x:v>LME_032</x:v>
      </x:c>
      <x:c r="B69" s="46" t="str">
        <x:v>Arabian Sea</x:v>
      </x:c>
      <x:c r="C69" s="46" t="str">
        <x:v>LME</x:v>
      </x:c>
      <x:c r="D69" s="58" t="n">
        <x:v>2019</x:v>
      </x:c>
      <x:c r="E69" s="46" t="str">
        <x:v>Istiophorus platypterus</x:v>
      </x:c>
      <x:c r="F69" s="46" t="str">
        <x:v>Indo-Pacific sailfish</x:v>
      </x:c>
      <x:c r="G69" s="46" t="str">
        <x:v>Large pelagics (&gt;=90 cm)</x:v>
      </x:c>
      <x:c r="H69" s="46" t="str">
        <x:v>Tuna &amp; billfishes</x:v>
      </x:c>
      <x:c r="I69" s="60" t="n">
        <x:v>10466.4839321873</x:v>
      </x:c>
      <x:c r="J69" s="60" t="n">
        <x:v>10466.4839321873</x:v>
      </x:c>
      <x:c r="K69" s="60" t="n">
        <x:v>0</x:v>
      </x:c>
      <x:c r="L69" s="60" t="n">
        <x:v>8897.3263449663</x:v>
      </x:c>
      <x:c r="M69" s="60" t="n">
        <x:v>1569.1575872209999</x:v>
      </x:c>
      <x:c r="N69" s="46" t="str">
        <x:v>istiophorus platypterus</x:v>
      </x:c>
      <x:c r="O69" s="62" t="n">
        <x:v>4.5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Istiophorus platypterus</x:v>
      </x:c>
      <x:c r="T69" s="62" t="n">
        <x:f>IF(O69="","",(1/'Metadata'!$B$5)^(O69-1))</x:f>
        <x:v>35777.08763999664</x:v>
      </x:c>
      <x:c r="U69" s="60" t="n">
        <x:f>IF(T69="","",I69*T69)</x:f>
        <x:v>374460312.9244817</x:v>
      </x:c>
    </x:row>
    <x:row r="70" ht="18" customHeight="1">
      <x:c r="A70" s="46" t="str">
        <x:v>LME_032</x:v>
      </x:c>
      <x:c r="B70" s="46" t="str">
        <x:v>Arabian Sea</x:v>
      </x:c>
      <x:c r="C70" s="46" t="str">
        <x:v>LME</x:v>
      </x:c>
      <x:c r="D70" s="58" t="n">
        <x:v>2019</x:v>
      </x:c>
      <x:c r="E70" s="46" t="str">
        <x:v>Pomadasys kaakan</x:v>
      </x:c>
      <x:c r="F70" s="46" t="str">
        <x:v>Javelin grunter</x:v>
      </x:c>
      <x:c r="G70" s="46" t="str">
        <x:v>Medium reef assoc. fish (30 - 89 cm)</x:v>
      </x:c>
      <x:c r="H70" s="46" t="str">
        <x:v>Perch-likes</x:v>
      </x:c>
      <x:c r="I70" s="60" t="n">
        <x:v>10463.577711186199</x:v>
      </x:c>
      <x:c r="J70" s="60" t="n">
        <x:v>10463.577711186199</x:v>
      </x:c>
      <x:c r="K70" s="60" t="n">
        <x:v>0</x:v>
      </x:c>
      <x:c r="L70" s="60" t="n">
        <x:v>8800.1130854537</x:v>
      </x:c>
      <x:c r="M70" s="60" t="n">
        <x:v>1663.4646257325</x:v>
      </x:c>
      <x:c r="N70" s="46" t="str">
        <x:v>pomadasys kaakan</x:v>
      </x:c>
      <x:c r="O70" s="62" t="n">
        <x:v>3.46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Pomadasys kaakan</x:v>
      </x:c>
      <x:c r="T70" s="62" t="n">
        <x:f>IF(O70="","",(1/'Metadata'!$B$5)^(O70-1))</x:f>
        <x:v>1586.8423749532276</x:v>
      </x:c>
      <x:c r="U70" s="60" t="n">
        <x:f>IF(T70="","",I70*T70)</x:f>
        <x:v>16604048.505726365</x:v>
      </x:c>
    </x:row>
    <x:row r="71" ht="18" customHeight="1">
      <x:c r="A71" s="46" t="str">
        <x:v>LME_032</x:v>
      </x:c>
      <x:c r="B71" s="46" t="str">
        <x:v>Arabian Sea</x:v>
      </x:c>
      <x:c r="C71" s="46" t="str">
        <x:v>LME</x:v>
      </x:c>
      <x:c r="D71" s="58" t="n">
        <x:v>2019</x:v>
      </x:c>
      <x:c r="E71" s="46" t="str">
        <x:v>Lutjanus johnii</x:v>
      </x:c>
      <x:c r="F71" s="46" t="str">
        <x:v>John's snapper</x:v>
      </x:c>
      <x:c r="G71" s="46" t="str">
        <x:v>Medium reef assoc. fish (30 - 89 cm)</x:v>
      </x:c>
      <x:c r="H71" s="46" t="str">
        <x:v>Perch-likes</x:v>
      </x:c>
      <x:c r="I71" s="60" t="n">
        <x:v>10422.420300416099</x:v>
      </x:c>
      <x:c r="J71" s="60" t="n">
        <x:v>10422.420300416099</x:v>
      </x:c>
      <x:c r="K71" s="60" t="n">
        <x:v>0</x:v>
      </x:c>
      <x:c r="L71" s="60" t="n">
        <x:v>6696.2153119546</x:v>
      </x:c>
      <x:c r="M71" s="60" t="n">
        <x:v>3726.2049884615</x:v>
      </x:c>
      <x:c r="N71" s="46" t="str">
        <x:v>lutjanus johnii</x:v>
      </x:c>
      <x:c r="O71" s="62" t="n">
        <x:v>4.2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Lutjanus johnii</x:v>
      </x:c>
      <x:c r="T71" s="62" t="n">
        <x:f>IF(O71="","",(1/'Metadata'!$B$5)^(O71-1))</x:f>
        <x:v>14564.51362420865</x:v>
      </x:c>
      <x:c r="U71" s="60" t="n">
        <x:f>IF(T71="","",I71*T71)</x:f>
        <x:v>151797482.4626391</x:v>
      </x:c>
    </x:row>
    <x:row r="72" ht="18" customHeight="1">
      <x:c r="A72" s="46" t="str">
        <x:v>LME_032</x:v>
      </x:c>
      <x:c r="B72" s="46" t="str">
        <x:v>Arabian Sea</x:v>
      </x:c>
      <x:c r="C72" s="46" t="str">
        <x:v>LME</x:v>
      </x:c>
      <x:c r="D72" s="58" t="n">
        <x:v>2019</x:v>
      </x:c>
      <x:c r="E72" s="46" t="str">
        <x:v>Scomberoides</x:v>
      </x:c>
      <x:c r="F72" s="46" t="str">
        <x:v>Queenfishes</x:v>
      </x:c>
      <x:c r="G72" s="46" t="str">
        <x:v>Medium pelagics (30 - 89 cm)</x:v>
      </x:c>
      <x:c r="H72" s="46" t="str">
        <x:v>Perch-likes</x:v>
      </x:c>
      <x:c r="I72" s="60" t="n">
        <x:v>10329.157563692901</x:v>
      </x:c>
      <x:c r="J72" s="60" t="n">
        <x:v>10329.157563692901</x:v>
      </x:c>
      <x:c r="K72" s="60" t="n">
        <x:v>0</x:v>
      </x:c>
      <x:c r="L72" s="60" t="n">
        <x:v>9830.464977665</x:v>
      </x:c>
      <x:c r="M72" s="60" t="n">
        <x:v>498.6925860279</x:v>
      </x:c>
      <x:c r="N72" s="46" t="str">
        <x:v>scomberoides</x:v>
      </x:c>
      <x:c r="O72" s="62" t="n">
        <x:v>4.47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Scomberoides</x:v>
      </x:c>
      <x:c r="T72" s="62" t="n">
        <x:f>IF(O72="","",(1/'Metadata'!$B$5)^(O72-1))</x:f>
        <x:v>32701.982737855422</x:v>
      </x:c>
      <x:c r="U72" s="60" t="n">
        <x:f>IF(T72="","",I72*T72)</x:f>
        <x:v>337783932.344474</x:v>
      </x:c>
    </x:row>
    <x:row r="73" ht="18" customHeight="1">
      <x:c r="A73" s="46" t="str">
        <x:v>LME_032</x:v>
      </x:c>
      <x:c r="B73" s="46" t="str">
        <x:v>Arabian Sea</x:v>
      </x:c>
      <x:c r="C73" s="46" t="str">
        <x:v>LME</x:v>
      </x:c>
      <x:c r="D73" s="58" t="n">
        <x:v>2019</x:v>
      </x:c>
      <x:c r="E73" s="46" t="str">
        <x:v>Scomberoides lysan</x:v>
      </x:c>
      <x:c r="F73" s="46" t="str">
        <x:v>Doublespotted queenfish</x:v>
      </x:c>
      <x:c r="G73" s="46" t="str">
        <x:v>Medium reef assoc. fish (30 - 89 cm)</x:v>
      </x:c>
      <x:c r="H73" s="46" t="str">
        <x:v>Perch-likes</x:v>
      </x:c>
      <x:c r="I73" s="60" t="n">
        <x:v>10036.3737138284</x:v>
      </x:c>
      <x:c r="J73" s="60" t="n">
        <x:v>9876.9092888882</x:v>
      </x:c>
      <x:c r="K73" s="60" t="n">
        <x:v>159.46442494020002</x:v>
      </x:c>
      <x:c r="L73" s="60" t="n">
        <x:v>1845.6476098008</x:v>
      </x:c>
      <x:c r="M73" s="60" t="n">
        <x:v>8190.7261040276</x:v>
      </x:c>
      <x:c r="N73" s="46" t="str">
        <x:v>scomberoides lysan</x:v>
      </x:c>
      <x:c r="O73" s="62" t="n">
        <x:v>4.38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Scomberoides lysan</x:v>
      </x:c>
      <x:c r="T73" s="62" t="n">
        <x:f>IF(O73="","",(1/'Metadata'!$B$5)^(O73-1))</x:f>
        <x:v>24973.6134538561</x:v>
      </x:c>
      <x:c r="U73" s="60" t="n">
        <x:f>IF(T73="","",I73*T73)</x:f>
        <x:v>250644517.6075926</x:v>
      </x:c>
    </x:row>
    <x:row r="74" ht="18" customHeight="1">
      <x:c r="A74" s="46" t="str">
        <x:v>LME_032</x:v>
      </x:c>
      <x:c r="B74" s="46" t="str">
        <x:v>Arabian Sea</x:v>
      </x:c>
      <x:c r="C74" s="46" t="str">
        <x:v>LME</x:v>
      </x:c>
      <x:c r="D74" s="58" t="n">
        <x:v>2019</x:v>
      </x:c>
      <x:c r="E74" s="46" t="str">
        <x:v>Anodontostoma chacunda</x:v>
      </x:c>
      <x:c r="F74" s="46" t="str">
        <x:v>Chacunda gizzard shad</x:v>
      </x:c>
      <x:c r="G74" s="46" t="str">
        <x:v>Small pelagics (&lt;30 cm)</x:v>
      </x:c>
      <x:c r="H74" s="46" t="str">
        <x:v>Herring-likes</x:v>
      </x:c>
      <x:c r="I74" s="60" t="n">
        <x:v>10024.2634246497</x:v>
      </x:c>
      <x:c r="J74" s="60" t="n">
        <x:v>10024.2634246497</x:v>
      </x:c>
      <x:c r="K74" s="60" t="n">
        <x:v>0</x:v>
      </x:c>
      <x:c r="L74" s="60" t="n">
        <x:v>307.0073947714</x:v>
      </x:c>
      <x:c r="M74" s="60" t="n">
        <x:v>9717.2560298783</x:v>
      </x:c>
      <x:c r="N74" s="46" t="str">
        <x:v>anodontostoma chacunda</x:v>
      </x:c>
      <x:c r="O74" s="62" t="n">
        <x:v>2.84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Anodontostoma chacunda</x:v>
      </x:c>
      <x:c r="T74" s="62" t="n">
        <x:f>IF(O74="","",(1/'Metadata'!$B$5)^(O74-1))</x:f>
        <x:v>247.68242552675557</x:v>
      </x:c>
      <x:c r="U74" s="60" t="n">
        <x:f>IF(T74="","",I74*T74)</x:f>
        <x:v>2482833.879136379</x:v>
      </x:c>
    </x:row>
    <x:row r="75" ht="18" customHeight="1">
      <x:c r="A75" s="46" t="str">
        <x:v>LME_032</x:v>
      </x:c>
      <x:c r="B75" s="46" t="str">
        <x:v>Arabian Sea</x:v>
      </x:c>
      <x:c r="C75" s="46" t="str">
        <x:v>LME</x:v>
      </x:c>
      <x:c r="D75" s="58" t="n">
        <x:v>2019</x:v>
      </x:c>
      <x:c r="E75" s="46" t="str">
        <x:v>Pteriomorphia</x:v>
      </x:c>
      <x:c r="F75" s="46" t="str">
        <x:v>Clams, cockles, arkshells</x:v>
      </x:c>
      <x:c r="G75" s="46" t="str">
        <x:v>Other demersal invertebrates</x:v>
      </x:c>
      <x:c r="H75" s="46" t="str">
        <x:v>Molluscs</x:v>
      </x:c>
      <x:c r="I75" s="60" t="n">
        <x:v>9823.3010831509</x:v>
      </x:c>
      <x:c r="J75" s="60" t="n">
        <x:v>9823.3010831509</x:v>
      </x:c>
      <x:c r="K75" s="60" t="n">
        <x:v>0</x:v>
      </x:c>
      <x:c r="L75" s="60" t="n">
        <x:v>0</x:v>
      </x:c>
      <x:c r="M75" s="60" t="n">
        <x:v>9823.3010831509</x:v>
      </x:c>
      <x:c r="N75" s="46" t="str">
        <x:v>pteriomorphia</x:v>
      </x:c>
      <x:c r="O75" s="62" t="n">
        <x:v>2.27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Pteriomorphia</x:v>
      </x:c>
      <x:c r="T75" s="62" t="n">
        <x:f>IF(O75="","",(1/'Metadata'!$B$5)^(O75-1))</x:f>
        <x:v>44.90638490460721</x:v>
      </x:c>
      <x:c r="U75" s="60" t="n">
        <x:f>IF(T75="","",I75*T75)</x:f>
        <x:v>441128.9394738192</x:v>
      </x:c>
    </x:row>
    <x:row r="76" ht="18" customHeight="1">
      <x:c r="A76" s="46" t="str">
        <x:v>LME_032</x:v>
      </x:c>
      <x:c r="B76" s="46" t="str">
        <x:v>Arabian Sea</x:v>
      </x:c>
      <x:c r="C76" s="46" t="str">
        <x:v>LME</x:v>
      </x:c>
      <x:c r="D76" s="58" t="n">
        <x:v>2019</x:v>
      </x:c>
      <x:c r="E76" s="46" t="str">
        <x:v>Sardinella gibbosa</x:v>
      </x:c>
      <x:c r="F76" s="46" t="str">
        <x:v>Goldstripe sardinella</x:v>
      </x:c>
      <x:c r="G76" s="46" t="str">
        <x:v>Small pelagics (&lt;30 cm)</x:v>
      </x:c>
      <x:c r="H76" s="46" t="str">
        <x:v>Herring-likes</x:v>
      </x:c>
      <x:c r="I76" s="60" t="n">
        <x:v>9738.9446842034</x:v>
      </x:c>
      <x:c r="J76" s="60" t="n">
        <x:v>9709.014710108</x:v>
      </x:c>
      <x:c r="K76" s="60" t="n">
        <x:v>29.9299740954</x:v>
      </x:c>
      <x:c r="L76" s="60" t="n">
        <x:v>208.62730467979998</x:v>
      </x:c>
      <x:c r="M76" s="60" t="n">
        <x:v>9530.3173795236</x:v>
      </x:c>
      <x:c r="N76" s="46" t="str">
        <x:v>sardinella gibbosa</x:v>
      </x:c>
      <x:c r="O76" s="62" t="n">
        <x:v>2.85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Sardinella gibbosa</x:v>
      </x:c>
      <x:c r="T76" s="62" t="n">
        <x:f>IF(O76="","",(1/'Metadata'!$B$5)^(O76-1))</x:f>
        <x:v>255.21458627183662</x:v>
      </x:c>
      <x:c r="U76" s="60" t="n">
        <x:f>IF(T76="","",I76*T76)</x:f>
        <x:v>2485520.738303273</x:v>
      </x:c>
    </x:row>
    <x:row r="77" ht="18" customHeight="1">
      <x:c r="A77" s="46" t="str">
        <x:v>LME_032</x:v>
      </x:c>
      <x:c r="B77" s="46" t="str">
        <x:v>Arabian Sea</x:v>
      </x:c>
      <x:c r="C77" s="46" t="str">
        <x:v>LME</x:v>
      </x:c>
      <x:c r="D77" s="58" t="n">
        <x:v>2019</x:v>
      </x:c>
      <x:c r="E77" s="46" t="str">
        <x:v>Saurida tumbil</x:v>
      </x:c>
      <x:c r="F77" s="46" t="str">
        <x:v>Greater lizardfish</x:v>
      </x:c>
      <x:c r="G77" s="46" t="str">
        <x:v>Medium demersals (30 - 89 cm)</x:v>
      </x:c>
      <x:c r="H77" s="46" t="str">
        <x:v>Other fishes &amp; inverts</x:v>
      </x:c>
      <x:c r="I77" s="60" t="n">
        <x:v>9538.7008878171</x:v>
      </x:c>
      <x:c r="J77" s="60" t="n">
        <x:v>9482.8955797987</x:v>
      </x:c>
      <x:c r="K77" s="60" t="n">
        <x:v>55.8053080184</x:v>
      </x:c>
      <x:c r="L77" s="60" t="n">
        <x:v>6435.6141655204</x:v>
      </x:c>
      <x:c r="M77" s="60" t="n">
        <x:v>3103.0867222967</x:v>
      </x:c>
      <x:c r="N77" s="46" t="str">
        <x:v>saurida tumbil</x:v>
      </x:c>
      <x:c r="O77" s="62" t="n">
        <x:v>4.4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Saurida tumbil</x:v>
      </x:c>
      <x:c r="T77" s="62" t="n">
        <x:f>IF(O77="","",(1/'Metadata'!$B$5)^(O77-1))</x:f>
        <x:v>26515.632138719924</x:v>
      </x:c>
      <x:c r="U77" s="60" t="n">
        <x:f>IF(T77="","",I77*T77)</x:f>
        <x:v>252924683.82263938</x:v>
      </x:c>
    </x:row>
    <x:row r="78" ht="18" customHeight="1">
      <x:c r="A78" s="46" t="str">
        <x:v>LME_032</x:v>
      </x:c>
      <x:c r="B78" s="46" t="str">
        <x:v>Arabian Sea</x:v>
      </x:c>
      <x:c r="C78" s="46" t="str">
        <x:v>LME</x:v>
      </x:c>
      <x:c r="D78" s="58" t="n">
        <x:v>2019</x:v>
      </x:c>
      <x:c r="E78" s="46" t="str">
        <x:v>Auxis</x:v>
      </x:c>
      <x:c r="F78" s="46" t="str">
        <x:v>Bullet and frigate tunas</x:v>
      </x:c>
      <x:c r="G78" s="46" t="str">
        <x:v>Medium pelagics (30 - 89 cm)</x:v>
      </x:c>
      <x:c r="H78" s="46" t="str">
        <x:v>Tuna &amp; billfishes</x:v>
      </x:c>
      <x:c r="I78" s="60" t="n">
        <x:v>9494.0710371068</x:v>
      </x:c>
      <x:c r="J78" s="60" t="n">
        <x:v>9494.0710371068</x:v>
      </x:c>
      <x:c r="K78" s="60" t="n">
        <x:v>0</x:v>
      </x:c>
      <x:c r="L78" s="60" t="n">
        <x:v>9461.4010418728</x:v>
      </x:c>
      <x:c r="M78" s="60" t="n">
        <x:v>32.669995234000005</x:v>
      </x:c>
      <x:c r="N78" s="46" t="str">
        <x:v>auxis</x:v>
      </x:c>
      <x:c r="O78" s="62" t="n">
        <x:v>4.24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Auxis</x:v>
      </x:c>
      <x:c r="T78" s="62" t="n">
        <x:f>IF(O78="","",(1/'Metadata'!$B$5)^(O78-1))</x:f>
        <x:v>16418.64020623336</x:v>
      </x:c>
      <x:c r="U78" s="60" t="n">
        <x:f>IF(T78="","",I78*T78)</x:f>
        <x:v>155879736.45067734</x:v>
      </x:c>
    </x:row>
    <x:row r="79" ht="18" customHeight="1">
      <x:c r="A79" s="46" t="str">
        <x:v>LME_032</x:v>
      </x:c>
      <x:c r="B79" s="46" t="str">
        <x:v>Arabian Sea</x:v>
      </x:c>
      <x:c r="C79" s="46" t="str">
        <x:v>LME</x:v>
      </x:c>
      <x:c r="D79" s="58" t="n">
        <x:v>2019</x:v>
      </x:c>
      <x:c r="E79" s="46" t="str">
        <x:v>Portunidae</x:v>
      </x:c>
      <x:c r="F79" s="46" t="str">
        <x:v>Swimming crabs</x:v>
      </x:c>
      <x:c r="G79" s="46" t="str">
        <x:v>Lobsters, crabs</x:v>
      </x:c>
      <x:c r="H79" s="46" t="str">
        <x:v>Crustaceans</x:v>
      </x:c>
      <x:c r="I79" s="60" t="n">
        <x:v>9351.051501022199</x:v>
      </x:c>
      <x:c r="J79" s="60" t="n">
        <x:v>9351.051501022199</x:v>
      </x:c>
      <x:c r="K79" s="60" t="n">
        <x:v>0</x:v>
      </x:c>
      <x:c r="L79" s="60" t="n">
        <x:v>6377.4349610638</x:v>
      </x:c>
      <x:c r="M79" s="60" t="n">
        <x:v>2973.6165399583997</x:v>
      </x:c>
      <x:c r="N79" s="46" t="str">
        <x:v>portunidae</x:v>
      </x:c>
      <x:c r="O79" s="62" t="n">
        <x:v>3.56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Portunidae</x:v>
      </x:c>
      <x:c r="T79" s="62" t="n">
        <x:f>IF(O79="","",(1/'Metadata'!$B$5)^(O79-1))</x:f>
        <x:v>2141.099198485972</x:v>
      </x:c>
      <x:c r="U79" s="60" t="n">
        <x:f>IF(T79="","",I79*T79)</x:f>
        <x:v>20021528.873839676</x:v>
      </x:c>
    </x:row>
    <x:row r="80" ht="18" customHeight="1">
      <x:c r="A80" s="46" t="str">
        <x:v>LME_032</x:v>
      </x:c>
      <x:c r="B80" s="46" t="str">
        <x:v>Arabian Sea</x:v>
      </x:c>
      <x:c r="C80" s="46" t="str">
        <x:v>LME</x:v>
      </x:c>
      <x:c r="D80" s="58" t="n">
        <x:v>2019</x:v>
      </x:c>
      <x:c r="E80" s="46" t="str">
        <x:v>Platycaranx chrysophrys</x:v>
      </x:c>
      <x:c r="F80" s="46" t="str">
        <x:v>Longnose trevally</x:v>
      </x:c>
      <x:c r="G80" s="46" t="str">
        <x:v>Small pelagics (&lt;30 cm)</x:v>
      </x:c>
      <x:c r="H80" s="46" t="str">
        <x:v>Perch-likes</x:v>
      </x:c>
      <x:c r="I80" s="60" t="n">
        <x:v>9301.874448706702</x:v>
      </x:c>
      <x:c r="J80" s="60" t="n">
        <x:v>8898.7710974051</x:v>
      </x:c>
      <x:c r="K80" s="60" t="n">
        <x:v>403.1033513016</x:v>
      </x:c>
      <x:c r="L80" s="60" t="n">
        <x:v>4593.9565090408005</x:v>
      </x:c>
      <x:c r="M80" s="60" t="n">
        <x:v>4707.9179396659</x:v>
      </x:c>
      <x:c r="N80" s="46" t="str">
        <x:v>platycaranx chrysophrys</x:v>
      </x:c>
      <x:c r="O80" s="62" t="n">
        <x:v>4.3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Platycaranx chrysophrys</x:v>
      </x:c>
      <x:c r="T80" s="62" t="n">
        <x:f>IF(O80="","",(1/'Metadata'!$B$5)^(O80-1))</x:f>
        <x:v>19651.648417852637</x:v>
      </x:c>
      <x:c r="U80" s="60" t="n">
        <x:f>IF(T80="","",I80*T80)</x:f>
        <x:v>182797166.29299092</x:v>
      </x:c>
    </x:row>
    <x:row r="81" ht="18" customHeight="1">
      <x:c r="A81" s="46" t="str">
        <x:v>LME_032</x:v>
      </x:c>
      <x:c r="B81" s="46" t="str">
        <x:v>Arabian Sea</x:v>
      </x:c>
      <x:c r="C81" s="46" t="str">
        <x:v>LME</x:v>
      </x:c>
      <x:c r="D81" s="58" t="n">
        <x:v>2019</x:v>
      </x:c>
      <x:c r="E81" s="46" t="str">
        <x:v>Monacanthidae</x:v>
      </x:c>
      <x:c r="F81" s="46" t="str">
        <x:v>Filefishes</x:v>
      </x:c>
      <x:c r="G81" s="46" t="str">
        <x:v>Medium reef assoc. fish (30 - 89 cm)</x:v>
      </x:c>
      <x:c r="H81" s="46" t="str">
        <x:v>Other fishes &amp; inverts</x:v>
      </x:c>
      <x:c r="I81" s="60" t="n">
        <x:v>9253.2432572563</x:v>
      </x:c>
      <x:c r="J81" s="60" t="n">
        <x:v>8584.9128807466</x:v>
      </x:c>
      <x:c r="K81" s="60" t="n">
        <x:v>668.3303765097</x:v>
      </x:c>
      <x:c r="L81" s="60" t="n">
        <x:v>8584.6355267979</x:v>
      </x:c>
      <x:c r="M81" s="60" t="n">
        <x:v>668.6077304584</x:v>
      </x:c>
      <x:c r="N81" s="46" t="str">
        <x:v>monacanthidae</x:v>
      </x:c>
      <x:c r="O81" s="62" t="n">
        <x:v>3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Monacanthidae</x:v>
      </x:c>
      <x:c r="T81" s="62" t="n">
        <x:f>IF(O81="","",(1/'Metadata'!$B$5)^(O81-1))</x:f>
        <x:v>400</x:v>
      </x:c>
      <x:c r="U81" s="60" t="n">
        <x:f>IF(T81="","",I81*T81)</x:f>
        <x:v>3701297.3029025197</x:v>
      </x:c>
    </x:row>
    <x:row r="82" ht="18" customHeight="1">
      <x:c r="A82" s="46" t="str">
        <x:v>LME_032</x:v>
      </x:c>
      <x:c r="B82" s="46" t="str">
        <x:v>Arabian Sea</x:v>
      </x:c>
      <x:c r="C82" s="46" t="str">
        <x:v>LME</x:v>
      </x:c>
      <x:c r="D82" s="58" t="n">
        <x:v>2019</x:v>
      </x:c>
      <x:c r="E82" s="46" t="str">
        <x:v>Psettodes erumei</x:v>
      </x:c>
      <x:c r="F82" s="46" t="str">
        <x:v>Indian halibut</x:v>
      </x:c>
      <x:c r="G82" s="46" t="str">
        <x:v>Small to medium flatfishes (&lt;90 cm)</x:v>
      </x:c>
      <x:c r="H82" s="46" t="str">
        <x:v>Flatfishes</x:v>
      </x:c>
      <x:c r="I82" s="60" t="n">
        <x:v>9210.306812286799</x:v>
      </x:c>
      <x:c r="J82" s="60" t="n">
        <x:v>9210.306812286799</x:v>
      </x:c>
      <x:c r="K82" s="60" t="n">
        <x:v>0</x:v>
      </x:c>
      <x:c r="L82" s="60" t="n">
        <x:v>7341.2715805995</x:v>
      </x:c>
      <x:c r="M82" s="60" t="n">
        <x:v>1869.0352316873</x:v>
      </x:c>
      <x:c r="N82" s="46" t="str">
        <x:v>psettodes erumei</x:v>
      </x:c>
      <x:c r="O82" s="62" t="n">
        <x:v>4.39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Psettodes erumei</x:v>
      </x:c>
      <x:c r="T82" s="62" t="n">
        <x:f>IF(O82="","",(1/'Metadata'!$B$5)^(O82-1))</x:f>
        <x:v>25733.07497204781</x:v>
      </x:c>
      <x:c r="U82" s="60" t="n">
        <x:f>IF(T82="","",I82*T82)</x:f>
        <x:v>237009515.71613887</x:v>
      </x:c>
    </x:row>
    <x:row r="83" ht="18" customHeight="1">
      <x:c r="A83" s="46" t="str">
        <x:v>LME_032</x:v>
      </x:c>
      <x:c r="B83" s="46" t="str">
        <x:v>Arabian Sea</x:v>
      </x:c>
      <x:c r="C83" s="46" t="str">
        <x:v>LME</x:v>
      </x:c>
      <x:c r="D83" s="58" t="n">
        <x:v>2019</x:v>
      </x:c>
      <x:c r="E83" s="46" t="str">
        <x:v>Dussumieria acuta</x:v>
      </x:c>
      <x:c r="F83" s="46" t="str">
        <x:v>Rainbow sardine</x:v>
      </x:c>
      <x:c r="G83" s="46" t="str">
        <x:v>Small pelagics (&lt;30 cm)</x:v>
      </x:c>
      <x:c r="H83" s="46" t="str">
        <x:v>Herring-likes</x:v>
      </x:c>
      <x:c r="I83" s="60" t="n">
        <x:v>9132.107560206001</x:v>
      </x:c>
      <x:c r="J83" s="60" t="n">
        <x:v>9132.107560206001</x:v>
      </x:c>
      <x:c r="K83" s="60" t="n">
        <x:v>0</x:v>
      </x:c>
      <x:c r="L83" s="60" t="n">
        <x:v>168.3095449316</x:v>
      </x:c>
      <x:c r="M83" s="60" t="n">
        <x:v>8963.7980152744</x:v>
      </x:c>
      <x:c r="N83" s="46" t="str">
        <x:v>dussumieria acuta</x:v>
      </x:c>
      <x:c r="O83" s="62" t="n">
        <x:v>3.4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Dussumieria acuta</x:v>
      </x:c>
      <x:c r="T83" s="62" t="n">
        <x:f>IF(O83="","",(1/'Metadata'!$B$5)^(O83-1))</x:f>
        <x:v>1325.7816069359944</x:v>
      </x:c>
      <x:c r="U83" s="60" t="n">
        <x:f>IF(T83="","",I83*T83)</x:f>
        <x:v>12107180.235882256</x:v>
      </x:c>
    </x:row>
    <x:row r="84" ht="18" customHeight="1">
      <x:c r="A84" s="46" t="str">
        <x:v>LME_032</x:v>
      </x:c>
      <x:c r="B84" s="46" t="str">
        <x:v>Arabian Sea</x:v>
      </x:c>
      <x:c r="C84" s="46" t="str">
        <x:v>LME</x:v>
      </x:c>
      <x:c r="D84" s="58" t="n">
        <x:v>2019</x:v>
      </x:c>
      <x:c r="E84" s="46" t="str">
        <x:v>Sardinella albella</x:v>
      </x:c>
      <x:c r="F84" s="46" t="str">
        <x:v>White sardinella</x:v>
      </x:c>
      <x:c r="G84" s="46" t="str">
        <x:v>Small reef assoc. fish (&lt;30 cm)</x:v>
      </x:c>
      <x:c r="H84" s="46" t="str">
        <x:v>Herring-likes</x:v>
      </x:c>
      <x:c r="I84" s="60" t="n">
        <x:v>9104.8444447795</x:v>
      </x:c>
      <x:c r="J84" s="60" t="n">
        <x:v>9104.8444447795</x:v>
      </x:c>
      <x:c r="K84" s="60" t="n">
        <x:v>0</x:v>
      </x:c>
      <x:c r="L84" s="60" t="n">
        <x:v>0</x:v>
      </x:c>
      <x:c r="M84" s="60" t="n">
        <x:v>9104.8444447795</x:v>
      </x:c>
      <x:c r="N84" s="46" t="str">
        <x:v>sardinella albella</x:v>
      </x:c>
      <x:c r="O84" s="62" t="n">
        <x:v>2.68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Sardinella albella</x:v>
      </x:c>
      <x:c r="T84" s="62" t="n">
        <x:f>IF(O84="","",(1/'Metadata'!$B$5)^(O84-1))</x:f>
        <x:v>153.36645978704223</x:v>
      </x:c>
      <x:c r="U84" s="60" t="n">
        <x:f>IF(T84="","",I84*T84)</x:f>
        <x:v>1396377.7594075499</x:v>
      </x:c>
    </x:row>
    <x:row r="85" ht="18" customHeight="1">
      <x:c r="A85" s="46" t="str">
        <x:v>LME_032</x:v>
      </x:c>
      <x:c r="B85" s="46" t="str">
        <x:v>Arabian Sea</x:v>
      </x:c>
      <x:c r="C85" s="46" t="str">
        <x:v>LME</x:v>
      </x:c>
      <x:c r="D85" s="58" t="n">
        <x:v>2019</x:v>
      </x:c>
      <x:c r="E85" s="46" t="str">
        <x:v>Sepia pharaonis</x:v>
      </x:c>
      <x:c r="F85" s="46" t="str">
        <x:v>Pharaoh cuttlefish</x:v>
      </x:c>
      <x:c r="G85" s="46" t="str">
        <x:v>Cephalopods</x:v>
      </x:c>
      <x:c r="H85" s="46" t="str">
        <x:v>Other fishes &amp; inverts</x:v>
      </x:c>
      <x:c r="I85" s="60" t="n">
        <x:v>8853.7057817886</x:v>
      </x:c>
      <x:c r="J85" s="60" t="n">
        <x:v>8853.7057817886</x:v>
      </x:c>
      <x:c r="K85" s="60" t="n">
        <x:v>0</x:v>
      </x:c>
      <x:c r="L85" s="60" t="n">
        <x:v>8366.69327394</x:v>
      </x:c>
      <x:c r="M85" s="60" t="n">
        <x:v>487.0125078486</x:v>
      </x:c>
      <x:c r="N85" s="46" t="str">
        <x:v>sepia pharaonis</x:v>
      </x:c>
      <x:c r="O85" s="62" t="n">
        <x:v>3.8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Sepia pharaonis</x:v>
      </x:c>
      <x:c r="T85" s="62" t="n">
        <x:f>IF(O85="","",(1/'Metadata'!$B$5)^(O85-1))</x:f>
        <x:v>4394.242173224468</x:v>
      </x:c>
      <x:c r="U85" s="60" t="n">
        <x:f>IF(T85="","",I85*T85)</x:f>
        <x:v>38905327.33565678</x:v>
      </x:c>
    </x:row>
    <x:row r="86" ht="18" customHeight="1">
      <x:c r="A86" s="46" t="str">
        <x:v>LME_032</x:v>
      </x:c>
      <x:c r="B86" s="46" t="str">
        <x:v>Arabian Sea</x:v>
      </x:c>
      <x:c r="C86" s="46" t="str">
        <x:v>LME</x:v>
      </x:c>
      <x:c r="D86" s="58" t="n">
        <x:v>2019</x:v>
      </x:c>
      <x:c r="E86" s="46" t="str">
        <x:v>Lactarius lactarius</x:v>
      </x:c>
      <x:c r="F86" s="46" t="str">
        <x:v>False trevally</x:v>
      </x:c>
      <x:c r="G86" s="46" t="str">
        <x:v>Medium pelagics (30 - 89 cm)</x:v>
      </x:c>
      <x:c r="H86" s="46" t="str">
        <x:v>Perch-likes</x:v>
      </x:c>
      <x:c r="I86" s="60" t="n">
        <x:v>8474.6147408611</x:v>
      </x:c>
      <x:c r="J86" s="60" t="n">
        <x:v>7900.1379533974</x:v>
      </x:c>
      <x:c r="K86" s="60" t="n">
        <x:v>574.4767874637</x:v>
      </x:c>
      <x:c r="L86" s="60" t="n">
        <x:v>5567.9339690533</x:v>
      </x:c>
      <x:c r="M86" s="60" t="n">
        <x:v>2906.6807718078</x:v>
      </x:c>
      <x:c r="N86" s="46" t="str">
        <x:v>lactarius lactarius</x:v>
      </x:c>
      <x:c r="O86" s="62" t="n">
        <x:v>3.97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Lactarius lactarius</x:v>
      </x:c>
      <x:c r="T86" s="62" t="n">
        <x:f>IF(O86="","",(1/'Metadata'!$B$5)^(O86-1))</x:f>
        <x:v>7312.385640086951</x:v>
      </x:c>
      <x:c r="U86" s="60" t="n">
        <x:f>IF(T86="","",I86*T86)</x:f>
        <x:v>61969651.1363419</x:v>
      </x:c>
    </x:row>
    <x:row r="87" ht="18" customHeight="1">
      <x:c r="A87" s="46" t="str">
        <x:v>LME_032</x:v>
      </x:c>
      <x:c r="B87" s="46" t="str">
        <x:v>Arabian Sea</x:v>
      </x:c>
      <x:c r="C87" s="46" t="str">
        <x:v>LME</x:v>
      </x:c>
      <x:c r="D87" s="58" t="n">
        <x:v>2019</x:v>
      </x:c>
      <x:c r="E87" s="46" t="str">
        <x:v>Chirocentrus nudus</x:v>
      </x:c>
      <x:c r="F87" s="46" t="str">
        <x:v>Whitefin wolf-herring</x:v>
      </x:c>
      <x:c r="G87" s="46" t="str">
        <x:v>Large pelagics (&gt;=90 cm)</x:v>
      </x:c>
      <x:c r="H87" s="46" t="str">
        <x:v>Herring-likes</x:v>
      </x:c>
      <x:c r="I87" s="60" t="n">
        <x:v>7896.267977480099</x:v>
      </x:c>
      <x:c r="J87" s="60" t="n">
        <x:v>7896.267977480099</x:v>
      </x:c>
      <x:c r="K87" s="60" t="n">
        <x:v>0</x:v>
      </x:c>
      <x:c r="L87" s="60" t="n">
        <x:v>7172.0986395253</x:v>
      </x:c>
      <x:c r="M87" s="60" t="n">
        <x:v>724.1693379548</x:v>
      </x:c>
      <x:c r="N87" s="46" t="str">
        <x:v>chirocentrus nudus</x:v>
      </x:c>
      <x:c r="O87" s="62" t="n">
        <x:v>4.19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Chirocentrus nudus</x:v>
      </x:c>
      <x:c r="T87" s="62" t="n">
        <x:f>IF(O87="","",(1/'Metadata'!$B$5)^(O87-1))</x:f>
        <x:v>14134.67041111498</x:v>
      </x:c>
      <x:c r="U87" s="60" t="n">
        <x:f>IF(T87="","",I87*T87)</x:f>
        <x:v>111611145.33952267</x:v>
      </x:c>
    </x:row>
    <x:row r="88" ht="18" customHeight="1">
      <x:c r="A88" s="46" t="str">
        <x:v>LME_032</x:v>
      </x:c>
      <x:c r="B88" s="46" t="str">
        <x:v>Arabian Sea</x:v>
      </x:c>
      <x:c r="C88" s="46" t="str">
        <x:v>LME</x:v>
      </x:c>
      <x:c r="D88" s="58" t="n">
        <x:v>2019</x:v>
      </x:c>
      <x:c r="E88" s="46" t="str">
        <x:v>Acanthopagrus bifasciatus</x:v>
      </x:c>
      <x:c r="F88" s="46" t="str">
        <x:v>Twobar seabream</x:v>
      </x:c>
      <x:c r="G88" s="46" t="str">
        <x:v>Medium reef assoc. fish (30 - 89 cm)</x:v>
      </x:c>
      <x:c r="H88" s="46" t="str">
        <x:v>Perch-likes</x:v>
      </x:c>
      <x:c r="I88" s="60" t="n">
        <x:v>7539.4144808108995</x:v>
      </x:c>
      <x:c r="J88" s="60" t="n">
        <x:v>7539.4144808108995</x:v>
      </x:c>
      <x:c r="K88" s="60" t="n">
        <x:v>0</x:v>
      </x:c>
      <x:c r="L88" s="60" t="n">
        <x:v>7389.261848669199</x:v>
      </x:c>
      <x:c r="M88" s="60" t="n">
        <x:v>150.1526321417</x:v>
      </x:c>
      <x:c r="N88" s="46" t="str">
        <x:v>acanthopagrus bifasciatus</x:v>
      </x:c>
      <x:c r="O88" s="62" t="n">
        <x:v>3.39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Acanthopagrus bifasciatus</x:v>
      </x:c>
      <x:c r="T88" s="62" t="n">
        <x:f>IF(O88="","",(1/'Metadata'!$B$5)^(O88-1))</x:f>
        <x:v>1286.6537486023922</x:v>
      </x:c>
      <x:c r="U88" s="60" t="n">
        <x:f>IF(T88="","",I88*T88)</x:f>
        <x:v>9700615.904002503</x:v>
      </x:c>
    </x:row>
    <x:row r="89" ht="18" customHeight="1">
      <x:c r="A89" s="46" t="str">
        <x:v>LME_032</x:v>
      </x:c>
      <x:c r="B89" s="46" t="str">
        <x:v>Arabian Sea</x:v>
      </x:c>
      <x:c r="C89" s="46" t="str">
        <x:v>LME</x:v>
      </x:c>
      <x:c r="D89" s="58" t="n">
        <x:v>2019</x:v>
      </x:c>
      <x:c r="E89" s="46" t="str">
        <x:v>Lutjanus</x:v>
      </x:c>
      <x:c r="F89" s="46" t="str">
        <x:v>Snappers</x:v>
      </x:c>
      <x:c r="G89" s="46" t="str">
        <x:v>Medium reef assoc. fish (30 - 89 cm)</x:v>
      </x:c>
      <x:c r="H89" s="46" t="str">
        <x:v>Perch-likes</x:v>
      </x:c>
      <x:c r="I89" s="60" t="n">
        <x:v>7416.315917102</x:v>
      </x:c>
      <x:c r="J89" s="60" t="n">
        <x:v>7416.315917102</x:v>
      </x:c>
      <x:c r="K89" s="60" t="n">
        <x:v>0</x:v>
      </x:c>
      <x:c r="L89" s="60" t="n">
        <x:v>3087.3985501613</x:v>
      </x:c>
      <x:c r="M89" s="60" t="n">
        <x:v>4328.9173669407</x:v>
      </x:c>
      <x:c r="N89" s="46" t="str">
        <x:v>lutjanus</x:v>
      </x:c>
      <x:c r="O89" s="62" t="n">
        <x:v>4.02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Lutjanus</x:v>
      </x:c>
      <x:c r="T89" s="62" t="n">
        <x:f>IF(O89="","",(1/'Metadata'!$B$5)^(O89-1))</x:f>
        <x:v>8493.967342839818</x:v>
      </x:c>
      <x:c r="U89" s="60" t="n">
        <x:f>IF(T89="","",I89*T89)</x:f>
        <x:v>62993945.20404752</x:v>
      </x:c>
    </x:row>
    <x:row r="90" ht="18" customHeight="1">
      <x:c r="A90" s="46" t="str">
        <x:v>LME_032</x:v>
      </x:c>
      <x:c r="B90" s="46" t="str">
        <x:v>Arabian Sea</x:v>
      </x:c>
      <x:c r="C90" s="46" t="str">
        <x:v>LME</x:v>
      </x:c>
      <x:c r="D90" s="58" t="n">
        <x:v>2019</x:v>
      </x:c>
      <x:c r="E90" s="46" t="str">
        <x:v>Pampus argenteus</x:v>
      </x:c>
      <x:c r="F90" s="46" t="str">
        <x:v>Silver pomfret</x:v>
      </x:c>
      <x:c r="G90" s="46" t="str">
        <x:v>Medium benthopelagics (30 - 89 cm)</x:v>
      </x:c>
      <x:c r="H90" s="46" t="str">
        <x:v>Perch-likes</x:v>
      </x:c>
      <x:c r="I90" s="60" t="n">
        <x:v>7246.862524659699</x:v>
      </x:c>
      <x:c r="J90" s="60" t="n">
        <x:v>7246.862524659699</x:v>
      </x:c>
      <x:c r="K90" s="60" t="n">
        <x:v>0</x:v>
      </x:c>
      <x:c r="L90" s="60" t="n">
        <x:v>2980.3460708188</x:v>
      </x:c>
      <x:c r="M90" s="60" t="n">
        <x:v>4266.5164538409</x:v>
      </x:c>
      <x:c r="N90" s="46" t="str">
        <x:v>pampus argenteus</x:v>
      </x:c>
      <x:c r="O90" s="62" t="n">
        <x:v>3.3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Pampus argenteus</x:v>
      </x:c>
      <x:c r="T90" s="62" t="n">
        <x:f>IF(O90="","",(1/'Metadata'!$B$5)^(O90-1))</x:f>
        <x:v>982.5824208926318</x:v>
      </x:c>
      <x:c r="U90" s="60" t="n">
        <x:f>IF(T90="","",I90*T90)</x:f>
        <x:v>7120639.723356217</x:v>
      </x:c>
    </x:row>
    <x:row r="91" ht="18" customHeight="1">
      <x:c r="A91" s="46" t="str">
        <x:v>LME_032</x:v>
      </x:c>
      <x:c r="B91" s="46" t="str">
        <x:v>Arabian Sea</x:v>
      </x:c>
      <x:c r="C91" s="46" t="str">
        <x:v>LME</x:v>
      </x:c>
      <x:c r="D91" s="58" t="n">
        <x:v>2019</x:v>
      </x:c>
      <x:c r="E91" s="46" t="str">
        <x:v>Tenualosa ilisha</x:v>
      </x:c>
      <x:c r="F91" s="46" t="str">
        <x:v>Hilsa shad</x:v>
      </x:c>
      <x:c r="G91" s="46" t="str">
        <x:v>Medium pelagics (30 - 89 cm)</x:v>
      </x:c>
      <x:c r="H91" s="46" t="str">
        <x:v>Herring-likes</x:v>
      </x:c>
      <x:c r="I91" s="60" t="n">
        <x:v>7192.956422399</x:v>
      </x:c>
      <x:c r="J91" s="60" t="n">
        <x:v>7029.5433802274</x:v>
      </x:c>
      <x:c r="K91" s="60" t="n">
        <x:v>163.4130421716</x:v>
      </x:c>
      <x:c r="L91" s="60" t="n">
        <x:v>6409.0474059695</x:v>
      </x:c>
      <x:c r="M91" s="60" t="n">
        <x:v>783.9090164295001</x:v>
      </x:c>
      <x:c r="N91" s="46" t="str">
        <x:v>tenualosa ilisha</x:v>
      </x:c>
      <x:c r="O91" s="62" t="n">
        <x:v>2.2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Tenualosa ilisha</x:v>
      </x:c>
      <x:c r="T91" s="62" t="n">
        <x:f>IF(O91="","",(1/'Metadata'!$B$5)^(O91-1))</x:f>
        <x:v>36.41128406052162</x:v>
      </x:c>
      <x:c r="U91" s="60" t="n">
        <x:f>IF(T91="","",I91*T91)</x:f>
        <x:v>261904.77953092335</x:v>
      </x:c>
    </x:row>
    <x:row r="92" ht="18" customHeight="1">
      <x:c r="A92" s="46" t="str">
        <x:v>LME_032</x:v>
      </x:c>
      <x:c r="B92" s="46" t="str">
        <x:v>Arabian Sea</x:v>
      </x:c>
      <x:c r="C92" s="46" t="str">
        <x:v>LME</x:v>
      </x:c>
      <x:c r="D92" s="58" t="n">
        <x:v>2019</x:v>
      </x:c>
      <x:c r="E92" s="46" t="str">
        <x:v>Lethrinus</x:v>
      </x:c>
      <x:c r="F92" s="46" t="str">
        <x:v>Emperors</x:v>
      </x:c>
      <x:c r="G92" s="46" t="str">
        <x:v>Medium reef assoc. fish (30 - 89 cm)</x:v>
      </x:c>
      <x:c r="H92" s="46" t="str">
        <x:v>Perch-likes</x:v>
      </x:c>
      <x:c r="I92" s="60" t="n">
        <x:v>6959.0017173916995</x:v>
      </x:c>
      <x:c r="J92" s="60" t="n">
        <x:v>6959.0017173916995</x:v>
      </x:c>
      <x:c r="K92" s="60" t="n">
        <x:v>0</x:v>
      </x:c>
      <x:c r="L92" s="60" t="n">
        <x:v>2998.4549200039</x:v>
      </x:c>
      <x:c r="M92" s="60" t="n">
        <x:v>3960.5467973878</x:v>
      </x:c>
      <x:c r="N92" s="46" t="str">
        <x:v>lethrinus</x:v>
      </x:c>
      <x:c r="O92" s="62" t="n">
        <x:v>3.75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Lethrinus</x:v>
      </x:c>
      <x:c r="T92" s="62" t="n">
        <x:f>IF(O92="","",(1/'Metadata'!$B$5)^(O92-1))</x:f>
        <x:v>3782.966436012703</x:v>
      </x:c>
      <x:c r="U92" s="60" t="n">
        <x:f>IF(T92="","",I92*T92)</x:f>
        <x:v>26325669.925047558</x:v>
      </x:c>
    </x:row>
    <x:row r="93" ht="18" customHeight="1">
      <x:c r="A93" s="46" t="str">
        <x:v>LME_032</x:v>
      </x:c>
      <x:c r="B93" s="46" t="str">
        <x:v>Arabian Sea</x:v>
      </x:c>
      <x:c r="C93" s="46" t="str">
        <x:v>LME</x:v>
      </x:c>
      <x:c r="D93" s="58" t="n">
        <x:v>2019</x:v>
      </x:c>
      <x:c r="E93" s="46" t="str">
        <x:v>Myliobatidae</x:v>
      </x:c>
      <x:c r="F93" s="46" t="str">
        <x:v>Eagle/manta rays</x:v>
      </x:c>
      <x:c r="G93" s="46" t="str">
        <x:v>Large rays (&gt;=90 cm)</x:v>
      </x:c>
      <x:c r="H93" s="46" t="str">
        <x:v>Sharks &amp; rays</x:v>
      </x:c>
      <x:c r="I93" s="60" t="n">
        <x:v>6932.8299642637</x:v>
      </x:c>
      <x:c r="J93" s="60" t="n">
        <x:v>6929.124112289601</x:v>
      </x:c>
      <x:c r="K93" s="60" t="n">
        <x:v>3.7058519741</x:v>
      </x:c>
      <x:c r="L93" s="60" t="n">
        <x:v>833.0071492804</x:v>
      </x:c>
      <x:c r="M93" s="60" t="n">
        <x:v>6099.8228149833</x:v>
      </x:c>
      <x:c r="N93" s="46" t="str">
        <x:v>myliobatidae</x:v>
      </x:c>
      <x:c r="O93" s="62" t="n">
        <x:v>3.36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Myliobatidae</x:v>
      </x:c>
      <x:c r="T93" s="62" t="n">
        <x:f>IF(O93="","",(1/'Metadata'!$B$5)^(O93-1))</x:f>
        <x:v>1176.0635493805207</x:v>
      </x:c>
      <x:c r="U93" s="60" t="n">
        <x:f>IF(T93="","",I93*T93)</x:f>
        <x:v>8153448.615023596</x:v>
      </x:c>
    </x:row>
    <x:row r="94" ht="18" customHeight="1">
      <x:c r="A94" s="46" t="str">
        <x:v>LME_032</x:v>
      </x:c>
      <x:c r="B94" s="46" t="str">
        <x:v>Arabian Sea</x:v>
      </x:c>
      <x:c r="C94" s="46" t="str">
        <x:v>LME</x:v>
      </x:c>
      <x:c r="D94" s="58" t="n">
        <x:v>2019</x:v>
      </x:c>
      <x:c r="E94" s="46" t="str">
        <x:v>Lutjanidae</x:v>
      </x:c>
      <x:c r="F94" s="46" t="str">
        <x:v>Snappers</x:v>
      </x:c>
      <x:c r="G94" s="46" t="str">
        <x:v>Medium reef assoc. fish (30 - 89 cm)</x:v>
      </x:c>
      <x:c r="H94" s="46" t="str">
        <x:v>Perch-likes</x:v>
      </x:c>
      <x:c r="I94" s="60" t="n">
        <x:v>6894.2737507524</x:v>
      </x:c>
      <x:c r="J94" s="60" t="n">
        <x:v>6378.4532272144</x:v>
      </x:c>
      <x:c r="K94" s="60" t="n">
        <x:v>515.820523538</x:v>
      </x:c>
      <x:c r="L94" s="60" t="n">
        <x:v>4805.2668453319</x:v>
      </x:c>
      <x:c r="M94" s="60" t="n">
        <x:v>2089.0069054205</x:v>
      </x:c>
      <x:c r="N94" s="46" t="str">
        <x:v>lutjanidae</x:v>
      </x:c>
      <x:c r="O94" s="62" t="n">
        <x:v>4.02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Lutjanidae</x:v>
      </x:c>
      <x:c r="T94" s="62" t="n">
        <x:f>IF(O94="","",(1/'Metadata'!$B$5)^(O94-1))</x:f>
        <x:v>8493.967342839818</x:v>
      </x:c>
      <x:c r="U94" s="60" t="n">
        <x:f>IF(T94="","",I94*T94)</x:f>
        <x:v>58559736.09148867</x:v>
      </x:c>
    </x:row>
    <x:row r="95" ht="18" customHeight="1">
      <x:c r="A95" s="46" t="str">
        <x:v>LME_032</x:v>
      </x:c>
      <x:c r="B95" s="46" t="str">
        <x:v>Arabian Sea</x:v>
      </x:c>
      <x:c r="C95" s="46" t="str">
        <x:v>LME</x:v>
      </x:c>
      <x:c r="D95" s="58" t="n">
        <x:v>2019</x:v>
      </x:c>
      <x:c r="E95" s="46" t="str">
        <x:v>Haemulidae</x:v>
      </x:c>
      <x:c r="F95" s="46" t="str">
        <x:v>Grunts, sweetlips, bonnetmouths</x:v>
      </x:c>
      <x:c r="G95" s="46" t="str">
        <x:v>Medium demersals (30 - 89 cm)</x:v>
      </x:c>
      <x:c r="H95" s="46" t="str">
        <x:v>Perch-likes</x:v>
      </x:c>
      <x:c r="I95" s="60" t="n">
        <x:v>6719.6563903049</x:v>
      </x:c>
      <x:c r="J95" s="60" t="n">
        <x:v>6297.7689344062</x:v>
      </x:c>
      <x:c r="K95" s="60" t="n">
        <x:v>421.8874558987</x:v>
      </x:c>
      <x:c r="L95" s="60" t="n">
        <x:v>3889.3383962424996</x:v>
      </x:c>
      <x:c r="M95" s="60" t="n">
        <x:v>2830.3179940624</x:v>
      </x:c>
      <x:c r="N95" s="46" t="str">
        <x:v>haemulidae</x:v>
      </x:c>
      <x:c r="O95" s="62" t="n">
        <x:v>3.36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Haemulidae</x:v>
      </x:c>
      <x:c r="T95" s="62" t="n">
        <x:f>IF(O95="","",(1/'Metadata'!$B$5)^(O95-1))</x:f>
        <x:v>1176.0635493805207</x:v>
      </x:c>
      <x:c r="U95" s="60" t="n">
        <x:f>IF(T95="","",I95*T95)</x:f>
        <x:v>7902742.944999479</x:v>
      </x:c>
    </x:row>
    <x:row r="96" ht="18" customHeight="1">
      <x:c r="A96" s="46" t="str">
        <x:v>LME_032</x:v>
      </x:c>
      <x:c r="B96" s="46" t="str">
        <x:v>Arabian Sea</x:v>
      </x:c>
      <x:c r="C96" s="46" t="str">
        <x:v>LME</x:v>
      </x:c>
      <x:c r="D96" s="58" t="n">
        <x:v>2019</x:v>
      </x:c>
      <x:c r="E96" s="46" t="str">
        <x:v>Polynemidae</x:v>
      </x:c>
      <x:c r="F96" s="46" t="str">
        <x:v>Threadfins</x:v>
      </x:c>
      <x:c r="G96" s="46" t="str">
        <x:v>Small demersals (&lt;30 cm)</x:v>
      </x:c>
      <x:c r="H96" s="46" t="str">
        <x:v>Perch-likes</x:v>
      </x:c>
      <x:c r="I96" s="60" t="n">
        <x:v>6502.722646714199</x:v>
      </x:c>
      <x:c r="J96" s="60" t="n">
        <x:v>6131.871241440799</x:v>
      </x:c>
      <x:c r="K96" s="60" t="n">
        <x:v>370.8514052734</x:v>
      </x:c>
      <x:c r="L96" s="60" t="n">
        <x:v>5720.029343538</x:v>
      </x:c>
      <x:c r="M96" s="60" t="n">
        <x:v>782.6933031762001</x:v>
      </x:c>
      <x:c r="N96" s="46" t="str">
        <x:v>polynemidae</x:v>
      </x:c>
      <x:c r="O96" s="62" t="n">
        <x:v>3.62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Polynemidae</x:v>
      </x:c>
      <x:c r="T96" s="62" t="n">
        <x:f>IF(O96="","",(1/'Metadata'!$B$5)^(O96-1))</x:f>
        <x:v>2562.7048371775754</x:v>
      </x:c>
      <x:c r="U96" s="60" t="n">
        <x:f>IF(T96="","",I96*T96)</x:f>
        <x:v>16664558.781558644</x:v>
      </x:c>
    </x:row>
    <x:row r="97" ht="18" customHeight="1">
      <x:c r="A97" s="46" t="str">
        <x:v>LME_032</x:v>
      </x:c>
      <x:c r="B97" s="46" t="str">
        <x:v>Arabian Sea</x:v>
      </x:c>
      <x:c r="C97" s="46" t="str">
        <x:v>LME</x:v>
      </x:c>
      <x:c r="D97" s="58" t="n">
        <x:v>2019</x:v>
      </x:c>
      <x:c r="E97" s="46" t="str">
        <x:v>Catostylus perezi</x:v>
      </x:c>
      <x:c r="F97" s="46" t="str">
        <x:v>Banana jellyfish</x:v>
      </x:c>
      <x:c r="G97" s="46" t="str">
        <x:v>Jellyfish</x:v>
      </x:c>
      <x:c r="H97" s="46" t="str">
        <x:v>Other fishes &amp; inverts</x:v>
      </x:c>
      <x:c r="I97" s="60" t="n">
        <x:v>6462.5519781693</x:v>
      </x:c>
      <x:c r="J97" s="60" t="n">
        <x:v>6462.5519781693</x:v>
      </x:c>
      <x:c r="K97" s="60" t="n">
        <x:v>0</x:v>
      </x:c>
      <x:c r="L97" s="60" t="n">
        <x:v>0</x:v>
      </x:c>
      <x:c r="M97" s="60" t="n">
        <x:v>6462.5519781693</x:v>
      </x:c>
      <x:c r="N97" s="46" t="str">
        <x:v>catostylus perezi</x:v>
      </x:c>
      <x:c r="O97" s="62" t="n">
        <x:v>3.46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Catostylus perezi</x:v>
      </x:c>
      <x:c r="T97" s="62" t="n">
        <x:f>IF(O97="","",(1/'Metadata'!$B$5)^(O97-1))</x:f>
        <x:v>1586.8423749532276</x:v>
      </x:c>
      <x:c r="U97" s="60" t="n">
        <x:f>IF(T97="","",I97*T97)</x:f>
        <x:v>10255051.329296852</x:v>
      </x:c>
    </x:row>
    <x:row r="98" ht="18" customHeight="1">
      <x:c r="A98" s="46" t="str">
        <x:v>LME_032</x:v>
      </x:c>
      <x:c r="B98" s="46" t="str">
        <x:v>Arabian Sea</x:v>
      </x:c>
      <x:c r="C98" s="46" t="str">
        <x:v>LME</x:v>
      </x:c>
      <x:c r="D98" s="58" t="n">
        <x:v>2019</x:v>
      </x:c>
      <x:c r="E98" s="46" t="str">
        <x:v>Anguilliformes</x:v>
      </x:c>
      <x:c r="F98" s="46" t="str">
        <x:v>Eels, morays</x:v>
      </x:c>
      <x:c r="G98" s="46" t="str">
        <x:v>Large demersals (&gt;=90 cm)</x:v>
      </x:c>
      <x:c r="H98" s="46" t="str">
        <x:v>Other fishes &amp; inverts</x:v>
      </x:c>
      <x:c r="I98" s="60" t="n">
        <x:v>6126.179882824499</x:v>
      </x:c>
      <x:c r="J98" s="60" t="n">
        <x:v>6126.179882824499</x:v>
      </x:c>
      <x:c r="K98" s="60" t="n">
        <x:v>0</x:v>
      </x:c>
      <x:c r="L98" s="60" t="n">
        <x:v>6126.179882824499</x:v>
      </x:c>
      <x:c r="M98" s="60" t="n">
        <x:v>0</x:v>
      </x:c>
      <x:c r="N98" s="46" t="str">
        <x:v>anguilliformes</x:v>
      </x:c>
      <x:c r="O98" s="62" t="n">
        <x:v>3.89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Anguilliformes</x:v>
      </x:c>
      <x:c r="T98" s="62" t="n">
        <x:f>IF(O98="","",(1/'Metadata'!$B$5)^(O98-1))</x:f>
        <x:v>5754.090490759748</x:v>
      </x:c>
      <x:c r="U98" s="60" t="n">
        <x:f>IF(T98="","",I98*T98)</x:f>
        <x:v>35250593.408444114</x:v>
      </x:c>
    </x:row>
    <x:row r="99" ht="18" customHeight="1">
      <x:c r="A99" s="46" t="str">
        <x:v>LME_032</x:v>
      </x:c>
      <x:c r="B99" s="46" t="str">
        <x:v>Arabian Sea</x:v>
      </x:c>
      <x:c r="C99" s="46" t="str">
        <x:v>LME</x:v>
      </x:c>
      <x:c r="D99" s="58" t="n">
        <x:v>2019</x:v>
      </x:c>
      <x:c r="E99" s="46" t="str">
        <x:v>Octopus</x:v>
      </x:c>
      <x:c r="F99" s="46" t="str">
        <x:v>Octopuses, pikas</x:v>
      </x:c>
      <x:c r="G99" s="46" t="str">
        <x:v>Cephalopods</x:v>
      </x:c>
      <x:c r="H99" s="46" t="str">
        <x:v>Other fishes &amp; inverts</x:v>
      </x:c>
      <x:c r="I99" s="60" t="n">
        <x:v>6059.5613661061</x:v>
      </x:c>
      <x:c r="J99" s="60" t="n">
        <x:v>6059.5613661061</x:v>
      </x:c>
      <x:c r="K99" s="60" t="n">
        <x:v>0</x:v>
      </x:c>
      <x:c r="L99" s="60" t="n">
        <x:v>6004.2780303623995</x:v>
      </x:c>
      <x:c r="M99" s="60" t="n">
        <x:v>55.2833357437</x:v>
      </x:c>
      <x:c r="N99" s="46" t="str">
        <x:v>octopus</x:v>
      </x:c>
      <x:c r="O99" s="62" t="n">
        <x:v>3.8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Octopus</x:v>
      </x:c>
      <x:c r="T99" s="62" t="n">
        <x:f>IF(O99="","",(1/'Metadata'!$B$5)^(O99-1))</x:f>
        <x:v>4394.242173224468</x:v>
      </x:c>
      <x:c r="U99" s="60" t="n">
        <x:f>IF(T99="","",I99*T99)</x:f>
        <x:v>26627180.106185097</x:v>
      </x:c>
    </x:row>
    <x:row r="100" ht="18" customHeight="1">
      <x:c r="A100" s="46" t="str">
        <x:v>LME_032</x:v>
      </x:c>
      <x:c r="B100" s="46" t="str">
        <x:v>Arabian Sea</x:v>
      </x:c>
      <x:c r="C100" s="46" t="str">
        <x:v>LME</x:v>
      </x:c>
      <x:c r="D100" s="58" t="n">
        <x:v>2019</x:v>
      </x:c>
      <x:c r="E100" s="46" t="str">
        <x:v>Lutjanus malabaricus</x:v>
      </x:c>
      <x:c r="F100" s="46" t="str">
        <x:v>Malabar blood snapper</x:v>
      </x:c>
      <x:c r="G100" s="46" t="str">
        <x:v>Medium reef assoc. fish (30 - 89 cm)</x:v>
      </x:c>
      <x:c r="H100" s="46" t="str">
        <x:v>Perch-likes</x:v>
      </x:c>
      <x:c r="I100" s="60" t="n">
        <x:v>6033.2656647154</x:v>
      </x:c>
      <x:c r="J100" s="60" t="n">
        <x:v>6033.2656647154</x:v>
      </x:c>
      <x:c r="K100" s="60" t="n">
        <x:v>0</x:v>
      </x:c>
      <x:c r="L100" s="60" t="n">
        <x:v>2466.584949814</x:v>
      </x:c>
      <x:c r="M100" s="60" t="n">
        <x:v>3566.6807149014</x:v>
      </x:c>
      <x:c r="N100" s="46" t="str">
        <x:v>lutjanus malabaricus</x:v>
      </x:c>
      <x:c r="O100" s="62" t="n">
        <x:v>4.48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Lutjanus malabaricus</x:v>
      </x:c>
      <x:c r="T100" s="62" t="n">
        <x:f>IF(O100="","",(1/'Metadata'!$B$5)^(O100-1))</x:f>
        <x:v>33696.468277717824</x:v>
      </x:c>
      <x:c r="U100" s="60" t="n">
        <x:f>IF(T100="","",I100*T100)</x:f>
        <x:v>203299745.08212662</x:v>
      </x:c>
    </x:row>
    <x:row r="101" ht="18" customHeight="1">
      <x:c r="A101" s="46" t="str">
        <x:v>LME_032</x:v>
      </x:c>
      <x:c r="B101" s="46" t="str">
        <x:v>Arabian Sea</x:v>
      </x:c>
      <x:c r="C101" s="46" t="str">
        <x:v>LME</x:v>
      </x:c>
      <x:c r="D101" s="58" t="n">
        <x:v>2019</x:v>
      </x:c>
      <x:c r="E101" s="46" t="str">
        <x:v>Pomadasys stridens</x:v>
      </x:c>
      <x:c r="F101" s="46" t="str">
        <x:v>Striped piggy</x:v>
      </x:c>
      <x:c r="G101" s="46" t="str">
        <x:v>Small reef assoc. fish (&lt;30 cm)</x:v>
      </x:c>
      <x:c r="H101" s="46" t="str">
        <x:v>Perch-likes</x:v>
      </x:c>
      <x:c r="I101" s="60" t="n">
        <x:v>5917.5150241539</x:v>
      </x:c>
      <x:c r="J101" s="60" t="n">
        <x:v>5917.5150241539</x:v>
      </x:c>
      <x:c r="K101" s="60" t="n">
        <x:v>0</x:v>
      </x:c>
      <x:c r="L101" s="60" t="n">
        <x:v>1736.4029827425</x:v>
      </x:c>
      <x:c r="M101" s="60" t="n">
        <x:v>4181.1120414114</x:v>
      </x:c>
      <x:c r="N101" s="46" t="str">
        <x:v>pomadasys stridens</x:v>
      </x:c>
      <x:c r="O101" s="62" t="n">
        <x:v>4.02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Pomadasys stridens</x:v>
      </x:c>
      <x:c r="T101" s="62" t="n">
        <x:f>IF(O101="","",(1/'Metadata'!$B$5)^(O101-1))</x:f>
        <x:v>8493.967342839818</x:v>
      </x:c>
      <x:c r="U101" s="60" t="n">
        <x:f>IF(T101="","",I101*T101)</x:f>
        <x:v>50263179.36592721</x:v>
      </x:c>
    </x:row>
    <x:row r="102" ht="18" customHeight="1">
      <x:c r="A102" s="46" t="str">
        <x:v>LME_032</x:v>
      </x:c>
      <x:c r="B102" s="46" t="str">
        <x:v>Arabian Sea</x:v>
      </x:c>
      <x:c r="C102" s="46" t="str">
        <x:v>LME</x:v>
      </x:c>
      <x:c r="D102" s="58" t="n">
        <x:v>2019</x:v>
      </x:c>
      <x:c r="E102" s="46" t="str">
        <x:v>Istiompax indica</x:v>
      </x:c>
      <x:c r="F102" s="46" t="str">
        <x:v>Black marlin</x:v>
      </x:c>
      <x:c r="G102" s="46" t="str">
        <x:v>Large pelagics (&gt;=90 cm)</x:v>
      </x:c>
      <x:c r="H102" s="46" t="str">
        <x:v>Tuna &amp; billfishes</x:v>
      </x:c>
      <x:c r="I102" s="60" t="n">
        <x:v>5631.1001249368</x:v>
      </x:c>
      <x:c r="J102" s="60" t="n">
        <x:v>5631.1001249368</x:v>
      </x:c>
      <x:c r="K102" s="60" t="n">
        <x:v>0</x:v>
      </x:c>
      <x:c r="L102" s="60" t="n">
        <x:v>5628.0064412657</x:v>
      </x:c>
      <x:c r="M102" s="60" t="n">
        <x:v>3.0936836711</x:v>
      </x:c>
      <x:c r="N102" s="46" t="str">
        <x:v>istiompax indica</x:v>
      </x:c>
      <x:c r="O102" s="62" t="n">
        <x:v>4.5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Istiompax indica</x:v>
      </x:c>
      <x:c r="T102" s="62" t="n">
        <x:f>IF(O102="","",(1/'Metadata'!$B$5)^(O102-1))</x:f>
        <x:v>35777.08763999664</x:v>
      </x:c>
      <x:c r="U102" s="60" t="n">
        <x:f>IF(T102="","",I102*T102)</x:f>
        <x:v>201464362.6794599</x:v>
      </x:c>
    </x:row>
    <x:row r="103" ht="18" customHeight="1">
      <x:c r="A103" s="46" t="str">
        <x:v>LME_032</x:v>
      </x:c>
      <x:c r="B103" s="46" t="str">
        <x:v>Arabian Sea</x:v>
      </x:c>
      <x:c r="C103" s="46" t="str">
        <x:v>LME</x:v>
      </x:c>
      <x:c r="D103" s="58" t="n">
        <x:v>2019</x:v>
      </x:c>
      <x:c r="E103" s="46" t="str">
        <x:v>Trichiuridae</x:v>
      </x:c>
      <x:c r="F103" s="46" t="str">
        <x:v>Cutlassfishes</x:v>
      </x:c>
      <x:c r="G103" s="46" t="str">
        <x:v>Large benthopelagics (&gt;=90 cm)</x:v>
      </x:c>
      <x:c r="H103" s="46" t="str">
        <x:v>Perch-likes</x:v>
      </x:c>
      <x:c r="I103" s="60" t="n">
        <x:v>5549.854370037199</x:v>
      </x:c>
      <x:c r="J103" s="60" t="n">
        <x:v>5439.5267056566</x:v>
      </x:c>
      <x:c r="K103" s="60" t="n">
        <x:v>110.3276643806</x:v>
      </x:c>
      <x:c r="L103" s="60" t="n">
        <x:v>0</x:v>
      </x:c>
      <x:c r="M103" s="60" t="n">
        <x:v>5549.854370037199</x:v>
      </x:c>
      <x:c r="N103" s="46" t="str">
        <x:v>trichiuridae</x:v>
      </x:c>
      <x:c r="O103" s="62" t="n">
        <x:v>4.15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Trichiuridae</x:v>
      </x:c>
      <x:c r="T103" s="62" t="n">
        <x:f>IF(O103="","",(1/'Metadata'!$B$5)^(O103-1))</x:f>
        <x:v>12538.46830130465</x:v>
      </x:c>
      <x:c r="U103" s="60" t="n">
        <x:f>IF(T103="","",I103*T103)</x:f>
        <x:v>69586673.09556851</x:v>
      </x:c>
    </x:row>
    <x:row r="104" ht="18" customHeight="1">
      <x:c r="A104" s="46" t="str">
        <x:v>LME_032</x:v>
      </x:c>
      <x:c r="B104" s="46" t="str">
        <x:v>Arabian Sea</x:v>
      </x:c>
      <x:c r="C104" s="46" t="str">
        <x:v>LME</x:v>
      </x:c>
      <x:c r="D104" s="58" t="n">
        <x:v>2019</x:v>
      </x:c>
      <x:c r="E104" s="46" t="str">
        <x:v>Mytilidae</x:v>
      </x:c>
      <x:c r="F104" s="46" t="str">
        <x:v>Sea mussels</x:v>
      </x:c>
      <x:c r="G104" s="46" t="str">
        <x:v>Other demersal invertebrates</x:v>
      </x:c>
      <x:c r="H104" s="46" t="str">
        <x:v>Molluscs</x:v>
      </x:c>
      <x:c r="I104" s="60" t="n">
        <x:v>5115.2690789387</x:v>
      </x:c>
      <x:c r="J104" s="60" t="n">
        <x:v>5115.2690789387</x:v>
      </x:c>
      <x:c r="K104" s="60" t="n">
        <x:v>0</x:v>
      </x:c>
      <x:c r="L104" s="60" t="n">
        <x:v>0</x:v>
      </x:c>
      <x:c r="M104" s="60" t="n">
        <x:v>5115.2690789387</x:v>
      </x:c>
      <x:c r="N104" s="46" t="str">
        <x:v>mytilidae</x:v>
      </x:c>
      <x:c r="O104" s="62" t="n">
        <x:v>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Mytilidae</x:v>
      </x:c>
      <x:c r="T104" s="62" t="n">
        <x:f>IF(O104="","",(1/'Metadata'!$B$5)^(O104-1))</x:f>
        <x:v>20</x:v>
      </x:c>
      <x:c r="U104" s="60" t="n">
        <x:f>IF(T104="","",I104*T104)</x:f>
        <x:v>102305.38157877399</x:v>
      </x:c>
    </x:row>
    <x:row r="105" ht="18" customHeight="1">
      <x:c r="A105" s="46" t="str">
        <x:v>LME_032</x:v>
      </x:c>
      <x:c r="B105" s="46" t="str">
        <x:v>Arabian Sea</x:v>
      </x:c>
      <x:c r="C105" s="46" t="str">
        <x:v>LME</x:v>
      </x:c>
      <x:c r="D105" s="58" t="n">
        <x:v>2019</x:v>
      </x:c>
      <x:c r="E105" s="46" t="str">
        <x:v>Megalaspis cordyla</x:v>
      </x:c>
      <x:c r="F105" s="46" t="str">
        <x:v>Torpedo scad</x:v>
      </x:c>
      <x:c r="G105" s="46" t="str">
        <x:v>Medium pelagics (30 - 89 cm)</x:v>
      </x:c>
      <x:c r="H105" s="46" t="str">
        <x:v>Perch-likes</x:v>
      </x:c>
      <x:c r="I105" s="60" t="n">
        <x:v>5048.1551044468</x:v>
      </x:c>
      <x:c r="J105" s="60" t="n">
        <x:v>5048.1551044468</x:v>
      </x:c>
      <x:c r="K105" s="60" t="n">
        <x:v>0</x:v>
      </x:c>
      <x:c r="L105" s="60" t="n">
        <x:v>4470.0662796615</x:v>
      </x:c>
      <x:c r="M105" s="60" t="n">
        <x:v>578.0888247853001</x:v>
      </x:c>
      <x:c r="N105" s="46" t="str">
        <x:v>megalaspis cordyla</x:v>
      </x:c>
      <x:c r="O105" s="62" t="n">
        <x:v>4.24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Megalaspis cordyla</x:v>
      </x:c>
      <x:c r="T105" s="62" t="n">
        <x:f>IF(O105="","",(1/'Metadata'!$B$5)^(O105-1))</x:f>
        <x:v>16418.64020623336</x:v>
      </x:c>
      <x:c r="U105" s="60" t="n">
        <x:f>IF(T105="","",I105*T105)</x:f>
        <x:v>82883842.36517239</x:v>
      </x:c>
    </x:row>
    <x:row r="106" ht="18" customHeight="1">
      <x:c r="A106" s="46" t="str">
        <x:v>LME_032</x:v>
      </x:c>
      <x:c r="B106" s="46" t="str">
        <x:v>Arabian Sea</x:v>
      </x:c>
      <x:c r="C106" s="46" t="str">
        <x:v>LME</x:v>
      </x:c>
      <x:c r="D106" s="58" t="n">
        <x:v>2019</x:v>
      </x:c>
      <x:c r="E106" s="46" t="str">
        <x:v>Argyrops spinifer</x:v>
      </x:c>
      <x:c r="F106" s="46" t="str">
        <x:v>King soldier bream</x:v>
      </x:c>
      <x:c r="G106" s="46" t="str">
        <x:v>Medium demersals (30 - 89 cm)</x:v>
      </x:c>
      <x:c r="H106" s="46" t="str">
        <x:v>Perch-likes</x:v>
      </x:c>
      <x:c r="I106" s="60" t="n">
        <x:v>4872.8396818933</x:v>
      </x:c>
      <x:c r="J106" s="60" t="n">
        <x:v>4872.8396818933</x:v>
      </x:c>
      <x:c r="K106" s="60" t="n">
        <x:v>0</x:v>
      </x:c>
      <x:c r="L106" s="60" t="n">
        <x:v>3715.5191766248995</x:v>
      </x:c>
      <x:c r="M106" s="60" t="n">
        <x:v>1157.3205052684</x:v>
      </x:c>
      <x:c r="N106" s="46" t="str">
        <x:v>argyrops spinifer</x:v>
      </x:c>
      <x:c r="O106" s="62" t="n">
        <x:v>4.49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Argyrops spinifer</x:v>
      </x:c>
      <x:c r="T106" s="62" t="n">
        <x:f>IF(O106="","",(1/'Metadata'!$B$5)^(O106-1))</x:f>
        <x:v>34721.19667768202</x:v>
      </x:c>
      <x:c r="U106" s="60" t="n">
        <x:f>IF(T106="","",I106*T106)</x:f>
        <x:v>169190824.97383076</x:v>
      </x:c>
    </x:row>
    <x:row r="107" ht="18" customHeight="1">
      <x:c r="A107" s="46" t="str">
        <x:v>LME_032</x:v>
      </x:c>
      <x:c r="B107" s="46" t="str">
        <x:v>Arabian Sea</x:v>
      </x:c>
      <x:c r="C107" s="46" t="str">
        <x:v>LME</x:v>
      </x:c>
      <x:c r="D107" s="58" t="n">
        <x:v>2019</x:v>
      </x:c>
      <x:c r="E107" s="46" t="str">
        <x:v>Siganus</x:v>
      </x:c>
      <x:c r="F107" s="46" t="str">
        <x:v>Spinefoots</x:v>
      </x:c>
      <x:c r="G107" s="46" t="str">
        <x:v>Medium reef assoc. fish (30 - 89 cm)</x:v>
      </x:c>
      <x:c r="H107" s="46" t="str">
        <x:v>Perch-likes</x:v>
      </x:c>
      <x:c r="I107" s="60" t="n">
        <x:v>4772.0980873942</x:v>
      </x:c>
      <x:c r="J107" s="60" t="n">
        <x:v>4772.0980873942</x:v>
      </x:c>
      <x:c r="K107" s="60" t="n">
        <x:v>0</x:v>
      </x:c>
      <x:c r="L107" s="60" t="n">
        <x:v>4149.104424449</x:v>
      </x:c>
      <x:c r="M107" s="60" t="n">
        <x:v>622.9936629452</x:v>
      </x:c>
      <x:c r="N107" s="46" t="str">
        <x:v>siganus</x:v>
      </x:c>
      <x:c r="O107" s="62" t="n">
        <x:v>2.11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Siganus</x:v>
      </x:c>
      <x:c r="T107" s="62" t="n">
        <x:f>IF(O107="","",(1/'Metadata'!$B$5)^(O107-1))</x:f>
        <x:v>27.80630583702799</x:v>
      </x:c>
      <x:c r="U107" s="60" t="n">
        <x:f>IF(T107="","",I107*T107)</x:f>
        <x:v>132694.41890237943</x:v>
      </x:c>
    </x:row>
    <x:row r="108" ht="18" customHeight="1">
      <x:c r="A108" s="46" t="str">
        <x:v>LME_032</x:v>
      </x:c>
      <x:c r="B108" s="46" t="str">
        <x:v>Arabian Sea</x:v>
      </x:c>
      <x:c r="C108" s="46" t="str">
        <x:v>LME</x:v>
      </x:c>
      <x:c r="D108" s="58" t="n">
        <x:v>2019</x:v>
      </x:c>
      <x:c r="E108" s="46" t="str">
        <x:v>Lutjanus argentimaculatus</x:v>
      </x:c>
      <x:c r="F108" s="46" t="str">
        <x:v>Mangrove red snapper</x:v>
      </x:c>
      <x:c r="G108" s="46" t="str">
        <x:v>Large reef assoc. fish (&gt;=90 cm)</x:v>
      </x:c>
      <x:c r="H108" s="46" t="str">
        <x:v>Perch-likes</x:v>
      </x:c>
      <x:c r="I108" s="60" t="n">
        <x:v>4676.9197993163</x:v>
      </x:c>
      <x:c r="J108" s="60" t="n">
        <x:v>4676.9197993163</x:v>
      </x:c>
      <x:c r="K108" s="60" t="n">
        <x:v>0</x:v>
      </x:c>
      <x:c r="L108" s="60" t="n">
        <x:v>1176.097750317</x:v>
      </x:c>
      <x:c r="M108" s="60" t="n">
        <x:v>3500.8220489993</x:v>
      </x:c>
      <x:c r="N108" s="46" t="str">
        <x:v>lutjanus argentimaculatus</x:v>
      </x:c>
      <x:c r="O108" s="62" t="n">
        <x:v>3.58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Lutjanus argentimaculatus</x:v>
      </x:c>
      <x:c r="T108" s="62" t="n">
        <x:f>IF(O108="","",(1/'Metadata'!$B$5)^(O108-1))</x:f>
        <x:v>2273.3033337150473</x:v>
      </x:c>
      <x:c r="U108" s="60" t="n">
        <x:f>IF(T108="","",I108*T108)</x:f>
        <x:v>10632057.371303653</x:v>
      </x:c>
    </x:row>
    <x:row r="109" ht="18" customHeight="1">
      <x:c r="A109" s="46" t="str">
        <x:v>LME_032</x:v>
      </x:c>
      <x:c r="B109" s="46" t="str">
        <x:v>Arabian Sea</x:v>
      </x:c>
      <x:c r="C109" s="46" t="str">
        <x:v>LME</x:v>
      </x:c>
      <x:c r="D109" s="58" t="n">
        <x:v>2019</x:v>
      </x:c>
      <x:c r="E109" s="46" t="str">
        <x:v>Platycephalus indicus</x:v>
      </x:c>
      <x:c r="F109" s="46" t="str">
        <x:v>Bartail flathead</x:v>
      </x:c>
      <x:c r="G109" s="46" t="str">
        <x:v>Medium demersals (30 - 89 cm)</x:v>
      </x:c>
      <x:c r="H109" s="46" t="str">
        <x:v>Scorpionfishes</x:v>
      </x:c>
      <x:c r="I109" s="60" t="n">
        <x:v>4639.2364700763</x:v>
      </x:c>
      <x:c r="J109" s="60" t="n">
        <x:v>4639.2364700763</x:v>
      </x:c>
      <x:c r="K109" s="60" t="n">
        <x:v>0</x:v>
      </x:c>
      <x:c r="L109" s="60" t="n">
        <x:v>3097.4367730394997</x:v>
      </x:c>
      <x:c r="M109" s="60" t="n">
        <x:v>1541.7996970368</x:v>
      </x:c>
      <x:c r="N109" s="46" t="str">
        <x:v>platycephalus indicus</x:v>
      </x:c>
      <x:c r="O109" s="62" t="n">
        <x:v>3.6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Platycephalus indicus</x:v>
      </x:c>
      <x:c r="T109" s="62" t="n">
        <x:f>IF(O109="","",(1/'Metadata'!$B$5)^(O109-1))</x:f>
        <x:v>2413.670534618066</x:v>
      </x:c>
      <x:c r="U109" s="60" t="n">
        <x:f>IF(T109="","",I109*T109)</x:f>
        <x:v>11197588.370948693</x:v>
      </x:c>
    </x:row>
    <x:row r="110" ht="18" customHeight="1">
      <x:c r="A110" s="46" t="str">
        <x:v>LME_032</x:v>
      </x:c>
      <x:c r="B110" s="46" t="str">
        <x:v>Arabian Sea</x:v>
      </x:c>
      <x:c r="C110" s="46" t="str">
        <x:v>LME</x:v>
      </x:c>
      <x:c r="D110" s="58" t="n">
        <x:v>2019</x:v>
      </x:c>
      <x:c r="E110" s="46" t="str">
        <x:v>Caranx</x:v>
      </x:c>
      <x:c r="F110" s="46" t="str">
        <x:v>Jacks</x:v>
      </x:c>
      <x:c r="G110" s="46" t="str">
        <x:v>Medium reef assoc. fish (30 - 89 cm)</x:v>
      </x:c>
      <x:c r="H110" s="46" t="str">
        <x:v>Perch-likes</x:v>
      </x:c>
      <x:c r="I110" s="60" t="n">
        <x:v>4383.7471445651</x:v>
      </x:c>
      <x:c r="J110" s="60" t="n">
        <x:v>4383.7471445651</x:v>
      </x:c>
      <x:c r="K110" s="60" t="n">
        <x:v>0</x:v>
      </x:c>
      <x:c r="L110" s="60" t="n">
        <x:v>1976.9295560857</x:v>
      </x:c>
      <x:c r="M110" s="60" t="n">
        <x:v>2406.8175884794</x:v>
      </x:c>
      <x:c r="N110" s="46" t="str">
        <x:v>caranx</x:v>
      </x:c>
      <x:c r="O110" s="62" t="n">
        <x:v>4.12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Caranx</x:v>
      </x:c>
      <x:c r="T110" s="62" t="n">
        <x:f>IF(O110="","",(1/'Metadata'!$B$5)^(O110-1))</x:f>
        <x:v>11460.764444393179</x:v>
      </x:c>
      <x:c r="U110" s="60" t="n">
        <x:f>IF(T110="","",I110*T110)</x:f>
        <x:v>50241093.40764182</x:v>
      </x:c>
    </x:row>
    <x:row r="111" ht="18" customHeight="1">
      <x:c r="A111" s="46" t="str">
        <x:v>LME_032</x:v>
      </x:c>
      <x:c r="B111" s="46" t="str">
        <x:v>Arabian Sea</x:v>
      </x:c>
      <x:c r="C111" s="46" t="str">
        <x:v>LME</x:v>
      </x:c>
      <x:c r="D111" s="58" t="n">
        <x:v>2019</x:v>
      </x:c>
      <x:c r="E111" s="46" t="str">
        <x:v>Siganus canaliculatus</x:v>
      </x:c>
      <x:c r="F111" s="46" t="str">
        <x:v>White-spotted spinefoot</x:v>
      </x:c>
      <x:c r="G111" s="46" t="str">
        <x:v>Small reef assoc. fish (&lt;30 cm)</x:v>
      </x:c>
      <x:c r="H111" s="46" t="str">
        <x:v>Perch-likes</x:v>
      </x:c>
      <x:c r="I111" s="60" t="n">
        <x:v>4201.7667470129</x:v>
      </x:c>
      <x:c r="J111" s="60" t="n">
        <x:v>4201.7667470129</x:v>
      </x:c>
      <x:c r="K111" s="60" t="n">
        <x:v>0</x:v>
      </x:c>
      <x:c r="L111" s="60" t="n">
        <x:v>4085.8311604279</x:v>
      </x:c>
      <x:c r="M111" s="60" t="n">
        <x:v>115.93558658500001</x:v>
      </x:c>
      <x:c r="N111" s="46" t="str">
        <x:v>siganus canaliculatus</x:v>
      </x:c>
      <x:c r="O111" s="62" t="n">
        <x:v>2.76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Siganus canaliculatus</x:v>
      </x:c>
      <x:c r="T111" s="62" t="n">
        <x:f>IF(O111="","",(1/'Metadata'!$B$5)^(O111-1))</x:f>
        <x:v>194.90042779456948</x:v>
      </x:c>
      <x:c r="U111" s="60" t="n">
        <x:f>IF(T111="","",I111*T111)</x:f>
        <x:v>818926.1364858107</x:v>
      </x:c>
    </x:row>
    <x:row r="112" ht="18" customHeight="1">
      <x:c r="A112" s="46" t="str">
        <x:v>LME_032</x:v>
      </x:c>
      <x:c r="B112" s="46" t="str">
        <x:v>Arabian Sea</x:v>
      </x:c>
      <x:c r="C112" s="46" t="str">
        <x:v>LME</x:v>
      </x:c>
      <x:c r="D112" s="58" t="n">
        <x:v>2019</x:v>
      </x:c>
      <x:c r="E112" s="46" t="str">
        <x:v>Loliginidae</x:v>
      </x:c>
      <x:c r="F112" s="46" t="str">
        <x:v>Common pencil squids</x:v>
      </x:c>
      <x:c r="G112" s="46" t="str">
        <x:v>Cephalopods</x:v>
      </x:c>
      <x:c r="H112" s="46" t="str">
        <x:v>Other fishes &amp; inverts</x:v>
      </x:c>
      <x:c r="I112" s="60" t="n">
        <x:v>4199.4823197652995</x:v>
      </x:c>
      <x:c r="J112" s="60" t="n">
        <x:v>4199.4823197652995</x:v>
      </x:c>
      <x:c r="K112" s="60" t="n">
        <x:v>0</x:v>
      </x:c>
      <x:c r="L112" s="60" t="n">
        <x:v>3679.6459507287</x:v>
      </x:c>
      <x:c r="M112" s="60" t="n">
        <x:v>519.8363690366</x:v>
      </x:c>
      <x:c r="N112" s="46" t="str">
        <x:v>loliginidae</x:v>
      </x:c>
      <x:c r="O112" s="62" t="n">
        <x:v>3.9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Loliginidae</x:v>
      </x:c>
      <x:c r="T112" s="62" t="n">
        <x:f>IF(O112="","",(1/'Metadata'!$B$5)^(O112-1))</x:f>
        <x:v>5929.07559285558</x:v>
      </x:c>
      <x:c r="U112" s="60" t="n">
        <x:f>IF(T112="","",I112*T112)</x:f>
        <x:v>24899048.12474897</x:v>
      </x:c>
    </x:row>
    <x:row r="113" ht="18" customHeight="1">
      <x:c r="A113" s="46" t="str">
        <x:v>LME_032</x:v>
      </x:c>
      <x:c r="B113" s="46" t="str">
        <x:v>Arabian Sea</x:v>
      </x:c>
      <x:c r="C113" s="46" t="str">
        <x:v>LME</x:v>
      </x:c>
      <x:c r="D113" s="58" t="n">
        <x:v>2019</x:v>
      </x:c>
      <x:c r="E113" s="46" t="str">
        <x:v>Dendrobranchiata</x:v>
      </x:c>
      <x:c r="F113" s="46" t="str">
        <x:v>Shrimps and prawns</x:v>
      </x:c>
      <x:c r="G113" s="46" t="str">
        <x:v>Shrimps</x:v>
      </x:c>
      <x:c r="H113" s="46" t="str">
        <x:v>Crustaceans</x:v>
      </x:c>
      <x:c r="I113" s="60" t="n">
        <x:v>4051.9818168504003</x:v>
      </x:c>
      <x:c r="J113" s="60" t="n">
        <x:v>4051.9818168504003</x:v>
      </x:c>
      <x:c r="K113" s="60" t="n">
        <x:v>0</x:v>
      </x:c>
      <x:c r="L113" s="60" t="n">
        <x:v>0</x:v>
      </x:c>
      <x:c r="M113" s="60" t="n">
        <x:v>4051.9818168504003</x:v>
      </x:c>
      <x:c r="N113" s="46" t="str">
        <x:v>dendrobranchiata</x:v>
      </x:c>
      <x:c r="O113" s="62" t="n">
        <x:v>3.24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Dendrobranchiata</x:v>
      </x:c>
      <x:c r="T113" s="62" t="n">
        <x:f>IF(O113="","",(1/'Metadata'!$B$5)^(O113-1))</x:f>
        <x:v>820.9320103116679</x:v>
      </x:c>
      <x:c r="U113" s="60" t="n">
        <x:f>IF(T113="","",I113*T113)</x:f>
        <x:v>3326401.5786533235</x:v>
      </x:c>
    </x:row>
    <x:row r="114" ht="18" customHeight="1">
      <x:c r="A114" s="46" t="str">
        <x:v>LME_032</x:v>
      </x:c>
      <x:c r="B114" s="46" t="str">
        <x:v>Arabian Sea</x:v>
      </x:c>
      <x:c r="C114" s="46" t="str">
        <x:v>LME</x:v>
      </x:c>
      <x:c r="D114" s="58" t="n">
        <x:v>2019</x:v>
      </x:c>
      <x:c r="E114" s="46" t="str">
        <x:v>Bramidae</x:v>
      </x:c>
      <x:c r="F114" s="46" t="str">
        <x:v>Pomfrets</x:v>
      </x:c>
      <x:c r="G114" s="46" t="str">
        <x:v>Medium pelagics (30 - 89 cm)</x:v>
      </x:c>
      <x:c r="H114" s="46" t="str">
        <x:v>Perch-likes</x:v>
      </x:c>
      <x:c r="I114" s="60" t="n">
        <x:v>4024.8289387547998</x:v>
      </x:c>
      <x:c r="J114" s="60" t="n">
        <x:v>4015.330792501</x:v>
      </x:c>
      <x:c r="K114" s="60" t="n">
        <x:v>9.4981462538</x:v>
      </x:c>
      <x:c r="L114" s="60" t="n">
        <x:v>4015.330792501</x:v>
      </x:c>
      <x:c r="M114" s="60" t="n">
        <x:v>9.4981462538</x:v>
      </x:c>
      <x:c r="N114" s="46" t="str">
        <x:v>bramidae</x:v>
      </x:c>
      <x:c r="O114" s="62" t="n">
        <x:v>4.14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Bramidae</x:v>
      </x:c>
      <x:c r="T114" s="62" t="n">
        <x:f>IF(O114="","",(1/'Metadata'!$B$5)^(O114-1))</x:f>
        <x:v>12168.419864331923</x:v>
      </x:c>
      <x:c r="U114" s="60" t="n">
        <x:f>IF(T114="","",I114*T114)</x:f>
        <x:v>48975808.40888188</x:v>
      </x:c>
    </x:row>
    <x:row r="115" ht="18" customHeight="1">
      <x:c r="A115" s="46" t="str">
        <x:v>LME_032</x:v>
      </x:c>
      <x:c r="B115" s="46" t="str">
        <x:v>Arabian Sea</x:v>
      </x:c>
      <x:c r="C115" s="46" t="str">
        <x:v>LME</x:v>
      </x:c>
      <x:c r="D115" s="58" t="n">
        <x:v>2019</x:v>
      </x:c>
      <x:c r="E115" s="46" t="str">
        <x:v>Muraenesox cinereus</x:v>
      </x:c>
      <x:c r="F115" s="46" t="str">
        <x:v>Daggertooth pike conger</x:v>
      </x:c>
      <x:c r="G115" s="46" t="str">
        <x:v>Large demersals (&gt;=90 cm)</x:v>
      </x:c>
      <x:c r="H115" s="46" t="str">
        <x:v>Other fishes &amp; inverts</x:v>
      </x:c>
      <x:c r="I115" s="60" t="n">
        <x:v>3930.2298300903</x:v>
      </x:c>
      <x:c r="J115" s="60" t="n">
        <x:v>3930.2298300903</x:v>
      </x:c>
      <x:c r="K115" s="60" t="n">
        <x:v>0</x:v>
      </x:c>
      <x:c r="L115" s="60" t="n">
        <x:v>361.6062889621</x:v>
      </x:c>
      <x:c r="M115" s="60" t="n">
        <x:v>3568.6235411282</x:v>
      </x:c>
      <x:c r="N115" s="46" t="str">
        <x:v>muraenesox cinereus</x:v>
      </x:c>
      <x:c r="O115" s="62" t="n">
        <x:v>4.38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Muraenesox cinereus</x:v>
      </x:c>
      <x:c r="T115" s="62" t="n">
        <x:f>IF(O115="","",(1/'Metadata'!$B$5)^(O115-1))</x:f>
        <x:v>24973.6134538561</x:v>
      </x:c>
      <x:c r="U115" s="60" t="n">
        <x:f>IF(T115="","",I115*T115)</x:f>
        <x:v>98152040.56148969</x:v>
      </x:c>
    </x:row>
    <x:row r="116" ht="18" customHeight="1">
      <x:c r="A116" s="46" t="str">
        <x:v>LME_032</x:v>
      </x:c>
      <x:c r="B116" s="46" t="str">
        <x:v>Arabian Sea</x:v>
      </x:c>
      <x:c r="C116" s="46" t="str">
        <x:v>LME</x:v>
      </x:c>
      <x:c r="D116" s="58" t="n">
        <x:v>2019</x:v>
      </x:c>
      <x:c r="E116" s="46" t="str">
        <x:v>Lethrinus lentjan</x:v>
      </x:c>
      <x:c r="F116" s="46" t="str">
        <x:v>Pink ear emperor</x:v>
      </x:c>
      <x:c r="G116" s="46" t="str">
        <x:v>Medium demersals (30 - 89 cm)</x:v>
      </x:c>
      <x:c r="H116" s="46" t="str">
        <x:v>Perch-likes</x:v>
      </x:c>
      <x:c r="I116" s="60" t="n">
        <x:v>3909.7686553739</x:v>
      </x:c>
      <x:c r="J116" s="60" t="n">
        <x:v>3909.7686553739</x:v>
      </x:c>
      <x:c r="K116" s="60" t="n">
        <x:v>0</x:v>
      </x:c>
      <x:c r="L116" s="60" t="n">
        <x:v>2962.3532759919</x:v>
      </x:c>
      <x:c r="M116" s="60" t="n">
        <x:v>947.415379382</x:v>
      </x:c>
      <x:c r="N116" s="46" t="str">
        <x:v>lethrinus lentjan</x:v>
      </x:c>
      <x:c r="O116" s="62" t="n">
        <x:v>3.94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Lethrinus lentjan</x:v>
      </x:c>
      <x:c r="T116" s="62" t="n">
        <x:f>IF(O116="","",(1/'Metadata'!$B$5)^(O116-1))</x:f>
        <x:v>6683.872968668722</x:v>
      </x:c>
      <x:c r="U116" s="60" t="n">
        <x:f>IF(T116="","",I116*T116)</x:f>
        <x:v>26132397.029401865</x:v>
      </x:c>
    </x:row>
    <x:row r="117" ht="18" customHeight="1">
      <x:c r="A117" s="46" t="str">
        <x:v>LME_032</x:v>
      </x:c>
      <x:c r="B117" s="46" t="str">
        <x:v>Arabian Sea</x:v>
      </x:c>
      <x:c r="C117" s="46" t="str">
        <x:v>LME</x:v>
      </x:c>
      <x:c r="D117" s="58" t="n">
        <x:v>2019</x:v>
      </x:c>
      <x:c r="E117" s="46" t="str">
        <x:v>Chirocentrus dorab</x:v>
      </x:c>
      <x:c r="F117" s="46" t="str">
        <x:v>Dorab wolf-herring</x:v>
      </x:c>
      <x:c r="G117" s="46" t="str">
        <x:v>Large benthopelagics (&gt;=90 cm)</x:v>
      </x:c>
      <x:c r="H117" s="46" t="str">
        <x:v>Herring-likes</x:v>
      </x:c>
      <x:c r="I117" s="60" t="n">
        <x:v>3734.4738539784003</x:v>
      </x:c>
      <x:c r="J117" s="60" t="n">
        <x:v>3734.4738539784003</x:v>
      </x:c>
      <x:c r="K117" s="60" t="n">
        <x:v>0</x:v>
      </x:c>
      <x:c r="L117" s="60" t="n">
        <x:v>2834.5869343883</x:v>
      </x:c>
      <x:c r="M117" s="60" t="n">
        <x:v>899.8869195901001</x:v>
      </x:c>
      <x:c r="N117" s="46" t="str">
        <x:v>chirocentrus dorab</x:v>
      </x:c>
      <x:c r="O117" s="62" t="n">
        <x:v>4.2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Chirocentrus dorab</x:v>
      </x:c>
      <x:c r="T117" s="62" t="n">
        <x:f>IF(O117="","",(1/'Metadata'!$B$5)^(O117-1))</x:f>
        <x:v>14564.51362420865</x:v>
      </x:c>
      <x:c r="U117" s="60" t="n">
        <x:f>IF(T117="","",I117*T117)</x:f>
        <x:v>54390795.3255194</x:v>
      </x:c>
    </x:row>
    <x:row r="118" ht="18" customHeight="1">
      <x:c r="A118" s="46" t="str">
        <x:v>LME_032</x:v>
      </x:c>
      <x:c r="B118" s="46" t="str">
        <x:v>Arabian Sea</x:v>
      </x:c>
      <x:c r="C118" s="46" t="str">
        <x:v>LME</x:v>
      </x:c>
      <x:c r="D118" s="58" t="n">
        <x:v>2019</x:v>
      </x:c>
      <x:c r="E118" s="46" t="str">
        <x:v>Congresox talabonoides</x:v>
      </x:c>
      <x:c r="F118" s="46" t="str">
        <x:v>Indian pike conger</x:v>
      </x:c>
      <x:c r="G118" s="46" t="str">
        <x:v>Large demersals (&gt;=90 cm)</x:v>
      </x:c>
      <x:c r="H118" s="46" t="str">
        <x:v>Other fishes &amp; inverts</x:v>
      </x:c>
      <x:c r="I118" s="60" t="n">
        <x:v>3723.9022587369004</x:v>
      </x:c>
      <x:c r="J118" s="60" t="n">
        <x:v>3723.9022587369004</x:v>
      </x:c>
      <x:c r="K118" s="60" t="n">
        <x:v>0</x:v>
      </x:c>
      <x:c r="L118" s="60" t="n">
        <x:v>280.4423327417</x:v>
      </x:c>
      <x:c r="M118" s="60" t="n">
        <x:v>3443.4599259952</x:v>
      </x:c>
      <x:c r="N118" s="46" t="str">
        <x:v>congresox talabonoides</x:v>
      </x:c>
      <x:c r="O118" s="62" t="n">
        <x:v>4.3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Congresox talabonoides</x:v>
      </x:c>
      <x:c r="T118" s="62" t="n">
        <x:f>IF(O118="","",(1/'Metadata'!$B$5)^(O118-1))</x:f>
        <x:v>19651.648417852637</x:v>
      </x:c>
      <x:c r="U118" s="60" t="n">
        <x:f>IF(T118="","",I118*T118)</x:f>
        <x:v>73180817.93114486</x:v>
      </x:c>
    </x:row>
    <x:row r="119" ht="18" customHeight="1">
      <x:c r="A119" s="46" t="str">
        <x:v>LME_032</x:v>
      </x:c>
      <x:c r="B119" s="46" t="str">
        <x:v>Arabian Sea</x:v>
      </x:c>
      <x:c r="C119" s="46" t="str">
        <x:v>LME</x:v>
      </x:c>
      <x:c r="D119" s="58" t="n">
        <x:v>2019</x:v>
      </x:c>
      <x:c r="E119" s="46" t="str">
        <x:v>Sphyraenidae</x:v>
      </x:c>
      <x:c r="F119" s="46" t="str">
        <x:v>Barracudas</x:v>
      </x:c>
      <x:c r="G119" s="46" t="str">
        <x:v>Medium reef assoc. fish (30 - 89 cm)</x:v>
      </x:c>
      <x:c r="H119" s="46" t="str">
        <x:v>Perch-likes</x:v>
      </x:c>
      <x:c r="I119" s="60" t="n">
        <x:v>3711.7653841956</x:v>
      </x:c>
      <x:c r="J119" s="60" t="n">
        <x:v>3601.2225417876</x:v>
      </x:c>
      <x:c r="K119" s="60" t="n">
        <x:v>110.542842408</x:v>
      </x:c>
      <x:c r="L119" s="60" t="n">
        <x:v>2439.8981545124</x:v>
      </x:c>
      <x:c r="M119" s="60" t="n">
        <x:v>1271.8672296831999</x:v>
      </x:c>
      <x:c r="N119" s="46" t="str">
        <x:v>sphyraenidae</x:v>
      </x:c>
      <x:c r="O119" s="62" t="n">
        <x:v>4.4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Sphyraenidae</x:v>
      </x:c>
      <x:c r="T119" s="62" t="n">
        <x:f>IF(O119="","",(1/'Metadata'!$B$5)^(O119-1))</x:f>
        <x:v>26515.632138719924</x:v>
      </x:c>
      <x:c r="U119" s="60" t="n">
        <x:f>IF(T119="","",I119*T119)</x:f>
        <x:v>98419805.51256496</x:v>
      </x:c>
    </x:row>
    <x:row r="120" ht="18" customHeight="1">
      <x:c r="A120" s="46" t="str">
        <x:v>LME_032</x:v>
      </x:c>
      <x:c r="B120" s="46" t="str">
        <x:v>Arabian Sea</x:v>
      </x:c>
      <x:c r="C120" s="46" t="str">
        <x:v>LME</x:v>
      </x:c>
      <x:c r="D120" s="58" t="n">
        <x:v>2019</x:v>
      </x:c>
      <x:c r="E120" s="46" t="str">
        <x:v>Chondrichthyes</x:v>
      </x:c>
      <x:c r="F120" s="46" t="str">
        <x:v>Sharks, rays, chimaeras</x:v>
      </x:c>
      <x:c r="G120" s="46" t="str">
        <x:v>Large sharks (&gt;=90 cm)</x:v>
      </x:c>
      <x:c r="H120" s="46" t="str">
        <x:v>Sharks &amp; rays</x:v>
      </x:c>
      <x:c r="I120" s="60" t="n">
        <x:v>3575.7513988515</x:v>
      </x:c>
      <x:c r="J120" s="60" t="n">
        <x:v>1008.1900934465001</x:v>
      </x:c>
      <x:c r="K120" s="60" t="n">
        <x:v>2567.561305405</x:v>
      </x:c>
      <x:c r="L120" s="60" t="n">
        <x:v>894.0560586605001</x:v>
      </x:c>
      <x:c r="M120" s="60" t="n">
        <x:v>2681.695340191</x:v>
      </x:c>
      <x:c r="N120" s="46" t="str">
        <x:v>chondrichthyes</x:v>
      </x:c>
      <x:c r="O120" s="62" t="n">
        <x:v>4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Chondrichthyes</x:v>
      </x:c>
      <x:c r="T120" s="62" t="n">
        <x:f>IF(O120="","",(1/'Metadata'!$B$5)^(O120-1))</x:f>
        <x:v>8000</x:v>
      </x:c>
      <x:c r="U120" s="60" t="n">
        <x:f>IF(T120="","",I120*T120)</x:f>
        <x:v>28606011.190812003</x:v>
      </x:c>
    </x:row>
    <x:row r="121" ht="18" customHeight="1">
      <x:c r="A121" s="46" t="str">
        <x:v>LME_032</x:v>
      </x:c>
      <x:c r="B121" s="46" t="str">
        <x:v>Arabian Sea</x:v>
      </x:c>
      <x:c r="C121" s="46" t="str">
        <x:v>LME</x:v>
      </x:c>
      <x:c r="D121" s="58" t="n">
        <x:v>2019</x:v>
      </x:c>
      <x:c r="E121" s="46" t="str">
        <x:v>Hemiramphus</x:v>
      </x:c>
      <x:c r="F121" s="46" t="str">
        <x:v>Halfbeaks</x:v>
      </x:c>
      <x:c r="G121" s="46" t="str">
        <x:v>Medium pelagics (30 - 89 cm)</x:v>
      </x:c>
      <x:c r="H121" s="46" t="str">
        <x:v>Other fishes &amp; inverts</x:v>
      </x:c>
      <x:c r="I121" s="60" t="n">
        <x:v>3439.2558298078998</x:v>
      </x:c>
      <x:c r="J121" s="60" t="n">
        <x:v>3074.0866887009</x:v>
      </x:c>
      <x:c r="K121" s="60" t="n">
        <x:v>365.169141107</x:v>
      </x:c>
      <x:c r="L121" s="60" t="n">
        <x:v>3025.4642751434</x:v>
      </x:c>
      <x:c r="M121" s="60" t="n">
        <x:v>413.7915546645</x:v>
      </x:c>
      <x:c r="N121" s="46" t="str">
        <x:v>hemiramphus</x:v>
      </x:c>
      <x:c r="O121" s="62" t="n">
        <x:v>3.05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Hemiramphus</x:v>
      </x:c>
      <x:c r="T121" s="62" t="n">
        <x:f>IF(O121="","",(1/'Metadata'!$B$5)^(O121-1))</x:f>
        <x:v>464.63453985661664</x:v>
      </x:c>
      <x:c r="U121" s="60" t="n">
        <x:f>IF(T121="","",I121*T121)</x:f>
        <x:v>1597997.0499319797</x:v>
      </x:c>
    </x:row>
    <x:row r="122" ht="18" customHeight="1">
      <x:c r="A122" s="46" t="str">
        <x:v>LME_032</x:v>
      </x:c>
      <x:c r="B122" s="46" t="str">
        <x:v>Arabian Sea</x:v>
      </x:c>
      <x:c r="C122" s="46" t="str">
        <x:v>LME</x:v>
      </x:c>
      <x:c r="D122" s="58" t="n">
        <x:v>2019</x:v>
      </x:c>
      <x:c r="E122" s="46" t="str">
        <x:v>Pomadasys</x:v>
      </x:c>
      <x:c r="F122" s="46" t="str">
        <x:v>Grunters</x:v>
      </x:c>
      <x:c r="G122" s="46" t="str">
        <x:v>Medium demersals (30 - 89 cm)</x:v>
      </x:c>
      <x:c r="H122" s="46" t="str">
        <x:v>Perch-likes</x:v>
      </x:c>
      <x:c r="I122" s="60" t="n">
        <x:v>3395.1807591501997</x:v>
      </x:c>
      <x:c r="J122" s="60" t="n">
        <x:v>3395.1807591501997</x:v>
      </x:c>
      <x:c r="K122" s="60" t="n">
        <x:v>0</x:v>
      </x:c>
      <x:c r="L122" s="60" t="n">
        <x:v>3276.1232577957</x:v>
      </x:c>
      <x:c r="M122" s="60" t="n">
        <x:v>119.0575013545</x:v>
      </x:c>
      <x:c r="N122" s="46" t="str">
        <x:v>pomadasys</x:v>
      </x:c>
      <x:c r="O122" s="62" t="n">
        <x:v>3.59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Pomadasys</x:v>
      </x:c>
      <x:c r="T122" s="62" t="n">
        <x:f>IF(O122="","",(1/'Metadata'!$B$5)^(O122-1))</x:f>
        <x:v>2342.4357563948306</x:v>
      </x:c>
      <x:c r="U122" s="60" t="n">
        <x:f>IF(T122="","",I122*T122)</x:f>
        <x:v>7952992.809657173</x:v>
      </x:c>
    </x:row>
    <x:row r="123" ht="18" customHeight="1">
      <x:c r="A123" s="46" t="str">
        <x:v>LME_032</x:v>
      </x:c>
      <x:c r="B123" s="46" t="str">
        <x:v>Arabian Sea</x:v>
      </x:c>
      <x:c r="C123" s="46" t="str">
        <x:v>LME</x:v>
      </x:c>
      <x:c r="D123" s="58" t="n">
        <x:v>2019</x:v>
      </x:c>
      <x:c r="E123" s="46" t="str">
        <x:v>Pampus chinensis</x:v>
      </x:c>
      <x:c r="F123" s="46" t="str">
        <x:v>Chinese silver pomfret</x:v>
      </x:c>
      <x:c r="G123" s="46" t="str">
        <x:v>Medium benthopelagics (30 - 89 cm)</x:v>
      </x:c>
      <x:c r="H123" s="46" t="str">
        <x:v>Perch-likes</x:v>
      </x:c>
      <x:c r="I123" s="60" t="n">
        <x:v>3387.4003448364</x:v>
      </x:c>
      <x:c r="J123" s="60" t="n">
        <x:v>3387.4003448364</x:v>
      </x:c>
      <x:c r="K123" s="60" t="n">
        <x:v>0</x:v>
      </x:c>
      <x:c r="L123" s="60" t="n">
        <x:v>1274.0748450821</x:v>
      </x:c>
      <x:c r="M123" s="60" t="n">
        <x:v>2113.3254997543</x:v>
      </x:c>
      <x:c r="N123" s="46" t="str">
        <x:v>pampus chinensis</x:v>
      </x:c>
      <x:c r="O123" s="62" t="n">
        <x:v>3.6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Pampus chinensis</x:v>
      </x:c>
      <x:c r="T123" s="62" t="n">
        <x:f>IF(O123="","",(1/'Metadata'!$B$5)^(O123-1))</x:f>
        <x:v>2413.670534618066</x:v>
      </x:c>
      <x:c r="U123" s="60" t="n">
        <x:f>IF(T123="","",I123*T123)</x:f>
        <x:v>8176068.401286695</x:v>
      </x:c>
    </x:row>
    <x:row r="124" ht="18" customHeight="1">
      <x:c r="A124" s="46" t="str">
        <x:v>LME_032</x:v>
      </x:c>
      <x:c r="B124" s="46" t="str">
        <x:v>Arabian Sea</x:v>
      </x:c>
      <x:c r="C124" s="46" t="str">
        <x:v>LME</x:v>
      </x:c>
      <x:c r="D124" s="58" t="n">
        <x:v>2019</x:v>
      </x:c>
      <x:c r="E124" s="46" t="str">
        <x:v>Rhabdosargus haffara</x:v>
      </x:c>
      <x:c r="F124" s="46" t="str">
        <x:v>Haffara seabream</x:v>
      </x:c>
      <x:c r="G124" s="46" t="str">
        <x:v>Medium reef assoc. fish (30 - 89 cm)</x:v>
      </x:c>
      <x:c r="H124" s="46" t="str">
        <x:v>Perch-likes</x:v>
      </x:c>
      <x:c r="I124" s="60" t="n">
        <x:v>2798.7202289907</x:v>
      </x:c>
      <x:c r="J124" s="60" t="n">
        <x:v>2798.7202289907</x:v>
      </x:c>
      <x:c r="K124" s="60" t="n">
        <x:v>0</x:v>
      </x:c>
      <x:c r="L124" s="60" t="n">
        <x:v>2463.0816468049998</x:v>
      </x:c>
      <x:c r="M124" s="60" t="n">
        <x:v>335.6385821857</x:v>
      </x:c>
      <x:c r="N124" s="46" t="str">
        <x:v>rhabdosargus haffara</x:v>
      </x:c>
      <x:c r="O124" s="62" t="n">
        <x:v>3.5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Rhabdosargus haffara</x:v>
      </x:c>
      <x:c r="T124" s="62" t="n">
        <x:f>IF(O124="","",(1/'Metadata'!$B$5)^(O124-1))</x:f>
        <x:v>1788.8543819998317</x:v>
      </x:c>
      <x:c r="U124" s="60" t="n">
        <x:f>IF(T124="","",I124*T124)</x:f>
        <x:v>5006502.945621586</x:v>
      </x:c>
    </x:row>
    <x:row r="125" ht="18" customHeight="1">
      <x:c r="A125" s="46" t="str">
        <x:v>LME_032</x:v>
      </x:c>
      <x:c r="B125" s="46" t="str">
        <x:v>Arabian Sea</x:v>
      </x:c>
      <x:c r="C125" s="46" t="str">
        <x:v>LME</x:v>
      </x:c>
      <x:c r="D125" s="58" t="n">
        <x:v>2019</x:v>
      </x:c>
      <x:c r="E125" s="46" t="str">
        <x:v>Istiophoridae</x:v>
      </x:c>
      <x:c r="F125" s="46" t="str">
        <x:v>Billfishes</x:v>
      </x:c>
      <x:c r="G125" s="46" t="str">
        <x:v>Large pelagics (&gt;=90 cm)</x:v>
      </x:c>
      <x:c r="H125" s="46" t="str">
        <x:v>Tuna &amp; billfishes</x:v>
      </x:c>
      <x:c r="I125" s="60" t="n">
        <x:v>2773.8432474310002</x:v>
      </x:c>
      <x:c r="J125" s="60" t="n">
        <x:v>2755.9429366726004</x:v>
      </x:c>
      <x:c r="K125" s="60" t="n">
        <x:v>17.9003107584</x:v>
      </x:c>
      <x:c r="L125" s="60" t="n">
        <x:v>2251.8021377530004</x:v>
      </x:c>
      <x:c r="M125" s="60" t="n">
        <x:v>522.041109678</x:v>
      </x:c>
      <x:c r="N125" s="46" t="str">
        <x:v>istiophoridae</x:v>
      </x:c>
      <x:c r="O125" s="62" t="n">
        <x:v>4.48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Istiophoridae</x:v>
      </x:c>
      <x:c r="T125" s="62" t="n">
        <x:f>IF(O125="","",(1/'Metadata'!$B$5)^(O125-1))</x:f>
        <x:v>33696.468277717824</x:v>
      </x:c>
      <x:c r="U125" s="60" t="n">
        <x:f>IF(T125="","",I125*T125)</x:f>
        <x:v>93468720.9944205</x:v>
      </x:c>
    </x:row>
    <x:row r="126" ht="18" customHeight="1">
      <x:c r="A126" s="46" t="str">
        <x:v>LME_032</x:v>
      </x:c>
      <x:c r="B126" s="46" t="str">
        <x:v>Arabian Sea</x:v>
      </x:c>
      <x:c r="C126" s="46" t="str">
        <x:v>LME</x:v>
      </x:c>
      <x:c r="D126" s="58" t="n">
        <x:v>2019</x:v>
      </x:c>
      <x:c r="E126" s="46" t="str">
        <x:v>Saurida</x:v>
      </x:c>
      <x:c r="F126" s="46" t="str">
        <x:v>Lizardfishes</x:v>
      </x:c>
      <x:c r="G126" s="46" t="str">
        <x:v>Medium demersals (30 - 89 cm)</x:v>
      </x:c>
      <x:c r="H126" s="46" t="str">
        <x:v>Other fishes &amp; inverts</x:v>
      </x:c>
      <x:c r="I126" s="60" t="n">
        <x:v>2762.4461922143</x:v>
      </x:c>
      <x:c r="J126" s="60" t="n">
        <x:v>2762.4461922143</x:v>
      </x:c>
      <x:c r="K126" s="60" t="n">
        <x:v>0</x:v>
      </x:c>
      <x:c r="L126" s="60" t="n">
        <x:v>1276.8475306231</x:v>
      </x:c>
      <x:c r="M126" s="60" t="n">
        <x:v>1485.5986615912</x:v>
      </x:c>
      <x:c r="N126" s="46" t="str">
        <x:v>saurida</x:v>
      </x:c>
      <x:c r="O126" s="62" t="n">
        <x:v>4.35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Saurida</x:v>
      </x:c>
      <x:c r="T126" s="62" t="n">
        <x:f>IF(O126="","",(1/'Metadata'!$B$5)^(O126-1))</x:f>
        <x:v>22827.086550132422</x:v>
      </x:c>
      <x:c r="U126" s="60" t="n">
        <x:f>IF(T126="","",I126*T126)</x:f>
        <x:v>63058598.31975957</x:v>
      </x:c>
    </x:row>
    <x:row r="127" ht="18" customHeight="1">
      <x:c r="A127" s="46" t="str">
        <x:v>LME_032</x:v>
      </x:c>
      <x:c r="B127" s="46" t="str">
        <x:v>Arabian Sea</x:v>
      </x:c>
      <x:c r="C127" s="46" t="str">
        <x:v>LME</x:v>
      </x:c>
      <x:c r="D127" s="58" t="n">
        <x:v>2019</x:v>
      </x:c>
      <x:c r="E127" s="46" t="str">
        <x:v>Mugil cephalus</x:v>
      </x:c>
      <x:c r="F127" s="46" t="str">
        <x:v>Flathead grey mullet</x:v>
      </x:c>
      <x:c r="G127" s="46" t="str">
        <x:v>Large benthopelagics (&gt;=90 cm)</x:v>
      </x:c>
      <x:c r="H127" s="46" t="str">
        <x:v>Perch-likes</x:v>
      </x:c>
      <x:c r="I127" s="60" t="n">
        <x:v>2731.5674429419</x:v>
      </x:c>
      <x:c r="J127" s="60" t="n">
        <x:v>2491.5239236417</x:v>
      </x:c>
      <x:c r="K127" s="60" t="n">
        <x:v>240.0435193002</x:v>
      </x:c>
      <x:c r="L127" s="60" t="n">
        <x:v>0</x:v>
      </x:c>
      <x:c r="M127" s="60" t="n">
        <x:v>2731.5674429419</x:v>
      </x:c>
      <x:c r="N127" s="46" t="str">
        <x:v>mugil cephalus</x:v>
      </x:c>
      <x:c r="O127" s="62" t="n">
        <x:v>2.14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Mugil cephalus</x:v>
      </x:c>
      <x:c r="T127" s="62" t="n">
        <x:f>IF(O127="","",(1/'Metadata'!$B$5)^(O127-1))</x:f>
        <x:v>30.421049660829848</x:v>
      </x:c>
      <x:c r="U127" s="60" t="n">
        <x:f>IF(T127="","",I127*T127)</x:f>
        <x:v>83097.14883364154</x:v>
      </x:c>
    </x:row>
    <x:row r="128" ht="18" customHeight="1">
      <x:c r="A128" s="46" t="str">
        <x:v>LME_032</x:v>
      </x:c>
      <x:c r="B128" s="46" t="str">
        <x:v>Arabian Sea</x:v>
      </x:c>
      <x:c r="C128" s="46" t="str">
        <x:v>LME</x:v>
      </x:c>
      <x:c r="D128" s="58" t="n">
        <x:v>2019</x:v>
      </x:c>
      <x:c r="E128" s="46" t="str">
        <x:v>Epinephelus malabaricus</x:v>
      </x:c>
      <x:c r="F128" s="46" t="str">
        <x:v>Malabar grouper</x:v>
      </x:c>
      <x:c r="G128" s="46" t="str">
        <x:v>Large reef assoc. fish (&gt;=90 cm)</x:v>
      </x:c>
      <x:c r="H128" s="46" t="str">
        <x:v>Perch-likes</x:v>
      </x:c>
      <x:c r="I128" s="60" t="n">
        <x:v>2583.9714599016997</x:v>
      </x:c>
      <x:c r="J128" s="60" t="n">
        <x:v>2583.9714599016997</x:v>
      </x:c>
      <x:c r="K128" s="60" t="n">
        <x:v>0</x:v>
      </x:c>
      <x:c r="L128" s="60" t="n">
        <x:v>0</x:v>
      </x:c>
      <x:c r="M128" s="60" t="n">
        <x:v>2583.9714599016997</x:v>
      </x:c>
      <x:c r="N128" s="46" t="str">
        <x:v>epinephelus malabaricus</x:v>
      </x:c>
      <x:c r="O128" s="62" t="n">
        <x:v>4.16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Epinephelus malabaricus</x:v>
      </x:c>
      <x:c r="T128" s="62" t="n">
        <x:f>IF(O128="","",(1/'Metadata'!$B$5)^(O128-1))</x:f>
        <x:v>12919.77011769987</x:v>
      </x:c>
      <x:c r="U128" s="60" t="n">
        <x:f>IF(T128="","",I128*T128)</x:f>
        <x:v>33384317.25262729</x:v>
      </x:c>
    </x:row>
    <x:row r="129" ht="18" customHeight="1">
      <x:c r="A129" s="46" t="str">
        <x:v>LME_032</x:v>
      </x:c>
      <x:c r="B129" s="46" t="str">
        <x:v>Arabian Sea</x:v>
      </x:c>
      <x:c r="C129" s="46" t="str">
        <x:v>LME</x:v>
      </x:c>
      <x:c r="D129" s="58" t="n">
        <x:v>2019</x:v>
      </x:c>
      <x:c r="E129" s="46" t="str">
        <x:v>Cnidaria</x:v>
      </x:c>
      <x:c r="F129" s="46" t="str">
        <x:v>Cnidarians, coelenterates</x:v>
      </x:c>
      <x:c r="G129" s="46" t="str">
        <x:v>Jellyfish</x:v>
      </x:c>
      <x:c r="H129" s="46" t="str">
        <x:v>Other fishes &amp; inverts</x:v>
      </x:c>
      <x:c r="I129" s="60" t="n">
        <x:v>2478.493102748</x:v>
      </x:c>
      <x:c r="J129" s="60" t="n">
        <x:v>2478.493102748</x:v>
      </x:c>
      <x:c r="K129" s="60" t="n">
        <x:v>0</x:v>
      </x:c>
      <x:c r="L129" s="60" t="n">
        <x:v>2478.493102748</x:v>
      </x:c>
      <x:c r="M129" s="60" t="n">
        <x:v>0</x:v>
      </x:c>
      <x:c r="N129" s="46" t="str">
        <x:v>cnidaria</x:v>
      </x:c>
      <x:c r="O129" s="62" t="n">
        <x:v>2.5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Cnidaria</x:v>
      </x:c>
      <x:c r="T129" s="62" t="n">
        <x:f>IF(O129="","",(1/'Metadata'!$B$5)^(O129-1))</x:f>
        <x:v>89.44271909999159</x:v>
      </x:c>
      <x:c r="U129" s="60" t="n">
        <x:f>IF(T129="","",I129*T129)</x:f>
        <x:v>221683.162380356</x:v>
      </x:c>
    </x:row>
    <x:row r="130" ht="18" customHeight="1">
      <x:c r="A130" s="46" t="str">
        <x:v>LME_032</x:v>
      </x:c>
      <x:c r="B130" s="46" t="str">
        <x:v>Arabian Sea</x:v>
      </x:c>
      <x:c r="C130" s="46" t="str">
        <x:v>LME</x:v>
      </x:c>
      <x:c r="D130" s="58" t="n">
        <x:v>2019</x:v>
      </x:c>
      <x:c r="E130" s="46" t="str">
        <x:v>Sillago sihama</x:v>
      </x:c>
      <x:c r="F130" s="46" t="str">
        <x:v>Silver sillago</x:v>
      </x:c>
      <x:c r="G130" s="46" t="str">
        <x:v>Medium demersals (30 - 89 cm)</x:v>
      </x:c>
      <x:c r="H130" s="46" t="str">
        <x:v>Perch-likes</x:v>
      </x:c>
      <x:c r="I130" s="60" t="n">
        <x:v>2475.2296393187003</x:v>
      </x:c>
      <x:c r="J130" s="60" t="n">
        <x:v>2337.1472865438</x:v>
      </x:c>
      <x:c r="K130" s="60" t="n">
        <x:v>138.0823527749</x:v>
      </x:c>
      <x:c r="L130" s="60" t="n">
        <x:v>545.5252372689</x:v>
      </x:c>
      <x:c r="M130" s="60" t="n">
        <x:v>1929.7044020498</x:v>
      </x:c>
      <x:c r="N130" s="46" t="str">
        <x:v>sillago sihama</x:v>
      </x:c>
      <x:c r="O130" s="62" t="n">
        <x:v>3.33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Sillago sihama</x:v>
      </x:c>
      <x:c r="T130" s="62" t="n">
        <x:f>IF(O130="","",(1/'Metadata'!$B$5)^(O130-1))</x:f>
        <x:v>1074.9787762899762</x:v>
      </x:c>
      <x:c r="U130" s="60" t="n">
        <x:f>IF(T130="","",I130*T130)</x:f>
        <x:v>2660819.3287114953</x:v>
      </x:c>
    </x:row>
    <x:row r="131" ht="18" customHeight="1">
      <x:c r="A131" s="46" t="str">
        <x:v>LME_032</x:v>
      </x:c>
      <x:c r="B131" s="46" t="str">
        <x:v>Arabian Sea</x:v>
      </x:c>
      <x:c r="C131" s="46" t="str">
        <x:v>LME</x:v>
      </x:c>
      <x:c r="D131" s="58" t="n">
        <x:v>2019</x:v>
      </x:c>
      <x:c r="E131" s="46" t="str">
        <x:v>Eleutheronema tetradactylum</x:v>
      </x:c>
      <x:c r="F131" s="46" t="str">
        <x:v>Fourfinger threadfin</x:v>
      </x:c>
      <x:c r="G131" s="46" t="str">
        <x:v>Large demersals (&gt;=90 cm)</x:v>
      </x:c>
      <x:c r="H131" s="46" t="str">
        <x:v>Perch-likes</x:v>
      </x:c>
      <x:c r="I131" s="60" t="n">
        <x:v>2475.0197521759</x:v>
      </x:c>
      <x:c r="J131" s="60" t="n">
        <x:v>2475.0197521759</x:v>
      </x:c>
      <x:c r="K131" s="60" t="n">
        <x:v>0</x:v>
      </x:c>
      <x:c r="L131" s="60" t="n">
        <x:v>2344.5548565356</x:v>
      </x:c>
      <x:c r="M131" s="60" t="n">
        <x:v>130.4648956403</x:v>
      </x:c>
      <x:c r="N131" s="46" t="str">
        <x:v>eleutheronema tetradactylum</x:v>
      </x:c>
      <x:c r="O131" s="62" t="n">
        <x:v>4.06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Eleutheronema tetradactylum</x:v>
      </x:c>
      <x:c r="T131" s="62" t="n">
        <x:f>IF(O131="","",(1/'Metadata'!$B$5)^(O131-1))</x:f>
        <x:v>9575.286708769883</x:v>
      </x:c>
      <x:c r="U131" s="60" t="n">
        <x:f>IF(T131="","",I131*T131)</x:f>
        <x:v>23699023.736952826</x:v>
      </x:c>
    </x:row>
    <x:row r="132" ht="18" customHeight="1">
      <x:c r="A132" s="46" t="str">
        <x:v>LME_032</x:v>
      </x:c>
      <x:c r="B132" s="46" t="str">
        <x:v>Arabian Sea</x:v>
      </x:c>
      <x:c r="C132" s="46" t="str">
        <x:v>LME</x:v>
      </x:c>
      <x:c r="D132" s="58" t="n">
        <x:v>2019</x:v>
      </x:c>
      <x:c r="E132" s="46" t="str">
        <x:v>Xiphias gladius</x:v>
      </x:c>
      <x:c r="F132" s="46" t="str">
        <x:v>Swordfish</x:v>
      </x:c>
      <x:c r="G132" s="46" t="str">
        <x:v>Large pelagics (&gt;=90 cm)</x:v>
      </x:c>
      <x:c r="H132" s="46" t="str">
        <x:v>Tuna &amp; billfishes</x:v>
      </x:c>
      <x:c r="I132" s="60" t="n">
        <x:v>2469.6889917811</x:v>
      </x:c>
      <x:c r="J132" s="60" t="n">
        <x:v>2469.6889917811</x:v>
      </x:c>
      <x:c r="K132" s="60" t="n">
        <x:v>0</x:v>
      </x:c>
      <x:c r="L132" s="60" t="n">
        <x:v>2464.3728937664</x:v>
      </x:c>
      <x:c r="M132" s="60" t="n">
        <x:v>5.3160980147000005</x:v>
      </x:c>
      <x:c r="N132" s="46" t="str">
        <x:v>xiphias gladius</x:v>
      </x:c>
      <x:c r="O132" s="62" t="n">
        <x:v>4.53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Xiphias gladius</x:v>
      </x:c>
      <x:c r="T132" s="62" t="n">
        <x:f>IF(O132="","",(1/'Metadata'!$B$5)^(O132-1))</x:f>
        <x:v>39141.35758252625</x:v>
      </x:c>
      <x:c r="U132" s="60" t="n">
        <x:f>IF(T132="","",I132*T132)</x:f>
        <x:v>96666979.94493277</x:v>
      </x:c>
    </x:row>
    <x:row r="133" ht="18" customHeight="1">
      <x:c r="A133" s="46" t="str">
        <x:v>LME_032</x:v>
      </x:c>
      <x:c r="B133" s="46" t="str">
        <x:v>Arabian Sea</x:v>
      </x:c>
      <x:c r="C133" s="46" t="str">
        <x:v>LME</x:v>
      </x:c>
      <x:c r="D133" s="58" t="n">
        <x:v>2019</x:v>
      </x:c>
      <x:c r="E133" s="46" t="str">
        <x:v>Chanos chanos</x:v>
      </x:c>
      <x:c r="F133" s="46" t="str">
        <x:v>Milkfish</x:v>
      </x:c>
      <x:c r="G133" s="46" t="str">
        <x:v>Large benthopelagics (&gt;=90 cm)</x:v>
      </x:c>
      <x:c r="H133" s="46" t="str">
        <x:v>Other fishes &amp; inverts</x:v>
      </x:c>
      <x:c r="I133" s="60" t="n">
        <x:v>2439.8292221102</x:v>
      </x:c>
      <x:c r="J133" s="60" t="n">
        <x:v>2439.8292221102</x:v>
      </x:c>
      <x:c r="K133" s="60" t="n">
        <x:v>0</x:v>
      </x:c>
      <x:c r="L133" s="60" t="n">
        <x:v>45.7863172867</x:v>
      </x:c>
      <x:c r="M133" s="60" t="n">
        <x:v>2394.0429048235</x:v>
      </x:c>
      <x:c r="N133" s="46" t="str">
        <x:v>chanos chanos</x:v>
      </x:c>
      <x:c r="O133" s="62" t="n">
        <x:v>2.03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Chanos chanos</x:v>
      </x:c>
      <x:c r="T133" s="62" t="n">
        <x:f>IF(O133="","",(1/'Metadata'!$B$5)^(O133-1))</x:f>
        <x:v>21.880684071538855</x:v>
      </x:c>
      <x:c r="U133" s="60" t="n">
        <x:f>IF(T133="","",I133*T133)</x:f>
        <x:v>53385.13239750169</x:v>
      </x:c>
    </x:row>
    <x:row r="134" ht="18" customHeight="1">
      <x:c r="A134" s="46" t="str">
        <x:v>LME_032</x:v>
      </x:c>
      <x:c r="B134" s="46" t="str">
        <x:v>Arabian Sea</x:v>
      </x:c>
      <x:c r="C134" s="46" t="str">
        <x:v>LME</x:v>
      </x:c>
      <x:c r="D134" s="58" t="n">
        <x:v>2019</x:v>
      </x:c>
      <x:c r="E134" s="46" t="str">
        <x:v>Flavocaranx bajad</x:v>
      </x:c>
      <x:c r="F134" s="46" t="str">
        <x:v>Orangespotted trevally</x:v>
      </x:c>
      <x:c r="G134" s="46" t="str">
        <x:v>Medium reef assoc. fish (30 - 89 cm)</x:v>
      </x:c>
      <x:c r="H134" s="46" t="str">
        <x:v>Perch-likes</x:v>
      </x:c>
      <x:c r="I134" s="60" t="n">
        <x:v>2423.2547331238</x:v>
      </x:c>
      <x:c r="J134" s="60" t="n">
        <x:v>2423.2547331238</x:v>
      </x:c>
      <x:c r="K134" s="60" t="n">
        <x:v>0</x:v>
      </x:c>
      <x:c r="L134" s="60" t="n">
        <x:v>2249.7740430936</x:v>
      </x:c>
      <x:c r="M134" s="60" t="n">
        <x:v>173.4806900302</x:v>
      </x:c>
      <x:c r="N134" s="46" t="str">
        <x:v>flavocaranx bajad</x:v>
      </x:c>
      <x:c r="O134" s="62" t="n">
        <x:v>4.3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Flavocaranx bajad</x:v>
      </x:c>
      <x:c r="T134" s="62" t="n">
        <x:f>IF(O134="","",(1/'Metadata'!$B$5)^(O134-1))</x:f>
        <x:v>19651.648417852637</x:v>
      </x:c>
      <x:c r="U134" s="60" t="n">
        <x:f>IF(T134="","",I134*T134)</x:f>
        <x:v>47620950.042246245</x:v>
      </x:c>
    </x:row>
    <x:row r="135" ht="18" customHeight="1">
      <x:c r="A135" s="46" t="str">
        <x:v>LME_032</x:v>
      </x:c>
      <x:c r="B135" s="46" t="str">
        <x:v>Arabian Sea</x:v>
      </x:c>
      <x:c r="C135" s="46" t="str">
        <x:v>LME</x:v>
      </x:c>
      <x:c r="D135" s="58" t="n">
        <x:v>2019</x:v>
      </x:c>
      <x:c r="E135" s="46" t="str">
        <x:v>Scolopsis taeniata</x:v>
      </x:c>
      <x:c r="F135" s="46" t="str">
        <x:v>Black-streaked monocle bream</x:v>
      </x:c>
      <x:c r="G135" s="46" t="str">
        <x:v>Small reef assoc. fish (&lt;30 cm)</x:v>
      </x:c>
      <x:c r="H135" s="46" t="str">
        <x:v>Perch-likes</x:v>
      </x:c>
      <x:c r="I135" s="60" t="n">
        <x:v>2417.8441190658</x:v>
      </x:c>
      <x:c r="J135" s="60" t="n">
        <x:v>780.837542664</x:v>
      </x:c>
      <x:c r="K135" s="60" t="n">
        <x:v>1637.0065764018</x:v>
      </x:c>
      <x:c r="L135" s="60" t="n">
        <x:v>623.3073596091</x:v>
      </x:c>
      <x:c r="M135" s="60" t="n">
        <x:v>1794.5367594566999</x:v>
      </x:c>
      <x:c r="N135" s="46" t="str">
        <x:v>scolopsis taeniata</x:v>
      </x:c>
      <x:c r="O135" s="62" t="n">
        <x:v>3.51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Scolopsis taeniata</x:v>
      </x:c>
      <x:c r="T135" s="62" t="n">
        <x:f>IF(O135="","",(1/'Metadata'!$B$5)^(O135-1))</x:f>
        <x:v>1843.2544417784343</x:v>
      </x:c>
      <x:c r="U135" s="60" t="n">
        <x:f>IF(T135="","",I135*T135)</x:f>
        <x:v>4456701.911995902</x:v>
      </x:c>
    </x:row>
    <x:row r="136" ht="18" customHeight="1">
      <x:c r="A136" s="46" t="str">
        <x:v>LME_032</x:v>
      </x:c>
      <x:c r="B136" s="46" t="str">
        <x:v>Arabian Sea</x:v>
      </x:c>
      <x:c r="C136" s="46" t="str">
        <x:v>LME</x:v>
      </x:c>
      <x:c r="D136" s="58" t="n">
        <x:v>2019</x:v>
      </x:c>
      <x:c r="E136" s="46" t="str">
        <x:v>Palinuridae</x:v>
      </x:c>
      <x:c r="F136" s="46" t="str">
        <x:v>Spiny lobsters</x:v>
      </x:c>
      <x:c r="G136" s="46" t="str">
        <x:v>Lobsters, crabs</x:v>
      </x:c>
      <x:c r="H136" s="46" t="str">
        <x:v>Crustaceans</x:v>
      </x:c>
      <x:c r="I136" s="60" t="n">
        <x:v>2233.7367145965</x:v>
      </x:c>
      <x:c r="J136" s="60" t="n">
        <x:v>2227.1976792536</x:v>
      </x:c>
      <x:c r="K136" s="60" t="n">
        <x:v>6.5390353429</x:v>
      </x:c>
      <x:c r="L136" s="60" t="n">
        <x:v>316.1361926917</x:v>
      </x:c>
      <x:c r="M136" s="60" t="n">
        <x:v>1917.6005219048</x:v>
      </x:c>
      <x:c r="N136" s="46" t="str">
        <x:v>palinuridae</x:v>
      </x:c>
      <x:c r="O136" s="62" t="n">
        <x:v>3.14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Palinuridae</x:v>
      </x:c>
      <x:c r="T136" s="62" t="n">
        <x:f>IF(O136="","",(1/'Metadata'!$B$5)^(O136-1))</x:f>
        <x:v>608.420993216597</x:v>
      </x:c>
      <x:c r="U136" s="60" t="n">
        <x:f>IF(T136="","",I136*T136)</x:f>
        <x:v>1359052.310479181</x:v>
      </x:c>
    </x:row>
    <x:row r="137" ht="18" customHeight="1">
      <x:c r="A137" s="46" t="str">
        <x:v>LME_032</x:v>
      </x:c>
      <x:c r="B137" s="46" t="str">
        <x:v>Arabian Sea</x:v>
      </x:c>
      <x:c r="C137" s="46" t="str">
        <x:v>LME</x:v>
      </x:c>
      <x:c r="D137" s="58" t="n">
        <x:v>2019</x:v>
      </x:c>
      <x:c r="E137" s="46" t="str">
        <x:v>Upeneus vittatus</x:v>
      </x:c>
      <x:c r="F137" s="46" t="str">
        <x:v>Yellowstriped goatfish</x:v>
      </x:c>
      <x:c r="G137" s="46" t="str">
        <x:v>Small reef assoc. fish (&lt;30 cm)</x:v>
      </x:c>
      <x:c r="H137" s="46" t="str">
        <x:v>Perch-likes</x:v>
      </x:c>
      <x:c r="I137" s="60" t="n">
        <x:v>2187.3890291052</x:v>
      </x:c>
      <x:c r="J137" s="60" t="n">
        <x:v>2003.581349352</x:v>
      </x:c>
      <x:c r="K137" s="60" t="n">
        <x:v>183.80767975319998</x:v>
      </x:c>
      <x:c r="L137" s="60" t="n">
        <x:v>0</x:v>
      </x:c>
      <x:c r="M137" s="60" t="n">
        <x:v>2187.3890291052</x:v>
      </x:c>
      <x:c r="N137" s="46" t="str">
        <x:v>upeneus vittatus</x:v>
      </x:c>
      <x:c r="O137" s="62" t="n">
        <x:v>3.62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Upeneus vittatus</x:v>
      </x:c>
      <x:c r="T137" s="62" t="n">
        <x:f>IF(O137="","",(1/'Metadata'!$B$5)^(O137-1))</x:f>
        <x:v>2562.7048371775754</x:v>
      </x:c>
      <x:c r="U137" s="60" t="n">
        <x:f>IF(T137="","",I137*T137)</x:f>
        <x:v>5605632.445677056</x:v>
      </x:c>
    </x:row>
    <x:row r="138" ht="18" customHeight="1">
      <x:c r="A138" s="46" t="str">
        <x:v>LME_032</x:v>
      </x:c>
      <x:c r="B138" s="46" t="str">
        <x:v>Arabian Sea</x:v>
      </x:c>
      <x:c r="C138" s="46" t="str">
        <x:v>LME</x:v>
      </x:c>
      <x:c r="D138" s="58" t="n">
        <x:v>2019</x:v>
      </x:c>
      <x:c r="E138" s="46" t="str">
        <x:v>Moolgarda seheli</x:v>
      </x:c>
      <x:c r="F138" s="46" t="str">
        <x:v>Bluespot mullet</x:v>
      </x:c>
      <x:c r="G138" s="46" t="str">
        <x:v>Medium reef assoc. fish (30 - 89 cm)</x:v>
      </x:c>
      <x:c r="H138" s="46" t="str">
        <x:v>Perch-likes</x:v>
      </x:c>
      <x:c r="I138" s="60" t="n">
        <x:v>2177.3396951189998</x:v>
      </x:c>
      <x:c r="J138" s="60" t="n">
        <x:v>2177.3396951189998</x:v>
      </x:c>
      <x:c r="K138" s="60" t="n">
        <x:v>0</x:v>
      </x:c>
      <x:c r="L138" s="60" t="n">
        <x:v>2120.6773812091</x:v>
      </x:c>
      <x:c r="M138" s="60" t="n">
        <x:v>56.6623139099</x:v>
      </x:c>
      <x:c r="N138" s="46" t="str">
        <x:v>moolgarda seheli</x:v>
      </x:c>
      <x:c r="O138" s="62" t="n">
        <x:v>2.32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Moolgarda seheli</x:v>
      </x:c>
      <x:c r="T138" s="62" t="n">
        <x:f>IF(O138="","",(1/'Metadata'!$B$5)^(O138-1))</x:f>
        <x:v>52.162643716940714</x:v>
      </x:c>
      <x:c r="U138" s="60" t="n">
        <x:f>IF(T138="","",I138*T138)</x:f>
        <x:v>113575.7947672447</x:v>
      </x:c>
    </x:row>
    <x:row r="139" ht="18" customHeight="1">
      <x:c r="A139" s="46" t="str">
        <x:v>LME_032</x:v>
      </x:c>
      <x:c r="B139" s="46" t="str">
        <x:v>Arabian Sea</x:v>
      </x:c>
      <x:c r="C139" s="46" t="str">
        <x:v>LME</x:v>
      </x:c>
      <x:c r="D139" s="58" t="n">
        <x:v>2019</x:v>
      </x:c>
      <x:c r="E139" s="46" t="str">
        <x:v>Gastropoda</x:v>
      </x:c>
      <x:c r="F139" s="46" t="str">
        <x:v>Sea snails</x:v>
      </x:c>
      <x:c r="G139" s="46" t="str">
        <x:v>Other demersal invertebrates</x:v>
      </x:c>
      <x:c r="H139" s="46" t="str">
        <x:v>Molluscs</x:v>
      </x:c>
      <x:c r="I139" s="60" t="n">
        <x:v>2170.9643539956</x:v>
      </x:c>
      <x:c r="J139" s="60" t="n">
        <x:v>2069.105188128</x:v>
      </x:c>
      <x:c r="K139" s="60" t="n">
        <x:v>101.85916586760001</x:v>
      </x:c>
      <x:c r="L139" s="60" t="n">
        <x:v>1099.7189654482002</x:v>
      </x:c>
      <x:c r="M139" s="60" t="n">
        <x:v>1071.2453885474</x:v>
      </x:c>
      <x:c r="N139" s="46" t="str">
        <x:v>gastropoda</x:v>
      </x:c>
      <x:c r="O139" s="62" t="n">
        <x:v>3.06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Gastropoda</x:v>
      </x:c>
      <x:c r="T139" s="62" t="n">
        <x:f>IF(O139="","",(1/'Metadata'!$B$5)^(O139-1))</x:f>
        <x:v>478.7643354384948</x:v>
      </x:c>
      <x:c r="U139" s="60" t="n">
        <x:f>IF(T139="","",I139*T139)</x:f>
        <x:v>1039380.3062013646</x:v>
      </x:c>
    </x:row>
    <x:row r="140" ht="18" customHeight="1">
      <x:c r="A140" s="46" t="str">
        <x:v>LME_032</x:v>
      </x:c>
      <x:c r="B140" s="46" t="str">
        <x:v>Arabian Sea</x:v>
      </x:c>
      <x:c r="C140" s="46" t="str">
        <x:v>LME</x:v>
      </x:c>
      <x:c r="D140" s="58" t="n">
        <x:v>2019</x:v>
      </x:c>
      <x:c r="E140" s="46" t="str">
        <x:v>Muraenesocidae</x:v>
      </x:c>
      <x:c r="F140" s="46" t="str">
        <x:v>Pike congers</x:v>
      </x:c>
      <x:c r="G140" s="46" t="str">
        <x:v>Large demersals (&gt;=90 cm)</x:v>
      </x:c>
      <x:c r="H140" s="46" t="str">
        <x:v>Other fishes &amp; inverts</x:v>
      </x:c>
      <x:c r="I140" s="60" t="n">
        <x:v>2108.3479438239997</x:v>
      </x:c>
      <x:c r="J140" s="60" t="n">
        <x:v>2108.3479438239997</x:v>
      </x:c>
      <x:c r="K140" s="60" t="n">
        <x:v>0</x:v>
      </x:c>
      <x:c r="L140" s="60" t="n">
        <x:v>2009.8711039230998</x:v>
      </x:c>
      <x:c r="M140" s="60" t="n">
        <x:v>98.4768399009</x:v>
      </x:c>
      <x:c r="N140" s="46" t="str">
        <x:v>muraenesocidae</x:v>
      </x:c>
      <x:c r="O140" s="62" t="n">
        <x:v>3.9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Muraenesocidae</x:v>
      </x:c>
      <x:c r="T140" s="62" t="n">
        <x:f>IF(O140="","",(1/'Metadata'!$B$5)^(O140-1))</x:f>
        <x:v>5929.07559285558</x:v>
      </x:c>
      <x:c r="U140" s="60" t="n">
        <x:f>IF(T140="","",I140*T140)</x:f>
        <x:v>12500554.334974123</x:v>
      </x:c>
    </x:row>
    <x:row r="141" ht="18" customHeight="1">
      <x:c r="A141" s="46" t="str">
        <x:v>LME_032</x:v>
      </x:c>
      <x:c r="B141" s="46" t="str">
        <x:v>Arabian Sea</x:v>
      </x:c>
      <x:c r="C141" s="46" t="str">
        <x:v>LME</x:v>
      </x:c>
      <x:c r="D141" s="58" t="n">
        <x:v>2019</x:v>
      </x:c>
      <x:c r="E141" s="46" t="str">
        <x:v>Gnathanodon speciosus</x:v>
      </x:c>
      <x:c r="F141" s="46" t="str">
        <x:v>Golden trevally</x:v>
      </x:c>
      <x:c r="G141" s="46" t="str">
        <x:v>Large reef assoc. fish (&gt;=90 cm)</x:v>
      </x:c>
      <x:c r="H141" s="46" t="str">
        <x:v>Perch-likes</x:v>
      </x:c>
      <x:c r="I141" s="60" t="n">
        <x:v>2052.2733153997</x:v>
      </x:c>
      <x:c r="J141" s="60" t="n">
        <x:v>2052.2733153997</x:v>
      </x:c>
      <x:c r="K141" s="60" t="n">
        <x:v>0</x:v>
      </x:c>
      <x:c r="L141" s="60" t="n">
        <x:v>1887.7495365403</x:v>
      </x:c>
      <x:c r="M141" s="60" t="n">
        <x:v>164.5237788594</x:v>
      </x:c>
      <x:c r="N141" s="46" t="str">
        <x:v>gnathanodon speciosus</x:v>
      </x:c>
      <x:c r="O141" s="62" t="n">
        <x:v>3.84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Gnathanodon speciosus</x:v>
      </x:c>
      <x:c r="T141" s="62" t="n">
        <x:f>IF(O141="","",(1/'Metadata'!$B$5)^(O141-1))</x:f>
        <x:v>4953.648510535111</x:v>
      </x:c>
      <x:c r="U141" s="60" t="n">
        <x:f>IF(T141="","",I141*T141)</x:f>
        <x:v>10166240.652040679</x:v>
      </x:c>
    </x:row>
    <x:row r="142" ht="18" customHeight="1">
      <x:c r="A142" s="46" t="str">
        <x:v>LME_032</x:v>
      </x:c>
      <x:c r="B142" s="46" t="str">
        <x:v>Arabian Sea</x:v>
      </x:c>
      <x:c r="C142" s="46" t="str">
        <x:v>LME</x:v>
      </x:c>
      <x:c r="D142" s="58" t="n">
        <x:v>2019</x:v>
      </x:c>
      <x:c r="E142" s="46" t="str">
        <x:v>Saccostrea cuccullata</x:v>
      </x:c>
      <x:c r="F142" s="46" t="str">
        <x:v>Hooded oyster</x:v>
      </x:c>
      <x:c r="G142" s="46" t="str">
        <x:v>Other demersal invertebrates</x:v>
      </x:c>
      <x:c r="H142" s="46" t="str">
        <x:v>Molluscs</x:v>
      </x:c>
      <x:c r="I142" s="60" t="n">
        <x:v>2045.9840194217</x:v>
      </x:c>
      <x:c r="J142" s="60" t="n">
        <x:v>2045.9840194217</x:v>
      </x:c>
      <x:c r="K142" s="60" t="n">
        <x:v>0</x:v>
      </x:c>
      <x:c r="L142" s="60" t="n">
        <x:v>0</x:v>
      </x:c>
      <x:c r="M142" s="60" t="n">
        <x:v>2045.9840194217</x:v>
      </x:c>
      <x:c r="N142" s="46" t="str">
        <x:v>saccostrea cuccullata</x:v>
      </x:c>
      <x:c r="O142" s="62" t="n">
        <x:v>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Saccostrea cuccullata</x:v>
      </x:c>
      <x:c r="T142" s="62" t="n">
        <x:f>IF(O142="","",(1/'Metadata'!$B$5)^(O142-1))</x:f>
        <x:v>20</x:v>
      </x:c>
      <x:c r="U142" s="60" t="n">
        <x:f>IF(T142="","",I142*T142)</x:f>
        <x:v>40919.680388434</x:v>
      </x:c>
    </x:row>
    <x:row r="143" ht="18" customHeight="1">
      <x:c r="A143" s="46" t="str">
        <x:v>LME_032</x:v>
      </x:c>
      <x:c r="B143" s="46" t="str">
        <x:v>Arabian Sea</x:v>
      </x:c>
      <x:c r="C143" s="46" t="str">
        <x:v>LME</x:v>
      </x:c>
      <x:c r="D143" s="58" t="n">
        <x:v>2019</x:v>
      </x:c>
      <x:c r="E143" s="46" t="str">
        <x:v>Drepane punctata</x:v>
      </x:c>
      <x:c r="F143" s="46" t="str">
        <x:v>Spotted sicklefish</x:v>
      </x:c>
      <x:c r="G143" s="46" t="str">
        <x:v>Medium reef assoc. fish (30 - 89 cm)</x:v>
      </x:c>
      <x:c r="H143" s="46" t="str">
        <x:v>Perch-likes</x:v>
      </x:c>
      <x:c r="I143" s="60" t="n">
        <x:v>2023.9569672398</x:v>
      </x:c>
      <x:c r="J143" s="60" t="n">
        <x:v>2023.9569672398</x:v>
      </x:c>
      <x:c r="K143" s="60" t="n">
        <x:v>0</x:v>
      </x:c>
      <x:c r="L143" s="60" t="n">
        <x:v>1896.2349240166</x:v>
      </x:c>
      <x:c r="M143" s="60" t="n">
        <x:v>127.7220432232</x:v>
      </x:c>
      <x:c r="N143" s="46" t="str">
        <x:v>drepane punctata</x:v>
      </x:c>
      <x:c r="O143" s="62" t="n">
        <x:v>3.32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Drepane punctata</x:v>
      </x:c>
      <x:c r="T143" s="62" t="n">
        <x:f>IF(O143="","",(1/'Metadata'!$B$5)^(O143-1))</x:f>
        <x:v>1043.2528743388143</x:v>
      </x:c>
      <x:c r="U143" s="60" t="n">
        <x:f>IF(T143="","",I143*T143)</x:f>
        <x:v>2111498.923610991</x:v>
      </x:c>
    </x:row>
    <x:row r="144" ht="18" customHeight="1">
      <x:c r="A144" s="46" t="str">
        <x:v>LME_032</x:v>
      </x:c>
      <x:c r="B144" s="46" t="str">
        <x:v>Arabian Sea</x:v>
      </x:c>
      <x:c r="C144" s="46" t="str">
        <x:v>LME</x:v>
      </x:c>
      <x:c r="D144" s="58" t="n">
        <x:v>2019</x:v>
      </x:c>
      <x:c r="E144" s="46" t="str">
        <x:v>Plectorhinchus</x:v>
      </x:c>
      <x:c r="F144" s="46" t="str">
        <x:v>Sweetlips</x:v>
      </x:c>
      <x:c r="G144" s="46" t="str">
        <x:v>Medium reef assoc. fish (30 - 89 cm)</x:v>
      </x:c>
      <x:c r="H144" s="46" t="str">
        <x:v>Perch-likes</x:v>
      </x:c>
      <x:c r="I144" s="60" t="n">
        <x:v>2001.7966682487001</x:v>
      </x:c>
      <x:c r="J144" s="60" t="n">
        <x:v>2001.7966682487001</x:v>
      </x:c>
      <x:c r="K144" s="60" t="n">
        <x:v>0</x:v>
      </x:c>
      <x:c r="L144" s="60" t="n">
        <x:v>1786.2571724497</x:v>
      </x:c>
      <x:c r="M144" s="60" t="n">
        <x:v>215.53949579899998</x:v>
      </x:c>
      <x:c r="N144" s="46" t="str">
        <x:v>plectorhinchus</x:v>
      </x:c>
      <x:c r="O144" s="62" t="n">
        <x:v>3.43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Plectorhinchus</x:v>
      </x:c>
      <x:c r="T144" s="62" t="n">
        <x:f>IF(O144="","",(1/'Metadata'!$B$5)^(O144-1))</x:f>
        <x:v>1450.450424461182</x:v>
      </x:c>
      <x:c r="U144" s="60" t="n">
        <x:f>IF(T144="","",I144*T144)</x:f>
        <x:v>2903506.827146307</x:v>
      </x:c>
    </x:row>
    <x:row r="145" ht="18" customHeight="1">
      <x:c r="A145" s="46" t="str">
        <x:v>LME_032</x:v>
      </x:c>
      <x:c r="B145" s="46" t="str">
        <x:v>Arabian Sea</x:v>
      </x:c>
      <x:c r="C145" s="46" t="str">
        <x:v>LME</x:v>
      </x:c>
      <x:c r="D145" s="58" t="n">
        <x:v>2019</x:v>
      </x:c>
      <x:c r="E145" s="46" t="str">
        <x:v>Sparidentex hasta</x:v>
      </x:c>
      <x:c r="F145" s="46" t="str">
        <x:v>Sobaity seabream</x:v>
      </x:c>
      <x:c r="G145" s="46" t="str">
        <x:v>Medium demersals (30 - 89 cm)</x:v>
      </x:c>
      <x:c r="H145" s="46" t="str">
        <x:v>Perch-likes</x:v>
      </x:c>
      <x:c r="I145" s="60" t="n">
        <x:v>1998.6201842592002</x:v>
      </x:c>
      <x:c r="J145" s="60" t="n">
        <x:v>1998.6201842592002</x:v>
      </x:c>
      <x:c r="K145" s="60" t="n">
        <x:v>0</x:v>
      </x:c>
      <x:c r="L145" s="60" t="n">
        <x:v>146.1109583485</x:v>
      </x:c>
      <x:c r="M145" s="60" t="n">
        <x:v>1852.5092259107</x:v>
      </x:c>
      <x:c r="N145" s="46" t="str">
        <x:v>sparidentex hasta</x:v>
      </x:c>
      <x:c r="O145" s="62" t="n">
        <x:v>3.38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Sparidentex hasta</x:v>
      </x:c>
      <x:c r="T145" s="62" t="n">
        <x:f>IF(O145="","",(1/'Metadata'!$B$5)^(O145-1))</x:f>
        <x:v>1248.6806726928048</x:v>
      </x:c>
      <x:c r="U145" s="60" t="n">
        <x:f>IF(T145="","",I145*T145)</x:f>
        <x:v>2495638.3961381954</x:v>
      </x:c>
    </x:row>
    <x:row r="146" ht="18" customHeight="1">
      <x:c r="A146" s="46" t="str">
        <x:v>LME_032</x:v>
      </x:c>
      <x:c r="B146" s="46" t="str">
        <x:v>Arabian Sea</x:v>
      </x:c>
      <x:c r="C146" s="46" t="str">
        <x:v>LME</x:v>
      </x:c>
      <x:c r="D146" s="58" t="n">
        <x:v>2019</x:v>
      </x:c>
      <x:c r="E146" s="46" t="str">
        <x:v>Gerres oyena</x:v>
      </x:c>
      <x:c r="F146" s="46" t="str">
        <x:v>Common silver-biddy</x:v>
      </x:c>
      <x:c r="G146" s="46" t="str">
        <x:v>Small demersals (&lt;30 cm)</x:v>
      </x:c>
      <x:c r="H146" s="46" t="str">
        <x:v>Perch-likes</x:v>
      </x:c>
      <x:c r="I146" s="60" t="n">
        <x:v>1986.5260824142</x:v>
      </x:c>
      <x:c r="J146" s="60" t="n">
        <x:v>374.83691351299996</x:v>
      </x:c>
      <x:c r="K146" s="60" t="n">
        <x:v>1611.6891689012</x:v>
      </x:c>
      <x:c r="L146" s="60" t="n">
        <x:v>288.0558844585</x:v>
      </x:c>
      <x:c r="M146" s="60" t="n">
        <x:v>1698.4701979556999</x:v>
      </x:c>
      <x:c r="N146" s="46" t="str">
        <x:v>gerres oyena</x:v>
      </x:c>
      <x:c r="O146" s="62" t="n">
        <x:v>3.07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Gerres oyena</x:v>
      </x:c>
      <x:c r="T146" s="62" t="n">
        <x:f>IF(O146="","",(1/'Metadata'!$B$5)^(O146-1))</x:f>
        <x:v>493.32382598718914</x:v>
      </x:c>
      <x:c r="U146" s="60" t="n">
        <x:f>IF(T146="","",I146*T146)</x:f>
        <x:v>980000.6473999153</x:v>
      </x:c>
    </x:row>
    <x:row r="147" ht="18" customHeight="1">
      <x:c r="A147" s="46" t="str">
        <x:v>LME_032</x:v>
      </x:c>
      <x:c r="B147" s="46" t="str">
        <x:v>Arabian Sea</x:v>
      </x:c>
      <x:c r="C147" s="46" t="str">
        <x:v>LME</x:v>
      </x:c>
      <x:c r="D147" s="58" t="n">
        <x:v>2019</x:v>
      </x:c>
      <x:c r="E147" s="46" t="str">
        <x:v>Rhinobatidae</x:v>
      </x:c>
      <x:c r="F147" s="46" t="str">
        <x:v>Guitarfishes, fanrays</x:v>
      </x:c>
      <x:c r="G147" s="46" t="str">
        <x:v>Large rays (&gt;=90 cm)</x:v>
      </x:c>
      <x:c r="H147" s="46" t="str">
        <x:v>Sharks &amp; rays</x:v>
      </x:c>
      <x:c r="I147" s="60" t="n">
        <x:v>1982.3415432924</x:v>
      </x:c>
      <x:c r="J147" s="60" t="n">
        <x:v>1076.2764648199</x:v>
      </x:c>
      <x:c r="K147" s="60" t="n">
        <x:v>906.0650784725</x:v>
      </x:c>
      <x:c r="L147" s="60" t="n">
        <x:v>3.1439919557000002</x:v>
      </x:c>
      <x:c r="M147" s="60" t="n">
        <x:v>1979.1975513367</x:v>
      </x:c>
      <x:c r="N147" s="46" t="str">
        <x:v>rhinobatidae</x:v>
      </x:c>
      <x:c r="O147" s="62" t="n">
        <x:v>3.7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Rhinobatidae</x:v>
      </x:c>
      <x:c r="T147" s="62" t="n">
        <x:f>IF(O147="","",(1/'Metadata'!$B$5)^(O147-1))</x:f>
        <x:v>3256.724252295237</x:v>
      </x:c>
      <x:c r="U147" s="60" t="n">
        <x:f>IF(T147="","",I147*T147)</x:f>
        <x:v>6455939.780372728</x:v>
      </x:c>
    </x:row>
    <x:row r="148" ht="18" customHeight="1">
      <x:c r="A148" s="46" t="str">
        <x:v>LME_032</x:v>
      </x:c>
      <x:c r="B148" s="46" t="str">
        <x:v>Arabian Sea</x:v>
      </x:c>
      <x:c r="C148" s="46" t="str">
        <x:v>LME</x:v>
      </x:c>
      <x:c r="D148" s="58" t="n">
        <x:v>2019</x:v>
      </x:c>
      <x:c r="E148" s="46" t="str">
        <x:v>Terapon jarbua</x:v>
      </x:c>
      <x:c r="F148" s="46" t="str">
        <x:v>Jarbua terapon</x:v>
      </x:c>
      <x:c r="G148" s="46" t="str">
        <x:v>Medium demersals (30 - 89 cm)</x:v>
      </x:c>
      <x:c r="H148" s="46" t="str">
        <x:v>Perch-likes</x:v>
      </x:c>
      <x:c r="I148" s="60" t="n">
        <x:v>1974.4260445127</x:v>
      </x:c>
      <x:c r="J148" s="60" t="n">
        <x:v>1806.8973232282</x:v>
      </x:c>
      <x:c r="K148" s="60" t="n">
        <x:v>167.52872128450002</x:v>
      </x:c>
      <x:c r="L148" s="60" t="n">
        <x:v>23.5912968385</x:v>
      </x:c>
      <x:c r="M148" s="60" t="n">
        <x:v>1950.8347476742001</x:v>
      </x:c>
      <x:c r="N148" s="46" t="str">
        <x:v>terapon jarbua</x:v>
      </x:c>
      <x:c r="O148" s="62" t="n">
        <x:v>3.93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Terapon jarbua</x:v>
      </x:c>
      <x:c r="T148" s="62" t="n">
        <x:f>IF(O148="","",(1/'Metadata'!$B$5)^(O148-1))</x:f>
        <x:v>6486.611494177253</x:v>
      </x:c>
      <x:c r="U148" s="60" t="n">
        <x:f>IF(T148="","",I148*T148)</x:f>
        <x:v>12807334.674739009</x:v>
      </x:c>
    </x:row>
    <x:row r="149" ht="18" customHeight="1">
      <x:c r="A149" s="46" t="str">
        <x:v>LME_032</x:v>
      </x:c>
      <x:c r="B149" s="46" t="str">
        <x:v>Arabian Sea</x:v>
      </x:c>
      <x:c r="C149" s="46" t="str">
        <x:v>LME</x:v>
      </x:c>
      <x:c r="D149" s="58" t="n">
        <x:v>2019</x:v>
      </x:c>
      <x:c r="E149" s="46" t="str">
        <x:v>Cephea</x:v>
      </x:c>
      <x:c r="F149" s="46" t="str">
        <x:v>Cepheid jellyfishes</x:v>
      </x:c>
      <x:c r="G149" s="46" t="str">
        <x:v>Jellyfish</x:v>
      </x:c>
      <x:c r="H149" s="46" t="str">
        <x:v>Other fishes &amp; inverts</x:v>
      </x:c>
      <x:c r="I149" s="60" t="n">
        <x:v>1971.0150273634</x:v>
      </x:c>
      <x:c r="J149" s="60" t="n">
        <x:v>1971.0150273634</x:v>
      </x:c>
      <x:c r="K149" s="60" t="n">
        <x:v>0</x:v>
      </x:c>
      <x:c r="L149" s="60" t="n">
        <x:v>0</x:v>
      </x:c>
      <x:c r="M149" s="60" t="n">
        <x:v>1971.0150273634</x:v>
      </x:c>
      <x:c r="N149" s="46" t="str">
        <x:v>cephea</x:v>
      </x:c>
      <x:c r="O149" s="62" t="n">
        <x:v>3.46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Cephea</x:v>
      </x:c>
      <x:c r="T149" s="62" t="n">
        <x:f>IF(O149="","",(1/'Metadata'!$B$5)^(O149-1))</x:f>
        <x:v>1586.8423749532276</x:v>
      </x:c>
      <x:c r="U149" s="60" t="n">
        <x:f>IF(T149="","",I149*T149)</x:f>
        <x:v>3127690.1670898385</x:v>
      </x:c>
    </x:row>
    <x:row r="150" ht="18" customHeight="1">
      <x:c r="A150" s="46" t="str">
        <x:v>LME_032</x:v>
      </x:c>
      <x:c r="B150" s="46" t="str">
        <x:v>Arabian Sea</x:v>
      </x:c>
      <x:c r="C150" s="46" t="str">
        <x:v>LME</x:v>
      </x:c>
      <x:c r="D150" s="58" t="n">
        <x:v>2019</x:v>
      </x:c>
      <x:c r="E150" s="46" t="str">
        <x:v>Rhizoprionodon acutus</x:v>
      </x:c>
      <x:c r="F150" s="46" t="str">
        <x:v>Milk shark</x:v>
      </x:c>
      <x:c r="G150" s="46" t="str">
        <x:v>Large sharks (&gt;=90 cm)</x:v>
      </x:c>
      <x:c r="H150" s="46" t="str">
        <x:v>Sharks &amp; rays</x:v>
      </x:c>
      <x:c r="I150" s="60" t="n">
        <x:v>1933.5402343679002</x:v>
      </x:c>
      <x:c r="J150" s="60" t="n">
        <x:v>1933.5402343679002</x:v>
      </x:c>
      <x:c r="K150" s="60" t="n">
        <x:v>0</x:v>
      </x:c>
      <x:c r="L150" s="60" t="n">
        <x:v>1933.5402343679002</x:v>
      </x:c>
      <x:c r="M150" s="60" t="n">
        <x:v>0</x:v>
      </x:c>
      <x:c r="N150" s="46" t="str">
        <x:v>rhizoprionodon acutus</x:v>
      </x:c>
      <x:c r="O150" s="62" t="n">
        <x:v>4.25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Rhizoprionodon acutus</x:v>
      </x:c>
      <x:c r="T150" s="62" t="n">
        <x:f>IF(O150="","",(1/'Metadata'!$B$5)^(O150-1))</x:f>
        <x:v>16917.940215049024</x:v>
      </x:c>
      <x:c r="U150" s="60" t="n">
        <x:f>IF(T150="","",I150*T150)</x:f>
        <x:v>32711518.088428013</x:v>
      </x:c>
    </x:row>
    <x:row r="151" ht="18" customHeight="1">
      <x:c r="A151" s="46" t="str">
        <x:v>LME_032</x:v>
      </x:c>
      <x:c r="B151" s="46" t="str">
        <x:v>Arabian Sea</x:v>
      </x:c>
      <x:c r="C151" s="46" t="str">
        <x:v>LME</x:v>
      </x:c>
      <x:c r="D151" s="58" t="n">
        <x:v>2019</x:v>
      </x:c>
      <x:c r="E151" s="46" t="str">
        <x:v>Upeneus sulphureus</x:v>
      </x:c>
      <x:c r="F151" s="46" t="str">
        <x:v>Sulphur goatfish</x:v>
      </x:c>
      <x:c r="G151" s="46" t="str">
        <x:v>Small demersals (&lt;30 cm)</x:v>
      </x:c>
      <x:c r="H151" s="46" t="str">
        <x:v>Perch-likes</x:v>
      </x:c>
      <x:c r="I151" s="60" t="n">
        <x:v>1893.5825289491002</x:v>
      </x:c>
      <x:c r="J151" s="60" t="n">
        <x:v>273.4688693824</x:v>
      </x:c>
      <x:c r="K151" s="60" t="n">
        <x:v>1620.1136595667</x:v>
      </x:c>
      <x:c r="L151" s="60" t="n">
        <x:v>79.37815768509999</x:v>
      </x:c>
      <x:c r="M151" s="60" t="n">
        <x:v>1814.2043712640002</x:v>
      </x:c>
      <x:c r="N151" s="46" t="str">
        <x:v>upeneus sulphureus</x:v>
      </x:c>
      <x:c r="O151" s="62" t="n">
        <x:v>3.08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Upeneus sulphureus</x:v>
      </x:c>
      <x:c r="T151" s="62" t="n">
        <x:f>IF(O151="","",(1/'Metadata'!$B$5)^(O151-1))</x:f>
        <x:v>508.32607876637354</x:v>
      </x:c>
      <x:c r="U151" s="60" t="n">
        <x:f>IF(T151="","",I151*T151)</x:f>
        <x:v>962557.3817612091</x:v>
      </x:c>
    </x:row>
    <x:row r="152" ht="18" customHeight="1">
      <x:c r="A152" s="46" t="str">
        <x:v>LME_032</x:v>
      </x:c>
      <x:c r="B152" s="46" t="str">
        <x:v>Arabian Sea</x:v>
      </x:c>
      <x:c r="C152" s="46" t="str">
        <x:v>LME</x:v>
      </x:c>
      <x:c r="D152" s="58" t="n">
        <x:v>2019</x:v>
      </x:c>
      <x:c r="E152" s="46" t="str">
        <x:v>Carcharhinus melanopterus</x:v>
      </x:c>
      <x:c r="F152" s="46" t="str">
        <x:v>Blacktip reef shark</x:v>
      </x:c>
      <x:c r="G152" s="46" t="str">
        <x:v>Large sharks (&gt;=90 cm)</x:v>
      </x:c>
      <x:c r="H152" s="46" t="str">
        <x:v>Sharks &amp; rays</x:v>
      </x:c>
      <x:c r="I152" s="60" t="n">
        <x:v>1855.8969450483</x:v>
      </x:c>
      <x:c r="J152" s="60" t="n">
        <x:v>1202.2918157525</x:v>
      </x:c>
      <x:c r="K152" s="60" t="n">
        <x:v>653.6051292958</x:v>
      </x:c>
      <x:c r="L152" s="60" t="n">
        <x:v>882.1842707553001</x:v>
      </x:c>
      <x:c r="M152" s="60" t="n">
        <x:v>973.7126742930001</x:v>
      </x:c>
      <x:c r="N152" s="46" t="str">
        <x:v>carcharhinus melanopterus</x:v>
      </x:c>
      <x:c r="O152" s="62" t="n">
        <x:v>3.94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melanopterus</x:v>
      </x:c>
      <x:c r="T152" s="62" t="n">
        <x:f>IF(O152="","",(1/'Metadata'!$B$5)^(O152-1))</x:f>
        <x:v>6683.872968668722</x:v>
      </x:c>
      <x:c r="U152" s="60" t="n">
        <x:f>IF(T152="","",I152*T152)</x:f>
        <x:v>12404579.423643194</x:v>
      </x:c>
    </x:row>
    <x:row r="153" ht="18" customHeight="1">
      <x:c r="A153" s="46" t="str">
        <x:v>LME_032</x:v>
      </x:c>
      <x:c r="B153" s="46" t="str">
        <x:v>Arabian Sea</x:v>
      </x:c>
      <x:c r="C153" s="46" t="str">
        <x:v>LME</x:v>
      </x:c>
      <x:c r="D153" s="58" t="n">
        <x:v>2019</x:v>
      </x:c>
      <x:c r="E153" s="46" t="str">
        <x:v>Glaucostegus granulatus</x:v>
      </x:c>
      <x:c r="F153" s="46" t="str">
        <x:v>Granulated guitarfish</x:v>
      </x:c>
      <x:c r="G153" s="46" t="str">
        <x:v>Large rays (&gt;=90 cm)</x:v>
      </x:c>
      <x:c r="H153" s="46" t="str">
        <x:v>Sharks &amp; rays</x:v>
      </x:c>
      <x:c r="I153" s="60" t="n">
        <x:v>1636.6609596526998</x:v>
      </x:c>
      <x:c r="J153" s="60" t="n">
        <x:v>1492.370690756</x:v>
      </x:c>
      <x:c r="K153" s="60" t="n">
        <x:v>144.29026889669998</x:v>
      </x:c>
      <x:c r="L153" s="60" t="n">
        <x:v>0</x:v>
      </x:c>
      <x:c r="M153" s="60" t="n">
        <x:v>1636.6609596526998</x:v>
      </x:c>
      <x:c r="N153" s="46" t="str">
        <x:v>glaucostegus granulatus</x:v>
      </x:c>
      <x:c r="O153" s="62" t="n">
        <x:v>3.5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Glaucostegus granulatus</x:v>
      </x:c>
      <x:c r="T153" s="62" t="n">
        <x:f>IF(O153="","",(1/'Metadata'!$B$5)^(O153-1))</x:f>
        <x:v>1788.8543819998317</x:v>
      </x:c>
      <x:c r="U153" s="60" t="n">
        <x:f>IF(T153="","",I153*T153)</x:f>
        <x:v>2927748.129522782</x:v>
      </x:c>
    </x:row>
    <x:row r="154" ht="18" customHeight="1">
      <x:c r="A154" s="46" t="str">
        <x:v>LME_032</x:v>
      </x:c>
      <x:c r="B154" s="46" t="str">
        <x:v>Arabian Sea</x:v>
      </x:c>
      <x:c r="C154" s="46" t="str">
        <x:v>LME</x:v>
      </x:c>
      <x:c r="D154" s="58" t="n">
        <x:v>2019</x:v>
      </x:c>
      <x:c r="E154" s="46" t="str">
        <x:v>Leiognathus</x:v>
      </x:c>
      <x:c r="F154" s="46" t="str">
        <x:v>Ponyfishes</x:v>
      </x:c>
      <x:c r="G154" s="46" t="str">
        <x:v>Small benthopelagics (&lt;30 cm)</x:v>
      </x:c>
      <x:c r="H154" s="46" t="str">
        <x:v>Perch-likes</x:v>
      </x:c>
      <x:c r="I154" s="60" t="n">
        <x:v>1635.3764661876999</x:v>
      </x:c>
      <x:c r="J154" s="60" t="n">
        <x:v>1635.3764661876999</x:v>
      </x:c>
      <x:c r="K154" s="60" t="n">
        <x:v>0</x:v>
      </x:c>
      <x:c r="L154" s="60" t="n">
        <x:v>832.219006834</x:v>
      </x:c>
      <x:c r="M154" s="60" t="n">
        <x:v>803.1574593537</x:v>
      </x:c>
      <x:c r="N154" s="46" t="str">
        <x:v>leiognathus</x:v>
      </x:c>
      <x:c r="O154" s="62" t="n">
        <x:v>3.22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Leiognathus</x:v>
      </x:c>
      <x:c r="T154" s="62" t="n">
        <x:f>IF(O154="","",(1/'Metadata'!$B$5)^(O154-1))</x:f>
        <x:v>773.1906443023378</x:v>
      </x:c>
      <x:c r="U154" s="60" t="n">
        <x:f>IF(T154="","",I154*T154)</x:f>
        <x:v>1264457.783568548</x:v>
      </x:c>
    </x:row>
    <x:row r="155" ht="18" customHeight="1">
      <x:c r="A155" s="46" t="str">
        <x:v>LME_032</x:v>
      </x:c>
      <x:c r="B155" s="46" t="str">
        <x:v>Arabian Sea</x:v>
      </x:c>
      <x:c r="C155" s="46" t="str">
        <x:v>LME</x:v>
      </x:c>
      <x:c r="D155" s="58" t="n">
        <x:v>2019</x:v>
      </x:c>
      <x:c r="E155" s="46" t="str">
        <x:v>Pelates quadrilineatus</x:v>
      </x:c>
      <x:c r="F155" s="46" t="str">
        <x:v>Fourlined terapon</x:v>
      </x:c>
      <x:c r="G155" s="46" t="str">
        <x:v>Small pelagics (&lt;30 cm)</x:v>
      </x:c>
      <x:c r="H155" s="46" t="str">
        <x:v>Perch-likes</x:v>
      </x:c>
      <x:c r="I155" s="60" t="n">
        <x:v>1617.5906172818</x:v>
      </x:c>
      <x:c r="J155" s="60" t="n">
        <x:v>5.5553012848</x:v>
      </x:c>
      <x:c r="K155" s="60" t="n">
        <x:v>1612.035315997</x:v>
      </x:c>
      <x:c r="L155" s="60" t="n">
        <x:v>2.9627316338000003</x:v>
      </x:c>
      <x:c r="M155" s="60" t="n">
        <x:v>1614.627885648</x:v>
      </x:c>
      <x:c r="N155" s="46" t="str">
        <x:v>pelates quadrilineatus</x:v>
      </x:c>
      <x:c r="O155" s="62" t="n">
        <x:v>3.5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Pelates quadrilineatus</x:v>
      </x:c>
      <x:c r="T155" s="62" t="n">
        <x:f>IF(O155="","",(1/'Metadata'!$B$5)^(O155-1))</x:f>
        <x:v>1788.8543819998317</x:v>
      </x:c>
      <x:c r="U155" s="60" t="n">
        <x:f>IF(T155="","",I155*T155)</x:f>
        <x:v>2893634.0640063607</x:v>
      </x:c>
    </x:row>
    <x:row r="156" ht="18" customHeight="1">
      <x:c r="A156" s="46" t="str">
        <x:v>LME_032</x:v>
      </x:c>
      <x:c r="B156" s="46" t="str">
        <x:v>Arabian Sea</x:v>
      </x:c>
      <x:c r="C156" s="46" t="str">
        <x:v>LME</x:v>
      </x:c>
      <x:c r="D156" s="58" t="n">
        <x:v>2019</x:v>
      </x:c>
      <x:c r="E156" s="46" t="str">
        <x:v>Scyphozoa</x:v>
      </x:c>
      <x:c r="F156" s="46" t="str">
        <x:v>True jellyfishes</x:v>
      </x:c>
      <x:c r="G156" s="46" t="str">
        <x:v>Jellyfish</x:v>
      </x:c>
      <x:c r="H156" s="46" t="str">
        <x:v>Other fishes &amp; inverts</x:v>
      </x:c>
      <x:c r="I156" s="60" t="n">
        <x:v>1609.5114857666001</x:v>
      </x:c>
      <x:c r="J156" s="60" t="n">
        <x:v>1609.5114857666001</x:v>
      </x:c>
      <x:c r="K156" s="60" t="n">
        <x:v>0</x:v>
      </x:c>
      <x:c r="L156" s="60" t="n">
        <x:v>0</x:v>
      </x:c>
      <x:c r="M156" s="60" t="n">
        <x:v>1609.5114857666001</x:v>
      </x:c>
      <x:c r="N156" s="46" t="str">
        <x:v>scyphozoa</x:v>
      </x:c>
      <x:c r="O156" s="62" t="n">
        <x:v>3.46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Scyphozoa</x:v>
      </x:c>
      <x:c r="T156" s="62" t="n">
        <x:f>IF(O156="","",(1/'Metadata'!$B$5)^(O156-1))</x:f>
        <x:v>1586.8423749532276</x:v>
      </x:c>
      <x:c r="U156" s="60" t="n">
        <x:f>IF(T156="","",I156*T156)</x:f>
        <x:v>2554041.0285883695</x:v>
      </x:c>
    </x:row>
    <x:row r="157" ht="18" customHeight="1">
      <x:c r="A157" s="46" t="str">
        <x:v>LME_032</x:v>
      </x:c>
      <x:c r="B157" s="46" t="str">
        <x:v>Arabian Sea</x:v>
      </x:c>
      <x:c r="C157" s="46" t="str">
        <x:v>LME</x:v>
      </x:c>
      <x:c r="D157" s="58" t="n">
        <x:v>2019</x:v>
      </x:c>
      <x:c r="E157" s="46" t="str">
        <x:v>Photopectoralis bindus</x:v>
      </x:c>
      <x:c r="F157" s="46" t="str">
        <x:v>Orangefin ponyfish</x:v>
      </x:c>
      <x:c r="G157" s="46" t="str">
        <x:v>Large reef assoc. fish (&gt;=90 cm)</x:v>
      </x:c>
      <x:c r="H157" s="46" t="str">
        <x:v>Perch-likes</x:v>
      </x:c>
      <x:c r="I157" s="60" t="n">
        <x:v>1563.7980307215</x:v>
      </x:c>
      <x:c r="J157" s="60" t="n">
        <x:v>1563.7980307215</x:v>
      </x:c>
      <x:c r="K157" s="60" t="n">
        <x:v>0</x:v>
      </x:c>
      <x:c r="L157" s="60" t="n">
        <x:v>0</x:v>
      </x:c>
      <x:c r="M157" s="60" t="n">
        <x:v>1563.7980307215</x:v>
      </x:c>
      <x:c r="N157" s="46" t="str">
        <x:v>photopectoralis bindus</x:v>
      </x:c>
      <x:c r="O157" s="62" t="n">
        <x:v>2.93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Photopectoralis bindus</x:v>
      </x:c>
      <x:c r="T157" s="62" t="n">
        <x:f>IF(O157="","",(1/'Metadata'!$B$5)^(O157-1))</x:f>
        <x:v>324.3305747088626</x:v>
      </x:c>
      <x:c r="U157" s="60" t="n">
        <x:f>IF(T157="","",I157*T157)</x:f>
        <x:v>507187.5140324917</x:v>
      </x:c>
    </x:row>
    <x:row r="158" ht="18" customHeight="1">
      <x:c r="A158" s="46" t="str">
        <x:v>LME_032</x:v>
      </x:c>
      <x:c r="B158" s="46" t="str">
        <x:v>Arabian Sea</x:v>
      </x:c>
      <x:c r="C158" s="46" t="str">
        <x:v>LME</x:v>
      </x:c>
      <x:c r="D158" s="58" t="n">
        <x:v>2019</x:v>
      </x:c>
      <x:c r="E158" s="46" t="str">
        <x:v>Rhabdosargus sarba</x:v>
      </x:c>
      <x:c r="F158" s="46" t="str">
        <x:v>Goldlined seabream</x:v>
      </x:c>
      <x:c r="G158" s="46" t="str">
        <x:v>Medium demersals (30 - 89 cm)</x:v>
      </x:c>
      <x:c r="H158" s="46" t="str">
        <x:v>Perch-likes</x:v>
      </x:c>
      <x:c r="I158" s="60" t="n">
        <x:v>1557.2435629440001</x:v>
      </x:c>
      <x:c r="J158" s="60" t="n">
        <x:v>1557.2435629440001</x:v>
      </x:c>
      <x:c r="K158" s="60" t="n">
        <x:v>0</x:v>
      </x:c>
      <x:c r="L158" s="60" t="n">
        <x:v>0</x:v>
      </x:c>
      <x:c r="M158" s="60" t="n">
        <x:v>1557.2435629440001</x:v>
      </x:c>
      <x:c r="N158" s="46" t="str">
        <x:v>rhabdosargus sarba</x:v>
      </x:c>
      <x:c r="O158" s="62" t="n">
        <x:v>3.37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Rhabdosargus sarba</x:v>
      </x:c>
      <x:c r="T158" s="62" t="n">
        <x:f>IF(O158="","",(1/'Metadata'!$B$5)^(O158-1))</x:f>
        <x:v>1211.828298056271</x:v>
      </x:c>
      <x:c r="U158" s="60" t="n">
        <x:f>IF(T158="","",I158*T158)</x:f>
        <x:v>1887111.8165415113</x:v>
      </x:c>
    </x:row>
    <x:row r="159" ht="18" customHeight="1">
      <x:c r="A159" s="46" t="str">
        <x:v>LME_032</x:v>
      </x:c>
      <x:c r="B159" s="46" t="str">
        <x:v>Arabian Sea</x:v>
      </x:c>
      <x:c r="C159" s="46" t="str">
        <x:v>LME</x:v>
      </x:c>
      <x:c r="D159" s="58" t="n">
        <x:v>2019</x:v>
      </x:c>
      <x:c r="E159" s="46" t="str">
        <x:v>Decapterus russelli</x:v>
      </x:c>
      <x:c r="F159" s="46" t="str">
        <x:v>Indian scad</x:v>
      </x:c>
      <x:c r="G159" s="46" t="str">
        <x:v>Medium pelagics (30 - 89 cm)</x:v>
      </x:c>
      <x:c r="H159" s="46" t="str">
        <x:v>Perch-likes</x:v>
      </x:c>
      <x:c r="I159" s="60" t="n">
        <x:v>1513.8665326561002</x:v>
      </x:c>
      <x:c r="J159" s="60" t="n">
        <x:v>1513.8665326561002</x:v>
      </x:c>
      <x:c r="K159" s="60" t="n">
        <x:v>0</x:v>
      </x:c>
      <x:c r="L159" s="60" t="n">
        <x:v>0</x:v>
      </x:c>
      <x:c r="M159" s="60" t="n">
        <x:v>1513.8665326561002</x:v>
      </x:c>
      <x:c r="N159" s="46" t="str">
        <x:v>decapterus russelli</x:v>
      </x:c>
      <x:c r="O159" s="62" t="n">
        <x:v>3.68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Decapterus russelli</x:v>
      </x:c>
      <x:c r="T159" s="62" t="n">
        <x:f>IF(O159="","",(1/'Metadata'!$B$5)^(O159-1))</x:f>
        <x:v>3067.3291957408446</x:v>
      </x:c>
      <x:c r="U159" s="60" t="n">
        <x:f>IF(T159="","",I159*T159)</x:f>
        <x:v>4643527.014071017</x:v>
      </x:c>
    </x:row>
    <x:row r="160" ht="18" customHeight="1">
      <x:c r="A160" s="46" t="str">
        <x:v>LME_032</x:v>
      </x:c>
      <x:c r="B160" s="46" t="str">
        <x:v>Arabian Sea</x:v>
      </x:c>
      <x:c r="C160" s="46" t="str">
        <x:v>LME</x:v>
      </x:c>
      <x:c r="D160" s="58" t="n">
        <x:v>2019</x:v>
      </x:c>
      <x:c r="E160" s="46" t="str">
        <x:v>Lamnidae</x:v>
      </x:c>
      <x:c r="F160" s="46" t="str">
        <x:v>Mackerel/white sharks</x:v>
      </x:c>
      <x:c r="G160" s="46" t="str">
        <x:v>Large sharks (&gt;=90 cm)</x:v>
      </x:c>
      <x:c r="H160" s="46" t="str">
        <x:v>Sharks &amp; rays</x:v>
      </x:c>
      <x:c r="I160" s="60" t="n">
        <x:v>1487.1942433602</x:v>
      </x:c>
      <x:c r="J160" s="60" t="n">
        <x:v>982.5786096396</x:v>
      </x:c>
      <x:c r="K160" s="60" t="n">
        <x:v>504.61563372060004</x:v>
      </x:c>
      <x:c r="L160" s="60" t="n">
        <x:v>744.4041974184</x:v>
      </x:c>
      <x:c r="M160" s="60" t="n">
        <x:v>742.7900459418</x:v>
      </x:c>
      <x:c r="N160" s="46" t="str">
        <x:v>lamnidae</x:v>
      </x:c>
      <x:c r="O160" s="62" t="n">
        <x:v>4.5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Lamnidae</x:v>
      </x:c>
      <x:c r="T160" s="62" t="n">
        <x:f>IF(O160="","",(1/'Metadata'!$B$5)^(O160-1))</x:f>
        <x:v>35777.08763999664</x:v>
      </x:c>
      <x:c r="U160" s="60" t="n">
        <x:f>IF(T160="","",I160*T160)</x:f>
        <x:v>53207478.78239636</x:v>
      </x:c>
    </x:row>
    <x:row r="161" ht="18" customHeight="1">
      <x:c r="A161" s="46" t="str">
        <x:v>LME_032</x:v>
      </x:c>
      <x:c r="B161" s="46" t="str">
        <x:v>Arabian Sea</x:v>
      </x:c>
      <x:c r="C161" s="46" t="str">
        <x:v>LME</x:v>
      </x:c>
      <x:c r="D161" s="58" t="n">
        <x:v>2019</x:v>
      </x:c>
      <x:c r="E161" s="46" t="str">
        <x:v>Sphyrnidae</x:v>
      </x:c>
      <x:c r="F161" s="46" t="str">
        <x:v>Hammer, bonnet, scoophead sharks</x:v>
      </x:c>
      <x:c r="G161" s="46" t="str">
        <x:v>Large sharks (&gt;=90 cm)</x:v>
      </x:c>
      <x:c r="H161" s="46" t="str">
        <x:v>Sharks &amp; rays</x:v>
      </x:c>
      <x:c r="I161" s="60" t="n">
        <x:v>1471.0688963803</x:v>
      </x:c>
      <x:c r="J161" s="60" t="n">
        <x:v>971.0586347338</x:v>
      </x:c>
      <x:c r="K161" s="60" t="n">
        <x:v>500.0102616465</x:v>
      </x:c>
      <x:c r="L161" s="60" t="n">
        <x:v>735.6766334844999</x:v>
      </x:c>
      <x:c r="M161" s="60" t="n">
        <x:v>735.3922628958</x:v>
      </x:c>
      <x:c r="N161" s="46" t="str">
        <x:v>sphyrnidae</x:v>
      </x:c>
      <x:c r="O161" s="62" t="n">
        <x:v>4.19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Sphyrnidae</x:v>
      </x:c>
      <x:c r="T161" s="62" t="n">
        <x:f>IF(O161="","",(1/'Metadata'!$B$5)^(O161-1))</x:f>
        <x:v>14134.67041111498</x:v>
      </x:c>
      <x:c r="U161" s="60" t="n">
        <x:f>IF(T161="","",I161*T161)</x:f>
        <x:v>20793074.00237819</x:v>
      </x:c>
    </x:row>
    <x:row r="162" ht="18" customHeight="1">
      <x:c r="A162" s="46" t="str">
        <x:v>LME_032</x:v>
      </x:c>
      <x:c r="B162" s="46" t="str">
        <x:v>Arabian Sea</x:v>
      </x:c>
      <x:c r="C162" s="46" t="str">
        <x:v>LME</x:v>
      </x:c>
      <x:c r="D162" s="58" t="n">
        <x:v>2019</x:v>
      </x:c>
      <x:c r="E162" s="46" t="str">
        <x:v>Atule mate</x:v>
      </x:c>
      <x:c r="F162" s="46" t="str">
        <x:v>Yellowtail scad</x:v>
      </x:c>
      <x:c r="G162" s="46" t="str">
        <x:v>Small pelagics (&lt;30 cm)</x:v>
      </x:c>
      <x:c r="H162" s="46" t="str">
        <x:v>Perch-likes</x:v>
      </x:c>
      <x:c r="I162" s="60" t="n">
        <x:v>1446.709480155</x:v>
      </x:c>
      <x:c r="J162" s="60" t="n">
        <x:v>1446.709480155</x:v>
      </x:c>
      <x:c r="K162" s="60" t="n">
        <x:v>0</x:v>
      </x:c>
      <x:c r="L162" s="60" t="n">
        <x:v>1289.0237710116</x:v>
      </x:c>
      <x:c r="M162" s="60" t="n">
        <x:v>157.6857091434</x:v>
      </x:c>
      <x:c r="N162" s="46" t="str">
        <x:v>atule mate</x:v>
      </x:c>
      <x:c r="O162" s="62" t="n">
        <x:v>4.22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Atule mate</x:v>
      </x:c>
      <x:c r="T162" s="62" t="n">
        <x:f>IF(O162="","",(1/'Metadata'!$B$5)^(O162-1))</x:f>
        <x:v>15463.812886046735</x:v>
      </x:c>
      <x:c r="U162" s="60" t="n">
        <x:f>IF(T162="","",I162*T162)</x:f>
        <x:v>22371644.70158686</x:v>
      </x:c>
    </x:row>
    <x:row r="163" ht="18" customHeight="1">
      <x:c r="A163" s="46" t="str">
        <x:v>LME_032</x:v>
      </x:c>
      <x:c r="B163" s="46" t="str">
        <x:v>Arabian Sea</x:v>
      </x:c>
      <x:c r="C163" s="46" t="str">
        <x:v>LME</x:v>
      </x:c>
      <x:c r="D163" s="58" t="n">
        <x:v>2019</x:v>
      </x:c>
      <x:c r="E163" s="46" t="str">
        <x:v>Panulirus</x:v>
      </x:c>
      <x:c r="F163" s="46" t="str">
        <x:v>Spiny lobsters</x:v>
      </x:c>
      <x:c r="G163" s="46" t="str">
        <x:v>Lobsters, crabs</x:v>
      </x:c>
      <x:c r="H163" s="46" t="str">
        <x:v>Crustaceans</x:v>
      </x:c>
      <x:c r="I163" s="60" t="n">
        <x:v>1433.8668301254</x:v>
      </x:c>
      <x:c r="J163" s="60" t="n">
        <x:v>1433.8668301254</x:v>
      </x:c>
      <x:c r="K163" s="60" t="n">
        <x:v>0</x:v>
      </x:c>
      <x:c r="L163" s="60" t="n">
        <x:v>1433.2979757161</x:v>
      </x:c>
      <x:c r="M163" s="60" t="n">
        <x:v>0.5688544093</x:v>
      </x:c>
      <x:c r="N163" s="46" t="str">
        <x:v>panulirus</x:v>
      </x:c>
      <x:c r="O163" s="62" t="n">
        <x:v>2.6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Panulirus</x:v>
      </x:c>
      <x:c r="T163" s="62" t="n">
        <x:f>IF(O163="","",(1/'Metadata'!$B$5)^(O163-1))</x:f>
        <x:v>120.6835267309033</x:v>
      </x:c>
      <x:c r="U163" s="60" t="n">
        <x:f>IF(T163="","",I163*T163)</x:f>
        <x:v>173044.10592199428</x:v>
      </x:c>
    </x:row>
    <x:row r="164" ht="18" customHeight="1">
      <x:c r="A164" s="46" t="str">
        <x:v>LME_032</x:v>
      </x:c>
      <x:c r="B164" s="46" t="str">
        <x:v>Arabian Sea</x:v>
      </x:c>
      <x:c r="C164" s="46" t="str">
        <x:v>LME</x:v>
      </x:c>
      <x:c r="D164" s="58" t="n">
        <x:v>2019</x:v>
      </x:c>
      <x:c r="E164" s="46" t="str">
        <x:v>Aetobatus narinari</x:v>
      </x:c>
      <x:c r="F164" s="46" t="str">
        <x:v>Spotted eagle ray</x:v>
      </x:c>
      <x:c r="G164" s="46" t="str">
        <x:v>Large rays (&gt;=90 cm)</x:v>
      </x:c>
      <x:c r="H164" s="46" t="str">
        <x:v>Sharks &amp; rays</x:v>
      </x:c>
      <x:c r="I164" s="60" t="n">
        <x:v>1411.4952328988</x:v>
      </x:c>
      <x:c r="J164" s="60" t="n">
        <x:v>1411.4952328988</x:v>
      </x:c>
      <x:c r="K164" s="60" t="n">
        <x:v>0</x:v>
      </x:c>
      <x:c r="L164" s="60" t="n">
        <x:v>413.9464198821</x:v>
      </x:c>
      <x:c r="M164" s="60" t="n">
        <x:v>997.5488130167</x:v>
      </x:c>
      <x:c r="N164" s="46" t="str">
        <x:v>aetobatus narinari</x:v>
      </x:c>
      <x:c r="O164" s="62" t="n">
        <x:v>4.17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Aetobatus narinari</x:v>
      </x:c>
      <x:c r="T164" s="62" t="n">
        <x:f>IF(O164="","",(1/'Metadata'!$B$5)^(O164-1))</x:f>
        <x:v>13312.667535064244</x:v>
      </x:c>
      <x:c r="U164" s="60" t="n">
        <x:f>IF(T164="","",I164*T164)</x:f>
        <x:v>18790766.762909796</x:v>
      </x:c>
    </x:row>
    <x:row r="165" ht="18" customHeight="1">
      <x:c r="A165" s="46" t="str">
        <x:v>LME_032</x:v>
      </x:c>
      <x:c r="B165" s="46" t="str">
        <x:v>Arabian Sea</x:v>
      </x:c>
      <x:c r="C165" s="46" t="str">
        <x:v>LME</x:v>
      </x:c>
      <x:c r="D165" s="58" t="n">
        <x:v>2019</x:v>
      </x:c>
      <x:c r="E165" s="46" t="str">
        <x:v>Panulirus polyphagus</x:v>
      </x:c>
      <x:c r="F165" s="46" t="str">
        <x:v>Mud spiny lobster</x:v>
      </x:c>
      <x:c r="G165" s="46" t="str">
        <x:v>Lobsters, crabs</x:v>
      </x:c>
      <x:c r="H165" s="46" t="str">
        <x:v>Crustaceans</x:v>
      </x:c>
      <x:c r="I165" s="60" t="n">
        <x:v>1406.8263113102</x:v>
      </x:c>
      <x:c r="J165" s="60" t="n">
        <x:v>1406.8263113102</x:v>
      </x:c>
      <x:c r="K165" s="60" t="n">
        <x:v>0</x:v>
      </x:c>
      <x:c r="L165" s="60" t="n">
        <x:v>268.52168327100003</x:v>
      </x:c>
      <x:c r="M165" s="60" t="n">
        <x:v>1138.3046280392</x:v>
      </x:c>
      <x:c r="N165" s="46" t="str">
        <x:v>panulirus polyphagus</x:v>
      </x:c>
      <x:c r="O165" s="62" t="n">
        <x:v>2.94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Panulirus polyphagus</x:v>
      </x:c>
      <x:c r="T165" s="62" t="n">
        <x:f>IF(O165="","",(1/'Metadata'!$B$5)^(O165-1))</x:f>
        <x:v>334.1936484334361</x:v>
      </x:c>
      <x:c r="U165" s="60" t="n">
        <x:f>IF(T165="","",I165*T165)</x:f>
        <x:v>470152.41768890875</x:v>
      </x:c>
    </x:row>
    <x:row r="166" ht="18" customHeight="1">
      <x:c r="A166" s="46" t="str">
        <x:v>LME_032</x:v>
      </x:c>
      <x:c r="B166" s="46" t="str">
        <x:v>Arabian Sea</x:v>
      </x:c>
      <x:c r="C166" s="46" t="str">
        <x:v>LME</x:v>
      </x:c>
      <x:c r="D166" s="58" t="n">
        <x:v>2019</x:v>
      </x:c>
      <x:c r="E166" s="46" t="str">
        <x:v>Pristipomoides filamentosus</x:v>
      </x:c>
      <x:c r="F166" s="46" t="str">
        <x:v>Crimson jobfish</x:v>
      </x:c>
      <x:c r="G166" s="46" t="str">
        <x:v>Medium demersals (30 - 89 cm)</x:v>
      </x:c>
      <x:c r="H166" s="46" t="str">
        <x:v>Perch-likes</x:v>
      </x:c>
      <x:c r="I166" s="60" t="n">
        <x:v>1353.2728457391</x:v>
      </x:c>
      <x:c r="J166" s="60" t="n">
        <x:v>1353.2728457391</x:v>
      </x:c>
      <x:c r="K166" s="60" t="n">
        <x:v>0</x:v>
      </x:c>
      <x:c r="L166" s="60" t="n">
        <x:v>1347.4659054308</x:v>
      </x:c>
      <x:c r="M166" s="60" t="n">
        <x:v>5.8069403083</x:v>
      </x:c>
      <x:c r="N166" s="46" t="str">
        <x:v>pristipomoides filamentosus</x:v>
      </x:c>
      <x:c r="O166" s="62" t="n">
        <x:v>4.19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Pristipomoides filamentosus</x:v>
      </x:c>
      <x:c r="T166" s="62" t="n">
        <x:f>IF(O166="","",(1/'Metadata'!$B$5)^(O166-1))</x:f>
        <x:v>14134.67041111498</x:v>
      </x:c>
      <x:c r="U166" s="60" t="n">
        <x:f>IF(T166="","",I166*T166)</x:f>
        <x:v>19128065.650833823</x:v>
      </x:c>
    </x:row>
    <x:row r="167" ht="18" customHeight="1">
      <x:c r="A167" s="46" t="str">
        <x:v>LME_032</x:v>
      </x:c>
      <x:c r="B167" s="46" t="str">
        <x:v>Arabian Sea</x:v>
      </x:c>
      <x:c r="C167" s="46" t="str">
        <x:v>LME</x:v>
      </x:c>
      <x:c r="D167" s="58" t="n">
        <x:v>2019</x:v>
      </x:c>
      <x:c r="E167" s="46" t="str">
        <x:v>Grammoplites suppositus</x:v>
      </x:c>
      <x:c r="F167" s="46" t="str">
        <x:v>Spotfin flathead</x:v>
      </x:c>
      <x:c r="G167" s="46" t="str">
        <x:v>Small demersals (&lt;30 cm)</x:v>
      </x:c>
      <x:c r="H167" s="46" t="str">
        <x:v>Scorpionfishes</x:v>
      </x:c>
      <x:c r="I167" s="60" t="n">
        <x:v>1258.6623290166</x:v>
      </x:c>
      <x:c r="J167" s="60" t="n">
        <x:v>1258.6623290166</x:v>
      </x:c>
      <x:c r="K167" s="60" t="n">
        <x:v>0</x:v>
      </x:c>
      <x:c r="L167" s="60" t="n">
        <x:v>395.17637792520003</x:v>
      </x:c>
      <x:c r="M167" s="60" t="n">
        <x:v>863.4859510914</x:v>
      </x:c>
      <x:c r="N167" s="46" t="str">
        <x:v>grammoplites suppositus</x:v>
      </x:c>
      <x:c r="O167" s="62" t="n">
        <x:v>3.84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Grammoplites suppositus</x:v>
      </x:c>
      <x:c r="T167" s="62" t="n">
        <x:f>IF(O167="","",(1/'Metadata'!$B$5)^(O167-1))</x:f>
        <x:v>4953.648510535111</x:v>
      </x:c>
      <x:c r="U167" s="60" t="n">
        <x:f>IF(T167="","",I167*T167)</x:f>
        <x:v>6234970.7713997355</x:v>
      </x:c>
    </x:row>
    <x:row r="168" ht="18" customHeight="1">
      <x:c r="A168" s="46" t="str">
        <x:v>LME_032</x:v>
      </x:c>
      <x:c r="B168" s="46" t="str">
        <x:v>Arabian Sea</x:v>
      </x:c>
      <x:c r="C168" s="46" t="str">
        <x:v>LME</x:v>
      </x:c>
      <x:c r="D168" s="58" t="n">
        <x:v>2019</x:v>
      </x:c>
      <x:c r="E168" s="46" t="str">
        <x:v>Equulites klunzingeri</x:v>
      </x:c>
      <x:c r="F168" s="46" t="str">
        <x:v>Klunzinger's ponyfish</x:v>
      </x:c>
      <x:c r="G168" s="46" t="str">
        <x:v>Small demersals (&lt;30 cm)</x:v>
      </x:c>
      <x:c r="H168" s="46" t="str">
        <x:v>Perch-likes</x:v>
      </x:c>
      <x:c r="I168" s="60" t="n">
        <x:v>1225.1280950144</x:v>
      </x:c>
      <x:c r="J168" s="60" t="n">
        <x:v>1225.1280950144</x:v>
      </x:c>
      <x:c r="K168" s="60" t="n">
        <x:v>0</x:v>
      </x:c>
      <x:c r="L168" s="60" t="n">
        <x:v>0</x:v>
      </x:c>
      <x:c r="M168" s="60" t="n">
        <x:v>1225.1280950144</x:v>
      </x:c>
      <x:c r="N168" s="46" t="str">
        <x:v>equulites klunzingeri</x:v>
      </x:c>
      <x:c r="O168" s="62" t="n">
        <x:v>3.5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Equulites klunzingeri</x:v>
      </x:c>
      <x:c r="T168" s="62" t="n">
        <x:f>IF(O168="","",(1/'Metadata'!$B$5)^(O168-1))</x:f>
        <x:v>1788.8543819998317</x:v>
      </x:c>
      <x:c r="U168" s="60" t="n">
        <x:f>IF(T168="","",I168*T168)</x:f>
        <x:v>2191575.7612776156</x:v>
      </x:c>
    </x:row>
    <x:row r="169" ht="18" customHeight="1">
      <x:c r="A169" s="46" t="str">
        <x:v>LME_032</x:v>
      </x:c>
      <x:c r="B169" s="46" t="str">
        <x:v>Arabian Sea</x:v>
      </x:c>
      <x:c r="C169" s="46" t="str">
        <x:v>LME</x:v>
      </x:c>
      <x:c r="D169" s="58" t="n">
        <x:v>2019</x:v>
      </x:c>
      <x:c r="E169" s="46" t="str">
        <x:v>Carcharhinus falciformis</x:v>
      </x:c>
      <x:c r="F169" s="46" t="str">
        <x:v>Silky shark</x:v>
      </x:c>
      <x:c r="G169" s="46" t="str">
        <x:v>Large sharks (&gt;=90 cm)</x:v>
      </x:c>
      <x:c r="H169" s="46" t="str">
        <x:v>Sharks &amp; rays</x:v>
      </x:c>
      <x:c r="I169" s="60" t="n">
        <x:v>1135.6186159462</x:v>
      </x:c>
      <x:c r="J169" s="60" t="n">
        <x:v>1135.6186159462</x:v>
      </x:c>
      <x:c r="K169" s="60" t="n">
        <x:v>0</x:v>
      </x:c>
      <x:c r="L169" s="60" t="n">
        <x:v>1135.6186159462</x:v>
      </x:c>
      <x:c r="M169" s="60" t="n">
        <x:v>0</x:v>
      </x:c>
      <x:c r="N169" s="46" t="str">
        <x:v>carcharhinus falciformis</x:v>
      </x:c>
      <x:c r="O169" s="62" t="n">
        <x:v>4.51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Carcharhinus falciformis</x:v>
      </x:c>
      <x:c r="T169" s="62" t="n">
        <x:f>IF(O169="","",(1/'Metadata'!$B$5)^(O169-1))</x:f>
        <x:v>36865.088835568684</x:v>
      </x:c>
      <x:c r="U169" s="60" t="n">
        <x:f>IF(T169="","",I169*T169)</x:f>
        <x:v>41864681.160182215</x:v>
      </x:c>
    </x:row>
    <x:row r="170" ht="18" customHeight="1">
      <x:c r="A170" s="46" t="str">
        <x:v>LME_032</x:v>
      </x:c>
      <x:c r="B170" s="46" t="str">
        <x:v>Arabian Sea</x:v>
      </x:c>
      <x:c r="C170" s="46" t="str">
        <x:v>LME</x:v>
      </x:c>
      <x:c r="D170" s="58" t="n">
        <x:v>2019</x:v>
      </x:c>
      <x:c r="E170" s="46" t="str">
        <x:v>Alopias vulpinus</x:v>
      </x:c>
      <x:c r="F170" s="46" t="str">
        <x:v>Thresher</x:v>
      </x:c>
      <x:c r="G170" s="46" t="str">
        <x:v>Large sharks (&gt;=90 cm)</x:v>
      </x:c>
      <x:c r="H170" s="46" t="str">
        <x:v>Sharks &amp; rays</x:v>
      </x:c>
      <x:c r="I170" s="60" t="n">
        <x:v>1128.0907839964</x:v>
      </x:c>
      <x:c r="J170" s="60" t="n">
        <x:v>743.287075533</x:v>
      </x:c>
      <x:c r="K170" s="60" t="n">
        <x:v>384.80370846339997</x:v>
      </x:c>
      <x:c r="L170" s="60" t="n">
        <x:v>563.1162875778</x:v>
      </x:c>
      <x:c r="M170" s="60" t="n">
        <x:v>564.9744964186</x:v>
      </x:c>
      <x:c r="N170" s="46" t="str">
        <x:v>alopias vulpinus</x:v>
      </x:c>
      <x:c r="O170" s="62" t="n">
        <x:v>4.5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Alopias vulpinus</x:v>
      </x:c>
      <x:c r="T170" s="62" t="n">
        <x:f>IF(O170="","",(1/'Metadata'!$B$5)^(O170-1))</x:f>
        <x:v>35777.08763999664</x:v>
      </x:c>
      <x:c r="U170" s="60" t="n">
        <x:f>IF(T170="","",I170*T170)</x:f>
        <x:v>40359802.84491172</x:v>
      </x:c>
    </x:row>
    <x:row r="171" ht="18" customHeight="1">
      <x:c r="A171" s="46" t="str">
        <x:v>LME_032</x:v>
      </x:c>
      <x:c r="B171" s="46" t="str">
        <x:v>Arabian Sea</x:v>
      </x:c>
      <x:c r="C171" s="46" t="str">
        <x:v>LME</x:v>
      </x:c>
      <x:c r="D171" s="58" t="n">
        <x:v>2019</x:v>
      </x:c>
      <x:c r="E171" s="46" t="str">
        <x:v>Brama brama</x:v>
      </x:c>
      <x:c r="F171" s="46" t="str">
        <x:v>Atlantic pomfret</x:v>
      </x:c>
      <x:c r="G171" s="46" t="str">
        <x:v>Medium bathypelagics (30 - 89 cm)</x:v>
      </x:c>
      <x:c r="H171" s="46" t="str">
        <x:v>Perch-likes</x:v>
      </x:c>
      <x:c r="I171" s="60" t="n">
        <x:v>1115.942419327</x:v>
      </x:c>
      <x:c r="J171" s="60" t="n">
        <x:v>0</x:v>
      </x:c>
      <x:c r="K171" s="60" t="n">
        <x:v>1115.942419327</x:v>
      </x:c>
      <x:c r="L171" s="60" t="n">
        <x:v>0</x:v>
      </x:c>
      <x:c r="M171" s="60" t="n">
        <x:v>1115.942419327</x:v>
      </x:c>
      <x:c r="N171" s="46" t="str">
        <x:v>brama brama</x:v>
      </x:c>
      <x:c r="O171" s="62" t="n">
        <x:v>4.08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Brama brama</x:v>
      </x:c>
      <x:c r="T171" s="62" t="n">
        <x:f>IF(O171="","",(1/'Metadata'!$B$5)^(O171-1))</x:f>
        <x:v>10166.521575327472</x:v>
      </x:c>
      <x:c r="U171" s="60" t="n">
        <x:f>IF(T171="","",I171*T171)</x:f>
        <x:v>11345252.682911081</x:v>
      </x:c>
    </x:row>
    <x:row r="172" ht="18" customHeight="1">
      <x:c r="A172" s="46" t="str">
        <x:v>LME_032</x:v>
      </x:c>
      <x:c r="B172" s="46" t="str">
        <x:v>Arabian Sea</x:v>
      </x:c>
      <x:c r="C172" s="46" t="str">
        <x:v>LME</x:v>
      </x:c>
      <x:c r="D172" s="58" t="n">
        <x:v>2019</x:v>
      </x:c>
      <x:c r="E172" s="46" t="str">
        <x:v>Epinephelus polylepis</x:v>
      </x:c>
      <x:c r="F172" s="46" t="str">
        <x:v>Smallscaled grouper</x:v>
      </x:c>
      <x:c r="G172" s="46" t="str">
        <x:v>Medium demersals (30 - 89 cm)</x:v>
      </x:c>
      <x:c r="H172" s="46" t="str">
        <x:v>Perch-likes</x:v>
      </x:c>
      <x:c r="I172" s="60" t="n">
        <x:v>1031.4214949557</x:v>
      </x:c>
      <x:c r="J172" s="60" t="n">
        <x:v>1031.4214949557</x:v>
      </x:c>
      <x:c r="K172" s="60" t="n">
        <x:v>0</x:v>
      </x:c>
      <x:c r="L172" s="60" t="n">
        <x:v>347.7223862972</x:v>
      </x:c>
      <x:c r="M172" s="60" t="n">
        <x:v>683.6991086585</x:v>
      </x:c>
      <x:c r="N172" s="46" t="str">
        <x:v>epinephelus polylepis</x:v>
      </x:c>
      <x:c r="O172" s="62" t="n">
        <x:v>3.8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Epinephelus polylepis</x:v>
      </x:c>
      <x:c r="T172" s="62" t="n">
        <x:f>IF(O172="","",(1/'Metadata'!$B$5)^(O172-1))</x:f>
        <x:v>4394.242173224468</x:v>
      </x:c>
      <x:c r="U172" s="60" t="n">
        <x:f>IF(T172="","",I172*T172)</x:f>
        <x:v>4532315.831504565</x:v>
      </x:c>
    </x:row>
    <x:row r="173" ht="18" customHeight="1">
      <x:c r="A173" s="46" t="str">
        <x:v>LME_032</x:v>
      </x:c>
      <x:c r="B173" s="46" t="str">
        <x:v>Arabian Sea</x:v>
      </x:c>
      <x:c r="C173" s="46" t="str">
        <x:v>LME</x:v>
      </x:c>
      <x:c r="D173" s="58" t="n">
        <x:v>2019</x:v>
      </x:c>
      <x:c r="E173" s="46" t="str">
        <x:v>Planiliza klunzingeri</x:v>
      </x:c>
      <x:c r="F173" s="46" t="str">
        <x:v>Klunzinger's mullet</x:v>
      </x:c>
      <x:c r="G173" s="46" t="str">
        <x:v>Small demersals (&lt;30 cm)</x:v>
      </x:c>
      <x:c r="H173" s="46" t="str">
        <x:v>Perch-likes</x:v>
      </x:c>
      <x:c r="I173" s="60" t="n">
        <x:v>973.8521671146</x:v>
      </x:c>
      <x:c r="J173" s="60" t="n">
        <x:v>973.8521671146</x:v>
      </x:c>
      <x:c r="K173" s="60" t="n">
        <x:v>0</x:v>
      </x:c>
      <x:c r="L173" s="60" t="n">
        <x:v>973.8521671146</x:v>
      </x:c>
      <x:c r="M173" s="60" t="n">
        <x:v>0</x:v>
      </x:c>
      <x:c r="N173" s="46" t="str">
        <x:v>planiliza klunzingeri</x:v>
      </x:c>
      <x:c r="O173" s="62" t="n">
        <x:v>2.63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Planiliza klunzingeri</x:v>
      </x:c>
      <x:c r="T173" s="62" t="n">
        <x:f>IF(O173="","",(1/'Metadata'!$B$5)^(O173-1))</x:f>
        <x:v>132.03190605190048</x:v>
      </x:c>
      <x:c r="U173" s="60" t="n">
        <x:f>IF(T173="","",I173*T173)</x:f>
        <x:v>128579.55783691455</x:v>
      </x:c>
    </x:row>
    <x:row r="174" ht="18" customHeight="1">
      <x:c r="A174" s="46" t="str">
        <x:v>LME_032</x:v>
      </x:c>
      <x:c r="B174" s="46" t="str">
        <x:v>Arabian Sea</x:v>
      </x:c>
      <x:c r="C174" s="46" t="str">
        <x:v>LME</x:v>
      </x:c>
      <x:c r="D174" s="58" t="n">
        <x:v>2019</x:v>
      </x:c>
      <x:c r="E174" s="46" t="str">
        <x:v>Gerreidae</x:v>
      </x:c>
      <x:c r="F174" s="46" t="str">
        <x:v>Mojarras, silverbellies</x:v>
      </x:c>
      <x:c r="G174" s="46" t="str">
        <x:v>Small benthopelagics (&lt;30 cm)</x:v>
      </x:c>
      <x:c r="H174" s="46" t="str">
        <x:v>Perch-likes</x:v>
      </x:c>
      <x:c r="I174" s="60" t="n">
        <x:v>964.9627851588</x:v>
      </x:c>
      <x:c r="J174" s="60" t="n">
        <x:v>861.1587998386</x:v>
      </x:c>
      <x:c r="K174" s="60" t="n">
        <x:v>103.80398532019998</x:v>
      </x:c>
      <x:c r="L174" s="60" t="n">
        <x:v>717.8084014699</x:v>
      </x:c>
      <x:c r="M174" s="60" t="n">
        <x:v>247.1543836889</x:v>
      </x:c>
      <x:c r="N174" s="46" t="str">
        <x:v>gerreidae</x:v>
      </x:c>
      <x:c r="O174" s="62" t="n">
        <x:v>3.03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Gerreidae</x:v>
      </x:c>
      <x:c r="T174" s="62" t="n">
        <x:f>IF(O174="","",(1/'Metadata'!$B$5)^(O174-1))</x:f>
        <x:v>437.6136814307771</x:v>
      </x:c>
      <x:c r="U174" s="60" t="n">
        <x:f>IF(T174="","",I174*T174)</x:f>
        <x:v>422280.9168570385</x:v>
      </x:c>
    </x:row>
    <x:row r="175" ht="18" customHeight="1">
      <x:c r="A175" s="46" t="str">
        <x:v>LME_032</x:v>
      </x:c>
      <x:c r="B175" s="46" t="str">
        <x:v>Arabian Sea</x:v>
      </x:c>
      <x:c r="C175" s="46" t="str">
        <x:v>LME</x:v>
      </x:c>
      <x:c r="D175" s="58" t="n">
        <x:v>2019</x:v>
      </x:c>
      <x:c r="E175" s="46" t="str">
        <x:v>Epinephelus tauvina</x:v>
      </x:c>
      <x:c r="F175" s="46" t="str">
        <x:v>Greasy grouper</x:v>
      </x:c>
      <x:c r="G175" s="46" t="str">
        <x:v>Medium reef assoc. fish (30 - 89 cm)</x:v>
      </x:c>
      <x:c r="H175" s="46" t="str">
        <x:v>Perch-likes</x:v>
      </x:c>
      <x:c r="I175" s="60" t="n">
        <x:v>964.6619904442</x:v>
      </x:c>
      <x:c r="J175" s="60" t="n">
        <x:v>964.6619904442</x:v>
      </x:c>
      <x:c r="K175" s="60" t="n">
        <x:v>0</x:v>
      </x:c>
      <x:c r="L175" s="60" t="n">
        <x:v>452.6034280003</x:v>
      </x:c>
      <x:c r="M175" s="60" t="n">
        <x:v>512.0585624439</x:v>
      </x:c>
      <x:c r="N175" s="46" t="str">
        <x:v>epinephelus tauvina</x:v>
      </x:c>
      <x:c r="O175" s="62" t="n">
        <x:v>4.13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Epinephelus tauvina</x:v>
      </x:c>
      <x:c r="T175" s="62" t="n">
        <x:f>IF(O175="","",(1/'Metadata'!$B$5)^(O175-1))</x:f>
        <x:v>11809.292685236613</x:v>
      </x:c>
      <x:c r="U175" s="60" t="n">
        <x:f>IF(T175="","",I175*T175)</x:f>
        <x:v>11391975.787478482</x:v>
      </x:c>
    </x:row>
    <x:row r="176" ht="18" customHeight="1">
      <x:c r="A176" s="46" t="str">
        <x:v>LME_032</x:v>
      </x:c>
      <x:c r="B176" s="46" t="str">
        <x:v>Arabian Sea</x:v>
      </x:c>
      <x:c r="C176" s="46" t="str">
        <x:v>LME</x:v>
      </x:c>
      <x:c r="D176" s="58" t="n">
        <x:v>2019</x:v>
      </x:c>
      <x:c r="E176" s="46" t="str">
        <x:v>Lates calcarifer</x:v>
      </x:c>
      <x:c r="F176" s="46" t="str">
        <x:v>Barramundi</x:v>
      </x:c>
      <x:c r="G176" s="46" t="str">
        <x:v>Large demersals (&gt;=90 cm)</x:v>
      </x:c>
      <x:c r="H176" s="46" t="str">
        <x:v>Perch-likes</x:v>
      </x:c>
      <x:c r="I176" s="60" t="n">
        <x:v>959.4194724293</x:v>
      </x:c>
      <x:c r="J176" s="60" t="n">
        <x:v>959.4194724293</x:v>
      </x:c>
      <x:c r="K176" s="60" t="n">
        <x:v>0</x:v>
      </x:c>
      <x:c r="L176" s="60" t="n">
        <x:v>0</x:v>
      </x:c>
      <x:c r="M176" s="60" t="n">
        <x:v>959.4194724293</x:v>
      </x:c>
      <x:c r="N176" s="46" t="str">
        <x:v>lates calcarifer</x:v>
      </x:c>
      <x:c r="O176" s="62" t="n">
        <x:v>4.35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Lates calcarifer</x:v>
      </x:c>
      <x:c r="T176" s="62" t="n">
        <x:f>IF(O176="","",(1/'Metadata'!$B$5)^(O176-1))</x:f>
        <x:v>22827.086550132422</x:v>
      </x:c>
      <x:c r="U176" s="60" t="n">
        <x:f>IF(T176="","",I176*T176)</x:f>
        <x:v>21900751.33502602</x:v>
      </x:c>
    </x:row>
    <x:row r="177" ht="18" customHeight="1">
      <x:c r="A177" s="46" t="str">
        <x:v>LME_032</x:v>
      </x:c>
      <x:c r="B177" s="46" t="str">
        <x:v>Arabian Sea</x:v>
      </x:c>
      <x:c r="C177" s="46" t="str">
        <x:v>LME</x:v>
      </x:c>
      <x:c r="D177" s="58" t="n">
        <x:v>2019</x:v>
      </x:c>
      <x:c r="E177" s="46" t="str">
        <x:v>Thryssa dussumieri</x:v>
      </x:c>
      <x:c r="F177" s="46" t="str">
        <x:v>Dussumier's thryssa</x:v>
      </x:c>
      <x:c r="G177" s="46" t="str">
        <x:v>Small pelagics (&lt;30 cm)</x:v>
      </x:c>
      <x:c r="H177" s="46" t="str">
        <x:v>Anchovies</x:v>
      </x:c>
      <x:c r="I177" s="60" t="n">
        <x:v>945.5750839089001</x:v>
      </x:c>
      <x:c r="J177" s="60" t="n">
        <x:v>945.5750839089001</x:v>
      </x:c>
      <x:c r="K177" s="60" t="n">
        <x:v>0</x:v>
      </x:c>
      <x:c r="L177" s="60" t="n">
        <x:v>0</x:v>
      </x:c>
      <x:c r="M177" s="60" t="n">
        <x:v>945.5750839089001</x:v>
      </x:c>
      <x:c r="N177" s="46" t="str">
        <x:v>thryssa dussumieri</x:v>
      </x:c>
      <x:c r="O177" s="62" t="n">
        <x:v>2.82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Thryssa dussumieri</x:v>
      </x:c>
      <x:c r="T177" s="62" t="n">
        <x:f>IF(O177="","",(1/'Metadata'!$B$5)^(O177-1))</x:f>
        <x:v>233.27843447436348</x:v>
      </x:c>
      <x:c r="U177" s="60" t="n">
        <x:f>IF(T177="","",I177*T177)</x:f>
        <x:v>220582.27525223308</x:v>
      </x:c>
    </x:row>
    <x:row r="178" ht="18" customHeight="1">
      <x:c r="A178" s="46" t="str">
        <x:v>LME_032</x:v>
      </x:c>
      <x:c r="B178" s="46" t="str">
        <x:v>Arabian Sea</x:v>
      </x:c>
      <x:c r="C178" s="46" t="str">
        <x:v>LME</x:v>
      </x:c>
      <x:c r="D178" s="58" t="n">
        <x:v>2019</x:v>
      </x:c>
      <x:c r="E178" s="46" t="str">
        <x:v>Selar crumenophthalmus</x:v>
      </x:c>
      <x:c r="F178" s="46" t="str">
        <x:v>Bigeye scad</x:v>
      </x:c>
      <x:c r="G178" s="46" t="str">
        <x:v>Medium pelagics (30 - 89 cm)</x:v>
      </x:c>
      <x:c r="H178" s="46" t="str">
        <x:v>Perch-likes</x:v>
      </x:c>
      <x:c r="I178" s="60" t="n">
        <x:v>886.6881088721001</x:v>
      </x:c>
      <x:c r="J178" s="60" t="n">
        <x:v>886.6881088721001</x:v>
      </x:c>
      <x:c r="K178" s="60" t="n">
        <x:v>0</x:v>
      </x:c>
      <x:c r="L178" s="60" t="n">
        <x:v>108.61284745270001</x:v>
      </x:c>
      <x:c r="M178" s="60" t="n">
        <x:v>778.0752614194</x:v>
      </x:c>
      <x:c r="N178" s="46" t="str">
        <x:v>selar crumenophthalmus</x:v>
      </x:c>
      <x:c r="O178" s="62" t="n">
        <x:v>3.81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Selar crumenophthalmus</x:v>
      </x:c>
      <x:c r="T178" s="62" t="n">
        <x:f>IF(O178="","",(1/'Metadata'!$B$5)^(O178-1))</x:f>
        <x:v>4527.873529309382</x:v>
      </x:c>
      <x:c r="U178" s="60" t="n">
        <x:f>IF(T178="","",I178*T178)</x:f>
        <x:v>4014811.616915378</x:v>
      </x:c>
    </x:row>
    <x:row r="179" ht="18" customHeight="1">
      <x:c r="A179" s="46" t="str">
        <x:v>LME_032</x:v>
      </x:c>
      <x:c r="B179" s="46" t="str">
        <x:v>Arabian Sea</x:v>
      </x:c>
      <x:c r="C179" s="46" t="str">
        <x:v>LME</x:v>
      </x:c>
      <x:c r="D179" s="58" t="n">
        <x:v>2019</x:v>
      </x:c>
      <x:c r="E179" s="46" t="str">
        <x:v>Epinephelus areolatus</x:v>
      </x:c>
      <x:c r="F179" s="46" t="str">
        <x:v>Areolate grouper</x:v>
      </x:c>
      <x:c r="G179" s="46" t="str">
        <x:v>Medium reef assoc. fish (30 - 89 cm)</x:v>
      </x:c>
      <x:c r="H179" s="46" t="str">
        <x:v>Perch-likes</x:v>
      </x:c>
      <x:c r="I179" s="60" t="n">
        <x:v>863.1735503841</x:v>
      </x:c>
      <x:c r="J179" s="60" t="n">
        <x:v>863.1735503841</x:v>
      </x:c>
      <x:c r="K179" s="60" t="n">
        <x:v>0</x:v>
      </x:c>
      <x:c r="L179" s="60" t="n">
        <x:v>472.4223196123</x:v>
      </x:c>
      <x:c r="M179" s="60" t="n">
        <x:v>390.7512307718</x:v>
      </x:c>
      <x:c r="N179" s="46" t="str">
        <x:v>epinephelus areolatus</x:v>
      </x:c>
      <x:c r="O179" s="62" t="n">
        <x:v>3.74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Epinephelus areolatus</x:v>
      </x:c>
      <x:c r="T179" s="62" t="n">
        <x:f>IF(O179="","",(1/'Metadata'!$B$5)^(O179-1))</x:f>
        <x:v>3671.3195599248957</x:v>
      </x:c>
      <x:c r="U179" s="60" t="n">
        <x:f>IF(T179="","",I179*T179)</x:f>
        <x:v>3168985.939134964</x:v>
      </x:c>
    </x:row>
    <x:row r="180" ht="18" customHeight="1">
      <x:c r="A180" s="46" t="str">
        <x:v>LME_032</x:v>
      </x:c>
      <x:c r="B180" s="46" t="str">
        <x:v>Arabian Sea</x:v>
      </x:c>
      <x:c r="C180" s="46" t="str">
        <x:v>LME</x:v>
      </x:c>
      <x:c r="D180" s="58" t="n">
        <x:v>2019</x:v>
      </x:c>
      <x:c r="E180" s="46" t="str">
        <x:v>Caesionidae</x:v>
      </x:c>
      <x:c r="F180" s="46" t="str">
        <x:v>Fusiliers</x:v>
      </x:c>
      <x:c r="G180" s="46" t="str">
        <x:v>Medium reef assoc. fish (30 - 89 cm)</x:v>
      </x:c>
      <x:c r="H180" s="46" t="str">
        <x:v>Perch-likes</x:v>
      </x:c>
      <x:c r="I180" s="60" t="n">
        <x:v>836.9951396712</x:v>
      </x:c>
      <x:c r="J180" s="60" t="n">
        <x:v>836.9951396712</x:v>
      </x:c>
      <x:c r="K180" s="60" t="n">
        <x:v>0</x:v>
      </x:c>
      <x:c r="L180" s="60" t="n">
        <x:v>836.9951396712</x:v>
      </x:c>
      <x:c r="M180" s="60" t="n">
        <x:v>0</x:v>
      </x:c>
      <x:c r="N180" s="46" t="str">
        <x:v>caesionidae</x:v>
      </x:c>
      <x:c r="O180" s="62" t="n">
        <x:v>3.39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Caesionidae</x:v>
      </x:c>
      <x:c r="T180" s="62" t="n">
        <x:f>IF(O180="","",(1/'Metadata'!$B$5)^(O180-1))</x:f>
        <x:v>1286.6537486023922</x:v>
      </x:c>
      <x:c r="U180" s="60" t="n">
        <x:f>IF(T180="","",I180*T180)</x:f>
        <x:v>1076922.9340199323</x:v>
      </x:c>
    </x:row>
    <x:row r="181" ht="18" customHeight="1">
      <x:c r="A181" s="46" t="str">
        <x:v>LME_032</x:v>
      </x:c>
      <x:c r="B181" s="46" t="str">
        <x:v>Arabian Sea</x:v>
      </x:c>
      <x:c r="C181" s="46" t="str">
        <x:v>LME</x:v>
      </x:c>
      <x:c r="D181" s="58" t="n">
        <x:v>2019</x:v>
      </x:c>
      <x:c r="E181" s="46" t="str">
        <x:v>Acanthocybium solandri</x:v>
      </x:c>
      <x:c r="F181" s="46" t="str">
        <x:v>Wahoo</x:v>
      </x:c>
      <x:c r="G181" s="46" t="str">
        <x:v>Large pelagics (&gt;=90 cm)</x:v>
      </x:c>
      <x:c r="H181" s="46" t="str">
        <x:v>Perch-likes</x:v>
      </x:c>
      <x:c r="I181" s="60" t="n">
        <x:v>829.2442079950999</x:v>
      </x:c>
      <x:c r="J181" s="60" t="n">
        <x:v>829.2442079950999</x:v>
      </x:c>
      <x:c r="K181" s="60" t="n">
        <x:v>0</x:v>
      </x:c>
      <x:c r="L181" s="60" t="n">
        <x:v>829.2442079950999</x:v>
      </x:c>
      <x:c r="M181" s="60" t="n">
        <x:v>0</x:v>
      </x:c>
      <x:c r="N181" s="46" t="str">
        <x:v>acanthocybium solandri</x:v>
      </x:c>
      <x:c r="O181" s="62" t="n">
        <x:v>4.26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Acanthocybium solandri</x:v>
      </x:c>
      <x:c r="T181" s="62" t="n">
        <x:f>IF(O181="","",(1/'Metadata'!$B$5)^(O181-1))</x:f>
        <x:v>17432.42421569787</x:v>
      </x:c>
      <x:c r="U181" s="60" t="n">
        <x:f>IF(T181="","",I181*T181)</x:f>
        <x:v>14455736.812180981</x:v>
      </x:c>
    </x:row>
    <x:row r="182" ht="18" customHeight="1">
      <x:c r="A182" s="46" t="str">
        <x:v>LME_032</x:v>
      </x:c>
      <x:c r="B182" s="46" t="str">
        <x:v>Arabian Sea</x:v>
      </x:c>
      <x:c r="C182" s="46" t="str">
        <x:v>LME</x:v>
      </x:c>
      <x:c r="D182" s="58" t="n">
        <x:v>2019</x:v>
      </x:c>
      <x:c r="E182" s="46" t="str">
        <x:v>Leiognathus equula</x:v>
      </x:c>
      <x:c r="F182" s="46" t="str">
        <x:v>Common ponyfish</x:v>
      </x:c>
      <x:c r="G182" s="46" t="str">
        <x:v>Small benthopelagics (&lt;30 cm)</x:v>
      </x:c>
      <x:c r="H182" s="46" t="str">
        <x:v>Perch-likes</x:v>
      </x:c>
      <x:c r="I182" s="60" t="n">
        <x:v>817.6882328239</x:v>
      </x:c>
      <x:c r="J182" s="60" t="n">
        <x:v>817.6882328239</x:v>
      </x:c>
      <x:c r="K182" s="60" t="n">
        <x:v>0</x:v>
      </x:c>
      <x:c r="L182" s="60" t="n">
        <x:v>416.1095034169</x:v>
      </x:c>
      <x:c r="M182" s="60" t="n">
        <x:v>401.57872940699997</x:v>
      </x:c>
      <x:c r="N182" s="46" t="str">
        <x:v>leiognathus equula</x:v>
      </x:c>
      <x:c r="O182" s="62" t="n">
        <x:v>2.95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Leiognathus equula</x:v>
      </x:c>
      <x:c r="T182" s="62" t="n">
        <x:f>IF(O182="","",(1/'Metadata'!$B$5)^(O182-1))</x:f>
        <x:v>344.3566637326941</x:v>
      </x:c>
      <x:c r="U182" s="60" t="n">
        <x:f>IF(T182="","",I182*T182)</x:f>
        <x:v>281576.3918287206</x:v>
      </x:c>
    </x:row>
    <x:row r="183" ht="18" customHeight="1">
      <x:c r="A183" s="46" t="str">
        <x:v>LME_032</x:v>
      </x:c>
      <x:c r="B183" s="46" t="str">
        <x:v>Arabian Sea</x:v>
      </x:c>
      <x:c r="C183" s="46" t="str">
        <x:v>LME</x:v>
      </x:c>
      <x:c r="D183" s="58" t="n">
        <x:v>2019</x:v>
      </x:c>
      <x:c r="E183" s="46" t="str">
        <x:v>Metapenaeus affinis</x:v>
      </x:c>
      <x:c r="F183" s="46" t="str">
        <x:v>Jinga shrimp</x:v>
      </x:c>
      <x:c r="G183" s="46" t="str">
        <x:v>Shrimps</x:v>
      </x:c>
      <x:c r="H183" s="46" t="str">
        <x:v>Crustaceans</x:v>
      </x:c>
      <x:c r="I183" s="60" t="n">
        <x:v>807.2122770048001</x:v>
      </x:c>
      <x:c r="J183" s="60" t="n">
        <x:v>807.2122770048001</x:v>
      </x:c>
      <x:c r="K183" s="60" t="n">
        <x:v>0</x:v>
      </x:c>
      <x:c r="L183" s="60" t="n">
        <x:v>0</x:v>
      </x:c>
      <x:c r="M183" s="60" t="n">
        <x:v>807.2122770048001</x:v>
      </x:c>
      <x:c r="N183" s="46" t="str">
        <x:v>metapenaeus affinis</x:v>
      </x:c>
      <x:c r="O183" s="62" t="n">
        <x:v>3.44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Metapenaeus affinis</x:v>
      </x:c>
      <x:c r="T183" s="62" t="n">
        <x:f>IF(O183="","",(1/'Metadata'!$B$5)^(O183-1))</x:f>
        <x:v>1494.5594310916586</x:v>
      </x:c>
      <x:c r="U183" s="60" t="n">
        <x:f>IF(T183="","",I183*T183)</x:f>
        <x:v>1206426.7214904963</x:v>
      </x:c>
    </x:row>
    <x:row r="184" ht="18" customHeight="1">
      <x:c r="A184" s="46" t="str">
        <x:v>LME_032</x:v>
      </x:c>
      <x:c r="B184" s="46" t="str">
        <x:v>Arabian Sea</x:v>
      </x:c>
      <x:c r="C184" s="46" t="str">
        <x:v>LME</x:v>
      </x:c>
      <x:c r="D184" s="58" t="n">
        <x:v>2019</x:v>
      </x:c>
      <x:c r="E184" s="46" t="str">
        <x:v>Carcharhinus sorrah</x:v>
      </x:c>
      <x:c r="F184" s="46" t="str">
        <x:v>Spottail shark</x:v>
      </x:c>
      <x:c r="G184" s="46" t="str">
        <x:v>Large sharks (&gt;=90 cm)</x:v>
      </x:c>
      <x:c r="H184" s="46" t="str">
        <x:v>Sharks &amp; rays</x:v>
      </x:c>
      <x:c r="I184" s="60" t="n">
        <x:v>773.1276115684</x:v>
      </x:c>
      <x:c r="J184" s="60" t="n">
        <x:v>773.1276115684</x:v>
      </x:c>
      <x:c r="K184" s="60" t="n">
        <x:v>0</x:v>
      </x:c>
      <x:c r="L184" s="60" t="n">
        <x:v>451.5630171263</x:v>
      </x:c>
      <x:c r="M184" s="60" t="n">
        <x:v>321.5645944421</x:v>
      </x:c>
      <x:c r="N184" s="46" t="str">
        <x:v>carcharhinus sorrah</x:v>
      </x:c>
      <x:c r="O184" s="62" t="n">
        <x:v>4.15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Carcharhinus sorrah</x:v>
      </x:c>
      <x:c r="T184" s="62" t="n">
        <x:f>IF(O184="","",(1/'Metadata'!$B$5)^(O184-1))</x:f>
        <x:v>12538.46830130465</x:v>
      </x:c>
      <x:c r="U184" s="60" t="n">
        <x:f>IF(T184="","",I184*T184)</x:f>
        <x:v>9693836.050513757</x:v>
      </x:c>
    </x:row>
    <x:row r="185" ht="18" customHeight="1">
      <x:c r="A185" s="46" t="str">
        <x:v>LME_032</x:v>
      </x:c>
      <x:c r="B185" s="46" t="str">
        <x:v>Arabian Sea</x:v>
      </x:c>
      <x:c r="C185" s="46" t="str">
        <x:v>LME</x:v>
      </x:c>
      <x:c r="D185" s="58" t="n">
        <x:v>2019</x:v>
      </x:c>
      <x:c r="E185" s="46" t="str">
        <x:v>Chiloscyllium arabicum</x:v>
      </x:c>
      <x:c r="F185" s="46" t="str">
        <x:v>Arabian carpetshark</x:v>
      </x:c>
      <x:c r="G185" s="46" t="str">
        <x:v>Small to medium sharks (&lt;90 cm)</x:v>
      </x:c>
      <x:c r="H185" s="46" t="str">
        <x:v>Sharks &amp; rays</x:v>
      </x:c>
      <x:c r="I185" s="60" t="n">
        <x:v>760.9965256232</x:v>
      </x:c>
      <x:c r="J185" s="60" t="n">
        <x:v>760.9965256232</x:v>
      </x:c>
      <x:c r="K185" s="60" t="n">
        <x:v>0</x:v>
      </x:c>
      <x:c r="L185" s="60" t="n">
        <x:v>0</x:v>
      </x:c>
      <x:c r="M185" s="60" t="n">
        <x:v>760.9965256232</x:v>
      </x:c>
      <x:c r="N185" s="46" t="str">
        <x:v>chiloscyllium arabicum</x:v>
      </x:c>
      <x:c r="O185" s="62" t="n">
        <x:v>4.06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Chiloscyllium arabicum</x:v>
      </x:c>
      <x:c r="T185" s="62" t="n">
        <x:f>IF(O185="","",(1/'Metadata'!$B$5)^(O185-1))</x:f>
        <x:v>9575.286708769883</x:v>
      </x:c>
      <x:c r="U185" s="60" t="n">
        <x:f>IF(T185="","",I185*T185)</x:f>
        <x:v>7286759.917219887</x:v>
      </x:c>
    </x:row>
    <x:row r="186" ht="18" customHeight="1">
      <x:c r="A186" s="46" t="str">
        <x:v>LME_032</x:v>
      </x:c>
      <x:c r="B186" s="46" t="str">
        <x:v>Arabian Sea</x:v>
      </x:c>
      <x:c r="C186" s="46" t="str">
        <x:v>LME</x:v>
      </x:c>
      <x:c r="D186" s="58" t="n">
        <x:v>2019</x:v>
      </x:c>
      <x:c r="E186" s="46" t="str">
        <x:v>Himantura uarnak</x:v>
      </x:c>
      <x:c r="F186" s="46" t="str">
        <x:v>Honeycomb stingray</x:v>
      </x:c>
      <x:c r="G186" s="46" t="str">
        <x:v>Large rays (&gt;=90 cm)</x:v>
      </x:c>
      <x:c r="H186" s="46" t="str">
        <x:v>Sharks &amp; rays</x:v>
      </x:c>
      <x:c r="I186" s="60" t="n">
        <x:v>733.8659894586</x:v>
      </x:c>
      <x:c r="J186" s="60" t="n">
        <x:v>550.6355295366</x:v>
      </x:c>
      <x:c r="K186" s="60" t="n">
        <x:v>183.230459922</x:v>
      </x:c>
      <x:c r="L186" s="60" t="n">
        <x:v>0</x:v>
      </x:c>
      <x:c r="M186" s="60" t="n">
        <x:v>733.8659894586</x:v>
      </x:c>
      <x:c r="N186" s="46" t="str">
        <x:v>himantura uarnak</x:v>
      </x:c>
      <x:c r="O186" s="62" t="n">
        <x:v>3.6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Himantura uarnak</x:v>
      </x:c>
      <x:c r="T186" s="62" t="n">
        <x:f>IF(O186="","",(1/'Metadata'!$B$5)^(O186-1))</x:f>
        <x:v>2413.670534618066</x:v>
      </x:c>
      <x:c r="U186" s="60" t="n">
        <x:f>IF(T186="","",I186*T186)</x:f>
        <x:v>1771310.715114555</x:v>
      </x:c>
    </x:row>
    <x:row r="187" ht="18" customHeight="1">
      <x:c r="A187" s="46" t="str">
        <x:v>LME_032</x:v>
      </x:c>
      <x:c r="B187" s="46" t="str">
        <x:v>Arabian Sea</x:v>
      </x:c>
      <x:c r="C187" s="46" t="str">
        <x:v>LME</x:v>
      </x:c>
      <x:c r="D187" s="58" t="n">
        <x:v>2019</x:v>
      </x:c>
      <x:c r="E187" s="46" t="str">
        <x:v>Carcharhinus amblyrhynchos</x:v>
      </x:c>
      <x:c r="F187" s="46" t="str">
        <x:v>Blacktail reef shark</x:v>
      </x:c>
      <x:c r="G187" s="46" t="str">
        <x:v>Large sharks (&gt;=90 cm)</x:v>
      </x:c>
      <x:c r="H187" s="46" t="str">
        <x:v>Sharks &amp; rays</x:v>
      </x:c>
      <x:c r="I187" s="60" t="n">
        <x:v>717.9661236068999</x:v>
      </x:c>
      <x:c r="J187" s="60" t="n">
        <x:v>461.3120511759</x:v>
      </x:c>
      <x:c r="K187" s="60" t="n">
        <x:v>256.654072431</x:v>
      </x:c>
      <x:c r="L187" s="60" t="n">
        <x:v>349.3673080245</x:v>
      </x:c>
      <x:c r="M187" s="60" t="n">
        <x:v>368.5988155824</x:v>
      </x:c>
      <x:c r="N187" s="46" t="str">
        <x:v>carcharhinus amblyrhynchos</x:v>
      </x:c>
      <x:c r="O187" s="62" t="n">
        <x:v>4.11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Carcharhinus amblyrhynchos</x:v>
      </x:c>
      <x:c r="T187" s="62" t="n">
        <x:f>IF(O187="","",(1/'Metadata'!$B$5)^(O187-1))</x:f>
        <x:v>11122.52233481121</x:v>
      </x:c>
      <x:c r="U187" s="60" t="n">
        <x:f>IF(T187="","",I187*T187)</x:f>
        <x:v>7985594.2454555705</x:v>
      </x:c>
    </x:row>
    <x:row r="188" ht="18" customHeight="1">
      <x:c r="A188" s="46" t="str">
        <x:v>LME_032</x:v>
      </x:c>
      <x:c r="B188" s="46" t="str">
        <x:v>Arabian Sea</x:v>
      </x:c>
      <x:c r="C188" s="46" t="str">
        <x:v>LME</x:v>
      </x:c>
      <x:c r="D188" s="58" t="n">
        <x:v>2019</x:v>
      </x:c>
      <x:c r="E188" s="46" t="str">
        <x:v>Panulirus homarus</x:v>
      </x:c>
      <x:c r="F188" s="46" t="str">
        <x:v>Scalloped spiny lobster</x:v>
      </x:c>
      <x:c r="G188" s="46" t="str">
        <x:v>Lobsters, crabs</x:v>
      </x:c>
      <x:c r="H188" s="46" t="str">
        <x:v>Crustaceans</x:v>
      </x:c>
      <x:c r="I188" s="60" t="n">
        <x:v>686.1816229061001</x:v>
      </x:c>
      <x:c r="J188" s="60" t="n">
        <x:v>686.1816229061001</x:v>
      </x:c>
      <x:c r="K188" s="60" t="n">
        <x:v>0</x:v>
      </x:c>
      <x:c r="L188" s="60" t="n">
        <x:v>645.8108912005</x:v>
      </x:c>
      <x:c r="M188" s="60" t="n">
        <x:v>40.3707317056</x:v>
      </x:c>
      <x:c r="N188" s="46" t="str">
        <x:v>panulirus homarus</x:v>
      </x:c>
      <x:c r="O188" s="62" t="n">
        <x:v>3.33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Panulirus homarus</x:v>
      </x:c>
      <x:c r="T188" s="62" t="n">
        <x:f>IF(O188="","",(1/'Metadata'!$B$5)^(O188-1))</x:f>
        <x:v>1074.9787762899762</x:v>
      </x:c>
      <x:c r="U188" s="60" t="n">
        <x:f>IF(T188="","",I188*T188)</x:f>
        <x:v>737630.6813042694</x:v>
      </x:c>
    </x:row>
    <x:row r="189" ht="18" customHeight="1">
      <x:c r="A189" s="46" t="str">
        <x:v>LME_032</x:v>
      </x:c>
      <x:c r="B189" s="46" t="str">
        <x:v>Arabian Sea</x:v>
      </x:c>
      <x:c r="C189" s="46" t="str">
        <x:v>LME</x:v>
      </x:c>
      <x:c r="D189" s="58" t="n">
        <x:v>2019</x:v>
      </x:c>
      <x:c r="E189" s="46" t="str">
        <x:v>Parapenaeopsis stylifera</x:v>
      </x:c>
      <x:c r="F189" s="46" t="str">
        <x:v>Kiddi shrimp</x:v>
      </x:c>
      <x:c r="G189" s="46" t="str">
        <x:v>Shrimps</x:v>
      </x:c>
      <x:c r="H189" s="46" t="str">
        <x:v>Crustaceans</x:v>
      </x:c>
      <x:c r="I189" s="60" t="n">
        <x:v>663.4540086032</x:v>
      </x:c>
      <x:c r="J189" s="60" t="n">
        <x:v>663.4540086032</x:v>
      </x:c>
      <x:c r="K189" s="60" t="n">
        <x:v>0</x:v>
      </x:c>
      <x:c r="L189" s="60" t="n">
        <x:v>0</x:v>
      </x:c>
      <x:c r="M189" s="60" t="n">
        <x:v>663.4540086032</x:v>
      </x:c>
      <x:c r="N189" s="46" t="str">
        <x:v>parapenaeopsis stylifera</x:v>
      </x:c>
      <x:c r="O189" s="62" t="n">
        <x:v>2.66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Parapenaeopsis stylifera</x:v>
      </x:c>
      <x:c r="T189" s="62" t="n">
        <x:f>IF(O189="","",(1/'Metadata'!$B$5)^(O189-1))</x:f>
        <x:v>144.44742118423684</x:v>
      </x:c>
      <x:c r="U189" s="60" t="n">
        <x:f>IF(T189="","",I189*T189)</x:f>
        <x:v>95834.22061707673</x:v>
      </x:c>
    </x:row>
    <x:row r="190" ht="18" customHeight="1">
      <x:c r="A190" s="46" t="str">
        <x:v>LME_032</x:v>
      </x:c>
      <x:c r="B190" s="46" t="str">
        <x:v>Arabian Sea</x:v>
      </x:c>
      <x:c r="C190" s="46" t="str">
        <x:v>LME</x:v>
      </x:c>
      <x:c r="D190" s="58" t="n">
        <x:v>2019</x:v>
      </x:c>
      <x:c r="E190" s="46" t="str">
        <x:v>Metapenaeus</x:v>
      </x:c>
      <x:c r="F190" s="46" t="str">
        <x:v>Indo-Pacific prawns</x:v>
      </x:c>
      <x:c r="G190" s="46" t="str">
        <x:v>Shrimps</x:v>
      </x:c>
      <x:c r="H190" s="46" t="str">
        <x:v>Crustaceans</x:v>
      </x:c>
      <x:c r="I190" s="60" t="n">
        <x:v>658.9165637525</x:v>
      </x:c>
      <x:c r="J190" s="60" t="n">
        <x:v>658.9165637525</x:v>
      </x:c>
      <x:c r="K190" s="60" t="n">
        <x:v>0</x:v>
      </x:c>
      <x:c r="L190" s="60" t="n">
        <x:v>0</x:v>
      </x:c>
      <x:c r="M190" s="60" t="n">
        <x:v>658.9165637525</x:v>
      </x:c>
      <x:c r="N190" s="46" t="str">
        <x:v>metapenaeus</x:v>
      </x:c>
      <x:c r="O190" s="62" t="n">
        <x:v>2.7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Metapenaeus</x:v>
      </x:c>
      <x:c r="T190" s="62" t="n">
        <x:f>IF(O190="","",(1/'Metadata'!$B$5)^(O190-1))</x:f>
        <x:v>162.83621261476185</x:v>
      </x:c>
      <x:c r="U190" s="60" t="n">
        <x:f>IF(T190="","",I190*T190)</x:f>
        <x:v>107295.47767059036</x:v>
      </x:c>
    </x:row>
    <x:row r="191" ht="18" customHeight="1">
      <x:c r="A191" s="46" t="str">
        <x:v>LME_032</x:v>
      </x:c>
      <x:c r="B191" s="46" t="str">
        <x:v>Arabian Sea</x:v>
      </x:c>
      <x:c r="C191" s="46" t="str">
        <x:v>LME</x:v>
      </x:c>
      <x:c r="D191" s="58" t="n">
        <x:v>2019</x:v>
      </x:c>
      <x:c r="E191" s="46" t="str">
        <x:v>Argyrosomus japonicus</x:v>
      </x:c>
      <x:c r="F191" s="46" t="str">
        <x:v>Japanese meagre</x:v>
      </x:c>
      <x:c r="G191" s="46" t="str">
        <x:v>Large benthopelagics (&gt;=90 cm)</x:v>
      </x:c>
      <x:c r="H191" s="46" t="str">
        <x:v>Perch-likes</x:v>
      </x:c>
      <x:c r="I191" s="60" t="n">
        <x:v>641.5707968702</x:v>
      </x:c>
      <x:c r="J191" s="60" t="n">
        <x:v>641.5707968702</x:v>
      </x:c>
      <x:c r="K191" s="60" t="n">
        <x:v>0</x:v>
      </x:c>
      <x:c r="L191" s="60" t="n">
        <x:v>0</x:v>
      </x:c>
      <x:c r="M191" s="60" t="n">
        <x:v>641.5707968702</x:v>
      </x:c>
      <x:c r="N191" s="46" t="str">
        <x:v>argyrosomus japonicus</x:v>
      </x:c>
      <x:c r="O191" s="62" t="n">
        <x:v>4.48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Argyrosomus japonicus</x:v>
      </x:c>
      <x:c r="T191" s="62" t="n">
        <x:f>IF(O191="","",(1/'Metadata'!$B$5)^(O191-1))</x:f>
        <x:v>33696.468277717824</x:v>
      </x:c>
      <x:c r="U191" s="60" t="n">
        <x:f>IF(T191="","",I191*T191)</x:f>
        <x:v>21618670.004646838</x:v>
      </x:c>
    </x:row>
    <x:row r="192" ht="18" customHeight="1">
      <x:c r="A192" s="46" t="str">
        <x:v>LME_032</x:v>
      </x:c>
      <x:c r="B192" s="46" t="str">
        <x:v>Arabian Sea</x:v>
      </x:c>
      <x:c r="C192" s="46" t="str">
        <x:v>LME</x:v>
      </x:c>
      <x:c r="D192" s="58" t="n">
        <x:v>2019</x:v>
      </x:c>
      <x:c r="E192" s="46" t="str">
        <x:v>Alepes</x:v>
      </x:c>
      <x:c r="F192" s="46" t="str">
        <x:v>Crevalles</x:v>
      </x:c>
      <x:c r="G192" s="46" t="str">
        <x:v>Medium reef assoc. fish (30 - 89 cm)</x:v>
      </x:c>
      <x:c r="H192" s="46" t="str">
        <x:v>Perch-likes</x:v>
      </x:c>
      <x:c r="I192" s="60" t="n">
        <x:v>641.2199025457</x:v>
      </x:c>
      <x:c r="J192" s="60" t="n">
        <x:v>641.2199025457</x:v>
      </x:c>
      <x:c r="K192" s="60" t="n">
        <x:v>0</x:v>
      </x:c>
      <x:c r="L192" s="60" t="n">
        <x:v>188.1810620212</x:v>
      </x:c>
      <x:c r="M192" s="60" t="n">
        <x:v>453.0388405245</x:v>
      </x:c>
      <x:c r="N192" s="46" t="str">
        <x:v>alepes</x:v>
      </x:c>
      <x:c r="O192" s="62" t="n">
        <x:v>3.32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Alepes</x:v>
      </x:c>
      <x:c r="T192" s="62" t="n">
        <x:f>IF(O192="","",(1/'Metadata'!$B$5)^(O192-1))</x:f>
        <x:v>1043.2528743388143</x:v>
      </x:c>
      <x:c r="U192" s="60" t="n">
        <x:f>IF(T192="","",I192*T192)</x:f>
        <x:v>668954.5064140559</x:v>
      </x:c>
    </x:row>
    <x:row r="193" ht="18" customHeight="1">
      <x:c r="A193" s="46" t="str">
        <x:v>LME_032</x:v>
      </x:c>
      <x:c r="B193" s="46" t="str">
        <x:v>Arabian Sea</x:v>
      </x:c>
      <x:c r="C193" s="46" t="str">
        <x:v>LME</x:v>
      </x:c>
      <x:c r="D193" s="58" t="n">
        <x:v>2019</x:v>
      </x:c>
      <x:c r="E193" s="46" t="str">
        <x:v>Lethrinus borbonicus</x:v>
      </x:c>
      <x:c r="F193" s="46" t="str">
        <x:v>Snubnose emperor</x:v>
      </x:c>
      <x:c r="G193" s="46" t="str">
        <x:v>Medium reef assoc. fish (30 - 89 cm)</x:v>
      </x:c>
      <x:c r="H193" s="46" t="str">
        <x:v>Perch-likes</x:v>
      </x:c>
      <x:c r="I193" s="60" t="n">
        <x:v>622.9200135097</x:v>
      </x:c>
      <x:c r="J193" s="60" t="n">
        <x:v>598.3735818699</x:v>
      </x:c>
      <x:c r="K193" s="60" t="n">
        <x:v>24.546431639799998</x:v>
      </x:c>
      <x:c r="L193" s="60" t="n">
        <x:v>449.0394849989</x:v>
      </x:c>
      <x:c r="M193" s="60" t="n">
        <x:v>173.8805285108</x:v>
      </x:c>
      <x:c r="N193" s="46" t="str">
        <x:v>lethrinus borbonicus</x:v>
      </x:c>
      <x:c r="O193" s="62" t="n">
        <x:v>3.47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Lethrinus borbonicus</x:v>
      </x:c>
      <x:c r="T193" s="62" t="n">
        <x:f>IF(O193="","",(1/'Metadata'!$B$5)^(O193-1))</x:f>
        <x:v>1635.0991368927735</x:v>
      </x:c>
      <x:c r="U193" s="60" t="n">
        <x:f>IF(T193="","",I193*T193)</x:f>
        <x:v>1018535.9764429452</x:v>
      </x:c>
    </x:row>
    <x:row r="194" ht="18" customHeight="1">
      <x:c r="A194" s="46" t="str">
        <x:v>LME_032</x:v>
      </x:c>
      <x:c r="B194" s="46" t="str">
        <x:v>Arabian Sea</x:v>
      </x:c>
      <x:c r="C194" s="46" t="str">
        <x:v>LME</x:v>
      </x:c>
      <x:c r="D194" s="58" t="n">
        <x:v>2019</x:v>
      </x:c>
      <x:c r="E194" s="46" t="str">
        <x:v>Epinephelus diacanthus</x:v>
      </x:c>
      <x:c r="F194" s="46" t="str">
        <x:v>Spinycheek grouper</x:v>
      </x:c>
      <x:c r="G194" s="46" t="str">
        <x:v>Large reef assoc. fish (&gt;=90 cm)</x:v>
      </x:c>
      <x:c r="H194" s="46" t="str">
        <x:v>Perch-likes</x:v>
      </x:c>
      <x:c r="I194" s="60" t="n">
        <x:v>611.4399599559999</x:v>
      </x:c>
      <x:c r="J194" s="60" t="n">
        <x:v>611.4399599559999</x:v>
      </x:c>
      <x:c r="K194" s="60" t="n">
        <x:v>0</x:v>
      </x:c>
      <x:c r="L194" s="60" t="n">
        <x:v>0</x:v>
      </x:c>
      <x:c r="M194" s="60" t="n">
        <x:v>611.4399599559999</x:v>
      </x:c>
      <x:c r="N194" s="46" t="str">
        <x:v>epinephelus diacanthus</x:v>
      </x:c>
      <x:c r="O194" s="62" t="n">
        <x:v>3.8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Epinephelus diacanthus</x:v>
      </x:c>
      <x:c r="T194" s="62" t="n">
        <x:f>IF(O194="","",(1/'Metadata'!$B$5)^(O194-1))</x:f>
        <x:v>4394.242173224468</x:v>
      </x:c>
      <x:c r="U194" s="60" t="n">
        <x:f>IF(T194="","",I194*T194)</x:f>
        <x:v>2686815.258433335</x:v>
      </x:c>
    </x:row>
    <x:row r="195" ht="18" customHeight="1">
      <x:c r="A195" s="46" t="str">
        <x:v>LME_032</x:v>
      </x:c>
      <x:c r="B195" s="46" t="str">
        <x:v>Arabian Sea</x:v>
      </x:c>
      <x:c r="C195" s="46" t="str">
        <x:v>LME</x:v>
      </x:c>
      <x:c r="D195" s="58" t="n">
        <x:v>2019</x:v>
      </x:c>
      <x:c r="E195" s="46" t="str">
        <x:v>Sardinella</x:v>
      </x:c>
      <x:c r="F195" s="46" t="str">
        <x:v>Sardinellas</x:v>
      </x:c>
      <x:c r="G195" s="46" t="str">
        <x:v>Small pelagics (&lt;30 cm)</x:v>
      </x:c>
      <x:c r="H195" s="46" t="str">
        <x:v>Herring-likes</x:v>
      </x:c>
      <x:c r="I195" s="60" t="n">
        <x:v>598.5057446582</x:v>
      </x:c>
      <x:c r="J195" s="60" t="n">
        <x:v>598.5057446582</x:v>
      </x:c>
      <x:c r="K195" s="60" t="n">
        <x:v>0</x:v>
      </x:c>
      <x:c r="L195" s="60" t="n">
        <x:v>126.8560371861</x:v>
      </x:c>
      <x:c r="M195" s="60" t="n">
        <x:v>471.6497074721</x:v>
      </x:c>
      <x:c r="N195" s="46" t="str">
        <x:v>sardinella</x:v>
      </x:c>
      <x:c r="O195" s="62" t="n">
        <x:v>2.77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Sardinella</x:v>
      </x:c>
      <x:c r="T195" s="62" t="n">
        <x:f>IF(O195="","",(1/'Metadata'!$B$5)^(O195-1))</x:f>
        <x:v>200.82745854094426</x:v>
      </x:c>
      <x:c r="U195" s="60" t="n">
        <x:f>IF(T195="","",I195*T195)</x:f>
        <x:v>120196.38762186164</x:v>
      </x:c>
    </x:row>
    <x:row r="196" ht="18" customHeight="1">
      <x:c r="A196" s="46" t="str">
        <x:v>LME_032</x:v>
      </x:c>
      <x:c r="B196" s="46" t="str">
        <x:v>Arabian Sea</x:v>
      </x:c>
      <x:c r="C196" s="46" t="str">
        <x:v>LME</x:v>
      </x:c>
      <x:c r="D196" s="58" t="n">
        <x:v>2019</x:v>
      </x:c>
      <x:c r="E196" s="46" t="str">
        <x:v>Alectis ciliaris</x:v>
      </x:c>
      <x:c r="F196" s="46" t="str">
        <x:v>African pompano</x:v>
      </x:c>
      <x:c r="G196" s="46" t="str">
        <x:v>Large pelagics (&gt;=90 cm)</x:v>
      </x:c>
      <x:c r="H196" s="46" t="str">
        <x:v>Perch-likes</x:v>
      </x:c>
      <x:c r="I196" s="60" t="n">
        <x:v>580.5001742813</x:v>
      </x:c>
      <x:c r="J196" s="60" t="n">
        <x:v>580.5001742813</x:v>
      </x:c>
      <x:c r="K196" s="60" t="n">
        <x:v>0</x:v>
      </x:c>
      <x:c r="L196" s="60" t="n">
        <x:v>580.5001742813</x:v>
      </x:c>
      <x:c r="M196" s="60" t="n">
        <x:v>0</x:v>
      </x:c>
      <x:c r="N196" s="46" t="str">
        <x:v>alectis ciliaris</x:v>
      </x:c>
      <x:c r="O196" s="62" t="n">
        <x:v>3.95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Alectis ciliaris</x:v>
      </x:c>
      <x:c r="T196" s="62" t="n">
        <x:f>IF(O196="","",(1/'Metadata'!$B$5)^(O196-1))</x:f>
        <x:v>6887.133274653882</x:v>
      </x:c>
      <x:c r="U196" s="60" t="n">
        <x:f>IF(T196="","",I196*T196)</x:f>
        <x:v>3997982.066235119</x:v>
      </x:c>
    </x:row>
    <x:row r="197" ht="18" customHeight="1">
      <x:c r="A197" s="46" t="str">
        <x:v>LME_032</x:v>
      </x:c>
      <x:c r="B197" s="46" t="str">
        <x:v>Arabian Sea</x:v>
      </x:c>
      <x:c r="C197" s="46" t="str">
        <x:v>LME</x:v>
      </x:c>
      <x:c r="D197" s="58" t="n">
        <x:v>2019</x:v>
      </x:c>
      <x:c r="E197" s="46" t="str">
        <x:v>Lethrinus olivaceus</x:v>
      </x:c>
      <x:c r="F197" s="46" t="str">
        <x:v>Longface emperor</x:v>
      </x:c>
      <x:c r="G197" s="46" t="str">
        <x:v>Medium demersals (30 - 89 cm)</x:v>
      </x:c>
      <x:c r="H197" s="46" t="str">
        <x:v>Perch-likes</x:v>
      </x:c>
      <x:c r="I197" s="60" t="n">
        <x:v>566.9437473966</x:v>
      </x:c>
      <x:c r="J197" s="60" t="n">
        <x:v>566.9437473966</x:v>
      </x:c>
      <x:c r="K197" s="60" t="n">
        <x:v>0</x:v>
      </x:c>
      <x:c r="L197" s="60" t="n">
        <x:v>222.6854635361</x:v>
      </x:c>
      <x:c r="M197" s="60" t="n">
        <x:v>344.2582838605</x:v>
      </x:c>
      <x:c r="N197" s="46" t="str">
        <x:v>lethrinus olivaceus</x:v>
      </x:c>
      <x:c r="O197" s="62" t="n">
        <x:v>3.95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Lethrinus olivaceus</x:v>
      </x:c>
      <x:c r="T197" s="62" t="n">
        <x:f>IF(O197="","",(1/'Metadata'!$B$5)^(O197-1))</x:f>
        <x:v>6887.133274653882</x:v>
      </x:c>
      <x:c r="U197" s="60" t="n">
        <x:f>IF(T197="","",I197*T197)</x:f>
        <x:v>3904617.147552089</x:v>
      </x:c>
    </x:row>
    <x:row r="198" ht="18" customHeight="1">
      <x:c r="A198" s="46" t="str">
        <x:v>LME_032</x:v>
      </x:c>
      <x:c r="B198" s="46" t="str">
        <x:v>Arabian Sea</x:v>
      </x:c>
      <x:c r="C198" s="46" t="str">
        <x:v>LME</x:v>
      </x:c>
      <x:c r="D198" s="58" t="n">
        <x:v>2019</x:v>
      </x:c>
      <x:c r="E198" s="46" t="str">
        <x:v>Pterotolithus maculatus</x:v>
      </x:c>
      <x:c r="F198" s="46" t="str">
        <x:v>Blotched tiger-toothed croaker</x:v>
      </x:c>
      <x:c r="G198" s="46" t="str">
        <x:v>Small pelagics (&lt;30 cm)</x:v>
      </x:c>
      <x:c r="H198" s="46" t="str">
        <x:v>Perch-likes</x:v>
      </x:c>
      <x:c r="I198" s="60" t="n">
        <x:v>554.0141528185</x:v>
      </x:c>
      <x:c r="J198" s="60" t="n">
        <x:v>554.0141528185</x:v>
      </x:c>
      <x:c r="K198" s="60" t="n">
        <x:v>0</x:v>
      </x:c>
      <x:c r="L198" s="60" t="n">
        <x:v>0</x:v>
      </x:c>
      <x:c r="M198" s="60" t="n">
        <x:v>554.0141528185</x:v>
      </x:c>
      <x:c r="N198" s="46" t="str">
        <x:v>pterotolithus maculatus</x:v>
      </x:c>
      <x:c r="O198" s="62" t="n">
        <x:v>3.7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Pterotolithus maculatus</x:v>
      </x:c>
      <x:c r="T198" s="62" t="n">
        <x:f>IF(O198="","",(1/'Metadata'!$B$5)^(O198-1))</x:f>
        <x:v>3256.724252295237</x:v>
      </x:c>
      <x:c r="U198" s="60" t="n">
        <x:f>IF(T198="","",I198*T198)</x:f>
        <x:v>1804271.3275988083</x:v>
      </x:c>
    </x:row>
    <x:row r="199" ht="18" customHeight="1">
      <x:c r="A199" s="46" t="str">
        <x:v>LME_032</x:v>
      </x:c>
      <x:c r="B199" s="46" t="str">
        <x:v>Arabian Sea</x:v>
      </x:c>
      <x:c r="C199" s="46" t="str">
        <x:v>LME</x:v>
      </x:c>
      <x:c r="D199" s="58" t="n">
        <x:v>2019</x:v>
      </x:c>
      <x:c r="E199" s="46" t="str">
        <x:v>Pastinachus sephen</x:v>
      </x:c>
      <x:c r="F199" s="46" t="str">
        <x:v>Cowtail stingray</x:v>
      </x:c>
      <x:c r="G199" s="46" t="str">
        <x:v>Large rays (&gt;=90 cm)</x:v>
      </x:c>
      <x:c r="H199" s="46" t="str">
        <x:v>Sharks &amp; rays</x:v>
      </x:c>
      <x:c r="I199" s="60" t="n">
        <x:v>551.0187187822</x:v>
      </x:c>
      <x:c r="J199" s="60" t="n">
        <x:v>551.0187187822</x:v>
      </x:c>
      <x:c r="K199" s="60" t="n">
        <x:v>0</x:v>
      </x:c>
      <x:c r="L199" s="60" t="n">
        <x:v>0</x:v>
      </x:c>
      <x:c r="M199" s="60" t="n">
        <x:v>551.0187187822</x:v>
      </x:c>
      <x:c r="N199" s="46" t="str">
        <x:v>pastinachus sephen</x:v>
      </x:c>
      <x:c r="O199" s="62" t="n">
        <x:v>3.71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Pastinachus sephen</x:v>
      </x:c>
      <x:c r="T199" s="62" t="n">
        <x:f>IF(O199="","",(1/'Metadata'!$B$5)^(O199-1))</x:f>
        <x:v>3355.7630537706395</x:v>
      </x:c>
      <x:c r="U199" s="60" t="n">
        <x:f>IF(T199="","",I199*T199)</x:f>
        <x:v>1849088.2584253408</x:v>
      </x:c>
    </x:row>
    <x:row r="200" ht="18" customHeight="1">
      <x:c r="A200" s="46" t="str">
        <x:v>LME_032</x:v>
      </x:c>
      <x:c r="B200" s="46" t="str">
        <x:v>Arabian Sea</x:v>
      </x:c>
      <x:c r="C200" s="46" t="str">
        <x:v>LME</x:v>
      </x:c>
      <x:c r="D200" s="58" t="n">
        <x:v>2019</x:v>
      </x:c>
      <x:c r="E200" s="46" t="str">
        <x:v>Aetomylaeus nichofii</x:v>
      </x:c>
      <x:c r="F200" s="46" t="str">
        <x:v>Banded eagle ray</x:v>
      </x:c>
      <x:c r="G200" s="46" t="str">
        <x:v>Small to medium rays (&lt;90 cm)</x:v>
      </x:c>
      <x:c r="H200" s="46" t="str">
        <x:v>Sharks &amp; rays</x:v>
      </x:c>
      <x:c r="I200" s="60" t="n">
        <x:v>549.7183426767999</x:v>
      </x:c>
      <x:c r="J200" s="60" t="n">
        <x:v>549.7183426767999</x:v>
      </x:c>
      <x:c r="K200" s="60" t="n">
        <x:v>0</x:v>
      </x:c>
      <x:c r="L200" s="60" t="n">
        <x:v>0</x:v>
      </x:c>
      <x:c r="M200" s="60" t="n">
        <x:v>549.7183426767999</x:v>
      </x:c>
      <x:c r="N200" s="46" t="str">
        <x:v>aetomylaeus nichofii</x:v>
      </x:c>
      <x:c r="O200" s="62" t="n">
        <x:v>3.76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Aetomylaeus nichofii</x:v>
      </x:c>
      <x:c r="T200" s="62" t="n">
        <x:f>IF(O200="","",(1/'Metadata'!$B$5)^(O200-1))</x:f>
        <x:v>3898.0085558913897</x:v>
      </x:c>
      <x:c r="U200" s="60" t="n">
        <x:f>IF(T200="","",I200*T200)</x:f>
        <x:v>2142806.803084601</x:v>
      </x:c>
    </x:row>
    <x:row r="201" ht="18" customHeight="1">
      <x:c r="A201" s="46" t="str">
        <x:v>LME_032</x:v>
      </x:c>
      <x:c r="B201" s="46" t="str">
        <x:v>Arabian Sea</x:v>
      </x:c>
      <x:c r="C201" s="46" t="str">
        <x:v>LME</x:v>
      </x:c>
      <x:c r="D201" s="58" t="n">
        <x:v>2019</x:v>
      </x:c>
      <x:c r="E201" s="46" t="str">
        <x:v>Aetomylaeus maculatus</x:v>
      </x:c>
      <x:c r="F201" s="46" t="str">
        <x:v>Mottled eagle ray</x:v>
      </x:c>
      <x:c r="G201" s="46" t="str">
        <x:v>Large rays (&gt;=90 cm)</x:v>
      </x:c>
      <x:c r="H201" s="46" t="str">
        <x:v>Sharks &amp; rays</x:v>
      </x:c>
      <x:c r="I201" s="60" t="n">
        <x:v>546.0696812812</x:v>
      </x:c>
      <x:c r="J201" s="60" t="n">
        <x:v>546.0696812812</x:v>
      </x:c>
      <x:c r="K201" s="60" t="n">
        <x:v>0</x:v>
      </x:c>
      <x:c r="L201" s="60" t="n">
        <x:v>0</x:v>
      </x:c>
      <x:c r="M201" s="60" t="n">
        <x:v>546.0696812812</x:v>
      </x:c>
      <x:c r="N201" s="46" t="str">
        <x:v>aetomylaeus maculatus</x:v>
      </x:c>
      <x:c r="O201" s="62" t="n">
        <x:v>3.8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Aetomylaeus maculatus</x:v>
      </x:c>
      <x:c r="T201" s="62" t="n">
        <x:f>IF(O201="","",(1/'Metadata'!$B$5)^(O201-1))</x:f>
        <x:v>4394.242173224468</x:v>
      </x:c>
      <x:c r="U201" s="60" t="n">
        <x:f>IF(T201="","",I201*T201)</x:f>
        <x:v>2399562.4230050934</x:v>
      </x:c>
    </x:row>
    <x:row r="202" ht="18" customHeight="1">
      <x:c r="A202" s="46" t="str">
        <x:v>LME_032</x:v>
      </x:c>
      <x:c r="B202" s="46" t="str">
        <x:v>Arabian Sea</x:v>
      </x:c>
      <x:c r="C202" s="46" t="str">
        <x:v>LME</x:v>
      </x:c>
      <x:c r="D202" s="58" t="n">
        <x:v>2019</x:v>
      </x:c>
      <x:c r="E202" s="46" t="str">
        <x:v>Sarda orientalis</x:v>
      </x:c>
      <x:c r="F202" s="46" t="str">
        <x:v>Striped bonito</x:v>
      </x:c>
      <x:c r="G202" s="46" t="str">
        <x:v>Large pelagics (&gt;=90 cm)</x:v>
      </x:c>
      <x:c r="H202" s="46" t="str">
        <x:v>Tuna &amp; billfishes</x:v>
      </x:c>
      <x:c r="I202" s="60" t="n">
        <x:v>544.8627379711</x:v>
      </x:c>
      <x:c r="J202" s="60" t="n">
        <x:v>544.8239384108</x:v>
      </x:c>
      <x:c r="K202" s="60" t="n">
        <x:v>0.0387995603</x:v>
      </x:c>
      <x:c r="L202" s="60" t="n">
        <x:v>540.0859604325</x:v>
      </x:c>
      <x:c r="M202" s="60" t="n">
        <x:v>4.7767775386</x:v>
      </x:c>
      <x:c r="N202" s="46" t="str">
        <x:v>sarda orientalis</x:v>
      </x:c>
      <x:c r="O202" s="62" t="n">
        <x:v>4.21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Sarda orientalis</x:v>
      </x:c>
      <x:c r="T202" s="62" t="n">
        <x:f>IF(O202="","",(1/'Metadata'!$B$5)^(O202-1))</x:f>
        <x:v>15007.428609226863</x:v>
      </x:c>
      <x:c r="U202" s="60" t="n">
        <x:f>IF(T202="","",I202*T202)</x:f>
        <x:v>8176988.641929166</x:v>
      </x:c>
    </x:row>
    <x:row r="203" ht="18" customHeight="1">
      <x:c r="A203" s="46" t="str">
        <x:v>LME_032</x:v>
      </x:c>
      <x:c r="B203" s="46" t="str">
        <x:v>Arabian Sea</x:v>
      </x:c>
      <x:c r="C203" s="46" t="str">
        <x:v>LME</x:v>
      </x:c>
      <x:c r="D203" s="58" t="n">
        <x:v>2019</x:v>
      </x:c>
      <x:c r="E203" s="46" t="str">
        <x:v>Isurus paucus</x:v>
      </x:c>
      <x:c r="F203" s="46" t="str">
        <x:v>Longfin mako</x:v>
      </x:c>
      <x:c r="G203" s="46" t="str">
        <x:v>Large sharks (&gt;=90 cm)</x:v>
      </x:c>
      <x:c r="H203" s="46" t="str">
        <x:v>Sharks &amp; rays</x:v>
      </x:c>
      <x:c r="I203" s="60" t="n">
        <x:v>538.8742125694</x:v>
      </x:c>
      <x:c r="J203" s="60" t="n">
        <x:v>538.8742125694</x:v>
      </x:c>
      <x:c r="K203" s="60" t="n">
        <x:v>0</x:v>
      </x:c>
      <x:c r="L203" s="60" t="n">
        <x:v>538.8742125694</x:v>
      </x:c>
      <x:c r="M203" s="60" t="n">
        <x:v>0</x:v>
      </x:c>
      <x:c r="N203" s="46" t="str">
        <x:v>isurus paucus</x:v>
      </x:c>
      <x:c r="O203" s="62" t="n">
        <x:v>4.51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Isurus paucus</x:v>
      </x:c>
      <x:c r="T203" s="62" t="n">
        <x:f>IF(O203="","",(1/'Metadata'!$B$5)^(O203-1))</x:f>
        <x:v>36865.088835568684</x:v>
      </x:c>
      <x:c r="U203" s="60" t="n">
        <x:f>IF(T203="","",I203*T203)</x:f>
        <x:v>19865645.717568055</x:v>
      </x:c>
    </x:row>
    <x:row r="204" ht="18" customHeight="1">
      <x:c r="A204" s="46" t="str">
        <x:v>LME_032</x:v>
      </x:c>
      <x:c r="B204" s="46" t="str">
        <x:v>Arabian Sea</x:v>
      </x:c>
      <x:c r="C204" s="46" t="str">
        <x:v>LME</x:v>
      </x:c>
      <x:c r="D204" s="58" t="n">
        <x:v>2019</x:v>
      </x:c>
      <x:c r="E204" s="46" t="str">
        <x:v>Rhynchobatus djiddensis</x:v>
      </x:c>
      <x:c r="F204" s="46" t="str">
        <x:v>Giant guitarfish</x:v>
      </x:c>
      <x:c r="G204" s="46" t="str">
        <x:v>Large rays (&gt;=90 cm)</x:v>
      </x:c>
      <x:c r="H204" s="46" t="str">
        <x:v>Sharks &amp; rays</x:v>
      </x:c>
      <x:c r="I204" s="60" t="n">
        <x:v>514.42622623</x:v>
      </x:c>
      <x:c r="J204" s="60" t="n">
        <x:v>514.42622623</x:v>
      </x:c>
      <x:c r="K204" s="60" t="n">
        <x:v>0</x:v>
      </x:c>
      <x:c r="L204" s="60" t="n">
        <x:v>372.0662802038</x:v>
      </x:c>
      <x:c r="M204" s="60" t="n">
        <x:v>142.3599460262</x:v>
      </x:c>
      <x:c r="N204" s="46" t="str">
        <x:v>rhynchobatus djiddensis</x:v>
      </x:c>
      <x:c r="O204" s="62" t="n">
        <x:v>3.6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Rhynchobatus djiddensis</x:v>
      </x:c>
      <x:c r="T204" s="62" t="n">
        <x:f>IF(O204="","",(1/'Metadata'!$B$5)^(O204-1))</x:f>
        <x:v>2413.670534618066</x:v>
      </x:c>
      <x:c r="U204" s="60" t="n">
        <x:f>IF(T204="","",I204*T204)</x:f>
        <x:v>1241655.4244861184</x:v>
      </x:c>
    </x:row>
    <x:row r="205" ht="18" customHeight="1">
      <x:c r="A205" s="46" t="str">
        <x:v>LME_032</x:v>
      </x:c>
      <x:c r="B205" s="46" t="str">
        <x:v>Arabian Sea</x:v>
      </x:c>
      <x:c r="C205" s="46" t="str">
        <x:v>LME</x:v>
      </x:c>
      <x:c r="D205" s="58" t="n">
        <x:v>2019</x:v>
      </x:c>
      <x:c r="E205" s="46" t="str">
        <x:v>Platycaranx malabaricus</x:v>
      </x:c>
      <x:c r="F205" s="46" t="str">
        <x:v>Malabar trevally</x:v>
      </x:c>
      <x:c r="G205" s="46" t="str">
        <x:v>Medium reef assoc. fish (30 - 89 cm)</x:v>
      </x:c>
      <x:c r="H205" s="46" t="str">
        <x:v>Perch-likes</x:v>
      </x:c>
      <x:c r="I205" s="60" t="n">
        <x:v>488.082691588</x:v>
      </x:c>
      <x:c r="J205" s="60" t="n">
        <x:v>474.0952417614</x:v>
      </x:c>
      <x:c r="K205" s="60" t="n">
        <x:v>13.9874498266</x:v>
      </x:c>
      <x:c r="L205" s="60" t="n">
        <x:v>324.4050992877</x:v>
      </x:c>
      <x:c r="M205" s="60" t="n">
        <x:v>163.6775923003</x:v>
      </x:c>
      <x:c r="N205" s="46" t="str">
        <x:v>platycaranx malabaricus</x:v>
      </x:c>
      <x:c r="O205" s="62" t="n">
        <x:v>3.88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Platycaranx malabaricus</x:v>
      </x:c>
      <x:c r="T205" s="62" t="n">
        <x:f>IF(O205="","",(1/'Metadata'!$B$5)^(O205-1))</x:f>
        <x:v>5584.269732662554</x:v>
      </x:c>
      <x:c r="U205" s="60" t="n">
        <x:f>IF(T205="","",I205*T205)</x:f>
        <x:v>2725585.40167134</x:v>
      </x:c>
    </x:row>
    <x:row r="206" ht="18" customHeight="1">
      <x:c r="A206" s="46" t="str">
        <x:v>LME_032</x:v>
      </x:c>
      <x:c r="B206" s="46" t="str">
        <x:v>Arabian Sea</x:v>
      </x:c>
      <x:c r="C206" s="46" t="str">
        <x:v>LME</x:v>
      </x:c>
      <x:c r="D206" s="58" t="n">
        <x:v>2019</x:v>
      </x:c>
      <x:c r="E206" s="46" t="str">
        <x:v>Pomacanthus maculosus</x:v>
      </x:c>
      <x:c r="F206" s="46" t="str">
        <x:v>Yellowbar angelfish</x:v>
      </x:c>
      <x:c r="G206" s="46" t="str">
        <x:v>Medium reef assoc. fish (30 - 89 cm)</x:v>
      </x:c>
      <x:c r="H206" s="46" t="str">
        <x:v>Perch-likes</x:v>
      </x:c>
      <x:c r="I206" s="60" t="n">
        <x:v>487.9558639132</x:v>
      </x:c>
      <x:c r="J206" s="60" t="n">
        <x:v>463.4169309852</x:v>
      </x:c>
      <x:c r="K206" s="60" t="n">
        <x:v>24.538932928</x:v>
      </x:c>
      <x:c r="L206" s="60" t="n">
        <x:v>454.7601889936</x:v>
      </x:c>
      <x:c r="M206" s="60" t="n">
        <x:v>33.1956749196</x:v>
      </x:c>
      <x:c r="N206" s="46" t="str">
        <x:v>pomacanthus maculosus</x:v>
      </x:c>
      <x:c r="O206" s="62" t="n">
        <x:v>2.67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Pomacanthus maculosus</x:v>
      </x:c>
      <x:c r="T206" s="62" t="n">
        <x:f>IF(O206="","",(1/'Metadata'!$B$5)^(O206-1))</x:f>
        <x:v>148.84014785129105</x:v>
      </x:c>
      <x:c r="U206" s="60" t="n">
        <x:f>IF(T206="","",I206*T206)</x:f>
        <x:v>72627.42292974514</x:v>
      </x:c>
    </x:row>
    <x:row r="207" ht="18" customHeight="1">
      <x:c r="A207" s="46" t="str">
        <x:v>LME_032</x:v>
      </x:c>
      <x:c r="B207" s="46" t="str">
        <x:v>Arabian Sea</x:v>
      </x:c>
      <x:c r="C207" s="46" t="str">
        <x:v>LME</x:v>
      </x:c>
      <x:c r="D207" s="58" t="n">
        <x:v>2019</x:v>
      </x:c>
      <x:c r="E207" s="46" t="str">
        <x:v>Carcharhinus dussumieri</x:v>
      </x:c>
      <x:c r="F207" s="46" t="str">
        <x:v>Whitecheek shark</x:v>
      </x:c>
      <x:c r="G207" s="46" t="str">
        <x:v>Small to medium sharks (&lt;90 cm)</x:v>
      </x:c>
      <x:c r="H207" s="46" t="str">
        <x:v>Sharks &amp; rays</x:v>
      </x:c>
      <x:c r="I207" s="60" t="n">
        <x:v>478.11285671080003</x:v>
      </x:c>
      <x:c r="J207" s="60" t="n">
        <x:v>478.11285671080003</x:v>
      </x:c>
      <x:c r="K207" s="60" t="n">
        <x:v>0</x:v>
      </x:c>
      <x:c r="L207" s="60" t="n">
        <x:v>369.8046889243</x:v>
      </x:c>
      <x:c r="M207" s="60" t="n">
        <x:v>108.3081677865</x:v>
      </x:c>
      <x:c r="N207" s="46" t="str">
        <x:v>carcharhinus dussumieri</x:v>
      </x:c>
      <x:c r="O207" s="62" t="n">
        <x:v>3.9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Carcharhinus dussumieri</x:v>
      </x:c>
      <x:c r="T207" s="62" t="n">
        <x:f>IF(O207="","",(1/'Metadata'!$B$5)^(O207-1))</x:f>
        <x:v>5929.07559285558</x:v>
      </x:c>
      <x:c r="U207" s="60" t="n">
        <x:f>IF(T207="","",I207*T207)</x:f>
        <x:v>2834767.2693544617</x:v>
      </x:c>
    </x:row>
    <x:row r="208" ht="18" customHeight="1">
      <x:c r="A208" s="46" t="str">
        <x:v>LME_032</x:v>
      </x:c>
      <x:c r="B208" s="46" t="str">
        <x:v>Arabian Sea</x:v>
      </x:c>
      <x:c r="C208" s="46" t="str">
        <x:v>LME</x:v>
      </x:c>
      <x:c r="D208" s="58" t="n">
        <x:v>2019</x:v>
      </x:c>
      <x:c r="E208" s="46" t="str">
        <x:v>Alopias pelagicus</x:v>
      </x:c>
      <x:c r="F208" s="46" t="str">
        <x:v>Pelagic thresher</x:v>
      </x:c>
      <x:c r="G208" s="46" t="str">
        <x:v>Large sharks (&gt;=90 cm)</x:v>
      </x:c>
      <x:c r="H208" s="46" t="str">
        <x:v>Sharks &amp; rays</x:v>
      </x:c>
      <x:c r="I208" s="60" t="n">
        <x:v>465.6052097463</x:v>
      </x:c>
      <x:c r="J208" s="60" t="n">
        <x:v>465.6052097463</x:v>
      </x:c>
      <x:c r="K208" s="60" t="n">
        <x:v>0</x:v>
      </x:c>
      <x:c r="L208" s="60" t="n">
        <x:v>465.6052097463</x:v>
      </x:c>
      <x:c r="M208" s="60" t="n">
        <x:v>0</x:v>
      </x:c>
      <x:c r="N208" s="46" t="str">
        <x:v>alopias pelagicus</x:v>
      </x:c>
      <x:c r="O208" s="62" t="n">
        <x:v>4.5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Alopias pelagicus</x:v>
      </x:c>
      <x:c r="T208" s="62" t="n">
        <x:f>IF(O208="","",(1/'Metadata'!$B$5)^(O208-1))</x:f>
        <x:v>35777.08763999664</x:v>
      </x:c>
      <x:c r="U208" s="60" t="n">
        <x:f>IF(T208="","",I208*T208)</x:f>
        <x:v>16657998.39473239</x:v>
      </x:c>
    </x:row>
    <x:row r="209" ht="18" customHeight="1">
      <x:c r="A209" s="46" t="str">
        <x:v>LME_032</x:v>
      </x:c>
      <x:c r="B209" s="46" t="str">
        <x:v>Arabian Sea</x:v>
      </x:c>
      <x:c r="C209" s="46" t="str">
        <x:v>LME</x:v>
      </x:c>
      <x:c r="D209" s="58" t="n">
        <x:v>2019</x:v>
      </x:c>
      <x:c r="E209" s="46" t="str">
        <x:v>Solenidae</x:v>
      </x:c>
      <x:c r="F209" s="46" t="str">
        <x:v>Razor, knife clams</x:v>
      </x:c>
      <x:c r="G209" s="46" t="str">
        <x:v>Other demersal invertebrates</x:v>
      </x:c>
      <x:c r="H209" s="46" t="str">
        <x:v>Molluscs</x:v>
      </x:c>
      <x:c r="I209" s="60" t="n">
        <x:v>456.8924200862</x:v>
      </x:c>
      <x:c r="J209" s="60" t="n">
        <x:v>456.8924200862</x:v>
      </x:c>
      <x:c r="K209" s="60" t="n">
        <x:v>0</x:v>
      </x:c>
      <x:c r="L209" s="60" t="n">
        <x:v>456.8924200862</x:v>
      </x:c>
      <x:c r="M209" s="60" t="n">
        <x:v>0</x:v>
      </x:c>
      <x:c r="N209" s="46" t="str">
        <x:v>solenidae</x:v>
      </x:c>
      <x:c r="O209" s="62" t="n">
        <x:v>2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Solenidae</x:v>
      </x:c>
      <x:c r="T209" s="62" t="n">
        <x:f>IF(O209="","",(1/'Metadata'!$B$5)^(O209-1))</x:f>
        <x:v>20</x:v>
      </x:c>
      <x:c r="U209" s="60" t="n">
        <x:f>IF(T209="","",I209*T209)</x:f>
        <x:v>9137.848401724</x:v>
      </x:c>
    </x:row>
    <x:row r="210" ht="18" customHeight="1">
      <x:c r="A210" s="46" t="str">
        <x:v>LME_032</x:v>
      </x:c>
      <x:c r="B210" s="46" t="str">
        <x:v>Arabian Sea</x:v>
      </x:c>
      <x:c r="C210" s="46" t="str">
        <x:v>LME</x:v>
      </x:c>
      <x:c r="D210" s="58" t="n">
        <x:v>2019</x:v>
      </x:c>
      <x:c r="E210" s="46" t="str">
        <x:v>Tetraodontidae</x:v>
      </x:c>
      <x:c r="F210" s="46" t="str">
        <x:v>Puffers, tobies</x:v>
      </x:c>
      <x:c r="G210" s="46" t="str">
        <x:v>Large reef assoc. fish (&gt;=90 cm)</x:v>
      </x:c>
      <x:c r="H210" s="46" t="str">
        <x:v>Other fishes &amp; inverts</x:v>
      </x:c>
      <x:c r="I210" s="60" t="n">
        <x:v>450.473176099</x:v>
      </x:c>
      <x:c r="J210" s="60" t="n">
        <x:v>407.88199042720004</x:v>
      </x:c>
      <x:c r="K210" s="60" t="n">
        <x:v>42.5911856718</x:v>
      </x:c>
      <x:c r="L210" s="60" t="n">
        <x:v>294.1766666959</x:v>
      </x:c>
      <x:c r="M210" s="60" t="n">
        <x:v>156.2965094031</x:v>
      </x:c>
      <x:c r="N210" s="46" t="str">
        <x:v>tetraodontidae</x:v>
      </x:c>
      <x:c r="O210" s="62" t="n">
        <x:v>3.5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Tetraodontidae</x:v>
      </x:c>
      <x:c r="T210" s="62" t="n">
        <x:f>IF(O210="","",(1/'Metadata'!$B$5)^(O210-1))</x:f>
        <x:v>1788.8543819998317</x:v>
      </x:c>
      <x:c r="U210" s="60" t="n">
        <x:f>IF(T210="","",I210*T210)</x:f>
        <x:v>805830.915038078</x:v>
      </x:c>
    </x:row>
    <x:row r="211" ht="18" customHeight="1">
      <x:c r="A211" s="46" t="str">
        <x:v>LME_032</x:v>
      </x:c>
      <x:c r="B211" s="46" t="str">
        <x:v>Arabian Sea</x:v>
      </x:c>
      <x:c r="C211" s="46" t="str">
        <x:v>LME</x:v>
      </x:c>
      <x:c r="D211" s="58" t="n">
        <x:v>2019</x:v>
      </x:c>
      <x:c r="E211" s="46" t="str">
        <x:v>Coryphaena</x:v>
      </x:c>
      <x:c r="F211" s="46" t="str">
        <x:v>Dolphinfishes</x:v>
      </x:c>
      <x:c r="G211" s="46" t="str">
        <x:v>Large pelagics (&gt;=90 cm)</x:v>
      </x:c>
      <x:c r="H211" s="46" t="str">
        <x:v>Perch-likes</x:v>
      </x:c>
      <x:c r="I211" s="60" t="n">
        <x:v>440.13151123029996</x:v>
      </x:c>
      <x:c r="J211" s="60" t="n">
        <x:v>440.13151123029996</x:v>
      </x:c>
      <x:c r="K211" s="60" t="n">
        <x:v>0</x:v>
      </x:c>
      <x:c r="L211" s="60" t="n">
        <x:v>333.4448217739</x:v>
      </x:c>
      <x:c r="M211" s="60" t="n">
        <x:v>106.6866894564</x:v>
      </x:c>
      <x:c r="N211" s="46" t="str">
        <x:v>coryphaena</x:v>
      </x:c>
      <x:c r="O211" s="62" t="n">
        <x:v>4.49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Coryphaena</x:v>
      </x:c>
      <x:c r="T211" s="62" t="n">
        <x:f>IF(O211="","",(1/'Metadata'!$B$5)^(O211-1))</x:f>
        <x:v>34721.19667768202</x:v>
      </x:c>
      <x:c r="U211" s="60" t="n">
        <x:f>IF(T211="","",I211*T211)</x:f>
        <x:v>15281892.765472658</x:v>
      </x:c>
    </x:row>
    <x:row r="212" ht="18" customHeight="1">
      <x:c r="A212" s="46" t="str">
        <x:v>LME_032</x:v>
      </x:c>
      <x:c r="B212" s="46" t="str">
        <x:v>Arabian Sea</x:v>
      </x:c>
      <x:c r="C212" s="46" t="str">
        <x:v>LME</x:v>
      </x:c>
      <x:c r="D212" s="58" t="n">
        <x:v>2019</x:v>
      </x:c>
      <x:c r="E212" s="46" t="str">
        <x:v>Epinephelus chlorostigma</x:v>
      </x:c>
      <x:c r="F212" s="46" t="str">
        <x:v>Brownspotted grouper</x:v>
      </x:c>
      <x:c r="G212" s="46" t="str">
        <x:v>Medium reef assoc. fish (30 - 89 cm)</x:v>
      </x:c>
      <x:c r="H212" s="46" t="str">
        <x:v>Perch-likes</x:v>
      </x:c>
      <x:c r="I212" s="60" t="n">
        <x:v>420.5194554911</x:v>
      </x:c>
      <x:c r="J212" s="60" t="n">
        <x:v>420.5194554911</x:v>
      </x:c>
      <x:c r="K212" s="60" t="n">
        <x:v>0</x:v>
      </x:c>
      <x:c r="L212" s="60" t="n">
        <x:v>58.457570558700006</x:v>
      </x:c>
      <x:c r="M212" s="60" t="n">
        <x:v>362.0618849324</x:v>
      </x:c>
      <x:c r="N212" s="46" t="str">
        <x:v>epinephelus chlorostigma</x:v>
      </x:c>
      <x:c r="O212" s="62" t="n">
        <x:v>3.99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Epinephelus chlorostigma</x:v>
      </x:c>
      <x:c r="T212" s="62" t="n">
        <x:f>IF(O212="","",(1/'Metadata'!$B$5)^(O212-1))</x:f>
        <x:v>7763.895603143686</x:v>
      </x:c>
      <x:c r="U212" s="60" t="n">
        <x:f>IF(T212="","",I212*T212)</x:f>
        <x:v>3264869.1515237284</x:v>
      </x:c>
    </x:row>
    <x:row r="213" ht="18" customHeight="1">
      <x:c r="A213" s="46" t="str">
        <x:v>LME_032</x:v>
      </x:c>
      <x:c r="B213" s="46" t="str">
        <x:v>Arabian Sea</x:v>
      </x:c>
      <x:c r="C213" s="46" t="str">
        <x:v>LME</x:v>
      </x:c>
      <x:c r="D213" s="58" t="n">
        <x:v>2019</x:v>
      </x:c>
      <x:c r="E213" s="46" t="str">
        <x:v>Acanthopagrus berda</x:v>
      </x:c>
      <x:c r="F213" s="46" t="str">
        <x:v>Goldsilk seabream</x:v>
      </x:c>
      <x:c r="G213" s="46" t="str">
        <x:v>Medium demersals (30 - 89 cm)</x:v>
      </x:c>
      <x:c r="H213" s="46" t="str">
        <x:v>Perch-likes</x:v>
      </x:c>
      <x:c r="I213" s="60" t="n">
        <x:v>412.1603828784</x:v>
      </x:c>
      <x:c r="J213" s="60" t="n">
        <x:v>412.1603828784</x:v>
      </x:c>
      <x:c r="K213" s="60" t="n">
        <x:v>0</x:v>
      </x:c>
      <x:c r="L213" s="60" t="n">
        <x:v>97.0006102192</x:v>
      </x:c>
      <x:c r="M213" s="60" t="n">
        <x:v>315.1597726592</x:v>
      </x:c>
      <x:c r="N213" s="46" t="str">
        <x:v>acanthopagrus berda</x:v>
      </x:c>
      <x:c r="O213" s="62" t="n">
        <x:v>3.48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Acanthopagrus berda</x:v>
      </x:c>
      <x:c r="T213" s="62" t="n">
        <x:f>IF(O213="","",(1/'Metadata'!$B$5)^(O213-1))</x:f>
        <x:v>1684.8234138858888</x:v>
      </x:c>
      <x:c r="U213" s="60" t="n">
        <x:f>IF(T213="","",I213*T213)</x:f>
        <x:v>694417.4633497009</x:v>
      </x:c>
    </x:row>
    <x:row r="214" ht="18" customHeight="1">
      <x:c r="A214" s="46" t="str">
        <x:v>LME_032</x:v>
      </x:c>
      <x:c r="B214" s="46" t="str">
        <x:v>Arabian Sea</x:v>
      </x:c>
      <x:c r="C214" s="46" t="str">
        <x:v>LME</x:v>
      </x:c>
      <x:c r="D214" s="58" t="n">
        <x:v>2019</x:v>
      </x:c>
      <x:c r="E214" s="46" t="str">
        <x:v>Scaridae</x:v>
      </x:c>
      <x:c r="F214" s="46" t="str">
        <x:v>Parrotfishes</x:v>
      </x:c>
      <x:c r="G214" s="46" t="str">
        <x:v>Medium reef assoc. fish (30 - 89 cm)</x:v>
      </x:c>
      <x:c r="H214" s="46" t="str">
        <x:v>Perch-likes</x:v>
      </x:c>
      <x:c r="I214" s="60" t="n">
        <x:v>394.4107437617</x:v>
      </x:c>
      <x:c r="J214" s="60" t="n">
        <x:v>394.4107437617</x:v>
      </x:c>
      <x:c r="K214" s="60" t="n">
        <x:v>0</x:v>
      </x:c>
      <x:c r="L214" s="60" t="n">
        <x:v>153.1106326327</x:v>
      </x:c>
      <x:c r="M214" s="60" t="n">
        <x:v>241.300111129</x:v>
      </x:c>
      <x:c r="N214" s="46" t="str">
        <x:v>scaridae</x:v>
      </x:c>
      <x:c r="O214" s="62" t="n">
        <x:v>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Scaridae</x:v>
      </x:c>
      <x:c r="T214" s="62" t="n">
        <x:f>IF(O214="","",(1/'Metadata'!$B$5)^(O214-1))</x:f>
        <x:v>20</x:v>
      </x:c>
      <x:c r="U214" s="60" t="n">
        <x:f>IF(T214="","",I214*T214)</x:f>
        <x:v>7888.214875234</x:v>
      </x:c>
    </x:row>
    <x:row r="215" ht="18" customHeight="1">
      <x:c r="A215" s="46" t="str">
        <x:v>LME_032</x:v>
      </x:c>
      <x:c r="B215" s="46" t="str">
        <x:v>Arabian Sea</x:v>
      </x:c>
      <x:c r="C215" s="46" t="str">
        <x:v>LME</x:v>
      </x:c>
      <x:c r="D215" s="58" t="n">
        <x:v>2019</x:v>
      </x:c>
      <x:c r="E215" s="46" t="str">
        <x:v>Thunnus alalunga</x:v>
      </x:c>
      <x:c r="F215" s="46" t="str">
        <x:v>Albacore</x:v>
      </x:c>
      <x:c r="G215" s="46" t="str">
        <x:v>Large pelagics (&gt;=90 cm)</x:v>
      </x:c>
      <x:c r="H215" s="46" t="str">
        <x:v>Tuna &amp; billfishes</x:v>
      </x:c>
      <x:c r="I215" s="60" t="n">
        <x:v>386.9004641675</x:v>
      </x:c>
      <x:c r="J215" s="60" t="n">
        <x:v>386.9004641675</x:v>
      </x:c>
      <x:c r="K215" s="60" t="n">
        <x:v>0</x:v>
      </x:c>
      <x:c r="L215" s="60" t="n">
        <x:v>386.9004641675</x:v>
      </x:c>
      <x:c r="M215" s="60" t="n">
        <x:v>0</x:v>
      </x:c>
      <x:c r="N215" s="46" t="str">
        <x:v>thunnus alalunga</x:v>
      </x:c>
      <x:c r="O215" s="62" t="n">
        <x:v>4.3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Thunnus alalunga</x:v>
      </x:c>
      <x:c r="T215" s="62" t="n">
        <x:f>IF(O215="","",(1/'Metadata'!$B$5)^(O215-1))</x:f>
        <x:v>19651.648417852637</x:v>
      </x:c>
      <x:c r="U215" s="60" t="n">
        <x:f>IF(T215="","",I215*T215)</x:f>
        <x:v>7603231.894523702</x:v>
      </x:c>
    </x:row>
    <x:row r="216" ht="18" customHeight="1">
      <x:c r="A216" s="46" t="str">
        <x:v>LME_032</x:v>
      </x:c>
      <x:c r="B216" s="46" t="str">
        <x:v>Arabian Sea</x:v>
      </x:c>
      <x:c r="C216" s="46" t="str">
        <x:v>LME</x:v>
      </x:c>
      <x:c r="D216" s="58" t="n">
        <x:v>2019</x:v>
      </x:c>
      <x:c r="E216" s="46" t="str">
        <x:v>Scarus persicus</x:v>
      </x:c>
      <x:c r="F216" s="46" t="str">
        <x:v>Gulf parrotfish</x:v>
      </x:c>
      <x:c r="G216" s="46" t="str">
        <x:v>Medium benthopelagics (30 - 89 cm)</x:v>
      </x:c>
      <x:c r="H216" s="46" t="str">
        <x:v>Perch-likes</x:v>
      </x:c>
      <x:c r="I216" s="60" t="n">
        <x:v>361.16890128570003</x:v>
      </x:c>
      <x:c r="J216" s="60" t="n">
        <x:v>361.16890128570003</x:v>
      </x:c>
      <x:c r="K216" s="60" t="n">
        <x:v>0</x:v>
      </x:c>
      <x:c r="L216" s="60" t="n">
        <x:v>361.16890128570003</x:v>
      </x:c>
      <x:c r="M216" s="60" t="n">
        <x:v>0</x:v>
      </x:c>
      <x:c r="N216" s="46" t="str">
        <x:v>scarus persicus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Scarus persicus</x:v>
      </x:c>
      <x:c r="T216" s="62" t="n">
        <x:f>IF(O216="","",(1/'Metadata'!$B$5)^(O216-1))</x:f>
        <x:v>20</x:v>
      </x:c>
      <x:c r="U216" s="60" t="n">
        <x:f>IF(T216="","",I216*T216)</x:f>
        <x:v>7223.378025714001</x:v>
      </x:c>
    </x:row>
    <x:row r="217" ht="18" customHeight="1">
      <x:c r="A217" s="46" t="str">
        <x:v>LME_032</x:v>
      </x:c>
      <x:c r="B217" s="46" t="str">
        <x:v>Arabian Sea</x:v>
      </x:c>
      <x:c r="C217" s="46" t="str">
        <x:v>LME</x:v>
      </x:c>
      <x:c r="D217" s="58" t="n">
        <x:v>2019</x:v>
      </x:c>
      <x:c r="E217" s="46" t="str">
        <x:v>Cephalopoda</x:v>
      </x:c>
      <x:c r="F217" s="46" t="str">
        <x:v>Squids, cuttlefishes, octopuses</x:v>
      </x:c>
      <x:c r="G217" s="46" t="str">
        <x:v>Cephalopods</x:v>
      </x:c>
      <x:c r="H217" s="46" t="str">
        <x:v>Other fishes &amp; inverts</x:v>
      </x:c>
      <x:c r="I217" s="60" t="n">
        <x:v>356.38451021180003</x:v>
      </x:c>
      <x:c r="J217" s="60" t="n">
        <x:v>356.38451021180003</x:v>
      </x:c>
      <x:c r="K217" s="60" t="n">
        <x:v>0</x:v>
      </x:c>
      <x:c r="L217" s="60" t="n">
        <x:v>256.8457614185</x:v>
      </x:c>
      <x:c r="M217" s="60" t="n">
        <x:v>99.5387487933</x:v>
      </x:c>
      <x:c r="N217" s="46" t="str">
        <x:v>cephalopoda</x:v>
      </x:c>
      <x:c r="O217" s="62" t="n">
        <x:v>3.81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Cephalopoda</x:v>
      </x:c>
      <x:c r="T217" s="62" t="n">
        <x:f>IF(O217="","",(1/'Metadata'!$B$5)^(O217-1))</x:f>
        <x:v>4527.873529309382</x:v>
      </x:c>
      <x:c r="U217" s="60" t="n">
        <x:f>IF(T217="","",I217*T217)</x:f>
        <x:v>1613663.9900438986</x:v>
      </x:c>
    </x:row>
    <x:row r="218" ht="18" customHeight="1">
      <x:c r="A218" s="46" t="str">
        <x:v>LME_032</x:v>
      </x:c>
      <x:c r="B218" s="46" t="str">
        <x:v>Arabian Sea</x:v>
      </x:c>
      <x:c r="C218" s="46" t="str">
        <x:v>LME</x:v>
      </x:c>
      <x:c r="D218" s="58" t="n">
        <x:v>2019</x:v>
      </x:c>
      <x:c r="E218" s="46" t="str">
        <x:v>Sphyraena obtusata</x:v>
      </x:c>
      <x:c r="F218" s="46" t="str">
        <x:v>Obtuse barracuda</x:v>
      </x:c>
      <x:c r="G218" s="46" t="str">
        <x:v>Medium reef assoc. fish (30 - 89 cm)</x:v>
      </x:c>
      <x:c r="H218" s="46" t="str">
        <x:v>Perch-likes</x:v>
      </x:c>
      <x:c r="I218" s="60" t="n">
        <x:v>347.2372084193</x:v>
      </x:c>
      <x:c r="J218" s="60" t="n">
        <x:v>347.2372084193</x:v>
      </x:c>
      <x:c r="K218" s="60" t="n">
        <x:v>0</x:v>
      </x:c>
      <x:c r="L218" s="60" t="n">
        <x:v>102.0617310131</x:v>
      </x:c>
      <x:c r="M218" s="60" t="n">
        <x:v>245.1754774062</x:v>
      </x:c>
      <x:c r="N218" s="46" t="str">
        <x:v>sphyraena obtusata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Sphyraena obtusata</x:v>
      </x:c>
      <x:c r="T218" s="62" t="n">
        <x:f>IF(O218="","",(1/'Metadata'!$B$5)^(O218-1))</x:f>
        <x:v>35777.08763999664</x:v>
      </x:c>
      <x:c r="U218" s="60" t="n">
        <x:f>IF(T218="","",I218*T218)</x:f>
        <x:v>12423136.037485072</x:v>
      </x:c>
    </x:row>
    <x:row r="219" ht="18" customHeight="1">
      <x:c r="A219" s="46" t="str">
        <x:v>LME_032</x:v>
      </x:c>
      <x:c r="B219" s="46" t="str">
        <x:v>Arabian Sea</x:v>
      </x:c>
      <x:c r="C219" s="46" t="str">
        <x:v>LME</x:v>
      </x:c>
      <x:c r="D219" s="58" t="n">
        <x:v>2019</x:v>
      </x:c>
      <x:c r="E219" s="46" t="str">
        <x:v>Ariomma indica</x:v>
      </x:c>
      <x:c r="F219" s="46" t="str">
        <x:v>Indian driftfish</x:v>
      </x:c>
      <x:c r="G219" s="46" t="str">
        <x:v>Small benthopelagics (&lt;30 cm)</x:v>
      </x:c>
      <x:c r="H219" s="46" t="str">
        <x:v>Perch-likes</x:v>
      </x:c>
      <x:c r="I219" s="60" t="n">
        <x:v>344.7426951396</x:v>
      </x:c>
      <x:c r="J219" s="60" t="n">
        <x:v>344.7426951396</x:v>
      </x:c>
      <x:c r="K219" s="60" t="n">
        <x:v>0</x:v>
      </x:c>
      <x:c r="L219" s="60" t="n">
        <x:v>344.7426951396</x:v>
      </x:c>
      <x:c r="M219" s="60" t="n">
        <x:v>0</x:v>
      </x:c>
      <x:c r="N219" s="46" t="str">
        <x:v>ariomma indica</x:v>
      </x:c>
      <x:c r="O219" s="62" t="n">
        <x:v>3.63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Ariomma indica</x:v>
      </x:c>
      <x:c r="T219" s="62" t="n">
        <x:f>IF(O219="","",(1/'Metadata'!$B$5)^(O219-1))</x:f>
        <x:v>2640.638121038009</x:v>
      </x:c>
      <x:c r="U219" s="60" t="n">
        <x:f>IF(T219="","",I219*T219)</x:f>
        <x:v>910340.7027350126</x:v>
      </x:c>
    </x:row>
    <x:row r="220" ht="18" customHeight="1">
      <x:c r="A220" s="46" t="str">
        <x:v>LME_032</x:v>
      </x:c>
      <x:c r="B220" s="46" t="str">
        <x:v>Arabian Sea</x:v>
      </x:c>
      <x:c r="C220" s="46" t="str">
        <x:v>LME</x:v>
      </x:c>
      <x:c r="D220" s="58" t="n">
        <x:v>2019</x:v>
      </x:c>
      <x:c r="E220" s="46" t="str">
        <x:v>Sphyraena jello</x:v>
      </x:c>
      <x:c r="F220" s="46" t="str">
        <x:v>Pickhandle barracuda</x:v>
      </x:c>
      <x:c r="G220" s="46" t="str">
        <x:v>Large reef assoc. fish (&gt;=90 cm)</x:v>
      </x:c>
      <x:c r="H220" s="46" t="str">
        <x:v>Perch-likes</x:v>
      </x:c>
      <x:c r="I220" s="60" t="n">
        <x:v>337.0802348671</x:v>
      </x:c>
      <x:c r="J220" s="60" t="n">
        <x:v>337.0802348671</x:v>
      </x:c>
      <x:c r="K220" s="60" t="n">
        <x:v>0</x:v>
      </x:c>
      <x:c r="L220" s="60" t="n">
        <x:v>156.36476982879998</x:v>
      </x:c>
      <x:c r="M220" s="60" t="n">
        <x:v>180.7154650383</x:v>
      </x:c>
      <x:c r="N220" s="46" t="str">
        <x:v>sphyraena jello</x:v>
      </x:c>
      <x:c r="O220" s="62" t="n">
        <x:v>4.5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Sphyraena jello</x:v>
      </x:c>
      <x:c r="T220" s="62" t="n">
        <x:f>IF(O220="","",(1/'Metadata'!$B$5)^(O220-1))</x:f>
        <x:v>35777.08763999664</x:v>
      </x:c>
      <x:c r="U220" s="60" t="n">
        <x:f>IF(T220="","",I220*T220)</x:f>
        <x:v>12059749.104550887</x:v>
      </x:c>
    </x:row>
    <x:row r="221" ht="18" customHeight="1">
      <x:c r="A221" s="46" t="str">
        <x:v>LME_032</x:v>
      </x:c>
      <x:c r="B221" s="46" t="str">
        <x:v>Arabian Sea</x:v>
      </x:c>
      <x:c r="C221" s="46" t="str">
        <x:v>LME</x:v>
      </x:c>
      <x:c r="D221" s="58" t="n">
        <x:v>2019</x:v>
      </x:c>
      <x:c r="E221" s="46" t="str">
        <x:v>Epinephelus multinotatus</x:v>
      </x:c>
      <x:c r="F221" s="46" t="str">
        <x:v>White-blotched grouper</x:v>
      </x:c>
      <x:c r="G221" s="46" t="str">
        <x:v>Medium reef assoc. fish (30 - 89 cm)</x:v>
      </x:c>
      <x:c r="H221" s="46" t="str">
        <x:v>Perch-likes</x:v>
      </x:c>
      <x:c r="I221" s="60" t="n">
        <x:v>322.60839907540003</x:v>
      </x:c>
      <x:c r="J221" s="60" t="n">
        <x:v>322.60839907540003</x:v>
      </x:c>
      <x:c r="K221" s="60" t="n">
        <x:v>0</x:v>
      </x:c>
      <x:c r="L221" s="60" t="n">
        <x:v>254.9193214535</x:v>
      </x:c>
      <x:c r="M221" s="60" t="n">
        <x:v>67.6890776219</x:v>
      </x:c>
      <x:c r="N221" s="46" t="str">
        <x:v>epinephelus multinotatus</x:v>
      </x:c>
      <x:c r="O221" s="62" t="n">
        <x:v>3.86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Epinephelus multinotatus</x:v>
      </x:c>
      <x:c r="T221" s="62" t="n">
        <x:f>IF(O221="","",(1/'Metadata'!$B$5)^(O221-1))</x:f>
        <x:v>5259.51608454905</x:v>
      </x:c>
      <x:c r="U221" s="60" t="n">
        <x:f>IF(T221="","",I221*T221)</x:f>
        <x:v>1696764.0639476853</x:v>
      </x:c>
    </x:row>
    <x:row r="222" ht="18" customHeight="1">
      <x:c r="A222" s="46" t="str">
        <x:v>LME_032</x:v>
      </x:c>
      <x:c r="B222" s="46" t="str">
        <x:v>Arabian Sea</x:v>
      </x:c>
      <x:c r="C222" s="46" t="str">
        <x:v>LME</x:v>
      </x:c>
      <x:c r="D222" s="58" t="n">
        <x:v>2019</x:v>
      </x:c>
      <x:c r="E222" s="46" t="str">
        <x:v>Protonibea diacanthus</x:v>
      </x:c>
      <x:c r="F222" s="46" t="str">
        <x:v>Blackspotted croaker</x:v>
      </x:c>
      <x:c r="G222" s="46" t="str">
        <x:v>Small pelagics (&lt;30 cm)</x:v>
      </x:c>
      <x:c r="H222" s="46" t="str">
        <x:v>Perch-likes</x:v>
      </x:c>
      <x:c r="I222" s="60" t="n">
        <x:v>313.97960686240003</x:v>
      </x:c>
      <x:c r="J222" s="60" t="n">
        <x:v>313.97960686240003</x:v>
      </x:c>
      <x:c r="K222" s="60" t="n">
        <x:v>0</x:v>
      </x:c>
      <x:c r="L222" s="60" t="n">
        <x:v>0</x:v>
      </x:c>
      <x:c r="M222" s="60" t="n">
        <x:v>313.97960686240003</x:v>
      </x:c>
      <x:c r="N222" s="46" t="str">
        <x:v>protonibea diacanthus</x:v>
      </x:c>
      <x:c r="O222" s="62" t="n">
        <x:v>3.5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Protonibea diacanthus</x:v>
      </x:c>
      <x:c r="T222" s="62" t="n">
        <x:f>IF(O222="","",(1/'Metadata'!$B$5)^(O222-1))</x:f>
        <x:v>1788.8543819998317</x:v>
      </x:c>
      <x:c r="U222" s="60" t="n">
        <x:f>IF(T222="","",I222*T222)</x:f>
        <x:v>561663.7955943887</x:v>
      </x:c>
    </x:row>
    <x:row r="223" ht="18" customHeight="1">
      <x:c r="A223" s="46" t="str">
        <x:v>LME_032</x:v>
      </x:c>
      <x:c r="B223" s="46" t="str">
        <x:v>Arabian Sea</x:v>
      </x:c>
      <x:c r="C223" s="46" t="str">
        <x:v>LME</x:v>
      </x:c>
      <x:c r="D223" s="58" t="n">
        <x:v>2019</x:v>
      </x:c>
      <x:c r="E223" s="46" t="str">
        <x:v>Caranx sexfasciatus</x:v>
      </x:c>
      <x:c r="F223" s="46" t="str">
        <x:v>Bigeye trevally</x:v>
      </x:c>
      <x:c r="G223" s="46" t="str">
        <x:v>Large reef assoc. fish (&gt;=90 cm)</x:v>
      </x:c>
      <x:c r="H223" s="46" t="str">
        <x:v>Perch-likes</x:v>
      </x:c>
      <x:c r="I223" s="60" t="n">
        <x:v>308.4211540672</x:v>
      </x:c>
      <x:c r="J223" s="60" t="n">
        <x:v>308.4211540672</x:v>
      </x:c>
      <x:c r="K223" s="60" t="n">
        <x:v>0</x:v>
      </x:c>
      <x:c r="L223" s="60" t="n">
        <x:v>274.8993774105</x:v>
      </x:c>
      <x:c r="M223" s="60" t="n">
        <x:v>33.5217766567</x:v>
      </x:c>
      <x:c r="N223" s="46" t="str">
        <x:v>caranx sexfasciatus</x:v>
      </x:c>
      <x:c r="O223" s="62" t="n">
        <x:v>4.5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Caranx sexfasciatus</x:v>
      </x:c>
      <x:c r="T223" s="62" t="n">
        <x:f>IF(O223="","",(1/'Metadata'!$B$5)^(O223-1))</x:f>
        <x:v>35777.08763999664</x:v>
      </x:c>
      <x:c r="U223" s="60" t="n">
        <x:f>IF(T223="","",I223*T223)</x:f>
        <x:v>11034410.65909112</x:v>
      </x:c>
    </x:row>
    <x:row r="224" ht="18" customHeight="1">
      <x:c r="A224" s="46" t="str">
        <x:v>LME_032</x:v>
      </x:c>
      <x:c r="B224" s="46" t="str">
        <x:v>Arabian Sea</x:v>
      </x:c>
      <x:c r="C224" s="46" t="str">
        <x:v>LME</x:v>
      </x:c>
      <x:c r="D224" s="58" t="n">
        <x:v>2019</x:v>
      </x:c>
      <x:c r="E224" s="46" t="str">
        <x:v>Aprion virescens</x:v>
      </x:c>
      <x:c r="F224" s="46" t="str">
        <x:v>Green jobfish</x:v>
      </x:c>
      <x:c r="G224" s="46" t="str">
        <x:v>Large reef assoc. fish (&gt;=90 cm)</x:v>
      </x:c>
      <x:c r="H224" s="46" t="str">
        <x:v>Perch-likes</x:v>
      </x:c>
      <x:c r="I224" s="60" t="n">
        <x:v>278.8883279835</x:v>
      </x:c>
      <x:c r="J224" s="60" t="n">
        <x:v>278.8883279835</x:v>
      </x:c>
      <x:c r="K224" s="60" t="n">
        <x:v>0</x:v>
      </x:c>
      <x:c r="L224" s="60" t="n">
        <x:v>112.3560205441</x:v>
      </x:c>
      <x:c r="M224" s="60" t="n">
        <x:v>166.5323074394</x:v>
      </x:c>
      <x:c r="N224" s="46" t="str">
        <x:v>aprion virescens</x:v>
      </x:c>
      <x:c r="O224" s="62" t="n">
        <x:v>4.28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Aprion virescens</x:v>
      </x:c>
      <x:c r="T224" s="62" t="n">
        <x:f>IF(O224="","",(1/'Metadata'!$B$5)^(O224-1))</x:f>
        <x:v>18508.805249333516</x:v>
      </x:c>
      <x:c r="U224" s="60" t="n">
        <x:f>IF(T224="","",I224*T224)</x:f>
        <x:v>5161889.748958852</x:v>
      </x:c>
    </x:row>
    <x:row r="225" ht="18" customHeight="1">
      <x:c r="A225" s="46" t="str">
        <x:v>LME_032</x:v>
      </x:c>
      <x:c r="B225" s="46" t="str">
        <x:v>Arabian Sea</x:v>
      </x:c>
      <x:c r="C225" s="46" t="str">
        <x:v>LME</x:v>
      </x:c>
      <x:c r="D225" s="58" t="n">
        <x:v>2019</x:v>
      </x:c>
      <x:c r="E225" s="46" t="str">
        <x:v>Alepes djedaba</x:v>
      </x:c>
      <x:c r="F225" s="46" t="str">
        <x:v>Shrimp scad</x:v>
      </x:c>
      <x:c r="G225" s="46" t="str">
        <x:v>Medium reef assoc. fish (30 - 89 cm)</x:v>
      </x:c>
      <x:c r="H225" s="46" t="str">
        <x:v>Perch-likes</x:v>
      </x:c>
      <x:c r="I225" s="60" t="n">
        <x:v>275.3715488328</x:v>
      </x:c>
      <x:c r="J225" s="60" t="n">
        <x:v>275.3715488328</x:v>
      </x:c>
      <x:c r="K225" s="60" t="n">
        <x:v>0</x:v>
      </x:c>
      <x:c r="L225" s="60" t="n">
        <x:v>175.2290289734</x:v>
      </x:c>
      <x:c r="M225" s="60" t="n">
        <x:v>100.1425198594</x:v>
      </x:c>
      <x:c r="N225" s="46" t="str">
        <x:v>alepes djedaba</x:v>
      </x:c>
      <x:c r="O225" s="62" t="n">
        <x:v>3.32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Alepes djedaba</x:v>
      </x:c>
      <x:c r="T225" s="62" t="n">
        <x:f>IF(O225="","",(1/'Metadata'!$B$5)^(O225-1))</x:f>
        <x:v>1043.2528743388143</x:v>
      </x:c>
      <x:c r="U225" s="60" t="n">
        <x:f>IF(T225="","",I225*T225)</x:f>
        <x:v>287282.15983094973</x:v>
      </x:c>
    </x:row>
    <x:row r="226" ht="18" customHeight="1">
      <x:c r="A226" s="46" t="str">
        <x:v>LME_032</x:v>
      </x:c>
      <x:c r="B226" s="46" t="str">
        <x:v>Arabian Sea</x:v>
      </x:c>
      <x:c r="C226" s="46" t="str">
        <x:v>LME</x:v>
      </x:c>
      <x:c r="D226" s="58" t="n">
        <x:v>2019</x:v>
      </x:c>
      <x:c r="E226" s="46" t="str">
        <x:v>Triakidae</x:v>
      </x:c>
      <x:c r="F226" s="46" t="str">
        <x:v>Houndsharks</x:v>
      </x:c>
      <x:c r="G226" s="46" t="str">
        <x:v>Large sharks (&gt;=90 cm)</x:v>
      </x:c>
      <x:c r="H226" s="46" t="str">
        <x:v>Sharks &amp; rays</x:v>
      </x:c>
      <x:c r="I226" s="60" t="n">
        <x:v>273.8695191465</x:v>
      </x:c>
      <x:c r="J226" s="60" t="n">
        <x:v>273.8695191465</x:v>
      </x:c>
      <x:c r="K226" s="60" t="n">
        <x:v>0</x:v>
      </x:c>
      <x:c r="L226" s="60" t="n">
        <x:v>273.8695191465</x:v>
      </x:c>
      <x:c r="M226" s="60" t="n">
        <x:v>0</x:v>
      </x:c>
      <x:c r="N226" s="46" t="str">
        <x:v>triakidae</x:v>
      </x:c>
      <x:c r="O226" s="62" t="n">
        <x:v>3.82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Triakidae</x:v>
      </x:c>
      <x:c r="T226" s="62" t="n">
        <x:f>IF(O226="","",(1/'Metadata'!$B$5)^(O226-1))</x:f>
        <x:v>4665.56868948727</x:v>
      </x:c>
      <x:c r="U226" s="60" t="n">
        <x:f>IF(T226="","",I226*T226)</x:f>
        <x:v>1277757.0535348447</x:v>
      </x:c>
    </x:row>
    <x:row r="227" ht="18" customHeight="1">
      <x:c r="A227" s="46" t="str">
        <x:v>LME_032</x:v>
      </x:c>
      <x:c r="B227" s="46" t="str">
        <x:v>Arabian Sea</x:v>
      </x:c>
      <x:c r="C227" s="46" t="str">
        <x:v>LME</x:v>
      </x:c>
      <x:c r="D227" s="58" t="n">
        <x:v>2019</x:v>
      </x:c>
      <x:c r="E227" s="46" t="str">
        <x:v>Lethrinus obsoletus</x:v>
      </x:c>
      <x:c r="F227" s="46" t="str">
        <x:v>Orange-striped emperor</x:v>
      </x:c>
      <x:c r="G227" s="46" t="str">
        <x:v>Medium demersals (30 - 89 cm)</x:v>
      </x:c>
      <x:c r="H227" s="46" t="str">
        <x:v>Perch-likes</x:v>
      </x:c>
      <x:c r="I227" s="60" t="n">
        <x:v>270.2132329423</x:v>
      </x:c>
      <x:c r="J227" s="60" t="n">
        <x:v>270.2132329423</x:v>
      </x:c>
      <x:c r="K227" s="60" t="n">
        <x:v>0</x:v>
      </x:c>
      <x:c r="L227" s="60" t="n">
        <x:v>209.0702236869</x:v>
      </x:c>
      <x:c r="M227" s="60" t="n">
        <x:v>61.1430092554</x:v>
      </x:c>
      <x:c r="N227" s="46" t="str">
        <x:v>lethrinus obsoletus</x:v>
      </x:c>
      <x:c r="O227" s="62" t="n">
        <x:v>3.89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Lethrinus obsoletus</x:v>
      </x:c>
      <x:c r="T227" s="62" t="n">
        <x:f>IF(O227="","",(1/'Metadata'!$B$5)^(O227-1))</x:f>
        <x:v>5754.090490759748</x:v>
      </x:c>
      <x:c r="U227" s="60" t="n">
        <x:f>IF(T227="","",I227*T227)</x:f>
        <x:v>1554831.3941507372</x:v>
      </x:c>
    </x:row>
    <x:row r="228" ht="18" customHeight="1">
      <x:c r="A228" s="46" t="str">
        <x:v>LME_032</x:v>
      </x:c>
      <x:c r="B228" s="46" t="str">
        <x:v>Arabian Sea</x:v>
      </x:c>
      <x:c r="C228" s="46" t="str">
        <x:v>LME</x:v>
      </x:c>
      <x:c r="D228" s="58" t="n">
        <x:v>2019</x:v>
      </x:c>
      <x:c r="E228" s="46" t="str">
        <x:v>Gobiidae</x:v>
      </x:c>
      <x:c r="F228" s="46" t="str">
        <x:v>Gobies</x:v>
      </x:c>
      <x:c r="G228" s="46" t="str">
        <x:v>Small reef assoc. fish (&lt;30 cm)</x:v>
      </x:c>
      <x:c r="H228" s="46" t="str">
        <x:v>Perch-likes</x:v>
      </x:c>
      <x:c r="I228" s="60" t="n">
        <x:v>268.6275609828</x:v>
      </x:c>
      <x:c r="J228" s="60" t="n">
        <x:v>268.6275609828</x:v>
      </x:c>
      <x:c r="K228" s="60" t="n">
        <x:v>0</x:v>
      </x:c>
      <x:c r="L228" s="60" t="n">
        <x:v>243.5453399029</x:v>
      </x:c>
      <x:c r="M228" s="60" t="n">
        <x:v>25.0822210799</x:v>
      </x:c>
      <x:c r="N228" s="46" t="str">
        <x:v>gobiidae</x:v>
      </x:c>
      <x:c r="O228" s="62" t="n">
        <x:v>3.11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Gobiidae</x:v>
      </x:c>
      <x:c r="T228" s="62" t="n">
        <x:f>IF(O228="","",(1/'Metadata'!$B$5)^(O228-1))</x:f>
        <x:v>556.1261167405597</x:v>
      </x:c>
      <x:c r="U228" s="60" t="n">
        <x:f>IF(T228="","",I228*T228)</x:f>
        <x:v>149390.80233885246</x:v>
      </x:c>
    </x:row>
    <x:row r="229" ht="18" customHeight="1">
      <x:c r="A229" s="46" t="str">
        <x:v>LME_032</x:v>
      </x:c>
      <x:c r="B229" s="46" t="str">
        <x:v>Arabian Sea</x:v>
      </x:c>
      <x:c r="C229" s="46" t="str">
        <x:v>LME</x:v>
      </x:c>
      <x:c r="D229" s="58" t="n">
        <x:v>2019</x:v>
      </x:c>
      <x:c r="E229" s="46" t="str">
        <x:v>Carcharhinus limbatus</x:v>
      </x:c>
      <x:c r="F229" s="46" t="str">
        <x:v>Blacktip shark</x:v>
      </x:c>
      <x:c r="G229" s="46" t="str">
        <x:v>Large sharks (&gt;=90 cm)</x:v>
      </x:c>
      <x:c r="H229" s="46" t="str">
        <x:v>Sharks &amp; rays</x:v>
      </x:c>
      <x:c r="I229" s="60" t="n">
        <x:v>266.8573186327</x:v>
      </x:c>
      <x:c r="J229" s="60" t="n">
        <x:v>266.8573186327</x:v>
      </x:c>
      <x:c r="K229" s="60" t="n">
        <x:v>0</x:v>
      </x:c>
      <x:c r="L229" s="60" t="n">
        <x:v>7.1897326571999995</x:v>
      </x:c>
      <x:c r="M229" s="60" t="n">
        <x:v>259.6675859755</x:v>
      </x:c>
      <x:c r="N229" s="46" t="str">
        <x:v>carcharhinus limbatus</x:v>
      </x:c>
      <x:c r="O229" s="62" t="n">
        <x:v>4.37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Carcharhinus limbatus</x:v>
      </x:c>
      <x:c r="T229" s="62" t="n">
        <x:f>IF(O229="","",(1/'Metadata'!$B$5)^(O229-1))</x:f>
        <x:v>24236.56596112542</x:v>
      </x:c>
      <x:c r="U229" s="60" t="n">
        <x:f>IF(T229="","",I229*T229)</x:f>
        <x:v>6467705.005250498</x:v>
      </x:c>
    </x:row>
    <x:row r="230" ht="18" customHeight="1">
      <x:c r="A230" s="46" t="str">
        <x:v>LME_032</x:v>
      </x:c>
      <x:c r="B230" s="46" t="str">
        <x:v>Arabian Sea</x:v>
      </x:c>
      <x:c r="C230" s="46" t="str">
        <x:v>LME</x:v>
      </x:c>
      <x:c r="D230" s="58" t="n">
        <x:v>2019</x:v>
      </x:c>
      <x:c r="E230" s="46" t="str">
        <x:v>Penaeus monodon</x:v>
      </x:c>
      <x:c r="F230" s="46" t="str">
        <x:v>Giant tiger prawn</x:v>
      </x:c>
      <x:c r="G230" s="46" t="str">
        <x:v>Shrimps</x:v>
      </x:c>
      <x:c r="H230" s="46" t="str">
        <x:v>Crustaceans</x:v>
      </x:c>
      <x:c r="I230" s="60" t="n">
        <x:v>265.8570938715</x:v>
      </x:c>
      <x:c r="J230" s="60" t="n">
        <x:v>265.8570938715</x:v>
      </x:c>
      <x:c r="K230" s="60" t="n">
        <x:v>0</x:v>
      </x:c>
      <x:c r="L230" s="60" t="n">
        <x:v>265.80740131180005</x:v>
      </x:c>
      <x:c r="M230" s="60" t="n">
        <x:v>0.0496925597</x:v>
      </x:c>
      <x:c r="N230" s="46" t="str">
        <x:v>penaeus monodon</x:v>
      </x:c>
      <x:c r="O230" s="62" t="n">
        <x:v>2.6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Penaeus monodon</x:v>
      </x:c>
      <x:c r="T230" s="62" t="n">
        <x:f>IF(O230="","",(1/'Metadata'!$B$5)^(O230-1))</x:f>
        <x:v>120.6835267309033</x:v>
      </x:c>
      <x:c r="U230" s="60" t="n">
        <x:f>IF(T230="","",I230*T230)</x:f>
        <x:v>32084.571694841437</x:v>
      </x:c>
    </x:row>
    <x:row r="231" ht="18" customHeight="1">
      <x:c r="A231" s="46" t="str">
        <x:v>LME_032</x:v>
      </x:c>
      <x:c r="B231" s="46" t="str">
        <x:v>Arabian Sea</x:v>
      </x:c>
      <x:c r="C231" s="46" t="str">
        <x:v>LME</x:v>
      </x:c>
      <x:c r="D231" s="58" t="n">
        <x:v>2019</x:v>
      </x:c>
      <x:c r="E231" s="46" t="str">
        <x:v>Pleuronectiformes</x:v>
      </x:c>
      <x:c r="F231" s="46" t="str">
        <x:v>Flatfishes</x:v>
      </x:c>
      <x:c r="G231" s="46" t="str">
        <x:v>Small to medium flatfishes (&lt;90 cm)</x:v>
      </x:c>
      <x:c r="H231" s="46" t="str">
        <x:v>Flatfishes</x:v>
      </x:c>
      <x:c r="I231" s="60" t="n">
        <x:v>265.1831271927</x:v>
      </x:c>
      <x:c r="J231" s="60" t="n">
        <x:v>246.3103623643</x:v>
      </x:c>
      <x:c r="K231" s="60" t="n">
        <x:v>18.872764828399998</x:v>
      </x:c>
      <x:c r="L231" s="60" t="n">
        <x:v>213.1153027079</x:v>
      </x:c>
      <x:c r="M231" s="60" t="n">
        <x:v>52.0678244848</x:v>
      </x:c>
      <x:c r="N231" s="46" t="str">
        <x:v>pleuronectiformes</x:v>
      </x:c>
      <x:c r="O231" s="62" t="n">
        <x:v>3.57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Pleuronectiformes</x:v>
      </x:c>
      <x:c r="T231" s="62" t="n">
        <x:f>IF(O231="","",(1/'Metadata'!$B$5)^(O231-1))</x:f>
        <x:v>2206.2112196552644</x:v>
      </x:c>
      <x:c r="U231" s="60" t="n">
        <x:f>IF(T231="","",I231*T231)</x:f>
        <x:v>585049.9904758037</x:v>
      </x:c>
    </x:row>
    <x:row r="232" ht="18" customHeight="1">
      <x:c r="A232" s="46" t="str">
        <x:v>LME_032</x:v>
      </x:c>
      <x:c r="B232" s="46" t="str">
        <x:v>Arabian Sea</x:v>
      </x:c>
      <x:c r="C232" s="46" t="str">
        <x:v>LME</x:v>
      </x:c>
      <x:c r="D232" s="58" t="n">
        <x:v>2019</x:v>
      </x:c>
      <x:c r="E232" s="46" t="str">
        <x:v>Placuna placenta</x:v>
      </x:c>
      <x:c r="F232" s="46" t="str">
        <x:v>Windowpane oyster</x:v>
      </x:c>
      <x:c r="G232" s="46" t="str">
        <x:v>Other demersal invertebrates</x:v>
      </x:c>
      <x:c r="H232" s="46" t="str">
        <x:v>Molluscs</x:v>
      </x:c>
      <x:c r="I232" s="60" t="n">
        <x:v>261.0288478495</x:v>
      </x:c>
      <x:c r="J232" s="60" t="n">
        <x:v>261.0288478495</x:v>
      </x:c>
      <x:c r="K232" s="60" t="n">
        <x:v>0</x:v>
      </x:c>
      <x:c r="L232" s="60" t="n">
        <x:v>0</x:v>
      </x:c>
      <x:c r="M232" s="60" t="n">
        <x:v>261.0288478495</x:v>
      </x:c>
      <x:c r="N232" s="46" t="str">
        <x:v>placuna placenta</x:v>
      </x:c>
      <x:c r="O232" s="62" t="n">
        <x:v>2.41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Placuna placenta</x:v>
      </x:c>
      <x:c r="T232" s="62" t="n">
        <x:f>IF(O232="","",(1/'Metadata'!$B$5)^(O232-1))</x:f>
        <x:v>68.30496826356979</x:v>
      </x:c>
      <x:c r="U232" s="60" t="n">
        <x:f>IF(T232="","",I232*T232)</x:f>
        <x:v>17829.567168236284</x:v>
      </x:c>
    </x:row>
    <x:row r="233" ht="18" customHeight="1">
      <x:c r="A233" s="46" t="str">
        <x:v>LME_032</x:v>
      </x:c>
      <x:c r="B233" s="46" t="str">
        <x:v>Arabian Sea</x:v>
      </x:c>
      <x:c r="C233" s="46" t="str">
        <x:v>LME</x:v>
      </x:c>
      <x:c r="D233" s="58" t="n">
        <x:v>2019</x:v>
      </x:c>
      <x:c r="E233" s="46" t="str">
        <x:v>Leptomelanosoma indicum</x:v>
      </x:c>
      <x:c r="F233" s="46" t="str">
        <x:v>Indian threadfin</x:v>
      </x:c>
      <x:c r="G233" s="46" t="str">
        <x:v>Large demersals (&gt;=90 cm)</x:v>
      </x:c>
      <x:c r="H233" s="46" t="str">
        <x:v>Perch-likes</x:v>
      </x:c>
      <x:c r="I233" s="60" t="n">
        <x:v>251.4670584479</x:v>
      </x:c>
      <x:c r="J233" s="60" t="n">
        <x:v>251.4670584479</x:v>
      </x:c>
      <x:c r="K233" s="60" t="n">
        <x:v>0</x:v>
      </x:c>
      <x:c r="L233" s="60" t="n">
        <x:v>251.4670584479</x:v>
      </x:c>
      <x:c r="M233" s="60" t="n">
        <x:v>0</x:v>
      </x:c>
      <x:c r="N233" s="46" t="str">
        <x:v>leptomelanosoma indicum</x:v>
      </x:c>
      <x:c r="O233" s="62" t="n">
        <x:v>3.86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Leptomelanosoma indicum</x:v>
      </x:c>
      <x:c r="T233" s="62" t="n">
        <x:f>IF(O233="","",(1/'Metadata'!$B$5)^(O233-1))</x:f>
        <x:v>5259.51608454905</x:v>
      </x:c>
      <x:c r="U233" s="60" t="n">
        <x:f>IF(T233="","",I233*T233)</x:f>
        <x:v>1322595.0386409662</x:v>
      </x:c>
    </x:row>
    <x:row r="234" ht="18" customHeight="1">
      <x:c r="A234" s="46" t="str">
        <x:v>LME_032</x:v>
      </x:c>
      <x:c r="B234" s="46" t="str">
        <x:v>Arabian Sea</x:v>
      </x:c>
      <x:c r="C234" s="46" t="str">
        <x:v>LME</x:v>
      </x:c>
      <x:c r="D234" s="58" t="n">
        <x:v>2019</x:v>
      </x:c>
      <x:c r="E234" s="46" t="str">
        <x:v>Variola louti</x:v>
      </x:c>
      <x:c r="F234" s="46" t="str">
        <x:v>Yellow-edged lyretail</x:v>
      </x:c>
      <x:c r="G234" s="46" t="str">
        <x:v>Medium reef assoc. fish (30 - 89 cm)</x:v>
      </x:c>
      <x:c r="H234" s="46" t="str">
        <x:v>Perch-likes</x:v>
      </x:c>
      <x:c r="I234" s="60" t="n">
        <x:v>247.3096787445</x:v>
      </x:c>
      <x:c r="J234" s="60" t="n">
        <x:v>247.3096787445</x:v>
      </x:c>
      <x:c r="K234" s="60" t="n">
        <x:v>0</x:v>
      </x:c>
      <x:c r="L234" s="60" t="n">
        <x:v>183.469078555</x:v>
      </x:c>
      <x:c r="M234" s="60" t="n">
        <x:v>63.8406001895</x:v>
      </x:c>
      <x:c r="N234" s="46" t="str">
        <x:v>variola louti</x:v>
      </x:c>
      <x:c r="O234" s="62" t="n">
        <x:v>4.33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Variola louti</x:v>
      </x:c>
      <x:c r="T234" s="62" t="n">
        <x:f>IF(O234="","",(1/'Metadata'!$B$5)^(O234-1))</x:f>
        <x:v>21499.575525799526</x:v>
      </x:c>
      <x:c r="U234" s="60" t="n">
        <x:f>IF(T234="","",I234*T234)</x:f>
        <x:v>5317053.116428595</x:v>
      </x:c>
    </x:row>
    <x:row r="235" ht="18" customHeight="1">
      <x:c r="A235" s="46" t="str">
        <x:v>LME_032</x:v>
      </x:c>
      <x:c r="B235" s="46" t="str">
        <x:v>Arabian Sea</x:v>
      </x:c>
      <x:c r="C235" s="46" t="str">
        <x:v>LME</x:v>
      </x:c>
      <x:c r="D235" s="58" t="n">
        <x:v>2019</x:v>
      </x:c>
      <x:c r="E235" s="46" t="str">
        <x:v>Scomberomorus</x:v>
      </x:c>
      <x:c r="F235" s="46" t="str">
        <x:v>Spanish mackerels</x:v>
      </x:c>
      <x:c r="G235" s="46" t="str">
        <x:v>Large pelagics (&gt;=90 cm)</x:v>
      </x:c>
      <x:c r="H235" s="46" t="str">
        <x:v>Perch-likes</x:v>
      </x:c>
      <x:c r="I235" s="60" t="n">
        <x:v>245.9420494796</x:v>
      </x:c>
      <x:c r="J235" s="60" t="n">
        <x:v>245.9420494796</x:v>
      </x:c>
      <x:c r="K235" s="60" t="n">
        <x:v>0</x:v>
      </x:c>
      <x:c r="L235" s="60" t="n">
        <x:v>109.5487520381</x:v>
      </x:c>
      <x:c r="M235" s="60" t="n">
        <x:v>136.3932974415</x:v>
      </x:c>
      <x:c r="N235" s="46" t="str">
        <x:v>scomberomorus</x:v>
      </x:c>
      <x:c r="O235" s="62" t="n">
        <x:v>4.35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Scomberomorus</x:v>
      </x:c>
      <x:c r="T235" s="62" t="n">
        <x:f>IF(O235="","",(1/'Metadata'!$B$5)^(O235-1))</x:f>
        <x:v>22827.086550132422</x:v>
      </x:c>
      <x:c r="U235" s="60" t="n">
        <x:f>IF(T235="","",I235*T235)</x:f>
        <x:v>5614140.44978778</x:v>
      </x:c>
    </x:row>
    <x:row r="236" ht="18" customHeight="1">
      <x:c r="A236" s="46" t="str">
        <x:v>LME_032</x:v>
      </x:c>
      <x:c r="B236" s="46" t="str">
        <x:v>Arabian Sea</x:v>
      </x:c>
      <x:c r="C236" s="46" t="str">
        <x:v>LME</x:v>
      </x:c>
      <x:c r="D236" s="58" t="n">
        <x:v>2019</x:v>
      </x:c>
      <x:c r="E236" s="46" t="str">
        <x:v>Scomberoides tol</x:v>
      </x:c>
      <x:c r="F236" s="46" t="str">
        <x:v>Needlescaled queenfish</x:v>
      </x:c>
      <x:c r="G236" s="46" t="str">
        <x:v>Medium pelagics (30 - 89 cm)</x:v>
      </x:c>
      <x:c r="H236" s="46" t="str">
        <x:v>Perch-likes</x:v>
      </x:c>
      <x:c r="I236" s="60" t="n">
        <x:v>242.2670763147</x:v>
      </x:c>
      <x:c r="J236" s="60" t="n">
        <x:v>242.2670763147</x:v>
      </x:c>
      <x:c r="K236" s="60" t="n">
        <x:v>0</x:v>
      </x:c>
      <x:c r="L236" s="60" t="n">
        <x:v>169.5587076963</x:v>
      </x:c>
      <x:c r="M236" s="60" t="n">
        <x:v>72.7083686184</x:v>
      </x:c>
      <x:c r="N236" s="46" t="str">
        <x:v>scomberoides tol</x:v>
      </x:c>
      <x:c r="O236" s="62" t="n">
        <x:v>4.11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Scomberoides tol</x:v>
      </x:c>
      <x:c r="T236" s="62" t="n">
        <x:f>IF(O236="","",(1/'Metadata'!$B$5)^(O236-1))</x:f>
        <x:v>11122.52233481121</x:v>
      </x:c>
      <x:c r="U236" s="60" t="n">
        <x:f>IF(T236="","",I236*T236)</x:f>
        <x:v>2694620.967299663</x:v>
      </x:c>
    </x:row>
    <x:row r="237" ht="18" customHeight="1">
      <x:c r="A237" s="46" t="str">
        <x:v>LME_032</x:v>
      </x:c>
      <x:c r="B237" s="46" t="str">
        <x:v>Arabian Sea</x:v>
      </x:c>
      <x:c r="C237" s="46" t="str">
        <x:v>LME</x:v>
      </x:c>
      <x:c r="D237" s="58" t="n">
        <x:v>2019</x:v>
      </x:c>
      <x:c r="E237" s="46" t="str">
        <x:v>Kajikia audax</x:v>
      </x:c>
      <x:c r="F237" s="46" t="str">
        <x:v>Striped marlin</x:v>
      </x:c>
      <x:c r="G237" s="46" t="str">
        <x:v>Large pelagics (&gt;=90 cm)</x:v>
      </x:c>
      <x:c r="H237" s="46" t="str">
        <x:v>Tuna &amp; billfishes</x:v>
      </x:c>
      <x:c r="I237" s="60" t="n">
        <x:v>241.00877962629997</x:v>
      </x:c>
      <x:c r="J237" s="60" t="n">
        <x:v>241.00877962629997</x:v>
      </x:c>
      <x:c r="K237" s="60" t="n">
        <x:v>0</x:v>
      </x:c>
      <x:c r="L237" s="60" t="n">
        <x:v>237.9027604054</x:v>
      </x:c>
      <x:c r="M237" s="60" t="n">
        <x:v>3.1060192209</x:v>
      </x:c>
      <x:c r="N237" s="46" t="str">
        <x:v>kajikia audax</x:v>
      </x:c>
      <x:c r="O237" s="62" t="n">
        <x:v>4.58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Kajikia audax</x:v>
      </x:c>
      <x:c r="T237" s="62" t="n">
        <x:f>IF(O237="","",(1/'Metadata'!$B$5)^(O237-1))</x:f>
        <x:v>45466.06667430095</x:v>
      </x:c>
      <x:c r="U237" s="60" t="n">
        <x:f>IF(T237="","",I237*T237)</x:f>
        <x:v>10957721.24358126</x:v>
      </x:c>
    </x:row>
    <x:row r="238" ht="18" customHeight="1">
      <x:c r="A238" s="46" t="str">
        <x:v>LME_032</x:v>
      </x:c>
      <x:c r="B238" s="46" t="str">
        <x:v>Arabian Sea</x:v>
      </x:c>
      <x:c r="C238" s="46" t="str">
        <x:v>LME</x:v>
      </x:c>
      <x:c r="D238" s="58" t="n">
        <x:v>2019</x:v>
      </x:c>
      <x:c r="E238" s="46" t="str">
        <x:v>Diagramma pictum</x:v>
      </x:c>
      <x:c r="F238" s="46" t="str">
        <x:v>Painted sweetlips</x:v>
      </x:c>
      <x:c r="G238" s="46" t="str">
        <x:v>Large reef assoc. fish (&gt;=90 cm)</x:v>
      </x:c>
      <x:c r="H238" s="46" t="str">
        <x:v>Perch-likes</x:v>
      </x:c>
      <x:c r="I238" s="60" t="n">
        <x:v>239.62144155800001</x:v>
      </x:c>
      <x:c r="J238" s="60" t="n">
        <x:v>239.62144155800001</x:v>
      </x:c>
      <x:c r="K238" s="60" t="n">
        <x:v>0</x:v>
      </x:c>
      <x:c r="L238" s="60" t="n">
        <x:v>77.3196269022</x:v>
      </x:c>
      <x:c r="M238" s="60" t="n">
        <x:v>162.3018146558</x:v>
      </x:c>
      <x:c r="N238" s="46" t="str">
        <x:v>diagramma pictum</x:v>
      </x:c>
      <x:c r="O238" s="62" t="n">
        <x:v>3.7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Diagramma pictum</x:v>
      </x:c>
      <x:c r="T238" s="62" t="n">
        <x:f>IF(O238="","",(1/'Metadata'!$B$5)^(O238-1))</x:f>
        <x:v>3256.724252295237</x:v>
      </x:c>
      <x:c r="U238" s="60" t="n">
        <x:f>IF(T238="","",I238*T238)</x:f>
        <x:v>780380.9600918844</x:v>
      </x:c>
    </x:row>
    <x:row r="239" ht="18" customHeight="1">
      <x:c r="A239" s="46" t="str">
        <x:v>LME_032</x:v>
      </x:c>
      <x:c r="B239" s="46" t="str">
        <x:v>Arabian Sea</x:v>
      </x:c>
      <x:c r="C239" s="46" t="str">
        <x:v>LME</x:v>
      </x:c>
      <x:c r="D239" s="58" t="n">
        <x:v>2019</x:v>
      </x:c>
      <x:c r="E239" s="46" t="str">
        <x:v>Lutjanus bohar</x:v>
      </x:c>
      <x:c r="F239" s="46" t="str">
        <x:v>Two-spot red snapper</x:v>
      </x:c>
      <x:c r="G239" s="46" t="str">
        <x:v>Medium reef assoc. fish (30 - 89 cm)</x:v>
      </x:c>
      <x:c r="H239" s="46" t="str">
        <x:v>Perch-likes</x:v>
      </x:c>
      <x:c r="I239" s="60" t="n">
        <x:v>238.0492373376</x:v>
      </x:c>
      <x:c r="J239" s="60" t="n">
        <x:v>238.0492373376</x:v>
      </x:c>
      <x:c r="K239" s="60" t="n">
        <x:v>0</x:v>
      </x:c>
      <x:c r="L239" s="60" t="n">
        <x:v>176.4767582798</x:v>
      </x:c>
      <x:c r="M239" s="60" t="n">
        <x:v>61.5724790578</x:v>
      </x:c>
      <x:c r="N239" s="46" t="str">
        <x:v>lutjanus bohar</x:v>
      </x:c>
      <x:c r="O239" s="62" t="n">
        <x:v>4.27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Lutjanus bohar</x:v>
      </x:c>
      <x:c r="T239" s="62" t="n">
        <x:f>IF(O239="","",(1/'Metadata'!$B$5)^(O239-1))</x:f>
        <x:v>17962.55396184286</x:v>
      </x:c>
      <x:c r="U239" s="60" t="n">
        <x:f>IF(T239="","",I239*T239)</x:f>
        <x:v>4275972.271252178</x:v>
      </x:c>
    </x:row>
    <x:row r="240" ht="18" customHeight="1">
      <x:c r="A240" s="46" t="str">
        <x:v>LME_032</x:v>
      </x:c>
      <x:c r="B240" s="46" t="str">
        <x:v>Arabian Sea</x:v>
      </x:c>
      <x:c r="C240" s="46" t="str">
        <x:v>LME</x:v>
      </x:c>
      <x:c r="D240" s="58" t="n">
        <x:v>2019</x:v>
      </x:c>
      <x:c r="E240" s="46" t="str">
        <x:v>Terapon</x:v>
      </x:c>
      <x:c r="F240" s="46" t="str">
        <x:v>Terapons</x:v>
      </x:c>
      <x:c r="G240" s="46" t="str">
        <x:v>Medium demersals (30 - 89 cm)</x:v>
      </x:c>
      <x:c r="H240" s="46" t="str">
        <x:v>Perch-likes</x:v>
      </x:c>
      <x:c r="I240" s="60" t="n">
        <x:v>230.1866500012</x:v>
      </x:c>
      <x:c r="J240" s="60" t="n">
        <x:v>81.10070015390001</x:v>
      </x:c>
      <x:c r="K240" s="60" t="n">
        <x:v>149.0859498473</x:v>
      </x:c>
      <x:c r="L240" s="60" t="n">
        <x:v>81.10070015390001</x:v>
      </x:c>
      <x:c r="M240" s="60" t="n">
        <x:v>149.0859498473</x:v>
      </x:c>
      <x:c r="N240" s="46" t="str">
        <x:v>terapon</x:v>
      </x:c>
      <x:c r="O240" s="62" t="n">
        <x:v>3.5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Terapon</x:v>
      </x:c>
      <x:c r="T240" s="62" t="n">
        <x:f>IF(O240="","",(1/'Metadata'!$B$5)^(O240-1))</x:f>
        <x:v>1788.8543819998317</x:v>
      </x:c>
      <x:c r="U240" s="60" t="n">
        <x:f>IF(T240="","",I240*T240)</x:f>
        <x:v>411770.3975325082</x:v>
      </x:c>
    </x:row>
    <x:row r="241" ht="18" customHeight="1">
      <x:c r="A241" s="46" t="str">
        <x:v>LME_032</x:v>
      </x:c>
      <x:c r="B241" s="46" t="str">
        <x:v>Arabian Sea</x:v>
      </x:c>
      <x:c r="C241" s="46" t="str">
        <x:v>LME</x:v>
      </x:c>
      <x:c r="D241" s="58" t="n">
        <x:v>2019</x:v>
      </x:c>
      <x:c r="E241" s="46" t="str">
        <x:v>Gerres</x:v>
      </x:c>
      <x:c r="F241" s="46" t="str">
        <x:v>Silver biddies</x:v>
      </x:c>
      <x:c r="G241" s="46" t="str">
        <x:v>Small benthopelagics (&lt;30 cm)</x:v>
      </x:c>
      <x:c r="H241" s="46" t="str">
        <x:v>Perch-likes</x:v>
      </x:c>
      <x:c r="I241" s="60" t="n">
        <x:v>225.1105922924</x:v>
      </x:c>
      <x:c r="J241" s="60" t="n">
        <x:v>206.116103661</x:v>
      </x:c>
      <x:c r="K241" s="60" t="n">
        <x:v>18.9944886314</x:v>
      </x:c>
      <x:c r="L241" s="60" t="n">
        <x:v>66.923509239</x:v>
      </x:c>
      <x:c r="M241" s="60" t="n">
        <x:v>158.18708305340002</x:v>
      </x:c>
      <x:c r="N241" s="46" t="str">
        <x:v>gerres</x:v>
      </x:c>
      <x:c r="O241" s="62" t="n">
        <x:v>3.27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Gerres</x:v>
      </x:c>
      <x:c r="T241" s="62" t="n">
        <x:f>IF(O241="","",(1/'Metadata'!$B$5)^(O241-1))</x:f>
        <x:v>898.1276980921442</x:v>
      </x:c>
      <x:c r="U241" s="60" t="n">
        <x:f>IF(T241="","",I241*T241)</x:f>
        <x:v>202178.0580717324</x:v>
      </x:c>
    </x:row>
    <x:row r="242" ht="18" customHeight="1">
      <x:c r="A242" s="46" t="str">
        <x:v>LME_032</x:v>
      </x:c>
      <x:c r="B242" s="46" t="str">
        <x:v>Arabian Sea</x:v>
      </x:c>
      <x:c r="C242" s="46" t="str">
        <x:v>LME</x:v>
      </x:c>
      <x:c r="D242" s="58" t="n">
        <x:v>2019</x:v>
      </x:c>
      <x:c r="E242" s="46" t="str">
        <x:v>Bregmaceros mcclellandi</x:v>
      </x:c>
      <x:c r="F242" s="46" t="str">
        <x:v>Unicorn cod</x:v>
      </x:c>
      <x:c r="G242" s="46" t="str">
        <x:v>Small pelagics (&lt;30 cm)</x:v>
      </x:c>
      <x:c r="H242" s="46" t="str">
        <x:v>Cod-likes</x:v>
      </x:c>
      <x:c r="I242" s="60" t="n">
        <x:v>224.60510071849998</x:v>
      </x:c>
      <x:c r="J242" s="60" t="n">
        <x:v>220.76884070289998</x:v>
      </x:c>
      <x:c r="K242" s="60" t="n">
        <x:v>3.8362600156</x:v>
      </x:c>
      <x:c r="L242" s="60" t="n">
        <x:v>220.76884070289998</x:v>
      </x:c>
      <x:c r="M242" s="60" t="n">
        <x:v>3.8362600156</x:v>
      </x:c>
      <x:c r="N242" s="46" t="str">
        <x:v>bregmaceros mcclellandi</x:v>
      </x:c>
      <x:c r="O242" s="62" t="n">
        <x:v>3.3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Bregmaceros mcclellandi</x:v>
      </x:c>
      <x:c r="T242" s="62" t="n">
        <x:f>IF(O242="","",(1/'Metadata'!$B$5)^(O242-1))</x:f>
        <x:v>982.5824208926318</x:v>
      </x:c>
      <x:c r="U242" s="60" t="n">
        <x:f>IF(T242="","",I242*T242)</x:f>
        <x:v>220693.0236088171</x:v>
      </x:c>
    </x:row>
    <x:row r="243" ht="18" customHeight="1">
      <x:c r="A243" s="46" t="str">
        <x:v>LME_032</x:v>
      </x:c>
      <x:c r="B243" s="46" t="str">
        <x:v>Arabian Sea</x:v>
      </x:c>
      <x:c r="C243" s="46" t="str">
        <x:v>LME</x:v>
      </x:c>
      <x:c r="D243" s="58" t="n">
        <x:v>2019</x:v>
      </x:c>
      <x:c r="E243" s="46" t="str">
        <x:v>Plectropomus areolatus</x:v>
      </x:c>
      <x:c r="F243" s="46" t="str">
        <x:v>Squaretail coralgrouper</x:v>
      </x:c>
      <x:c r="G243" s="46" t="str">
        <x:v>Medium reef assoc. fish (30 - 89 cm)</x:v>
      </x:c>
      <x:c r="H243" s="46" t="str">
        <x:v>Perch-likes</x:v>
      </x:c>
      <x:c r="I243" s="60" t="n">
        <x:v>224.48422198740002</x:v>
      </x:c>
      <x:c r="J243" s="60" t="n">
        <x:v>224.48422198740002</x:v>
      </x:c>
      <x:c r="K243" s="60" t="n">
        <x:v>0</x:v>
      </x:c>
      <x:c r="L243" s="60" t="n">
        <x:v>169.473259232</x:v>
      </x:c>
      <x:c r="M243" s="60" t="n">
        <x:v>55.0109627554</x:v>
      </x:c>
      <x:c r="N243" s="46" t="str">
        <x:v>plectropomus areolatus</x:v>
      </x:c>
      <x:c r="O243" s="62" t="n">
        <x:v>4.5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Plectropomus areolatus</x:v>
      </x:c>
      <x:c r="T243" s="62" t="n">
        <x:f>IF(O243="","",(1/'Metadata'!$B$5)^(O243-1))</x:f>
        <x:v>35777.08763999664</x:v>
      </x:c>
      <x:c r="U243" s="60" t="n">
        <x:f>IF(T243="","",I243*T243)</x:f>
        <x:v>8031391.68383967</x:v>
      </x:c>
    </x:row>
    <x:row r="244" ht="18" customHeight="1">
      <x:c r="A244" s="46" t="str">
        <x:v>LME_032</x:v>
      </x:c>
      <x:c r="B244" s="46" t="str">
        <x:v>Arabian Sea</x:v>
      </x:c>
      <x:c r="C244" s="46" t="str">
        <x:v>LME</x:v>
      </x:c>
      <x:c r="D244" s="58" t="n">
        <x:v>2019</x:v>
      </x:c>
      <x:c r="E244" s="46" t="str">
        <x:v>Acanthurus dussumieri</x:v>
      </x:c>
      <x:c r="F244" s="46" t="str">
        <x:v>Eyestripe surgeonfish</x:v>
      </x:c>
      <x:c r="G244" s="46" t="str">
        <x:v>Medium reef assoc. fish (30 - 89 cm)</x:v>
      </x:c>
      <x:c r="H244" s="46" t="str">
        <x:v>Perch-likes</x:v>
      </x:c>
      <x:c r="I244" s="60" t="n">
        <x:v>221.5391927543</x:v>
      </x:c>
      <x:c r="J244" s="60" t="n">
        <x:v>221.5391927543</x:v>
      </x:c>
      <x:c r="K244" s="60" t="n">
        <x:v>0</x:v>
      </x:c>
      <x:c r="L244" s="60" t="n">
        <x:v>0</x:v>
      </x:c>
      <x:c r="M244" s="60" t="n">
        <x:v>221.5391927543</x:v>
      </x:c>
      <x:c r="N244" s="46" t="str">
        <x:v>acanthurus dussumieri</x:v>
      </x:c>
      <x:c r="O244" s="62" t="n">
        <x:v>2.02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Acanthurus dussumieri</x:v>
      </x:c>
      <x:c r="T244" s="62" t="n">
        <x:f>IF(O244="","",(1/'Metadata'!$B$5)^(O244-1))</x:f>
        <x:v>21.234918357099573</x:v>
      </x:c>
      <x:c r="U244" s="60" t="n">
        <x:f>IF(T244="","",I244*T244)</x:f>
        <x:v>4704.366671035305</x:v>
      </x:c>
    </x:row>
    <x:row r="245" ht="18" customHeight="1">
      <x:c r="A245" s="46" t="str">
        <x:v>LME_032</x:v>
      </x:c>
      <x:c r="B245" s="46" t="str">
        <x:v>Arabian Sea</x:v>
      </x:c>
      <x:c r="C245" s="46" t="str">
        <x:v>LME</x:v>
      </x:c>
      <x:c r="D245" s="58" t="n">
        <x:v>2019</x:v>
      </x:c>
      <x:c r="E245" s="46" t="str">
        <x:v>Turrum fulvoguttatum</x:v>
      </x:c>
      <x:c r="F245" s="46" t="str">
        <x:v>Yellowspotted trevally</x:v>
      </x:c>
      <x:c r="G245" s="46" t="str">
        <x:v>Large reef assoc. fish (&gt;=90 cm)</x:v>
      </x:c>
      <x:c r="H245" s="46" t="str">
        <x:v>Perch-likes</x:v>
      </x:c>
      <x:c r="I245" s="60" t="n">
        <x:v>218.7360422291</x:v>
      </x:c>
      <x:c r="J245" s="60" t="n">
        <x:v>218.7360422291</x:v>
      </x:c>
      <x:c r="K245" s="60" t="n">
        <x:v>0</x:v>
      </x:c>
      <x:c r="L245" s="60" t="n">
        <x:v>189.8964651651</x:v>
      </x:c>
      <x:c r="M245" s="60" t="n">
        <x:v>28.839577064</x:v>
      </x:c>
      <x:c r="N245" s="46" t="str">
        <x:v>turrum fulvoguttatum</x:v>
      </x:c>
      <x:c r="O245" s="62" t="n">
        <x:v>4.43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Turrum fulvoguttatum</x:v>
      </x:c>
      <x:c r="T245" s="62" t="n">
        <x:f>IF(O245="","",(1/'Metadata'!$B$5)^(O245-1))</x:f>
        <x:v>29009.008489223597</x:v>
      </x:c>
      <x:c r="U245" s="60" t="n">
        <x:f>IF(T245="","",I245*T245)</x:f>
        <x:v>6345315.7059231335</x:v>
      </x:c>
    </x:row>
    <x:row r="246" ht="18" customHeight="1">
      <x:c r="A246" s="46" t="str">
        <x:v>LME_032</x:v>
      </x:c>
      <x:c r="B246" s="46" t="str">
        <x:v>Arabian Sea</x:v>
      </x:c>
      <x:c r="C246" s="46" t="str">
        <x:v>LME</x:v>
      </x:c>
      <x:c r="D246" s="58" t="n">
        <x:v>2019</x:v>
      </x:c>
      <x:c r="E246" s="46" t="str">
        <x:v>Marine groundfishes not identified</x:v>
      </x:c>
      <x:c r="F246" s="46" t="str">
        <x:v>Groundfishes</x:v>
      </x:c>
      <x:c r="G246" s="46" t="str">
        <x:v>Medium demersals (30 - 89 cm)</x:v>
      </x:c>
      <x:c r="H246" s="46" t="str">
        <x:v>Other fishes &amp; inverts</x:v>
      </x:c>
      <x:c r="I246" s="60" t="n">
        <x:v>206.9254230252</x:v>
      </x:c>
      <x:c r="J246" s="60" t="n">
        <x:v>206.9254230252</x:v>
      </x:c>
      <x:c r="K246" s="60" t="n">
        <x:v>0</x:v>
      </x:c>
      <x:c r="L246" s="60" t="n">
        <x:v>84.60367646249999</x:v>
      </x:c>
      <x:c r="M246" s="60" t="n">
        <x:v>122.3217465627</x:v>
      </x:c>
      <x:c r="N246" s="46" t="str">
        <x:v>marine groundfishes not identified</x:v>
      </x:c>
      <x:c r="O246" s="62" t="n">
        <x:v>3.22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Marine groundfishes not identified</x:v>
      </x:c>
      <x:c r="T246" s="62" t="n">
        <x:f>IF(O246="","",(1/'Metadata'!$B$5)^(O246-1))</x:f>
        <x:v>773.1906443023378</x:v>
      </x:c>
      <x:c r="U246" s="60" t="n">
        <x:f>IF(T246="","",I246*T246)</x:f>
        <x:v>159992.80115138818</x:v>
      </x:c>
    </x:row>
    <x:row r="247" ht="18" customHeight="1">
      <x:c r="A247" s="46" t="str">
        <x:v>LME_032</x:v>
      </x:c>
      <x:c r="B247" s="46" t="str">
        <x:v>Arabian Sea</x:v>
      </x:c>
      <x:c r="C247" s="46" t="str">
        <x:v>LME</x:v>
      </x:c>
      <x:c r="D247" s="58" t="n">
        <x:v>2019</x:v>
      </x:c>
      <x:c r="E247" s="46" t="str">
        <x:v>Plectorhinchus gaterinus</x:v>
      </x:c>
      <x:c r="F247" s="46" t="str">
        <x:v>Blackspotted rubberlip</x:v>
      </x:c>
      <x:c r="G247" s="46" t="str">
        <x:v>Medium reef assoc. fish (30 - 89 cm)</x:v>
      </x:c>
      <x:c r="H247" s="46" t="str">
        <x:v>Perch-likes</x:v>
      </x:c>
      <x:c r="I247" s="60" t="n">
        <x:v>205.0011336003</x:v>
      </x:c>
      <x:c r="J247" s="60" t="n">
        <x:v>205.0011336003</x:v>
      </x:c>
      <x:c r="K247" s="60" t="n">
        <x:v>0</x:v>
      </x:c>
      <x:c r="L247" s="60" t="n">
        <x:v>159.04755012879997</x:v>
      </x:c>
      <x:c r="M247" s="60" t="n">
        <x:v>45.9535834715</x:v>
      </x:c>
      <x:c r="N247" s="46" t="str">
        <x:v>plectorhinchus gaterinus</x:v>
      </x:c>
      <x:c r="O247" s="62" t="n">
        <x:v>3.99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Plectorhinchus gaterinus</x:v>
      </x:c>
      <x:c r="T247" s="62" t="n">
        <x:f>IF(O247="","",(1/'Metadata'!$B$5)^(O247-1))</x:f>
        <x:v>7763.895603143686</x:v>
      </x:c>
      <x:c r="U247" s="60" t="n">
        <x:f>IF(T247="","",I247*T247)</x:f>
        <x:v>1591607.3997988403</x:v>
      </x:c>
    </x:row>
    <x:row r="248" ht="18" customHeight="1">
      <x:c r="A248" s="46" t="str">
        <x:v>LME_032</x:v>
      </x:c>
      <x:c r="B248" s="46" t="str">
        <x:v>Arabian Sea</x:v>
      </x:c>
      <x:c r="C248" s="46" t="str">
        <x:v>LME</x:v>
      </x:c>
      <x:c r="D248" s="58" t="n">
        <x:v>2019</x:v>
      </x:c>
      <x:c r="E248" s="46" t="str">
        <x:v>Plectropomus pessuliferus</x:v>
      </x:c>
      <x:c r="F248" s="46" t="str">
        <x:v>Roving coralgrouper</x:v>
      </x:c>
      <x:c r="G248" s="46" t="str">
        <x:v>Large reef assoc. fish (&gt;=90 cm)</x:v>
      </x:c>
      <x:c r="H248" s="46" t="str">
        <x:v>Perch-likes</x:v>
      </x:c>
      <x:c r="I248" s="60" t="n">
        <x:v>197.2215659769</x:v>
      </x:c>
      <x:c r="J248" s="60" t="n">
        <x:v>197.2215659769</x:v>
      </x:c>
      <x:c r="K248" s="60" t="n">
        <x:v>0</x:v>
      </x:c>
      <x:c r="L248" s="60" t="n">
        <x:v>151.3685644136</x:v>
      </x:c>
      <x:c r="M248" s="60" t="n">
        <x:v>45.8530015633</x:v>
      </x:c>
      <x:c r="N248" s="46" t="str">
        <x:v>plectropomus pessuliferus</x:v>
      </x:c>
      <x:c r="O248" s="62" t="n">
        <x:v>4.28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Plectropomus pessuliferus</x:v>
      </x:c>
      <x:c r="T248" s="62" t="n">
        <x:f>IF(O248="","",(1/'Metadata'!$B$5)^(O248-1))</x:f>
        <x:v>18508.805249333516</x:v>
      </x:c>
      <x:c r="U248" s="60" t="n">
        <x:f>IF(T248="","",I248*T248)</x:f>
        <x:v>3650335.555635023</x:v>
      </x:c>
    </x:row>
    <x:row r="249" ht="18" customHeight="1">
      <x:c r="A249" s="46" t="str">
        <x:v>LME_032</x:v>
      </x:c>
      <x:c r="B249" s="46" t="str">
        <x:v>Arabian Sea</x:v>
      </x:c>
      <x:c r="C249" s="46" t="str">
        <x:v>LME</x:v>
      </x:c>
      <x:c r="D249" s="58" t="n">
        <x:v>2019</x:v>
      </x:c>
      <x:c r="E249" s="46" t="str">
        <x:v>Lutjanus quinquelineatus</x:v>
      </x:c>
      <x:c r="F249" s="46" t="str">
        <x:v>Five-lined snapper</x:v>
      </x:c>
      <x:c r="G249" s="46" t="str">
        <x:v>Medium reef assoc. fish (30 - 89 cm)</x:v>
      </x:c>
      <x:c r="H249" s="46" t="str">
        <x:v>Perch-likes</x:v>
      </x:c>
      <x:c r="I249" s="60" t="n">
        <x:v>197.09344096270002</x:v>
      </x:c>
      <x:c r="J249" s="60" t="n">
        <x:v>197.09344096270002</x:v>
      </x:c>
      <x:c r="K249" s="60" t="n">
        <x:v>0</x:v>
      </x:c>
      <x:c r="L249" s="60" t="n">
        <x:v>151.81790872550002</x:v>
      </x:c>
      <x:c r="M249" s="60" t="n">
        <x:v>45.2755322372</x:v>
      </x:c>
      <x:c r="N249" s="46" t="str">
        <x:v>lutjanus quinquelineatus</x:v>
      </x:c>
      <x:c r="O249" s="62" t="n">
        <x:v>3.68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Lutjanus quinquelineatus</x:v>
      </x:c>
      <x:c r="T249" s="62" t="n">
        <x:f>IF(O249="","",(1/'Metadata'!$B$5)^(O249-1))</x:f>
        <x:v>3067.3291957408446</x:v>
      </x:c>
      <x:c r="U249" s="60" t="n">
        <x:f>IF(T249="","",I249*T249)</x:f>
        <x:v>604550.4657539143</x:v>
      </x:c>
    </x:row>
    <x:row r="250" ht="18" customHeight="1">
      <x:c r="A250" s="46" t="str">
        <x:v>LME_032</x:v>
      </x:c>
      <x:c r="B250" s="46" t="str">
        <x:v>Arabian Sea</x:v>
      </x:c>
      <x:c r="C250" s="46" t="str">
        <x:v>LME</x:v>
      </x:c>
      <x:c r="D250" s="58" t="n">
        <x:v>2019</x:v>
      </x:c>
      <x:c r="E250" s="46" t="str">
        <x:v>Nemipterus</x:v>
      </x:c>
      <x:c r="F250" s="46" t="str">
        <x:v>Threadfin breams</x:v>
      </x:c>
      <x:c r="G250" s="46" t="str">
        <x:v>Small demersals (&lt;30 cm)</x:v>
      </x:c>
      <x:c r="H250" s="46" t="str">
        <x:v>Perch-likes</x:v>
      </x:c>
      <x:c r="I250" s="60" t="n">
        <x:v>192.73755982859998</x:v>
      </x:c>
      <x:c r="J250" s="60" t="n">
        <x:v>178.3601724019</x:v>
      </x:c>
      <x:c r="K250" s="60" t="n">
        <x:v>14.3773874267</x:v>
      </x:c>
      <x:c r="L250" s="60" t="n">
        <x:v>178.347652302</x:v>
      </x:c>
      <x:c r="M250" s="60" t="n">
        <x:v>14.3899075266</x:v>
      </x:c>
      <x:c r="N250" s="46" t="str">
        <x:v>nemipterus</x:v>
      </x:c>
      <x:c r="O250" s="62" t="n">
        <x:v>3.72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Nemipterus</x:v>
      </x:c>
      <x:c r="T250" s="62" t="n">
        <x:f>IF(O250="","",(1/'Metadata'!$B$5)^(O250-1))</x:f>
        <x:v>3457.8136804537753</x:v>
      </x:c>
      <x:c r="U250" s="60" t="n">
        <x:f>IF(T250="","",I250*T250)</x:f>
        <x:v>666450.571112611</x:v>
      </x:c>
    </x:row>
    <x:row r="251" ht="18" customHeight="1">
      <x:c r="A251" s="46" t="str">
        <x:v>LME_032</x:v>
      </x:c>
      <x:c r="B251" s="46" t="str">
        <x:v>Arabian Sea</x:v>
      </x:c>
      <x:c r="C251" s="46" t="str">
        <x:v>LME</x:v>
      </x:c>
      <x:c r="D251" s="58" t="n">
        <x:v>2019</x:v>
      </x:c>
      <x:c r="E251" s="46" t="str">
        <x:v>Pomadasys argenteus</x:v>
      </x:c>
      <x:c r="F251" s="46" t="str">
        <x:v>Silver grunt</x:v>
      </x:c>
      <x:c r="G251" s="46" t="str">
        <x:v>Medium demersals (30 - 89 cm)</x:v>
      </x:c>
      <x:c r="H251" s="46" t="str">
        <x:v>Perch-likes</x:v>
      </x:c>
      <x:c r="I251" s="60" t="n">
        <x:v>183.79218489529998</x:v>
      </x:c>
      <x:c r="J251" s="60" t="n">
        <x:v>183.79218489529998</x:v>
      </x:c>
      <x:c r="K251" s="60" t="n">
        <x:v>0</x:v>
      </x:c>
      <x:c r="L251" s="60" t="n">
        <x:v>135.48054335409998</x:v>
      </x:c>
      <x:c r="M251" s="60" t="n">
        <x:v>48.311641541200004</x:v>
      </x:c>
      <x:c r="N251" s="46" t="str">
        <x:v>pomadasys argenteus</x:v>
      </x:c>
      <x:c r="O251" s="62" t="n">
        <x:v>3.47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Pomadasys argenteus</x:v>
      </x:c>
      <x:c r="T251" s="62" t="n">
        <x:f>IF(O251="","",(1/'Metadata'!$B$5)^(O251-1))</x:f>
        <x:v>1635.0991368927735</x:v>
      </x:c>
      <x:c r="U251" s="60" t="n">
        <x:f>IF(T251="","",I251*T251)</x:f>
        <x:v>300518.44288994203</x:v>
      </x:c>
    </x:row>
    <x:row r="252" ht="18" customHeight="1">
      <x:c r="A252" s="46" t="str">
        <x:v>LME_032</x:v>
      </x:c>
      <x:c r="B252" s="46" t="str">
        <x:v>Arabian Sea</x:v>
      </x:c>
      <x:c r="C252" s="46" t="str">
        <x:v>LME</x:v>
      </x:c>
      <x:c r="D252" s="58" t="n">
        <x:v>2019</x:v>
      </x:c>
      <x:c r="E252" s="46" t="str">
        <x:v>Sphyrna</x:v>
      </x:c>
      <x:c r="F252" s="46" t="str">
        <x:v>Hammerhead sharks</x:v>
      </x:c>
      <x:c r="G252" s="46" t="str">
        <x:v>Large sharks (&gt;=90 cm)</x:v>
      </x:c>
      <x:c r="H252" s="46" t="str">
        <x:v>Sharks &amp; rays</x:v>
      </x:c>
      <x:c r="I252" s="60" t="n">
        <x:v>183.28608922770002</x:v>
      </x:c>
      <x:c r="J252" s="60" t="n">
        <x:v>183.28608922770002</x:v>
      </x:c>
      <x:c r="K252" s="60" t="n">
        <x:v>0</x:v>
      </x:c>
      <x:c r="L252" s="60" t="n">
        <x:v>183.28608922770002</x:v>
      </x:c>
      <x:c r="M252" s="60" t="n">
        <x:v>0</x:v>
      </x:c>
      <x:c r="N252" s="46" t="str">
        <x:v>sphyrna</x:v>
      </x:c>
      <x:c r="O252" s="62" t="n">
        <x:v>4.2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Sphyrna</x:v>
      </x:c>
      <x:c r="T252" s="62" t="n">
        <x:f>IF(O252="","",(1/'Metadata'!$B$5)^(O252-1))</x:f>
        <x:v>14564.51362420865</x:v>
      </x:c>
      <x:c r="U252" s="60" t="n">
        <x:f>IF(T252="","",I252*T252)</x:f>
        <x:v>2669472.7436847594</x:v>
      </x:c>
    </x:row>
    <x:row r="253" ht="18" customHeight="1">
      <x:c r="A253" s="46" t="str">
        <x:v>LME_032</x:v>
      </x:c>
      <x:c r="B253" s="46" t="str">
        <x:v>Arabian Sea</x:v>
      </x:c>
      <x:c r="C253" s="46" t="str">
        <x:v>LME</x:v>
      </x:c>
      <x:c r="D253" s="58" t="n">
        <x:v>2019</x:v>
      </x:c>
      <x:c r="E253" s="46" t="str">
        <x:v>Lutjanus gibbus</x:v>
      </x:c>
      <x:c r="F253" s="46" t="str">
        <x:v>Humpback red snapper</x:v>
      </x:c>
      <x:c r="G253" s="46" t="str">
        <x:v>Medium reef assoc. fish (30 - 89 cm)</x:v>
      </x:c>
      <x:c r="H253" s="46" t="str">
        <x:v>Perch-likes</x:v>
      </x:c>
      <x:c r="I253" s="60" t="n">
        <x:v>176.028097981</x:v>
      </x:c>
      <x:c r="J253" s="60" t="n">
        <x:v>176.028097981</x:v>
      </x:c>
      <x:c r="K253" s="60" t="n">
        <x:v>0</x:v>
      </x:c>
      <x:c r="L253" s="60" t="n">
        <x:v>115.87869355209999</x:v>
      </x:c>
      <x:c r="M253" s="60" t="n">
        <x:v>60.1494044289</x:v>
      </x:c>
      <x:c r="N253" s="46" t="str">
        <x:v>lutjanus gibbus</x:v>
      </x:c>
      <x:c r="O253" s="62" t="n">
        <x:v>4.12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Lutjanus gibbus</x:v>
      </x:c>
      <x:c r="T253" s="62" t="n">
        <x:f>IF(O253="","",(1/'Metadata'!$B$5)^(O253-1))</x:f>
        <x:v>11460.764444393179</x:v>
      </x:c>
      <x:c r="U253" s="60" t="n">
        <x:f>IF(T253="","",I253*T253)</x:f>
        <x:v>2017416.5665548034</x:v>
      </x:c>
    </x:row>
    <x:row r="254" ht="18" customHeight="1">
      <x:c r="A254" s="46" t="str">
        <x:v>LME_032</x:v>
      </x:c>
      <x:c r="B254" s="46" t="str">
        <x:v>Arabian Sea</x:v>
      </x:c>
      <x:c r="C254" s="46" t="str">
        <x:v>LME</x:v>
      </x:c>
      <x:c r="D254" s="58" t="n">
        <x:v>2019</x:v>
      </x:c>
      <x:c r="E254" s="46" t="str">
        <x:v>Echinoidea</x:v>
      </x:c>
      <x:c r="F254" s="46" t="str">
        <x:v>Sea urchins, sea hedgehogs</x:v>
      </x:c>
      <x:c r="G254" s="46" t="str">
        <x:v>Other demersal invertebrates</x:v>
      </x:c>
      <x:c r="H254" s="46" t="str">
        <x:v>Other fishes &amp; inverts</x:v>
      </x:c>
      <x:c r="I254" s="60" t="n">
        <x:v>171.4364621341</x:v>
      </x:c>
      <x:c r="J254" s="60" t="n">
        <x:v>171.4364621341</x:v>
      </x:c>
      <x:c r="K254" s="60" t="n">
        <x:v>0</x:v>
      </x:c>
      <x:c r="L254" s="60" t="n">
        <x:v>50.2566814161</x:v>
      </x:c>
      <x:c r="M254" s="60" t="n">
        <x:v>121.179780718</x:v>
      </x:c>
      <x:c r="N254" s="46" t="str">
        <x:v>echinoidea</x:v>
      </x:c>
      <x:c r="O254" s="62" t="n">
        <x:v>2.51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Echinoidea</x:v>
      </x:c>
      <x:c r="T254" s="62" t="n">
        <x:f>IF(O254="","",(1/'Metadata'!$B$5)^(O254-1))</x:f>
        <x:v>92.16272208892171</x:v>
      </x:c>
      <x:c r="U254" s="60" t="n">
        <x:f>IF(T254="","",I254*T254)</x:f>
        <x:v>15800.051015573008</x:v>
      </x:c>
    </x:row>
    <x:row r="255" ht="18" customHeight="1">
      <x:c r="A255" s="46" t="str">
        <x:v>LME_032</x:v>
      </x:c>
      <x:c r="B255" s="46" t="str">
        <x:v>Arabian Sea</x:v>
      </x:c>
      <x:c r="C255" s="46" t="str">
        <x:v>LME</x:v>
      </x:c>
      <x:c r="D255" s="58" t="n">
        <x:v>2019</x:v>
      </x:c>
      <x:c r="E255" s="46" t="str">
        <x:v>Xiphiidae</x:v>
      </x:c>
      <x:c r="F255" s="46" t="str">
        <x:v>Swordfishes</x:v>
      </x:c>
      <x:c r="G255" s="46" t="str">
        <x:v>Large pelagics (&gt;=90 cm)</x:v>
      </x:c>
      <x:c r="H255" s="46" t="str">
        <x:v>Tuna &amp; billfishes</x:v>
      </x:c>
      <x:c r="I255" s="60" t="n">
        <x:v>169.6466487985</x:v>
      </x:c>
      <x:c r="J255" s="60" t="n">
        <x:v>169.6466487985</x:v>
      </x:c>
      <x:c r="K255" s="60" t="n">
        <x:v>0</x:v>
      </x:c>
      <x:c r="L255" s="60" t="n">
        <x:v>128.5247574183</x:v>
      </x:c>
      <x:c r="M255" s="60" t="n">
        <x:v>41.1218913802</x:v>
      </x:c>
      <x:c r="N255" s="46" t="str">
        <x:v>xiphiidae</x:v>
      </x:c>
      <x:c r="O255" s="62" t="n">
        <x:v>4.5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Xiphiidae</x:v>
      </x:c>
      <x:c r="T255" s="62" t="n">
        <x:f>IF(O255="","",(1/'Metadata'!$B$5)^(O255-1))</x:f>
        <x:v>35777.08763999664</x:v>
      </x:c>
      <x:c r="U255" s="60" t="n">
        <x:f>IF(T255="","",I255*T255)</x:f>
        <x:v>6069463.021895665</x:v>
      </x:c>
    </x:row>
    <x:row r="256" ht="18" customHeight="1">
      <x:c r="A256" s="46" t="str">
        <x:v>LME_032</x:v>
      </x:c>
      <x:c r="B256" s="46" t="str">
        <x:v>Arabian Sea</x:v>
      </x:c>
      <x:c r="C256" s="46" t="str">
        <x:v>LME</x:v>
      </x:c>
      <x:c r="D256" s="58" t="n">
        <x:v>2019</x:v>
      </x:c>
      <x:c r="E256" s="46" t="str">
        <x:v>Lethrinus microdon</x:v>
      </x:c>
      <x:c r="F256" s="46" t="str">
        <x:v>Smalltooth emperor</x:v>
      </x:c>
      <x:c r="G256" s="46" t="str">
        <x:v>Medium reef assoc. fish (30 - 89 cm)</x:v>
      </x:c>
      <x:c r="H256" s="46" t="str">
        <x:v>Perch-likes</x:v>
      </x:c>
      <x:c r="I256" s="60" t="n">
        <x:v>169.3904592728</x:v>
      </x:c>
      <x:c r="J256" s="60" t="n">
        <x:v>144.8482167059</x:v>
      </x:c>
      <x:c r="K256" s="60" t="n">
        <x:v>24.5422425669</x:v>
      </x:c>
      <x:c r="L256" s="60" t="n">
        <x:v>88.0190754642</x:v>
      </x:c>
      <x:c r="M256" s="60" t="n">
        <x:v>81.3713838086</x:v>
      </x:c>
      <x:c r="N256" s="46" t="str">
        <x:v>lethrinus microdon</x:v>
      </x:c>
      <x:c r="O256" s="62" t="n">
        <x:v>3.79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Lethrinus microdon</x:v>
      </x:c>
      <x:c r="T256" s="62" t="n">
        <x:f>IF(O256="","",(1/'Metadata'!$B$5)^(O256-1))</x:f>
        <x:v>4264.554685980751</x:v>
      </x:c>
      <x:c r="U256" s="60" t="n">
        <x:f>IF(T256="","",I256*T256)</x:f>
        <x:v>722374.8768522508</x:v>
      </x:c>
    </x:row>
    <x:row r="257" ht="18" customHeight="1">
      <x:c r="A257" s="46" t="str">
        <x:v>LME_032</x:v>
      </x:c>
      <x:c r="B257" s="46" t="str">
        <x:v>Arabian Sea</x:v>
      </x:c>
      <x:c r="C257" s="46" t="str">
        <x:v>LME</x:v>
      </x:c>
      <x:c r="D257" s="58" t="n">
        <x:v>2019</x:v>
      </x:c>
      <x:c r="E257" s="46" t="str">
        <x:v>Plectorhinchus sordidus</x:v>
      </x:c>
      <x:c r="F257" s="46" t="str">
        <x:v>Sordid rubberlip</x:v>
      </x:c>
      <x:c r="G257" s="46" t="str">
        <x:v>Medium reef assoc. fish (30 - 89 cm)</x:v>
      </x:c>
      <x:c r="H257" s="46" t="str">
        <x:v>Perch-likes</x:v>
      </x:c>
      <x:c r="I257" s="60" t="n">
        <x:v>159.3145298907</x:v>
      </x:c>
      <x:c r="J257" s="60" t="n">
        <x:v>159.3145298907</x:v>
      </x:c>
      <x:c r="K257" s="60" t="n">
        <x:v>0</x:v>
      </x:c>
      <x:c r="L257" s="60" t="n">
        <x:v>159.3145298907</x:v>
      </x:c>
      <x:c r="M257" s="60" t="n">
        <x:v>0</x:v>
      </x:c>
      <x:c r="N257" s="46" t="str">
        <x:v>plectorhinchus sordidus</x:v>
      </x:c>
      <x:c r="O257" s="62" t="n">
        <x:v>3.99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Plectorhinchus sordidus</x:v>
      </x:c>
      <x:c r="T257" s="62" t="n">
        <x:f>IF(O257="","",(1/'Metadata'!$B$5)^(O257-1))</x:f>
        <x:v>7763.895603143686</x:v>
      </x:c>
      <x:c r="U257" s="60" t="n">
        <x:f>IF(T257="","",I257*T257)</x:f>
        <x:v>1236901.3781353089</x:v>
      </x:c>
    </x:row>
    <x:row r="258" ht="18" customHeight="1">
      <x:c r="A258" s="46" t="str">
        <x:v>LME_032</x:v>
      </x:c>
      <x:c r="B258" s="46" t="str">
        <x:v>Arabian Sea</x:v>
      </x:c>
      <x:c r="C258" s="46" t="str">
        <x:v>LME</x:v>
      </x:c>
      <x:c r="D258" s="58" t="n">
        <x:v>2019</x:v>
      </x:c>
      <x:c r="E258" s="46" t="str">
        <x:v>Etelis</x:v>
      </x:c>
      <x:c r="F258" s="46" t="str">
        <x:v>Snappers</x:v>
      </x:c>
      <x:c r="G258" s="46" t="str">
        <x:v>Medium bathydemersals (30 - 89 cm)</x:v>
      </x:c>
      <x:c r="H258" s="46" t="str">
        <x:v>Perch-likes</x:v>
      </x:c>
      <x:c r="I258" s="60" t="n">
        <x:v>150.48445620089998</x:v>
      </x:c>
      <x:c r="J258" s="60" t="n">
        <x:v>150.48445620089998</x:v>
      </x:c>
      <x:c r="K258" s="60" t="n">
        <x:v>0</x:v>
      </x:c>
      <x:c r="L258" s="60" t="n">
        <x:v>114.0074287702</x:v>
      </x:c>
      <x:c r="M258" s="60" t="n">
        <x:v>36.4770274307</x:v>
      </x:c>
      <x:c r="N258" s="46" t="str">
        <x:v>etelis</x:v>
      </x:c>
      <x:c r="O258" s="62" t="n">
        <x:v>4.36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Etelis</x:v>
      </x:c>
      <x:c r="T258" s="62" t="n">
        <x:f>IF(O258="","",(1/'Metadata'!$B$5)^(O258-1))</x:f>
        <x:v>23521.270987610445</x:v>
      </x:c>
      <x:c r="U258" s="60" t="n">
        <x:f>IF(T258="","",I258*T258)</x:f>
        <x:v>3539585.673724564</x:v>
      </x:c>
    </x:row>
    <x:row r="259" ht="18" customHeight="1">
      <x:c r="A259" s="46" t="str">
        <x:v>LME_032</x:v>
      </x:c>
      <x:c r="B259" s="46" t="str">
        <x:v>Arabian Sea</x:v>
      </x:c>
      <x:c r="C259" s="46" t="str">
        <x:v>LME</x:v>
      </x:c>
      <x:c r="D259" s="58" t="n">
        <x:v>2019</x:v>
      </x:c>
      <x:c r="E259" s="46" t="str">
        <x:v>Synanceiidae</x:v>
      </x:c>
      <x:c r="F259" s="46" t="str">
        <x:v>Stonefishes</x:v>
      </x:c>
      <x:c r="G259" s="46" t="str">
        <x:v>Medium demersals (30 - 89 cm)</x:v>
      </x:c>
      <x:c r="H259" s="46" t="str">
        <x:v>Scorpionfishes</x:v>
      </x:c>
      <x:c r="I259" s="60" t="n">
        <x:v>147.25381163730003</x:v>
      </x:c>
      <x:c r="J259" s="60" t="n">
        <x:v>147.25381163730003</x:v>
      </x:c>
      <x:c r="K259" s="60" t="n">
        <x:v>0</x:v>
      </x:c>
      <x:c r="L259" s="60" t="n">
        <x:v>1.690793252</x:v>
      </x:c>
      <x:c r="M259" s="60" t="n">
        <x:v>145.5630183853</x:v>
      </x:c>
      <x:c r="N259" s="46" t="str">
        <x:v>synanceiidae</x:v>
      </x:c>
      <x:c r="O259" s="62" t="n">
        <x:v>4.2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Synanceiidae</x:v>
      </x:c>
      <x:c r="T259" s="62" t="n">
        <x:f>IF(O259="","",(1/'Metadata'!$B$5)^(O259-1))</x:f>
        <x:v>14564.51362420865</x:v>
      </x:c>
      <x:c r="U259" s="60" t="n">
        <x:f>IF(T259="","",I259*T259)</x:f>
        <x:v>2144680.1458081105</x:v>
      </x:c>
    </x:row>
    <x:row r="260" ht="18" customHeight="1">
      <x:c r="A260" s="46" t="str">
        <x:v>LME_032</x:v>
      </x:c>
      <x:c r="B260" s="46" t="str">
        <x:v>Arabian Sea</x:v>
      </x:c>
      <x:c r="C260" s="46" t="str">
        <x:v>LME</x:v>
      </x:c>
      <x:c r="D260" s="58" t="n">
        <x:v>2019</x:v>
      </x:c>
      <x:c r="E260" s="46" t="str">
        <x:v>Hemiramphidae</x:v>
      </x:c>
      <x:c r="F260" s="46" t="str">
        <x:v>Halfbeaks, garfishes</x:v>
      </x:c>
      <x:c r="G260" s="46" t="str">
        <x:v>Medium pelagics (30 - 89 cm)</x:v>
      </x:c>
      <x:c r="H260" s="46" t="str">
        <x:v>Other fishes &amp; inverts</x:v>
      </x:c>
      <x:c r="I260" s="60" t="n">
        <x:v>143.21284985559998</x:v>
      </x:c>
      <x:c r="J260" s="60" t="n">
        <x:v>143.21284985559998</x:v>
      </x:c>
      <x:c r="K260" s="60" t="n">
        <x:v>0</x:v>
      </x:c>
      <x:c r="L260" s="60" t="n">
        <x:v>143.21284985559998</x:v>
      </x:c>
      <x:c r="M260" s="60" t="n">
        <x:v>0</x:v>
      </x:c>
      <x:c r="N260" s="46" t="str">
        <x:v>hemiramphidae</x:v>
      </x:c>
      <x:c r="O260" s="62" t="n">
        <x:v>2.82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Hemiramphidae</x:v>
      </x:c>
      <x:c r="T260" s="62" t="n">
        <x:f>IF(O260="","",(1/'Metadata'!$B$5)^(O260-1))</x:f>
        <x:v>233.27843447436348</x:v>
      </x:c>
      <x:c r="U260" s="60" t="n">
        <x:f>IF(T260="","",I260*T260)</x:f>
        <x:v>33408.46941092644</x:v>
      </x:c>
    </x:row>
    <x:row r="261" ht="18" customHeight="1">
      <x:c r="A261" s="46" t="str">
        <x:v>LME_032</x:v>
      </x:c>
      <x:c r="B261" s="46" t="str">
        <x:v>Arabian Sea</x:v>
      </x:c>
      <x:c r="C261" s="46" t="str">
        <x:v>LME</x:v>
      </x:c>
      <x:c r="D261" s="58" t="n">
        <x:v>2019</x:v>
      </x:c>
      <x:c r="E261" s="46" t="str">
        <x:v>Cephalopholis hemistiktos</x:v>
      </x:c>
      <x:c r="F261" s="46" t="str">
        <x:v>Yellowfin hind</x:v>
      </x:c>
      <x:c r="G261" s="46" t="str">
        <x:v>Medium reef assoc. fish (30 - 89 cm)</x:v>
      </x:c>
      <x:c r="H261" s="46" t="str">
        <x:v>Perch-likes</x:v>
      </x:c>
      <x:c r="I261" s="60" t="n">
        <x:v>142.6691455745</x:v>
      </x:c>
      <x:c r="J261" s="60" t="n">
        <x:v>142.6691455745</x:v>
      </x:c>
      <x:c r="K261" s="60" t="n">
        <x:v>0</x:v>
      </x:c>
      <x:c r="L261" s="60" t="n">
        <x:v>112.47226331809999</x:v>
      </x:c>
      <x:c r="M261" s="60" t="n">
        <x:v>30.196882256400002</x:v>
      </x:c>
      <x:c r="N261" s="46" t="str">
        <x:v>cephalopholis hemistiktos</x:v>
      </x:c>
      <x:c r="O261" s="62" t="n">
        <x:v>4.14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Cephalopholis hemistiktos</x:v>
      </x:c>
      <x:c r="T261" s="62" t="n">
        <x:f>IF(O261="","",(1/'Metadata'!$B$5)^(O261-1))</x:f>
        <x:v>12168.419864331923</x:v>
      </x:c>
      <x:c r="U261" s="60" t="n">
        <x:f>IF(T261="","",I261*T261)</x:f>
        <x:v>1736058.0650360086</x:v>
      </x:c>
    </x:row>
    <x:row r="262" ht="18" customHeight="1">
      <x:c r="A262" s="46" t="str">
        <x:v>LME_032</x:v>
      </x:c>
      <x:c r="B262" s="46" t="str">
        <x:v>Arabian Sea</x:v>
      </x:c>
      <x:c r="C262" s="46" t="str">
        <x:v>LME</x:v>
      </x:c>
      <x:c r="D262" s="58" t="n">
        <x:v>2019</x:v>
      </x:c>
      <x:c r="E262" s="46" t="str">
        <x:v>Sillaginidae</x:v>
      </x:c>
      <x:c r="F262" s="46" t="str">
        <x:v>Smelt-whitings</x:v>
      </x:c>
      <x:c r="G262" s="46" t="str">
        <x:v>Medium demersals (30 - 89 cm)</x:v>
      </x:c>
      <x:c r="H262" s="46" t="str">
        <x:v>Perch-likes</x:v>
      </x:c>
      <x:c r="I262" s="60" t="n">
        <x:v>141.4224127073</x:v>
      </x:c>
      <x:c r="J262" s="60" t="n">
        <x:v>141.4224127073</x:v>
      </x:c>
      <x:c r="K262" s="60" t="n">
        <x:v>0</x:v>
      </x:c>
      <x:c r="L262" s="60" t="n">
        <x:v>12.8391519329</x:v>
      </x:c>
      <x:c r="M262" s="60" t="n">
        <x:v>128.5832607744</x:v>
      </x:c>
      <x:c r="N262" s="46" t="str">
        <x:v>sillaginidae</x:v>
      </x:c>
      <x:c r="O262" s="62" t="n">
        <x:v>3.25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Sillaginidae</x:v>
      </x:c>
      <x:c r="T262" s="62" t="n">
        <x:f>IF(O262="","",(1/'Metadata'!$B$5)^(O262-1))</x:f>
        <x:v>845.8970107524513</x:v>
      </x:c>
      <x:c r="U262" s="60" t="n">
        <x:f>IF(T262="","",I262*T262)</x:f>
        <x:v>119628.79616250454</x:v>
      </x:c>
    </x:row>
    <x:row r="263" ht="18" customHeight="1">
      <x:c r="A263" s="46" t="str">
        <x:v>LME_032</x:v>
      </x:c>
      <x:c r="B263" s="46" t="str">
        <x:v>Arabian Sea</x:v>
      </x:c>
      <x:c r="C263" s="46" t="str">
        <x:v>LME</x:v>
      </x:c>
      <x:c r="D263" s="58" t="n">
        <x:v>2019</x:v>
      </x:c>
      <x:c r="E263" s="46" t="str">
        <x:v>Carangoides</x:v>
      </x:c>
      <x:c r="F263" s="46" t="str">
        <x:v>Trevallies</x:v>
      </x:c>
      <x:c r="G263" s="46" t="str">
        <x:v>Medium reef assoc. fish (30 - 89 cm)</x:v>
      </x:c>
      <x:c r="H263" s="46" t="str">
        <x:v>Perch-likes</x:v>
      </x:c>
      <x:c r="I263" s="60" t="n">
        <x:v>141.1240359112</x:v>
      </x:c>
      <x:c r="J263" s="60" t="n">
        <x:v>141.1240359112</x:v>
      </x:c>
      <x:c r="K263" s="60" t="n">
        <x:v>0</x:v>
      </x:c>
      <x:c r="L263" s="60" t="n">
        <x:v>64.9245424597</x:v>
      </x:c>
      <x:c r="M263" s="60" t="n">
        <x:v>76.1994934515</x:v>
      </x:c>
      <x:c r="N263" s="46" t="str">
        <x:v>carangoides</x:v>
      </x:c>
      <x:c r="O263" s="62" t="n">
        <x:v>4.34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Carangoides</x:v>
      </x:c>
      <x:c r="T263" s="62" t="n">
        <x:f>IF(O263="","",(1/'Metadata'!$B$5)^(O263-1))</x:f>
        <x:v>22153.389612394185</x:v>
      </x:c>
      <x:c r="U263" s="60" t="n">
        <x:f>IF(T263="","",I263*T263)</x:f>
        <x:v>3126375.7512143217</x:v>
      </x:c>
    </x:row>
    <x:row r="264" ht="18" customHeight="1">
      <x:c r="A264" s="46" t="str">
        <x:v>LME_032</x:v>
      </x:c>
      <x:c r="B264" s="46" t="str">
        <x:v>Arabian Sea</x:v>
      </x:c>
      <x:c r="C264" s="46" t="str">
        <x:v>LME</x:v>
      </x:c>
      <x:c r="D264" s="58" t="n">
        <x:v>2019</x:v>
      </x:c>
      <x:c r="E264" s="46" t="str">
        <x:v>Drepane</x:v>
      </x:c>
      <x:c r="F264" s="46" t="str">
        <x:v>Sicklefishes</x:v>
      </x:c>
      <x:c r="G264" s="46" t="str">
        <x:v>Medium benthopelagics (30 - 89 cm)</x:v>
      </x:c>
      <x:c r="H264" s="46" t="str">
        <x:v>Perch-likes</x:v>
      </x:c>
      <x:c r="I264" s="60" t="n">
        <x:v>139.68503371859998</x:v>
      </x:c>
      <x:c r="J264" s="60" t="n">
        <x:v>139.68503371859998</x:v>
      </x:c>
      <x:c r="K264" s="60" t="n">
        <x:v>0</x:v>
      </x:c>
      <x:c r="L264" s="60" t="n">
        <x:v>40.9934914739</x:v>
      </x:c>
      <x:c r="M264" s="60" t="n">
        <x:v>98.6915422447</x:v>
      </x:c>
      <x:c r="N264" s="46" t="str">
        <x:v>drepane</x:v>
      </x:c>
      <x:c r="O264" s="62" t="n">
        <x:v>3.32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Drepane</x:v>
      </x:c>
      <x:c r="T264" s="62" t="n">
        <x:f>IF(O264="","",(1/'Metadata'!$B$5)^(O264-1))</x:f>
        <x:v>1043.2528743388143</x:v>
      </x:c>
      <x:c r="U264" s="60" t="n">
        <x:f>IF(T264="","",I264*T264)</x:f>
        <x:v>145726.81292904363</x:v>
      </x:c>
    </x:row>
    <x:row r="265" ht="18" customHeight="1">
      <x:c r="A265" s="46" t="str">
        <x:v>LME_032</x:v>
      </x:c>
      <x:c r="B265" s="46" t="str">
        <x:v>Arabian Sea</x:v>
      </x:c>
      <x:c r="C265" s="46" t="str">
        <x:v>LME</x:v>
      </x:c>
      <x:c r="D265" s="58" t="n">
        <x:v>2019</x:v>
      </x:c>
      <x:c r="E265" s="46" t="str">
        <x:v>Penaeus</x:v>
      </x:c>
      <x:c r="F265" s="46" t="str">
        <x:v>Tiger prawns</x:v>
      </x:c>
      <x:c r="G265" s="46" t="str">
        <x:v>Shrimps</x:v>
      </x:c>
      <x:c r="H265" s="46" t="str">
        <x:v>Crustaceans</x:v>
      </x:c>
      <x:c r="I265" s="60" t="n">
        <x:v>128.63449850179998</x:v>
      </x:c>
      <x:c r="J265" s="60" t="n">
        <x:v>118.67021522239999</x:v>
      </x:c>
      <x:c r="K265" s="60" t="n">
        <x:v>9.9642832794</x:v>
      </x:c>
      <x:c r="L265" s="60" t="n">
        <x:v>22.8648529711</x:v>
      </x:c>
      <x:c r="M265" s="60" t="n">
        <x:v>105.76964553069999</x:v>
      </x:c>
      <x:c r="N265" s="46" t="str">
        <x:v>penaeus</x:v>
      </x:c>
      <x:c r="O265" s="62" t="n">
        <x:v>2.7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Penaeus</x:v>
      </x:c>
      <x:c r="T265" s="62" t="n">
        <x:f>IF(O265="","",(1/'Metadata'!$B$5)^(O265-1))</x:f>
        <x:v>162.83621261476185</x:v>
      </x:c>
      <x:c r="U265" s="60" t="n">
        <x:f>IF(T265="","",I265*T265)</x:f>
        <x:v>20946.354547632367</x:v>
      </x:c>
    </x:row>
    <x:row r="266" ht="18" customHeight="1">
      <x:c r="A266" s="46" t="str">
        <x:v>LME_032</x:v>
      </x:c>
      <x:c r="B266" s="46" t="str">
        <x:v>Arabian Sea</x:v>
      </x:c>
      <x:c r="C266" s="46" t="str">
        <x:v>LME</x:v>
      </x:c>
      <x:c r="D266" s="58" t="n">
        <x:v>2019</x:v>
      </x:c>
      <x:c r="E266" s="46" t="str">
        <x:v>Sphyraena forsteri</x:v>
      </x:c>
      <x:c r="F266" s="46" t="str">
        <x:v>Bigeye barracuda</x:v>
      </x:c>
      <x:c r="G266" s="46" t="str">
        <x:v>Medium reef assoc. fish (30 - 89 cm)</x:v>
      </x:c>
      <x:c r="H266" s="46" t="str">
        <x:v>Perch-likes</x:v>
      </x:c>
      <x:c r="I266" s="60" t="n">
        <x:v>127.8203893037</x:v>
      </x:c>
      <x:c r="J266" s="60" t="n">
        <x:v>127.8203893037</x:v>
      </x:c>
      <x:c r="K266" s="60" t="n">
        <x:v>0</x:v>
      </x:c>
      <x:c r="L266" s="60" t="n">
        <x:v>0</x:v>
      </x:c>
      <x:c r="M266" s="60" t="n">
        <x:v>127.8203893037</x:v>
      </x:c>
      <x:c r="N266" s="46" t="str">
        <x:v>sphyraena forsteri</x:v>
      </x:c>
      <x:c r="O266" s="62" t="n">
        <x:v>4.42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Sphyraena forsteri</x:v>
      </x:c>
      <x:c r="T266" s="62" t="n">
        <x:f>IF(O266="","",(1/'Metadata'!$B$5)^(O266-1))</x:f>
        <x:v>28152.864182630117</x:v>
      </x:c>
      <x:c r="U266" s="60" t="n">
        <x:f>IF(T266="","",I266*T266)</x:f>
        <x:v>3598510.059837973</x:v>
      </x:c>
    </x:row>
    <x:row r="267" ht="18" customHeight="1">
      <x:c r="A267" s="46" t="str">
        <x:v>LME_032</x:v>
      </x:c>
      <x:c r="B267" s="46" t="str">
        <x:v>Arabian Sea</x:v>
      </x:c>
      <x:c r="C267" s="46" t="str">
        <x:v>LME</x:v>
      </x:c>
      <x:c r="D267" s="58" t="n">
        <x:v>2019</x:v>
      </x:c>
      <x:c r="E267" s="46" t="str">
        <x:v>Scombroidei</x:v>
      </x:c>
      <x:c r="F267" s="46" t="str">
        <x:v>Tunas, bonitos, billfishes</x:v>
      </x:c>
      <x:c r="G267" s="46" t="str">
        <x:v>Large pelagics (&gt;=90 cm)</x:v>
      </x:c>
      <x:c r="H267" s="46" t="str">
        <x:v>Tuna &amp; billfishes</x:v>
      </x:c>
      <x:c r="I267" s="60" t="n">
        <x:v>115.1794292579</x:v>
      </x:c>
      <x:c r="J267" s="60" t="n">
        <x:v>115.1794292579</x:v>
      </x:c>
      <x:c r="K267" s="60" t="n">
        <x:v>0</x:v>
      </x:c>
      <x:c r="L267" s="60" t="n">
        <x:v>115.1794292579</x:v>
      </x:c>
      <x:c r="M267" s="60" t="n">
        <x:v>0</x:v>
      </x:c>
      <x:c r="N267" s="46" t="str">
        <x:v>scombroidei</x:v>
      </x:c>
      <x:c r="O267" s="62" t="n">
        <x:v>4.2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Scombroidei</x:v>
      </x:c>
      <x:c r="T267" s="62" t="n">
        <x:f>IF(O267="","",(1/'Metadata'!$B$5)^(O267-1))</x:f>
        <x:v>14564.51362420865</x:v>
      </x:c>
      <x:c r="U267" s="60" t="n">
        <x:f>IF(T267="","",I267*T267)</x:f>
        <x:v>1677532.366655261</x:v>
      </x:c>
    </x:row>
    <x:row r="268" ht="18" customHeight="1">
      <x:c r="A268" s="46" t="str">
        <x:v>LME_032</x:v>
      </x:c>
      <x:c r="B268" s="46" t="str">
        <x:v>Arabian Sea</x:v>
      </x:c>
      <x:c r="C268" s="46" t="str">
        <x:v>LME</x:v>
      </x:c>
      <x:c r="D268" s="58" t="n">
        <x:v>2019</x:v>
      </x:c>
      <x:c r="E268" s="46" t="str">
        <x:v>Isurus</x:v>
      </x:c>
      <x:c r="F268" s="46" t="str">
        <x:v>Mako sharks</x:v>
      </x:c>
      <x:c r="G268" s="46" t="str">
        <x:v>Large sharks (&gt;=90 cm)</x:v>
      </x:c>
      <x:c r="H268" s="46" t="str">
        <x:v>Sharks &amp; rays</x:v>
      </x:c>
      <x:c r="I268" s="60" t="n">
        <x:v>111.262020275</x:v>
      </x:c>
      <x:c r="J268" s="60" t="n">
        <x:v>111.262020275</x:v>
      </x:c>
      <x:c r="K268" s="60" t="n">
        <x:v>0</x:v>
      </x:c>
      <x:c r="L268" s="60" t="n">
        <x:v>111.262020275</x:v>
      </x:c>
      <x:c r="M268" s="60" t="n">
        <x:v>0</x:v>
      </x:c>
      <x:c r="N268" s="46" t="str">
        <x:v>isurus</x:v>
      </x:c>
      <x:c r="O268" s="62" t="n">
        <x:v>4.5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Isurus</x:v>
      </x:c>
      <x:c r="T268" s="62" t="n">
        <x:f>IF(O268="","",(1/'Metadata'!$B$5)^(O268-1))</x:f>
        <x:v>35777.08763999664</x:v>
      </x:c>
      <x:c r="U268" s="60" t="n">
        <x:f>IF(T268="","",I268*T268)</x:f>
        <x:v>3980631.050381758</x:v>
      </x:c>
    </x:row>
    <x:row r="269" ht="18" customHeight="1">
      <x:c r="A269" s="46" t="str">
        <x:v>LME_032</x:v>
      </x:c>
      <x:c r="B269" s="46" t="str">
        <x:v>Arabian Sea</x:v>
      </x:c>
      <x:c r="C269" s="46" t="str">
        <x:v>LME</x:v>
      </x:c>
      <x:c r="D269" s="58" t="n">
        <x:v>2019</x:v>
      </x:c>
      <x:c r="E269" s="46" t="str">
        <x:v>Ophichthidae</x:v>
      </x:c>
      <x:c r="F269" s="46" t="str">
        <x:v>Snake eels</x:v>
      </x:c>
      <x:c r="G269" s="46" t="str">
        <x:v>Medium demersals (30 - 89 cm)</x:v>
      </x:c>
      <x:c r="H269" s="46" t="str">
        <x:v>Other fishes &amp; inverts</x:v>
      </x:c>
      <x:c r="I269" s="60" t="n">
        <x:v>110.0270014639</x:v>
      </x:c>
      <x:c r="J269" s="60" t="n">
        <x:v>110.0270014639</x:v>
      </x:c>
      <x:c r="K269" s="60" t="n">
        <x:v>0</x:v>
      </x:c>
      <x:c r="L269" s="60" t="n">
        <x:v>32.3063877064</x:v>
      </x:c>
      <x:c r="M269" s="60" t="n">
        <x:v>77.7206137575</x:v>
      </x:c>
      <x:c r="N269" s="46" t="str">
        <x:v>ophichthidae</x:v>
      </x:c>
      <x:c r="O269" s="62" t="n">
        <x:v>3.64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Ophichthidae</x:v>
      </x:c>
      <x:c r="T269" s="62" t="n">
        <x:f>IF(O269="","",(1/'Metadata'!$B$5)^(O269-1))</x:f>
        <x:v>2720.9413995404984</x:v>
      </x:c>
      <x:c r="U269" s="60" t="n">
        <x:f>IF(T269="","",I269*T269)</x:f>
        <x:v>299377.02335042856</x:v>
      </x:c>
    </x:row>
    <x:row r="270" ht="18" customHeight="1">
      <x:c r="A270" s="46" t="str">
        <x:v>LME_032</x:v>
      </x:c>
      <x:c r="B270" s="46" t="str">
        <x:v>Arabian Sea</x:v>
      </x:c>
      <x:c r="C270" s="46" t="str">
        <x:v>LME</x:v>
      </x:c>
      <x:c r="D270" s="58" t="n">
        <x:v>2019</x:v>
      </x:c>
      <x:c r="E270" s="46" t="str">
        <x:v>Turrum coeruleopinnatum</x:v>
      </x:c>
      <x:c r="F270" s="46" t="str">
        <x:v>Coastal trevally</x:v>
      </x:c>
      <x:c r="G270" s="46" t="str">
        <x:v>Medium reef assoc. fish (30 - 89 cm)</x:v>
      </x:c>
      <x:c r="H270" s="46" t="str">
        <x:v>Perch-likes</x:v>
      </x:c>
      <x:c r="I270" s="60" t="n">
        <x:v>108.9544907694</x:v>
      </x:c>
      <x:c r="J270" s="60" t="n">
        <x:v>108.9544907694</x:v>
      </x:c>
      <x:c r="K270" s="60" t="n">
        <x:v>0</x:v>
      </x:c>
      <x:c r="L270" s="60" t="n">
        <x:v>50.7400489516</x:v>
      </x:c>
      <x:c r="M270" s="60" t="n">
        <x:v>58.214441817799994</x:v>
      </x:c>
      <x:c r="N270" s="46" t="str">
        <x:v>turrum coeruleopinnatum</x:v>
      </x:c>
      <x:c r="O270" s="62" t="n">
        <x:v>4.44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Turrum coeruleopinnatum</x:v>
      </x:c>
      <x:c r="T270" s="62" t="n">
        <x:f>IF(O270="","",(1/'Metadata'!$B$5)^(O270-1))</x:f>
        <x:v>29891.188621833207</x:v>
      </x:c>
      <x:c r="U270" s="60" t="n">
        <x:f>IF(T270="","",I270*T270)</x:f>
        <x:v>3256779.2347839205</x:v>
      </x:c>
    </x:row>
    <x:row r="271" ht="18" customHeight="1">
      <x:c r="A271" s="46" t="str">
        <x:v>LME_032</x:v>
      </x:c>
      <x:c r="B271" s="46" t="str">
        <x:v>Arabian Sea</x:v>
      </x:c>
      <x:c r="C271" s="46" t="str">
        <x:v>LME</x:v>
      </x:c>
      <x:c r="D271" s="58" t="n">
        <x:v>2019</x:v>
      </x:c>
      <x:c r="E271" s="46" t="str">
        <x:v>Mene maculata</x:v>
      </x:c>
      <x:c r="F271" s="46" t="str">
        <x:v>Moonfish</x:v>
      </x:c>
      <x:c r="G271" s="46" t="str">
        <x:v>Medium reef assoc. fish (30 - 89 cm)</x:v>
      </x:c>
      <x:c r="H271" s="46" t="str">
        <x:v>Perch-likes</x:v>
      </x:c>
      <x:c r="I271" s="60" t="n">
        <x:v>100.0254615991</x:v>
      </x:c>
      <x:c r="J271" s="60" t="n">
        <x:v>100.0254615991</x:v>
      </x:c>
      <x:c r="K271" s="60" t="n">
        <x:v>0</x:v>
      </x:c>
      <x:c r="L271" s="60" t="n">
        <x:v>29.3198514144</x:v>
      </x:c>
      <x:c r="M271" s="60" t="n">
        <x:v>70.7056101847</x:v>
      </x:c>
      <x:c r="N271" s="46" t="str">
        <x:v>mene maculata</x:v>
      </x:c>
      <x:c r="O271" s="62" t="n">
        <x:v>3.45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Mene maculata</x:v>
      </x:c>
      <x:c r="T271" s="62" t="n">
        <x:f>IF(O271="","",(1/'Metadata'!$B$5)^(O271-1))</x:f>
        <x:v>1540.009817222681</x:v>
      </x:c>
      <x:c r="U271" s="60" t="n">
        <x:f>IF(T271="","",I271*T271)</x:f>
        <x:v>154040.1928348443</x:v>
      </x:c>
    </x:row>
    <x:row r="272" ht="18" customHeight="1">
      <x:c r="A272" s="46" t="str">
        <x:v>LME_032</x:v>
      </x:c>
      <x:c r="B272" s="46" t="str">
        <x:v>Arabian Sea</x:v>
      </x:c>
      <x:c r="C272" s="46" t="str">
        <x:v>LME</x:v>
      </x:c>
      <x:c r="D272" s="58" t="n">
        <x:v>2019</x:v>
      </x:c>
      <x:c r="E272" s="46" t="str">
        <x:v>Platycephalidae</x:v>
      </x:c>
      <x:c r="F272" s="46" t="str">
        <x:v>Flatheads</x:v>
      </x:c>
      <x:c r="G272" s="46" t="str">
        <x:v>Medium demersals (30 - 89 cm)</x:v>
      </x:c>
      <x:c r="H272" s="46" t="str">
        <x:v>Scorpionfishes</x:v>
      </x:c>
      <x:c r="I272" s="60" t="n">
        <x:v>98.332643796</x:v>
      </x:c>
      <x:c r="J272" s="60" t="n">
        <x:v>33.217893069199995</x:v>
      </x:c>
      <x:c r="K272" s="60" t="n">
        <x:v>65.1147507268</x:v>
      </x:c>
      <x:c r="L272" s="60" t="n">
        <x:v>1.9802785564</x:v>
      </x:c>
      <x:c r="M272" s="60" t="n">
        <x:v>96.3523652396</x:v>
      </x:c>
      <x:c r="N272" s="46" t="str">
        <x:v>platycephalidae</x:v>
      </x:c>
      <x:c r="O272" s="62" t="n">
        <x:v>3.9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Platycephalidae</x:v>
      </x:c>
      <x:c r="T272" s="62" t="n">
        <x:f>IF(O272="","",(1/'Metadata'!$B$5)^(O272-1))</x:f>
        <x:v>5929.07559285558</x:v>
      </x:c>
      <x:c r="U272" s="60" t="n">
        <x:f>IF(T272="","",I272*T272)</x:f>
        <x:v>583021.6783118253</x:v>
      </x:c>
    </x:row>
    <x:row r="273" ht="18" customHeight="1">
      <x:c r="A273" s="46" t="str">
        <x:v>LME_032</x:v>
      </x:c>
      <x:c r="B273" s="46" t="str">
        <x:v>Arabian Sea</x:v>
      </x:c>
      <x:c r="C273" s="46" t="str">
        <x:v>LME</x:v>
      </x:c>
      <x:c r="D273" s="58" t="n">
        <x:v>2019</x:v>
      </x:c>
      <x:c r="E273" s="46" t="str">
        <x:v>Lethrinus mahsena</x:v>
      </x:c>
      <x:c r="F273" s="46" t="str">
        <x:v>Sky emperor</x:v>
      </x:c>
      <x:c r="G273" s="46" t="str">
        <x:v>Medium reef assoc. fish (30 - 89 cm)</x:v>
      </x:c>
      <x:c r="H273" s="46" t="str">
        <x:v>Perch-likes</x:v>
      </x:c>
      <x:c r="I273" s="60" t="n">
        <x:v>95.8082475609</x:v>
      </x:c>
      <x:c r="J273" s="60" t="n">
        <x:v>95.8082475609</x:v>
      </x:c>
      <x:c r="K273" s="60" t="n">
        <x:v>0</x:v>
      </x:c>
      <x:c r="L273" s="60" t="n">
        <x:v>69.3915201209</x:v>
      </x:c>
      <x:c r="M273" s="60" t="n">
        <x:v>26.41672744</x:v>
      </x:c>
      <x:c r="N273" s="46" t="str">
        <x:v>lethrinus mahsena</x:v>
      </x:c>
      <x:c r="O273" s="62" t="n">
        <x:v>3.43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Lethrinus mahsena</x:v>
      </x:c>
      <x:c r="T273" s="62" t="n">
        <x:f>IF(O273="","",(1/'Metadata'!$B$5)^(O273-1))</x:f>
        <x:v>1450.450424461182</x:v>
      </x:c>
      <x:c r="U273" s="60" t="n">
        <x:f>IF(T273="","",I273*T273)</x:f>
        <x:v>138965.1133415894</x:v>
      </x:c>
    </x:row>
    <x:row r="274" ht="18" customHeight="1">
      <x:c r="A274" s="46" t="str">
        <x:v>LME_032</x:v>
      </x:c>
      <x:c r="B274" s="46" t="str">
        <x:v>Arabian Sea</x:v>
      </x:c>
      <x:c r="C274" s="46" t="str">
        <x:v>LME</x:v>
      </x:c>
      <x:c r="D274" s="58" t="n">
        <x:v>2019</x:v>
      </x:c>
      <x:c r="E274" s="46" t="str">
        <x:v>Istiophorus</x:v>
      </x:c>
      <x:c r="F274" s="46" t="str">
        <x:v>Sailfishes</x:v>
      </x:c>
      <x:c r="G274" s="46" t="str">
        <x:v>Large pelagics (&gt;=90 cm)</x:v>
      </x:c>
      <x:c r="H274" s="46" t="str">
        <x:v>Tuna &amp; billfishes</x:v>
      </x:c>
      <x:c r="I274" s="60" t="n">
        <x:v>93.9501696056</x:v>
      </x:c>
      <x:c r="J274" s="60" t="n">
        <x:v>93.9501696056</x:v>
      </x:c>
      <x:c r="K274" s="60" t="n">
        <x:v>0</x:v>
      </x:c>
      <x:c r="L274" s="60" t="n">
        <x:v>93.9501696056</x:v>
      </x:c>
      <x:c r="M274" s="60" t="n">
        <x:v>0</x:v>
      </x:c>
      <x:c r="N274" s="46" t="str">
        <x:v>istiophorus</x:v>
      </x:c>
      <x:c r="O274" s="62" t="n">
        <x:v>4.5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Istiophorus</x:v>
      </x:c>
      <x:c r="T274" s="62" t="n">
        <x:f>IF(O274="","",(1/'Metadata'!$B$5)^(O274-1))</x:f>
        <x:v>35777.08763999664</x:v>
      </x:c>
      <x:c r="U274" s="60" t="n">
        <x:f>IF(T274="","",I274*T274)</x:f>
        <x:v>3361263.4517720994</x:v>
      </x:c>
    </x:row>
    <x:row r="275" ht="18" customHeight="1">
      <x:c r="A275" s="46" t="str">
        <x:v>LME_032</x:v>
      </x:c>
      <x:c r="B275" s="46" t="str">
        <x:v>Arabian Sea</x:v>
      </x:c>
      <x:c r="C275" s="46" t="str">
        <x:v>LME</x:v>
      </x:c>
      <x:c r="D275" s="58" t="n">
        <x:v>2019</x:v>
      </x:c>
      <x:c r="E275" s="46" t="str">
        <x:v>Cheimerius nufar</x:v>
      </x:c>
      <x:c r="F275" s="46" t="str">
        <x:v>Santer seabream</x:v>
      </x:c>
      <x:c r="G275" s="46" t="str">
        <x:v>Medium reef assoc. fish (30 - 89 cm)</x:v>
      </x:c>
      <x:c r="H275" s="46" t="str">
        <x:v>Perch-likes</x:v>
      </x:c>
      <x:c r="I275" s="60" t="n">
        <x:v>93.5392838267</x:v>
      </x:c>
      <x:c r="J275" s="60" t="n">
        <x:v>93.5392838267</x:v>
      </x:c>
      <x:c r="K275" s="60" t="n">
        <x:v>0</x:v>
      </x:c>
      <x:c r="L275" s="60" t="n">
        <x:v>93.5392838267</x:v>
      </x:c>
      <x:c r="M275" s="60" t="n">
        <x:v>0</x:v>
      </x:c>
      <x:c r="N275" s="46" t="str">
        <x:v>cheimerius nufar</x:v>
      </x:c>
      <x:c r="O275" s="62" t="n">
        <x:v>3.54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Cheimerius nufar</x:v>
      </x:c>
      <x:c r="T275" s="62" t="n">
        <x:f>IF(O275="","",(1/'Metadata'!$B$5)^(O275-1))</x:f>
        <x:v>2016.5834052007342</x:v>
      </x:c>
      <x:c r="U275" s="60" t="n">
        <x:f>IF(T275="","",I275*T275)</x:f>
        <x:v>188629.76749928464</x:v>
      </x:c>
    </x:row>
    <x:row r="276" ht="18" customHeight="1">
      <x:c r="A276" s="46" t="str">
        <x:v>LME_032</x:v>
      </x:c>
      <x:c r="B276" s="46" t="str">
        <x:v>Arabian Sea</x:v>
      </x:c>
      <x:c r="C276" s="46" t="str">
        <x:v>LME</x:v>
      </x:c>
      <x:c r="D276" s="58" t="n">
        <x:v>2019</x:v>
      </x:c>
      <x:c r="E276" s="46" t="str">
        <x:v>Prionace glauca</x:v>
      </x:c>
      <x:c r="F276" s="46" t="str">
        <x:v>Blue shark</x:v>
      </x:c>
      <x:c r="G276" s="46" t="str">
        <x:v>Large sharks (&gt;=90 cm)</x:v>
      </x:c>
      <x:c r="H276" s="46" t="str">
        <x:v>Sharks &amp; rays</x:v>
      </x:c>
      <x:c r="I276" s="60" t="n">
        <x:v>90.8771079742</x:v>
      </x:c>
      <x:c r="J276" s="60" t="n">
        <x:v>90.8771079742</x:v>
      </x:c>
      <x:c r="K276" s="60" t="n">
        <x:v>0</x:v>
      </x:c>
      <x:c r="L276" s="60" t="n">
        <x:v>90.8771079742</x:v>
      </x:c>
      <x:c r="M276" s="60" t="n">
        <x:v>0</x:v>
      </x:c>
      <x:c r="N276" s="46" t="str">
        <x:v>prionace glauca</x:v>
      </x:c>
      <x:c r="O276" s="62" t="n">
        <x:v>4.35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Prionace glauca</x:v>
      </x:c>
      <x:c r="T276" s="62" t="n">
        <x:f>IF(O276="","",(1/'Metadata'!$B$5)^(O276-1))</x:f>
        <x:v>22827.086550132422</x:v>
      </x:c>
      <x:c r="U276" s="60" t="n">
        <x:f>IF(T276="","",I276*T276)</x:f>
        <x:v>2074459.6091527927</x:v>
      </x:c>
    </x:row>
    <x:row r="277" ht="18" customHeight="1">
      <x:c r="A277" s="46" t="str">
        <x:v>LME_032</x:v>
      </x:c>
      <x:c r="B277" s="46" t="str">
        <x:v>Arabian Sea</x:v>
      </x:c>
      <x:c r="C277" s="46" t="str">
        <x:v>LME</x:v>
      </x:c>
      <x:c r="D277" s="58" t="n">
        <x:v>2019</x:v>
      </x:c>
      <x:c r="E277" s="46" t="str">
        <x:v>Seriola</x:v>
      </x:c>
      <x:c r="F277" s="46" t="str">
        <x:v>Amberjacks</x:v>
      </x:c>
      <x:c r="G277" s="46" t="str">
        <x:v>Large benthopelagics (&gt;=90 cm)</x:v>
      </x:c>
      <x:c r="H277" s="46" t="str">
        <x:v>Perch-likes</x:v>
      </x:c>
      <x:c r="I277" s="60" t="n">
        <x:v>88.567114277</x:v>
      </x:c>
      <x:c r="J277" s="60" t="n">
        <x:v>88.567114277</x:v>
      </x:c>
      <x:c r="K277" s="60" t="n">
        <x:v>0</x:v>
      </x:c>
      <x:c r="L277" s="60" t="n">
        <x:v>81.7487846169</x:v>
      </x:c>
      <x:c r="M277" s="60" t="n">
        <x:v>6.8183296601</x:v>
      </x:c>
      <x:c r="N277" s="46" t="str">
        <x:v>seriola</x:v>
      </x:c>
      <x:c r="O277" s="62" t="n">
        <x:v>4.39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Seriola</x:v>
      </x:c>
      <x:c r="T277" s="62" t="n">
        <x:f>IF(O277="","",(1/'Metadata'!$B$5)^(O277-1))</x:f>
        <x:v>25733.07497204781</x:v>
      </x:c>
      <x:c r="U277" s="60" t="n">
        <x:f>IF(T277="","",I277*T277)</x:f>
        <x:v>2279104.1917479667</x:v>
      </x:c>
    </x:row>
    <x:row r="278" ht="18" customHeight="1">
      <x:c r="A278" s="46" t="str">
        <x:v>LME_032</x:v>
      </x:c>
      <x:c r="B278" s="46" t="str">
        <x:v>Arabian Sea</x:v>
      </x:c>
      <x:c r="C278" s="46" t="str">
        <x:v>LME</x:v>
      </x:c>
      <x:c r="D278" s="58" t="n">
        <x:v>2019</x:v>
      </x:c>
      <x:c r="E278" s="46" t="str">
        <x:v>Scolopsis</x:v>
      </x:c>
      <x:c r="F278" s="46" t="str">
        <x:v>Monocle breams</x:v>
      </x:c>
      <x:c r="G278" s="46" t="str">
        <x:v>Small reef assoc. fish (&lt;30 cm)</x:v>
      </x:c>
      <x:c r="H278" s="46" t="str">
        <x:v>Perch-likes</x:v>
      </x:c>
      <x:c r="I278" s="60" t="n">
        <x:v>86.04629369540001</x:v>
      </x:c>
      <x:c r="J278" s="60" t="n">
        <x:v>86.04629369540001</x:v>
      </x:c>
      <x:c r="K278" s="60" t="n">
        <x:v>0</x:v>
      </x:c>
      <x:c r="L278" s="60" t="n">
        <x:v>0</x:v>
      </x:c>
      <x:c r="M278" s="60" t="n">
        <x:v>86.04629369540001</x:v>
      </x:c>
      <x:c r="N278" s="46" t="str">
        <x:v>scolopsis</x:v>
      </x:c>
      <x:c r="O278" s="62" t="n">
        <x:v>3.3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Scolopsis</x:v>
      </x:c>
      <x:c r="T278" s="62" t="n">
        <x:f>IF(O278="","",(1/'Metadata'!$B$5)^(O278-1))</x:f>
        <x:v>982.5824208926318</x:v>
      </x:c>
      <x:c r="U278" s="60" t="n">
        <x:f>IF(T278="","",I278*T278)</x:f>
        <x:v>84547.57556806455</x:v>
      </x:c>
    </x:row>
    <x:row r="279" ht="18" customHeight="1">
      <x:c r="A279" s="46" t="str">
        <x:v>LME_032</x:v>
      </x:c>
      <x:c r="B279" s="46" t="str">
        <x:v>Arabian Sea</x:v>
      </x:c>
      <x:c r="C279" s="46" t="str">
        <x:v>LME</x:v>
      </x:c>
      <x:c r="D279" s="58" t="n">
        <x:v>2019</x:v>
      </x:c>
      <x:c r="E279" s="46" t="str">
        <x:v>Seriolina nigrofasciata</x:v>
      </x:c>
      <x:c r="F279" s="46" t="str">
        <x:v>Blackbanded trevally</x:v>
      </x:c>
      <x:c r="G279" s="46" t="str">
        <x:v>Medium reef assoc. fish (30 - 89 cm)</x:v>
      </x:c>
      <x:c r="H279" s="46" t="str">
        <x:v>Perch-likes</x:v>
      </x:c>
      <x:c r="I279" s="60" t="n">
        <x:v>84.9940185442</x:v>
      </x:c>
      <x:c r="J279" s="60" t="n">
        <x:v>84.9940185442</x:v>
      </x:c>
      <x:c r="K279" s="60" t="n">
        <x:v>0</x:v>
      </x:c>
      <x:c r="L279" s="60" t="n">
        <x:v>77.26428861790001</x:v>
      </x:c>
      <x:c r="M279" s="60" t="n">
        <x:v>7.7297299263</x:v>
      </x:c>
      <x:c r="N279" s="46" t="str">
        <x:v>seriolina nigrofasciata</x:v>
      </x:c>
      <x:c r="O279" s="62" t="n">
        <x:v>4.17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Seriolina nigrofasciata</x:v>
      </x:c>
      <x:c r="T279" s="62" t="n">
        <x:f>IF(O279="","",(1/'Metadata'!$B$5)^(O279-1))</x:f>
        <x:v>13312.667535064244</x:v>
      </x:c>
      <x:c r="U279" s="60" t="n">
        <x:f>IF(T279="","",I279*T279)</x:f>
        <x:v>1131497.1113480197</x:v>
      </x:c>
    </x:row>
    <x:row r="280" ht="18" customHeight="1">
      <x:c r="A280" s="46" t="str">
        <x:v>LME_032</x:v>
      </x:c>
      <x:c r="B280" s="46" t="str">
        <x:v>Arabian Sea</x:v>
      </x:c>
      <x:c r="C280" s="46" t="str">
        <x:v>LME</x:v>
      </x:c>
      <x:c r="D280" s="58" t="n">
        <x:v>2019</x:v>
      </x:c>
      <x:c r="E280" s="46" t="str">
        <x:v>Bolbometopon muricatum</x:v>
      </x:c>
      <x:c r="F280" s="46" t="str">
        <x:v>Green humphead parrotfish</x:v>
      </x:c>
      <x:c r="G280" s="46" t="str">
        <x:v>Large reef assoc. fish (&gt;=90 cm)</x:v>
      </x:c>
      <x:c r="H280" s="46" t="str">
        <x:v>Perch-likes</x:v>
      </x:c>
      <x:c r="I280" s="60" t="n">
        <x:v>83.9329861972</x:v>
      </x:c>
      <x:c r="J280" s="60" t="n">
        <x:v>83.9329861972</x:v>
      </x:c>
      <x:c r="K280" s="60" t="n">
        <x:v>0</x:v>
      </x:c>
      <x:c r="L280" s="60" t="n">
        <x:v>69.4324683056</x:v>
      </x:c>
      <x:c r="M280" s="60" t="n">
        <x:v>14.500517891600001</x:v>
      </x:c>
      <x:c r="N280" s="46" t="str">
        <x:v>bolbometopon muricatum</x:v>
      </x:c>
      <x:c r="O280" s="62" t="n">
        <x:v>2.67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Bolbometopon muricatum</x:v>
      </x:c>
      <x:c r="T280" s="62" t="n">
        <x:f>IF(O280="","",(1/'Metadata'!$B$5)^(O280-1))</x:f>
        <x:v>148.84014785129105</x:v>
      </x:c>
      <x:c r="U280" s="60" t="n">
        <x:f>IF(T280="","",I280*T280)</x:f>
        <x:v>12492.598075191618</x:v>
      </x:c>
    </x:row>
    <x:row r="281" ht="18" customHeight="1">
      <x:c r="A281" s="46" t="str">
        <x:v>LME_032</x:v>
      </x:c>
      <x:c r="B281" s="46" t="str">
        <x:v>Arabian Sea</x:v>
      </x:c>
      <x:c r="C281" s="46" t="str">
        <x:v>LME</x:v>
      </x:c>
      <x:c r="D281" s="58" t="n">
        <x:v>2019</x:v>
      </x:c>
      <x:c r="E281" s="46" t="str">
        <x:v>Rachycentridae</x:v>
      </x:c>
      <x:c r="F281" s="46" t="str">
        <x:v>Cobias</x:v>
      </x:c>
      <x:c r="G281" s="46" t="str">
        <x:v>Large pelagics (&gt;=90 cm)</x:v>
      </x:c>
      <x:c r="H281" s="46" t="str">
        <x:v>Perch-likes</x:v>
      </x:c>
      <x:c r="I281" s="60" t="n">
        <x:v>83.360501412</x:v>
      </x:c>
      <x:c r="J281" s="60" t="n">
        <x:v>76.4946209167</x:v>
      </x:c>
      <x:c r="K281" s="60" t="n">
        <x:v>6.8658804953</x:v>
      </x:c>
      <x:c r="L281" s="60" t="n">
        <x:v>0.0067269197</x:v>
      </x:c>
      <x:c r="M281" s="60" t="n">
        <x:v>83.3537744923</x:v>
      </x:c>
      <x:c r="N281" s="46" t="str">
        <x:v>rachycentridae</x:v>
      </x:c>
      <x:c r="O281" s="62" t="n">
        <x:v>3.96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Rachycentridae</x:v>
      </x:c>
      <x:c r="T281" s="62" t="n">
        <x:f>IF(O281="","",(1/'Metadata'!$B$5)^(O281-1))</x:f>
        <x:v>7096.574839945253</x:v>
      </x:c>
      <x:c r="U281" s="60" t="n">
        <x:f>IF(T281="","",I281*T281)</x:f>
        <x:v>591574.03696562</x:v>
      </x:c>
    </x:row>
    <x:row r="282" ht="18" customHeight="1">
      <x:c r="A282" s="46" t="str">
        <x:v>LME_032</x:v>
      </x:c>
      <x:c r="B282" s="46" t="str">
        <x:v>Arabian Sea</x:v>
      </x:c>
      <x:c r="C282" s="46" t="str">
        <x:v>LME</x:v>
      </x:c>
      <x:c r="D282" s="58" t="n">
        <x:v>2019</x:v>
      </x:c>
      <x:c r="E282" s="46" t="str">
        <x:v>Rastrelliger</x:v>
      </x:c>
      <x:c r="F282" s="46" t="str">
        <x:v>Indian mackerels</x:v>
      </x:c>
      <x:c r="G282" s="46" t="str">
        <x:v>Medium pelagics (30 - 89 cm)</x:v>
      </x:c>
      <x:c r="H282" s="46" t="str">
        <x:v>Perch-likes</x:v>
      </x:c>
      <x:c r="I282" s="60" t="n">
        <x:v>81.6946443225</x:v>
      </x:c>
      <x:c r="J282" s="60" t="n">
        <x:v>81.6946443225</x:v>
      </x:c>
      <x:c r="K282" s="60" t="n">
        <x:v>0</x:v>
      </x:c>
      <x:c r="L282" s="60" t="n">
        <x:v>81.6946443225</x:v>
      </x:c>
      <x:c r="M282" s="60" t="n">
        <x:v>0</x:v>
      </x:c>
      <x:c r="N282" s="46" t="str">
        <x:v>rastrelliger</x:v>
      </x:c>
      <x:c r="O282" s="62" t="n">
        <x:v>3.1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Rastrelliger</x:v>
      </x:c>
      <x:c r="T282" s="62" t="n">
        <x:f>IF(O282="","",(1/'Metadata'!$B$5)^(O282-1))</x:f>
        <x:v>539.7131390694254</x:v>
      </x:c>
      <x:c r="U282" s="60" t="n">
        <x:f>IF(T282="","",I282*T282)</x:f>
        <x:v>44091.67293245669</x:v>
      </x:c>
    </x:row>
    <x:row r="283" ht="18" customHeight="1">
      <x:c r="A283" s="46" t="str">
        <x:v>LME_032</x:v>
      </x:c>
      <x:c r="B283" s="46" t="str">
        <x:v>Arabian Sea</x:v>
      </x:c>
      <x:c r="C283" s="46" t="str">
        <x:v>LME</x:v>
      </x:c>
      <x:c r="D283" s="58" t="n">
        <x:v>2019</x:v>
      </x:c>
      <x:c r="E283" s="46" t="str">
        <x:v>Gerres longirostris</x:v>
      </x:c>
      <x:c r="F283" s="46" t="str">
        <x:v>Strongspine silver-biddy</x:v>
      </x:c>
      <x:c r="G283" s="46" t="str">
        <x:v>Medium demersals (30 - 89 cm)</x:v>
      </x:c>
      <x:c r="H283" s="46" t="str">
        <x:v>Perch-likes</x:v>
      </x:c>
      <x:c r="I283" s="60" t="n">
        <x:v>80.5468615588</x:v>
      </x:c>
      <x:c r="J283" s="60" t="n">
        <x:v>80.5468615588</x:v>
      </x:c>
      <x:c r="K283" s="60" t="n">
        <x:v>0</x:v>
      </x:c>
      <x:c r="L283" s="60" t="n">
        <x:v>23.631065537</x:v>
      </x:c>
      <x:c r="M283" s="60" t="n">
        <x:v>56.9157960218</x:v>
      </x:c>
      <x:c r="N283" s="46" t="str">
        <x:v>gerres longirostris</x:v>
      </x:c>
      <x:c r="O283" s="62" t="n">
        <x:v>3.5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Gerres longirostris</x:v>
      </x:c>
      <x:c r="T283" s="62" t="n">
        <x:f>IF(O283="","",(1/'Metadata'!$B$5)^(O283-1))</x:f>
        <x:v>1788.8543819998317</x:v>
      </x:c>
      <x:c r="U283" s="60" t="n">
        <x:f>IF(T283="","",I283*T283)</x:f>
        <x:v>144086.6062557932</x:v>
      </x:c>
    </x:row>
    <x:row r="284" ht="18" customHeight="1">
      <x:c r="A284" s="46" t="str">
        <x:v>LME_032</x:v>
      </x:c>
      <x:c r="B284" s="46" t="str">
        <x:v>Arabian Sea</x:v>
      </x:c>
      <x:c r="C284" s="46" t="str">
        <x:v>LME</x:v>
      </x:c>
      <x:c r="D284" s="58" t="n">
        <x:v>2019</x:v>
      </x:c>
      <x:c r="E284" s="46" t="str">
        <x:v>Trachinotus mookalee</x:v>
      </x:c>
      <x:c r="F284" s="46" t="str">
        <x:v>Indian pompano</x:v>
      </x:c>
      <x:c r="G284" s="46" t="str">
        <x:v>Medium demersals (30 - 89 cm)</x:v>
      </x:c>
      <x:c r="H284" s="46" t="str">
        <x:v>Perch-likes</x:v>
      </x:c>
      <x:c r="I284" s="60" t="n">
        <x:v>80.1045331388</x:v>
      </x:c>
      <x:c r="J284" s="60" t="n">
        <x:v>80.1045331388</x:v>
      </x:c>
      <x:c r="K284" s="60" t="n">
        <x:v>0</x:v>
      </x:c>
      <x:c r="L284" s="60" t="n">
        <x:v>23.5056044415</x:v>
      </x:c>
      <x:c r="M284" s="60" t="n">
        <x:v>56.598928697299996</x:v>
      </x:c>
      <x:c r="N284" s="46" t="str">
        <x:v>trachinotus mookalee</x:v>
      </x:c>
      <x:c r="O284" s="62" t="n">
        <x:v>3.78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Trachinotus mookalee</x:v>
      </x:c>
      <x:c r="T284" s="62" t="n">
        <x:f>IF(O284="","",(1/'Metadata'!$B$5)^(O284-1))</x:f>
        <x:v>4138.694671981463</x:v>
      </x:c>
      <x:c r="U284" s="60" t="n">
        <x:f>IF(T284="","",I284*T284)</x:f>
        <x:v>331528.2045031141</x:v>
      </x:c>
    </x:row>
    <x:row r="285" ht="18" customHeight="1">
      <x:c r="A285" s="46" t="str">
        <x:v>LME_032</x:v>
      </x:c>
      <x:c r="B285" s="46" t="str">
        <x:v>Arabian Sea</x:v>
      </x:c>
      <x:c r="C285" s="46" t="str">
        <x:v>LME</x:v>
      </x:c>
      <x:c r="D285" s="58" t="n">
        <x:v>2019</x:v>
      </x:c>
      <x:c r="E285" s="46" t="str">
        <x:v>Hilsa kelee</x:v>
      </x:c>
      <x:c r="F285" s="46" t="str">
        <x:v>Kelee shad</x:v>
      </x:c>
      <x:c r="G285" s="46" t="str">
        <x:v>Small pelagics (&lt;30 cm)</x:v>
      </x:c>
      <x:c r="H285" s="46" t="str">
        <x:v>Herring-likes</x:v>
      </x:c>
      <x:c r="I285" s="60" t="n">
        <x:v>79.90453335929999</x:v>
      </x:c>
      <x:c r="J285" s="60" t="n">
        <x:v>0</x:v>
      </x:c>
      <x:c r="K285" s="60" t="n">
        <x:v>79.90453335929999</x:v>
      </x:c>
      <x:c r="L285" s="60" t="n">
        <x:v>0</x:v>
      </x:c>
      <x:c r="M285" s="60" t="n">
        <x:v>79.90453335929999</x:v>
      </x:c>
      <x:c r="N285" s="46" t="str">
        <x:v>hilsa kelee</x:v>
      </x:c>
      <x:c r="O285" s="62" t="n">
        <x:v>3.25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Hilsa kelee</x:v>
      </x:c>
      <x:c r="T285" s="62" t="n">
        <x:f>IF(O285="","",(1/'Metadata'!$B$5)^(O285-1))</x:f>
        <x:v>845.8970107524513</x:v>
      </x:c>
      <x:c r="U285" s="60" t="n">
        <x:f>IF(T285="","",I285*T285)</x:f>
        <x:v>67591.00591420138</x:v>
      </x:c>
    </x:row>
    <x:row r="286" ht="18" customHeight="1">
      <x:c r="A286" s="46" t="str">
        <x:v>LME_032</x:v>
      </x:c>
      <x:c r="B286" s="46" t="str">
        <x:v>Arabian Sea</x:v>
      </x:c>
      <x:c r="C286" s="46" t="str">
        <x:v>LME</x:v>
      </x:c>
      <x:c r="D286" s="58" t="n">
        <x:v>2019</x:v>
      </x:c>
      <x:c r="E286" s="46" t="str">
        <x:v>Carcharhinus longimanus</x:v>
      </x:c>
      <x:c r="F286" s="46" t="str">
        <x:v>Oceanic whitetip shark</x:v>
      </x:c>
      <x:c r="G286" s="46" t="str">
        <x:v>Large sharks (&gt;=90 cm)</x:v>
      </x:c>
      <x:c r="H286" s="46" t="str">
        <x:v>Sharks &amp; rays</x:v>
      </x:c>
      <x:c r="I286" s="60" t="n">
        <x:v>77.8966908449</x:v>
      </x:c>
      <x:c r="J286" s="60" t="n">
        <x:v>77.8966908449</x:v>
      </x:c>
      <x:c r="K286" s="60" t="n">
        <x:v>0</x:v>
      </x:c>
      <x:c r="L286" s="60" t="n">
        <x:v>70.2479525456</x:v>
      </x:c>
      <x:c r="M286" s="60" t="n">
        <x:v>7.6487382993</x:v>
      </x:c>
      <x:c r="N286" s="46" t="str">
        <x:v>carcharhinus longimanus</x:v>
      </x:c>
      <x:c r="O286" s="62" t="n">
        <x:v>4.16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Carcharhinus longimanus</x:v>
      </x:c>
      <x:c r="T286" s="62" t="n">
        <x:f>IF(O286="","",(1/'Metadata'!$B$5)^(O286-1))</x:f>
        <x:v>12919.77011769987</x:v>
      </x:c>
      <x:c r="U286" s="60" t="n">
        <x:f>IF(T286="","",I286*T286)</x:f>
        <x:v>1006407.338645644</x:v>
      </x:c>
    </x:row>
    <x:row r="287" ht="18" customHeight="1">
      <x:c r="A287" s="46" t="str">
        <x:v>LME_032</x:v>
      </x:c>
      <x:c r="B287" s="46" t="str">
        <x:v>Arabian Sea</x:v>
      </x:c>
      <x:c r="C287" s="46" t="str">
        <x:v>LME</x:v>
      </x:c>
      <x:c r="D287" s="58" t="n">
        <x:v>2019</x:v>
      </x:c>
      <x:c r="E287" s="46" t="str">
        <x:v>Scyris indica</x:v>
      </x:c>
      <x:c r="F287" s="46" t="str">
        <x:v>Indian threadfish</x:v>
      </x:c>
      <x:c r="G287" s="46" t="str">
        <x:v>Large reef assoc. fish (&gt;=90 cm)</x:v>
      </x:c>
      <x:c r="H287" s="46" t="str">
        <x:v>Perch-likes</x:v>
      </x:c>
      <x:c r="I287" s="60" t="n">
        <x:v>76.2077720442</x:v>
      </x:c>
      <x:c r="J287" s="60" t="n">
        <x:v>76.2077720442</x:v>
      </x:c>
      <x:c r="K287" s="60" t="n">
        <x:v>0</x:v>
      </x:c>
      <x:c r="L287" s="60" t="n">
        <x:v>0</x:v>
      </x:c>
      <x:c r="M287" s="60" t="n">
        <x:v>76.2077720442</x:v>
      </x:c>
      <x:c r="N287" s="46" t="str">
        <x:v>scyris indica</x:v>
      </x:c>
      <x:c r="O287" s="62" t="n">
        <x:v>4.09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Scyris indica</x:v>
      </x:c>
      <x:c r="T287" s="62" t="n">
        <x:f>IF(O287="","",(1/'Metadata'!$B$5)^(O287-1))</x:f>
        <x:v>10475.691168449957</x:v>
      </x:c>
      <x:c r="U287" s="60" t="n">
        <x:f>IF(T287="","",I287*T287)</x:f>
        <x:v>798329.0845706735</x:v>
      </x:c>
    </x:row>
    <x:row r="288" ht="18" customHeight="1">
      <x:c r="A288" s="46" t="str">
        <x:v>LME_032</x:v>
      </x:c>
      <x:c r="B288" s="46" t="str">
        <x:v>Arabian Sea</x:v>
      </x:c>
      <x:c r="C288" s="46" t="str">
        <x:v>LME</x:v>
      </x:c>
      <x:c r="D288" s="58" t="n">
        <x:v>2019</x:v>
      </x:c>
      <x:c r="E288" s="46" t="str">
        <x:v>Atropus armatus</x:v>
      </x:c>
      <x:c r="F288" s="46" t="str">
        <x:v>Longfin trevally</x:v>
      </x:c>
      <x:c r="G288" s="46" t="str">
        <x:v>Medium reef assoc. fish (30 - 89 cm)</x:v>
      </x:c>
      <x:c r="H288" s="46" t="str">
        <x:v>Perch-likes</x:v>
      </x:c>
      <x:c r="I288" s="60" t="n">
        <x:v>72.39867264749999</x:v>
      </x:c>
      <x:c r="J288" s="60" t="n">
        <x:v>72.39867264749999</x:v>
      </x:c>
      <x:c r="K288" s="60" t="n">
        <x:v>0</x:v>
      </x:c>
      <x:c r="L288" s="60" t="n">
        <x:v>0</x:v>
      </x:c>
      <x:c r="M288" s="60" t="n">
        <x:v>72.39867264749999</x:v>
      </x:c>
      <x:c r="N288" s="46" t="str">
        <x:v>atropus armatus</x:v>
      </x:c>
      <x:c r="O288" s="62" t="n">
        <x:v>4.15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Atropus armatus</x:v>
      </x:c>
      <x:c r="T288" s="62" t="n">
        <x:f>IF(O288="","",(1/'Metadata'!$B$5)^(O288-1))</x:f>
        <x:v>12538.46830130465</x:v>
      </x:c>
      <x:c r="U288" s="60" t="n">
        <x:f>IF(T288="","",I288*T288)</x:f>
        <x:v>907768.4620472107</x:v>
      </x:c>
    </x:row>
    <x:row r="289" ht="18" customHeight="1">
      <x:c r="A289" s="46" t="str">
        <x:v>LME_032</x:v>
      </x:c>
      <x:c r="B289" s="46" t="str">
        <x:v>Arabian Sea</x:v>
      </x:c>
      <x:c r="C289" s="46" t="str">
        <x:v>LME</x:v>
      </x:c>
      <x:c r="D289" s="58" t="n">
        <x:v>2019</x:v>
      </x:c>
      <x:c r="E289" s="46" t="str">
        <x:v>Plectorhinchus schotaf</x:v>
      </x:c>
      <x:c r="F289" s="46" t="str">
        <x:v>Minstrel sweetlips</x:v>
      </x:c>
      <x:c r="G289" s="46" t="str">
        <x:v>Medium reef assoc. fish (30 - 89 cm)</x:v>
      </x:c>
      <x:c r="H289" s="46" t="str">
        <x:v>Perch-likes</x:v>
      </x:c>
      <x:c r="I289" s="60" t="n">
        <x:v>70.8966956128</x:v>
      </x:c>
      <x:c r="J289" s="60" t="n">
        <x:v>70.8966956128</x:v>
      </x:c>
      <x:c r="K289" s="60" t="n">
        <x:v>0</x:v>
      </x:c>
      <x:c r="L289" s="60" t="n">
        <x:v>49.15198510889999</x:v>
      </x:c>
      <x:c r="M289" s="60" t="n">
        <x:v>21.744710503900002</x:v>
      </x:c>
      <x:c r="N289" s="46" t="str">
        <x:v>plectorhinchus schotaf</x:v>
      </x:c>
      <x:c r="O289" s="62" t="n">
        <x:v>3.82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Plectorhinchus schotaf</x:v>
      </x:c>
      <x:c r="T289" s="62" t="n">
        <x:f>IF(O289="","",(1/'Metadata'!$B$5)^(O289-1))</x:f>
        <x:v>4665.56868948727</x:v>
      </x:c>
      <x:c r="U289" s="60" t="n">
        <x:f>IF(T289="","",I289*T289)</x:f>
        <x:v>330773.4032391892</x:v>
      </x:c>
    </x:row>
    <x:row r="290" ht="18" customHeight="1">
      <x:c r="A290" s="46" t="str">
        <x:v>LME_032</x:v>
      </x:c>
      <x:c r="B290" s="46" t="str">
        <x:v>Arabian Sea</x:v>
      </x:c>
      <x:c r="C290" s="46" t="str">
        <x:v>LME</x:v>
      </x:c>
      <x:c r="D290" s="58" t="n">
        <x:v>2019</x:v>
      </x:c>
      <x:c r="E290" s="46" t="str">
        <x:v>Sphyrna lewini</x:v>
      </x:c>
      <x:c r="F290" s="46" t="str">
        <x:v>Scalloped hammerhead</x:v>
      </x:c>
      <x:c r="G290" s="46" t="str">
        <x:v>Large sharks (&gt;=90 cm)</x:v>
      </x:c>
      <x:c r="H290" s="46" t="str">
        <x:v>Sharks &amp; rays</x:v>
      </x:c>
      <x:c r="I290" s="60" t="n">
        <x:v>70.8423699149</x:v>
      </x:c>
      <x:c r="J290" s="60" t="n">
        <x:v>70.8423699149</x:v>
      </x:c>
      <x:c r="K290" s="60" t="n">
        <x:v>0</x:v>
      </x:c>
      <x:c r="L290" s="60" t="n">
        <x:v>1.9599828424</x:v>
      </x:c>
      <x:c r="M290" s="60" t="n">
        <x:v>68.8823870725</x:v>
      </x:c>
      <x:c r="N290" s="46" t="str">
        <x:v>sphyrna lewini</x:v>
      </x:c>
      <x:c r="O290" s="62" t="n">
        <x:v>4.08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Sphyrna lewini</x:v>
      </x:c>
      <x:c r="T290" s="62" t="n">
        <x:f>IF(O290="","",(1/'Metadata'!$B$5)^(O290-1))</x:f>
        <x:v>10166.521575327472</x:v>
      </x:c>
      <x:c r="U290" s="60" t="n">
        <x:f>IF(T290="","",I290*T290)</x:f>
        <x:v>720220.4821871606</x:v>
      </x:c>
    </x:row>
    <x:row r="291" ht="18" customHeight="1">
      <x:c r="A291" s="46" t="str">
        <x:v>LME_032</x:v>
      </x:c>
      <x:c r="B291" s="46" t="str">
        <x:v>Arabian Sea</x:v>
      </x:c>
      <x:c r="C291" s="46" t="str">
        <x:v>LME</x:v>
      </x:c>
      <x:c r="D291" s="58" t="n">
        <x:v>2019</x:v>
      </x:c>
      <x:c r="E291" s="46" t="str">
        <x:v>Sepioteuthis lessoniana</x:v>
      </x:c>
      <x:c r="F291" s="46" t="str">
        <x:v>Bigfin reef squid</x:v>
      </x:c>
      <x:c r="G291" s="46" t="str">
        <x:v>Cephalopods</x:v>
      </x:c>
      <x:c r="H291" s="46" t="str">
        <x:v>Other fishes &amp; inverts</x:v>
      </x:c>
      <x:c r="I291" s="60" t="n">
        <x:v>69.91063238939999</x:v>
      </x:c>
      <x:c r="J291" s="60" t="n">
        <x:v>69.91063238939999</x:v>
      </x:c>
      <x:c r="K291" s="60" t="n">
        <x:v>0</x:v>
      </x:c>
      <x:c r="L291" s="60" t="n">
        <x:v>0</x:v>
      </x:c>
      <x:c r="M291" s="60" t="n">
        <x:v>69.91063238939999</x:v>
      </x:c>
      <x:c r="N291" s="46" t="str">
        <x:v>sepioteuthis lessoniana</x:v>
      </x:c>
      <x:c r="O291" s="62" t="n">
        <x:v>3.98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Sepioteuthis lessoniana</x:v>
      </x:c>
      <x:c r="T291" s="62" t="n">
        <x:f>IF(O291="","",(1/'Metadata'!$B$5)^(O291-1))</x:f>
        <x:v>7534.759367064222</x:v>
      </x:c>
      <x:c r="U291" s="60" t="n">
        <x:f>IF(T291="","",I291*T291)</x:f>
        <x:v>526759.792253415</x:v>
      </x:c>
    </x:row>
    <x:row r="292" ht="18" customHeight="1">
      <x:c r="A292" s="46" t="str">
        <x:v>LME_032</x:v>
      </x:c>
      <x:c r="B292" s="46" t="str">
        <x:v>Arabian Sea</x:v>
      </x:c>
      <x:c r="C292" s="46" t="str">
        <x:v>LME</x:v>
      </x:c>
      <x:c r="D292" s="58" t="n">
        <x:v>2019</x:v>
      </x:c>
      <x:c r="E292" s="46" t="str">
        <x:v>Crenidens crenidens</x:v>
      </x:c>
      <x:c r="F292" s="46" t="str">
        <x:v>Karanteen seabream</x:v>
      </x:c>
      <x:c r="G292" s="46" t="str">
        <x:v>Small demersals (&lt;30 cm)</x:v>
      </x:c>
      <x:c r="H292" s="46" t="str">
        <x:v>Perch-likes</x:v>
      </x:c>
      <x:c r="I292" s="60" t="n">
        <x:v>65.0630913088</x:v>
      </x:c>
      <x:c r="J292" s="60" t="n">
        <x:v>65.0630913088</x:v>
      </x:c>
      <x:c r="K292" s="60" t="n">
        <x:v>0</x:v>
      </x:c>
      <x:c r="L292" s="60" t="n">
        <x:v>56.2512485829</x:v>
      </x:c>
      <x:c r="M292" s="60" t="n">
        <x:v>8.8118427259</x:v>
      </x:c>
      <x:c r="N292" s="46" t="str">
        <x:v>crenidens crenidens</x:v>
      </x:c>
      <x:c r="O292" s="62" t="n">
        <x:v>2.8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Crenidens crenidens</x:v>
      </x:c>
      <x:c r="T292" s="62" t="n">
        <x:f>IF(O292="","",(1/'Metadata'!$B$5)^(O292-1))</x:f>
        <x:v>219.71210866122343</x:v>
      </x:c>
      <x:c r="U292" s="60" t="n">
        <x:f>IF(T292="","",I292*T292)</x:f>
        <x:v>14295.148987474166</x:v>
      </x:c>
    </x:row>
    <x:row r="293" ht="18" customHeight="1">
      <x:c r="A293" s="46" t="str">
        <x:v>LME_032</x:v>
      </x:c>
      <x:c r="B293" s="46" t="str">
        <x:v>Arabian Sea</x:v>
      </x:c>
      <x:c r="C293" s="46" t="str">
        <x:v>LME</x:v>
      </x:c>
      <x:c r="D293" s="58" t="n">
        <x:v>2019</x:v>
      </x:c>
      <x:c r="E293" s="46" t="str">
        <x:v>Carcharhinus albimarginatus</x:v>
      </x:c>
      <x:c r="F293" s="46" t="str">
        <x:v>Silvertip shark</x:v>
      </x:c>
      <x:c r="G293" s="46" t="str">
        <x:v>Large sharks (&gt;=90 cm)</x:v>
      </x:c>
      <x:c r="H293" s="46" t="str">
        <x:v>Sharks &amp; rays</x:v>
      </x:c>
      <x:c r="I293" s="60" t="n">
        <x:v>62.772813028399995</x:v>
      </x:c>
      <x:c r="J293" s="60" t="n">
        <x:v>62.772813028399995</x:v>
      </x:c>
      <x:c r="K293" s="60" t="n">
        <x:v>0</x:v>
      </x:c>
      <x:c r="L293" s="60" t="n">
        <x:v>1.6912398960000001</x:v>
      </x:c>
      <x:c r="M293" s="60" t="n">
        <x:v>61.081573132399996</x:v>
      </x:c>
      <x:c r="N293" s="46" t="str">
        <x:v>carcharhinus albimarginatus</x:v>
      </x:c>
      <x:c r="O293" s="62" t="n">
        <x:v>4.21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Carcharhinus albimarginatus</x:v>
      </x:c>
      <x:c r="T293" s="62" t="n">
        <x:f>IF(O293="","",(1/'Metadata'!$B$5)^(O293-1))</x:f>
        <x:v>15007.428609226863</x:v>
      </x:c>
      <x:c r="U293" s="60" t="n">
        <x:f>IF(T293="","",I293*T293)</x:f>
        <x:v>942058.5101240588</x:v>
      </x:c>
    </x:row>
    <x:row r="294" ht="18" customHeight="1">
      <x:c r="A294" s="46" t="str">
        <x:v>LME_032</x:v>
      </x:c>
      <x:c r="B294" s="46" t="str">
        <x:v>Arabian Sea</x:v>
      </x:c>
      <x:c r="C294" s="46" t="str">
        <x:v>LME</x:v>
      </x:c>
      <x:c r="D294" s="58" t="n">
        <x:v>2019</x:v>
      </x:c>
      <x:c r="E294" s="46" t="str">
        <x:v>Lutjanus russellii</x:v>
      </x:c>
      <x:c r="F294" s="46" t="str">
        <x:v>Russell's snapper</x:v>
      </x:c>
      <x:c r="G294" s="46" t="str">
        <x:v>Medium reef assoc. fish (30 - 89 cm)</x:v>
      </x:c>
      <x:c r="H294" s="46" t="str">
        <x:v>Perch-likes</x:v>
      </x:c>
      <x:c r="I294" s="60" t="n">
        <x:v>61.9176394999</x:v>
      </x:c>
      <x:c r="J294" s="60" t="n">
        <x:v>61.9176394999</x:v>
      </x:c>
      <x:c r="K294" s="60" t="n">
        <x:v>0</x:v>
      </x:c>
      <x:c r="L294" s="60" t="n">
        <x:v>15.0928896798</x:v>
      </x:c>
      <x:c r="M294" s="60" t="n">
        <x:v>46.824749820099996</x:v>
      </x:c>
      <x:c r="N294" s="46" t="str">
        <x:v>lutjanus russellii</x:v>
      </x:c>
      <x:c r="O294" s="62" t="n">
        <x:v>4.1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Lutjanus russellii</x:v>
      </x:c>
      <x:c r="T294" s="62" t="n">
        <x:f>IF(O294="","",(1/'Metadata'!$B$5)^(O294-1))</x:f>
        <x:v>10794.262781388496</x:v>
      </x:c>
      <x:c r="U294" s="60" t="n">
        <x:f>IF(T294="","",I294*T294)</x:f>
        <x:v>668355.2715652008</x:v>
      </x:c>
    </x:row>
    <x:row r="295" ht="18" customHeight="1">
      <x:c r="A295" s="46" t="str">
        <x:v>LME_032</x:v>
      </x:c>
      <x:c r="B295" s="46" t="str">
        <x:v>Arabian Sea</x:v>
      </x:c>
      <x:c r="C295" s="46" t="str">
        <x:v>LME</x:v>
      </x:c>
      <x:c r="D295" s="58" t="n">
        <x:v>2019</x:v>
      </x:c>
      <x:c r="E295" s="46" t="str">
        <x:v>Mollusca</x:v>
      </x:c>
      <x:c r="F295" s="46" t="str">
        <x:v>Clams, seasnails, squids, octopuses</x:v>
      </x:c>
      <x:c r="G295" s="46" t="str">
        <x:v>Other demersal invertebrates</x:v>
      </x:c>
      <x:c r="H295" s="46" t="str">
        <x:v>Molluscs</x:v>
      </x:c>
      <x:c r="I295" s="60" t="n">
        <x:v>53.8537949785</x:v>
      </x:c>
      <x:c r="J295" s="60" t="n">
        <x:v>53.8537949785</x:v>
      </x:c>
      <x:c r="K295" s="60" t="n">
        <x:v>0</x:v>
      </x:c>
      <x:c r="L295" s="60" t="n">
        <x:v>53.802398648</x:v>
      </x:c>
      <x:c r="M295" s="60" t="n">
        <x:v>0.0513963305</x:v>
      </x:c>
      <x:c r="N295" s="46" t="str">
        <x:v>mollusca</x:v>
      </x:c>
      <x:c r="O295" s="62" t="n">
        <x:v>2.1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Mollusca</x:v>
      </x:c>
      <x:c r="T295" s="62" t="n">
        <x:f>IF(O295="","",(1/'Metadata'!$B$5)^(O295-1))</x:f>
        <x:v>26.985656953471274</x:v>
      </x:c>
      <x:c r="U295" s="60" t="n">
        <x:f>IF(T295="","",I295*T295)</x:f>
        <x:v>1453.2800369323747</x:v>
      </x:c>
    </x:row>
    <x:row r="296" ht="18" customHeight="1">
      <x:c r="A296" s="46" t="str">
        <x:v>LME_032</x:v>
      </x:c>
      <x:c r="B296" s="46" t="str">
        <x:v>Arabian Sea</x:v>
      </x:c>
      <x:c r="C296" s="46" t="str">
        <x:v>LME</x:v>
      </x:c>
      <x:c r="D296" s="58" t="n">
        <x:v>2019</x:v>
      </x:c>
      <x:c r="E296" s="46" t="str">
        <x:v>Nebrius ferrugineus</x:v>
      </x:c>
      <x:c r="F296" s="46" t="str">
        <x:v>Tawny nurse shark</x:v>
      </x:c>
      <x:c r="G296" s="46" t="str">
        <x:v>Large sharks (&gt;=90 cm)</x:v>
      </x:c>
      <x:c r="H296" s="46" t="str">
        <x:v>Sharks &amp; rays</x:v>
      </x:c>
      <x:c r="I296" s="60" t="n">
        <x:v>51.425696002500004</x:v>
      </x:c>
      <x:c r="J296" s="60" t="n">
        <x:v>51.425696002500004</x:v>
      </x:c>
      <x:c r="K296" s="60" t="n">
        <x:v>0</x:v>
      </x:c>
      <x:c r="L296" s="60" t="n">
        <x:v>51.425696002500004</x:v>
      </x:c>
      <x:c r="M296" s="60" t="n">
        <x:v>0</x:v>
      </x:c>
      <x:c r="N296" s="46" t="str">
        <x:v>nebrius ferrugineus</x:v>
      </x:c>
      <x:c r="O296" s="62" t="n">
        <x:v>4.1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Nebrius ferrugineus</x:v>
      </x:c>
      <x:c r="T296" s="62" t="n">
        <x:f>IF(O296="","",(1/'Metadata'!$B$5)^(O296-1))</x:f>
        <x:v>10794.262781388496</x:v>
      </x:c>
      <x:c r="U296" s="60" t="n">
        <x:f>IF(T296="","",I296*T296)</x:f>
        <x:v>555102.4763667849</x:v>
      </x:c>
    </x:row>
    <x:row r="297" ht="18" customHeight="1">
      <x:c r="A297" s="46" t="str">
        <x:v>LME_032</x:v>
      </x:c>
      <x:c r="B297" s="46" t="str">
        <x:v>Arabian Sea</x:v>
      </x:c>
      <x:c r="C297" s="46" t="str">
        <x:v>LME</x:v>
      </x:c>
      <x:c r="D297" s="58" t="n">
        <x:v>2019</x:v>
      </x:c>
      <x:c r="E297" s="46" t="str">
        <x:v>Carcharhiniformes</x:v>
      </x:c>
      <x:c r="F297" s="46" t="str">
        <x:v>Ground sharks</x:v>
      </x:c>
      <x:c r="G297" s="46" t="str">
        <x:v>Large sharks (&gt;=90 cm)</x:v>
      </x:c>
      <x:c r="H297" s="46" t="str">
        <x:v>Sharks &amp; rays</x:v>
      </x:c>
      <x:c r="I297" s="60" t="n">
        <x:v>51.3218003719</x:v>
      </x:c>
      <x:c r="J297" s="60" t="n">
        <x:v>51.3218003719</x:v>
      </x:c>
      <x:c r="K297" s="60" t="n">
        <x:v>0</x:v>
      </x:c>
      <x:c r="L297" s="60" t="n">
        <x:v>51.3218003719</x:v>
      </x:c>
      <x:c r="M297" s="60" t="n">
        <x:v>0</x:v>
      </x:c>
      <x:c r="N297" s="46" t="str">
        <x:v>carcharhiniformes</x:v>
      </x:c>
      <x:c r="O297" s="62" t="n">
        <x:v>4.08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Carcharhiniformes</x:v>
      </x:c>
      <x:c r="T297" s="62" t="n">
        <x:f>IF(O297="","",(1/'Metadata'!$B$5)^(O297-1))</x:f>
        <x:v>10166.521575327472</x:v>
      </x:c>
      <x:c r="U297" s="60" t="n">
        <x:f>IF(T297="","",I297*T297)</x:f>
        <x:v>521764.1907655708</x:v>
      </x:c>
    </x:row>
    <x:row r="298" ht="18" customHeight="1">
      <x:c r="A298" s="46" t="str">
        <x:v>LME_032</x:v>
      </x:c>
      <x:c r="B298" s="46" t="str">
        <x:v>Arabian Sea</x:v>
      </x:c>
      <x:c r="C298" s="46" t="str">
        <x:v>LME</x:v>
      </x:c>
      <x:c r="D298" s="58" t="n">
        <x:v>2019</x:v>
      </x:c>
      <x:c r="E298" s="46" t="str">
        <x:v>Spratelloides gracilis</x:v>
      </x:c>
      <x:c r="F298" s="46" t="str">
        <x:v>Silver-stripe round herring</x:v>
      </x:c>
      <x:c r="G298" s="46" t="str">
        <x:v>Small pelagics (&lt;30 cm)</x:v>
      </x:c>
      <x:c r="H298" s="46" t="str">
        <x:v>Herring-likes</x:v>
      </x:c>
      <x:c r="I298" s="60" t="n">
        <x:v>51.3076464852</x:v>
      </x:c>
      <x:c r="J298" s="60" t="n">
        <x:v>51.3076464852</x:v>
      </x:c>
      <x:c r="K298" s="60" t="n">
        <x:v>0</x:v>
      </x:c>
      <x:c r="L298" s="60" t="n">
        <x:v>0</x:v>
      </x:c>
      <x:c r="M298" s="60" t="n">
        <x:v>51.3076464852</x:v>
      </x:c>
      <x:c r="N298" s="46" t="str">
        <x:v>spratelloides gracilis</x:v>
      </x:c>
      <x:c r="O298" s="62" t="n">
        <x:v>3.06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Spratelloides gracilis</x:v>
      </x:c>
      <x:c r="T298" s="62" t="n">
        <x:f>IF(O298="","",(1/'Metadata'!$B$5)^(O298-1))</x:f>
        <x:v>478.7643354384948</x:v>
      </x:c>
      <x:c r="U298" s="60" t="n">
        <x:f>IF(T298="","",I298*T298)</x:f>
        <x:v>24564.271272400005</x:v>
      </x:c>
    </x:row>
    <x:row r="299" ht="18" customHeight="1">
      <x:c r="A299" s="46" t="str">
        <x:v>LME_032</x:v>
      </x:c>
      <x:c r="B299" s="46" t="str">
        <x:v>Arabian Sea</x:v>
      </x:c>
      <x:c r="C299" s="46" t="str">
        <x:v>LME</x:v>
      </x:c>
      <x:c r="D299" s="58" t="n">
        <x:v>2019</x:v>
      </x:c>
      <x:c r="E299" s="46" t="str">
        <x:v>Pristipomoides</x:v>
      </x:c>
      <x:c r="F299" s="46" t="str">
        <x:v>Jobfishes</x:v>
      </x:c>
      <x:c r="G299" s="46" t="str">
        <x:v>Medium demersals (30 - 89 cm)</x:v>
      </x:c>
      <x:c r="H299" s="46" t="str">
        <x:v>Perch-likes</x:v>
      </x:c>
      <x:c r="I299" s="60" t="n">
        <x:v>48.3603788729</x:v>
      </x:c>
      <x:c r="J299" s="60" t="n">
        <x:v>48.3603788729</x:v>
      </x:c>
      <x:c r="K299" s="60" t="n">
        <x:v>0</x:v>
      </x:c>
      <x:c r="L299" s="60" t="n">
        <x:v>48.3603788729</x:v>
      </x:c>
      <x:c r="M299" s="60" t="n">
        <x:v>0</x:v>
      </x:c>
      <x:c r="N299" s="46" t="str">
        <x:v>pristipomoides</x:v>
      </x:c>
      <x:c r="O299" s="62" t="n">
        <x:v>3.91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Pristipomoides</x:v>
      </x:c>
      <x:c r="T299" s="62" t="n">
        <x:f>IF(O299="","",(1/'Metadata'!$B$5)^(O299-1))</x:f>
        <x:v>6109.382089532312</x:v>
      </x:c>
      <x:c r="U299" s="60" t="n">
        <x:f>IF(T299="","",I299*T299)</x:f>
        <x:v>295452.0325290921</x:v>
      </x:c>
    </x:row>
    <x:row r="300" ht="18" customHeight="1">
      <x:c r="A300" s="46" t="str">
        <x:v>LME_032</x:v>
      </x:c>
      <x:c r="B300" s="46" t="str">
        <x:v>Arabian Sea</x:v>
      </x:c>
      <x:c r="C300" s="46" t="str">
        <x:v>LME</x:v>
      </x:c>
      <x:c r="D300" s="58" t="n">
        <x:v>2019</x:v>
      </x:c>
      <x:c r="E300" s="46" t="str">
        <x:v>Monotaxis grandoculis</x:v>
      </x:c>
      <x:c r="F300" s="46" t="str">
        <x:v>Humpnose big-eye bream</x:v>
      </x:c>
      <x:c r="G300" s="46" t="str">
        <x:v>Medium reef assoc. fish (30 - 89 cm)</x:v>
      </x:c>
      <x:c r="H300" s="46" t="str">
        <x:v>Perch-likes</x:v>
      </x:c>
      <x:c r="I300" s="60" t="n">
        <x:v>47.4653444192</x:v>
      </x:c>
      <x:c r="J300" s="60" t="n">
        <x:v>47.4653444192</x:v>
      </x:c>
      <x:c r="K300" s="60" t="n">
        <x:v>0</x:v>
      </x:c>
      <x:c r="L300" s="60" t="n">
        <x:v>35.734447262699994</x:v>
      </x:c>
      <x:c r="M300" s="60" t="n">
        <x:v>11.7308971565</x:v>
      </x:c>
      <x:c r="N300" s="46" t="str">
        <x:v>monotaxis grandoculis</x:v>
      </x:c>
      <x:c r="O300" s="62" t="n">
        <x:v>3.37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Monotaxis grandoculis</x:v>
      </x:c>
      <x:c r="T300" s="62" t="n">
        <x:f>IF(O300="","",(1/'Metadata'!$B$5)^(O300-1))</x:f>
        <x:v>1211.828298056271</x:v>
      </x:c>
      <x:c r="U300" s="60" t="n">
        <x:f>IF(T300="","",I300*T300)</x:f>
        <x:v>57519.847544173856</x:v>
      </x:c>
    </x:row>
    <x:row r="301" ht="18" customHeight="1">
      <x:c r="A301" s="46" t="str">
        <x:v>LME_032</x:v>
      </x:c>
      <x:c r="B301" s="46" t="str">
        <x:v>Arabian Sea</x:v>
      </x:c>
      <x:c r="C301" s="46" t="str">
        <x:v>LME</x:v>
      </x:c>
      <x:c r="D301" s="58" t="n">
        <x:v>2019</x:v>
      </x:c>
      <x:c r="E301" s="46" t="str">
        <x:v>Carcharhinus plumbeus</x:v>
      </x:c>
      <x:c r="F301" s="46" t="str">
        <x:v>Sandbar shark</x:v>
      </x:c>
      <x:c r="G301" s="46" t="str">
        <x:v>Large sharks (&gt;=90 cm)</x:v>
      </x:c>
      <x:c r="H301" s="46" t="str">
        <x:v>Sharks &amp; rays</x:v>
      </x:c>
      <x:c r="I301" s="60" t="n">
        <x:v>47.0705105901</x:v>
      </x:c>
      <x:c r="J301" s="60" t="n">
        <x:v>47.0705105901</x:v>
      </x:c>
      <x:c r="K301" s="60" t="n">
        <x:v>0</x:v>
      </x:c>
      <x:c r="L301" s="60" t="n">
        <x:v>1.2681847695000001</x:v>
      </x:c>
      <x:c r="M301" s="60" t="n">
        <x:v>45.8023258206</x:v>
      </x:c>
      <x:c r="N301" s="46" t="str">
        <x:v>carcharhinus plumbeus</x:v>
      </x:c>
      <x:c r="O301" s="62" t="n">
        <x:v>4.49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Carcharhinus plumbeus</x:v>
      </x:c>
      <x:c r="T301" s="62" t="n">
        <x:f>IF(O301="","",(1/'Metadata'!$B$5)^(O301-1))</x:f>
        <x:v>34721.19667768202</x:v>
      </x:c>
      <x:c r="U301" s="60" t="n">
        <x:f>IF(T301="","",I301*T301)</x:f>
        <x:v>1634344.4559177763</x:v>
      </x:c>
    </x:row>
    <x:row r="302" ht="18" customHeight="1">
      <x:c r="A302" s="46" t="str">
        <x:v>LME_032</x:v>
      </x:c>
      <x:c r="B302" s="46" t="str">
        <x:v>Arabian Sea</x:v>
      </x:c>
      <x:c r="C302" s="46" t="str">
        <x:v>LME</x:v>
      </x:c>
      <x:c r="D302" s="58" t="n">
        <x:v>2019</x:v>
      </x:c>
      <x:c r="E302" s="46" t="str">
        <x:v>Balistidae</x:v>
      </x:c>
      <x:c r="F302" s="46" t="str">
        <x:v>Triggerfishes</x:v>
      </x:c>
      <x:c r="G302" s="46" t="str">
        <x:v>Medium reef assoc. fish (30 - 89 cm)</x:v>
      </x:c>
      <x:c r="H302" s="46" t="str">
        <x:v>Other fishes &amp; inverts</x:v>
      </x:c>
      <x:c r="I302" s="60" t="n">
        <x:v>46.4469439263</x:v>
      </x:c>
      <x:c r="J302" s="60" t="n">
        <x:v>46.4469439263</x:v>
      </x:c>
      <x:c r="K302" s="60" t="n">
        <x:v>0</x:v>
      </x:c>
      <x:c r="L302" s="60" t="n">
        <x:v>0</x:v>
      </x:c>
      <x:c r="M302" s="60" t="n">
        <x:v>46.4469439263</x:v>
      </x:c>
      <x:c r="N302" s="46" t="str">
        <x:v>balistidae</x:v>
      </x:c>
      <x:c r="O302" s="62" t="n">
        <x:v>3.25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Balistidae</x:v>
      </x:c>
      <x:c r="T302" s="62" t="n">
        <x:f>IF(O302="","",(1/'Metadata'!$B$5)^(O302-1))</x:f>
        <x:v>845.8970107524513</x:v>
      </x:c>
      <x:c r="U302" s="60" t="n">
        <x:f>IF(T302="","",I302*T302)</x:f>
        <x:v>39289.331025843894</x:v>
      </x:c>
    </x:row>
    <x:row r="303" ht="18" customHeight="1">
      <x:c r="A303" s="46" t="str">
        <x:v>LME_032</x:v>
      </x:c>
      <x:c r="B303" s="46" t="str">
        <x:v>Arabian Sea</x:v>
      </x:c>
      <x:c r="C303" s="46" t="str">
        <x:v>LME</x:v>
      </x:c>
      <x:c r="D303" s="58" t="n">
        <x:v>2019</x:v>
      </x:c>
      <x:c r="E303" s="46" t="str">
        <x:v>Terapontidae</x:v>
      </x:c>
      <x:c r="F303" s="46" t="str">
        <x:v>Grunters, tigerperches</x:v>
      </x:c>
      <x:c r="G303" s="46" t="str">
        <x:v>Medium demersals (30 - 89 cm)</x:v>
      </x:c>
      <x:c r="H303" s="46" t="str">
        <x:v>Perch-likes</x:v>
      </x:c>
      <x:c r="I303" s="60" t="n">
        <x:v>46.1993572844</x:v>
      </x:c>
      <x:c r="J303" s="60" t="n">
        <x:v>2.3770921113</x:v>
      </x:c>
      <x:c r="K303" s="60" t="n">
        <x:v>43.8222651731</x:v>
      </x:c>
      <x:c r="L303" s="60" t="n">
        <x:v>0</x:v>
      </x:c>
      <x:c r="M303" s="60" t="n">
        <x:v>46.1993572844</x:v>
      </x:c>
      <x:c r="N303" s="46" t="str">
        <x:v>terapontidae</x:v>
      </x:c>
      <x:c r="O303" s="62" t="n">
        <x:v>3.64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Terapontidae</x:v>
      </x:c>
      <x:c r="T303" s="62" t="n">
        <x:f>IF(O303="","",(1/'Metadata'!$B$5)^(O303-1))</x:f>
        <x:v>2720.9413995404984</x:v>
      </x:c>
      <x:c r="U303" s="60" t="n">
        <x:f>IF(T303="","",I303*T303)</x:f>
        <x:v>125705.74386728686</x:v>
      </x:c>
    </x:row>
    <x:row r="304" ht="18" customHeight="1">
      <x:c r="A304" s="46" t="str">
        <x:v>LME_032</x:v>
      </x:c>
      <x:c r="B304" s="46" t="str">
        <x:v>Arabian Sea</x:v>
      </x:c>
      <x:c r="C304" s="46" t="str">
        <x:v>LME</x:v>
      </x:c>
      <x:c r="D304" s="58" t="n">
        <x:v>2019</x:v>
      </x:c>
      <x:c r="E304" s="46" t="str">
        <x:v>Carcharhinus</x:v>
      </x:c>
      <x:c r="F304" s="46" t="str">
        <x:v>Sharp-nosed sharks</x:v>
      </x:c>
      <x:c r="G304" s="46" t="str">
        <x:v>Large sharks (&gt;=90 cm)</x:v>
      </x:c>
      <x:c r="H304" s="46" t="str">
        <x:v>Sharks &amp; rays</x:v>
      </x:c>
      <x:c r="I304" s="60" t="n">
        <x:v>44.8729973553</x:v>
      </x:c>
      <x:c r="J304" s="60" t="n">
        <x:v>44.8729973553</x:v>
      </x:c>
      <x:c r="K304" s="60" t="n">
        <x:v>0</x:v>
      </x:c>
      <x:c r="L304" s="60" t="n">
        <x:v>1.0591935114</x:v>
      </x:c>
      <x:c r="M304" s="60" t="n">
        <x:v>43.8138038439</x:v>
      </x:c>
      <x:c r="N304" s="46" t="str">
        <x:v>carcharhinus</x:v>
      </x:c>
      <x:c r="O304" s="62" t="n">
        <x:v>4.26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Carcharhinus</x:v>
      </x:c>
      <x:c r="T304" s="62" t="n">
        <x:f>IF(O304="","",(1/'Metadata'!$B$5)^(O304-1))</x:f>
        <x:v>17432.42421569787</x:v>
      </x:c>
      <x:c r="U304" s="60" t="n">
        <x:f>IF(T304="","",I304*T304)</x:f>
        <x:v>782245.1257274782</x:v>
      </x:c>
    </x:row>
    <x:row r="305" ht="18" customHeight="1">
      <x:c r="A305" s="46" t="str">
        <x:v>LME_032</x:v>
      </x:c>
      <x:c r="B305" s="46" t="str">
        <x:v>Arabian Sea</x:v>
      </x:c>
      <x:c r="C305" s="46" t="str">
        <x:v>LME</x:v>
      </x:c>
      <x:c r="D305" s="58" t="n">
        <x:v>2019</x:v>
      </x:c>
      <x:c r="E305" s="46" t="str">
        <x:v>Thenus orientalis</x:v>
      </x:c>
      <x:c r="F305" s="46" t="str">
        <x:v>Flathead lobster</x:v>
      </x:c>
      <x:c r="G305" s="46" t="str">
        <x:v>Lobsters, crabs</x:v>
      </x:c>
      <x:c r="H305" s="46" t="str">
        <x:v>Crustaceans</x:v>
      </x:c>
      <x:c r="I305" s="60" t="n">
        <x:v>43.4322562676</x:v>
      </x:c>
      <x:c r="J305" s="60" t="n">
        <x:v>43.4322562676</x:v>
      </x:c>
      <x:c r="K305" s="60" t="n">
        <x:v>0</x:v>
      </x:c>
      <x:c r="L305" s="60" t="n">
        <x:v>23.3612972931</x:v>
      </x:c>
      <x:c r="M305" s="60" t="n">
        <x:v>20.0709589745</x:v>
      </x:c>
      <x:c r="N305" s="46" t="str">
        <x:v>thenus orientalis</x:v>
      </x:c>
      <x:c r="O305" s="62" t="n">
        <x:v>2.5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Thenus orientalis</x:v>
      </x:c>
      <x:c r="T305" s="62" t="n">
        <x:f>IF(O305="","",(1/'Metadata'!$B$5)^(O305-1))</x:f>
        <x:v>89.44271909999159</x:v>
      </x:c>
      <x:c r="U305" s="60" t="n">
        <x:f>IF(T305="","",I305*T305)</x:f>
        <x:v>3884.6990972217964</x:v>
      </x:c>
    </x:row>
    <x:row r="306" ht="18" customHeight="1">
      <x:c r="A306" s="46" t="str">
        <x:v>LME_032</x:v>
      </x:c>
      <x:c r="B306" s="46" t="str">
        <x:v>Arabian Sea</x:v>
      </x:c>
      <x:c r="C306" s="46" t="str">
        <x:v>LME</x:v>
      </x:c>
      <x:c r="D306" s="58" t="n">
        <x:v>2019</x:v>
      </x:c>
      <x:c r="E306" s="46" t="str">
        <x:v>Gerres oblongus</x:v>
      </x:c>
      <x:c r="F306" s="46" t="str">
        <x:v>Slender silver-biddy</x:v>
      </x:c>
      <x:c r="G306" s="46" t="str">
        <x:v>Medium reef assoc. fish (30 - 89 cm)</x:v>
      </x:c>
      <x:c r="H306" s="46" t="str">
        <x:v>Perch-likes</x:v>
      </x:c>
      <x:c r="I306" s="60" t="n">
        <x:v>42.4110536403</x:v>
      </x:c>
      <x:c r="J306" s="60" t="n">
        <x:v>42.4110536403</x:v>
      </x:c>
      <x:c r="K306" s="60" t="n">
        <x:v>0</x:v>
      </x:c>
      <x:c r="L306" s="60" t="n">
        <x:v>42.4110536403</x:v>
      </x:c>
      <x:c r="M306" s="60" t="n">
        <x:v>0</x:v>
      </x:c>
      <x:c r="N306" s="46" t="str">
        <x:v>gerres oblongus</x:v>
      </x:c>
      <x:c r="O306" s="62" t="n">
        <x:v>3.5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Gerres oblongus</x:v>
      </x:c>
      <x:c r="T306" s="62" t="n">
        <x:f>IF(O306="","",(1/'Metadata'!$B$5)^(O306-1))</x:f>
        <x:v>1788.8543819998317</x:v>
      </x:c>
      <x:c r="U306" s="60" t="n">
        <x:f>IF(T306="","",I306*T306)</x:f>
        <x:v>75867.19914968057</x:v>
      </x:c>
    </x:row>
    <x:row r="307" ht="18" customHeight="1">
      <x:c r="A307" s="46" t="str">
        <x:v>LME_032</x:v>
      </x:c>
      <x:c r="B307" s="46" t="str">
        <x:v>Arabian Sea</x:v>
      </x:c>
      <x:c r="C307" s="46" t="str">
        <x:v>LME</x:v>
      </x:c>
      <x:c r="D307" s="58" t="n">
        <x:v>2019</x:v>
      </x:c>
      <x:c r="E307" s="46" t="str">
        <x:v>Lethrinus harak</x:v>
      </x:c>
      <x:c r="F307" s="46" t="str">
        <x:v>Thumbprint emperor</x:v>
      </x:c>
      <x:c r="G307" s="46" t="str">
        <x:v>Medium reef assoc. fish (30 - 89 cm)</x:v>
      </x:c>
      <x:c r="H307" s="46" t="str">
        <x:v>Perch-likes</x:v>
      </x:c>
      <x:c r="I307" s="60" t="n">
        <x:v>41.987706075</x:v>
      </x:c>
      <x:c r="J307" s="60" t="n">
        <x:v>41.987706075</x:v>
      </x:c>
      <x:c r="K307" s="60" t="n">
        <x:v>0</x:v>
      </x:c>
      <x:c r="L307" s="60" t="n">
        <x:v>31.442321779300002</x:v>
      </x:c>
      <x:c r="M307" s="60" t="n">
        <x:v>10.5453842957</x:v>
      </x:c>
      <x:c r="N307" s="46" t="str">
        <x:v>lethrinus harak</x:v>
      </x:c>
      <x:c r="O307" s="62" t="n">
        <x:v>3.59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Lethrinus harak</x:v>
      </x:c>
      <x:c r="T307" s="62" t="n">
        <x:f>IF(O307="","",(1/'Metadata'!$B$5)^(O307-1))</x:f>
        <x:v>2342.4357563948306</x:v>
      </x:c>
      <x:c r="U307" s="60" t="n">
        <x:f>IF(T307="","",I307*T307)</x:f>
        <x:v>98353.50403907645</x:v>
      </x:c>
    </x:row>
    <x:row r="308" ht="18" customHeight="1">
      <x:c r="A308" s="46" t="str">
        <x:v>LME_032</x:v>
      </x:c>
      <x:c r="B308" s="46" t="str">
        <x:v>Arabian Sea</x:v>
      </x:c>
      <x:c r="C308" s="46" t="str">
        <x:v>LME</x:v>
      </x:c>
      <x:c r="D308" s="58" t="n">
        <x:v>2019</x:v>
      </x:c>
      <x:c r="E308" s="46" t="str">
        <x:v>Lutjanus fulviflamma</x:v>
      </x:c>
      <x:c r="F308" s="46" t="str">
        <x:v>Dory snapper</x:v>
      </x:c>
      <x:c r="G308" s="46" t="str">
        <x:v>Medium reef assoc. fish (30 - 89 cm)</x:v>
      </x:c>
      <x:c r="H308" s="46" t="str">
        <x:v>Perch-likes</x:v>
      </x:c>
      <x:c r="I308" s="60" t="n">
        <x:v>41.2445218417</x:v>
      </x:c>
      <x:c r="J308" s="60" t="n">
        <x:v>41.2445218417</x:v>
      </x:c>
      <x:c r="K308" s="60" t="n">
        <x:v>0</x:v>
      </x:c>
      <x:c r="L308" s="60" t="n">
        <x:v>9.040363213000001</x:v>
      </x:c>
      <x:c r="M308" s="60" t="n">
        <x:v>32.2041586287</x:v>
      </x:c>
      <x:c r="N308" s="46" t="str">
        <x:v>lutjanus fulviflamma</x:v>
      </x:c>
      <x:c r="O308" s="62" t="n">
        <x:v>3.79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Lutjanus fulviflamma</x:v>
      </x:c>
      <x:c r="T308" s="62" t="n">
        <x:f>IF(O308="","",(1/'Metadata'!$B$5)^(O308-1))</x:f>
        <x:v>4264.554685980751</x:v>
      </x:c>
      <x:c r="U308" s="60" t="n">
        <x:f>IF(T308="","",I308*T308)</x:f>
        <x:v>175889.51889105717</x:v>
      </x:c>
    </x:row>
    <x:row r="309" ht="18" customHeight="1">
      <x:c r="A309" s="46" t="str">
        <x:v>LME_032</x:v>
      </x:c>
      <x:c r="B309" s="46" t="str">
        <x:v>Arabian Sea</x:v>
      </x:c>
      <x:c r="C309" s="46" t="str">
        <x:v>LME</x:v>
      </x:c>
      <x:c r="D309" s="58" t="n">
        <x:v>2019</x:v>
      </x:c>
      <x:c r="E309" s="46" t="str">
        <x:v>Rajiformes</x:v>
      </x:c>
      <x:c r="F309" s="46" t="str">
        <x:v>Skates and rays</x:v>
      </x:c>
      <x:c r="G309" s="46" t="str">
        <x:v>Large rays (&gt;=90 cm)</x:v>
      </x:c>
      <x:c r="H309" s="46" t="str">
        <x:v>Sharks &amp; rays</x:v>
      </x:c>
      <x:c r="I309" s="60" t="n">
        <x:v>40.4204750011</x:v>
      </x:c>
      <x:c r="J309" s="60" t="n">
        <x:v>40.4204750011</x:v>
      </x:c>
      <x:c r="K309" s="60" t="n">
        <x:v>0</x:v>
      </x:c>
      <x:c r="L309" s="60" t="n">
        <x:v>40.4204750011</x:v>
      </x:c>
      <x:c r="M309" s="60" t="n">
        <x:v>0</x:v>
      </x:c>
      <x:c r="N309" s="46" t="str">
        <x:v>rajiformes</x:v>
      </x:c>
      <x:c r="O309" s="62" t="n">
        <x:v>3.61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Rajiformes</x:v>
      </x:c>
      <x:c r="T309" s="62" t="n">
        <x:f>IF(O309="","",(1/'Metadata'!$B$5)^(O309-1))</x:f>
        <x:v>2487.0716021897506</x:v>
      </x:c>
      <x:c r="U309" s="60" t="n">
        <x:f>IF(T309="","",I309*T309)</x:f>
        <x:v>100528.61552225654</x:v>
      </x:c>
    </x:row>
    <x:row r="310" ht="18" customHeight="1">
      <x:c r="A310" s="46" t="str">
        <x:v>LME_032</x:v>
      </x:c>
      <x:c r="B310" s="46" t="str">
        <x:v>Arabian Sea</x:v>
      </x:c>
      <x:c r="C310" s="46" t="str">
        <x:v>LME</x:v>
      </x:c>
      <x:c r="D310" s="58" t="n">
        <x:v>2019</x:v>
      </x:c>
      <x:c r="E310" s="46" t="str">
        <x:v>Seriola dumerili</x:v>
      </x:c>
      <x:c r="F310" s="46" t="str">
        <x:v>Greater amberjack</x:v>
      </x:c>
      <x:c r="G310" s="46" t="str">
        <x:v>Large reef assoc. fish (&gt;=90 cm)</x:v>
      </x:c>
      <x:c r="H310" s="46" t="str">
        <x:v>Perch-likes</x:v>
      </x:c>
      <x:c r="I310" s="60" t="n">
        <x:v>40.3669867796</x:v>
      </x:c>
      <x:c r="J310" s="60" t="n">
        <x:v>40.3669867796</x:v>
      </x:c>
      <x:c r="K310" s="60" t="n">
        <x:v>0</x:v>
      </x:c>
      <x:c r="L310" s="60" t="n">
        <x:v>34.2422697728</x:v>
      </x:c>
      <x:c r="M310" s="60" t="n">
        <x:v>6.1247170068</x:v>
      </x:c>
      <x:c r="N310" s="46" t="str">
        <x:v>seriola dumerili</x:v>
      </x:c>
      <x:c r="O310" s="62" t="n">
        <x:v>4.5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Seriola dumerili</x:v>
      </x:c>
      <x:c r="T310" s="62" t="n">
        <x:f>IF(O310="","",(1/'Metadata'!$B$5)^(O310-1))</x:f>
        <x:v>35777.08763999664</x:v>
      </x:c>
      <x:c r="U310" s="60" t="n">
        <x:f>IF(T310="","",I310*T310)</x:f>
        <x:v>1444213.2237763347</x:v>
      </x:c>
    </x:row>
    <x:row r="311" ht="18" customHeight="1">
      <x:c r="A311" s="46" t="str">
        <x:v>LME_032</x:v>
      </x:c>
      <x:c r="B311" s="46" t="str">
        <x:v>Arabian Sea</x:v>
      </x:c>
      <x:c r="C311" s="46" t="str">
        <x:v>LME</x:v>
      </x:c>
      <x:c r="D311" s="58" t="n">
        <x:v>2019</x:v>
      </x:c>
      <x:c r="E311" s="46" t="str">
        <x:v>Bothus pantherinus</x:v>
      </x:c>
      <x:c r="F311" s="46" t="str">
        <x:v>Leopard flounder</x:v>
      </x:c>
      <x:c r="G311" s="46" t="str">
        <x:v>Small to medium flatfishes (&lt;90 cm)</x:v>
      </x:c>
      <x:c r="H311" s="46" t="str">
        <x:v>Flatfishes</x:v>
      </x:c>
      <x:c r="I311" s="60" t="n">
        <x:v>40.1204108382</x:v>
      </x:c>
      <x:c r="J311" s="60" t="n">
        <x:v>40.1204108382</x:v>
      </x:c>
      <x:c r="K311" s="60" t="n">
        <x:v>0</x:v>
      </x:c>
      <x:c r="L311" s="60" t="n">
        <x:v>30.5096862412</x:v>
      </x:c>
      <x:c r="M311" s="60" t="n">
        <x:v>9.610724597</x:v>
      </x:c>
      <x:c r="N311" s="46" t="str">
        <x:v>bothus pantherinus</x:v>
      </x:c>
      <x:c r="O311" s="62" t="n">
        <x:v>3.5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Bothus pantherinus</x:v>
      </x:c>
      <x:c r="T311" s="62" t="n">
        <x:f>IF(O311="","",(1/'Metadata'!$B$5)^(O311-1))</x:f>
        <x:v>1788.8543819998317</x:v>
      </x:c>
      <x:c r="U311" s="60" t="n">
        <x:f>IF(T311="","",I311*T311)</x:f>
        <x:v>71769.57273554761</x:v>
      </x:c>
    </x:row>
    <x:row r="312" ht="18" customHeight="1">
      <x:c r="A312" s="46" t="str">
        <x:v>LME_032</x:v>
      </x:c>
      <x:c r="B312" s="46" t="str">
        <x:v>Arabian Sea</x:v>
      </x:c>
      <x:c r="C312" s="46" t="str">
        <x:v>LME</x:v>
      </x:c>
      <x:c r="D312" s="58" t="n">
        <x:v>2019</x:v>
      </x:c>
      <x:c r="E312" s="46" t="str">
        <x:v>Platax orbicularis</x:v>
      </x:c>
      <x:c r="F312" s="46" t="str">
        <x:v>Orbicular batfish</x:v>
      </x:c>
      <x:c r="G312" s="46" t="str">
        <x:v>Medium reef assoc. fish (30 - 89 cm)</x:v>
      </x:c>
      <x:c r="H312" s="46" t="str">
        <x:v>Perch-likes</x:v>
      </x:c>
      <x:c r="I312" s="60" t="n">
        <x:v>40.039422593299996</x:v>
      </x:c>
      <x:c r="J312" s="60" t="n">
        <x:v>40.039422593299996</x:v>
      </x:c>
      <x:c r="K312" s="60" t="n">
        <x:v>0</x:v>
      </x:c>
      <x:c r="L312" s="60" t="n">
        <x:v>11.753594791700001</x:v>
      </x:c>
      <x:c r="M312" s="60" t="n">
        <x:v>28.2858278016</x:v>
      </x:c>
      <x:c r="N312" s="46" t="str">
        <x:v>platax orbicularis</x:v>
      </x:c>
      <x:c r="O312" s="62" t="n">
        <x:v>3.33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Platax orbicularis</x:v>
      </x:c>
      <x:c r="T312" s="62" t="n">
        <x:f>IF(O312="","",(1/'Metadata'!$B$5)^(O312-1))</x:f>
        <x:v>1074.9787762899762</x:v>
      </x:c>
      <x:c r="U312" s="60" t="n">
        <x:f>IF(T312="","",I312*T312)</x:f>
        <x:v>43041.529502702855</x:v>
      </x:c>
    </x:row>
    <x:row r="313" ht="18" customHeight="1">
      <x:c r="A313" s="46" t="str">
        <x:v>LME_032</x:v>
      </x:c>
      <x:c r="B313" s="46" t="str">
        <x:v>Arabian Sea</x:v>
      </x:c>
      <x:c r="C313" s="46" t="str">
        <x:v>LME</x:v>
      </x:c>
      <x:c r="D313" s="58" t="n">
        <x:v>2019</x:v>
      </x:c>
      <x:c r="E313" s="46" t="str">
        <x:v>Galeocerdo cuvier</x:v>
      </x:c>
      <x:c r="F313" s="46" t="str">
        <x:v>Tiger shark</x:v>
      </x:c>
      <x:c r="G313" s="46" t="str">
        <x:v>Large sharks (&gt;=90 cm)</x:v>
      </x:c>
      <x:c r="H313" s="46" t="str">
        <x:v>Sharks &amp; rays</x:v>
      </x:c>
      <x:c r="I313" s="60" t="n">
        <x:v>39.243723343700005</x:v>
      </x:c>
      <x:c r="J313" s="60" t="n">
        <x:v>39.243723343700005</x:v>
      </x:c>
      <x:c r="K313" s="60" t="n">
        <x:v>0</x:v>
      </x:c>
      <x:c r="L313" s="60" t="n">
        <x:v>1.0573136262</x:v>
      </x:c>
      <x:c r="M313" s="60" t="n">
        <x:v>38.186409717500005</x:v>
      </x:c>
      <x:c r="N313" s="46" t="str">
        <x:v>galeocerdo cuvier</x:v>
      </x:c>
      <x:c r="O313" s="62" t="n">
        <x:v>4.54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Galeocerdo cuvier</x:v>
      </x:c>
      <x:c r="T313" s="62" t="n">
        <x:f>IF(O313="","",(1/'Metadata'!$B$5)^(O313-1))</x:f>
        <x:v>40331.66810401469</x:v>
      </x:c>
      <x:c r="U313" s="60" t="n">
        <x:f>IF(T313="","",I313*T313)</x:f>
        <x:v>1582764.8250638822</x:v>
      </x:c>
    </x:row>
    <x:row r="314" ht="18" customHeight="1">
      <x:c r="A314" s="46" t="str">
        <x:v>LME_032</x:v>
      </x:c>
      <x:c r="B314" s="46" t="str">
        <x:v>Arabian Sea</x:v>
      </x:c>
      <x:c r="C314" s="46" t="str">
        <x:v>LME</x:v>
      </x:c>
      <x:c r="D314" s="58" t="n">
        <x:v>2019</x:v>
      </x:c>
      <x:c r="E314" s="46" t="str">
        <x:v>Carcharhinus amblyrhynchoides</x:v>
      </x:c>
      <x:c r="F314" s="46" t="str">
        <x:v>Graceful shark</x:v>
      </x:c>
      <x:c r="G314" s="46" t="str">
        <x:v>Large sharks (&gt;=90 cm)</x:v>
      </x:c>
      <x:c r="H314" s="46" t="str">
        <x:v>Sharks &amp; rays</x:v>
      </x:c>
      <x:c r="I314" s="60" t="n">
        <x:v>39.2044933063</x:v>
      </x:c>
      <x:c r="J314" s="60" t="n">
        <x:v>39.2044933063</x:v>
      </x:c>
      <x:c r="K314" s="60" t="n">
        <x:v>0</x:v>
      </x:c>
      <x:c r="L314" s="60" t="n">
        <x:v>1.0562566818</x:v>
      </x:c>
      <x:c r="M314" s="60" t="n">
        <x:v>38.1482366245</x:v>
      </x:c>
      <x:c r="N314" s="46" t="str">
        <x:v>carcharhinus amblyrhynchoides</x:v>
      </x:c>
      <x:c r="O314" s="62" t="n">
        <x:v>4.22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Carcharhinus amblyrhynchoides</x:v>
      </x:c>
      <x:c r="T314" s="62" t="n">
        <x:f>IF(O314="","",(1/'Metadata'!$B$5)^(O314-1))</x:f>
        <x:v>15463.812886046735</x:v>
      </x:c>
      <x:c r="U314" s="60" t="n">
        <x:f>IF(T314="","",I314*T314)</x:f>
        <x:v>606250.948780895</x:v>
      </x:c>
    </x:row>
    <x:row r="315" ht="18" customHeight="1">
      <x:c r="A315" s="46" t="str">
        <x:v>LME_032</x:v>
      </x:c>
      <x:c r="B315" s="46" t="str">
        <x:v>Arabian Sea</x:v>
      </x:c>
      <x:c r="C315" s="46" t="str">
        <x:v>LME</x:v>
      </x:c>
      <x:c r="D315" s="58" t="n">
        <x:v>2019</x:v>
      </x:c>
      <x:c r="E315" s="46" t="str">
        <x:v>Caranx melampygus</x:v>
      </x:c>
      <x:c r="F315" s="46" t="str">
        <x:v>Bluefin trevally</x:v>
      </x:c>
      <x:c r="G315" s="46" t="str">
        <x:v>Large reef assoc. fish (&gt;=90 cm)</x:v>
      </x:c>
      <x:c r="H315" s="46" t="str">
        <x:v>Perch-likes</x:v>
      </x:c>
      <x:c r="I315" s="60" t="n">
        <x:v>36.8502356304</x:v>
      </x:c>
      <x:c r="J315" s="60" t="n">
        <x:v>36.8502356304</x:v>
      </x:c>
      <x:c r="K315" s="60" t="n">
        <x:v>0</x:v>
      </x:c>
      <x:c r="L315" s="60" t="n">
        <x:v>20.7926609887</x:v>
      </x:c>
      <x:c r="M315" s="60" t="n">
        <x:v>16.0575746417</x:v>
      </x:c>
      <x:c r="N315" s="46" t="str">
        <x:v>caranx melampygus</x:v>
      </x:c>
      <x:c r="O315" s="62" t="n">
        <x:v>4.49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Caranx melampygus</x:v>
      </x:c>
      <x:c r="T315" s="62" t="n">
        <x:f>IF(O315="","",(1/'Metadata'!$B$5)^(O315-1))</x:f>
        <x:v>34721.19667768202</x:v>
      </x:c>
      <x:c r="U315" s="60" t="n">
        <x:f>IF(T315="","",I315*T315)</x:f>
        <x:v>1279484.2789420441</x:v>
      </x:c>
    </x:row>
    <x:row r="316" ht="18" customHeight="1">
      <x:c r="A316" s="46" t="str">
        <x:v>LME_032</x:v>
      </x:c>
      <x:c r="B316" s="46" t="str">
        <x:v>Arabian Sea</x:v>
      </x:c>
      <x:c r="C316" s="46" t="str">
        <x:v>LME</x:v>
      </x:c>
      <x:c r="D316" s="58" t="n">
        <x:v>2019</x:v>
      </x:c>
      <x:c r="E316" s="46" t="str">
        <x:v>Miscellaneous marine crustaceans</x:v>
      </x:c>
      <x:c r="F316" s="46" t="str">
        <x:v>Marine crabs, shrimps, lobsters nei</x:v>
      </x:c>
      <x:c r="G316" s="46" t="str">
        <x:v>Shrimps</x:v>
      </x:c>
      <x:c r="H316" s="46" t="str">
        <x:v>Crustaceans</x:v>
      </x:c>
      <x:c r="I316" s="60" t="n">
        <x:v>30.8608154948</x:v>
      </x:c>
      <x:c r="J316" s="60" t="n">
        <x:v>30.8608154948</x:v>
      </x:c>
      <x:c r="K316" s="60" t="n">
        <x:v>0</x:v>
      </x:c>
      <x:c r="L316" s="60" t="n">
        <x:v>0</x:v>
      </x:c>
      <x:c r="M316" s="60" t="n">
        <x:v>30.8608154948</x:v>
      </x:c>
      <x:c r="N316" s="46" t="str">
        <x:v>miscellaneous marine crustaceans</x:v>
      </x:c>
      <x:c r="O316" s="62" t="n">
        <x:v>2.7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Miscellaneous marine crustaceans</x:v>
      </x:c>
      <x:c r="T316" s="62" t="n">
        <x:f>IF(O316="","",(1/'Metadata'!$B$5)^(O316-1))</x:f>
        <x:v>162.83621261476185</x:v>
      </x:c>
      <x:c r="U316" s="60" t="n">
        <x:f>IF(T316="","",I316*T316)</x:f>
        <x:v>5025.25831337619</x:v>
      </x:c>
    </x:row>
    <x:row r="317" ht="18" customHeight="1">
      <x:c r="A317" s="46" t="str">
        <x:v>LME_032</x:v>
      </x:c>
      <x:c r="B317" s="46" t="str">
        <x:v>Arabian Sea</x:v>
      </x:c>
      <x:c r="C317" s="46" t="str">
        <x:v>LME</x:v>
      </x:c>
      <x:c r="D317" s="58" t="n">
        <x:v>2019</x:v>
      </x:c>
      <x:c r="E317" s="46" t="str">
        <x:v>Epinephelus fuscoguttatus</x:v>
      </x:c>
      <x:c r="F317" s="46" t="str">
        <x:v>Brown-marbled grouper</x:v>
      </x:c>
      <x:c r="G317" s="46" t="str">
        <x:v>Large reef assoc. fish (&gt;=90 cm)</x:v>
      </x:c>
      <x:c r="H317" s="46" t="str">
        <x:v>Perch-likes</x:v>
      </x:c>
      <x:c r="I317" s="60" t="n">
        <x:v>30.2439927719</x:v>
      </x:c>
      <x:c r="J317" s="60" t="n">
        <x:v>30.2439927719</x:v>
      </x:c>
      <x:c r="K317" s="60" t="n">
        <x:v>0</x:v>
      </x:c>
      <x:c r="L317" s="60" t="n">
        <x:v>19.7272780935</x:v>
      </x:c>
      <x:c r="M317" s="60" t="n">
        <x:v>10.5167146784</x:v>
      </x:c>
      <x:c r="N317" s="46" t="str">
        <x:v>epinephelus fuscoguttatus</x:v>
      </x:c>
      <x:c r="O317" s="62" t="n">
        <x:v>4.14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Epinephelus fuscoguttatus</x:v>
      </x:c>
      <x:c r="T317" s="62" t="n">
        <x:f>IF(O317="","",(1/'Metadata'!$B$5)^(O317-1))</x:f>
        <x:v>12168.419864331923</x:v>
      </x:c>
      <x:c r="U317" s="60" t="n">
        <x:f>IF(T317="","",I317*T317)</x:f>
        <x:v>368021.6024222991</x:v>
      </x:c>
    </x:row>
    <x:row r="318" ht="18" customHeight="1">
      <x:c r="A318" s="46" t="str">
        <x:v>LME_032</x:v>
      </x:c>
      <x:c r="B318" s="46" t="str">
        <x:v>Arabian Sea</x:v>
      </x:c>
      <x:c r="C318" s="46" t="str">
        <x:v>LME</x:v>
      </x:c>
      <x:c r="D318" s="58" t="n">
        <x:v>2019</x:v>
      </x:c>
      <x:c r="E318" s="46" t="str">
        <x:v>Lethrinus xanthochilus</x:v>
      </x:c>
      <x:c r="F318" s="46" t="str">
        <x:v>Yellowlip emperor</x:v>
      </x:c>
      <x:c r="G318" s="46" t="str">
        <x:v>Medium reef assoc. fish (30 - 89 cm)</x:v>
      </x:c>
      <x:c r="H318" s="46" t="str">
        <x:v>Perch-likes</x:v>
      </x:c>
      <x:c r="I318" s="60" t="n">
        <x:v>29.0985545056</x:v>
      </x:c>
      <x:c r="J318" s="60" t="n">
        <x:v>29.0985545056</x:v>
      </x:c>
      <x:c r="K318" s="60" t="n">
        <x:v>0</x:v>
      </x:c>
      <x:c r="L318" s="60" t="n">
        <x:v>20.0860819259</x:v>
      </x:c>
      <x:c r="M318" s="60" t="n">
        <x:v>9.012472579699999</x:v>
      </x:c>
      <x:c r="N318" s="46" t="str">
        <x:v>lethrinus xanthochilus</x:v>
      </x:c>
      <x:c r="O318" s="62" t="n">
        <x:v>3.78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Lethrinus xanthochilus</x:v>
      </x:c>
      <x:c r="T318" s="62" t="n">
        <x:f>IF(O318="","",(1/'Metadata'!$B$5)^(O318-1))</x:f>
        <x:v>4138.694671981463</x:v>
      </x:c>
      <x:c r="U318" s="60" t="n">
        <x:f>IF(T318="","",I318*T318)</x:f>
        <x:v>120430.03249468892</x:v>
      </x:c>
    </x:row>
    <x:row r="319" ht="18" customHeight="1">
      <x:c r="A319" s="46" t="str">
        <x:v>LME_032</x:v>
      </x:c>
      <x:c r="B319" s="46" t="str">
        <x:v>Arabian Sea</x:v>
      </x:c>
      <x:c r="C319" s="46" t="str">
        <x:v>LME</x:v>
      </x:c>
      <x:c r="D319" s="58" t="n">
        <x:v>2019</x:v>
      </x:c>
      <x:c r="E319" s="46" t="str">
        <x:v>Ablennes hians</x:v>
      </x:c>
      <x:c r="F319" s="46" t="str">
        <x:v>Flat needlefish</x:v>
      </x:c>
      <x:c r="G319" s="46" t="str">
        <x:v>Large pelagics (&gt;=90 cm)</x:v>
      </x:c>
      <x:c r="H319" s="46" t="str">
        <x:v>Other fishes &amp; inverts</x:v>
      </x:c>
      <x:c r="I319" s="60" t="n">
        <x:v>28.7832680703</x:v>
      </x:c>
      <x:c r="J319" s="60" t="n">
        <x:v>28.7832680703</x:v>
      </x:c>
      <x:c r="K319" s="60" t="n">
        <x:v>0</x:v>
      </x:c>
      <x:c r="L319" s="60" t="n">
        <x:v>28.7832680703</x:v>
      </x:c>
      <x:c r="M319" s="60" t="n">
        <x:v>0</x:v>
      </x:c>
      <x:c r="N319" s="46" t="str">
        <x:v>ablennes hians</x:v>
      </x:c>
      <x:c r="O319" s="62" t="n">
        <x:v>4.5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Ablennes hians</x:v>
      </x:c>
      <x:c r="T319" s="62" t="n">
        <x:f>IF(O319="","",(1/'Metadata'!$B$5)^(O319-1))</x:f>
        <x:v>35777.08763999664</x:v>
      </x:c>
      <x:c r="U319" s="60" t="n">
        <x:f>IF(T319="","",I319*T319)</x:f>
        <x:v>1029781.50431664</x:v>
      </x:c>
    </x:row>
    <x:row r="320" ht="18" customHeight="1">
      <x:c r="A320" s="46" t="str">
        <x:v>LME_032</x:v>
      </x:c>
      <x:c r="B320" s="46" t="str">
        <x:v>Arabian Sea</x:v>
      </x:c>
      <x:c r="C320" s="46" t="str">
        <x:v>LME</x:v>
      </x:c>
      <x:c r="D320" s="58" t="n">
        <x:v>2019</x:v>
      </x:c>
      <x:c r="E320" s="46" t="str">
        <x:v>Gymnosarda unicolor</x:v>
      </x:c>
      <x:c r="F320" s="46" t="str">
        <x:v>Dogtooth tuna</x:v>
      </x:c>
      <x:c r="G320" s="46" t="str">
        <x:v>Large reef assoc. fish (&gt;=90 cm)</x:v>
      </x:c>
      <x:c r="H320" s="46" t="str">
        <x:v>Tuna &amp; billfishes</x:v>
      </x:c>
      <x:c r="I320" s="60" t="n">
        <x:v>26.433935896100003</x:v>
      </x:c>
      <x:c r="J320" s="60" t="n">
        <x:v>26.433935896100003</x:v>
      </x:c>
      <x:c r="K320" s="60" t="n">
        <x:v>0</x:v>
      </x:c>
      <x:c r="L320" s="60" t="n">
        <x:v>25.630346996700002</x:v>
      </x:c>
      <x:c r="M320" s="60" t="n">
        <x:v>0.8035888994</x:v>
      </x:c>
      <x:c r="N320" s="46" t="str">
        <x:v>gymnosarda unicolor</x:v>
      </x:c>
      <x:c r="O320" s="62" t="n">
        <x:v>4.5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Gymnosarda unicolor</x:v>
      </x:c>
      <x:c r="T320" s="62" t="n">
        <x:f>IF(O320="","",(1/'Metadata'!$B$5)^(O320-1))</x:f>
        <x:v>35777.08763999664</x:v>
      </x:c>
      <x:c r="U320" s="60" t="n">
        <x:f>IF(T320="","",I320*T320)</x:f>
        <x:v>945729.2412248228</x:v>
      </x:c>
    </x:row>
    <x:row r="321" ht="18" customHeight="1">
      <x:c r="A321" s="46" t="str">
        <x:v>LME_032</x:v>
      </x:c>
      <x:c r="B321" s="46" t="str">
        <x:v>Arabian Sea</x:v>
      </x:c>
      <x:c r="C321" s="46" t="str">
        <x:v>LME</x:v>
      </x:c>
      <x:c r="D321" s="58" t="n">
        <x:v>2019</x:v>
      </x:c>
      <x:c r="E321" s="46" t="str">
        <x:v>Siganus sutor</x:v>
      </x:c>
      <x:c r="F321" s="46" t="str">
        <x:v>Shoemaker spinefoot</x:v>
      </x:c>
      <x:c r="G321" s="46" t="str">
        <x:v>Medium reef assoc. fish (30 - 89 cm)</x:v>
      </x:c>
      <x:c r="H321" s="46" t="str">
        <x:v>Perch-likes</x:v>
      </x:c>
      <x:c r="I321" s="60" t="n">
        <x:v>25.181053043200002</x:v>
      </x:c>
      <x:c r="J321" s="60" t="n">
        <x:v>25.181053043200002</x:v>
      </x:c>
      <x:c r="K321" s="60" t="n">
        <x:v>0</x:v>
      </x:c>
      <x:c r="L321" s="60" t="n">
        <x:v>0</x:v>
      </x:c>
      <x:c r="M321" s="60" t="n">
        <x:v>25.181053043200002</x:v>
      </x:c>
      <x:c r="N321" s="46" t="str">
        <x:v>siganus sutor</x:v>
      </x:c>
      <x:c r="O321" s="62" t="n">
        <x:v>2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Siganus sutor</x:v>
      </x:c>
      <x:c r="T321" s="62" t="n">
        <x:f>IF(O321="","",(1/'Metadata'!$B$5)^(O321-1))</x:f>
        <x:v>20</x:v>
      </x:c>
      <x:c r="U321" s="60" t="n">
        <x:f>IF(T321="","",I321*T321)</x:f>
        <x:v>503.621060864</x:v>
      </x:c>
    </x:row>
    <x:row r="322" ht="18" customHeight="1">
      <x:c r="A322" s="46" t="str">
        <x:v>LME_032</x:v>
      </x:c>
      <x:c r="B322" s="46" t="str">
        <x:v>Arabian Sea</x:v>
      </x:c>
      <x:c r="C322" s="46" t="str">
        <x:v>LME</x:v>
      </x:c>
      <x:c r="D322" s="58" t="n">
        <x:v>2019</x:v>
      </x:c>
      <x:c r="E322" s="46" t="str">
        <x:v>Maculabatis gerrardi</x:v>
      </x:c>
      <x:c r="F322" s="46" t="str">
        <x:v>Sharpnose stingray</x:v>
      </x:c>
      <x:c r="G322" s="46" t="str">
        <x:v>Large rays (&gt;=90 cm)</x:v>
      </x:c>
      <x:c r="H322" s="46" t="str">
        <x:v>Sharks &amp; rays</x:v>
      </x:c>
      <x:c r="I322" s="60" t="n">
        <x:v>23.7089324402</x:v>
      </x:c>
      <x:c r="J322" s="60" t="n">
        <x:v>23.7089324402</x:v>
      </x:c>
      <x:c r="K322" s="60" t="n">
        <x:v>0</x:v>
      </x:c>
      <x:c r="L322" s="60" t="n">
        <x:v>23.7089324402</x:v>
      </x:c>
      <x:c r="M322" s="60" t="n">
        <x:v>0</x:v>
      </x:c>
      <x:c r="N322" s="46" t="str">
        <x:v>maculabatis gerrardi</x:v>
      </x:c>
      <x:c r="O322" s="62" t="n">
        <x:v>3.73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Maculabatis gerrardi</x:v>
      </x:c>
      <x:c r="T322" s="62" t="n">
        <x:f>IF(O322="","",(1/'Metadata'!$B$5)^(O322-1))</x:f>
        <x:v>3562.967723629534</x:v>
      </x:c>
      <x:c r="U322" s="60" t="n">
        <x:f>IF(T322="","",I322*T322)</x:f>
        <x:v>84474.1610461458</x:v>
      </x:c>
    </x:row>
    <x:row r="323" ht="18" customHeight="1">
      <x:c r="A323" s="46" t="str">
        <x:v>LME_032</x:v>
      </x:c>
      <x:c r="B323" s="46" t="str">
        <x:v>Arabian Sea</x:v>
      </x:c>
      <x:c r="C323" s="46" t="str">
        <x:v>LME</x:v>
      </x:c>
      <x:c r="D323" s="58" t="n">
        <x:v>2019</x:v>
      </x:c>
      <x:c r="E323" s="46" t="str">
        <x:v>Selaroides leptolepis</x:v>
      </x:c>
      <x:c r="F323" s="46" t="str">
        <x:v>Yellowstripe scad</x:v>
      </x:c>
      <x:c r="G323" s="46" t="str">
        <x:v>Small pelagics (&lt;30 cm)</x:v>
      </x:c>
      <x:c r="H323" s="46" t="str">
        <x:v>Perch-likes</x:v>
      </x:c>
      <x:c r="I323" s="60" t="n">
        <x:v>22.6289844276</x:v>
      </x:c>
      <x:c r="J323" s="60" t="n">
        <x:v>22.6289844276</x:v>
      </x:c>
      <x:c r="K323" s="60" t="n">
        <x:v>0</x:v>
      </x:c>
      <x:c r="L323" s="60" t="n">
        <x:v>11.5167846566</x:v>
      </x:c>
      <x:c r="M323" s="60" t="n">
        <x:v>11.112199771</x:v>
      </x:c>
      <x:c r="N323" s="46" t="str">
        <x:v>selaroides leptolepis</x:v>
      </x:c>
      <x:c r="O323" s="62" t="n">
        <x:v>3.84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Selaroides leptolepis</x:v>
      </x:c>
      <x:c r="T323" s="62" t="n">
        <x:f>IF(O323="","",(1/'Metadata'!$B$5)^(O323-1))</x:f>
        <x:v>4953.648510535111</x:v>
      </x:c>
      <x:c r="U323" s="60" t="n">
        <x:f>IF(T323="","",I323*T323)</x:f>
        <x:v>112096.03500470296</x:v>
      </x:c>
    </x:row>
    <x:row r="324" ht="18" customHeight="1">
      <x:c r="A324" s="46" t="str">
        <x:v>LME_032</x:v>
      </x:c>
      <x:c r="B324" s="46" t="str">
        <x:v>Arabian Sea</x:v>
      </x:c>
      <x:c r="C324" s="46" t="str">
        <x:v>LME</x:v>
      </x:c>
      <x:c r="D324" s="58" t="n">
        <x:v>2019</x:v>
      </x:c>
      <x:c r="E324" s="46" t="str">
        <x:v>Epinephelus polyphekadion</x:v>
      </x:c>
      <x:c r="F324" s="46" t="str">
        <x:v>Camouflage grouper</x:v>
      </x:c>
      <x:c r="G324" s="46" t="str">
        <x:v>Large reef assoc. fish (&gt;=90 cm)</x:v>
      </x:c>
      <x:c r="H324" s="46" t="str">
        <x:v>Perch-likes</x:v>
      </x:c>
      <x:c r="I324" s="60" t="n">
        <x:v>20.750256883299997</x:v>
      </x:c>
      <x:c r="J324" s="60" t="n">
        <x:v>20.750256883299997</x:v>
      </x:c>
      <x:c r="K324" s="60" t="n">
        <x:v>0</x:v>
      </x:c>
      <x:c r="L324" s="60" t="n">
        <x:v>16.5541989089</x:v>
      </x:c>
      <x:c r="M324" s="60" t="n">
        <x:v>4.1960579744</x:v>
      </x:c>
      <x:c r="N324" s="46" t="str">
        <x:v>epinephelus polyphekadion</x:v>
      </x:c>
      <x:c r="O324" s="62" t="n">
        <x:v>3.99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Epinephelus polyphekadion</x:v>
      </x:c>
      <x:c r="T324" s="62" t="n">
        <x:f>IF(O324="","",(1/'Metadata'!$B$5)^(O324-1))</x:f>
        <x:v>7763.895603143686</x:v>
      </x:c>
      <x:c r="U324" s="60" t="n">
        <x:f>IF(T324="","",I324*T324)</x:f>
        <x:v>161102.82818035485</x:v>
      </x:c>
    </x:row>
    <x:row r="325" ht="18" customHeight="1">
      <x:c r="A325" s="46" t="str">
        <x:v>LME_032</x:v>
      </x:c>
      <x:c r="B325" s="46" t="str">
        <x:v>Arabian Sea</x:v>
      </x:c>
      <x:c r="C325" s="46" t="str">
        <x:v>LME</x:v>
      </x:c>
      <x:c r="D325" s="58" t="n">
        <x:v>2019</x:v>
      </x:c>
      <x:c r="E325" s="46" t="str">
        <x:v>Lutjanus kasmira</x:v>
      </x:c>
      <x:c r="F325" s="46" t="str">
        <x:v>Common bluestripe snapper</x:v>
      </x:c>
      <x:c r="G325" s="46" t="str">
        <x:v>Medium reef assoc. fish (30 - 89 cm)</x:v>
      </x:c>
      <x:c r="H325" s="46" t="str">
        <x:v>Perch-likes</x:v>
      </x:c>
      <x:c r="I325" s="60" t="n">
        <x:v>19.9109870128</x:v>
      </x:c>
      <x:c r="J325" s="60" t="n">
        <x:v>19.9109870128</x:v>
      </x:c>
      <x:c r="K325" s="60" t="n">
        <x:v>0</x:v>
      </x:c>
      <x:c r="L325" s="60" t="n">
        <x:v>6.4143636098</x:v>
      </x:c>
      <x:c r="M325" s="60" t="n">
        <x:v>13.496623403000001</x:v>
      </x:c>
      <x:c r="N325" s="46" t="str">
        <x:v>lutjanus kasmira</x:v>
      </x:c>
      <x:c r="O325" s="62" t="n">
        <x:v>3.87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Lutjanus kasmira</x:v>
      </x:c>
      <x:c r="T325" s="62" t="n">
        <x:f>IF(O325="","",(1/'Metadata'!$B$5)^(O325-1))</x:f>
        <x:v>5419.460903023396</x:v>
      </x:c>
      <x:c r="U325" s="60" t="n">
        <x:f>IF(T325="","",I325*T325)</x:f>
        <x:v>107906.8156564762</x:v>
      </x:c>
    </x:row>
    <x:row r="326" ht="18" customHeight="1">
      <x:c r="A326" s="46" t="str">
        <x:v>LME_032</x:v>
      </x:c>
      <x:c r="B326" s="46" t="str">
        <x:v>Arabian Sea</x:v>
      </x:c>
      <x:c r="C326" s="46" t="str">
        <x:v>LME</x:v>
      </x:c>
      <x:c r="D326" s="58" t="n">
        <x:v>2019</x:v>
      </x:c>
      <x:c r="E326" s="46" t="str">
        <x:v>Holothuroidea</x:v>
      </x:c>
      <x:c r="F326" s="46" t="str">
        <x:v>Sea cucumbers</x:v>
      </x:c>
      <x:c r="G326" s="46" t="str">
        <x:v>Other demersal invertebrates</x:v>
      </x:c>
      <x:c r="H326" s="46" t="str">
        <x:v>Other fishes &amp; inverts</x:v>
      </x:c>
      <x:c r="I326" s="60" t="n">
        <x:v>19.7259375191</x:v>
      </x:c>
      <x:c r="J326" s="60" t="n">
        <x:v>19.7259375191</x:v>
      </x:c>
      <x:c r="K326" s="60" t="n">
        <x:v>0</x:v>
      </x:c>
      <x:c r="L326" s="60" t="n">
        <x:v>19.7259375191</x:v>
      </x:c>
      <x:c r="M326" s="60" t="n">
        <x:v>0</x:v>
      </x:c>
      <x:c r="N326" s="46" t="str">
        <x:v>holothuroidea</x:v>
      </x:c>
      <x:c r="O326" s="62" t="n">
        <x:v>2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Holothuroidea</x:v>
      </x:c>
      <x:c r="T326" s="62" t="n">
        <x:f>IF(O326="","",(1/'Metadata'!$B$5)^(O326-1))</x:f>
        <x:v>20</x:v>
      </x:c>
      <x:c r="U326" s="60" t="n">
        <x:f>IF(T326="","",I326*T326)</x:f>
        <x:v>394.518750382</x:v>
      </x:c>
    </x:row>
    <x:row r="327" ht="18" customHeight="1">
      <x:c r="A327" s="46" t="str">
        <x:v>LME_032</x:v>
      </x:c>
      <x:c r="B327" s="46" t="str">
        <x:v>Arabian Sea</x:v>
      </x:c>
      <x:c r="C327" s="46" t="str">
        <x:v>LME</x:v>
      </x:c>
      <x:c r="D327" s="58" t="n">
        <x:v>2019</x:v>
      </x:c>
      <x:c r="E327" s="46" t="str">
        <x:v>Uroteuthis duvaucelii</x:v>
      </x:c>
      <x:c r="F327" s="46" t="str">
        <x:v>Indian squid</x:v>
      </x:c>
      <x:c r="G327" s="46" t="str">
        <x:v>Cephalopods</x:v>
      </x:c>
      <x:c r="H327" s="46" t="str">
        <x:v>Other fishes &amp; inverts</x:v>
      </x:c>
      <x:c r="I327" s="60" t="n">
        <x:v>19.6355134394</x:v>
      </x:c>
      <x:c r="J327" s="60" t="n">
        <x:v>19.6355134394</x:v>
      </x:c>
      <x:c r="K327" s="60" t="n">
        <x:v>0</x:v>
      </x:c>
      <x:c r="L327" s="60" t="n">
        <x:v>0</x:v>
      </x:c>
      <x:c r="M327" s="60" t="n">
        <x:v>19.6355134394</x:v>
      </x:c>
      <x:c r="N327" s="46" t="str">
        <x:v>uroteuthis duvaucelii</x:v>
      </x:c>
      <x:c r="O327" s="62" t="n">
        <x:v>3.77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Uroteuthis duvaucelii</x:v>
      </x:c>
      <x:c r="T327" s="62" t="n">
        <x:f>IF(O327="","",(1/'Metadata'!$B$5)^(O327-1))</x:f>
        <x:v>4016.549170818885</x:v>
      </x:c>
      <x:c r="U327" s="60" t="n">
        <x:f>IF(T327="","",I327*T327)</x:f>
        <x:v>78867.00522362515</x:v>
      </x:c>
    </x:row>
    <x:row r="328" ht="18" customHeight="1">
      <x:c r="A328" s="46" t="str">
        <x:v>LME_032</x:v>
      </x:c>
      <x:c r="B328" s="46" t="str">
        <x:v>Arabian Sea</x:v>
      </x:c>
      <x:c r="C328" s="46" t="str">
        <x:v>LME</x:v>
      </x:c>
      <x:c r="D328" s="58" t="n">
        <x:v>2019</x:v>
      </x:c>
      <x:c r="E328" s="46" t="str">
        <x:v>Aethaloperca rogaa</x:v>
      </x:c>
      <x:c r="F328" s="46" t="str">
        <x:v>Redmouth grouper</x:v>
      </x:c>
      <x:c r="G328" s="46" t="str">
        <x:v>Medium reef assoc. fish (30 - 89 cm)</x:v>
      </x:c>
      <x:c r="H328" s="46" t="str">
        <x:v>Perch-likes</x:v>
      </x:c>
      <x:c r="I328" s="60" t="n">
        <x:v>19.1309960553</x:v>
      </x:c>
      <x:c r="J328" s="60" t="n">
        <x:v>19.1309960553</x:v>
      </x:c>
      <x:c r="K328" s="60" t="n">
        <x:v>0</x:v>
      </x:c>
      <x:c r="L328" s="60" t="n">
        <x:v>13.429903846899998</x:v>
      </x:c>
      <x:c r="M328" s="60" t="n">
        <x:v>5.7010922083999995</x:v>
      </x:c>
      <x:c r="N328" s="46" t="str">
        <x:v>aethaloperca rogaa</x:v>
      </x:c>
      <x:c r="O328" s="62" t="n">
        <x:v>4.2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Aethaloperca rogaa</x:v>
      </x:c>
      <x:c r="T328" s="62" t="n">
        <x:f>IF(O328="","",(1/'Metadata'!$B$5)^(O328-1))</x:f>
        <x:v>14564.51362420865</x:v>
      </x:c>
      <x:c r="U328" s="60" t="n">
        <x:f>IF(T328="","",I328*T328)</x:f>
        <x:v>278633.65269209875</x:v>
      </x:c>
    </x:row>
    <x:row r="329" ht="18" customHeight="1">
      <x:c r="A329" s="46" t="str">
        <x:v>LME_032</x:v>
      </x:c>
      <x:c r="B329" s="46" t="str">
        <x:v>Arabian Sea</x:v>
      </x:c>
      <x:c r="C329" s="46" t="str">
        <x:v>LME</x:v>
      </x:c>
      <x:c r="D329" s="58" t="n">
        <x:v>2019</x:v>
      </x:c>
      <x:c r="E329" s="46" t="str">
        <x:v>Sphyrna zygaena</x:v>
      </x:c>
      <x:c r="F329" s="46" t="str">
        <x:v>Smooth hammerhead</x:v>
      </x:c>
      <x:c r="G329" s="46" t="str">
        <x:v>Large sharks (&gt;=90 cm)</x:v>
      </x:c>
      <x:c r="H329" s="46" t="str">
        <x:v>Sharks &amp; rays</x:v>
      </x:c>
      <x:c r="I329" s="60" t="n">
        <x:v>18.972521700799998</x:v>
      </x:c>
      <x:c r="J329" s="60" t="n">
        <x:v>18.972521700799998</x:v>
      </x:c>
      <x:c r="K329" s="60" t="n">
        <x:v>0</x:v>
      </x:c>
      <x:c r="L329" s="60" t="n">
        <x:v>18.972521700799998</x:v>
      </x:c>
      <x:c r="M329" s="60" t="n">
        <x:v>0</x:v>
      </x:c>
      <x:c r="N329" s="46" t="str">
        <x:v>sphyrna zygaena</x:v>
      </x:c>
      <x:c r="O329" s="62" t="n">
        <x:v>4.94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Sphyrna zygaena</x:v>
      </x:c>
      <x:c r="T329" s="62" t="n">
        <x:f>IF(O329="","",(1/'Metadata'!$B$5)^(O329-1))</x:f>
        <x:v>133677.45937337462</x:v>
      </x:c>
      <x:c r="U329" s="60" t="n">
        <x:f>IF(T329="","",I329*T329)</x:f>
        <x:v>2536198.49886916</x:v>
      </x:c>
    </x:row>
    <x:row r="330" ht="18" customHeight="1">
      <x:c r="A330" s="46" t="str">
        <x:v>LME_032</x:v>
      </x:c>
      <x:c r="B330" s="46" t="str">
        <x:v>Arabian Sea</x:v>
      </x:c>
      <x:c r="C330" s="46" t="str">
        <x:v>LME</x:v>
      </x:c>
      <x:c r="D330" s="58" t="n">
        <x:v>2019</x:v>
      </x:c>
      <x:c r="E330" s="46" t="str">
        <x:v>Decapterus macarellus</x:v>
      </x:c>
      <x:c r="F330" s="46" t="str">
        <x:v>Mackerel scad</x:v>
      </x:c>
      <x:c r="G330" s="46" t="str">
        <x:v>Medium pelagics (30 - 89 cm)</x:v>
      </x:c>
      <x:c r="H330" s="46" t="str">
        <x:v>Perch-likes</x:v>
      </x:c>
      <x:c r="I330" s="60" t="n">
        <x:v>16.4368031841</x:v>
      </x:c>
      <x:c r="J330" s="60" t="n">
        <x:v>16.4368031841</x:v>
      </x:c>
      <x:c r="K330" s="60" t="n">
        <x:v>0</x:v>
      </x:c>
      <x:c r="L330" s="60" t="n">
        <x:v>16.4368031841</x:v>
      </x:c>
      <x:c r="M330" s="60" t="n">
        <x:v>0</x:v>
      </x:c>
      <x:c r="N330" s="46" t="str">
        <x:v>decapterus macarellus</x:v>
      </x:c>
      <x:c r="O330" s="62" t="n">
        <x:v>3.96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Decapterus macarellus</x:v>
      </x:c>
      <x:c r="T330" s="62" t="n">
        <x:f>IF(O330="","",(1/'Metadata'!$B$5)^(O330-1))</x:f>
        <x:v>7096.574839945253</x:v>
      </x:c>
      <x:c r="U330" s="60" t="n">
        <x:f>IF(T330="","",I330*T330)</x:f>
        <x:v>116645.0039254161</x:v>
      </x:c>
    </x:row>
    <x:row r="331" ht="18" customHeight="1">
      <x:c r="A331" s="46" t="str">
        <x:v>LME_032</x:v>
      </x:c>
      <x:c r="B331" s="46" t="str">
        <x:v>Arabian Sea</x:v>
      </x:c>
      <x:c r="C331" s="46" t="str">
        <x:v>LME</x:v>
      </x:c>
      <x:c r="D331" s="58" t="n">
        <x:v>2019</x:v>
      </x:c>
      <x:c r="E331" s="46" t="str">
        <x:v>Auxis rochei</x:v>
      </x:c>
      <x:c r="F331" s="46" t="str">
        <x:v>Bullet tuna</x:v>
      </x:c>
      <x:c r="G331" s="46" t="str">
        <x:v>Medium pelagics (30 - 89 cm)</x:v>
      </x:c>
      <x:c r="H331" s="46" t="str">
        <x:v>Tuna &amp; billfishes</x:v>
      </x:c>
      <x:c r="I331" s="60" t="n">
        <x:v>15.3808366829</x:v>
      </x:c>
      <x:c r="J331" s="60" t="n">
        <x:v>15.3808366829</x:v>
      </x:c>
      <x:c r="K331" s="60" t="n">
        <x:v>0</x:v>
      </x:c>
      <x:c r="L331" s="60" t="n">
        <x:v>11.9587916138</x:v>
      </x:c>
      <x:c r="M331" s="60" t="n">
        <x:v>3.4220450691</x:v>
      </x:c>
      <x:c r="N331" s="46" t="str">
        <x:v>auxis rochei</x:v>
      </x:c>
      <x:c r="O331" s="62" t="n">
        <x:v>4.13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Auxis rochei</x:v>
      </x:c>
      <x:c r="T331" s="62" t="n">
        <x:f>IF(O331="","",(1/'Metadata'!$B$5)^(O331-1))</x:f>
        <x:v>11809.292685236613</x:v>
      </x:c>
      <x:c r="U331" s="60" t="n">
        <x:f>IF(T331="","",I331*T331)</x:f>
        <x:v>181636.80213218994</x:v>
      </x:c>
    </x:row>
    <x:row r="332" ht="18" customHeight="1">
      <x:c r="A332" s="46" t="str">
        <x:v>LME_032</x:v>
      </x:c>
      <x:c r="B332" s="46" t="str">
        <x:v>Arabian Sea</x:v>
      </x:c>
      <x:c r="C332" s="46" t="str">
        <x:v>LME</x:v>
      </x:c>
      <x:c r="D332" s="58" t="n">
        <x:v>2019</x:v>
      </x:c>
      <x:c r="E332" s="46" t="str">
        <x:v>Miscellaneous aquatic invertebrates</x:v>
      </x:c>
      <x:c r="F332" s="46" t="str">
        <x:v>Aquatic invertebrates</x:v>
      </x:c>
      <x:c r="G332" s="46" t="str">
        <x:v>Other demersal invertebrates</x:v>
      </x:c>
      <x:c r="H332" s="46" t="str">
        <x:v>Other fishes &amp; inverts</x:v>
      </x:c>
      <x:c r="I332" s="60" t="n">
        <x:v>14.3542101159</x:v>
      </x:c>
      <x:c r="J332" s="60" t="n">
        <x:v>14.3542101159</x:v>
      </x:c>
      <x:c r="K332" s="60" t="n">
        <x:v>0</x:v>
      </x:c>
      <x:c r="L332" s="60" t="n">
        <x:v>0</x:v>
      </x:c>
      <x:c r="M332" s="60" t="n">
        <x:v>14.3542101159</x:v>
      </x:c>
      <x:c r="N332" s="46" t="str">
        <x:v>miscellaneous aquatic invertebrates</x:v>
      </x:c>
      <x:c r="O332" s="62" t="n">
        <x:v>2.43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Miscellaneous aquatic invertebrates</x:v>
      </x:c>
      <x:c r="T332" s="62" t="n">
        <x:f>IF(O332="","",(1/'Metadata'!$B$5)^(O332-1))</x:f>
        <x:v>72.52252122305909</x:v>
      </x:c>
      <x:c r="U332" s="60" t="n">
        <x:f>IF(T332="","",I332*T332)</x:f>
        <x:v>1041.0035077706073</x:v>
      </x:c>
    </x:row>
    <x:row r="333" ht="18" customHeight="1">
      <x:c r="A333" s="46" t="str">
        <x:v>LME_032</x:v>
      </x:c>
      <x:c r="B333" s="46" t="str">
        <x:v>Arabian Sea</x:v>
      </x:c>
      <x:c r="C333" s="46" t="str">
        <x:v>LME</x:v>
      </x:c>
      <x:c r="D333" s="58" t="n">
        <x:v>2019</x:v>
      </x:c>
      <x:c r="E333" s="46" t="str">
        <x:v>Pristidae</x:v>
      </x:c>
      <x:c r="F333" s="46" t="str">
        <x:v>Sawfishes</x:v>
      </x:c>
      <x:c r="G333" s="46" t="str">
        <x:v>Large rays (&gt;=90 cm)</x:v>
      </x:c>
      <x:c r="H333" s="46" t="str">
        <x:v>Sharks &amp; rays</x:v>
      </x:c>
      <x:c r="I333" s="60" t="n">
        <x:v>13.967801928899998</x:v>
      </x:c>
      <x:c r="J333" s="60" t="n">
        <x:v>13.967801928899998</x:v>
      </x:c>
      <x:c r="K333" s="60" t="n">
        <x:v>0</x:v>
      </x:c>
      <x:c r="L333" s="60" t="n">
        <x:v>0.4884857592</x:v>
      </x:c>
      <x:c r="M333" s="60" t="n">
        <x:v>13.479316169699999</x:v>
      </x:c>
      <x:c r="N333" s="46" t="str">
        <x:v>pristidae</x:v>
      </x:c>
      <x:c r="O333" s="62" t="n">
        <x:v>4.24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Pristidae</x:v>
      </x:c>
      <x:c r="T333" s="62" t="n">
        <x:f>IF(O333="","",(1/'Metadata'!$B$5)^(O333-1))</x:f>
        <x:v>16418.64020623336</x:v>
      </x:c>
      <x:c r="U333" s="60" t="n">
        <x:f>IF(T333="","",I333*T333)</x:f>
        <x:v>229332.31434254136</x:v>
      </x:c>
    </x:row>
    <x:row r="334" ht="18" customHeight="1">
      <x:c r="A334" s="46" t="str">
        <x:v>LME_032</x:v>
      </x:c>
      <x:c r="B334" s="46" t="str">
        <x:v>Arabian Sea</x:v>
      </x:c>
      <x:c r="C334" s="46" t="str">
        <x:v>LME</x:v>
      </x:c>
      <x:c r="D334" s="58" t="n">
        <x:v>2019</x:v>
      </x:c>
      <x:c r="E334" s="46" t="str">
        <x:v>Encrasicholina heteroloba</x:v>
      </x:c>
      <x:c r="F334" s="46" t="str">
        <x:v>Shorthead anchovy</x:v>
      </x:c>
      <x:c r="G334" s="46" t="str">
        <x:v>Small pelagics (&lt;30 cm)</x:v>
      </x:c>
      <x:c r="H334" s="46" t="str">
        <x:v>Anchovies</x:v>
      </x:c>
      <x:c r="I334" s="60" t="n">
        <x:v>13.119853865</x:v>
      </x:c>
      <x:c r="J334" s="60" t="n">
        <x:v>13.119853865</x:v>
      </x:c>
      <x:c r="K334" s="60" t="n">
        <x:v>0</x:v>
      </x:c>
      <x:c r="L334" s="60" t="n">
        <x:v>0</x:v>
      </x:c>
      <x:c r="M334" s="60" t="n">
        <x:v>13.119853865</x:v>
      </x:c>
      <x:c r="N334" s="46" t="str">
        <x:v>encrasicholina heteroloba</x:v>
      </x:c>
      <x:c r="O334" s="62" t="n">
        <x:v>3.27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Encrasicholina heteroloba</x:v>
      </x:c>
      <x:c r="T334" s="62" t="n">
        <x:f>IF(O334="","",(1/'Metadata'!$B$5)^(O334-1))</x:f>
        <x:v>898.1276980921442</x:v>
      </x:c>
      <x:c r="U334" s="60" t="n">
        <x:f>IF(T334="","",I334*T334)</x:f>
        <x:v>11783.304151077771</x:v>
      </x:c>
    </x:row>
    <x:row r="335" ht="18" customHeight="1">
      <x:c r="A335" s="46" t="str">
        <x:v>LME_032</x:v>
      </x:c>
      <x:c r="B335" s="46" t="str">
        <x:v>Arabian Sea</x:v>
      </x:c>
      <x:c r="C335" s="46" t="str">
        <x:v>LME</x:v>
      </x:c>
      <x:c r="D335" s="58" t="n">
        <x:v>2019</x:v>
      </x:c>
      <x:c r="E335" s="46" t="str">
        <x:v>Caesio</x:v>
      </x:c>
      <x:c r="F335" s="46" t="str">
        <x:v>Caesios</x:v>
      </x:c>
      <x:c r="G335" s="46" t="str">
        <x:v>Medium reef assoc. fish (30 - 89 cm)</x:v>
      </x:c>
      <x:c r="H335" s="46" t="str">
        <x:v>Perch-likes</x:v>
      </x:c>
      <x:c r="I335" s="60" t="n">
        <x:v>12.6187645402</x:v>
      </x:c>
      <x:c r="J335" s="60" t="n">
        <x:v>12.6187645402</x:v>
      </x:c>
      <x:c r="K335" s="60" t="n">
        <x:v>0</x:v>
      </x:c>
      <x:c r="L335" s="60" t="n">
        <x:v>0</x:v>
      </x:c>
      <x:c r="M335" s="60" t="n">
        <x:v>12.6187645402</x:v>
      </x:c>
      <x:c r="N335" s="46" t="str">
        <x:v>caesio</x:v>
      </x:c>
      <x:c r="O335" s="62" t="n">
        <x:v>3.4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Caesio</x:v>
      </x:c>
      <x:c r="T335" s="62" t="n">
        <x:f>IF(O335="","",(1/'Metadata'!$B$5)^(O335-1))</x:f>
        <x:v>1325.7816069359944</x:v>
      </x:c>
      <x:c r="U335" s="60" t="n">
        <x:f>IF(T335="","",I335*T335)</x:f>
        <x:v>16729.7259296533</x:v>
      </x:c>
    </x:row>
    <x:row r="336" ht="18" customHeight="1">
      <x:c r="A336" s="46" t="str">
        <x:v>LME_032</x:v>
      </x:c>
      <x:c r="B336" s="46" t="str">
        <x:v>Arabian Sea</x:v>
      </x:c>
      <x:c r="C336" s="46" t="str">
        <x:v>LME</x:v>
      </x:c>
      <x:c r="D336" s="58" t="n">
        <x:v>2019</x:v>
      </x:c>
      <x:c r="E336" s="46" t="str">
        <x:v>Caesio caerulaurea</x:v>
      </x:c>
      <x:c r="F336" s="46" t="str">
        <x:v>Blue and gold fusilier</x:v>
      </x:c>
      <x:c r="G336" s="46" t="str">
        <x:v>Medium reef assoc. fish (30 - 89 cm)</x:v>
      </x:c>
      <x:c r="H336" s="46" t="str">
        <x:v>Perch-likes</x:v>
      </x:c>
      <x:c r="I336" s="60" t="n">
        <x:v>12.5848514276</x:v>
      </x:c>
      <x:c r="J336" s="60" t="n">
        <x:v>12.5848514276</x:v>
      </x:c>
      <x:c r="K336" s="60" t="n">
        <x:v>0</x:v>
      </x:c>
      <x:c r="L336" s="60" t="n">
        <x:v>0</x:v>
      </x:c>
      <x:c r="M336" s="60" t="n">
        <x:v>12.5848514276</x:v>
      </x:c>
      <x:c r="N336" s="46" t="str">
        <x:v>caesio caerulaurea</x:v>
      </x:c>
      <x:c r="O336" s="62" t="n">
        <x:v>3.4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Caesio caerulaurea</x:v>
      </x:c>
      <x:c r="T336" s="62" t="n">
        <x:f>IF(O336="","",(1/'Metadata'!$B$5)^(O336-1))</x:f>
        <x:v>1325.7816069359944</x:v>
      </x:c>
      <x:c r="U336" s="60" t="n">
        <x:f>IF(T336="","",I336*T336)</x:f>
        <x:v>16684.76454873427</x:v>
      </x:c>
    </x:row>
    <x:row r="337" ht="18" customHeight="1">
      <x:c r="A337" s="46" t="str">
        <x:v>LME_032</x:v>
      </x:c>
      <x:c r="B337" s="46" t="str">
        <x:v>Arabian Sea</x:v>
      </x:c>
      <x:c r="C337" s="46" t="str">
        <x:v>LME</x:v>
      </x:c>
      <x:c r="D337" s="58" t="n">
        <x:v>2019</x:v>
      </x:c>
      <x:c r="E337" s="46" t="str">
        <x:v>Haliotis</x:v>
      </x:c>
      <x:c r="F337" s="46" t="str">
        <x:v>Abalones</x:v>
      </x:c>
      <x:c r="G337" s="46" t="str">
        <x:v>Other demersal invertebrates</x:v>
      </x:c>
      <x:c r="H337" s="46" t="str">
        <x:v>Molluscs</x:v>
      </x:c>
      <x:c r="I337" s="60" t="n">
        <x:v>11.9074641369</x:v>
      </x:c>
      <x:c r="J337" s="60" t="n">
        <x:v>11.9074641369</x:v>
      </x:c>
      <x:c r="K337" s="60" t="n">
        <x:v>0</x:v>
      </x:c>
      <x:c r="L337" s="60" t="n">
        <x:v>11.9074641369</x:v>
      </x:c>
      <x:c r="M337" s="60" t="n">
        <x:v>0</x:v>
      </x:c>
      <x:c r="N337" s="46" t="str">
        <x:v>haliotis</x:v>
      </x:c>
      <x:c r="O337" s="62" t="n">
        <x:v>2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Haliotis</x:v>
      </x:c>
      <x:c r="T337" s="62" t="n">
        <x:f>IF(O337="","",(1/'Metadata'!$B$5)^(O337-1))</x:f>
        <x:v>20</x:v>
      </x:c>
      <x:c r="U337" s="60" t="n">
        <x:f>IF(T337="","",I337*T337)</x:f>
        <x:v>238.149282738</x:v>
      </x:c>
    </x:row>
    <x:row r="338" ht="18" customHeight="1">
      <x:c r="A338" s="46" t="str">
        <x:v>LME_032</x:v>
      </x:c>
      <x:c r="B338" s="46" t="str">
        <x:v>Arabian Sea</x:v>
      </x:c>
      <x:c r="C338" s="46" t="str">
        <x:v>LME</x:v>
      </x:c>
      <x:c r="D338" s="58" t="n">
        <x:v>2019</x:v>
      </x:c>
      <x:c r="E338" s="46" t="str">
        <x:v>Aphareus furca</x:v>
      </x:c>
      <x:c r="F338" s="46" t="str">
        <x:v>Small toothed jobfish</x:v>
      </x:c>
      <x:c r="G338" s="46" t="str">
        <x:v>Medium reef assoc. fish (30 - 89 cm)</x:v>
      </x:c>
      <x:c r="H338" s="46" t="str">
        <x:v>Perch-likes</x:v>
      </x:c>
      <x:c r="I338" s="60" t="n">
        <x:v>11.4918118209</x:v>
      </x:c>
      <x:c r="J338" s="60" t="n">
        <x:v>11.4918118209</x:v>
      </x:c>
      <x:c r="K338" s="60" t="n">
        <x:v>0</x:v>
      </x:c>
      <x:c r="L338" s="60" t="n">
        <x:v>0.30768958290000004</x:v>
      </x:c>
      <x:c r="M338" s="60" t="n">
        <x:v>11.184122238</x:v>
      </x:c>
      <x:c r="N338" s="46" t="str">
        <x:v>aphareus furca</x:v>
      </x:c>
      <x:c r="O338" s="62" t="n">
        <x:v>4.14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Aphareus furca</x:v>
      </x:c>
      <x:c r="T338" s="62" t="n">
        <x:f>IF(O338="","",(1/'Metadata'!$B$5)^(O338-1))</x:f>
        <x:v>12168.419864331923</x:v>
      </x:c>
      <x:c r="U338" s="60" t="n">
        <x:f>IF(T338="","",I338*T338)</x:f>
        <x:v>139837.191238604</x:v>
      </x:c>
    </x:row>
    <x:row r="339" ht="18" customHeight="1">
      <x:c r="A339" s="46" t="str">
        <x:v>LME_032</x:v>
      </x:c>
      <x:c r="B339" s="46" t="str">
        <x:v>Arabian Sea</x:v>
      </x:c>
      <x:c r="C339" s="46" t="str">
        <x:v>LME</x:v>
      </x:c>
      <x:c r="D339" s="58" t="n">
        <x:v>2019</x:v>
      </x:c>
      <x:c r="E339" s="46" t="str">
        <x:v>Ferdauia orthogrammus</x:v>
      </x:c>
      <x:c r="F339" s="46" t="str">
        <x:v>Island trevally</x:v>
      </x:c>
      <x:c r="G339" s="46" t="str">
        <x:v>Medium pelagics (30 - 89 cm)</x:v>
      </x:c>
      <x:c r="H339" s="46" t="str">
        <x:v>Perch-likes</x:v>
      </x:c>
      <x:c r="I339" s="60" t="n">
        <x:v>10.6467126222</x:v>
      </x:c>
      <x:c r="J339" s="60" t="n">
        <x:v>10.6467126222</x:v>
      </x:c>
      <x:c r="K339" s="60" t="n">
        <x:v>0</x:v>
      </x:c>
      <x:c r="L339" s="60" t="n">
        <x:v>0.7369887766</x:v>
      </x:c>
      <x:c r="M339" s="60" t="n">
        <x:v>9.9097238456</x:v>
      </x:c>
      <x:c r="N339" s="46" t="str">
        <x:v>ferdauia orthogrammus</x:v>
      </x:c>
      <x:c r="O339" s="62" t="n">
        <x:v>4.48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Ferdauia orthogrammus</x:v>
      </x:c>
      <x:c r="T339" s="62" t="n">
        <x:f>IF(O339="","",(1/'Metadata'!$B$5)^(O339-1))</x:f>
        <x:v>33696.468277717824</x:v>
      </x:c>
      <x:c r="U339" s="60" t="n">
        <x:f>IF(T339="","",I339*T339)</x:f>
        <x:v>358756.61413594027</x:v>
      </x:c>
    </x:row>
    <x:row r="340" ht="18" customHeight="1">
      <x:c r="A340" s="46" t="str">
        <x:v>LME_032</x:v>
      </x:c>
      <x:c r="B340" s="46" t="str">
        <x:v>Arabian Sea</x:v>
      </x:c>
      <x:c r="C340" s="46" t="str">
        <x:v>LME</x:v>
      </x:c>
      <x:c r="D340" s="58" t="n">
        <x:v>2019</x:v>
      </x:c>
      <x:c r="E340" s="46" t="str">
        <x:v>Platycaranx talamparoides</x:v>
      </x:c>
      <x:c r="F340" s="46" t="str">
        <x:v>Imposter trevally</x:v>
      </x:c>
      <x:c r="G340" s="46" t="str">
        <x:v>Medium pelagics (30 - 89 cm)</x:v>
      </x:c>
      <x:c r="H340" s="46" t="str">
        <x:v>Perch-likes</x:v>
      </x:c>
      <x:c r="I340" s="60" t="n">
        <x:v>9.989073583200001</x:v>
      </x:c>
      <x:c r="J340" s="60" t="n">
        <x:v>9.989073583200001</x:v>
      </x:c>
      <x:c r="K340" s="60" t="n">
        <x:v>0</x:v>
      </x:c>
      <x:c r="L340" s="60" t="n">
        <x:v>0.1464004397</x:v>
      </x:c>
      <x:c r="M340" s="60" t="n">
        <x:v>9.8426731435</x:v>
      </x:c>
      <x:c r="N340" s="46" t="str">
        <x:v>platycaranx talamparoides</x:v>
      </x:c>
      <x:c r="O340" s="62" t="n">
        <x:v>4.4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Platycaranx talamparoides</x:v>
      </x:c>
      <x:c r="T340" s="62" t="n">
        <x:f>IF(O340="","",(1/'Metadata'!$B$5)^(O340-1))</x:f>
        <x:v>26515.632138719924</x:v>
      </x:c>
      <x:c r="U340" s="60" t="n">
        <x:f>IF(T340="","",I340*T340)</x:f>
        <x:v>264866.60053873615</x:v>
      </x:c>
    </x:row>
    <x:row r="341" ht="18" customHeight="1">
      <x:c r="A341" s="46" t="str">
        <x:v>LME_032</x:v>
      </x:c>
      <x:c r="B341" s="46" t="str">
        <x:v>Arabian Sea</x:v>
      </x:c>
      <x:c r="C341" s="46" t="str">
        <x:v>LME</x:v>
      </x:c>
      <x:c r="D341" s="58" t="n">
        <x:v>2019</x:v>
      </x:c>
      <x:c r="E341" s="46" t="str">
        <x:v>Ephippidae</x:v>
      </x:c>
      <x:c r="F341" s="46" t="str">
        <x:v>Spade-, batfishes, scats</x:v>
      </x:c>
      <x:c r="G341" s="46" t="str">
        <x:v>Medium reef assoc. fish (30 - 89 cm)</x:v>
      </x:c>
      <x:c r="H341" s="46" t="str">
        <x:v>Perch-likes</x:v>
      </x:c>
      <x:c r="I341" s="60" t="n">
        <x:v>9.9624988688</x:v>
      </x:c>
      <x:c r="J341" s="60" t="n">
        <x:v>9.9624988688</x:v>
      </x:c>
      <x:c r="K341" s="60" t="n">
        <x:v>0</x:v>
      </x:c>
      <x:c r="L341" s="60" t="n">
        <x:v>2.9236549296</x:v>
      </x:c>
      <x:c r="M341" s="60" t="n">
        <x:v>7.0388439392</x:v>
      </x:c>
      <x:c r="N341" s="46" t="str">
        <x:v>ephippidae</x:v>
      </x:c>
      <x:c r="O341" s="62" t="n">
        <x:v>3.57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Ephippidae</x:v>
      </x:c>
      <x:c r="T341" s="62" t="n">
        <x:f>IF(O341="","",(1/'Metadata'!$B$5)^(O341-1))</x:f>
        <x:v>2206.2112196552644</x:v>
      </x:c>
      <x:c r="U341" s="60" t="n">
        <x:f>IF(T341="","",I341*T341)</x:f>
        <x:v>21979.376780149436</x:v>
      </x:c>
    </x:row>
    <x:row r="342" ht="18" customHeight="1">
      <x:c r="A342" s="46" t="str">
        <x:v>LME_032</x:v>
      </x:c>
      <x:c r="B342" s="46" t="str">
        <x:v>Arabian Sea</x:v>
      </x:c>
      <x:c r="C342" s="46" t="str">
        <x:v>LME</x:v>
      </x:c>
      <x:c r="D342" s="58" t="n">
        <x:v>2019</x:v>
      </x:c>
      <x:c r="E342" s="46" t="str">
        <x:v>Plectorhinchus pictus</x:v>
      </x:c>
      <x:c r="F342" s="46" t="str">
        <x:v>Trout sweetlips</x:v>
      </x:c>
      <x:c r="G342" s="46" t="str">
        <x:v>Medium reef assoc. fish (30 - 89 cm)</x:v>
      </x:c>
      <x:c r="H342" s="46" t="str">
        <x:v>Perch-likes</x:v>
      </x:c>
      <x:c r="I342" s="60" t="n">
        <x:v>9.7031149892</x:v>
      </x:c>
      <x:c r="J342" s="60" t="n">
        <x:v>9.7031149892</x:v>
      </x:c>
      <x:c r="K342" s="60" t="n">
        <x:v>0</x:v>
      </x:c>
      <x:c r="L342" s="60" t="n">
        <x:v>2.16456172</x:v>
      </x:c>
      <x:c r="M342" s="60" t="n">
        <x:v>7.5385532691999995</x:v>
      </x:c>
      <x:c r="N342" s="46" t="str">
        <x:v>plectorhinchus pictus</x:v>
      </x:c>
      <x:c r="O342" s="62" t="n">
        <x:v>3.85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Plectorhinchus pictus</x:v>
      </x:c>
      <x:c r="T342" s="62" t="n">
        <x:f>IF(O342="","",(1/'Metadata'!$B$5)^(O342-1))</x:f>
        <x:v>5104.291725436732</x:v>
      </x:c>
      <x:c r="U342" s="60" t="n">
        <x:f>IF(T342="","",I342*T342)</x:f>
        <x:v>49527.529550334686</x:v>
      </x:c>
    </x:row>
    <x:row r="343" ht="18" customHeight="1">
      <x:c r="A343" s="46" t="str">
        <x:v>LME_032</x:v>
      </x:c>
      <x:c r="B343" s="46" t="str">
        <x:v>Arabian Sea</x:v>
      </x:c>
      <x:c r="C343" s="46" t="str">
        <x:v>LME</x:v>
      </x:c>
      <x:c r="D343" s="58" t="n">
        <x:v>2019</x:v>
      </x:c>
      <x:c r="E343" s="46" t="str">
        <x:v>Cephalopholis miniata</x:v>
      </x:c>
      <x:c r="F343" s="46" t="str">
        <x:v>Coral hind</x:v>
      </x:c>
      <x:c r="G343" s="46" t="str">
        <x:v>Medium reef assoc. fish (30 - 89 cm)</x:v>
      </x:c>
      <x:c r="H343" s="46" t="str">
        <x:v>Perch-likes</x:v>
      </x:c>
      <x:c r="I343" s="60" t="n">
        <x:v>8.903091871400001</x:v>
      </x:c>
      <x:c r="J343" s="60" t="n">
        <x:v>8.903091871400001</x:v>
      </x:c>
      <x:c r="K343" s="60" t="n">
        <x:v>0</x:v>
      </x:c>
      <x:c r="L343" s="60" t="n">
        <x:v>0.2063080002</x:v>
      </x:c>
      <x:c r="M343" s="60" t="n">
        <x:v>8.696783871200001</x:v>
      </x:c>
      <x:c r="N343" s="46" t="str">
        <x:v>cephalopholis miniata</x:v>
      </x:c>
      <x:c r="O343" s="62" t="n">
        <x:v>4.29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Cephalopholis miniata</x:v>
      </x:c>
      <x:c r="T343" s="62" t="n">
        <x:f>IF(O343="","",(1/'Metadata'!$B$5)^(O343-1))</x:f>
        <x:v>19071.668343236455</x:v>
      </x:c>
      <x:c r="U343" s="60" t="n">
        <x:f>IF(T343="","",I343*T343)</x:f>
        <x:v>169796.8154007052</x:v>
      </x:c>
    </x:row>
    <x:row r="344" ht="18" customHeight="1">
      <x:c r="A344" s="46" t="str">
        <x:v>LME_032</x:v>
      </x:c>
      <x:c r="B344" s="46" t="str">
        <x:v>Arabian Sea</x:v>
      </x:c>
      <x:c r="C344" s="46" t="str">
        <x:v>LME</x:v>
      </x:c>
      <x:c r="D344" s="58" t="n">
        <x:v>2019</x:v>
      </x:c>
      <x:c r="E344" s="46" t="str">
        <x:v>Aluterus monoceros</x:v>
      </x:c>
      <x:c r="F344" s="46" t="str">
        <x:v>Unicorn leatherjacket filefish</x:v>
      </x:c>
      <x:c r="G344" s="46" t="str">
        <x:v>Medium reef assoc. fish (30 - 89 cm)</x:v>
      </x:c>
      <x:c r="H344" s="46" t="str">
        <x:v>Other fishes &amp; inverts</x:v>
      </x:c>
      <x:c r="I344" s="60" t="n">
        <x:v>7.7472074078999995</x:v>
      </x:c>
      <x:c r="J344" s="60" t="n">
        <x:v>7.7472074078999995</x:v>
      </x:c>
      <x:c r="K344" s="60" t="n">
        <x:v>0</x:v>
      </x:c>
      <x:c r="L344" s="60" t="n">
        <x:v>2.3533408079</x:v>
      </x:c>
      <x:c r="M344" s="60" t="n">
        <x:v>5.3938666</x:v>
      </x:c>
      <x:c r="N344" s="46" t="str">
        <x:v>aluterus monoceros</x:v>
      </x:c>
      <x:c r="O344" s="62" t="n">
        <x:v>3.84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Aluterus monoceros</x:v>
      </x:c>
      <x:c r="T344" s="62" t="n">
        <x:f>IF(O344="","",(1/'Metadata'!$B$5)^(O344-1))</x:f>
        <x:v>4953.648510535111</x:v>
      </x:c>
      <x:c r="U344" s="60" t="n">
        <x:f>IF(T344="","",I344*T344)</x:f>
        <x:v>38376.94243695041</x:v>
      </x:c>
    </x:row>
    <x:row r="345" ht="18" customHeight="1">
      <x:c r="A345" s="46" t="str">
        <x:v>LME_032</x:v>
      </x:c>
      <x:c r="B345" s="46" t="str">
        <x:v>Arabian Sea</x:v>
      </x:c>
      <x:c r="C345" s="46" t="str">
        <x:v>LME</x:v>
      </x:c>
      <x:c r="D345" s="58" t="n">
        <x:v>2019</x:v>
      </x:c>
      <x:c r="E345" s="46" t="str">
        <x:v>Aphareus rutilans</x:v>
      </x:c>
      <x:c r="F345" s="46" t="str">
        <x:v>Rusty jobfish</x:v>
      </x:c>
      <x:c r="G345" s="46" t="str">
        <x:v>Medium reef assoc. fish (30 - 89 cm)</x:v>
      </x:c>
      <x:c r="H345" s="46" t="str">
        <x:v>Perch-likes</x:v>
      </x:c>
      <x:c r="I345" s="60" t="n">
        <x:v>7.6716918161</x:v>
      </x:c>
      <x:c r="J345" s="60" t="n">
        <x:v>7.6716918161</x:v>
      </x:c>
      <x:c r="K345" s="60" t="n">
        <x:v>0</x:v>
      </x:c>
      <x:c r="L345" s="60" t="n">
        <x:v>0.4880014656</x:v>
      </x:c>
      <x:c r="M345" s="60" t="n">
        <x:v>7.1836903505</x:v>
      </x:c>
      <x:c r="N345" s="46" t="str">
        <x:v>aphareus rutilans</x:v>
      </x:c>
      <x:c r="O345" s="62" t="n">
        <x:v>4.11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Aphareus rutilans</x:v>
      </x:c>
      <x:c r="T345" s="62" t="n">
        <x:f>IF(O345="","",(1/'Metadata'!$B$5)^(O345-1))</x:f>
        <x:v>11122.52233481121</x:v>
      </x:c>
      <x:c r="U345" s="60" t="n">
        <x:f>IF(T345="","",I345*T345)</x:f>
        <x:v>85328.56357036062</x:v>
      </x:c>
    </x:row>
    <x:row r="346" ht="18" customHeight="1">
      <x:c r="A346" s="46" t="str">
        <x:v>LME_032</x:v>
      </x:c>
      <x:c r="B346" s="46" t="str">
        <x:v>Arabian Sea</x:v>
      </x:c>
      <x:c r="C346" s="46" t="str">
        <x:v>LME</x:v>
      </x:c>
      <x:c r="D346" s="58" t="n">
        <x:v>2019</x:v>
      </x:c>
      <x:c r="E346" s="46" t="str">
        <x:v>Epinephelus fasciatus</x:v>
      </x:c>
      <x:c r="F346" s="46" t="str">
        <x:v>Blacktip grouper</x:v>
      </x:c>
      <x:c r="G346" s="46" t="str">
        <x:v>Medium reef assoc. fish (30 - 89 cm)</x:v>
      </x:c>
      <x:c r="H346" s="46" t="str">
        <x:v>Perch-likes</x:v>
      </x:c>
      <x:c r="I346" s="60" t="n">
        <x:v>7.6657609458</x:v>
      </x:c>
      <x:c r="J346" s="60" t="n">
        <x:v>7.6657609458</x:v>
      </x:c>
      <x:c r="K346" s="60" t="n">
        <x:v>0</x:v>
      </x:c>
      <x:c r="L346" s="60" t="n">
        <x:v>0.20643037949999998</x:v>
      </x:c>
      <x:c r="M346" s="60" t="n">
        <x:v>7.4593305663</x:v>
      </x:c>
      <x:c r="N346" s="46" t="str">
        <x:v>epinephelus fasciatus</x:v>
      </x:c>
      <x:c r="O346" s="62" t="n">
        <x:v>3.72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Epinephelus fasciatus</x:v>
      </x:c>
      <x:c r="T346" s="62" t="n">
        <x:f>IF(O346="","",(1/'Metadata'!$B$5)^(O346-1))</x:f>
        <x:v>3457.8136804537753</x:v>
      </x:c>
      <x:c r="U346" s="60" t="n">
        <x:f>IF(T346="","",I346*T346)</x:f>
        <x:v>26506.773069475512</x:v>
      </x:c>
    </x:row>
    <x:row r="347" ht="18" customHeight="1">
      <x:c r="A347" s="46" t="str">
        <x:v>LME_032</x:v>
      </x:c>
      <x:c r="B347" s="46" t="str">
        <x:v>Arabian Sea</x:v>
      </x:c>
      <x:c r="C347" s="46" t="str">
        <x:v>LME</x:v>
      </x:c>
      <x:c r="D347" s="58" t="n">
        <x:v>2019</x:v>
      </x:c>
      <x:c r="E347" s="46" t="str">
        <x:v>Cephalopholis</x:v>
      </x:c>
      <x:c r="F347" s="46" t="str">
        <x:v>Hinds</x:v>
      </x:c>
      <x:c r="G347" s="46" t="str">
        <x:v>Medium reef assoc. fish (30 - 89 cm)</x:v>
      </x:c>
      <x:c r="H347" s="46" t="str">
        <x:v>Perch-likes</x:v>
      </x:c>
      <x:c r="I347" s="60" t="n">
        <x:v>7.6640017716</x:v>
      </x:c>
      <x:c r="J347" s="60" t="n">
        <x:v>7.6640017716</x:v>
      </x:c>
      <x:c r="K347" s="60" t="n">
        <x:v>0</x:v>
      </x:c>
      <x:c r="L347" s="60" t="n">
        <x:v>0.2063830071</x:v>
      </x:c>
      <x:c r="M347" s="60" t="n">
        <x:v>7.457618764499999</x:v>
      </x:c>
      <x:c r="N347" s="46" t="str">
        <x:v>cephalopholis</x:v>
      </x:c>
      <x:c r="O347" s="62" t="n">
        <x:v>4.13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Cephalopholis</x:v>
      </x:c>
      <x:c r="T347" s="62" t="n">
        <x:f>IF(O347="","",(1/'Metadata'!$B$5)^(O347-1))</x:f>
        <x:v>11809.292685236613</x:v>
      </x:c>
      <x:c r="U347" s="60" t="n">
        <x:f>IF(T347="","",I347*T347)</x:f>
        <x:v>90506.44006099632</x:v>
      </x:c>
    </x:row>
    <x:row r="348" ht="18" customHeight="1">
      <x:c r="A348" s="46" t="str">
        <x:v>LME_032</x:v>
      </x:c>
      <x:c r="B348" s="46" t="str">
        <x:v>Arabian Sea</x:v>
      </x:c>
      <x:c r="C348" s="46" t="str">
        <x:v>LME</x:v>
      </x:c>
      <x:c r="D348" s="58" t="n">
        <x:v>2019</x:v>
      </x:c>
      <x:c r="E348" s="46" t="str">
        <x:v>Caranx lugubris</x:v>
      </x:c>
      <x:c r="F348" s="46" t="str">
        <x:v>Black jack</x:v>
      </x:c>
      <x:c r="G348" s="46" t="str">
        <x:v>Large benthopelagics (&gt;=90 cm)</x:v>
      </x:c>
      <x:c r="H348" s="46" t="str">
        <x:v>Perch-likes</x:v>
      </x:c>
      <x:c r="I348" s="60" t="n">
        <x:v>7.4041855923</x:v>
      </x:c>
      <x:c r="J348" s="60" t="n">
        <x:v>7.4041855923</x:v>
      </x:c>
      <x:c r="K348" s="60" t="n">
        <x:v>0</x:v>
      </x:c>
      <x:c r="L348" s="60" t="n">
        <x:v>0.5125339506</x:v>
      </x:c>
      <x:c r="M348" s="60" t="n">
        <x:v>6.8916516417</x:v>
      </x:c>
      <x:c r="N348" s="46" t="str">
        <x:v>caranx lugubris</x:v>
      </x:c>
      <x:c r="O348" s="62" t="n">
        <x:v>4.5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Caranx lugubris</x:v>
      </x:c>
      <x:c r="T348" s="62" t="n">
        <x:f>IF(O348="","",(1/'Metadata'!$B$5)^(O348-1))</x:f>
        <x:v>35777.08763999664</x:v>
      </x:c>
      <x:c r="U348" s="60" t="n">
        <x:f>IF(T348="","",I348*T348)</x:f>
        <x:v>264900.1968385175</x:v>
      </x:c>
    </x:row>
    <x:row r="349" ht="18" customHeight="1">
      <x:c r="A349" s="46" t="str">
        <x:v>LME_032</x:v>
      </x:c>
      <x:c r="B349" s="46" t="str">
        <x:v>Arabian Sea</x:v>
      </x:c>
      <x:c r="C349" s="46" t="str">
        <x:v>LME</x:v>
      </x:c>
      <x:c r="D349" s="58" t="n">
        <x:v>2019</x:v>
      </x:c>
      <x:c r="E349" s="46" t="str">
        <x:v>Macolor</x:v>
      </x:c>
      <x:c r="F349" s="46" t="str">
        <x:v>Snappers</x:v>
      </x:c>
      <x:c r="G349" s="46" t="str">
        <x:v>Medium reef assoc. fish (30 - 89 cm)</x:v>
      </x:c>
      <x:c r="H349" s="46" t="str">
        <x:v>Perch-likes</x:v>
      </x:c>
      <x:c r="I349" s="60" t="n">
        <x:v>7.071396266700001</x:v>
      </x:c>
      <x:c r="J349" s="60" t="n">
        <x:v>7.071396266700001</x:v>
      </x:c>
      <x:c r="K349" s="60" t="n">
        <x:v>0</x:v>
      </x:c>
      <x:c r="L349" s="60" t="n">
        <x:v>0.4894975444</x:v>
      </x:c>
      <x:c r="M349" s="60" t="n">
        <x:v>6.5818987223</x:v>
      </x:c>
      <x:c r="N349" s="46" t="str">
        <x:v>macolor</x:v>
      </x:c>
      <x:c r="O349" s="62" t="n">
        <x:v>3.99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Macolor</x:v>
      </x:c>
      <x:c r="T349" s="62" t="n">
        <x:f>IF(O349="","",(1/'Metadata'!$B$5)^(O349-1))</x:f>
        <x:v>7763.895603143686</x:v>
      </x:c>
      <x:c r="U349" s="60" t="n">
        <x:f>IF(T349="","",I349*T349)</x:f>
        <x:v>54901.58238311881</x:v>
      </x:c>
    </x:row>
    <x:row r="350" ht="18" customHeight="1">
      <x:c r="A350" s="46" t="str">
        <x:v>LME_032</x:v>
      </x:c>
      <x:c r="B350" s="46" t="str">
        <x:v>Arabian Sea</x:v>
      </x:c>
      <x:c r="C350" s="46" t="str">
        <x:v>LME</x:v>
      </x:c>
      <x:c r="D350" s="58" t="n">
        <x:v>2019</x:v>
      </x:c>
      <x:c r="E350" s="46" t="str">
        <x:v>Macolor niger</x:v>
      </x:c>
      <x:c r="F350" s="46" t="str">
        <x:v>Black and white snapper</x:v>
      </x:c>
      <x:c r="G350" s="46" t="str">
        <x:v>Medium reef assoc. fish (30 - 89 cm)</x:v>
      </x:c>
      <x:c r="H350" s="46" t="str">
        <x:v>Perch-likes</x:v>
      </x:c>
      <x:c r="I350" s="60" t="n">
        <x:v>7.0322579812</x:v>
      </x:c>
      <x:c r="J350" s="60" t="n">
        <x:v>7.0322579812</x:v>
      </x:c>
      <x:c r="K350" s="60" t="n">
        <x:v>0</x:v>
      </x:c>
      <x:c r="L350" s="60" t="n">
        <x:v>0.4867883065</x:v>
      </x:c>
      <x:c r="M350" s="60" t="n">
        <x:v>6.5454696747</x:v>
      </x:c>
      <x:c r="N350" s="46" t="str">
        <x:v>macolor niger</x:v>
      </x:c>
      <x:c r="O350" s="62" t="n">
        <x:v>4.01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Macolor niger</x:v>
      </x:c>
      <x:c r="T350" s="62" t="n">
        <x:f>IF(O350="","",(1/'Metadata'!$B$5)^(O350-1))</x:f>
        <x:v>8243.284463290014</x:v>
      </x:c>
      <x:c r="U350" s="60" t="n">
        <x:f>IF(T350="","",I350*T350)</x:f>
        <x:v>57968.90295827316</x:v>
      </x:c>
    </x:row>
    <x:row r="351" ht="18" customHeight="1">
      <x:c r="A351" s="46" t="str">
        <x:v>LME_032</x:v>
      </x:c>
      <x:c r="B351" s="46" t="str">
        <x:v>Arabian Sea</x:v>
      </x:c>
      <x:c r="C351" s="46" t="str">
        <x:v>LME</x:v>
      </x:c>
      <x:c r="D351" s="58" t="n">
        <x:v>2019</x:v>
      </x:c>
      <x:c r="E351" s="46" t="str">
        <x:v>Octopodidae</x:v>
      </x:c>
      <x:c r="F351" s="46" t="str">
        <x:v>Octopuses</x:v>
      </x:c>
      <x:c r="G351" s="46" t="str">
        <x:v>Cephalopods</x:v>
      </x:c>
      <x:c r="H351" s="46" t="str">
        <x:v>Other fishes &amp; inverts</x:v>
      </x:c>
      <x:c r="I351" s="60" t="n">
        <x:v>6.3182535683</x:v>
      </x:c>
      <x:c r="J351" s="60" t="n">
        <x:v>6.3182535683</x:v>
      </x:c>
      <x:c r="K351" s="60" t="n">
        <x:v>0</x:v>
      </x:c>
      <x:c r="L351" s="60" t="n">
        <x:v>0</x:v>
      </x:c>
      <x:c r="M351" s="60" t="n">
        <x:v>6.3182535683</x:v>
      </x:c>
      <x:c r="N351" s="46" t="str">
        <x:v>octopodidae</x:v>
      </x:c>
      <x:c r="O351" s="62" t="n">
        <x:v>3.59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Octopodidae</x:v>
      </x:c>
      <x:c r="T351" s="62" t="n">
        <x:f>IF(O351="","",(1/'Metadata'!$B$5)^(O351-1))</x:f>
        <x:v>2342.4357563948306</x:v>
      </x:c>
      <x:c r="U351" s="60" t="n">
        <x:f>IF(T351="","",I351*T351)</x:f>
        <x:v>14800.103076355148</x:v>
      </x:c>
    </x:row>
    <x:row r="352" ht="18" customHeight="1">
      <x:c r="A352" s="46" t="str">
        <x:v>LME_032</x:v>
      </x:c>
      <x:c r="B352" s="46" t="str">
        <x:v>Arabian Sea</x:v>
      </x:c>
      <x:c r="C352" s="46" t="str">
        <x:v>LME</x:v>
      </x:c>
      <x:c r="D352" s="58" t="n">
        <x:v>2019</x:v>
      </x:c>
      <x:c r="E352" s="46" t="str">
        <x:v>Sphyraena putnamae</x:v>
      </x:c>
      <x:c r="F352" s="46" t="str">
        <x:v>Sawtooth barracuda</x:v>
      </x:c>
      <x:c r="G352" s="46" t="str">
        <x:v>Medium reef assoc. fish (30 - 89 cm)</x:v>
      </x:c>
      <x:c r="H352" s="46" t="str">
        <x:v>Perch-likes</x:v>
      </x:c>
      <x:c r="I352" s="60" t="n">
        <x:v>5.9204742026999995</x:v>
      </x:c>
      <x:c r="J352" s="60" t="n">
        <x:v>5.9204742026999995</x:v>
      </x:c>
      <x:c r="K352" s="60" t="n">
        <x:v>0</x:v>
      </x:c>
      <x:c r="L352" s="60" t="n">
        <x:v>5.9204742026999995</x:v>
      </x:c>
      <x:c r="M352" s="60" t="n">
        <x:v>0</x:v>
      </x:c>
      <x:c r="N352" s="46" t="str">
        <x:v>sphyraena putnamae</x:v>
      </x:c>
      <x:c r="O352" s="62" t="n">
        <x:v>4.5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Sphyraena putnamae</x:v>
      </x:c>
      <x:c r="T352" s="62" t="n">
        <x:f>IF(O352="","",(1/'Metadata'!$B$5)^(O352-1))</x:f>
        <x:v>35777.08763999664</x:v>
      </x:c>
      <x:c r="U352" s="60" t="n">
        <x:f>IF(T352="","",I352*T352)</x:f>
        <x:v>211817.3244203371</x:v>
      </x:c>
    </x:row>
    <x:row r="353" ht="18" customHeight="1">
      <x:c r="A353" s="46" t="str">
        <x:v>LME_032</x:v>
      </x:c>
      <x:c r="B353" s="46" t="str">
        <x:v>Arabian Sea</x:v>
      </x:c>
      <x:c r="C353" s="46" t="str">
        <x:v>LME</x:v>
      </x:c>
      <x:c r="D353" s="58" t="n">
        <x:v>2019</x:v>
      </x:c>
      <x:c r="E353" s="46" t="str">
        <x:v>Seriola rivoliana</x:v>
      </x:c>
      <x:c r="F353" s="46" t="str">
        <x:v>Longfin yellowtail</x:v>
      </x:c>
      <x:c r="G353" s="46" t="str">
        <x:v>Large benthopelagics (&gt;=90 cm)</x:v>
      </x:c>
      <x:c r="H353" s="46" t="str">
        <x:v>Perch-likes</x:v>
      </x:c>
      <x:c r="I353" s="60" t="n">
        <x:v>5.8770278345</x:v>
      </x:c>
      <x:c r="J353" s="60" t="n">
        <x:v>5.8770278345</x:v>
      </x:c>
      <x:c r="K353" s="60" t="n">
        <x:v>0</x:v>
      </x:c>
      <x:c r="L353" s="60" t="n">
        <x:v>0.1575646611</x:v>
      </x:c>
      <x:c r="M353" s="60" t="n">
        <x:v>5.7194631734</x:v>
      </x:c>
      <x:c r="N353" s="46" t="str">
        <x:v>seriola rivoliana</x:v>
      </x:c>
      <x:c r="O353" s="62" t="n">
        <x:v>4.45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Seriola rivoliana</x:v>
      </x:c>
      <x:c r="T353" s="62" t="n">
        <x:f>IF(O353="","",(1/'Metadata'!$B$5)^(O353-1))</x:f>
        <x:v>30800.19634445362</x:v>
      </x:c>
      <x:c r="U353" s="60" t="n">
        <x:f>IF(T353="","",I353*T353)</x:f>
        <x:v>181013.61122441906</x:v>
      </x:c>
    </x:row>
    <x:row r="354" ht="18" customHeight="1">
      <x:c r="A354" s="46" t="str">
        <x:v>LME_032</x:v>
      </x:c>
      <x:c r="B354" s="46" t="str">
        <x:v>Arabian Sea</x:v>
      </x:c>
      <x:c r="C354" s="46" t="str">
        <x:v>LME</x:v>
      </x:c>
      <x:c r="D354" s="58" t="n">
        <x:v>2019</x:v>
      </x:c>
      <x:c r="E354" s="46" t="str">
        <x:v>Platax</x:v>
      </x:c>
      <x:c r="F354" s="46" t="str">
        <x:v>Spadefishes</x:v>
      </x:c>
      <x:c r="G354" s="46" t="str">
        <x:v>Medium reef assoc. fish (30 - 89 cm)</x:v>
      </x:c>
      <x:c r="H354" s="46" t="str">
        <x:v>Perch-likes</x:v>
      </x:c>
      <x:c r="I354" s="60" t="n">
        <x:v>4.9785119508</x:v>
      </x:c>
      <x:c r="J354" s="60" t="n">
        <x:v>4.9785119508</x:v>
      </x:c>
      <x:c r="K354" s="60" t="n">
        <x:v>0</x:v>
      </x:c>
      <x:c r="L354" s="60" t="n">
        <x:v>4.9785119508</x:v>
      </x:c>
      <x:c r="M354" s="60" t="n">
        <x:v>0</x:v>
      </x:c>
      <x:c r="N354" s="46" t="str">
        <x:v>platax</x:v>
      </x:c>
      <x:c r="O354" s="62" t="n">
        <x:v>3.53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Platax</x:v>
      </x:c>
      <x:c r="T354" s="62" t="n">
        <x:f>IF(O354="","",(1/'Metadata'!$B$5)^(O354-1))</x:f>
        <x:v>1957.0678791263101</x:v>
      </x:c>
      <x:c r="U354" s="60" t="n">
        <x:f>IF(T354="","",I354*T354)</x:f>
        <x:v>9743.285824757144</x:v>
      </x:c>
    </x:row>
    <x:row r="355" ht="18" customHeight="1">
      <x:c r="A355" s="46" t="str">
        <x:v>LME_032</x:v>
      </x:c>
      <x:c r="B355" s="46" t="str">
        <x:v>Arabian Sea</x:v>
      </x:c>
      <x:c r="C355" s="46" t="str">
        <x:v>LME</x:v>
      </x:c>
      <x:c r="D355" s="58" t="n">
        <x:v>2019</x:v>
      </x:c>
      <x:c r="E355" s="46" t="str">
        <x:v>Plotosidae</x:v>
      </x:c>
      <x:c r="F355" s="46" t="str">
        <x:v>Eeltail catfishes</x:v>
      </x:c>
      <x:c r="G355" s="46" t="str">
        <x:v>Medium reef assoc. fish (30 - 89 cm)</x:v>
      </x:c>
      <x:c r="H355" s="46" t="str">
        <x:v>Other fishes &amp; inverts</x:v>
      </x:c>
      <x:c r="I355" s="60" t="n">
        <x:v>4.9742992882</x:v>
      </x:c>
      <x:c r="J355" s="60" t="n">
        <x:v>4.9742992882</x:v>
      </x:c>
      <x:c r="K355" s="60" t="n">
        <x:v>0</x:v>
      </x:c>
      <x:c r="L355" s="60" t="n">
        <x:v>0</x:v>
      </x:c>
      <x:c r="M355" s="60" t="n">
        <x:v>4.9742992882</x:v>
      </x:c>
      <x:c r="N355" s="46" t="str">
        <x:v>plotosidae</x:v>
      </x:c>
      <x:c r="O355" s="62" t="n">
        <x:v>3.49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Plotosidae</x:v>
      </x:c>
      <x:c r="T355" s="62" t="n">
        <x:f>IF(O355="","",(1/'Metadata'!$B$5)^(O355-1))</x:f>
        <x:v>1736.059833884101</x:v>
      </x:c>
      <x:c r="U355" s="60" t="n">
        <x:f>IF(T355="","",I355*T355)</x:f>
        <x:v>8635.681195962294</x:v>
      </x:c>
    </x:row>
    <x:row r="356" ht="18" customHeight="1">
      <x:c r="A356" s="46" t="str">
        <x:v>LME_032</x:v>
      </x:c>
      <x:c r="B356" s="46" t="str">
        <x:v>Arabian Sea</x:v>
      </x:c>
      <x:c r="C356" s="46" t="str">
        <x:v>LME</x:v>
      </x:c>
      <x:c r="D356" s="58" t="n">
        <x:v>2019</x:v>
      </x:c>
      <x:c r="E356" s="46" t="str">
        <x:v>Elagatis bipinnulata</x:v>
      </x:c>
      <x:c r="F356" s="46" t="str">
        <x:v>Rainbow runner</x:v>
      </x:c>
      <x:c r="G356" s="46" t="str">
        <x:v>Large pelagics (&gt;=90 cm)</x:v>
      </x:c>
      <x:c r="H356" s="46" t="str">
        <x:v>Perch-likes</x:v>
      </x:c>
      <x:c r="I356" s="60" t="n">
        <x:v>3.9166202399</x:v>
      </x:c>
      <x:c r="J356" s="60" t="n">
        <x:v>3.9166202399</x:v>
      </x:c>
      <x:c r="K356" s="60" t="n">
        <x:v>0</x:v>
      </x:c>
      <x:c r="L356" s="60" t="n">
        <x:v>0.1050056182</x:v>
      </x:c>
      <x:c r="M356" s="60" t="n">
        <x:v>3.8116146217</x:v>
      </x:c>
      <x:c r="N356" s="46" t="str">
        <x:v>elagatis bipinnulata</x:v>
      </x:c>
      <x:c r="O356" s="62" t="n">
        <x:v>4.27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Elagatis bipinnulata</x:v>
      </x:c>
      <x:c r="T356" s="62" t="n">
        <x:f>IF(O356="","",(1/'Metadata'!$B$5)^(O356-1))</x:f>
        <x:v>17962.55396184286</x:v>
      </x:c>
      <x:c r="U356" s="60" t="n">
        <x:f>IF(T356="","",I356*T356)</x:f>
        <x:v>70352.50240724967</x:v>
      </x:c>
    </x:row>
    <x:row r="357" ht="18" customHeight="1">
      <x:c r="A357" s="46" t="str">
        <x:v>LME_032</x:v>
      </x:c>
      <x:c r="B357" s="46" t="str">
        <x:v>Arabian Sea</x:v>
      </x:c>
      <x:c r="C357" s="46" t="str">
        <x:v>LME</x:v>
      </x:c>
      <x:c r="D357" s="58" t="n">
        <x:v>2019</x:v>
      </x:c>
      <x:c r="E357" s="46" t="str">
        <x:v>Haliotidae</x:v>
      </x:c>
      <x:c r="F357" s="46" t="str">
        <x:v>Abalones, ear shells</x:v>
      </x:c>
      <x:c r="G357" s="46" t="str">
        <x:v>Other demersal invertebrates</x:v>
      </x:c>
      <x:c r="H357" s="46" t="str">
        <x:v>Molluscs</x:v>
      </x:c>
      <x:c r="I357" s="60" t="n">
        <x:v>3.6213394086</x:v>
      </x:c>
      <x:c r="J357" s="60" t="n">
        <x:v>3.2553551353</x:v>
      </x:c>
      <x:c r="K357" s="60" t="n">
        <x:v>0.3659842733</x:v>
      </x:c>
      <x:c r="L357" s="60" t="n">
        <x:v>0</x:v>
      </x:c>
      <x:c r="M357" s="60" t="n">
        <x:v>3.6213394086</x:v>
      </x:c>
      <x:c r="N357" s="46" t="str">
        <x:v>haliotidae</x:v>
      </x:c>
      <x:c r="O357" s="62" t="n">
        <x:v>2</x:v>
      </x:c>
      <x:c r="P357" s="46" t="str">
        <x:v>exact_sea_around_us</x:v>
      </x:c>
      <x:c r="Q357" s="62" t="str">
        <x:v>Sea Around Us exploited organisms</x:v>
      </x:c>
      <x:c r="R357" s="46" t="str">
        <x:v>high</x:v>
      </x:c>
      <x:c r="S357" s="46" t="str">
        <x:v>Haliotidae</x:v>
      </x:c>
      <x:c r="T357" s="62" t="n">
        <x:f>IF(O357="","",(1/'Metadata'!$B$5)^(O357-1))</x:f>
        <x:v>20</x:v>
      </x:c>
      <x:c r="U357" s="60" t="n">
        <x:f>IF(T357="","",I357*T357)</x:f>
        <x:v>72.426788172</x:v>
      </x:c>
    </x:row>
    <x:row r="358" ht="18" customHeight="1">
      <x:c r="A358" s="46" t="str">
        <x:v>LME_032</x:v>
      </x:c>
      <x:c r="B358" s="46" t="str">
        <x:v>Arabian Sea</x:v>
      </x:c>
      <x:c r="C358" s="46" t="str">
        <x:v>LME</x:v>
      </x:c>
      <x:c r="D358" s="58" t="n">
        <x:v>2019</x:v>
      </x:c>
      <x:c r="E358" s="46" t="str">
        <x:v>Rhincodon typus</x:v>
      </x:c>
      <x:c r="F358" s="46" t="str">
        <x:v>Whale shark</x:v>
      </x:c>
      <x:c r="G358" s="46" t="str">
        <x:v>Large sharks (&gt;=90 cm)</x:v>
      </x:c>
      <x:c r="H358" s="46" t="str">
        <x:v>Sharks &amp; rays</x:v>
      </x:c>
      <x:c r="I358" s="60" t="n">
        <x:v>3.5925205061</x:v>
      </x:c>
      <x:c r="J358" s="60" t="n">
        <x:v>3.5925205061</x:v>
      </x:c>
      <x:c r="K358" s="60" t="n">
        <x:v>0</x:v>
      </x:c>
      <x:c r="L358" s="60" t="n">
        <x:v>3.5925205061</x:v>
      </x:c>
      <x:c r="M358" s="60" t="n">
        <x:v>0</x:v>
      </x:c>
      <x:c r="N358" s="46" t="str">
        <x:v>rhincodon typus</x:v>
      </x:c>
      <x:c r="O358" s="62" t="n">
        <x:v>3.55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Rhincodon typus</x:v>
      </x:c>
      <x:c r="T358" s="62" t="n">
        <x:f>IF(O358="","",(1/'Metadata'!$B$5)^(O358-1))</x:f>
        <x:v>2077.9088316274606</x:v>
      </x:c>
      <x:c r="U358" s="60" t="n">
        <x:f>IF(T358="","",I358*T358)</x:f>
        <x:v>7464.930087427944</x:v>
      </x:c>
    </x:row>
    <x:row r="359" ht="18" customHeight="1">
      <x:c r="A359" s="46" t="str">
        <x:v>LME_032</x:v>
      </x:c>
      <x:c r="B359" s="46" t="str">
        <x:v>Arabian Sea</x:v>
      </x:c>
      <x:c r="C359" s="46" t="str">
        <x:v>LME</x:v>
      </x:c>
      <x:c r="D359" s="58" t="n">
        <x:v>2019</x:v>
      </x:c>
      <x:c r="E359" s="46" t="str">
        <x:v>Hemiramphus archipelagicus</x:v>
      </x:c>
      <x:c r="F359" s="46" t="str">
        <x:v>Jumping halfbeak</x:v>
      </x:c>
      <x:c r="G359" s="46" t="str">
        <x:v>Medium pelagics (30 - 89 cm)</x:v>
      </x:c>
      <x:c r="H359" s="46" t="str">
        <x:v>Other fishes &amp; inverts</x:v>
      </x:c>
      <x:c r="I359" s="60" t="n">
        <x:v>3.4504660959</x:v>
      </x:c>
      <x:c r="J359" s="60" t="n">
        <x:v>3.4504660959</x:v>
      </x:c>
      <x:c r="K359" s="60" t="n">
        <x:v>0</x:v>
      </x:c>
      <x:c r="L359" s="60" t="n">
        <x:v>1.0112920338</x:v>
      </x:c>
      <x:c r="M359" s="60" t="n">
        <x:v>2.4391740621</x:v>
      </x:c>
      <x:c r="N359" s="46" t="str">
        <x:v>hemiramphus archipelagicus</x:v>
      </x:c>
      <x:c r="O359" s="62" t="n">
        <x:v>3.25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Hemiramphus archipelagicus</x:v>
      </x:c>
      <x:c r="T359" s="62" t="n">
        <x:f>IF(O359="","",(1/'Metadata'!$B$5)^(O359-1))</x:f>
        <x:v>845.8970107524513</x:v>
      </x:c>
      <x:c r="U359" s="60" t="n">
        <x:f>IF(T359="","",I359*T359)</x:f>
        <x:v>2918.7389562244907</x:v>
      </x:c>
    </x:row>
    <x:row r="360" ht="18" customHeight="1">
      <x:c r="A360" s="46" t="str">
        <x:v>LME_032</x:v>
      </x:c>
      <x:c r="B360" s="46" t="str">
        <x:v>Arabian Sea</x:v>
      </x:c>
      <x:c r="C360" s="46" t="str">
        <x:v>LME</x:v>
      </x:c>
      <x:c r="D360" s="58" t="n">
        <x:v>2019</x:v>
      </x:c>
      <x:c r="E360" s="46" t="str">
        <x:v>Scorpaenidae</x:v>
      </x:c>
      <x:c r="F360" s="46" t="str">
        <x:v>Scorpionfishes, rockfishes</x:v>
      </x:c>
      <x:c r="G360" s="46" t="str">
        <x:v>Large reef assoc. fish (&gt;=90 cm)</x:v>
      </x:c>
      <x:c r="H360" s="46" t="str">
        <x:v>Scorpionfishes</x:v>
      </x:c>
      <x:c r="I360" s="60" t="n">
        <x:v>3.4476336859</x:v>
      </x:c>
      <x:c r="J360" s="60" t="n">
        <x:v>3.4476336859</x:v>
      </x:c>
      <x:c r="K360" s="60" t="n">
        <x:v>0</x:v>
      </x:c>
      <x:c r="L360" s="60" t="n">
        <x:v>1.0108176458</x:v>
      </x:c>
      <x:c r="M360" s="60" t="n">
        <x:v>2.4368160401</x:v>
      </x:c>
      <x:c r="N360" s="46" t="str">
        <x:v>scorpaenidae</x:v>
      </x:c>
      <x:c r="O360" s="62" t="n">
        <x:v>3.92</x:v>
      </x:c>
      <x:c r="P360" s="46" t="str">
        <x:v>exact_sea_around_us</x:v>
      </x:c>
      <x:c r="Q360" s="62" t="str">
        <x:v>Sea Around Us exploited organisms</x:v>
      </x:c>
      <x:c r="R360" s="46" t="str">
        <x:v>high</x:v>
      </x:c>
      <x:c r="S360" s="46" t="str">
        <x:v>Scorpaenidae</x:v>
      </x:c>
      <x:c r="T360" s="62" t="n">
        <x:f>IF(O360="","",(1/'Metadata'!$B$5)^(O360-1))</x:f>
        <x:v>6295.1718073679995</x:v>
      </x:c>
      <x:c r="U360" s="60" t="n">
        <x:f>IF(T360="","",I360*T360)</x:f>
        <x:v>21703.4463816099</x:v>
      </x:c>
    </x:row>
    <x:row r="361" ht="18" customHeight="1">
      <x:c r="A361" s="46" t="str">
        <x:v>LME_032</x:v>
      </x:c>
      <x:c r="B361" s="46" t="str">
        <x:v>Arabian Sea</x:v>
      </x:c>
      <x:c r="C361" s="46" t="str">
        <x:v>LME</x:v>
      </x:c>
      <x:c r="D361" s="58" t="n">
        <x:v>2019</x:v>
      </x:c>
      <x:c r="E361" s="46" t="str">
        <x:v>Chaetodontidae</x:v>
      </x:c>
      <x:c r="F361" s="46" t="str">
        <x:v>Butterflyfishes</x:v>
      </x:c>
      <x:c r="G361" s="46" t="str">
        <x:v>Small reef assoc. fish (&lt;30 cm)</x:v>
      </x:c>
      <x:c r="H361" s="46" t="str">
        <x:v>Perch-likes</x:v>
      </x:c>
      <x:c r="I361" s="60" t="n">
        <x:v>3.4464118593</x:v>
      </x:c>
      <x:c r="J361" s="60" t="n">
        <x:v>3.4464118593</x:v>
      </x:c>
      <x:c r="K361" s="60" t="n">
        <x:v>0</x:v>
      </x:c>
      <x:c r="L361" s="60" t="n">
        <x:v>1.0100791224</x:v>
      </x:c>
      <x:c r="M361" s="60" t="n">
        <x:v>2.4363327369</x:v>
      </x:c>
      <x:c r="N361" s="46" t="str">
        <x:v>chaetodontidae</x:v>
      </x:c>
      <x:c r="O361" s="62" t="n">
        <x:v>3.24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Chaetodontidae</x:v>
      </x:c>
      <x:c r="T361" s="62" t="n">
        <x:f>IF(O361="","",(1/'Metadata'!$B$5)^(O361-1))</x:f>
        <x:v>820.9320103116679</x:v>
      </x:c>
      <x:c r="U361" s="60" t="n">
        <x:f>IF(T361="","",I361*T361)</x:f>
        <x:v>2829.269816017122</x:v>
      </x:c>
    </x:row>
    <x:row r="362" ht="18" customHeight="1">
      <x:c r="A362" s="46" t="str">
        <x:v>LME_032</x:v>
      </x:c>
      <x:c r="B362" s="46" t="str">
        <x:v>Arabian Sea</x:v>
      </x:c>
      <x:c r="C362" s="46" t="str">
        <x:v>LME</x:v>
      </x:c>
      <x:c r="D362" s="58" t="n">
        <x:v>2019</x:v>
      </x:c>
      <x:c r="E362" s="46" t="str">
        <x:v>Makaira</x:v>
      </x:c>
      <x:c r="F362" s="46" t="str">
        <x:v>Blue marlins</x:v>
      </x:c>
      <x:c r="G362" s="46" t="str">
        <x:v>Large pelagics (&gt;=90 cm)</x:v>
      </x:c>
      <x:c r="H362" s="46" t="str">
        <x:v>Tuna &amp; billfishes</x:v>
      </x:c>
      <x:c r="I362" s="60" t="n">
        <x:v>3.337168214</x:v>
      </x:c>
      <x:c r="J362" s="60" t="n">
        <x:v>3.337168214</x:v>
      </x:c>
      <x:c r="K362" s="60" t="n">
        <x:v>0</x:v>
      </x:c>
      <x:c r="L362" s="60" t="n">
        <x:v>3.337168214</x:v>
      </x:c>
      <x:c r="M362" s="60" t="n">
        <x:v>0</x:v>
      </x:c>
      <x:c r="N362" s="46" t="str">
        <x:v>makaira</x:v>
      </x:c>
      <x:c r="O362" s="62" t="n">
        <x:v>4.47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Makaira</x:v>
      </x:c>
      <x:c r="T362" s="62" t="n">
        <x:f>IF(O362="","",(1/'Metadata'!$B$5)^(O362-1))</x:f>
        <x:v>32701.982737855422</x:v>
      </x:c>
      <x:c r="U362" s="60" t="n">
        <x:f>IF(T362="","",I362*T362)</x:f>
        <x:v>109132.01732754782</x:v>
      </x:c>
    </x:row>
    <x:row r="363" ht="18" customHeight="1">
      <x:c r="A363" s="46" t="str">
        <x:v>LME_032</x:v>
      </x:c>
      <x:c r="B363" s="46" t="str">
        <x:v>Arabian Sea</x:v>
      </x:c>
      <x:c r="C363" s="46" t="str">
        <x:v>LME</x:v>
      </x:c>
      <x:c r="D363" s="58" t="n">
        <x:v>2019</x:v>
      </x:c>
      <x:c r="E363" s="46" t="str">
        <x:v>Tetrapturus angustirostris</x:v>
      </x:c>
      <x:c r="F363" s="46" t="str">
        <x:v>Shortbill spearfish</x:v>
      </x:c>
      <x:c r="G363" s="46" t="str">
        <x:v>Large pelagics (&gt;=90 cm)</x:v>
      </x:c>
      <x:c r="H363" s="46" t="str">
        <x:v>Tuna &amp; billfishes</x:v>
      </x:c>
      <x:c r="I363" s="60" t="n">
        <x:v>2.7928255889</x:v>
      </x:c>
      <x:c r="J363" s="60" t="n">
        <x:v>2.7928255889</x:v>
      </x:c>
      <x:c r="K363" s="60" t="n">
        <x:v>0</x:v>
      </x:c>
      <x:c r="L363" s="60" t="n">
        <x:v>2.7928255889</x:v>
      </x:c>
      <x:c r="M363" s="60" t="n">
        <x:v>0</x:v>
      </x:c>
      <x:c r="N363" s="46" t="str">
        <x:v>tetrapturus angustirostris</x:v>
      </x:c>
      <x:c r="O363" s="62" t="n">
        <x:v>4.5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Tetrapturus angustirostris</x:v>
      </x:c>
      <x:c r="T363" s="62" t="n">
        <x:f>IF(O363="","",(1/'Metadata'!$B$5)^(O363-1))</x:f>
        <x:v>35777.08763999664</x:v>
      </x:c>
      <x:c r="U363" s="60" t="n">
        <x:f>IF(T363="","",I363*T363)</x:f>
        <x:v>99919.16585730051</x:v>
      </x:c>
    </x:row>
    <x:row r="364" ht="18" customHeight="1">
      <x:c r="A364" s="46" t="str">
        <x:v>LME_032</x:v>
      </x:c>
      <x:c r="B364" s="46" t="str">
        <x:v>Arabian Sea</x:v>
      </x:c>
      <x:c r="C364" s="46" t="str">
        <x:v>LME</x:v>
      </x:c>
      <x:c r="D364" s="58" t="n">
        <x:v>2019</x:v>
      </x:c>
      <x:c r="E364" s="46" t="str">
        <x:v>Lethrinus rubrioperculatus</x:v>
      </x:c>
      <x:c r="F364" s="46" t="str">
        <x:v>Spotcheek emperor</x:v>
      </x:c>
      <x:c r="G364" s="46" t="str">
        <x:v>Medium reef assoc. fish (30 - 89 cm)</x:v>
      </x:c>
      <x:c r="H364" s="46" t="str">
        <x:v>Perch-likes</x:v>
      </x:c>
      <x:c r="I364" s="60" t="n">
        <x:v>2.3499278535999997</x:v>
      </x:c>
      <x:c r="J364" s="60" t="n">
        <x:v>2.3499278535999997</x:v>
      </x:c>
      <x:c r="K364" s="60" t="n">
        <x:v>0</x:v>
      </x:c>
      <x:c r="L364" s="60" t="n">
        <x:v>0.1626671552</x:v>
      </x:c>
      <x:c r="M364" s="60" t="n">
        <x:v>2.1872606984</x:v>
      </x:c>
      <x:c r="N364" s="46" t="str">
        <x:v>lethrinus rubrioperculatus</x:v>
      </x:c>
      <x:c r="O364" s="62" t="n">
        <x:v>3.75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Lethrinus rubrioperculatus</x:v>
      </x:c>
      <x:c r="T364" s="62" t="n">
        <x:f>IF(O364="","",(1/'Metadata'!$B$5)^(O364-1))</x:f>
        <x:v>3782.966436012703</x:v>
      </x:c>
      <x:c r="U364" s="60" t="n">
        <x:f>IF(T364="","",I364*T364)</x:f>
        <x:v>8889.698197220172</x:v>
      </x:c>
    </x:row>
    <x:row r="365" ht="18" customHeight="1">
      <x:c r="A365" s="46" t="str">
        <x:v>LME_032</x:v>
      </x:c>
      <x:c r="B365" s="46" t="str">
        <x:v>Arabian Sea</x:v>
      </x:c>
      <x:c r="C365" s="46" t="str">
        <x:v>LME</x:v>
      </x:c>
      <x:c r="D365" s="58" t="n">
        <x:v>2019</x:v>
      </x:c>
      <x:c r="E365" s="46" t="str">
        <x:v>Argyrosomus heinii</x:v>
      </x:c>
      <x:c r="F365" s="46" t="str">
        <x:v>Arabian sea meagre</x:v>
      </x:c>
      <x:c r="G365" s="46" t="str">
        <x:v>Medium benthopelagics (30 - 89 cm)</x:v>
      </x:c>
      <x:c r="H365" s="46" t="str">
        <x:v>Perch-likes</x:v>
      </x:c>
      <x:c r="I365" s="60" t="n">
        <x:v>2.2019980472</x:v>
      </x:c>
      <x:c r="J365" s="60" t="n">
        <x:v>2.2019980472</x:v>
      </x:c>
      <x:c r="K365" s="60" t="n">
        <x:v>0</x:v>
      </x:c>
      <x:c r="L365" s="60" t="n">
        <x:v>0</x:v>
      </x:c>
      <x:c r="M365" s="60" t="n">
        <x:v>2.2019980472</x:v>
      </x:c>
      <x:c r="N365" s="46" t="str">
        <x:v>argyrosomus heinii</x:v>
      </x:c>
      <x:c r="O365" s="62" t="n">
        <x:v>4.04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Argyrosomus heinii</x:v>
      </x:c>
      <x:c r="T365" s="62" t="n">
        <x:f>IF(O365="","",(1/'Metadata'!$B$5)^(O365-1))</x:f>
        <x:v>9018.435152653688</x:v>
      </x:c>
      <x:c r="U365" s="60" t="n">
        <x:f>IF(T365="","",I365*T365)</x:f>
        <x:v>19858.576594943257</x:v>
      </x:c>
    </x:row>
    <x:row r="366" ht="18" customHeight="1">
      <x:c r="A366" s="46" t="str">
        <x:v>LME_032</x:v>
      </x:c>
      <x:c r="B366" s="46" t="str">
        <x:v>Arabian Sea</x:v>
      </x:c>
      <x:c r="C366" s="46" t="str">
        <x:v>LME</x:v>
      </x:c>
      <x:c r="D366" s="58" t="n">
        <x:v>2019</x:v>
      </x:c>
      <x:c r="E366" s="46" t="str">
        <x:v>Sillago</x:v>
      </x:c>
      <x:c r="F366" s="46" t="str">
        <x:v>Smelt-whitings</x:v>
      </x:c>
      <x:c r="G366" s="46" t="str">
        <x:v>Medium demersals (30 - 89 cm)</x:v>
      </x:c>
      <x:c r="H366" s="46" t="str">
        <x:v>Perch-likes</x:v>
      </x:c>
      <x:c r="I366" s="60" t="n">
        <x:v>2.142954404</x:v>
      </x:c>
      <x:c r="J366" s="60" t="n">
        <x:v>2.142954404</x:v>
      </x:c>
      <x:c r="K366" s="60" t="n">
        <x:v>0</x:v>
      </x:c>
      <x:c r="L366" s="60" t="n">
        <x:v>0</x:v>
      </x:c>
      <x:c r="M366" s="60" t="n">
        <x:v>2.142954404</x:v>
      </x:c>
      <x:c r="N366" s="46" t="str">
        <x:v>sillago</x:v>
      </x:c>
      <x:c r="O366" s="62" t="n">
        <x:v>3.33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Sillago</x:v>
      </x:c>
      <x:c r="T366" s="62" t="n">
        <x:f>IF(O366="","",(1/'Metadata'!$B$5)^(O366-1))</x:f>
        <x:v>1074.9787762899762</x:v>
      </x:c>
      <x:c r="U366" s="60" t="n">
        <x:f>IF(T366="","",I366*T366)</x:f>
        <x:v>2303.6305028571355</x:v>
      </x:c>
    </x:row>
    <x:row r="367" ht="18" customHeight="1">
      <x:c r="A367" s="46" t="str">
        <x:v>LME_032</x:v>
      </x:c>
      <x:c r="B367" s="46" t="str">
        <x:v>Arabian Sea</x:v>
      </x:c>
      <x:c r="C367" s="46" t="str">
        <x:v>LME</x:v>
      </x:c>
      <x:c r="D367" s="58" t="n">
        <x:v>2019</x:v>
      </x:c>
      <x:c r="E367" s="46" t="str">
        <x:v>Holothuriidae</x:v>
      </x:c>
      <x:c r="F367" s="46" t="str">
        <x:v>Fleshy sea cucumbers</x:v>
      </x:c>
      <x:c r="G367" s="46" t="str">
        <x:v>Other demersal invertebrates</x:v>
      </x:c>
      <x:c r="H367" s="46" t="str">
        <x:v>Other fishes &amp; inverts</x:v>
      </x:c>
      <x:c r="I367" s="60" t="n">
        <x:v>2.1300518595</x:v>
      </x:c>
      <x:c r="J367" s="60" t="n">
        <x:v>2.1300518595</x:v>
      </x:c>
      <x:c r="K367" s="60" t="n">
        <x:v>0</x:v>
      </x:c>
      <x:c r="L367" s="60" t="n">
        <x:v>0.026225659499999998</x:v>
      </x:c>
      <x:c r="M367" s="60" t="n">
        <x:v>2.1038262</x:v>
      </x:c>
      <x:c r="N367" s="46" t="str">
        <x:v>holothuriidae</x:v>
      </x:c>
      <x:c r="O367" s="62" t="n">
        <x:v>2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Holothuriidae</x:v>
      </x:c>
      <x:c r="T367" s="62" t="n">
        <x:f>IF(O367="","",(1/'Metadata'!$B$5)^(O367-1))</x:f>
        <x:v>20</x:v>
      </x:c>
      <x:c r="U367" s="60" t="n">
        <x:f>IF(T367="","",I367*T367)</x:f>
        <x:v>42.60103719</x:v>
      </x:c>
    </x:row>
    <x:row r="368" ht="18" customHeight="1">
      <x:c r="A368" s="46" t="str">
        <x:v>LME_032</x:v>
      </x:c>
      <x:c r="B368" s="46" t="str">
        <x:v>Arabian Sea</x:v>
      </x:c>
      <x:c r="C368" s="46" t="str">
        <x:v>LME</x:v>
      </x:c>
      <x:c r="D368" s="58" t="n">
        <x:v>2019</x:v>
      </x:c>
      <x:c r="E368" s="46" t="str">
        <x:v>Stromateidae</x:v>
      </x:c>
      <x:c r="F368" s="46" t="str">
        <x:v>Butterfishes</x:v>
      </x:c>
      <x:c r="G368" s="46" t="str">
        <x:v>Small benthopelagics (&lt;30 cm)</x:v>
      </x:c>
      <x:c r="H368" s="46" t="str">
        <x:v>Perch-likes</x:v>
      </x:c>
      <x:c r="I368" s="60" t="n">
        <x:v>1.9250054411</x:v>
      </x:c>
      <x:c r="J368" s="60" t="n">
        <x:v>0.7879939557</x:v>
      </x:c>
      <x:c r="K368" s="60" t="n">
        <x:v>1.1370114854</x:v>
      </x:c>
      <x:c r="L368" s="60" t="n">
        <x:v>0</x:v>
      </x:c>
      <x:c r="M368" s="60" t="n">
        <x:v>1.9250054411</x:v>
      </x:c>
      <x:c r="N368" s="46" t="str">
        <x:v>stromateidae</x:v>
      </x:c>
      <x:c r="O368" s="62" t="n">
        <x:v>3.62</x:v>
      </x:c>
      <x:c r="P368" s="46" t="str">
        <x:v>exact_sea_around_us</x:v>
      </x:c>
      <x:c r="Q368" s="62" t="str">
        <x:v>Sea Around Us exploited organisms</x:v>
      </x:c>
      <x:c r="R368" s="46" t="str">
        <x:v>high</x:v>
      </x:c>
      <x:c r="S368" s="46" t="str">
        <x:v>Stromateidae</x:v>
      </x:c>
      <x:c r="T368" s="62" t="n">
        <x:f>IF(O368="","",(1/'Metadata'!$B$5)^(O368-1))</x:f>
        <x:v>2562.7048371775754</x:v>
      </x:c>
      <x:c r="U368" s="60" t="n">
        <x:f>IF(T368="","",I368*T368)</x:f>
        <x:v>4933.220755500122</x:v>
      </x:c>
    </x:row>
    <x:row r="369" ht="18" customHeight="1">
      <x:c r="A369" s="46" t="str">
        <x:v>LME_032</x:v>
      </x:c>
      <x:c r="B369" s="46" t="str">
        <x:v>Arabian Sea</x:v>
      </x:c>
      <x:c r="C369" s="46" t="str">
        <x:v>LME</x:v>
      </x:c>
      <x:c r="D369" s="58" t="n">
        <x:v>2019</x:v>
      </x:c>
      <x:c r="E369" s="46" t="str">
        <x:v>Scomberomorus lineolatus</x:v>
      </x:c>
      <x:c r="F369" s="46" t="str">
        <x:v>Streaked seerfish</x:v>
      </x:c>
      <x:c r="G369" s="46" t="str">
        <x:v>Large pelagics (&gt;=90 cm)</x:v>
      </x:c>
      <x:c r="H369" s="46" t="str">
        <x:v>Perch-likes</x:v>
      </x:c>
      <x:c r="I369" s="60" t="n">
        <x:v>1.3862981081</x:v>
      </x:c>
      <x:c r="J369" s="60" t="n">
        <x:v>1.3862981081</x:v>
      </x:c>
      <x:c r="K369" s="60" t="n">
        <x:v>0</x:v>
      </x:c>
      <x:c r="L369" s="60" t="n">
        <x:v>1.3862981081</x:v>
      </x:c>
      <x:c r="M369" s="60" t="n">
        <x:v>0</x:v>
      </x:c>
      <x:c r="N369" s="46" t="str">
        <x:v>scomberomorus lineolatus</x:v>
      </x:c>
      <x:c r="O369" s="62" t="n">
        <x:v>4.5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Scomberomorus lineolatus</x:v>
      </x:c>
      <x:c r="T369" s="62" t="n">
        <x:f>IF(O369="","",(1/'Metadata'!$B$5)^(O369-1))</x:f>
        <x:v>35777.08763999664</x:v>
      </x:c>
      <x:c r="U369" s="60" t="n">
        <x:f>IF(T369="","",I369*T369)</x:f>
        <x:v>49597.70890865524</x:v>
      </x:c>
    </x:row>
    <x:row r="370" ht="18" customHeight="1">
      <x:c r="A370" s="46" t="str">
        <x:v>LME_032</x:v>
      </x:c>
      <x:c r="B370" s="46" t="str">
        <x:v>Arabian Sea</x:v>
      </x:c>
      <x:c r="C370" s="46" t="str">
        <x:v>LME</x:v>
      </x:c>
      <x:c r="D370" s="58" t="n">
        <x:v>2019</x:v>
      </x:c>
      <x:c r="E370" s="46" t="str">
        <x:v>Cephalopholis argus</x:v>
      </x:c>
      <x:c r="F370" s="46" t="str">
        <x:v>Peacock hind</x:v>
      </x:c>
      <x:c r="G370" s="46" t="str">
        <x:v>Medium reef assoc. fish (30 - 89 cm)</x:v>
      </x:c>
      <x:c r="H370" s="46" t="str">
        <x:v>Perch-likes</x:v>
      </x:c>
      <x:c r="I370" s="60" t="n">
        <x:v>0.9515944381</x:v>
      </x:c>
      <x:c r="J370" s="60" t="n">
        <x:v>0.9515944381</x:v>
      </x:c>
      <x:c r="K370" s="60" t="n">
        <x:v>0</x:v>
      </x:c>
      <x:c r="L370" s="60" t="n">
        <x:v>0</x:v>
      </x:c>
      <x:c r="M370" s="60" t="n">
        <x:v>0.9515944381</x:v>
      </x:c>
      <x:c r="N370" s="46" t="str">
        <x:v>cephalopholis argus</x:v>
      </x:c>
      <x:c r="O370" s="62" t="n">
        <x:v>4.48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Cephalopholis argus</x:v>
      </x:c>
      <x:c r="T370" s="62" t="n">
        <x:f>IF(O370="","",(1/'Metadata'!$B$5)^(O370-1))</x:f>
        <x:v>33696.468277717824</x:v>
      </x:c>
      <x:c r="U370" s="60" t="n">
        <x:f>IF(T370="","",I370*T370)</x:f>
        <x:v>32065.371796689367</x:v>
      </x:c>
    </x:row>
    <x:row r="371" ht="18" customHeight="1">
      <x:c r="A371" s="46" t="str">
        <x:v>LME_032</x:v>
      </x:c>
      <x:c r="B371" s="46" t="str">
        <x:v>Arabian Sea</x:v>
      </x:c>
      <x:c r="C371" s="46" t="str">
        <x:v>LME</x:v>
      </x:c>
      <x:c r="D371" s="58" t="n">
        <x:v>2019</x:v>
      </x:c>
      <x:c r="E371" s="46" t="str">
        <x:v>Pomacentridae</x:v>
      </x:c>
      <x:c r="F371" s="46" t="str">
        <x:v>Damselfishes</x:v>
      </x:c>
      <x:c r="G371" s="46" t="str">
        <x:v>Small reef assoc. fish (&lt;30 cm)</x:v>
      </x:c>
      <x:c r="H371" s="46" t="str">
        <x:v>Perch-likes</x:v>
      </x:c>
      <x:c r="I371" s="60" t="n">
        <x:v>0.8744134091</x:v>
      </x:c>
      <x:c r="J371" s="60" t="n">
        <x:v>0.8744134091</x:v>
      </x:c>
      <x:c r="K371" s="60" t="n">
        <x:v>0</x:v>
      </x:c>
      <x:c r="L371" s="60" t="n">
        <x:v>0</x:v>
      </x:c>
      <x:c r="M371" s="60" t="n">
        <x:v>0.8744134091</x:v>
      </x:c>
      <x:c r="N371" s="46" t="str">
        <x:v>pomacentridae</x:v>
      </x:c>
      <x:c r="O371" s="62" t="n">
        <x:v>2.57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Pomacentridae</x:v>
      </x:c>
      <x:c r="T371" s="62" t="n">
        <x:f>IF(O371="","",(1/'Metadata'!$B$5)^(O371-1))</x:f>
        <x:v>110.31056098276322</x:v>
      </x:c>
      <x:c r="U371" s="60" t="n">
        <x:f>IF(T371="","",I371*T371)</x:f>
        <x:v>96.45703368867143</x:v>
      </x:c>
    </x:row>
    <x:row r="372" ht="18" customHeight="1">
      <x:c r="A372" s="46" t="str">
        <x:v>LME_032</x:v>
      </x:c>
      <x:c r="B372" s="46" t="str">
        <x:v>Arabian Sea</x:v>
      </x:c>
      <x:c r="C372" s="46" t="str">
        <x:v>LME</x:v>
      </x:c>
      <x:c r="D372" s="58" t="n">
        <x:v>2019</x:v>
      </x:c>
      <x:c r="E372" s="46" t="str">
        <x:v>Scylla serrata</x:v>
      </x:c>
      <x:c r="F372" s="46" t="str">
        <x:v>Indo-Pacific swamp crab</x:v>
      </x:c>
      <x:c r="G372" s="46" t="str">
        <x:v>Lobsters, crabs</x:v>
      </x:c>
      <x:c r="H372" s="46" t="str">
        <x:v>Crustaceans</x:v>
      </x:c>
      <x:c r="I372" s="60" t="n">
        <x:v>0.7431801652</x:v>
      </x:c>
      <x:c r="J372" s="60" t="n">
        <x:v>0.7431801652</x:v>
      </x:c>
      <x:c r="K372" s="60" t="n">
        <x:v>0</x:v>
      </x:c>
      <x:c r="L372" s="60" t="n">
        <x:v>0</x:v>
      </x:c>
      <x:c r="M372" s="60" t="n">
        <x:v>0.7431801652</x:v>
      </x:c>
      <x:c r="N372" s="46" t="str">
        <x:v>scylla serrata</x:v>
      </x:c>
      <x:c r="O372" s="62" t="n">
        <x:v>3.17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Scylla serrata</x:v>
      </x:c>
      <x:c r="T372" s="62" t="n">
        <x:f>IF(O372="","",(1/'Metadata'!$B$5)^(O372-1))</x:f>
        <x:v>665.6333767532121</x:v>
      </x:c>
      <x:c r="U372" s="60" t="n">
        <x:f>IF(T372="","",I372*T372)</x:f>
        <x:v>494.685522898086</x:v>
      </x:c>
    </x:row>
    <x:row r="373" ht="18" customHeight="1">
      <x:c r="A373" s="46" t="str">
        <x:v>LME_032</x:v>
      </x:c>
      <x:c r="B373" s="46" t="str">
        <x:v>Arabian Sea</x:v>
      </x:c>
      <x:c r="C373" s="46" t="str">
        <x:v>LME</x:v>
      </x:c>
      <x:c r="D373" s="58" t="n">
        <x:v>2019</x:v>
      </x:c>
      <x:c r="E373" s="46" t="str">
        <x:v>Holothuria fuscogilva</x:v>
      </x:c>
      <x:c r="F373" s="46" t="str">
        <x:v>White teatfish</x:v>
      </x:c>
      <x:c r="G373" s="46" t="str">
        <x:v>Other demersal invertebrates</x:v>
      </x:c>
      <x:c r="H373" s="46" t="str">
        <x:v>Other fishes &amp; inverts</x:v>
      </x:c>
      <x:c r="I373" s="60" t="n">
        <x:v>0.4425233668</x:v>
      </x:c>
      <x:c r="J373" s="60" t="n">
        <x:v>0.4425233668</x:v>
      </x:c>
      <x:c r="K373" s="60" t="n">
        <x:v>0</x:v>
      </x:c>
      <x:c r="L373" s="60" t="n">
        <x:v>0.0131148255</x:v>
      </x:c>
      <x:c r="M373" s="60" t="n">
        <x:v>0.4294085413</x:v>
      </x:c>
      <x:c r="N373" s="46" t="str">
        <x:v>holothuria fuscogilva</x:v>
      </x:c>
      <x:c r="O373" s="62" t="n">
        <x:v>2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Holothuria fuscogilva</x:v>
      </x:c>
      <x:c r="T373" s="62" t="n">
        <x:f>IF(O373="","",(1/'Metadata'!$B$5)^(O373-1))</x:f>
        <x:v>20</x:v>
      </x:c>
      <x:c r="U373" s="60" t="n">
        <x:f>IF(T373="","",I373*T373)</x:f>
        <x:v>8.850467336</x:v>
      </x:c>
    </x:row>
    <x:row r="374" ht="18" customHeight="1">
      <x:c r="A374" s="46" t="str">
        <x:v>LME_032</x:v>
      </x:c>
      <x:c r="B374" s="46" t="str">
        <x:v>Arabian Sea</x:v>
      </x:c>
      <x:c r="C374" s="46" t="str">
        <x:v>LME</x:v>
      </x:c>
      <x:c r="D374" s="58" t="n">
        <x:v>2019</x:v>
      </x:c>
      <x:c r="E374" s="46" t="str">
        <x:v>Holothuria edulis</x:v>
      </x:c>
      <x:c r="F374" s="46" t="str">
        <x:v>Pinkfish</x:v>
      </x:c>
      <x:c r="G374" s="46" t="str">
        <x:v>Other demersal invertebrates</x:v>
      </x:c>
      <x:c r="H374" s="46" t="str">
        <x:v>Other fishes &amp; inverts</x:v>
      </x:c>
      <x:c r="I374" s="60" t="n">
        <x:v>0.4422714196</x:v>
      </x:c>
      <x:c r="J374" s="60" t="n">
        <x:v>0.4422714196</x:v>
      </x:c>
      <x:c r="K374" s="60" t="n">
        <x:v>0</x:v>
      </x:c>
      <x:c r="L374" s="60" t="n">
        <x:v>0.0131073587</x:v>
      </x:c>
      <x:c r="M374" s="60" t="n">
        <x:v>0.4291640609</x:v>
      </x:c>
      <x:c r="N374" s="46" t="str">
        <x:v>holothuria edulis</x:v>
      </x:c>
      <x:c r="O374" s="62" t="n">
        <x:v>2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Holothuria edulis</x:v>
      </x:c>
      <x:c r="T374" s="62" t="n">
        <x:f>IF(O374="","",(1/'Metadata'!$B$5)^(O374-1))</x:f>
        <x:v>20</x:v>
      </x:c>
      <x:c r="U374" s="60" t="n">
        <x:f>IF(T374="","",I374*T374)</x:f>
        <x:v>8.845428392</x:v>
      </x:c>
    </x:row>
    <x:row r="375" ht="18" customHeight="1">
      <x:c r="A375" s="46" t="str">
        <x:v>LME_032</x:v>
      </x:c>
      <x:c r="B375" s="46" t="str">
        <x:v>Arabian Sea</x:v>
      </x:c>
      <x:c r="C375" s="46" t="str">
        <x:v>LME</x:v>
      </x:c>
      <x:c r="D375" s="58" t="n">
        <x:v>2019</x:v>
      </x:c>
      <x:c r="E375" s="46" t="str">
        <x:v>Holothuria atra</x:v>
      </x:c>
      <x:c r="F375" s="46" t="str">
        <x:v>Lollyfish</x:v>
      </x:c>
      <x:c r="G375" s="46" t="str">
        <x:v>Other demersal invertebrates</x:v>
      </x:c>
      <x:c r="H375" s="46" t="str">
        <x:v>Other fishes &amp; inverts</x:v>
      </x:c>
      <x:c r="I375" s="60" t="n">
        <x:v>0.44114415910000004</x:v>
      </x:c>
      <x:c r="J375" s="60" t="n">
        <x:v>0.44114415910000004</x:v>
      </x:c>
      <x:c r="K375" s="60" t="n">
        <x:v>0</x:v>
      </x:c>
      <x:c r="L375" s="60" t="n">
        <x:v>0.0130739507</x:v>
      </x:c>
      <x:c r="M375" s="60" t="n">
        <x:v>0.42807020840000004</x:v>
      </x:c>
      <x:c r="N375" s="46" t="str">
        <x:v>holothuria atra</x:v>
      </x:c>
      <x:c r="O375" s="62" t="n">
        <x:v>2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Holothuria atra</x:v>
      </x:c>
      <x:c r="T375" s="62" t="n">
        <x:f>IF(O375="","",(1/'Metadata'!$B$5)^(O375-1))</x:f>
        <x:v>20</x:v>
      </x:c>
      <x:c r="U375" s="60" t="n">
        <x:f>IF(T375="","",I375*T375)</x:f>
        <x:v>8.822883182000002</x:v>
      </x:c>
    </x:row>
    <x:row r="376" ht="18" customHeight="1">
      <x:c r="A376" s="46" t="str">
        <x:v>LME_032</x:v>
      </x:c>
      <x:c r="B376" s="46" t="str">
        <x:v>Arabian Sea</x:v>
      </x:c>
      <x:c r="C376" s="46" t="str">
        <x:v>LME</x:v>
      </x:c>
      <x:c r="D376" s="58" t="n">
        <x:v>2019</x:v>
      </x:c>
      <x:c r="E376" s="46" t="str">
        <x:v>Holothuria fuscopunctata</x:v>
      </x:c>
      <x:c r="F376" s="46" t="str">
        <x:v>Elephant trunkfish</x:v>
      </x:c>
      <x:c r="G376" s="46" t="str">
        <x:v>Other demersal invertebrates</x:v>
      </x:c>
      <x:c r="H376" s="46" t="str">
        <x:v>Other fishes &amp; inverts</x:v>
      </x:c>
      <x:c r="I376" s="60" t="n">
        <x:v>0.4408164183</x:v>
      </x:c>
      <x:c r="J376" s="60" t="n">
        <x:v>0.4408164183</x:v>
      </x:c>
      <x:c r="K376" s="60" t="n">
        <x:v>0</x:v>
      </x:c>
      <x:c r="L376" s="60" t="n">
        <x:v>0.013064237599999999</x:v>
      </x:c>
      <x:c r="M376" s="60" t="n">
        <x:v>0.42775218070000004</x:v>
      </x:c>
      <x:c r="N376" s="46" t="str">
        <x:v>holothuria fuscopunctata</x:v>
      </x:c>
      <x:c r="O376" s="62" t="n">
        <x:v>2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Holothuria fuscopunctata</x:v>
      </x:c>
      <x:c r="T376" s="62" t="n">
        <x:f>IF(O376="","",(1/'Metadata'!$B$5)^(O376-1))</x:f>
        <x:v>20</x:v>
      </x:c>
      <x:c r="U376" s="60" t="n">
        <x:f>IF(T376="","",I376*T376)</x:f>
        <x:v>8.816328366</x:v>
      </x:c>
    </x:row>
    <x:row r="377" ht="18" customHeight="1">
      <x:c r="A377" s="46" t="str">
        <x:v>LME_032</x:v>
      </x:c>
      <x:c r="B377" s="46" t="str">
        <x:v>Arabian Sea</x:v>
      </x:c>
      <x:c r="C377" s="46" t="str">
        <x:v>LME</x:v>
      </x:c>
      <x:c r="D377" s="58" t="n">
        <x:v>2019</x:v>
      </x:c>
      <x:c r="E377" s="46" t="str">
        <x:v>Holothuria leucospilota</x:v>
      </x:c>
      <x:c r="F377" s="46" t="str">
        <x:v>White threads fish</x:v>
      </x:c>
      <x:c r="G377" s="46" t="str">
        <x:v>Other demersal invertebrates</x:v>
      </x:c>
      <x:c r="H377" s="46" t="str">
        <x:v>Other fishes &amp; inverts</x:v>
      </x:c>
      <x:c r="I377" s="60" t="n">
        <x:v>0.4407911146</x:v>
      </x:c>
      <x:c r="J377" s="60" t="n">
        <x:v>0.4407911146</x:v>
      </x:c>
      <x:c r="K377" s="60" t="n">
        <x:v>0</x:v>
      </x:c>
      <x:c r="L377" s="60" t="n">
        <x:v>0.013063487600000001</x:v>
      </x:c>
      <x:c r="M377" s="60" t="n">
        <x:v>0.427727627</x:v>
      </x:c>
      <x:c r="N377" s="46" t="str">
        <x:v>holothuria leucospilota</x:v>
      </x:c>
      <x:c r="O377" s="62" t="n">
        <x:v>2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Holothuria leucospilota</x:v>
      </x:c>
      <x:c r="T377" s="62" t="n">
        <x:f>IF(O377="","",(1/'Metadata'!$B$5)^(O377-1))</x:f>
        <x:v>20</x:v>
      </x:c>
      <x:c r="U377" s="60" t="n">
        <x:f>IF(T377="","",I377*T377)</x:f>
        <x:v>8.815822292</x:v>
      </x:c>
    </x:row>
    <x:row r="378" ht="18" customHeight="1">
      <x:c r="A378" s="46" t="str">
        <x:v>LME_032</x:v>
      </x:c>
      <x:c r="B378" s="46" t="str">
        <x:v>Arabian Sea</x:v>
      </x:c>
      <x:c r="C378" s="46" t="str">
        <x:v>LME</x:v>
      </x:c>
      <x:c r="D378" s="58" t="n">
        <x:v>2019</x:v>
      </x:c>
      <x:c r="E378" s="46" t="str">
        <x:v>Epinephelus coeruleopunctatus</x:v>
      </x:c>
      <x:c r="F378" s="46" t="str">
        <x:v>Whitespotted grouper</x:v>
      </x:c>
      <x:c r="G378" s="46" t="str">
        <x:v>Medium reef assoc. fish (30 - 89 cm)</x:v>
      </x:c>
      <x:c r="H378" s="46" t="str">
        <x:v>Perch-likes</x:v>
      </x:c>
      <x:c r="I378" s="60" t="n">
        <x:v>0.4185975357</x:v>
      </x:c>
      <x:c r="J378" s="60" t="n">
        <x:v>0.4185975357</x:v>
      </x:c>
      <x:c r="K378" s="60" t="n">
        <x:v>0</x:v>
      </x:c>
      <x:c r="L378" s="60" t="n">
        <x:v>0.4185975357</x:v>
      </x:c>
      <x:c r="M378" s="60" t="n">
        <x:v>0</x:v>
      </x:c>
      <x:c r="N378" s="46" t="str">
        <x:v>epinephelus coeruleopunctatus</x:v>
      </x:c>
      <x:c r="O378" s="62" t="n">
        <x:v>3.72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Epinephelus coeruleopunctatus</x:v>
      </x:c>
      <x:c r="T378" s="62" t="n">
        <x:f>IF(O378="","",(1/'Metadata'!$B$5)^(O378-1))</x:f>
        <x:v>3457.8136804537753</x:v>
      </x:c>
      <x:c r="U378" s="60" t="n">
        <x:f>IF(T378="","",I378*T378)</x:f>
        <x:v>1447.4322855476976</x:v>
      </x:c>
    </x:row>
    <x:row r="379" ht="18" customHeight="1">
      <x:c r="A379" s="46" t="str">
        <x:v>LME_032</x:v>
      </x:c>
      <x:c r="B379" s="46" t="str">
        <x:v>Arabian Sea</x:v>
      </x:c>
      <x:c r="C379" s="46" t="str">
        <x:v>LME</x:v>
      </x:c>
      <x:c r="D379" s="58" t="n">
        <x:v>2019</x:v>
      </x:c>
      <x:c r="E379" s="46" t="str">
        <x:v>Panulirus versicolor</x:v>
      </x:c>
      <x:c r="F379" s="46" t="str">
        <x:v>Painted spiny lobster</x:v>
      </x:c>
      <x:c r="G379" s="46" t="str">
        <x:v>Lobsters, crabs</x:v>
      </x:c>
      <x:c r="H379" s="46" t="str">
        <x:v>Crustaceans</x:v>
      </x:c>
      <x:c r="I379" s="60" t="n">
        <x:v>0.40061833609999997</x:v>
      </x:c>
      <x:c r="J379" s="60" t="n">
        <x:v>0.40061833609999997</x:v>
      </x:c>
      <x:c r="K379" s="60" t="n">
        <x:v>0</x:v>
      </x:c>
      <x:c r="L379" s="60" t="n">
        <x:v>0.0924224224</x:v>
      </x:c>
      <x:c r="M379" s="60" t="n">
        <x:v>0.3081959137</x:v>
      </x:c>
      <x:c r="N379" s="46" t="str">
        <x:v>panulirus versicolor</x:v>
      </x:c>
      <x:c r="O379" s="62" t="n">
        <x:v>3.57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Panulirus versicolor</x:v>
      </x:c>
      <x:c r="T379" s="62" t="n">
        <x:f>IF(O379="","",(1/'Metadata'!$B$5)^(O379-1))</x:f>
        <x:v>2206.2112196552644</x:v>
      </x:c>
      <x:c r="U379" s="60" t="n">
        <x:f>IF(T379="","",I379*T379)</x:f>
        <x:v>883.8486679034436</x:v>
      </x:c>
    </x:row>
    <x:row r="380" ht="18" customHeight="1">
      <x:c r="A380" s="46" t="str">
        <x:v>LME_032</x:v>
      </x:c>
      <x:c r="B380" s="46" t="str">
        <x:v>Arabian Sea</x:v>
      </x:c>
      <x:c r="C380" s="46" t="str">
        <x:v>LME</x:v>
      </x:c>
      <x:c r="D380" s="58" t="n">
        <x:v>2019</x:v>
      </x:c>
      <x:c r="E380" s="46" t="str">
        <x:v>Lepturacanthus savala</x:v>
      </x:c>
      <x:c r="F380" s="46" t="str">
        <x:v>Savalai hairtail</x:v>
      </x:c>
      <x:c r="G380" s="46" t="str">
        <x:v>Large benthopelagics (&gt;=90 cm)</x:v>
      </x:c>
      <x:c r="H380" s="46" t="str">
        <x:v>Perch-likes</x:v>
      </x:c>
      <x:c r="I380" s="60" t="n">
        <x:v>0.1588787035</x:v>
      </x:c>
      <x:c r="J380" s="60" t="n">
        <x:v>0</x:v>
      </x:c>
      <x:c r="K380" s="60" t="n">
        <x:v>0.1588787035</x:v>
      </x:c>
      <x:c r="L380" s="60" t="n">
        <x:v>0</x:v>
      </x:c>
      <x:c r="M380" s="60" t="n">
        <x:v>0.1588787035</x:v>
      </x:c>
      <x:c r="N380" s="46" t="str">
        <x:v>lepturacanthus savala</x:v>
      </x:c>
      <x:c r="O380" s="62" t="n">
        <x:v>4.31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Lepturacanthus savala</x:v>
      </x:c>
      <x:c r="T380" s="62" t="n">
        <x:f>IF(O380="","",(1/'Metadata'!$B$5)^(O380-1))</x:f>
        <x:v>20249.266010115305</x:v>
      </x:c>
      <x:c r="U380" s="60" t="n">
        <x:f>IF(T380="","",I380*T380)</x:f>
        <x:v>3217.1771305137377</x:v>
      </x:c>
    </x:row>
    <x:row r="381" ht="18" customHeight="1">
      <x:c r="A381" s="46" t="str">
        <x:v>LME_032</x:v>
      </x:c>
      <x:c r="B381" s="46" t="str">
        <x:v>Arabian Sea</x:v>
      </x:c>
      <x:c r="C381" s="46" t="str">
        <x:v>LME</x:v>
      </x:c>
      <x:c r="D381" s="58" t="n">
        <x:v>2019</x:v>
      </x:c>
      <x:c r="E381" s="46" t="str">
        <x:v>Panulirus penicillatus</x:v>
      </x:c>
      <x:c r="F381" s="46" t="str">
        <x:v>Pronghorn spiny lobster</x:v>
      </x:c>
      <x:c r="G381" s="46" t="str">
        <x:v>Lobsters, crabs</x:v>
      </x:c>
      <x:c r="H381" s="46" t="str">
        <x:v>Crustaceans</x:v>
      </x:c>
      <x:c r="I381" s="60" t="n">
        <x:v>0.1057314745</x:v>
      </x:c>
      <x:c r="J381" s="60" t="n">
        <x:v>0.1057314745</x:v>
      </x:c>
      <x:c r="K381" s="60" t="n">
        <x:v>0</x:v>
      </x:c>
      <x:c r="L381" s="60" t="n">
        <x:v>0.002983775</x:v>
      </x:c>
      <x:c r="M381" s="60" t="n">
        <x:v>0.10274769950000001</x:v>
      </x:c>
      <x:c r="N381" s="46" t="str">
        <x:v>panulirus penicillatus</x:v>
      </x:c>
      <x:c r="O381" s="62" t="n">
        <x:v>3.57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Panulirus penicillatus</x:v>
      </x:c>
      <x:c r="T381" s="62" t="n">
        <x:f>IF(O381="","",(1/'Metadata'!$B$5)^(O381-1))</x:f>
        <x:v>2206.2112196552644</x:v>
      </x:c>
      <x:c r="U381" s="60" t="n">
        <x:f>IF(T381="","",I381*T381)</x:f>
        <x:v>233.2659653125945</x:v>
      </x:c>
    </x:row>
    <x:row r="382" ht="18" customHeight="1">
      <x:c r="A382" s="46" t="str">
        <x:v>LME_032</x:v>
      </x:c>
      <x:c r="B382" s="46" t="str">
        <x:v>Arabian Sea</x:v>
      </x:c>
      <x:c r="C382" s="46" t="str">
        <x:v>LME</x:v>
      </x:c>
      <x:c r="D382" s="58" t="n">
        <x:v>2019</x:v>
      </x:c>
      <x:c r="E382" s="46" t="str">
        <x:v>Scarus ghobban</x:v>
      </x:c>
      <x:c r="F382" s="46" t="str">
        <x:v>Blue-barred parrotfish</x:v>
      </x:c>
      <x:c r="G382" s="46" t="str">
        <x:v>Medium reef assoc. fish (30 - 89 cm)</x:v>
      </x:c>
      <x:c r="H382" s="46" t="str">
        <x:v>Perch-likes</x:v>
      </x:c>
      <x:c r="I382" s="60" t="n">
        <x:v>0.095978643</x:v>
      </x:c>
      <x:c r="J382" s="60" t="n">
        <x:v>0.095978643</x:v>
      </x:c>
      <x:c r="K382" s="60" t="n">
        <x:v>0</x:v>
      </x:c>
      <x:c r="L382" s="60" t="n">
        <x:v>0</x:v>
      </x:c>
      <x:c r="M382" s="60" t="n">
        <x:v>0.095978643</x:v>
      </x:c>
      <x:c r="N382" s="46" t="str">
        <x:v>scarus ghobban</x:v>
      </x:c>
      <x:c r="O382" s="62" t="n">
        <x:v>2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Scarus ghobban</x:v>
      </x:c>
      <x:c r="T382" s="62" t="n">
        <x:f>IF(O382="","",(1/'Metadata'!$B$5)^(O382-1))</x:f>
        <x:v>20</x:v>
      </x:c>
      <x:c r="U382" s="60" t="n">
        <x:f>IF(T382="","",I382*T382)</x:f>
        <x:v>1.9195728600000002</x:v>
      </x:c>
    </x:row>
    <x:row r="383" ht="18" customHeight="1">
      <x:c r="A383" s="46" t="str">
        <x:v>LME_032</x:v>
      </x:c>
      <x:c r="B383" s="46" t="str">
        <x:v>Arabian Sea</x:v>
      </x:c>
      <x:c r="C383" s="46" t="str">
        <x:v>LME</x:v>
      </x:c>
      <x:c r="D383" s="58" t="n">
        <x:v>2019</x:v>
      </x:c>
      <x:c r="E383" s="46" t="str">
        <x:v>Penaeus latisulcatus</x:v>
      </x:c>
      <x:c r="F383" s="46" t="str">
        <x:v>Western king prawn</x:v>
      </x:c>
      <x:c r="G383" s="46" t="str">
        <x:v>Shrimps</x:v>
      </x:c>
      <x:c r="H383" s="46" t="str">
        <x:v>Crustaceans</x:v>
      </x:c>
      <x:c r="I383" s="60" t="n">
        <x:v>0.0519617329</x:v>
      </x:c>
      <x:c r="J383" s="60" t="n">
        <x:v>0.0519617329</x:v>
      </x:c>
      <x:c r="K383" s="60" t="n">
        <x:v>0</x:v>
      </x:c>
      <x:c r="L383" s="60" t="n">
        <x:v>0</x:v>
      </x:c>
      <x:c r="M383" s="60" t="n">
        <x:v>0.0519617329</x:v>
      </x:c>
      <x:c r="N383" s="46" t="str">
        <x:v>penaeus latisulcatus</x:v>
      </x:c>
      <x:c r="O383" s="62" t="n">
        <x:v>2.7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Penaeus latisulcatus</x:v>
      </x:c>
      <x:c r="T383" s="62" t="n">
        <x:f>IF(O383="","",(1/'Metadata'!$B$5)^(O383-1))</x:f>
        <x:v>162.83621261476185</x:v>
      </x:c>
      <x:c r="U383" s="60" t="n">
        <x:f>IF(T383="","",I383*T383)</x:f>
        <x:v>8.461251786335866</x:v>
      </x:c>
    </x:row>
    <x:row r="384" ht="18" customHeight="1">
      <x:c r="A384" s="46" t="str">
        <x:v>LME_032</x:v>
      </x:c>
      <x:c r="B384" s="46" t="str">
        <x:v>Arabian Sea</x:v>
      </x:c>
      <x:c r="C384" s="46" t="str">
        <x:v>LME</x:v>
      </x:c>
      <x:c r="D384" s="58" t="n">
        <x:v>2019</x:v>
      </x:c>
      <x:c r="E384" s="46" t="str">
        <x:v>Trichiurus</x:v>
      </x:c>
      <x:c r="F384" s="46" t="str">
        <x:v>Hairtails</x:v>
      </x:c>
      <x:c r="G384" s="46" t="str">
        <x:v>Large benthopelagics (&gt;=90 cm)</x:v>
      </x:c>
      <x:c r="H384" s="46" t="str">
        <x:v>Perch-likes</x:v>
      </x:c>
      <x:c r="I384" s="60" t="n">
        <x:v>0.0355918135</x:v>
      </x:c>
      <x:c r="J384" s="60" t="n">
        <x:v>0</x:v>
      </x:c>
      <x:c r="K384" s="60" t="n">
        <x:v>0.0355918135</x:v>
      </x:c>
      <x:c r="L384" s="60" t="n">
        <x:v>0</x:v>
      </x:c>
      <x:c r="M384" s="60" t="n">
        <x:v>0.0355918135</x:v>
      </x:c>
      <x:c r="N384" s="46" t="str">
        <x:v>trichiurus</x:v>
      </x:c>
      <x:c r="O384" s="62" t="n">
        <x:v>4.42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Trichiurus</x:v>
      </x:c>
      <x:c r="T384" s="62" t="n">
        <x:f>IF(O384="","",(1/'Metadata'!$B$5)^(O384-1))</x:f>
        <x:v>28152.864182630117</x:v>
      </x:c>
      <x:c r="U384" s="60" t="n">
        <x:f>IF(T384="","",I384*T384)</x:f>
        <x:v>1002.011491479001</x:v>
      </x:c>
    </x:row>
    <x:row r="385" ht="18" customHeight="1">
      <x:c r="A385" s="46" t="str">
        <x:v>LME_032</x:v>
      </x:c>
      <x:c r="B385" s="46" t="str">
        <x:v>Arabian Sea</x:v>
      </x:c>
      <x:c r="C385" s="46" t="str">
        <x:v>LME</x:v>
      </x:c>
      <x:c r="D385" s="58" t="n">
        <x:v>2019</x:v>
      </x:c>
      <x:c r="E385" s="46" t="str">
        <x:v>Mobula birostris</x:v>
      </x:c>
      <x:c r="F385" s="46" t="str">
        <x:v>Giant manta</x:v>
      </x:c>
      <x:c r="G385" s="46" t="str">
        <x:v>Large rays (&gt;=90 cm)</x:v>
      </x:c>
      <x:c r="H385" s="46" t="str">
        <x:v>Sharks &amp; rays</x:v>
      </x:c>
      <x:c r="I385" s="60" t="n">
        <x:v>0.0328926779</x:v>
      </x:c>
      <x:c r="J385" s="60" t="n">
        <x:v>0.0328926779</x:v>
      </x:c>
      <x:c r="K385" s="60" t="n">
        <x:v>0</x:v>
      </x:c>
      <x:c r="L385" s="60" t="n">
        <x:v>0.0328926779</x:v>
      </x:c>
      <x:c r="M385" s="60" t="n">
        <x:v>0</x:v>
      </x:c>
      <x:c r="N385" s="46" t="str">
        <x:v>mobula birostris</x:v>
      </x:c>
      <x:c r="O385" s="62" t="n">
        <x:v>3.46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Mobula birostris</x:v>
      </x:c>
      <x:c r="T385" s="62" t="n">
        <x:f>IF(O385="","",(1/'Metadata'!$B$5)^(O385-1))</x:f>
        <x:v>1586.8423749532276</x:v>
      </x:c>
      <x:c r="U385" s="60" t="n">
        <x:f>IF(T385="","",I385*T385)</x:f>
        <x:v>52.195495117407546</x:v>
      </x:c>
    </x:row>
    <x:row r="386" ht="18" customHeight="1">
      <x:c r="A386" s="46" t="str">
        <x:v>LME_032</x:v>
      </x:c>
      <x:c r="B386" s="46" t="str">
        <x:v>Arabian Sea</x:v>
      </x:c>
      <x:c r="C386" s="46" t="str">
        <x:v>LME</x:v>
      </x:c>
      <x:c r="D386" s="58" t="n">
        <x:v>2019</x:v>
      </x:c>
      <x:c r="E386" s="46" t="str">
        <x:v>Gymnocranius grandoculis</x:v>
      </x:c>
      <x:c r="F386" s="46" t="str">
        <x:v>Blue-lined large-eye bream</x:v>
      </x:c>
      <x:c r="G386" s="46" t="str">
        <x:v>Medium reef assoc. fish (30 - 89 cm)</x:v>
      </x:c>
      <x:c r="H386" s="46" t="str">
        <x:v>Perch-likes</x:v>
      </x:c>
      <x:c r="I386" s="60" t="n">
        <x:v>0.0088920206</x:v>
      </x:c>
      <x:c r="J386" s="60" t="n">
        <x:v>0.0088920206</x:v>
      </x:c>
      <x:c r="K386" s="60" t="n">
        <x:v>0</x:v>
      </x:c>
      <x:c r="L386" s="60" t="n">
        <x:v>0</x:v>
      </x:c>
      <x:c r="M386" s="60" t="n">
        <x:v>0.0088920206</x:v>
      </x:c>
      <x:c r="N386" s="46" t="str">
        <x:v>gymnocranius grandoculis</x:v>
      </x:c>
      <x:c r="O386" s="62" t="n">
        <x:v>3.76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Gymnocranius grandoculis</x:v>
      </x:c>
      <x:c r="T386" s="62" t="n">
        <x:f>IF(O386="","",(1/'Metadata'!$B$5)^(O386-1))</x:f>
        <x:v>3898.0085558913897</x:v>
      </x:c>
      <x:c r="U386" s="60" t="n">
        <x:f>IF(T386="","",I386*T386)</x:f>
        <x:v>34.66117237796249</x:v>
      </x:c>
    </x:row>
    <x:row r="387" ht="18" customHeight="1">
      <x:c r="A387" s="46" t="str">
        <x:v>LME_032</x:v>
      </x:c>
      <x:c r="B387" s="46" t="str">
        <x:v>Arabian Sea</x:v>
      </x:c>
      <x:c r="C387" s="46" t="str">
        <x:v>LME</x:v>
      </x:c>
      <x:c r="D387" s="58" t="n">
        <x:v>2019</x:v>
      </x:c>
      <x:c r="E387" s="46" t="str">
        <x:v>Bothidae</x:v>
      </x:c>
      <x:c r="F387" s="46" t="str">
        <x:v>Lefteye flounders</x:v>
      </x:c>
      <x:c r="G387" s="46" t="str">
        <x:v>Small to medium flatfishes (&lt;90 cm)</x:v>
      </x:c>
      <x:c r="H387" s="46" t="str">
        <x:v>Flatfishes</x:v>
      </x:c>
      <x:c r="I387" s="60" t="n">
        <x:v>0.0083895745</x:v>
      </x:c>
      <x:c r="J387" s="60" t="n">
        <x:v>0.0083895745</x:v>
      </x:c>
      <x:c r="K387" s="60" t="n">
        <x:v>0</x:v>
      </x:c>
      <x:c r="L387" s="60" t="n">
        <x:v>0.0046195357</x:v>
      </x:c>
      <x:c r="M387" s="60" t="n">
        <x:v>0.0037700388</x:v>
      </x:c>
      <x:c r="N387" s="46" t="str">
        <x:v>bothidae</x:v>
      </x:c>
      <x:c r="O387" s="62" t="n">
        <x:v>3.77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Bothidae</x:v>
      </x:c>
      <x:c r="T387" s="62" t="n">
        <x:f>IF(O387="","",(1/'Metadata'!$B$5)^(O387-1))</x:f>
        <x:v>4016.549170818885</x:v>
      </x:c>
      <x:c r="U387" s="60" t="n">
        <x:f>IF(T387="","",I387*T387)</x:f>
        <x:v>33.697138501498266</x:v>
      </x:c>
    </x:row>
    <x:row r="388" ht="18" customHeight="1">
      <x:c r="A388" s="46" t="str">
        <x:v>LME_032</x:v>
      </x:c>
      <x:c r="B388" s="46" t="str">
        <x:v>Arabian Sea</x:v>
      </x:c>
      <x:c r="C388" s="46" t="str">
        <x:v>LME</x:v>
      </x:c>
      <x:c r="D388" s="58" t="n">
        <x:v>2019</x:v>
      </x:c>
      <x:c r="E388" s="46" t="str">
        <x:v>Veneridae</x:v>
      </x:c>
      <x:c r="F388" s="46" t="str">
        <x:v>Venus clams</x:v>
      </x:c>
      <x:c r="G388" s="46" t="str">
        <x:v>Other demersal invertebrates</x:v>
      </x:c>
      <x:c r="H388" s="46" t="str">
        <x:v>Molluscs</x:v>
      </x:c>
      <x:c r="I388" s="60" t="n">
        <x:v>0.0026467163</x:v>
      </x:c>
      <x:c r="J388" s="60" t="n">
        <x:v>0.0026467163</x:v>
      </x:c>
      <x:c r="K388" s="60" t="n">
        <x:v>0</x:v>
      </x:c>
      <x:c r="L388" s="60" t="n">
        <x:v>0</x:v>
      </x:c>
      <x:c r="M388" s="60" t="n">
        <x:v>0.0026467163</x:v>
      </x:c>
      <x:c r="N388" s="46" t="str">
        <x:v>veneridae</x:v>
      </x:c>
      <x:c r="O388" s="62" t="n">
        <x:v>2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Veneridae</x:v>
      </x:c>
      <x:c r="T388" s="62" t="n">
        <x:f>IF(O388="","",(1/'Metadata'!$B$5)^(O388-1))</x:f>
        <x:v>20</x:v>
      </x:c>
      <x:c r="U388" s="60" t="n">
        <x:f>IF(T388="","",I388*T388)</x:f>
        <x:v>0.052934326000000004</x:v>
      </x:c>
    </x:row>
    <x:row r="389" ht="18" customHeight="1">
      <x:c r="A389" s="46" t="str">
        <x:v>LME_032</x:v>
      </x:c>
      <x:c r="B389" s="46" t="str">
        <x:v>Arabian Sea</x:v>
      </x:c>
      <x:c r="C389" s="46" t="str">
        <x:v>LME</x:v>
      </x:c>
      <x:c r="D389" s="58" t="n">
        <x:v>2019</x:v>
      </x:c>
      <x:c r="E389" s="46" t="str">
        <x:v>Pristipomoides multidens</x:v>
      </x:c>
      <x:c r="F389" s="46" t="str">
        <x:v>Goldbanded jobfish</x:v>
      </x:c>
      <x:c r="G389" s="46" t="str">
        <x:v>Medium demersals (30 - 89 cm)</x:v>
      </x:c>
      <x:c r="H389" s="46" t="str">
        <x:v>Perch-likes</x:v>
      </x:c>
      <x:c r="I389" s="60" t="n">
        <x:v>0.0020736764</x:v>
      </x:c>
      <x:c r="J389" s="60" t="n">
        <x:v>0.0020736764</x:v>
      </x:c>
      <x:c r="K389" s="60" t="n">
        <x:v>0</x:v>
      </x:c>
      <x:c r="L389" s="60" t="n">
        <x:v>0</x:v>
      </x:c>
      <x:c r="M389" s="60" t="n">
        <x:v>0.0020736764</x:v>
      </x:c>
      <x:c r="N389" s="46" t="str">
        <x:v>pristipomoides multidens</x:v>
      </x:c>
      <x:c r="O389" s="62" t="n">
        <x:v>3.84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Pristipomoides multidens</x:v>
      </x:c>
      <x:c r="T389" s="62" t="n">
        <x:f>IF(O389="","",(1/'Metadata'!$B$5)^(O389-1))</x:f>
        <x:v>4953.648510535111</x:v>
      </x:c>
      <x:c r="U389" s="60" t="n">
        <x:f>IF(T389="","",I389*T389)</x:f>
        <x:v>10.272264010191812</x:v>
      </x:c>
    </x:row>
    <x:row r="390" ht="18" customHeight="1">
      <x:c r="A390" s="46" t="str">
        <x:v>LME_032</x:v>
      </x:c>
      <x:c r="B390" s="46" t="str">
        <x:v>Arabian Sea</x:v>
      </x:c>
      <x:c r="C390" s="46" t="str">
        <x:v>LME</x:v>
      </x:c>
      <x:c r="D390" s="58" t="n">
        <x:v>2019</x:v>
      </x:c>
      <x:c r="E390" s="46" t="str">
        <x:v>Octopoda</x:v>
      </x:c>
      <x:c r="F390" s="46" t="str">
        <x:v>Octopuses, argonauts</x:v>
      </x:c>
      <x:c r="G390" s="46" t="str">
        <x:v>Cephalopods</x:v>
      </x:c>
      <x:c r="H390" s="46" t="str">
        <x:v>Other fishes &amp; inverts</x:v>
      </x:c>
      <x:c r="I390" s="60" t="n">
        <x:v>0.0018448582999999999</x:v>
      </x:c>
      <x:c r="J390" s="60" t="n">
        <x:v>0.0018448582999999999</x:v>
      </x:c>
      <x:c r="K390" s="60" t="n">
        <x:v>0</x:v>
      </x:c>
      <x:c r="L390" s="60" t="n">
        <x:v>0.0018448582999999999</x:v>
      </x:c>
      <x:c r="M390" s="60" t="n">
        <x:v>0</x:v>
      </x:c>
      <x:c r="N390" s="46" t="str">
        <x:v>octopoda</x:v>
      </x:c>
      <x:c r="O390" s="62" t="n">
        <x:v>3.58</x:v>
      </x:c>
      <x:c r="P390" s="46" t="str">
        <x:v>exact_sea_around_us</x:v>
      </x:c>
      <x:c r="Q390" s="62" t="str">
        <x:v>Sea Around Us exploited organisms</x:v>
      </x:c>
      <x:c r="R390" s="46" t="str">
        <x:v>high</x:v>
      </x:c>
      <x:c r="S390" s="46" t="str">
        <x:v>Octopoda</x:v>
      </x:c>
      <x:c r="T390" s="62" t="n">
        <x:f>IF(O390="","",(1/'Metadata'!$B$5)^(O390-1))</x:f>
        <x:v>2273.3033337150473</x:v>
      </x:c>
      <x:c r="U390" s="60" t="n">
        <x:f>IF(T390="","",I390*T390)</x:f>
        <x:v>4.1939225236218745</x:v>
      </x:c>
    </x:row>
    <x:row r="391" ht="18" customHeight="1">
      <x:c r="A391" s="46" t="str">
        <x:v>LME_032</x:v>
      </x:c>
      <x:c r="B391" s="46" t="str">
        <x:v>Arabian Sea</x:v>
      </x:c>
      <x:c r="C391" s="46" t="str">
        <x:v>LME</x:v>
      </x:c>
      <x:c r="D391" s="58" t="n">
        <x:v>2019</x:v>
      </x:c>
      <x:c r="E391" s="46" t="str">
        <x:v>Portunus</x:v>
      </x:c>
      <x:c r="F391" s="46" t="str">
        <x:v>Swimmer crabs</x:v>
      </x:c>
      <x:c r="G391" s="46" t="str">
        <x:v>Lobsters, crabs</x:v>
      </x:c>
      <x:c r="H391" s="46" t="str">
        <x:v>Crustaceans</x:v>
      </x:c>
      <x:c r="I391" s="60" t="n">
        <x:v>0.000894631</x:v>
      </x:c>
      <x:c r="J391" s="60" t="n">
        <x:v>0.000894631</x:v>
      </x:c>
      <x:c r="K391" s="60" t="n">
        <x:v>0</x:v>
      </x:c>
      <x:c r="L391" s="60" t="n">
        <x:v>0.000894631</x:v>
      </x:c>
      <x:c r="M391" s="60" t="n">
        <x:v>0</x:v>
      </x:c>
      <x:c r="N391" s="46" t="str">
        <x:v>portunus</x:v>
      </x:c>
      <x:c r="O391" s="62" t="n">
        <x:v>3.26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Portunus</x:v>
      </x:c>
      <x:c r="T391" s="62" t="n">
        <x:f>IF(O391="","",(1/'Metadata'!$B$5)^(O391-1))</x:f>
        <x:v>871.6212107848935</x:v>
      </x:c>
      <x:c r="U391" s="60" t="n">
        <x:f>IF(T391="","",I391*T391)</x:f>
        <x:v>0.7797793554257001</x:v>
      </x:c>
    </x:row>
    <x:row r="392" ht="18" customHeight="1">
      <x:c r="A392" s="46" t="str">
        <x:v>LME_032</x:v>
      </x:c>
      <x:c r="B392" s="46" t="str">
        <x:v>Arabian Sea</x:v>
      </x:c>
      <x:c r="C392" s="46" t="str">
        <x:v>LME</x:v>
      </x:c>
      <x:c r="D392" s="58" t="n">
        <x:v>2019</x:v>
      </x:c>
      <x:c r="E392" s="46" t="str">
        <x:v>Pomacanthidae</x:v>
      </x:c>
      <x:c r="F392" s="46" t="str">
        <x:v>Angelfishes</x:v>
      </x:c>
      <x:c r="G392" s="46" t="str">
        <x:v>Medium reef assoc. fish (30 - 89 cm)</x:v>
      </x:c>
      <x:c r="H392" s="46" t="str">
        <x:v>Perch-likes</x:v>
      </x:c>
      <x:c r="I392" s="60" t="n">
        <x:v>0.000241323</x:v>
      </x:c>
      <x:c r="J392" s="60" t="n">
        <x:v>0.000241323</x:v>
      </x:c>
      <x:c r="K392" s="60" t="n">
        <x:v>0</x:v>
      </x:c>
      <x:c r="L392" s="60" t="n">
        <x:v>0</x:v>
      </x:c>
      <x:c r="M392" s="60" t="n">
        <x:v>0.000241323</x:v>
      </x:c>
      <x:c r="N392" s="46" t="str">
        <x:v>pomacanthidae</x:v>
      </x:c>
      <x:c r="O392" s="62" t="n">
        <x:v>2.86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Pomacanthidae</x:v>
      </x:c>
      <x:c r="T392" s="62" t="n">
        <x:f>IF(O392="","",(1/'Metadata'!$B$5)^(O392-1))</x:f>
        <x:v>262.9758042274525</x:v>
      </x:c>
      <x:c r="U392" s="60" t="n">
        <x:f>IF(T392="","",I392*T392)</x:f>
        <x:v>0.06346211000358151</x:v>
      </x:c>
    </x:row>
    <x:row r="393" ht="18" customHeight="1">
      <x:c r="A393" s="46" t="str">
        <x:v>LME_032</x:v>
      </x:c>
      <x:c r="B393" s="46" t="str">
        <x:v>Arabian Sea</x:v>
      </x:c>
      <x:c r="C393" s="46" t="str">
        <x:v>LME</x:v>
      </x:c>
      <x:c r="D393" s="58" t="n">
        <x:v>2019</x:v>
      </x:c>
      <x:c r="E393" s="46" t="str">
        <x:v>Acanthuridae</x:v>
      </x:c>
      <x:c r="F393" s="46" t="str">
        <x:v>Surgeons, tangs, unicornfishes</x:v>
      </x:c>
      <x:c r="G393" s="46" t="str">
        <x:v>Small reef assoc. fish (&lt;30 cm)</x:v>
      </x:c>
      <x:c r="H393" s="46" t="str">
        <x:v>Perch-likes</x:v>
      </x:c>
      <x:c r="I393" s="60" t="n">
        <x:v>0.0000135332</x:v>
      </x:c>
      <x:c r="J393" s="60" t="n">
        <x:v>0.0000135332</x:v>
      </x:c>
      <x:c r="K393" s="60" t="n">
        <x:v>0</x:v>
      </x:c>
      <x:c r="L393" s="60" t="n">
        <x:v>0</x:v>
      </x:c>
      <x:c r="M393" s="60" t="n">
        <x:v>0.0000135332</x:v>
      </x:c>
      <x:c r="N393" s="46" t="str">
        <x:v>acanthuridae</x:v>
      </x:c>
      <x:c r="O393" s="62" t="n">
        <x:v>2.28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Acanthuridae</x:v>
      </x:c>
      <x:c r="T393" s="62" t="n">
        <x:f>IF(O393="","",(1/'Metadata'!$B$5)^(O393-1))</x:f>
        <x:v>46.27201312333373</x:v>
      </x:c>
      <x:c r="U393" s="60" t="n">
        <x:f>IF(T393="","",I393*T393)</x:f>
        <x:v>0.0006262084080007</x:v>
      </x:c>
    </x:row>
    <x:row r="394" ht="18" customHeight="1">
      <x:c r="A394" s="46" t="str">
        <x:v>LME_032</x:v>
      </x:c>
      <x:c r="B394" s="46" t="str">
        <x:v>Arabian Sea</x:v>
      </x:c>
      <x:c r="C394" s="46" t="str">
        <x:v>LME</x:v>
      </x:c>
      <x:c r="D394" s="58" t="n">
        <x:v>2019</x:v>
      </x:c>
      <x:c r="E394" s="46" t="str">
        <x:v>Labridae</x:v>
      </x:c>
      <x:c r="F394" s="46" t="str">
        <x:v>Wrasses, gropers, tuskfishes</x:v>
      </x:c>
      <x:c r="G394" s="46" t="str">
        <x:v>Medium reef assoc. fish (30 - 89 cm)</x:v>
      </x:c>
      <x:c r="H394" s="46" t="str">
        <x:v>Perch-likes</x:v>
      </x:c>
      <x:c r="I394" s="60" t="n">
        <x:v>0.0000077187</x:v>
      </x:c>
      <x:c r="J394" s="60" t="n">
        <x:v>0.0000077187</x:v>
      </x:c>
      <x:c r="K394" s="60" t="n">
        <x:v>0</x:v>
      </x:c>
      <x:c r="L394" s="60" t="n">
        <x:v>0</x:v>
      </x:c>
      <x:c r="M394" s="60" t="n">
        <x:v>0.0000077187</x:v>
      </x:c>
      <x:c r="N394" s="46" t="str">
        <x:v>labridae</x:v>
      </x:c>
      <x:c r="O394" s="62" t="n">
        <x:v>3.46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Labridae</x:v>
      </x:c>
      <x:c r="T394" s="62" t="n">
        <x:f>IF(O394="","",(1/'Metadata'!$B$5)^(O394-1))</x:f>
        <x:v>1586.8423749532276</x:v>
      </x:c>
      <x:c r="U394" s="60" t="n">
        <x:f>IF(T394="","",I394*T394)</x:f>
        <x:v>0.012248360239551477</x:v>
      </x:c>
    </x:row>
  </x:sheetData>
  <x:conditionalFormatting sqref="R2:R3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1cf8f18d9d747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114036.54438802763</x:v>
      </x:c>
      <x:c r="E2" s="60" t="n">
        <x:v>114036.54438802763</x:v>
      </x:c>
      <x:c r="F2" s="62" t="n">
        <x:v>0</x:v>
      </x:c>
      <x:c r="G2" s="66" t="n">
        <x:v>1</x:v>
      </x:c>
      <x:c r="H2" s="62" t="n">
        <x:f>IF(E2=0,"",I2/E2)</x:f>
        <x:v>1138.2717905247364</x:v>
      </x:c>
      <x:c r="I2" s="60" t="n">
        <x:f>SUMIF('Species'!$H$2:$H$394,A2,'Species'!$U$2:$U$394)</x:f>
        <x:v>129804581.5658138</x:v>
      </x:c>
      <x:c r="J2" s="62" t="n">
        <x:v>3.3334736401419875</x:v>
      </x:c>
      <x:c r="K2" s="62" t="n">
        <x:f>IF(J2="","",(1/'Metadata'!$B$5)^(J2-1))</x:f>
        <x:v>1086.223513942931</x:v>
      </x:c>
      <x:c r="L2" s="60" t="n">
        <x:f>IF(E2=0,"",E2*K2)</x:f>
        <x:v>123869175.9630724</x:v>
      </x:c>
      <x:c r="M2" s="60" t="n">
        <x:f>I2-L2</x:f>
        <x:v>5935405.6027413905</x:v>
      </x:c>
      <x:c r="N2" s="62" t="n">
        <x:f>IF(L2=0,"",I2/L2)</x:f>
        <x:v>1.0479167279235864</x:v>
      </x:c>
      <x:c r="O2" s="66" t="n">
        <x:f>IF(L2=0,"",M2/L2)</x:f>
        <x:v>0.047916727923586415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224.60510071849998</x:v>
      </x:c>
      <x:c r="E3" s="60" t="n">
        <x:v>224.60510071849998</x:v>
      </x:c>
      <x:c r="F3" s="62" t="n">
        <x:v>0</x:v>
      </x:c>
      <x:c r="G3" s="66" t="n">
        <x:v>1</x:v>
      </x:c>
      <x:c r="H3" s="62" t="n">
        <x:f>IF(E3=0,"",I3/E3)</x:f>
        <x:v>982.5824208926318</x:v>
      </x:c>
      <x:c r="I3" s="60" t="n">
        <x:f>SUMIF('Species'!$H$2:$H$394,A3,'Species'!$U$2:$U$394)</x:f>
        <x:v>220693.0236088171</x:v>
      </x:c>
      <x:c r="J3" s="62" t="n">
        <x:v>3.3</x:v>
      </x:c>
      <x:c r="K3" s="62" t="n">
        <x:f>IF(J3="","",(1/'Metadata'!$B$5)^(J3-1))</x:f>
        <x:v>982.5824208926318</x:v>
      </x:c>
      <x:c r="L3" s="60" t="n">
        <x:f>IF(E3=0,"",E3*K3)</x:f>
        <x:v>220693.0236088171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22</x:v>
      </x:c>
      <x:c r="C4" s="64" t="n">
        <x:v>22</x:v>
      </x:c>
      <x:c r="D4" s="60" t="n">
        <x:v>387946.9165851195</x:v>
      </x:c>
      <x:c r="E4" s="60" t="n">
        <x:v>387946.9165851195</x:v>
      </x:c>
      <x:c r="F4" s="62" t="n">
        <x:v>0</x:v>
      </x:c>
      <x:c r="G4" s="66" t="n">
        <x:v>1</x:v>
      </x:c>
      <x:c r="H4" s="62" t="n">
        <x:f>IF(E4=0,"",I4/E4)</x:f>
        <x:v>1150.4338239316712</x:v>
      </x:c>
      <x:c r="I4" s="60" t="n">
        <x:f>SUMIF('Species'!$H$2:$H$394,A4,'Species'!$U$2:$U$394)</x:f>
        <x:v>446307254.7295201</x:v>
      </x:c>
      <x:c r="J4" s="62" t="n">
        <x:v>3.2689865262901674</x:v>
      </x:c>
      <x:c r="K4" s="62" t="n">
        <x:f>IF(J4="","",(1/'Metadata'!$B$5)^(J4-1))</x:f>
        <x:v>895.4050314993171</x:v>
      </x:c>
      <x:c r="L4" s="60" t="n">
        <x:f>IF(E4=0,"",E4*K4)</x:f>
        <x:v>347369621.0649619</x:v>
      </x:c>
      <x:c r="M4" s="60" t="n">
        <x:f>I4-L4</x:f>
        <x:v>98937633.66455817</x:v>
      </x:c>
      <x:c r="N4" s="62" t="n">
        <x:f>IF(L4=0,"",I4/L4)</x:f>
        <x:v>1.2848194766175474</x:v>
      </x:c>
      <x:c r="O4" s="66" t="n">
        <x:f>IF(L4=0,"",M4/L4)</x:f>
        <x:v>0.28481947661754725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50229.592475417296</x:v>
      </x:c>
      <x:c r="E5" s="60" t="n">
        <x:v>50229.592475417296</x:v>
      </x:c>
      <x:c r="F5" s="62" t="n">
        <x:v>0</x:v>
      </x:c>
      <x:c r="G5" s="66" t="n">
        <x:v>1</x:v>
      </x:c>
      <x:c r="H5" s="62" t="n">
        <x:f>IF(E5=0,"",I5/E5)</x:f>
        <x:v>5239.758068123839</x:v>
      </x:c>
      <x:c r="I5" s="60" t="n">
        <x:f>SUMIF('Species'!$H$2:$H$394,A5,'Species'!$U$2:$U$394)</x:f>
        <x:v>263190912.43164024</x:v>
      </x:c>
      <x:c r="J5" s="62" t="n">
        <x:v>3.379868572229347</x:v>
      </x:c>
      <x:c r="K5" s="62" t="n">
        <x:f>IF(J5="","",(1/'Metadata'!$B$5)^(J5-1))</x:f>
        <x:v>1248.1891358946823</x:v>
      </x:c>
      <x:c r="L5" s="60" t="n">
        <x:f>IF(E5=0,"",E5*K5)</x:f>
        <x:v>62696031.62823315</x:v>
      </x:c>
      <x:c r="M5" s="60" t="n">
        <x:f>I5-L5</x:f>
        <x:v>200494880.80340707</x:v>
      </x:c>
      <x:c r="N5" s="62" t="n">
        <x:f>IF(L5=0,"",I5/L5)</x:f>
        <x:v>4.197887898109338</x:v>
      </x:c>
      <x:c r="O5" s="66" t="n">
        <x:f>IF(L5=0,"",M5/L5)</x:f>
        <x:v>3.1978878981093377</x:v>
      </x:c>
    </x:row>
    <x:row r="6" ht="18" customHeight="1">
      <x:c r="A6" s="46" t="str">
        <x:v>Herring-likes</x:v>
      </x:c>
      <x:c r="B6" s="64" t="n">
        <x:v>15</x:v>
      </x:c>
      <x:c r="C6" s="64" t="n">
        <x:v>15</x:v>
      </x:c>
      <x:c r="D6" s="60" t="n">
        <x:v>818557.452492271</x:v>
      </x:c>
      <x:c r="E6" s="60" t="n">
        <x:v>818557.452492271</x:v>
      </x:c>
      <x:c r="F6" s="62" t="n">
        <x:v>0</x:v>
      </x:c>
      <x:c r="G6" s="66" t="n">
        <x:v>1</x:v>
      </x:c>
      <x:c r="H6" s="62" t="n">
        <x:f>IF(E6=0,"",I6/E6)</x:f>
        <x:v>795.4151523137068</x:v>
      </x:c>
      <x:c r="I6" s="60" t="n">
        <x:f>SUMIF('Species'!$H$2:$H$394,A6,'Species'!$U$2:$U$394)</x:f>
        <x:v>651093000.7516595</x:v>
      </x:c>
      <x:c r="J6" s="62" t="n">
        <x:v>2.6082730518100314</x:v>
      </x:c>
      <x:c r="K6" s="62" t="n">
        <x:f>IF(J6="","",(1/'Metadata'!$B$5)^(J6-1))</x:f>
        <x:v>123.71190132841397</x:v>
      </x:c>
      <x:c r="L6" s="60" t="n">
        <x:f>IF(E6=0,"",E6*K6)</x:f>
        <x:v>101265298.79436174</x:v>
      </x:c>
      <x:c r="M6" s="60" t="n">
        <x:f>I6-L6</x:f>
        <x:v>549827701.9572978</x:v>
      </x:c>
      <x:c r="N6" s="62" t="n">
        <x:f>IF(L6=0,"",I6/L6)</x:f>
        <x:v>6.42957665166057</x:v>
      </x:c>
      <x:c r="O6" s="66" t="n">
        <x:f>IF(L6=0,"",M6/L6)</x:f>
        <x:v>5.42957665166057</x:v>
      </x:c>
    </x:row>
    <x:row r="7" ht="18" customHeight="1">
      <x:c r="A7" s="46" t="str">
        <x:v>Molluscs</x:v>
      </x:c>
      <x:c r="B7" s="64" t="n">
        <x:v>11</x:v>
      </x:c>
      <x:c r="C7" s="64" t="n">
        <x:v>11</x:v>
      </x:c>
      <x:c r="D7" s="60" t="n">
        <x:v>98433.60849918699</x:v>
      </x:c>
      <x:c r="E7" s="60" t="n">
        <x:v>98433.60849918699</x:v>
      </x:c>
      <x:c r="F7" s="62" t="n">
        <x:v>0</x:v>
      </x:c>
      <x:c r="G7" s="66" t="n">
        <x:v>1</x:v>
      </x:c>
      <x:c r="H7" s="62" t="n">
        <x:f>IF(E7=0,"",I7/E7)</x:f>
        <x:v>48.552125534684635</x:v>
      </x:c>
      <x:c r="I7" s="60" t="n">
        <x:f>SUMIF('Species'!$H$2:$H$394,A7,'Species'!$U$2:$U$394)</x:f>
        <x:v>4779160.916684527</x:v>
      </x:c>
      <x:c r="J7" s="62" t="n">
        <x:v>2.234866944948067</x:v>
      </x:c>
      <x:c r="K7" s="62" t="n">
        <x:f>IF(J7="","",(1/'Metadata'!$B$5)^(J7-1))</x:f>
        <x:v>40.420244483149354</x:v>
      </x:c>
      <x:c r="L7" s="60" t="n">
        <x:f>IF(E7=0,"",E7*K7)</x:f>
        <x:v>3978710.520895746</x:v>
      </x:c>
      <x:c r="M7" s="60" t="n">
        <x:f>I7-L7</x:f>
        <x:v>800450.3957887809</x:v>
      </x:c>
      <x:c r="N7" s="62" t="n">
        <x:f>IF(L7=0,"",I7/L7)</x:f>
        <x:v>1.2011833712417388</x:v>
      </x:c>
      <x:c r="O7" s="66" t="n">
        <x:f>IF(L7=0,"",M7/L7)</x:f>
        <x:v>0.20118337124173882</x:v>
      </x:c>
    </x:row>
    <x:row r="8" ht="18" customHeight="1">
      <x:c r="A8" s="46" t="str">
        <x:v>Other fishes &amp; inverts</x:v>
      </x:c>
      <x:c r="B8" s="64" t="n">
        <x:v>51</x:v>
      </x:c>
      <x:c r="C8" s="64" t="n">
        <x:v>51</x:v>
      </x:c>
      <x:c r="D8" s="60" t="n">
        <x:v>1316006.2278018282</x:v>
      </x:c>
      <x:c r="E8" s="60" t="n">
        <x:v>1316006.2278018282</x:v>
      </x:c>
      <x:c r="F8" s="62" t="n">
        <x:v>0</x:v>
      </x:c>
      <x:c r="G8" s="66" t="n">
        <x:v>1</x:v>
      </x:c>
      <x:c r="H8" s="62" t="n">
        <x:f>IF(E8=0,"",I8/E8)</x:f>
        <x:v>4119.742171863245</x:v>
      </x:c>
      <x:c r="I8" s="60" t="n">
        <x:f>SUMIF('Species'!$H$2:$H$394,A8,'Species'!$U$2:$U$394)</x:f>
        <x:v>5421606355.10986</x:v>
      </x:c>
      <x:c r="J8" s="62" t="n">
        <x:v>3.5162648445986204</x:v>
      </x:c>
      <x:c r="K8" s="62" t="n">
        <x:f>IF(J8="","",(1/'Metadata'!$B$5)^(J8-1))</x:f>
        <x:v>1878.1749325885942</x:v>
      </x:c>
      <x:c r="L8" s="60" t="n">
        <x:f>IF(E8=0,"",E8*K8)</x:f>
        <x:v>2471689908.1878686</x:v>
      </x:c>
      <x:c r="M8" s="60" t="n">
        <x:f>I8-L8</x:f>
        <x:v>2949916446.921992</x:v>
      </x:c>
      <x:c r="N8" s="62" t="n">
        <x:f>IF(L8=0,"",I8/L8)</x:f>
        <x:v>2.193481608331984</x:v>
      </x:c>
      <x:c r="O8" s="66" t="n">
        <x:f>IF(L8=0,"",M8/L8)</x:f>
        <x:v>1.1934816083319841</x:v>
      </x:c>
    </x:row>
    <x:row r="9" ht="18" customHeight="1">
      <x:c r="A9" s="46" t="str">
        <x:v>Perch-likes</x:v>
      </x:c>
      <x:c r="B9" s="64" t="n">
        <x:v>210</x:v>
      </x:c>
      <x:c r="C9" s="64" t="n">
        <x:v>210</x:v>
      </x:c>
      <x:c r="D9" s="60" t="n">
        <x:v>1866208.644586389</x:v>
      </x:c>
      <x:c r="E9" s="60" t="n">
        <x:v>1866208.644586389</x:v>
      </x:c>
      <x:c r="F9" s="62" t="n">
        <x:v>0</x:v>
      </x:c>
      <x:c r="G9" s="66" t="n">
        <x:v>1</x:v>
      </x:c>
      <x:c r="H9" s="62" t="n">
        <x:f>IF(E9=0,"",I9/E9)</x:f>
        <x:v>9518.29733920934</x:v>
      </x:c>
      <x:c r="I9" s="60" t="n">
        <x:f>SUMIF('Species'!$H$2:$H$394,A9,'Species'!$U$2:$U$394)</x:f>
        <x:v>17763128776.176098</x:v>
      </x:c>
      <x:c r="J9" s="62" t="n">
        <x:v>3.7570012670475315</x:v>
      </x:c>
      <x:c r="K9" s="62" t="n">
        <x:f>IF(J9="","",(1/'Metadata'!$B$5)^(J9-1))</x:f>
        <x:v>3863.1479992217724</x:v>
      </x:c>
      <x:c r="L9" s="60" t="n">
        <x:f>IF(E9=0,"",E9*K9)</x:f>
        <x:v>7209440191.464284</x:v>
      </x:c>
      <x:c r="M9" s="60" t="n">
        <x:f>I9-L9</x:f>
        <x:v>10553688584.711815</x:v>
      </x:c>
      <x:c r="N9" s="62" t="n">
        <x:f>IF(L9=0,"",I9/L9)</x:f>
        <x:v>2.463870745083231</x:v>
      </x:c>
      <x:c r="O9" s="66" t="n">
        <x:f>IF(L9=0,"",M9/L9)</x:f>
        <x:v>1.4638707450832313</x:v>
      </x:c>
    </x:row>
    <x:row r="10" ht="18" customHeight="1">
      <x:c r="A10" s="46" t="str">
        <x:v>Scorpionfishes</x:v>
      </x:c>
      <x:c r="B10" s="64" t="n">
        <x:v>5</x:v>
      </x:c>
      <x:c r="C10" s="64" t="n">
        <x:v>5</x:v>
      </x:c>
      <x:c r="D10" s="60" t="n">
        <x:v>6146.9328882121</x:v>
      </x:c>
      <x:c r="E10" s="60" t="n">
        <x:v>6146.9328882121</x:v>
      </x:c>
      <x:c r="F10" s="62" t="n">
        <x:v>0</x:v>
      </x:c>
      <x:c r="G10" s="66" t="n">
        <x:v>1</x:v>
      </x:c>
      <x:c r="H10" s="62" t="n">
        <x:f>IF(E10=0,"",I10/E10)</x:f>
        <x:v>3283.257647330539</x:v>
      </x:c>
      <x:c r="I10" s="60" t="n">
        <x:f>SUMIF('Species'!$H$2:$H$394,A10,'Species'!$U$2:$U$394)</x:f>
        <x:v>20181964.412849974</x:v>
      </x:c>
      <x:c r="J10" s="62" t="n">
        <x:v>3.668495018494844</x:v>
      </x:c>
      <x:c r="K10" s="62" t="n">
        <x:f>IF(J10="","",(1/'Metadata'!$B$5)^(J10-1))</x:f>
        <x:v>2963.412185373012</x:v>
      </x:c>
      <x:c r="L10" s="60" t="n">
        <x:f>IF(E10=0,"",E10*K10)</x:f>
        <x:v>18215895.82359786</x:v>
      </x:c>
      <x:c r="M10" s="60" t="n">
        <x:f>I10-L10</x:f>
        <x:v>1966068.5892521143</x:v>
      </x:c>
      <x:c r="N10" s="62" t="n">
        <x:f>IF(L10=0,"",I10/L10)</x:f>
        <x:v>1.107931479642366</x:v>
      </x:c>
      <x:c r="O10" s="66" t="n">
        <x:f>IF(L10=0,"",M10/L10)</x:f>
        <x:v>0.10793147964236612</x:v>
      </x:c>
    </x:row>
    <x:row r="11" ht="18" customHeight="1">
      <x:c r="A11" s="46" t="str">
        <x:v>Sharks &amp; rays</x:v>
      </x:c>
      <x:c r="B11" s="64" t="n">
        <x:v>47</x:v>
      </x:c>
      <x:c r="C11" s="64" t="n">
        <x:v>47</x:v>
      </x:c>
      <x:c r="D11" s="60" t="n">
        <x:v>189617.2160872809</x:v>
      </x:c>
      <x:c r="E11" s="60" t="n">
        <x:v>189617.2160872809</x:v>
      </x:c>
      <x:c r="F11" s="62" t="n">
        <x:v>0</x:v>
      </x:c>
      <x:c r="G11" s="66" t="n">
        <x:v>1</x:v>
      </x:c>
      <x:c r="H11" s="62" t="n">
        <x:f>IF(E11=0,"",I11/E11)</x:f>
        <x:v>18543.532057397617</x:v>
      </x:c>
      <x:c r="I11" s="60" t="n">
        <x:f>SUMIF('Species'!$H$2:$H$394,A11,'Species'!$U$2:$U$394)</x:f>
        <x:v>3516172925.1489844</x:v>
      </x:c>
      <x:c r="J11" s="62" t="n">
        <x:v>4.181657621521642</x:v>
      </x:c>
      <x:c r="K11" s="62" t="n">
        <x:f>IF(J11="","",(1/'Metadata'!$B$5)^(J11-1))</x:f>
        <x:v>13785.800886735715</x:v>
      </x:c>
      <x:c r="L11" s="60" t="n">
        <x:f>IF(E11=0,"",E11*K11)</x:f>
        <x:v>2614025185.6763945</x:v>
      </x:c>
      <x:c r="M11" s="60" t="n">
        <x:f>I11-L11</x:f>
        <x:v>902147739.47259</x:v>
      </x:c>
      <x:c r="N11" s="62" t="n">
        <x:f>IF(L11=0,"",I11/L11)</x:f>
        <x:v>1.3451182277875238</x:v>
      </x:c>
      <x:c r="O11" s="66" t="n">
        <x:f>IF(L11=0,"",M11/L11)</x:f>
        <x:v>0.34511822778752377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589021.0528993668</x:v>
      </x:c>
      <x:c r="E12" s="60" t="n">
        <x:v>589021.0528993668</x:v>
      </x:c>
      <x:c r="F12" s="62" t="n">
        <x:v>0</x:v>
      </x:c>
      <x:c r="G12" s="66" t="n">
        <x:v>1</x:v>
      </x:c>
      <x:c r="H12" s="62" t="n">
        <x:f>IF(E12=0,"",I12/E12)</x:f>
        <x:v>29097.370080916793</x:v>
      </x:c>
      <x:c r="I12" s="60" t="n">
        <x:f>SUMIF('Species'!$H$2:$H$394,A12,'Species'!$U$2:$U$394)</x:f>
        <x:v>17138963561.664145</x:v>
      </x:c>
      <x:c r="J12" s="62" t="n">
        <x:v>4.428599880554818</x:v>
      </x:c>
      <x:c r="K12" s="62" t="n">
        <x:f>IF(J12="","",(1/'Metadata'!$B$5)^(J12-1))</x:f>
        <x:v>28887.588416071598</x:v>
      </x:c>
      <x:c r="L12" s="60" t="n">
        <x:f>IF(E12=0,"",E12*K12)</x:f>
        <x:v>17015397744.558044</x:v>
      </x:c>
      <x:c r="M12" s="60" t="n">
        <x:f>I12-L12</x:f>
        <x:v>123565817.10610008</x:v>
      </x:c>
      <x:c r="N12" s="62" t="n">
        <x:f>IF(L12=0,"",I12/L12)</x:f>
        <x:v>1.0072619999227241</x:v>
      </x:c>
      <x:c r="O12" s="66" t="n">
        <x:f>IF(L12=0,"",M12/L12)</x:f>
        <x:v>0.0072619999227240845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d2bf6f02e4842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190758.66655314298</x:v>
      </x:c>
      <x:c r="E2" s="60" t="n">
        <x:v>190758.66655314298</x:v>
      </x:c>
      <x:c r="F2" s="62" t="n">
        <x:v>0</x:v>
      </x:c>
      <x:c r="G2" s="66" t="n">
        <x:v>1</x:v>
      </x:c>
      <x:c r="H2" s="62" t="n">
        <x:f>IF(E2=0,"",I2/E2)</x:f>
        <x:v>6615.601325300172</x:v>
      </x:c>
      <x:c r="I2" s="60" t="n">
        <x:f>SUMIF('Species'!$G$2:$G$394,A2,'Species'!$U$2:$U$394)</x:f>
        <x:v>1261983287.2614663</x:v>
      </x:c>
      <x:c r="J2" s="62" t="n">
        <x:v>3.8505584373374613</x:v>
      </x:c>
      <x:c r="K2" s="62" t="n">
        <x:f>IF(J2="","",(1/'Metadata'!$B$5)^(J2-1))</x:f>
        <x:v>5112.837988487437</x:v>
      </x:c>
      <x:c r="L2" s="60" t="n">
        <x:f>IF(E2=0,"",E2*K2)</x:f>
        <x:v>975318156.9861172</x:v>
      </x:c>
      <x:c r="M2" s="60" t="n">
        <x:f>I2-L2</x:f>
        <x:v>286665130.275349</x:v>
      </x:c>
      <x:c r="N2" s="62" t="n">
        <x:f>IF(L2=0,"",I2/L2)</x:f>
        <x:v>1.2939196078961437</x:v>
      </x:c>
      <x:c r="O2" s="66" t="n">
        <x:f>IF(L2=0,"",M2/L2)</x:f>
        <x:v>0.29391960789614363</x:v>
      </x:c>
    </x:row>
    <x:row r="3" ht="18" customHeight="1">
      <x:c r="A3" s="46" t="str">
        <x:v>Jellyfish</x:v>
      </x:c>
      <x:c r="B3" s="64" t="n">
        <x:v>5</x:v>
      </x:c>
      <x:c r="C3" s="64" t="n">
        <x:v>5</x:v>
      </x:c>
      <x:c r="D3" s="60" t="n">
        <x:v>25817.175724542903</x:v>
      </x:c>
      <x:c r="E3" s="60" t="n">
        <x:v>25817.175724542903</x:v>
      </x:c>
      <x:c r="F3" s="62" t="n">
        <x:v>0</x:v>
      </x:c>
      <x:c r="G3" s="66" t="n">
        <x:v>1</x:v>
      </x:c>
      <x:c r="H3" s="62" t="n">
        <x:f>IF(E3=0,"",I3/E3)</x:f>
        <x:v>1443.089442460253</x:v>
      </x:c>
      <x:c r="I3" s="60" t="n">
        <x:f>SUMIF('Species'!$G$2:$G$394,A3,'Species'!$U$2:$U$394)</x:f>
        <x:v>37256493.722229</x:v>
      </x:c>
      <x:c r="J3" s="62" t="n">
        <x:v>3.3678383552087694</x:v>
      </x:c>
      <x:c r="K3" s="62" t="n">
        <x:f>IF(J3="","",(1/'Metadata'!$B$5)^(J3-1))</x:f>
        <x:v>1204.0062046965156</x:v>
      </x:c>
      <x:c r="L3" s="60" t="n">
        <x:f>IF(E3=0,"",E3*K3)</x:f>
        <x:v>31084039.76008992</x:v>
      </x:c>
      <x:c r="M3" s="60" t="n">
        <x:f>I3-L3</x:f>
        <x:v>6172453.9621390775</x:v>
      </x:c>
      <x:c r="N3" s="62" t="n">
        <x:f>IF(L3=0,"",I3/L3)</x:f>
        <x:v>1.1985730944169022</x:v>
      </x:c>
      <x:c r="O3" s="66" t="n">
        <x:f>IF(L3=0,"",M3/L3)</x:f>
        <x:v>0.1985730944169022</x:v>
      </x:c>
    </x:row>
    <x:row r="4" ht="18" customHeight="1">
      <x:c r="A4" s="46" t="str">
        <x:v>Large benthopelagics (&gt;=90 cm)</x:v>
      </x:c>
      <x:c r="B4" s="64" t="n">
        <x:v>11</x:v>
      </x:c>
      <x:c r="C4" s="64" t="n">
        <x:v>11</x:v>
      </x:c>
      <x:c r="D4" s="60" t="n">
        <x:v>89433.4415923891</x:v>
      </x:c>
      <x:c r="E4" s="60" t="n">
        <x:v>89433.4415923891</x:v>
      </x:c>
      <x:c r="F4" s="62" t="n">
        <x:v>0</x:v>
      </x:c>
      <x:c r="G4" s="66" t="n">
        <x:v>1</x:v>
      </x:c>
      <x:c r="H4" s="62" t="n">
        <x:f>IF(E4=0,"",I4/E4)</x:f>
        <x:v>25028.27175792436</x:v>
      </x:c>
      <x:c r="I4" s="60" t="n">
        <x:f>SUMIF('Species'!$G$2:$G$394,A4,'Species'!$U$2:$U$394)</x:f>
        <x:v>2238364480.42077</x:v>
      </x:c>
      <x:c r="J4" s="62" t="n">
        <x:v>4.259627974952628</x:v>
      </x:c>
      <x:c r="K4" s="62" t="n">
        <x:f>IF(J4="","",(1/'Metadata'!$B$5)^(J4-1))</x:f>
        <x:v>17413.006820075218</x:v>
      </x:c>
      <x:c r="L4" s="60" t="n">
        <x:f>IF(E4=0,"",E4*K4)</x:f>
        <x:v>1557305128.3910701</x:v>
      </x:c>
      <x:c r="M4" s="60" t="n">
        <x:f>I4-L4</x:f>
        <x:v>681059352.0297</x:v>
      </x:c>
      <x:c r="N4" s="62" t="n">
        <x:f>IF(L4=0,"",I4/L4)</x:f>
        <x:v>1.4373319907662132</x:v>
      </x:c>
      <x:c r="O4" s="66" t="n">
        <x:f>IF(L4=0,"",M4/L4)</x:f>
        <x:v>0.43733199076621326</x:v>
      </x:c>
    </x:row>
    <x:row r="5" ht="18" customHeight="1">
      <x:c r="A5" s="46" t="str">
        <x:v>Large demersals (&gt;=90 cm)</x:v>
      </x:c>
      <x:c r="B5" s="64" t="n">
        <x:v>8</x:v>
      </x:c>
      <x:c r="C5" s="64" t="n">
        <x:v>8</x:v>
      </x:c>
      <x:c r="D5" s="60" t="n">
        <x:v>59394.7561989588</x:v>
      </x:c>
      <x:c r="E5" s="60" t="n">
        <x:v>59394.7561989588</x:v>
      </x:c>
      <x:c r="F5" s="62" t="n">
        <x:v>0</x:v>
      </x:c>
      <x:c r="G5" s="66" t="n">
        <x:v>1</x:v>
      </x:c>
      <x:c r="H5" s="62" t="n">
        <x:f>IF(E5=0,"",I5/E5)</x:f>
        <x:v>5830.600761007095</x:v>
      </x:c>
      <x:c r="I5" s="60" t="n">
        <x:f>SUMIF('Species'!$G$2:$G$394,A5,'Species'!$U$2:$U$394)</x:f>
        <x:v>346307110.69348</x:v>
      </x:c>
      <x:c r="J5" s="62" t="n">
        <x:v>3.7282209341467016</x:v>
      </x:c>
      <x:c r="K5" s="62" t="n">
        <x:f>IF(J5="","",(1/'Metadata'!$B$5)^(J5-1))</x:f>
        <x:v>3544.0290257762745</x:v>
      </x:c>
      <x:c r="L5" s="60" t="n">
        <x:f>IF(E5=0,"",E5*K5)</x:f>
        <x:v>210496739.9480153</x:v>
      </x:c>
      <x:c r="M5" s="60" t="n">
        <x:f>I5-L5</x:f>
        <x:v>135810370.7454647</x:v>
      </x:c>
      <x:c r="N5" s="62" t="n">
        <x:f>IF(L5=0,"",I5/L5)</x:f>
        <x:v>1.6451899007034727</x:v>
      </x:c>
      <x:c r="O5" s="66" t="n">
        <x:f>IF(L5=0,"",M5/L5)</x:f>
        <x:v>0.6451899007034727</x:v>
      </x:c>
    </x:row>
    <x:row r="6" ht="18" customHeight="1">
      <x:c r="A6" s="46" t="str">
        <x:v>Large pelagics (&gt;=90 cm)</x:v>
      </x:c>
      <x:c r="B6" s="64" t="n">
        <x:v>32</x:v>
      </x:c>
      <x:c r="C6" s="64" t="n">
        <x:v>32</x:v>
      </x:c>
      <x:c r="D6" s="60" t="n">
        <x:v>815669.3034427506</x:v>
      </x:c>
      <x:c r="E6" s="60" t="n">
        <x:v>815669.3034427506</x:v>
      </x:c>
      <x:c r="F6" s="62" t="n">
        <x:v>0</x:v>
      </x:c>
      <x:c r="G6" s="66" t="n">
        <x:v>1</x:v>
      </x:c>
      <x:c r="H6" s="62" t="n">
        <x:f>IF(E6=0,"",I6/E6)</x:f>
        <x:v>29151.824538259378</x:v>
      </x:c>
      <x:c r="I6" s="60" t="n">
        <x:f>SUMIF('Species'!$G$2:$G$394,A6,'Species'!$U$2:$U$394)</x:f>
        <x:v>23778248415.20731</x:v>
      </x:c>
      <x:c r="J6" s="62" t="n">
        <x:v>4.422968388888475</x:v>
      </x:c>
      <x:c r="K6" s="62" t="n">
        <x:f>IF(J6="","",(1/'Metadata'!$B$5)^(J6-1))</x:f>
        <x:v>28404.329904330192</x:v>
      </x:c>
      <x:c r="L6" s="60" t="n">
        <x:f>IF(E6=0,"",E6*K6)</x:f>
        <x:v>23168539987.823097</x:v>
      </x:c>
      <x:c r="M6" s="60" t="n">
        <x:f>I6-L6</x:f>
        <x:v>609708427.3842125</x:v>
      </x:c>
      <x:c r="N6" s="62" t="n">
        <x:f>IF(L6=0,"",I6/L6)</x:f>
        <x:v>1.026316221380573</x:v>
      </x:c>
      <x:c r="O6" s="66" t="n">
        <x:f>IF(L6=0,"",M6/L6)</x:f>
        <x:v>0.026316221380573077</x:v>
      </x:c>
    </x:row>
    <x:row r="7" ht="18" customHeight="1">
      <x:c r="A7" s="46" t="str">
        <x:v>Large rays (&gt;=90 cm)</x:v>
      </x:c>
      <x:c r="B7" s="64" t="n">
        <x:v>13</x:v>
      </x:c>
      <x:c r="C7" s="64" t="n">
        <x:v>13</x:v>
      </x:c>
      <x:c r="D7" s="60" t="n">
        <x:v>25303.2133360747</x:v>
      </x:c>
      <x:c r="E7" s="60" t="n">
        <x:v>25303.2133360747</x:v>
      </x:c>
      <x:c r="F7" s="62" t="n">
        <x:v>0</x:v>
      </x:c>
      <x:c r="G7" s="66" t="n">
        <x:v>1</x:v>
      </x:c>
      <x:c r="H7" s="62" t="n">
        <x:f>IF(E7=0,"",I7/E7)</x:f>
        <x:v>3230.8425353911357</x:v>
      </x:c>
      <x:c r="I7" s="60" t="n">
        <x:f>SUMIF('Species'!$G$2:$G$394,A7,'Species'!$U$2:$U$394)</x:f>
        <x:v>81750697.92826638</x:v>
      </x:c>
      <x:c r="J7" s="62" t="n">
        <x:v>3.6263782026637132</x:v>
      </x:c>
      <x:c r="K7" s="62" t="n">
        <x:f>IF(J7="","",(1/'Metadata'!$B$5)^(J7-1))</x:f>
        <x:v>2612.1422374126696</x:v>
      </x:c>
      <x:c r="L7" s="60" t="n">
        <x:f>IF(E7=0,"",E7*K7)</x:f>
        <x:v>66095592.297424264</x:v>
      </x:c>
      <x:c r="M7" s="60" t="n">
        <x:f>I7-L7</x:f>
        <x:v>15655105.630842112</x:v>
      </x:c>
      <x:c r="N7" s="62" t="n">
        <x:f>IF(L7=0,"",I7/L7)</x:f>
        <x:v>1.2368555161801944</x:v>
      </x:c>
      <x:c r="O7" s="66" t="n">
        <x:f>IF(L7=0,"",M7/L7)</x:f>
        <x:v>0.23685551618019451</x:v>
      </x:c>
    </x:row>
    <x:row r="8" ht="18" customHeight="1">
      <x:c r="A8" s="46" t="str">
        <x:v>Large reef assoc. fish (&gt;=90 cm)</x:v>
      </x:c>
      <x:c r="B8" s="64" t="n">
        <x:v>23</x:v>
      </x:c>
      <x:c r="C8" s="64" t="n">
        <x:v>23</x:v>
      </x:c>
      <x:c r="D8" s="60" t="n">
        <x:v>88939.94339352219</x:v>
      </x:c>
      <x:c r="E8" s="60" t="n">
        <x:v>88939.94339352219</x:v>
      </x:c>
      <x:c r="F8" s="62" t="n">
        <x:v>0</x:v>
      </x:c>
      <x:c r="G8" s="66" t="n">
        <x:v>1</x:v>
      </x:c>
      <x:c r="H8" s="62" t="n">
        <x:f>IF(E8=0,"",I8/E8)</x:f>
        <x:v>22243.58544676656</x:v>
      </x:c>
      <x:c r="I8" s="60" t="n">
        <x:f>SUMIF('Species'!$G$2:$G$394,A8,'Species'!$U$2:$U$394)</x:f>
        <x:v>1978343230.504392</x:v>
      </x:c>
      <x:c r="J8" s="62" t="n">
        <x:v>4.2465486023722425</x:v>
      </x:c>
      <x:c r="K8" s="62" t="n">
        <x:f>IF(J8="","",(1/'Metadata'!$B$5)^(J8-1))</x:f>
        <x:v>16743.91898706944</x:v>
      </x:c>
      <x:c r="L8" s="60" t="n">
        <x:f>IF(E8=0,"",E8*K8)</x:f>
        <x:v>1489203206.8956773</x:v>
      </x:c>
      <x:c r="M8" s="60" t="n">
        <x:f>I8-L8</x:f>
        <x:v>489140023.6087146</x:v>
      </x:c>
      <x:c r="N8" s="62" t="n">
        <x:f>IF(L8=0,"",I8/L8)</x:f>
        <x:v>1.3284575411493726</x:v>
      </x:c>
      <x:c r="O8" s="66" t="n">
        <x:f>IF(L8=0,"",M8/L8)</x:f>
        <x:v>0.3284575411493726</x:v>
      </x:c>
    </x:row>
    <x:row r="9" ht="18" customHeight="1">
      <x:c r="A9" s="46" t="str">
        <x:v>Large sharks (&gt;=90 cm)</x:v>
      </x:c>
      <x:c r="B9" s="64" t="n">
        <x:v>31</x:v>
      </x:c>
      <x:c r="C9" s="64" t="n">
        <x:v>31</x:v>
      </x:c>
      <x:c r="D9" s="60" t="n">
        <x:v>162525.1750261954</x:v>
      </x:c>
      <x:c r="E9" s="60" t="n">
        <x:v>162525.1750261954</x:v>
      </x:c>
      <x:c r="F9" s="62" t="n">
        <x:v>0</x:v>
      </x:c>
      <x:c r="G9" s="66" t="n">
        <x:v>1</x:v>
      </x:c>
      <x:c r="H9" s="62" t="n">
        <x:f>IF(E9=0,"",I9/E9)</x:f>
        <x:v>21056.171098905044</x:v>
      </x:c>
      <x:c r="I9" s="60" t="n">
        <x:f>SUMIF('Species'!$G$2:$G$394,A9,'Species'!$U$2:$U$394)</x:f>
        <x:v>3422157893.231059</x:v>
      </x:c>
      <x:c r="J9" s="62" t="n">
        <x:v>4.2709323549921265</x:v>
      </x:c>
      <x:c r="K9" s="62" t="n">
        <x:f>IF(J9="","",(1/'Metadata'!$B$5)^(J9-1))</x:f>
        <x:v>18012.795049942124</x:v>
      </x:c>
      <x:c r="L9" s="60" t="n">
        <x:f>IF(E9=0,"",E9*K9)</x:f>
        <x:v>2927532668.2028294</x:v>
      </x:c>
      <x:c r="M9" s="60" t="n">
        <x:f>I9-L9</x:f>
        <x:v>494625225.0282297</x:v>
      </x:c>
      <x:c r="N9" s="62" t="n">
        <x:f>IF(L9=0,"",I9/L9)</x:f>
        <x:v>1.1689563468925774</x:v>
      </x:c>
      <x:c r="O9" s="66" t="n">
        <x:f>IF(L9=0,"",M9/L9)</x:f>
        <x:v>0.16895634689257732</x:v>
      </x:c>
    </x:row>
    <x:row r="10" ht="18" customHeight="1">
      <x:c r="A10" s="46" t="str">
        <x:v>Lobsters, crabs</x:v>
      </x:c>
      <x:c r="B10" s="64" t="n">
        <x:v>12</x:v>
      </x:c>
      <x:c r="C10" s="64" t="n">
        <x:v>12</x:v>
      </x:c>
      <x:c r="D10" s="60" t="n">
        <x:v>207803.2637881115</x:v>
      </x:c>
      <x:c r="E10" s="60" t="n">
        <x:v>207803.2637881115</x:v>
      </x:c>
      <x:c r="F10" s="62" t="n">
        <x:v>0</x:v>
      </x:c>
      <x:c r="G10" s="66" t="n">
        <x:v>1</x:v>
      </x:c>
      <x:c r="H10" s="62" t="n">
        <x:f>IF(E10=0,"",I10/E10)</x:f>
        <x:v>1378.0345613972577</x:v>
      </x:c>
      <x:c r="I10" s="60" t="n">
        <x:f>SUMIF('Species'!$G$2:$G$394,A10,'Species'!$U$2:$U$394)</x:f>
        <x:v>286360079.4711689</x:v>
      </x:c>
      <x:c r="J10" s="62" t="n">
        <x:v>3.3701870210197438</x:v>
      </x:c>
      <x:c r="K10" s="62" t="n">
        <x:f>IF(J10="","",(1/'Metadata'!$B$5)^(J10-1))</x:f>
        <x:v>1212.507433152184</x:v>
      </x:c>
      <x:c r="L10" s="60" t="n">
        <x:f>IF(E10=0,"",E10*K10)</x:f>
        <x:v>251963001.97636926</x:v>
      </x:c>
      <x:c r="M10" s="60" t="n">
        <x:f>I10-L10</x:f>
        <x:v>34397077.494799614</x:v>
      </x:c>
      <x:c r="N10" s="62" t="n">
        <x:f>IF(L10=0,"",I10/L10)</x:f>
        <x:v>1.1365163822664155</x:v>
      </x:c>
      <x:c r="O10" s="66" t="n">
        <x:f>IF(L10=0,"",M10/L10)</x:f>
        <x:v>0.13651638226641544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150.48445620089998</x:v>
      </x:c>
      <x:c r="E11" s="60" t="n">
        <x:v>150.48445620089998</x:v>
      </x:c>
      <x:c r="F11" s="62" t="n">
        <x:v>0</x:v>
      </x:c>
      <x:c r="G11" s="66" t="n">
        <x:v>1</x:v>
      </x:c>
      <x:c r="H11" s="62" t="n">
        <x:f>IF(E11=0,"",I11/E11)</x:f>
        <x:v>23521.270987610445</x:v>
      </x:c>
      <x:c r="I11" s="60" t="n">
        <x:f>SUMIF('Species'!$G$2:$G$394,A11,'Species'!$U$2:$U$394)</x:f>
        <x:v>3539585.673724564</x:v>
      </x:c>
      <x:c r="J11" s="62" t="n">
        <x:v>4.36</x:v>
      </x:c>
      <x:c r="K11" s="62" t="n">
        <x:f>IF(J11="","",(1/'Metadata'!$B$5)^(J11-1))</x:f>
        <x:v>23521.270987610445</x:v>
      </x:c>
      <x:c r="L11" s="60" t="n">
        <x:f>IF(E11=0,"",E11*K11)</x:f>
        <x:v>3539585.673724564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bathypelagics (30 - 89 cm)</x:v>
      </x:c>
      <x:c r="B12" s="64" t="n">
        <x:v>1</x:v>
      </x:c>
      <x:c r="C12" s="64" t="n">
        <x:v>1</x:v>
      </x:c>
      <x:c r="D12" s="60" t="n">
        <x:v>1115.942419327</x:v>
      </x:c>
      <x:c r="E12" s="60" t="n">
        <x:v>1115.942419327</x:v>
      </x:c>
      <x:c r="F12" s="62" t="n">
        <x:v>0</x:v>
      </x:c>
      <x:c r="G12" s="66" t="n">
        <x:v>1</x:v>
      </x:c>
      <x:c r="H12" s="62" t="n">
        <x:f>IF(E12=0,"",I12/E12)</x:f>
        <x:v>10166.521575327472</x:v>
      </x:c>
      <x:c r="I12" s="60" t="n">
        <x:f>SUMIF('Species'!$G$2:$G$394,A12,'Species'!$U$2:$U$394)</x:f>
        <x:v>11345252.682911081</x:v>
      </x:c>
      <x:c r="J12" s="62" t="n">
        <x:v>4.08</x:v>
      </x:c>
      <x:c r="K12" s="62" t="n">
        <x:f>IF(J12="","",(1/'Metadata'!$B$5)^(J12-1))</x:f>
        <x:v>10166.521575327472</x:v>
      </x:c>
      <x:c r="L12" s="60" t="n">
        <x:f>IF(E12=0,"",E12*K12)</x:f>
        <x:v>11345252.682911081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benthopelagics (30 - 89 cm)</x:v>
      </x:c>
      <x:c r="B13" s="64" t="n">
        <x:v>10</x:v>
      </x:c>
      <x:c r="C13" s="64" t="n">
        <x:v>10</x:v>
      </x:c>
      <x:c r="D13" s="60" t="n">
        <x:v>181958.4514208631</x:v>
      </x:c>
      <x:c r="E13" s="60" t="n">
        <x:v>181958.4514208631</x:v>
      </x:c>
      <x:c r="F13" s="62" t="n">
        <x:v>0</x:v>
      </x:c>
      <x:c r="G13" s="66" t="n">
        <x:v>1</x:v>
      </x:c>
      <x:c r="H13" s="62" t="n">
        <x:f>IF(E13=0,"",I13/E13)</x:f>
        <x:v>8728.637225581071</x:v>
      </x:c>
      <x:c r="I13" s="60" t="n">
        <x:f>SUMIF('Species'!$G$2:$G$394,A13,'Species'!$U$2:$U$394)</x:f>
        <x:v>1588249312.5812306</x:v>
      </x:c>
      <x:c r="J13" s="62" t="n">
        <x:v>3.7927580185188288</x:v>
      </x:c>
      <x:c r="K13" s="62" t="n">
        <x:f>IF(J13="","",(1/'Metadata'!$B$5)^(J13-1))</x:f>
        <x:v>4299.9356149561845</x:v>
      </x:c>
      <x:c r="L13" s="60" t="n">
        <x:f>IF(E13=0,"",E13*K13)</x:f>
        <x:v>782409625.706844</x:v>
      </x:c>
      <x:c r="M13" s="60" t="n">
        <x:f>I13-L13</x:f>
        <x:v>805839686.8743867</x:v>
      </x:c>
      <x:c r="N13" s="62" t="n">
        <x:f>IF(L13=0,"",I13/L13)</x:f>
        <x:v>2.029946028777925</x:v>
      </x:c>
      <x:c r="O13" s="66" t="n">
        <x:f>IF(L13=0,"",M13/L13)</x:f>
        <x:v>1.029946028777925</x:v>
      </x:c>
    </x:row>
    <x:row r="14" ht="18" customHeight="1">
      <x:c r="A14" s="46" t="str">
        <x:v>Medium demersals (30 - 89 cm)</x:v>
      </x:c>
      <x:c r="B14" s="64" t="n">
        <x:v>36</x:v>
      </x:c>
      <x:c r="C14" s="64" t="n">
        <x:v>36</x:v>
      </x:c>
      <x:c r="D14" s="60" t="n">
        <x:v>1040277.493119509</x:v>
      </x:c>
      <x:c r="E14" s="60" t="n">
        <x:v>1040277.493119509</x:v>
      </x:c>
      <x:c r="F14" s="62" t="n">
        <x:v>0</x:v>
      </x:c>
      <x:c r="G14" s="66" t="n">
        <x:v>1</x:v>
      </x:c>
      <x:c r="H14" s="62" t="n">
        <x:f>IF(E14=0,"",I14/E14)</x:f>
        <x:v>3173.604917164524</x:v>
      </x:c>
      <x:c r="I14" s="60" t="n">
        <x:f>SUMIF('Species'!$G$2:$G$394,A14,'Species'!$U$2:$U$394)</x:f>
        <x:v>3301429767.379658</x:v>
      </x:c>
      <x:c r="J14" s="62" t="n">
        <x:v>3.4893501962982825</x:v>
      </x:c>
      <x:c r="K14" s="62" t="n">
        <x:f>IF(J14="","",(1/'Metadata'!$B$5)^(J14-1))</x:f>
        <x:v>1732.6836411573795</x:v>
      </x:c>
      <x:c r="L14" s="60" t="n">
        <x:f>IF(E14=0,"",E14*K14)</x:f>
        <x:v>1802471794.5923815</x:v>
      </x:c>
      <x:c r="M14" s="60" t="n">
        <x:f>I14-L14</x:f>
        <x:v>1498957972.7872767</x:v>
      </x:c>
      <x:c r="N14" s="62" t="n">
        <x:f>IF(L14=0,"",I14/L14)</x:f>
        <x:v>1.8316124431374292</x:v>
      </x:c>
      <x:c r="O14" s="66" t="n">
        <x:f>IF(L14=0,"",M14/L14)</x:f>
        <x:v>0.8316124431374292</x:v>
      </x:c>
    </x:row>
    <x:row r="15" ht="18" customHeight="1">
      <x:c r="A15" s="46" t="str">
        <x:v>Medium pelagics (30 - 89 cm)</x:v>
      </x:c>
      <x:c r="B15" s="64" t="n">
        <x:v>24</x:v>
      </x:c>
      <x:c r="C15" s="64" t="n">
        <x:v>24</x:v>
      </x:c>
      <x:c r="D15" s="60" t="n">
        <x:v>696370.207903303</x:v>
      </x:c>
      <x:c r="E15" s="60" t="n">
        <x:v>696370.207903303</x:v>
      </x:c>
      <x:c r="F15" s="62" t="n">
        <x:v>0</x:v>
      </x:c>
      <x:c r="G15" s="66" t="n">
        <x:v>1</x:v>
      </x:c>
      <x:c r="H15" s="62" t="n">
        <x:f>IF(E15=0,"",I15/E15)</x:f>
        <x:v>5659.295854563908</x:v>
      </x:c>
      <x:c r="I15" s="60" t="n">
        <x:f>SUMIF('Species'!$G$2:$G$394,A15,'Species'!$U$2:$U$394)</x:f>
        <x:v>3940965030.828969</x:v>
      </x:c>
      <x:c r="J15" s="62" t="n">
        <x:v>3.598990474777878</x:v>
      </x:c>
      <x:c r="K15" s="62" t="n">
        <x:f>IF(J15="","",(1/'Metadata'!$B$5)^(J15-1))</x:f>
        <x:v>2406.3819766030983</x:v>
      </x:c>
      <x:c r="L15" s="60" t="n">
        <x:f>IF(E15=0,"",E15*K15)</x:f>
        <x:v>1675732717.3418608</x:v>
      </x:c>
      <x:c r="M15" s="60" t="n">
        <x:f>I15-L15</x:f>
        <x:v>2265232313.487108</x:v>
      </x:c>
      <x:c r="N15" s="62" t="n">
        <x:f>IF(L15=0,"",I15/L15)</x:f>
        <x:v>2.3517861709356276</x:v>
      </x:c>
      <x:c r="O15" s="66" t="n">
        <x:f>IF(L15=0,"",M15/L15)</x:f>
        <x:v>1.3517861709356276</x:v>
      </x:c>
    </x:row>
    <x:row r="16" ht="18" customHeight="1">
      <x:c r="A16" s="46" t="str">
        <x:v>Medium reef assoc. fish (30 - 89 cm)</x:v>
      </x:c>
      <x:c r="B16" s="64" t="n">
        <x:v>87</x:v>
      </x:c>
      <x:c r="C16" s="64" t="n">
        <x:v>87</x:v>
      </x:c>
      <x:c r="D16" s="60" t="n">
        <x:v>238366.9593451601</x:v>
      </x:c>
      <x:c r="E16" s="60" t="n">
        <x:v>238366.9593451601</x:v>
      </x:c>
      <x:c r="F16" s="62" t="n">
        <x:v>0</x:v>
      </x:c>
      <x:c r="G16" s="66" t="n">
        <x:v>1</x:v>
      </x:c>
      <x:c r="H16" s="62" t="n">
        <x:f>IF(E16=0,"",I16/E16)</x:f>
        <x:v>6655.739992863516</x:v>
      </x:c>
      <x:c r="I16" s="60" t="n">
        <x:f>SUMIF('Species'!$G$2:$G$394,A16,'Species'!$U$2:$U$394)</x:f>
        <x:v>1586508504.290854</x:v>
      </x:c>
      <x:c r="J16" s="62" t="n">
        <x:v>3.5762511244320128</x:v>
      </x:c>
      <x:c r="K16" s="62" t="n">
        <x:f>IF(J16="","",(1/'Metadata'!$B$5)^(J16-1))</x:f>
        <x:v>2247.9155379933964</x:v>
      </x:c>
      <x:c r="L16" s="60" t="n">
        <x:f>IF(E16=0,"",E16*K16)</x:f>
        <x:v>535828791.6562256</x:v>
      </x:c>
      <x:c r="M16" s="60" t="n">
        <x:f>I16-L16</x:f>
        <x:v>1050679712.6346283</x:v>
      </x:c>
      <x:c r="N16" s="62" t="n">
        <x:f>IF(L16=0,"",I16/L16)</x:f>
        <x:v>2.9608496762315046</x:v>
      </x:c>
      <x:c r="O16" s="66" t="n">
        <x:f>IF(L16=0,"",M16/L16)</x:f>
        <x:v>1.9608496762315044</x:v>
      </x:c>
    </x:row>
    <x:row r="17" ht="18" customHeight="1">
      <x:c r="A17" s="46" t="str">
        <x:v>Other demersal invertebrates</x:v>
      </x:c>
      <x:c r="B17" s="64" t="n">
        <x:v>20</x:v>
      </x:c>
      <x:c r="C17" s="64" t="n">
        <x:v>20</x:v>
      </x:c>
      <x:c r="D17" s="60" t="n">
        <x:v>98643.46270729399</x:v>
      </x:c>
      <x:c r="E17" s="60" t="n">
        <x:v>98643.46270729399</x:v>
      </x:c>
      <x:c r="F17" s="62" t="n">
        <x:v>0</x:v>
      </x:c>
      <x:c r="G17" s="66" t="n">
        <x:v>1</x:v>
      </x:c>
      <x:c r="H17" s="62" t="n">
        <x:f>IF(E17=0,"",I17/E17)</x:f>
        <x:v>48.62444109608842</x:v>
      </x:c>
      <x:c r="I17" s="60" t="n">
        <x:f>SUMIF('Species'!$G$2:$G$394,A17,'Species'!$U$2:$U$394)</x:f>
        <x:v>4796483.241925011</x:v>
      </x:c>
      <x:c r="J17" s="62" t="n">
        <x:v>2.2353162102929707</x:v>
      </x:c>
      <x:c r="K17" s="62" t="n">
        <x:f>IF(J17="","",(1/'Metadata'!$B$5)^(J17-1))</x:f>
        <x:v>40.47468185380116</x:v>
      </x:c>
      <x:c r="L17" s="60" t="n">
        <x:f>IF(E17=0,"",E17*K17)</x:f>
        <x:v>3992562.7700350233</x:v>
      </x:c>
      <x:c r="M17" s="60" t="n">
        <x:f>I17-L17</x:f>
        <x:v>803920.471889988</x:v>
      </x:c>
      <x:c r="N17" s="62" t="n">
        <x:f>IF(L17=0,"",I17/L17)</x:f>
        <x:v>1.201354497898836</x:v>
      </x:c>
      <x:c r="O17" s="66" t="n">
        <x:f>IF(L17=0,"",M17/L17)</x:f>
        <x:v>0.20135449789883603</x:v>
      </x:c>
    </x:row>
    <x:row r="18" ht="18" customHeight="1">
      <x:c r="A18" s="46" t="str">
        <x:v>Shrimps</x:v>
      </x:c>
      <x:c r="B18" s="64" t="n">
        <x:v>10</x:v>
      </x:c>
      <x:c r="C18" s="64" t="n">
        <x:v>10</x:v>
      </x:c>
      <x:c r="D18" s="60" t="n">
        <x:v>180143.65279700793</x:v>
      </x:c>
      <x:c r="E18" s="60" t="n">
        <x:v>180143.65279700793</x:v>
      </x:c>
      <x:c r="F18" s="62" t="n">
        <x:v>0</x:v>
      </x:c>
      <x:c r="G18" s="66" t="n">
        <x:v>1</x:v>
      </x:c>
      <x:c r="H18" s="62" t="n">
        <x:f>IF(E18=0,"",I18/E18)</x:f>
        <x:v>887.8868212946984</x:v>
      </x:c>
      <x:c r="I18" s="60" t="n">
        <x:f>SUMIF('Species'!$G$2:$G$394,A18,'Species'!$U$2:$U$394)</x:f>
        <x:v>159947175.25835118</x:v>
      </x:c>
      <x:c r="J18" s="62" t="n">
        <x:v>3.1522475084271604</x:v>
      </x:c>
      <x:c r="K18" s="62" t="n">
        <x:f>IF(J18="","",(1/'Metadata'!$B$5)^(J18-1))</x:f>
        <x:v>631.1586906624258</x:v>
      </x:c>
      <x:c r="L18" s="60" t="n">
        <x:f>IF(E18=0,"",E18*K18)</x:f>
        <x:v>113699232.03050616</x:v>
      </x:c>
      <x:c r="M18" s="60" t="n">
        <x:f>I18-L18</x:f>
        <x:v>46247943.22784501</x:v>
      </x:c>
      <x:c r="N18" s="62" t="n">
        <x:f>IF(L18=0,"",I18/L18)</x:f>
        <x:v>1.4067568654767733</x:v>
      </x:c>
      <x:c r="O18" s="66" t="n">
        <x:f>IF(L18=0,"",M18/L18)</x:f>
        <x:v>0.40675686547677314</x:v>
      </x:c>
    </x:row>
    <x:row r="19" ht="18" customHeight="1">
      <x:c r="A19" s="46" t="str">
        <x:v>Small benthopelagics (&lt;30 cm)</x:v>
      </x:c>
      <x:c r="B19" s="64" t="n">
        <x:v>7</x:v>
      </x:c>
      <x:c r="C19" s="64" t="n">
        <x:v>7</x:v>
      </x:c>
      <x:c r="D19" s="60" t="n">
        <x:v>16357.8658160091</x:v>
      </x:c>
      <x:c r="E19" s="60" t="n">
        <x:v>16357.8658160091</x:v>
      </x:c>
      <x:c r="F19" s="62" t="n">
        <x:v>0</x:v>
      </x:c>
      <x:c r="G19" s="66" t="n">
        <x:v>1</x:v>
      </x:c>
      <x:c r="H19" s="62" t="n">
        <x:f>IF(E19=0,"",I19/E19)</x:f>
        <x:v>809.3417328502081</x:v>
      </x:c>
      <x:c r="I19" s="60" t="n">
        <x:f>SUMIF('Species'!$G$2:$G$394,A19,'Species'!$U$2:$U$394)</x:f>
        <x:v>13239103.46525999</x:v>
      </x:c>
      <x:c r="J19" s="62" t="n">
        <x:v>3.2197929121987485</x:v>
      </x:c>
      <x:c r="K19" s="62" t="n">
        <x:f>IF(J19="","",(1/'Metadata'!$B$5)^(J19-1))</x:f>
        <x:v>772.7111213507361</x:v>
      </x:c>
      <x:c r="L19" s="60" t="n">
        <x:f>IF(E19=0,"",E19*K19)</x:f>
        <x:v>12639904.837593265</x:v>
      </x:c>
      <x:c r="M19" s="60" t="n">
        <x:f>I19-L19</x:f>
        <x:v>599198.6276667248</x:v>
      </x:c>
      <x:c r="N19" s="62" t="n">
        <x:f>IF(L19=0,"",I19/L19)</x:f>
        <x:v>1.0474053116194835</x:v>
      </x:c>
      <x:c r="O19" s="66" t="n">
        <x:f>IF(L19=0,"",M19/L19)</x:f>
        <x:v>0.047405311619483435</x:v>
      </x:c>
    </x:row>
    <x:row r="20" ht="18" customHeight="1">
      <x:c r="A20" s="46" t="str">
        <x:v>Small demersals (&lt;30 cm)</x:v>
      </x:c>
      <x:c r="B20" s="64" t="n">
        <x:v>10</x:v>
      </x:c>
      <x:c r="C20" s="64" t="n">
        <x:v>10</x:v>
      </x:c>
      <x:c r="D20" s="60" t="n">
        <x:v>185786.3739168006</x:v>
      </x:c>
      <x:c r="E20" s="60" t="n">
        <x:v>185786.3739168006</x:v>
      </x:c>
      <x:c r="F20" s="62" t="n">
        <x:v>0</x:v>
      </x:c>
      <x:c r="G20" s="66" t="n">
        <x:v>1</x:v>
      </x:c>
      <x:c r="H20" s="62" t="n">
        <x:f>IF(E20=0,"",I20/E20)</x:f>
        <x:v>2018.9350800005404</x:v>
      </x:c>
      <x:c r="I20" s="60" t="n">
        <x:f>SUMIF('Species'!$G$2:$G$394,A20,'Species'!$U$2:$U$394)</x:f>
        <x:v>375090627.68672615</x:v>
      </x:c>
      <x:c r="J20" s="62" t="n">
        <x:v>3.522110973189372</x:v>
      </x:c>
      <x:c r="K20" s="62" t="n">
        <x:f>IF(J20="","",(1/'Metadata'!$B$5)^(J20-1))</x:f>
        <x:v>1911.3579554654123</x:v>
      </x:c>
      <x:c r="L20" s="60" t="n">
        <x:f>IF(E20=0,"",E20*K20)</x:f>
        <x:v>355104263.8029486</x:v>
      </x:c>
      <x:c r="M20" s="60" t="n">
        <x:f>I20-L20</x:f>
        <x:v>19986363.88377756</x:v>
      </x:c>
      <x:c r="N20" s="62" t="n">
        <x:f>IF(L20=0,"",I20/L20)</x:f>
        <x:v>1.0562830861835786</x:v>
      </x:c>
      <x:c r="O20" s="66" t="n">
        <x:f>IF(L20=0,"",M20/L20)</x:f>
        <x:v>0.05628308618357852</x:v>
      </x:c>
    </x:row>
    <x:row r="21" ht="18" customHeight="1">
      <x:c r="A21" s="46" t="str">
        <x:v>Small pelagics (&lt;30 cm)</x:v>
      </x:c>
      <x:c r="B21" s="64" t="n">
        <x:v>23</x:v>
      </x:c>
      <x:c r="C21" s="64" t="n">
        <x:v>23</x:v>
      </x:c>
      <x:c r="D21" s="60" t="n">
        <x:v>1055406.1865886298</x:v>
      </x:c>
      <x:c r="E21" s="60" t="n">
        <x:v>1055406.1865886298</x:v>
      </x:c>
      <x:c r="F21" s="62" t="n">
        <x:v>0</x:v>
      </x:c>
      <x:c r="G21" s="66" t="n">
        <x:v>1</x:v>
      </x:c>
      <x:c r="H21" s="62" t="n">
        <x:f>IF(E21=0,"",I21/E21)</x:f>
        <x:v>569.7652087852533</x:v>
      </x:c>
      <x:c r="I21" s="60" t="n">
        <x:f>SUMIF('Species'!$G$2:$G$394,A21,'Species'!$U$2:$U$394)</x:f>
        <x:v>601333726.2549187</x:v>
      </x:c>
      <x:c r="J21" s="62" t="n">
        <x:v>2.7550989092856772</x:v>
      </x:c>
      <x:c r="K21" s="62" t="n">
        <x:f>IF(J21="","",(1/'Metadata'!$B$5)^(J21-1))</x:f>
        <x:v>192.05973545994271</x:v>
      </x:c>
      <x:c r="L21" s="60" t="n">
        <x:f>IF(E21=0,"",E21*K21)</x:f>
        <x:v>202701032.99899918</x:v>
      </x:c>
      <x:c r="M21" s="60" t="n">
        <x:f>I21-L21</x:f>
        <x:v>398632693.2559195</x:v>
      </x:c>
      <x:c r="N21" s="62" t="n">
        <x:f>IF(L21=0,"",I21/L21)</x:f>
        <x:v>2.966604152717306</x:v>
      </x:c>
      <x:c r="O21" s="66" t="n">
        <x:f>IF(L21=0,"",M21/L21)</x:f>
        <x:v>1.9666041527173062</x:v>
      </x:c>
    </x:row>
    <x:row r="22" ht="18" customHeight="1">
      <x:c r="A22" s="46" t="str">
        <x:v>Small reef assoc. fish (&lt;30 cm)</x:v>
      </x:c>
      <x:c r="B22" s="64" t="n">
        <x:v>10</x:v>
      </x:c>
      <x:c r="C22" s="64" t="n">
        <x:v>10</x:v>
      </x:c>
      <x:c r="D22" s="60" t="n">
        <x:v>24188.3540575971</x:v>
      </x:c>
      <x:c r="E22" s="60" t="n">
        <x:v>24188.3540575971</x:v>
      </x:c>
      <x:c r="F22" s="62" t="n">
        <x:v>0</x:v>
      </x:c>
      <x:c r="G22" s="66" t="n">
        <x:v>1</x:v>
      </x:c>
      <x:c r="H22" s="62" t="n">
        <x:f>IF(E22=0,"",I22/E22)</x:f>
        <x:v>2595.3680674340508</x:v>
      </x:c>
      <x:c r="I22" s="60" t="n">
        <x:f>SUMIF('Species'!$G$2:$G$394,A22,'Species'!$U$2:$U$394)</x:f>
        <x:v>62777681.72487636</x:v>
      </x:c>
      <x:c r="J22" s="62" t="n">
        <x:v>3.1967470304764967</x:v>
      </x:c>
      <x:c r="K22" s="62" t="n">
        <x:f>IF(J22="","",(1/'Metadata'!$B$5)^(J22-1))</x:f>
        <x:v>721.1635692880891</x:v>
      </x:c>
      <x:c r="L22" s="60" t="n">
        <x:f>IF(E22=0,"",E22*K22)</x:f>
        <x:v>17443759.747380756</x:v>
      </x:c>
      <x:c r="M22" s="60" t="n">
        <x:f>I22-L22</x:f>
        <x:v>45333921.9774956</x:v>
      </x:c>
      <x:c r="N22" s="62" t="n">
        <x:f>IF(L22=0,"",I22/L22)</x:f>
        <x:v>3.598861864300938</x:v>
      </x:c>
      <x:c r="O22" s="66" t="n">
        <x:f>IF(L22=0,"",M22/L22)</x:f>
        <x:v>2.598861864300938</x:v>
      </x:c>
    </x:row>
    <x:row r="23" ht="18" customHeight="1">
      <x:c r="A23" s="46" t="str">
        <x:v>Small to medium flatfishes (&lt;90 cm)</x:v>
      </x:c>
      <x:c r="B23" s="64" t="n">
        <x:v>5</x:v>
      </x:c>
      <x:c r="C23" s="64" t="n">
        <x:v>5</x:v>
      </x:c>
      <x:c r="D23" s="60" t="n">
        <x:v>50229.592475417296</x:v>
      </x:c>
      <x:c r="E23" s="60" t="n">
        <x:v>50229.592475417296</x:v>
      </x:c>
      <x:c r="F23" s="62" t="n">
        <x:v>0</x:v>
      </x:c>
      <x:c r="G23" s="66" t="n">
        <x:v>1</x:v>
      </x:c>
      <x:c r="H23" s="62" t="n">
        <x:f>IF(E23=0,"",I23/E23)</x:f>
        <x:v>5239.758068123839</x:v>
      </x:c>
      <x:c r="I23" s="60" t="n">
        <x:f>SUMIF('Species'!$G$2:$G$394,A23,'Species'!$U$2:$U$394)</x:f>
        <x:v>263190912.43164024</x:v>
      </x:c>
      <x:c r="J23" s="62" t="n">
        <x:v>3.379868572229347</x:v>
      </x:c>
      <x:c r="K23" s="62" t="n">
        <x:f>IF(J23="","",(1/'Metadata'!$B$5)^(J23-1))</x:f>
        <x:v>1248.1891358946823</x:v>
      </x:c>
      <x:c r="L23" s="60" t="n">
        <x:f>IF(E23=0,"",E23*K23)</x:f>
        <x:v>62696031.62823315</x:v>
      </x:c>
      <x:c r="M23" s="60" t="n">
        <x:f>I23-L23</x:f>
        <x:v>200494880.80340707</x:v>
      </x:c>
      <x:c r="N23" s="62" t="n">
        <x:f>IF(L23=0,"",I23/L23)</x:f>
        <x:v>4.197887898109338</x:v>
      </x:c>
      <x:c r="O23" s="66" t="n">
        <x:f>IF(L23=0,"",M23/L23)</x:f>
        <x:v>3.1978878981093377</x:v>
      </x:c>
    </x:row>
    <x:row r="24" ht="18" customHeight="1">
      <x:c r="A24" s="46" t="str">
        <x:v>Small to medium rays (&lt;90 cm)</x:v>
      </x:c>
      <x:c r="B24" s="64" t="n">
        <x:v>1</x:v>
      </x:c>
      <x:c r="C24" s="64" t="n">
        <x:v>1</x:v>
      </x:c>
      <x:c r="D24" s="60" t="n">
        <x:v>549.7183426767999</x:v>
      </x:c>
      <x:c r="E24" s="60" t="n">
        <x:v>549.7183426767999</x:v>
      </x:c>
      <x:c r="F24" s="62" t="n">
        <x:v>0</x:v>
      </x:c>
      <x:c r="G24" s="66" t="n">
        <x:v>1</x:v>
      </x:c>
      <x:c r="H24" s="62" t="n">
        <x:f>IF(E24=0,"",I24/E24)</x:f>
        <x:v>3898.00855589139</x:v>
      </x:c>
      <x:c r="I24" s="60" t="n">
        <x:f>SUMIF('Species'!$G$2:$G$394,A24,'Species'!$U$2:$U$394)</x:f>
        <x:v>2142806.803084601</x:v>
      </x:c>
      <x:c r="J24" s="62" t="n">
        <x:v>3.76</x:v>
      </x:c>
      <x:c r="K24" s="62" t="n">
        <x:f>IF(J24="","",(1/'Metadata'!$B$5)^(J24-1))</x:f>
        <x:v>3898.0085558913897</x:v>
      </x:c>
      <x:c r="L24" s="60" t="n">
        <x:f>IF(E24=0,"",E24*K24)</x:f>
        <x:v>2142806.803084601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to medium sharks (&lt;90 cm)</x:v>
      </x:c>
      <x:c r="B25" s="64" t="n">
        <x:v>2</x:v>
      </x:c>
      <x:c r="C25" s="64" t="n">
        <x:v>2</x:v>
      </x:c>
      <x:c r="D25" s="60" t="n">
        <x:v>1239.109382334</x:v>
      </x:c>
      <x:c r="E25" s="60" t="n">
        <x:v>1239.109382334</x:v>
      </x:c>
      <x:c r="F25" s="62" t="n">
        <x:v>0</x:v>
      </x:c>
      <x:c r="G25" s="66" t="n">
        <x:v>1</x:v>
      </x:c>
      <x:c r="H25" s="62" t="n">
        <x:f>IF(E25=0,"",I25/E25)</x:f>
        <x:v>8168.388788655065</x:v>
      </x:c>
      <x:c r="I25" s="60" t="n">
        <x:f>SUMIF('Species'!$G$2:$G$394,A25,'Species'!$U$2:$U$394)</x:f>
        <x:v>10121527.186574347</x:v>
      </x:c>
      <x:c r="J25" s="62" t="n">
        <x:v>3.9982636769890036</x:v>
      </x:c>
      <x:c r="K25" s="62" t="n">
        <x:f>IF(J25="","",(1/'Metadata'!$B$5)^(J25-1))</x:f>
        <x:v>7958.495566406102</x:v>
      </x:c>
      <x:c r="L25" s="60" t="n">
        <x:f>IF(E25=0,"",E25*K25)</x:f>
        <x:v>9861446.525597341</x:v>
      </x:c>
      <x:c r="M25" s="60" t="n">
        <x:f>I25-L25</x:f>
        <x:v>260080.66097700596</x:v>
      </x:c>
      <x:c r="N25" s="62" t="n">
        <x:f>IF(L25=0,"",I25/L25)</x:f>
        <x:v>1.026373479823869</x:v>
      </x:c>
      <x:c r="O25" s="66" t="n">
        <x:f>IF(L25=0,"",M25/L25)</x:f>
        <x:v>0.026373479823869145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5bfa6ba98b04e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LME_032</x:v>
      </x:c>
      <x:c r="B2" s="46" t="str">
        <x:v>raw_filtered_tonnes</x:v>
      </x:c>
      <x:c r="C2" s="46" t="n">
        <x:v>5436428.793803818</x:v>
      </x:c>
      <x:c r="D2" s="46" t="str">
        <x:v>tonnes</x:v>
      </x:c>
    </x:row>
    <x:row r="3" ht="18" customHeight="1">
      <x:c r="A3" s="46" t="str">
        <x:v>LME_032</x:v>
      </x:c>
      <x:c r="B3" s="46" t="str">
        <x:v>species_catch_tonnes</x:v>
      </x:c>
      <x:c r="C3" s="46" t="n">
        <x:v>5436428.793803818</x:v>
      </x:c>
      <x:c r="D3" s="46" t="str">
        <x:v>tonnes</x:v>
      </x:c>
    </x:row>
    <x:row r="4" ht="18" customHeight="1">
      <x:c r="A4" s="46" t="str">
        <x:v>LME_032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LME_032</x:v>
      </x:c>
      <x:c r="B6" s="46" t="str">
        <x:v>matched_catch_tonnes</x:v>
      </x:c>
      <x:c r="C6" s="46" t="n">
        <x:v>5436428.793803818</x:v>
      </x:c>
      <x:c r="D6" s="46" t="str">
        <x:v>tonnes</x:v>
      </x:c>
    </x:row>
    <x:row r="7" ht="18" customHeight="1">
      <x:c r="A7" s="46" t="str">
        <x:v>LME_032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LME_032</x:v>
      </x:c>
      <x:c r="B8" s="46" t="str">
        <x:v>taxa_count</x:v>
      </x:c>
      <x:c r="C8" s="46" t="n">
        <x:v>393</x:v>
      </x:c>
      <x:c r="D8" s="46" t="str">
        <x:v>count</x:v>
      </x:c>
    </x:row>
    <x:row r="9" ht="18" customHeight="1">
      <x:c r="A9" s="46" t="str">
        <x:v>LME_032</x:v>
      </x:c>
      <x:c r="B9" s="46" t="str">
        <x:v>matched_taxa_count</x:v>
      </x:c>
      <x:c r="C9" s="46" t="n">
        <x:v>393</x:v>
      </x:c>
      <x:c r="D9" s="46" t="str">
        <x:v>count</x:v>
      </x:c>
    </x:row>
    <x:row r="10" ht="18" customHeight="1">
      <x:c r="A10" s="46" t="str">
        <x:v>LME_032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LME_032</x:v>
      </x:c>
      <x:c r="B11" s="46" t="str">
        <x:v>species_ppr</x:v>
      </x:c>
      <x:c r="C11" s="46" t="n">
        <x:v>45355449185.930855</x:v>
      </x:c>
      <x:c r="D11" s="46" t="str">
        <x:v>tonnes_primary_production_equivalent</x:v>
      </x:c>
    </x:row>
    <x:row r="12" ht="18" customHeight="1">
      <x:c r="A12" s="46" t="str">
        <x:v>LME_032</x:v>
      </x:c>
      <x:c r="B12" s="46" t="str">
        <x:v>commercial_ppr</x:v>
      </x:c>
      <x:c r="C12" s="46" t="n">
        <x:v>45355449185.930855</x:v>
      </x:c>
      <x:c r="D12" s="46" t="str">
        <x:v>tonnes_primary_production_equivalent</x:v>
      </x:c>
    </x:row>
    <x:row r="13" ht="18" customHeight="1">
      <x:c r="A13" s="46" t="str">
        <x:v>LME_032</x:v>
      </x:c>
      <x:c r="B13" s="46" t="str">
        <x:v>functional_ppr</x:v>
      </x:c>
      <x:c r="C13" s="46" t="n">
        <x:v>45355449185.93086</x:v>
      </x:c>
      <x:c r="D13" s="46" t="str">
        <x:v>tonnes_primary_production_equivalent</x:v>
      </x:c>
    </x:row>
    <x:row r="14" ht="18" customHeight="1">
      <x:c r="A14" s="46" t="str">
        <x:v>LME_032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LME_032</x:v>
      </x:c>
      <x:c r="B15" s="46" t="str">
        <x:v>functional_ppr_difference</x:v>
      </x:c>
      <x:c r="C15" s="46" t="n">
        <x:v>0.00000762939453125</x:v>
      </x:c>
      <x:c r="D15" s="46" t="str">
        <x:v>tonnes_primary_production_equivalent</x:v>
      </x:c>
    </x:row>
    <x:row r="16" ht="18" customHeight="1">
      <x:c r="A16" s="46" t="str">
        <x:v>LME_032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e5511e6634c44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LME_032 - Arabian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