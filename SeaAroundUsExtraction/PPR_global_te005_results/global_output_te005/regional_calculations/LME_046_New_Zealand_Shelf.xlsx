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a845f46da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033372e1896433c"/>
    <x:sheet xmlns:r="http://schemas.openxmlformats.org/officeDocument/2006/relationships" name="Commercial" sheetId="2" r:id="R327116c6fe854890"/>
    <x:sheet xmlns:r="http://schemas.openxmlformats.org/officeDocument/2006/relationships" name="Functional" sheetId="3" r:id="Rcc234fea514b4209"/>
    <x:sheet xmlns:r="http://schemas.openxmlformats.org/officeDocument/2006/relationships" name="Missing TL" sheetId="4" r:id="Rf51627cf74a84b92"/>
    <x:sheet xmlns:r="http://schemas.openxmlformats.org/officeDocument/2006/relationships" name="Validation" sheetId="5" r:id="R9152f3185751432b"/>
    <x:sheet xmlns:r="http://schemas.openxmlformats.org/officeDocument/2006/relationships" name="Metadata" sheetId="6" r:id="R31a63e769148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5b87b135548d4" /><Relationship Type="http://schemas.openxmlformats.org/officeDocument/2006/relationships/theme" Target="/xl/theme/theme1.xml" Id="R28faa5c60d0d4a7f" /><Relationship Type="http://schemas.openxmlformats.org/officeDocument/2006/relationships/sharedStrings" Target="/xl/sharedStrings.xml" Id="R65f549bd9d5642ae" /><Relationship Type="http://schemas.openxmlformats.org/officeDocument/2006/relationships/worksheet" Target="/xl/worksheets/sheet1.xml" Id="Rd033372e1896433c" /><Relationship Type="http://schemas.openxmlformats.org/officeDocument/2006/relationships/worksheet" Target="/xl/worksheets/sheet2.xml" Id="R327116c6fe854890" /><Relationship Type="http://schemas.openxmlformats.org/officeDocument/2006/relationships/worksheet" Target="/xl/worksheets/sheet3.xml" Id="Rcc234fea514b4209" /><Relationship Type="http://schemas.openxmlformats.org/officeDocument/2006/relationships/worksheet" Target="/xl/worksheets/sheet4.xml" Id="Rf51627cf74a84b92" /><Relationship Type="http://schemas.openxmlformats.org/officeDocument/2006/relationships/worksheet" Target="/xl/worksheets/sheet5.xml" Id="R9152f3185751432b" /><Relationship Type="http://schemas.openxmlformats.org/officeDocument/2006/relationships/worksheet" Target="/xl/worksheets/sheet6.xml" Id="R31a63e7691484258" /></Relationships>
</file>

<file path=xl/tables/table1.xml><?xml version="1.0" encoding="utf-8"?>
<x:table xmlns:x="http://schemas.openxmlformats.org/spreadsheetml/2006/main" id="1" name="LME046SpeciesTable" displayName="LME046SpeciesTable" ref="A1:U198" headerRowCount="1" totalsRowCount="0" totalsRowShown="0">
  <x:autoFilter ref="A1:U1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6CommercialTable" displayName="LME04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6FunctionalTable" displayName="LME046FunctionalTable" ref="A1:O29" headerRowCount="1" totalsRowCount="0" totalsRowShown="0">
  <x:autoFilter ref="A1:O2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6ValidationTable" displayName="LME04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9b1939fe3a46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f674a189134a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9bd5853d6845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83e6656c164d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LME_046</x:v>
      </x:c>
      <x:c r="B2" s="46" t="str">
        <x:v>New Zealand Shelf</x:v>
      </x:c>
      <x:c r="C2" s="46" t="str">
        <x:v>LME</x:v>
      </x:c>
      <x:c r="D2" s="58" t="n">
        <x:v>2019</x:v>
      </x:c>
      <x:c r="E2" s="46" t="str">
        <x:v>Macruronus novaezelandiae</x:v>
      </x:c>
      <x:c r="F2" s="46" t="str">
        <x:v>Blue grenadier</x:v>
      </x:c>
      <x:c r="G2" s="46" t="str">
        <x:v>Large demersals (&gt;=90 cm)</x:v>
      </x:c>
      <x:c r="H2" s="46" t="str">
        <x:v>Cod-likes</x:v>
      </x:c>
      <x:c r="I2" s="60" t="n">
        <x:v>139133.4452466525</x:v>
      </x:c>
      <x:c r="J2" s="60" t="n">
        <x:v>139133.4452466525</x:v>
      </x:c>
      <x:c r="K2" s="60" t="n">
        <x:v>0</x:v>
      </x:c>
      <x:c r="L2" s="60" t="n">
        <x:v>127794.1450229029</x:v>
      </x:c>
      <x:c r="M2" s="60" t="n">
        <x:v>11339.3002237496</x:v>
      </x:c>
      <x:c r="N2" s="46" t="str">
        <x:v>macruronus novaezelandiae</x:v>
      </x:c>
      <x:c r="O2" s="62" t="n">
        <x:v>4.53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Macruronus novaezelandiae</x:v>
      </x:c>
      <x:c r="T2" s="62" t="n">
        <x:f>IF(O2="","",(1/'Metadata'!$B$5)^(O2-1))</x:f>
        <x:v>39141.35758252625</x:v>
      </x:c>
      <x:c r="U2" s="60" t="n">
        <x:f>IF(T2="","",I2*T2)</x:f>
        <x:v>5445871932.088063</x:v>
      </x:c>
    </x:row>
    <x:row r="3" ht="18" customHeight="1">
      <x:c r="A3" s="46" t="str">
        <x:v>LME_046</x:v>
      </x:c>
      <x:c r="B3" s="46" t="str">
        <x:v>New Zealand Shelf</x:v>
      </x:c>
      <x:c r="C3" s="46" t="str">
        <x:v>LME</x:v>
      </x:c>
      <x:c r="D3" s="58" t="n">
        <x:v>2019</x:v>
      </x:c>
      <x:c r="E3" s="46" t="str">
        <x:v>Trachurus</x:v>
      </x:c>
      <x:c r="F3" s="46" t="str">
        <x:v>Jacks, horse mackerels</x:v>
      </x:c>
      <x:c r="G3" s="46" t="str">
        <x:v>Medium pelagics (30 - 89 cm)</x:v>
      </x:c>
      <x:c r="H3" s="46" t="str">
        <x:v>Perch-likes</x:v>
      </x:c>
      <x:c r="I3" s="60" t="n">
        <x:v>46386.7925158555</x:v>
      </x:c>
      <x:c r="J3" s="60" t="n">
        <x:v>46386.7925158555</x:v>
      </x:c>
      <x:c r="K3" s="60" t="n">
        <x:v>0</x:v>
      </x:c>
      <x:c r="L3" s="60" t="n">
        <x:v>41760.005888418396</x:v>
      </x:c>
      <x:c r="M3" s="60" t="n">
        <x:v>4626.7866274371</x:v>
      </x:c>
      <x:c r="N3" s="46" t="str">
        <x:v>trachurus</x:v>
      </x:c>
      <x:c r="O3" s="62" t="n">
        <x:v>3.69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Trachurus</x:v>
      </x:c>
      <x:c r="T3" s="62" t="n">
        <x:f>IF(O3="","",(1/'Metadata'!$B$5)^(O3-1))</x:f>
        <x:v>3160.6083878807954</x:v>
      </x:c>
      <x:c r="U3" s="60" t="n">
        <x:f>IF(T3="","",I3*T3)</x:f>
        <x:v>146610485.512499</x:v>
      </x:c>
    </x:row>
    <x:row r="4" ht="18" customHeight="1">
      <x:c r="A4" s="46" t="str">
        <x:v>LME_046</x:v>
      </x:c>
      <x:c r="B4" s="46" t="str">
        <x:v>New Zealand Shelf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32698.6971878638</x:v>
      </x:c>
      <x:c r="J4" s="60" t="n">
        <x:v>21461.8403092773</x:v>
      </x:c>
      <x:c r="K4" s="60" t="n">
        <x:v>11236.8568785865</x:v>
      </x:c>
      <x:c r="L4" s="60" t="n">
        <x:v>17522.285053389</x:v>
      </x:c>
      <x:c r="M4" s="60" t="n">
        <x:v>15176.4121344748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30260690.907854993</x:v>
      </x:c>
    </x:row>
    <x:row r="5" ht="18" customHeight="1">
      <x:c r="A5" s="46" t="str">
        <x:v>LME_046</x:v>
      </x:c>
      <x:c r="B5" s="46" t="str">
        <x:v>New Zealand Shelf</x:v>
      </x:c>
      <x:c r="C5" s="46" t="str">
        <x:v>LME</x:v>
      </x:c>
      <x:c r="D5" s="58" t="n">
        <x:v>2019</x:v>
      </x:c>
      <x:c r="E5" s="46" t="str">
        <x:v>Thyrsites atun</x:v>
      </x:c>
      <x:c r="F5" s="46" t="str">
        <x:v>Snoek</x:v>
      </x:c>
      <x:c r="G5" s="46" t="str">
        <x:v>Large benthopelagics (&gt;=90 cm)</x:v>
      </x:c>
      <x:c r="H5" s="46" t="str">
        <x:v>Perch-likes</x:v>
      </x:c>
      <x:c r="I5" s="60" t="n">
        <x:v>26990.5165586582</x:v>
      </x:c>
      <x:c r="J5" s="60" t="n">
        <x:v>26990.5165586582</x:v>
      </x:c>
      <x:c r="K5" s="60" t="n">
        <x:v>0</x:v>
      </x:c>
      <x:c r="L5" s="60" t="n">
        <x:v>23419.4843896982</x:v>
      </x:c>
      <x:c r="M5" s="60" t="n">
        <x:v>3571.03216896</x:v>
      </x:c>
      <x:c r="N5" s="46" t="str">
        <x:v>thyrsites atun</x:v>
      </x:c>
      <x:c r="O5" s="62" t="n">
        <x:v>3.63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Thyrsites atun</x:v>
      </x:c>
      <x:c r="T5" s="62" t="n">
        <x:f>IF(O5="","",(1/'Metadata'!$B$5)^(O5-1))</x:f>
        <x:v>2640.638121038009</x:v>
      </x:c>
      <x:c r="U5" s="60" t="n">
        <x:f>IF(T5="","",I5*T5)</x:f>
        <x:v>71272186.93130046</x:v>
      </x:c>
    </x:row>
    <x:row r="6" ht="18" customHeight="1">
      <x:c r="A6" s="46" t="str">
        <x:v>LME_046</x:v>
      </x:c>
      <x:c r="B6" s="46" t="str">
        <x:v>New Zealand Shelf</x:v>
      </x:c>
      <x:c r="C6" s="46" t="str">
        <x:v>LME</x:v>
      </x:c>
      <x:c r="D6" s="58" t="n">
        <x:v>2019</x:v>
      </x:c>
      <x:c r="E6" s="46" t="str">
        <x:v>Genypterus blacodes</x:v>
      </x:c>
      <x:c r="F6" s="46" t="str">
        <x:v>Pink cusk-eel</x:v>
      </x:c>
      <x:c r="G6" s="46" t="str">
        <x:v>Large bathydemersals (&gt;=90 cm)</x:v>
      </x:c>
      <x:c r="H6" s="46" t="str">
        <x:v>Other fishes &amp; inverts</x:v>
      </x:c>
      <x:c r="I6" s="60" t="n">
        <x:v>16423.3146670527</x:v>
      </x:c>
      <x:c r="J6" s="60" t="n">
        <x:v>16423.3146670527</x:v>
      </x:c>
      <x:c r="K6" s="60" t="n">
        <x:v>0</x:v>
      </x:c>
      <x:c r="L6" s="60" t="n">
        <x:v>14213.735809685199</x:v>
      </x:c>
      <x:c r="M6" s="60" t="n">
        <x:v>2209.5788573675</x:v>
      </x:c>
      <x:c r="N6" s="46" t="str">
        <x:v>genypterus blacodes</x:v>
      </x:c>
      <x:c r="O6" s="62" t="n">
        <x:v>4.22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Genypterus blacodes</x:v>
      </x:c>
      <x:c r="T6" s="62" t="n">
        <x:f>IF(O6="","",(1/'Metadata'!$B$5)^(O6-1))</x:f>
        <x:v>15463.812886046735</x:v>
      </x:c>
      <x:c r="U6" s="60" t="n">
        <x:f>IF(T6="","",I6*T6)</x:f>
        <x:v>253967064.97996986</x:v>
      </x:c>
    </x:row>
    <x:row r="7" ht="18" customHeight="1">
      <x:c r="A7" s="46" t="str">
        <x:v>LME_046</x:v>
      </x:c>
      <x:c r="B7" s="46" t="str">
        <x:v>New Zealand Shelf</x:v>
      </x:c>
      <x:c r="C7" s="46" t="str">
        <x:v>LME</x:v>
      </x:c>
      <x:c r="D7" s="58" t="n">
        <x:v>2019</x:v>
      </x:c>
      <x:c r="E7" s="46" t="str">
        <x:v>Micromesistius australis</x:v>
      </x:c>
      <x:c r="F7" s="46" t="str">
        <x:v>Southern blue whiting</x:v>
      </x:c>
      <x:c r="G7" s="46" t="str">
        <x:v>Medium benthopelagics (30 - 89 cm)</x:v>
      </x:c>
      <x:c r="H7" s="46" t="str">
        <x:v>Cod-likes</x:v>
      </x:c>
      <x:c r="I7" s="60" t="n">
        <x:v>9937.9064700392</x:v>
      </x:c>
      <x:c r="J7" s="60" t="n">
        <x:v>9937.9064700392</x:v>
      </x:c>
      <x:c r="K7" s="60" t="n">
        <x:v>0</x:v>
      </x:c>
      <x:c r="L7" s="60" t="n">
        <x:v>9556.1830922423</x:v>
      </x:c>
      <x:c r="M7" s="60" t="n">
        <x:v>381.7233777969</x:v>
      </x:c>
      <x:c r="N7" s="46" t="str">
        <x:v>micromesistius australis</x:v>
      </x:c>
      <x:c r="O7" s="62" t="n">
        <x:v>3.76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Micromesistius australis</x:v>
      </x:c>
      <x:c r="T7" s="62" t="n">
        <x:f>IF(O7="","",(1/'Metadata'!$B$5)^(O7-1))</x:f>
        <x:v>3898.0085558913897</x:v>
      </x:c>
      <x:c r="U7" s="60" t="n">
        <x:f>IF(T7="","",I7*T7)</x:f>
        <x:v>38738044.447861195</x:v>
      </x:c>
    </x:row>
    <x:row r="8" ht="18" customHeight="1">
      <x:c r="A8" s="46" t="str">
        <x:v>LME_046</x:v>
      </x:c>
      <x:c r="B8" s="46" t="str">
        <x:v>New Zealand Shelf</x:v>
      </x:c>
      <x:c r="C8" s="46" t="str">
        <x:v>LME</x:v>
      </x:c>
      <x:c r="D8" s="58" t="n">
        <x:v>2019</x:v>
      </x:c>
      <x:c r="E8" s="46" t="str">
        <x:v>Pagrus auratus</x:v>
      </x:c>
      <x:c r="F8" s="46" t="str">
        <x:v>Silver seabream</x:v>
      </x:c>
      <x:c r="G8" s="46" t="str">
        <x:v>Large demersals (&gt;=90 cm)</x:v>
      </x:c>
      <x:c r="H8" s="46" t="str">
        <x:v>Perch-likes</x:v>
      </x:c>
      <x:c r="I8" s="60" t="n">
        <x:v>9234.9186678404</x:v>
      </x:c>
      <x:c r="J8" s="60" t="n">
        <x:v>9234.9186678404</x:v>
      </x:c>
      <x:c r="K8" s="60" t="n">
        <x:v>0</x:v>
      </x:c>
      <x:c r="L8" s="60" t="n">
        <x:v>4956.4173421503</x:v>
      </x:c>
      <x:c r="M8" s="60" t="n">
        <x:v>4278.5013256901</x:v>
      </x:c>
      <x:c r="N8" s="46" t="str">
        <x:v>pagrus auratus</x:v>
      </x:c>
      <x:c r="O8" s="62" t="n">
        <x:v>3.59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Pagrus auratus</x:v>
      </x:c>
      <x:c r="T8" s="62" t="n">
        <x:f>IF(O8="","",(1/'Metadata'!$B$5)^(O8-1))</x:f>
        <x:v>2342.4357563948306</x:v>
      </x:c>
      <x:c r="U8" s="60" t="n">
        <x:f>IF(T8="","",I8*T8)</x:f>
        <x:v>21632203.69494747</x:v>
      </x:c>
    </x:row>
    <x:row r="9" ht="18" customHeight="1">
      <x:c r="A9" s="46" t="str">
        <x:v>LME_046</x:v>
      </x:c>
      <x:c r="B9" s="46" t="str">
        <x:v>New Zealand Shelf</x:v>
      </x:c>
      <x:c r="C9" s="46" t="str">
        <x:v>LME</x:v>
      </x:c>
      <x:c r="D9" s="58" t="n">
        <x:v>2019</x:v>
      </x:c>
      <x:c r="E9" s="46" t="str">
        <x:v>Merlucciidae</x:v>
      </x:c>
      <x:c r="F9" s="46" t="str">
        <x:v>Merluccid hakes</x:v>
      </x:c>
      <x:c r="G9" s="46" t="str">
        <x:v>Large bathydemersals (&gt;=90 cm)</x:v>
      </x:c>
      <x:c r="H9" s="46" t="str">
        <x:v>Cod-likes</x:v>
      </x:c>
      <x:c r="I9" s="60" t="n">
        <x:v>9100.1474139911</x:v>
      </x:c>
      <x:c r="J9" s="60" t="n">
        <x:v>0</x:v>
      </x:c>
      <x:c r="K9" s="60" t="n">
        <x:v>9100.1474139911</x:v>
      </x:c>
      <x:c r="L9" s="60" t="n">
        <x:v>0</x:v>
      </x:c>
      <x:c r="M9" s="60" t="n">
        <x:v>9100.1474139911</x:v>
      </x:c>
      <x:c r="N9" s="46" t="str">
        <x:v>merlucciidae</x:v>
      </x:c>
      <x:c r="O9" s="62" t="n">
        <x:v>4.35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Merlucciidae</x:v>
      </x:c>
      <x:c r="T9" s="62" t="n">
        <x:f>IF(O9="","",(1/'Metadata'!$B$5)^(O9-1))</x:f>
        <x:v>22827.086550132422</x:v>
      </x:c>
      <x:c r="U9" s="60" t="n">
        <x:f>IF(T9="","",I9*T9)</x:f>
        <x:v>207729852.6381386</x:v>
      </x:c>
    </x:row>
    <x:row r="10" ht="18" customHeight="1">
      <x:c r="A10" s="46" t="str">
        <x:v>LME_046</x:v>
      </x:c>
      <x:c r="B10" s="46" t="str">
        <x:v>New Zealand Shelf</x:v>
      </x:c>
      <x:c r="C10" s="46" t="str">
        <x:v>LME</x:v>
      </x:c>
      <x:c r="D10" s="58" t="n">
        <x:v>2019</x:v>
      </x:c>
      <x:c r="E10" s="46" t="str">
        <x:v>Seriolella punctata</x:v>
      </x:c>
      <x:c r="F10" s="46" t="str">
        <x:v>Silver warehou</x:v>
      </x:c>
      <x:c r="G10" s="46" t="str">
        <x:v>Medium benthopelagics (30 - 89 cm)</x:v>
      </x:c>
      <x:c r="H10" s="46" t="str">
        <x:v>Perch-likes</x:v>
      </x:c>
      <x:c r="I10" s="60" t="n">
        <x:v>8935.800312651501</x:v>
      </x:c>
      <x:c r="J10" s="60" t="n">
        <x:v>8935.800312651501</x:v>
      </x:c>
      <x:c r="K10" s="60" t="n">
        <x:v>0</x:v>
      </x:c>
      <x:c r="L10" s="60" t="n">
        <x:v>7866.888168458</x:v>
      </x:c>
      <x:c r="M10" s="60" t="n">
        <x:v>1068.9121441935</x:v>
      </x:c>
      <x:c r="N10" s="46" t="str">
        <x:v>seriolella punctata</x:v>
      </x:c>
      <x:c r="O10" s="62" t="n">
        <x:v>3.4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Seriolella punctata</x:v>
      </x:c>
      <x:c r="T10" s="62" t="n">
        <x:f>IF(O10="","",(1/'Metadata'!$B$5)^(O10-1))</x:f>
        <x:v>1325.7816069359944</x:v>
      </x:c>
      <x:c r="U10" s="60" t="n">
        <x:f>IF(T10="","",I10*T10)</x:f>
        <x:v>11846919.697766269</x:v>
      </x:c>
    </x:row>
    <x:row r="11" ht="18" customHeight="1">
      <x:c r="A11" s="46" t="str">
        <x:v>LME_046</x:v>
      </x:c>
      <x:c r="B11" s="46" t="str">
        <x:v>New Zealand Shelf</x:v>
      </x:c>
      <x:c r="C11" s="46" t="str">
        <x:v>LME</x:v>
      </x:c>
      <x:c r="D11" s="58" t="n">
        <x:v>2019</x:v>
      </x:c>
      <x:c r="E11" s="46" t="str">
        <x:v>Scomber australasicus</x:v>
      </x:c>
      <x:c r="F11" s="46" t="str">
        <x:v>Blue mackerel</x:v>
      </x:c>
      <x:c r="G11" s="46" t="str">
        <x:v>Medium pelagics (30 - 89 cm)</x:v>
      </x:c>
      <x:c r="H11" s="46" t="str">
        <x:v>Perch-likes</x:v>
      </x:c>
      <x:c r="I11" s="60" t="n">
        <x:v>7273.6525563468</x:v>
      </x:c>
      <x:c r="J11" s="60" t="n">
        <x:v>7273.6525563468</x:v>
      </x:c>
      <x:c r="K11" s="60" t="n">
        <x:v>0</x:v>
      </x:c>
      <x:c r="L11" s="60" t="n">
        <x:v>6290.590074243501</x:v>
      </x:c>
      <x:c r="M11" s="60" t="n">
        <x:v>983.0624821033</x:v>
      </x:c>
      <x:c r="N11" s="46" t="str">
        <x:v>scomber australasicus</x:v>
      </x:c>
      <x:c r="O11" s="62" t="n">
        <x:v>4.23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australasicus</x:v>
      </x:c>
      <x:c r="T11" s="62" t="n">
        <x:f>IF(O11="","",(1/'Metadata'!$B$5)^(O11-1))</x:f>
        <x:v>15934.076063346663</x:v>
      </x:c>
      <x:c r="U11" s="60" t="n">
        <x:f>IF(T11="","",I11*T11)</x:f>
        <x:v>115898933.09118582</x:v>
      </x:c>
    </x:row>
    <x:row r="12" ht="18" customHeight="1">
      <x:c r="A12" s="46" t="str">
        <x:v>LME_046</x:v>
      </x:c>
      <x:c r="B12" s="46" t="str">
        <x:v>New Zealand Shelf</x:v>
      </x:c>
      <x:c r="C12" s="46" t="str">
        <x:v>LME</x:v>
      </x:c>
      <x:c r="D12" s="58" t="n">
        <x:v>2019</x:v>
      </x:c>
      <x:c r="E12" s="46" t="str">
        <x:v>Nemadactylus</x:v>
      </x:c>
      <x:c r="F12" s="46" t="str">
        <x:v>Porae</x:v>
      </x:c>
      <x:c r="G12" s="46" t="str">
        <x:v>Medium demersals (30 - 89 cm)</x:v>
      </x:c>
      <x:c r="H12" s="46" t="str">
        <x:v>Perch-likes</x:v>
      </x:c>
      <x:c r="I12" s="60" t="n">
        <x:v>6427.290355885</x:v>
      </x:c>
      <x:c r="J12" s="60" t="n">
        <x:v>6427.290355885</x:v>
      </x:c>
      <x:c r="K12" s="60" t="n">
        <x:v>0</x:v>
      </x:c>
      <x:c r="L12" s="60" t="n">
        <x:v>5723.8530119311</x:v>
      </x:c>
      <x:c r="M12" s="60" t="n">
        <x:v>703.4373439539</x:v>
      </x:c>
      <x:c r="N12" s="46" t="str">
        <x:v>nemadactylus</x:v>
      </x:c>
      <x:c r="O12" s="62" t="n">
        <x:v>3.32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Nemadactylus</x:v>
      </x:c>
      <x:c r="T12" s="62" t="n">
        <x:f>IF(O12="","",(1/'Metadata'!$B$5)^(O12-1))</x:f>
        <x:v>1043.2528743388143</x:v>
      </x:c>
      <x:c r="U12" s="60" t="n">
        <x:f>IF(T12="","",I12*T12)</x:f>
        <x:v>6705289.137987168</x:v>
      </x:c>
    </x:row>
    <x:row r="13" ht="18" customHeight="1">
      <x:c r="A13" s="46" t="str">
        <x:v>LME_046</x:v>
      </x:c>
      <x:c r="B13" s="46" t="str">
        <x:v>New Zealand Shelf</x:v>
      </x:c>
      <x:c r="C13" s="46" t="str">
        <x:v>LME</x:v>
      </x:c>
      <x:c r="D13" s="58" t="n">
        <x:v>2019</x:v>
      </x:c>
      <x:c r="E13" s="46" t="str">
        <x:v>Oreosomatidae</x:v>
      </x:c>
      <x:c r="F13" s="46" t="str">
        <x:v>Oreos</x:v>
      </x:c>
      <x:c r="G13" s="46" t="str">
        <x:v>Medium bathypelagics (30 - 89 cm)</x:v>
      </x:c>
      <x:c r="H13" s="46" t="str">
        <x:v>Other fishes &amp; inverts</x:v>
      </x:c>
      <x:c r="I13" s="60" t="n">
        <x:v>6195.3090830052</x:v>
      </x:c>
      <x:c r="J13" s="60" t="n">
        <x:v>5996.242913195199</x:v>
      </x:c>
      <x:c r="K13" s="60" t="n">
        <x:v>199.06616981</x:v>
      </x:c>
      <x:c r="L13" s="60" t="n">
        <x:v>5589.066928919</x:v>
      </x:c>
      <x:c r="M13" s="60" t="n">
        <x:v>606.2421540862</x:v>
      </x:c>
      <x:c r="N13" s="46" t="str">
        <x:v>oreosomatidae</x:v>
      </x:c>
      <x:c r="O13" s="62" t="n">
        <x:v>3.69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Oreosomatidae</x:v>
      </x:c>
      <x:c r="T13" s="62" t="n">
        <x:f>IF(O13="","",(1/'Metadata'!$B$5)^(O13-1))</x:f>
        <x:v>3160.6083878807954</x:v>
      </x:c>
      <x:c r="U13" s="60" t="n">
        <x:f>IF(T13="","",I13*T13)</x:f>
        <x:v>19580945.853260312</x:v>
      </x:c>
    </x:row>
    <x:row r="14" ht="18" customHeight="1">
      <x:c r="A14" s="46" t="str">
        <x:v>LME_046</x:v>
      </x:c>
      <x:c r="B14" s="46" t="str">
        <x:v>New Zealand Shelf</x:v>
      </x:c>
      <x:c r="C14" s="46" t="str">
        <x:v>LME</x:v>
      </x:c>
      <x:c r="D14" s="58" t="n">
        <x:v>2019</x:v>
      </x:c>
      <x:c r="E14" s="46" t="str">
        <x:v>Squalus acanthias</x:v>
      </x:c>
      <x:c r="F14" s="46" t="str">
        <x:v>Picked dogfish</x:v>
      </x:c>
      <x:c r="G14" s="46" t="str">
        <x:v>Large sharks (&gt;=90 cm)</x:v>
      </x:c>
      <x:c r="H14" s="46" t="str">
        <x:v>Sharks &amp; rays</x:v>
      </x:c>
      <x:c r="I14" s="60" t="n">
        <x:v>5931.742698021</x:v>
      </x:c>
      <x:c r="J14" s="60" t="n">
        <x:v>5931.742698021</x:v>
      </x:c>
      <x:c r="K14" s="60" t="n">
        <x:v>0</x:v>
      </x:c>
      <x:c r="L14" s="60" t="n">
        <x:v>5230.9520841977</x:v>
      </x:c>
      <x:c r="M14" s="60" t="n">
        <x:v>700.7906138233</x:v>
      </x:c>
      <x:c r="N14" s="46" t="str">
        <x:v>squalus acanthias</x:v>
      </x:c>
      <x:c r="O14" s="62" t="n">
        <x:v>4.37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Squalus acanthias</x:v>
      </x:c>
      <x:c r="T14" s="62" t="n">
        <x:f>IF(O14="","",(1/'Metadata'!$B$5)^(O14-1))</x:f>
        <x:v>24236.56596112542</x:v>
      </x:c>
      <x:c r="U14" s="60" t="n">
        <x:f>IF(T14="","",I14*T14)</x:f>
        <x:v>143765073.16501004</x:v>
      </x:c>
    </x:row>
    <x:row r="15" ht="18" customHeight="1">
      <x:c r="A15" s="46" t="str">
        <x:v>LME_046</x:v>
      </x:c>
      <x:c r="B15" s="46" t="str">
        <x:v>New Zealand Shelf</x:v>
      </x:c>
      <x:c r="C15" s="46" t="str">
        <x:v>LME</x:v>
      </x:c>
      <x:c r="D15" s="58" t="n">
        <x:v>2019</x:v>
      </x:c>
      <x:c r="E15" s="46" t="str">
        <x:v>Macrouridae</x:v>
      </x:c>
      <x:c r="F15" s="46" t="str">
        <x:v>Grenadiers, rattails</x:v>
      </x:c>
      <x:c r="G15" s="46" t="str">
        <x:v>Medium benthopelagics (30 - 89 cm)</x:v>
      </x:c>
      <x:c r="H15" s="46" t="str">
        <x:v>Cod-likes</x:v>
      </x:c>
      <x:c r="I15" s="60" t="n">
        <x:v>5402.3809105353</x:v>
      </x:c>
      <x:c r="J15" s="60" t="n">
        <x:v>1218.0193255676</x:v>
      </x:c>
      <x:c r="K15" s="60" t="n">
        <x:v>4184.3615849677</x:v>
      </x:c>
      <x:c r="L15" s="60" t="n">
        <x:v>1106.4777553410001</x:v>
      </x:c>
      <x:c r="M15" s="60" t="n">
        <x:v>4295.9031551943</x:v>
      </x:c>
      <x:c r="N15" s="46" t="str">
        <x:v>macrouridae</x:v>
      </x:c>
      <x:c r="O15" s="62" t="n">
        <x:v>3.88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Macrouridae</x:v>
      </x:c>
      <x:c r="T15" s="62" t="n">
        <x:f>IF(O15="","",(1/'Metadata'!$B$5)^(O15-1))</x:f>
        <x:v>5584.269732662554</x:v>
      </x:c>
      <x:c r="U15" s="60" t="n">
        <x:f>IF(T15="","",I15*T15)</x:f>
        <x:v>30168352.203016244</x:v>
      </x:c>
    </x:row>
    <x:row r="16" ht="18" customHeight="1">
      <x:c r="A16" s="46" t="str">
        <x:v>LME_046</x:v>
      </x:c>
      <x:c r="B16" s="46" t="str">
        <x:v>New Zealand Shelf</x:v>
      </x:c>
      <x:c r="C16" s="46" t="str">
        <x:v>LME</x:v>
      </x:c>
      <x:c r="D16" s="58" t="n">
        <x:v>2019</x:v>
      </x:c>
      <x:c r="E16" s="46" t="str">
        <x:v>Hoplostethus atlanticus</x:v>
      </x:c>
      <x:c r="F16" s="46" t="str">
        <x:v>Orange roughy</x:v>
      </x:c>
      <x:c r="G16" s="46" t="str">
        <x:v>Medium bathypelagics (30 - 89 cm)</x:v>
      </x:c>
      <x:c r="H16" s="46" t="str">
        <x:v>Other fishes &amp; inverts</x:v>
      </x:c>
      <x:c r="I16" s="60" t="n">
        <x:v>5112.1695882462</x:v>
      </x:c>
      <x:c r="J16" s="60" t="n">
        <x:v>5112.1695882462</x:v>
      </x:c>
      <x:c r="K16" s="60" t="n">
        <x:v>0</x:v>
      </x:c>
      <x:c r="L16" s="60" t="n">
        <x:v>4590.121837156999</x:v>
      </x:c>
      <x:c r="M16" s="60" t="n">
        <x:v>522.0477510892</x:v>
      </x:c>
      <x:c r="N16" s="46" t="str">
        <x:v>hoplostethus atlanticus</x:v>
      </x:c>
      <x:c r="O16" s="62" t="n">
        <x:v>4.25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Hoplostethus atlanticus</x:v>
      </x:c>
      <x:c r="T16" s="62" t="n">
        <x:f>IF(O16="","",(1/'Metadata'!$B$5)^(O16-1))</x:f>
        <x:v>16917.940215049024</x:v>
      </x:c>
      <x:c r="U16" s="60" t="n">
        <x:f>IF(T16="","",I16*T16)</x:f>
        <x:v>86487379.463141</x:v>
      </x:c>
    </x:row>
    <x:row r="17" ht="18" customHeight="1">
      <x:c r="A17" s="46" t="str">
        <x:v>LME_046</x:v>
      </x:c>
      <x:c r="B17" s="46" t="str">
        <x:v>New Zealand Shelf</x:v>
      </x:c>
      <x:c r="C17" s="46" t="str">
        <x:v>LME</x:v>
      </x:c>
      <x:c r="D17" s="58" t="n">
        <x:v>2019</x:v>
      </x:c>
      <x:c r="E17" s="46" t="str">
        <x:v>Pseudophycis bachus</x:v>
      </x:c>
      <x:c r="F17" s="46" t="str">
        <x:v>Red codling</x:v>
      </x:c>
      <x:c r="G17" s="46" t="str">
        <x:v>Medium demersals (30 - 89 cm)</x:v>
      </x:c>
      <x:c r="H17" s="46" t="str">
        <x:v>Cod-likes</x:v>
      </x:c>
      <x:c r="I17" s="60" t="n">
        <x:v>4878.6492456846</x:v>
      </x:c>
      <x:c r="J17" s="60" t="n">
        <x:v>4878.6492456846</x:v>
      </x:c>
      <x:c r="K17" s="60" t="n">
        <x:v>0</x:v>
      </x:c>
      <x:c r="L17" s="60" t="n">
        <x:v>4471.6538574477</x:v>
      </x:c>
      <x:c r="M17" s="60" t="n">
        <x:v>406.9953882369</x:v>
      </x:c>
      <x:c r="N17" s="46" t="str">
        <x:v>pseudophycis bachus</x:v>
      </x:c>
      <x:c r="O17" s="62" t="n">
        <x:v>4.5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Pseudophycis bachus</x:v>
      </x:c>
      <x:c r="T17" s="62" t="n">
        <x:f>IF(O17="","",(1/'Metadata'!$B$5)^(O17-1))</x:f>
        <x:v>35777.08763999664</x:v>
      </x:c>
      <x:c r="U17" s="60" t="n">
        <x:f>IF(T17="","",I17*T17)</x:f>
        <x:v>174543861.6276614</x:v>
      </x:c>
    </x:row>
    <x:row r="18" ht="18" customHeight="1">
      <x:c r="A18" s="46" t="str">
        <x:v>LME_046</x:v>
      </x:c>
      <x:c r="B18" s="46" t="str">
        <x:v>New Zealand Shelf</x:v>
      </x:c>
      <x:c r="C18" s="46" t="str">
        <x:v>LME</x:v>
      </x:c>
      <x:c r="D18" s="58" t="n">
        <x:v>2019</x:v>
      </x:c>
      <x:c r="E18" s="46" t="str">
        <x:v>Katsuwonus pelamis</x:v>
      </x:c>
      <x:c r="F18" s="46" t="str">
        <x:v>Skipjack tuna</x:v>
      </x:c>
      <x:c r="G18" s="46" t="str">
        <x:v>Large pelagics (&gt;=90 cm)</x:v>
      </x:c>
      <x:c r="H18" s="46" t="str">
        <x:v>Tuna &amp; billfishes</x:v>
      </x:c>
      <x:c r="I18" s="60" t="n">
        <x:v>4671.323191472899</x:v>
      </x:c>
      <x:c r="J18" s="60" t="n">
        <x:v>4662.8371268085</x:v>
      </x:c>
      <x:c r="K18" s="60" t="n">
        <x:v>8.4860646644</x:v>
      </x:c>
      <x:c r="L18" s="60" t="n">
        <x:v>4532.6393722324</x:v>
      </x:c>
      <x:c r="M18" s="60" t="n">
        <x:v>138.6838192405</x:v>
      </x:c>
      <x:c r="N18" s="46" t="str">
        <x:v>katsuwonus pelamis</x:v>
      </x:c>
      <x:c r="O18" s="62" t="n">
        <x:v>4.43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Katsuwonus pelamis</x:v>
      </x:c>
      <x:c r="T18" s="62" t="n">
        <x:f>IF(O18="","",(1/'Metadata'!$B$5)^(O18-1))</x:f>
        <x:v>29009.008489223597</x:v>
      </x:c>
      <x:c r="U18" s="60" t="n">
        <x:f>IF(T18="","",I18*T18)</x:f>
        <x:v>135510454.1173444</x:v>
      </x:c>
    </x:row>
    <x:row r="19" ht="18" customHeight="1">
      <x:c r="A19" s="46" t="str">
        <x:v>LME_046</x:v>
      </x:c>
      <x:c r="B19" s="46" t="str">
        <x:v>New Zealand Shelf</x:v>
      </x:c>
      <x:c r="C19" s="46" t="str">
        <x:v>LME</x:v>
      </x:c>
      <x:c r="D19" s="58" t="n">
        <x:v>2019</x:v>
      </x:c>
      <x:c r="E19" s="46" t="str">
        <x:v>Chelidonichthys kumu</x:v>
      </x:c>
      <x:c r="F19" s="46" t="str">
        <x:v>Bluefin gurnard</x:v>
      </x:c>
      <x:c r="G19" s="46" t="str">
        <x:v>Medium demersals (30 - 89 cm)</x:v>
      </x:c>
      <x:c r="H19" s="46" t="str">
        <x:v>Scorpionfishes</x:v>
      </x:c>
      <x:c r="I19" s="60" t="n">
        <x:v>4464.240790512299</x:v>
      </x:c>
      <x:c r="J19" s="60" t="n">
        <x:v>4464.240790512299</x:v>
      </x:c>
      <x:c r="K19" s="60" t="n">
        <x:v>0</x:v>
      </x:c>
      <x:c r="L19" s="60" t="n">
        <x:v>3722.9881773002</x:v>
      </x:c>
      <x:c r="M19" s="60" t="n">
        <x:v>741.2526132121</x:v>
      </x:c>
      <x:c r="N19" s="46" t="str">
        <x:v>chelidonichthys kumu</x:v>
      </x:c>
      <x:c r="O19" s="62" t="n">
        <x:v>3.68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Chelidonichthys kumu</x:v>
      </x:c>
      <x:c r="T19" s="62" t="n">
        <x:f>IF(O19="","",(1/'Metadata'!$B$5)^(O19-1))</x:f>
        <x:v>3067.3291957408446</x:v>
      </x:c>
      <x:c r="U19" s="60" t="n">
        <x:f>IF(T19="","",I19*T19)</x:f>
        <x:v>13693296.113555564</x:v>
      </x:c>
    </x:row>
    <x:row r="20" ht="18" customHeight="1">
      <x:c r="A20" s="46" t="str">
        <x:v>LME_046</x:v>
      </x:c>
      <x:c r="B20" s="46" t="str">
        <x:v>New Zealand Shelf</x:v>
      </x:c>
      <x:c r="C20" s="46" t="str">
        <x:v>LME</x:v>
      </x:c>
      <x:c r="D20" s="58" t="n">
        <x:v>2019</x:v>
      </x:c>
      <x:c r="E20" s="46" t="str">
        <x:v>Merluccius australis</x:v>
      </x:c>
      <x:c r="F20" s="46" t="str">
        <x:v>Southern hake</x:v>
      </x:c>
      <x:c r="G20" s="46" t="str">
        <x:v>Large benthopelagics (&gt;=90 cm)</x:v>
      </x:c>
      <x:c r="H20" s="46" t="str">
        <x:v>Cod-likes</x:v>
      </x:c>
      <x:c r="I20" s="60" t="n">
        <x:v>3880.5520623435</x:v>
      </x:c>
      <x:c r="J20" s="60" t="n">
        <x:v>3880.5520623435</x:v>
      </x:c>
      <x:c r="K20" s="60" t="n">
        <x:v>0</x:v>
      </x:c>
      <x:c r="L20" s="60" t="n">
        <x:v>3682.059959014</x:v>
      </x:c>
      <x:c r="M20" s="60" t="n">
        <x:v>198.4921033295</x:v>
      </x:c>
      <x:c r="N20" s="46" t="str">
        <x:v>merluccius australis</x:v>
      </x:c>
      <x:c r="O20" s="62" t="n">
        <x:v>4.45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Merluccius australis</x:v>
      </x:c>
      <x:c r="T20" s="62" t="n">
        <x:f>IF(O20="","",(1/'Metadata'!$B$5)^(O20-1))</x:f>
        <x:v>30800.19634445362</x:v>
      </x:c>
      <x:c r="U20" s="60" t="n">
        <x:f>IF(T20="","",I20*T20)</x:f>
        <x:v>119521765.44505422</x:v>
      </x:c>
    </x:row>
    <x:row r="21" ht="18" customHeight="1">
      <x:c r="A21" s="46" t="str">
        <x:v>LME_046</x:v>
      </x:c>
      <x:c r="B21" s="46" t="str">
        <x:v>New Zealand Shelf</x:v>
      </x:c>
      <x:c r="C21" s="46" t="str">
        <x:v>LME</x:v>
      </x:c>
      <x:c r="D21" s="58" t="n">
        <x:v>2019</x:v>
      </x:c>
      <x:c r="E21" s="46" t="str">
        <x:v>Carangidae</x:v>
      </x:c>
      <x:c r="F21" s="46" t="str">
        <x:v>Jacks, pompanos</x:v>
      </x:c>
      <x:c r="G21" s="46" t="str">
        <x:v>Medium pelagics (30 - 89 cm)</x:v>
      </x:c>
      <x:c r="H21" s="46" t="str">
        <x:v>Perch-likes</x:v>
      </x:c>
      <x:c r="I21" s="60" t="n">
        <x:v>3398.8467974397</x:v>
      </x:c>
      <x:c r="J21" s="60" t="n">
        <x:v>2115.9963812189</x:v>
      </x:c>
      <x:c r="K21" s="60" t="n">
        <x:v>1282.8504162208</x:v>
      </x:c>
      <x:c r="L21" s="60" t="n">
        <x:v>1930.9077888721001</x:v>
      </x:c>
      <x:c r="M21" s="60" t="n">
        <x:v>1467.9390085676</x:v>
      </x:c>
      <x:c r="N21" s="46" t="str">
        <x:v>carangidae</x:v>
      </x:c>
      <x:c r="O21" s="62" t="n">
        <x:v>4.05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Carangidae</x:v>
      </x:c>
      <x:c r="T21" s="62" t="n">
        <x:f>IF(O21="","",(1/'Metadata'!$B$5)^(O21-1))</x:f>
        <x:v>9292.690797132333</x:v>
      </x:c>
      <x:c r="U21" s="60" t="n">
        <x:f>IF(T21="","",I21*T21)</x:f>
        <x:v>31584432.3554306</x:v>
      </x:c>
    </x:row>
    <x:row r="22" ht="18" customHeight="1">
      <x:c r="A22" s="46" t="str">
        <x:v>LME_046</x:v>
      </x:c>
      <x:c r="B22" s="46" t="str">
        <x:v>New Zealand Shelf</x:v>
      </x:c>
      <x:c r="C22" s="46" t="str">
        <x:v>LME</x:v>
      </x:c>
      <x:c r="D22" s="58" t="n">
        <x:v>2019</x:v>
      </x:c>
      <x:c r="E22" s="46" t="str">
        <x:v>Squalidae</x:v>
      </x:c>
      <x:c r="F22" s="46" t="str">
        <x:v>Dogfish sharks</x:v>
      </x:c>
      <x:c r="G22" s="46" t="str">
        <x:v>Large sharks (&gt;=90 cm)</x:v>
      </x:c>
      <x:c r="H22" s="46" t="str">
        <x:v>Sharks &amp; rays</x:v>
      </x:c>
      <x:c r="I22" s="60" t="n">
        <x:v>3254.2666933974997</x:v>
      </x:c>
      <x:c r="J22" s="60" t="n">
        <x:v>49.1908958155</x:v>
      </x:c>
      <x:c r="K22" s="60" t="n">
        <x:v>3205.0757975819997</x:v>
      </x:c>
      <x:c r="L22" s="60" t="n">
        <x:v>44.4156639129</x:v>
      </x:c>
      <x:c r="M22" s="60" t="n">
        <x:v>3209.8510294845996</x:v>
      </x:c>
      <x:c r="N22" s="46" t="str">
        <x:v>squalidae</x:v>
      </x:c>
      <x:c r="O22" s="62" t="n">
        <x:v>4.23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Squalidae</x:v>
      </x:c>
      <x:c r="T22" s="62" t="n">
        <x:f>IF(O22="","",(1/'Metadata'!$B$5)^(O22-1))</x:f>
        <x:v>15934.076063346663</x:v>
      </x:c>
      <x:c r="U22" s="60" t="n">
        <x:f>IF(T22="","",I22*T22)</x:f>
        <x:v>51853733.023011394</x:v>
      </x:c>
    </x:row>
    <x:row r="23" ht="18" customHeight="1">
      <x:c r="A23" s="46" t="str">
        <x:v>LME_046</x:v>
      </x:c>
      <x:c r="B23" s="46" t="str">
        <x:v>New Zealand Shelf</x:v>
      </x:c>
      <x:c r="C23" s="46" t="str">
        <x:v>LME</x:v>
      </x:c>
      <x:c r="D23" s="58" t="n">
        <x:v>2019</x:v>
      </x:c>
      <x:c r="E23" s="46" t="str">
        <x:v>Jasus edwardsii</x:v>
      </x:c>
      <x:c r="F23" s="46" t="str">
        <x:v>Red rock lobster</x:v>
      </x:c>
      <x:c r="G23" s="46" t="str">
        <x:v>Lobsters, crabs</x:v>
      </x:c>
      <x:c r="H23" s="46" t="str">
        <x:v>Crustaceans</x:v>
      </x:c>
      <x:c r="I23" s="60" t="n">
        <x:v>3155.5247439389</x:v>
      </x:c>
      <x:c r="J23" s="60" t="n">
        <x:v>3155.5247439389</x:v>
      </x:c>
      <x:c r="K23" s="60" t="n">
        <x:v>0</x:v>
      </x:c>
      <x:c r="L23" s="60" t="n">
        <x:v>2626.3084735411</x:v>
      </x:c>
      <x:c r="M23" s="60" t="n">
        <x:v>529.2162703978</x:v>
      </x:c>
      <x:c r="N23" s="46" t="str">
        <x:v>jasus edwardsii</x:v>
      </x:c>
      <x:c r="O23" s="62" t="n">
        <x:v>2.6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Jasus edwardsii</x:v>
      </x:c>
      <x:c r="T23" s="62" t="n">
        <x:f>IF(O23="","",(1/'Metadata'!$B$5)^(O23-1))</x:f>
        <x:v>120.6835267309033</x:v>
      </x:c>
      <x:c r="U23" s="60" t="n">
        <x:f>IF(T23="","",I23*T23)</x:f>
        <x:v>380819.854785177</x:v>
      </x:c>
    </x:row>
    <x:row r="24" ht="18" customHeight="1">
      <x:c r="A24" s="46" t="str">
        <x:v>LME_046</x:v>
      </x:c>
      <x:c r="B24" s="46" t="str">
        <x:v>New Zealand Shelf</x:v>
      </x:c>
      <x:c r="C24" s="46" t="str">
        <x:v>LME</x:v>
      </x:c>
      <x:c r="D24" s="58" t="n">
        <x:v>2019</x:v>
      </x:c>
      <x:c r="E24" s="46" t="str">
        <x:v>Seriolella brama</x:v>
      </x:c>
      <x:c r="F24" s="46" t="str">
        <x:v>Common warehou</x:v>
      </x:c>
      <x:c r="G24" s="46" t="str">
        <x:v>Medium benthopelagics (30 - 89 cm)</x:v>
      </x:c>
      <x:c r="H24" s="46" t="str">
        <x:v>Perch-likes</x:v>
      </x:c>
      <x:c r="I24" s="60" t="n">
        <x:v>3085.8158577131</x:v>
      </x:c>
      <x:c r="J24" s="60" t="n">
        <x:v>3085.8158577131</x:v>
      </x:c>
      <x:c r="K24" s="60" t="n">
        <x:v>0</x:v>
      </x:c>
      <x:c r="L24" s="60" t="n">
        <x:v>2812.3637514254</x:v>
      </x:c>
      <x:c r="M24" s="60" t="n">
        <x:v>273.4521062877</x:v>
      </x:c>
      <x:c r="N24" s="46" t="str">
        <x:v>seriolella brama</x:v>
      </x:c>
      <x:c r="O24" s="62" t="n">
        <x:v>3.28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Seriolella brama</x:v>
      </x:c>
      <x:c r="T24" s="62" t="n">
        <x:f>IF(O24="","",(1/'Metadata'!$B$5)^(O24-1))</x:f>
        <x:v>925.4402624666747</x:v>
      </x:c>
      <x:c r="U24" s="60" t="n">
        <x:f>IF(T24="","",I24*T24)</x:f>
        <x:v>2855738.237285838</x:v>
      </x:c>
    </x:row>
    <x:row r="25" ht="18" customHeight="1">
      <x:c r="A25" s="46" t="str">
        <x:v>LME_046</x:v>
      </x:c>
      <x:c r="B25" s="46" t="str">
        <x:v>New Zealand Shelf</x:v>
      </x:c>
      <x:c r="C25" s="46" t="str">
        <x:v>LME</x:v>
      </x:c>
      <x:c r="D25" s="58" t="n">
        <x:v>2019</x:v>
      </x:c>
      <x:c r="E25" s="46" t="str">
        <x:v>Galeorhinus galeus</x:v>
      </x:c>
      <x:c r="F25" s="46" t="str">
        <x:v>Tope shark</x:v>
      </x:c>
      <x:c r="G25" s="46" t="str">
        <x:v>Large sharks (&gt;=90 cm)</x:v>
      </x:c>
      <x:c r="H25" s="46" t="str">
        <x:v>Sharks &amp; rays</x:v>
      </x:c>
      <x:c r="I25" s="60" t="n">
        <x:v>3051.1246609308</x:v>
      </x:c>
      <x:c r="J25" s="60" t="n">
        <x:v>3051.1246609308</x:v>
      </x:c>
      <x:c r="K25" s="60" t="n">
        <x:v>0</x:v>
      </x:c>
      <x:c r="L25" s="60" t="n">
        <x:v>2733.3381573327997</x:v>
      </x:c>
      <x:c r="M25" s="60" t="n">
        <x:v>317.78650359799997</x:v>
      </x:c>
      <x:c r="N25" s="46" t="str">
        <x:v>galeorhinus galeus</x:v>
      </x:c>
      <x:c r="O25" s="62" t="n">
        <x:v>4.34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Galeorhinus galeus</x:v>
      </x:c>
      <x:c r="T25" s="62" t="n">
        <x:f>IF(O25="","",(1/'Metadata'!$B$5)^(O25-1))</x:f>
        <x:v>22153.389612394185</x:v>
      </x:c>
      <x:c r="U25" s="60" t="n">
        <x:f>IF(T25="","",I25*T25)</x:f>
        <x:v>67592753.36958411</x:v>
      </x:c>
    </x:row>
    <x:row r="26" ht="18" customHeight="1">
      <x:c r="A26" s="46" t="str">
        <x:v>LME_046</x:v>
      </x:c>
      <x:c r="B26" s="46" t="str">
        <x:v>New Zealand Shelf</x:v>
      </x:c>
      <x:c r="C26" s="46" t="str">
        <x:v>LME</x:v>
      </x:c>
      <x:c r="D26" s="58" t="n">
        <x:v>2019</x:v>
      </x:c>
      <x:c r="E26" s="46" t="str">
        <x:v>Kathetostoma giganteum</x:v>
      </x:c>
      <x:c r="F26" s="46" t="str">
        <x:v>Giant stargazer</x:v>
      </x:c>
      <x:c r="G26" s="46" t="str">
        <x:v>Medium demersals (30 - 89 cm)</x:v>
      </x:c>
      <x:c r="H26" s="46" t="str">
        <x:v>Perch-likes</x:v>
      </x:c>
      <x:c r="I26" s="60" t="n">
        <x:v>2923.984379526</x:v>
      </x:c>
      <x:c r="J26" s="60" t="n">
        <x:v>2923.984379526</x:v>
      </x:c>
      <x:c r="K26" s="60" t="n">
        <x:v>0</x:v>
      </x:c>
      <x:c r="L26" s="60" t="n">
        <x:v>2600.8638932234</x:v>
      </x:c>
      <x:c r="M26" s="60" t="n">
        <x:v>323.1204863026</x:v>
      </x:c>
      <x:c r="N26" s="46" t="str">
        <x:v>kathetostoma giganteum</x:v>
      </x:c>
      <x:c r="O26" s="62" t="n">
        <x:v>3.84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Kathetostoma giganteum</x:v>
      </x:c>
      <x:c r="T26" s="62" t="n">
        <x:f>IF(O26="","",(1/'Metadata'!$B$5)^(O26-1))</x:f>
        <x:v>4953.648510535111</x:v>
      </x:c>
      <x:c r="U26" s="60" t="n">
        <x:f>IF(T26="","",I26*T26)</x:f>
        <x:v>14484390.8664669</x:v>
      </x:c>
    </x:row>
    <x:row r="27" ht="18" customHeight="1">
      <x:c r="A27" s="46" t="str">
        <x:v>LME_046</x:v>
      </x:c>
      <x:c r="B27" s="46" t="str">
        <x:v>New Zealand Shelf</x:v>
      </x:c>
      <x:c r="C27" s="46" t="str">
        <x:v>LME</x:v>
      </x:c>
      <x:c r="D27" s="58" t="n">
        <x:v>2019</x:v>
      </x:c>
      <x:c r="E27" s="46" t="str">
        <x:v>Beryx splendens</x:v>
      </x:c>
      <x:c r="F27" s="46" t="str">
        <x:v>Splendid alfonsino</x:v>
      </x:c>
      <x:c r="G27" s="46" t="str">
        <x:v>Medium benthopelagics (30 - 89 cm)</x:v>
      </x:c>
      <x:c r="H27" s="46" t="str">
        <x:v>Other fishes &amp; inverts</x:v>
      </x:c>
      <x:c r="I27" s="60" t="n">
        <x:v>2852.3199589893</x:v>
      </x:c>
      <x:c r="J27" s="60" t="n">
        <x:v>2852.3199589893</x:v>
      </x:c>
      <x:c r="K27" s="60" t="n">
        <x:v>0</x:v>
      </x:c>
      <x:c r="L27" s="60" t="n">
        <x:v>2547.8990475131</x:v>
      </x:c>
      <x:c r="M27" s="60" t="n">
        <x:v>304.4209114762</x:v>
      </x:c>
      <x:c r="N27" s="46" t="str">
        <x:v>beryx splendens</x:v>
      </x:c>
      <x:c r="O27" s="62" t="n">
        <x:v>4.27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Beryx splendens</x:v>
      </x:c>
      <x:c r="T27" s="62" t="n">
        <x:f>IF(O27="","",(1/'Metadata'!$B$5)^(O27-1))</x:f>
        <x:v>17962.55396184286</x:v>
      </x:c>
      <x:c r="U27" s="60" t="n">
        <x:f>IF(T27="","",I27*T27)</x:f>
        <x:v>51234951.17978672</x:v>
      </x:c>
    </x:row>
    <x:row r="28" ht="18" customHeight="1">
      <x:c r="A28" s="46" t="str">
        <x:v>LME_046</x:v>
      </x:c>
      <x:c r="B28" s="46" t="str">
        <x:v>New Zealand Shelf</x:v>
      </x:c>
      <x:c r="C28" s="46" t="str">
        <x:v>LME</x:v>
      </x:c>
      <x:c r="D28" s="58" t="n">
        <x:v>2019</x:v>
      </x:c>
      <x:c r="E28" s="46" t="str">
        <x:v>Gadidae</x:v>
      </x:c>
      <x:c r="F28" s="46" t="str">
        <x:v>Cods, haddocks</x:v>
      </x:c>
      <x:c r="G28" s="46" t="str">
        <x:v>Medium demersals (30 - 89 cm)</x:v>
      </x:c>
      <x:c r="H28" s="46" t="str">
        <x:v>Cod-likes</x:v>
      </x:c>
      <x:c r="I28" s="60" t="n">
        <x:v>2643.1544266266</x:v>
      </x:c>
      <x:c r="J28" s="60" t="n">
        <x:v>0.33435274730000003</x:v>
      </x:c>
      <x:c r="K28" s="60" t="n">
        <x:v>2642.8200738793</x:v>
      </x:c>
      <x:c r="L28" s="60" t="n">
        <x:v>0.303663031</x:v>
      </x:c>
      <x:c r="M28" s="60" t="n">
        <x:v>2642.8507635956</x:v>
      </x:c>
      <x:c r="N28" s="46" t="str">
        <x:v>gadidae</x:v>
      </x:c>
      <x:c r="O28" s="62" t="n">
        <x:v>3.84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Gadidae</x:v>
      </x:c>
      <x:c r="T28" s="62" t="n">
        <x:f>IF(O28="","",(1/'Metadata'!$B$5)^(O28-1))</x:f>
        <x:v>4953.648510535111</x:v>
      </x:c>
      <x:c r="U28" s="60" t="n">
        <x:f>IF(T28="","",I28*T28)</x:f>
        <x:v>13093257.988573143</x:v>
      </x:c>
    </x:row>
    <x:row r="29" ht="18" customHeight="1">
      <x:c r="A29" s="46" t="str">
        <x:v>LME_046</x:v>
      </x:c>
      <x:c r="B29" s="46" t="str">
        <x:v>New Zealand Shelf</x:v>
      </x:c>
      <x:c r="C29" s="46" t="str">
        <x:v>LME</x:v>
      </x:c>
      <x:c r="D29" s="58" t="n">
        <x:v>2019</x:v>
      </x:c>
      <x:c r="E29" s="46" t="str">
        <x:v>Lepidopus caudatus</x:v>
      </x:c>
      <x:c r="F29" s="46" t="str">
        <x:v>Silver scabbardfish</x:v>
      </x:c>
      <x:c r="G29" s="46" t="str">
        <x:v>Large bathydemersals (&gt;=90 cm)</x:v>
      </x:c>
      <x:c r="H29" s="46" t="str">
        <x:v>Perch-likes</x:v>
      </x:c>
      <x:c r="I29" s="60" t="n">
        <x:v>2423.3213403119003</x:v>
      </x:c>
      <x:c r="J29" s="60" t="n">
        <x:v>2423.3213403119003</x:v>
      </x:c>
      <x:c r="K29" s="60" t="n">
        <x:v>0</x:v>
      </x:c>
      <x:c r="L29" s="60" t="n">
        <x:v>2102.8655896386</x:v>
      </x:c>
      <x:c r="M29" s="60" t="n">
        <x:v>320.4557506733</x:v>
      </x:c>
      <x:c r="N29" s="46" t="str">
        <x:v>lepidopus caudatus</x:v>
      </x:c>
      <x:c r="O29" s="62" t="n">
        <x:v>3.82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Lepidopus caudatus</x:v>
      </x:c>
      <x:c r="T29" s="62" t="n">
        <x:f>IF(O29="","",(1/'Metadata'!$B$5)^(O29-1))</x:f>
        <x:v>4665.56868948727</x:v>
      </x:c>
      <x:c r="U29" s="60" t="n">
        <x:f>IF(T29="","",I29*T29)</x:f>
        <x:v>11306172.169925526</x:v>
      </x:c>
    </x:row>
    <x:row r="30" ht="18" customHeight="1">
      <x:c r="A30" s="46" t="str">
        <x:v>LME_046</x:v>
      </x:c>
      <x:c r="B30" s="46" t="str">
        <x:v>New Zealand Shelf</x:v>
      </x:c>
      <x:c r="C30" s="46" t="str">
        <x:v>LME</x:v>
      </x:c>
      <x:c r="D30" s="58" t="n">
        <x:v>2019</x:v>
      </x:c>
      <x:c r="E30" s="46" t="str">
        <x:v>Parapercis colias</x:v>
      </x:c>
      <x:c r="F30" s="46" t="str">
        <x:v>New Zealand blue cod</x:v>
      </x:c>
      <x:c r="G30" s="46" t="str">
        <x:v>Medium demersals (30 - 89 cm)</x:v>
      </x:c>
      <x:c r="H30" s="46" t="str">
        <x:v>Perch-likes</x:v>
      </x:c>
      <x:c r="I30" s="60" t="n">
        <x:v>2408.7736312954</x:v>
      </x:c>
      <x:c r="J30" s="60" t="n">
        <x:v>2408.7736312954</x:v>
      </x:c>
      <x:c r="K30" s="60" t="n">
        <x:v>0</x:v>
      </x:c>
      <x:c r="L30" s="60" t="n">
        <x:v>1822.3389839454</x:v>
      </x:c>
      <x:c r="M30" s="60" t="n">
        <x:v>586.43464735</x:v>
      </x:c>
      <x:c r="N30" s="46" t="str">
        <x:v>parapercis colias</x:v>
      </x:c>
      <x:c r="O30" s="62" t="n">
        <x:v>3.89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Parapercis colias</x:v>
      </x:c>
      <x:c r="T30" s="62" t="n">
        <x:f>IF(O30="","",(1/'Metadata'!$B$5)^(O30-1))</x:f>
        <x:v>5754.090490759748</x:v>
      </x:c>
      <x:c r="U30" s="60" t="n">
        <x:f>IF(T30="","",I30*T30)</x:f>
        <x:v>13860301.446229687</x:v>
      </x:c>
    </x:row>
    <x:row r="31" ht="18" customHeight="1">
      <x:c r="A31" s="46" t="str">
        <x:v>LME_046</x:v>
      </x:c>
      <x:c r="B31" s="46" t="str">
        <x:v>New Zealand Shelf</x:v>
      </x:c>
      <x:c r="C31" s="46" t="str">
        <x:v>LME</x:v>
      </x:c>
      <x:c r="D31" s="58" t="n">
        <x:v>2019</x:v>
      </x:c>
      <x:c r="E31" s="46" t="str">
        <x:v>Lepidorhynchus denticulatus</x:v>
      </x:c>
      <x:c r="F31" s="46" t="str">
        <x:v>Thorntooth grenadier</x:v>
      </x:c>
      <x:c r="G31" s="46" t="str">
        <x:v>Medium bathypelagics (30 - 89 cm)</x:v>
      </x:c>
      <x:c r="H31" s="46" t="str">
        <x:v>Cod-likes</x:v>
      </x:c>
      <x:c r="I31" s="60" t="n">
        <x:v>2340.1377234735</x:v>
      </x:c>
      <x:c r="J31" s="60" t="n">
        <x:v>2340.1377234735</x:v>
      </x:c>
      <x:c r="K31" s="60" t="n">
        <x:v>0</x:v>
      </x:c>
      <x:c r="L31" s="60" t="n">
        <x:v>2114.4481826512</x:v>
      </x:c>
      <x:c r="M31" s="60" t="n">
        <x:v>225.68954082230002</x:v>
      </x:c>
      <x:c r="N31" s="46" t="str">
        <x:v>lepidorhynchus denticulatus</x:v>
      </x:c>
      <x:c r="O31" s="62" t="n">
        <x:v>3.88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Lepidorhynchus denticulatus</x:v>
      </x:c>
      <x:c r="T31" s="62" t="n">
        <x:f>IF(O31="","",(1/'Metadata'!$B$5)^(O31-1))</x:f>
        <x:v>5584.269732662554</x:v>
      </x:c>
      <x:c r="U31" s="60" t="n">
        <x:f>IF(T31="","",I31*T31)</x:f>
        <x:v>13067960.259454919</x:v>
      </x:c>
    </x:row>
    <x:row r="32" ht="18" customHeight="1">
      <x:c r="A32" s="46" t="str">
        <x:v>LME_046</x:v>
      </x:c>
      <x:c r="B32" s="46" t="str">
        <x:v>New Zealand Shelf</x:v>
      </x:c>
      <x:c r="C32" s="46" t="str">
        <x:v>LME</x:v>
      </x:c>
      <x:c r="D32" s="58" t="n">
        <x:v>2019</x:v>
      </x:c>
      <x:c r="E32" s="46" t="str">
        <x:v>Emmelichthys nitidus</x:v>
      </x:c>
      <x:c r="F32" s="46" t="str">
        <x:v>Cape bonnetmouth</x:v>
      </x:c>
      <x:c r="G32" s="46" t="str">
        <x:v>Medium bathydemersals (30 - 89 cm)</x:v>
      </x:c>
      <x:c r="H32" s="46" t="str">
        <x:v>Perch-likes</x:v>
      </x:c>
      <x:c r="I32" s="60" t="n">
        <x:v>2299.2385423771</x:v>
      </x:c>
      <x:c r="J32" s="60" t="n">
        <x:v>2299.2385423771</x:v>
      </x:c>
      <x:c r="K32" s="60" t="n">
        <x:v>0</x:v>
      </x:c>
      <x:c r="L32" s="60" t="n">
        <x:v>2089.2443548722</x:v>
      </x:c>
      <x:c r="M32" s="60" t="n">
        <x:v>209.99418750490003</x:v>
      </x:c>
      <x:c r="N32" s="46" t="str">
        <x:v>emmelichthys nitidus</x:v>
      </x:c>
      <x:c r="O32" s="62" t="n">
        <x:v>3.61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Emmelichthys nitidus</x:v>
      </x:c>
      <x:c r="T32" s="62" t="n">
        <x:f>IF(O32="","",(1/'Metadata'!$B$5)^(O32-1))</x:f>
        <x:v>2487.0716021897506</x:v>
      </x:c>
      <x:c r="U32" s="60" t="n">
        <x:f>IF(T32="","",I32*T32)</x:f>
        <x:v>5718370.885406242</x:v>
      </x:c>
    </x:row>
    <x:row r="33" ht="18" customHeight="1">
      <x:c r="A33" s="46" t="str">
        <x:v>LME_046</x:v>
      </x:c>
      <x:c r="B33" s="46" t="str">
        <x:v>New Zealand Shelf</x:v>
      </x:c>
      <x:c r="C33" s="46" t="str">
        <x:v>LME</x:v>
      </x:c>
      <x:c r="D33" s="58" t="n">
        <x:v>2019</x:v>
      </x:c>
      <x:c r="E33" s="46" t="str">
        <x:v>Rajidae</x:v>
      </x:c>
      <x:c r="F33" s="46" t="str">
        <x:v>Stingrays</x:v>
      </x:c>
      <x:c r="G33" s="46" t="str">
        <x:v>Large rays (&gt;=90 cm)</x:v>
      </x:c>
      <x:c r="H33" s="46" t="str">
        <x:v>Sharks &amp; rays</x:v>
      </x:c>
      <x:c r="I33" s="60" t="n">
        <x:v>2208.4611726115</x:v>
      </x:c>
      <x:c r="J33" s="60" t="n">
        <x:v>1899.0830476314</x:v>
      </x:c>
      <x:c r="K33" s="60" t="n">
        <x:v>309.3781249801</x:v>
      </x:c>
      <x:c r="L33" s="60" t="n">
        <x:v>1723.0364116602</x:v>
      </x:c>
      <x:c r="M33" s="60" t="n">
        <x:v>485.4247609513</x:v>
      </x:c>
      <x:c r="N33" s="46" t="str">
        <x:v>rajidae</x:v>
      </x:c>
      <x:c r="O33" s="62" t="n">
        <x:v>3.82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Rajidae</x:v>
      </x:c>
      <x:c r="T33" s="62" t="n">
        <x:f>IF(O33="","",(1/'Metadata'!$B$5)^(O33-1))</x:f>
        <x:v>4665.56868948727</x:v>
      </x:c>
      <x:c r="U33" s="60" t="n">
        <x:f>IF(T33="","",I33*T33)</x:f>
        <x:v>10303727.298884554</x:v>
      </x:c>
    </x:row>
    <x:row r="34" ht="18" customHeight="1">
      <x:c r="A34" s="46" t="str">
        <x:v>LME_046</x:v>
      </x:c>
      <x:c r="B34" s="46" t="str">
        <x:v>New Zealand Shelf</x:v>
      </x:c>
      <x:c r="C34" s="46" t="str">
        <x:v>LME</x:v>
      </x:c>
      <x:c r="D34" s="58" t="n">
        <x:v>2019</x:v>
      </x:c>
      <x:c r="E34" s="46" t="str">
        <x:v>Hydrolagus novaezealandiae</x:v>
      </x:c>
      <x:c r="F34" s="46" t="str">
        <x:v>Dark ghost shark</x:v>
      </x:c>
      <x:c r="G34" s="46" t="str">
        <x:v>Small to medium rays (&lt;90 cm)</x:v>
      </x:c>
      <x:c r="H34" s="46" t="str">
        <x:v>Sharks &amp; rays</x:v>
      </x:c>
      <x:c r="I34" s="60" t="n">
        <x:v>2165.9265923469</x:v>
      </x:c>
      <x:c r="J34" s="60" t="n">
        <x:v>2165.9265923469</x:v>
      </x:c>
      <x:c r="K34" s="60" t="n">
        <x:v>0</x:v>
      </x:c>
      <x:c r="L34" s="60" t="n">
        <x:v>1955.9787039278</x:v>
      </x:c>
      <x:c r="M34" s="60" t="n">
        <x:v>209.9478884191</x:v>
      </x:c>
      <x:c r="N34" s="46" t="str">
        <x:v>hydrolagus novaezealandiae</x:v>
      </x:c>
      <x:c r="O34" s="62" t="n">
        <x:v>3.52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Hydrolagus novaezealandiae</x:v>
      </x:c>
      <x:c r="T34" s="62" t="n">
        <x:f>IF(O34="","",(1/'Metadata'!$B$5)^(O34-1))</x:f>
        <x:v>1899.308837725312</x:v>
      </x:c>
      <x:c r="U34" s="60" t="n">
        <x:f>IF(T34="","",I34*T34)</x:f>
        <x:v>4113763.5187087366</x:v>
      </x:c>
    </x:row>
    <x:row r="35" ht="18" customHeight="1">
      <x:c r="A35" s="46" t="str">
        <x:v>LME_046</x:v>
      </x:c>
      <x:c r="B35" s="46" t="str">
        <x:v>New Zealand Shelf</x:v>
      </x:c>
      <x:c r="C35" s="46" t="str">
        <x:v>LME</x:v>
      </x:c>
      <x:c r="D35" s="58" t="n">
        <x:v>2019</x:v>
      </x:c>
      <x:c r="E35" s="46" t="str">
        <x:v>Gempylidae</x:v>
      </x:c>
      <x:c r="F35" s="46" t="str">
        <x:v>Snake mackerels</x:v>
      </x:c>
      <x:c r="G35" s="46" t="str">
        <x:v>Large benthopelagics (&gt;=90 cm)</x:v>
      </x:c>
      <x:c r="H35" s="46" t="str">
        <x:v>Perch-likes</x:v>
      </x:c>
      <x:c r="I35" s="60" t="n">
        <x:v>1814.3150350592</x:v>
      </x:c>
      <x:c r="J35" s="60" t="n">
        <x:v>1199.5885441989</x:v>
      </x:c>
      <x:c r="K35" s="60" t="n">
        <x:v>614.7264908603</x:v>
      </x:c>
      <x:c r="L35" s="60" t="n">
        <x:v>918.1464329335</x:v>
      </x:c>
      <x:c r="M35" s="60" t="n">
        <x:v>896.1686021257</x:v>
      </x:c>
      <x:c r="N35" s="46" t="str">
        <x:v>gempylidae</x:v>
      </x:c>
      <x:c r="O35" s="62" t="n">
        <x:v>4.21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Gempylidae</x:v>
      </x:c>
      <x:c r="T35" s="62" t="n">
        <x:f>IF(O35="","",(1/'Metadata'!$B$5)^(O35-1))</x:f>
        <x:v>15007.428609226863</x:v>
      </x:c>
      <x:c r="U35" s="60" t="n">
        <x:f>IF(T35="","",I35*T35)</x:f>
        <x:v>27228203.363297876</x:v>
      </x:c>
    </x:row>
    <x:row r="36" ht="18" customHeight="1">
      <x:c r="A36" s="46" t="str">
        <x:v>LME_046</x:v>
      </x:c>
      <x:c r="B36" s="46" t="str">
        <x:v>New Zealand Shelf</x:v>
      </x:c>
      <x:c r="C36" s="46" t="str">
        <x:v>LME</x:v>
      </x:c>
      <x:c r="D36" s="58" t="n">
        <x:v>2019</x:v>
      </x:c>
      <x:c r="E36" s="46" t="str">
        <x:v>Squaliformes</x:v>
      </x:c>
      <x:c r="F36" s="46" t="str">
        <x:v>Bramble, sleeper, dogfish sharks</x:v>
      </x:c>
      <x:c r="G36" s="46" t="str">
        <x:v>Large sharks (&gt;=90 cm)</x:v>
      </x:c>
      <x:c r="H36" s="46" t="str">
        <x:v>Sharks &amp; rays</x:v>
      </x:c>
      <x:c r="I36" s="60" t="n">
        <x:v>1724.6785877247999</x:v>
      </x:c>
      <x:c r="J36" s="60" t="n">
        <x:v>0.40146060670000006</x:v>
      </x:c>
      <x:c r="K36" s="60" t="n">
        <x:v>1724.2771271181</x:v>
      </x:c>
      <x:c r="L36" s="60" t="n">
        <x:v>0.3637093557</x:v>
      </x:c>
      <x:c r="M36" s="60" t="n">
        <x:v>1724.3148783691</x:v>
      </x:c>
      <x:c r="N36" s="46" t="str">
        <x:v>squaliformes</x:v>
      </x:c>
      <x:c r="O36" s="62" t="n">
        <x:v>4.19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Squaliformes</x:v>
      </x:c>
      <x:c r="T36" s="62" t="n">
        <x:f>IF(O36="","",(1/'Metadata'!$B$5)^(O36-1))</x:f>
        <x:v>14134.67041111498</x:v>
      </x:c>
      <x:c r="U36" s="60" t="n">
        <x:f>IF(T36="","",I36*T36)</x:f>
        <x:v>24377763.402597297</x:v>
      </x:c>
    </x:row>
    <x:row r="37" ht="18" customHeight="1">
      <x:c r="A37" s="46" t="str">
        <x:v>LME_046</x:v>
      </x:c>
      <x:c r="B37" s="46" t="str">
        <x:v>New Zealand Shelf</x:v>
      </x:c>
      <x:c r="C37" s="46" t="str">
        <x:v>LME</x:v>
      </x:c>
      <x:c r="D37" s="58" t="n">
        <x:v>2019</x:v>
      </x:c>
      <x:c r="E37" s="46" t="str">
        <x:v>Pleuronectiformes</x:v>
      </x:c>
      <x:c r="F37" s="46" t="str">
        <x:v>Flatfishes</x:v>
      </x:c>
      <x:c r="G37" s="46" t="str">
        <x:v>Small to medium flatfishes (&lt;90 cm)</x:v>
      </x:c>
      <x:c r="H37" s="46" t="str">
        <x:v>Flatfishes</x:v>
      </x:c>
      <x:c r="I37" s="60" t="n">
        <x:v>1702.3043815132</x:v>
      </x:c>
      <x:c r="J37" s="60" t="n">
        <x:v>1700.6085484719</x:v>
      </x:c>
      <x:c r="K37" s="60" t="n">
        <x:v>1.6958330413</x:v>
      </x:c>
      <x:c r="L37" s="60" t="n">
        <x:v>1451.9920014772</x:v>
      </x:c>
      <x:c r="M37" s="60" t="n">
        <x:v>250.312380036</x:v>
      </x:c>
      <x:c r="N37" s="46" t="str">
        <x:v>pleuronectiformes</x:v>
      </x:c>
      <x:c r="O37" s="62" t="n">
        <x:v>3.57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Pleuronectiformes</x:v>
      </x:c>
      <x:c r="T37" s="62" t="n">
        <x:f>IF(O37="","",(1/'Metadata'!$B$5)^(O37-1))</x:f>
        <x:v>2206.2112196552644</x:v>
      </x:c>
      <x:c r="U37" s="60" t="n">
        <x:f>IF(T37="","",I37*T37)</x:f>
        <x:v>3755643.0257627377</x:v>
      </x:c>
    </x:row>
    <x:row r="38" ht="18" customHeight="1">
      <x:c r="A38" s="46" t="str">
        <x:v>LME_046</x:v>
      </x:c>
      <x:c r="B38" s="46" t="str">
        <x:v>New Zealand Shelf</x:v>
      </x:c>
      <x:c r="C38" s="46" t="str">
        <x:v>LME</x:v>
      </x:c>
      <x:c r="D38" s="58" t="n">
        <x:v>2019</x:v>
      </x:c>
      <x:c r="E38" s="46" t="str">
        <x:v>Bivalvia</x:v>
      </x:c>
      <x:c r="F38" s="46" t="str">
        <x:v>Clams</x:v>
      </x:c>
      <x:c r="G38" s="46" t="str">
        <x:v>Other demersal invertebrates</x:v>
      </x:c>
      <x:c r="H38" s="46" t="str">
        <x:v>Molluscs</x:v>
      </x:c>
      <x:c r="I38" s="60" t="n">
        <x:v>1679.9695707498</x:v>
      </x:c>
      <x:c r="J38" s="60" t="n">
        <x:v>1679.9695707498</x:v>
      </x:c>
      <x:c r="K38" s="60" t="n">
        <x:v>0</x:v>
      </x:c>
      <x:c r="L38" s="60" t="n">
        <x:v>1350.985281255</x:v>
      </x:c>
      <x:c r="M38" s="60" t="n">
        <x:v>328.9842894948</x:v>
      </x:c>
      <x:c r="N38" s="46" t="str">
        <x:v>bivalvia</x:v>
      </x:c>
      <x:c r="O38" s="62" t="n">
        <x:v>2.23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Bivalvia</x:v>
      </x:c>
      <x:c r="T38" s="62" t="n">
        <x:f>IF(O38="","",(1/'Metadata'!$B$5)^(O38-1))</x:f>
        <x:v>39.83519015836661</x:v>
      </x:c>
      <x:c r="U38" s="60" t="n">
        <x:f>IF(T38="","",I38*T38)</x:f>
        <x:v>66921.90731108781</x:v>
      </x:c>
    </x:row>
    <x:row r="39" ht="18" customHeight="1">
      <x:c r="A39" s="46" t="str">
        <x:v>LME_046</x:v>
      </x:c>
      <x:c r="B39" s="46" t="str">
        <x:v>New Zealand Shelf</x:v>
      </x:c>
      <x:c r="C39" s="46" t="str">
        <x:v>LME</x:v>
      </x:c>
      <x:c r="D39" s="58" t="n">
        <x:v>2019</x:v>
      </x:c>
      <x:c r="E39" s="46" t="str">
        <x:v>Mustelus lenticulatus</x:v>
      </x:c>
      <x:c r="F39" s="46" t="str">
        <x:v>Spotted estuary smooth-hound</x:v>
      </x:c>
      <x:c r="G39" s="46" t="str">
        <x:v>Large sharks (&gt;=90 cm)</x:v>
      </x:c>
      <x:c r="H39" s="46" t="str">
        <x:v>Sharks &amp; rays</x:v>
      </x:c>
      <x:c r="I39" s="60" t="n">
        <x:v>1587.2278198067</x:v>
      </x:c>
      <x:c r="J39" s="60" t="n">
        <x:v>1587.2278198067</x:v>
      </x:c>
      <x:c r="K39" s="60" t="n">
        <x:v>0</x:v>
      </x:c>
      <x:c r="L39" s="60" t="n">
        <x:v>1290.2435401610999</x:v>
      </x:c>
      <x:c r="M39" s="60" t="n">
        <x:v>296.9842796456</x:v>
      </x:c>
      <x:c r="N39" s="46" t="str">
        <x:v>mustelus lenticulatus</x:v>
      </x:c>
      <x:c r="O39" s="62" t="n">
        <x:v>3.51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Mustelus lenticulatus</x:v>
      </x:c>
      <x:c r="T39" s="62" t="n">
        <x:f>IF(O39="","",(1/'Metadata'!$B$5)^(O39-1))</x:f>
        <x:v>1843.2544417784343</x:v>
      </x:c>
      <x:c r="U39" s="60" t="n">
        <x:f>IF(T39="","",I39*T39)</x:f>
        <x:v>2925664.728973</x:v>
      </x:c>
    </x:row>
    <x:row r="40" ht="18" customHeight="1">
      <x:c r="A40" s="46" t="str">
        <x:v>LME_046</x:v>
      </x:c>
      <x:c r="B40" s="46" t="str">
        <x:v>New Zealand Shelf</x:v>
      </x:c>
      <x:c r="C40" s="46" t="str">
        <x:v>LME</x:v>
      </x:c>
      <x:c r="D40" s="58" t="n">
        <x:v>2019</x:v>
      </x:c>
      <x:c r="E40" s="46" t="str">
        <x:v>Callorhinchus milii</x:v>
      </x:c>
      <x:c r="F40" s="46" t="str">
        <x:v>Ghost shark</x:v>
      </x:c>
      <x:c r="G40" s="46" t="str">
        <x:v>Large rays (&gt;=90 cm)</x:v>
      </x:c>
      <x:c r="H40" s="46" t="str">
        <x:v>Sharks &amp; rays</x:v>
      </x:c>
      <x:c r="I40" s="60" t="n">
        <x:v>1490.9525780768</x:v>
      </x:c>
      <x:c r="J40" s="60" t="n">
        <x:v>1490.9525780768</x:v>
      </x:c>
      <x:c r="K40" s="60" t="n">
        <x:v>0</x:v>
      </x:c>
      <x:c r="L40" s="60" t="n">
        <x:v>1345.4186048717</x:v>
      </x:c>
      <x:c r="M40" s="60" t="n">
        <x:v>145.53397320509998</x:v>
      </x:c>
      <x:c r="N40" s="46" t="str">
        <x:v>callorhinchus milii</x:v>
      </x:c>
      <x:c r="O40" s="62" t="n">
        <x:v>3.6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Callorhinchus milii</x:v>
      </x:c>
      <x:c r="T40" s="62" t="n">
        <x:f>IF(O40="","",(1/'Metadata'!$B$5)^(O40-1))</x:f>
        <x:v>2413.670534618066</x:v>
      </x:c>
      <x:c r="U40" s="60" t="n">
        <x:f>IF(T40="","",I40*T40)</x:f>
        <x:v>3598668.3062168136</x:v>
      </x:c>
    </x:row>
    <x:row r="41" ht="18" customHeight="1">
      <x:c r="A41" s="46" t="str">
        <x:v>LME_046</x:v>
      </x:c>
      <x:c r="B41" s="46" t="str">
        <x:v>New Zealand Shelf</x:v>
      </x:c>
      <x:c r="C41" s="46" t="str">
        <x:v>LME</x:v>
      </x:c>
      <x:c r="D41" s="58" t="n">
        <x:v>2019</x:v>
      </x:c>
      <x:c r="E41" s="46" t="str">
        <x:v>Polyprion</x:v>
      </x:c>
      <x:c r="F41" s="46" t="str">
        <x:v>Wreckfishes</x:v>
      </x:c>
      <x:c r="G41" s="46" t="str">
        <x:v>Large demersals (&gt;=90 cm)</x:v>
      </x:c>
      <x:c r="H41" s="46" t="str">
        <x:v>Perch-likes</x:v>
      </x:c>
      <x:c r="I41" s="60" t="n">
        <x:v>1486.6717311795</x:v>
      </x:c>
      <x:c r="J41" s="60" t="n">
        <x:v>1486.6717311795</x:v>
      </x:c>
      <x:c r="K41" s="60" t="n">
        <x:v>0</x:v>
      </x:c>
      <x:c r="L41" s="60" t="n">
        <x:v>1118.9215292603</x:v>
      </x:c>
      <x:c r="M41" s="60" t="n">
        <x:v>367.75020191920004</x:v>
      </x:c>
      <x:c r="N41" s="46" t="str">
        <x:v>polyprion</x:v>
      </x:c>
      <x:c r="O41" s="62" t="n">
        <x:v>3.83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Polyprion</x:v>
      </x:c>
      <x:c r="T41" s="62" t="n">
        <x:f>IF(O41="","",(1/'Metadata'!$B$5)^(O41-1))</x:f>
        <x:v>4807.451236307852</x:v>
      </x:c>
      <x:c r="U41" s="60" t="n">
        <x:f>IF(T41="","",I41*T41)</x:f>
        <x:v>7147101.852042822</x:v>
      </x:c>
    </x:row>
    <x:row r="42" ht="18" customHeight="1">
      <x:c r="A42" s="46" t="str">
        <x:v>LME_046</x:v>
      </x:c>
      <x:c r="B42" s="46" t="str">
        <x:v>New Zealand Shelf</x:v>
      </x:c>
      <x:c r="C42" s="46" t="str">
        <x:v>LME</x:v>
      </x:c>
      <x:c r="D42" s="58" t="n">
        <x:v>2019</x:v>
      </x:c>
      <x:c r="E42" s="46" t="str">
        <x:v>Echinoidea</x:v>
      </x:c>
      <x:c r="F42" s="46" t="str">
        <x:v>Sea urchins, sea hedgehogs</x:v>
      </x:c>
      <x:c r="G42" s="46" t="str">
        <x:v>Other demersal invertebrates</x:v>
      </x:c>
      <x:c r="H42" s="46" t="str">
        <x:v>Other fishes &amp; inverts</x:v>
      </x:c>
      <x:c r="I42" s="60" t="n">
        <x:v>1397.3144587076</x:v>
      </x:c>
      <x:c r="J42" s="60" t="n">
        <x:v>1386.1180889624</x:v>
      </x:c>
      <x:c r="K42" s="60" t="n">
        <x:v>11.1963697452</x:v>
      </x:c>
      <x:c r="L42" s="60" t="n">
        <x:v>731.7425790650999</x:v>
      </x:c>
      <x:c r="M42" s="60" t="n">
        <x:v>665.5718796425</x:v>
      </x:c>
      <x:c r="N42" s="46" t="str">
        <x:v>echinoidea</x:v>
      </x:c>
      <x:c r="O42" s="62" t="n">
        <x:v>2.51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Echinoidea</x:v>
      </x:c>
      <x:c r="T42" s="62" t="n">
        <x:f>IF(O42="","",(1/'Metadata'!$B$5)^(O42-1))</x:f>
        <x:v>92.16272208892171</x:v>
      </x:c>
      <x:c r="U42" s="60" t="n">
        <x:f>IF(T42="","",I42*T42)</x:f>
        <x:v>128780.3041287006</x:v>
      </x:c>
    </x:row>
    <x:row r="43" ht="18" customHeight="1">
      <x:c r="A43" s="46" t="str">
        <x:v>LME_046</x:v>
      </x:c>
      <x:c r="B43" s="46" t="str">
        <x:v>New Zealand Shelf</x:v>
      </x:c>
      <x:c r="C43" s="46" t="str">
        <x:v>LME</x:v>
      </x:c>
      <x:c r="D43" s="58" t="n">
        <x:v>2019</x:v>
      </x:c>
      <x:c r="E43" s="46" t="str">
        <x:v>Perciformes</x:v>
      </x:c>
      <x:c r="F43" s="46" t="str">
        <x:v>Perch-likes</x:v>
      </x:c>
      <x:c r="G43" s="46" t="str">
        <x:v>Medium demersals (30 - 89 cm)</x:v>
      </x:c>
      <x:c r="H43" s="46" t="str">
        <x:v>Perch-likes</x:v>
      </x:c>
      <x:c r="I43" s="60" t="n">
        <x:v>1267.3252734233</x:v>
      </x:c>
      <x:c r="J43" s="60" t="n">
        <x:v>950.9950541322</x:v>
      </x:c>
      <x:c r="K43" s="60" t="n">
        <x:v>316.3302192911</x:v>
      </x:c>
      <x:c r="L43" s="60" t="n">
        <x:v>880.5981424698</x:v>
      </x:c>
      <x:c r="M43" s="60" t="n">
        <x:v>386.7271309535</x:v>
      </x:c>
      <x:c r="N43" s="46" t="str">
        <x:v>perciformes</x:v>
      </x:c>
      <x:c r="O43" s="62" t="n">
        <x:v>3.53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Perciformes</x:v>
      </x:c>
      <x:c r="T43" s="62" t="n">
        <x:f>IF(O43="","",(1/'Metadata'!$B$5)^(O43-1))</x:f>
        <x:v>1957.0678791263101</x:v>
      </x:c>
      <x:c r="U43" s="60" t="n">
        <x:f>IF(T43="","",I43*T43)</x:f>
        <x:v>2480241.5850217086</x:v>
      </x:c>
    </x:row>
    <x:row r="44" ht="18" customHeight="1">
      <x:c r="A44" s="46" t="str">
        <x:v>LME_046</x:v>
      </x:c>
      <x:c r="B44" s="46" t="str">
        <x:v>New Zealand Shelf</x:v>
      </x:c>
      <x:c r="C44" s="46" t="str">
        <x:v>LME</x:v>
      </x:c>
      <x:c r="D44" s="58" t="n">
        <x:v>2019</x:v>
      </x:c>
      <x:c r="E44" s="46" t="str">
        <x:v>Seriolella caerulea</x:v>
      </x:c>
      <x:c r="F44" s="46" t="str">
        <x:v>White warehou</x:v>
      </x:c>
      <x:c r="G44" s="46" t="str">
        <x:v>Medium bathypelagics (30 - 89 cm)</x:v>
      </x:c>
      <x:c r="H44" s="46" t="str">
        <x:v>Perch-likes</x:v>
      </x:c>
      <x:c r="I44" s="60" t="n">
        <x:v>1095.5975177747</x:v>
      </x:c>
      <x:c r="J44" s="60" t="n">
        <x:v>1095.5975177747</x:v>
      </x:c>
      <x:c r="K44" s="60" t="n">
        <x:v>0</x:v>
      </x:c>
      <x:c r="L44" s="60" t="n">
        <x:v>1023.2820265393</x:v>
      </x:c>
      <x:c r="M44" s="60" t="n">
        <x:v>72.3154912354</x:v>
      </x:c>
      <x:c r="N44" s="46" t="str">
        <x:v>seriolella caerulea</x:v>
      </x:c>
      <x:c r="O44" s="62" t="n">
        <x:v>3.42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Seriolella caerulea</x:v>
      </x:c>
      <x:c r="T44" s="62" t="n">
        <x:f>IF(O44="","",(1/'Metadata'!$B$5)^(O44-1))</x:f>
        <x:v>1407.643209131506</x:v>
      </x:c>
      <x:c r="U44" s="60" t="n">
        <x:f>IF(T44="","",I44*T44)</x:f>
        <x:v>1542210.405836891</x:v>
      </x:c>
    </x:row>
    <x:row r="45" ht="18" customHeight="1">
      <x:c r="A45" s="46" t="str">
        <x:v>LME_046</x:v>
      </x:c>
      <x:c r="B45" s="46" t="str">
        <x:v>New Zealand Shelf</x:v>
      </x:c>
      <x:c r="C45" s="46" t="str">
        <x:v>LME</x:v>
      </x:c>
      <x:c r="D45" s="58" t="n">
        <x:v>2019</x:v>
      </x:c>
      <x:c r="E45" s="46" t="str">
        <x:v>Veneridae</x:v>
      </x:c>
      <x:c r="F45" s="46" t="str">
        <x:v>Venus clams</x:v>
      </x:c>
      <x:c r="G45" s="46" t="str">
        <x:v>Other demersal invertebrates</x:v>
      </x:c>
      <x:c r="H45" s="46" t="str">
        <x:v>Molluscs</x:v>
      </x:c>
      <x:c r="I45" s="60" t="n">
        <x:v>1055.2392606670999</x:v>
      </x:c>
      <x:c r="J45" s="60" t="n">
        <x:v>1055.2392606670999</x:v>
      </x:c>
      <x:c r="K45" s="60" t="n">
        <x:v>0</x:v>
      </x:c>
      <x:c r="L45" s="60" t="n">
        <x:v>1055.0907400605</x:v>
      </x:c>
      <x:c r="M45" s="60" t="n">
        <x:v>0.1485206066</x:v>
      </x:c>
      <x:c r="N45" s="46" t="str">
        <x:v>veneridae</x:v>
      </x:c>
      <x:c r="O45" s="62" t="n">
        <x:v>2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Veneridae</x:v>
      </x:c>
      <x:c r="T45" s="62" t="n">
        <x:f>IF(O45="","",(1/'Metadata'!$B$5)^(O45-1))</x:f>
        <x:v>20</x:v>
      </x:c>
      <x:c r="U45" s="60" t="n">
        <x:f>IF(T45="","",I45*T45)</x:f>
        <x:v>21104.785213342</x:v>
      </x:c>
    </x:row>
    <x:row r="46" ht="18" customHeight="1">
      <x:c r="A46" s="46" t="str">
        <x:v>LME_046</x:v>
      </x:c>
      <x:c r="B46" s="46" t="str">
        <x:v>New Zealand Shelf</x:v>
      </x:c>
      <x:c r="C46" s="46" t="str">
        <x:v>LME</x:v>
      </x:c>
      <x:c r="D46" s="58" t="n">
        <x:v>2019</x:v>
      </x:c>
      <x:c r="E46" s="46" t="str">
        <x:v>Seriola lalandi</x:v>
      </x:c>
      <x:c r="F46" s="46" t="str">
        <x:v>Yellowtail amberjack</x:v>
      </x:c>
      <x:c r="G46" s="46" t="str">
        <x:v>Large benthopelagics (&gt;=90 cm)</x:v>
      </x:c>
      <x:c r="H46" s="46" t="str">
        <x:v>Perch-likes</x:v>
      </x:c>
      <x:c r="I46" s="60" t="n">
        <x:v>1032.7691182111</x:v>
      </x:c>
      <x:c r="J46" s="60" t="n">
        <x:v>1032.7691182111</x:v>
      </x:c>
      <x:c r="K46" s="60" t="n">
        <x:v>0</x:v>
      </x:c>
      <x:c r="L46" s="60" t="n">
        <x:v>108.9034877096</x:v>
      </x:c>
      <x:c r="M46" s="60" t="n">
        <x:v>923.8656305014999</x:v>
      </x:c>
      <x:c r="N46" s="46" t="str">
        <x:v>seriola lalandi</x:v>
      </x:c>
      <x:c r="O46" s="62" t="n">
        <x:v>4.16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Seriola lalandi</x:v>
      </x:c>
      <x:c r="T46" s="62" t="n">
        <x:f>IF(O46="","",(1/'Metadata'!$B$5)^(O46-1))</x:f>
        <x:v>12919.77011769987</x:v>
      </x:c>
      <x:c r="U46" s="60" t="n">
        <x:f>IF(T46="","",I46*T46)</x:f>
        <x:v>13343139.591947015</x:v>
      </x:c>
    </x:row>
    <x:row r="47" ht="18" customHeight="1">
      <x:c r="A47" s="46" t="str">
        <x:v>LME_046</x:v>
      </x:c>
      <x:c r="B47" s="46" t="str">
        <x:v>New Zealand Shelf</x:v>
      </x:c>
      <x:c r="C47" s="46" t="str">
        <x:v>LME</x:v>
      </x:c>
      <x:c r="D47" s="58" t="n">
        <x:v>2019</x:v>
      </x:c>
      <x:c r="E47" s="46" t="str">
        <x:v>Thunnus alalunga</x:v>
      </x:c>
      <x:c r="F47" s="46" t="str">
        <x:v>Albacore</x:v>
      </x:c>
      <x:c r="G47" s="46" t="str">
        <x:v>Large pelagics (&gt;=90 cm)</x:v>
      </x:c>
      <x:c r="H47" s="46" t="str">
        <x:v>Tuna &amp; billfishes</x:v>
      </x:c>
      <x:c r="I47" s="60" t="n">
        <x:v>1022.6992273774</x:v>
      </x:c>
      <x:c r="J47" s="60" t="n">
        <x:v>1022.6552402981</x:v>
      </x:c>
      <x:c r="K47" s="60" t="n">
        <x:v>0.043987079299999995</x:v>
      </x:c>
      <x:c r="L47" s="60" t="n">
        <x:v>846.7078809382</x:v>
      </x:c>
      <x:c r="M47" s="60" t="n">
        <x:v>175.9913464392</x:v>
      </x:c>
      <x:c r="N47" s="46" t="str">
        <x:v>thunnus alalunga</x:v>
      </x:c>
      <x:c r="O47" s="62" t="n">
        <x:v>4.3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Thunnus alalunga</x:v>
      </x:c>
      <x:c r="T47" s="62" t="n">
        <x:f>IF(O47="","",(1/'Metadata'!$B$5)^(O47-1))</x:f>
        <x:v>19651.648417852637</x:v>
      </x:c>
      <x:c r="U47" s="60" t="n">
        <x:f>IF(T47="","",I47*T47)</x:f>
        <x:v>20097725.653630197</x:v>
      </x:c>
    </x:row>
    <x:row r="48" ht="18" customHeight="1">
      <x:c r="A48" s="46" t="str">
        <x:v>LME_046</x:v>
      </x:c>
      <x:c r="B48" s="46" t="str">
        <x:v>New Zealand Shelf</x:v>
      </x:c>
      <x:c r="C48" s="46" t="str">
        <x:v>LME</x:v>
      </x:c>
      <x:c r="D48" s="58" t="n">
        <x:v>2019</x:v>
      </x:c>
      <x:c r="E48" s="46" t="str">
        <x:v>Carcharhinidae</x:v>
      </x:c>
      <x:c r="F48" s="46" t="str">
        <x:v>Requiem sharks</x:v>
      </x:c>
      <x:c r="G48" s="46" t="str">
        <x:v>Large sharks (&gt;=90 cm)</x:v>
      </x:c>
      <x:c r="H48" s="46" t="str">
        <x:v>Sharks &amp; rays</x:v>
      </x:c>
      <x:c r="I48" s="60" t="n">
        <x:v>1013.9817358166</x:v>
      </x:c>
      <x:c r="J48" s="60" t="n">
        <x:v>0</x:v>
      </x:c>
      <x:c r="K48" s="60" t="n">
        <x:v>1013.9817358166</x:v>
      </x:c>
      <x:c r="L48" s="60" t="n">
        <x:v>0</x:v>
      </x:c>
      <x:c r="M48" s="60" t="n">
        <x:v>1013.9817358166</x:v>
      </x:c>
      <x:c r="N48" s="46" t="str">
        <x:v>carcharhinidae</x:v>
      </x:c>
      <x:c r="O48" s="62" t="n">
        <x:v>4.24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Carcharhinidae</x:v>
      </x:c>
      <x:c r="T48" s="62" t="n">
        <x:f>IF(O48="","",(1/'Metadata'!$B$5)^(O48-1))</x:f>
        <x:v>16418.64020623336</x:v>
      </x:c>
      <x:c r="U48" s="60" t="n">
        <x:f>IF(T48="","",I48*T48)</x:f>
        <x:v>16648201.29606472</x:v>
      </x:c>
    </x:row>
    <x:row r="49" ht="18" customHeight="1">
      <x:c r="A49" s="46" t="str">
        <x:v>LME_046</x:v>
      </x:c>
      <x:c r="B49" s="46" t="str">
        <x:v>New Zealand Shelf</x:v>
      </x:c>
      <x:c r="C49" s="46" t="str">
        <x:v>LME</x:v>
      </x:c>
      <x:c r="D49" s="58" t="n">
        <x:v>2019</x:v>
      </x:c>
      <x:c r="E49" s="46" t="str">
        <x:v>Mora moro</x:v>
      </x:c>
      <x:c r="F49" s="46" t="str">
        <x:v>Common mora</x:v>
      </x:c>
      <x:c r="G49" s="46" t="str">
        <x:v>Medium bathypelagics (30 - 89 cm)</x:v>
      </x:c>
      <x:c r="H49" s="46" t="str">
        <x:v>Cod-likes</x:v>
      </x:c>
      <x:c r="I49" s="60" t="n">
        <x:v>1008.8965921806</x:v>
      </x:c>
      <x:c r="J49" s="60" t="n">
        <x:v>1008.8965921806</x:v>
      </x:c>
      <x:c r="K49" s="60" t="n">
        <x:v>0</x:v>
      </x:c>
      <x:c r="L49" s="60" t="n">
        <x:v>921.7850320504001</x:v>
      </x:c>
      <x:c r="M49" s="60" t="n">
        <x:v>87.11156013019999</x:v>
      </x:c>
      <x:c r="N49" s="46" t="str">
        <x:v>mora moro</x:v>
      </x:c>
      <x:c r="O49" s="62" t="n">
        <x:v>3.75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Mora moro</x:v>
      </x:c>
      <x:c r="T49" s="62" t="n">
        <x:f>IF(O49="","",(1/'Metadata'!$B$5)^(O49-1))</x:f>
        <x:v>3782.966436012703</x:v>
      </x:c>
      <x:c r="U49" s="60" t="n">
        <x:f>IF(T49="","",I49*T49)</x:f>
        <x:v>3816621.945626806</x:v>
      </x:c>
    </x:row>
    <x:row r="50" ht="18" customHeight="1">
      <x:c r="A50" s="46" t="str">
        <x:v>LME_046</x:v>
      </x:c>
      <x:c r="B50" s="46" t="str">
        <x:v>New Zealand Shelf</x:v>
      </x:c>
      <x:c r="C50" s="46" t="str">
        <x:v>LME</x:v>
      </x:c>
      <x:c r="D50" s="58" t="n">
        <x:v>2019</x:v>
      </x:c>
      <x:c r="E50" s="46" t="str">
        <x:v>Haliotis</x:v>
      </x:c>
      <x:c r="F50" s="46" t="str">
        <x:v>Abalones</x:v>
      </x:c>
      <x:c r="G50" s="46" t="str">
        <x:v>Other demersal invertebrates</x:v>
      </x:c>
      <x:c r="H50" s="46" t="str">
        <x:v>Molluscs</x:v>
      </x:c>
      <x:c r="I50" s="60" t="n">
        <x:v>999.7905475781</x:v>
      </x:c>
      <x:c r="J50" s="60" t="n">
        <x:v>999.7905475781</x:v>
      </x:c>
      <x:c r="K50" s="60" t="n">
        <x:v>0</x:v>
      </x:c>
      <x:c r="L50" s="60" t="n">
        <x:v>792.4151354900999</x:v>
      </x:c>
      <x:c r="M50" s="60" t="n">
        <x:v>207.375412088</x:v>
      </x:c>
      <x:c r="N50" s="46" t="str">
        <x:v>haliotis</x:v>
      </x:c>
      <x:c r="O50" s="62" t="n">
        <x:v>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Haliotis</x:v>
      </x:c>
      <x:c r="T50" s="62" t="n">
        <x:f>IF(O50="","",(1/'Metadata'!$B$5)^(O50-1))</x:f>
        <x:v>20</x:v>
      </x:c>
      <x:c r="U50" s="60" t="n">
        <x:f>IF(T50="","",I50*T50)</x:f>
        <x:v>19995.810951562</x:v>
      </x:c>
    </x:row>
    <x:row r="51" ht="18" customHeight="1">
      <x:c r="A51" s="46" t="str">
        <x:v>LME_046</x:v>
      </x:c>
      <x:c r="B51" s="46" t="str">
        <x:v>New Zealand Shelf</x:v>
      </x:c>
      <x:c r="C51" s="46" t="str">
        <x:v>LME</x:v>
      </x:c>
      <x:c r="D51" s="58" t="n">
        <x:v>2019</x:v>
      </x:c>
      <x:c r="E51" s="46" t="str">
        <x:v>Metanephrops challengeri</x:v>
      </x:c>
      <x:c r="F51" s="46" t="str">
        <x:v>New Zealand lobster</x:v>
      </x:c>
      <x:c r="G51" s="46" t="str">
        <x:v>Lobsters, crabs</x:v>
      </x:c>
      <x:c r="H51" s="46" t="str">
        <x:v>Crustaceans</x:v>
      </x:c>
      <x:c r="I51" s="60" t="n">
        <x:v>977.3720099868999</x:v>
      </x:c>
      <x:c r="J51" s="60" t="n">
        <x:v>977.3720099868999</x:v>
      </x:c>
      <x:c r="K51" s="60" t="n">
        <x:v>0</x:v>
      </x:c>
      <x:c r="L51" s="60" t="n">
        <x:v>835.1569570964</x:v>
      </x:c>
      <x:c r="M51" s="60" t="n">
        <x:v>142.2150528905</x:v>
      </x:c>
      <x:c r="N51" s="46" t="str">
        <x:v>metanephrops challengeri</x:v>
      </x:c>
      <x:c r="O51" s="62" t="n">
        <x:v>2.6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Metanephrops challengeri</x:v>
      </x:c>
      <x:c r="T51" s="62" t="n">
        <x:f>IF(O51="","",(1/'Metadata'!$B$5)^(O51-1))</x:f>
        <x:v>120.6835267309033</x:v>
      </x:c>
      <x:c r="U51" s="60" t="n">
        <x:f>IF(T51="","",I51*T51)</x:f>
        <x:v>117952.70109329071</x:v>
      </x:c>
    </x:row>
    <x:row r="52" ht="18" customHeight="1">
      <x:c r="A52" s="46" t="str">
        <x:v>LME_046</x:v>
      </x:c>
      <x:c r="B52" s="46" t="str">
        <x:v>New Zealand Shelf</x:v>
      </x:c>
      <x:c r="C52" s="46" t="str">
        <x:v>LME</x:v>
      </x:c>
      <x:c r="D52" s="58" t="n">
        <x:v>2019</x:v>
      </x:c>
      <x:c r="E52" s="46" t="str">
        <x:v>Arripis trutta</x:v>
      </x:c>
      <x:c r="F52" s="46" t="str">
        <x:v>Australian salmon</x:v>
      </x:c>
      <x:c r="G52" s="46" t="str">
        <x:v>Medium pelagics (30 - 89 cm)</x:v>
      </x:c>
      <x:c r="H52" s="46" t="str">
        <x:v>Perch-likes</x:v>
      </x:c>
      <x:c r="I52" s="60" t="n">
        <x:v>938.803922015</x:v>
      </x:c>
      <x:c r="J52" s="60" t="n">
        <x:v>938.803922015</x:v>
      </x:c>
      <x:c r="K52" s="60" t="n">
        <x:v>0</x:v>
      </x:c>
      <x:c r="L52" s="60" t="n">
        <x:v>0</x:v>
      </x:c>
      <x:c r="M52" s="60" t="n">
        <x:v>938.803922015</x:v>
      </x:c>
      <x:c r="N52" s="46" t="str">
        <x:v>arripis trutta</x:v>
      </x:c>
      <x:c r="O52" s="62" t="n">
        <x:v>4.07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Arripis trutta</x:v>
      </x:c>
      <x:c r="T52" s="62" t="n">
        <x:f>IF(O52="","",(1/'Metadata'!$B$5)^(O52-1))</x:f>
        <x:v>9866.476519743796</x:v>
      </x:c>
      <x:c r="U52" s="60" t="n">
        <x:f>IF(T52="","",I52*T52)</x:f>
        <x:v>9262686.853204383</x:v>
      </x:c>
    </x:row>
    <x:row r="53" ht="18" customHeight="1">
      <x:c r="A53" s="46" t="str">
        <x:v>LME_046</x:v>
      </x:c>
      <x:c r="B53" s="46" t="str">
        <x:v>New Zealand Shelf</x:v>
      </x:c>
      <x:c r="C53" s="46" t="str">
        <x:v>LME</x:v>
      </x:c>
      <x:c r="D53" s="58" t="n">
        <x:v>2019</x:v>
      </x:c>
      <x:c r="E53" s="46" t="str">
        <x:v>Hydrolagus</x:v>
      </x:c>
      <x:c r="F53" s="46" t="str">
        <x:v>Ghostsharks</x:v>
      </x:c>
      <x:c r="G53" s="46" t="str">
        <x:v>Small to medium rays (&lt;90 cm)</x:v>
      </x:c>
      <x:c r="H53" s="46" t="str">
        <x:v>Sharks &amp; rays</x:v>
      </x:c>
      <x:c r="I53" s="60" t="n">
        <x:v>931.5909679592</x:v>
      </x:c>
      <x:c r="J53" s="60" t="n">
        <x:v>931.5909679592</x:v>
      </x:c>
      <x:c r="K53" s="60" t="n">
        <x:v>0</x:v>
      </x:c>
      <x:c r="L53" s="60" t="n">
        <x:v>784.8365171975</x:v>
      </x:c>
      <x:c r="M53" s="60" t="n">
        <x:v>146.7544507617</x:v>
      </x:c>
      <x:c r="N53" s="46" t="str">
        <x:v>hydrolagus</x:v>
      </x:c>
      <x:c r="O53" s="62" t="n">
        <x:v>3.51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Hydrolagus</x:v>
      </x:c>
      <x:c r="T53" s="62" t="n">
        <x:f>IF(O53="","",(1/'Metadata'!$B$5)^(O53-1))</x:f>
        <x:v>1843.2544417784343</x:v>
      </x:c>
      <x:c r="U53" s="60" t="n">
        <x:f>IF(T53="","",I53*T53)</x:f>
        <x:v>1717159.1896114666</x:v>
      </x:c>
    </x:row>
    <x:row r="54" ht="18" customHeight="1">
      <x:c r="A54" s="46" t="str">
        <x:v>LME_046</x:v>
      </x:c>
      <x:c r="B54" s="46" t="str">
        <x:v>New Zealand Shelf</x:v>
      </x:c>
      <x:c r="C54" s="46" t="str">
        <x:v>LME</x:v>
      </x:c>
      <x:c r="D54" s="58" t="n">
        <x:v>2019</x:v>
      </x:c>
      <x:c r="E54" s="46" t="str">
        <x:v>Hyperoglyphe antarctica</x:v>
      </x:c>
      <x:c r="F54" s="46" t="str">
        <x:v>Bluenose warehou</x:v>
      </x:c>
      <x:c r="G54" s="46" t="str">
        <x:v>Large benthopelagics (&gt;=90 cm)</x:v>
      </x:c>
      <x:c r="H54" s="46" t="str">
        <x:v>Perch-likes</x:v>
      </x:c>
      <x:c r="I54" s="60" t="n">
        <x:v>731.1317163108</x:v>
      </x:c>
      <x:c r="J54" s="60" t="n">
        <x:v>731.1317163108</x:v>
      </x:c>
      <x:c r="K54" s="60" t="n">
        <x:v>0</x:v>
      </x:c>
      <x:c r="L54" s="60" t="n">
        <x:v>697.0110307653</x:v>
      </x:c>
      <x:c r="M54" s="60" t="n">
        <x:v>34.1206855455</x:v>
      </x:c>
      <x:c r="N54" s="46" t="str">
        <x:v>hyperoglyphe antarctica</x:v>
      </x:c>
      <x:c r="O54" s="62" t="n">
        <x:v>3.95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Hyperoglyphe antarctica</x:v>
      </x:c>
      <x:c r="T54" s="62" t="n">
        <x:f>IF(O54="","",(1/'Metadata'!$B$5)^(O54-1))</x:f>
        <x:v>6887.133274653882</x:v>
      </x:c>
      <x:c r="U54" s="60" t="n">
        <x:f>IF(T54="","",I54*T54)</x:f>
        <x:v>5035401.571558913</x:v>
      </x:c>
    </x:row>
    <x:row r="55" ht="18" customHeight="1">
      <x:c r="A55" s="46" t="str">
        <x:v>LME_046</x:v>
      </x:c>
      <x:c r="B55" s="46" t="str">
        <x:v>New Zealand Shelf</x:v>
      </x:c>
      <x:c r="C55" s="46" t="str">
        <x:v>LME</x:v>
      </x:c>
      <x:c r="D55" s="58" t="n">
        <x:v>2019</x:v>
      </x:c>
      <x:c r="E55" s="46" t="str">
        <x:v>Thunnus maccoyii</x:v>
      </x:c>
      <x:c r="F55" s="46" t="str">
        <x:v>Southern bluefin tuna</x:v>
      </x:c>
      <x:c r="G55" s="46" t="str">
        <x:v>Large pelagics (&gt;=90 cm)</x:v>
      </x:c>
      <x:c r="H55" s="46" t="str">
        <x:v>Tuna &amp; billfishes</x:v>
      </x:c>
      <x:c r="I55" s="60" t="n">
        <x:v>730.1154603595</x:v>
      </x:c>
      <x:c r="J55" s="60" t="n">
        <x:v>730.0435616335</x:v>
      </x:c>
      <x:c r="K55" s="60" t="n">
        <x:v>0.07189872600000001</x:v>
      </x:c>
      <x:c r="L55" s="60" t="n">
        <x:v>711.6891113150999</x:v>
      </x:c>
      <x:c r="M55" s="60" t="n">
        <x:v>18.426349044400002</x:v>
      </x:c>
      <x:c r="N55" s="46" t="str">
        <x:v>thunnus maccoyii</x:v>
      </x:c>
      <x:c r="O55" s="62" t="n">
        <x:v>3.93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Thunnus maccoyii</x:v>
      </x:c>
      <x:c r="T55" s="62" t="n">
        <x:f>IF(O55="","",(1/'Metadata'!$B$5)^(O55-1))</x:f>
        <x:v>6486.611494177253</x:v>
      </x:c>
      <x:c r="U55" s="60" t="n">
        <x:f>IF(T55="","",I55*T55)</x:f>
        <x:v>4735975.337244449</x:v>
      </x:c>
    </x:row>
    <x:row r="56" ht="18" customHeight="1">
      <x:c r="A56" s="46" t="str">
        <x:v>LME_046</x:v>
      </x:c>
      <x:c r="B56" s="46" t="str">
        <x:v>New Zealand Shelf</x:v>
      </x:c>
      <x:c r="C56" s="46" t="str">
        <x:v>LME</x:v>
      </x:c>
      <x:c r="D56" s="58" t="n">
        <x:v>2019</x:v>
      </x:c>
      <x:c r="E56" s="46" t="str">
        <x:v>Mugil cephalus</x:v>
      </x:c>
      <x:c r="F56" s="46" t="str">
        <x:v>Flathead grey mullet</x:v>
      </x:c>
      <x:c r="G56" s="46" t="str">
        <x:v>Large benthopelagics (&gt;=90 cm)</x:v>
      </x:c>
      <x:c r="H56" s="46" t="str">
        <x:v>Perch-likes</x:v>
      </x:c>
      <x:c r="I56" s="60" t="n">
        <x:v>729.6293808901</x:v>
      </x:c>
      <x:c r="J56" s="60" t="n">
        <x:v>729.6293808901</x:v>
      </x:c>
      <x:c r="K56" s="60" t="n">
        <x:v>0</x:v>
      </x:c>
      <x:c r="L56" s="60" t="n">
        <x:v>664.9636838728001</x:v>
      </x:c>
      <x:c r="M56" s="60" t="n">
        <x:v>64.6656970173</x:v>
      </x:c>
      <x:c r="N56" s="46" t="str">
        <x:v>mugil cephalus</x:v>
      </x:c>
      <x:c r="O56" s="62" t="n">
        <x:v>2.14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Mugil cephalus</x:v>
      </x:c>
      <x:c r="T56" s="62" t="n">
        <x:f>IF(O56="","",(1/'Metadata'!$B$5)^(O56-1))</x:f>
        <x:v>30.421049660829848</x:v>
      </x:c>
      <x:c r="U56" s="60" t="n">
        <x:f>IF(T56="","",I56*T56)</x:f>
        <x:v>22196.09163005827</x:v>
      </x:c>
    </x:row>
    <x:row r="57" ht="18" customHeight="1">
      <x:c r="A57" s="46" t="str">
        <x:v>LME_046</x:v>
      </x:c>
      <x:c r="B57" s="46" t="str">
        <x:v>New Zealand Shelf</x:v>
      </x:c>
      <x:c r="C57" s="46" t="str">
        <x:v>LME</x:v>
      </x:c>
      <x:c r="D57" s="58" t="n">
        <x:v>2019</x:v>
      </x:c>
      <x:c r="E57" s="46" t="str">
        <x:v>Latridae</x:v>
      </x:c>
      <x:c r="F57" s="46" t="str">
        <x:v>Trumpeters</x:v>
      </x:c>
      <x:c r="G57" s="46" t="str">
        <x:v>Medium demersals (30 - 89 cm)</x:v>
      </x:c>
      <x:c r="H57" s="46" t="str">
        <x:v>Perch-likes</x:v>
      </x:c>
      <x:c r="I57" s="60" t="n">
        <x:v>724.7085746464</x:v>
      </x:c>
      <x:c r="J57" s="60" t="n">
        <x:v>724.7023920165</x:v>
      </x:c>
      <x:c r="K57" s="60" t="n">
        <x:v>0.0061826299</x:v>
      </x:c>
      <x:c r="L57" s="60" t="n">
        <x:v>522.0930967029</x:v>
      </x:c>
      <x:c r="M57" s="60" t="n">
        <x:v>202.6154779435</x:v>
      </x:c>
      <x:c r="N57" s="46" t="str">
        <x:v>latridae</x:v>
      </x:c>
      <x:c r="O57" s="62" t="n">
        <x:v>3.3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Latridae</x:v>
      </x:c>
      <x:c r="T57" s="62" t="n">
        <x:f>IF(O57="","",(1/'Metadata'!$B$5)^(O57-1))</x:f>
        <x:v>982.5824208926318</x:v>
      </x:c>
      <x:c r="U57" s="60" t="n">
        <x:f>IF(T57="","",I57*T57)</x:f>
        <x:v>712085.9057177084</x:v>
      </x:c>
    </x:row>
    <x:row r="58" ht="18" customHeight="1">
      <x:c r="A58" s="46" t="str">
        <x:v>LME_046</x:v>
      </x:c>
      <x:c r="B58" s="46" t="str">
        <x:v>New Zealand Shelf</x:v>
      </x:c>
      <x:c r="C58" s="46" t="str">
        <x:v>LME</x:v>
      </x:c>
      <x:c r="D58" s="58" t="n">
        <x:v>2019</x:v>
      </x:c>
      <x:c r="E58" s="46" t="str">
        <x:v>Centrolophidae</x:v>
      </x:c>
      <x:c r="F58" s="46" t="str">
        <x:v>Medusafishes</x:v>
      </x:c>
      <x:c r="G58" s="46" t="str">
        <x:v>Medium benthopelagics (30 - 89 cm)</x:v>
      </x:c>
      <x:c r="H58" s="46" t="str">
        <x:v>Perch-likes</x:v>
      </x:c>
      <x:c r="I58" s="60" t="n">
        <x:v>659.6686096094</x:v>
      </x:c>
      <x:c r="J58" s="60" t="n">
        <x:v>0</x:v>
      </x:c>
      <x:c r="K58" s="60" t="n">
        <x:v>659.6686096094</x:v>
      </x:c>
      <x:c r="L58" s="60" t="n">
        <x:v>0</x:v>
      </x:c>
      <x:c r="M58" s="60" t="n">
        <x:v>659.6686096094</x:v>
      </x:c>
      <x:c r="N58" s="46" t="str">
        <x:v>centrolophidae</x:v>
      </x:c>
      <x:c r="O58" s="62" t="n">
        <x:v>3.65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Centrolophidae</x:v>
      </x:c>
      <x:c r="T58" s="62" t="n">
        <x:f>IF(O58="","",(1/'Metadata'!$B$5)^(O58-1))</x:f>
        <x:v>2803.6867455443476</x:v>
      </x:c>
      <x:c r="U58" s="60" t="n">
        <x:f>IF(T58="","",I58*T58)</x:f>
        <x:v>1849504.1372135435</x:v>
      </x:c>
    </x:row>
    <x:row r="59" ht="18" customHeight="1">
      <x:c r="A59" s="46" t="str">
        <x:v>LME_046</x:v>
      </x:c>
      <x:c r="B59" s="46" t="str">
        <x:v>New Zealand Shelf</x:v>
      </x:c>
      <x:c r="C59" s="46" t="str">
        <x:v>LME</x:v>
      </x:c>
      <x:c r="D59" s="58" t="n">
        <x:v>2019</x:v>
      </x:c>
      <x:c r="E59" s="46" t="str">
        <x:v>Portunidae</x:v>
      </x:c>
      <x:c r="F59" s="46" t="str">
        <x:v>Swimming crabs</x:v>
      </x:c>
      <x:c r="G59" s="46" t="str">
        <x:v>Lobsters, crabs</x:v>
      </x:c>
      <x:c r="H59" s="46" t="str">
        <x:v>Crustaceans</x:v>
      </x:c>
      <x:c r="I59" s="60" t="n">
        <x:v>597.1319434573</x:v>
      </x:c>
      <x:c r="J59" s="60" t="n">
        <x:v>146.4781044299</x:v>
      </x:c>
      <x:c r="K59" s="60" t="n">
        <x:v>450.6538390274</x:v>
      </x:c>
      <x:c r="L59" s="60" t="n">
        <x:v>132.4492128412</x:v>
      </x:c>
      <x:c r="M59" s="60" t="n">
        <x:v>464.6827306161</x:v>
      </x:c>
      <x:c r="N59" s="46" t="str">
        <x:v>portunidae</x:v>
      </x:c>
      <x:c r="O59" s="62" t="n">
        <x:v>3.56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Portunidae</x:v>
      </x:c>
      <x:c r="T59" s="62" t="n">
        <x:f>IF(O59="","",(1/'Metadata'!$B$5)^(O59-1))</x:f>
        <x:v>2141.099198485972</x:v>
      </x:c>
      <x:c r="U59" s="60" t="n">
        <x:f>IF(T59="","",I59*T59)</x:f>
        <x:v>1278518.725526796</x:v>
      </x:c>
    </x:row>
    <x:row r="60" ht="18" customHeight="1">
      <x:c r="A60" s="46" t="str">
        <x:v>LME_046</x:v>
      </x:c>
      <x:c r="B60" s="46" t="str">
        <x:v>New Zealand Shelf</x:v>
      </x:c>
      <x:c r="C60" s="46" t="str">
        <x:v>LME</x:v>
      </x:c>
      <x:c r="D60" s="58" t="n">
        <x:v>2019</x:v>
      </x:c>
      <x:c r="E60" s="46" t="str">
        <x:v>Epigonus telescopus</x:v>
      </x:c>
      <x:c r="F60" s="46" t="str">
        <x:v>Black cardinal fish</x:v>
      </x:c>
      <x:c r="G60" s="46" t="str">
        <x:v>Medium bathydemersals (30 - 89 cm)</x:v>
      </x:c>
      <x:c r="H60" s="46" t="str">
        <x:v>Perch-likes</x:v>
      </x:c>
      <x:c r="I60" s="60" t="n">
        <x:v>583.3653748945</x:v>
      </x:c>
      <x:c r="J60" s="60" t="n">
        <x:v>583.3653748945</x:v>
      </x:c>
      <x:c r="K60" s="60" t="n">
        <x:v>0</x:v>
      </x:c>
      <x:c r="L60" s="60" t="n">
        <x:v>535.2205269582</x:v>
      </x:c>
      <x:c r="M60" s="60" t="n">
        <x:v>48.1448479363</x:v>
      </x:c>
      <x:c r="N60" s="46" t="str">
        <x:v>epigonus telescopus</x:v>
      </x:c>
      <x:c r="O60" s="62" t="n">
        <x:v>3.59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Epigonus telescopus</x:v>
      </x:c>
      <x:c r="T60" s="62" t="n">
        <x:f>IF(O60="","",(1/'Metadata'!$B$5)^(O60-1))</x:f>
        <x:v>2342.4357563948306</x:v>
      </x:c>
      <x:c r="U60" s="60" t="n">
        <x:f>IF(T60="","",I60*T60)</x:f>
        <x:v>1366495.9131955518</x:v>
      </x:c>
    </x:row>
    <x:row r="61" ht="18" customHeight="1">
      <x:c r="A61" s="46" t="str">
        <x:v>LME_046</x:v>
      </x:c>
      <x:c r="B61" s="46" t="str">
        <x:v>New Zealand Shelf</x:v>
      </x:c>
      <x:c r="C61" s="46" t="str">
        <x:v>LME</x:v>
      </x:c>
      <x:c r="D61" s="58" t="n">
        <x:v>2019</x:v>
      </x:c>
      <x:c r="E61" s="46" t="str">
        <x:v>Cyttus traversi</x:v>
      </x:c>
      <x:c r="F61" s="46" t="str">
        <x:v>King dory</x:v>
      </x:c>
      <x:c r="G61" s="46" t="str">
        <x:v>Medium bathydemersals (30 - 89 cm)</x:v>
      </x:c>
      <x:c r="H61" s="46" t="str">
        <x:v>Other fishes &amp; inverts</x:v>
      </x:c>
      <x:c r="I61" s="60" t="n">
        <x:v>562.4030293042</x:v>
      </x:c>
      <x:c r="J61" s="60" t="n">
        <x:v>562.4030293042</x:v>
      </x:c>
      <x:c r="K61" s="60" t="n">
        <x:v>0</x:v>
      </x:c>
      <x:c r="L61" s="60" t="n">
        <x:v>497.29615761829996</x:v>
      </x:c>
      <x:c r="M61" s="60" t="n">
        <x:v>65.1068716859</x:v>
      </x:c>
      <x:c r="N61" s="46" t="str">
        <x:v>cyttus traversi</x:v>
      </x:c>
      <x:c r="O61" s="62" t="n">
        <x:v>4.25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Cyttus traversi</x:v>
      </x:c>
      <x:c r="T61" s="62" t="n">
        <x:f>IF(O61="","",(1/'Metadata'!$B$5)^(O61-1))</x:f>
        <x:v>16917.940215049024</x:v>
      </x:c>
      <x:c r="U61" s="60" t="n">
        <x:f>IF(T61="","",I61*T61)</x:f>
        <x:v>9514700.82653092</x:v>
      </x:c>
    </x:row>
    <x:row r="62" ht="18" customHeight="1">
      <x:c r="A62" s="46" t="str">
        <x:v>LME_046</x:v>
      </x:c>
      <x:c r="B62" s="46" t="str">
        <x:v>New Zealand Shelf</x:v>
      </x:c>
      <x:c r="C62" s="46" t="str">
        <x:v>LME</x:v>
      </x:c>
      <x:c r="D62" s="58" t="n">
        <x:v>2019</x:v>
      </x:c>
      <x:c r="E62" s="46" t="str">
        <x:v>Prionace glauca</x:v>
      </x:c>
      <x:c r="F62" s="46" t="str">
        <x:v>Blue shark</x:v>
      </x:c>
      <x:c r="G62" s="46" t="str">
        <x:v>Large sharks (&gt;=90 cm)</x:v>
      </x:c>
      <x:c r="H62" s="46" t="str">
        <x:v>Sharks &amp; rays</x:v>
      </x:c>
      <x:c r="I62" s="60" t="n">
        <x:v>499.5136645999</x:v>
      </x:c>
      <x:c r="J62" s="60" t="n">
        <x:v>443.6341436615999</x:v>
      </x:c>
      <x:c r="K62" s="60" t="n">
        <x:v>55.8795209383</x:v>
      </x:c>
      <x:c r="L62" s="60" t="n">
        <x:v>412.8662467055</x:v>
      </x:c>
      <x:c r="M62" s="60" t="n">
        <x:v>86.6474178944</x:v>
      </x:c>
      <x:c r="N62" s="46" t="str">
        <x:v>prionace glauca</x:v>
      </x:c>
      <x:c r="O62" s="62" t="n">
        <x:v>4.35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Prionace glauca</x:v>
      </x:c>
      <x:c r="T62" s="62" t="n">
        <x:f>IF(O62="","",(1/'Metadata'!$B$5)^(O62-1))</x:f>
        <x:v>22827.086550132422</x:v>
      </x:c>
      <x:c r="U62" s="60" t="n">
        <x:f>IF(T62="","",I62*T62)</x:f>
        <x:v>11402441.654795734</x:v>
      </x:c>
    </x:row>
    <x:row r="63" ht="18" customHeight="1">
      <x:c r="A63" s="46" t="str">
        <x:v>LME_046</x:v>
      </x:c>
      <x:c r="B63" s="46" t="str">
        <x:v>New Zealand Shelf</x:v>
      </x:c>
      <x:c r="C63" s="46" t="str">
        <x:v>LME</x:v>
      </x:c>
      <x:c r="D63" s="58" t="n">
        <x:v>2019</x:v>
      </x:c>
      <x:c r="E63" s="46" t="str">
        <x:v>Sardinops sagax</x:v>
      </x:c>
      <x:c r="F63" s="46" t="str">
        <x:v>South American pilchard</x:v>
      </x:c>
      <x:c r="G63" s="46" t="str">
        <x:v>Medium pelagics (30 - 89 cm)</x:v>
      </x:c>
      <x:c r="H63" s="46" t="str">
        <x:v>Herring-likes</x:v>
      </x:c>
      <x:c r="I63" s="60" t="n">
        <x:v>429.7004640659</x:v>
      </x:c>
      <x:c r="J63" s="60" t="n">
        <x:v>429.7004640659</x:v>
      </x:c>
      <x:c r="K63" s="60" t="n">
        <x:v>0</x:v>
      </x:c>
      <x:c r="L63" s="60" t="n">
        <x:v>346.0503953241</x:v>
      </x:c>
      <x:c r="M63" s="60" t="n">
        <x:v>83.6500687418</x:v>
      </x:c>
      <x:c r="N63" s="46" t="str">
        <x:v>sardinops sagax</x:v>
      </x:c>
      <x:c r="O63" s="62" t="n">
        <x:v>2.84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Sardinops sagax</x:v>
      </x:c>
      <x:c r="T63" s="62" t="n">
        <x:f>IF(O63="","",(1/'Metadata'!$B$5)^(O63-1))</x:f>
        <x:v>247.68242552675557</x:v>
      </x:c>
      <x:c r="U63" s="60" t="n">
        <x:f>IF(T63="","",I63*T63)</x:f>
        <x:v>106429.25318981458</x:v>
      </x:c>
    </x:row>
    <x:row r="64" ht="18" customHeight="1">
      <x:c r="A64" s="46" t="str">
        <x:v>LME_046</x:v>
      </x:c>
      <x:c r="B64" s="46" t="str">
        <x:v>New Zealand Shelf</x:v>
      </x:c>
      <x:c r="C64" s="46" t="str">
        <x:v>LME</x:v>
      </x:c>
      <x:c r="D64" s="58" t="n">
        <x:v>2019</x:v>
      </x:c>
      <x:c r="E64" s="46" t="str">
        <x:v>Plagiogeneion rubiginosum</x:v>
      </x:c>
      <x:c r="F64" s="46" t="str">
        <x:v>Rubyfish</x:v>
      </x:c>
      <x:c r="G64" s="46" t="str">
        <x:v>Medium bathydemersals (30 - 89 cm)</x:v>
      </x:c>
      <x:c r="H64" s="46" t="str">
        <x:v>Perch-likes</x:v>
      </x:c>
      <x:c r="I64" s="60" t="n">
        <x:v>406.4398069404</x:v>
      </x:c>
      <x:c r="J64" s="60" t="n">
        <x:v>406.4398069404</x:v>
      </x:c>
      <x:c r="K64" s="60" t="n">
        <x:v>0</x:v>
      </x:c>
      <x:c r="L64" s="60" t="n">
        <x:v>393.5838587399</x:v>
      </x:c>
      <x:c r="M64" s="60" t="n">
        <x:v>12.8559482005</x:v>
      </x:c>
      <x:c r="N64" s="46" t="str">
        <x:v>plagiogeneion rubiginosum</x:v>
      </x:c>
      <x:c r="O64" s="62" t="n">
        <x:v>3.4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Plagiogeneion rubiginosum</x:v>
      </x:c>
      <x:c r="T64" s="62" t="n">
        <x:f>IF(O64="","",(1/'Metadata'!$B$5)^(O64-1))</x:f>
        <x:v>1325.7816069359944</x:v>
      </x:c>
      <x:c r="U64" s="60" t="n">
        <x:f>IF(T64="","",I64*T64)</x:f>
        <x:v>538850.4203681989</x:v>
      </x:c>
    </x:row>
    <x:row r="65" ht="18" customHeight="1">
      <x:c r="A65" s="46" t="str">
        <x:v>LME_046</x:v>
      </x:c>
      <x:c r="B65" s="46" t="str">
        <x:v>New Zealand Shelf</x:v>
      </x:c>
      <x:c r="C65" s="46" t="str">
        <x:v>LME</x:v>
      </x:c>
      <x:c r="D65" s="58" t="n">
        <x:v>2019</x:v>
      </x:c>
      <x:c r="E65" s="46" t="str">
        <x:v>Zeus faber</x:v>
      </x:c>
      <x:c r="F65" s="46" t="str">
        <x:v>John dory</x:v>
      </x:c>
      <x:c r="G65" s="46" t="str">
        <x:v>Medium benthopelagics (30 - 89 cm)</x:v>
      </x:c>
      <x:c r="H65" s="46" t="str">
        <x:v>Other fishes &amp; inverts</x:v>
      </x:c>
      <x:c r="I65" s="60" t="n">
        <x:v>384.2509144244</x:v>
      </x:c>
      <x:c r="J65" s="60" t="n">
        <x:v>384.2509144244</x:v>
      </x:c>
      <x:c r="K65" s="60" t="n">
        <x:v>0</x:v>
      </x:c>
      <x:c r="L65" s="60" t="n">
        <x:v>366.49404577179996</x:v>
      </x:c>
      <x:c r="M65" s="60" t="n">
        <x:v>17.756868652599998</x:v>
      </x:c>
      <x:c r="N65" s="46" t="str">
        <x:v>zeus faber</x:v>
      </x:c>
      <x:c r="O65" s="62" t="n">
        <x:v>4.5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Zeus faber</x:v>
      </x:c>
      <x:c r="T65" s="62" t="n">
        <x:f>IF(O65="","",(1/'Metadata'!$B$5)^(O65-1))</x:f>
        <x:v>35777.08763999664</x:v>
      </x:c>
      <x:c r="U65" s="60" t="n">
        <x:f>IF(T65="","",I65*T65)</x:f>
        <x:v>13747378.641110606</x:v>
      </x:c>
    </x:row>
    <x:row r="66" ht="18" customHeight="1">
      <x:c r="A66" s="46" t="str">
        <x:v>LME_046</x:v>
      </x:c>
      <x:c r="B66" s="46" t="str">
        <x:v>New Zealand Shelf</x:v>
      </x:c>
      <x:c r="C66" s="46" t="str">
        <x:v>LME</x:v>
      </x:c>
      <x:c r="D66" s="58" t="n">
        <x:v>2019</x:v>
      </x:c>
      <x:c r="E66" s="46" t="str">
        <x:v>Pecten novaezelandiae</x:v>
      </x:c>
      <x:c r="F66" s="46" t="str">
        <x:v>New Zealand scallop</x:v>
      </x:c>
      <x:c r="G66" s="46" t="str">
        <x:v>Other demersal invertebrates</x:v>
      </x:c>
      <x:c r="H66" s="46" t="str">
        <x:v>Molluscs</x:v>
      </x:c>
      <x:c r="I66" s="60" t="n">
        <x:v>368.1385551385</x:v>
      </x:c>
      <x:c r="J66" s="60" t="n">
        <x:v>368.1385551385</x:v>
      </x:c>
      <x:c r="K66" s="60" t="n">
        <x:v>0</x:v>
      </x:c>
      <x:c r="L66" s="60" t="n">
        <x:v>334.99066678900004</x:v>
      </x:c>
      <x:c r="M66" s="60" t="n">
        <x:v>33.1478883495</x:v>
      </x:c>
      <x:c r="N66" s="46" t="str">
        <x:v>pecten novaezelandiae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Pecten novaezelandiae</x:v>
      </x:c>
      <x:c r="T66" s="62" t="n">
        <x:f>IF(O66="","",(1/'Metadata'!$B$5)^(O66-1))</x:f>
        <x:v>20</x:v>
      </x:c>
      <x:c r="U66" s="60" t="n">
        <x:f>IF(T66="","",I66*T66)</x:f>
        <x:v>7362.771102770001</x:v>
      </x:c>
    </x:row>
    <x:row r="67" ht="18" customHeight="1">
      <x:c r="A67" s="46" t="str">
        <x:v>LME_046</x:v>
      </x:c>
      <x:c r="B67" s="46" t="str">
        <x:v>New Zealand Shelf</x:v>
      </x:c>
      <x:c r="C67" s="46" t="str">
        <x:v>LME</x:v>
      </x:c>
      <x:c r="D67" s="58" t="n">
        <x:v>2019</x:v>
      </x:c>
      <x:c r="E67" s="46" t="str">
        <x:v>Meuschenia scabra</x:v>
      </x:c>
      <x:c r="F67" s="46" t="str">
        <x:v>Velvet leatherjacket</x:v>
      </x:c>
      <x:c r="G67" s="46" t="str">
        <x:v>Small demersals (&lt;30 cm)</x:v>
      </x:c>
      <x:c r="H67" s="46" t="str">
        <x:v>Other fishes &amp; inverts</x:v>
      </x:c>
      <x:c r="I67" s="60" t="n">
        <x:v>361.74804334820004</x:v>
      </x:c>
      <x:c r="J67" s="60" t="n">
        <x:v>361.74804334820004</x:v>
      </x:c>
      <x:c r="K67" s="60" t="n">
        <x:v>0</x:v>
      </x:c>
      <x:c r="L67" s="60" t="n">
        <x:v>333.4270128454</x:v>
      </x:c>
      <x:c r="M67" s="60" t="n">
        <x:v>28.3210305028</x:v>
      </x:c>
      <x:c r="N67" s="46" t="str">
        <x:v>meuschenia scabra</x:v>
      </x:c>
      <x:c r="O67" s="62" t="n">
        <x:v>3.11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Meuschenia scabra</x:v>
      </x:c>
      <x:c r="T67" s="62" t="n">
        <x:f>IF(O67="","",(1/'Metadata'!$B$5)^(O67-1))</x:f>
        <x:v>556.1261167405597</x:v>
      </x:c>
      <x:c r="U67" s="60" t="n">
        <x:f>IF(T67="","",I67*T67)</x:f>
        <x:v>201177.53458573014</x:v>
      </x:c>
    </x:row>
    <x:row r="68" ht="18" customHeight="1">
      <x:c r="A68" s="46" t="str">
        <x:v>LME_046</x:v>
      </x:c>
      <x:c r="B68" s="46" t="str">
        <x:v>New Zealand Shelf</x:v>
      </x:c>
      <x:c r="C68" s="46" t="str">
        <x:v>LME</x:v>
      </x:c>
      <x:c r="D68" s="58" t="n">
        <x:v>2019</x:v>
      </x:c>
      <x:c r="E68" s="46" t="str">
        <x:v>Elasmobranchii</x:v>
      </x:c>
      <x:c r="F68" s="46" t="str">
        <x:v>Sharks, rays, skates</x:v>
      </x:c>
      <x:c r="G68" s="46" t="str">
        <x:v>Large sharks (&gt;=90 cm)</x:v>
      </x:c>
      <x:c r="H68" s="46" t="str">
        <x:v>Sharks &amp; rays</x:v>
      </x:c>
      <x:c r="I68" s="60" t="n">
        <x:v>350.5289949069</x:v>
      </x:c>
      <x:c r="J68" s="60" t="n">
        <x:v>141.5361960609</x:v>
      </x:c>
      <x:c r="K68" s="60" t="n">
        <x:v>208.992798846</x:v>
      </x:c>
      <x:c r="L68" s="60" t="n">
        <x:v>131.05617421259998</x:v>
      </x:c>
      <x:c r="M68" s="60" t="n">
        <x:v>219.4728206943</x:v>
      </x:c>
      <x:c r="N68" s="46" t="str">
        <x:v>elasmobranchii</x:v>
      </x:c>
      <x:c r="O68" s="62" t="n">
        <x:v>4.05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Elasmobranchii</x:v>
      </x:c>
      <x:c r="T68" s="62" t="n">
        <x:f>IF(O68="","",(1/'Metadata'!$B$5)^(O68-1))</x:f>
        <x:v>9292.690797132333</x:v>
      </x:c>
      <x:c r="U68" s="60" t="n">
        <x:f>IF(T68="","",I68*T68)</x:f>
        <x:v>3257357.565099396</x:v>
      </x:c>
    </x:row>
    <x:row r="69" ht="18" customHeight="1">
      <x:c r="A69" s="46" t="str">
        <x:v>LME_046</x:v>
      </x:c>
      <x:c r="B69" s="46" t="str">
        <x:v>New Zealand Shelf</x:v>
      </x:c>
      <x:c r="C69" s="46" t="str">
        <x:v>LME</x:v>
      </x:c>
      <x:c r="D69" s="58" t="n">
        <x:v>2019</x:v>
      </x:c>
      <x:c r="E69" s="46" t="str">
        <x:v>Moridae</x:v>
      </x:c>
      <x:c r="F69" s="46" t="str">
        <x:v>Codlings, moras</x:v>
      </x:c>
      <x:c r="G69" s="46" t="str">
        <x:v>Medium benthopelagics (30 - 89 cm)</x:v>
      </x:c>
      <x:c r="H69" s="46" t="str">
        <x:v>Cod-likes</x:v>
      </x:c>
      <x:c r="I69" s="60" t="n">
        <x:v>349.2262476929</x:v>
      </x:c>
      <x:c r="J69" s="60" t="n">
        <x:v>17.628799837499997</x:v>
      </x:c>
      <x:c r="K69" s="60" t="n">
        <x:v>331.5974478554</x:v>
      </x:c>
      <x:c r="L69" s="60" t="n">
        <x:v>15.9587296213</x:v>
      </x:c>
      <x:c r="M69" s="60" t="n">
        <x:v>333.2675180716</x:v>
      </x:c>
      <x:c r="N69" s="46" t="str">
        <x:v>moridae</x:v>
      </x:c>
      <x:c r="O69" s="62" t="n">
        <x:v>3.87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Moridae</x:v>
      </x:c>
      <x:c r="T69" s="62" t="n">
        <x:f>IF(O69="","",(1/'Metadata'!$B$5)^(O69-1))</x:f>
        <x:v>5419.460903023396</x:v>
      </x:c>
      <x:c r="U69" s="60" t="n">
        <x:f>IF(T69="","",I69*T69)</x:f>
        <x:v>1892617.995681236</x:v>
      </x:c>
    </x:row>
    <x:row r="70" ht="18" customHeight="1">
      <x:c r="A70" s="46" t="str">
        <x:v>LME_046</x:v>
      </x:c>
      <x:c r="B70" s="46" t="str">
        <x:v>New Zealand Shelf</x:v>
      </x:c>
      <x:c r="C70" s="46" t="str">
        <x:v>LME</x:v>
      </x:c>
      <x:c r="D70" s="58" t="n">
        <x:v>2019</x:v>
      </x:c>
      <x:c r="E70" s="46" t="str">
        <x:v>Bramidae</x:v>
      </x:c>
      <x:c r="F70" s="46" t="str">
        <x:v>Pomfrets</x:v>
      </x:c>
      <x:c r="G70" s="46" t="str">
        <x:v>Medium pelagics (30 - 89 cm)</x:v>
      </x:c>
      <x:c r="H70" s="46" t="str">
        <x:v>Perch-likes</x:v>
      </x:c>
      <x:c r="I70" s="60" t="n">
        <x:v>343.9324624445</x:v>
      </x:c>
      <x:c r="J70" s="60" t="n">
        <x:v>1.7234559196</x:v>
      </x:c>
      <x:c r="K70" s="60" t="n">
        <x:v>342.20900652489996</x:v>
      </x:c>
      <x:c r="L70" s="60" t="n">
        <x:v>1.5551576591</x:v>
      </x:c>
      <x:c r="M70" s="60" t="n">
        <x:v>342.3773047854</x:v>
      </x:c>
      <x:c r="N70" s="46" t="str">
        <x:v>bramidae</x:v>
      </x:c>
      <x:c r="O70" s="62" t="n">
        <x:v>4.14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Bramidae</x:v>
      </x:c>
      <x:c r="T70" s="62" t="n">
        <x:f>IF(O70="","",(1/'Metadata'!$B$5)^(O70-1))</x:f>
        <x:v>12168.419864331923</x:v>
      </x:c>
      <x:c r="U70" s="60" t="n">
        <x:f>IF(T70="","",I70*T70)</x:f>
        <x:v>4185114.607998247</x:v>
      </x:c>
    </x:row>
    <x:row r="71" ht="18" customHeight="1">
      <x:c r="A71" s="46" t="str">
        <x:v>LME_046</x:v>
      </x:c>
      <x:c r="B71" s="46" t="str">
        <x:v>New Zealand Shelf</x:v>
      </x:c>
      <x:c r="C71" s="46" t="str">
        <x:v>LME</x:v>
      </x:c>
      <x:c r="D71" s="58" t="n">
        <x:v>2019</x:v>
      </x:c>
      <x:c r="E71" s="46" t="str">
        <x:v>Ommastrephidae</x:v>
      </x:c>
      <x:c r="F71" s="46" t="str">
        <x:v>Arrow squids</x:v>
      </x:c>
      <x:c r="G71" s="46" t="str">
        <x:v>Cephalopods</x:v>
      </x:c>
      <x:c r="H71" s="46" t="str">
        <x:v>Other fishes &amp; inverts</x:v>
      </x:c>
      <x:c r="I71" s="60" t="n">
        <x:v>335.79522520420005</x:v>
      </x:c>
      <x:c r="J71" s="60" t="n">
        <x:v>0.0396411341</x:v>
      </x:c>
      <x:c r="K71" s="60" t="n">
        <x:v>335.75558407010004</x:v>
      </x:c>
      <x:c r="L71" s="60" t="n">
        <x:v>0.0352495039</x:v>
      </x:c>
      <x:c r="M71" s="60" t="n">
        <x:v>335.7599757003</x:v>
      </x:c>
      <x:c r="N71" s="46" t="str">
        <x:v>ommastrephidae</x:v>
      </x:c>
      <x:c r="O71" s="62" t="n">
        <x:v>4.09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Ommastrephidae</x:v>
      </x:c>
      <x:c r="T71" s="62" t="n">
        <x:f>IF(O71="","",(1/'Metadata'!$B$5)^(O71-1))</x:f>
        <x:v>10475.691168449957</x:v>
      </x:c>
      <x:c r="U71" s="60" t="n">
        <x:f>IF(T71="","",I71*T71)</x:f>
        <x:v>3517687.075079303</x:v>
      </x:c>
    </x:row>
    <x:row r="72" ht="18" customHeight="1">
      <x:c r="A72" s="46" t="str">
        <x:v>LME_046</x:v>
      </x:c>
      <x:c r="B72" s="46" t="str">
        <x:v>New Zealand Shelf</x:v>
      </x:c>
      <x:c r="C72" s="46" t="str">
        <x:v>LME</x:v>
      </x:c>
      <x:c r="D72" s="58" t="n">
        <x:v>2019</x:v>
      </x:c>
      <x:c r="E72" s="46" t="str">
        <x:v>Chimaeriformes</x:v>
      </x:c>
      <x:c r="F72" s="46" t="str">
        <x:v>Chimaeras</x:v>
      </x:c>
      <x:c r="G72" s="46" t="str">
        <x:v>Large rays (&gt;=90 cm)</x:v>
      </x:c>
      <x:c r="H72" s="46" t="str">
        <x:v>Sharks &amp; rays</x:v>
      </x:c>
      <x:c r="I72" s="60" t="n">
        <x:v>323.1252241353</x:v>
      </x:c>
      <x:c r="J72" s="60" t="n">
        <x:v>1.3589688069</x:v>
      </x:c>
      <x:c r="K72" s="60" t="n">
        <x:v>321.7662553284</x:v>
      </x:c>
      <x:c r="L72" s="60" t="n">
        <x:v>1.2266957025</x:v>
      </x:c>
      <x:c r="M72" s="60" t="n">
        <x:v>321.8985284328</x:v>
      </x:c>
      <x:c r="N72" s="46" t="str">
        <x:v>chimaeriformes</x:v>
      </x:c>
      <x:c r="O72" s="62" t="n">
        <x:v>3.37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Chimaeriformes</x:v>
      </x:c>
      <x:c r="T72" s="62" t="n">
        <x:f>IF(O72="","",(1/'Metadata'!$B$5)^(O72-1))</x:f>
        <x:v>1211.828298056271</x:v>
      </x:c>
      <x:c r="U72" s="60" t="n">
        <x:f>IF(T72="","",I72*T72)</x:f>
        <x:v>391572.2904229317</x:v>
      </x:c>
    </x:row>
    <x:row r="73" ht="18" customHeight="1">
      <x:c r="A73" s="46" t="str">
        <x:v>LME_046</x:v>
      </x:c>
      <x:c r="B73" s="46" t="str">
        <x:v>New Zealand Shelf</x:v>
      </x:c>
      <x:c r="C73" s="46" t="str">
        <x:v>LME</x:v>
      </x:c>
      <x:c r="D73" s="58" t="n">
        <x:v>2019</x:v>
      </x:c>
      <x:c r="E73" s="46" t="str">
        <x:v>Xiphias gladius</x:v>
      </x:c>
      <x:c r="F73" s="46" t="str">
        <x:v>Swordfish</x:v>
      </x:c>
      <x:c r="G73" s="46" t="str">
        <x:v>Large pelagics (&gt;=90 cm)</x:v>
      </x:c>
      <x:c r="H73" s="46" t="str">
        <x:v>Tuna &amp; billfishes</x:v>
      </x:c>
      <x:c r="I73" s="60" t="n">
        <x:v>299.1375171097</x:v>
      </x:c>
      <x:c r="J73" s="60" t="n">
        <x:v>285.2279051657</x:v>
      </x:c>
      <x:c r="K73" s="60" t="n">
        <x:v>13.909611944</x:v>
      </x:c>
      <x:c r="L73" s="60" t="n">
        <x:v>277.8952103913</x:v>
      </x:c>
      <x:c r="M73" s="60" t="n">
        <x:v>21.242306718400002</x:v>
      </x:c>
      <x:c r="N73" s="46" t="str">
        <x:v>xiphias gladius</x:v>
      </x:c>
      <x:c r="O73" s="62" t="n">
        <x:v>4.53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Xiphias gladius</x:v>
      </x:c>
      <x:c r="T73" s="62" t="n">
        <x:f>IF(O73="","",(1/'Metadata'!$B$5)^(O73-1))</x:f>
        <x:v>39141.35758252625</x:v>
      </x:c>
      <x:c r="U73" s="60" t="n">
        <x:f>IF(T73="","",I73*T73)</x:f>
        <x:v>11708648.523539834</x:v>
      </x:c>
    </x:row>
    <x:row r="74" ht="18" customHeight="1">
      <x:c r="A74" s="46" t="str">
        <x:v>LME_046</x:v>
      </x:c>
      <x:c r="B74" s="46" t="str">
        <x:v>New Zealand Shelf</x:v>
      </x:c>
      <x:c r="C74" s="46" t="str">
        <x:v>LME</x:v>
      </x:c>
      <x:c r="D74" s="58" t="n">
        <x:v>2019</x:v>
      </x:c>
      <x:c r="E74" s="46" t="str">
        <x:v>Marine pelagic fishes not identified</x:v>
      </x:c>
      <x:c r="F74" s="46" t="str">
        <x:v>Pelagic fishes</x:v>
      </x:c>
      <x:c r="G74" s="46" t="str">
        <x:v>Medium pelagics (30 - 89 cm)</x:v>
      </x:c>
      <x:c r="H74" s="46" t="str">
        <x:v>Other fishes &amp; inverts</x:v>
      </x:c>
      <x:c r="I74" s="60" t="n">
        <x:v>294.1871222784</x:v>
      </x:c>
      <x:c r="J74" s="60" t="n">
        <x:v>1.2046539585</x:v>
      </x:c>
      <x:c r="K74" s="60" t="n">
        <x:v>292.98246831989997</x:v>
      </x:c>
      <x:c r="L74" s="60" t="n">
        <x:v>1.1391271432</x:v>
      </x:c>
      <x:c r="M74" s="60" t="n">
        <x:v>293.04799513520004</x:v>
      </x:c>
      <x:c r="N74" s="46" t="str">
        <x:v>marine pelagic fishes not identified</x:v>
      </x:c>
      <x:c r="O74" s="62" t="n">
        <x:v>3.35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Marine pelagic fishes not identified</x:v>
      </x:c>
      <x:c r="T74" s="62" t="n">
        <x:f>IF(O74="","",(1/'Metadata'!$B$5)^(O74-1))</x:f>
        <x:v>1141.3543275066227</x:v>
      </x:c>
      <x:c r="U74" s="60" t="n">
        <x:f>IF(T74="","",I74*T74)</x:f>
        <x:v>335771.74510917184</x:v>
      </x:c>
    </x:row>
    <x:row r="75" ht="18" customHeight="1">
      <x:c r="A75" s="46" t="str">
        <x:v>LME_046</x:v>
      </x:c>
      <x:c r="B75" s="46" t="str">
        <x:v>New Zealand Shelf</x:v>
      </x:c>
      <x:c r="C75" s="46" t="str">
        <x:v>LME</x:v>
      </x:c>
      <x:c r="D75" s="58" t="n">
        <x:v>2019</x:v>
      </x:c>
      <x:c r="E75" s="46" t="str">
        <x:v>Eptatretus cirrhatus</x:v>
      </x:c>
      <x:c r="F75" s="46" t="str">
        <x:v>Broadgilled hagfish</x:v>
      </x:c>
      <x:c r="G75" s="46" t="str">
        <x:v>Medium bathydemersals (30 - 89 cm)</x:v>
      </x:c>
      <x:c r="H75" s="46" t="str">
        <x:v>Other fishes &amp; inverts</x:v>
      </x:c>
      <x:c r="I75" s="60" t="n">
        <x:v>276.8769257861</x:v>
      </x:c>
      <x:c r="J75" s="60" t="n">
        <x:v>276.8769257861</x:v>
      </x:c>
      <x:c r="K75" s="60" t="n">
        <x:v>0</x:v>
      </x:c>
      <x:c r="L75" s="60" t="n">
        <x:v>249.8327653339</x:v>
      </x:c>
      <x:c r="M75" s="60" t="n">
        <x:v>27.0441604522</x:v>
      </x:c>
      <x:c r="N75" s="46" t="str">
        <x:v>eptatretus cirrhatus</x:v>
      </x:c>
      <x:c r="O75" s="62" t="n">
        <x:v>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Eptatretus cirrhatus</x:v>
      </x:c>
      <x:c r="T75" s="62" t="n">
        <x:f>IF(O75="","",(1/'Metadata'!$B$5)^(O75-1))</x:f>
        <x:v>160000</x:v>
      </x:c>
      <x:c r="U75" s="60" t="n">
        <x:f>IF(T75="","",I75*T75)</x:f>
        <x:v>44300308.125776</x:v>
      </x:c>
    </x:row>
    <x:row r="76" ht="18" customHeight="1">
      <x:c r="A76" s="46" t="str">
        <x:v>LME_046</x:v>
      </x:c>
      <x:c r="B76" s="46" t="str">
        <x:v>New Zealand Shelf</x:v>
      </x:c>
      <x:c r="C76" s="46" t="str">
        <x:v>LME</x:v>
      </x:c>
      <x:c r="D76" s="58" t="n">
        <x:v>2019</x:v>
      </x:c>
      <x:c r="E76" s="46" t="str">
        <x:v>Nemadactylus macropterus</x:v>
      </x:c>
      <x:c r="F76" s="46" t="str">
        <x:v>Tarakihi</x:v>
      </x:c>
      <x:c r="G76" s="46" t="str">
        <x:v>Medium demersals (30 - 89 cm)</x:v>
      </x:c>
      <x:c r="H76" s="46" t="str">
        <x:v>Perch-likes</x:v>
      </x:c>
      <x:c r="I76" s="60" t="n">
        <x:v>256.9849052672</x:v>
      </x:c>
      <x:c r="J76" s="60" t="n">
        <x:v>256.9849052672</x:v>
      </x:c>
      <x:c r="K76" s="60" t="n">
        <x:v>0</x:v>
      </x:c>
      <x:c r="L76" s="60" t="n">
        <x:v>0</x:v>
      </x:c>
      <x:c r="M76" s="60" t="n">
        <x:v>256.9849052672</x:v>
      </x:c>
      <x:c r="N76" s="46" t="str">
        <x:v>nemadactylus macropterus</x:v>
      </x:c>
      <x:c r="O76" s="62" t="n">
        <x:v>3.41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Nemadactylus macropterus</x:v>
      </x:c>
      <x:c r="T76" s="62" t="n">
        <x:f>IF(O76="","",(1/'Metadata'!$B$5)^(O76-1))</x:f>
        <x:v>1366.0993652713958</x:v>
      </x:c>
      <x:c r="U76" s="60" t="n">
        <x:f>IF(T76="","",I76*T76)</x:f>
        <x:v>351066.9159698517</x:v>
      </x:c>
    </x:row>
    <x:row r="77" ht="18" customHeight="1">
      <x:c r="A77" s="46" t="str">
        <x:v>LME_046</x:v>
      </x:c>
      <x:c r="B77" s="46" t="str">
        <x:v>New Zealand Shelf</x:v>
      </x:c>
      <x:c r="C77" s="46" t="str">
        <x:v>LME</x:v>
      </x:c>
      <x:c r="D77" s="58" t="n">
        <x:v>2019</x:v>
      </x:c>
      <x:c r="E77" s="46" t="str">
        <x:v>Pseudocaranx dentex</x:v>
      </x:c>
      <x:c r="F77" s="46" t="str">
        <x:v>White trevally</x:v>
      </x:c>
      <x:c r="G77" s="46" t="str">
        <x:v>Large reef assoc. fish (&gt;=90 cm)</x:v>
      </x:c>
      <x:c r="H77" s="46" t="str">
        <x:v>Perch-likes</x:v>
      </x:c>
      <x:c r="I77" s="60" t="n">
        <x:v>254.8355450736</x:v>
      </x:c>
      <x:c r="J77" s="60" t="n">
        <x:v>254.8355450736</x:v>
      </x:c>
      <x:c r="K77" s="60" t="n">
        <x:v>0</x:v>
      </x:c>
      <x:c r="L77" s="60" t="n">
        <x:v>0</x:v>
      </x:c>
      <x:c r="M77" s="60" t="n">
        <x:v>254.8355450736</x:v>
      </x:c>
      <x:c r="N77" s="46" t="str">
        <x:v>pseudocaranx dentex</x:v>
      </x:c>
      <x:c r="O77" s="62" t="n">
        <x:v>3.92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Pseudocaranx dentex</x:v>
      </x:c>
      <x:c r="T77" s="62" t="n">
        <x:f>IF(O77="","",(1/'Metadata'!$B$5)^(O77-1))</x:f>
        <x:v>6295.1718073679995</x:v>
      </x:c>
      <x:c r="U77" s="60" t="n">
        <x:f>IF(T77="","",I77*T77)</x:f>
        <x:v>1604233.538862584</x:v>
      </x:c>
    </x:row>
    <x:row r="78" ht="18" customHeight="1">
      <x:c r="A78" s="46" t="str">
        <x:v>LME_046</x:v>
      </x:c>
      <x:c r="B78" s="46" t="str">
        <x:v>New Zealand Shelf</x:v>
      </x:c>
      <x:c r="C78" s="46" t="str">
        <x:v>LME</x:v>
      </x:c>
      <x:c r="D78" s="58" t="n">
        <x:v>2019</x:v>
      </x:c>
      <x:c r="E78" s="46" t="str">
        <x:v>Lamnidae</x:v>
      </x:c>
      <x:c r="F78" s="46" t="str">
        <x:v>Mackerel/white sharks</x:v>
      </x:c>
      <x:c r="G78" s="46" t="str">
        <x:v>Large sharks (&gt;=90 cm)</x:v>
      </x:c>
      <x:c r="H78" s="46" t="str">
        <x:v>Sharks &amp; rays</x:v>
      </x:c>
      <x:c r="I78" s="60" t="n">
        <x:v>245.9710587907</x:v>
      </x:c>
      <x:c r="J78" s="60" t="n">
        <x:v>0</x:v>
      </x:c>
      <x:c r="K78" s="60" t="n">
        <x:v>245.9710587907</x:v>
      </x:c>
      <x:c r="L78" s="60" t="n">
        <x:v>0</x:v>
      </x:c>
      <x:c r="M78" s="60" t="n">
        <x:v>245.9710587907</x:v>
      </x:c>
      <x:c r="N78" s="46" t="str">
        <x:v>lamnidae</x:v>
      </x:c>
      <x:c r="O78" s="62" t="n">
        <x:v>4.5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Lamnidae</x:v>
      </x:c>
      <x:c r="T78" s="62" t="n">
        <x:f>IF(O78="","",(1/'Metadata'!$B$5)^(O78-1))</x:f>
        <x:v>35777.08763999664</x:v>
      </x:c>
      <x:c r="U78" s="60" t="n">
        <x:f>IF(T78="","",I78*T78)</x:f>
        <x:v>8800128.12725764</x:v>
      </x:c>
    </x:row>
    <x:row r="79" ht="18" customHeight="1">
      <x:c r="A79" s="46" t="str">
        <x:v>LME_046</x:v>
      </x:c>
      <x:c r="B79" s="46" t="str">
        <x:v>New Zealand Shelf</x:v>
      </x:c>
      <x:c r="C79" s="46" t="str">
        <x:v>LME</x:v>
      </x:c>
      <x:c r="D79" s="58" t="n">
        <x:v>2019</x:v>
      </x:c>
      <x:c r="E79" s="46" t="str">
        <x:v>Odax pullus</x:v>
      </x:c>
      <x:c r="F79" s="46" t="str">
        <x:v>Butterfish</x:v>
      </x:c>
      <x:c r="G79" s="46" t="str">
        <x:v>Small pelagics (&lt;30 cm)</x:v>
      </x:c>
      <x:c r="H79" s="46" t="str">
        <x:v>Perch-likes</x:v>
      </x:c>
      <x:c r="I79" s="60" t="n">
        <x:v>219.837934041</x:v>
      </x:c>
      <x:c r="J79" s="60" t="n">
        <x:v>219.837934041</x:v>
      </x:c>
      <x:c r="K79" s="60" t="n">
        <x:v>0</x:v>
      </x:c>
      <x:c r="L79" s="60" t="n">
        <x:v>97.8392619287</x:v>
      </x:c>
      <x:c r="M79" s="60" t="n">
        <x:v>121.99867211229999</x:v>
      </x:c>
      <x:c r="N79" s="46" t="str">
        <x:v>odax pullus</x:v>
      </x:c>
      <x:c r="O79" s="62" t="n">
        <x:v>2.06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Odax pullus</x:v>
      </x:c>
      <x:c r="T79" s="62" t="n">
        <x:f>IF(O79="","",(1/'Metadata'!$B$5)^(O79-1))</x:f>
        <x:v>23.93821677192474</x:v>
      </x:c>
      <x:c r="U79" s="60" t="n">
        <x:f>IF(T79="","",I79*T79)</x:f>
        <x:v>5262.528119765551</x:v>
      </x:c>
    </x:row>
    <x:row r="80" ht="18" customHeight="1">
      <x:c r="A80" s="46" t="str">
        <x:v>LME_046</x:v>
      </x:c>
      <x:c r="B80" s="46" t="str">
        <x:v>New Zealand Shelf</x:v>
      </x:c>
      <x:c r="C80" s="46" t="str">
        <x:v>LME</x:v>
      </x:c>
      <x:c r="D80" s="58" t="n">
        <x:v>2019</x:v>
      </x:c>
      <x:c r="E80" s="46" t="str">
        <x:v>Marine groundfishes not identified</x:v>
      </x:c>
      <x:c r="F80" s="46" t="str">
        <x:v>Groundfishes</x:v>
      </x:c>
      <x:c r="G80" s="46" t="str">
        <x:v>Medium demersals (30 - 89 cm)</x:v>
      </x:c>
      <x:c r="H80" s="46" t="str">
        <x:v>Other fishes &amp; inverts</x:v>
      </x:c>
      <x:c r="I80" s="60" t="n">
        <x:v>217.0545285723</x:v>
      </x:c>
      <x:c r="J80" s="60" t="n">
        <x:v>9.7457079989</x:v>
      </x:c>
      <x:c r="K80" s="60" t="n">
        <x:v>207.3088205734</x:v>
      </x:c>
      <x:c r="L80" s="60" t="n">
        <x:v>8.8541252824</x:v>
      </x:c>
      <x:c r="M80" s="60" t="n">
        <x:v>208.20040328989998</x:v>
      </x:c>
      <x:c r="N80" s="46" t="str">
        <x:v>marine groundfishes not identified</x:v>
      </x:c>
      <x:c r="O80" s="62" t="n">
        <x:v>3.22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Marine groundfishes not identified</x:v>
      </x:c>
      <x:c r="T80" s="62" t="n">
        <x:f>IF(O80="","",(1/'Metadata'!$B$5)^(O80-1))</x:f>
        <x:v>773.1906443023378</x:v>
      </x:c>
      <x:c r="U80" s="60" t="n">
        <x:f>IF(T80="","",I80*T80)</x:f>
        <x:v>167824.5307955568</x:v>
      </x:c>
    </x:row>
    <x:row r="81" ht="18" customHeight="1">
      <x:c r="A81" s="46" t="str">
        <x:v>LME_046</x:v>
      </x:c>
      <x:c r="B81" s="46" t="str">
        <x:v>New Zealand Shelf</x:v>
      </x:c>
      <x:c r="C81" s="46" t="str">
        <x:v>LME</x:v>
      </x:c>
      <x:c r="D81" s="58" t="n">
        <x:v>2019</x:v>
      </x:c>
      <x:c r="E81" s="46" t="str">
        <x:v>Pectinidae</x:v>
      </x:c>
      <x:c r="F81" s="46" t="str">
        <x:v>Scallops</x:v>
      </x:c>
      <x:c r="G81" s="46" t="str">
        <x:v>Other demersal invertebrates</x:v>
      </x:c>
      <x:c r="H81" s="46" t="str">
        <x:v>Molluscs</x:v>
      </x:c>
      <x:c r="I81" s="60" t="n">
        <x:v>198.79347210889998</x:v>
      </x:c>
      <x:c r="J81" s="60" t="n">
        <x:v>188.9847174878</x:v>
      </x:c>
      <x:c r="K81" s="60" t="n">
        <x:v>9.8087546211</x:v>
      </x:c>
      <x:c r="L81" s="60" t="n">
        <x:v>0</x:v>
      </x:c>
      <x:c r="M81" s="60" t="n">
        <x:v>198.79347210889998</x:v>
      </x:c>
      <x:c r="N81" s="46" t="str">
        <x:v>pectinidae</x:v>
      </x:c>
      <x:c r="O81" s="62" t="n">
        <x:v>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Pectinidae</x:v>
      </x:c>
      <x:c r="T81" s="62" t="n">
        <x:f>IF(O81="","",(1/'Metadata'!$B$5)^(O81-1))</x:f>
        <x:v>20</x:v>
      </x:c>
      <x:c r="U81" s="60" t="n">
        <x:f>IF(T81="","",I81*T81)</x:f>
        <x:v>3975.8694421779996</x:v>
      </x:c>
    </x:row>
    <x:row r="82" ht="18" customHeight="1">
      <x:c r="A82" s="46" t="str">
        <x:v>LME_046</x:v>
      </x:c>
      <x:c r="B82" s="46" t="str">
        <x:v>New Zealand Shelf</x:v>
      </x:c>
      <x:c r="C82" s="46" t="str">
        <x:v>LME</x:v>
      </x:c>
      <x:c r="D82" s="58" t="n">
        <x:v>2019</x:v>
      </x:c>
      <x:c r="E82" s="46" t="str">
        <x:v>Teuthida</x:v>
      </x:c>
      <x:c r="F82" s="46" t="str">
        <x:v>Squids</x:v>
      </x:c>
      <x:c r="G82" s="46" t="str">
        <x:v>Cephalopods</x:v>
      </x:c>
      <x:c r="H82" s="46" t="str">
        <x:v>Other fishes &amp; inverts</x:v>
      </x:c>
      <x:c r="I82" s="60" t="n">
        <x:v>196.7196677064</x:v>
      </x:c>
      <x:c r="J82" s="60" t="n">
        <x:v>39.500621328</x:v>
      </x:c>
      <x:c r="K82" s="60" t="n">
        <x:v>157.2190463784</x:v>
      </x:c>
      <x:c r="L82" s="60" t="n">
        <x:v>36.0078066509</x:v>
      </x:c>
      <x:c r="M82" s="60" t="n">
        <x:v>160.7118610555</x:v>
      </x:c>
      <x:c r="N82" s="46" t="str">
        <x:v>teuthida</x:v>
      </x:c>
      <x:c r="O82" s="62" t="n">
        <x:v>4.13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Teuthida</x:v>
      </x:c>
      <x:c r="T82" s="62" t="n">
        <x:f>IF(O82="","",(1/'Metadata'!$B$5)^(O82-1))</x:f>
        <x:v>11809.292685236613</x:v>
      </x:c>
      <x:c r="U82" s="60" t="n">
        <x:f>IF(T82="","",I82*T82)</x:f>
        <x:v>2323120.1328873667</x:v>
      </x:c>
    </x:row>
    <x:row r="83" ht="18" customHeight="1">
      <x:c r="A83" s="46" t="str">
        <x:v>LME_046</x:v>
      </x:c>
      <x:c r="B83" s="46" t="str">
        <x:v>New Zealand Shelf</x:v>
      </x:c>
      <x:c r="C83" s="46" t="str">
        <x:v>LME</x:v>
      </x:c>
      <x:c r="D83" s="58" t="n">
        <x:v>2019</x:v>
      </x:c>
      <x:c r="E83" s="46" t="str">
        <x:v>Dalatias licha</x:v>
      </x:c>
      <x:c r="F83" s="46" t="str">
        <x:v>Kitefin shark</x:v>
      </x:c>
      <x:c r="G83" s="46" t="str">
        <x:v>Large sharks (&gt;=90 cm)</x:v>
      </x:c>
      <x:c r="H83" s="46" t="str">
        <x:v>Sharks &amp; rays</x:v>
      </x:c>
      <x:c r="I83" s="60" t="n">
        <x:v>164.3488552659</x:v>
      </x:c>
      <x:c r="J83" s="60" t="n">
        <x:v>164.3488552659</x:v>
      </x:c>
      <x:c r="K83" s="60" t="n">
        <x:v>0</x:v>
      </x:c>
      <x:c r="L83" s="60" t="n">
        <x:v>148.3876456239</x:v>
      </x:c>
      <x:c r="M83" s="60" t="n">
        <x:v>15.961209642</x:v>
      </x:c>
      <x:c r="N83" s="46" t="str">
        <x:v>dalatias licha</x:v>
      </x:c>
      <x:c r="O83" s="62" t="n">
        <x:v>4.23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Dalatias licha</x:v>
      </x:c>
      <x:c r="T83" s="62" t="n">
        <x:f>IF(O83="","",(1/'Metadata'!$B$5)^(O83-1))</x:f>
        <x:v>15934.076063346663</x:v>
      </x:c>
      <x:c r="U83" s="60" t="n">
        <x:f>IF(T83="","",I83*T83)</x:f>
        <x:v>2618747.1607308025</x:v>
      </x:c>
    </x:row>
    <x:row r="84" ht="18" customHeight="1">
      <x:c r="A84" s="46" t="str">
        <x:v>LME_046</x:v>
      </x:c>
      <x:c r="B84" s="46" t="str">
        <x:v>New Zealand Shelf</x:v>
      </x:c>
      <x:c r="C84" s="46" t="str">
        <x:v>LME</x:v>
      </x:c>
      <x:c r="D84" s="58" t="n">
        <x:v>2019</x:v>
      </x:c>
      <x:c r="E84" s="46" t="str">
        <x:v>Mytilidae</x:v>
      </x:c>
      <x:c r="F84" s="46" t="str">
        <x:v>Sea mussels</x:v>
      </x:c>
      <x:c r="G84" s="46" t="str">
        <x:v>Other demersal invertebrates</x:v>
      </x:c>
      <x:c r="H84" s="46" t="str">
        <x:v>Molluscs</x:v>
      </x:c>
      <x:c r="I84" s="60" t="n">
        <x:v>146.1415414014</x:v>
      </x:c>
      <x:c r="J84" s="60" t="n">
        <x:v>146.1415414014</x:v>
      </x:c>
      <x:c r="K84" s="60" t="n">
        <x:v>0</x:v>
      </x:c>
      <x:c r="L84" s="60" t="n">
        <x:v>0</x:v>
      </x:c>
      <x:c r="M84" s="60" t="n">
        <x:v>146.1415414014</x:v>
      </x:c>
      <x:c r="N84" s="46" t="str">
        <x:v>mytilidae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Mytilidae</x:v>
      </x:c>
      <x:c r="T84" s="62" t="n">
        <x:f>IF(O84="","",(1/'Metadata'!$B$5)^(O84-1))</x:f>
        <x:v>20</x:v>
      </x:c>
      <x:c r="U84" s="60" t="n">
        <x:f>IF(T84="","",I84*T84)</x:f>
        <x:v>2922.830828028</x:v>
      </x:c>
    </x:row>
    <x:row r="85" ht="18" customHeight="1">
      <x:c r="A85" s="46" t="str">
        <x:v>LME_046</x:v>
      </x:c>
      <x:c r="B85" s="46" t="str">
        <x:v>New Zealand Shelf</x:v>
      </x:c>
      <x:c r="C85" s="46" t="str">
        <x:v>LME</x:v>
      </x:c>
      <x:c r="D85" s="58" t="n">
        <x:v>2019</x:v>
      </x:c>
      <x:c r="E85" s="46" t="str">
        <x:v>Zenopsis nebulosa</x:v>
      </x:c>
      <x:c r="F85" s="46" t="str">
        <x:v>Mirror dory</x:v>
      </x:c>
      <x:c r="G85" s="46" t="str">
        <x:v>Medium bathydemersals (30 - 89 cm)</x:v>
      </x:c>
      <x:c r="H85" s="46" t="str">
        <x:v>Other fishes &amp; inverts</x:v>
      </x:c>
      <x:c r="I85" s="60" t="n">
        <x:v>141.3398030184</x:v>
      </x:c>
      <x:c r="J85" s="60" t="n">
        <x:v>141.3398030184</x:v>
      </x:c>
      <x:c r="K85" s="60" t="n">
        <x:v>0</x:v>
      </x:c>
      <x:c r="L85" s="60" t="n">
        <x:v>127.5437135639</x:v>
      </x:c>
      <x:c r="M85" s="60" t="n">
        <x:v>13.7960894545</x:v>
      </x:c>
      <x:c r="N85" s="46" t="str">
        <x:v>zenopsis nebulosa</x:v>
      </x:c>
      <x:c r="O85" s="62" t="n">
        <x:v>3.98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Zenopsis nebulosa</x:v>
      </x:c>
      <x:c r="T85" s="62" t="n">
        <x:f>IF(O85="","",(1/'Metadata'!$B$5)^(O85-1))</x:f>
        <x:v>7534.759367064222</x:v>
      </x:c>
      <x:c r="U85" s="60" t="n">
        <x:f>IF(T85="","",I85*T85)</x:f>
        <x:v>1064961.4047319014</x:v>
      </x:c>
    </x:row>
    <x:row r="86" ht="18" customHeight="1">
      <x:c r="A86" s="46" t="str">
        <x:v>LME_046</x:v>
      </x:c>
      <x:c r="B86" s="46" t="str">
        <x:v>New Zealand Shelf</x:v>
      </x:c>
      <x:c r="C86" s="46" t="str">
        <x:v>LME</x:v>
      </x:c>
      <x:c r="D86" s="58" t="n">
        <x:v>2019</x:v>
      </x:c>
      <x:c r="E86" s="46" t="str">
        <x:v>Scombridae</x:v>
      </x:c>
      <x:c r="F86" s="46" t="str">
        <x:v>Mackerels, tunas, bonitos</x:v>
      </x:c>
      <x:c r="G86" s="46" t="str">
        <x:v>Medium pelagics (30 - 89 cm)</x:v>
      </x:c>
      <x:c r="H86" s="46" t="str">
        <x:v>Perch-likes</x:v>
      </x:c>
      <x:c r="I86" s="60" t="n">
        <x:v>139.6634724874</x:v>
      </x:c>
      <x:c r="J86" s="60" t="n">
        <x:v>4.8543911927000005</x:v>
      </x:c>
      <x:c r="K86" s="60" t="n">
        <x:v>134.8090812947</x:v>
      </x:c>
      <x:c r="L86" s="60" t="n">
        <x:v>4.4260242297</x:v>
      </x:c>
      <x:c r="M86" s="60" t="n">
        <x:v>135.2374482577</x:v>
      </x:c>
      <x:c r="N86" s="46" t="str">
        <x:v>scombridae</x:v>
      </x:c>
      <x:c r="O86" s="62" t="n">
        <x:v>4.26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Scombridae</x:v>
      </x:c>
      <x:c r="T86" s="62" t="n">
        <x:f>IF(O86="","",(1/'Metadata'!$B$5)^(O86-1))</x:f>
        <x:v>17432.42421569787</x:v>
      </x:c>
      <x:c r="U86" s="60" t="n">
        <x:f>IF(T86="","",I86*T86)</x:f>
        <x:v>2434672.899837805</x:v>
      </x:c>
    </x:row>
    <x:row r="87" ht="18" customHeight="1">
      <x:c r="A87" s="46" t="str">
        <x:v>LME_046</x:v>
      </x:c>
      <x:c r="B87" s="46" t="str">
        <x:v>New Zealand Shelf</x:v>
      </x:c>
      <x:c r="C87" s="46" t="str">
        <x:v>LME</x:v>
      </x:c>
      <x:c r="D87" s="58" t="n">
        <x:v>2019</x:v>
      </x:c>
      <x:c r="E87" s="46" t="str">
        <x:v>Anguilliformes</x:v>
      </x:c>
      <x:c r="F87" s="46" t="str">
        <x:v>Eels, morays</x:v>
      </x:c>
      <x:c r="G87" s="46" t="str">
        <x:v>Large demersals (&gt;=90 cm)</x:v>
      </x:c>
      <x:c r="H87" s="46" t="str">
        <x:v>Other fishes &amp; inverts</x:v>
      </x:c>
      <x:c r="I87" s="60" t="n">
        <x:v>132.4160744308</x:v>
      </x:c>
      <x:c r="J87" s="60" t="n">
        <x:v>0.4919173409</x:v>
      </x:c>
      <x:c r="K87" s="60" t="n">
        <x:v>131.9241570899</x:v>
      </x:c>
      <x:c r="L87" s="60" t="n">
        <x:v>0.44419183929999995</x:v>
      </x:c>
      <x:c r="M87" s="60" t="n">
        <x:v>131.9718825915</x:v>
      </x:c>
      <x:c r="N87" s="46" t="str">
        <x:v>anguilliformes</x:v>
      </x:c>
      <x:c r="O87" s="62" t="n">
        <x:v>3.89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Anguilliformes</x:v>
      </x:c>
      <x:c r="T87" s="62" t="n">
        <x:f>IF(O87="","",(1/'Metadata'!$B$5)^(O87-1))</x:f>
        <x:v>5754.090490759748</x:v>
      </x:c>
      <x:c r="U87" s="60" t="n">
        <x:f>IF(T87="","",I87*T87)</x:f>
        <x:v>761934.0747060012</x:v>
      </x:c>
    </x:row>
    <x:row r="88" ht="18" customHeight="1">
      <x:c r="A88" s="46" t="str">
        <x:v>LME_046</x:v>
      </x:c>
      <x:c r="B88" s="46" t="str">
        <x:v>New Zealand Shelf</x:v>
      </x:c>
      <x:c r="C88" s="46" t="str">
        <x:v>LME</x:v>
      </x:c>
      <x:c r="D88" s="58" t="n">
        <x:v>2019</x:v>
      </x:c>
      <x:c r="E88" s="46" t="str">
        <x:v>Pterygotrigla</x:v>
      </x:c>
      <x:c r="F88" s="46" t="str">
        <x:v>Latchets</x:v>
      </x:c>
      <x:c r="G88" s="46" t="str">
        <x:v>Medium bathydemersals (30 - 89 cm)</x:v>
      </x:c>
      <x:c r="H88" s="46" t="str">
        <x:v>Scorpionfishes</x:v>
      </x:c>
      <x:c r="I88" s="60" t="n">
        <x:v>121.6632263363</x:v>
      </x:c>
      <x:c r="J88" s="60" t="n">
        <x:v>121.6632263363</x:v>
      </x:c>
      <x:c r="K88" s="60" t="n">
        <x:v>0</x:v>
      </x:c>
      <x:c r="L88" s="60" t="n">
        <x:v>109.7836096596</x:v>
      </x:c>
      <x:c r="M88" s="60" t="n">
        <x:v>11.879616676700001</x:v>
      </x:c>
      <x:c r="N88" s="46" t="str">
        <x:v>pterygotrigla</x:v>
      </x:c>
      <x:c r="O88" s="62" t="n">
        <x:v>3.56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Pterygotrigla</x:v>
      </x:c>
      <x:c r="T88" s="62" t="n">
        <x:f>IF(O88="","",(1/'Metadata'!$B$5)^(O88-1))</x:f>
        <x:v>2141.099198485972</x:v>
      </x:c>
      <x:c r="U88" s="60" t="n">
        <x:f>IF(T88="","",I88*T88)</x:f>
        <x:v>260493.03639386932</x:v>
      </x:c>
    </x:row>
    <x:row r="89" ht="18" customHeight="1">
      <x:c r="A89" s="46" t="str">
        <x:v>LME_046</x:v>
      </x:c>
      <x:c r="B89" s="46" t="str">
        <x:v>New Zealand Shelf</x:v>
      </x:c>
      <x:c r="C89" s="46" t="str">
        <x:v>LME</x:v>
      </x:c>
      <x:c r="D89" s="58" t="n">
        <x:v>2019</x:v>
      </x:c>
      <x:c r="E89" s="46" t="str">
        <x:v>Deania calceus</x:v>
      </x:c>
      <x:c r="F89" s="46" t="str">
        <x:v>Birdbeak dogfish</x:v>
      </x:c>
      <x:c r="G89" s="46" t="str">
        <x:v>Large sharks (&gt;=90 cm)</x:v>
      </x:c>
      <x:c r="H89" s="46" t="str">
        <x:v>Sharks &amp; rays</x:v>
      </x:c>
      <x:c r="I89" s="60" t="n">
        <x:v>120.5919252806</x:v>
      </x:c>
      <x:c r="J89" s="60" t="n">
        <x:v>120.5919252806</x:v>
      </x:c>
      <x:c r="K89" s="60" t="n">
        <x:v>0</x:v>
      </x:c>
      <x:c r="L89" s="60" t="n">
        <x:v>108.8818345049</x:v>
      </x:c>
      <x:c r="M89" s="60" t="n">
        <x:v>11.7100907757</x:v>
      </x:c>
      <x:c r="N89" s="46" t="str">
        <x:v>deania calceus</x:v>
      </x:c>
      <x:c r="O89" s="62" t="n">
        <x:v>4.33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Deania calceus</x:v>
      </x:c>
      <x:c r="T89" s="62" t="n">
        <x:f>IF(O89="","",(1/'Metadata'!$B$5)^(O89-1))</x:f>
        <x:v>21499.575525799526</x:v>
      </x:c>
      <x:c r="U89" s="60" t="n">
        <x:f>IF(T89="","",I89*T89)</x:f>
        <x:v>2592675.205371833</x:v>
      </x:c>
    </x:row>
    <x:row r="90" ht="18" customHeight="1">
      <x:c r="A90" s="46" t="str">
        <x:v>LME_046</x:v>
      </x:c>
      <x:c r="B90" s="46" t="str">
        <x:v>New Zealand Shelf</x:v>
      </x:c>
      <x:c r="C90" s="46" t="str">
        <x:v>LME</x:v>
      </x:c>
      <x:c r="D90" s="58" t="n">
        <x:v>2019</x:v>
      </x:c>
      <x:c r="E90" s="46" t="str">
        <x:v>Jacquinotia edwardsii</x:v>
      </x:c>
      <x:c r="F90" s="46" t="str">
        <x:v>Southern spider crab</x:v>
      </x:c>
      <x:c r="G90" s="46" t="str">
        <x:v>Lobsters, crabs</x:v>
      </x:c>
      <x:c r="H90" s="46" t="str">
        <x:v>Crustaceans</x:v>
      </x:c>
      <x:c r="I90" s="60" t="n">
        <x:v>118.5505978883</x:v>
      </x:c>
      <x:c r="J90" s="60" t="n">
        <x:v>118.5505978883</x:v>
      </x:c>
      <x:c r="K90" s="60" t="n">
        <x:v>0</x:v>
      </x:c>
      <x:c r="L90" s="60" t="n">
        <x:v>103.5050500407</x:v>
      </x:c>
      <x:c r="M90" s="60" t="n">
        <x:v>15.0455478476</x:v>
      </x:c>
      <x:c r="N90" s="46" t="str">
        <x:v>jacquinotia edwardsii</x:v>
      </x:c>
      <x:c r="O90" s="62" t="n">
        <x:v>2.8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Jacquinotia edwardsii</x:v>
      </x:c>
      <x:c r="T90" s="62" t="n">
        <x:f>IF(O90="","",(1/'Metadata'!$B$5)^(O90-1))</x:f>
        <x:v>219.71210866122343</x:v>
      </x:c>
      <x:c r="U90" s="60" t="n">
        <x:f>IF(T90="","",I90*T90)</x:f>
        <x:v>26047.001845087176</x:v>
      </x:c>
    </x:row>
    <x:row r="91" ht="18" customHeight="1">
      <x:c r="A91" s="46" t="str">
        <x:v>LME_046</x:v>
      </x:c>
      <x:c r="B91" s="46" t="str">
        <x:v>New Zealand Shelf</x:v>
      </x:c>
      <x:c r="C91" s="46" t="str">
        <x:v>LME</x:v>
      </x:c>
      <x:c r="D91" s="58" t="n">
        <x:v>2019</x:v>
      </x:c>
      <x:c r="E91" s="46" t="str">
        <x:v>Brama brama</x:v>
      </x:c>
      <x:c r="F91" s="46" t="str">
        <x:v>Atlantic pomfret</x:v>
      </x:c>
      <x:c r="G91" s="46" t="str">
        <x:v>Medium bathypelagics (30 - 89 cm)</x:v>
      </x:c>
      <x:c r="H91" s="46" t="str">
        <x:v>Perch-likes</x:v>
      </x:c>
      <x:c r="I91" s="60" t="n">
        <x:v>115.69227001579999</x:v>
      </x:c>
      <x:c r="J91" s="60" t="n">
        <x:v>115.69227001579999</x:v>
      </x:c>
      <x:c r="K91" s="60" t="n">
        <x:v>0</x:v>
      </x:c>
      <x:c r="L91" s="60" t="n">
        <x:v>112.29088377309999</x:v>
      </x:c>
      <x:c r="M91" s="60" t="n">
        <x:v>3.4013862427</x:v>
      </x:c>
      <x:c r="N91" s="46" t="str">
        <x:v>brama brama</x:v>
      </x:c>
      <x:c r="O91" s="62" t="n">
        <x:v>4.08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Brama brama</x:v>
      </x:c>
      <x:c r="T91" s="62" t="n">
        <x:f>IF(O91="","",(1/'Metadata'!$B$5)^(O91-1))</x:f>
        <x:v>10166.521575327472</x:v>
      </x:c>
      <x:c r="U91" s="60" t="n">
        <x:f>IF(T91="","",I91*T91)</x:f>
        <x:v>1176187.9592142422</x:v>
      </x:c>
    </x:row>
    <x:row r="92" ht="18" customHeight="1">
      <x:c r="A92" s="46" t="str">
        <x:v>LME_046</x:v>
      </x:c>
      <x:c r="B92" s="46" t="str">
        <x:v>New Zealand Shelf</x:v>
      </x:c>
      <x:c r="C92" s="46" t="str">
        <x:v>LME</x:v>
      </x:c>
      <x:c r="D92" s="58" t="n">
        <x:v>2019</x:v>
      </x:c>
      <x:c r="E92" s="46" t="str">
        <x:v>Cetorhinus maximus</x:v>
      </x:c>
      <x:c r="F92" s="46" t="str">
        <x:v>Basking shark</x:v>
      </x:c>
      <x:c r="G92" s="46" t="str">
        <x:v>Large sharks (&gt;=90 cm)</x:v>
      </x:c>
      <x:c r="H92" s="46" t="str">
        <x:v>Sharks &amp; rays</x:v>
      </x:c>
      <x:c r="I92" s="60" t="n">
        <x:v>112.478588909</x:v>
      </x:c>
      <x:c r="J92" s="60" t="n">
        <x:v>0</x:v>
      </x:c>
      <x:c r="K92" s="60" t="n">
        <x:v>112.478588909</x:v>
      </x:c>
      <x:c r="L92" s="60" t="n">
        <x:v>0</x:v>
      </x:c>
      <x:c r="M92" s="60" t="n">
        <x:v>112.478588909</x:v>
      </x:c>
      <x:c r="N92" s="46" t="str">
        <x:v>cetorhinus maximus</x:v>
      </x:c>
      <x:c r="O92" s="62" t="n">
        <x:v>3.2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Cetorhinus maximus</x:v>
      </x:c>
      <x:c r="T92" s="62" t="n">
        <x:f>IF(O92="","",(1/'Metadata'!$B$5)^(O92-1))</x:f>
        <x:v>728.2256812104325</x:v>
      </x:c>
      <x:c r="U92" s="60" t="n">
        <x:f>IF(T92="","",I92*T92)</x:f>
        <x:v>81909.79702984472</x:v>
      </x:c>
    </x:row>
    <x:row r="93" ht="18" customHeight="1">
      <x:c r="A93" s="46" t="str">
        <x:v>LME_046</x:v>
      </x:c>
      <x:c r="B93" s="46" t="str">
        <x:v>New Zealand Shelf</x:v>
      </x:c>
      <x:c r="C93" s="46" t="str">
        <x:v>LME</x:v>
      </x:c>
      <x:c r="D93" s="58" t="n">
        <x:v>2019</x:v>
      </x:c>
      <x:c r="E93" s="46" t="str">
        <x:v>Scyliorhinidae</x:v>
      </x:c>
      <x:c r="F93" s="46" t="str">
        <x:v>Cat/swellsharks</x:v>
      </x:c>
      <x:c r="G93" s="46" t="str">
        <x:v>Large sharks (&gt;=90 cm)</x:v>
      </x:c>
      <x:c r="H93" s="46" t="str">
        <x:v>Sharks &amp; rays</x:v>
      </x:c>
      <x:c r="I93" s="60" t="n">
        <x:v>110.9120590774</x:v>
      </x:c>
      <x:c r="J93" s="60" t="n">
        <x:v>0.5462242671</x:v>
      </x:c>
      <x:c r="K93" s="60" t="n">
        <x:v>110.3658348103</x:v>
      </x:c>
      <x:c r="L93" s="60" t="n">
        <x:v>0.4937183423</x:v>
      </x:c>
      <x:c r="M93" s="60" t="n">
        <x:v>110.4183407351</x:v>
      </x:c>
      <x:c r="N93" s="46" t="str">
        <x:v>scyliorhinidae</x:v>
      </x:c>
      <x:c r="O93" s="62" t="n">
        <x:v>3.97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Scyliorhinidae</x:v>
      </x:c>
      <x:c r="T93" s="62" t="n">
        <x:f>IF(O93="","",(1/'Metadata'!$B$5)^(O93-1))</x:f>
        <x:v>7312.385640086951</x:v>
      </x:c>
      <x:c r="U93" s="60" t="n">
        <x:f>IF(T93="","",I93*T93)</x:f>
        <x:v>811031.7481100553</x:v>
      </x:c>
    </x:row>
    <x:row r="94" ht="18" customHeight="1">
      <x:c r="A94" s="46" t="str">
        <x:v>LME_046</x:v>
      </x:c>
      <x:c r="B94" s="46" t="str">
        <x:v>New Zealand Shelf</x:v>
      </x:c>
      <x:c r="C94" s="46" t="str">
        <x:v>LME</x:v>
      </x:c>
      <x:c r="D94" s="58" t="n">
        <x:v>2019</x:v>
      </x:c>
      <x:c r="E94" s="46" t="str">
        <x:v>Neocyttus rhomboidalis</x:v>
      </x:c>
      <x:c r="F94" s="46" t="str">
        <x:v>Spiky oreo</x:v>
      </x:c>
      <x:c r="G94" s="46" t="str">
        <x:v>Medium bathypelagics (30 - 89 cm)</x:v>
      </x:c>
      <x:c r="H94" s="46" t="str">
        <x:v>Other fishes &amp; inverts</x:v>
      </x:c>
      <x:c r="I94" s="60" t="n">
        <x:v>110.037839086</x:v>
      </x:c>
      <x:c r="J94" s="60" t="n">
        <x:v>110.037839086</x:v>
      </x:c>
      <x:c r="K94" s="60" t="n">
        <x:v>0</x:v>
      </x:c>
      <x:c r="L94" s="60" t="n">
        <x:v>99.3856886117</x:v>
      </x:c>
      <x:c r="M94" s="60" t="n">
        <x:v>10.652150474299999</x:v>
      </x:c>
      <x:c r="N94" s="46" t="str">
        <x:v>neocyttus rhomboidalis</x:v>
      </x:c>
      <x:c r="O94" s="62" t="n">
        <x:v>3.58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Neocyttus rhomboidalis</x:v>
      </x:c>
      <x:c r="T94" s="62" t="n">
        <x:f>IF(O94="","",(1/'Metadata'!$B$5)^(O94-1))</x:f>
        <x:v>2273.3033337150473</x:v>
      </x:c>
      <x:c r="U94" s="60" t="n">
        <x:f>IF(T94="","",I94*T94)</x:f>
        <x:v>250149.38642900376</x:v>
      </x:c>
    </x:row>
    <x:row r="95" ht="18" customHeight="1">
      <x:c r="A95" s="46" t="str">
        <x:v>LME_046</x:v>
      </x:c>
      <x:c r="B95" s="46" t="str">
        <x:v>New Zealand Shelf</x:v>
      </x:c>
      <x:c r="C95" s="46" t="str">
        <x:v>LME</x:v>
      </x:c>
      <x:c r="D95" s="58" t="n">
        <x:v>2019</x:v>
      </x:c>
      <x:c r="E95" s="46" t="str">
        <x:v>Centriscidae</x:v>
      </x:c>
      <x:c r="F95" s="46" t="str">
        <x:v>Snipefishes, shrimpfishes</x:v>
      </x:c>
      <x:c r="G95" s="46" t="str">
        <x:v>Small benthopelagics (&lt;30 cm)</x:v>
      </x:c>
      <x:c r="H95" s="46" t="str">
        <x:v>Other fishes &amp; inverts</x:v>
      </x:c>
      <x:c r="I95" s="60" t="n">
        <x:v>109.8382058674</x:v>
      </x:c>
      <x:c r="J95" s="60" t="n">
        <x:v>0</x:v>
      </x:c>
      <x:c r="K95" s="60" t="n">
        <x:v>109.8382058674</x:v>
      </x:c>
      <x:c r="L95" s="60" t="n">
        <x:v>0</x:v>
      </x:c>
      <x:c r="M95" s="60" t="n">
        <x:v>109.8382058674</x:v>
      </x:c>
      <x:c r="N95" s="46" t="str">
        <x:v>centriscidae</x:v>
      </x:c>
      <x:c r="O95" s="62" t="n">
        <x:v>3.15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Centriscidae</x:v>
      </x:c>
      <x:c r="T95" s="62" t="n">
        <x:f>IF(O95="","",(1/'Metadata'!$B$5)^(O95-1))</x:f>
        <x:v>626.9234150652317</x:v>
      </x:c>
      <x:c r="U95" s="60" t="n">
        <x:f>IF(T95="","",I95*T95)</x:f>
        <x:v>68860.14312702838</x:v>
      </x:c>
    </x:row>
    <x:row r="96" ht="18" customHeight="1">
      <x:c r="A96" s="46" t="str">
        <x:v>LME_046</x:v>
      </x:c>
      <x:c r="B96" s="46" t="str">
        <x:v>New Zealand Shelf</x:v>
      </x:c>
      <x:c r="C96" s="46" t="str">
        <x:v>LME</x:v>
      </x:c>
      <x:c r="D96" s="58" t="n">
        <x:v>2019</x:v>
      </x:c>
      <x:c r="E96" s="46" t="str">
        <x:v>Austrovenus stutchburyi</x:v>
      </x:c>
      <x:c r="F96" s="46" t="str">
        <x:v>Stutchbury's venus</x:v>
      </x:c>
      <x:c r="G96" s="46" t="str">
        <x:v>Other demersal invertebrates</x:v>
      </x:c>
      <x:c r="H96" s="46" t="str">
        <x:v>Molluscs</x:v>
      </x:c>
      <x:c r="I96" s="60" t="n">
        <x:v>98.4843332705</x:v>
      </x:c>
      <x:c r="J96" s="60" t="n">
        <x:v>98.4843332705</x:v>
      </x:c>
      <x:c r="K96" s="60" t="n">
        <x:v>0</x:v>
      </x:c>
      <x:c r="L96" s="60" t="n">
        <x:v>0</x:v>
      </x:c>
      <x:c r="M96" s="60" t="n">
        <x:v>98.4843332705</x:v>
      </x:c>
      <x:c r="N96" s="46" t="str">
        <x:v>austrovenus stutchburyi</x:v>
      </x:c>
      <x:c r="O96" s="62" t="n">
        <x:v>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Austrovenus stutchburyi</x:v>
      </x:c>
      <x:c r="T96" s="62" t="n">
        <x:f>IF(O96="","",(1/'Metadata'!$B$5)^(O96-1))</x:f>
        <x:v>20</x:v>
      </x:c>
      <x:c r="U96" s="60" t="n">
        <x:f>IF(T96="","",I96*T96)</x:f>
        <x:v>1969.68666541</x:v>
      </x:c>
    </x:row>
    <x:row r="97" ht="18" customHeight="1">
      <x:c r="A97" s="46" t="str">
        <x:v>LME_046</x:v>
      </x:c>
      <x:c r="B97" s="46" t="str">
        <x:v>New Zealand Shelf</x:v>
      </x:c>
      <x:c r="C97" s="46" t="str">
        <x:v>LME</x:v>
      </x:c>
      <x:c r="D97" s="58" t="n">
        <x:v>2019</x:v>
      </x:c>
      <x:c r="E97" s="46" t="str">
        <x:v>Latris lineata</x:v>
      </x:c>
      <x:c r="F97" s="46" t="str">
        <x:v>Striped trumpeter</x:v>
      </x:c>
      <x:c r="G97" s="46" t="str">
        <x:v>Small pelagics (&lt;30 cm)</x:v>
      </x:c>
      <x:c r="H97" s="46" t="str">
        <x:v>Perch-likes</x:v>
      </x:c>
      <x:c r="I97" s="60" t="n">
        <x:v>95.0071789857</x:v>
      </x:c>
      <x:c r="J97" s="60" t="n">
        <x:v>95.0071789857</x:v>
      </x:c>
      <x:c r="K97" s="60" t="n">
        <x:v>0</x:v>
      </x:c>
      <x:c r="L97" s="60" t="n">
        <x:v>83.2680758325</x:v>
      </x:c>
      <x:c r="M97" s="60" t="n">
        <x:v>11.7391031532</x:v>
      </x:c>
      <x:c r="N97" s="46" t="str">
        <x:v>latris lineata</x:v>
      </x:c>
      <x:c r="O97" s="62" t="n">
        <x:v>3.7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Latris lineata</x:v>
      </x:c>
      <x:c r="T97" s="62" t="n">
        <x:f>IF(O97="","",(1/'Metadata'!$B$5)^(O97-1))</x:f>
        <x:v>3256.724252295237</x:v>
      </x:c>
      <x:c r="U97" s="60" t="n">
        <x:f>IF(T97="","",I97*T97)</x:f>
        <x:v>309412.1839448836</x:v>
      </x:c>
    </x:row>
    <x:row r="98" ht="18" customHeight="1">
      <x:c r="A98" s="46" t="str">
        <x:v>LME_046</x:v>
      </x:c>
      <x:c r="B98" s="46" t="str">
        <x:v>New Zealand Shelf</x:v>
      </x:c>
      <x:c r="C98" s="46" t="str">
        <x:v>LME</x:v>
      </x:c>
      <x:c r="D98" s="58" t="n">
        <x:v>2019</x:v>
      </x:c>
      <x:c r="E98" s="46" t="str">
        <x:v>Cephaloscyllium isabella</x:v>
      </x:c>
      <x:c r="F98" s="46" t="str">
        <x:v>Draughtsboard shark</x:v>
      </x:c>
      <x:c r="G98" s="46" t="str">
        <x:v>Small to medium sharks (&lt;90 cm)</x:v>
      </x:c>
      <x:c r="H98" s="46" t="str">
        <x:v>Sharks &amp; rays</x:v>
      </x:c>
      <x:c r="I98" s="60" t="n">
        <x:v>85.88644914700001</x:v>
      </x:c>
      <x:c r="J98" s="60" t="n">
        <x:v>85.88644914700001</x:v>
      </x:c>
      <x:c r="K98" s="60" t="n">
        <x:v>0</x:v>
      </x:c>
      <x:c r="L98" s="60" t="n">
        <x:v>77.4973388757</x:v>
      </x:c>
      <x:c r="M98" s="60" t="n">
        <x:v>8.3891102713</x:v>
      </x:c>
      <x:c r="N98" s="46" t="str">
        <x:v>cephaloscyllium isabella</x:v>
      </x:c>
      <x:c r="O98" s="62" t="n">
        <x:v>4.22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Cephaloscyllium isabella</x:v>
      </x:c>
      <x:c r="T98" s="62" t="n">
        <x:f>IF(O98="","",(1/'Metadata'!$B$5)^(O98-1))</x:f>
        <x:v>15463.812886046735</x:v>
      </x:c>
      <x:c r="U98" s="60" t="n">
        <x:f>IF(T98="","",I98*T98)</x:f>
        <x:v>1328131.9790561763</x:v>
      </x:c>
    </x:row>
    <x:row r="99" ht="18" customHeight="1">
      <x:c r="A99" s="46" t="str">
        <x:v>LME_046</x:v>
      </x:c>
      <x:c r="B99" s="46" t="str">
        <x:v>New Zealand Shelf</x:v>
      </x:c>
      <x:c r="C99" s="46" t="str">
        <x:v>LME</x:v>
      </x:c>
      <x:c r="D99" s="58" t="n">
        <x:v>2019</x:v>
      </x:c>
      <x:c r="E99" s="46" t="str">
        <x:v>Harriotta raleighana</x:v>
      </x:c>
      <x:c r="F99" s="46" t="str">
        <x:v>Pacific longnose chimaera</x:v>
      </x:c>
      <x:c r="G99" s="46" t="str">
        <x:v>Small to medium rays (&lt;90 cm)</x:v>
      </x:c>
      <x:c r="H99" s="46" t="str">
        <x:v>Sharks &amp; rays</x:v>
      </x:c>
      <x:c r="I99" s="60" t="n">
        <x:v>80.1008562347</x:v>
      </x:c>
      <x:c r="J99" s="60" t="n">
        <x:v>80.1008562347</x:v>
      </x:c>
      <x:c r="K99" s="60" t="n">
        <x:v>0</x:v>
      </x:c>
      <x:c r="L99" s="60" t="n">
        <x:v>72.5581895939</x:v>
      </x:c>
      <x:c r="M99" s="60" t="n">
        <x:v>7.5426666408</x:v>
      </x:c>
      <x:c r="N99" s="46" t="str">
        <x:v>harriotta raleighana</x:v>
      </x:c>
      <x:c r="O99" s="62" t="n">
        <x:v>3.55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Harriotta raleighana</x:v>
      </x:c>
      <x:c r="T99" s="62" t="n">
        <x:f>IF(O99="","",(1/'Metadata'!$B$5)^(O99-1))</x:f>
        <x:v>2077.9088316274606</x:v>
      </x:c>
      <x:c r="U99" s="60" t="n">
        <x:f>IF(T99="","",I99*T99)</x:f>
        <x:v>166442.2765910047</x:v>
      </x:c>
    </x:row>
    <x:row r="100" ht="18" customHeight="1">
      <x:c r="A100" s="46" t="str">
        <x:v>LME_046</x:v>
      </x:c>
      <x:c r="B100" s="46" t="str">
        <x:v>New Zealand Shelf</x:v>
      </x:c>
      <x:c r="C100" s="46" t="str">
        <x:v>LME</x:v>
      </x:c>
      <x:c r="D100" s="58" t="n">
        <x:v>2019</x:v>
      </x:c>
      <x:c r="E100" s="46" t="str">
        <x:v>Cyttus novaezealandiae</x:v>
      </x:c>
      <x:c r="F100" s="46" t="str">
        <x:v>New Zealand dory</x:v>
      </x:c>
      <x:c r="G100" s="46" t="str">
        <x:v>Medium demersals (30 - 89 cm)</x:v>
      </x:c>
      <x:c r="H100" s="46" t="str">
        <x:v>Other fishes &amp; inverts</x:v>
      </x:c>
      <x:c r="I100" s="60" t="n">
        <x:v>76.4349019051</x:v>
      </x:c>
      <x:c r="J100" s="60" t="n">
        <x:v>76.4349019051</x:v>
      </x:c>
      <x:c r="K100" s="60" t="n">
        <x:v>0</x:v>
      </x:c>
      <x:c r="L100" s="60" t="n">
        <x:v>68.973437653</x:v>
      </x:c>
      <x:c r="M100" s="60" t="n">
        <x:v>7.4614642521</x:v>
      </x:c>
      <x:c r="N100" s="46" t="str">
        <x:v>cyttus novaezealandiae</x:v>
      </x:c>
      <x:c r="O100" s="62" t="n">
        <x:v>3.82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Cyttus novaezealandiae</x:v>
      </x:c>
      <x:c r="T100" s="62" t="n">
        <x:f>IF(O100="","",(1/'Metadata'!$B$5)^(O100-1))</x:f>
        <x:v>4665.56868948727</x:v>
      </x:c>
      <x:c r="U100" s="60" t="n">
        <x:f>IF(T100="","",I100*T100)</x:f>
        <x:v>356612.28511246544</x:v>
      </x:c>
    </x:row>
    <x:row r="101" ht="18" customHeight="1">
      <x:c r="A101" s="46" t="str">
        <x:v>LME_046</x:v>
      </x:c>
      <x:c r="B101" s="46" t="str">
        <x:v>New Zealand Shelf</x:v>
      </x:c>
      <x:c r="C101" s="46" t="str">
        <x:v>LME</x:v>
      </x:c>
      <x:c r="D101" s="58" t="n">
        <x:v>2019</x:v>
      </x:c>
      <x:c r="E101" s="46" t="str">
        <x:v>Myliobatidae</x:v>
      </x:c>
      <x:c r="F101" s="46" t="str">
        <x:v>Eagle/manta rays</x:v>
      </x:c>
      <x:c r="G101" s="46" t="str">
        <x:v>Large rays (&gt;=90 cm)</x:v>
      </x:c>
      <x:c r="H101" s="46" t="str">
        <x:v>Sharks &amp; rays</x:v>
      </x:c>
      <x:c r="I101" s="60" t="n">
        <x:v>71.6148165018</x:v>
      </x:c>
      <x:c r="J101" s="60" t="n">
        <x:v>71.6148165018</x:v>
      </x:c>
      <x:c r="K101" s="60" t="n">
        <x:v>0</x:v>
      </x:c>
      <x:c r="L101" s="60" t="n">
        <x:v>64.6221613084</x:v>
      </x:c>
      <x:c r="M101" s="60" t="n">
        <x:v>6.992655193399999</x:v>
      </x:c>
      <x:c r="N101" s="46" t="str">
        <x:v>myliobatidae</x:v>
      </x:c>
      <x:c r="O101" s="62" t="n">
        <x:v>3.36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Myliobatidae</x:v>
      </x:c>
      <x:c r="T101" s="62" t="n">
        <x:f>IF(O101="","",(1/'Metadata'!$B$5)^(O101-1))</x:f>
        <x:v>1176.0635493805207</x:v>
      </x:c>
      <x:c r="U101" s="60" t="n">
        <x:f>IF(T101="","",I101*T101)</x:f>
        <x:v>84223.57528334159</x:v>
      </x:c>
    </x:row>
    <x:row r="102" ht="18" customHeight="1">
      <x:c r="A102" s="46" t="str">
        <x:v>LME_046</x:v>
      </x:c>
      <x:c r="B102" s="46" t="str">
        <x:v>New Zealand Shelf</x:v>
      </x:c>
      <x:c r="C102" s="46" t="str">
        <x:v>LME</x:v>
      </x:c>
      <x:c r="D102" s="58" t="n">
        <x:v>2019</x:v>
      </x:c>
      <x:c r="E102" s="46" t="str">
        <x:v>Serranidae</x:v>
      </x:c>
      <x:c r="F102" s="46" t="str">
        <x:v>Basses, groupers, hinds</x:v>
      </x:c>
      <x:c r="G102" s="46" t="str">
        <x:v>Medium reef assoc. fish (30 - 89 cm)</x:v>
      </x:c>
      <x:c r="H102" s="46" t="str">
        <x:v>Perch-likes</x:v>
      </x:c>
      <x:c r="I102" s="60" t="n">
        <x:v>67.877553293</x:v>
      </x:c>
      <x:c r="J102" s="60" t="n">
        <x:v>61.8343648991</x:v>
      </x:c>
      <x:c r="K102" s="60" t="n">
        <x:v>6.0431883938999995</x:v>
      </x:c>
      <x:c r="L102" s="60" t="n">
        <x:v>55.7989059929</x:v>
      </x:c>
      <x:c r="M102" s="60" t="n">
        <x:v>12.0786473001</x:v>
      </x:c>
      <x:c r="N102" s="46" t="str">
        <x:v>serranidae</x:v>
      </x:c>
      <x:c r="O102" s="62" t="n">
        <x:v>3.98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Serranidae</x:v>
      </x:c>
      <x:c r="T102" s="62" t="n">
        <x:f>IF(O102="","",(1/'Metadata'!$B$5)^(O102-1))</x:f>
        <x:v>7534.759367064222</x:v>
      </x:c>
      <x:c r="U102" s="60" t="n">
        <x:f>IF(T102="","",I102*T102)</x:f>
        <x:v>511441.03048783273</x:v>
      </x:c>
    </x:row>
    <x:row r="103" ht="18" customHeight="1">
      <x:c r="A103" s="46" t="str">
        <x:v>LME_046</x:v>
      </x:c>
      <x:c r="B103" s="46" t="str">
        <x:v>New Zealand Shelf</x:v>
      </x:c>
      <x:c r="C103" s="46" t="str">
        <x:v>LME</x:v>
      </x:c>
      <x:c r="D103" s="58" t="n">
        <x:v>2019</x:v>
      </x:c>
      <x:c r="E103" s="46" t="str">
        <x:v>Triakidae</x:v>
      </x:c>
      <x:c r="F103" s="46" t="str">
        <x:v>Houndsharks</x:v>
      </x:c>
      <x:c r="G103" s="46" t="str">
        <x:v>Large sharks (&gt;=90 cm)</x:v>
      </x:c>
      <x:c r="H103" s="46" t="str">
        <x:v>Sharks &amp; rays</x:v>
      </x:c>
      <x:c r="I103" s="60" t="n">
        <x:v>67.5523784093</x:v>
      </x:c>
      <x:c r="J103" s="60" t="n">
        <x:v>0</x:v>
      </x:c>
      <x:c r="K103" s="60" t="n">
        <x:v>67.5523784093</x:v>
      </x:c>
      <x:c r="L103" s="60" t="n">
        <x:v>0</x:v>
      </x:c>
      <x:c r="M103" s="60" t="n">
        <x:v>67.5523784093</x:v>
      </x:c>
      <x:c r="N103" s="46" t="str">
        <x:v>triakidae</x:v>
      </x:c>
      <x:c r="O103" s="62" t="n">
        <x:v>3.82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Triakidae</x:v>
      </x:c>
      <x:c r="T103" s="62" t="n">
        <x:f>IF(O103="","",(1/'Metadata'!$B$5)^(O103-1))</x:f>
        <x:v>4665.56868948727</x:v>
      </x:c>
      <x:c r="U103" s="60" t="n">
        <x:f>IF(T103="","",I103*T103)</x:f>
        <x:v>315170.261606826</x:v>
      </x:c>
    </x:row>
    <x:row r="104" ht="18" customHeight="1">
      <x:c r="A104" s="46" t="str">
        <x:v>LME_046</x:v>
      </x:c>
      <x:c r="B104" s="46" t="str">
        <x:v>New Zealand Shelf</x:v>
      </x:c>
      <x:c r="C104" s="46" t="str">
        <x:v>LME</x:v>
      </x:c>
      <x:c r="D104" s="58" t="n">
        <x:v>2019</x:v>
      </x:c>
      <x:c r="E104" s="46" t="str">
        <x:v>Decapoda</x:v>
      </x:c>
      <x:c r="F104" s="46" t="str">
        <x:v>Crabs, lobsters, shrimps</x:v>
      </x:c>
      <x:c r="G104" s="46" t="str">
        <x:v>Lobsters, crabs</x:v>
      </x:c>
      <x:c r="H104" s="46" t="str">
        <x:v>Crustaceans</x:v>
      </x:c>
      <x:c r="I104" s="60" t="n">
        <x:v>66.5434889945</x:v>
      </x:c>
      <x:c r="J104" s="60" t="n">
        <x:v>0</x:v>
      </x:c>
      <x:c r="K104" s="60" t="n">
        <x:v>66.5434889945</x:v>
      </x:c>
      <x:c r="L104" s="60" t="n">
        <x:v>0</x:v>
      </x:c>
      <x:c r="M104" s="60" t="n">
        <x:v>66.5434889945</x:v>
      </x:c>
      <x:c r="N104" s="46" t="str">
        <x:v>decapoda</x:v>
      </x:c>
      <x:c r="O104" s="62" t="n">
        <x:v>3.43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Decapoda</x:v>
      </x:c>
      <x:c r="T104" s="62" t="n">
        <x:f>IF(O104="","",(1/'Metadata'!$B$5)^(O104-1))</x:f>
        <x:v>1450.450424461182</x:v>
      </x:c>
      <x:c r="U104" s="60" t="n">
        <x:f>IF(T104="","",I104*T104)</x:f>
        <x:v>96518.0318572005</x:v>
      </x:c>
    </x:row>
    <x:row r="105" ht="18" customHeight="1">
      <x:c r="A105" s="46" t="str">
        <x:v>LME_046</x:v>
      </x:c>
      <x:c r="B105" s="46" t="str">
        <x:v>New Zealand Shelf</x:v>
      </x:c>
      <x:c r="C105" s="46" t="str">
        <x:v>LME</x:v>
      </x:c>
      <x:c r="D105" s="58" t="n">
        <x:v>2019</x:v>
      </x:c>
      <x:c r="E105" s="46" t="str">
        <x:v>Girella tricuspidata</x:v>
      </x:c>
      <x:c r="F105" s="46" t="str">
        <x:v>Parore</x:v>
      </x:c>
      <x:c r="G105" s="46" t="str">
        <x:v>Medium benthopelagics (30 - 89 cm)</x:v>
      </x:c>
      <x:c r="H105" s="46" t="str">
        <x:v>Perch-likes</x:v>
      </x:c>
      <x:c r="I105" s="60" t="n">
        <x:v>66.5214347608</x:v>
      </x:c>
      <x:c r="J105" s="60" t="n">
        <x:v>66.5214347608</x:v>
      </x:c>
      <x:c r="K105" s="60" t="n">
        <x:v>0</x:v>
      </x:c>
      <x:c r="L105" s="60" t="n">
        <x:v>60.016874097999995</x:v>
      </x:c>
      <x:c r="M105" s="60" t="n">
        <x:v>6.5045606627999994</x:v>
      </x:c>
      <x:c r="N105" s="46" t="str">
        <x:v>girella tricuspidata</x:v>
      </x:c>
      <x:c r="O105" s="62" t="n">
        <x:v>2.09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Girella tricuspidata</x:v>
      </x:c>
      <x:c r="T105" s="62" t="n">
        <x:f>IF(O105="","",(1/'Metadata'!$B$5)^(O105-1))</x:f>
        <x:v>26.189227921124896</x:v>
      </x:c>
      <x:c r="U105" s="60" t="n">
        <x:f>IF(T105="","",I105*T105)</x:f>
        <x:v>1742.1450165908318</x:v>
      </x:c>
    </x:row>
    <x:row r="106" ht="18" customHeight="1">
      <x:c r="A106" s="46" t="str">
        <x:v>LME_046</x:v>
      </x:c>
      <x:c r="B106" s="46" t="str">
        <x:v>New Zealand Shelf</x:v>
      </x:c>
      <x:c r="C106" s="46" t="str">
        <x:v>LME</x:v>
      </x:c>
      <x:c r="D106" s="58" t="n">
        <x:v>2019</x:v>
      </x:c>
      <x:c r="E106" s="46" t="str">
        <x:v>Pentaceros richardsoni</x:v>
      </x:c>
      <x:c r="F106" s="46" t="str">
        <x:v>Pelagic armourhead</x:v>
      </x:c>
      <x:c r="G106" s="46" t="str">
        <x:v>Medium pelagics (30 - 89 cm)</x:v>
      </x:c>
      <x:c r="H106" s="46" t="str">
        <x:v>Perch-likes</x:v>
      </x:c>
      <x:c r="I106" s="60" t="n">
        <x:v>59.305886946899996</x:v>
      </x:c>
      <x:c r="J106" s="60" t="n">
        <x:v>59.305886946899996</x:v>
      </x:c>
      <x:c r="K106" s="60" t="n">
        <x:v>0</x:v>
      </x:c>
      <x:c r="L106" s="60" t="n">
        <x:v>53.8701477889</x:v>
      </x:c>
      <x:c r="M106" s="60" t="n">
        <x:v>5.435739158</x:v>
      </x:c>
      <x:c r="N106" s="46" t="str">
        <x:v>pentaceros richardsoni</x:v>
      </x:c>
      <x:c r="O106" s="62" t="n">
        <x:v>3.5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Pentaceros richardsoni</x:v>
      </x:c>
      <x:c r="T106" s="62" t="n">
        <x:f>IF(O106="","",(1/'Metadata'!$B$5)^(O106-1))</x:f>
        <x:v>1788.8543819998317</x:v>
      </x:c>
      <x:c r="U106" s="60" t="n">
        <x:f>IF(T106="","",I106*T106)</x:f>
        <x:v>106089.59574334868</x:v>
      </x:c>
    </x:row>
    <x:row r="107" ht="18" customHeight="1">
      <x:c r="A107" s="46" t="str">
        <x:v>LME_046</x:v>
      </x:c>
      <x:c r="B107" s="46" t="str">
        <x:v>New Zealand Shelf</x:v>
      </x:c>
      <x:c r="C107" s="46" t="str">
        <x:v>LME</x:v>
      </x:c>
      <x:c r="D107" s="58" t="n">
        <x:v>2019</x:v>
      </x:c>
      <x:c r="E107" s="46" t="str">
        <x:v>Centroberyx affinis</x:v>
      </x:c>
      <x:c r="F107" s="46" t="str">
        <x:v>Redfish</x:v>
      </x:c>
      <x:c r="G107" s="46" t="str">
        <x:v>Medium benthopelagics (30 - 89 cm)</x:v>
      </x:c>
      <x:c r="H107" s="46" t="str">
        <x:v>Other fishes &amp; inverts</x:v>
      </x:c>
      <x:c r="I107" s="60" t="n">
        <x:v>56.7776613443</x:v>
      </x:c>
      <x:c r="J107" s="60" t="n">
        <x:v>56.7776613443</x:v>
      </x:c>
      <x:c r="K107" s="60" t="n">
        <x:v>0</x:v>
      </x:c>
      <x:c r="L107" s="60" t="n">
        <x:v>51.9884980791</x:v>
      </x:c>
      <x:c r="M107" s="60" t="n">
        <x:v>4.7891632652</x:v>
      </x:c>
      <x:c r="N107" s="46" t="str">
        <x:v>centroberyx affinis</x:v>
      </x:c>
      <x:c r="O107" s="62" t="n">
        <x:v>3.81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Centroberyx affinis</x:v>
      </x:c>
      <x:c r="T107" s="62" t="n">
        <x:f>IF(O107="","",(1/'Metadata'!$B$5)^(O107-1))</x:f>
        <x:v>4527.873529309382</x:v>
      </x:c>
      <x:c r="U107" s="60" t="n">
        <x:f>IF(T107="","",I107*T107)</x:f>
        <x:v>257082.06985694854</x:v>
      </x:c>
    </x:row>
    <x:row r="108" ht="18" customHeight="1">
      <x:c r="A108" s="46" t="str">
        <x:v>LME_046</x:v>
      </x:c>
      <x:c r="B108" s="46" t="str">
        <x:v>New Zealand Shelf</x:v>
      </x:c>
      <x:c r="C108" s="46" t="str">
        <x:v>LME</x:v>
      </x:c>
      <x:c r="D108" s="58" t="n">
        <x:v>2019</x:v>
      </x:c>
      <x:c r="E108" s="46" t="str">
        <x:v>Argentina elongata</x:v>
      </x:c>
      <x:c r="F108" s="46" t="str">
        <x:v>Argentine</x:v>
      </x:c>
      <x:c r="G108" s="46" t="str">
        <x:v>Small pelagics (&lt;30 cm)</x:v>
      </x:c>
      <x:c r="H108" s="46" t="str">
        <x:v>Salmon, smelts, etc</x:v>
      </x:c>
      <x:c r="I108" s="60" t="n">
        <x:v>53.5137165605</x:v>
      </x:c>
      <x:c r="J108" s="60" t="n">
        <x:v>53.5137165605</x:v>
      </x:c>
      <x:c r="K108" s="60" t="n">
        <x:v>0</x:v>
      </x:c>
      <x:c r="L108" s="60" t="n">
        <x:v>48.3582855884</x:v>
      </x:c>
      <x:c r="M108" s="60" t="n">
        <x:v>5.1554309721</x:v>
      </x:c>
      <x:c r="N108" s="46" t="str">
        <x:v>argentina elongata</x:v>
      </x:c>
      <x:c r="O108" s="62" t="n">
        <x:v>3.4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Argentina elongata</x:v>
      </x:c>
      <x:c r="T108" s="62" t="n">
        <x:f>IF(O108="","",(1/'Metadata'!$B$5)^(O108-1))</x:f>
        <x:v>1325.7816069359944</x:v>
      </x:c>
      <x:c r="U108" s="60" t="n">
        <x:f>IF(T108="","",I108*T108)</x:f>
        <x:v>70947.50113469703</x:v>
      </x:c>
    </x:row>
    <x:row r="109" ht="18" customHeight="1">
      <x:c r="A109" s="46" t="str">
        <x:v>LME_046</x:v>
      </x:c>
      <x:c r="B109" s="46" t="str">
        <x:v>New Zealand Shelf</x:v>
      </x:c>
      <x:c r="C109" s="46" t="str">
        <x:v>LME</x:v>
      </x:c>
      <x:c r="D109" s="58" t="n">
        <x:v>2019</x:v>
      </x:c>
      <x:c r="E109" s="46" t="str">
        <x:v>Scorpaeniformes</x:v>
      </x:c>
      <x:c r="F109" s="46" t="str">
        <x:v>Scorpionfishes, flatheads</x:v>
      </x:c>
      <x:c r="G109" s="46" t="str">
        <x:v>Medium demersals (30 - 89 cm)</x:v>
      </x:c>
      <x:c r="H109" s="46" t="str">
        <x:v>Scorpionfishes</x:v>
      </x:c>
      <x:c r="I109" s="60" t="n">
        <x:v>52.215991295900004</x:v>
      </x:c>
      <x:c r="J109" s="60" t="n">
        <x:v>13.3213739948</x:v>
      </x:c>
      <x:c r="K109" s="60" t="n">
        <x:v>38.8946173011</x:v>
      </x:c>
      <x:c r="L109" s="60" t="n">
        <x:v>12.333107446600001</x:v>
      </x:c>
      <x:c r="M109" s="60" t="n">
        <x:v>39.8828838493</x:v>
      </x:c>
      <x:c r="N109" s="46" t="str">
        <x:v>scorpaeniformes</x:v>
      </x:c>
      <x:c r="O109" s="62" t="n">
        <x:v>3.78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Scorpaeniformes</x:v>
      </x:c>
      <x:c r="T109" s="62" t="n">
        <x:f>IF(O109="","",(1/'Metadata'!$B$5)^(O109-1))</x:f>
        <x:v>4138.694671981463</x:v>
      </x:c>
      <x:c r="U109" s="60" t="n">
        <x:f>IF(T109="","",I109*T109)</x:f>
        <x:v>216106.0449685718</x:v>
      </x:c>
    </x:row>
    <x:row r="110" ht="18" customHeight="1">
      <x:c r="A110" s="46" t="str">
        <x:v>LME_046</x:v>
      </x:c>
      <x:c r="B110" s="46" t="str">
        <x:v>New Zealand Shelf</x:v>
      </x:c>
      <x:c r="C110" s="46" t="str">
        <x:v>LME</x:v>
      </x:c>
      <x:c r="D110" s="58" t="n">
        <x:v>2019</x:v>
      </x:c>
      <x:c r="E110" s="46" t="str">
        <x:v>Thunnus obesus</x:v>
      </x:c>
      <x:c r="F110" s="46" t="str">
        <x:v>Bigeye tuna</x:v>
      </x:c>
      <x:c r="G110" s="46" t="str">
        <x:v>Large pelagics (&gt;=90 cm)</x:v>
      </x:c>
      <x:c r="H110" s="46" t="str">
        <x:v>Tuna &amp; billfishes</x:v>
      </x:c>
      <x:c r="I110" s="60" t="n">
        <x:v>51.9192629564</x:v>
      </x:c>
      <x:c r="J110" s="60" t="n">
        <x:v>49.808456208</x:v>
      </x:c>
      <x:c r="K110" s="60" t="n">
        <x:v>2.1108067484</x:v>
      </x:c>
      <x:c r="L110" s="60" t="n">
        <x:v>47.1627239892</x:v>
      </x:c>
      <x:c r="M110" s="60" t="n">
        <x:v>4.7565389672</x:v>
      </x:c>
      <x:c r="N110" s="46" t="str">
        <x:v>thunnus obesus</x:v>
      </x:c>
      <x:c r="O110" s="62" t="n">
        <x:v>4.49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Thunnus obesus</x:v>
      </x:c>
      <x:c r="T110" s="62" t="n">
        <x:f>IF(O110="","",(1/'Metadata'!$B$5)^(O110-1))</x:f>
        <x:v>34721.19667768202</x:v>
      </x:c>
      <x:c r="U110" s="60" t="n">
        <x:f>IF(T110="","",I110*T110)</x:f>
        <x:v>1802698.9404694547</x:v>
      </x:c>
    </x:row>
    <x:row r="111" ht="18" customHeight="1">
      <x:c r="A111" s="46" t="str">
        <x:v>LME_046</x:v>
      </x:c>
      <x:c r="B111" s="46" t="str">
        <x:v>New Zealand Shelf</x:v>
      </x:c>
      <x:c r="C111" s="46" t="str">
        <x:v>LME</x:v>
      </x:c>
      <x:c r="D111" s="58" t="n">
        <x:v>2019</x:v>
      </x:c>
      <x:c r="E111" s="46" t="str">
        <x:v>Alopias</x:v>
      </x:c>
      <x:c r="F111" s="46" t="str">
        <x:v>Thresher sharks</x:v>
      </x:c>
      <x:c r="G111" s="46" t="str">
        <x:v>Large sharks (&gt;=90 cm)</x:v>
      </x:c>
      <x:c r="H111" s="46" t="str">
        <x:v>Sharks &amp; rays</x:v>
      </x:c>
      <x:c r="I111" s="60" t="n">
        <x:v>48.358885801999996</x:v>
      </x:c>
      <x:c r="J111" s="60" t="n">
        <x:v>0.5494792341</x:v>
      </x:c>
      <x:c r="K111" s="60" t="n">
        <x:v>47.809406567900005</x:v>
      </x:c>
      <x:c r="L111" s="60" t="n">
        <x:v>0.5494792341</x:v>
      </x:c>
      <x:c r="M111" s="60" t="n">
        <x:v>47.809406567900005</x:v>
      </x:c>
      <x:c r="N111" s="46" t="str">
        <x:v>alopias</x:v>
      </x:c>
      <x:c r="O111" s="62" t="n">
        <x:v>4.5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Alopias</x:v>
      </x:c>
      <x:c r="T111" s="62" t="n">
        <x:f>IF(O111="","",(1/'Metadata'!$B$5)^(O111-1))</x:f>
        <x:v>35777.08763999664</x:v>
      </x:c>
      <x:c r="U111" s="60" t="n">
        <x:f>IF(T111="","",I111*T111)</x:f>
        <x:v>1730140.0955107429</x:v>
      </x:c>
    </x:row>
    <x:row r="112" ht="18" customHeight="1">
      <x:c r="A112" s="46" t="str">
        <x:v>LME_046</x:v>
      </x:c>
      <x:c r="B112" s="46" t="str">
        <x:v>New Zealand Shelf</x:v>
      </x:c>
      <x:c r="C112" s="46" t="str">
        <x:v>LME</x:v>
      </x:c>
      <x:c r="D112" s="58" t="n">
        <x:v>2019</x:v>
      </x:c>
      <x:c r="E112" s="46" t="str">
        <x:v>Paphies australis</x:v>
      </x:c>
      <x:c r="F112" s="46" t="str">
        <x:v>Pipi wedge clam</x:v>
      </x:c>
      <x:c r="G112" s="46" t="str">
        <x:v>Other demersal invertebrates</x:v>
      </x:c>
      <x:c r="H112" s="46" t="str">
        <x:v>Molluscs</x:v>
      </x:c>
      <x:c r="I112" s="60" t="n">
        <x:v>43.8570395097</x:v>
      </x:c>
      <x:c r="J112" s="60" t="n">
        <x:v>43.8570395097</x:v>
      </x:c>
      <x:c r="K112" s="60" t="n">
        <x:v>0</x:v>
      </x:c>
      <x:c r="L112" s="60" t="n">
        <x:v>0</x:v>
      </x:c>
      <x:c r="M112" s="60" t="n">
        <x:v>43.8570395097</x:v>
      </x:c>
      <x:c r="N112" s="46" t="str">
        <x:v>paphies australis</x:v>
      </x:c>
      <x:c r="O112" s="62" t="n">
        <x:v>2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Paphies australis</x:v>
      </x:c>
      <x:c r="T112" s="62" t="n">
        <x:f>IF(O112="","",(1/'Metadata'!$B$5)^(O112-1))</x:f>
        <x:v>20</x:v>
      </x:c>
      <x:c r="U112" s="60" t="n">
        <x:f>IF(T112="","",I112*T112)</x:f>
        <x:v>877.140790194</x:v>
      </x:c>
    </x:row>
    <x:row r="113" ht="18" customHeight="1">
      <x:c r="A113" s="46" t="str">
        <x:v>LME_046</x:v>
      </x:c>
      <x:c r="B113" s="46" t="str">
        <x:v>New Zealand Shelf</x:v>
      </x:c>
      <x:c r="C113" s="46" t="str">
        <x:v>LME</x:v>
      </x:c>
      <x:c r="D113" s="58" t="n">
        <x:v>2019</x:v>
      </x:c>
      <x:c r="E113" s="46" t="str">
        <x:v>Bothidae</x:v>
      </x:c>
      <x:c r="F113" s="46" t="str">
        <x:v>Lefteye flounders</x:v>
      </x:c>
      <x:c r="G113" s="46" t="str">
        <x:v>Small to medium flatfishes (&lt;90 cm)</x:v>
      </x:c>
      <x:c r="H113" s="46" t="str">
        <x:v>Flatfishes</x:v>
      </x:c>
      <x:c r="I113" s="60" t="n">
        <x:v>41.7717395443</x:v>
      </x:c>
      <x:c r="J113" s="60" t="n">
        <x:v>20.7426906872</x:v>
      </x:c>
      <x:c r="K113" s="60" t="n">
        <x:v>21.0290488571</x:v>
      </x:c>
      <x:c r="L113" s="60" t="n">
        <x:v>18.7173119972</x:v>
      </x:c>
      <x:c r="M113" s="60" t="n">
        <x:v>23.0544275471</x:v>
      </x:c>
      <x:c r="N113" s="46" t="str">
        <x:v>bothidae</x:v>
      </x:c>
      <x:c r="O113" s="62" t="n">
        <x:v>3.77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Bothidae</x:v>
      </x:c>
      <x:c r="T113" s="62" t="n">
        <x:f>IF(O113="","",(1/'Metadata'!$B$5)^(O113-1))</x:f>
        <x:v>4016.549170818885</x:v>
      </x:c>
      <x:c r="U113" s="60" t="n">
        <x:f>IF(T113="","",I113*T113)</x:f>
        <x:v>167778.24583032058</x:v>
      </x:c>
    </x:row>
    <x:row r="114" ht="18" customHeight="1">
      <x:c r="A114" s="46" t="str">
        <x:v>LME_046</x:v>
      </x:c>
      <x:c r="B114" s="46" t="str">
        <x:v>New Zealand Shelf</x:v>
      </x:c>
      <x:c r="C114" s="46" t="str">
        <x:v>LME</x:v>
      </x:c>
      <x:c r="D114" s="58" t="n">
        <x:v>2019</x:v>
      </x:c>
      <x:c r="E114" s="46" t="str">
        <x:v>Allothunnus fallai</x:v>
      </x:c>
      <x:c r="F114" s="46" t="str">
        <x:v>Slender tuna</x:v>
      </x:c>
      <x:c r="G114" s="46" t="str">
        <x:v>Large pelagics (&gt;=90 cm)</x:v>
      </x:c>
      <x:c r="H114" s="46" t="str">
        <x:v>Tuna &amp; billfishes</x:v>
      </x:c>
      <x:c r="I114" s="60" t="n">
        <x:v>37.0011862096</x:v>
      </x:c>
      <x:c r="J114" s="60" t="n">
        <x:v>37.0011862096</x:v>
      </x:c>
      <x:c r="K114" s="60" t="n">
        <x:v>0</x:v>
      </x:c>
      <x:c r="L114" s="60" t="n">
        <x:v>35.1223724793</x:v>
      </x:c>
      <x:c r="M114" s="60" t="n">
        <x:v>1.8788137303</x:v>
      </x:c>
      <x:c r="N114" s="46" t="str">
        <x:v>allothunnus fallai</x:v>
      </x:c>
      <x:c r="O114" s="62" t="n">
        <x:v>3.7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Allothunnus fallai</x:v>
      </x:c>
      <x:c r="T114" s="62" t="n">
        <x:f>IF(O114="","",(1/'Metadata'!$B$5)^(O114-1))</x:f>
        <x:v>3256.724252295237</x:v>
      </x:c>
      <x:c r="U114" s="60" t="n">
        <x:f>IF(T114="","",I114*T114)</x:f>
        <x:v>120502.66049249639</x:v>
      </x:c>
    </x:row>
    <x:row r="115" ht="18" customHeight="1">
      <x:c r="A115" s="46" t="str">
        <x:v>LME_046</x:v>
      </x:c>
      <x:c r="B115" s="46" t="str">
        <x:v>New Zealand Shelf</x:v>
      </x:c>
      <x:c r="C115" s="46" t="str">
        <x:v>LME</x:v>
      </x:c>
      <x:c r="D115" s="58" t="n">
        <x:v>2019</x:v>
      </x:c>
      <x:c r="E115" s="46" t="str">
        <x:v>Trachichthyidae</x:v>
      </x:c>
      <x:c r="F115" s="46" t="str">
        <x:v>Slimeheads</x:v>
      </x:c>
      <x:c r="G115" s="46" t="str">
        <x:v>Medium bathypelagics (30 - 89 cm)</x:v>
      </x:c>
      <x:c r="H115" s="46" t="str">
        <x:v>Other fishes &amp; inverts</x:v>
      </x:c>
      <x:c r="I115" s="60" t="n">
        <x:v>36.1137118892</x:v>
      </x:c>
      <x:c r="J115" s="60" t="n">
        <x:v>0</x:v>
      </x:c>
      <x:c r="K115" s="60" t="n">
        <x:v>36.1137118892</x:v>
      </x:c>
      <x:c r="L115" s="60" t="n">
        <x:v>0</x:v>
      </x:c>
      <x:c r="M115" s="60" t="n">
        <x:v>36.1137118892</x:v>
      </x:c>
      <x:c r="N115" s="46" t="str">
        <x:v>trachichthyidae</x:v>
      </x:c>
      <x:c r="O115" s="62" t="n">
        <x:v>3.72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Trachichthyidae</x:v>
      </x:c>
      <x:c r="T115" s="62" t="n">
        <x:f>IF(O115="","",(1/'Metadata'!$B$5)^(O115-1))</x:f>
        <x:v>3457.8136804537753</x:v>
      </x:c>
      <x:c r="U115" s="60" t="n">
        <x:f>IF(T115="","",I115*T115)</x:f>
        <x:v>124874.4870224419</x:v>
      </x:c>
    </x:row>
    <x:row r="116" ht="18" customHeight="1">
      <x:c r="A116" s="46" t="str">
        <x:v>LME_046</x:v>
      </x:c>
      <x:c r="B116" s="46" t="str">
        <x:v>New Zealand Shelf</x:v>
      </x:c>
      <x:c r="C116" s="46" t="str">
        <x:v>LME</x:v>
      </x:c>
      <x:c r="D116" s="58" t="n">
        <x:v>2019</x:v>
      </x:c>
      <x:c r="E116" s="46" t="str">
        <x:v>Monacanthidae</x:v>
      </x:c>
      <x:c r="F116" s="46" t="str">
        <x:v>Filefishes</x:v>
      </x:c>
      <x:c r="G116" s="46" t="str">
        <x:v>Medium reef assoc. fish (30 - 89 cm)</x:v>
      </x:c>
      <x:c r="H116" s="46" t="str">
        <x:v>Other fishes &amp; inverts</x:v>
      </x:c>
      <x:c r="I116" s="60" t="n">
        <x:v>33.023202974700006</x:v>
      </x:c>
      <x:c r="J116" s="60" t="n">
        <x:v>0</x:v>
      </x:c>
      <x:c r="K116" s="60" t="n">
        <x:v>33.023202974700006</x:v>
      </x:c>
      <x:c r="L116" s="60" t="n">
        <x:v>0</x:v>
      </x:c>
      <x:c r="M116" s="60" t="n">
        <x:v>33.023202974700006</x:v>
      </x:c>
      <x:c r="N116" s="46" t="str">
        <x:v>monacanthidae</x:v>
      </x:c>
      <x:c r="O116" s="62" t="n">
        <x:v>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Monacanthidae</x:v>
      </x:c>
      <x:c r="T116" s="62" t="n">
        <x:f>IF(O116="","",(1/'Metadata'!$B$5)^(O116-1))</x:f>
        <x:v>400</x:v>
      </x:c>
      <x:c r="U116" s="60" t="n">
        <x:f>IF(T116="","",I116*T116)</x:f>
        <x:v>13209.281189880003</x:v>
      </x:c>
    </x:row>
    <x:row r="117" ht="18" customHeight="1">
      <x:c r="A117" s="46" t="str">
        <x:v>LME_046</x:v>
      </x:c>
      <x:c r="B117" s="46" t="str">
        <x:v>New Zealand Shelf</x:v>
      </x:c>
      <x:c r="C117" s="46" t="str">
        <x:v>LME</x:v>
      </x:c>
      <x:c r="D117" s="58" t="n">
        <x:v>2019</x:v>
      </x:c>
      <x:c r="E117" s="46" t="str">
        <x:v>Genyagnus monopterygius</x:v>
      </x:c>
      <x:c r="F117" s="46" t="str">
        <x:v>Spotted stargazer</x:v>
      </x:c>
      <x:c r="G117" s="46" t="str">
        <x:v>Small pelagics (&lt;30 cm)</x:v>
      </x:c>
      <x:c r="H117" s="46" t="str">
        <x:v>Perch-likes</x:v>
      </x:c>
      <x:c r="I117" s="60" t="n">
        <x:v>32.404804055999996</x:v>
      </x:c>
      <x:c r="J117" s="60" t="n">
        <x:v>32.404804055999996</x:v>
      </x:c>
      <x:c r="K117" s="60" t="n">
        <x:v>0</x:v>
      </x:c>
      <x:c r="L117" s="60" t="n">
        <x:v>29.2708103506</x:v>
      </x:c>
      <x:c r="M117" s="60" t="n">
        <x:v>3.1339937054</x:v>
      </x:c>
      <x:c r="N117" s="46" t="str">
        <x:v>genyagnus monopterygius</x:v>
      </x:c>
      <x:c r="O117" s="62" t="n">
        <x:v>4.5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Genyagnus monopterygius</x:v>
      </x:c>
      <x:c r="T117" s="62" t="n">
        <x:f>IF(O117="","",(1/'Metadata'!$B$5)^(O117-1))</x:f>
        <x:v>35777.08763999664</x:v>
      </x:c>
      <x:c r="U117" s="60" t="n">
        <x:f>IF(T117="","",I117*T117)</x:f>
        <x:v>1159349.5146684304</x:v>
      </x:c>
    </x:row>
    <x:row r="118" ht="18" customHeight="1">
      <x:c r="A118" s="46" t="str">
        <x:v>LME_046</x:v>
      </x:c>
      <x:c r="B118" s="46" t="str">
        <x:v>New Zealand Shelf</x:v>
      </x:c>
      <x:c r="C118" s="46" t="str">
        <x:v>LME</x:v>
      </x:c>
      <x:c r="D118" s="58" t="n">
        <x:v>2019</x:v>
      </x:c>
      <x:c r="E118" s="46" t="str">
        <x:v>Etmopterus</x:v>
      </x:c>
      <x:c r="F118" s="46" t="str">
        <x:v>Lanternsharks</x:v>
      </x:c>
      <x:c r="G118" s="46" t="str">
        <x:v>Small to medium sharks (&lt;90 cm)</x:v>
      </x:c>
      <x:c r="H118" s="46" t="str">
        <x:v>Sharks &amp; rays</x:v>
      </x:c>
      <x:c r="I118" s="60" t="n">
        <x:v>31.832532561100003</x:v>
      </x:c>
      <x:c r="J118" s="60" t="n">
        <x:v>31.832532561100003</x:v>
      </x:c>
      <x:c r="K118" s="60" t="n">
        <x:v>0</x:v>
      </x:c>
      <x:c r="L118" s="60" t="n">
        <x:v>28.9722451692</x:v>
      </x:c>
      <x:c r="M118" s="60" t="n">
        <x:v>2.8602873919</x:v>
      </x:c>
      <x:c r="N118" s="46" t="str">
        <x:v>etmopterus</x:v>
      </x:c>
      <x:c r="O118" s="62" t="n">
        <x:v>4.02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Etmopterus</x:v>
      </x:c>
      <x:c r="T118" s="62" t="n">
        <x:f>IF(O118="","",(1/'Metadata'!$B$5)^(O118-1))</x:f>
        <x:v>8493.967342839818</x:v>
      </x:c>
      <x:c r="U118" s="60" t="n">
        <x:f>IF(T118="","",I118*T118)</x:f>
        <x:v>270384.4920138686</x:v>
      </x:c>
    </x:row>
    <x:row r="119" ht="18" customHeight="1">
      <x:c r="A119" s="46" t="str">
        <x:v>LME_046</x:v>
      </x:c>
      <x:c r="B119" s="46" t="str">
        <x:v>New Zealand Shelf</x:v>
      </x:c>
      <x:c r="C119" s="46" t="str">
        <x:v>LME</x:v>
      </x:c>
      <x:c r="D119" s="58" t="n">
        <x:v>2019</x:v>
      </x:c>
      <x:c r="E119" s="46" t="str">
        <x:v>Nototheniidae</x:v>
      </x:c>
      <x:c r="F119" s="46" t="str">
        <x:v>Cod icefishes</x:v>
      </x:c>
      <x:c r="G119" s="46" t="str">
        <x:v>Large bathydemersals (&gt;=90 cm)</x:v>
      </x:c>
      <x:c r="H119" s="46" t="str">
        <x:v>Perch-likes</x:v>
      </x:c>
      <x:c r="I119" s="60" t="n">
        <x:v>31.410808675</x:v>
      </x:c>
      <x:c r="J119" s="60" t="n">
        <x:v>0.27445805230000003</x:v>
      </x:c>
      <x:c r="K119" s="60" t="n">
        <x:v>31.1363506227</x:v>
      </x:c>
      <x:c r="L119" s="60" t="n">
        <x:v>0.2525200219</x:v>
      </x:c>
      <x:c r="M119" s="60" t="n">
        <x:v>31.158288653099998</x:v>
      </x:c>
      <x:c r="N119" s="46" t="str">
        <x:v>nototheniidae</x:v>
      </x:c>
      <x:c r="O119" s="62" t="n">
        <x:v>3.43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Nototheniidae</x:v>
      </x:c>
      <x:c r="T119" s="62" t="n">
        <x:f>IF(O119="","",(1/'Metadata'!$B$5)^(O119-1))</x:f>
        <x:v>1450.450424461182</x:v>
      </x:c>
      <x:c r="U119" s="60" t="n">
        <x:f>IF(T119="","",I119*T119)</x:f>
        <x:v>45559.820775322725</x:v>
      </x:c>
    </x:row>
    <x:row r="120" ht="18" customHeight="1">
      <x:c r="A120" s="46" t="str">
        <x:v>LME_046</x:v>
      </x:c>
      <x:c r="B120" s="46" t="str">
        <x:v>New Zealand Shelf</x:v>
      </x:c>
      <x:c r="C120" s="46" t="str">
        <x:v>LME</x:v>
      </x:c>
      <x:c r="D120" s="58" t="n">
        <x:v>2019</x:v>
      </x:c>
      <x:c r="E120" s="46" t="str">
        <x:v>Squalus mitsukurii</x:v>
      </x:c>
      <x:c r="F120" s="46" t="str">
        <x:v>Shortspine spurdog</x:v>
      </x:c>
      <x:c r="G120" s="46" t="str">
        <x:v>Small to medium sharks (&lt;90 cm)</x:v>
      </x:c>
      <x:c r="H120" s="46" t="str">
        <x:v>Sharks &amp; rays</x:v>
      </x:c>
      <x:c r="I120" s="60" t="n">
        <x:v>31.202468603099998</x:v>
      </x:c>
      <x:c r="J120" s="60" t="n">
        <x:v>31.202468603099998</x:v>
      </x:c>
      <x:c r="K120" s="60" t="n">
        <x:v>0</x:v>
      </x:c>
      <x:c r="L120" s="60" t="n">
        <x:v>30.9574746307</x:v>
      </x:c>
      <x:c r="M120" s="60" t="n">
        <x:v>0.2449939724</x:v>
      </x:c>
      <x:c r="N120" s="46" t="str">
        <x:v>squalus mitsukurii</x:v>
      </x:c>
      <x:c r="O120" s="62" t="n">
        <x:v>4.37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Squalus mitsukurii</x:v>
      </x:c>
      <x:c r="T120" s="62" t="n">
        <x:f>IF(O120="","",(1/'Metadata'!$B$5)^(O120-1))</x:f>
        <x:v>24236.56596112542</x:v>
      </x:c>
      <x:c r="U120" s="60" t="n">
        <x:f>IF(T120="","",I120*T120)</x:f>
        <x:v>756240.688448978</x:v>
      </x:c>
    </x:row>
    <x:row r="121" ht="18" customHeight="1">
      <x:c r="A121" s="46" t="str">
        <x:v>LME_046</x:v>
      </x:c>
      <x:c r="B121" s="46" t="str">
        <x:v>New Zealand Shelf</x:v>
      </x:c>
      <x:c r="C121" s="46" t="str">
        <x:v>LME</x:v>
      </x:c>
      <x:c r="D121" s="58" t="n">
        <x:v>2019</x:v>
      </x:c>
      <x:c r="E121" s="46" t="str">
        <x:v>Aldrichetta forsteri</x:v>
      </x:c>
      <x:c r="F121" s="46" t="str">
        <x:v>Yellow-eye mullet</x:v>
      </x:c>
      <x:c r="G121" s="46" t="str">
        <x:v>Small pelagics (&lt;30 cm)</x:v>
      </x:c>
      <x:c r="H121" s="46" t="str">
        <x:v>Other fishes &amp; inverts</x:v>
      </x:c>
      <x:c r="I121" s="60" t="n">
        <x:v>30.060051448099998</x:v>
      </x:c>
      <x:c r="J121" s="60" t="n">
        <x:v>30.060051448099998</x:v>
      </x:c>
      <x:c r="K121" s="60" t="n">
        <x:v>0</x:v>
      </x:c>
      <x:c r="L121" s="60" t="n">
        <x:v>28.5573673229</x:v>
      </x:c>
      <x:c r="M121" s="60" t="n">
        <x:v>1.5026841252</x:v>
      </x:c>
      <x:c r="N121" s="46" t="str">
        <x:v>aldrichetta forsteri</x:v>
      </x:c>
      <x:c r="O121" s="62" t="n">
        <x:v>2.51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Aldrichetta forsteri</x:v>
      </x:c>
      <x:c r="T121" s="62" t="n">
        <x:f>IF(O121="","",(1/'Metadata'!$B$5)^(O121-1))</x:f>
        <x:v>92.16272208892171</x:v>
      </x:c>
      <x:c r="U121" s="60" t="n">
        <x:f>IF(T121="","",I121*T121)</x:f>
        <x:v>2770.4161675899286</x:v>
      </x:c>
    </x:row>
    <x:row r="122" ht="18" customHeight="1">
      <x:c r="A122" s="46" t="str">
        <x:v>LME_046</x:v>
      </x:c>
      <x:c r="B122" s="46" t="str">
        <x:v>New Zealand Shelf</x:v>
      </x:c>
      <x:c r="C122" s="46" t="str">
        <x:v>LME</x:v>
      </x:c>
      <x:c r="D122" s="58" t="n">
        <x:v>2019</x:v>
      </x:c>
      <x:c r="E122" s="46" t="str">
        <x:v>Lepidocybium flavobrunneum</x:v>
      </x:c>
      <x:c r="F122" s="46" t="str">
        <x:v>Escolar</x:v>
      </x:c>
      <x:c r="G122" s="46" t="str">
        <x:v>Large bathypelagics (&gt;=90 cm)</x:v>
      </x:c>
      <x:c r="H122" s="46" t="str">
        <x:v>Perch-likes</x:v>
      </x:c>
      <x:c r="I122" s="60" t="n">
        <x:v>27.797903502600004</x:v>
      </x:c>
      <x:c r="J122" s="60" t="n">
        <x:v>27.797903502600004</x:v>
      </x:c>
      <x:c r="K122" s="60" t="n">
        <x:v>0</x:v>
      </x:c>
      <x:c r="L122" s="60" t="n">
        <x:v>25.106126525900002</x:v>
      </x:c>
      <x:c r="M122" s="60" t="n">
        <x:v>2.6917769767</x:v>
      </x:c>
      <x:c r="N122" s="46" t="str">
        <x:v>lepidocybium flavobrunneum</x:v>
      </x:c>
      <x:c r="O122" s="62" t="n">
        <x:v>4.34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Lepidocybium flavobrunneum</x:v>
      </x:c>
      <x:c r="T122" s="62" t="n">
        <x:f>IF(O122="","",(1/'Metadata'!$B$5)^(O122-1))</x:f>
        <x:v>22153.389612394185</x:v>
      </x:c>
      <x:c r="U122" s="60" t="n">
        <x:f>IF(T122="","",I122*T122)</x:f>
        <x:v>615817.7867008349</x:v>
      </x:c>
    </x:row>
    <x:row r="123" ht="18" customHeight="1">
      <x:c r="A123" s="46" t="str">
        <x:v>LME_046</x:v>
      </x:c>
      <x:c r="B123" s="46" t="str">
        <x:v>New Zealand Shelf</x:v>
      </x:c>
      <x:c r="C123" s="46" t="str">
        <x:v>LME</x:v>
      </x:c>
      <x:c r="D123" s="58" t="n">
        <x:v>2019</x:v>
      </x:c>
      <x:c r="E123" s="46" t="str">
        <x:v>Centrolophus niger</x:v>
      </x:c>
      <x:c r="F123" s="46" t="str">
        <x:v>Rudderfish</x:v>
      </x:c>
      <x:c r="G123" s="46" t="str">
        <x:v>Large bathypelagics (&gt;=90 cm)</x:v>
      </x:c>
      <x:c r="H123" s="46" t="str">
        <x:v>Perch-likes</x:v>
      </x:c>
      <x:c r="I123" s="60" t="n">
        <x:v>27.5107037289</x:v>
      </x:c>
      <x:c r="J123" s="60" t="n">
        <x:v>27.5107037289</x:v>
      </x:c>
      <x:c r="K123" s="60" t="n">
        <x:v>0</x:v>
      </x:c>
      <x:c r="L123" s="60" t="n">
        <x:v>24.8418884138</x:v>
      </x:c>
      <x:c r="M123" s="60" t="n">
        <x:v>2.6688153151000003</x:v>
      </x:c>
      <x:c r="N123" s="46" t="str">
        <x:v>centrolophus niger</x:v>
      </x:c>
      <x:c r="O123" s="62" t="n">
        <x:v>3.92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Centrolophus niger</x:v>
      </x:c>
      <x:c r="T123" s="62" t="n">
        <x:f>IF(O123="","",(1/'Metadata'!$B$5)^(O123-1))</x:f>
        <x:v>6295.1718073679995</x:v>
      </x:c>
      <x:c r="U123" s="60" t="n">
        <x:f>IF(T123="","",I123*T123)</x:f>
        <x:v>173184.606515025</x:v>
      </x:c>
    </x:row>
    <x:row r="124" ht="18" customHeight="1">
      <x:c r="A124" s="46" t="str">
        <x:v>LME_046</x:v>
      </x:c>
      <x:c r="B124" s="46" t="str">
        <x:v>New Zealand Shelf</x:v>
      </x:c>
      <x:c r="C124" s="46" t="str">
        <x:v>LME</x:v>
      </x:c>
      <x:c r="D124" s="58" t="n">
        <x:v>2019</x:v>
      </x:c>
      <x:c r="E124" s="46" t="str">
        <x:v>Lampris guttatus</x:v>
      </x:c>
      <x:c r="F124" s="46" t="str">
        <x:v>Opah</x:v>
      </x:c>
      <x:c r="G124" s="46" t="str">
        <x:v>Large bathypelagics (&gt;=90 cm)</x:v>
      </x:c>
      <x:c r="H124" s="46" t="str">
        <x:v>Other fishes &amp; inverts</x:v>
      </x:c>
      <x:c r="I124" s="60" t="n">
        <x:v>25.6800960782</x:v>
      </x:c>
      <x:c r="J124" s="60" t="n">
        <x:v>25.6800960782</x:v>
      </x:c>
      <x:c r="K124" s="60" t="n">
        <x:v>0</x:v>
      </x:c>
      <x:c r="L124" s="60" t="n">
        <x:v>22.845665267599998</x:v>
      </x:c>
      <x:c r="M124" s="60" t="n">
        <x:v>2.8344308106</x:v>
      </x:c>
      <x:c r="N124" s="46" t="str">
        <x:v>lampris guttatus</x:v>
      </x:c>
      <x:c r="O124" s="62" t="n">
        <x:v>4.22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Lampris guttatus</x:v>
      </x:c>
      <x:c r="T124" s="62" t="n">
        <x:f>IF(O124="","",(1/'Metadata'!$B$5)^(O124-1))</x:f>
        <x:v>15463.812886046735</x:v>
      </x:c>
      <x:c r="U124" s="60" t="n">
        <x:f>IF(T124="","",I124*T124)</x:f>
        <x:v>397112.2006489874</x:v>
      </x:c>
    </x:row>
    <x:row r="125" ht="18" customHeight="1">
      <x:c r="A125" s="46" t="str">
        <x:v>LME_046</x:v>
      </x:c>
      <x:c r="B125" s="46" t="str">
        <x:v>New Zealand Shelf</x:v>
      </x:c>
      <x:c r="C125" s="46" t="str">
        <x:v>LME</x:v>
      </x:c>
      <x:c r="D125" s="58" t="n">
        <x:v>2019</x:v>
      </x:c>
      <x:c r="E125" s="46" t="str">
        <x:v>Lamna nasus</x:v>
      </x:c>
      <x:c r="F125" s="46" t="str">
        <x:v>Porbeagle</x:v>
      </x:c>
      <x:c r="G125" s="46" t="str">
        <x:v>Large sharks (&gt;=90 cm)</x:v>
      </x:c>
      <x:c r="H125" s="46" t="str">
        <x:v>Sharks &amp; rays</x:v>
      </x:c>
      <x:c r="I125" s="60" t="n">
        <x:v>25.491815933599998</x:v>
      </x:c>
      <x:c r="J125" s="60" t="n">
        <x:v>25.491815933599998</x:v>
      </x:c>
      <x:c r="K125" s="60" t="n">
        <x:v>0</x:v>
      </x:c>
      <x:c r="L125" s="60" t="n">
        <x:v>24.5420632125</x:v>
      </x:c>
      <x:c r="M125" s="60" t="n">
        <x:v>0.9497527211</x:v>
      </x:c>
      <x:c r="N125" s="46" t="str">
        <x:v>lamna nasus</x:v>
      </x:c>
      <x:c r="O125" s="62" t="n">
        <x:v>4.57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Lamna nasus</x:v>
      </x:c>
      <x:c r="T125" s="62" t="n">
        <x:f>IF(O125="","",(1/'Metadata'!$B$5)^(O125-1))</x:f>
        <x:v>44124.224393105345</x:v>
      </x:c>
      <x:c r="U125" s="60" t="n">
        <x:f>IF(T125="","",I125*T125)</x:f>
        <x:v>1124806.6064419046</x:v>
      </x:c>
    </x:row>
    <x:row r="126" ht="18" customHeight="1">
      <x:c r="A126" s="46" t="str">
        <x:v>LME_046</x:v>
      </x:c>
      <x:c r="B126" s="46" t="str">
        <x:v>New Zealand Shelf</x:v>
      </x:c>
      <x:c r="C126" s="46" t="str">
        <x:v>LME</x:v>
      </x:c>
      <x:c r="D126" s="58" t="n">
        <x:v>2019</x:v>
      </x:c>
      <x:c r="E126" s="46" t="str">
        <x:v>Chlamys delicatula</x:v>
      </x:c>
      <x:c r="F126" s="46" t="str">
        <x:v>Delicate scallop</x:v>
      </x:c>
      <x:c r="G126" s="46" t="str">
        <x:v>Other demersal invertebrates</x:v>
      </x:c>
      <x:c r="H126" s="46" t="str">
        <x:v>Molluscs</x:v>
      </x:c>
      <x:c r="I126" s="60" t="n">
        <x:v>25.4788140247</x:v>
      </x:c>
      <x:c r="J126" s="60" t="n">
        <x:v>25.4788140247</x:v>
      </x:c>
      <x:c r="K126" s="60" t="n">
        <x:v>0</x:v>
      </x:c>
      <x:c r="L126" s="60" t="n">
        <x:v>23.0065057924</x:v>
      </x:c>
      <x:c r="M126" s="60" t="n">
        <x:v>2.4723082323</x:v>
      </x:c>
      <x:c r="N126" s="46" t="str">
        <x:v>chlamys delicatula</x:v>
      </x:c>
      <x:c r="O126" s="62" t="n">
        <x:v>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Chlamys delicatula</x:v>
      </x:c>
      <x:c r="T126" s="62" t="n">
        <x:f>IF(O126="","",(1/'Metadata'!$B$5)^(O126-1))</x:f>
        <x:v>20</x:v>
      </x:c>
      <x:c r="U126" s="60" t="n">
        <x:f>IF(T126="","",I126*T126)</x:f>
        <x:v>509.576280494</x:v>
      </x:c>
    </x:row>
    <x:row r="127" ht="18" customHeight="1">
      <x:c r="A127" s="46" t="str">
        <x:v>LME_046</x:v>
      </x:c>
      <x:c r="B127" s="46" t="str">
        <x:v>New Zealand Shelf</x:v>
      </x:c>
      <x:c r="C127" s="46" t="str">
        <x:v>LME</x:v>
      </x:c>
      <x:c r="D127" s="58" t="n">
        <x:v>2019</x:v>
      </x:c>
      <x:c r="E127" s="46" t="str">
        <x:v>Centriscops humerosus</x:v>
      </x:c>
      <x:c r="F127" s="46" t="str">
        <x:v>Banded yellowfish</x:v>
      </x:c>
      <x:c r="G127" s="46" t="str">
        <x:v>Medium bathydemersals (30 - 89 cm)</x:v>
      </x:c>
      <x:c r="H127" s="46" t="str">
        <x:v>Other fishes &amp; inverts</x:v>
      </x:c>
      <x:c r="I127" s="60" t="n">
        <x:v>24.5423566077</x:v>
      </x:c>
      <x:c r="J127" s="60" t="n">
        <x:v>24.5423566077</x:v>
      </x:c>
      <x:c r="K127" s="60" t="n">
        <x:v>0</x:v>
      </x:c>
      <x:c r="L127" s="60" t="n">
        <x:v>22.1816168864</x:v>
      </x:c>
      <x:c r="M127" s="60" t="n">
        <x:v>2.3607397213</x:v>
      </x:c>
      <x:c r="N127" s="46" t="str">
        <x:v>centriscops humerosus</x:v>
      </x:c>
      <x:c r="O127" s="62" t="n">
        <x:v>3.57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Centriscops humerosus</x:v>
      </x:c>
      <x:c r="T127" s="62" t="n">
        <x:f>IF(O127="","",(1/'Metadata'!$B$5)^(O127-1))</x:f>
        <x:v>2206.2112196552644</x:v>
      </x:c>
      <x:c r="U127" s="60" t="n">
        <x:f>IF(T127="","",I127*T127)</x:f>
        <x:v>54145.622504688254</x:v>
      </x:c>
    </x:row>
    <x:row r="128" ht="18" customHeight="1">
      <x:c r="A128" s="46" t="str">
        <x:v>LME_046</x:v>
      </x:c>
      <x:c r="B128" s="46" t="str">
        <x:v>New Zealand Shelf</x:v>
      </x:c>
      <x:c r="C128" s="46" t="str">
        <x:v>LME</x:v>
      </x:c>
      <x:c r="D128" s="58" t="n">
        <x:v>2019</x:v>
      </x:c>
      <x:c r="E128" s="46" t="str">
        <x:v>Coryphaena hippurus</x:v>
      </x:c>
      <x:c r="F128" s="46" t="str">
        <x:v>Common dolphinfish</x:v>
      </x:c>
      <x:c r="G128" s="46" t="str">
        <x:v>Large pelagics (&gt;=90 cm)</x:v>
      </x:c>
      <x:c r="H128" s="46" t="str">
        <x:v>Perch-likes</x:v>
      </x:c>
      <x:c r="I128" s="60" t="n">
        <x:v>23.7845229362</x:v>
      </x:c>
      <x:c r="J128" s="60" t="n">
        <x:v>1.0513313386999998</x:v>
      </x:c>
      <x:c r="K128" s="60" t="n">
        <x:v>22.7331915975</x:v>
      </x:c>
      <x:c r="L128" s="60" t="n">
        <x:v>0.9615239186</x:v>
      </x:c>
      <x:c r="M128" s="60" t="n">
        <x:v>22.8229990176</x:v>
      </x:c>
      <x:c r="N128" s="46" t="str">
        <x:v>coryphaena hippurus</x:v>
      </x:c>
      <x:c r="O128" s="62" t="n">
        <x:v>4.37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Coryphaena hippurus</x:v>
      </x:c>
      <x:c r="T128" s="62" t="n">
        <x:f>IF(O128="","",(1/'Metadata'!$B$5)^(O128-1))</x:f>
        <x:v>24236.56596112542</x:v>
      </x:c>
      <x:c r="U128" s="60" t="n">
        <x:f>IF(T128="","",I128*T128)</x:f>
        <x:v>576455.1589971117</x:v>
      </x:c>
    </x:row>
    <x:row r="129" ht="18" customHeight="1">
      <x:c r="A129" s="46" t="str">
        <x:v>LME_046</x:v>
      </x:c>
      <x:c r="B129" s="46" t="str">
        <x:v>New Zealand Shelf</x:v>
      </x:c>
      <x:c r="C129" s="46" t="str">
        <x:v>LME</x:v>
      </x:c>
      <x:c r="D129" s="58" t="n">
        <x:v>2019</x:v>
      </x:c>
      <x:c r="E129" s="46" t="str">
        <x:v>Isurus oxyrinchus</x:v>
      </x:c>
      <x:c r="F129" s="46" t="str">
        <x:v>Shortfin mako</x:v>
      </x:c>
      <x:c r="G129" s="46" t="str">
        <x:v>Large sharks (&gt;=90 cm)</x:v>
      </x:c>
      <x:c r="H129" s="46" t="str">
        <x:v>Sharks &amp; rays</x:v>
      </x:c>
      <x:c r="I129" s="60" t="n">
        <x:v>23.3892659015</x:v>
      </x:c>
      <x:c r="J129" s="60" t="n">
        <x:v>23.3892659015</x:v>
      </x:c>
      <x:c r="K129" s="60" t="n">
        <x:v>0</x:v>
      </x:c>
      <x:c r="L129" s="60" t="n">
        <x:v>22.1510677462</x:v>
      </x:c>
      <x:c r="M129" s="60" t="n">
        <x:v>1.2381981553</x:v>
      </x:c>
      <x:c r="N129" s="46" t="str">
        <x:v>isurus oxyrinchus</x:v>
      </x:c>
      <x:c r="O129" s="62" t="n">
        <x:v>4.5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Isurus oxyrinchus</x:v>
      </x:c>
      <x:c r="T129" s="62" t="n">
        <x:f>IF(O129="","",(1/'Metadata'!$B$5)^(O129-1))</x:f>
        <x:v>35777.08763999664</x:v>
      </x:c>
      <x:c r="U129" s="60" t="n">
        <x:f>IF(T129="","",I129*T129)</x:f>
        <x:v>836799.8159931505</x:v>
      </x:c>
    </x:row>
    <x:row r="130" ht="18" customHeight="1">
      <x:c r="A130" s="46" t="str">
        <x:v>LME_046</x:v>
      </x:c>
      <x:c r="B130" s="46" t="str">
        <x:v>New Zealand Shelf</x:v>
      </x:c>
      <x:c r="C130" s="46" t="str">
        <x:v>LME</x:v>
      </x:c>
      <x:c r="D130" s="58" t="n">
        <x:v>2019</x:v>
      </x:c>
      <x:c r="E130" s="46" t="str">
        <x:v>Mugilidae</x:v>
      </x:c>
      <x:c r="F130" s="46" t="str">
        <x:v>Mullets, grey mullets</x:v>
      </x:c>
      <x:c r="G130" s="46" t="str">
        <x:v>Medium reef assoc. fish (30 - 89 cm)</x:v>
      </x:c>
      <x:c r="H130" s="46" t="str">
        <x:v>Perch-likes</x:v>
      </x:c>
      <x:c r="I130" s="60" t="n">
        <x:v>23.3198359926</x:v>
      </x:c>
      <x:c r="J130" s="60" t="n">
        <x:v>0</x:v>
      </x:c>
      <x:c r="K130" s="60" t="n">
        <x:v>23.3198359926</x:v>
      </x:c>
      <x:c r="L130" s="60" t="n">
        <x:v>0</x:v>
      </x:c>
      <x:c r="M130" s="60" t="n">
        <x:v>23.3198359926</x:v>
      </x:c>
      <x:c r="N130" s="46" t="str">
        <x:v>mugilidae</x:v>
      </x:c>
      <x:c r="O130" s="62" t="n">
        <x:v>2.53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Mugilidae</x:v>
      </x:c>
      <x:c r="T130" s="62" t="n">
        <x:f>IF(O130="","",(1/'Metadata'!$B$5)^(O130-1))</x:f>
        <x:v>97.8533939563155</x:v>
      </x:c>
      <x:c r="U130" s="60" t="n">
        <x:f>IF(T130="","",I130*T130)</x:f>
        <x:v>2281.9250983805537</x:v>
      </x:c>
    </x:row>
    <x:row r="131" ht="18" customHeight="1">
      <x:c r="A131" s="46" t="str">
        <x:v>LME_046</x:v>
      </x:c>
      <x:c r="B131" s="46" t="str">
        <x:v>New Zealand Shelf</x:v>
      </x:c>
      <x:c r="C131" s="46" t="str">
        <x:v>LME</x:v>
      </x:c>
      <x:c r="D131" s="58" t="n">
        <x:v>2019</x:v>
      </x:c>
      <x:c r="E131" s="46" t="str">
        <x:v>Thunnus orientalis</x:v>
      </x:c>
      <x:c r="F131" s="46" t="str">
        <x:v>Pacific bluefin tuna</x:v>
      </x:c>
      <x:c r="G131" s="46" t="str">
        <x:v>Large pelagics (&gt;=90 cm)</x:v>
      </x:c>
      <x:c r="H131" s="46" t="str">
        <x:v>Tuna &amp; billfishes</x:v>
      </x:c>
      <x:c r="I131" s="60" t="n">
        <x:v>23.061476538399997</x:v>
      </x:c>
      <x:c r="J131" s="60" t="n">
        <x:v>22.95266616</x:v>
      </x:c>
      <x:c r="K131" s="60" t="n">
        <x:v>0.10881037839999999</x:v>
      </x:c>
      <x:c r="L131" s="60" t="n">
        <x:v>22.5285468887</x:v>
      </x:c>
      <x:c r="M131" s="60" t="n">
        <x:v>0.5329296497</x:v>
      </x:c>
      <x:c r="N131" s="46" t="str">
        <x:v>thunnus orientalis</x:v>
      </x:c>
      <x:c r="O131" s="62" t="n">
        <x:v>4.05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Thunnus orientalis</x:v>
      </x:c>
      <x:c r="T131" s="62" t="n">
        <x:f>IF(O131="","",(1/'Metadata'!$B$5)^(O131-1))</x:f>
        <x:v>9292.690797132333</x:v>
      </x:c>
      <x:c r="U131" s="60" t="n">
        <x:f>IF(T131="","",I131*T131)</x:f>
        <x:v>214303.17079667287</x:v>
      </x:c>
    </x:row>
    <x:row r="132" ht="18" customHeight="1">
      <x:c r="A132" s="46" t="str">
        <x:v>LME_046</x:v>
      </x:c>
      <x:c r="B132" s="46" t="str">
        <x:v>New Zealand Shelf</x:v>
      </x:c>
      <x:c r="C132" s="46" t="str">
        <x:v>LME</x:v>
      </x:c>
      <x:c r="D132" s="58" t="n">
        <x:v>2019</x:v>
      </x:c>
      <x:c r="E132" s="46" t="str">
        <x:v>Hyporhamphus ihi</x:v>
      </x:c>
      <x:c r="F132" s="46" t="str">
        <x:v>Halfbeak</x:v>
      </x:c>
      <x:c r="G132" s="46" t="str">
        <x:v>Small pelagics (&lt;30 cm)</x:v>
      </x:c>
      <x:c r="H132" s="46" t="str">
        <x:v>Other fishes &amp; inverts</x:v>
      </x:c>
      <x:c r="I132" s="60" t="n">
        <x:v>20.6510368383</x:v>
      </x:c>
      <x:c r="J132" s="60" t="n">
        <x:v>20.6510368383</x:v>
      </x:c>
      <x:c r="K132" s="60" t="n">
        <x:v>0</x:v>
      </x:c>
      <x:c r="L132" s="60" t="n">
        <x:v>17.6967173964</x:v>
      </x:c>
      <x:c r="M132" s="60" t="n">
        <x:v>2.9543194418999996</x:v>
      </x:c>
      <x:c r="N132" s="46" t="str">
        <x:v>hyporhamphus ihi</x:v>
      </x:c>
      <x:c r="O132" s="62" t="n">
        <x:v>3.2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Hyporhamphus ihi</x:v>
      </x:c>
      <x:c r="T132" s="62" t="n">
        <x:f>IF(O132="","",(1/'Metadata'!$B$5)^(O132-1))</x:f>
        <x:v>728.2256812104325</x:v>
      </x:c>
      <x:c r="U132" s="60" t="n">
        <x:f>IF(T132="","",I132*T132)</x:f>
        <x:v>15038.615369272755</x:v>
      </x:c>
    </x:row>
    <x:row r="133" ht="18" customHeight="1">
      <x:c r="A133" s="46" t="str">
        <x:v>LME_046</x:v>
      </x:c>
      <x:c r="B133" s="46" t="str">
        <x:v>New Zealand Shelf</x:v>
      </x:c>
      <x:c r="C133" s="46" t="str">
        <x:v>LME</x:v>
      </x:c>
      <x:c r="D133" s="58" t="n">
        <x:v>2019</x:v>
      </x:c>
      <x:c r="E133" s="46" t="str">
        <x:v>Nephropidae</x:v>
      </x:c>
      <x:c r="F133" s="46" t="str">
        <x:v>Clawed lobsters</x:v>
      </x:c>
      <x:c r="G133" s="46" t="str">
        <x:v>Lobsters, crabs</x:v>
      </x:c>
      <x:c r="H133" s="46" t="str">
        <x:v>Crustaceans</x:v>
      </x:c>
      <x:c r="I133" s="60" t="n">
        <x:v>19.0028094219</x:v>
      </x:c>
      <x:c r="J133" s="60" t="n">
        <x:v>0</x:v>
      </x:c>
      <x:c r="K133" s="60" t="n">
        <x:v>19.0028094219</x:v>
      </x:c>
      <x:c r="L133" s="60" t="n">
        <x:v>0</x:v>
      </x:c>
      <x:c r="M133" s="60" t="n">
        <x:v>19.0028094219</x:v>
      </x:c>
      <x:c r="N133" s="46" t="str">
        <x:v>nephropidae</x:v>
      </x:c>
      <x:c r="O133" s="62" t="n">
        <x:v>2.88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Nephropidae</x:v>
      </x:c>
      <x:c r="T133" s="62" t="n">
        <x:f>IF(O133="","",(1/'Metadata'!$B$5)^(O133-1))</x:f>
        <x:v>279.21348663312773</x:v>
      </x:c>
      <x:c r="U133" s="60" t="n">
        <x:f>IF(T133="","",I133*T133)</x:f>
        <x:v>5305.84067451355</x:v>
      </x:c>
    </x:row>
    <x:row r="134" ht="18" customHeight="1">
      <x:c r="A134" s="46" t="str">
        <x:v>LME_046</x:v>
      </x:c>
      <x:c r="B134" s="46" t="str">
        <x:v>New Zealand Shelf</x:v>
      </x:c>
      <x:c r="C134" s="46" t="str">
        <x:v>LME</x:v>
      </x:c>
      <x:c r="D134" s="58" t="n">
        <x:v>2019</x:v>
      </x:c>
      <x:c r="E134" s="46" t="str">
        <x:v>Benthodesmus</x:v>
      </x:c>
      <x:c r="F134" s="46" t="str">
        <x:v>Frostfishes</x:v>
      </x:c>
      <x:c r="G134" s="46" t="str">
        <x:v>Large benthopelagics (&gt;=90 cm)</x:v>
      </x:c>
      <x:c r="H134" s="46" t="str">
        <x:v>Perch-likes</x:v>
      </x:c>
      <x:c r="I134" s="60" t="n">
        <x:v>18.0277348216</x:v>
      </x:c>
      <x:c r="J134" s="60" t="n">
        <x:v>18.0277348216</x:v>
      </x:c>
      <x:c r="K134" s="60" t="n">
        <x:v>0</x:v>
      </x:c>
      <x:c r="L134" s="60" t="n">
        <x:v>16.2680857113</x:v>
      </x:c>
      <x:c r="M134" s="60" t="n">
        <x:v>1.7596491102999998</x:v>
      </x:c>
      <x:c r="N134" s="46" t="str">
        <x:v>benthodesmus</x:v>
      </x:c>
      <x:c r="O134" s="62" t="n">
        <x:v>3.73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Benthodesmus</x:v>
      </x:c>
      <x:c r="T134" s="62" t="n">
        <x:f>IF(O134="","",(1/'Metadata'!$B$5)^(O134-1))</x:f>
        <x:v>3562.967723629534</x:v>
      </x:c>
      <x:c r="U134" s="60" t="n">
        <x:f>IF(T134="","",I134*T134)</x:f>
        <x:v>64232.23729951303</x:v>
      </x:c>
    </x:row>
    <x:row r="135" ht="18" customHeight="1">
      <x:c r="A135" s="46" t="str">
        <x:v>LME_046</x:v>
      </x:c>
      <x:c r="B135" s="46" t="str">
        <x:v>New Zealand Shelf</x:v>
      </x:c>
      <x:c r="C135" s="46" t="str">
        <x:v>LME</x:v>
      </x:c>
      <x:c r="D135" s="58" t="n">
        <x:v>2019</x:v>
      </x:c>
      <x:c r="E135" s="46" t="str">
        <x:v>Berycidae</x:v>
      </x:c>
      <x:c r="F135" s="46" t="str">
        <x:v>Alfonsinos, redfishes</x:v>
      </x:c>
      <x:c r="G135" s="46" t="str">
        <x:v>Medium benthopelagics (30 - 89 cm)</x:v>
      </x:c>
      <x:c r="H135" s="46" t="str">
        <x:v>Other fishes &amp; inverts</x:v>
      </x:c>
      <x:c r="I135" s="60" t="n">
        <x:v>17.2925536582</x:v>
      </x:c>
      <x:c r="J135" s="60" t="n">
        <x:v>0</x:v>
      </x:c>
      <x:c r="K135" s="60" t="n">
        <x:v>17.2925536582</x:v>
      </x:c>
      <x:c r="L135" s="60" t="n">
        <x:v>0</x:v>
      </x:c>
      <x:c r="M135" s="60" t="n">
        <x:v>17.2925536582</x:v>
      </x:c>
      <x:c r="N135" s="46" t="str">
        <x:v>berycidae</x:v>
      </x:c>
      <x:c r="O135" s="62" t="n">
        <x:v>3.99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Berycidae</x:v>
      </x:c>
      <x:c r="T135" s="62" t="n">
        <x:f>IF(O135="","",(1/'Metadata'!$B$5)^(O135-1))</x:f>
        <x:v>7763.895603143686</x:v>
      </x:c>
      <x:c r="U135" s="60" t="n">
        <x:f>IF(T135="","",I135*T135)</x:f>
        <x:v>134257.58131402524</x:v>
      </x:c>
    </x:row>
    <x:row r="136" ht="18" customHeight="1">
      <x:c r="A136" s="46" t="str">
        <x:v>LME_046</x:v>
      </x:c>
      <x:c r="B136" s="46" t="str">
        <x:v>New Zealand Shelf</x:v>
      </x:c>
      <x:c r="C136" s="46" t="str">
        <x:v>LME</x:v>
      </x:c>
      <x:c r="D136" s="58" t="n">
        <x:v>2019</x:v>
      </x:c>
      <x:c r="E136" s="46" t="str">
        <x:v>Dosinia</x:v>
      </x:c>
      <x:c r="F136" s="46" t="str">
        <x:v>Dosinia clams</x:v>
      </x:c>
      <x:c r="G136" s="46" t="str">
        <x:v>Other demersal invertebrates</x:v>
      </x:c>
      <x:c r="H136" s="46" t="str">
        <x:v>Molluscs</x:v>
      </x:c>
      <x:c r="I136" s="60" t="n">
        <x:v>16.7976206587</x:v>
      </x:c>
      <x:c r="J136" s="60" t="n">
        <x:v>16.7976206587</x:v>
      </x:c>
      <x:c r="K136" s="60" t="n">
        <x:v>0</x:v>
      </x:c>
      <x:c r="L136" s="60" t="n">
        <x:v>12.9097893208</x:v>
      </x:c>
      <x:c r="M136" s="60" t="n">
        <x:v>3.8878313379000002</x:v>
      </x:c>
      <x:c r="N136" s="46" t="str">
        <x:v>dosinia</x:v>
      </x:c>
      <x:c r="O136" s="62" t="n">
        <x:v>2.02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Dosinia</x:v>
      </x:c>
      <x:c r="T136" s="62" t="n">
        <x:f>IF(O136="","",(1/'Metadata'!$B$5)^(O136-1))</x:f>
        <x:v>21.234918357099573</x:v>
      </x:c>
      <x:c r="U136" s="60" t="n">
        <x:f>IF(T136="","",I136*T136)</x:f>
        <x:v>356.6961032810237</x:v>
      </x:c>
    </x:row>
    <x:row r="137" ht="18" customHeight="1">
      <x:c r="A137" s="46" t="str">
        <x:v>LME_046</x:v>
      </x:c>
      <x:c r="B137" s="46" t="str">
        <x:v>New Zealand Shelf</x:v>
      </x:c>
      <x:c r="C137" s="46" t="str">
        <x:v>LME</x:v>
      </x:c>
      <x:c r="D137" s="58" t="n">
        <x:v>2019</x:v>
      </x:c>
      <x:c r="E137" s="46" t="str">
        <x:v>Magallana gigas</x:v>
      </x:c>
      <x:c r="F137" s="46" t="str">
        <x:v>Pacific cupped oyster</x:v>
      </x:c>
      <x:c r="G137" s="46" t="str">
        <x:v>Other demersal invertebrates</x:v>
      </x:c>
      <x:c r="H137" s="46" t="str">
        <x:v>Molluscs</x:v>
      </x:c>
      <x:c r="I137" s="60" t="n">
        <x:v>15.743837967800001</x:v>
      </x:c>
      <x:c r="J137" s="60" t="n">
        <x:v>15.743837967800001</x:v>
      </x:c>
      <x:c r="K137" s="60" t="n">
        <x:v>0</x:v>
      </x:c>
      <x:c r="L137" s="60" t="n">
        <x:v>15.743837967800001</x:v>
      </x:c>
      <x:c r="M137" s="60" t="n">
        <x:v>0</x:v>
      </x:c>
      <x:c r="N137" s="46" t="str">
        <x:v>magallana gigas</x:v>
      </x:c>
      <x:c r="O137" s="62" t="n">
        <x:v>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Magallana gigas</x:v>
      </x:c>
      <x:c r="T137" s="62" t="n">
        <x:f>IF(O137="","",(1/'Metadata'!$B$5)^(O137-1))</x:f>
        <x:v>20</x:v>
      </x:c>
      <x:c r="U137" s="60" t="n">
        <x:f>IF(T137="","",I137*T137)</x:f>
        <x:v>314.87675935600004</x:v>
      </x:c>
    </x:row>
    <x:row r="138" ht="18" customHeight="1">
      <x:c r="A138" s="46" t="str">
        <x:v>LME_046</x:v>
      </x:c>
      <x:c r="B138" s="46" t="str">
        <x:v>New Zealand Shelf</x:v>
      </x:c>
      <x:c r="C138" s="46" t="str">
        <x:v>LME</x:v>
      </x:c>
      <x:c r="D138" s="58" t="n">
        <x:v>2019</x:v>
      </x:c>
      <x:c r="E138" s="46" t="str">
        <x:v>Ruvettus pretiosus</x:v>
      </x:c>
      <x:c r="F138" s="46" t="str">
        <x:v>Oilfish</x:v>
      </x:c>
      <x:c r="G138" s="46" t="str">
        <x:v>Large benthopelagics (&gt;=90 cm)</x:v>
      </x:c>
      <x:c r="H138" s="46" t="str">
        <x:v>Perch-likes</x:v>
      </x:c>
      <x:c r="I138" s="60" t="n">
        <x:v>15.1847513417</x:v>
      </x:c>
      <x:c r="J138" s="60" t="n">
        <x:v>15.1847513417</x:v>
      </x:c>
      <x:c r="K138" s="60" t="n">
        <x:v>0</x:v>
      </x:c>
      <x:c r="L138" s="60" t="n">
        <x:v>13.702061542900001</x:v>
      </x:c>
      <x:c r="M138" s="60" t="n">
        <x:v>1.4826897988</x:v>
      </x:c>
      <x:c r="N138" s="46" t="str">
        <x:v>ruvettus pretiosus</x:v>
      </x:c>
      <x:c r="O138" s="62" t="n">
        <x:v>4.18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Ruvettus pretiosus</x:v>
      </x:c>
      <x:c r="T138" s="62" t="n">
        <x:f>IF(O138="","",(1/'Metadata'!$B$5)^(O138-1))</x:f>
        <x:v>13717.513182092556</x:v>
      </x:c>
      <x:c r="U138" s="60" t="n">
        <x:f>IF(T138="","",I138*T138)</x:f>
        <x:v>208297.0266965674</x:v>
      </x:c>
    </x:row>
    <x:row r="139" ht="18" customHeight="1">
      <x:c r="A139" s="46" t="str">
        <x:v>LME_046</x:v>
      </x:c>
      <x:c r="B139" s="46" t="str">
        <x:v>New Zealand Shelf</x:v>
      </x:c>
      <x:c r="C139" s="46" t="str">
        <x:v>LME</x:v>
      </x:c>
      <x:c r="D139" s="58" t="n">
        <x:v>2019</x:v>
      </x:c>
      <x:c r="E139" s="46" t="str">
        <x:v>Notorynchus cepedianus</x:v>
      </x:c>
      <x:c r="F139" s="46" t="str">
        <x:v>Broadnose sevengill shark</x:v>
      </x:c>
      <x:c r="G139" s="46" t="str">
        <x:v>Large sharks (&gt;=90 cm)</x:v>
      </x:c>
      <x:c r="H139" s="46" t="str">
        <x:v>Sharks &amp; rays</x:v>
      </x:c>
      <x:c r="I139" s="60" t="n">
        <x:v>14.7418296898</x:v>
      </x:c>
      <x:c r="J139" s="60" t="n">
        <x:v>14.7418296898</x:v>
      </x:c>
      <x:c r="K139" s="60" t="n">
        <x:v>0</x:v>
      </x:c>
      <x:c r="L139" s="60" t="n">
        <x:v>13.302760299600001</x:v>
      </x:c>
      <x:c r="M139" s="60" t="n">
        <x:v>1.4390693901999998</x:v>
      </x:c>
      <x:c r="N139" s="46" t="str">
        <x:v>notorynchus cepedianus</x:v>
      </x:c>
      <x:c r="O139" s="62" t="n">
        <x:v>4.68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Notorynchus cepedianus</x:v>
      </x:c>
      <x:c r="T139" s="62" t="n">
        <x:f>IF(O139="","",(1/'Metadata'!$B$5)^(O139-1))</x:f>
        <x:v>61346.583914816816</x:v>
      </x:c>
      <x:c r="U139" s="60" t="n">
        <x:f>IF(T139="","",I139*T139)</x:f>
        <x:v>904360.8921232537</x:v>
      </x:c>
    </x:row>
    <x:row r="140" ht="18" customHeight="1">
      <x:c r="A140" s="46" t="str">
        <x:v>LME_046</x:v>
      </x:c>
      <x:c r="B140" s="46" t="str">
        <x:v>New Zealand Shelf</x:v>
      </x:c>
      <x:c r="C140" s="46" t="str">
        <x:v>LME</x:v>
      </x:c>
      <x:c r="D140" s="58" t="n">
        <x:v>2019</x:v>
      </x:c>
      <x:c r="E140" s="46" t="str">
        <x:v>Carcharhinus falciformis</x:v>
      </x:c>
      <x:c r="F140" s="46" t="str">
        <x:v>Silky shark</x:v>
      </x:c>
      <x:c r="G140" s="46" t="str">
        <x:v>Large sharks (&gt;=90 cm)</x:v>
      </x:c>
      <x:c r="H140" s="46" t="str">
        <x:v>Sharks &amp; rays</x:v>
      </x:c>
      <x:c r="I140" s="60" t="n">
        <x:v>14.062377238699998</x:v>
      </x:c>
      <x:c r="J140" s="60" t="n">
        <x:v>0.14135838679999999</x:v>
      </x:c>
      <x:c r="K140" s="60" t="n">
        <x:v>13.9210188519</x:v>
      </x:c>
      <x:c r="L140" s="60" t="n">
        <x:v>0.14135838679999999</x:v>
      </x:c>
      <x:c r="M140" s="60" t="n">
        <x:v>13.9210188519</x:v>
      </x:c>
      <x:c r="N140" s="46" t="str">
        <x:v>carcharhinus falciformis</x:v>
      </x:c>
      <x:c r="O140" s="62" t="n">
        <x:v>4.51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Carcharhinus falciformis</x:v>
      </x:c>
      <x:c r="T140" s="62" t="n">
        <x:f>IF(O140="","",(1/'Metadata'!$B$5)^(O140-1))</x:f>
        <x:v>36865.088835568684</x:v>
      </x:c>
      <x:c r="U140" s="60" t="n">
        <x:f>IF(T140="","",I140*T140)</x:f>
        <x:v>518410.7861439545</x:v>
      </x:c>
    </x:row>
    <x:row r="141" ht="18" customHeight="1">
      <x:c r="A141" s="46" t="str">
        <x:v>LME_046</x:v>
      </x:c>
      <x:c r="B141" s="46" t="str">
        <x:v>New Zealand Shelf</x:v>
      </x:c>
      <x:c r="C141" s="46" t="str">
        <x:v>LME</x:v>
      </x:c>
      <x:c r="D141" s="58" t="n">
        <x:v>2019</x:v>
      </x:c>
      <x:c r="E141" s="46" t="str">
        <x:v>Carcharhinus brachyurus</x:v>
      </x:c>
      <x:c r="F141" s="46" t="str">
        <x:v>Copper shark</x:v>
      </x:c>
      <x:c r="G141" s="46" t="str">
        <x:v>Large sharks (&gt;=90 cm)</x:v>
      </x:c>
      <x:c r="H141" s="46" t="str">
        <x:v>Sharks &amp; rays</x:v>
      </x:c>
      <x:c r="I141" s="60" t="n">
        <x:v>12.9768272964</x:v>
      </x:c>
      <x:c r="J141" s="60" t="n">
        <x:v>12.9768272964</x:v>
      </x:c>
      <x:c r="K141" s="60" t="n">
        <x:v>0</x:v>
      </x:c>
      <x:c r="L141" s="60" t="n">
        <x:v>11.710264799499999</x:v>
      </x:c>
      <x:c r="M141" s="60" t="n">
        <x:v>1.2665624969</x:v>
      </x:c>
      <x:c r="N141" s="46" t="str">
        <x:v>carcharhinus brachyurus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Carcharhinus brachyurus</x:v>
      </x:c>
      <x:c r="T141" s="62" t="n">
        <x:f>IF(O141="","",(1/'Metadata'!$B$5)^(O141-1))</x:f>
        <x:v>35777.08763999664</x:v>
      </x:c>
      <x:c r="U141" s="60" t="n">
        <x:f>IF(T141="","",I141*T141)</x:f>
        <x:v>464273.0874724034</x:v>
      </x:c>
    </x:row>
    <x:row r="142" ht="18" customHeight="1">
      <x:c r="A142" s="46" t="str">
        <x:v>LME_046</x:v>
      </x:c>
      <x:c r="B142" s="46" t="str">
        <x:v>New Zealand Shelf</x:v>
      </x:c>
      <x:c r="C142" s="46" t="str">
        <x:v>LME</x:v>
      </x:c>
      <x:c r="D142" s="58" t="n">
        <x:v>2019</x:v>
      </x:c>
      <x:c r="E142" s="46" t="str">
        <x:v>Istiophoridae</x:v>
      </x:c>
      <x:c r="F142" s="46" t="str">
        <x:v>Billfishes</x:v>
      </x:c>
      <x:c r="G142" s="46" t="str">
        <x:v>Large pelagics (&gt;=90 cm)</x:v>
      </x:c>
      <x:c r="H142" s="46" t="str">
        <x:v>Tuna &amp; billfishes</x:v>
      </x:c>
      <x:c r="I142" s="60" t="n">
        <x:v>11.3321860845</x:v>
      </x:c>
      <x:c r="J142" s="60" t="n">
        <x:v>0</x:v>
      </x:c>
      <x:c r="K142" s="60" t="n">
        <x:v>11.3321860845</x:v>
      </x:c>
      <x:c r="L142" s="60" t="n">
        <x:v>0</x:v>
      </x:c>
      <x:c r="M142" s="60" t="n">
        <x:v>11.3321860845</x:v>
      </x:c>
      <x:c r="N142" s="46" t="str">
        <x:v>istiophoridae</x:v>
      </x:c>
      <x:c r="O142" s="62" t="n">
        <x:v>4.48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Istiophoridae</x:v>
      </x:c>
      <x:c r="T142" s="62" t="n">
        <x:f>IF(O142="","",(1/'Metadata'!$B$5)^(O142-1))</x:f>
        <x:v>33696.468277717824</x:v>
      </x:c>
      <x:c r="U142" s="60" t="n">
        <x:f>IF(T142="","",I142*T142)</x:f>
        <x:v>381854.6489135496</x:v>
      </x:c>
    </x:row>
    <x:row r="143" ht="18" customHeight="1">
      <x:c r="A143" s="46" t="str">
        <x:v>LME_046</x:v>
      </x:c>
      <x:c r="B143" s="46" t="str">
        <x:v>New Zealand Shelf</x:v>
      </x:c>
      <x:c r="C143" s="46" t="str">
        <x:v>LME</x:v>
      </x:c>
      <x:c r="D143" s="58" t="n">
        <x:v>2019</x:v>
      </x:c>
      <x:c r="E143" s="46" t="str">
        <x:v>Paratrachichthys trailli</x:v>
      </x:c>
      <x:c r="F143" s="46" t="str">
        <x:v>Sandpaper fish</x:v>
      </x:c>
      <x:c r="G143" s="46" t="str">
        <x:v>Small bathypelagics (&lt;30 cm)</x:v>
      </x:c>
      <x:c r="H143" s="46" t="str">
        <x:v>Other fishes &amp; inverts</x:v>
      </x:c>
      <x:c r="I143" s="60" t="n">
        <x:v>11.0320675114</x:v>
      </x:c>
      <x:c r="J143" s="60" t="n">
        <x:v>11.0320675114</x:v>
      </x:c>
      <x:c r="K143" s="60" t="n">
        <x:v>0</x:v>
      </x:c>
      <x:c r="L143" s="60" t="n">
        <x:v>9.95487718</x:v>
      </x:c>
      <x:c r="M143" s="60" t="n">
        <x:v>1.0771903314</x:v>
      </x:c>
      <x:c r="N143" s="46" t="str">
        <x:v>paratrachichthys trailli</x:v>
      </x:c>
      <x:c r="O143" s="62" t="n">
        <x:v>3.5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Paratrachichthys trailli</x:v>
      </x:c>
      <x:c r="T143" s="62" t="n">
        <x:f>IF(O143="","",(1/'Metadata'!$B$5)^(O143-1))</x:f>
        <x:v>1788.8543819998317</x:v>
      </x:c>
      <x:c r="U143" s="60" t="n">
        <x:f>IF(T143="","",I143*T143)</x:f>
        <x:v>19734.762310285867</x:v>
      </x:c>
    </x:row>
    <x:row r="144" ht="18" customHeight="1">
      <x:c r="A144" s="46" t="str">
        <x:v>LME_046</x:v>
      </x:c>
      <x:c r="B144" s="46" t="str">
        <x:v>New Zealand Shelf</x:v>
      </x:c>
      <x:c r="C144" s="46" t="str">
        <x:v>LME</x:v>
      </x:c>
      <x:c r="D144" s="58" t="n">
        <x:v>2019</x:v>
      </x:c>
      <x:c r="E144" s="46" t="str">
        <x:v>Alopias vulpinus</x:v>
      </x:c>
      <x:c r="F144" s="46" t="str">
        <x:v>Thresher</x:v>
      </x:c>
      <x:c r="G144" s="46" t="str">
        <x:v>Large sharks (&gt;=90 cm)</x:v>
      </x:c>
      <x:c r="H144" s="46" t="str">
        <x:v>Sharks &amp; rays</x:v>
      </x:c>
      <x:c r="I144" s="60" t="n">
        <x:v>9.8046856896</x:v>
      </x:c>
      <x:c r="J144" s="60" t="n">
        <x:v>9.8046856896</x:v>
      </x:c>
      <x:c r="K144" s="60" t="n">
        <x:v>0</x:v>
      </x:c>
      <x:c r="L144" s="60" t="n">
        <x:v>9.0231936086</x:v>
      </x:c>
      <x:c r="M144" s="60" t="n">
        <x:v>0.781492081</x:v>
      </x:c>
      <x:c r="N144" s="46" t="str">
        <x:v>alopias vulpinus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Alopias vulpinus</x:v>
      </x:c>
      <x:c r="T144" s="62" t="n">
        <x:f>IF(O144="","",(1/'Metadata'!$B$5)^(O144-1))</x:f>
        <x:v>35777.08763999664</x:v>
      </x:c>
      <x:c r="U144" s="60" t="n">
        <x:f>IF(T144="","",I144*T144)</x:f>
        <x:v>350783.09919944004</x:v>
      </x:c>
    </x:row>
    <x:row r="145" ht="18" customHeight="1">
      <x:c r="A145" s="46" t="str">
        <x:v>LME_046</x:v>
      </x:c>
      <x:c r="B145" s="46" t="str">
        <x:v>New Zealand Shelf</x:v>
      </x:c>
      <x:c r="C145" s="46" t="str">
        <x:v>LME</x:v>
      </x:c>
      <x:c r="D145" s="58" t="n">
        <x:v>2019</x:v>
      </x:c>
      <x:c r="E145" s="46" t="str">
        <x:v>Centrophorus squamosus</x:v>
      </x:c>
      <x:c r="F145" s="46" t="str">
        <x:v>Leafscale gulper shark</x:v>
      </x:c>
      <x:c r="G145" s="46" t="str">
        <x:v>Large sharks (&gt;=90 cm)</x:v>
      </x:c>
      <x:c r="H145" s="46" t="str">
        <x:v>Sharks &amp; rays</x:v>
      </x:c>
      <x:c r="I145" s="60" t="n">
        <x:v>9.2656556941</x:v>
      </x:c>
      <x:c r="J145" s="60" t="n">
        <x:v>9.2656556941</x:v>
      </x:c>
      <x:c r="K145" s="60" t="n">
        <x:v>0</x:v>
      </x:c>
      <x:c r="L145" s="60" t="n">
        <x:v>8.3624753887</x:v>
      </x:c>
      <x:c r="M145" s="60" t="n">
        <x:v>0.9031803054</x:v>
      </x:c>
      <x:c r="N145" s="46" t="str">
        <x:v>centrophorus squamosus</x:v>
      </x:c>
      <x:c r="O145" s="62" t="n">
        <x:v>4.47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Centrophorus squamosus</x:v>
      </x:c>
      <x:c r="T145" s="62" t="n">
        <x:f>IF(O145="","",(1/'Metadata'!$B$5)^(O145-1))</x:f>
        <x:v>32701.982737855422</x:v>
      </x:c>
      <x:c r="U145" s="60" t="n">
        <x:f>IF(T145="","",I145*T145)</x:f>
        <x:v>303005.31256337</x:v>
      </x:c>
    </x:row>
    <x:row r="146" ht="18" customHeight="1">
      <x:c r="A146" s="46" t="str">
        <x:v>LME_046</x:v>
      </x:c>
      <x:c r="B146" s="46" t="str">
        <x:v>New Zealand Shelf</x:v>
      </x:c>
      <x:c r="C146" s="46" t="str">
        <x:v>LME</x:v>
      </x:c>
      <x:c r="D146" s="58" t="n">
        <x:v>2019</x:v>
      </x:c>
      <x:c r="E146" s="46" t="str">
        <x:v>Decapterus</x:v>
      </x:c>
      <x:c r="F146" s="46" t="str">
        <x:v>Scads</x:v>
      </x:c>
      <x:c r="G146" s="46" t="str">
        <x:v>Medium pelagics (30 - 89 cm)</x:v>
      </x:c>
      <x:c r="H146" s="46" t="str">
        <x:v>Perch-likes</x:v>
      </x:c>
      <x:c r="I146" s="60" t="n">
        <x:v>8.8556460897</x:v>
      </x:c>
      <x:c r="J146" s="60" t="n">
        <x:v>8.8556460897</x:v>
      </x:c>
      <x:c r="K146" s="60" t="n">
        <x:v>0</x:v>
      </x:c>
      <x:c r="L146" s="60" t="n">
        <x:v>7.9910059802</x:v>
      </x:c>
      <x:c r="M146" s="60" t="n">
        <x:v>0.8646401095</x:v>
      </x:c>
      <x:c r="N146" s="46" t="str">
        <x:v>decapterus</x:v>
      </x:c>
      <x:c r="O146" s="62" t="n">
        <x:v>3.63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Decapterus</x:v>
      </x:c>
      <x:c r="T146" s="62" t="n">
        <x:f>IF(O146="","",(1/'Metadata'!$B$5)^(O146-1))</x:f>
        <x:v>2640.638121038009</x:v>
      </x:c>
      <x:c r="U146" s="60" t="n">
        <x:f>IF(T146="","",I146*T146)</x:f>
        <x:v>23384.556650883</x:v>
      </x:c>
    </x:row>
    <x:row r="147" ht="18" customHeight="1">
      <x:c r="A147" s="46" t="str">
        <x:v>LME_046</x:v>
      </x:c>
      <x:c r="B147" s="46" t="str">
        <x:v>New Zealand Shelf</x:v>
      </x:c>
      <x:c r="C147" s="46" t="str">
        <x:v>LME</x:v>
      </x:c>
      <x:c r="D147" s="58" t="n">
        <x:v>2019</x:v>
      </x:c>
      <x:c r="E147" s="46" t="str">
        <x:v>Isurus</x:v>
      </x:c>
      <x:c r="F147" s="46" t="str">
        <x:v>Mako sharks</x:v>
      </x:c>
      <x:c r="G147" s="46" t="str">
        <x:v>Large sharks (&gt;=90 cm)</x:v>
      </x:c>
      <x:c r="H147" s="46" t="str">
        <x:v>Sharks &amp; rays</x:v>
      </x:c>
      <x:c r="I147" s="60" t="n">
        <x:v>8.767397731299999</x:v>
      </x:c>
      <x:c r="J147" s="60" t="n">
        <x:v>2.2061365933</x:v>
      </x:c>
      <x:c r="K147" s="60" t="n">
        <x:v>6.561261138</x:v>
      </x:c>
      <x:c r="L147" s="60" t="n">
        <x:v>2.2061365933</x:v>
      </x:c>
      <x:c r="M147" s="60" t="n">
        <x:v>6.561261138</x:v>
      </x:c>
      <x:c r="N147" s="46" t="str">
        <x:v>isurus</x:v>
      </x:c>
      <x:c r="O147" s="62" t="n">
        <x:v>4.5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Isurus</x:v>
      </x:c>
      <x:c r="T147" s="62" t="n">
        <x:f>IF(O147="","",(1/'Metadata'!$B$5)^(O147-1))</x:f>
        <x:v>35777.08763999664</x:v>
      </x:c>
      <x:c r="U147" s="60" t="n">
        <x:f>IF(T147="","",I147*T147)</x:f>
        <x:v>313671.95700742776</x:v>
      </x:c>
    </x:row>
    <x:row r="148" ht="18" customHeight="1">
      <x:c r="A148" s="46" t="str">
        <x:v>LME_046</x:v>
      </x:c>
      <x:c r="B148" s="46" t="str">
        <x:v>New Zealand Shelf</x:v>
      </x:c>
      <x:c r="C148" s="46" t="str">
        <x:v>LME</x:v>
      </x:c>
      <x:c r="D148" s="58" t="n">
        <x:v>2019</x:v>
      </x:c>
      <x:c r="E148" s="46" t="str">
        <x:v>Triglidae</x:v>
      </x:c>
      <x:c r="F148" s="46" t="str">
        <x:v>Searobins, gurnards</x:v>
      </x:c>
      <x:c r="G148" s="46" t="str">
        <x:v>Medium demersals (30 - 89 cm)</x:v>
      </x:c>
      <x:c r="H148" s="46" t="str">
        <x:v>Scorpionfishes</x:v>
      </x:c>
      <x:c r="I148" s="60" t="n">
        <x:v>8.4653853826</x:v>
      </x:c>
      <x:c r="J148" s="60" t="n">
        <x:v>5.2057274838</x:v>
      </x:c>
      <x:c r="K148" s="60" t="n">
        <x:v>3.2596578988</x:v>
      </x:c>
      <x:c r="L148" s="60" t="n">
        <x:v>4.7461024192000005</x:v>
      </x:c>
      <x:c r="M148" s="60" t="n">
        <x:v>3.7192829634</x:v>
      </x:c>
      <x:c r="N148" s="46" t="str">
        <x:v>triglidae</x:v>
      </x:c>
      <x:c r="O148" s="62" t="n">
        <x:v>3.74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Triglidae</x:v>
      </x:c>
      <x:c r="T148" s="62" t="n">
        <x:f>IF(O148="","",(1/'Metadata'!$B$5)^(O148-1))</x:f>
        <x:v>3671.3195599248957</x:v>
      </x:c>
      <x:c r="U148" s="60" t="n">
        <x:f>IF(T148="","",I148*T148)</x:f>
        <x:v>31079.134937441675</x:v>
      </x:c>
    </x:row>
    <x:row r="149" ht="18" customHeight="1">
      <x:c r="A149" s="46" t="str">
        <x:v>LME_046</x:v>
      </x:c>
      <x:c r="B149" s="46" t="str">
        <x:v>New Zealand Shelf</x:v>
      </x:c>
      <x:c r="C149" s="46" t="str">
        <x:v>LME</x:v>
      </x:c>
      <x:c r="D149" s="58" t="n">
        <x:v>2019</x:v>
      </x:c>
      <x:c r="E149" s="46" t="str">
        <x:v>Xiphiidae</x:v>
      </x:c>
      <x:c r="F149" s="46" t="str">
        <x:v>Swordfishes</x:v>
      </x:c>
      <x:c r="G149" s="46" t="str">
        <x:v>Large pelagics (&gt;=90 cm)</x:v>
      </x:c>
      <x:c r="H149" s="46" t="str">
        <x:v>Tuna &amp; billfishes</x:v>
      </x:c>
      <x:c r="I149" s="60" t="n">
        <x:v>8.2730198008</x:v>
      </x:c>
      <x:c r="J149" s="60" t="n">
        <x:v>0</x:v>
      </x:c>
      <x:c r="K149" s="60" t="n">
        <x:v>8.2730198008</x:v>
      </x:c>
      <x:c r="L149" s="60" t="n">
        <x:v>0</x:v>
      </x:c>
      <x:c r="M149" s="60" t="n">
        <x:v>8.2730198008</x:v>
      </x:c>
      <x:c r="N149" s="46" t="str">
        <x:v>xiphiidae</x:v>
      </x:c>
      <x:c r="O149" s="62" t="n">
        <x:v>4.5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Xiphiidae</x:v>
      </x:c>
      <x:c r="T149" s="62" t="n">
        <x:f>IF(O149="","",(1/'Metadata'!$B$5)^(O149-1))</x:f>
        <x:v>35777.08763999664</x:v>
      </x:c>
      <x:c r="U149" s="60" t="n">
        <x:f>IF(T149="","",I149*T149)</x:f>
        <x:v>295984.55446064915</x:v>
      </x:c>
    </x:row>
    <x:row r="150" ht="18" customHeight="1">
      <x:c r="A150" s="46" t="str">
        <x:v>LME_046</x:v>
      </x:c>
      <x:c r="B150" s="46" t="str">
        <x:v>New Zealand Shelf</x:v>
      </x:c>
      <x:c r="C150" s="46" t="str">
        <x:v>LME</x:v>
      </x:c>
      <x:c r="D150" s="58" t="n">
        <x:v>2019</x:v>
      </x:c>
      <x:c r="E150" s="46" t="str">
        <x:v>Myctophidae</x:v>
      </x:c>
      <x:c r="F150" s="46" t="str">
        <x:v>Lanternfishes</x:v>
      </x:c>
      <x:c r="G150" s="46" t="str">
        <x:v>Small pelagics (&lt;30 cm)</x:v>
      </x:c>
      <x:c r="H150" s="46" t="str">
        <x:v>Other fishes &amp; inverts</x:v>
      </x:c>
      <x:c r="I150" s="60" t="n">
        <x:v>6.6838854007</x:v>
      </x:c>
      <x:c r="J150" s="60" t="n">
        <x:v>2.8710015832</x:v>
      </x:c>
      <x:c r="K150" s="60" t="n">
        <x:v>3.8128838175</x:v>
      </x:c>
      <x:c r="L150" s="60" t="n">
        <x:v>2.6102912723</x:v>
      </x:c>
      <x:c r="M150" s="60" t="n">
        <x:v>4.0735941284</x:v>
      </x:c>
      <x:c r="N150" s="46" t="str">
        <x:v>myctophidae</x:v>
      </x:c>
      <x:c r="O150" s="62" t="n">
        <x:v>3.3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Myctophidae</x:v>
      </x:c>
      <x:c r="T150" s="62" t="n">
        <x:f>IF(O150="","",(1/'Metadata'!$B$5)^(O150-1))</x:f>
        <x:v>982.5824208926318</x:v>
      </x:c>
      <x:c r="U150" s="60" t="n">
        <x:f>IF(T150="","",I150*T150)</x:f>
        <x:v>6567.468297988725</x:v>
      </x:c>
    </x:row>
    <x:row r="151" ht="18" customHeight="1">
      <x:c r="A151" s="46" t="str">
        <x:v>LME_046</x:v>
      </x:c>
      <x:c r="B151" s="46" t="str">
        <x:v>New Zealand Shelf</x:v>
      </x:c>
      <x:c r="C151" s="46" t="str">
        <x:v>LME</x:v>
      </x:c>
      <x:c r="D151" s="58" t="n">
        <x:v>2019</x:v>
      </x:c>
      <x:c r="E151" s="46" t="str">
        <x:v>Antimora rostrata</x:v>
      </x:c>
      <x:c r="F151" s="46" t="str">
        <x:v>Blue antimora</x:v>
      </x:c>
      <x:c r="G151" s="46" t="str">
        <x:v>Medium bathypelagics (30 - 89 cm)</x:v>
      </x:c>
      <x:c r="H151" s="46" t="str">
        <x:v>Cod-likes</x:v>
      </x:c>
      <x:c r="I151" s="60" t="n">
        <x:v>6.1917671226</x:v>
      </x:c>
      <x:c r="J151" s="60" t="n">
        <x:v>6.1917671226</x:v>
      </x:c>
      <x:c r="K151" s="60" t="n">
        <x:v>0</x:v>
      </x:c>
      <x:c r="L151" s="60" t="n">
        <x:v>5.6282954607</x:v>
      </x:c>
      <x:c r="M151" s="60" t="n">
        <x:v>0.5634716619</x:v>
      </x:c>
      <x:c r="N151" s="46" t="str">
        <x:v>antimora rostrata</x:v>
      </x:c>
      <x:c r="O151" s="62" t="n">
        <x:v>3.58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Antimora rostrata</x:v>
      </x:c>
      <x:c r="T151" s="62" t="n">
        <x:f>IF(O151="","",(1/'Metadata'!$B$5)^(O151-1))</x:f>
        <x:v>2273.3033337150473</x:v>
      </x:c>
      <x:c r="U151" s="60" t="n">
        <x:f>IF(T151="","",I151*T151)</x:f>
        <x:v>14075.764841393806</x:v>
      </x:c>
    </x:row>
    <x:row r="152" ht="18" customHeight="1">
      <x:c r="A152" s="46" t="str">
        <x:v>LME_046</x:v>
      </x:c>
      <x:c r="B152" s="46" t="str">
        <x:v>New Zealand Shelf</x:v>
      </x:c>
      <x:c r="C152" s="46" t="str">
        <x:v>LME</x:v>
      </x:c>
      <x:c r="D152" s="58" t="n">
        <x:v>2019</x:v>
      </x:c>
      <x:c r="E152" s="46" t="str">
        <x:v>Paristiopterus labiosus</x:v>
      </x:c>
      <x:c r="F152" s="46" t="str">
        <x:v>Giant boarfish</x:v>
      </x:c>
      <x:c r="G152" s="46" t="str">
        <x:v>Medium demersals (30 - 89 cm)</x:v>
      </x:c>
      <x:c r="H152" s="46" t="str">
        <x:v>Perch-likes</x:v>
      </x:c>
      <x:c r="I152" s="60" t="n">
        <x:v>6.1066963</x:v>
      </x:c>
      <x:c r="J152" s="60" t="n">
        <x:v>6.1066963</x:v>
      </x:c>
      <x:c r="K152" s="60" t="n">
        <x:v>0</x:v>
      </x:c>
      <x:c r="L152" s="60" t="n">
        <x:v>5.5105098947</x:v>
      </x:c>
      <x:c r="M152" s="60" t="n">
        <x:v>0.5961864053</x:v>
      </x:c>
      <x:c r="N152" s="46" t="str">
        <x:v>paristiopterus labiosus</x:v>
      </x:c>
      <x:c r="O152" s="62" t="n">
        <x:v>3.33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Paristiopterus labiosus</x:v>
      </x:c>
      <x:c r="T152" s="62" t="n">
        <x:f>IF(O152="","",(1/'Metadata'!$B$5)^(O152-1))</x:f>
        <x:v>1074.9787762899762</x:v>
      </x:c>
      <x:c r="U152" s="60" t="n">
        <x:f>IF(T152="","",I152*T152)</x:f>
        <x:v>6564.568915748526</x:v>
      </x:c>
    </x:row>
    <x:row r="153" ht="18" customHeight="1">
      <x:c r="A153" s="46" t="str">
        <x:v>LME_046</x:v>
      </x:c>
      <x:c r="B153" s="46" t="str">
        <x:v>New Zealand Shelf</x:v>
      </x:c>
      <x:c r="C153" s="46" t="str">
        <x:v>LME</x:v>
      </x:c>
      <x:c r="D153" s="58" t="n">
        <x:v>2019</x:v>
      </x:c>
      <x:c r="E153" s="46" t="str">
        <x:v>Sphyrna zygaena</x:v>
      </x:c>
      <x:c r="F153" s="46" t="str">
        <x:v>Smooth hammerhead</x:v>
      </x:c>
      <x:c r="G153" s="46" t="str">
        <x:v>Large sharks (&gt;=90 cm)</x:v>
      </x:c>
      <x:c r="H153" s="46" t="str">
        <x:v>Sharks &amp; rays</x:v>
      </x:c>
      <x:c r="I153" s="60" t="n">
        <x:v>5.7014977762</x:v>
      </x:c>
      <x:c r="J153" s="60" t="n">
        <x:v>5.7014977762</x:v>
      </x:c>
      <x:c r="K153" s="60" t="n">
        <x:v>0</x:v>
      </x:c>
      <x:c r="L153" s="60" t="n">
        <x:v>5.2489675051</x:v>
      </x:c>
      <x:c r="M153" s="60" t="n">
        <x:v>0.4525302711</x:v>
      </x:c>
      <x:c r="N153" s="46" t="str">
        <x:v>sphyrna zygaena</x:v>
      </x:c>
      <x:c r="O153" s="62" t="n">
        <x:v>4.94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Sphyrna zygaena</x:v>
      </x:c>
      <x:c r="T153" s="62" t="n">
        <x:f>IF(O153="","",(1/'Metadata'!$B$5)^(O153-1))</x:f>
        <x:v>133677.45937337462</x:v>
      </x:c>
      <x:c r="U153" s="60" t="n">
        <x:f>IF(T153="","",I153*T153)</x:f>
        <x:v>762161.7373453613</x:v>
      </x:c>
    </x:row>
    <x:row r="154" ht="18" customHeight="1">
      <x:c r="A154" s="46" t="str">
        <x:v>LME_046</x:v>
      </x:c>
      <x:c r="B154" s="46" t="str">
        <x:v>New Zealand Shelf</x:v>
      </x:c>
      <x:c r="C154" s="46" t="str">
        <x:v>LME</x:v>
      </x:c>
      <x:c r="D154" s="58" t="n">
        <x:v>2019</x:v>
      </x:c>
      <x:c r="E154" s="46" t="str">
        <x:v>Lampris</x:v>
      </x:c>
      <x:c r="F154" s="46" t="str">
        <x:v>Opahs</x:v>
      </x:c>
      <x:c r="G154" s="46" t="str">
        <x:v>Large pelagics (&gt;=90 cm)</x:v>
      </x:c>
      <x:c r="H154" s="46" t="str">
        <x:v>Other fishes &amp; inverts</x:v>
      </x:c>
      <x:c r="I154" s="60" t="n">
        <x:v>5.5878351078</x:v>
      </x:c>
      <x:c r="J154" s="60" t="n">
        <x:v>5.5878351078</x:v>
      </x:c>
      <x:c r="K154" s="60" t="n">
        <x:v>0</x:v>
      </x:c>
      <x:c r="L154" s="60" t="n">
        <x:v>5.0407533054</x:v>
      </x:c>
      <x:c r="M154" s="60" t="n">
        <x:v>0.5470818024</x:v>
      </x:c>
      <x:c r="N154" s="46" t="str">
        <x:v>lampris</x:v>
      </x:c>
      <x:c r="O154" s="62" t="n">
        <x:v>4.22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Lampris</x:v>
      </x:c>
      <x:c r="T154" s="62" t="n">
        <x:f>IF(O154="","",(1/'Metadata'!$B$5)^(O154-1))</x:f>
        <x:v>15463.812886046735</x:v>
      </x:c>
      <x:c r="U154" s="60" t="n">
        <x:f>IF(T154="","",I154*T154)</x:f>
        <x:v>86409.23654510199</x:v>
      </x:c>
    </x:row>
    <x:row r="155" ht="18" customHeight="1">
      <x:c r="A155" s="46" t="str">
        <x:v>LME_046</x:v>
      </x:c>
      <x:c r="B155" s="46" t="str">
        <x:v>New Zealand Shelf</x:v>
      </x:c>
      <x:c r="C155" s="46" t="str">
        <x:v>LME</x:v>
      </x:c>
      <x:c r="D155" s="58" t="n">
        <x:v>2019</x:v>
      </x:c>
      <x:c r="E155" s="46" t="str">
        <x:v>Zeidae</x:v>
      </x:c>
      <x:c r="F155" s="46" t="str">
        <x:v>Dories</x:v>
      </x:c>
      <x:c r="G155" s="46" t="str">
        <x:v>Medium bathydemersals (30 - 89 cm)</x:v>
      </x:c>
      <x:c r="H155" s="46" t="str">
        <x:v>Other fishes &amp; inverts</x:v>
      </x:c>
      <x:c r="I155" s="60" t="n">
        <x:v>4.6761791798</x:v>
      </x:c>
      <x:c r="J155" s="60" t="n">
        <x:v>0</x:v>
      </x:c>
      <x:c r="K155" s="60" t="n">
        <x:v>4.6761791798</x:v>
      </x:c>
      <x:c r="L155" s="60" t="n">
        <x:v>0</x:v>
      </x:c>
      <x:c r="M155" s="60" t="n">
        <x:v>4.6761791798</x:v>
      </x:c>
      <x:c r="N155" s="46" t="str">
        <x:v>zeidae</x:v>
      </x:c>
      <x:c r="O155" s="62" t="n">
        <x:v>4.49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Zeidae</x:v>
      </x:c>
      <x:c r="T155" s="62" t="n">
        <x:f>IF(O155="","",(1/'Metadata'!$B$5)^(O155-1))</x:f>
        <x:v>34721.19667768202</x:v>
      </x:c>
      <x:c r="U155" s="60" t="n">
        <x:f>IF(T155="","",I155*T155)</x:f>
        <x:v>162362.5370019176</x:v>
      </x:c>
    </x:row>
    <x:row r="156" ht="18" customHeight="1">
      <x:c r="A156" s="46" t="str">
        <x:v>LME_046</x:v>
      </x:c>
      <x:c r="B156" s="46" t="str">
        <x:v>New Zealand Shelf</x:v>
      </x:c>
      <x:c r="C156" s="46" t="str">
        <x:v>LME</x:v>
      </x:c>
      <x:c r="D156" s="58" t="n">
        <x:v>2019</x:v>
      </x:c>
      <x:c r="E156" s="46" t="str">
        <x:v>Australostichopus mollis</x:v>
      </x:c>
      <x:c r="F156" s="46" t="str">
        <x:v>Brown mottled sea cucumber</x:v>
      </x:c>
      <x:c r="G156" s="46" t="str">
        <x:v>Other demersal invertebrates</x:v>
      </x:c>
      <x:c r="H156" s="46" t="str">
        <x:v>Other fishes &amp; inverts</x:v>
      </x:c>
      <x:c r="I156" s="60" t="n">
        <x:v>4.0543700151</x:v>
      </x:c>
      <x:c r="J156" s="60" t="n">
        <x:v>4.0543700151</x:v>
      </x:c>
      <x:c r="K156" s="60" t="n">
        <x:v>0</x:v>
      </x:c>
      <x:c r="L156" s="60" t="n">
        <x:v>0</x:v>
      </x:c>
      <x:c r="M156" s="60" t="n">
        <x:v>4.0543700151</x:v>
      </x:c>
      <x:c r="N156" s="46" t="str">
        <x:v>australostichopus mollis</x:v>
      </x:c>
      <x:c r="O156" s="62" t="n">
        <x:v>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Australostichopus mollis</x:v>
      </x:c>
      <x:c r="T156" s="62" t="n">
        <x:f>IF(O156="","",(1/'Metadata'!$B$5)^(O156-1))</x:f>
        <x:v>20</x:v>
      </x:c>
      <x:c r="U156" s="60" t="n">
        <x:f>IF(T156="","",I156*T156)</x:f>
        <x:v>81.08740030199999</x:v>
      </x:c>
    </x:row>
    <x:row r="157" ht="18" customHeight="1">
      <x:c r="A157" s="46" t="str">
        <x:v>LME_046</x:v>
      </x:c>
      <x:c r="B157" s="46" t="str">
        <x:v>New Zealand Shelf</x:v>
      </x:c>
      <x:c r="C157" s="46" t="str">
        <x:v>LME</x:v>
      </x:c>
      <x:c r="D157" s="58" t="n">
        <x:v>2019</x:v>
      </x:c>
      <x:c r="E157" s="46" t="str">
        <x:v>Scorpis violacea</x:v>
      </x:c>
      <x:c r="F157" s="46" t="str">
        <x:v>Blue maomao</x:v>
      </x:c>
      <x:c r="G157" s="46" t="str">
        <x:v>Small pelagics (&lt;30 cm)</x:v>
      </x:c>
      <x:c r="H157" s="46" t="str">
        <x:v>Perch-likes</x:v>
      </x:c>
      <x:c r="I157" s="60" t="n">
        <x:v>3.9369369683</x:v>
      </x:c>
      <x:c r="J157" s="60" t="n">
        <x:v>3.9369369683</x:v>
      </x:c>
      <x:c r="K157" s="60" t="n">
        <x:v>0</x:v>
      </x:c>
      <x:c r="L157" s="60" t="n">
        <x:v>3.3598969739</x:v>
      </x:c>
      <x:c r="M157" s="60" t="n">
        <x:v>0.5770399944000001</x:v>
      </x:c>
      <x:c r="N157" s="46" t="str">
        <x:v>scorpis violacea</x:v>
      </x:c>
      <x:c r="O157" s="62" t="n">
        <x:v>3.1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Scorpis violacea</x:v>
      </x:c>
      <x:c r="T157" s="62" t="n">
        <x:f>IF(O157="","",(1/'Metadata'!$B$5)^(O157-1))</x:f>
        <x:v>539.7131390694254</x:v>
      </x:c>
      <x:c r="U157" s="60" t="n">
        <x:f>IF(T157="","",I157*T157)</x:f>
        <x:v>2124.81660947966</x:v>
      </x:c>
    </x:row>
    <x:row r="158" ht="18" customHeight="1">
      <x:c r="A158" s="46" t="str">
        <x:v>LME_046</x:v>
      </x:c>
      <x:c r="B158" s="46" t="str">
        <x:v>New Zealand Shelf</x:v>
      </x:c>
      <x:c r="C158" s="46" t="str">
        <x:v>LME</x:v>
      </x:c>
      <x:c r="D158" s="58" t="n">
        <x:v>2019</x:v>
      </x:c>
      <x:c r="E158" s="46" t="str">
        <x:v>Diastobranchus capensis</x:v>
      </x:c>
      <x:c r="F158" s="46" t="str">
        <x:v>Basketwork eel</x:v>
      </x:c>
      <x:c r="G158" s="46" t="str">
        <x:v>Large bathydemersals (&gt;=90 cm)</x:v>
      </x:c>
      <x:c r="H158" s="46" t="str">
        <x:v>Other fishes &amp; inverts</x:v>
      </x:c>
      <x:c r="I158" s="60" t="n">
        <x:v>3.8911339927</x:v>
      </x:c>
      <x:c r="J158" s="60" t="n">
        <x:v>3.8911339927</x:v>
      </x:c>
      <x:c r="K158" s="60" t="n">
        <x:v>0</x:v>
      </x:c>
      <x:c r="L158" s="60" t="n">
        <x:v>3.5149132601</x:v>
      </x:c>
      <x:c r="M158" s="60" t="n">
        <x:v>0.3762207326</x:v>
      </x:c>
      <x:c r="N158" s="46" t="str">
        <x:v>diastobranchus capensis</x:v>
      </x:c>
      <x:c r="O158" s="62" t="n">
        <x:v>3.99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Diastobranchus capensis</x:v>
      </x:c>
      <x:c r="T158" s="62" t="n">
        <x:f>IF(O158="","",(1/'Metadata'!$B$5)^(O158-1))</x:f>
        <x:v>7763.895603143686</x:v>
      </x:c>
      <x:c r="U158" s="60" t="n">
        <x:f>IF(T158="","",I158*T158)</x:f>
        <x:v>30210.358097166463</x:v>
      </x:c>
    </x:row>
    <x:row r="159" ht="18" customHeight="1">
      <x:c r="A159" s="46" t="str">
        <x:v>LME_046</x:v>
      </x:c>
      <x:c r="B159" s="46" t="str">
        <x:v>New Zealand Shelf</x:v>
      </x:c>
      <x:c r="C159" s="46" t="str">
        <x:v>LME</x:v>
      </x:c>
      <x:c r="D159" s="58" t="n">
        <x:v>2019</x:v>
      </x:c>
      <x:c r="E159" s="46" t="str">
        <x:v>Hoplostethus mediterraneus</x:v>
      </x:c>
      <x:c r="F159" s="46" t="str">
        <x:v>Mediterranean slimehead</x:v>
      </x:c>
      <x:c r="G159" s="46" t="str">
        <x:v>Medium benthopelagics (30 - 89 cm)</x:v>
      </x:c>
      <x:c r="H159" s="46" t="str">
        <x:v>Other fishes &amp; inverts</x:v>
      </x:c>
      <x:c r="I159" s="60" t="n">
        <x:v>3.4249591386</x:v>
      </x:c>
      <x:c r="J159" s="60" t="n">
        <x:v>3.4249591386</x:v>
      </x:c>
      <x:c r="K159" s="60" t="n">
        <x:v>0</x:v>
      </x:c>
      <x:c r="L159" s="60" t="n">
        <x:v>3.0972162028</x:v>
      </x:c>
      <x:c r="M159" s="60" t="n">
        <x:v>0.3277429358</x:v>
      </x:c>
      <x:c r="N159" s="46" t="str">
        <x:v>hoplostethus mediterraneus</x:v>
      </x:c>
      <x:c r="O159" s="62" t="n">
        <x:v>3.49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Hoplostethus mediterraneus</x:v>
      </x:c>
      <x:c r="T159" s="62" t="n">
        <x:f>IF(O159="","",(1/'Metadata'!$B$5)^(O159-1))</x:f>
        <x:v>1736.059833884101</x:v>
      </x:c>
      <x:c r="U159" s="60" t="n">
        <x:f>IF(T159="","",I159*T159)</x:f>
        <x:v>5945.933993217749</x:v>
      </x:c>
    </x:row>
    <x:row r="160" ht="18" customHeight="1">
      <x:c r="A160" s="46" t="str">
        <x:v>LME_046</x:v>
      </x:c>
      <x:c r="B160" s="46" t="str">
        <x:v>New Zealand Shelf</x:v>
      </x:c>
      <x:c r="C160" s="46" t="str">
        <x:v>LME</x:v>
      </x:c>
      <x:c r="D160" s="58" t="n">
        <x:v>2019</x:v>
      </x:c>
      <x:c r="E160" s="46" t="str">
        <x:v>Capromimus abbreviatus</x:v>
      </x:c>
      <x:c r="F160" s="46" t="str">
        <x:v>Capro dory</x:v>
      </x:c>
      <x:c r="G160" s="46" t="str">
        <x:v>Small bathydemersals (&lt;30 cm)</x:v>
      </x:c>
      <x:c r="H160" s="46" t="str">
        <x:v>Other fishes &amp; inverts</x:v>
      </x:c>
      <x:c r="I160" s="60" t="n">
        <x:v>3.3585673764000004</x:v>
      </x:c>
      <x:c r="J160" s="60" t="n">
        <x:v>3.3585673764000004</x:v>
      </x:c>
      <x:c r="K160" s="60" t="n">
        <x:v>0</x:v>
      </x:c>
      <x:c r="L160" s="60" t="n">
        <x:v>3.0336258714</x:v>
      </x:c>
      <x:c r="M160" s="60" t="n">
        <x:v>0.324941505</x:v>
      </x:c>
      <x:c r="N160" s="46" t="str">
        <x:v>capromimus abbreviatus</x:v>
      </x:c>
      <x:c r="O160" s="62" t="n">
        <x:v>3.51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Capromimus abbreviatus</x:v>
      </x:c>
      <x:c r="T160" s="62" t="n">
        <x:f>IF(O160="","",(1/'Metadata'!$B$5)^(O160-1))</x:f>
        <x:v>1843.2544417784343</x:v>
      </x:c>
      <x:c r="U160" s="60" t="n">
        <x:f>IF(T160="","",I160*T160)</x:f>
        <x:v>6190.694234561443</x:v>
      </x:c>
    </x:row>
    <x:row r="161" ht="18" customHeight="1">
      <x:c r="A161" s="46" t="str">
        <x:v>LME_046</x:v>
      </x:c>
      <x:c r="B161" s="46" t="str">
        <x:v>New Zealand Shelf</x:v>
      </x:c>
      <x:c r="C161" s="46" t="str">
        <x:v>LME</x:v>
      </x:c>
      <x:c r="D161" s="58" t="n">
        <x:v>2019</x:v>
      </x:c>
      <x:c r="E161" s="46" t="str">
        <x:v>Thunnus albacares</x:v>
      </x:c>
      <x:c r="F161" s="46" t="str">
        <x:v>Yellowfin tuna</x:v>
      </x:c>
      <x:c r="G161" s="46" t="str">
        <x:v>Large pelagics (&gt;=90 cm)</x:v>
      </x:c>
      <x:c r="H161" s="46" t="str">
        <x:v>Tuna &amp; billfishes</x:v>
      </x:c>
      <x:c r="I161" s="60" t="n">
        <x:v>3.1582296026</x:v>
      </x:c>
      <x:c r="J161" s="60" t="n">
        <x:v>1.4491833245</x:v>
      </x:c>
      <x:c r="K161" s="60" t="n">
        <x:v>1.7090462781000002</x:v>
      </x:c>
      <x:c r="L161" s="60" t="n">
        <x:v>1.4249297265</x:v>
      </x:c>
      <x:c r="M161" s="60" t="n">
        <x:v>1.7332998761</x:v>
      </x:c>
      <x:c r="N161" s="46" t="str">
        <x:v>thunnus albacares</x:v>
      </x:c>
      <x:c r="O161" s="62" t="n">
        <x:v>4.41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Thunnus albacares</x:v>
      </x:c>
      <x:c r="T161" s="62" t="n">
        <x:f>IF(O161="","",(1/'Metadata'!$B$5)^(O161-1))</x:f>
        <x:v>27321.987305427916</x:v>
      </x:c>
      <x:c r="U161" s="60" t="n">
        <x:f>IF(T161="","",I161*T161)</x:f>
        <x:v>86289.10910986386</x:v>
      </x:c>
    </x:row>
    <x:row r="162" ht="18" customHeight="1">
      <x:c r="A162" s="46" t="str">
        <x:v>LME_046</x:v>
      </x:c>
      <x:c r="B162" s="46" t="str">
        <x:v>New Zealand Shelf</x:v>
      </x:c>
      <x:c r="C162" s="46" t="str">
        <x:v>LME</x:v>
      </x:c>
      <x:c r="D162" s="58" t="n">
        <x:v>2019</x:v>
      </x:c>
      <x:c r="E162" s="46" t="str">
        <x:v>Halargyreus johnsonii</x:v>
      </x:c>
      <x:c r="F162" s="46" t="str">
        <x:v>Slender codling</x:v>
      </x:c>
      <x:c r="G162" s="46" t="str">
        <x:v>Medium bathypelagics (30 - 89 cm)</x:v>
      </x:c>
      <x:c r="H162" s="46" t="str">
        <x:v>Cod-likes</x:v>
      </x:c>
      <x:c r="I162" s="60" t="n">
        <x:v>2.9903709779</x:v>
      </x:c>
      <x:c r="J162" s="60" t="n">
        <x:v>2.9903709779</x:v>
      </x:c>
      <x:c r="K162" s="60" t="n">
        <x:v>0</x:v>
      </x:c>
      <x:c r="L162" s="60" t="n">
        <x:v>2.7367979061</x:v>
      </x:c>
      <x:c r="M162" s="60" t="n">
        <x:v>0.2535730718</x:v>
      </x:c>
      <x:c r="N162" s="46" t="str">
        <x:v>halargyreus johnsonii</x:v>
      </x:c>
      <x:c r="O162" s="62" t="n">
        <x:v>3.38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Halargyreus johnsonii</x:v>
      </x:c>
      <x:c r="T162" s="62" t="n">
        <x:f>IF(O162="","",(1/'Metadata'!$B$5)^(O162-1))</x:f>
        <x:v>1248.6806726928048</x:v>
      </x:c>
      <x:c r="U162" s="60" t="n">
        <x:f>IF(T162="","",I162*T162)</x:f>
        <x:v>3734.018444285213</x:v>
      </x:c>
    </x:row>
    <x:row r="163" ht="18" customHeight="1">
      <x:c r="A163" s="46" t="str">
        <x:v>LME_046</x:v>
      </x:c>
      <x:c r="B163" s="46" t="str">
        <x:v>New Zealand Shelf</x:v>
      </x:c>
      <x:c r="C163" s="46" t="str">
        <x:v>LME</x:v>
      </x:c>
      <x:c r="D163" s="58" t="n">
        <x:v>2019</x:v>
      </x:c>
      <x:c r="E163" s="46" t="str">
        <x:v>Pinguipedidae</x:v>
      </x:c>
      <x:c r="F163" s="46" t="str">
        <x:v>Sandperches</x:v>
      </x:c>
      <x:c r="G163" s="46" t="str">
        <x:v>Medium demersals (30 - 89 cm)</x:v>
      </x:c>
      <x:c r="H163" s="46" t="str">
        <x:v>Perch-likes</x:v>
      </x:c>
      <x:c r="I163" s="60" t="n">
        <x:v>2.9723556946</x:v>
      </x:c>
      <x:c r="J163" s="60" t="n">
        <x:v>0</x:v>
      </x:c>
      <x:c r="K163" s="60" t="n">
        <x:v>2.9723556946</x:v>
      </x:c>
      <x:c r="L163" s="60" t="n">
        <x:v>0</x:v>
      </x:c>
      <x:c r="M163" s="60" t="n">
        <x:v>2.9723556946</x:v>
      </x:c>
      <x:c r="N163" s="46" t="str">
        <x:v>pinguipedidae</x:v>
      </x:c>
      <x:c r="O163" s="62" t="n">
        <x:v>3.49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Pinguipedidae</x:v>
      </x:c>
      <x:c r="T163" s="62" t="n">
        <x:f>IF(O163="","",(1/'Metadata'!$B$5)^(O163-1))</x:f>
        <x:v>1736.059833884101</x:v>
      </x:c>
      <x:c r="U163" s="60" t="n">
        <x:f>IF(T163="","",I163*T163)</x:f>
        <x:v>5160.187333411737</x:v>
      </x:c>
    </x:row>
    <x:row r="164" ht="18" customHeight="1">
      <x:c r="A164" s="46" t="str">
        <x:v>LME_046</x:v>
      </x:c>
      <x:c r="B164" s="46" t="str">
        <x:v>New Zealand Shelf</x:v>
      </x:c>
      <x:c r="C164" s="46" t="str">
        <x:v>LME</x:v>
      </x:c>
      <x:c r="D164" s="58" t="n">
        <x:v>2019</x:v>
      </x:c>
      <x:c r="E164" s="46" t="str">
        <x:v>Miscellaneous marine crustaceans</x:v>
      </x:c>
      <x:c r="F164" s="46" t="str">
        <x:v>Marine crabs, shrimps, lobsters nei</x:v>
      </x:c>
      <x:c r="G164" s="46" t="str">
        <x:v>Shrimps</x:v>
      </x:c>
      <x:c r="H164" s="46" t="str">
        <x:v>Crustaceans</x:v>
      </x:c>
      <x:c r="I164" s="60" t="n">
        <x:v>2.9033513443</x:v>
      </x:c>
      <x:c r="J164" s="60" t="n">
        <x:v>0</x:v>
      </x:c>
      <x:c r="K164" s="60" t="n">
        <x:v>2.9033513443</x:v>
      </x:c>
      <x:c r="L164" s="60" t="n">
        <x:v>0</x:v>
      </x:c>
      <x:c r="M164" s="60" t="n">
        <x:v>2.9033513443</x:v>
      </x:c>
      <x:c r="N164" s="46" t="str">
        <x:v>miscellaneous marine crustaceans</x:v>
      </x:c>
      <x:c r="O164" s="62" t="n">
        <x:v>2.7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Miscellaneous marine crustaceans</x:v>
      </x:c>
      <x:c r="T164" s="62" t="n">
        <x:f>IF(O164="","",(1/'Metadata'!$B$5)^(O164-1))</x:f>
        <x:v>162.83621261476185</x:v>
      </x:c>
      <x:c r="U164" s="60" t="n">
        <x:f>IF(T164="","",I164*T164)</x:f>
        <x:v>472.7707367957894</x:v>
      </x:c>
    </x:row>
    <x:row r="165" ht="18" customHeight="1">
      <x:c r="A165" s="46" t="str">
        <x:v>LME_046</x:v>
      </x:c>
      <x:c r="B165" s="46" t="str">
        <x:v>New Zealand Shelf</x:v>
      </x:c>
      <x:c r="C165" s="46" t="str">
        <x:v>LME</x:v>
      </x:c>
      <x:c r="D165" s="58" t="n">
        <x:v>2019</x:v>
      </x:c>
      <x:c r="E165" s="46" t="str">
        <x:v>Gastropoda</x:v>
      </x:c>
      <x:c r="F165" s="46" t="str">
        <x:v>Sea snails</x:v>
      </x:c>
      <x:c r="G165" s="46" t="str">
        <x:v>Other demersal invertebrates</x:v>
      </x:c>
      <x:c r="H165" s="46" t="str">
        <x:v>Molluscs</x:v>
      </x:c>
      <x:c r="I165" s="60" t="n">
        <x:v>2.8242142457</x:v>
      </x:c>
      <x:c r="J165" s="60" t="n">
        <x:v>0</x:v>
      </x:c>
      <x:c r="K165" s="60" t="n">
        <x:v>2.8242142457</x:v>
      </x:c>
      <x:c r="L165" s="60" t="n">
        <x:v>0</x:v>
      </x:c>
      <x:c r="M165" s="60" t="n">
        <x:v>2.8242142457</x:v>
      </x:c>
      <x:c r="N165" s="46" t="str">
        <x:v>gastropoda</x:v>
      </x:c>
      <x:c r="O165" s="62" t="n">
        <x:v>3.06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Gastropoda</x:v>
      </x:c>
      <x:c r="T165" s="62" t="n">
        <x:f>IF(O165="","",(1/'Metadata'!$B$5)^(O165-1))</x:f>
        <x:v>478.7643354384948</x:v>
      </x:c>
      <x:c r="U165" s="60" t="n">
        <x:f>IF(T165="","",I165*T165)</x:f>
        <x:v>1352.1330564784903</x:v>
      </x:c>
    </x:row>
    <x:row r="166" ht="18" customHeight="1">
      <x:c r="A166" s="46" t="str">
        <x:v>LME_046</x:v>
      </x:c>
      <x:c r="B166" s="46" t="str">
        <x:v>New Zealand Shelf</x:v>
      </x:c>
      <x:c r="C166" s="46" t="str">
        <x:v>LME</x:v>
      </x:c>
      <x:c r="D166" s="58" t="n">
        <x:v>2019</x:v>
      </x:c>
      <x:c r="E166" s="46" t="str">
        <x:v>Mullidae</x:v>
      </x:c>
      <x:c r="F166" s="46" t="str">
        <x:v>Goatfishes</x:v>
      </x:c>
      <x:c r="G166" s="46" t="str">
        <x:v>Medium reef assoc. fish (30 - 89 cm)</x:v>
      </x:c>
      <x:c r="H166" s="46" t="str">
        <x:v>Perch-likes</x:v>
      </x:c>
      <x:c r="I166" s="60" t="n">
        <x:v>2.8206464884</x:v>
      </x:c>
      <x:c r="J166" s="60" t="n">
        <x:v>0.3414360005</x:v>
      </x:c>
      <x:c r="K166" s="60" t="n">
        <x:v>2.4792104878999996</x:v>
      </x:c>
      <x:c r="L166" s="60" t="n">
        <x:v>0.3080987141</x:v>
      </x:c>
      <x:c r="M166" s="60" t="n">
        <x:v>2.5125477742999998</x:v>
      </x:c>
      <x:c r="N166" s="46" t="str">
        <x:v>mullidae</x:v>
      </x:c>
      <x:c r="O166" s="62" t="n">
        <x:v>3.46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Mullidae</x:v>
      </x:c>
      <x:c r="T166" s="62" t="n">
        <x:f>IF(O166="","",(1/'Metadata'!$B$5)^(O166-1))</x:f>
        <x:v>1586.8423749532276</x:v>
      </x:c>
      <x:c r="U166" s="60" t="n">
        <x:f>IF(T166="","",I166*T166)</x:f>
        <x:v>4475.921372556138</x:v>
      </x:c>
    </x:row>
    <x:row r="167" ht="18" customHeight="1">
      <x:c r="A167" s="46" t="str">
        <x:v>LME_046</x:v>
      </x:c>
      <x:c r="B167" s="46" t="str">
        <x:v>New Zealand Shelf</x:v>
      </x:c>
      <x:c r="C167" s="46" t="str">
        <x:v>LME</x:v>
      </x:c>
      <x:c r="D167" s="58" t="n">
        <x:v>2019</x:v>
      </x:c>
      <x:c r="E167" s="46" t="str">
        <x:v>Sparidae</x:v>
      </x:c>
      <x:c r="F167" s="46" t="str">
        <x:v>Porgies, seabreams</x:v>
      </x:c>
      <x:c r="G167" s="46" t="str">
        <x:v>Medium benthopelagics (30 - 89 cm)</x:v>
      </x:c>
      <x:c r="H167" s="46" t="str">
        <x:v>Perch-likes</x:v>
      </x:c>
      <x:c r="I167" s="60" t="n">
        <x:v>2.7186366977</x:v>
      </x:c>
      <x:c r="J167" s="60" t="n">
        <x:v>0</x:v>
      </x:c>
      <x:c r="K167" s="60" t="n">
        <x:v>2.7186366977</x:v>
      </x:c>
      <x:c r="L167" s="60" t="n">
        <x:v>0</x:v>
      </x:c>
      <x:c r="M167" s="60" t="n">
        <x:v>2.7186366977</x:v>
      </x:c>
      <x:c r="N167" s="46" t="str">
        <x:v>sparidae</x:v>
      </x:c>
      <x:c r="O167" s="62" t="n">
        <x:v>3.31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Sparidae</x:v>
      </x:c>
      <x:c r="T167" s="62" t="n">
        <x:f>IF(O167="","",(1/'Metadata'!$B$5)^(O167-1))</x:f>
        <x:v>1012.4633005057666</x:v>
      </x:c>
      <x:c r="U167" s="60" t="n">
        <x:f>IF(T167="","",I167*T167)</x:f>
        <x:v>2752.51988382944</x:v>
      </x:c>
    </x:row>
    <x:row r="168" ht="18" customHeight="1">
      <x:c r="A168" s="46" t="str">
        <x:v>LME_046</x:v>
      </x:c>
      <x:c r="B168" s="46" t="str">
        <x:v>New Zealand Shelf</x:v>
      </x:c>
      <x:c r="C168" s="46" t="str">
        <x:v>LME</x:v>
      </x:c>
      <x:c r="D168" s="58" t="n">
        <x:v>2019</x:v>
      </x:c>
      <x:c r="E168" s="46" t="str">
        <x:v>Miscellaneous aquatic invertebrates</x:v>
      </x:c>
      <x:c r="F168" s="46" t="str">
        <x:v>Aquatic invertebrates</x:v>
      </x:c>
      <x:c r="G168" s="46" t="str">
        <x:v>Other demersal invertebrates</x:v>
      </x:c>
      <x:c r="H168" s="46" t="str">
        <x:v>Other fishes &amp; inverts</x:v>
      </x:c>
      <x:c r="I168" s="60" t="n">
        <x:v>2.7084635082</x:v>
      </x:c>
      <x:c r="J168" s="60" t="n">
        <x:v>0</x:v>
      </x:c>
      <x:c r="K168" s="60" t="n">
        <x:v>2.7084635082</x:v>
      </x:c>
      <x:c r="L168" s="60" t="n">
        <x:v>0</x:v>
      </x:c>
      <x:c r="M168" s="60" t="n">
        <x:v>2.7084635082</x:v>
      </x:c>
      <x:c r="N168" s="46" t="str">
        <x:v>miscellaneous aquatic invertebrates</x:v>
      </x:c>
      <x:c r="O168" s="62" t="n">
        <x:v>2.43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Miscellaneous aquatic invertebrates</x:v>
      </x:c>
      <x:c r="T168" s="62" t="n">
        <x:f>IF(O168="","",(1/'Metadata'!$B$5)^(O168-1))</x:f>
        <x:v>72.52252122305909</x:v>
      </x:c>
      <x:c r="U168" s="60" t="n">
        <x:f>IF(T168="","",I168*T168)</x:f>
        <x:v>196.42460225531556</x:v>
      </x:c>
    </x:row>
    <x:row r="169" ht="18" customHeight="1">
      <x:c r="A169" s="46" t="str">
        <x:v>LME_046</x:v>
      </x:c>
      <x:c r="B169" s="46" t="str">
        <x:v>New Zealand Shelf</x:v>
      </x:c>
      <x:c r="C169" s="46" t="str">
        <x:v>LME</x:v>
      </x:c>
      <x:c r="D169" s="58" t="n">
        <x:v>2019</x:v>
      </x:c>
      <x:c r="E169" s="46" t="str">
        <x:v>Trachipterus trachypterus</x:v>
      </x:c>
      <x:c r="F169" s="46" t="str">
        <x:v>Mediterranean dealfish</x:v>
      </x:c>
      <x:c r="G169" s="46" t="str">
        <x:v>Large bathypelagics (&gt;=90 cm)</x:v>
      </x:c>
      <x:c r="H169" s="46" t="str">
        <x:v>Other fishes &amp; inverts</x:v>
      </x:c>
      <x:c r="I169" s="60" t="n">
        <x:v>2.5367924512</x:v>
      </x:c>
      <x:c r="J169" s="60" t="n">
        <x:v>2.5367924512</x:v>
      </x:c>
      <x:c r="K169" s="60" t="n">
        <x:v>0</x:v>
      </x:c>
      <x:c r="L169" s="60" t="n">
        <x:v>2.3123691326</x:v>
      </x:c>
      <x:c r="M169" s="60" t="n">
        <x:v>0.2244233186</x:v>
      </x:c>
      <x:c r="N169" s="46" t="str">
        <x:v>trachipterus trachypterus</x:v>
      </x:c>
      <x:c r="O169" s="62" t="n">
        <x:v>2.88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Trachipterus trachypterus</x:v>
      </x:c>
      <x:c r="T169" s="62" t="n">
        <x:f>IF(O169="","",(1/'Metadata'!$B$5)^(O169-1))</x:f>
        <x:v>279.21348663312773</x:v>
      </x:c>
      <x:c r="U169" s="60" t="n">
        <x:f>IF(T169="","",I169*T169)</x:f>
        <x:v>708.3066651641506</x:v>
      </x:c>
    </x:row>
    <x:row r="170" ht="18" customHeight="1">
      <x:c r="A170" s="46" t="str">
        <x:v>LME_046</x:v>
      </x:c>
      <x:c r="B170" s="46" t="str">
        <x:v>New Zealand Shelf</x:v>
      </x:c>
      <x:c r="C170" s="46" t="str">
        <x:v>LME</x:v>
      </x:c>
      <x:c r="D170" s="58" t="n">
        <x:v>2019</x:v>
      </x:c>
      <x:c r="E170" s="46" t="str">
        <x:v>Gadiformes</x:v>
      </x:c>
      <x:c r="F170" s="46" t="str">
        <x:v>Cods</x:v>
      </x:c>
      <x:c r="G170" s="46" t="str">
        <x:v>Medium benthopelagics (30 - 89 cm)</x:v>
      </x:c>
      <x:c r="H170" s="46" t="str">
        <x:v>Cod-likes</x:v>
      </x:c>
      <x:c r="I170" s="60" t="n">
        <x:v>2.1783841073</x:v>
      </x:c>
      <x:c r="J170" s="60" t="n">
        <x:v>1.6981160942</x:v>
      </x:c>
      <x:c r="K170" s="60" t="n">
        <x:v>0.4802680131</x:v>
      </x:c>
      <x:c r="L170" s="60" t="n">
        <x:v>1.5643371496999998</x:v>
      </x:c>
      <x:c r="M170" s="60" t="n">
        <x:v>0.6140469575999999</x:v>
      </x:c>
      <x:c r="N170" s="46" t="str">
        <x:v>gadiformes</x:v>
      </x:c>
      <x:c r="O170" s="62" t="n">
        <x:v>3.91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Gadiformes</x:v>
      </x:c>
      <x:c r="T170" s="62" t="n">
        <x:f>IF(O170="","",(1/'Metadata'!$B$5)^(O170-1))</x:f>
        <x:v>6109.382089532312</x:v>
      </x:c>
      <x:c r="U170" s="60" t="n">
        <x:f>IF(T170="","",I170*T170)</x:f>
        <x:v>13308.580849260454</x:v>
      </x:c>
    </x:row>
    <x:row r="171" ht="18" customHeight="1">
      <x:c r="A171" s="46" t="str">
        <x:v>LME_046</x:v>
      </x:c>
      <x:c r="B171" s="46" t="str">
        <x:v>New Zealand Shelf</x:v>
      </x:c>
      <x:c r="C171" s="46" t="str">
        <x:v>LME</x:v>
      </x:c>
      <x:c r="D171" s="58" t="n">
        <x:v>2019</x:v>
      </x:c>
      <x:c r="E171" s="46" t="str">
        <x:v>Lithodidae</x:v>
      </x:c>
      <x:c r="F171" s="46" t="str">
        <x:v>Stone/king crabs</x:v>
      </x:c>
      <x:c r="G171" s="46" t="str">
        <x:v>Lobsters, crabs</x:v>
      </x:c>
      <x:c r="H171" s="46" t="str">
        <x:v>Crustaceans</x:v>
      </x:c>
      <x:c r="I171" s="60" t="n">
        <x:v>2.0937932797</x:v>
      </x:c>
      <x:c r="J171" s="60" t="n">
        <x:v>2.0441241762</x:v>
      </x:c>
      <x:c r="K171" s="60" t="n">
        <x:v>0.0496691035</x:v>
      </x:c>
      <x:c r="L171" s="60" t="n">
        <x:v>2.0441241762</x:v>
      </x:c>
      <x:c r="M171" s="60" t="n">
        <x:v>0.0496691035</x:v>
      </x:c>
      <x:c r="N171" s="46" t="str">
        <x:v>lithodidae</x:v>
      </x:c>
      <x:c r="O171" s="62" t="n">
        <x:v>2.82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Lithodidae</x:v>
      </x:c>
      <x:c r="T171" s="62" t="n">
        <x:f>IF(O171="","",(1/'Metadata'!$B$5)^(O171-1))</x:f>
        <x:v>233.27843447436348</x:v>
      </x:c>
      <x:c r="U171" s="60" t="n">
        <x:f>IF(T171="","",I171*T171)</x:f>
        <x:v>488.436818401359</x:v>
      </x:c>
    </x:row>
    <x:row r="172" ht="18" customHeight="1">
      <x:c r="A172" s="46" t="str">
        <x:v>LME_046</x:v>
      </x:c>
      <x:c r="B172" s="46" t="str">
        <x:v>New Zealand Shelf</x:v>
      </x:c>
      <x:c r="C172" s="46" t="str">
        <x:v>LME</x:v>
      </x:c>
      <x:c r="D172" s="58" t="n">
        <x:v>2019</x:v>
      </x:c>
      <x:c r="E172" s="46" t="str">
        <x:v>Kajikia audax</x:v>
      </x:c>
      <x:c r="F172" s="46" t="str">
        <x:v>Striped marlin</x:v>
      </x:c>
      <x:c r="G172" s="46" t="str">
        <x:v>Large pelagics (&gt;=90 cm)</x:v>
      </x:c>
      <x:c r="H172" s="46" t="str">
        <x:v>Tuna &amp; billfishes</x:v>
      </x:c>
      <x:c r="I172" s="60" t="n">
        <x:v>2.0595846392</x:v>
      </x:c>
      <x:c r="J172" s="60" t="n">
        <x:v>2.0595846392</x:v>
      </x:c>
      <x:c r="K172" s="60" t="n">
        <x:v>0</x:v>
      </x:c>
      <x:c r="L172" s="60" t="n">
        <x:v>2.0595846392</x:v>
      </x:c>
      <x:c r="M172" s="60" t="n">
        <x:v>0</x:v>
      </x:c>
      <x:c r="N172" s="46" t="str">
        <x:v>kajikia audax</x:v>
      </x:c>
      <x:c r="O172" s="62" t="n">
        <x:v>4.58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Kajikia audax</x:v>
      </x:c>
      <x:c r="T172" s="62" t="n">
        <x:f>IF(O172="","",(1/'Metadata'!$B$5)^(O172-1))</x:f>
        <x:v>45466.06667430095</x:v>
      </x:c>
      <x:c r="U172" s="60" t="n">
        <x:f>IF(T172="","",I172*T172)</x:f>
        <x:v>93641.21252723328</x:v>
      </x:c>
    </x:row>
    <x:row r="173" ht="18" customHeight="1">
      <x:c r="A173" s="46" t="str">
        <x:v>LME_046</x:v>
      </x:c>
      <x:c r="B173" s="46" t="str">
        <x:v>New Zealand Shelf</x:v>
      </x:c>
      <x:c r="C173" s="46" t="str">
        <x:v>LME</x:v>
      </x:c>
      <x:c r="D173" s="58" t="n">
        <x:v>2019</x:v>
      </x:c>
      <x:c r="E173" s="46" t="str">
        <x:v>Carcharhiniformes</x:v>
      </x:c>
      <x:c r="F173" s="46" t="str">
        <x:v>Ground sharks</x:v>
      </x:c>
      <x:c r="G173" s="46" t="str">
        <x:v>Large sharks (&gt;=90 cm)</x:v>
      </x:c>
      <x:c r="H173" s="46" t="str">
        <x:v>Sharks &amp; rays</x:v>
      </x:c>
      <x:c r="I173" s="60" t="n">
        <x:v>1.6171230413000002</x:v>
      </x:c>
      <x:c r="J173" s="60" t="n">
        <x:v>0</x:v>
      </x:c>
      <x:c r="K173" s="60" t="n">
        <x:v>1.6171230413000002</x:v>
      </x:c>
      <x:c r="L173" s="60" t="n">
        <x:v>0</x:v>
      </x:c>
      <x:c r="M173" s="60" t="n">
        <x:v>1.6171230413000002</x:v>
      </x:c>
      <x:c r="N173" s="46" t="str">
        <x:v>carcharhiniformes</x:v>
      </x:c>
      <x:c r="O173" s="62" t="n">
        <x:v>4.08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Carcharhiniformes</x:v>
      </x:c>
      <x:c r="T173" s="62" t="n">
        <x:f>IF(O173="","",(1/'Metadata'!$B$5)^(O173-1))</x:f>
        <x:v>10166.521575327472</x:v>
      </x:c>
      <x:c r="U173" s="60" t="n">
        <x:f>IF(T173="","",I173*T173)</x:f>
        <x:v>16440.51628933563</x:v>
      </x:c>
    </x:row>
    <x:row r="174" ht="18" customHeight="1">
      <x:c r="A174" s="46" t="str">
        <x:v>LME_046</x:v>
      </x:c>
      <x:c r="B174" s="46" t="str">
        <x:v>New Zealand Shelf</x:v>
      </x:c>
      <x:c r="C174" s="46" t="str">
        <x:v>LME</x:v>
      </x:c>
      <x:c r="D174" s="58" t="n">
        <x:v>2019</x:v>
      </x:c>
      <x:c r="E174" s="46" t="str">
        <x:v>Scyphozoa</x:v>
      </x:c>
      <x:c r="F174" s="46" t="str">
        <x:v>True jellyfishes</x:v>
      </x:c>
      <x:c r="G174" s="46" t="str">
        <x:v>Jellyfish</x:v>
      </x:c>
      <x:c r="H174" s="46" t="str">
        <x:v>Other fishes &amp; inverts</x:v>
      </x:c>
      <x:c r="I174" s="60" t="n">
        <x:v>1.6065636322999999</x:v>
      </x:c>
      <x:c r="J174" s="60" t="n">
        <x:v>0</x:v>
      </x:c>
      <x:c r="K174" s="60" t="n">
        <x:v>1.6065636322999999</x:v>
      </x:c>
      <x:c r="L174" s="60" t="n">
        <x:v>0</x:v>
      </x:c>
      <x:c r="M174" s="60" t="n">
        <x:v>1.6065636322999999</x:v>
      </x:c>
      <x:c r="N174" s="46" t="str">
        <x:v>scyphozoa</x:v>
      </x:c>
      <x:c r="O174" s="62" t="n">
        <x:v>3.46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Scyphozoa</x:v>
      </x:c>
      <x:c r="T174" s="62" t="n">
        <x:f>IF(O174="","",(1/'Metadata'!$B$5)^(O174-1))</x:f>
        <x:v>1586.8423749532276</x:v>
      </x:c>
      <x:c r="U174" s="60" t="n">
        <x:f>IF(T174="","",I174*T174)</x:f>
        <x:v>2549.3632497924154</x:v>
      </x:c>
    </x:row>
    <x:row r="175" ht="18" customHeight="1">
      <x:c r="A175" s="46" t="str">
        <x:v>LME_046</x:v>
      </x:c>
      <x:c r="B175" s="46" t="str">
        <x:v>New Zealand Shelf</x:v>
      </x:c>
      <x:c r="C175" s="46" t="str">
        <x:v>LME</x:v>
      </x:c>
      <x:c r="D175" s="58" t="n">
        <x:v>2019</x:v>
      </x:c>
      <x:c r="E175" s="46" t="str">
        <x:v>Notopogon lilliei</x:v>
      </x:c>
      <x:c r="F175" s="46" t="str">
        <x:v>Crested bellowfish</x:v>
      </x:c>
      <x:c r="G175" s="46" t="str">
        <x:v>Small demersals (&lt;30 cm)</x:v>
      </x:c>
      <x:c r="H175" s="46" t="str">
        <x:v>Other fishes &amp; inverts</x:v>
      </x:c>
      <x:c r="I175" s="60" t="n">
        <x:v>1.5186950816</x:v>
      </x:c>
      <x:c r="J175" s="60" t="n">
        <x:v>1.5186950816</x:v>
      </x:c>
      <x:c r="K175" s="60" t="n">
        <x:v>0</x:v>
      </x:c>
      <x:c r="L175" s="60" t="n">
        <x:v>1.3836000024</x:v>
      </x:c>
      <x:c r="M175" s="60" t="n">
        <x:v>0.1350950792</x:v>
      </x:c>
      <x:c r="N175" s="46" t="str">
        <x:v>notopogon lilliei</x:v>
      </x:c>
      <x:c r="O175" s="62" t="n">
        <x:v>3.5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Notopogon lilliei</x:v>
      </x:c>
      <x:c r="T175" s="62" t="n">
        <x:f>IF(O175="","",(1/'Metadata'!$B$5)^(O175-1))</x:f>
        <x:v>1788.8543819998317</x:v>
      </x:c>
      <x:c r="U175" s="60" t="n">
        <x:f>IF(T175="","",I175*T175)</x:f>
        <x:v>2716.724351641752</x:v>
      </x:c>
    </x:row>
    <x:row r="176" ht="18" customHeight="1">
      <x:c r="A176" s="46" t="str">
        <x:v>LME_046</x:v>
      </x:c>
      <x:c r="B176" s="46" t="str">
        <x:v>New Zealand Shelf</x:v>
      </x:c>
      <x:c r="C176" s="46" t="str">
        <x:v>LME</x:v>
      </x:c>
      <x:c r="D176" s="58" t="n">
        <x:v>2019</x:v>
      </x:c>
      <x:c r="E176" s="46" t="str">
        <x:v>Labridae</x:v>
      </x:c>
      <x:c r="F176" s="46" t="str">
        <x:v>Wrasses, gropers, tuskfishes</x:v>
      </x:c>
      <x:c r="G176" s="46" t="str">
        <x:v>Medium reef assoc. fish (30 - 89 cm)</x:v>
      </x:c>
      <x:c r="H176" s="46" t="str">
        <x:v>Perch-likes</x:v>
      </x:c>
      <x:c r="I176" s="60" t="n">
        <x:v>1.1298102319999999</x:v>
      </x:c>
      <x:c r="J176" s="60" t="n">
        <x:v>0.9689167814</x:v>
      </x:c>
      <x:c r="K176" s="60" t="n">
        <x:v>0.1608934506</x:v>
      </x:c>
      <x:c r="L176" s="60" t="n">
        <x:v>0.874343848</x:v>
      </x:c>
      <x:c r="M176" s="60" t="n">
        <x:v>0.255466384</x:v>
      </x:c>
      <x:c r="N176" s="46" t="str">
        <x:v>labridae</x:v>
      </x:c>
      <x:c r="O176" s="62" t="n">
        <x:v>3.46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Labridae</x:v>
      </x:c>
      <x:c r="T176" s="62" t="n">
        <x:f>IF(O176="","",(1/'Metadata'!$B$5)^(O176-1))</x:f>
        <x:v>1586.8423749532276</x:v>
      </x:c>
      <x:c r="U176" s="60" t="n">
        <x:f>IF(T176="","",I176*T176)</x:f>
        <x:v>1792.8307517933367</x:v>
      </x:c>
    </x:row>
    <x:row r="177" ht="18" customHeight="1">
      <x:c r="A177" s="46" t="str">
        <x:v>LME_046</x:v>
      </x:c>
      <x:c r="B177" s="46" t="str">
        <x:v>New Zealand Shelf</x:v>
      </x:c>
      <x:c r="C177" s="46" t="str">
        <x:v>LME</x:v>
      </x:c>
      <x:c r="D177" s="58" t="n">
        <x:v>2019</x:v>
      </x:c>
      <x:c r="E177" s="46" t="str">
        <x:v>Clupeidae</x:v>
      </x:c>
      <x:c r="F177" s="46" t="str">
        <x:v>Herrings, sardines, menhadens</x:v>
      </x:c>
      <x:c r="G177" s="46" t="str">
        <x:v>Small pelagics (&lt;30 cm)</x:v>
      </x:c>
      <x:c r="H177" s="46" t="str">
        <x:v>Herring-likes</x:v>
      </x:c>
      <x:c r="I177" s="60" t="n">
        <x:v>0.7136961639</x:v>
      </x:c>
      <x:c r="J177" s="60" t="n">
        <x:v>0</x:v>
      </x:c>
      <x:c r="K177" s="60" t="n">
        <x:v>0.7136961639</x:v>
      </x:c>
      <x:c r="L177" s="60" t="n">
        <x:v>0</x:v>
      </x:c>
      <x:c r="M177" s="60" t="n">
        <x:v>0.7136961639</x:v>
      </x:c>
      <x:c r="N177" s="46" t="str">
        <x:v>clupeidae</x:v>
      </x:c>
      <x:c r="O177" s="62" t="n">
        <x:v>3.16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Clupeidae</x:v>
      </x:c>
      <x:c r="T177" s="62" t="n">
        <x:f>IF(O177="","",(1/'Metadata'!$B$5)^(O177-1))</x:f>
        <x:v>645.9885058849935</x:v>
      </x:c>
      <x:c r="U177" s="60" t="n">
        <x:f>IF(T177="","",I177*T177)</x:f>
        <x:v>461.03951857361244</x:v>
      </x:c>
    </x:row>
    <x:row r="178" ht="18" customHeight="1">
      <x:c r="A178" s="46" t="str">
        <x:v>LME_046</x:v>
      </x:c>
      <x:c r="B178" s="46" t="str">
        <x:v>New Zealand Shelf</x:v>
      </x:c>
      <x:c r="C178" s="46" t="str">
        <x:v>LME</x:v>
      </x:c>
      <x:c r="D178" s="58" t="n">
        <x:v>2019</x:v>
      </x:c>
      <x:c r="E178" s="46" t="str">
        <x:v>Solenoceridae</x:v>
      </x:c>
      <x:c r="F178" s="46" t="str">
        <x:v>Solenocerid shrimps</x:v>
      </x:c>
      <x:c r="G178" s="46" t="str">
        <x:v>Shrimps</x:v>
      </x:c>
      <x:c r="H178" s="46" t="str">
        <x:v>Crustaceans</x:v>
      </x:c>
      <x:c r="I178" s="60" t="n">
        <x:v>0.6465185589</x:v>
      </x:c>
      <x:c r="J178" s="60" t="n">
        <x:v>0</x:v>
      </x:c>
      <x:c r="K178" s="60" t="n">
        <x:v>0.6465185589</x:v>
      </x:c>
      <x:c r="L178" s="60" t="n">
        <x:v>0</x:v>
      </x:c>
      <x:c r="M178" s="60" t="n">
        <x:v>0.6465185589</x:v>
      </x:c>
      <x:c r="N178" s="46" t="str">
        <x:v>solenoceridae</x:v>
      </x:c>
      <x:c r="O178" s="62" t="n">
        <x:v>2.16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Solenoceridae</x:v>
      </x:c>
      <x:c r="T178" s="62" t="n">
        <x:f>IF(O178="","",(1/'Metadata'!$B$5)^(O178-1))</x:f>
        <x:v>32.29942529424967</x:v>
      </x:c>
      <x:c r="U178" s="60" t="n">
        <x:f>IF(T178="","",I178*T178)</x:f>
        <x:v>20.882177894536508</x:v>
      </x:c>
    </x:row>
    <x:row r="179" ht="18" customHeight="1">
      <x:c r="A179" s="46" t="str">
        <x:v>LME_046</x:v>
      </x:c>
      <x:c r="B179" s="46" t="str">
        <x:v>New Zealand Shelf</x:v>
      </x:c>
      <x:c r="C179" s="46" t="str">
        <x:v>LME</x:v>
      </x:c>
      <x:c r="D179" s="58" t="n">
        <x:v>2019</x:v>
      </x:c>
      <x:c r="E179" s="46" t="str">
        <x:v>Epigonus</x:v>
      </x:c>
      <x:c r="F179" s="46" t="str">
        <x:v>Deepwater cardinalfishes</x:v>
      </x:c>
      <x:c r="G179" s="46" t="str">
        <x:v>Medium bathydemersals (30 - 89 cm)</x:v>
      </x:c>
      <x:c r="H179" s="46" t="str">
        <x:v>Perch-likes</x:v>
      </x:c>
      <x:c r="I179" s="60" t="n">
        <x:v>0.6454277006</x:v>
      </x:c>
      <x:c r="J179" s="60" t="n">
        <x:v>0.6454277006</x:v>
      </x:c>
      <x:c r="K179" s="60" t="n">
        <x:v>0</x:v>
      </x:c>
      <x:c r="L179" s="60" t="n">
        <x:v>0.5824023463</x:v>
      </x:c>
      <x:c r="M179" s="60" t="n">
        <x:v>0.0630253543</x:v>
      </x:c>
      <x:c r="N179" s="46" t="str">
        <x:v>epigonus</x:v>
      </x:c>
      <x:c r="O179" s="62" t="n">
        <x:v>3.5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Epigonus</x:v>
      </x:c>
      <x:c r="T179" s="62" t="n">
        <x:f>IF(O179="","",(1/'Metadata'!$B$5)^(O179-1))</x:f>
        <x:v>1788.8543819998317</x:v>
      </x:c>
      <x:c r="U179" s="60" t="n">
        <x:f>IF(T179="","",I179*T179)</x:f>
        <x:v>1154.5761704823854</x:v>
      </x:c>
    </x:row>
    <x:row r="180" ht="18" customHeight="1">
      <x:c r="A180" s="46" t="str">
        <x:v>LME_046</x:v>
      </x:c>
      <x:c r="B180" s="46" t="str">
        <x:v>New Zealand Shelf</x:v>
      </x:c>
      <x:c r="C180" s="46" t="str">
        <x:v>LME</x:v>
      </x:c>
      <x:c r="D180" s="58" t="n">
        <x:v>2019</x:v>
      </x:c>
      <x:c r="E180" s="46" t="str">
        <x:v>Dissostichus eleginoides</x:v>
      </x:c>
      <x:c r="F180" s="46" t="str">
        <x:v>Patagonian toothfish</x:v>
      </x:c>
      <x:c r="G180" s="46" t="str">
        <x:v>Large bathydemersals (&gt;=90 cm)</x:v>
      </x:c>
      <x:c r="H180" s="46" t="str">
        <x:v>Perch-likes</x:v>
      </x:c>
      <x:c r="I180" s="60" t="n">
        <x:v>0.6166440413</x:v>
      </x:c>
      <x:c r="J180" s="60" t="n">
        <x:v>0.6166440413</x:v>
      </x:c>
      <x:c r="K180" s="60" t="n">
        <x:v>0</x:v>
      </x:c>
      <x:c r="L180" s="60" t="n">
        <x:v>0.5476462191</x:v>
      </x:c>
      <x:c r="M180" s="60" t="n">
        <x:v>0.0689978222</x:v>
      </x:c>
      <x:c r="N180" s="46" t="str">
        <x:v>dissostichus eleginoides</x:v>
      </x:c>
      <x:c r="O180" s="62" t="n">
        <x:v>3.96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Dissostichus eleginoides</x:v>
      </x:c>
      <x:c r="T180" s="62" t="n">
        <x:f>IF(O180="","",(1/'Metadata'!$B$5)^(O180-1))</x:f>
        <x:v>7096.574839945253</x:v>
      </x:c>
      <x:c r="U180" s="60" t="n">
        <x:f>IF(T180="","",I180*T180)</x:f>
        <x:v>4376.060588691741</x:v>
      </x:c>
    </x:row>
    <x:row r="181" ht="18" customHeight="1">
      <x:c r="A181" s="46" t="str">
        <x:v>LME_046</x:v>
      </x:c>
      <x:c r="B181" s="46" t="str">
        <x:v>New Zealand Shelf</x:v>
      </x:c>
      <x:c r="C181" s="46" t="str">
        <x:v>LME</x:v>
      </x:c>
      <x:c r="D181" s="58" t="n">
        <x:v>2019</x:v>
      </x:c>
      <x:c r="E181" s="46" t="str">
        <x:v>Palinuridae</x:v>
      </x:c>
      <x:c r="F181" s="46" t="str">
        <x:v>Spiny lobsters</x:v>
      </x:c>
      <x:c r="G181" s="46" t="str">
        <x:v>Lobsters, crabs</x:v>
      </x:c>
      <x:c r="H181" s="46" t="str">
        <x:v>Crustaceans</x:v>
      </x:c>
      <x:c r="I181" s="60" t="n">
        <x:v>0.5424610550000001</x:v>
      </x:c>
      <x:c r="J181" s="60" t="n">
        <x:v>0</x:v>
      </x:c>
      <x:c r="K181" s="60" t="n">
        <x:v>0.5424610550000001</x:v>
      </x:c>
      <x:c r="L181" s="60" t="n">
        <x:v>0</x:v>
      </x:c>
      <x:c r="M181" s="60" t="n">
        <x:v>0.5424610550000001</x:v>
      </x:c>
      <x:c r="N181" s="46" t="str">
        <x:v>palinuridae</x:v>
      </x:c>
      <x:c r="O181" s="62" t="n">
        <x:v>3.14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Palinuridae</x:v>
      </x:c>
      <x:c r="T181" s="62" t="n">
        <x:f>IF(O181="","",(1/'Metadata'!$B$5)^(O181-1))</x:f>
        <x:v>608.420993216597</x:v>
      </x:c>
      <x:c r="U181" s="60" t="n">
        <x:f>IF(T181="","",I181*T181)</x:f>
        <x:v>330.0446938644231</x:v>
      </x:c>
    </x:row>
    <x:row r="182" ht="18" customHeight="1">
      <x:c r="A182" s="46" t="str">
        <x:v>LME_046</x:v>
      </x:c>
      <x:c r="B182" s="46" t="str">
        <x:v>New Zealand Shelf</x:v>
      </x:c>
      <x:c r="C182" s="46" t="str">
        <x:v>LME</x:v>
      </x:c>
      <x:c r="D182" s="58" t="n">
        <x:v>2019</x:v>
      </x:c>
      <x:c r="E182" s="46" t="str">
        <x:v>Lamniformes</x:v>
      </x:c>
      <x:c r="F182" s="46" t="str">
        <x:v>Mackerel sharks</x:v>
      </x:c>
      <x:c r="G182" s="46" t="str">
        <x:v>Large sharks (&gt;=90 cm)</x:v>
      </x:c>
      <x:c r="H182" s="46" t="str">
        <x:v>Sharks &amp; rays</x:v>
      </x:c>
      <x:c r="I182" s="60" t="n">
        <x:v>0.5162366173999999</x:v>
      </x:c>
      <x:c r="J182" s="60" t="n">
        <x:v>0</x:v>
      </x:c>
      <x:c r="K182" s="60" t="n">
        <x:v>0.5162366173999999</x:v>
      </x:c>
      <x:c r="L182" s="60" t="n">
        <x:v>0</x:v>
      </x:c>
      <x:c r="M182" s="60" t="n">
        <x:v>0.5162366173999999</x:v>
      </x:c>
      <x:c r="N182" s="46" t="str">
        <x:v>lamniformes</x:v>
      </x:c>
      <x:c r="O182" s="62" t="n">
        <x:v>4.34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Lamniformes</x:v>
      </x:c>
      <x:c r="T182" s="62" t="n">
        <x:f>IF(O182="","",(1/'Metadata'!$B$5)^(O182-1))</x:f>
        <x:v>22153.389612394185</x:v>
      </x:c>
      <x:c r="U182" s="60" t="n">
        <x:f>IF(T182="","",I182*T182)</x:f>
        <x:v>11436.39091744667</x:v>
      </x:c>
    </x:row>
    <x:row r="183" ht="18" customHeight="1">
      <x:c r="A183" s="46" t="str">
        <x:v>LME_046</x:v>
      </x:c>
      <x:c r="B183" s="46" t="str">
        <x:v>New Zealand Shelf</x:v>
      </x:c>
      <x:c r="C183" s="46" t="str">
        <x:v>LME</x:v>
      </x:c>
      <x:c r="D183" s="58" t="n">
        <x:v>2019</x:v>
      </x:c>
      <x:c r="E183" s="46" t="str">
        <x:v>Kyphosidae</x:v>
      </x:c>
      <x:c r="F183" s="46" t="str">
        <x:v>Sea chubs, knifefishes, niblers</x:v>
      </x:c>
      <x:c r="G183" s="46" t="str">
        <x:v>Medium reef assoc. fish (30 - 89 cm)</x:v>
      </x:c>
      <x:c r="H183" s="46" t="str">
        <x:v>Perch-likes</x:v>
      </x:c>
      <x:c r="I183" s="60" t="n">
        <x:v>0.4211459418</x:v>
      </x:c>
      <x:c r="J183" s="60" t="n">
        <x:v>0.4211459418</x:v>
      </x:c>
      <x:c r="K183" s="60" t="n">
        <x:v>0</x:v>
      </x:c>
      <x:c r="L183" s="60" t="n">
        <x:v>0.3594210951</x:v>
      </x:c>
      <x:c r="M183" s="60" t="n">
        <x:v>0.0617248467</x:v>
      </x:c>
      <x:c r="N183" s="46" t="str">
        <x:v>kyphosidae</x:v>
      </x:c>
      <x:c r="O183" s="62" t="n">
        <x:v>2.19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Kyphosidae</x:v>
      </x:c>
      <x:c r="T183" s="62" t="n">
        <x:f>IF(O183="","",(1/'Metadata'!$B$5)^(O183-1))</x:f>
        <x:v>35.336676027787405</x:v>
      </x:c>
      <x:c r="U183" s="60" t="n">
        <x:f>IF(T183="","",I183*T183)</x:f>
        <x:v>14.88189770580401</x:v>
      </x:c>
    </x:row>
    <x:row r="184" ht="18" customHeight="1">
      <x:c r="A184" s="46" t="str">
        <x:v>LME_046</x:v>
      </x:c>
      <x:c r="B184" s="46" t="str">
        <x:v>New Zealand Shelf</x:v>
      </x:c>
      <x:c r="C184" s="46" t="str">
        <x:v>LME</x:v>
      </x:c>
      <x:c r="D184" s="58" t="n">
        <x:v>2019</x:v>
      </x:c>
      <x:c r="E184" s="46" t="str">
        <x:v>Mola mola</x:v>
      </x:c>
      <x:c r="F184" s="46" t="str">
        <x:v>Ocean sunfish</x:v>
      </x:c>
      <x:c r="G184" s="46" t="str">
        <x:v>Large pelagics (&gt;=90 cm)</x:v>
      </x:c>
      <x:c r="H184" s="46" t="str">
        <x:v>Other fishes &amp; inverts</x:v>
      </x:c>
      <x:c r="I184" s="60" t="n">
        <x:v>0.4008809282</x:v>
      </x:c>
      <x:c r="J184" s="60" t="n">
        <x:v>0.4008809282</x:v>
      </x:c>
      <x:c r="K184" s="60" t="n">
        <x:v>0</x:v>
      </x:c>
      <x:c r="L184" s="60" t="n">
        <x:v>0.3652769937</x:v>
      </x:c>
      <x:c r="M184" s="60" t="n">
        <x:v>0.0356039345</x:v>
      </x:c>
      <x:c r="N184" s="46" t="str">
        <x:v>mola mola</x:v>
      </x:c>
      <x:c r="O184" s="62" t="n">
        <x:v>3.68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Mola mola</x:v>
      </x:c>
      <x:c r="T184" s="62" t="n">
        <x:f>IF(O184="","",(1/'Metadata'!$B$5)^(O184-1))</x:f>
        <x:v>3067.3291957408446</x:v>
      </x:c>
      <x:c r="U184" s="60" t="n">
        <x:f>IF(T184="","",I184*T184)</x:f>
        <x:v>1229.6337750835492</x:v>
      </x:c>
    </x:row>
    <x:row r="185" ht="18" customHeight="1">
      <x:c r="A185" s="46" t="str">
        <x:v>LME_046</x:v>
      </x:c>
      <x:c r="B185" s="46" t="str">
        <x:v>New Zealand Shelf</x:v>
      </x:c>
      <x:c r="C185" s="46" t="str">
        <x:v>LME</x:v>
      </x:c>
      <x:c r="D185" s="58" t="n">
        <x:v>2019</x:v>
      </x:c>
      <x:c r="E185" s="46" t="str">
        <x:v>Pentaceros decacanthus</x:v>
      </x:c>
      <x:c r="F185" s="46" t="str">
        <x:v>Bigspined boarfish</x:v>
      </x:c>
      <x:c r="G185" s="46" t="str">
        <x:v>Medium bathydemersals (30 - 89 cm)</x:v>
      </x:c>
      <x:c r="H185" s="46" t="str">
        <x:v>Perch-likes</x:v>
      </x:c>
      <x:c r="I185" s="60" t="n">
        <x:v>0.37358377330000003</x:v>
      </x:c>
      <x:c r="J185" s="60" t="n">
        <x:v>0.37358377330000003</x:v>
      </x:c>
      <x:c r="K185" s="60" t="n">
        <x:v>0</x:v>
      </x:c>
      <x:c r="L185" s="60" t="n">
        <x:v>0.3371037113</x:v>
      </x:c>
      <x:c r="M185" s="60" t="n">
        <x:v>0.036480061999999994</x:v>
      </x:c>
      <x:c r="N185" s="46" t="str">
        <x:v>pentaceros decacanthus</x:v>
      </x:c>
      <x:c r="O185" s="62" t="n">
        <x:v>3.33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Pentaceros decacanthus</x:v>
      </x:c>
      <x:c r="T185" s="62" t="n">
        <x:f>IF(O185="","",(1/'Metadata'!$B$5)^(O185-1))</x:f>
        <x:v>1074.9787762899762</x:v>
      </x:c>
      <x:c r="U185" s="60" t="n">
        <x:f>IF(T185="","",I185*T185)</x:f>
        <x:v>401.59462746382593</x:v>
      </x:c>
    </x:row>
    <x:row r="186" ht="18" customHeight="1">
      <x:c r="A186" s="46" t="str">
        <x:v>LME_046</x:v>
      </x:c>
      <x:c r="B186" s="46" t="str">
        <x:v>New Zealand Shelf</x:v>
      </x:c>
      <x:c r="C186" s="46" t="str">
        <x:v>LME</x:v>
      </x:c>
      <x:c r="D186" s="58" t="n">
        <x:v>2019</x:v>
      </x:c>
      <x:c r="E186" s="46" t="str">
        <x:v>Callorhinchidae</x:v>
      </x:c>
      <x:c r="F186" s="46" t="str">
        <x:v>Plownose chimaeras</x:v>
      </x:c>
      <x:c r="G186" s="46" t="str">
        <x:v>Large rays (&gt;=90 cm)</x:v>
      </x:c>
      <x:c r="H186" s="46" t="str">
        <x:v>Sharks &amp; rays</x:v>
      </x:c>
      <x:c r="I186" s="60" t="n">
        <x:v>0.36943067440000005</x:v>
      </x:c>
      <x:c r="J186" s="60" t="n">
        <x:v>0</x:v>
      </x:c>
      <x:c r="K186" s="60" t="n">
        <x:v>0.36943067440000005</x:v>
      </x:c>
      <x:c r="L186" s="60" t="n">
        <x:v>0</x:v>
      </x:c>
      <x:c r="M186" s="60" t="n">
        <x:v>0.36943067440000005</x:v>
      </x:c>
      <x:c r="N186" s="46" t="str">
        <x:v>callorhinchidae</x:v>
      </x:c>
      <x:c r="O186" s="62" t="n">
        <x:v>3.5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Callorhinchidae</x:v>
      </x:c>
      <x:c r="T186" s="62" t="n">
        <x:f>IF(O186="","",(1/'Metadata'!$B$5)^(O186-1))</x:f>
        <x:v>1788.8543819998317</x:v>
      </x:c>
      <x:c r="U186" s="60" t="n">
        <x:f>IF(T186="","",I186*T186)</x:f>
        <x:v>660.8576807455931</x:v>
      </x:c>
    </x:row>
    <x:row r="187" ht="18" customHeight="1">
      <x:c r="A187" s="46" t="str">
        <x:v>LME_046</x:v>
      </x:c>
      <x:c r="B187" s="46" t="str">
        <x:v>New Zealand Shelf</x:v>
      </x:c>
      <x:c r="C187" s="46" t="str">
        <x:v>LME</x:v>
      </x:c>
      <x:c r="D187" s="58" t="n">
        <x:v>2019</x:v>
      </x:c>
      <x:c r="E187" s="46" t="str">
        <x:v>Istiompax indica</x:v>
      </x:c>
      <x:c r="F187" s="46" t="str">
        <x:v>Black marlin</x:v>
      </x:c>
      <x:c r="G187" s="46" t="str">
        <x:v>Large pelagics (&gt;=90 cm)</x:v>
      </x:c>
      <x:c r="H187" s="46" t="str">
        <x:v>Tuna &amp; billfishes</x:v>
      </x:c>
      <x:c r="I187" s="60" t="n">
        <x:v>0.3382757105</x:v>
      </x:c>
      <x:c r="J187" s="60" t="n">
        <x:v>0.3382757105</x:v>
      </x:c>
      <x:c r="K187" s="60" t="n">
        <x:v>0</x:v>
      </x:c>
      <x:c r="L187" s="60" t="n">
        <x:v>0.3382757105</x:v>
      </x:c>
      <x:c r="M187" s="60" t="n">
        <x:v>0</x:v>
      </x:c>
      <x:c r="N187" s="46" t="str">
        <x:v>istiompax indica</x:v>
      </x:c>
      <x:c r="O187" s="62" t="n">
        <x:v>4.5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Istiompax indica</x:v>
      </x:c>
      <x:c r="T187" s="62" t="n">
        <x:f>IF(O187="","",(1/'Metadata'!$B$5)^(O187-1))</x:f>
        <x:v>35777.08763999664</x:v>
      </x:c>
      <x:c r="U187" s="60" t="n">
        <x:f>IF(T187="","",I187*T187)</x:f>
        <x:v>12102.51974104063</x:v>
      </x:c>
    </x:row>
    <x:row r="188" ht="18" customHeight="1">
      <x:c r="A188" s="46" t="str">
        <x:v>LME_046</x:v>
      </x:c>
      <x:c r="B188" s="46" t="str">
        <x:v>New Zealand Shelf</x:v>
      </x:c>
      <x:c r="C188" s="46" t="str">
        <x:v>LME</x:v>
      </x:c>
      <x:c r="D188" s="58" t="n">
        <x:v>2019</x:v>
      </x:c>
      <x:c r="E188" s="46" t="str">
        <x:v>Mollusca</x:v>
      </x:c>
      <x:c r="F188" s="46" t="str">
        <x:v>Clams, seasnails, squids, octopuses</x:v>
      </x:c>
      <x:c r="G188" s="46" t="str">
        <x:v>Other demersal invertebrates</x:v>
      </x:c>
      <x:c r="H188" s="46" t="str">
        <x:v>Molluscs</x:v>
      </x:c>
      <x:c r="I188" s="60" t="n">
        <x:v>0.29545039170000004</x:v>
      </x:c>
      <x:c r="J188" s="60" t="n">
        <x:v>0</x:v>
      </x:c>
      <x:c r="K188" s="60" t="n">
        <x:v>0.29545039170000004</x:v>
      </x:c>
      <x:c r="L188" s="60" t="n">
        <x:v>0</x:v>
      </x:c>
      <x:c r="M188" s="60" t="n">
        <x:v>0.29545039170000004</x:v>
      </x:c>
      <x:c r="N188" s="46" t="str">
        <x:v>mollusca</x:v>
      </x:c>
      <x:c r="O188" s="62" t="n">
        <x:v>2.1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Mollusca</x:v>
      </x:c>
      <x:c r="T188" s="62" t="n">
        <x:f>IF(O188="","",(1/'Metadata'!$B$5)^(O188-1))</x:f>
        <x:v>26.985656953471274</x:v>
      </x:c>
      <x:c r="U188" s="60" t="n">
        <x:f>IF(T188="","",I188*T188)</x:f>
        <x:v>7.972922917184918</x:v>
      </x:c>
    </x:row>
    <x:row r="189" ht="18" customHeight="1">
      <x:c r="A189" s="46" t="str">
        <x:v>LME_046</x:v>
      </x:c>
      <x:c r="B189" s="46" t="str">
        <x:v>New Zealand Shelf</x:v>
      </x:c>
      <x:c r="C189" s="46" t="str">
        <x:v>LME</x:v>
      </x:c>
      <x:c r="D189" s="58" t="n">
        <x:v>2019</x:v>
      </x:c>
      <x:c r="E189" s="46" t="str">
        <x:v>Sphyrna</x:v>
      </x:c>
      <x:c r="F189" s="46" t="str">
        <x:v>Hammerhead sharks</x:v>
      </x:c>
      <x:c r="G189" s="46" t="str">
        <x:v>Large sharks (&gt;=90 cm)</x:v>
      </x:c>
      <x:c r="H189" s="46" t="str">
        <x:v>Sharks &amp; rays</x:v>
      </x:c>
      <x:c r="I189" s="60" t="n">
        <x:v>0.2746111078</x:v>
      </x:c>
      <x:c r="J189" s="60" t="n">
        <x:v>0.2746111078</x:v>
      </x:c>
      <x:c r="K189" s="60" t="n">
        <x:v>0</x:v>
      </x:c>
      <x:c r="L189" s="60" t="n">
        <x:v>0.2746111078</x:v>
      </x:c>
      <x:c r="M189" s="60" t="n">
        <x:v>0</x:v>
      </x:c>
      <x:c r="N189" s="46" t="str">
        <x:v>sphyrna</x:v>
      </x:c>
      <x:c r="O189" s="62" t="n">
        <x:v>4.2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Sphyrna</x:v>
      </x:c>
      <x:c r="T189" s="62" t="n">
        <x:f>IF(O189="","",(1/'Metadata'!$B$5)^(O189-1))</x:f>
        <x:v>14564.51362420865</x:v>
      </x:c>
      <x:c r="U189" s="60" t="n">
        <x:f>IF(T189="","",I189*T189)</x:f>
        <x:v>3999.57722091213</x:v>
      </x:c>
    </x:row>
    <x:row r="190" ht="18" customHeight="1">
      <x:c r="A190" s="46" t="str">
        <x:v>LME_046</x:v>
      </x:c>
      <x:c r="B190" s="46" t="str">
        <x:v>New Zealand Shelf</x:v>
      </x:c>
      <x:c r="C190" s="46" t="str">
        <x:v>LME</x:v>
      </x:c>
      <x:c r="D190" s="58" t="n">
        <x:v>2019</x:v>
      </x:c>
      <x:c r="E190" s="46" t="str">
        <x:v>Batoidea</x:v>
      </x:c>
      <x:c r="F190" s="46" t="str">
        <x:v>Batoids, skates, rays, sawfishes</x:v>
      </x:c>
      <x:c r="G190" s="46" t="str">
        <x:v>Large rays (&gt;=90 cm)</x:v>
      </x:c>
      <x:c r="H190" s="46" t="str">
        <x:v>Sharks &amp; rays</x:v>
      </x:c>
      <x:c r="I190" s="60" t="n">
        <x:v>0.2626154282</x:v>
      </x:c>
      <x:c r="J190" s="60" t="n">
        <x:v>0</x:v>
      </x:c>
      <x:c r="K190" s="60" t="n">
        <x:v>0.2626154282</x:v>
      </x:c>
      <x:c r="L190" s="60" t="n">
        <x:v>0</x:v>
      </x:c>
      <x:c r="M190" s="60" t="n">
        <x:v>0.2626154282</x:v>
      </x:c>
      <x:c r="N190" s="46" t="str">
        <x:v>batoidea</x:v>
      </x:c>
      <x:c r="O190" s="62" t="n">
        <x:v>3.72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Batoidea</x:v>
      </x:c>
      <x:c r="T190" s="62" t="n">
        <x:f>IF(O190="","",(1/'Metadata'!$B$5)^(O190-1))</x:f>
        <x:v>3457.8136804537753</x:v>
      </x:c>
      <x:c r="U190" s="60" t="n">
        <x:f>IF(T190="","",I190*T190)</x:f>
        <x:v>908.0752203281862</x:v>
      </x:c>
    </x:row>
    <x:row r="191" ht="18" customHeight="1">
      <x:c r="A191" s="46" t="str">
        <x:v>LME_046</x:v>
      </x:c>
      <x:c r="B191" s="46" t="str">
        <x:v>New Zealand Shelf</x:v>
      </x:c>
      <x:c r="C191" s="46" t="str">
        <x:v>LME</x:v>
      </x:c>
      <x:c r="D191" s="58" t="n">
        <x:v>2019</x:v>
      </x:c>
      <x:c r="E191" s="46" t="str">
        <x:v>Dendrobranchiata</x:v>
      </x:c>
      <x:c r="F191" s="46" t="str">
        <x:v>Shrimps and prawns</x:v>
      </x:c>
      <x:c r="G191" s="46" t="str">
        <x:v>Shrimps</x:v>
      </x:c>
      <x:c r="H191" s="46" t="str">
        <x:v>Crustaceans</x:v>
      </x:c>
      <x:c r="I191" s="60" t="n">
        <x:v>0.23636481780000002</x:v>
      </x:c>
      <x:c r="J191" s="60" t="n">
        <x:v>0</x:v>
      </x:c>
      <x:c r="K191" s="60" t="n">
        <x:v>0.23636481780000002</x:v>
      </x:c>
      <x:c r="L191" s="60" t="n">
        <x:v>0</x:v>
      </x:c>
      <x:c r="M191" s="60" t="n">
        <x:v>0.23636481780000002</x:v>
      </x:c>
      <x:c r="N191" s="46" t="str">
        <x:v>dendrobranchiata</x:v>
      </x:c>
      <x:c r="O191" s="62" t="n">
        <x:v>3.24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Dendrobranchiata</x:v>
      </x:c>
      <x:c r="T191" s="62" t="n">
        <x:f>IF(O191="","",(1/'Metadata'!$B$5)^(O191-1))</x:f>
        <x:v>820.9320103116679</x:v>
      </x:c>
      <x:c r="U191" s="60" t="n">
        <x:f>IF(T191="","",I191*T191)</x:f>
        <x:v>194.0394450435051</x:v>
      </x:c>
    </x:row>
    <x:row r="192" ht="18" customHeight="1">
      <x:c r="A192" s="46" t="str">
        <x:v>LME_046</x:v>
      </x:c>
      <x:c r="B192" s="46" t="str">
        <x:v>New Zealand Shelf</x:v>
      </x:c>
      <x:c r="C192" s="46" t="str">
        <x:v>LME</x:v>
      </x:c>
      <x:c r="D192" s="58" t="n">
        <x:v>2019</x:v>
      </x:c>
      <x:c r="E192" s="46" t="str">
        <x:v>Haliporoides sibogae</x:v>
      </x:c>
      <x:c r="F192" s="46" t="str">
        <x:v>Jackknife shrimp</x:v>
      </x:c>
      <x:c r="G192" s="46" t="str">
        <x:v>Shrimps</x:v>
      </x:c>
      <x:c r="H192" s="46" t="str">
        <x:v>Crustaceans</x:v>
      </x:c>
      <x:c r="I192" s="60" t="n">
        <x:v>0.2348220823</x:v>
      </x:c>
      <x:c r="J192" s="60" t="n">
        <x:v>0.2348220823</x:v>
      </x:c>
      <x:c r="K192" s="60" t="n">
        <x:v>0</x:v>
      </x:c>
      <x:c r="L192" s="60" t="n">
        <x:v>0.2348220823</x:v>
      </x:c>
      <x:c r="M192" s="60" t="n">
        <x:v>0</x:v>
      </x:c>
      <x:c r="N192" s="46" t="str">
        <x:v>haliporoides sibogae</x:v>
      </x:c>
      <x:c r="O192" s="62" t="n">
        <x:v>3.65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Haliporoides sibogae</x:v>
      </x:c>
      <x:c r="T192" s="62" t="n">
        <x:f>IF(O192="","",(1/'Metadata'!$B$5)^(O192-1))</x:f>
        <x:v>2803.6867455443476</x:v>
      </x:c>
      <x:c r="U192" s="60" t="n">
        <x:f>IF(T192="","",I192*T192)</x:f>
        <x:v>658.367559705634</x:v>
      </x:c>
    </x:row>
    <x:row r="193" ht="18" customHeight="1">
      <x:c r="A193" s="46" t="str">
        <x:v>LME_046</x:v>
      </x:c>
      <x:c r="B193" s="46" t="str">
        <x:v>New Zealand Shelf</x:v>
      </x:c>
      <x:c r="C193" s="46" t="str">
        <x:v>LME</x:v>
      </x:c>
      <x:c r="D193" s="58" t="n">
        <x:v>2019</x:v>
      </x:c>
      <x:c r="E193" s="46" t="str">
        <x:v>Carcharhinus longimanus</x:v>
      </x:c>
      <x:c r="F193" s="46" t="str">
        <x:v>Oceanic whitetip shark</x:v>
      </x:c>
      <x:c r="G193" s="46" t="str">
        <x:v>Large sharks (&gt;=90 cm)</x:v>
      </x:c>
      <x:c r="H193" s="46" t="str">
        <x:v>Sharks &amp; rays</x:v>
      </x:c>
      <x:c r="I193" s="60" t="n">
        <x:v>0.2077365355</x:v>
      </x:c>
      <x:c r="J193" s="60" t="n">
        <x:v>0.0002282829</x:v>
      </x:c>
      <x:c r="K193" s="60" t="n">
        <x:v>0.2075082526</x:v>
      </x:c>
      <x:c r="L193" s="60" t="n">
        <x:v>0.0002282829</x:v>
      </x:c>
      <x:c r="M193" s="60" t="n">
        <x:v>0.2075082526</x:v>
      </x:c>
      <x:c r="N193" s="46" t="str">
        <x:v>carcharhinus longimanus</x:v>
      </x:c>
      <x:c r="O193" s="62" t="n">
        <x:v>4.16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Carcharhinus longimanus</x:v>
      </x:c>
      <x:c r="T193" s="62" t="n">
        <x:f>IF(O193="","",(1/'Metadata'!$B$5)^(O193-1))</x:f>
        <x:v>12919.77011769987</x:v>
      </x:c>
      <x:c r="U193" s="60" t="n">
        <x:f>IF(T193="","",I193*T193)</x:f>
        <x:v>2683.9082837073984</x:v>
      </x:c>
    </x:row>
    <x:row r="194" ht="18" customHeight="1">
      <x:c r="A194" s="46" t="str">
        <x:v>LME_046</x:v>
      </x:c>
      <x:c r="B194" s="46" t="str">
        <x:v>New Zealand Shelf</x:v>
      </x:c>
      <x:c r="C194" s="46" t="str">
        <x:v>LME</x:v>
      </x:c>
      <x:c r="D194" s="58" t="n">
        <x:v>2019</x:v>
      </x:c>
      <x:c r="E194" s="46" t="str">
        <x:v>Sphyrnidae</x:v>
      </x:c>
      <x:c r="F194" s="46" t="str">
        <x:v>Hammer, bonnet, scoophead sharks</x:v>
      </x:c>
      <x:c r="G194" s="46" t="str">
        <x:v>Large sharks (&gt;=90 cm)</x:v>
      </x:c>
      <x:c r="H194" s="46" t="str">
        <x:v>Sharks &amp; rays</x:v>
      </x:c>
      <x:c r="I194" s="60" t="n">
        <x:v>0.1126612572</x:v>
      </x:c>
      <x:c r="J194" s="60" t="n">
        <x:v>0</x:v>
      </x:c>
      <x:c r="K194" s="60" t="n">
        <x:v>0.1126612572</x:v>
      </x:c>
      <x:c r="L194" s="60" t="n">
        <x:v>0</x:v>
      </x:c>
      <x:c r="M194" s="60" t="n">
        <x:v>0.1126612572</x:v>
      </x:c>
      <x:c r="N194" s="46" t="str">
        <x:v>sphyrnidae</x:v>
      </x:c>
      <x:c r="O194" s="62" t="n">
        <x:v>4.19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Sphyrnidae</x:v>
      </x:c>
      <x:c r="T194" s="62" t="n">
        <x:f>IF(O194="","",(1/'Metadata'!$B$5)^(O194-1))</x:f>
        <x:v>14134.67041111498</x:v>
      </x:c>
      <x:c r="U194" s="60" t="n">
        <x:f>IF(T194="","",I194*T194)</x:f>
        <x:v>1592.4297386238545</x:v>
      </x:c>
    </x:row>
    <x:row r="195" ht="18" customHeight="1">
      <x:c r="A195" s="46" t="str">
        <x:v>LME_046</x:v>
      </x:c>
      <x:c r="B195" s="46" t="str">
        <x:v>New Zealand Shelf</x:v>
      </x:c>
      <x:c r="C195" s="46" t="str">
        <x:v>LME</x:v>
      </x:c>
      <x:c r="D195" s="58" t="n">
        <x:v>2019</x:v>
      </x:c>
      <x:c r="E195" s="46" t="str">
        <x:v>Pleuronectoidei</x:v>
      </x:c>
      <x:c r="F195" s="46" t="str">
        <x:v>Flounders, halibuts, soles, turbots</x:v>
      </x:c>
      <x:c r="G195" s="46" t="str">
        <x:v>Large flatfishes (&gt;=90 cm)</x:v>
      </x:c>
      <x:c r="H195" s="46" t="str">
        <x:v>Flatfishes</x:v>
      </x:c>
      <x:c r="I195" s="60" t="n">
        <x:v>0.0549131218</x:v>
      </x:c>
      <x:c r="J195" s="60" t="n">
        <x:v>0</x:v>
      </x:c>
      <x:c r="K195" s="60" t="n">
        <x:v>0.0549131218</x:v>
      </x:c>
      <x:c r="L195" s="60" t="n">
        <x:v>0</x:v>
      </x:c>
      <x:c r="M195" s="60" t="n">
        <x:v>0.0549131218</x:v>
      </x:c>
      <x:c r="N195" s="46" t="str">
        <x:v>pleuronectoidei</x:v>
      </x:c>
      <x:c r="O195" s="62" t="n">
        <x:v>3.4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Pleuronectoidei</x:v>
      </x:c>
      <x:c r="T195" s="62" t="n">
        <x:f>IF(O195="","",(1/'Metadata'!$B$5)^(O195-1))</x:f>
        <x:v>1325.7816069359944</x:v>
      </x:c>
      <x:c r="U195" s="60" t="n">
        <x:f>IF(T195="","",I195*T195)</x:f>
        <x:v>72.80280686187598</x:v>
      </x:c>
    </x:row>
    <x:row r="196" ht="18" customHeight="1">
      <x:c r="A196" s="46" t="str">
        <x:v>LME_046</x:v>
      </x:c>
      <x:c r="B196" s="46" t="str">
        <x:v>New Zealand Shelf</x:v>
      </x:c>
      <x:c r="C196" s="46" t="str">
        <x:v>LME</x:v>
      </x:c>
      <x:c r="D196" s="58" t="n">
        <x:v>2019</x:v>
      </x:c>
      <x:c r="E196" s="46" t="str">
        <x:v>Tripterophycis gilchristi</x:v>
      </x:c>
      <x:c r="F196" s="46" t="str">
        <x:v>Grenadier cod</x:v>
      </x:c>
      <x:c r="G196" s="46" t="str">
        <x:v>Medium benthopelagics (30 - 89 cm)</x:v>
      </x:c>
      <x:c r="H196" s="46" t="str">
        <x:v>Cod-likes</x:v>
      </x:c>
      <x:c r="I196" s="60" t="n">
        <x:v>0.0243357204</x:v>
      </x:c>
      <x:c r="J196" s="60" t="n">
        <x:v>0.0243357204</x:v>
      </x:c>
      <x:c r="K196" s="60" t="n">
        <x:v>0</x:v>
      </x:c>
      <x:c r="L196" s="60" t="n">
        <x:v>0.0219673467</x:v>
      </x:c>
      <x:c r="M196" s="60" t="n">
        <x:v>0.0023683737</x:v>
      </x:c>
      <x:c r="N196" s="46" t="str">
        <x:v>tripterophycis gilchristi</x:v>
      </x:c>
      <x:c r="O196" s="62" t="n">
        <x:v>3.03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Tripterophycis gilchristi</x:v>
      </x:c>
      <x:c r="T196" s="62" t="n">
        <x:f>IF(O196="","",(1/'Metadata'!$B$5)^(O196-1))</x:f>
        <x:v>437.6136814307771</x:v>
      </x:c>
      <x:c r="U196" s="60" t="n">
        <x:f>IF(T196="","",I196*T196)</x:f>
        <x:v>10.649644194514064</x:v>
      </x:c>
    </x:row>
    <x:row r="197" ht="18" customHeight="1">
      <x:c r="A197" s="46" t="str">
        <x:v>LME_046</x:v>
      </x:c>
      <x:c r="B197" s="46" t="str">
        <x:v>New Zealand Shelf</x:v>
      </x:c>
      <x:c r="C197" s="46" t="str">
        <x:v>LME</x:v>
      </x:c>
      <x:c r="D197" s="58" t="n">
        <x:v>2019</x:v>
      </x:c>
      <x:c r="E197" s="46" t="str">
        <x:v>Coryphaena</x:v>
      </x:c>
      <x:c r="F197" s="46" t="str">
        <x:v>Dolphinfishes</x:v>
      </x:c>
      <x:c r="G197" s="46" t="str">
        <x:v>Large pelagics (&gt;=90 cm)</x:v>
      </x:c>
      <x:c r="H197" s="46" t="str">
        <x:v>Perch-likes</x:v>
      </x:c>
      <x:c r="I197" s="60" t="n">
        <x:v>0.0206270148</x:v>
      </x:c>
      <x:c r="J197" s="60" t="n">
        <x:v>0</x:v>
      </x:c>
      <x:c r="K197" s="60" t="n">
        <x:v>0.0206270148</x:v>
      </x:c>
      <x:c r="L197" s="60" t="n">
        <x:v>0</x:v>
      </x:c>
      <x:c r="M197" s="60" t="n">
        <x:v>0.0206270148</x:v>
      </x:c>
      <x:c r="N197" s="46" t="str">
        <x:v>coryphaena</x:v>
      </x:c>
      <x:c r="O197" s="62" t="n">
        <x:v>4.49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Coryphaena</x:v>
      </x:c>
      <x:c r="T197" s="62" t="n">
        <x:f>IF(O197="","",(1/'Metadata'!$B$5)^(O197-1))</x:f>
        <x:v>34721.19667768202</x:v>
      </x:c>
      <x:c r="U197" s="60" t="n">
        <x:f>IF(T197="","",I197*T197)</x:f>
        <x:v>716.1946377442578</x:v>
      </x:c>
    </x:row>
    <x:row r="198" ht="18" customHeight="1">
      <x:c r="A198" s="46" t="str">
        <x:v>LME_046</x:v>
      </x:c>
      <x:c r="B198" s="46" t="str">
        <x:v>New Zealand Shelf</x:v>
      </x:c>
      <x:c r="C198" s="46" t="str">
        <x:v>LME</x:v>
      </x:c>
      <x:c r="D198" s="58" t="n">
        <x:v>2019</x:v>
      </x:c>
      <x:c r="E198" s="46" t="str">
        <x:v>Regalecus glesne</x:v>
      </x:c>
      <x:c r="F198" s="46" t="str">
        <x:v>King of herrings</x:v>
      </x:c>
      <x:c r="G198" s="46" t="str">
        <x:v>Large pelagics (&gt;=90 cm)</x:v>
      </x:c>
      <x:c r="H198" s="46" t="str">
        <x:v>Other fishes &amp; inverts</x:v>
      </x:c>
      <x:c r="I198" s="60" t="n">
        <x:v>0.018121031599999997</x:v>
      </x:c>
      <x:c r="J198" s="60" t="n">
        <x:v>0.018121031599999997</x:v>
      </x:c>
      <x:c r="K198" s="60" t="n">
        <x:v>0</x:v>
      </x:c>
      <x:c r="L198" s="60" t="n">
        <x:v>0.0164811756</x:v>
      </x:c>
      <x:c r="M198" s="60" t="n">
        <x:v>0.001639856</x:v>
      </x:c>
      <x:c r="N198" s="46" t="str">
        <x:v>regalecus glesne</x:v>
      </x:c>
      <x:c r="O198" s="62" t="n">
        <x:v>3.2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Regalecus glesne</x:v>
      </x:c>
      <x:c r="T198" s="62" t="n">
        <x:f>IF(O198="","",(1/'Metadata'!$B$5)^(O198-1))</x:f>
        <x:v>728.2256812104325</x:v>
      </x:c>
      <x:c r="U198" s="60" t="n">
        <x:f>IF(T198="","",I198*T198)</x:f>
        <x:v>13.196200581145773</x:v>
      </x:c>
    </x:row>
  </x:sheetData>
  <x:conditionalFormatting sqref="R2:R1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f9b1939fe3a46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14</x:v>
      </x:c>
      <x:c r="C2" s="64" t="n">
        <x:v>14</x:v>
      </x:c>
      <x:c r="D2" s="60" t="n">
        <x:v>178685.88119714794</x:v>
      </x:c>
      <x:c r="E2" s="60" t="n">
        <x:v>178685.88119714794</x:v>
      </x:c>
      <x:c r="F2" s="62" t="n">
        <x:v>0</x:v>
      </x:c>
      <x:c r="G2" s="66" t="n">
        <x:v>1</x:v>
      </x:c>
      <x:c r="H2" s="62" t="n">
        <x:f>IF(E2=0,"",I2/E2)</x:f>
        <x:v>33849.7667254387</x:v>
      </x:c>
      <x:c r="I2" s="60" t="n">
        <x:f>SUMIF('Species'!$H$2:$H$198,A2,'Species'!$U$2:$U$198)</x:f>
        <x:v>6048475395.65291</x:v>
      </x:c>
      <x:c r="J2" s="62" t="n">
        <x:v>4.431326458589486</x:v>
      </x:c>
      <x:c r="K2" s="62" t="n">
        <x:f>IF(J2="","",(1/'Metadata'!$B$5)^(J2-1))</x:f>
        <x:v>29124.511351496803</x:v>
      </x:c>
      <x:c r="L2" s="60" t="n">
        <x:f>IF(E2=0,"",E2*K2)</x:f>
        <x:v>5204138975.278544</x:v>
      </x:c>
      <x:c r="M2" s="60" t="n">
        <x:f>I2-L2</x:f>
        <x:v>844336420.3743658</x:v>
      </x:c>
      <x:c r="N2" s="62" t="n">
        <x:f>IF(L2=0,"",I2/L2)</x:f>
        <x:v>1.162243249918047</x:v>
      </x:c>
      <x:c r="O2" s="66" t="n">
        <x:f>IF(L2=0,"",M2/L2)</x:f>
        <x:v>0.16224324991804698</x:v>
      </x:c>
    </x:row>
    <x:row r="3" ht="18" customHeight="1">
      <x:c r="A3" s="46" t="str">
        <x:v>Crustaceans</x:v>
      </x:c>
      <x:c r="B3" s="64" t="n">
        <x:v>12</x:v>
      </x:c>
      <x:c r="C3" s="64" t="n">
        <x:v>12</x:v>
      </x:c>
      <x:c r="D3" s="60" t="n">
        <x:v>4940.7829048258</x:v>
      </x:c>
      <x:c r="E3" s="60" t="n">
        <x:v>4940.7829048258</x:v>
      </x:c>
      <x:c r="F3" s="62" t="n">
        <x:v>0</x:v>
      </x:c>
      <x:c r="G3" s="66" t="n">
        <x:v>1</x:v>
      </x:c>
      <x:c r="H3" s="62" t="n">
        <x:f>IF(E3=0,"",I3/E3)</x:f>
        <x:v>386.03734144052976</x:v>
      </x:c>
      <x:c r="I3" s="60" t="n">
        <x:f>SUMIF('Species'!$H$2:$H$198,A3,'Species'!$U$2:$U$198)</x:f>
        <x:v>1907326.69721377</x:v>
      </x:c>
      <x:c r="J3" s="62" t="n">
        <x:v>2.7333120575458705</x:v>
      </x:c>
      <x:c r="K3" s="62" t="n">
        <x:f>IF(J3="","",(1/'Metadata'!$B$5)^(J3-1))</x:f>
        <x:v>179.92477932870244</x:v>
      </x:c>
      <x:c r="L3" s="60" t="n">
        <x:f>IF(E3=0,"",E3*K3)</x:f>
        <x:v>888969.2738618075</x:v>
      </x:c>
      <x:c r="M3" s="60" t="n">
        <x:f>I3-L3</x:f>
        <x:v>1018357.4233519624</x:v>
      </x:c>
      <x:c r="N3" s="62" t="n">
        <x:f>IF(L3=0,"",I3/L3)</x:f>
        <x:v>2.1455485057746424</x:v>
      </x:c>
      <x:c r="O3" s="66" t="n">
        <x:f>IF(L3=0,"",M3/L3)</x:f>
        <x:v>1.1455485057746422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1744.1310341793</x:v>
      </x:c>
      <x:c r="E4" s="60" t="n">
        <x:v>1744.1310341793</x:v>
      </x:c>
      <x:c r="F4" s="62" t="n">
        <x:v>0</x:v>
      </x:c>
      <x:c r="G4" s="66" t="n">
        <x:v>1</x:v>
      </x:c>
      <x:c r="H4" s="62" t="n">
        <x:f>IF(E4=0,"",I4/E4)</x:f>
        <x:v>2249.540887417394</x:v>
      </x:c>
      <x:c r="I4" s="60" t="n">
        <x:f>SUMIF('Species'!$H$2:$H$198,A4,'Species'!$U$2:$U$198)</x:f>
        <x:v>3923494.07439992</x:v>
      </x:c>
      <x:c r="J4" s="62" t="n">
        <x:v>3.5747846248444746</x:v>
      </x:c>
      <x:c r="K4" s="62" t="n">
        <x:f>IF(J4="","",(1/'Metadata'!$B$5)^(J4-1))</x:f>
        <x:v>2238.061566493101</x:v>
      </x:c>
      <x:c r="L4" s="60" t="n">
        <x:f>IF(E4=0,"",E4*K4)</x:f>
        <x:v>3903472.634524557</x:v>
      </x:c>
      <x:c r="M4" s="60" t="n">
        <x:f>I4-L4</x:f>
        <x:v>20021.439875363372</x:v>
      </x:c>
      <x:c r="N4" s="62" t="n">
        <x:f>IF(L4=0,"",I4/L4)</x:f>
        <x:v>1.005129135451926</x:v>
      </x:c>
      <x:c r="O4" s="66" t="n">
        <x:f>IF(L4=0,"",M4/L4)</x:f>
        <x:v>0.005129135451926124</x:v>
      </x:c>
    </x:row>
    <x:row r="5" ht="18" customHeight="1">
      <x:c r="A5" s="46" t="str">
        <x:v>Herring-likes</x:v>
      </x:c>
      <x:c r="B5" s="64" t="n">
        <x:v>2</x:v>
      </x:c>
      <x:c r="C5" s="64" t="n">
        <x:v>2</x:v>
      </x:c>
      <x:c r="D5" s="60" t="n">
        <x:v>430.4141602298</x:v>
      </x:c>
      <x:c r="E5" s="60" t="n">
        <x:v>430.4141602298</x:v>
      </x:c>
      <x:c r="F5" s="62" t="n">
        <x:v>0</x:v>
      </x:c>
      <x:c r="G5" s="66" t="n">
        <x:v>1</x:v>
      </x:c>
      <x:c r="H5" s="62" t="n">
        <x:f>IF(E5=0,"",I5/E5)</x:f>
        <x:v>248.3428813106869</x:v>
      </x:c>
      <x:c r="I5" s="60" t="n">
        <x:f>SUMIF('Species'!$H$2:$H$198,A5,'Species'!$U$2:$U$198)</x:f>
        <x:v>106890.2927083882</x:v>
      </x:c>
      <x:c r="J5" s="62" t="n">
        <x:v>2.8405306116609315</x:v>
      </x:c>
      <x:c r="K5" s="62" t="n">
        <x:f>IF(J5="","",(1/'Metadata'!$B$5)^(J5-1))</x:f>
        <x:v>248.07644727784378</x:v>
      </x:c>
      <x:c r="L5" s="60" t="n">
        <x:f>IF(E5=0,"",E5*K5)</x:f>
        <x:v>106775.6157278854</x:v>
      </x:c>
      <x:c r="M5" s="60" t="n">
        <x:f>I5-L5</x:f>
        <x:v>114.6769805028016</x:v>
      </x:c>
      <x:c r="N5" s="62" t="n">
        <x:f>IF(L5=0,"",I5/L5)</x:f>
        <x:v>1.0010739997116482</x:v>
      </x:c>
      <x:c r="O5" s="66" t="n">
        <x:f>IF(L5=0,"",M5/L5)</x:f>
        <x:v>0.0010739997116481408</x:v>
      </x:c>
    </x:row>
    <x:row r="6" ht="18" customHeight="1">
      <x:c r="A6" s="46" t="str">
        <x:v>Molluscs</x:v>
      </x:c>
      <x:c r="B6" s="64" t="n">
        <x:v>13</x:v>
      </x:c>
      <x:c r="C6" s="64" t="n">
        <x:v>13</x:v>
      </x:c>
      <x:c r="D6" s="60" t="n">
        <x:v>4651.5542577126</x:v>
      </x:c>
      <x:c r="E6" s="60" t="n">
        <x:v>4651.5542577126</x:v>
      </x:c>
      <x:c r="F6" s="62" t="n">
        <x:v>0</x:v>
      </x:c>
      <x:c r="G6" s="66" t="n">
        <x:v>1</x:v>
      </x:c>
      <x:c r="H6" s="62" t="n">
        <x:f>IF(E6=0,"",I6/E6)</x:f>
        <x:v>27.447182243528463</x:v>
      </x:c>
      <x:c r="I6" s="60" t="n">
        <x:f>SUMIF('Species'!$H$2:$H$198,A6,'Species'!$U$2:$U$198)</x:f>
        <x:v>127672.0574270985</x:v>
      </x:c>
      <x:c r="J6" s="62" t="n">
        <x:v>2.0837896634611974</x:v>
      </x:c>
      <x:c r="K6" s="62" t="n">
        <x:f>IF(J6="","",(1/'Metadata'!$B$5)^(J6-1))</x:f>
        <x:v>25.706494713825244</x:v>
      </x:c>
      <x:c r="L6" s="60" t="n">
        <x:f>IF(E6=0,"",E6*K6)</x:f>
        <x:v>119575.15493696026</x:v>
      </x:c>
      <x:c r="M6" s="60" t="n">
        <x:f>I6-L6</x:f>
        <x:v>8096.902490138236</x:v>
      </x:c>
      <x:c r="N6" s="62" t="n">
        <x:f>IF(L6=0,"",I6/L6)</x:f>
        <x:v>1.0677139201233476</x:v>
      </x:c>
      <x:c r="O6" s="66" t="n">
        <x:f>IF(L6=0,"",M6/L6)</x:f>
        <x:v>0.06771392012334757</x:v>
      </x:c>
    </x:row>
    <x:row r="7" ht="18" customHeight="1">
      <x:c r="A7" s="46" t="str">
        <x:v>Other fishes &amp; inverts</x:v>
      </x:c>
      <x:c r="B7" s="64" t="n">
        <x:v>41</x:v>
      </x:c>
      <x:c r="C7" s="64" t="n">
        <x:v>41</x:v>
      </x:c>
      <x:c r="D7" s="60" t="n">
        <x:v>68173.86640999098</x:v>
      </x:c>
      <x:c r="E7" s="60" t="n">
        <x:v>68173.86640999098</x:v>
      </x:c>
      <x:c r="F7" s="62" t="n">
        <x:v>0</x:v>
      </x:c>
      <x:c r="G7" s="66" t="n">
        <x:v>1</x:v>
      </x:c>
      <x:c r="H7" s="62" t="n">
        <x:f>IF(E7=0,"",I7/E7)</x:f>
        <x:v>7621.596543610066</x:v>
      </x:c>
      <x:c r="I7" s="60" t="n">
        <x:f>SUMIF('Species'!$H$2:$H$198,A7,'Species'!$U$2:$U$198)</x:f>
        <x:v>519593704.59492165</x:v>
      </x:c>
      <x:c r="J7" s="62" t="n">
        <x:v>3.6740758984782547</x:v>
      </x:c>
      <x:c r="K7" s="62" t="n">
        <x:f>IF(J7="","",(1/'Metadata'!$B$5)^(J7-1))</x:f>
        <x:v>3013.3734298754903</x:v>
      </x:c>
      <x:c r="L7" s="60" t="n">
        <x:f>IF(E7=0,"",E7*K7)</x:f>
        <x:v>205433317.651748</x:v>
      </x:c>
      <x:c r="M7" s="60" t="n">
        <x:f>I7-L7</x:f>
        <x:v>314160386.94317365</x:v>
      </x:c>
      <x:c r="N7" s="62" t="n">
        <x:f>IF(L7=0,"",I7/L7)</x:f>
        <x:v>2.5292572331219443</x:v>
      </x:c>
      <x:c r="O7" s="66" t="n">
        <x:f>IF(L7=0,"",M7/L7)</x:f>
        <x:v>1.5292572331219443</x:v>
      </x:c>
    </x:row>
    <x:row r="8" ht="18" customHeight="1">
      <x:c r="A8" s="46" t="str">
        <x:v>Perch-likes</x:v>
      </x:c>
      <x:c r="B8" s="64" t="n">
        <x:v>54</x:v>
      </x:c>
      <x:c r="C8" s="64" t="n">
        <x:v>54</x:v>
      </x:c>
      <x:c r="D8" s="60" t="n">
        <x:v>135109.09544216798</x:v>
      </x:c>
      <x:c r="E8" s="60" t="n">
        <x:v>135109.09544216798</x:v>
      </x:c>
      <x:c r="F8" s="62" t="n">
        <x:v>0</x:v>
      </x:c>
      <x:c r="G8" s="66" t="n">
        <x:v>1</x:v>
      </x:c>
      <x:c r="H8" s="62" t="n">
        <x:f>IF(E8=0,"",I8/E8)</x:f>
        <x:v>3981.1299168906703</x:v>
      </x:c>
      <x:c r="I8" s="60" t="n">
        <x:f>SUMIF('Species'!$H$2:$H$198,A8,'Species'!$U$2:$U$198)</x:f>
        <x:v>537886861.9088519</x:v>
      </x:c>
      <x:c r="J8" s="62" t="n">
        <x:v>3.6702864170866945</x:v>
      </x:c>
      <x:c r="K8" s="62" t="n">
        <x:f>IF(J8="","",(1/'Metadata'!$B$5)^(J8-1))</x:f>
        <x:v>2979.3582361181384</x:v>
      </x:c>
      <x:c r="L8" s="60" t="n">
        <x:f>IF(E8=0,"",E8*K8)</x:f>
        <x:v>402538396.2800948</x:v>
      </x:c>
      <x:c r="M8" s="60" t="n">
        <x:f>I8-L8</x:f>
        <x:v>135348465.62875706</x:v>
      </x:c>
      <x:c r="N8" s="62" t="n">
        <x:f>IF(L8=0,"",I8/L8)</x:f>
        <x:v>1.3362374046290448</x:v>
      </x:c>
      <x:c r="O8" s="66" t="n">
        <x:f>IF(L8=0,"",M8/L8)</x:f>
        <x:v>0.3362374046290449</x:v>
      </x:c>
    </x:row>
    <x:row r="9" ht="18" customHeight="1">
      <x:c r="A9" s="46" t="str">
        <x:v>Salmon, smelts, etc</x:v>
      </x:c>
      <x:c r="B9" s="64" t="n">
        <x:v>1</x:v>
      </x:c>
      <x:c r="C9" s="64" t="n">
        <x:v>1</x:v>
      </x:c>
      <x:c r="D9" s="60" t="n">
        <x:v>53.5137165605</x:v>
      </x:c>
      <x:c r="E9" s="60" t="n">
        <x:v>53.5137165605</x:v>
      </x:c>
      <x:c r="F9" s="62" t="n">
        <x:v>0</x:v>
      </x:c>
      <x:c r="G9" s="66" t="n">
        <x:v>1</x:v>
      </x:c>
      <x:c r="H9" s="62" t="n">
        <x:f>IF(E9=0,"",I9/E9)</x:f>
        <x:v>1325.7816069359944</x:v>
      </x:c>
      <x:c r="I9" s="60" t="n">
        <x:f>SUMIF('Species'!$H$2:$H$198,A9,'Species'!$U$2:$U$198)</x:f>
        <x:v>70947.50113469703</x:v>
      </x:c>
      <x:c r="J9" s="62" t="n">
        <x:v>3.4</x:v>
      </x:c>
      <x:c r="K9" s="62" t="n">
        <x:f>IF(J9="","",(1/'Metadata'!$B$5)^(J9-1))</x:f>
        <x:v>1325.7816069359944</x:v>
      </x:c>
      <x:c r="L9" s="60" t="n">
        <x:f>IF(E9=0,"",E9*K9)</x:f>
        <x:v>70947.50113469703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Scorpionfishes</x:v>
      </x:c>
      <x:c r="B10" s="64" t="n">
        <x:v>4</x:v>
      </x:c>
      <x:c r="C10" s="64" t="n">
        <x:v>4</x:v>
      </x:c>
      <x:c r="D10" s="60" t="n">
        <x:v>4646.585393527099</x:v>
      </x:c>
      <x:c r="E10" s="60" t="n">
        <x:v>4646.585393527099</x:v>
      </x:c>
      <x:c r="F10" s="62" t="n">
        <x:v>0</x:v>
      </x:c>
      <x:c r="G10" s="66" t="n">
        <x:v>1</x:v>
      </x:c>
      <x:c r="H10" s="62" t="n">
        <x:f>IF(E10=0,"",I10/E10)</x:f>
        <x:v>3056.2172277384675</x:v>
      </x:c>
      <x:c r="I10" s="60" t="n">
        <x:f>SUMIF('Species'!$H$2:$H$198,A10,'Species'!$U$2:$U$198)</x:f>
        <x:v>14200974.329855446</x:v>
      </x:c>
      <x:c r="J10" s="62" t="n">
        <x:v>3.678091057377281</x:v>
      </x:c>
      <x:c r="K10" s="62" t="n">
        <x:f>IF(J10="","",(1/'Metadata'!$B$5)^(J10-1))</x:f>
        <x:v>3049.8381789179375</x:v>
      </x:c>
      <x:c r="L10" s="60" t="n">
        <x:f>IF(E10=0,"",E10*K10)</x:f>
        <x:v>14171333.534781376</x:v>
      </x:c>
      <x:c r="M10" s="60" t="n">
        <x:f>I10-L10</x:f>
        <x:v>29640.795074069872</x:v>
      </x:c>
      <x:c r="N10" s="62" t="n">
        <x:f>IF(L10=0,"",I10/L10)</x:f>
        <x:v>1.002091602388817</x:v>
      </x:c>
      <x:c r="O10" s="66" t="n">
        <x:f>IF(L10=0,"",M10/L10)</x:f>
        <x:v>0.002091602388816907</x:v>
      </x:c>
    </x:row>
    <x:row r="11" ht="18" customHeight="1">
      <x:c r="A11" s="46" t="str">
        <x:v>Sharks &amp; rays</x:v>
      </x:c>
      <x:c r="B11" s="64" t="n">
        <x:v>41</x:v>
      </x:c>
      <x:c r="C11" s="64" t="n">
        <x:v>41</x:v>
      </x:c>
      <x:c r="D11" s="60" t="n">
        <x:v>25831.5340325295</x:v>
      </x:c>
      <x:c r="E11" s="60" t="n">
        <x:v>25831.5340325295</x:v>
      </x:c>
      <x:c r="F11" s="62" t="n">
        <x:v>0</x:v>
      </x:c>
      <x:c r="G11" s="66" t="n">
        <x:v>1</x:v>
      </x:c>
      <x:c r="H11" s="62" t="n">
        <x:f>IF(E11=0,"",I11/E11)</x:f>
        <x:v>14212.051781490085</x:v>
      </x:c>
      <x:c r="I11" s="60" t="n">
        <x:f>SUMIF('Species'!$H$2:$H$198,A11,'Species'!$U$2:$U$198)</x:f>
        <x:v>367119099.2656326</x:v>
      </x:c>
      <x:c r="J11" s="62" t="n">
        <x:v>4.0545931631543155</x:v>
      </x:c>
      <x:c r="K11" s="62" t="n">
        <x:f>IF(J11="","",(1/'Metadata'!$B$5)^(J11-1))</x:f>
        <x:v>9421.440935635348</x:v>
      </x:c>
      <x:c r="L11" s="60" t="n">
        <x:f>IF(E11=0,"",E11*K11)</x:f>
        <x:v>243370272.16433108</x:v>
      </x:c>
      <x:c r="M11" s="60" t="n">
        <x:f>I11-L11</x:f>
        <x:v>123748827.10130155</x:v>
      </x:c>
      <x:c r="N11" s="62" t="n">
        <x:f>IF(L11=0,"",I11/L11)</x:f>
        <x:v>1.5084796347589344</x:v>
      </x:c>
      <x:c r="O11" s="66" t="n">
        <x:f>IF(L11=0,"",M11/L11)</x:f>
        <x:v>0.5084796347589345</x:v>
      </x:c>
    </x:row>
    <x:row r="12" ht="18" customHeight="1">
      <x:c r="A12" s="46" t="str">
        <x:v>Tuna &amp; billfishes</x:v>
      </x:c>
      <x:c r="B12" s="64" t="n">
        <x:v>12</x:v>
      </x:c>
      <x:c r="C12" s="64" t="n">
        <x:v>12</x:v>
      </x:c>
      <x:c r="D12" s="60" t="n">
        <x:v>6860.4186178615</x:v>
      </x:c>
      <x:c r="E12" s="60" t="n">
        <x:v>6860.4186178615</x:v>
      </x:c>
      <x:c r="F12" s="62" t="n">
        <x:v>0</x:v>
      </x:c>
      <x:c r="G12" s="66" t="n">
        <x:v>1</x:v>
      </x:c>
      <x:c r="H12" s="62" t="n">
        <x:f>IF(E12=0,"",I12/E12)</x:f>
        <x:v>25517.419591931386</x:v>
      </x:c>
      <x:c r="I12" s="60" t="n">
        <x:f>SUMIF('Species'!$H$2:$H$198,A12,'Species'!$U$2:$U$198)</x:f>
        <x:v>175060180.44826987</x:v>
      </x:c>
      <x:c r="J12" s="62" t="n">
        <x:v>4.357214532525149</x:v>
      </x:c>
      <x:c r="K12" s="62" t="n">
        <x:f>IF(J12="","",(1/'Metadata'!$B$5)^(J12-1))</x:f>
        <x:v>23325.814024387753</x:v>
      </x:c>
      <x:c r="L12" s="60" t="n">
        <x:f>IF(E12=0,"",E12*K12)</x:f>
        <x:v>160024848.80968463</x:v>
      </x:c>
      <x:c r="M12" s="60" t="n">
        <x:f>I12-L12</x:f>
        <x:v>15035331.63858524</x:v>
      </x:c>
      <x:c r="N12" s="62" t="n">
        <x:f>IF(L12=0,"",I12/L12)</x:f>
        <x:v>1.0939562308630364</x:v>
      </x:c>
      <x:c r="O12" s="66" t="n">
        <x:f>IF(L12=0,"",M12/L12)</x:f>
        <x:v>0.09395623086303649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af674a189134a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</x:v>
      </x:c>
      <x:c r="C2" s="64" t="n">
        <x:v>2</x:v>
      </x:c>
      <x:c r="D2" s="60" t="n">
        <x:v>532.5148929106001</x:v>
      </x:c>
      <x:c r="E2" s="60" t="n">
        <x:v>532.5148929106001</x:v>
      </x:c>
      <x:c r="F2" s="62" t="n">
        <x:v>0</x:v>
      </x:c>
      <x:c r="G2" s="66" t="n">
        <x:v>1</x:v>
      </x:c>
      <x:c r="H2" s="62" t="n">
        <x:f>IF(E2=0,"",I2/E2)</x:f>
        <x:v>10968.345272077186</x:v>
      </x:c>
      <x:c r="I2" s="60" t="n">
        <x:f>SUMIF('Species'!$G$2:$G$198,A2,'Species'!$U$2:$U$198)</x:f>
        <x:v>5840807.207966669</x:v>
      </x:c>
      <x:c r="J2" s="62" t="n">
        <x:v>4.104776650968852</x:v>
      </x:c>
      <x:c r="K2" s="62" t="n">
        <x:f>IF(J2="","",(1/'Metadata'!$B$5)^(J2-1))</x:f>
        <x:v>10949.834439875447</x:v>
      </x:c>
      <x:c r="L2" s="60" t="n">
        <x:f>IF(E2=0,"",E2*K2)</x:f>
        <x:v>5830949.914139074</x:v>
      </x:c>
      <x:c r="M2" s="60" t="n">
        <x:f>I2-L2</x:f>
        <x:v>9857.29382759519</x:v>
      </x:c>
      <x:c r="N2" s="62" t="n">
        <x:f>IF(L2=0,"",I2/L2)</x:f>
        <x:v>1.0016905125190139</x:v>
      </x:c>
      <x:c r="O2" s="66" t="n">
        <x:f>IF(L2=0,"",M2/L2)</x:f>
        <x:v>0.0016905125190139101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1.6065636322999999</x:v>
      </x:c>
      <x:c r="E3" s="60" t="n">
        <x:v>1.6065636322999999</x:v>
      </x:c>
      <x:c r="F3" s="62" t="n">
        <x:v>0</x:v>
      </x:c>
      <x:c r="G3" s="66" t="n">
        <x:v>1</x:v>
      </x:c>
      <x:c r="H3" s="62" t="n">
        <x:f>IF(E3=0,"",I3/E3)</x:f>
        <x:v>1586.8423749532274</x:v>
      </x:c>
      <x:c r="I3" s="60" t="n">
        <x:f>SUMIF('Species'!$G$2:$G$198,A3,'Species'!$U$2:$U$198)</x:f>
        <x:v>2549.3632497924154</x:v>
      </x:c>
      <x:c r="J3" s="62" t="n">
        <x:v>3.4599999999999995</x:v>
      </x:c>
      <x:c r="K3" s="62" t="n">
        <x:f>IF(J3="","",(1/'Metadata'!$B$5)^(J3-1))</x:f>
        <x:v>1586.8423749532255</x:v>
      </x:c>
      <x:c r="L3" s="60" t="n">
        <x:f>IF(E3=0,"",E3*K3)</x:f>
        <x:v>2549.3632497924123</x:v>
      </x:c>
      <x:c r="M3" s="60" t="n">
        <x:f>I3-L3</x:f>
        <x:v>3.183231456205249e-12</x:v>
      </x:c>
      <x:c r="N3" s="62" t="n">
        <x:f>IF(L3=0,"",I3/L3)</x:f>
        <x:v>1.0000000000000013</x:v>
      </x:c>
      <x:c r="O3" s="66" t="n">
        <x:f>IF(L3=0,"",M3/L3)</x:f>
        <x:v>1.2486378535755745e-15</x:v>
      </x:c>
    </x:row>
    <x:row r="4" ht="18" customHeight="1">
      <x:c r="A4" s="46" t="str">
        <x:v>Large bathydemersals (&gt;=90 cm)</x:v>
      </x:c>
      <x:c r="B4" s="64" t="n">
        <x:v>6</x:v>
      </x:c>
      <x:c r="C4" s="64" t="n">
        <x:v>6</x:v>
      </x:c>
      <x:c r="D4" s="60" t="n">
        <x:v>27982.702008064698</x:v>
      </x:c>
      <x:c r="E4" s="60" t="n">
        <x:v>27982.702008064698</x:v>
      </x:c>
      <x:c r="F4" s="62" t="n">
        <x:v>0</x:v>
      </x:c>
      <x:c r="G4" s="66" t="n">
        <x:v>1</x:v>
      </x:c>
      <x:c r="H4" s="62" t="n">
        <x:f>IF(E4=0,"",I4/E4)</x:f>
        <x:v>16906.274308004682</x:v>
      </x:c>
      <x:c r="I4" s="60" t="n">
        <x:f>SUMIF('Species'!$G$2:$G$198,A4,'Species'!$U$2:$U$198)</x:f>
        <x:v>473083236.0274952</x:v>
      </x:c>
      <x:c r="J4" s="62" t="n">
        <x:v>4.226712032330461</x:v>
      </x:c>
      <x:c r="K4" s="62" t="n">
        <x:f>IF(J4="","",(1/'Metadata'!$B$5)^(J4-1))</x:f>
        <x:v>15777.897901875556</x:v>
      </x:c>
      <x:c r="L4" s="60" t="n">
        <x:f>IF(E4=0,"",E4*K4)</x:f>
        <x:v>441508215.30185294</x:v>
      </x:c>
      <x:c r="M4" s="60" t="n">
        <x:f>I4-L4</x:f>
        <x:v>31575020.725642264</x:v>
      </x:c>
      <x:c r="N4" s="62" t="n">
        <x:f>IF(L4=0,"",I4/L4)</x:f>
        <x:v>1.0715162699839116</x:v>
      </x:c>
      <x:c r="O4" s="66" t="n">
        <x:f>IF(L4=0,"",M4/L4)</x:f>
        <x:v>0.07151626998391156</x:v>
      </x:c>
    </x:row>
    <x:row r="5" ht="18" customHeight="1">
      <x:c r="A5" s="46" t="str">
        <x:v>Large bathypelagics (&gt;=90 cm)</x:v>
      </x:c>
      <x:c r="B5" s="64" t="n">
        <x:v>4</x:v>
      </x:c>
      <x:c r="C5" s="64" t="n">
        <x:v>4</x:v>
      </x:c>
      <x:c r="D5" s="60" t="n">
        <x:v>83.5254957609</x:v>
      </x:c>
      <x:c r="E5" s="60" t="n">
        <x:v>83.5254957609</x:v>
      </x:c>
      <x:c r="F5" s="62" t="n">
        <x:v>0</x:v>
      </x:c>
      <x:c r="G5" s="66" t="n">
        <x:v>1</x:v>
      </x:c>
      <x:c r="H5" s="62" t="n">
        <x:f>IF(E5=0,"",I5/E5)</x:f>
        <x:v>14209.109323067169</x:v>
      </x:c>
      <x:c r="I5" s="60" t="n">
        <x:f>SUMIF('Species'!$G$2:$G$198,A5,'Species'!$U$2:$U$198)</x:f>
        <x:v>1186822.9005300114</x:v>
      </x:c>
      <x:c r="J5" s="62" t="n">
        <x:v>4.120428431975148</x:v>
      </x:c>
      <x:c r="K5" s="62" t="n">
        <x:f>IF(J5="","",(1/'Metadata'!$B$5)^(J5-1))</x:f>
        <x:v>11475.483406659368</x:v>
      </x:c>
      <x:c r="L5" s="60" t="n">
        <x:f>IF(E5=0,"",E5*K5)</x:f>
        <x:v>958495.4406372054</x:v>
      </x:c>
      <x:c r="M5" s="60" t="n">
        <x:f>I5-L5</x:f>
        <x:v>228327.45989280601</x:v>
      </x:c>
      <x:c r="N5" s="62" t="n">
        <x:f>IF(L5=0,"",I5/L5)</x:f>
        <x:v>1.2382144454865789</x:v>
      </x:c>
      <x:c r="O5" s="66" t="n">
        <x:f>IF(L5=0,"",M5/L5)</x:f>
        <x:v>0.23821444548657894</x:v>
      </x:c>
    </x:row>
    <x:row r="6" ht="18" customHeight="1">
      <x:c r="A6" s="46" t="str">
        <x:v>Large benthopelagics (&gt;=90 cm)</x:v>
      </x:c>
      <x:c r="B6" s="64" t="n">
        <x:v>8</x:v>
      </x:c>
      <x:c r="C6" s="64" t="n">
        <x:v>8</x:v>
      </x:c>
      <x:c r="D6" s="60" t="n">
        <x:v>35212.126357636196</x:v>
      </x:c>
      <x:c r="E6" s="60" t="n">
        <x:v>35212.126357636196</x:v>
      </x:c>
      <x:c r="F6" s="62" t="n">
        <x:v>0</x:v>
      </x:c>
      <x:c r="G6" s="66" t="n">
        <x:v>1</x:v>
      </x:c>
      <x:c r="H6" s="62" t="n">
        <x:f>IF(E6=0,"",I6/E6)</x:f>
        <x:v>6721.986052610374</x:v>
      </x:c>
      <x:c r="I6" s="60" t="n">
        <x:f>SUMIF('Species'!$G$2:$G$198,A6,'Species'!$U$2:$U$198)</x:f>
        <x:v>236695422.25878465</x:v>
      </x:c>
      <x:c r="J6" s="62" t="n">
        <x:v>3.741856119182279</x:v>
      </x:c>
      <x:c r="K6" s="62" t="n">
        <x:f>IF(J6="","",(1/'Metadata'!$B$5)^(J6-1))</x:f>
        <x:v>3691.7905589769216</x:v>
      </x:c>
      <x:c r="L6" s="60" t="n">
        <x:f>IF(E6=0,"",E6*K6)</x:f>
        <x:v>129995795.64862372</x:v>
      </x:c>
      <x:c r="M6" s="60" t="n">
        <x:f>I6-L6</x:f>
        <x:v>106699626.61016093</x:v>
      </x:c>
      <x:c r="N6" s="62" t="n">
        <x:f>IF(L6=0,"",I6/L6)</x:f>
        <x:v>1.820792903937971</x:v>
      </x:c>
      <x:c r="O6" s="66" t="n">
        <x:f>IF(L6=0,"",M6/L6)</x:f>
        <x:v>0.8207929039379711</x:v>
      </x:c>
    </x:row>
    <x:row r="7" ht="18" customHeight="1">
      <x:c r="A7" s="46" t="str">
        <x:v>Large demersals (&gt;=90 cm)</x:v>
      </x:c>
      <x:c r="B7" s="64" t="n">
        <x:v>4</x:v>
      </x:c>
      <x:c r="C7" s="64" t="n">
        <x:v>4</x:v>
      </x:c>
      <x:c r="D7" s="60" t="n">
        <x:v>149987.45172010318</x:v>
      </x:c>
      <x:c r="E7" s="60" t="n">
        <x:v>149987.45172010318</x:v>
      </x:c>
      <x:c r="F7" s="62" t="n">
        <x:v>0</x:v>
      </x:c>
      <x:c r="G7" s="66" t="n">
        <x:v>1</x:v>
      </x:c>
      <x:c r="H7" s="62" t="n">
        <x:f>IF(E7=0,"",I7/E7)</x:f>
        <x:v>36505.808378741036</x:v>
      </x:c>
      <x:c r="I7" s="60" t="n">
        <x:f>SUMIF('Species'!$G$2:$G$198,A7,'Species'!$U$2:$U$198)</x:f>
        <x:v>5475413171.70976</x:v>
      </x:c>
      <x:c r="J7" s="62" t="n">
        <x:v>4.464619596941143</x:v>
      </x:c>
      <x:c r="K7" s="62" t="n">
        <x:f>IF(J7="","",(1/'Metadata'!$B$5)^(J7-1))</x:f>
        <x:v>32179.109321344407</x:v>
      </x:c>
      <x:c r="L7" s="60" t="n">
        <x:f>IF(E7=0,"",E7*K7)</x:f>
        <x:v>4826462605.731067</x:v>
      </x:c>
      <x:c r="M7" s="60" t="n">
        <x:f>I7-L7</x:f>
        <x:v>648950565.978693</x:v>
      </x:c>
      <x:c r="N7" s="62" t="n">
        <x:f>IF(L7=0,"",I7/L7)</x:f>
        <x:v>1.1344567686504217</x:v>
      </x:c>
      <x:c r="O7" s="66" t="n">
        <x:f>IF(L7=0,"",M7/L7)</x:f>
        <x:v>0.13445676865042158</x:v>
      </x:c>
    </x:row>
    <x:row r="8" ht="18" customHeight="1">
      <x:c r="A8" s="46" t="str">
        <x:v>Large flatfishes (&gt;=90 cm)</x:v>
      </x:c>
      <x:c r="B8" s="64" t="n">
        <x:v>1</x:v>
      </x:c>
      <x:c r="C8" s="64" t="n">
        <x:v>1</x:v>
      </x:c>
      <x:c r="D8" s="60" t="n">
        <x:v>0.0549131218</x:v>
      </x:c>
      <x:c r="E8" s="60" t="n">
        <x:v>0.0549131218</x:v>
      </x:c>
      <x:c r="F8" s="62" t="n">
        <x:v>0</x:v>
      </x:c>
      <x:c r="G8" s="66" t="n">
        <x:v>1</x:v>
      </x:c>
      <x:c r="H8" s="62" t="n">
        <x:f>IF(E8=0,"",I8/E8)</x:f>
        <x:v>1325.7816069359942</x:v>
      </x:c>
      <x:c r="I8" s="60" t="n">
        <x:f>SUMIF('Species'!$G$2:$G$198,A8,'Species'!$U$2:$U$198)</x:f>
        <x:v>72.80280686187598</x:v>
      </x:c>
      <x:c r="J8" s="62" t="n">
        <x:v>3.4</x:v>
      </x:c>
      <x:c r="K8" s="62" t="n">
        <x:f>IF(J8="","",(1/'Metadata'!$B$5)^(J8-1))</x:f>
        <x:v>1325.7816069359944</x:v>
      </x:c>
      <x:c r="L8" s="60" t="n">
        <x:f>IF(E8=0,"",E8*K8)</x:f>
        <x:v>72.80280686187598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Large pelagics (&gt;=90 cm)</x:v>
      </x:c>
      <x:c r="B9" s="64" t="n">
        <x:v>17</x:v>
      </x:c>
      <x:c r="C9" s="64" t="n">
        <x:v>17</x:v>
      </x:c>
      <x:c r="D9" s="60" t="n">
        <x:v>6890.230604880098</x:v>
      </x:c>
      <x:c r="E9" s="60" t="n">
        <x:v>6890.230604880098</x:v>
      </x:c>
      <x:c r="F9" s="62" t="n">
        <x:v>0</x:v>
      </x:c>
      <x:c r="G9" s="66" t="n">
        <x:v>1</x:v>
      </x:c>
      <x:c r="H9" s="62" t="n">
        <x:f>IF(E9=0,"",I9/E9)</x:f>
        <x:v>25503.50110836144</x:v>
      </x:c>
      <x:c r="I9" s="60" t="n">
        <x:f>SUMIF('Species'!$G$2:$G$198,A9,'Species'!$U$2:$U$198)</x:f>
        <x:v>175725003.86842552</x:v>
      </x:c>
      <x:c r="J9" s="62" t="n">
        <x:v>4.357105341799239</x:v>
      </x:c>
      <x:c r="K9" s="62" t="n">
        <x:f>IF(J9="","",(1/'Metadata'!$B$5)^(J9-1))</x:f>
        <x:v>23318.185254206932</x:v>
      </x:c>
      <x:c r="L9" s="60" t="n">
        <x:f>IF(E9=0,"",E9*K9)</x:f>
        <x:v>160667673.68880042</x:v>
      </x:c>
      <x:c r="M9" s="60" t="n">
        <x:f>I9-L9</x:f>
        <x:v>15057330.179625094</x:v>
      </x:c>
      <x:c r="N9" s="62" t="n">
        <x:f>IF(L9=0,"",I9/L9)</x:f>
        <x:v>1.0937172352964408</x:v>
      </x:c>
      <x:c r="O9" s="66" t="n">
        <x:f>IF(L9=0,"",M9/L9)</x:f>
        <x:v>0.09371723529644088</x:v>
      </x:c>
    </x:row>
    <x:row r="10" ht="18" customHeight="1">
      <x:c r="A10" s="46" t="str">
        <x:v>Large rays (&gt;=90 cm)</x:v>
      </x:c>
      <x:c r="B10" s="64" t="n">
        <x:v>6</x:v>
      </x:c>
      <x:c r="C10" s="64" t="n">
        <x:v>6</x:v>
      </x:c>
      <x:c r="D10" s="60" t="n">
        <x:v>4094.785837428</x:v>
      </x:c>
      <x:c r="E10" s="60" t="n">
        <x:v>4094.785837428</x:v>
      </x:c>
      <x:c r="F10" s="62" t="n">
        <x:v>0</x:v>
      </x:c>
      <x:c r="G10" s="66" t="n">
        <x:v>1</x:v>
      </x:c>
      <x:c r="H10" s="62" t="n">
        <x:f>IF(E10=0,"",I10/E10)</x:f>
        <x:v>3511.7246602427613</x:v>
      </x:c>
      <x:c r="I10" s="60" t="n">
        <x:f>SUMIF('Species'!$G$2:$G$198,A10,'Species'!$U$2:$U$198)</x:f>
        <x:v>14379760.403708713</x:v>
      </x:c>
      <x:c r="J10" s="62" t="n">
        <x:v>3.6963053226477456</x:v>
      </x:c>
      <x:c r="K10" s="62" t="n">
        <x:f>IF(J10="","",(1/'Metadata'!$B$5)^(J10-1))</x:f>
        <x:v>3220.8767188421743</x:v>
      </x:c>
      <x:c r="L10" s="60" t="n">
        <x:f>IF(E10=0,"",E10*K10)</x:f>
        <x:v>13188800.372416502</x:v>
      </x:c>
      <x:c r="M10" s="60" t="n">
        <x:f>I10-L10</x:f>
        <x:v>1190960.0312922113</x:v>
      </x:c>
      <x:c r="N10" s="62" t="n">
        <x:f>IF(L10=0,"",I10/L10)</x:f>
        <x:v>1.0903008611596718</x:v>
      </x:c>
      <x:c r="O10" s="66" t="n">
        <x:f>IF(L10=0,"",M10/L10)</x:f>
        <x:v>0.09030086115967187</x:v>
      </x:c>
    </x:row>
    <x:row r="11" ht="18" customHeight="1">
      <x:c r="A11" s="46" t="str">
        <x:v>Large reef assoc. fish (&gt;=90 cm)</x:v>
      </x:c>
      <x:c r="B11" s="64" t="n">
        <x:v>1</x:v>
      </x:c>
      <x:c r="C11" s="64" t="n">
        <x:v>1</x:v>
      </x:c>
      <x:c r="D11" s="60" t="n">
        <x:v>254.8355450736</x:v>
      </x:c>
      <x:c r="E11" s="60" t="n">
        <x:v>254.8355450736</x:v>
      </x:c>
      <x:c r="F11" s="62" t="n">
        <x:v>0</x:v>
      </x:c>
      <x:c r="G11" s="66" t="n">
        <x:v>1</x:v>
      </x:c>
      <x:c r="H11" s="62" t="n">
        <x:f>IF(E11=0,"",I11/E11)</x:f>
        <x:v>6295.1718073679995</x:v>
      </x:c>
      <x:c r="I11" s="60" t="n">
        <x:f>SUMIF('Species'!$G$2:$G$198,A11,'Species'!$U$2:$U$198)</x:f>
        <x:v>1604233.538862584</x:v>
      </x:c>
      <x:c r="J11" s="62" t="n">
        <x:v>3.92</x:v>
      </x:c>
      <x:c r="K11" s="62" t="n">
        <x:f>IF(J11="","",(1/'Metadata'!$B$5)^(J11-1))</x:f>
        <x:v>6295.1718073679995</x:v>
      </x:c>
      <x:c r="L11" s="60" t="n">
        <x:f>IF(E11=0,"",E11*K11)</x:f>
        <x:v>1604233.538862584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Large sharks (&gt;=90 cm)</x:v>
      </x:c>
      <x:c r="B12" s="64" t="n">
        <x:v>29</x:v>
      </x:c>
      <x:c r="C12" s="64" t="n">
        <x:v>29</x:v>
      </x:c>
      <x:c r="D12" s="60" t="n">
        <x:v>18410.2083282495</x:v>
      </x:c>
      <x:c r="E12" s="60" t="n">
        <x:v>18410.2083282495</x:v>
      </x:c>
      <x:c r="F12" s="62" t="n">
        <x:v>0</x:v>
      </x:c>
      <x:c r="G12" s="66" t="n">
        <x:v>1</x:v>
      </x:c>
      <x:c r="H12" s="62" t="n">
        <x:f>IF(E12=0,"",I12/E12)</x:f>
        <x:v>18706.318286960905</x:v>
      </x:c>
      <x:c r="I12" s="60" t="n">
        <x:f>SUMIF('Species'!$G$2:$G$198,A12,'Species'!$U$2:$U$198)</x:f>
        <x:v>344387216.7174936</x:v>
      </x:c>
      <x:c r="J12" s="62" t="n">
        <x:v>4.225683646957887</x:v>
      </x:c>
      <x:c r="K12" s="62" t="n">
        <x:f>IF(J12="","",(1/'Metadata'!$B$5)^(J12-1))</x:f>
        <x:v>15729.36466892492</x:v>
      </x:c>
      <x:c r="L12" s="60" t="n">
        <x:f>IF(E12=0,"",E12*K12)</x:f>
        <x:v>289580880.425915</x:v>
      </x:c>
      <x:c r="M12" s="60" t="n">
        <x:f>I12-L12</x:f>
        <x:v>54806336.29157859</x:v>
      </x:c>
      <x:c r="N12" s="62" t="n">
        <x:f>IF(L12=0,"",I12/L12)</x:f>
        <x:v>1.189260893920101</x:v>
      </x:c>
      <x:c r="O12" s="66" t="n">
        <x:f>IF(L12=0,"",M12/L12)</x:f>
        <x:v>0.18926089392010115</x:v>
      </x:c>
    </x:row>
    <x:row r="13" ht="18" customHeight="1">
      <x:c r="A13" s="46" t="str">
        <x:v>Lobsters, crabs</x:v>
      </x:c>
      <x:c r="B13" s="64" t="n">
        <x:v>8</x:v>
      </x:c>
      <x:c r="C13" s="64" t="n">
        <x:v>8</x:v>
      </x:c>
      <x:c r="D13" s="60" t="n">
        <x:v>4936.7618480225</x:v>
      </x:c>
      <x:c r="E13" s="60" t="n">
        <x:v>4936.7618480225</x:v>
      </x:c>
      <x:c r="F13" s="62" t="n">
        <x:v>0</x:v>
      </x:c>
      <x:c r="G13" s="66" t="n">
        <x:v>1</x:v>
      </x:c>
      <x:c r="H13" s="62" t="n">
        <x:f>IF(E13=0,"",I13/E13)</x:f>
        <x:v>386.0791133884252</x:v>
      </x:c>
      <x:c r="I13" s="60" t="n">
        <x:f>SUMIF('Species'!$G$2:$G$198,A13,'Species'!$U$2:$U$198)</x:f>
        <x:v>1905980.6372943304</x:v>
      </x:c>
      <x:c r="J13" s="62" t="n">
        <x:v>2.733338866965022</x:v>
      </x:c>
      <x:c r="K13" s="62" t="n">
        <x:f>IF(J13="","",(1/'Metadata'!$B$5)^(J13-1))</x:f>
        <x:v>179.93923035933608</x:v>
      </x:c>
      <x:c r="L13" s="60" t="n">
        <x:f>IF(E13=0,"",E13*K13)</x:f>
        <x:v>888317.1274005023</x:v>
      </x:c>
      <x:c r="M13" s="60" t="n">
        <x:f>I13-L13</x:f>
        <x:v>1017663.5098938281</x:v>
      </x:c>
      <x:c r="N13" s="62" t="n">
        <x:f>IF(L13=0,"",I13/L13)</x:f>
        <x:v>2.1456083402014707</x:v>
      </x:c>
      <x:c r="O13" s="66" t="n">
        <x:f>IF(L13=0,"",M13/L13)</x:f>
        <x:v>1.145608340201471</x:v>
      </x:c>
    </x:row>
    <x:row r="14" ht="18" customHeight="1">
      <x:c r="A14" s="46" t="str">
        <x:v>Medium bathydemersals (30 - 89 cm)</x:v>
      </x:c>
      <x:c r="B14" s="64" t="n">
        <x:v>11</x:v>
      </x:c>
      <x:c r="C14" s="64" t="n">
        <x:v>11</x:v>
      </x:c>
      <x:c r="D14" s="60" t="n">
        <x:v>4421.5642559184</x:v>
      </x:c>
      <x:c r="E14" s="60" t="n">
        <x:v>4421.5642559184</x:v>
      </x:c>
      <x:c r="F14" s="62" t="n">
        <x:v>0</x:v>
      </x:c>
      <x:c r="G14" s="66" t="n">
        <x:v>1</x:v>
      </x:c>
      <x:c r="H14" s="62" t="n">
        <x:f>IF(E14=0,"",I14/E14)</x:f>
        <x:v>14244.335555771591</x:v>
      </x:c>
      <x:c r="I14" s="60" t="n">
        <x:f>SUMIF('Species'!$G$2:$G$198,A14,'Species'!$U$2:$U$198)</x:f>
        <x:v>62982244.942707226</x:v>
      </x:c>
      <x:c r="J14" s="62" t="n">
        <x:v>3.7676246475259125</x:v>
      </x:c>
      <x:c r="K14" s="62" t="n">
        <x:f>IF(J14="","",(1/'Metadata'!$B$5)^(J14-1))</x:f>
        <x:v>3988.069178821409</x:v>
      </x:c>
      <x:c r="L14" s="60" t="n">
        <x:f>IF(E14=0,"",E14*K14)</x:f>
        <x:v>17633504.131206587</x:v>
      </x:c>
      <x:c r="M14" s="60" t="n">
        <x:f>I14-L14</x:f>
        <x:v>45348740.81150064</x:v>
      </x:c>
      <x:c r="N14" s="62" t="n">
        <x:f>IF(L14=0,"",I14/L14)</x:f>
        <x:v>3.571737328784555</x:v>
      </x:c>
      <x:c r="O14" s="66" t="n">
        <x:f>IF(L14=0,"",M14/L14)</x:f>
        <x:v>2.571737328784555</x:v>
      </x:c>
    </x:row>
    <x:row r="15" ht="18" customHeight="1">
      <x:c r="A15" s="46" t="str">
        <x:v>Medium bathypelagics (30 - 89 cm)</x:v>
      </x:c>
      <x:c r="B15" s="64" t="n">
        <x:v>10</x:v>
      </x:c>
      <x:c r="C15" s="64" t="n">
        <x:v>10</x:v>
      </x:c>
      <x:c r="D15" s="60" t="n">
        <x:v>16023.136463771698</x:v>
      </x:c>
      <x:c r="E15" s="60" t="n">
        <x:v>16023.136463771698</x:v>
      </x:c>
      <x:c r="F15" s="62" t="n">
        <x:v>0</x:v>
      </x:c>
      <x:c r="G15" s="66" t="n">
        <x:v>1</x:v>
      </x:c>
      <x:c r="H15" s="62" t="n">
        <x:f>IF(E15=0,"",I15/E15)</x:f>
        <x:v>7867.631897681345</x:v>
      </x:c>
      <x:c r="I15" s="60" t="n">
        <x:f>SUMIF('Species'!$G$2:$G$198,A15,'Species'!$U$2:$U$198)</x:f>
        <x:v>126064139.54327129</x:v>
      </x:c>
      <x:c r="J15" s="62" t="n">
        <x:v>3.883760736832384</x:v>
      </x:c>
      <x:c r="K15" s="62" t="n">
        <x:f>IF(J15="","",(1/'Metadata'!$B$5)^(J15-1))</x:f>
        <x:v>5647.53874308106</x:v>
      </x:c>
      <x:c r="L15" s="60" t="n">
        <x:f>IF(E15=0,"",E15*K15)</x:f>
        <x:v>90491283.96482551</x:v>
      </x:c>
      <x:c r="M15" s="60" t="n">
        <x:f>I15-L15</x:f>
        <x:v>35572855.57844578</x:v>
      </x:c>
      <x:c r="N15" s="62" t="n">
        <x:f>IF(L15=0,"",I15/L15)</x:f>
        <x:v>1.3931080875399353</x:v>
      </x:c>
      <x:c r="O15" s="66" t="n">
        <x:f>IF(L15=0,"",M15/L15)</x:f>
        <x:v>0.39310808753993537</x:v>
      </x:c>
    </x:row>
    <x:row r="16" ht="18" customHeight="1">
      <x:c r="A16" s="46" t="str">
        <x:v>Medium benthopelagics (30 - 89 cm)</x:v>
      </x:c>
      <x:c r="B16" s="64" t="n">
        <x:v>15</x:v>
      </x:c>
      <x:c r="C16" s="64" t="n">
        <x:v>15</x:v>
      </x:c>
      <x:c r="D16" s="60" t="n">
        <x:v>31756.3072470824</x:v>
      </x:c>
      <x:c r="E16" s="60" t="n">
        <x:v>31756.3072470824</x:v>
      </x:c>
      <x:c r="F16" s="62" t="n">
        <x:v>0</x:v>
      </x:c>
      <x:c r="G16" s="66" t="n">
        <x:v>1</x:v>
      </x:c>
      <x:c r="H16" s="62" t="n">
        <x:f>IF(E16=0,"",I16/E16)</x:f>
        <x:v>4810.02418926758</x:v>
      </x:c>
      <x:c r="I16" s="60" t="n">
        <x:f>SUMIF('Species'!$G$2:$G$198,A16,'Species'!$U$2:$U$198)</x:f>
        <x:v>152748606.0202797</x:v>
      </x:c>
      <x:c r="J16" s="62" t="n">
        <x:v>3.682817613567045</x:v>
      </x:c>
      <x:c r="K16" s="62" t="n">
        <x:f>IF(J16="","",(1/'Metadata'!$B$5)^(J16-1))</x:f>
        <x:v>3093.329534443191</x:v>
      </x:c>
      <x:c r="L16" s="60" t="n">
        <x:f>IF(E16=0,"",E16*K16)</x:f>
        <x:v>98232723.11225232</x:v>
      </x:c>
      <x:c r="M16" s="60" t="n">
        <x:f>I16-L16</x:f>
        <x:v>54515882.90802738</x:v>
      </x:c>
      <x:c r="N16" s="62" t="n">
        <x:f>IF(L16=0,"",I16/L16)</x:f>
        <x:v>1.554966625996218</x:v>
      </x:c>
      <x:c r="O16" s="66" t="n">
        <x:f>IF(L16=0,"",M16/L16)</x:f>
        <x:v>0.554966625996218</x:v>
      </x:c>
    </x:row>
    <x:row r="17" ht="18" customHeight="1">
      <x:c r="A17" s="46" t="str">
        <x:v>Medium demersals (30 - 89 cm)</x:v>
      </x:c>
      <x:c r="B17" s="64" t="n">
        <x:v>16</x:v>
      </x:c>
      <x:c r="C17" s="64" t="n">
        <x:v>16</x:v>
      </x:c>
      <x:c r="D17" s="60" t="n">
        <x:v>59057.058629881096</x:v>
      </x:c>
      <x:c r="E17" s="60" t="n">
        <x:v>59057.058629881096</x:v>
      </x:c>
      <x:c r="F17" s="62" t="n">
        <x:v>0</x:v>
      </x:c>
      <x:c r="G17" s="66" t="n">
        <x:v>1</x:v>
      </x:c>
      <x:c r="H17" s="62" t="n">
        <x:f>IF(E17=0,"",I17/E17)</x:f>
        <x:v>4588.237808206719</x:v>
      </x:c>
      <x:c r="I17" s="60" t="n">
        <x:f>SUMIF('Species'!$G$2:$G$198,A17,'Species'!$U$2:$U$198)</x:f>
        <x:v>270967829.2471013</x:v>
      </x:c>
      <x:c r="J17" s="62" t="n">
        <x:v>3.500221031384273</x:v>
      </x:c>
      <x:c r="K17" s="62" t="n">
        <x:f>IF(J17="","",(1/'Metadata'!$B$5)^(J17-1))</x:f>
        <x:v>1790.0392656943698</x:v>
      </x:c>
      <x:c r="L17" s="60" t="n">
        <x:f>IF(E17=0,"",E17*K17)</x:f>
        <x:v>105714453.8639017</x:v>
      </x:c>
      <x:c r="M17" s="60" t="n">
        <x:f>I17-L17</x:f>
        <x:v>165253375.3831996</x:v>
      </x:c>
      <x:c r="N17" s="62" t="n">
        <x:f>IF(L17=0,"",I17/L17)</x:f>
        <x:v>2.5632051185351545</x:v>
      </x:c>
      <x:c r="O17" s="66" t="n">
        <x:f>IF(L17=0,"",M17/L17)</x:f>
        <x:v>1.5632051185351548</x:v>
      </x:c>
    </x:row>
    <x:row r="18" ht="18" customHeight="1">
      <x:c r="A18" s="46" t="str">
        <x:v>Medium pelagics (30 - 89 cm)</x:v>
      </x:c>
      <x:c r="B18" s="64" t="n">
        <x:v>10</x:v>
      </x:c>
      <x:c r="C18" s="64" t="n">
        <x:v>10</x:v>
      </x:c>
      <x:c r="D18" s="60" t="n">
        <x:v>59273.740845969805</x:v>
      </x:c>
      <x:c r="E18" s="60" t="n">
        <x:v>59273.740845969805</x:v>
      </x:c>
      <x:c r="F18" s="62" t="n">
        <x:v>0</x:v>
      </x:c>
      <x:c r="G18" s="66" t="n">
        <x:v>1</x:v>
      </x:c>
      <x:c r="H18" s="62" t="n">
        <x:f>IF(E18=0,"",I18/E18)</x:f>
        <x:v>5239.217164947405</x:v>
      </x:c>
      <x:c r="I18" s="60" t="n">
        <x:f>SUMIF('Species'!$G$2:$G$198,A18,'Species'!$U$2:$U$198)</x:f>
        <x:v>310548000.4708491</x:v>
      </x:c>
      <x:c r="J18" s="62" t="n">
        <x:v>3.778832119532593</x:v>
      </x:c>
      <x:c r="K18" s="62" t="n">
        <x:f>IF(J18="","",(1/'Metadata'!$B$5)^(J18-1))</x:f>
        <x:v>4124.2400985792865</x:v>
      </x:c>
      <x:c r="L18" s="60" t="n">
        <x:f>IF(E18=0,"",E18*K18)</x:f>
        <x:v>244459138.7897456</x:v>
      </x:c>
      <x:c r="M18" s="60" t="n">
        <x:f>I18-L18</x:f>
        <x:v>66088861.6811035</x:v>
      </x:c>
      <x:c r="N18" s="62" t="n">
        <x:f>IF(L18=0,"",I18/L18)</x:f>
        <x:v>1.270347273611011</x:v>
      </x:c>
      <x:c r="O18" s="66" t="n">
        <x:f>IF(L18=0,"",M18/L18)</x:f>
        <x:v>0.27034727361101113</x:v>
      </x:c>
    </x:row>
    <x:row r="19" ht="18" customHeight="1">
      <x:c r="A19" s="46" t="str">
        <x:v>Medium reef assoc. fish (30 - 89 cm)</x:v>
      </x:c>
      <x:c r="B19" s="64" t="n">
        <x:v>6</x:v>
      </x:c>
      <x:c r="C19" s="64" t="n">
        <x:v>6</x:v>
      </x:c>
      <x:c r="D19" s="60" t="n">
        <x:v>128.59219492250003</x:v>
      </x:c>
      <x:c r="E19" s="60" t="n">
        <x:v>128.59219492250003</x:v>
      </x:c>
      <x:c r="F19" s="62" t="n">
        <x:v>0</x:v>
      </x:c>
      <x:c r="G19" s="66" t="n">
        <x:v>1</x:v>
      </x:c>
      <x:c r="H19" s="62" t="n">
        <x:f>IF(E19=0,"",I19/E19)</x:f>
        <x:v>4146.564813824876</x:v>
      </x:c>
      <x:c r="I19" s="60" t="n">
        <x:f>SUMIF('Species'!$G$2:$G$198,A19,'Species'!$U$2:$U$198)</x:f>
        <x:v>533215.8707981486</x:v>
      </x:c>
      <x:c r="J19" s="62" t="n">
        <x:v>3.443539837106897</x:v>
      </x:c>
      <x:c r="K19" s="62" t="n">
        <x:f>IF(J19="","",(1/'Metadata'!$B$5)^(J19-1))</x:f>
        <x:v>1510.4926754662063</x:v>
      </x:c>
      <x:c r="L19" s="60" t="n">
        <x:f>IF(E19=0,"",E19*K19)</x:f>
        <x:v>194237.56855255898</x:v>
      </x:c>
      <x:c r="M19" s="60" t="n">
        <x:f>I19-L19</x:f>
        <x:v>338978.30224558956</x:v>
      </x:c>
      <x:c r="N19" s="62" t="n">
        <x:f>IF(L19=0,"",I19/L19)</x:f>
        <x:v>2.7451737311768554</x:v>
      </x:c>
      <x:c r="O19" s="66" t="n">
        <x:f>IF(L19=0,"",M19/L19)</x:f>
        <x:v>1.7451737311768551</x:v>
      </x:c>
    </x:row>
    <x:row r="20" ht="18" customHeight="1">
      <x:c r="A20" s="46" t="str">
        <x:v>Other demersal invertebrates</x:v>
      </x:c>
      <x:c r="B20" s="64" t="n">
        <x:v>16</x:v>
      </x:c>
      <x:c r="C20" s="64" t="n">
        <x:v>16</x:v>
      </x:c>
      <x:c r="D20" s="60" t="n">
        <x:v>6055.6315499435</x:v>
      </x:c>
      <x:c r="E20" s="60" t="n">
        <x:v>6055.6315499435</x:v>
      </x:c>
      <x:c r="F20" s="62" t="n">
        <x:v>0</x:v>
      </x:c>
      <x:c r="G20" s="66" t="n">
        <x:v>1</x:v>
      </x:c>
      <x:c r="H20" s="62" t="n">
        <x:f>IF(E20=0,"",I20/E20)</x:f>
        <x:v>42.39522689598771</x:v>
      </x:c>
      <x:c r="I20" s="60" t="n">
        <x:f>SUMIF('Species'!$G$2:$G$198,A20,'Species'!$U$2:$U$198)</x:f>
        <x:v>256729.87355835643</x:v>
      </x:c>
      <x:c r="J20" s="62" t="n">
        <x:v>2.1822348618757914</x:v>
      </x:c>
      <x:c r="K20" s="62" t="n">
        <x:f>IF(J20="","",(1/'Metadata'!$B$5)^(J20-1))</x:f>
        <x:v>34.52415177766115</x:v>
      </x:c>
      <x:c r="L20" s="60" t="n">
        <x:f>IF(E20=0,"",E20*K20)</x:f>
        <x:v>209065.54273984287</x:v>
      </x:c>
      <x:c r="M20" s="60" t="n">
        <x:f>I20-L20</x:f>
        <x:v>47664.330818513554</x:v>
      </x:c>
      <x:c r="N20" s="62" t="n">
        <x:f>IF(L20=0,"",I20/L20)</x:f>
        <x:v>1.2279875018803368</x:v>
      </x:c>
      <x:c r="O20" s="66" t="n">
        <x:f>IF(L20=0,"",M20/L20)</x:f>
        <x:v>0.22798750188033676</x:v>
      </x:c>
    </x:row>
    <x:row r="21" ht="18" customHeight="1">
      <x:c r="A21" s="46" t="str">
        <x:v>Shrimps</x:v>
      </x:c>
      <x:c r="B21" s="64" t="n">
        <x:v>4</x:v>
      </x:c>
      <x:c r="C21" s="64" t="n">
        <x:v>4</x:v>
      </x:c>
      <x:c r="D21" s="60" t="n">
        <x:v>4.0210568033000005</x:v>
      </x:c>
      <x:c r="E21" s="60" t="n">
        <x:v>4.0210568033000005</x:v>
      </x:c>
      <x:c r="F21" s="62" t="n">
        <x:v>0</x:v>
      </x:c>
      <x:c r="G21" s="66" t="n">
        <x:v>1</x:v>
      </x:c>
      <x:c r="H21" s="62" t="n">
        <x:f>IF(E21=0,"",I21/E21)</x:f>
        <x:v>334.752774030643</x:v>
      </x:c>
      <x:c r="I21" s="60" t="n">
        <x:f>SUMIF('Species'!$G$2:$G$198,A21,'Species'!$U$2:$U$198)</x:f>
        <x:v>1346.059919439465</x:v>
      </x:c>
      <x:c r="J21" s="62" t="n">
        <x:v>2.7003973975174107</x:v>
      </x:c>
      <x:c r="K21" s="62" t="n">
        <x:f>IF(J21="","",(1/'Metadata'!$B$5)^(J21-1))</x:f>
        <x:v>163.03018400530874</x:v>
      </x:c>
      <x:c r="L21" s="60" t="n">
        <x:f>IF(E21=0,"",E21*K21)</x:f>
        <x:v>655.5536305377976</x:v>
      </x:c>
      <x:c r="M21" s="60" t="n">
        <x:f>I21-L21</x:f>
        <x:v>690.5062889016673</x:v>
      </x:c>
      <x:c r="N21" s="62" t="n">
        <x:f>IF(L21=0,"",I21/L21)</x:f>
        <x:v>2.0533177710192763</x:v>
      </x:c>
      <x:c r="O21" s="66" t="n">
        <x:f>IF(L21=0,"",M21/L21)</x:f>
        <x:v>1.0533177710192765</x:v>
      </x:c>
    </x:row>
    <x:row r="22" ht="18" customHeight="1">
      <x:c r="A22" s="46" t="str">
        <x:v>Small bathydemersals (&lt;30 cm)</x:v>
      </x:c>
      <x:c r="B22" s="64" t="n">
        <x:v>1</x:v>
      </x:c>
      <x:c r="C22" s="64" t="n">
        <x:v>1</x:v>
      </x:c>
      <x:c r="D22" s="60" t="n">
        <x:v>3.3585673764000004</x:v>
      </x:c>
      <x:c r="E22" s="60" t="n">
        <x:v>3.3585673764000004</x:v>
      </x:c>
      <x:c r="F22" s="62" t="n">
        <x:v>0</x:v>
      </x:c>
      <x:c r="G22" s="66" t="n">
        <x:v>1</x:v>
      </x:c>
      <x:c r="H22" s="62" t="n">
        <x:f>IF(E22=0,"",I22/E22)</x:f>
        <x:v>1843.2544417784343</x:v>
      </x:c>
      <x:c r="I22" s="60" t="n">
        <x:f>SUMIF('Species'!$G$2:$G$198,A22,'Species'!$U$2:$U$198)</x:f>
        <x:v>6190.694234561443</x:v>
      </x:c>
      <x:c r="J22" s="62" t="n">
        <x:v>3.51</x:v>
      </x:c>
      <x:c r="K22" s="62" t="n">
        <x:f>IF(J22="","",(1/'Metadata'!$B$5)^(J22-1))</x:f>
        <x:v>1843.2544417784343</x:v>
      </x:c>
      <x:c r="L22" s="60" t="n">
        <x:f>IF(E22=0,"",E22*K22)</x:f>
        <x:v>6190.694234561443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bathypelagics (&lt;30 cm)</x:v>
      </x:c>
      <x:c r="B23" s="64" t="n">
        <x:v>1</x:v>
      </x:c>
      <x:c r="C23" s="64" t="n">
        <x:v>1</x:v>
      </x:c>
      <x:c r="D23" s="60" t="n">
        <x:v>11.0320675114</x:v>
      </x:c>
      <x:c r="E23" s="60" t="n">
        <x:v>11.0320675114</x:v>
      </x:c>
      <x:c r="F23" s="62" t="n">
        <x:v>0</x:v>
      </x:c>
      <x:c r="G23" s="66" t="n">
        <x:v>1</x:v>
      </x:c>
      <x:c r="H23" s="62" t="n">
        <x:f>IF(E23=0,"",I23/E23)</x:f>
        <x:v>1788.8543819998317</x:v>
      </x:c>
      <x:c r="I23" s="60" t="n">
        <x:f>SUMIF('Species'!$G$2:$G$198,A23,'Species'!$U$2:$U$198)</x:f>
        <x:v>19734.762310285867</x:v>
      </x:c>
      <x:c r="J23" s="62" t="n">
        <x:v>3.5</x:v>
      </x:c>
      <x:c r="K23" s="62" t="n">
        <x:f>IF(J23="","",(1/'Metadata'!$B$5)^(J23-1))</x:f>
        <x:v>1788.8543819998317</x:v>
      </x:c>
      <x:c r="L23" s="60" t="n">
        <x:f>IF(E23=0,"",E23*K23)</x:f>
        <x:v>19734.762310285867</x:v>
      </x:c>
      <x:c r="M23" s="60" t="n">
        <x:f>I23-L23</x:f>
        <x:v>0</x:v>
      </x:c>
      <x:c r="N23" s="62" t="n">
        <x:f>IF(L23=0,"",I23/L23)</x:f>
        <x:v>1</x:v>
      </x:c>
      <x:c r="O23" s="66" t="n">
        <x:f>IF(L23=0,"",M23/L23)</x:f>
        <x:v>0</x:v>
      </x:c>
    </x:row>
    <x:row r="24" ht="18" customHeight="1">
      <x:c r="A24" s="46" t="str">
        <x:v>Small benthopelagics (&lt;30 cm)</x:v>
      </x:c>
      <x:c r="B24" s="64" t="n">
        <x:v>1</x:v>
      </x:c>
      <x:c r="C24" s="64" t="n">
        <x:v>1</x:v>
      </x:c>
      <x:c r="D24" s="60" t="n">
        <x:v>109.8382058674</x:v>
      </x:c>
      <x:c r="E24" s="60" t="n">
        <x:v>109.8382058674</x:v>
      </x:c>
      <x:c r="F24" s="62" t="n">
        <x:v>0</x:v>
      </x:c>
      <x:c r="G24" s="66" t="n">
        <x:v>1</x:v>
      </x:c>
      <x:c r="H24" s="62" t="n">
        <x:f>IF(E24=0,"",I24/E24)</x:f>
        <x:v>626.9234150652317</x:v>
      </x:c>
      <x:c r="I24" s="60" t="n">
        <x:f>SUMIF('Species'!$G$2:$G$198,A24,'Species'!$U$2:$U$198)</x:f>
        <x:v>68860.14312702838</x:v>
      </x:c>
      <x:c r="J24" s="62" t="n">
        <x:v>3.15</x:v>
      </x:c>
      <x:c r="K24" s="62" t="n">
        <x:f>IF(J24="","",(1/'Metadata'!$B$5)^(J24-1))</x:f>
        <x:v>626.9234150652317</x:v>
      </x:c>
      <x:c r="L24" s="60" t="n">
        <x:f>IF(E24=0,"",E24*K24)</x:f>
        <x:v>68860.14312702838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demersals (&lt;30 cm)</x:v>
      </x:c>
      <x:c r="B25" s="64" t="n">
        <x:v>2</x:v>
      </x:c>
      <x:c r="C25" s="64" t="n">
        <x:v>2</x:v>
      </x:c>
      <x:c r="D25" s="60" t="n">
        <x:v>363.26673842980006</x:v>
      </x:c>
      <x:c r="E25" s="60" t="n">
        <x:v>363.26673842980006</x:v>
      </x:c>
      <x:c r="F25" s="62" t="n">
        <x:v>0</x:v>
      </x:c>
      <x:c r="G25" s="66" t="n">
        <x:v>1</x:v>
      </x:c>
      <x:c r="H25" s="62" t="n">
        <x:f>IF(E25=0,"",I25/E25)</x:f>
        <x:v>561.279735707963</x:v>
      </x:c>
      <x:c r="I25" s="60" t="n">
        <x:f>SUMIF('Species'!$G$2:$G$198,A25,'Species'!$U$2:$U$198)</x:f>
        <x:v>203894.2589373719</x:v>
      </x:c>
      <x:c r="J25" s="62" t="n">
        <x:v>3.111630457785329</x:v>
      </x:c>
      <x:c r="K25" s="62" t="n">
        <x:f>IF(J25="","",(1/'Metadata'!$B$5)^(J25-1))</x:f>
        <x:v>558.8491121978911</x:v>
      </x:c>
      <x:c r="L25" s="60" t="n">
        <x:f>IF(E25=0,"",E25*K25)</x:f>
        <x:v>203011.2942625173</x:v>
      </x:c>
      <x:c r="M25" s="60" t="n">
        <x:f>I25-L25</x:f>
        <x:v>882.9646748545929</x:v>
      </x:c>
      <x:c r="N25" s="62" t="n">
        <x:f>IF(L25=0,"",I25/L25)</x:f>
        <x:v>1.004349337696024</x:v>
      </x:c>
      <x:c r="O25" s="66" t="n">
        <x:f>IF(L25=0,"",M25/L25)</x:f>
        <x:v>0.0043493376960240275</x:v>
      </x:c>
    </x:row>
    <x:row r="26" ht="18" customHeight="1">
      <x:c r="A26" s="46" t="str">
        <x:v>Small pelagics (&lt;30 cm)</x:v>
      </x:c>
      <x:c r="B26" s="64" t="n">
        <x:v>9</x:v>
      </x:c>
      <x:c r="C26" s="64" t="n">
        <x:v>9</x:v>
      </x:c>
      <x:c r="D26" s="60" t="n">
        <x:v>462.80924046250004</x:v>
      </x:c>
      <x:c r="E26" s="60" t="n">
        <x:v>462.80924046250004</x:v>
      </x:c>
      <x:c r="F26" s="62" t="n">
        <x:v>0</x:v>
      </x:c>
      <x:c r="G26" s="66" t="n">
        <x:v>1</x:v>
      </x:c>
      <x:c r="H26" s="62" t="n">
        <x:f>IF(E26=0,"",I26/E26)</x:f>
        <x:v>3396.505398768177</x:v>
      </x:c>
      <x:c r="I26" s="60" t="n">
        <x:f>SUMIF('Species'!$G$2:$G$198,A26,'Species'!$U$2:$U$198)</x:f>
        <x:v>1571934.083830681</x:v>
      </x:c>
      <x:c r="J26" s="62" t="n">
        <x:v>2.830997092752878</x:v>
      </x:c>
      <x:c r="K26" s="62" t="n">
        <x:f>IF(J26="","",(1/'Metadata'!$B$5)^(J26-1))</x:f>
        <x:v>241.09163357884518</x:v>
      </x:c>
      <x:c r="L26" s="60" t="n">
        <x:f>IF(E26=0,"",E26*K26)</x:f>
        <x:v>111579.43581848871</x:v>
      </x:c>
      <x:c r="M26" s="60" t="n">
        <x:f>I26-L26</x:f>
        <x:v>1460354.6480121922</x:v>
      </x:c>
      <x:c r="N26" s="62" t="n">
        <x:f>IF(L26=0,"",I26/L26)</x:f>
        <x:v>14.088026815154514</x:v>
      </x:c>
      <x:c r="O26" s="66" t="n">
        <x:f>IF(L26=0,"",M26/L26)</x:f>
        <x:v>13.088026815154514</x:v>
      </x:c>
    </x:row>
    <x:row r="27" ht="18" customHeight="1">
      <x:c r="A27" s="46" t="str">
        <x:v>Small to medium flatfishes (&lt;90 cm)</x:v>
      </x:c>
      <x:c r="B27" s="64" t="n">
        <x:v>2</x:v>
      </x:c>
      <x:c r="C27" s="64" t="n">
        <x:v>2</x:v>
      </x:c>
      <x:c r="D27" s="60" t="n">
        <x:v>1744.0761210575001</x:v>
      </x:c>
      <x:c r="E27" s="60" t="n">
        <x:v>1744.0761210575001</x:v>
      </x:c>
      <x:c r="F27" s="62" t="n">
        <x:v>0</x:v>
      </x:c>
      <x:c r="G27" s="66" t="n">
        <x:v>1</x:v>
      </x:c>
      <x:c r="H27" s="62" t="n">
        <x:f>IF(E27=0,"",I27/E27)</x:f>
        <x:v>2249.5699724471533</x:v>
      </x:c>
      <x:c r="I27" s="60" t="n">
        <x:f>SUMIF('Species'!$G$2:$G$198,A27,'Species'!$U$2:$U$198)</x:f>
        <x:v>3923421.2715930585</x:v>
      </x:c>
      <x:c r="J27" s="62" t="n">
        <x:v>3.574790128027092</x:v>
      </x:c>
      <x:c r="K27" s="62" t="n">
        <x:f>IF(J27="","",(1/'Metadata'!$B$5)^(J27-1))</x:f>
        <x:v>2238.0984636184858</x:v>
      </x:c>
      <x:c r="L27" s="60" t="n">
        <x:f>IF(E27=0,"",E27*K27)</x:f>
        <x:v>3903414.0869724792</x:v>
      </x:c>
      <x:c r="M27" s="60" t="n">
        <x:f>I27-L27</x:f>
        <x:v>20007.18462057924</x:v>
      </x:c>
      <x:c r="N27" s="62" t="n">
        <x:f>IF(L27=0,"",I27/L27)</x:f>
        <x:v>1.0051255603875984</x:v>
      </x:c>
      <x:c r="O27" s="66" t="n">
        <x:f>IF(L27=0,"",M27/L27)</x:f>
        <x:v>0.005125560387598278</x:v>
      </x:c>
    </x:row>
    <x:row r="28" ht="18" customHeight="1">
      <x:c r="A28" s="46" t="str">
        <x:v>Small to medium rays (&lt;90 cm)</x:v>
      </x:c>
      <x:c r="B28" s="64" t="n">
        <x:v>3</x:v>
      </x:c>
      <x:c r="C28" s="64" t="n">
        <x:v>3</x:v>
      </x:c>
      <x:c r="D28" s="60" t="n">
        <x:v>3177.6184165408004</x:v>
      </x:c>
      <x:c r="E28" s="60" t="n">
        <x:v>3177.6184165408004</x:v>
      </x:c>
      <x:c r="F28" s="62" t="n">
        <x:v>0</x:v>
      </x:c>
      <x:c r="G28" s="66" t="n">
        <x:v>1</x:v>
      </x:c>
      <x:c r="H28" s="62" t="n">
        <x:f>IF(E28=0,"",I28/E28)</x:f>
        <x:v>1887.3773369679873</x:v>
      </x:c>
      <x:c r="I28" s="60" t="n">
        <x:f>SUMIF('Species'!$G$2:$G$198,A28,'Species'!$U$2:$U$198)</x:f>
        <x:v>5997364.984911208</x:v>
      </x:c>
      <x:c r="J28" s="62" t="n">
        <x:v>3.517824507827445</x:v>
      </x:c>
      <x:c r="K28" s="62" t="n">
        <x:f>IF(J28="","",(1/'Metadata'!$B$5)^(J28-1))</x:f>
        <x:v>1886.9709250927247</x:v>
      </x:c>
      <x:c r="L28" s="60" t="n">
        <x:f>IF(E28=0,"",E28*K28)</x:f>
        <x:v>5996073.563051673</x:v>
      </x:c>
      <x:c r="M28" s="60" t="n">
        <x:f>I28-L28</x:f>
        <x:v>1291.4218595353886</x:v>
      </x:c>
      <x:c r="N28" s="62" t="n">
        <x:f>IF(L28=0,"",I28/L28)</x:f>
        <x:v>1.0002153779212273</x:v>
      </x:c>
      <x:c r="O28" s="66" t="n">
        <x:f>IF(L28=0,"",M28/L28)</x:f>
        <x:v>0.0002153779212271915</x:v>
      </x:c>
    </x:row>
    <x:row r="29" ht="18" customHeight="1">
      <x:c r="A29" s="46" t="str">
        <x:v>Small to medium sharks (&lt;90 cm)</x:v>
      </x:c>
      <x:c r="B29" s="64" t="n">
        <x:v>3</x:v>
      </x:c>
      <x:c r="C29" s="64" t="n">
        <x:v>3</x:v>
      </x:c>
      <x:c r="D29" s="60" t="n">
        <x:v>148.9214503112</x:v>
      </x:c>
      <x:c r="E29" s="60" t="n">
        <x:v>148.9214503112</x:v>
      </x:c>
      <x:c r="F29" s="62" t="n">
        <x:v>0</x:v>
      </x:c>
      <x:c r="G29" s="66" t="n">
        <x:v>1</x:v>
      </x:c>
      <x:c r="H29" s="62" t="n">
        <x:f>IF(E29=0,"",I29/E29)</x:f>
        <x:v>15812.075121470445</x:v>
      </x:c>
      <x:c r="I29" s="60" t="n">
        <x:f>SUMIF('Species'!$G$2:$G$198,A29,'Species'!$U$2:$U$198)</x:f>
        <x:v>2354757.159519023</x:v>
      </x:c>
      <x:c r="J29" s="62" t="n">
        <x:v>4.208677680628066</x:v>
      </x:c>
      <x:c r="K29" s="62" t="n">
        <x:f>IF(J29="","",(1/'Metadata'!$B$5)^(J29-1))</x:f>
        <x:v>14948.097052962783</x:v>
      </x:c>
      <x:c r="L29" s="60" t="n">
        <x:f>IF(E29=0,"",E29*K29)</x:f>
        <x:v>2226092.2925197924</x:v>
      </x:c>
      <x:c r="M29" s="60" t="n">
        <x:f>I29-L29</x:f>
        <x:v>128664.86699923035</x:v>
      </x:c>
      <x:c r="N29" s="62" t="n">
        <x:f>IF(L29=0,"",I29/L29)</x:f>
        <x:v>1.0577985321774732</x:v>
      </x:c>
      <x:c r="O29" s="66" t="n">
        <x:f>IF(L29=0,"",M29/L29)</x:f>
        <x:v>0.057798532177473216</x:v>
      </x:c>
    </x:row>
  </x:sheetData>
  <x:conditionalFormatting sqref="G2:G29">
    <x:cfRule type="cellIs" dxfId="2" priority="1" operator="lessThan">
      <x:formula>0.9</x:formula>
    </x:cfRule>
  </x:conditionalFormatting>
  <x:conditionalFormatting sqref="O2:O2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29bd5853d6845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LME_046</x:v>
      </x:c>
      <x:c r="B2" s="46" t="str">
        <x:v>raw_filtered_tonnes</x:v>
      </x:c>
      <x:c r="C2" s="46" t="n">
        <x:v>431127.77716673305</x:v>
      </x:c>
      <x:c r="D2" s="46" t="str">
        <x:v>tonnes</x:v>
      </x:c>
    </x:row>
    <x:row r="3" ht="18" customHeight="1">
      <x:c r="A3" s="46" t="str">
        <x:v>LME_046</x:v>
      </x:c>
      <x:c r="B3" s="46" t="str">
        <x:v>species_catch_tonnes</x:v>
      </x:c>
      <x:c r="C3" s="46" t="n">
        <x:v>431127.77716673305</x:v>
      </x:c>
      <x:c r="D3" s="46" t="str">
        <x:v>tonnes</x:v>
      </x:c>
    </x:row>
    <x:row r="4" ht="18" customHeight="1">
      <x:c r="A4" s="46" t="str">
        <x:v>LME_046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LME_046</x:v>
      </x:c>
      <x:c r="B6" s="46" t="str">
        <x:v>matched_catch_tonnes</x:v>
      </x:c>
      <x:c r="C6" s="46" t="n">
        <x:v>431127.77716673305</x:v>
      </x:c>
      <x:c r="D6" s="46" t="str">
        <x:v>tonnes</x:v>
      </x:c>
    </x:row>
    <x:row r="7" ht="18" customHeight="1">
      <x:c r="A7" s="46" t="str">
        <x:v>LME_046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LME_046</x:v>
      </x:c>
      <x:c r="B8" s="46" t="str">
        <x:v>taxa_count</x:v>
      </x:c>
      <x:c r="C8" s="46" t="n">
        <x:v>197</x:v>
      </x:c>
      <x:c r="D8" s="46" t="str">
        <x:v>count</x:v>
      </x:c>
    </x:row>
    <x:row r="9" ht="18" customHeight="1">
      <x:c r="A9" s="46" t="str">
        <x:v>LME_046</x:v>
      </x:c>
      <x:c r="B9" s="46" t="str">
        <x:v>matched_taxa_count</x:v>
      </x:c>
      <x:c r="C9" s="46" t="n">
        <x:v>197</x:v>
      </x:c>
      <x:c r="D9" s="46" t="str">
        <x:v>count</x:v>
      </x:c>
    </x:row>
    <x:row r="10" ht="18" customHeight="1">
      <x:c r="A10" s="46" t="str">
        <x:v>LME_046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LME_046</x:v>
      </x:c>
      <x:c r="B11" s="46" t="str">
        <x:v>species_ppr</x:v>
      </x:c>
      <x:c r="C11" s="46" t="n">
        <x:v>7668472546.823327</x:v>
      </x:c>
      <x:c r="D11" s="46" t="str">
        <x:v>tonnes_primary_production_equivalent</x:v>
      </x:c>
    </x:row>
    <x:row r="12" ht="18" customHeight="1">
      <x:c r="A12" s="46" t="str">
        <x:v>LME_046</x:v>
      </x:c>
      <x:c r="B12" s="46" t="str">
        <x:v>commercial_ppr</x:v>
      </x:c>
      <x:c r="C12" s="46" t="n">
        <x:v>7668472546.823326</x:v>
      </x:c>
      <x:c r="D12" s="46" t="str">
        <x:v>tonnes_primary_production_equivalent</x:v>
      </x:c>
    </x:row>
    <x:row r="13" ht="18" customHeight="1">
      <x:c r="A13" s="46" t="str">
        <x:v>LME_046</x:v>
      </x:c>
      <x:c r="B13" s="46" t="str">
        <x:v>functional_ppr</x:v>
      </x:c>
      <x:c r="C13" s="46" t="n">
        <x:v>7668472546.823325</x:v>
      </x:c>
      <x:c r="D13" s="46" t="str">
        <x:v>tonnes_primary_production_equivalent</x:v>
      </x:c>
    </x:row>
    <x:row r="14" ht="18" customHeight="1">
      <x:c r="A14" s="46" t="str">
        <x:v>LME_046</x:v>
      </x:c>
      <x:c r="B14" s="46" t="str">
        <x:v>commercial_ppr_difference</x:v>
      </x:c>
      <x:c r="C14" s="46" t="n">
        <x:v>-9.5367431640625e-7</x:v>
      </x:c>
      <x:c r="D14" s="46" t="str">
        <x:v>tonnes_primary_production_equivalent</x:v>
      </x:c>
    </x:row>
    <x:row r="15" ht="18" customHeight="1">
      <x:c r="A15" s="46" t="str">
        <x:v>LME_046</x:v>
      </x:c>
      <x:c r="B15" s="46" t="str">
        <x:v>functional_ppr_difference</x:v>
      </x:c>
      <x:c r="C15" s="46" t="n">
        <x:v>-0.0000019073486328125</x:v>
      </x:c>
      <x:c r="D15" s="46" t="str">
        <x:v>tonnes_primary_production_equivalent</x:v>
      </x:c>
    </x:row>
    <x:row r="16" ht="18" customHeight="1">
      <x:c r="A16" s="46" t="str">
        <x:v>LME_046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383e6656c164d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LME_046 - New Zealand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