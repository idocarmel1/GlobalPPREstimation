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b75f2f5cf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b28ec70cdf340ec"/>
    <x:sheet xmlns:r="http://schemas.openxmlformats.org/officeDocument/2006/relationships" name="Commercial" sheetId="2" r:id="R43668fdd3c8a4494"/>
    <x:sheet xmlns:r="http://schemas.openxmlformats.org/officeDocument/2006/relationships" name="Functional" sheetId="3" r:id="R36622b5abcaf4f5d"/>
    <x:sheet xmlns:r="http://schemas.openxmlformats.org/officeDocument/2006/relationships" name="Missing TL" sheetId="4" r:id="R090ab0fd04ba4fd3"/>
    <x:sheet xmlns:r="http://schemas.openxmlformats.org/officeDocument/2006/relationships" name="Validation" sheetId="5" r:id="R275af995df654e5e"/>
    <x:sheet xmlns:r="http://schemas.openxmlformats.org/officeDocument/2006/relationships" name="Metadata" sheetId="6" r:id="R5f7c48bdbbee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a0ca107124347" /><Relationship Type="http://schemas.openxmlformats.org/officeDocument/2006/relationships/theme" Target="/xl/theme/theme1.xml" Id="Rb726392ac6c543d9" /><Relationship Type="http://schemas.openxmlformats.org/officeDocument/2006/relationships/sharedStrings" Target="/xl/sharedStrings.xml" Id="R706b3886676644b3" /><Relationship Type="http://schemas.openxmlformats.org/officeDocument/2006/relationships/worksheet" Target="/xl/worksheets/sheet1.xml" Id="R5b28ec70cdf340ec" /><Relationship Type="http://schemas.openxmlformats.org/officeDocument/2006/relationships/worksheet" Target="/xl/worksheets/sheet2.xml" Id="R43668fdd3c8a4494" /><Relationship Type="http://schemas.openxmlformats.org/officeDocument/2006/relationships/worksheet" Target="/xl/worksheets/sheet3.xml" Id="R36622b5abcaf4f5d" /><Relationship Type="http://schemas.openxmlformats.org/officeDocument/2006/relationships/worksheet" Target="/xl/worksheets/sheet4.xml" Id="R090ab0fd04ba4fd3" /><Relationship Type="http://schemas.openxmlformats.org/officeDocument/2006/relationships/worksheet" Target="/xl/worksheets/sheet5.xml" Id="R275af995df654e5e" /><Relationship Type="http://schemas.openxmlformats.org/officeDocument/2006/relationships/worksheet" Target="/xl/worksheets/sheet6.xml" Id="R5f7c48bdbbee48c3" /></Relationships>
</file>

<file path=xl/tables/table1.xml><?xml version="1.0" encoding="utf-8"?>
<x:table xmlns:x="http://schemas.openxmlformats.org/spreadsheetml/2006/main" id="1" name="LME066SpeciesTable" displayName="LME066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6CommercialTable" displayName="LME066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6FunctionalTable" displayName="LME066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6ValidationTable" displayName="LME06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7ea464897445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db6286b5ee46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b03d1450fb43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5bcec4987549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LME_066</x:v>
      </x:c>
      <x:c r="B2" s="46" t="str">
        <x:v>Canadian High Arctic - North Greenland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53.2934168243</x:v>
      </x:c>
      <x:c r="J2" s="60" t="n">
        <x:v>49.6927173578</x:v>
      </x:c>
      <x:c r="K2" s="60" t="n">
        <x:v>3.6006994665</x:v>
      </x:c>
      <x:c r="L2" s="60" t="n">
        <x:v>49.623786080100004</x:v>
      </x:c>
      <x:c r="M2" s="60" t="n">
        <x:v>3.6696307442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49319.87365362609</x:v>
      </x:c>
    </x:row>
    <x:row r="3" ht="18" customHeight="1">
      <x:c r="A3" s="46" t="str">
        <x:v>LME_066</x:v>
      </x:c>
      <x:c r="B3" s="46" t="str">
        <x:v>Canadian High Arctic - North Greenland</x:v>
      </x:c>
      <x:c r="C3" s="46" t="str">
        <x:v>LME</x:v>
      </x:c>
      <x:c r="D3" s="58" t="n">
        <x:v>2019</x:v>
      </x:c>
      <x:c r="E3" s="46" t="str">
        <x:v>Salvelinus alpinus</x:v>
      </x:c>
      <x:c r="F3" s="46" t="str">
        <x:v>Arctic char</x:v>
      </x:c>
      <x:c r="G3" s="46" t="str">
        <x:v>Medium benthopelagics (30 - 89 cm)</x:v>
      </x:c>
      <x:c r="H3" s="46" t="str">
        <x:v>Salmon, smelts, etc</x:v>
      </x:c>
      <x:c r="I3" s="60" t="n">
        <x:v>0.1267809772</x:v>
      </x:c>
      <x:c r="J3" s="60" t="n">
        <x:v>0.1260434327</x:v>
      </x:c>
      <x:c r="K3" s="60" t="n">
        <x:v>0.0007375445</x:v>
      </x:c>
      <x:c r="L3" s="60" t="n">
        <x:v>0.0054960635</x:v>
      </x:c>
      <x:c r="M3" s="60" t="n">
        <x:v>0.1212849137</x:v>
      </x:c>
      <x:c r="N3" s="46" t="str">
        <x:v>salvelinus alpinus</x:v>
      </x:c>
      <x:c r="O3" s="62" t="n">
        <x:v>4.39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Salvelinus alpinus</x:v>
      </x:c>
      <x:c r="T3" s="62" t="n">
        <x:f>IF(O3="","",(1/'Metadata'!$B$5)^(O3-1))</x:f>
        <x:v>25733.07497204781</x:v>
      </x:c>
      <x:c r="U3" s="60" t="n">
        <x:f>IF(T3="","",I3*T3)</x:f>
        <x:v>3262.464391317084</x:v>
      </x:c>
    </x:row>
    <x:row r="4" ht="18" customHeight="1">
      <x:c r="A4" s="46" t="str">
        <x:v>LME_066</x:v>
      </x:c>
      <x:c r="B4" s="46" t="str">
        <x:v>Canadian High Arctic - North Greenland</x:v>
      </x:c>
      <x:c r="C4" s="46" t="str">
        <x:v>LME</x:v>
      </x:c>
      <x:c r="D4" s="58" t="n">
        <x:v>2019</x:v>
      </x:c>
      <x:c r="E4" s="46" t="str">
        <x:v>Anarhichadidae</x:v>
      </x:c>
      <x:c r="F4" s="46" t="str">
        <x:v>Wolffishes, wolfeels</x:v>
      </x:c>
      <x:c r="G4" s="46" t="str">
        <x:v>Large demersals (&gt;=90 cm)</x:v>
      </x:c>
      <x:c r="H4" s="46" t="str">
        <x:v>Perch-likes</x:v>
      </x:c>
      <x:c r="I4" s="60" t="n">
        <x:v>0.0728773236</x:v>
      </x:c>
      <x:c r="J4" s="60" t="n">
        <x:v>0.0728773236</x:v>
      </x:c>
      <x:c r="K4" s="60" t="n">
        <x:v>0</x:v>
      </x:c>
      <x:c r="L4" s="60" t="n">
        <x:v>0.0447753428</x:v>
      </x:c>
      <x:c r="M4" s="60" t="n">
        <x:v>0.0281019808</x:v>
      </x:c>
      <x:c r="N4" s="46" t="str">
        <x:v>anarhichadidae</x:v>
      </x:c>
      <x:c r="O4" s="62" t="n">
        <x:v>3.47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Anarhichadidae</x:v>
      </x:c>
      <x:c r="T4" s="62" t="n">
        <x:f>IF(O4="","",(1/'Metadata'!$B$5)^(O4-1))</x:f>
        <x:v>1635.0991368927735</x:v>
      </x:c>
      <x:c r="U4" s="60" t="n">
        <x:f>IF(T4="","",I4*T4)</x:f>
        <x:v>119.16164891741535</x:v>
      </x:c>
    </x:row>
    <x:row r="5" ht="18" customHeight="1">
      <x:c r="A5" s="46" t="str">
        <x:v>LME_066</x:v>
      </x:c>
      <x:c r="B5" s="46" t="str">
        <x:v>Canadian High Arctic - North Greenland</x:v>
      </x:c>
      <x:c r="C5" s="46" t="str">
        <x:v>LME</x:v>
      </x:c>
      <x:c r="D5" s="58" t="n">
        <x:v>2019</x:v>
      </x:c>
      <x:c r="E5" s="46" t="str">
        <x:v>Myoxocephalus</x:v>
      </x:c>
      <x:c r="F5" s="46" t="str">
        <x:v>Grubbies and sculpins</x:v>
      </x:c>
      <x:c r="G5" s="46" t="str">
        <x:v>Large reef assoc. fish (&gt;=90 cm)</x:v>
      </x:c>
      <x:c r="H5" s="46" t="str">
        <x:v>Scorpionfishes</x:v>
      </x:c>
      <x:c r="I5" s="60" t="n">
        <x:v>0.039804677999999996</x:v>
      </x:c>
      <x:c r="J5" s="60" t="n">
        <x:v>0</x:v>
      </x:c>
      <x:c r="K5" s="60" t="n">
        <x:v>0.039804677999999996</x:v>
      </x:c>
      <x:c r="L5" s="60" t="n">
        <x:v>0</x:v>
      </x:c>
      <x:c r="M5" s="60" t="n">
        <x:v>0.039804677999999996</x:v>
      </x:c>
      <x:c r="N5" s="46" t="str">
        <x:v>myoxocephalus</x:v>
      </x:c>
      <x:c r="O5" s="62" t="n">
        <x:v>3.71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Myoxocephalus</x:v>
      </x:c>
      <x:c r="T5" s="62" t="n">
        <x:f>IF(O5="","",(1/'Metadata'!$B$5)^(O5-1))</x:f>
        <x:v>3355.7630537706395</x:v>
      </x:c>
      <x:c r="U5" s="60" t="n">
        <x:f>IF(T5="","",I5*T5)</x:f>
        <x:v>133.57506779963697</x:v>
      </x:c>
    </x:row>
    <x:row r="6" ht="18" customHeight="1">
      <x:c r="A6" s="46" t="str">
        <x:v>LME_066</x:v>
      </x:c>
      <x:c r="B6" s="46" t="str">
        <x:v>Canadian High Arctic - North Greenland</x:v>
      </x:c>
      <x:c r="C6" s="46" t="str">
        <x:v>LME</x:v>
      </x:c>
      <x:c r="D6" s="58" t="n">
        <x:v>2019</x:v>
      </x:c>
      <x:c r="E6" s="46" t="str">
        <x:v>Somniosus microcephalus</x:v>
      </x:c>
      <x:c r="F6" s="46" t="str">
        <x:v>Greenland shark</x:v>
      </x:c>
      <x:c r="G6" s="46" t="str">
        <x:v>Large sharks (&gt;=90 cm)</x:v>
      </x:c>
      <x:c r="H6" s="46" t="str">
        <x:v>Sharks &amp; rays</x:v>
      </x:c>
      <x:c r="I6" s="60" t="n">
        <x:v>0.0301222107</x:v>
      </x:c>
      <x:c r="J6" s="60" t="n">
        <x:v>0.0301222107</x:v>
      </x:c>
      <x:c r="K6" s="60" t="n">
        <x:v>0</x:v>
      </x:c>
      <x:c r="L6" s="60" t="n">
        <x:v>0.0301222107</x:v>
      </x:c>
      <x:c r="M6" s="60" t="n">
        <x:v>0</x:v>
      </x:c>
      <x:c r="N6" s="46" t="str">
        <x:v>somniosus microcephalus</x:v>
      </x:c>
      <x:c r="O6" s="62" t="n">
        <x:v>4.22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Somniosus microcephalus</x:v>
      </x:c>
      <x:c r="T6" s="62" t="n">
        <x:f>IF(O6="","",(1/'Metadata'!$B$5)^(O6-1))</x:f>
        <x:v>15463.812886046735</x:v>
      </x:c>
      <x:c r="U6" s="60" t="n">
        <x:f>IF(T6="","",I6*T6)</x:f>
        <x:v>465.80422997887484</x:v>
      </x:c>
    </x:row>
    <x:row r="7" ht="18" customHeight="1">
      <x:c r="A7" s="46" t="str">
        <x:v>LME_066</x:v>
      </x:c>
      <x:c r="B7" s="46" t="str">
        <x:v>Canadian High Arctic - North Greenland</x:v>
      </x:c>
      <x:c r="C7" s="46" t="str">
        <x:v>LME</x:v>
      </x:c>
      <x:c r="D7" s="58" t="n">
        <x:v>2019</x:v>
      </x:c>
      <x:c r="E7" s="46" t="str">
        <x:v>Anarhichas</x:v>
      </x:c>
      <x:c r="F7" s="46" t="str">
        <x:v>Wolffishes</x:v>
      </x:c>
      <x:c r="G7" s="46" t="str">
        <x:v>Large demersals (&gt;=90 cm)</x:v>
      </x:c>
      <x:c r="H7" s="46" t="str">
        <x:v>Perch-likes</x:v>
      </x:c>
      <x:c r="I7" s="60" t="n">
        <x:v>0.0101709244</x:v>
      </x:c>
      <x:c r="J7" s="60" t="n">
        <x:v>0</x:v>
      </x:c>
      <x:c r="K7" s="60" t="n">
        <x:v>0.0101709244</x:v>
      </x:c>
      <x:c r="L7" s="60" t="n">
        <x:v>0</x:v>
      </x:c>
      <x:c r="M7" s="60" t="n">
        <x:v>0.0101709244</x:v>
      </x:c>
      <x:c r="N7" s="46" t="str">
        <x:v>anarhichas</x:v>
      </x:c>
      <x:c r="O7" s="62" t="n">
        <x:v>3.35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Anarhichas</x:v>
      </x:c>
      <x:c r="T7" s="62" t="n">
        <x:f>IF(O7="","",(1/'Metadata'!$B$5)^(O7-1))</x:f>
        <x:v>1141.3543275066227</x:v>
      </x:c>
      <x:c r="U7" s="60" t="n">
        <x:f>IF(T7="","",I7*T7)</x:f>
        <x:v>11.6086285786827</x:v>
      </x:c>
    </x:row>
    <x:row r="8" ht="18" customHeight="1">
      <x:c r="A8" s="46" t="str">
        <x:v>LME_066</x:v>
      </x:c>
      <x:c r="B8" s="46" t="str">
        <x:v>Canadian High Arctic - North Greenland</x:v>
      </x:c>
      <x:c r="C8" s="46" t="str">
        <x:v>LME</x:v>
      </x:c>
      <x:c r="D8" s="58" t="n">
        <x:v>2019</x:v>
      </x:c>
      <x:c r="E8" s="46" t="str">
        <x:v>Sebastes</x:v>
      </x:c>
      <x:c r="F8" s="46" t="str">
        <x:v>Redfishes</x:v>
      </x:c>
      <x:c r="G8" s="46" t="str">
        <x:v>Large reef assoc. fish (&gt;=90 cm)</x:v>
      </x:c>
      <x:c r="H8" s="46" t="str">
        <x:v>Scorpionfishes</x:v>
      </x:c>
      <x:c r="I8" s="60" t="n">
        <x:v>0.0067871958</x:v>
      </x:c>
      <x:c r="J8" s="60" t="n">
        <x:v>0.0054535133</x:v>
      </x:c>
      <x:c r="K8" s="60" t="n">
        <x:v>0.0013336825</x:v>
      </x:c>
      <x:c r="L8" s="60" t="n">
        <x:v>0.0029949846</x:v>
      </x:c>
      <x:c r="M8" s="60" t="n">
        <x:v>0.0037922112000000003</x:v>
      </x:c>
      <x:c r="N8" s="46" t="str">
        <x:v>sebastes</x:v>
      </x:c>
      <x:c r="O8" s="62" t="n">
        <x:v>3.79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Sebastes</x:v>
      </x:c>
      <x:c r="T8" s="62" t="n">
        <x:f>IF(O8="","",(1/'Metadata'!$B$5)^(O8-1))</x:f>
        <x:v>4264.554685980751</x:v>
      </x:c>
      <x:c r="U8" s="60" t="n">
        <x:f>IF(T8="","",I8*T8)</x:f>
        <x:v>28.94436765355887</x:v>
      </x:c>
    </x:row>
    <x:row r="9" ht="18" customHeight="1">
      <x:c r="A9" s="46" t="str">
        <x:v>LME_066</x:v>
      </x:c>
      <x:c r="B9" s="46" t="str">
        <x:v>Canadian High Arctic - North Greenland</x:v>
      </x:c>
      <x:c r="C9" s="46" t="str">
        <x:v>LME</x:v>
      </x:c>
      <x:c r="D9" s="58" t="n">
        <x:v>2019</x:v>
      </x:c>
      <x:c r="E9" s="46" t="str">
        <x:v>Chionoecetes</x:v>
      </x:c>
      <x:c r="F9" s="46" t="str">
        <x:v>Tanner, snow crabs</x:v>
      </x:c>
      <x:c r="G9" s="46" t="str">
        <x:v>Lobsters, crabs</x:v>
      </x:c>
      <x:c r="H9" s="46" t="str">
        <x:v>Crustaceans</x:v>
      </x:c>
      <x:c r="I9" s="60" t="n">
        <x:v>0.0048176757</x:v>
      </x:c>
      <x:c r="J9" s="60" t="n">
        <x:v>0</x:v>
      </x:c>
      <x:c r="K9" s="60" t="n">
        <x:v>0.0048176757</x:v>
      </x:c>
      <x:c r="L9" s="60" t="n">
        <x:v>0</x:v>
      </x:c>
      <x:c r="M9" s="60" t="n">
        <x:v>0.0048176757</x:v>
      </x:c>
      <x:c r="N9" s="46" t="str">
        <x:v>chionoecetes</x:v>
      </x:c>
      <x:c r="O9" s="62" t="n">
        <x:v>2.3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Chionoecetes</x:v>
      </x:c>
      <x:c r="T9" s="62" t="n">
        <x:f>IF(O9="","",(1/'Metadata'!$B$5)^(O9-1))</x:f>
        <x:v>49.12912104463159</x:v>
      </x:c>
      <x:c r="U9" s="60" t="n">
        <x:f>IF(T9="","",I9*T9)</x:f>
        <x:v>0.23668817261908023</x:v>
      </x:c>
    </x:row>
    <x:row r="10" ht="18" customHeight="1">
      <x:c r="A10" s="46" t="str">
        <x:v>LME_066</x:v>
      </x:c>
      <x:c r="B10" s="46" t="str">
        <x:v>Canadian High Arctic - North Greenland</x:v>
      </x:c>
      <x:c r="C10" s="46" t="str">
        <x:v>LME</x:v>
      </x:c>
      <x:c r="D10" s="58" t="n">
        <x:v>2019</x:v>
      </x:c>
      <x:c r="E10" s="46" t="str">
        <x:v>Mollusca</x:v>
      </x:c>
      <x:c r="F10" s="46" t="str">
        <x:v>Clams, seasnails, squids, octopuses</x:v>
      </x:c>
      <x:c r="G10" s="46" t="str">
        <x:v>Other demersal invertebrates</x:v>
      </x:c>
      <x:c r="H10" s="46" t="str">
        <x:v>Molluscs</x:v>
      </x:c>
      <x:c r="I10" s="60" t="n">
        <x:v>0.0032019085</x:v>
      </x:c>
      <x:c r="J10" s="60" t="n">
        <x:v>0</x:v>
      </x:c>
      <x:c r="K10" s="60" t="n">
        <x:v>0.0032019085</x:v>
      </x:c>
      <x:c r="L10" s="60" t="n">
        <x:v>0</x:v>
      </x:c>
      <x:c r="M10" s="60" t="n">
        <x:v>0.0032019085</x:v>
      </x:c>
      <x:c r="N10" s="46" t="str">
        <x:v>mollusca</x:v>
      </x:c>
      <x:c r="O10" s="62" t="n">
        <x:v>2.1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Mollusca</x:v>
      </x:c>
      <x:c r="T10" s="62" t="n">
        <x:f>IF(O10="","",(1/'Metadata'!$B$5)^(O10-1))</x:f>
        <x:v>26.985656953471274</x:v>
      </x:c>
      <x:c r="U10" s="60" t="n">
        <x:f>IF(T10="","",I10*T10)</x:f>
        <x:v>0.08640560437740377</x:v>
      </x:c>
    </x:row>
    <x:row r="11" ht="18" customHeight="1">
      <x:c r="A11" s="46" t="str">
        <x:v>LME_066</x:v>
      </x:c>
      <x:c r="B11" s="46" t="str">
        <x:v>Canadian High Arctic - North Greenland</x:v>
      </x:c>
      <x:c r="C11" s="46" t="str">
        <x:v>LME</x:v>
      </x:c>
      <x:c r="D11" s="58" t="n">
        <x:v>2019</x:v>
      </x:c>
      <x:c r="E11" s="46" t="str">
        <x:v>Cottidae</x:v>
      </x:c>
      <x:c r="F11" s="46" t="str">
        <x:v>Sculpins</x:v>
      </x:c>
      <x:c r="G11" s="46" t="str">
        <x:v>Large reef assoc. fish (&gt;=90 cm)</x:v>
      </x:c>
      <x:c r="H11" s="46" t="str">
        <x:v>Scorpionfishes</x:v>
      </x:c>
      <x:c r="I11" s="60" t="n">
        <x:v>0.0011157579</x:v>
      </x:c>
      <x:c r="J11" s="60" t="n">
        <x:v>0</x:v>
      </x:c>
      <x:c r="K11" s="60" t="n">
        <x:v>0.0011157579</x:v>
      </x:c>
      <x:c r="L11" s="60" t="n">
        <x:v>0</x:v>
      </x:c>
      <x:c r="M11" s="60" t="n">
        <x:v>0.0011157579</x:v>
      </x:c>
      <x:c r="N11" s="46" t="str">
        <x:v>cottidae</x:v>
      </x:c>
      <x:c r="O11" s="62" t="n">
        <x:v>3.81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Cottidae</x:v>
      </x:c>
      <x:c r="T11" s="62" t="n">
        <x:f>IF(O11="","",(1/'Metadata'!$B$5)^(O11-1))</x:f>
        <x:v>4527.873529309382</x:v>
      </x:c>
      <x:c r="U11" s="60" t="n">
        <x:f>IF(T11="","",I11*T11)</x:f>
        <x:v>5.052010660527825</x:v>
      </x:c>
    </x:row>
    <x:row r="12" ht="18" customHeight="1">
      <x:c r="A12" s="46" t="str">
        <x:v>LME_066</x:v>
      </x:c>
      <x:c r="B12" s="46" t="str">
        <x:v>Canadian High Arctic - North Greenland</x:v>
      </x:c>
      <x:c r="C12" s="46" t="str">
        <x:v>LME</x:v>
      </x:c>
      <x:c r="D12" s="58" t="n">
        <x:v>2019</x:v>
      </x:c>
      <x:c r="E12" s="46" t="str">
        <x:v>Buccinum undatum</x:v>
      </x:c>
      <x:c r="F12" s="46" t="str">
        <x:v>Whelk</x:v>
      </x:c>
      <x:c r="G12" s="46" t="str">
        <x:v>Other demersal invertebrates</x:v>
      </x:c>
      <x:c r="H12" s="46" t="str">
        <x:v>Molluscs</x:v>
      </x:c>
      <x:c r="I12" s="60" t="n">
        <x:v>0.0009827548</x:v>
      </x:c>
      <x:c r="J12" s="60" t="n">
        <x:v>0</x:v>
      </x:c>
      <x:c r="K12" s="60" t="n">
        <x:v>0.0009827548</x:v>
      </x:c>
      <x:c r="L12" s="60" t="n">
        <x:v>0</x:v>
      </x:c>
      <x:c r="M12" s="60" t="n">
        <x:v>0.0009827548</x:v>
      </x:c>
      <x:c r="N12" s="46" t="str">
        <x:v>buccinum undatum</x:v>
      </x:c>
      <x:c r="O12" s="62" t="n">
        <x:v>3.75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Buccinum undatum</x:v>
      </x:c>
      <x:c r="T12" s="62" t="n">
        <x:f>IF(O12="","",(1/'Metadata'!$B$5)^(O12-1))</x:f>
        <x:v>3782.966436012703</x:v>
      </x:c>
      <x:c r="U12" s="60" t="n">
        <x:f>IF(T12="","",I12*T12)</x:f>
        <x:v>3.7177284232303767</x:v>
      </x:c>
    </x:row>
    <x:row r="13" ht="18" customHeight="1">
      <x:c r="A13" s="46" t="str">
        <x:v>LME_066</x:v>
      </x:c>
      <x:c r="B13" s="46" t="str">
        <x:v>Canadian High Arctic - North Greenland</x:v>
      </x:c>
      <x:c r="C13" s="46" t="str">
        <x:v>LME</x:v>
      </x:c>
      <x:c r="D13" s="58" t="n">
        <x:v>2019</x:v>
      </x:c>
      <x:c r="E13" s="46" t="str">
        <x:v>Lycodes</x:v>
      </x:c>
      <x:c r="F13" s="46" t="str">
        <x:v>Eelpouts</x:v>
      </x:c>
      <x:c r="G13" s="46" t="str">
        <x:v>Medium bathydemersals (30 - 89 cm)</x:v>
      </x:c>
      <x:c r="H13" s="46" t="str">
        <x:v>Perch-likes</x:v>
      </x:c>
      <x:c r="I13" s="60" t="n">
        <x:v>0.0005845237</x:v>
      </x:c>
      <x:c r="J13" s="60" t="n">
        <x:v>0</x:v>
      </x:c>
      <x:c r="K13" s="60" t="n">
        <x:v>0.0005845237</x:v>
      </x:c>
      <x:c r="L13" s="60" t="n">
        <x:v>0</x:v>
      </x:c>
      <x:c r="M13" s="60" t="n">
        <x:v>0.0005845237</x:v>
      </x:c>
      <x:c r="N13" s="46" t="str">
        <x:v>lycodes</x:v>
      </x:c>
      <x:c r="O13" s="62" t="n">
        <x:v>3.3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Lycodes</x:v>
      </x:c>
      <x:c r="T13" s="62" t="n">
        <x:f>IF(O13="","",(1/'Metadata'!$B$5)^(O13-1))</x:f>
        <x:v>982.5824208926318</x:v>
      </x:c>
      <x:c r="U13" s="60" t="n">
        <x:f>IF(T13="","",I13*T13)</x:f>
        <x:v>0.5743427122151185</x:v>
      </x:c>
    </x:row>
    <x:row r="14" ht="18" customHeight="1">
      <x:c r="A14" s="46" t="str">
        <x:v>LME_066</x:v>
      </x:c>
      <x:c r="B14" s="46" t="str">
        <x:v>Canadian High Arctic - North Greenland</x:v>
      </x:c>
      <x:c r="C14" s="46" t="str">
        <x:v>LME</x:v>
      </x:c>
      <x:c r="D14" s="58" t="n">
        <x:v>2019</x:v>
      </x:c>
      <x:c r="E14" s="46" t="str">
        <x:v>Brachyura</x:v>
      </x:c>
      <x:c r="F14" s="46" t="str">
        <x:v>Marine crabs</x:v>
      </x:c>
      <x:c r="G14" s="46" t="str">
        <x:v>Lobsters, crabs</x:v>
      </x:c>
      <x:c r="H14" s="46" t="str">
        <x:v>Crustaceans</x:v>
      </x:c>
      <x:c r="I14" s="60" t="n">
        <x:v>0.0004241661</x:v>
      </x:c>
      <x:c r="J14" s="60" t="n">
        <x:v>0</x:v>
      </x:c>
      <x:c r="K14" s="60" t="n">
        <x:v>0.0004241661</x:v>
      </x:c>
      <x:c r="L14" s="60" t="n">
        <x:v>0</x:v>
      </x:c>
      <x:c r="M14" s="60" t="n">
        <x:v>0.0004241661</x:v>
      </x:c>
      <x:c r="N14" s="46" t="str">
        <x:v>brachyura</x:v>
      </x:c>
      <x:c r="O14" s="62" t="n">
        <x:v>2.6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Brachyura</x:v>
      </x:c>
      <x:c r="T14" s="62" t="n">
        <x:f>IF(O14="","",(1/'Metadata'!$B$5)^(O14-1))</x:f>
        <x:v>120.6835267309033</x:v>
      </x:c>
      <x:c r="U14" s="60" t="n">
        <x:f>IF(T14="","",I14*T14)</x:f>
        <x:v>0.051189860867693</x:v>
      </x:c>
    </x:row>
    <x:row r="15" ht="18" customHeight="1">
      <x:c r="A15" s="46" t="str">
        <x:v>LME_066</x:v>
      </x:c>
      <x:c r="B15" s="46" t="str">
        <x:v>Canadian High Arctic - North Greenland</x:v>
      </x:c>
      <x:c r="C15" s="46" t="str">
        <x:v>LME</x:v>
      </x:c>
      <x:c r="D15" s="58" t="n">
        <x:v>2019</x:v>
      </x:c>
      <x:c r="E15" s="46" t="str">
        <x:v>Strongylocentrotus droebachiensis</x:v>
      </x:c>
      <x:c r="F15" s="46" t="str">
        <x:v>Green sea urchin</x:v>
      </x:c>
      <x:c r="G15" s="46" t="str">
        <x:v>Other demersal invertebrates</x:v>
      </x:c>
      <x:c r="H15" s="46" t="str">
        <x:v>Other fishes &amp; inverts</x:v>
      </x:c>
      <x:c r="I15" s="60" t="n">
        <x:v>0.0003500348</x:v>
      </x:c>
      <x:c r="J15" s="60" t="n">
        <x:v>0</x:v>
      </x:c>
      <x:c r="K15" s="60" t="n">
        <x:v>0.0003500348</x:v>
      </x:c>
      <x:c r="L15" s="60" t="n">
        <x:v>0</x:v>
      </x:c>
      <x:c r="M15" s="60" t="n">
        <x:v>0.0003500348</x:v>
      </x:c>
      <x:c r="N15" s="46" t="str">
        <x:v>strongylocentrotus droebachiensis</x:v>
      </x:c>
      <x:c r="O15" s="62" t="n">
        <x:v>2.3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Strongylocentrotus droebachiensis</x:v>
      </x:c>
      <x:c r="T15" s="62" t="n">
        <x:f>IF(O15="","",(1/'Metadata'!$B$5)^(O15-1))</x:f>
        <x:v>49.12912104463159</x:v>
      </x:c>
      <x:c r="U15" s="60" t="n">
        <x:f>IF(T15="","",I15*T15)</x:f>
        <x:v>0.01719690205903341</x:v>
      </x:c>
    </x:row>
    <x:row r="16" ht="18" customHeight="1">
      <x:c r="A16" s="46" t="str">
        <x:v>LME_066</x:v>
      </x:c>
      <x:c r="B16" s="46" t="str">
        <x:v>Canadian High Arctic - North Greenland</x:v>
      </x:c>
      <x:c r="C16" s="46" t="str">
        <x:v>LME</x:v>
      </x:c>
      <x:c r="D16" s="58" t="n">
        <x:v>2019</x:v>
      </x:c>
      <x:c r="E16" s="46" t="str">
        <x:v>Miscellaneous aquatic invertebrates</x:v>
      </x:c>
      <x:c r="F16" s="46" t="str">
        <x:v>Aquatic invertebrates</x:v>
      </x:c>
      <x:c r="G16" s="46" t="str">
        <x:v>Other demersal invertebrates</x:v>
      </x:c>
      <x:c r="H16" s="46" t="str">
        <x:v>Other fishes &amp; inverts</x:v>
      </x:c>
      <x:c r="I16" s="60" t="n">
        <x:v>0.000216775</x:v>
      </x:c>
      <x:c r="J16" s="60" t="n">
        <x:v>0</x:v>
      </x:c>
      <x:c r="K16" s="60" t="n">
        <x:v>0.000216775</x:v>
      </x:c>
      <x:c r="L16" s="60" t="n">
        <x:v>0</x:v>
      </x:c>
      <x:c r="M16" s="60" t="n">
        <x:v>0.000216775</x:v>
      </x:c>
      <x:c r="N16" s="46" t="str">
        <x:v>miscellaneous aquatic invertebrates</x:v>
      </x:c>
      <x:c r="O16" s="62" t="n">
        <x:v>2.43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Miscellaneous aquatic invertebrates</x:v>
      </x:c>
      <x:c r="T16" s="62" t="n">
        <x:f>IF(O16="","",(1/'Metadata'!$B$5)^(O16-1))</x:f>
        <x:v>72.52252122305909</x:v>
      </x:c>
      <x:c r="U16" s="60" t="n">
        <x:f>IF(T16="","",I16*T16)</x:f>
        <x:v>0.015721069538128633</x:v>
      </x:c>
    </x:row>
    <x:row r="17" ht="18" customHeight="1">
      <x:c r="A17" s="46" t="str">
        <x:v>LME_066</x:v>
      </x:c>
      <x:c r="B17" s="46" t="str">
        <x:v>Canadian High Arctic - North Greenland</x:v>
      </x:c>
      <x:c r="C17" s="46" t="str">
        <x:v>LME</x:v>
      </x:c>
      <x:c r="D17" s="58" t="n">
        <x:v>2019</x:v>
      </x:c>
      <x:c r="E17" s="46" t="str">
        <x:v>Elasmobranchii</x:v>
      </x:c>
      <x:c r="F17" s="46" t="str">
        <x:v>Sharks, rays, skates</x:v>
      </x:c>
      <x:c r="G17" s="46" t="str">
        <x:v>Large sharks (&gt;=90 cm)</x:v>
      </x:c>
      <x:c r="H17" s="46" t="str">
        <x:v>Sharks &amp; rays</x:v>
      </x:c>
      <x:c r="I17" s="60" t="n">
        <x:v>0.0001093427</x:v>
      </x:c>
      <x:c r="J17" s="60" t="n">
        <x:v>0</x:v>
      </x:c>
      <x:c r="K17" s="60" t="n">
        <x:v>0.0001093427</x:v>
      </x:c>
      <x:c r="L17" s="60" t="n">
        <x:v>0</x:v>
      </x:c>
      <x:c r="M17" s="60" t="n">
        <x:v>0.0001093427</x:v>
      </x:c>
      <x:c r="N17" s="46" t="str">
        <x:v>elasmobranchii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Elasmobranchii</x:v>
      </x:c>
      <x:c r="T17" s="62" t="n">
        <x:f>IF(O17="","",(1/'Metadata'!$B$5)^(O17-1))</x:f>
        <x:v>9292.690797132333</x:v>
      </x:c>
      <x:c r="U17" s="60" t="n">
        <x:f>IF(T17="","",I17*T17)</x:f>
        <x:v>1.0160879020236016</x:v>
      </x:c>
    </x:row>
    <x:row r="18" ht="18" customHeight="1">
      <x:c r="A18" s="46" t="str">
        <x:v>LME_066</x:v>
      </x:c>
      <x:c r="B18" s="46" t="str">
        <x:v>Canadian High Arctic - North Greenland</x:v>
      </x:c>
      <x:c r="C18" s="46" t="str">
        <x:v>LME</x:v>
      </x:c>
      <x:c r="D18" s="58" t="n">
        <x:v>2019</x:v>
      </x:c>
      <x:c r="E18" s="46" t="str">
        <x:v>Gadidae</x:v>
      </x:c>
      <x:c r="F18" s="46" t="str">
        <x:v>Cods, haddocks</x:v>
      </x:c>
      <x:c r="G18" s="46" t="str">
        <x:v>Medium demersals (30 - 89 cm)</x:v>
      </x:c>
      <x:c r="H18" s="46" t="str">
        <x:v>Cod-likes</x:v>
      </x:c>
      <x:c r="I18" s="60" t="n">
        <x:v>0.0000800172</x:v>
      </x:c>
      <x:c r="J18" s="60" t="n">
        <x:v>0</x:v>
      </x:c>
      <x:c r="K18" s="60" t="n">
        <x:v>0.0000800172</x:v>
      </x:c>
      <x:c r="L18" s="60" t="n">
        <x:v>0</x:v>
      </x:c>
      <x:c r="M18" s="60" t="n">
        <x:v>0.0000800172</x:v>
      </x:c>
      <x:c r="N18" s="46" t="str">
        <x:v>gadidae</x:v>
      </x:c>
      <x:c r="O18" s="62" t="n">
        <x:v>3.84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Gadidae</x:v>
      </x:c>
      <x:c r="T18" s="62" t="n">
        <x:f>IF(O18="","",(1/'Metadata'!$B$5)^(O18-1))</x:f>
        <x:v>4953.648510535111</x:v>
      </x:c>
      <x:c r="U18" s="60" t="n">
        <x:f>IF(T18="","",I18*T18)</x:f>
        <x:v>0.3963770835971901</x:v>
      </x:c>
    </x:row>
    <x:row r="19" ht="18" customHeight="1">
      <x:c r="A19" s="46" t="str">
        <x:v>LME_066</x:v>
      </x:c>
      <x:c r="B19" s="46" t="str">
        <x:v>Canadian High Arctic - North Greenland</x:v>
      </x:c>
      <x:c r="C19" s="46" t="str">
        <x:v>LME</x:v>
      </x:c>
      <x:c r="D19" s="58" t="n">
        <x:v>2019</x:v>
      </x:c>
      <x:c r="E19" s="46" t="str">
        <x:v>Sebastes mentella</x:v>
      </x:c>
      <x:c r="F19" s="46" t="str">
        <x:v>Beaked redfish</x:v>
      </x:c>
      <x:c r="G19" s="46" t="str">
        <x:v>Medium bathypelagics (30 - 89 cm)</x:v>
      </x:c>
      <x:c r="H19" s="46" t="str">
        <x:v>Scorpionfishes</x:v>
      </x:c>
      <x:c r="I19" s="60" t="n">
        <x:v>0.0000578618</x:v>
      </x:c>
      <x:c r="J19" s="60" t="n">
        <x:v>0</x:v>
      </x:c>
      <x:c r="K19" s="60" t="n">
        <x:v>0.0000578618</x:v>
      </x:c>
      <x:c r="L19" s="60" t="n">
        <x:v>0</x:v>
      </x:c>
      <x:c r="M19" s="60" t="n">
        <x:v>0.0000578618</x:v>
      </x:c>
      <x:c r="N19" s="46" t="str">
        <x:v>sebastes mentella</x:v>
      </x:c>
      <x:c r="O19" s="62" t="n">
        <x:v>3.65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Sebastes mentella</x:v>
      </x:c>
      <x:c r="T19" s="62" t="n">
        <x:f>IF(O19="","",(1/'Metadata'!$B$5)^(O19-1))</x:f>
        <x:v>2803.6867455443476</x:v>
      </x:c>
      <x:c r="U19" s="60" t="n">
        <x:f>IF(T19="","",I19*T19)</x:f>
        <x:v>0.16222636173333793</x:v>
      </x:c>
    </x:row>
    <x:row r="20" ht="18" customHeight="1">
      <x:c r="A20" s="46" t="str">
        <x:v>LME_066</x:v>
      </x:c>
      <x:c r="B20" s="46" t="str">
        <x:v>Canadian High Arctic - North Greenland</x:v>
      </x:c>
      <x:c r="C20" s="46" t="str">
        <x:v>LME</x:v>
      </x:c>
      <x:c r="D20" s="58" t="n">
        <x:v>2019</x:v>
      </x:c>
      <x:c r="E20" s="46" t="str">
        <x:v>Scorpaeniformes</x:v>
      </x:c>
      <x:c r="F20" s="46" t="str">
        <x:v>Scorpionfishes, flatheads</x:v>
      </x:c>
      <x:c r="G20" s="46" t="str">
        <x:v>Medium demersals (30 - 89 cm)</x:v>
      </x:c>
      <x:c r="H20" s="46" t="str">
        <x:v>Scorpionfishes</x:v>
      </x:c>
      <x:c r="I20" s="60" t="n">
        <x:v>0.0000171512</x:v>
      </x:c>
      <x:c r="J20" s="60" t="n">
        <x:v>0</x:v>
      </x:c>
      <x:c r="K20" s="60" t="n">
        <x:v>0.0000171512</x:v>
      </x:c>
      <x:c r="L20" s="60" t="n">
        <x:v>0</x:v>
      </x:c>
      <x:c r="M20" s="60" t="n">
        <x:v>0.0000171512</x:v>
      </x:c>
      <x:c r="N20" s="46" t="str">
        <x:v>scorpaeniformes</x:v>
      </x:c>
      <x:c r="O20" s="62" t="n">
        <x:v>3.78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Scorpaeniformes</x:v>
      </x:c>
      <x:c r="T20" s="62" t="n">
        <x:f>IF(O20="","",(1/'Metadata'!$B$5)^(O20-1))</x:f>
        <x:v>4138.694671981463</x:v>
      </x:c>
      <x:c r="U20" s="60" t="n">
        <x:f>IF(T20="","",I20*T20)</x:f>
        <x:v>0.07098358005808847</x:v>
      </x:c>
    </x:row>
    <x:row r="21" ht="18" customHeight="1">
      <x:c r="A21" s="46" t="str">
        <x:v>LME_066</x:v>
      </x:c>
      <x:c r="B21" s="46" t="str">
        <x:v>Canadian High Arctic - North Greenland</x:v>
      </x:c>
      <x:c r="C21" s="46" t="str">
        <x:v>LME</x:v>
      </x:c>
      <x:c r="D21" s="58" t="n">
        <x:v>2019</x:v>
      </x:c>
      <x:c r="E21" s="46" t="str">
        <x:v>Echinoidea</x:v>
      </x:c>
      <x:c r="F21" s="46" t="str">
        <x:v>Sea urchins, sea hedgehogs</x:v>
      </x:c>
      <x:c r="G21" s="46" t="str">
        <x:v>Other demersal invertebrates</x:v>
      </x:c>
      <x:c r="H21" s="46" t="str">
        <x:v>Other fishes &amp; inverts</x:v>
      </x:c>
      <x:c r="I21" s="60" t="n">
        <x:v>0.0000149913</x:v>
      </x:c>
      <x:c r="J21" s="60" t="n">
        <x:v>0</x:v>
      </x:c>
      <x:c r="K21" s="60" t="n">
        <x:v>0.0000149913</x:v>
      </x:c>
      <x:c r="L21" s="60" t="n">
        <x:v>0</x:v>
      </x:c>
      <x:c r="M21" s="60" t="n">
        <x:v>0.0000149913</x:v>
      </x:c>
      <x:c r="N21" s="46" t="str">
        <x:v>echinoidea</x:v>
      </x:c>
      <x:c r="O21" s="62" t="n">
        <x:v>2.51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Echinoidea</x:v>
      </x:c>
      <x:c r="T21" s="62" t="n">
        <x:f>IF(O21="","",(1/'Metadata'!$B$5)^(O21-1))</x:f>
        <x:v>92.16272208892171</x:v>
      </x:c>
      <x:c r="U21" s="60" t="n">
        <x:f>IF(T21="","",I21*T21)</x:f>
        <x:v>0.0013816390156516521</x:v>
      </x:c>
    </x:row>
    <x:row r="22" ht="18" customHeight="1">
      <x:c r="A22" s="46" t="str">
        <x:v>LME_066</x:v>
      </x:c>
      <x:c r="B22" s="46" t="str">
        <x:v>Canadian High Arctic - North Greenland</x:v>
      </x:c>
      <x:c r="C22" s="46" t="str">
        <x:v>LME</x:v>
      </x:c>
      <x:c r="D22" s="58" t="n">
        <x:v>2019</x:v>
      </x:c>
      <x:c r="E22" s="46" t="str">
        <x:v>Rajidae</x:v>
      </x:c>
      <x:c r="F22" s="46" t="str">
        <x:v>Stingrays</x:v>
      </x:c>
      <x:c r="G22" s="46" t="str">
        <x:v>Large rays (&gt;=90 cm)</x:v>
      </x:c>
      <x:c r="H22" s="46" t="str">
        <x:v>Sharks &amp; rays</x:v>
      </x:c>
      <x:c r="I22" s="60" t="n">
        <x:v>9.892e-7</x:v>
      </x:c>
      <x:c r="J22" s="60" t="n">
        <x:v>0</x:v>
      </x:c>
      <x:c r="K22" s="60" t="n">
        <x:v>9.892e-7</x:v>
      </x:c>
      <x:c r="L22" s="60" t="n">
        <x:v>0</x:v>
      </x:c>
      <x:c r="M22" s="60" t="n">
        <x:v>9.892e-7</x:v>
      </x:c>
      <x:c r="N22" s="46" t="str">
        <x:v>rajidae</x:v>
      </x:c>
      <x:c r="O22" s="62" t="n">
        <x:v>3.82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Rajidae</x:v>
      </x:c>
      <x:c r="T22" s="62" t="n">
        <x:f>IF(O22="","",(1/'Metadata'!$B$5)^(O22-1))</x:f>
        <x:v>4665.56868948727</x:v>
      </x:c>
      <x:c r="U22" s="60" t="n">
        <x:f>IF(T22="","",I22*T22)</x:f>
        <x:v>0.004615180547640807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f7ea464897445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</x:v>
      </x:c>
      <x:c r="C2" s="64" t="n">
        <x:v>1</x:v>
      </x:c>
      <x:c r="D2" s="60" t="n">
        <x:v>0.0000800172</x:v>
      </x:c>
      <x:c r="E2" s="60" t="n">
        <x:v>0.0000800172</x:v>
      </x:c>
      <x:c r="F2" s="62" t="n">
        <x:v>0</x:v>
      </x:c>
      <x:c r="G2" s="66" t="n">
        <x:v>1</x:v>
      </x:c>
      <x:c r="H2" s="62" t="n">
        <x:f>IF(E2=0,"",I2/E2)</x:f>
        <x:v>4953.648510535111</x:v>
      </x:c>
      <x:c r="I2" s="60" t="n">
        <x:f>SUMIF('Species'!$H$2:$H$22,A2,'Species'!$U$2:$U$22)</x:f>
        <x:v>0.3963770835971901</x:v>
      </x:c>
      <x:c r="J2" s="62" t="n">
        <x:v>3.8400000000000003</x:v>
      </x:c>
      <x:c r="K2" s="62" t="n">
        <x:f>IF(J2="","",(1/'Metadata'!$B$5)^(J2-1))</x:f>
        <x:v>4953.648510535118</x:v>
      </x:c>
      <x:c r="L2" s="60" t="n">
        <x:f>IF(E2=0,"",E2*K2)</x:f>
        <x:v>0.39637708359719065</x:v>
      </x:c>
      <x:c r="M2" s="60" t="n">
        <x:f>I2-L2</x:f>
        <x:v>-5.551115123125783e-16</x:v>
      </x:c>
      <x:c r="N2" s="62" t="n">
        <x:f>IF(L2=0,"",I2/L2)</x:f>
        <x:v>0.9999999999999986</x:v>
      </x:c>
      <x:c r="O2" s="66" t="n">
        <x:f>IF(L2=0,"",M2/L2)</x:f>
        <x:v>-1.4004631833779218e-15</x:v>
      </x:c>
    </x:row>
    <x:row r="3" ht="18" customHeight="1">
      <x:c r="A3" s="46" t="str">
        <x:v>Crustaceans</x:v>
      </x:c>
      <x:c r="B3" s="64" t="n">
        <x:v>2</x:v>
      </x:c>
      <x:c r="C3" s="64" t="n">
        <x:v>2</x:v>
      </x:c>
      <x:c r="D3" s="60" t="n">
        <x:v>0.0052418418</x:v>
      </x:c>
      <x:c r="E3" s="60" t="n">
        <x:v>0.0052418418</x:v>
      </x:c>
      <x:c r="F3" s="62" t="n">
        <x:v>0</x:v>
      </x:c>
      <x:c r="G3" s="66" t="n">
        <x:v>1</x:v>
      </x:c>
      <x:c r="H3" s="62" t="n">
        <x:f>IF(E3=0,"",I3/E3)</x:f>
        <x:v>54.91925252051163</x:v>
      </x:c>
      <x:c r="I3" s="60" t="n">
        <x:f>SUMIF('Species'!$H$2:$H$22,A3,'Species'!$U$2:$U$22)</x:f>
        <x:v>0.2878780334867732</x:v>
      </x:c>
      <x:c r="J3" s="62" t="n">
        <x:v>2.3242757860414636</x:v>
      </x:c>
      <x:c r="K3" s="62" t="n">
        <x:f>IF(J3="","",(1/'Metadata'!$B$5)^(J3-1))</x:f>
        <x:v>52.835098349141745</x:v>
      </x:c>
      <x:c r="L3" s="60" t="n">
        <x:f>IF(E3=0,"",E3*K3)</x:f>
        <x:v>0.27695322703364217</x:v>
      </x:c>
      <x:c r="M3" s="60" t="n">
        <x:f>I3-L3</x:f>
        <x:v>0.010924806453131042</x:v>
      </x:c>
      <x:c r="N3" s="62" t="n">
        <x:f>IF(L3=0,"",I3/L3)</x:f>
        <x:v>1.03944639522761</x:v>
      </x:c>
      <x:c r="O3" s="66" t="n">
        <x:f>IF(L3=0,"",M3/L3)</x:f>
        <x:v>0.03944639522760997</x:v>
      </x:c>
    </x:row>
    <x:row r="4" ht="18" customHeight="1">
      <x:c r="A4" s="46" t="str">
        <x:v>Molluscs</x:v>
      </x:c>
      <x:c r="B4" s="64" t="n">
        <x:v>2</x:v>
      </x:c>
      <x:c r="C4" s="64" t="n">
        <x:v>2</x:v>
      </x:c>
      <x:c r="D4" s="60" t="n">
        <x:v>0.0041846633000000005</x:v>
      </x:c>
      <x:c r="E4" s="60" t="n">
        <x:v>0.0041846633000000005</x:v>
      </x:c>
      <x:c r="F4" s="62" t="n">
        <x:v>0</x:v>
      </x:c>
      <x:c r="G4" s="66" t="n">
        <x:v>1</x:v>
      </x:c>
      <x:c r="H4" s="62" t="n">
        <x:f>IF(E4=0,"",I4/E4)</x:f>
        <x:v>909.0657371664239</x:v>
      </x:c>
      <x:c r="I4" s="60" t="n">
        <x:f>SUMIF('Species'!$H$2:$H$22,A4,'Species'!$U$2:$U$22)</x:f>
        <x:v>3.8041340276077804</x:v>
      </x:c>
      <x:c r="J4" s="62" t="n">
        <x:v>2.4874972258819485</x:v>
      </x:c>
      <x:c r="K4" s="62" t="n">
        <x:f>IF(J4="","",(1/'Metadata'!$B$5)^(J4-1))</x:f>
        <x:v>86.15460772007813</x:v>
      </x:c>
      <x:c r="L4" s="60" t="n">
        <x:f>IF(E4=0,"",E4*K4)</x:f>
        <x:v>0.3605280250521077</x:v>
      </x:c>
      <x:c r="M4" s="60" t="n">
        <x:f>I4-L4</x:f>
        <x:v>3.443606002555673</x:v>
      </x:c>
      <x:c r="N4" s="62" t="n">
        <x:f>IF(L4=0,"",I4/L4)</x:f>
        <x:v>10.551562606146812</x:v>
      </x:c>
      <x:c r="O4" s="66" t="n">
        <x:f>IF(L4=0,"",M4/L4)</x:f>
        <x:v>9.551562606146813</x:v>
      </x:c>
    </x:row>
    <x:row r="5" ht="18" customHeight="1">
      <x:c r="A5" s="46" t="str">
        <x:v>Other fishes &amp; inverts</x:v>
      </x:c>
      <x:c r="B5" s="64" t="n">
        <x:v>4</x:v>
      </x:c>
      <x:c r="C5" s="64" t="n">
        <x:v>4</x:v>
      </x:c>
      <x:c r="D5" s="60" t="n">
        <x:v>53.2939986254</x:v>
      </x:c>
      <x:c r="E5" s="60" t="n">
        <x:v>53.2939986254</x:v>
      </x:c>
      <x:c r="F5" s="62" t="n">
        <x:v>0</x:v>
      </x:c>
      <x:c r="G5" s="66" t="n">
        <x:v>1</x:v>
      </x:c>
      <x:c r="H5" s="62" t="n">
        <x:f>IF(E5=0,"",I5/E5)</x:f>
        <x:v>925.4308031923647</x:v>
      </x:c>
      <x:c r="I5" s="60" t="n">
        <x:f>SUMIF('Species'!$H$2:$H$22,A5,'Species'!$U$2:$U$22)</x:f>
        <x:v>49319.9079532367</x:v>
      </x:c>
      <x:c r="J5" s="62" t="n">
        <x:v>3.27998988936524</x:v>
      </x:c>
      <x:c r="K5" s="62" t="n">
        <x:f>IF(J5="","",(1/'Metadata'!$B$5)^(J5-1))</x:f>
        <x:v>925.4122324579305</x:v>
      </x:c>
      <x:c r="L5" s="60" t="n">
        <x:f>IF(E5=0,"",E5*K5)</x:f>
        <x:v>49318.918244541295</x:v>
      </x:c>
      <x:c r="M5" s="60" t="n">
        <x:f>I5-L5</x:f>
        <x:v>0.9897086954078986</x:v>
      </x:c>
      <x:c r="N5" s="62" t="n">
        <x:f>IF(L5=0,"",I5/L5)</x:f>
        <x:v>1.0000200675264308</x:v>
      </x:c>
      <x:c r="O5" s="66" t="n">
        <x:f>IF(L5=0,"",M5/L5)</x:f>
        <x:v>0.000020067526430741236</x:v>
      </x:c>
    </x:row>
    <x:row r="6" ht="18" customHeight="1">
      <x:c r="A6" s="46" t="str">
        <x:v>Perch-likes</x:v>
      </x:c>
      <x:c r="B6" s="64" t="n">
        <x:v>3</x:v>
      </x:c>
      <x:c r="C6" s="64" t="n">
        <x:v>3</x:v>
      </x:c>
      <x:c r="D6" s="60" t="n">
        <x:v>0.08363277170000001</x:v>
      </x:c>
      <x:c r="E6" s="60" t="n">
        <x:v>0.08363277170000001</x:v>
      </x:c>
      <x:c r="F6" s="62" t="n">
        <x:v>0</x:v>
      </x:c>
      <x:c r="G6" s="66" t="n">
        <x:v>1</x:v>
      </x:c>
      <x:c r="H6" s="62" t="n">
        <x:f>IF(E6=0,"",I6/E6)</x:f>
        <x:v>1570.4922548718205</x:v>
      </x:c>
      <x:c r="I6" s="60" t="n">
        <x:f>SUMIF('Species'!$H$2:$H$22,A6,'Species'!$U$2:$U$22)</x:f>
        <x:v>131.3446202083132</x:v>
      </x:c>
      <x:c r="J6" s="62" t="n">
        <x:v>3.4542181488168953</x:v>
      </x:c>
      <x:c r="K6" s="62" t="n">
        <x:f>IF(J6="","",(1/'Metadata'!$B$5)^(J6-1))</x:f>
        <x:v>1559.5935395953722</x:v>
      </x:c>
      <x:c r="L6" s="60" t="n">
        <x:f>IF(E6=0,"",E6*K6)</x:f>
        <x:v>130.4331304417747</x:v>
      </x:c>
      <x:c r="M6" s="60" t="n">
        <x:f>I6-L6</x:f>
        <x:v>0.9114897665384945</x:v>
      </x:c>
      <x:c r="N6" s="62" t="n">
        <x:f>IF(L6=0,"",I6/L6)</x:f>
        <x:v>1.006988176726659</x:v>
      </x:c>
      <x:c r="O6" s="66" t="n">
        <x:f>IF(L6=0,"",M6/L6)</x:f>
        <x:v>0.006988176726659054</x:v>
      </x:c>
    </x:row>
    <x:row r="7" ht="18" customHeight="1">
      <x:c r="A7" s="46" t="str">
        <x:v>Salmon, smelts, etc</x:v>
      </x:c>
      <x:c r="B7" s="64" t="n">
        <x:v>1</x:v>
      </x:c>
      <x:c r="C7" s="64" t="n">
        <x:v>1</x:v>
      </x:c>
      <x:c r="D7" s="60" t="n">
        <x:v>0.1267809772</x:v>
      </x:c>
      <x:c r="E7" s="60" t="n">
        <x:v>0.1267809772</x:v>
      </x:c>
      <x:c r="F7" s="62" t="n">
        <x:v>0</x:v>
      </x:c>
      <x:c r="G7" s="66" t="n">
        <x:v>1</x:v>
      </x:c>
      <x:c r="H7" s="62" t="n">
        <x:f>IF(E7=0,"",I7/E7)</x:f>
        <x:v>25733.07497204781</x:v>
      </x:c>
      <x:c r="I7" s="60" t="n">
        <x:f>SUMIF('Species'!$H$2:$H$22,A7,'Species'!$U$2:$U$22)</x:f>
        <x:v>3262.464391317084</x:v>
      </x:c>
      <x:c r="J7" s="62" t="n">
        <x:v>4.39</x:v>
      </x:c>
      <x:c r="K7" s="62" t="n">
        <x:f>IF(J7="","",(1/'Metadata'!$B$5)^(J7-1))</x:f>
        <x:v>25733.07497204781</x:v>
      </x:c>
      <x:c r="L7" s="60" t="n">
        <x:f>IF(E7=0,"",E7*K7)</x:f>
        <x:v>3262.464391317084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Scorpionfishes</x:v>
      </x:c>
      <x:c r="B8" s="64" t="n">
        <x:v>5</x:v>
      </x:c>
      <x:c r="C8" s="64" t="n">
        <x:v>5</x:v>
      </x:c>
      <x:c r="D8" s="60" t="n">
        <x:v>0.0477826447</x:v>
      </x:c>
      <x:c r="E8" s="60" t="n">
        <x:v>0.0477826447</x:v>
      </x:c>
      <x:c r="F8" s="62" t="n">
        <x:v>0</x:v>
      </x:c>
      <x:c r="G8" s="66" t="n">
        <x:v>1</x:v>
      </x:c>
      <x:c r="H8" s="62" t="n">
        <x:f>IF(E8=0,"",I8/E8)</x:f>
        <x:v>3511.832739880032</x:v>
      </x:c>
      <x:c r="I8" s="60" t="n">
        <x:f>SUMIF('Species'!$H$2:$H$22,A8,'Species'!$U$2:$U$22)</x:f>
        <x:v>167.8046560555151</x:v>
      </x:c>
      <x:c r="J8" s="62" t="n">
        <x:v>3.7236509884309514</x:v>
      </x:c>
      <x:c r="K8" s="62" t="n">
        <x:f>IF(J8="","",(1/'Metadata'!$B$5)^(J8-1))</x:f>
        <x:v>3495.840694980452</x:v>
      </x:c>
      <x:c r="L8" s="60" t="n">
        <x:f>IF(E8=0,"",E8*K8)</x:f>
        <x:v>167.04051385605203</x:v>
      </x:c>
      <x:c r="M8" s="60" t="n">
        <x:f>I8-L8</x:f>
        <x:v>0.7641421994630662</x:v>
      </x:c>
      <x:c r="N8" s="62" t="n">
        <x:f>IF(L8=0,"",I8/L8)</x:f>
        <x:v>1.004574592006593</x:v>
      </x:c>
      <x:c r="O8" s="66" t="n">
        <x:f>IF(L8=0,"",M8/L8)</x:f>
        <x:v>0.0045745920065928996</x:v>
      </x:c>
    </x:row>
    <x:row r="9" ht="18" customHeight="1">
      <x:c r="A9" s="46" t="str">
        <x:v>Sharks &amp; rays</x:v>
      </x:c>
      <x:c r="B9" s="64" t="n">
        <x:v>3</x:v>
      </x:c>
      <x:c r="C9" s="64" t="n">
        <x:v>3</x:v>
      </x:c>
      <x:c r="D9" s="60" t="n">
        <x:v>0.0302325426</x:v>
      </x:c>
      <x:c r="E9" s="60" t="n">
        <x:v>0.0302325426</x:v>
      </x:c>
      <x:c r="F9" s="62" t="n">
        <x:v>0</x:v>
      </x:c>
      <x:c r="G9" s="66" t="n">
        <x:v>1</x:v>
      </x:c>
      <x:c r="H9" s="62" t="n">
        <x:f>IF(E9=0,"",I9/E9)</x:f>
        <x:v>15441.140338009352</x:v>
      </x:c>
      <x:c r="I9" s="60" t="n">
        <x:f>SUMIF('Species'!$H$2:$H$22,A9,'Species'!$U$2:$U$22)</x:f>
        <x:v>466.82493306144613</x:v>
      </x:c>
      <x:c r="J9" s="62" t="n">
        <x:v>4.219372069387243</x:v>
      </x:c>
      <x:c r="K9" s="62" t="n">
        <x:f>IF(J9="","",(1/'Metadata'!$B$5)^(J9-1))</x:f>
        <x:v>15434.75106486734</x:v>
      </x:c>
      <x:c r="L9" s="60" t="n">
        <x:f>IF(E9=0,"",E9*K9)</x:f>
        <x:v>466.6317690889972</x:v>
      </x:c>
      <x:c r="M9" s="60" t="n">
        <x:f>I9-L9</x:f>
        <x:v>0.1931639724489287</x:v>
      </x:c>
      <x:c r="N9" s="62" t="n">
        <x:f>IF(L9=0,"",I9/L9)</x:f>
        <x:v>1.0004139537537833</x:v>
      </x:c>
      <x:c r="O9" s="66" t="n">
        <x:f>IF(L9=0,"",M9/L9)</x:f>
        <x:v>0.00041395375378329197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4db6286b5ee46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demersals (&gt;=90 cm)</x:v>
      </x:c>
      <x:c r="B2" s="64" t="n">
        <x:v>2</x:v>
      </x:c>
      <x:c r="C2" s="64" t="n">
        <x:v>2</x:v>
      </x:c>
      <x:c r="D2" s="60" t="n">
        <x:v>0.083048248</x:v>
      </x:c>
      <x:c r="E2" s="60" t="n">
        <x:v>0.083048248</x:v>
      </x:c>
      <x:c r="F2" s="62" t="n">
        <x:v>0</x:v>
      </x:c>
      <x:c r="G2" s="66" t="n">
        <x:v>1</x:v>
      </x:c>
      <x:c r="H2" s="62" t="n">
        <x:f>IF(E2=0,"",I2/E2)</x:f>
        <x:v>1574.6301775818083</x:v>
      </x:c>
      <x:c r="I2" s="60" t="n">
        <x:f>SUMIF('Species'!$G$2:$G$22,A2,'Species'!$U$2:$U$22)</x:f>
        <x:v>130.77027749609806</x:v>
      </x:c>
      <x:c r="J2" s="62" t="n">
        <x:v>3.45530359209986</x:v>
      </x:c>
      <x:c r="K2" s="62" t="n">
        <x:f>IF(J2="","",(1/'Metadata'!$B$5)^(J2-1))</x:f>
        <x:v>1564.6731201221935</x:v>
      </x:c>
      <x:c r="L2" s="60" t="n">
        <x:f>IF(E2=0,"",E2*K2)</x:f>
        <x:v>129.9433613188417</x:v>
      </x:c>
      <x:c r="M2" s="60" t="n">
        <x:f>I2-L2</x:f>
        <x:v>0.8269161772563507</x:v>
      </x:c>
      <x:c r="N2" s="62" t="n">
        <x:f>IF(L2=0,"",I2/L2)</x:f>
        <x:v>1.0063636662070587</x:v>
      </x:c>
      <x:c r="O2" s="66" t="n">
        <x:f>IF(L2=0,"",M2/L2)</x:f>
        <x:v>0.006363666207058847</x:v>
      </x:c>
    </x:row>
    <x:row r="3" ht="18" customHeight="1">
      <x:c r="A3" s="46" t="str">
        <x:v>Large rays (&gt;=90 cm)</x:v>
      </x:c>
      <x:c r="B3" s="64" t="n">
        <x:v>1</x:v>
      </x:c>
      <x:c r="C3" s="64" t="n">
        <x:v>1</x:v>
      </x:c>
      <x:c r="D3" s="60" t="n">
        <x:v>9.892e-7</x:v>
      </x:c>
      <x:c r="E3" s="60" t="n">
        <x:v>9.892e-7</x:v>
      </x:c>
      <x:c r="F3" s="62" t="n">
        <x:v>0</x:v>
      </x:c>
      <x:c r="G3" s="66" t="n">
        <x:v>1</x:v>
      </x:c>
      <x:c r="H3" s="62" t="n">
        <x:f>IF(E3=0,"",I3/E3)</x:f>
        <x:v>4665.56868948727</x:v>
      </x:c>
      <x:c r="I3" s="60" t="n">
        <x:f>SUMIF('Species'!$G$2:$G$22,A3,'Species'!$U$2:$U$22)</x:f>
        <x:v>0.004615180547640807</x:v>
      </x:c>
      <x:c r="J3" s="62" t="n">
        <x:v>3.82</x:v>
      </x:c>
      <x:c r="K3" s="62" t="n">
        <x:f>IF(J3="","",(1/'Metadata'!$B$5)^(J3-1))</x:f>
        <x:v>4665.56868948727</x:v>
      </x:c>
      <x:c r="L3" s="60" t="n">
        <x:f>IF(E3=0,"",E3*K3)</x:f>
        <x:v>0.004615180547640807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reef assoc. fish (&gt;=90 cm)</x:v>
      </x:c>
      <x:c r="B4" s="64" t="n">
        <x:v>3</x:v>
      </x:c>
      <x:c r="C4" s="64" t="n">
        <x:v>3</x:v>
      </x:c>
      <x:c r="D4" s="60" t="n">
        <x:v>0.047707631699999996</x:v>
      </x:c>
      <x:c r="E4" s="60" t="n">
        <x:v>0.047707631699999996</x:v>
      </x:c>
      <x:c r="F4" s="62" t="n">
        <x:v>0</x:v>
      </x:c>
      <x:c r="G4" s="66" t="n">
        <x:v>1</x:v>
      </x:c>
      <x:c r="H4" s="62" t="n">
        <x:f>IF(E4=0,"",I4/E4)</x:f>
        <x:v>3512.4662479048125</x:v>
      </x:c>
      <x:c r="I4" s="60" t="n">
        <x:f>SUMIF('Species'!$G$2:$G$22,A4,'Species'!$U$2:$U$22)</x:f>
        <x:v>167.57144611372368</x:v>
      </x:c>
      <x:c r="J4" s="62" t="n">
        <x:v>3.723720057581479</x:v>
      </x:c>
      <x:c r="K4" s="62" t="n">
        <x:f>IF(J4="","",(1/'Metadata'!$B$5)^(J4-1))</x:f>
        <x:v>3496.5641035978147</x:v>
      </x:c>
      <x:c r="L4" s="60" t="n">
        <x:f>IF(E4=0,"",E4*K4)</x:f>
        <x:v>166.81279246988518</x:v>
      </x:c>
      <x:c r="M4" s="60" t="n">
        <x:f>I4-L4</x:f>
        <x:v>0.7586536438384996</x:v>
      </x:c>
      <x:c r="N4" s="62" t="n">
        <x:f>IF(L4=0,"",I4/L4)</x:f>
        <x:v>1.0045479344395931</x:v>
      </x:c>
      <x:c r="O4" s="66" t="n">
        <x:f>IF(L4=0,"",M4/L4)</x:f>
        <x:v>0.0045479344395931735</x:v>
      </x:c>
    </x:row>
    <x:row r="5" ht="18" customHeight="1">
      <x:c r="A5" s="46" t="str">
        <x:v>Large sharks (&gt;=90 cm)</x:v>
      </x:c>
      <x:c r="B5" s="64" t="n">
        <x:v>2</x:v>
      </x:c>
      <x:c r="C5" s="64" t="n">
        <x:v>2</x:v>
      </x:c>
      <x:c r="D5" s="60" t="n">
        <x:v>0.0302315534</x:v>
      </x:c>
      <x:c r="E5" s="60" t="n">
        <x:v>0.0302315534</x:v>
      </x:c>
      <x:c r="F5" s="62" t="n">
        <x:v>0</x:v>
      </x:c>
      <x:c r="G5" s="66" t="n">
        <x:v>1</x:v>
      </x:c>
      <x:c r="H5" s="62" t="n">
        <x:f>IF(E5=0,"",I5/E5)</x:f>
        <x:v>15441.492923115835</x:v>
      </x:c>
      <x:c r="I5" s="60" t="n">
        <x:f>SUMIF('Species'!$G$2:$G$22,A5,'Species'!$U$2:$U$22)</x:f>
        <x:v>466.8203178808985</x:v>
      </x:c>
      <x:c r="J5" s="62" t="n">
        <x:v>4.21938513715276</x:v>
      </x:c>
      <x:c r="K5" s="62" t="n">
        <x:f>IF(J5="","",(1/'Metadata'!$B$5)^(J5-1))</x:f>
        <x:v>15435.35530902713</x:v>
      </x:c>
      <x:c r="L5" s="60" t="n">
        <x:f>IF(E5=0,"",E5*K5)</x:f>
        <x:v>466.6347682728272</x:v>
      </x:c>
      <x:c r="M5" s="60" t="n">
        <x:f>I5-L5</x:f>
        <x:v>0.18554960807125553</x:v>
      </x:c>
      <x:c r="N5" s="62" t="n">
        <x:f>IF(L5=0,"",I5/L5)</x:f>
        <x:v>1.00039763348273</x:v>
      </x:c>
      <x:c r="O5" s="66" t="n">
        <x:f>IF(L5=0,"",M5/L5)</x:f>
        <x:v>0.000397633482730053</x:v>
      </x:c>
    </x:row>
    <x:row r="6" ht="18" customHeight="1">
      <x:c r="A6" s="46" t="str">
        <x:v>Lobsters, crabs</x:v>
      </x:c>
      <x:c r="B6" s="64" t="n">
        <x:v>2</x:v>
      </x:c>
      <x:c r="C6" s="64" t="n">
        <x:v>2</x:v>
      </x:c>
      <x:c r="D6" s="60" t="n">
        <x:v>0.0052418418</x:v>
      </x:c>
      <x:c r="E6" s="60" t="n">
        <x:v>0.0052418418</x:v>
      </x:c>
      <x:c r="F6" s="62" t="n">
        <x:v>0</x:v>
      </x:c>
      <x:c r="G6" s="66" t="n">
        <x:v>1</x:v>
      </x:c>
      <x:c r="H6" s="62" t="n">
        <x:f>IF(E6=0,"",I6/E6)</x:f>
        <x:v>54.91925252051163</x:v>
      </x:c>
      <x:c r="I6" s="60" t="n">
        <x:f>SUMIF('Species'!$G$2:$G$22,A6,'Species'!$U$2:$U$22)</x:f>
        <x:v>0.2878780334867732</x:v>
      </x:c>
      <x:c r="J6" s="62" t="n">
        <x:v>2.3242757860414636</x:v>
      </x:c>
      <x:c r="K6" s="62" t="n">
        <x:f>IF(J6="","",(1/'Metadata'!$B$5)^(J6-1))</x:f>
        <x:v>52.835098349141745</x:v>
      </x:c>
      <x:c r="L6" s="60" t="n">
        <x:f>IF(E6=0,"",E6*K6)</x:f>
        <x:v>0.27695322703364217</x:v>
      </x:c>
      <x:c r="M6" s="60" t="n">
        <x:f>I6-L6</x:f>
        <x:v>0.010924806453131042</x:v>
      </x:c>
      <x:c r="N6" s="62" t="n">
        <x:f>IF(L6=0,"",I6/L6)</x:f>
        <x:v>1.03944639522761</x:v>
      </x:c>
      <x:c r="O6" s="66" t="n">
        <x:f>IF(L6=0,"",M6/L6)</x:f>
        <x:v>0.03944639522760997</x:v>
      </x:c>
    </x:row>
    <x:row r="7" ht="18" customHeight="1">
      <x:c r="A7" s="46" t="str">
        <x:v>Medium bathydemersals (30 - 89 cm)</x:v>
      </x:c>
      <x:c r="B7" s="64" t="n">
        <x:v>1</x:v>
      </x:c>
      <x:c r="C7" s="64" t="n">
        <x:v>1</x:v>
      </x:c>
      <x:c r="D7" s="60" t="n">
        <x:v>0.0005845237</x:v>
      </x:c>
      <x:c r="E7" s="60" t="n">
        <x:v>0.0005845237</x:v>
      </x:c>
      <x:c r="F7" s="62" t="n">
        <x:v>0</x:v>
      </x:c>
      <x:c r="G7" s="66" t="n">
        <x:v>1</x:v>
      </x:c>
      <x:c r="H7" s="62" t="n">
        <x:f>IF(E7=0,"",I7/E7)</x:f>
        <x:v>982.5824208926318</x:v>
      </x:c>
      <x:c r="I7" s="60" t="n">
        <x:f>SUMIF('Species'!$G$2:$G$22,A7,'Species'!$U$2:$U$22)</x:f>
        <x:v>0.5743427122151185</x:v>
      </x:c>
      <x:c r="J7" s="62" t="n">
        <x:v>3.3</x:v>
      </x:c>
      <x:c r="K7" s="62" t="n">
        <x:f>IF(J7="","",(1/'Metadata'!$B$5)^(J7-1))</x:f>
        <x:v>982.5824208926318</x:v>
      </x:c>
      <x:c r="L7" s="60" t="n">
        <x:f>IF(E7=0,"",E7*K7)</x:f>
        <x:v>0.5743427122151185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Medium bathypelagics (30 - 89 cm)</x:v>
      </x:c>
      <x:c r="B8" s="64" t="n">
        <x:v>1</x:v>
      </x:c>
      <x:c r="C8" s="64" t="n">
        <x:v>1</x:v>
      </x:c>
      <x:c r="D8" s="60" t="n">
        <x:v>0.0000578618</x:v>
      </x:c>
      <x:c r="E8" s="60" t="n">
        <x:v>0.0000578618</x:v>
      </x:c>
      <x:c r="F8" s="62" t="n">
        <x:v>0</x:v>
      </x:c>
      <x:c r="G8" s="66" t="n">
        <x:v>1</x:v>
      </x:c>
      <x:c r="H8" s="62" t="n">
        <x:f>IF(E8=0,"",I8/E8)</x:f>
        <x:v>2803.6867455443476</x:v>
      </x:c>
      <x:c r="I8" s="60" t="n">
        <x:f>SUMIF('Species'!$G$2:$G$22,A8,'Species'!$U$2:$U$22)</x:f>
        <x:v>0.16222636173333793</x:v>
      </x:c>
      <x:c r="J8" s="62" t="n">
        <x:v>3.65</x:v>
      </x:c>
      <x:c r="K8" s="62" t="n">
        <x:f>IF(J8="","",(1/'Metadata'!$B$5)^(J8-1))</x:f>
        <x:v>2803.6867455443476</x:v>
      </x:c>
      <x:c r="L8" s="60" t="n">
        <x:f>IF(E8=0,"",E8*K8)</x:f>
        <x:v>0.16222636173333793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Medium benthopelagics (30 - 89 cm)</x:v>
      </x:c>
      <x:c r="B9" s="64" t="n">
        <x:v>1</x:v>
      </x:c>
      <x:c r="C9" s="64" t="n">
        <x:v>1</x:v>
      </x:c>
      <x:c r="D9" s="60" t="n">
        <x:v>0.1267809772</x:v>
      </x:c>
      <x:c r="E9" s="60" t="n">
        <x:v>0.1267809772</x:v>
      </x:c>
      <x:c r="F9" s="62" t="n">
        <x:v>0</x:v>
      </x:c>
      <x:c r="G9" s="66" t="n">
        <x:v>1</x:v>
      </x:c>
      <x:c r="H9" s="62" t="n">
        <x:f>IF(E9=0,"",I9/E9)</x:f>
        <x:v>25733.07497204781</x:v>
      </x:c>
      <x:c r="I9" s="60" t="n">
        <x:f>SUMIF('Species'!$G$2:$G$22,A9,'Species'!$U$2:$U$22)</x:f>
        <x:v>3262.464391317084</x:v>
      </x:c>
      <x:c r="J9" s="62" t="n">
        <x:v>4.39</x:v>
      </x:c>
      <x:c r="K9" s="62" t="n">
        <x:f>IF(J9="","",(1/'Metadata'!$B$5)^(J9-1))</x:f>
        <x:v>25733.07497204781</x:v>
      </x:c>
      <x:c r="L9" s="60" t="n">
        <x:f>IF(E9=0,"",E9*K9)</x:f>
        <x:v>3262.464391317084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Medium demersals (30 - 89 cm)</x:v>
      </x:c>
      <x:c r="B10" s="64" t="n">
        <x:v>3</x:v>
      </x:c>
      <x:c r="C10" s="64" t="n">
        <x:v>3</x:v>
      </x:c>
      <x:c r="D10" s="60" t="n">
        <x:v>53.2935139927</x:v>
      </x:c>
      <x:c r="E10" s="60" t="n">
        <x:v>53.2935139927</x:v>
      </x:c>
      <x:c r="F10" s="62" t="n">
        <x:v>0</x:v>
      </x:c>
      <x:c r="G10" s="66" t="n">
        <x:v>1</x:v>
      </x:c>
      <x:c r="H10" s="62" t="n">
        <x:f>IF(E10=0,"",I10/E10)</x:f>
        <x:v>925.4473447002484</x:v>
      </x:c>
      <x:c r="I10" s="60" t="n">
        <x:f>SUMIF('Species'!$G$2:$G$22,A10,'Species'!$U$2:$U$22)</x:f>
        <x:v>49320.34101428975</x:v>
      </x:c>
      <x:c r="J10" s="62" t="n">
        <x:v>3.2800010017209975</x:v>
      </x:c>
      <x:c r="K10" s="62" t="n">
        <x:f>IF(J10="","",(1/'Metadata'!$B$5)^(J10-1))</x:f>
        <x:v>925.4430396133477</x:v>
      </x:c>
      <x:c r="L10" s="60" t="n">
        <x:f>IF(E10=0,"",E10*K10)</x:f>
        <x:v>49320.11158108076</x:v>
      </x:c>
      <x:c r="M10" s="60" t="n">
        <x:f>I10-L10</x:f>
        <x:v>0.2294332089877571</x:v>
      </x:c>
      <x:c r="N10" s="62" t="n">
        <x:f>IF(L10=0,"",I10/L10)</x:f>
        <x:v>1.0000046519199093</x:v>
      </x:c>
      <x:c r="O10" s="66" t="n">
        <x:f>IF(L10=0,"",M10/L10)</x:f>
        <x:v>0.000004651919909195175</x:v>
      </x:c>
    </x:row>
    <x:row r="11" ht="18" customHeight="1">
      <x:c r="A11" s="46" t="str">
        <x:v>Other demersal invertebrates</x:v>
      </x:c>
      <x:c r="B11" s="64" t="n">
        <x:v>5</x:v>
      </x:c>
      <x:c r="C11" s="64" t="n">
        <x:v>5</x:v>
      </x:c>
      <x:c r="D11" s="60" t="n">
        <x:v>0.004766464400000001</x:v>
      </x:c>
      <x:c r="E11" s="60" t="n">
        <x:v>0.004766464400000001</x:v>
      </x:c>
      <x:c r="F11" s="62" t="n">
        <x:v>0</x:v>
      </x:c>
      <x:c r="G11" s="66" t="n">
        <x:v>1</x:v>
      </x:c>
      <x:c r="H11" s="62" t="n">
        <x:f>IF(E11=0,"",I11/E11)</x:f>
        <x:v>805.2999699778716</x:v>
      </x:c>
      <x:c r="I11" s="60" t="n">
        <x:f>SUMIF('Species'!$G$2:$G$22,A11,'Species'!$U$2:$U$22)</x:f>
        <x:v>3.8384336382205944</x:v>
      </x:c>
      <x:c r="J11" s="62" t="n">
        <x:v>2.471183840794027</x:v>
      </x:c>
      <x:c r="K11" s="62" t="n">
        <x:f>IF(J11="","",(1/'Metadata'!$B$5)^(J11-1))</x:f>
        <x:v>82.04541309520859</x:v>
      </x:c>
      <x:c r="L11" s="60" t="n">
        <x:f>IF(E11=0,"",E11*K11)</x:f>
        <x:v>0.3910665407016056</x:v>
      </x:c>
      <x:c r="M11" s="60" t="n">
        <x:f>I11-L11</x:f>
        <x:v>3.4473670975189887</x:v>
      </x:c>
      <x:c r="N11" s="62" t="n">
        <x:f>IF(L11=0,"",I11/L11)</x:f>
        <x:v>9.8152954515979</x:v>
      </x:c>
      <x:c r="O11" s="66" t="n">
        <x:f>IF(L11=0,"",M11/L11)</x:f>
        <x:v>8.8152954515979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4b03d1450fb43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LME_066</x:v>
      </x:c>
      <x:c r="B2" s="46" t="str">
        <x:v>raw_filtered_tonnes</x:v>
      </x:c>
      <x:c r="C2" s="46" t="n">
        <x:v>53.591934083899986</x:v>
      </x:c>
      <x:c r="D2" s="46" t="str">
        <x:v>tonnes</x:v>
      </x:c>
    </x:row>
    <x:row r="3" ht="18" customHeight="1">
      <x:c r="A3" s="46" t="str">
        <x:v>LME_066</x:v>
      </x:c>
      <x:c r="B3" s="46" t="str">
        <x:v>species_catch_tonnes</x:v>
      </x:c>
      <x:c r="C3" s="46" t="n">
        <x:v>53.5919340839</x:v>
      </x:c>
      <x:c r="D3" s="46" t="str">
        <x:v>tonnes</x:v>
      </x:c>
    </x:row>
    <x:row r="4" ht="18" customHeight="1">
      <x:c r="A4" s="46" t="str">
        <x:v>LME_066</x:v>
      </x:c>
      <x:c r="B4" s="46" t="str">
        <x:v>catch_difference_tonnes</x:v>
      </x:c>
      <x:c r="C4" s="46" t="n">
        <x:v>1.4210854715202004e-14</x:v>
      </x:c>
      <x:c r="D4" s="46" t="str">
        <x:v>tonnes</x:v>
      </x:c>
    </x:row>
    <x:row r="5" ht="18" customHeight="1">
      <x:c r="A5" s="46" t="str">
        <x:v>LME_066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LME_066</x:v>
      </x:c>
      <x:c r="B6" s="46" t="str">
        <x:v>matched_catch_tonnes</x:v>
      </x:c>
      <x:c r="C6" s="46" t="n">
        <x:v>53.5919340839</x:v>
      </x:c>
      <x:c r="D6" s="46" t="str">
        <x:v>tonnes</x:v>
      </x:c>
    </x:row>
    <x:row r="7" ht="18" customHeight="1">
      <x:c r="A7" s="46" t="str">
        <x:v>LME_066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LME_066</x:v>
      </x:c>
      <x:c r="B8" s="46" t="str">
        <x:v>taxa_count</x:v>
      </x:c>
      <x:c r="C8" s="46" t="n">
        <x:v>21</x:v>
      </x:c>
      <x:c r="D8" s="46" t="str">
        <x:v>count</x:v>
      </x:c>
    </x:row>
    <x:row r="9" ht="18" customHeight="1">
      <x:c r="A9" s="46" t="str">
        <x:v>LME_066</x:v>
      </x:c>
      <x:c r="B9" s="46" t="str">
        <x:v>matched_taxa_count</x:v>
      </x:c>
      <x:c r="C9" s="46" t="n">
        <x:v>21</x:v>
      </x:c>
      <x:c r="D9" s="46" t="str">
        <x:v>count</x:v>
      </x:c>
    </x:row>
    <x:row r="10" ht="18" customHeight="1">
      <x:c r="A10" s="46" t="str">
        <x:v>LME_066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LME_066</x:v>
      </x:c>
      <x:c r="B11" s="46" t="str">
        <x:v>species_ppr</x:v>
      </x:c>
      <x:c r="C11" s="46" t="n">
        <x:v>53352.83494302376</x:v>
      </x:c>
      <x:c r="D11" s="46" t="str">
        <x:v>tonnes_primary_production_equivalent</x:v>
      </x:c>
    </x:row>
    <x:row r="12" ht="18" customHeight="1">
      <x:c r="A12" s="46" t="str">
        <x:v>LME_066</x:v>
      </x:c>
      <x:c r="B12" s="46" t="str">
        <x:v>commercial_ppr</x:v>
      </x:c>
      <x:c r="C12" s="46" t="n">
        <x:v>53352.83494302376</x:v>
      </x:c>
      <x:c r="D12" s="46" t="str">
        <x:v>tonnes_primary_production_equivalent</x:v>
      </x:c>
    </x:row>
    <x:row r="13" ht="18" customHeight="1">
      <x:c r="A13" s="46" t="str">
        <x:v>LME_066</x:v>
      </x:c>
      <x:c r="B13" s="46" t="str">
        <x:v>functional_ppr</x:v>
      </x:c>
      <x:c r="C13" s="46" t="n">
        <x:v>53352.83494302376</x:v>
      </x:c>
      <x:c r="D13" s="46" t="str">
        <x:v>tonnes_primary_production_equivalent</x:v>
      </x:c>
    </x:row>
    <x:row r="14" ht="18" customHeight="1">
      <x:c r="A14" s="46" t="str">
        <x:v>LME_066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LME_066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LME_066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b5bcec4987549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LME_066 - Canadian High Arctic - North Greenland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