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bf7402a9c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7555eaea9f543c5"/>
    <x:sheet xmlns:r="http://schemas.openxmlformats.org/officeDocument/2006/relationships" name="Commercial" sheetId="2" r:id="Re0a0d511928e4bd7"/>
    <x:sheet xmlns:r="http://schemas.openxmlformats.org/officeDocument/2006/relationships" name="Functional" sheetId="3" r:id="Rabfb933d31e74c34"/>
    <x:sheet xmlns:r="http://schemas.openxmlformats.org/officeDocument/2006/relationships" name="Missing TL" sheetId="4" r:id="Rc695008d7afa4e39"/>
    <x:sheet xmlns:r="http://schemas.openxmlformats.org/officeDocument/2006/relationships" name="Validation" sheetId="5" r:id="Ra785cbc4e0cf41f0"/>
    <x:sheet xmlns:r="http://schemas.openxmlformats.org/officeDocument/2006/relationships" name="Metadata" sheetId="6" r:id="R7eddcde2b76f4e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7b4c75ed24148" /><Relationship Type="http://schemas.openxmlformats.org/officeDocument/2006/relationships/theme" Target="/xl/theme/theme1.xml" Id="R22281a978ba240b6" /><Relationship Type="http://schemas.openxmlformats.org/officeDocument/2006/relationships/sharedStrings" Target="/xl/sharedStrings.xml" Id="R9093f992ddf24afc" /><Relationship Type="http://schemas.openxmlformats.org/officeDocument/2006/relationships/worksheet" Target="/xl/worksheets/sheet1.xml" Id="Ra7555eaea9f543c5" /><Relationship Type="http://schemas.openxmlformats.org/officeDocument/2006/relationships/worksheet" Target="/xl/worksheets/sheet2.xml" Id="Re0a0d511928e4bd7" /><Relationship Type="http://schemas.openxmlformats.org/officeDocument/2006/relationships/worksheet" Target="/xl/worksheets/sheet3.xml" Id="Rabfb933d31e74c34" /><Relationship Type="http://schemas.openxmlformats.org/officeDocument/2006/relationships/worksheet" Target="/xl/worksheets/sheet4.xml" Id="Rc695008d7afa4e39" /><Relationship Type="http://schemas.openxmlformats.org/officeDocument/2006/relationships/worksheet" Target="/xl/worksheets/sheet5.xml" Id="Ra785cbc4e0cf41f0" /><Relationship Type="http://schemas.openxmlformats.org/officeDocument/2006/relationships/worksheet" Target="/xl/worksheets/sheet6.xml" Id="R7eddcde2b76f4e9d" /></Relationships>
</file>

<file path=xl/tables/table1.xml><?xml version="1.0" encoding="utf-8"?>
<x:table xmlns:x="http://schemas.openxmlformats.org/spreadsheetml/2006/main" id="1" name="LME049SpeciesTable" displayName="LME049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9CommercialTable" displayName="LME049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9FunctionalTable" displayName="LME049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9ValidationTable" displayName="LME04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da600685d645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77fad97be74f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2690c29eda4e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cbed1763214d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LME_049</x:v>
      </x:c>
      <x:c r="B2" s="46" t="str">
        <x:v>Kuroshio Current</x:v>
      </x:c>
      <x:c r="C2" s="46" t="str">
        <x:v>LME</x:v>
      </x:c>
      <x:c r="D2" s="58" t="n">
        <x:v>2019</x:v>
      </x:c>
      <x:c r="E2" s="46" t="str">
        <x:v>Scyphozoa</x:v>
      </x:c>
      <x:c r="F2" s="46" t="str">
        <x:v>True jellyfishes</x:v>
      </x:c>
      <x:c r="G2" s="46" t="str">
        <x:v>Jellyfish</x:v>
      </x:c>
      <x:c r="H2" s="46" t="str">
        <x:v>Other fishes &amp; inverts</x:v>
      </x:c>
      <x:c r="I2" s="60" t="n">
        <x:v>398415.0671864247</x:v>
      </x:c>
      <x:c r="J2" s="60" t="n">
        <x:v>398198.7044035538</x:v>
      </x:c>
      <x:c r="K2" s="60" t="n">
        <x:v>216.3627828709</x:v>
      </x:c>
      <x:c r="L2" s="60" t="n">
        <x:v>398198.7044035538</x:v>
      </x:c>
      <x:c r="M2" s="60" t="n">
        <x:v>216.3627828709</x:v>
      </x:c>
      <x:c r="N2" s="46" t="str">
        <x:v>scyphozoa</x:v>
      </x:c>
      <x:c r="O2" s="62" t="n">
        <x:v>3.46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Scyphozoa</x:v>
      </x:c>
      <x:c r="T2" s="62" t="n">
        <x:f>IF(O2="","",(1/'Metadata'!$B$5)^(O2-1))</x:f>
        <x:v>1586.8423749532276</x:v>
      </x:c>
      <x:c r="U2" s="60" t="n">
        <x:f>IF(T2="","",I2*T2)</x:f>
        <x:v>632221911.4312559</x:v>
      </x:c>
    </x:row>
    <x:row r="3" ht="18" customHeight="1">
      <x:c r="A3" s="46" t="str">
        <x:v>LME_049</x:v>
      </x:c>
      <x:c r="B3" s="46" t="str">
        <x:v>Kuroshio Current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344765.7012745103</x:v>
      </x:c>
      <x:c r="J3" s="60" t="n">
        <x:v>344518.9700933647</x:v>
      </x:c>
      <x:c r="K3" s="60" t="n">
        <x:v>246.73118114559998</x:v>
      </x:c>
      <x:c r="L3" s="60" t="n">
        <x:v>344517.8526811004</x:v>
      </x:c>
      <x:c r="M3" s="60" t="n">
        <x:v>247.8485934099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247.68242552675557</x:v>
      </x:c>
      <x:c r="U3" s="60" t="n">
        <x:f>IF(T3="","",I3*T3)</x:f>
        <x:v>85392405.13010356</x:v>
      </x:c>
    </x:row>
    <x:row r="4" ht="18" customHeight="1">
      <x:c r="A4" s="46" t="str">
        <x:v>LME_049</x:v>
      </x:c>
      <x:c r="B4" s="46" t="str">
        <x:v>Kuroshio Current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281164.813007203</x:v>
      </x:c>
      <x:c r="J4" s="60" t="n">
        <x:v>240492.5171907884</x:v>
      </x:c>
      <x:c r="K4" s="60" t="n">
        <x:v>40672.2958164146</x:v>
      </x:c>
      <x:c r="L4" s="60" t="n">
        <x:v>228843.9521151121</x:v>
      </x:c>
      <x:c r="M4" s="60" t="n">
        <x:v>52320.8608920909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260201238.34577942</x:v>
      </x:c>
    </x:row>
    <x:row r="5" ht="18" customHeight="1">
      <x:c r="A5" s="46" t="str">
        <x:v>LME_049</x:v>
      </x:c>
      <x:c r="B5" s="46" t="str">
        <x:v>Kuroshio Current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240679.1258971748</x:v>
      </x:c>
      <x:c r="J5" s="60" t="n">
        <x:v>232743.4965489108</x:v>
      </x:c>
      <x:c r="K5" s="60" t="n">
        <x:v>7935.629348264</x:v>
      </x:c>
      <x:c r="L5" s="60" t="n">
        <x:v>232723.1294689821</x:v>
      </x:c>
      <x:c r="M5" s="60" t="n">
        <x:v>7955.9964281927005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608.420993216597</x:v>
      </x:c>
      <x:c r="U5" s="60" t="n">
        <x:f>IF(T5="","",I5*T5)</x:f>
        <x:v>146434232.8248615</x:v>
      </x:c>
    </x:row>
    <x:row r="6" ht="18" customHeight="1">
      <x:c r="A6" s="46" t="str">
        <x:v>LME_049</x:v>
      </x:c>
      <x:c r="B6" s="46" t="str">
        <x:v>Kuroshio Current</x:v>
      </x:c>
      <x:c r="C6" s="46" t="str">
        <x:v>LME</x:v>
      </x:c>
      <x:c r="D6" s="58" t="n">
        <x:v>2019</x:v>
      </x:c>
      <x:c r="E6" s="46" t="str">
        <x:v>Scomber</x:v>
      </x:c>
      <x:c r="F6" s="46" t="str">
        <x:v>Chub mackerels</x:v>
      </x:c>
      <x:c r="G6" s="46" t="str">
        <x:v>Medium pelagics (30 - 89 cm)</x:v>
      </x:c>
      <x:c r="H6" s="46" t="str">
        <x:v>Perch-likes</x:v>
      </x:c>
      <x:c r="I6" s="60" t="n">
        <x:v>216189.8397713569</x:v>
      </x:c>
      <x:c r="J6" s="60" t="n">
        <x:v>214399.4158455833</x:v>
      </x:c>
      <x:c r="K6" s="60" t="n">
        <x:v>1790.4239257736</x:v>
      </x:c>
      <x:c r="L6" s="60" t="n">
        <x:v>205435.9056704044</x:v>
      </x:c>
      <x:c r="M6" s="60" t="n">
        <x:v>10753.934100952501</x:v>
      </x:c>
      <x:c r="N6" s="46" t="str">
        <x:v>scomber</x:v>
      </x:c>
      <x:c r="O6" s="62" t="n">
        <x:v>3.65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Scomber</x:v>
      </x:c>
      <x:c r="T6" s="62" t="n">
        <x:f>IF(O6="","",(1/'Metadata'!$B$5)^(O6-1))</x:f>
        <x:v>2803.6867455443476</x:v>
      </x:c>
      <x:c r="U6" s="60" t="n">
        <x:f>IF(T6="","",I6*T6)</x:f>
        <x:v>606128588.2883096</x:v>
      </x:c>
    </x:row>
    <x:row r="7" ht="18" customHeight="1">
      <x:c r="A7" s="46" t="str">
        <x:v>LME_049</x:v>
      </x:c>
      <x:c r="B7" s="46" t="str">
        <x:v>Kuroshio Current</x:v>
      </x:c>
      <x:c r="C7" s="46" t="str">
        <x:v>LME</x:v>
      </x:c>
      <x:c r="D7" s="58" t="n">
        <x:v>2019</x:v>
      </x:c>
      <x:c r="E7" s="46" t="str">
        <x:v>Trachurus japonicus</x:v>
      </x:c>
      <x:c r="F7" s="46" t="str">
        <x:v>Japanese jack mackerel</x:v>
      </x:c>
      <x:c r="G7" s="46" t="str">
        <x:v>Medium demersals (30 - 89 cm)</x:v>
      </x:c>
      <x:c r="H7" s="46" t="str">
        <x:v>Perch-likes</x:v>
      </x:c>
      <x:c r="I7" s="60" t="n">
        <x:v>144207.8197632374</x:v>
      </x:c>
      <x:c r="J7" s="60" t="n">
        <x:v>141316.2627513575</x:v>
      </x:c>
      <x:c r="K7" s="60" t="n">
        <x:v>2891.5570118799</x:v>
      </x:c>
      <x:c r="L7" s="60" t="n">
        <x:v>135451.8391418993</x:v>
      </x:c>
      <x:c r="M7" s="60" t="n">
        <x:v>8755.9806213381</x:v>
      </x:c>
      <x:c r="N7" s="46" t="str">
        <x:v>trachurus japonicus</x:v>
      </x:c>
      <x:c r="O7" s="62" t="n">
        <x:v>3.4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japonicus</x:v>
      </x:c>
      <x:c r="T7" s="62" t="n">
        <x:f>IF(O7="","",(1/'Metadata'!$B$5)^(O7-1))</x:f>
        <x:v>1325.7816069359944</x:v>
      </x:c>
      <x:c r="U7" s="60" t="n">
        <x:f>IF(T7="","",I7*T7)</x:f>
        <x:v>191188075.01844114</x:v>
      </x:c>
    </x:row>
    <x:row r="8" ht="18" customHeight="1">
      <x:c r="A8" s="46" t="str">
        <x:v>LME_049</x:v>
      </x:c>
      <x:c r="B8" s="46" t="str">
        <x:v>Kuroshio Current</x:v>
      </x:c>
      <x:c r="C8" s="46" t="str">
        <x:v>LME</x:v>
      </x:c>
      <x:c r="D8" s="58" t="n">
        <x:v>2019</x:v>
      </x:c>
      <x:c r="E8" s="46" t="str">
        <x:v>Pectinidae</x:v>
      </x:c>
      <x:c r="F8" s="46" t="str">
        <x:v>Scallops</x:v>
      </x:c>
      <x:c r="G8" s="46" t="str">
        <x:v>Other demersal invertebrates</x:v>
      </x:c>
      <x:c r="H8" s="46" t="str">
        <x:v>Molluscs</x:v>
      </x:c>
      <x:c r="I8" s="60" t="n">
        <x:v>135266.75512143</x:v>
      </x:c>
      <x:c r="J8" s="60" t="n">
        <x:v>105495.42334488631</x:v>
      </x:c>
      <x:c r="K8" s="60" t="n">
        <x:v>29771.331776543702</x:v>
      </x:c>
      <x:c r="L8" s="60" t="n">
        <x:v>105495.42334488631</x:v>
      </x:c>
      <x:c r="M8" s="60" t="n">
        <x:v>29771.331776543702</x:v>
      </x:c>
      <x:c r="N8" s="46" t="str">
        <x:v>pectinidae</x:v>
      </x:c>
      <x:c r="O8" s="62" t="n">
        <x:v>2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Pectinidae</x:v>
      </x:c>
      <x:c r="T8" s="62" t="n">
        <x:f>IF(O8="","",(1/'Metadata'!$B$5)^(O8-1))</x:f>
        <x:v>20</x:v>
      </x:c>
      <x:c r="U8" s="60" t="n">
        <x:f>IF(T8="","",I8*T8)</x:f>
        <x:v>2705335.1024286</x:v>
      </x:c>
    </x:row>
    <x:row r="9" ht="18" customHeight="1">
      <x:c r="A9" s="46" t="str">
        <x:v>LME_049</x:v>
      </x:c>
      <x:c r="B9" s="46" t="str">
        <x:v>Kuroshio Current</x:v>
      </x:c>
      <x:c r="C9" s="46" t="str">
        <x:v>LME</x:v>
      </x:c>
      <x:c r="D9" s="58" t="n">
        <x:v>2019</x:v>
      </x:c>
      <x:c r="E9" s="46" t="str">
        <x:v>Todarodes pacificus</x:v>
      </x:c>
      <x:c r="F9" s="46" t="str">
        <x:v>Japanese flying squid</x:v>
      </x:c>
      <x:c r="G9" s="46" t="str">
        <x:v>Cephalopods</x:v>
      </x:c>
      <x:c r="H9" s="46" t="str">
        <x:v>Other fishes &amp; inverts</x:v>
      </x:c>
      <x:c r="I9" s="60" t="n">
        <x:v>125034.8946868004</x:v>
      </x:c>
      <x:c r="J9" s="60" t="n">
        <x:v>121009.3860967851</x:v>
      </x:c>
      <x:c r="K9" s="60" t="n">
        <x:v>4025.5085900153</x:v>
      </x:c>
      <x:c r="L9" s="60" t="n">
        <x:v>119980.358354436</x:v>
      </x:c>
      <x:c r="M9" s="60" t="n">
        <x:v>5054.5363323644</x:v>
      </x:c>
      <x:c r="N9" s="46" t="str">
        <x:v>todarodes pacificus</x:v>
      </x:c>
      <x:c r="O9" s="62" t="n">
        <x:v>4.28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Todarodes pacificus</x:v>
      </x:c>
      <x:c r="T9" s="62" t="n">
        <x:f>IF(O9="","",(1/'Metadata'!$B$5)^(O9-1))</x:f>
        <x:v>18508.805249333516</x:v>
      </x:c>
      <x:c r="U9" s="60" t="n">
        <x:f>IF(T9="","",I9*T9)</x:f>
        <x:v>2314246515.128915</x:v>
      </x:c>
    </x:row>
    <x:row r="10" ht="18" customHeight="1">
      <x:c r="A10" s="46" t="str">
        <x:v>LME_049</x:v>
      </x:c>
      <x:c r="B10" s="46" t="str">
        <x:v>Kuroshio Current</x:v>
      </x:c>
      <x:c r="C10" s="46" t="str">
        <x:v>LME</x:v>
      </x:c>
      <x:c r="D10" s="58" t="n">
        <x:v>2019</x:v>
      </x:c>
      <x:c r="E10" s="46" t="str">
        <x:v>Scomber japonicus</x:v>
      </x:c>
      <x:c r="F10" s="46" t="str">
        <x:v>Pacific chub mackerel</x:v>
      </x:c>
      <x:c r="G10" s="46" t="str">
        <x:v>Medium pelagics (30 - 89 cm)</x:v>
      </x:c>
      <x:c r="H10" s="46" t="str">
        <x:v>Perch-likes</x:v>
      </x:c>
      <x:c r="I10" s="60" t="n">
        <x:v>101163.41590313951</x:v>
      </x:c>
      <x:c r="J10" s="60" t="n">
        <x:v>101142.0634317717</x:v>
      </x:c>
      <x:c r="K10" s="60" t="n">
        <x:v>21.3524713678</x:v>
      </x:c>
      <x:c r="L10" s="60" t="n">
        <x:v>97538.5983560405</x:v>
      </x:c>
      <x:c r="M10" s="60" t="n">
        <x:v>3624.817547099</x:v>
      </x:c>
      <x:c r="N10" s="46" t="str">
        <x:v>scomber japonicus</x:v>
      </x:c>
      <x:c r="O10" s="62" t="n">
        <x:v>3.38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Scomber japonicus</x:v>
      </x:c>
      <x:c r="T10" s="62" t="n">
        <x:f>IF(O10="","",(1/'Metadata'!$B$5)^(O10-1))</x:f>
        <x:v>1248.6806726928048</x:v>
      </x:c>
      <x:c r="U10" s="60" t="n">
        <x:f>IF(T10="","",I10*T10)</x:f>
        <x:v>126320802.22183423</x:v>
      </x:c>
    </x:row>
    <x:row r="11" ht="18" customHeight="1">
      <x:c r="A11" s="46" t="str">
        <x:v>LME_049</x:v>
      </x:c>
      <x:c r="B11" s="46" t="str">
        <x:v>Kuroshio Current</x:v>
      </x:c>
      <x:c r="C11" s="46" t="str">
        <x:v>LME</x:v>
      </x:c>
      <x:c r="D11" s="58" t="n">
        <x:v>2019</x:v>
      </x:c>
      <x:c r="E11" s="46" t="str">
        <x:v>Cololabis saira</x:v>
      </x:c>
      <x:c r="F11" s="46" t="str">
        <x:v>Pacific saury</x:v>
      </x:c>
      <x:c r="G11" s="46" t="str">
        <x:v>Medium pelagics (30 - 89 cm)</x:v>
      </x:c>
      <x:c r="H11" s="46" t="str">
        <x:v>Other fishes &amp; inverts</x:v>
      </x:c>
      <x:c r="I11" s="60" t="n">
        <x:v>75216.5926551087</x:v>
      </x:c>
      <x:c r="J11" s="60" t="n">
        <x:v>72768.9135527443</x:v>
      </x:c>
      <x:c r="K11" s="60" t="n">
        <x:v>2447.6791023644</x:v>
      </x:c>
      <x:c r="L11" s="60" t="n">
        <x:v>63526.404297952904</x:v>
      </x:c>
      <x:c r="M11" s="60" t="n">
        <x:v>11690.188357155801</x:v>
      </x:c>
      <x:c r="N11" s="46" t="str">
        <x:v>cololabis saira</x:v>
      </x:c>
      <x:c r="O11" s="62" t="n">
        <x:v>3.71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Cololabis saira</x:v>
      </x:c>
      <x:c r="T11" s="62" t="n">
        <x:f>IF(O11="","",(1/'Metadata'!$B$5)^(O11-1))</x:f>
        <x:v>3355.7630537706395</x:v>
      </x:c>
      <x:c r="U11" s="60" t="n">
        <x:f>IF(T11="","",I11*T11)</x:f>
        <x:v>252409062.66252983</x:v>
      </x:c>
    </x:row>
    <x:row r="12" ht="18" customHeight="1">
      <x:c r="A12" s="46" t="str">
        <x:v>LME_049</x:v>
      </x:c>
      <x:c r="B12" s="46" t="str">
        <x:v>Kuroshio Current</x:v>
      </x:c>
      <x:c r="C12" s="46" t="str">
        <x:v>LME</x:v>
      </x:c>
      <x:c r="D12" s="58" t="n">
        <x:v>2019</x:v>
      </x:c>
      <x:c r="E12" s="46" t="str">
        <x:v>Thunnus albacares</x:v>
      </x:c>
      <x:c r="F12" s="46" t="str">
        <x:v>Yellowfin tuna</x:v>
      </x:c>
      <x:c r="G12" s="46" t="str">
        <x:v>Large pelagics (&gt;=90 cm)</x:v>
      </x:c>
      <x:c r="H12" s="46" t="str">
        <x:v>Tuna &amp; billfishes</x:v>
      </x:c>
      <x:c r="I12" s="60" t="n">
        <x:v>57210.608014119396</x:v>
      </x:c>
      <x:c r="J12" s="60" t="n">
        <x:v>57138.8353326082</x:v>
      </x:c>
      <x:c r="K12" s="60" t="n">
        <x:v>71.7726815112</x:v>
      </x:c>
      <x:c r="L12" s="60" t="n">
        <x:v>57138.8353326082</x:v>
      </x:c>
      <x:c r="M12" s="60" t="n">
        <x:v>71.7726815112</x:v>
      </x:c>
      <x:c r="N12" s="46" t="str">
        <x:v>thunnus albacares</x:v>
      </x:c>
      <x:c r="O12" s="62" t="n">
        <x:v>4.41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Thunnus albacares</x:v>
      </x:c>
      <x:c r="T12" s="62" t="n">
        <x:f>IF(O12="","",(1/'Metadata'!$B$5)^(O12-1))</x:f>
        <x:v>27321.987305427916</x:v>
      </x:c>
      <x:c r="U12" s="60" t="n">
        <x:f>IF(T12="","",I12*T12)</x:f>
        <x:v>1563107505.8975828</x:v>
      </x:c>
    </x:row>
    <x:row r="13" ht="18" customHeight="1">
      <x:c r="A13" s="46" t="str">
        <x:v>LME_049</x:v>
      </x:c>
      <x:c r="B13" s="46" t="str">
        <x:v>Kuroshio Current</x:v>
      </x:c>
      <x:c r="C13" s="46" t="str">
        <x:v>LME</x:v>
      </x:c>
      <x:c r="D13" s="58" t="n">
        <x:v>2019</x:v>
      </x:c>
      <x:c r="E13" s="46" t="str">
        <x:v>Scomberomorus</x:v>
      </x:c>
      <x:c r="F13" s="46" t="str">
        <x:v>Spanish mackerels</x:v>
      </x:c>
      <x:c r="G13" s="46" t="str">
        <x:v>Large pelagics (&gt;=90 cm)</x:v>
      </x:c>
      <x:c r="H13" s="46" t="str">
        <x:v>Perch-likes</x:v>
      </x:c>
      <x:c r="I13" s="60" t="n">
        <x:v>50724.4102525726</x:v>
      </x:c>
      <x:c r="J13" s="60" t="n">
        <x:v>50693.7609185235</x:v>
      </x:c>
      <x:c r="K13" s="60" t="n">
        <x:v>30.6493340491</x:v>
      </x:c>
      <x:c r="L13" s="60" t="n">
        <x:v>50574.4199494806</x:v>
      </x:c>
      <x:c r="M13" s="60" t="n">
        <x:v>149.990303092</x:v>
      </x:c>
      <x:c r="N13" s="46" t="str">
        <x:v>scomberomorus</x:v>
      </x:c>
      <x:c r="O13" s="62" t="n">
        <x:v>4.35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Scomberomorus</x:v>
      </x:c>
      <x:c r="T13" s="62" t="n">
        <x:f>IF(O13="","",(1/'Metadata'!$B$5)^(O13-1))</x:f>
        <x:v>22827.086550132422</x:v>
      </x:c>
      <x:c r="U13" s="60" t="n">
        <x:f>IF(T13="","",I13*T13)</x:f>
        <x:v>1157890503.039899</x:v>
      </x:c>
    </x:row>
    <x:row r="14" ht="18" customHeight="1">
      <x:c r="A14" s="46" t="str">
        <x:v>LME_049</x:v>
      </x:c>
      <x:c r="B14" s="46" t="str">
        <x:v>Kuroshio Current</x:v>
      </x:c>
      <x:c r="C14" s="46" t="str">
        <x:v>LME</x:v>
      </x:c>
      <x:c r="D14" s="58" t="n">
        <x:v>2019</x:v>
      </x:c>
      <x:c r="E14" s="46" t="str">
        <x:v>Katsuwonus pelamis</x:v>
      </x:c>
      <x:c r="F14" s="46" t="str">
        <x:v>Skipjack tuna</x:v>
      </x:c>
      <x:c r="G14" s="46" t="str">
        <x:v>Large pelagics (&gt;=90 cm)</x:v>
      </x:c>
      <x:c r="H14" s="46" t="str">
        <x:v>Tuna &amp; billfishes</x:v>
      </x:c>
      <x:c r="I14" s="60" t="n">
        <x:v>48931.0514443218</x:v>
      </x:c>
      <x:c r="J14" s="60" t="n">
        <x:v>48601.479607863395</x:v>
      </x:c>
      <x:c r="K14" s="60" t="n">
        <x:v>329.5718364584</x:v>
      </x:c>
      <x:c r="L14" s="60" t="n">
        <x:v>48406.6466658688</x:v>
      </x:c>
      <x:c r="M14" s="60" t="n">
        <x:v>524.404778453</x:v>
      </x:c>
      <x:c r="N14" s="46" t="str">
        <x:v>katsuwonus pelamis</x:v>
      </x:c>
      <x:c r="O14" s="62" t="n">
        <x:v>4.43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Katsuwonus pelamis</x:v>
      </x:c>
      <x:c r="T14" s="62" t="n">
        <x:f>IF(O14="","",(1/'Metadata'!$B$5)^(O14-1))</x:f>
        <x:v>29009.008489223597</x:v>
      </x:c>
      <x:c r="U14" s="60" t="n">
        <x:f>IF(T14="","",I14*T14)</x:f>
        <x:v>1419441286.7349677</x:v>
      </x:c>
    </x:row>
    <x:row r="15" ht="18" customHeight="1">
      <x:c r="A15" s="46" t="str">
        <x:v>LME_049</x:v>
      </x:c>
      <x:c r="B15" s="46" t="str">
        <x:v>Kuroshio Current</x:v>
      </x:c>
      <x:c r="C15" s="46" t="str">
        <x:v>LME</x:v>
      </x:c>
      <x:c r="D15" s="58" t="n">
        <x:v>2019</x:v>
      </x:c>
      <x:c r="E15" s="46" t="str">
        <x:v>Portunus trituberculatus</x:v>
      </x:c>
      <x:c r="F15" s="46" t="str">
        <x:v>Gazami crab</x:v>
      </x:c>
      <x:c r="G15" s="46" t="str">
        <x:v>Lobsters, crabs</x:v>
      </x:c>
      <x:c r="H15" s="46" t="str">
        <x:v>Crustaceans</x:v>
      </x:c>
      <x:c r="I15" s="60" t="n">
        <x:v>45872.48929520231</x:v>
      </x:c>
      <x:c r="J15" s="60" t="n">
        <x:v>45600.1858576243</x:v>
      </x:c>
      <x:c r="K15" s="60" t="n">
        <x:v>272.303437578</x:v>
      </x:c>
      <x:c r="L15" s="60" t="n">
        <x:v>45587.6409403418</x:v>
      </x:c>
      <x:c r="M15" s="60" t="n">
        <x:v>284.84835486049997</x:v>
      </x:c>
      <x:c r="N15" s="46" t="str">
        <x:v>portunus trituberculatus</x:v>
      </x:c>
      <x:c r="O15" s="62" t="n">
        <x:v>3.73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Portunus trituberculatus</x:v>
      </x:c>
      <x:c r="T15" s="62" t="n">
        <x:f>IF(O15="","",(1/'Metadata'!$B$5)^(O15-1))</x:f>
        <x:v>3562.967723629534</x:v>
      </x:c>
      <x:c r="U15" s="60" t="n">
        <x:f>IF(T15="","",I15*T15)</x:f>
        <x:v>163442198.76134712</x:v>
      </x:c>
    </x:row>
    <x:row r="16" ht="18" customHeight="1">
      <x:c r="A16" s="46" t="str">
        <x:v>LME_049</x:v>
      </x:c>
      <x:c r="B16" s="46" t="str">
        <x:v>Kuroshio Current</x:v>
      </x:c>
      <x:c r="C16" s="46" t="str">
        <x:v>LME</x:v>
      </x:c>
      <x:c r="D16" s="58" t="n">
        <x:v>2019</x:v>
      </x:c>
      <x:c r="E16" s="46" t="str">
        <x:v>Trichiurus lepturus</x:v>
      </x:c>
      <x:c r="F16" s="46" t="str">
        <x:v>Largehead hairtail</x:v>
      </x:c>
      <x:c r="G16" s="46" t="str">
        <x:v>Large benthopelagics (&gt;=90 cm)</x:v>
      </x:c>
      <x:c r="H16" s="46" t="str">
        <x:v>Perch-likes</x:v>
      </x:c>
      <x:c r="I16" s="60" t="n">
        <x:v>43747.6355199844</x:v>
      </x:c>
      <x:c r="J16" s="60" t="n">
        <x:v>43454.030836725404</x:v>
      </x:c>
      <x:c r="K16" s="60" t="n">
        <x:v>293.604683259</x:v>
      </x:c>
      <x:c r="L16" s="60" t="n">
        <x:v>42938.5805825722</x:v>
      </x:c>
      <x:c r="M16" s="60" t="n">
        <x:v>809.0549374121999</x:v>
      </x:c>
      <x:c r="N16" s="46" t="str">
        <x:v>trichiurus lepturus</x:v>
      </x:c>
      <x:c r="O16" s="62" t="n">
        <x:v>4.42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Trichiurus lepturus</x:v>
      </x:c>
      <x:c r="T16" s="62" t="n">
        <x:f>IF(O16="","",(1/'Metadata'!$B$5)^(O16-1))</x:f>
        <x:v>28152.864182630117</x:v>
      </x:c>
      <x:c r="U16" s="60" t="n">
        <x:f>IF(T16="","",I16*T16)</x:f>
        <x:v>1231621241.1053257</x:v>
      </x:c>
    </x:row>
    <x:row r="17" ht="18" customHeight="1">
      <x:c r="A17" s="46" t="str">
        <x:v>LME_049</x:v>
      </x:c>
      <x:c r="B17" s="46" t="str">
        <x:v>Kuroshio Current</x:v>
      </x:c>
      <x:c r="C17" s="46" t="str">
        <x:v>LME</x:v>
      </x:c>
      <x:c r="D17" s="58" t="n">
        <x:v>2019</x:v>
      </x:c>
      <x:c r="E17" s="46" t="str">
        <x:v>Seriola</x:v>
      </x:c>
      <x:c r="F17" s="46" t="str">
        <x:v>Amberjacks</x:v>
      </x:c>
      <x:c r="G17" s="46" t="str">
        <x:v>Large benthopelagics (&gt;=90 cm)</x:v>
      </x:c>
      <x:c r="H17" s="46" t="str">
        <x:v>Perch-likes</x:v>
      </x:c>
      <x:c r="I17" s="60" t="n">
        <x:v>40599.5316975047</x:v>
      </x:c>
      <x:c r="J17" s="60" t="n">
        <x:v>39142.9282079552</x:v>
      </x:c>
      <x:c r="K17" s="60" t="n">
        <x:v>1456.6034895495</x:v>
      </x:c>
      <x:c r="L17" s="60" t="n">
        <x:v>37257.1924024803</x:v>
      </x:c>
      <x:c r="M17" s="60" t="n">
        <x:v>3342.3392950243997</x:v>
      </x:c>
      <x:c r="N17" s="46" t="str">
        <x:v>seriola</x:v>
      </x:c>
      <x:c r="O17" s="62" t="n">
        <x:v>4.39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Seriola</x:v>
      </x:c>
      <x:c r="T17" s="62" t="n">
        <x:f>IF(O17="","",(1/'Metadata'!$B$5)^(O17-1))</x:f>
        <x:v>25733.07497204781</x:v>
      </x:c>
      <x:c r="U17" s="60" t="n">
        <x:f>IF(T17="","",I17*T17)</x:f>
        <x:v>1044750793.00192</x:v>
      </x:c>
    </x:row>
    <x:row r="18" ht="18" customHeight="1">
      <x:c r="A18" s="46" t="str">
        <x:v>LME_049</x:v>
      </x:c>
      <x:c r="B18" s="46" t="str">
        <x:v>Kuroshio Current</x:v>
      </x:c>
      <x:c r="C18" s="46" t="str">
        <x:v>LME</x:v>
      </x:c>
      <x:c r="D18" s="58" t="n">
        <x:v>2019</x:v>
      </x:c>
      <x:c r="E18" s="46" t="str">
        <x:v>Oncorhynchus</x:v>
      </x:c>
      <x:c r="F18" s="46" t="str">
        <x:v>Salmons, trouts</x:v>
      </x:c>
      <x:c r="G18" s="46" t="str">
        <x:v>Large benthopelagics (&gt;=90 cm)</x:v>
      </x:c>
      <x:c r="H18" s="46" t="str">
        <x:v>Salmon, smelts, etc</x:v>
      </x:c>
      <x:c r="I18" s="60" t="n">
        <x:v>38458.673045320604</x:v>
      </x:c>
      <x:c r="J18" s="60" t="n">
        <x:v>31009.8920950976</x:v>
      </x:c>
      <x:c r="K18" s="60" t="n">
        <x:v>7448.780950223</x:v>
      </x:c>
      <x:c r="L18" s="60" t="n">
        <x:v>31009.8920950976</x:v>
      </x:c>
      <x:c r="M18" s="60" t="n">
        <x:v>7448.780950223</x:v>
      </x:c>
      <x:c r="N18" s="46" t="str">
        <x:v>oncorhynchus</x:v>
      </x:c>
      <x:c r="O18" s="62" t="n">
        <x:v>3.95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Oncorhynchus</x:v>
      </x:c>
      <x:c r="T18" s="62" t="n">
        <x:f>IF(O18="","",(1/'Metadata'!$B$5)^(O18-1))</x:f>
        <x:v>6887.133274653882</x:v>
      </x:c>
      <x:c r="U18" s="60" t="n">
        <x:f>IF(T18="","",I18*T18)</x:f>
        <x:v>264870006.82946187</x:v>
      </x:c>
    </x:row>
    <x:row r="19" ht="18" customHeight="1">
      <x:c r="A19" s="46" t="str">
        <x:v>LME_049</x:v>
      </x:c>
      <x:c r="B19" s="46" t="str">
        <x:v>Kuroshio Current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37313.707951734505</x:v>
      </x:c>
      <x:c r="J19" s="60" t="n">
        <x:v>37298.8031000194</x:v>
      </x:c>
      <x:c r="K19" s="60" t="n">
        <x:v>14.9048517151</x:v>
      </x:c>
      <x:c r="L19" s="60" t="n">
        <x:v>35001.4225324652</x:v>
      </x:c>
      <x:c r="M19" s="60" t="n">
        <x:v>2312.2854192693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162.83621261476185</x:v>
      </x:c>
      <x:c r="U19" s="60" t="n">
        <x:f>IF(T19="","",I19*T19)</x:f>
        <x:v>6076022.881473769</x:v>
      </x:c>
    </x:row>
    <x:row r="20" ht="18" customHeight="1">
      <x:c r="A20" s="46" t="str">
        <x:v>LME_049</x:v>
      </x:c>
      <x:c r="B20" s="46" t="str">
        <x:v>Kuroshio Current</x:v>
      </x:c>
      <x:c r="C20" s="46" t="str">
        <x:v>LME</x:v>
      </x:c>
      <x:c r="D20" s="58" t="n">
        <x:v>2019</x:v>
      </x:c>
      <x:c r="E20" s="46" t="str">
        <x:v>Alepes</x:v>
      </x:c>
      <x:c r="F20" s="46" t="str">
        <x:v>Crevalles</x:v>
      </x:c>
      <x:c r="G20" s="46" t="str">
        <x:v>Medium reef assoc. fish (30 - 89 cm)</x:v>
      </x:c>
      <x:c r="H20" s="46" t="str">
        <x:v>Perch-likes</x:v>
      </x:c>
      <x:c r="I20" s="60" t="n">
        <x:v>36760.5325935497</x:v>
      </x:c>
      <x:c r="J20" s="60" t="n">
        <x:v>36729.2315932391</x:v>
      </x:c>
      <x:c r="K20" s="60" t="n">
        <x:v>31.3010003106</x:v>
      </x:c>
      <x:c r="L20" s="60" t="n">
        <x:v>36713.1974466954</x:v>
      </x:c>
      <x:c r="M20" s="60" t="n">
        <x:v>47.3351468543</x:v>
      </x:c>
      <x:c r="N20" s="46" t="str">
        <x:v>alepes</x:v>
      </x:c>
      <x:c r="O20" s="62" t="n">
        <x:v>3.32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Alepes</x:v>
      </x:c>
      <x:c r="T20" s="62" t="n">
        <x:f>IF(O20="","",(1/'Metadata'!$B$5)^(O20-1))</x:f>
        <x:v>1043.2528743388143</x:v>
      </x:c>
      <x:c r="U20" s="60" t="n">
        <x:f>IF(T20="","",I20*T20)</x:f>
        <x:v>38350531.29044639</x:v>
      </x:c>
    </x:row>
    <x:row r="21" ht="18" customHeight="1">
      <x:c r="A21" s="46" t="str">
        <x:v>LME_049</x:v>
      </x:c>
      <x:c r="B21" s="46" t="str">
        <x:v>Kuroshio Current</x:v>
      </x:c>
      <x:c r="C21" s="46" t="str">
        <x:v>LME</x:v>
      </x:c>
      <x:c r="D21" s="58" t="n">
        <x:v>2019</x:v>
      </x:c>
      <x:c r="E21" s="46" t="str">
        <x:v>Clupeidae</x:v>
      </x:c>
      <x:c r="F21" s="46" t="str">
        <x:v>Herrings, sardines, menhadens</x:v>
      </x:c>
      <x:c r="G21" s="46" t="str">
        <x:v>Small pelagics (&lt;30 cm)</x:v>
      </x:c>
      <x:c r="H21" s="46" t="str">
        <x:v>Herring-likes</x:v>
      </x:c>
      <x:c r="I21" s="60" t="n">
        <x:v>29695.6162270648</x:v>
      </x:c>
      <x:c r="J21" s="60" t="n">
        <x:v>24574.6625316203</x:v>
      </x:c>
      <x:c r="K21" s="60" t="n">
        <x:v>5120.9536954445</x:v>
      </x:c>
      <x:c r="L21" s="60" t="n">
        <x:v>24574.6137384352</x:v>
      </x:c>
      <x:c r="M21" s="60" t="n">
        <x:v>5121.0024886296</x:v>
      </x:c>
      <x:c r="N21" s="46" t="str">
        <x:v>clupeidae</x:v>
      </x:c>
      <x:c r="O21" s="62" t="n">
        <x:v>3.16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Clupeidae</x:v>
      </x:c>
      <x:c r="T21" s="62" t="n">
        <x:f>IF(O21="","",(1/'Metadata'!$B$5)^(O21-1))</x:f>
        <x:v>645.9885058849935</x:v>
      </x:c>
      <x:c r="U21" s="60" t="n">
        <x:f>IF(T21="","",I21*T21)</x:f>
        <x:v>19183026.757855758</x:v>
      </x:c>
    </x:row>
    <x:row r="22" ht="18" customHeight="1">
      <x:c r="A22" s="46" t="str">
        <x:v>LME_049</x:v>
      </x:c>
      <x:c r="B22" s="46" t="str">
        <x:v>Kuroshio Current</x:v>
      </x:c>
      <x:c r="C22" s="46" t="str">
        <x:v>LME</x:v>
      </x:c>
      <x:c r="D22" s="58" t="n">
        <x:v>2019</x:v>
      </x:c>
      <x:c r="E22" s="46" t="str">
        <x:v>Teuthida</x:v>
      </x:c>
      <x:c r="F22" s="46" t="str">
        <x:v>Squids</x:v>
      </x:c>
      <x:c r="G22" s="46" t="str">
        <x:v>Cephalopods</x:v>
      </x:c>
      <x:c r="H22" s="46" t="str">
        <x:v>Other fishes &amp; inverts</x:v>
      </x:c>
      <x:c r="I22" s="60" t="n">
        <x:v>28877.057869158398</x:v>
      </x:c>
      <x:c r="J22" s="60" t="n">
        <x:v>28836.168381786298</x:v>
      </x:c>
      <x:c r="K22" s="60" t="n">
        <x:v>40.8894873721</x:v>
      </x:c>
      <x:c r="L22" s="60" t="n">
        <x:v>28224.657130073498</x:v>
      </x:c>
      <x:c r="M22" s="60" t="n">
        <x:v>652.4007390849</x:v>
      </x:c>
      <x:c r="N22" s="46" t="str">
        <x:v>teuthida</x:v>
      </x:c>
      <x:c r="O22" s="62" t="n">
        <x:v>4.13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Teuthida</x:v>
      </x:c>
      <x:c r="T22" s="62" t="n">
        <x:f>IF(O22="","",(1/'Metadata'!$B$5)^(O22-1))</x:f>
        <x:v>11809.292685236613</x:v>
      </x:c>
      <x:c r="U22" s="60" t="n">
        <x:f>IF(T22="","",I22*T22)</x:f>
        <x:v>341017628.2654066</x:v>
      </x:c>
    </x:row>
    <x:row r="23" ht="18" customHeight="1">
      <x:c r="A23" s="46" t="str">
        <x:v>LME_049</x:v>
      </x:c>
      <x:c r="B23" s="46" t="str">
        <x:v>Kuroshio Current</x:v>
      </x:c>
      <x:c r="C23" s="46" t="str">
        <x:v>LME</x:v>
      </x:c>
      <x:c r="D23" s="58" t="n">
        <x:v>2019</x:v>
      </x:c>
      <x:c r="E23" s="46" t="str">
        <x:v>Gadus chalcogrammus</x:v>
      </x:c>
      <x:c r="F23" s="46" t="str">
        <x:v>Alaska pollock</x:v>
      </x:c>
      <x:c r="G23" s="46" t="str">
        <x:v>Medium benthopelagics (30 - 89 cm)</x:v>
      </x:c>
      <x:c r="H23" s="46" t="str">
        <x:v>Cod-likes</x:v>
      </x:c>
      <x:c r="I23" s="60" t="n">
        <x:v>26819.225722469102</x:v>
      </x:c>
      <x:c r="J23" s="60" t="n">
        <x:v>22315.4686453044</x:v>
      </x:c>
      <x:c r="K23" s="60" t="n">
        <x:v>4503.757077164701</x:v>
      </x:c>
      <x:c r="L23" s="60" t="n">
        <x:v>22315.4686453044</x:v>
      </x:c>
      <x:c r="M23" s="60" t="n">
        <x:v>4503.757077164701</x:v>
      </x:c>
      <x:c r="N23" s="46" t="str">
        <x:v>gadus chalcogrammus</x:v>
      </x:c>
      <x:c r="O23" s="62" t="n">
        <x:v>3.57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Gadus chalcogrammus</x:v>
      </x:c>
      <x:c r="T23" s="62" t="n">
        <x:f>IF(O23="","",(1/'Metadata'!$B$5)^(O23-1))</x:f>
        <x:v>2206.2112196552644</x:v>
      </x:c>
      <x:c r="U23" s="60" t="n">
        <x:f>IF(T23="","",I23*T23)</x:f>
        <x:v>59168876.6913784</x:v>
      </x:c>
    </x:row>
    <x:row r="24" ht="18" customHeight="1">
      <x:c r="A24" s="46" t="str">
        <x:v>LME_049</x:v>
      </x:c>
      <x:c r="B24" s="46" t="str">
        <x:v>Kuroshio Current</x:v>
      </x:c>
      <x:c r="C24" s="46" t="str">
        <x:v>LME</x:v>
      </x:c>
      <x:c r="D24" s="58" t="n">
        <x:v>2019</x:v>
      </x:c>
      <x:c r="E24" s="46" t="str">
        <x:v>Larimichthys polyactis</x:v>
      </x:c>
      <x:c r="F24" s="46" t="str">
        <x:v>Yellow croaker</x:v>
      </x:c>
      <x:c r="G24" s="46" t="str">
        <x:v>Medium benthopelagics (30 - 89 cm)</x:v>
      </x:c>
      <x:c r="H24" s="46" t="str">
        <x:v>Perch-likes</x:v>
      </x:c>
      <x:c r="I24" s="60" t="n">
        <x:v>26694.1590997403</x:v>
      </x:c>
      <x:c r="J24" s="60" t="n">
        <x:v>26692.843324005098</x:v>
      </x:c>
      <x:c r="K24" s="60" t="n">
        <x:v>1.3157757352000001</x:v>
      </x:c>
      <x:c r="L24" s="60" t="n">
        <x:v>26690.1002516823</x:v>
      </x:c>
      <x:c r="M24" s="60" t="n">
        <x:v>4.058848058</x:v>
      </x:c>
      <x:c r="N24" s="46" t="str">
        <x:v>larimichthys polyactis</x:v>
      </x:c>
      <x:c r="O24" s="62" t="n">
        <x:v>3.64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Larimichthys polyactis</x:v>
      </x:c>
      <x:c r="T24" s="62" t="n">
        <x:f>IF(O24="","",(1/'Metadata'!$B$5)^(O24-1))</x:f>
        <x:v>2720.9413995404984</x:v>
      </x:c>
      <x:c r="U24" s="60" t="n">
        <x:f>IF(T24="","",I24*T24)</x:f>
        <x:v>72633242.62040411</x:v>
      </x:c>
    </x:row>
    <x:row r="25" ht="18" customHeight="1">
      <x:c r="A25" s="46" t="str">
        <x:v>LME_049</x:v>
      </x:c>
      <x:c r="B25" s="46" t="str">
        <x:v>Kuroshio Current</x:v>
      </x:c>
      <x:c r="C25" s="46" t="str">
        <x:v>LME</x:v>
      </x:c>
      <x:c r="D25" s="58" t="n">
        <x:v>2019</x:v>
      </x:c>
      <x:c r="E25" s="46" t="str">
        <x:v>Penaeus chinensis</x:v>
      </x:c>
      <x:c r="F25" s="46" t="str">
        <x:v>Fleshy prawn</x:v>
      </x:c>
      <x:c r="G25" s="46" t="str">
        <x:v>Shrimps</x:v>
      </x:c>
      <x:c r="H25" s="46" t="str">
        <x:v>Crustaceans</x:v>
      </x:c>
      <x:c r="I25" s="60" t="n">
        <x:v>22883.8180770477</x:v>
      </x:c>
      <x:c r="J25" s="60" t="n">
        <x:v>22834.8042100651</x:v>
      </x:c>
      <x:c r="K25" s="60" t="n">
        <x:v>49.0138669826</x:v>
      </x:c>
      <x:c r="L25" s="60" t="n">
        <x:v>22812.2298201218</x:v>
      </x:c>
      <x:c r="M25" s="60" t="n">
        <x:v>71.5882569259</x:v>
      </x:c>
      <x:c r="N25" s="46" t="str">
        <x:v>penaeus chinensis</x:v>
      </x:c>
      <x:c r="O25" s="62" t="n">
        <x:v>2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Penaeus chinensis</x:v>
      </x:c>
      <x:c r="T25" s="62" t="n">
        <x:f>IF(O25="","",(1/'Metadata'!$B$5)^(O25-1))</x:f>
        <x:v>20</x:v>
      </x:c>
      <x:c r="U25" s="60" t="n">
        <x:f>IF(T25="","",I25*T25)</x:f>
        <x:v>457676.36154095404</x:v>
      </x:c>
    </x:row>
    <x:row r="26" ht="18" customHeight="1">
      <x:c r="A26" s="46" t="str">
        <x:v>LME_049</x:v>
      </x:c>
      <x:c r="B26" s="46" t="str">
        <x:v>Kuroshio Current</x:v>
      </x:c>
      <x:c r="C26" s="46" t="str">
        <x:v>LME</x:v>
      </x:c>
      <x:c r="D26" s="58" t="n">
        <x:v>2019</x:v>
      </x:c>
      <x:c r="E26" s="46" t="str">
        <x:v>Elasmobranchii</x:v>
      </x:c>
      <x:c r="F26" s="46" t="str">
        <x:v>Sharks, rays, skates</x:v>
      </x:c>
      <x:c r="G26" s="46" t="str">
        <x:v>Large sharks (&gt;=90 cm)</x:v>
      </x:c>
      <x:c r="H26" s="46" t="str">
        <x:v>Sharks &amp; rays</x:v>
      </x:c>
      <x:c r="I26" s="60" t="n">
        <x:v>22777.6981485276</x:v>
      </x:c>
      <x:c r="J26" s="60" t="n">
        <x:v>22375.6874747224</x:v>
      </x:c>
      <x:c r="K26" s="60" t="n">
        <x:v>402.0106738052</x:v>
      </x:c>
      <x:c r="L26" s="60" t="n">
        <x:v>19413.3073089938</x:v>
      </x:c>
      <x:c r="M26" s="60" t="n">
        <x:v>3364.3908395338</x:v>
      </x:c>
      <x:c r="N26" s="46" t="str">
        <x:v>elasmobranchii</x:v>
      </x:c>
      <x:c r="O26" s="62" t="n">
        <x:v>4.05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Elasmobranchii</x:v>
      </x:c>
      <x:c r="T26" s="62" t="n">
        <x:f>IF(O26="","",(1/'Metadata'!$B$5)^(O26-1))</x:f>
        <x:v>9292.690797132333</x:v>
      </x:c>
      <x:c r="U26" s="60" t="n">
        <x:f>IF(T26="","",I26*T26)</x:f>
        <x:v>211666105.9646806</x:v>
      </x:c>
    </x:row>
    <x:row r="27" ht="18" customHeight="1">
      <x:c r="A27" s="46" t="str">
        <x:v>LME_049</x:v>
      </x:c>
      <x:c r="B27" s="46" t="str">
        <x:v>Kuroshio Current</x:v>
      </x:c>
      <x:c r="C27" s="46" t="str">
        <x:v>LME</x:v>
      </x:c>
      <x:c r="D27" s="58" t="n">
        <x:v>2019</x:v>
      </x:c>
      <x:c r="E27" s="46" t="str">
        <x:v>Bivalvia</x:v>
      </x:c>
      <x:c r="F27" s="46" t="str">
        <x:v>Clams</x:v>
      </x:c>
      <x:c r="G27" s="46" t="str">
        <x:v>Other demersal invertebrates</x:v>
      </x:c>
      <x:c r="H27" s="46" t="str">
        <x:v>Molluscs</x:v>
      </x:c>
      <x:c r="I27" s="60" t="n">
        <x:v>21389.386231670298</x:v>
      </x:c>
      <x:c r="J27" s="60" t="n">
        <x:v>18248.0516443165</x:v>
      </x:c>
      <x:c r="K27" s="60" t="n">
        <x:v>3141.3345873537996</x:v>
      </x:c>
      <x:c r="L27" s="60" t="n">
        <x:v>18113.4874740417</x:v>
      </x:c>
      <x:c r="M27" s="60" t="n">
        <x:v>3275.8987576286</x:v>
      </x:c>
      <x:c r="N27" s="46" t="str">
        <x:v>bivalvia</x:v>
      </x:c>
      <x:c r="O27" s="62" t="n">
        <x:v>2.23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Bivalvia</x:v>
      </x:c>
      <x:c r="T27" s="62" t="n">
        <x:f>IF(O27="","",(1/'Metadata'!$B$5)^(O27-1))</x:f>
        <x:v>39.83519015836661</x:v>
      </x:c>
      <x:c r="U27" s="60" t="n">
        <x:f>IF(T27="","",I27*T27)</x:f>
        <x:v>852050.2679093349</x:v>
      </x:c>
    </x:row>
    <x:row r="28" ht="18" customHeight="1">
      <x:c r="A28" s="46" t="str">
        <x:v>LME_049</x:v>
      </x:c>
      <x:c r="B28" s="46" t="str">
        <x:v>Kuroshio Current</x:v>
      </x:c>
      <x:c r="C28" s="46" t="str">
        <x:v>LME</x:v>
      </x:c>
      <x:c r="D28" s="58" t="n">
        <x:v>2019</x:v>
      </x:c>
      <x:c r="E28" s="46" t="str">
        <x:v>Pampus</x:v>
      </x:c>
      <x:c r="F28" s="46" t="str">
        <x:v>Silver pomfrets</x:v>
      </x:c>
      <x:c r="G28" s="46" t="str">
        <x:v>Medium benthopelagics (30 - 89 cm)</x:v>
      </x:c>
      <x:c r="H28" s="46" t="str">
        <x:v>Perch-likes</x:v>
      </x:c>
      <x:c r="I28" s="60" t="n">
        <x:v>19340.4472814733</x:v>
      </x:c>
      <x:c r="J28" s="60" t="n">
        <x:v>19328.7819891269</x:v>
      </x:c>
      <x:c r="K28" s="60" t="n">
        <x:v>11.6652923464</x:v>
      </x:c>
      <x:c r="L28" s="60" t="n">
        <x:v>19325.4354421983</x:v>
      </x:c>
      <x:c r="M28" s="60" t="n">
        <x:v>15.011839275</x:v>
      </x:c>
      <x:c r="N28" s="46" t="str">
        <x:v>pampus</x:v>
      </x:c>
      <x:c r="O28" s="62" t="n">
        <x:v>3.41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Pampus</x:v>
      </x:c>
      <x:c r="T28" s="62" t="n">
        <x:f>IF(O28="","",(1/'Metadata'!$B$5)^(O28-1))</x:f>
        <x:v>1366.0993652713958</x:v>
      </x:c>
      <x:c r="U28" s="60" t="n">
        <x:f>IF(T28="","",I28*T28)</x:f>
        <x:v>26420972.75528557</x:v>
      </x:c>
    </x:row>
    <x:row r="29" ht="18" customHeight="1">
      <x:c r="A29" s="46" t="str">
        <x:v>LME_049</x:v>
      </x:c>
      <x:c r="B29" s="46" t="str">
        <x:v>Kuroshio Current</x:v>
      </x:c>
      <x:c r="C29" s="46" t="str">
        <x:v>LME</x:v>
      </x:c>
      <x:c r="D29" s="58" t="n">
        <x:v>2019</x:v>
      </x:c>
      <x:c r="E29" s="46" t="str">
        <x:v>Decapoda</x:v>
      </x:c>
      <x:c r="F29" s="46" t="str">
        <x:v>Crabs, lobsters, shrimps</x:v>
      </x:c>
      <x:c r="G29" s="46" t="str">
        <x:v>Lobsters, crabs</x:v>
      </x:c>
      <x:c r="H29" s="46" t="str">
        <x:v>Crustaceans</x:v>
      </x:c>
      <x:c r="I29" s="60" t="n">
        <x:v>18889.4259282422</x:v>
      </x:c>
      <x:c r="J29" s="60" t="n">
        <x:v>16653.8779497274</x:v>
      </x:c>
      <x:c r="K29" s="60" t="n">
        <x:v>2235.5479785148</x:v>
      </x:c>
      <x:c r="L29" s="60" t="n">
        <x:v>16650.730999054602</x:v>
      </x:c>
      <x:c r="M29" s="60" t="n">
        <x:v>2238.6949291876</x:v>
      </x:c>
      <x:c r="N29" s="46" t="str">
        <x:v>decapoda</x:v>
      </x:c>
      <x:c r="O29" s="62" t="n">
        <x:v>3.43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Decapoda</x:v>
      </x:c>
      <x:c r="T29" s="62" t="n">
        <x:f>IF(O29="","",(1/'Metadata'!$B$5)^(O29-1))</x:f>
        <x:v>1450.450424461182</x:v>
      </x:c>
      <x:c r="U29" s="60" t="n">
        <x:f>IF(T29="","",I29*T29)</x:f>
        <x:v>27398175.855446953</x:v>
      </x:c>
    </x:row>
    <x:row r="30" ht="18" customHeight="1">
      <x:c r="A30" s="46" t="str">
        <x:v>LME_049</x:v>
      </x:c>
      <x:c r="B30" s="46" t="str">
        <x:v>Kuroshio Current</x:v>
      </x:c>
      <x:c r="C30" s="46" t="str">
        <x:v>LME</x:v>
      </x:c>
      <x:c r="D30" s="58" t="n">
        <x:v>2019</x:v>
      </x:c>
      <x:c r="E30" s="46" t="str">
        <x:v>Sparidae</x:v>
      </x:c>
      <x:c r="F30" s="46" t="str">
        <x:v>Porgies, seabreams</x:v>
      </x:c>
      <x:c r="G30" s="46" t="str">
        <x:v>Medium benthopelagics (30 - 89 cm)</x:v>
      </x:c>
      <x:c r="H30" s="46" t="str">
        <x:v>Perch-likes</x:v>
      </x:c>
      <x:c r="I30" s="60" t="n">
        <x:v>18754.722948991002</x:v>
      </x:c>
      <x:c r="J30" s="60" t="n">
        <x:v>18500.4874234858</x:v>
      </x:c>
      <x:c r="K30" s="60" t="n">
        <x:v>254.2355255052</x:v>
      </x:c>
      <x:c r="L30" s="60" t="n">
        <x:v>18211.325350584</x:v>
      </x:c>
      <x:c r="M30" s="60" t="n">
        <x:v>543.397598407</x:v>
      </x:c>
      <x:c r="N30" s="46" t="str">
        <x:v>sparidae</x:v>
      </x:c>
      <x:c r="O30" s="62" t="n">
        <x:v>3.31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Sparidae</x:v>
      </x:c>
      <x:c r="T30" s="62" t="n">
        <x:f>IF(O30="","",(1/'Metadata'!$B$5)^(O30-1))</x:f>
        <x:v>1012.4633005057666</x:v>
      </x:c>
      <x:c r="U30" s="60" t="n">
        <x:f>IF(T30="","",I30*T30)</x:f>
        <x:v>18988468.697006673</x:v>
      </x:c>
    </x:row>
    <x:row r="31" ht="18" customHeight="1">
      <x:c r="A31" s="46" t="str">
        <x:v>LME_049</x:v>
      </x:c>
      <x:c r="B31" s="46" t="str">
        <x:v>Kuroshio Current</x:v>
      </x:c>
      <x:c r="C31" s="46" t="str">
        <x:v>LME</x:v>
      </x:c>
      <x:c r="D31" s="58" t="n">
        <x:v>2019</x:v>
      </x:c>
      <x:c r="E31" s="46" t="str">
        <x:v>Ammodytes personatus</x:v>
      </x:c>
      <x:c r="F31" s="46" t="str">
        <x:v>Pacific sandlance</x:v>
      </x:c>
      <x:c r="G31" s="46" t="str">
        <x:v>Small demersals (&lt;30 cm)</x:v>
      </x:c>
      <x:c r="H31" s="46" t="str">
        <x:v>Perch-likes</x:v>
      </x:c>
      <x:c r="I31" s="60" t="n">
        <x:v>18709.0778679491</x:v>
      </x:c>
      <x:c r="J31" s="60" t="n">
        <x:v>16263.6152988909</x:v>
      </x:c>
      <x:c r="K31" s="60" t="n">
        <x:v>2445.4625690582</x:v>
      </x:c>
      <x:c r="L31" s="60" t="n">
        <x:v>16263.6152988909</x:v>
      </x:c>
      <x:c r="M31" s="60" t="n">
        <x:v>2445.4625690582</x:v>
      </x:c>
      <x:c r="N31" s="46" t="str">
        <x:v>ammodytes personatus</x:v>
      </x:c>
      <x:c r="O31" s="62" t="n">
        <x:v>3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Ammodytes personatus</x:v>
      </x:c>
      <x:c r="T31" s="62" t="n">
        <x:f>IF(O31="","",(1/'Metadata'!$B$5)^(O31-1))</x:f>
        <x:v>400</x:v>
      </x:c>
      <x:c r="U31" s="60" t="n">
        <x:f>IF(T31="","",I31*T31)</x:f>
        <x:v>7483631.147179641</x:v>
      </x:c>
    </x:row>
    <x:row r="32" ht="18" customHeight="1">
      <x:c r="A32" s="46" t="str">
        <x:v>LME_049</x:v>
      </x:c>
      <x:c r="B32" s="46" t="str">
        <x:v>Kuroshio Current</x:v>
      </x:c>
      <x:c r="C32" s="46" t="str">
        <x:v>LME</x:v>
      </x:c>
      <x:c r="D32" s="58" t="n">
        <x:v>2019</x:v>
      </x:c>
      <x:c r="E32" s="46" t="str">
        <x:v>Pleuronectidae</x:v>
      </x:c>
      <x:c r="F32" s="46" t="str">
        <x:v>Righteye flounders</x:v>
      </x:c>
      <x:c r="G32" s="46" t="str">
        <x:v>Small to medium flatfishes (&lt;90 cm)</x:v>
      </x:c>
      <x:c r="H32" s="46" t="str">
        <x:v>Flatfishes</x:v>
      </x:c>
      <x:c r="I32" s="60" t="n">
        <x:v>17188.1331161056</x:v>
      </x:c>
      <x:c r="J32" s="60" t="n">
        <x:v>13321.3009585537</x:v>
      </x:c>
      <x:c r="K32" s="60" t="n">
        <x:v>3866.8321575519003</x:v>
      </x:c>
      <x:c r="L32" s="60" t="n">
        <x:v>11720.596811446201</x:v>
      </x:c>
      <x:c r="M32" s="60" t="n">
        <x:v>5467.5363046594</x:v>
      </x:c>
      <x:c r="N32" s="46" t="str">
        <x:v>pleuronectidae</x:v>
      </x:c>
      <x:c r="O32" s="62" t="n">
        <x:v>3.49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Pleuronectidae</x:v>
      </x:c>
      <x:c r="T32" s="62" t="n">
        <x:f>IF(O32="","",(1/'Metadata'!$B$5)^(O32-1))</x:f>
        <x:v>1736.059833884101</x:v>
      </x:c>
      <x:c r="U32" s="60" t="n">
        <x:f>IF(T32="","",I32*T32)</x:f>
        <x:v>29839627.522324104</x:v>
      </x:c>
    </x:row>
    <x:row r="33" ht="18" customHeight="1">
      <x:c r="A33" s="46" t="str">
        <x:v>LME_049</x:v>
      </x:c>
      <x:c r="B33" s="46" t="str">
        <x:v>Kuroshio Current</x:v>
      </x:c>
      <x:c r="C33" s="46" t="str">
        <x:v>LME</x:v>
      </x:c>
      <x:c r="D33" s="58" t="n">
        <x:v>2019</x:v>
      </x:c>
      <x:c r="E33" s="46" t="str">
        <x:v>Sciaenidae</x:v>
      </x:c>
      <x:c r="F33" s="46" t="str">
        <x:v>Drums, croakers</x:v>
      </x:c>
      <x:c r="G33" s="46" t="str">
        <x:v>Medium demersals (30 - 89 cm)</x:v>
      </x:c>
      <x:c r="H33" s="46" t="str">
        <x:v>Perch-likes</x:v>
      </x:c>
      <x:c r="I33" s="60" t="n">
        <x:v>16067.5227172209</x:v>
      </x:c>
      <x:c r="J33" s="60" t="n">
        <x:v>16062.982663118699</x:v>
      </x:c>
      <x:c r="K33" s="60" t="n">
        <x:v>4.5400541022</x:v>
      </x:c>
      <x:c r="L33" s="60" t="n">
        <x:v>16034.2302850401</x:v>
      </x:c>
      <x:c r="M33" s="60" t="n">
        <x:v>33.2924321808</x:v>
      </x:c>
      <x:c r="N33" s="46" t="str">
        <x:v>sciaenidae</x:v>
      </x:c>
      <x:c r="O33" s="62" t="n">
        <x:v>3.76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Sciaenidae</x:v>
      </x:c>
      <x:c r="T33" s="62" t="n">
        <x:f>IF(O33="","",(1/'Metadata'!$B$5)^(O33-1))</x:f>
        <x:v>3898.0085558913897</x:v>
      </x:c>
      <x:c r="U33" s="60" t="n">
        <x:f>IF(T33="","",I33*T33)</x:f>
        <x:v>62631341.02370634</x:v>
      </x:c>
    </x:row>
    <x:row r="34" ht="18" customHeight="1">
      <x:c r="A34" s="46" t="str">
        <x:v>LME_049</x:v>
      </x:c>
      <x:c r="B34" s="46" t="str">
        <x:v>Kuroshio Current</x:v>
      </x:c>
      <x:c r="C34" s="46" t="str">
        <x:v>LME</x:v>
      </x:c>
      <x:c r="D34" s="58" t="n">
        <x:v>2019</x:v>
      </x:c>
      <x:c r="E34" s="46" t="str">
        <x:v>Nemipterus</x:v>
      </x:c>
      <x:c r="F34" s="46" t="str">
        <x:v>Threadfin breams</x:v>
      </x:c>
      <x:c r="G34" s="46" t="str">
        <x:v>Small demersals (&lt;30 cm)</x:v>
      </x:c>
      <x:c r="H34" s="46" t="str">
        <x:v>Perch-likes</x:v>
      </x:c>
      <x:c r="I34" s="60" t="n">
        <x:v>14729.8873236</x:v>
      </x:c>
      <x:c r="J34" s="60" t="n">
        <x:v>14718.7505051852</x:v>
      </x:c>
      <x:c r="K34" s="60" t="n">
        <x:v>11.1368184148</x:v>
      </x:c>
      <x:c r="L34" s="60" t="n">
        <x:v>14695.2343950158</x:v>
      </x:c>
      <x:c r="M34" s="60" t="n">
        <x:v>34.652928584200005</x:v>
      </x:c>
      <x:c r="N34" s="46" t="str">
        <x:v>nemipterus</x:v>
      </x:c>
      <x:c r="O34" s="62" t="n">
        <x:v>3.72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Nemipterus</x:v>
      </x:c>
      <x:c r="T34" s="62" t="n">
        <x:f>IF(O34="","",(1/'Metadata'!$B$5)^(O34-1))</x:f>
        <x:v>3457.8136804537753</x:v>
      </x:c>
      <x:c r="U34" s="60" t="n">
        <x:f>IF(T34="","",I34*T34)</x:f>
        <x:v>50933205.89908673</x:v>
      </x:c>
    </x:row>
    <x:row r="35" ht="18" customHeight="1">
      <x:c r="A35" s="46" t="str">
        <x:v>LME_049</x:v>
      </x:c>
      <x:c r="B35" s="46" t="str">
        <x:v>Kuroshio Current</x:v>
      </x:c>
      <x:c r="C35" s="46" t="str">
        <x:v>LME</x:v>
      </x:c>
      <x:c r="D35" s="58" t="n">
        <x:v>2019</x:v>
      </x:c>
      <x:c r="E35" s="46" t="str">
        <x:v>Dussumieria</x:v>
      </x:c>
      <x:c r="F35" s="46" t="str">
        <x:v>Rainbow sardines</x:v>
      </x:c>
      <x:c r="G35" s="46" t="str">
        <x:v>Small pelagics (&lt;30 cm)</x:v>
      </x:c>
      <x:c r="H35" s="46" t="str">
        <x:v>Herring-likes</x:v>
      </x:c>
      <x:c r="I35" s="60" t="n">
        <x:v>14503.482395626</x:v>
      </x:c>
      <x:c r="J35" s="60" t="n">
        <x:v>14243.4603654259</x:v>
      </x:c>
      <x:c r="K35" s="60" t="n">
        <x:v>260.0220302001</x:v>
      </x:c>
      <x:c r="L35" s="60" t="n">
        <x:v>14243.4603654259</x:v>
      </x:c>
      <x:c r="M35" s="60" t="n">
        <x:v>260.0220302001</x:v>
      </x:c>
      <x:c r="N35" s="46" t="str">
        <x:v>dussumieria</x:v>
      </x:c>
      <x:c r="O35" s="62" t="n">
        <x:v>3.4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Dussumieria</x:v>
      </x:c>
      <x:c r="T35" s="62" t="n">
        <x:f>IF(O35="","",(1/'Metadata'!$B$5)^(O35-1))</x:f>
        <x:v>1325.7816069359944</x:v>
      </x:c>
      <x:c r="U35" s="60" t="n">
        <x:f>IF(T35="","",I35*T35)</x:f>
        <x:v>19228450.196640946</x:v>
      </x:c>
    </x:row>
    <x:row r="36" ht="18" customHeight="1">
      <x:c r="A36" s="46" t="str">
        <x:v>LME_049</x:v>
      </x:c>
      <x:c r="B36" s="46" t="str">
        <x:v>Kuroshio Current</x:v>
      </x:c>
      <x:c r="C36" s="46" t="str">
        <x:v>LME</x:v>
      </x:c>
      <x:c r="D36" s="58" t="n">
        <x:v>2019</x:v>
      </x:c>
      <x:c r="E36" s="46" t="str">
        <x:v>Trachysalambria curvirostris</x:v>
      </x:c>
      <x:c r="F36" s="46" t="str">
        <x:v>Southern rough shrimp</x:v>
      </x:c>
      <x:c r="G36" s="46" t="str">
        <x:v>Shrimps</x:v>
      </x:c>
      <x:c r="H36" s="46" t="str">
        <x:v>Crustaceans</x:v>
      </x:c>
      <x:c r="I36" s="60" t="n">
        <x:v>13750.298081551902</x:v>
      </x:c>
      <x:c r="J36" s="60" t="n">
        <x:v>13742.3561315272</x:v>
      </x:c>
      <x:c r="K36" s="60" t="n">
        <x:v>7.9419500247</x:v>
      </x:c>
      <x:c r="L36" s="60" t="n">
        <x:v>13738.687407585201</x:v>
      </x:c>
      <x:c r="M36" s="60" t="n">
        <x:v>11.6106739667</x:v>
      </x:c>
      <x:c r="N36" s="46" t="str">
        <x:v>trachysalambria curvirostris</x:v>
      </x:c>
      <x:c r="O36" s="62" t="n">
        <x:v>2.7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Trachysalambria curvirostris</x:v>
      </x:c>
      <x:c r="T36" s="62" t="n">
        <x:f>IF(O36="","",(1/'Metadata'!$B$5)^(O36-1))</x:f>
        <x:v>162.83621261476185</x:v>
      </x:c>
      <x:c r="U36" s="60" t="n">
        <x:f>IF(T36="","",I36*T36)</x:f>
        <x:v>2239046.4619239373</x:v>
      </x:c>
    </x:row>
    <x:row r="37" ht="18" customHeight="1">
      <x:c r="A37" s="46" t="str">
        <x:v>LME_049</x:v>
      </x:c>
      <x:c r="B37" s="46" t="str">
        <x:v>Kuroshio Current</x:v>
      </x:c>
      <x:c r="C37" s="46" t="str">
        <x:v>LME</x:v>
      </x:c>
      <x:c r="D37" s="58" t="n">
        <x:v>2019</x:v>
      </x:c>
      <x:c r="E37" s="46" t="str">
        <x:v>Octopus</x:v>
      </x:c>
      <x:c r="F37" s="46" t="str">
        <x:v>Octopuses, pikas</x:v>
      </x:c>
      <x:c r="G37" s="46" t="str">
        <x:v>Cephalopods</x:v>
      </x:c>
      <x:c r="H37" s="46" t="str">
        <x:v>Other fishes &amp; inverts</x:v>
      </x:c>
      <x:c r="I37" s="60" t="n">
        <x:v>13403.8818093669</x:v>
      </x:c>
      <x:c r="J37" s="60" t="n">
        <x:v>13403.8818093669</x:v>
      </x:c>
      <x:c r="K37" s="60" t="n">
        <x:v>0</x:v>
      </x:c>
      <x:c r="L37" s="60" t="n">
        <x:v>13403.8818093669</x:v>
      </x:c>
      <x:c r="M37" s="60" t="n">
        <x:v>0</x:v>
      </x:c>
      <x:c r="N37" s="46" t="str">
        <x:v>octopus</x:v>
      </x:c>
      <x:c r="O37" s="62" t="n">
        <x:v>3.8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Octopus</x:v>
      </x:c>
      <x:c r="T37" s="62" t="n">
        <x:f>IF(O37="","",(1/'Metadata'!$B$5)^(O37-1))</x:f>
        <x:v>4394.242173224468</x:v>
      </x:c>
      <x:c r="U37" s="60" t="n">
        <x:f>IF(T37="","",I37*T37)</x:f>
        <x:v>58899902.73163632</x:v>
      </x:c>
    </x:row>
    <x:row r="38" ht="18" customHeight="1">
      <x:c r="A38" s="46" t="str">
        <x:v>LME_049</x:v>
      </x:c>
      <x:c r="B38" s="46" t="str">
        <x:v>Kuroshio Current</x:v>
      </x:c>
      <x:c r="C38" s="46" t="str">
        <x:v>LME</x:v>
      </x:c>
      <x:c r="D38" s="58" t="n">
        <x:v>2019</x:v>
      </x:c>
      <x:c r="E38" s="46" t="str">
        <x:v>Pagrus major</x:v>
      </x:c>
      <x:c r="F38" s="46" t="str">
        <x:v>Japanese seabream</x:v>
      </x:c>
      <x:c r="G38" s="46" t="str">
        <x:v>Large demersals (&gt;=90 cm)</x:v>
      </x:c>
      <x:c r="H38" s="46" t="str">
        <x:v>Perch-likes</x:v>
      </x:c>
      <x:c r="I38" s="60" t="n">
        <x:v>12722.373012203301</x:v>
      </x:c>
      <x:c r="J38" s="60" t="n">
        <x:v>11075.670135676</x:v>
      </x:c>
      <x:c r="K38" s="60" t="n">
        <x:v>1646.7028765273</x:v>
      </x:c>
      <x:c r="L38" s="60" t="n">
        <x:v>8987.4339922576</x:v>
      </x:c>
      <x:c r="M38" s="60" t="n">
        <x:v>3734.9390199457002</x:v>
      </x:c>
      <x:c r="N38" s="46" t="str">
        <x:v>pagrus major</x:v>
      </x:c>
      <x:c r="O38" s="62" t="n">
        <x:v>3.7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Pagrus major</x:v>
      </x:c>
      <x:c r="T38" s="62" t="n">
        <x:f>IF(O38="","",(1/'Metadata'!$B$5)^(O38-1))</x:f>
        <x:v>3256.724252295237</x:v>
      </x:c>
      <x:c r="U38" s="60" t="n">
        <x:f>IF(T38="","",I38*T38)</x:f>
        <x:v>41433260.7355889</x:v>
      </x:c>
    </x:row>
    <x:row r="39" ht="18" customHeight="1">
      <x:c r="A39" s="46" t="str">
        <x:v>LME_049</x:v>
      </x:c>
      <x:c r="B39" s="46" t="str">
        <x:v>Kuroshio Current</x:v>
      </x:c>
      <x:c r="C39" s="46" t="str">
        <x:v>LME</x:v>
      </x:c>
      <x:c r="D39" s="58" t="n">
        <x:v>2019</x:v>
      </x:c>
      <x:c r="E39" s="46" t="str">
        <x:v>Chondrichthyes</x:v>
      </x:c>
      <x:c r="F39" s="46" t="str">
        <x:v>Sharks, rays, chimaeras</x:v>
      </x:c>
      <x:c r="G39" s="46" t="str">
        <x:v>Large sharks (&gt;=90 cm)</x:v>
      </x:c>
      <x:c r="H39" s="46" t="str">
        <x:v>Sharks &amp; rays</x:v>
      </x:c>
      <x:c r="I39" s="60" t="n">
        <x:v>12634.8404540687</x:v>
      </x:c>
      <x:c r="J39" s="60" t="n">
        <x:v>7468.7384429366</x:v>
      </x:c>
      <x:c r="K39" s="60" t="n">
        <x:v>5166.1020111321</x:v>
      </x:c>
      <x:c r="L39" s="60" t="n">
        <x:v>7468.7384429366</x:v>
      </x:c>
      <x:c r="M39" s="60" t="n">
        <x:v>5166.1020111321</x:v>
      </x:c>
      <x:c r="N39" s="46" t="str">
        <x:v>chondrichthyes</x:v>
      </x:c>
      <x:c r="O39" s="62" t="n">
        <x:v>4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Chondrichthyes</x:v>
      </x:c>
      <x:c r="T39" s="62" t="n">
        <x:f>IF(O39="","",(1/'Metadata'!$B$5)^(O39-1))</x:f>
        <x:v>8000</x:v>
      </x:c>
      <x:c r="U39" s="60" t="n">
        <x:f>IF(T39="","",I39*T39)</x:f>
        <x:v>101078723.6325496</x:v>
      </x:c>
    </x:row>
    <x:row r="40" ht="18" customHeight="1">
      <x:c r="A40" s="46" t="str">
        <x:v>LME_049</x:v>
      </x:c>
      <x:c r="B40" s="46" t="str">
        <x:v>Kuroshio Current</x:v>
      </x:c>
      <x:c r="C40" s="46" t="str">
        <x:v>LME</x:v>
      </x:c>
      <x:c r="D40" s="58" t="n">
        <x:v>2019</x:v>
      </x:c>
      <x:c r="E40" s="46" t="str">
        <x:v>Ruvettus pretiosus</x:v>
      </x:c>
      <x:c r="F40" s="46" t="str">
        <x:v>Oilfish</x:v>
      </x:c>
      <x:c r="G40" s="46" t="str">
        <x:v>Large benthopelagics (&gt;=90 cm)</x:v>
      </x:c>
      <x:c r="H40" s="46" t="str">
        <x:v>Perch-likes</x:v>
      </x:c>
      <x:c r="I40" s="60" t="n">
        <x:v>11060.5028738311</x:v>
      </x:c>
      <x:c r="J40" s="60" t="n">
        <x:v>11038.8382121838</x:v>
      </x:c>
      <x:c r="K40" s="60" t="n">
        <x:v>21.6646616473</x:v>
      </x:c>
      <x:c r="L40" s="60" t="n">
        <x:v>8724.0426675521</x:v>
      </x:c>
      <x:c r="M40" s="60" t="n">
        <x:v>2336.460206279</x:v>
      </x:c>
      <x:c r="N40" s="46" t="str">
        <x:v>ruvettus pretiosus</x:v>
      </x:c>
      <x:c r="O40" s="62" t="n">
        <x:v>4.18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Ruvettus pretiosus</x:v>
      </x:c>
      <x:c r="T40" s="62" t="n">
        <x:f>IF(O40="","",(1/'Metadata'!$B$5)^(O40-1))</x:f>
        <x:v>13717.513182092556</x:v>
      </x:c>
      <x:c r="U40" s="60" t="n">
        <x:f>IF(T40="","",I40*T40)</x:f>
        <x:v>151722593.97235072</x:v>
      </x:c>
    </x:row>
    <x:row r="41" ht="18" customHeight="1">
      <x:c r="A41" s="46" t="str">
        <x:v>LME_049</x:v>
      </x:c>
      <x:c r="B41" s="46" t="str">
        <x:v>Kuroshio Current</x:v>
      </x:c>
      <x:c r="C41" s="46" t="str">
        <x:v>LME</x:v>
      </x:c>
      <x:c r="D41" s="58" t="n">
        <x:v>2019</x:v>
      </x:c>
      <x:c r="E41" s="46" t="str">
        <x:v>Planiliza haematocheilus</x:v>
      </x:c>
      <x:c r="F41" s="46" t="str">
        <x:v>So-iny mullet</x:v>
      </x:c>
      <x:c r="G41" s="46" t="str">
        <x:v>Medium demersals (30 - 89 cm)</x:v>
      </x:c>
      <x:c r="H41" s="46" t="str">
        <x:v>Perch-likes</x:v>
      </x:c>
      <x:c r="I41" s="60" t="n">
        <x:v>10451.650159137</x:v>
      </x:c>
      <x:c r="J41" s="60" t="n">
        <x:v>10450.5723198249</x:v>
      </x:c>
      <x:c r="K41" s="60" t="n">
        <x:v>1.0778393121</x:v>
      </x:c>
      <x:c r="L41" s="60" t="n">
        <x:v>10450.299808374</x:v>
      </x:c>
      <x:c r="M41" s="60" t="n">
        <x:v>1.350350763</x:v>
      </x:c>
      <x:c r="N41" s="46" t="str">
        <x:v>planiliza haematocheilus</x:v>
      </x:c>
      <x:c r="O41" s="62" t="n">
        <x:v>2.5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Planiliza haematocheilus</x:v>
      </x:c>
      <x:c r="T41" s="62" t="n">
        <x:f>IF(O41="","",(1/'Metadata'!$B$5)^(O41-1))</x:f>
        <x:v>89.44271909999159</x:v>
      </x:c>
      <x:c r="U41" s="60" t="n">
        <x:f>IF(T41="","",I41*T41)</x:f>
        <x:v>934824.0093150731</x:v>
      </x:c>
    </x:row>
    <x:row r="42" ht="18" customHeight="1">
      <x:c r="A42" s="46" t="str">
        <x:v>LME_049</x:v>
      </x:c>
      <x:c r="B42" s="46" t="str">
        <x:v>Kuroshio Current</x:v>
      </x:c>
      <x:c r="C42" s="46" t="str">
        <x:v>LME</x:v>
      </x:c>
      <x:c r="D42" s="58" t="n">
        <x:v>2019</x:v>
      </x:c>
      <x:c r="E42" s="46" t="str">
        <x:v>Portunus pelagicus</x:v>
      </x:c>
      <x:c r="F42" s="46" t="str">
        <x:v>Blue swimming crab</x:v>
      </x:c>
      <x:c r="G42" s="46" t="str">
        <x:v>Lobsters, crabs</x:v>
      </x:c>
      <x:c r="H42" s="46" t="str">
        <x:v>Crustaceans</x:v>
      </x:c>
      <x:c r="I42" s="60" t="n">
        <x:v>9821.076657300302</x:v>
      </x:c>
      <x:c r="J42" s="60" t="n">
        <x:v>9708.809015037901</x:v>
      </x:c>
      <x:c r="K42" s="60" t="n">
        <x:v>112.2676422624</x:v>
      </x:c>
      <x:c r="L42" s="60" t="n">
        <x:v>9707.3634374144</x:v>
      </x:c>
      <x:c r="M42" s="60" t="n">
        <x:v>113.7132198859</x:v>
      </x:c>
      <x:c r="N42" s="46" t="str">
        <x:v>portunus pelagicus</x:v>
      </x:c>
      <x:c r="O42" s="62" t="n">
        <x:v>2.48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Portunus pelagicus</x:v>
      </x:c>
      <x:c r="T42" s="62" t="n">
        <x:f>IF(O42="","",(1/'Metadata'!$B$5)^(O42-1))</x:f>
        <x:v>84.24117069429444</x:v>
      </x:c>
      <x:c r="U42" s="60" t="n">
        <x:f>IF(T42="","",I42*T42)</x:f>
        <x:v>827338.9950893854</x:v>
      </x:c>
    </x:row>
    <x:row r="43" ht="18" customHeight="1">
      <x:c r="A43" s="46" t="str">
        <x:v>LME_049</x:v>
      </x:c>
      <x:c r="B43" s="46" t="str">
        <x:v>Kuroshio Current</x:v>
      </x:c>
      <x:c r="C43" s="46" t="str">
        <x:v>LME</x:v>
      </x:c>
      <x:c r="D43" s="58" t="n">
        <x:v>2019</x:v>
      </x:c>
      <x:c r="E43" s="46" t="str">
        <x:v>Larimichthys crocea</x:v>
      </x:c>
      <x:c r="F43" s="46" t="str">
        <x:v>Large yellow croaker</x:v>
      </x:c>
      <x:c r="G43" s="46" t="str">
        <x:v>Medium benthopelagics (30 - 89 cm)</x:v>
      </x:c>
      <x:c r="H43" s="46" t="str">
        <x:v>Perch-likes</x:v>
      </x:c>
      <x:c r="I43" s="60" t="n">
        <x:v>9300.709446364399</x:v>
      </x:c>
      <x:c r="J43" s="60" t="n">
        <x:v>9285.7247352537</x:v>
      </x:c>
      <x:c r="K43" s="60" t="n">
        <x:v>14.9847111107</x:v>
      </x:c>
      <x:c r="L43" s="60" t="n">
        <x:v>9255.468928229198</x:v>
      </x:c>
      <x:c r="M43" s="60" t="n">
        <x:v>45.2405181352</x:v>
      </x:c>
      <x:c r="N43" s="46" t="str">
        <x:v>larimichthys crocea</x:v>
      </x:c>
      <x:c r="O43" s="62" t="n">
        <x:v>3.72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Larimichthys crocea</x:v>
      </x:c>
      <x:c r="T43" s="62" t="n">
        <x:f>IF(O43="","",(1/'Metadata'!$B$5)^(O43-1))</x:f>
        <x:v>3457.8136804537753</x:v>
      </x:c>
      <x:c r="U43" s="60" t="n">
        <x:f>IF(T43="","",I43*T43)</x:f>
        <x:v>32160120.361564476</x:v>
      </x:c>
    </x:row>
    <x:row r="44" ht="18" customHeight="1">
      <x:c r="A44" s="46" t="str">
        <x:v>LME_049</x:v>
      </x:c>
      <x:c r="B44" s="46" t="str">
        <x:v>Kuroshio Current</x:v>
      </x:c>
      <x:c r="C44" s="46" t="str">
        <x:v>LME</x:v>
      </x:c>
      <x:c r="D44" s="58" t="n">
        <x:v>2019</x:v>
      </x:c>
      <x:c r="E44" s="46" t="str">
        <x:v>Pleurogrammus azonus</x:v>
      </x:c>
      <x:c r="F44" s="46" t="str">
        <x:v>Okhotsk atka mackerel</x:v>
      </x:c>
      <x:c r="G44" s="46" t="str">
        <x:v>Medium demersals (30 - 89 cm)</x:v>
      </x:c>
      <x:c r="H44" s="46" t="str">
        <x:v>Scorpionfishes</x:v>
      </x:c>
      <x:c r="I44" s="60" t="n">
        <x:v>9003.7732902109</x:v>
      </x:c>
      <x:c r="J44" s="60" t="n">
        <x:v>6490.5727699583</x:v>
      </x:c>
      <x:c r="K44" s="60" t="n">
        <x:v>2513.2005202526</x:v>
      </x:c>
      <x:c r="L44" s="60" t="n">
        <x:v>6490.5727699583</x:v>
      </x:c>
      <x:c r="M44" s="60" t="n">
        <x:v>2513.2005202526</x:v>
      </x:c>
      <x:c r="N44" s="46" t="str">
        <x:v>pleurogrammus azonus</x:v>
      </x:c>
      <x:c r="O44" s="62" t="n">
        <x:v>3.6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Pleurogrammus azonus</x:v>
      </x:c>
      <x:c r="T44" s="62" t="n">
        <x:f>IF(O44="","",(1/'Metadata'!$B$5)^(O44-1))</x:f>
        <x:v>2413.670534618066</x:v>
      </x:c>
      <x:c r="U44" s="60" t="n">
        <x:f>IF(T44="","",I44*T44)</x:f>
        <x:v>21732142.290963206</x:v>
      </x:c>
    </x:row>
    <x:row r="45" ht="18" customHeight="1">
      <x:c r="A45" s="46" t="str">
        <x:v>LME_049</x:v>
      </x:c>
      <x:c r="B45" s="46" t="str">
        <x:v>Kuroshio Current</x:v>
      </x:c>
      <x:c r="C45" s="46" t="str">
        <x:v>LME</x:v>
      </x:c>
      <x:c r="D45" s="58" t="n">
        <x:v>2019</x:v>
      </x:c>
      <x:c r="E45" s="46" t="str">
        <x:v>Acetes japonicus</x:v>
      </x:c>
      <x:c r="F45" s="46" t="str">
        <x:v>Akiami paste shrimp</x:v>
      </x:c>
      <x:c r="G45" s="46" t="str">
        <x:v>Shrimps</x:v>
      </x:c>
      <x:c r="H45" s="46" t="str">
        <x:v>Crustaceans</x:v>
      </x:c>
      <x:c r="I45" s="60" t="n">
        <x:v>8901.3541996894</x:v>
      </x:c>
      <x:c r="J45" s="60" t="n">
        <x:v>8820.223569906</x:v>
      </x:c>
      <x:c r="K45" s="60" t="n">
        <x:v>81.1306297834</x:v>
      </x:c>
      <x:c r="L45" s="60" t="n">
        <x:v>8812.6173517406</x:v>
      </x:c>
      <x:c r="M45" s="60" t="n">
        <x:v>88.73684794879999</x:v>
      </x:c>
      <x:c r="N45" s="46" t="str">
        <x:v>acetes japonicus</x:v>
      </x:c>
      <x:c r="O45" s="62" t="n">
        <x:v>2.54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Acetes japonicus</x:v>
      </x:c>
      <x:c r="T45" s="62" t="n">
        <x:f>IF(O45="","",(1/'Metadata'!$B$5)^(O45-1))</x:f>
        <x:v>100.8291702600367</x:v>
      </x:c>
      <x:c r="U45" s="60" t="n">
        <x:f>IF(T45="","",I45*T45)</x:f>
        <x:v>897516.1581453753</x:v>
      </x:c>
    </x:row>
    <x:row r="46" ht="18" customHeight="1">
      <x:c r="A46" s="46" t="str">
        <x:v>LME_049</x:v>
      </x:c>
      <x:c r="B46" s="46" t="str">
        <x:v>Kuroshio Current</x:v>
      </x:c>
      <x:c r="C46" s="46" t="str">
        <x:v>LME</x:v>
      </x:c>
      <x:c r="D46" s="58" t="n">
        <x:v>2019</x:v>
      </x:c>
      <x:c r="E46" s="46" t="str">
        <x:v>Squillidae</x:v>
      </x:c>
      <x:c r="F46" s="46" t="str">
        <x:v>Squilla mantis shrimps</x:v>
      </x:c>
      <x:c r="G46" s="46" t="str">
        <x:v>Shrimps</x:v>
      </x:c>
      <x:c r="H46" s="46" t="str">
        <x:v>Crustaceans</x:v>
      </x:c>
      <x:c r="I46" s="60" t="n">
        <x:v>8625.5828309222</x:v>
      </x:c>
      <x:c r="J46" s="60" t="n">
        <x:v>8623.3975172997</x:v>
      </x:c>
      <x:c r="K46" s="60" t="n">
        <x:v>2.1853136225</x:v>
      </x:c>
      <x:c r="L46" s="60" t="n">
        <x:v>8621.8953740804</x:v>
      </x:c>
      <x:c r="M46" s="60" t="n">
        <x:v>3.6874568417999996</x:v>
      </x:c>
      <x:c r="N46" s="46" t="str">
        <x:v>squillidae</x:v>
      </x:c>
      <x:c r="O46" s="62" t="n">
        <x:v>3.5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Squillidae</x:v>
      </x:c>
      <x:c r="T46" s="62" t="n">
        <x:f>IF(O46="","",(1/'Metadata'!$B$5)^(O46-1))</x:f>
        <x:v>1788.8543819998317</x:v>
      </x:c>
      <x:c r="U46" s="60" t="n">
        <x:f>IF(T46="","",I46*T46)</x:f>
        <x:v>15429911.64439769</x:v>
      </x:c>
    </x:row>
    <x:row r="47" ht="18" customHeight="1">
      <x:c r="A47" s="46" t="str">
        <x:v>LME_049</x:v>
      </x:c>
      <x:c r="B47" s="46" t="str">
        <x:v>Kuroshio Current</x:v>
      </x:c>
      <x:c r="C47" s="46" t="str">
        <x:v>LME</x:v>
      </x:c>
      <x:c r="D47" s="58" t="n">
        <x:v>2019</x:v>
      </x:c>
      <x:c r="E47" s="46" t="str">
        <x:v>Decapterus maruadsi</x:v>
      </x:c>
      <x:c r="F47" s="46" t="str">
        <x:v>Japanese scad</x:v>
      </x:c>
      <x:c r="G47" s="46" t="str">
        <x:v>Small pelagics (&lt;30 cm)</x:v>
      </x:c>
      <x:c r="H47" s="46" t="str">
        <x:v>Perch-likes</x:v>
      </x:c>
      <x:c r="I47" s="60" t="n">
        <x:v>8198.4057141911</x:v>
      </x:c>
      <x:c r="J47" s="60" t="n">
        <x:v>8088.205569155701</x:v>
      </x:c>
      <x:c r="K47" s="60" t="n">
        <x:v>110.2001450354</x:v>
      </x:c>
      <x:c r="L47" s="60" t="n">
        <x:v>7621.1673135479</x:v>
      </x:c>
      <x:c r="M47" s="60" t="n">
        <x:v>577.2384006432</x:v>
      </x:c>
      <x:c r="N47" s="46" t="str">
        <x:v>decapterus maruadsi</x:v>
      </x:c>
      <x:c r="O47" s="62" t="n">
        <x:v>3.4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Decapterus maruadsi</x:v>
      </x:c>
      <x:c r="T47" s="62" t="n">
        <x:f>IF(O47="","",(1/'Metadata'!$B$5)^(O47-1))</x:f>
        <x:v>1325.7816069359944</x:v>
      </x:c>
      <x:c r="U47" s="60" t="n">
        <x:f>IF(T47="","",I47*T47)</x:f>
        <x:v>10869295.502073515</x:v>
      </x:c>
    </x:row>
    <x:row r="48" ht="18" customHeight="1">
      <x:c r="A48" s="46" t="str">
        <x:v>LME_049</x:v>
      </x:c>
      <x:c r="B48" s="46" t="str">
        <x:v>Kuroshio Current</x:v>
      </x:c>
      <x:c r="C48" s="46" t="str">
        <x:v>LME</x:v>
      </x:c>
      <x:c r="D48" s="58" t="n">
        <x:v>2019</x:v>
      </x:c>
      <x:c r="E48" s="46" t="str">
        <x:v>Miichthys miiuy</x:v>
      </x:c>
      <x:c r="F48" s="46" t="str">
        <x:v>Mi-iuy croaker</x:v>
      </x:c>
      <x:c r="G48" s="46" t="str">
        <x:v>Medium demersals (30 - 89 cm)</x:v>
      </x:c>
      <x:c r="H48" s="46" t="str">
        <x:v>Perch-likes</x:v>
      </x:c>
      <x:c r="I48" s="60" t="n">
        <x:v>7897.158884894499</x:v>
      </x:c>
      <x:c r="J48" s="60" t="n">
        <x:v>7887.6076184846</x:v>
      </x:c>
      <x:c r="K48" s="60" t="n">
        <x:v>9.5512664099</x:v>
      </x:c>
      <x:c r="L48" s="60" t="n">
        <x:v>7882.989195149399</x:v>
      </x:c>
      <x:c r="M48" s="60" t="n">
        <x:v>14.1696897451</x:v>
      </x:c>
      <x:c r="N48" s="46" t="str">
        <x:v>miichthys miiuy</x:v>
      </x:c>
      <x:c r="O48" s="62" t="n">
        <x:v>3.5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Miichthys miiuy</x:v>
      </x:c>
      <x:c r="T48" s="62" t="n">
        <x:f>IF(O48="","",(1/'Metadata'!$B$5)^(O48-1))</x:f>
        <x:v>1788.8543819998317</x:v>
      </x:c>
      <x:c r="U48" s="60" t="n">
        <x:f>IF(T48="","",I48*T48)</x:f>
        <x:v>14126867.27659243</x:v>
      </x:c>
    </x:row>
    <x:row r="49" ht="18" customHeight="1">
      <x:c r="A49" s="46" t="str">
        <x:v>LME_049</x:v>
      </x:c>
      <x:c r="B49" s="46" t="str">
        <x:v>Kuroshio Current</x:v>
      </x:c>
      <x:c r="C49" s="46" t="str">
        <x:v>LME</x:v>
      </x:c>
      <x:c r="D49" s="58" t="n">
        <x:v>2019</x:v>
      </x:c>
      <x:c r="E49" s="46" t="str">
        <x:v>Muraenesox cinereus</x:v>
      </x:c>
      <x:c r="F49" s="46" t="str">
        <x:v>Daggertooth pike conger</x:v>
      </x:c>
      <x:c r="G49" s="46" t="str">
        <x:v>Large demersals (&gt;=90 cm)</x:v>
      </x:c>
      <x:c r="H49" s="46" t="str">
        <x:v>Other fishes &amp; inverts</x:v>
      </x:c>
      <x:c r="I49" s="60" t="n">
        <x:v>7796.0561797683</x:v>
      </x:c>
      <x:c r="J49" s="60" t="n">
        <x:v>7760.9085402921</x:v>
      </x:c>
      <x:c r="K49" s="60" t="n">
        <x:v>35.1476394762</x:v>
      </x:c>
      <x:c r="L49" s="60" t="n">
        <x:v>7760.9085402921</x:v>
      </x:c>
      <x:c r="M49" s="60" t="n">
        <x:v>35.1476394762</x:v>
      </x:c>
      <x:c r="N49" s="46" t="str">
        <x:v>muraenesox cinereus</x:v>
      </x:c>
      <x:c r="O49" s="62" t="n">
        <x:v>4.38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Muraenesox cinereus</x:v>
      </x:c>
      <x:c r="T49" s="62" t="n">
        <x:f>IF(O49="","",(1/'Metadata'!$B$5)^(O49-1))</x:f>
        <x:v>24973.6134538561</x:v>
      </x:c>
      <x:c r="U49" s="60" t="n">
        <x:f>IF(T49="","",I49*T49)</x:f>
        <x:v>194695693.4980796</x:v>
      </x:c>
    </x:row>
    <x:row r="50" ht="18" customHeight="1">
      <x:c r="A50" s="46" t="str">
        <x:v>LME_049</x:v>
      </x:c>
      <x:c r="B50" s="46" t="str">
        <x:v>Kuroshio Current</x:v>
      </x:c>
      <x:c r="C50" s="46" t="str">
        <x:v>LME</x:v>
      </x:c>
      <x:c r="D50" s="58" t="n">
        <x:v>2019</x:v>
      </x:c>
      <x:c r="E50" s="46" t="str">
        <x:v>Thunnus alalunga</x:v>
      </x:c>
      <x:c r="F50" s="46" t="str">
        <x:v>Albacore</x:v>
      </x:c>
      <x:c r="G50" s="46" t="str">
        <x:v>Large pelagics (&gt;=90 cm)</x:v>
      </x:c>
      <x:c r="H50" s="46" t="str">
        <x:v>Tuna &amp; billfishes</x:v>
      </x:c>
      <x:c r="I50" s="60" t="n">
        <x:v>7565.3386384005</x:v>
      </x:c>
      <x:c r="J50" s="60" t="n">
        <x:v>7523.3809193147</x:v>
      </x:c>
      <x:c r="K50" s="60" t="n">
        <x:v>41.9577190858</x:v>
      </x:c>
      <x:c r="L50" s="60" t="n">
        <x:v>7523.3809193147</x:v>
      </x:c>
      <x:c r="M50" s="60" t="n">
        <x:v>41.9577190858</x:v>
      </x:c>
      <x:c r="N50" s="46" t="str">
        <x:v>thunnus alalunga</x:v>
      </x:c>
      <x:c r="O50" s="62" t="n">
        <x:v>4.3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alalunga</x:v>
      </x:c>
      <x:c r="T50" s="62" t="n">
        <x:f>IF(O50="","",(1/'Metadata'!$B$5)^(O50-1))</x:f>
        <x:v>19651.648417852637</x:v>
      </x:c>
      <x:c r="U50" s="60" t="n">
        <x:f>IF(T50="","",I50*T50)</x:f>
        <x:v>148671375.0838426</x:v>
      </x:c>
    </x:row>
    <x:row r="51" ht="18" customHeight="1">
      <x:c r="A51" s="46" t="str">
        <x:v>LME_049</x:v>
      </x:c>
      <x:c r="B51" s="46" t="str">
        <x:v>Kuroshio Current</x:v>
      </x:c>
      <x:c r="C51" s="46" t="str">
        <x:v>LME</x:v>
      </x:c>
      <x:c r="D51" s="58" t="n">
        <x:v>2019</x:v>
      </x:c>
      <x:c r="E51" s="46" t="str">
        <x:v>Mugil cephalus</x:v>
      </x:c>
      <x:c r="F51" s="46" t="str">
        <x:v>Flathead grey mullet</x:v>
      </x:c>
      <x:c r="G51" s="46" t="str">
        <x:v>Large benthopelagics (&gt;=90 cm)</x:v>
      </x:c>
      <x:c r="H51" s="46" t="str">
        <x:v>Perch-likes</x:v>
      </x:c>
      <x:c r="I51" s="60" t="n">
        <x:v>7446.0535525289</x:v>
      </x:c>
      <x:c r="J51" s="60" t="n">
        <x:v>7435.8560411564</x:v>
      </x:c>
      <x:c r="K51" s="60" t="n">
        <x:v>10.197511372500001</x:v>
      </x:c>
      <x:c r="L51" s="60" t="n">
        <x:v>7277.9616940476</x:v>
      </x:c>
      <x:c r="M51" s="60" t="n">
        <x:v>168.0918584813</x:v>
      </x:c>
      <x:c r="N51" s="46" t="str">
        <x:v>mugil cephalus</x:v>
      </x:c>
      <x:c r="O51" s="62" t="n">
        <x:v>2.14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Mugil cephalus</x:v>
      </x:c>
      <x:c r="T51" s="62" t="n">
        <x:f>IF(O51="","",(1/'Metadata'!$B$5)^(O51-1))</x:f>
        <x:v>30.421049660829848</x:v>
      </x:c>
      <x:c r="U51" s="60" t="n">
        <x:f>IF(T51="","",I51*T51)</x:f>
        <x:v>226516.76489868018</x:v>
      </x:c>
    </x:row>
    <x:row r="52" ht="18" customHeight="1">
      <x:c r="A52" s="46" t="str">
        <x:v>LME_049</x:v>
      </x:c>
      <x:c r="B52" s="46" t="str">
        <x:v>Kuroshio Current</x:v>
      </x:c>
      <x:c r="C52" s="46" t="str">
        <x:v>LME</x:v>
      </x:c>
      <x:c r="D52" s="58" t="n">
        <x:v>2019</x:v>
      </x:c>
      <x:c r="E52" s="46" t="str">
        <x:v>Ilisha elongata</x:v>
      </x:c>
      <x:c r="F52" s="46" t="str">
        <x:v>Elongate ilisha</x:v>
      </x:c>
      <x:c r="G52" s="46" t="str">
        <x:v>Medium pelagics (30 - 89 cm)</x:v>
      </x:c>
      <x:c r="H52" s="46" t="str">
        <x:v>Herring-likes</x:v>
      </x:c>
      <x:c r="I52" s="60" t="n">
        <x:v>7221.4614681885005</x:v>
      </x:c>
      <x:c r="J52" s="60" t="n">
        <x:v>7212.720446668501</x:v>
      </x:c>
      <x:c r="K52" s="60" t="n">
        <x:v>8.74102152</x:v>
      </x:c>
      <x:c r="L52" s="60" t="n">
        <x:v>7211.7077367792</x:v>
      </x:c>
      <x:c r="M52" s="60" t="n">
        <x:v>9.7537314093</x:v>
      </x:c>
      <x:c r="N52" s="46" t="str">
        <x:v>ilisha elongata</x:v>
      </x:c>
      <x:c r="O52" s="62" t="n">
        <x:v>3.79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Ilisha elongata</x:v>
      </x:c>
      <x:c r="T52" s="62" t="n">
        <x:f>IF(O52="","",(1/'Metadata'!$B$5)^(O52-1))</x:f>
        <x:v>4264.554685980751</x:v>
      </x:c>
      <x:c r="U52" s="60" t="n">
        <x:f>IF(T52="","",I52*T52)</x:f>
        <x:v>30796317.343792703</x:v>
      </x:c>
    </x:row>
    <x:row r="53" ht="18" customHeight="1">
      <x:c r="A53" s="46" t="str">
        <x:v>LME_049</x:v>
      </x:c>
      <x:c r="B53" s="46" t="str">
        <x:v>Kuroshio Current</x:v>
      </x:c>
      <x:c r="C53" s="46" t="str">
        <x:v>LME</x:v>
      </x:c>
      <x:c r="D53" s="58" t="n">
        <x:v>2019</x:v>
      </x:c>
      <x:c r="E53" s="46" t="str">
        <x:v>Monacanthidae</x:v>
      </x:c>
      <x:c r="F53" s="46" t="str">
        <x:v>Filefishes</x:v>
      </x:c>
      <x:c r="G53" s="46" t="str">
        <x:v>Medium reef assoc. fish (30 - 89 cm)</x:v>
      </x:c>
      <x:c r="H53" s="46" t="str">
        <x:v>Other fishes &amp; inverts</x:v>
      </x:c>
      <x:c r="I53" s="60" t="n">
        <x:v>7178.299918648</x:v>
      </x:c>
      <x:c r="J53" s="60" t="n">
        <x:v>7170.2212638988</x:v>
      </x:c>
      <x:c r="K53" s="60" t="n">
        <x:v>8.0786547492</x:v>
      </x:c>
      <x:c r="L53" s="60" t="n">
        <x:v>7168.3354070434</x:v>
      </x:c>
      <x:c r="M53" s="60" t="n">
        <x:v>9.9645116046</x:v>
      </x:c>
      <x:c r="N53" s="46" t="str">
        <x:v>monacanthidae</x:v>
      </x:c>
      <x:c r="O53" s="62" t="n">
        <x:v>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Monacanthidae</x:v>
      </x:c>
      <x:c r="T53" s="62" t="n">
        <x:f>IF(O53="","",(1/'Metadata'!$B$5)^(O53-1))</x:f>
        <x:v>400</x:v>
      </x:c>
      <x:c r="U53" s="60" t="n">
        <x:f>IF(T53="","",I53*T53)</x:f>
        <x:v>2871319.9674592</x:v>
      </x:c>
    </x:row>
    <x:row r="54" ht="18" customHeight="1">
      <x:c r="A54" s="46" t="str">
        <x:v>LME_049</x:v>
      </x:c>
      <x:c r="B54" s="46" t="str">
        <x:v>Kuroshio Current</x:v>
      </x:c>
      <x:c r="C54" s="46" t="str">
        <x:v>LME</x:v>
      </x:c>
      <x:c r="D54" s="58" t="n">
        <x:v>2019</x:v>
      </x:c>
      <x:c r="E54" s="46" t="str">
        <x:v>Cephalopoda</x:v>
      </x:c>
      <x:c r="F54" s="46" t="str">
        <x:v>Squids, cuttlefishes, octopuses</x:v>
      </x:c>
      <x:c r="G54" s="46" t="str">
        <x:v>Cephalopods</x:v>
      </x:c>
      <x:c r="H54" s="46" t="str">
        <x:v>Other fishes &amp; inverts</x:v>
      </x:c>
      <x:c r="I54" s="60" t="n">
        <x:v>6801.2078340176</x:v>
      </x:c>
      <x:c r="J54" s="60" t="n">
        <x:v>5476.6335520294</x:v>
      </x:c>
      <x:c r="K54" s="60" t="n">
        <x:v>1324.5742819882</x:v>
      </x:c>
      <x:c r="L54" s="60" t="n">
        <x:v>4662.8729029963</x:v>
      </x:c>
      <x:c r="M54" s="60" t="n">
        <x:v>2138.3349310213002</x:v>
      </x:c>
      <x:c r="N54" s="46" t="str">
        <x:v>cephalopoda</x:v>
      </x:c>
      <x:c r="O54" s="62" t="n">
        <x:v>3.81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Cephalopoda</x:v>
      </x:c>
      <x:c r="T54" s="62" t="n">
        <x:f>IF(O54="","",(1/'Metadata'!$B$5)^(O54-1))</x:f>
        <x:v>4527.873529309382</x:v>
      </x:c>
      <x:c r="U54" s="60" t="n">
        <x:f>IF(T54="","",I54*T54)</x:f>
        <x:v>30795008.91897989</x:v>
      </x:c>
    </x:row>
    <x:row r="55" ht="18" customHeight="1">
      <x:c r="A55" s="46" t="str">
        <x:v>LME_049</x:v>
      </x:c>
      <x:c r="B55" s="46" t="str">
        <x:v>Kuroshio Current</x:v>
      </x:c>
      <x:c r="C55" s="46" t="str">
        <x:v>LME</x:v>
      </x:c>
      <x:c r="D55" s="58" t="n">
        <x:v>2019</x:v>
      </x:c>
      <x:c r="E55" s="46" t="str">
        <x:v>Octopoda</x:v>
      </x:c>
      <x:c r="F55" s="46" t="str">
        <x:v>Octopuses, argonauts</x:v>
      </x:c>
      <x:c r="G55" s="46" t="str">
        <x:v>Cephalopods</x:v>
      </x:c>
      <x:c r="H55" s="46" t="str">
        <x:v>Other fishes &amp; inverts</x:v>
      </x:c>
      <x:c r="I55" s="60" t="n">
        <x:v>6371.4820984402</x:v>
      </x:c>
      <x:c r="J55" s="60" t="n">
        <x:v>4846.422461820401</x:v>
      </x:c>
      <x:c r="K55" s="60" t="n">
        <x:v>1525.0596366198001</x:v>
      </x:c>
      <x:c r="L55" s="60" t="n">
        <x:v>4737.6619049048</x:v>
      </x:c>
      <x:c r="M55" s="60" t="n">
        <x:v>1633.8201935354</x:v>
      </x:c>
      <x:c r="N55" s="46" t="str">
        <x:v>octopoda</x:v>
      </x:c>
      <x:c r="O55" s="62" t="n">
        <x:v>3.58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Octopoda</x:v>
      </x:c>
      <x:c r="T55" s="62" t="n">
        <x:f>IF(O55="","",(1/'Metadata'!$B$5)^(O55-1))</x:f>
        <x:v>2273.3033337150473</x:v>
      </x:c>
      <x:c r="U55" s="60" t="n">
        <x:f>IF(T55="","",I55*T55)</x:f>
        <x:v>14484311.495089853</x:v>
      </x:c>
    </x:row>
    <x:row r="56" ht="18" customHeight="1">
      <x:c r="A56" s="46" t="str">
        <x:v>LME_049</x:v>
      </x:c>
      <x:c r="B56" s="46" t="str">
        <x:v>Kuroshio Current</x:v>
      </x:c>
      <x:c r="C56" s="46" t="str">
        <x:v>LME</x:v>
      </x:c>
      <x:c r="D56" s="58" t="n">
        <x:v>2019</x:v>
      </x:c>
      <x:c r="E56" s="46" t="str">
        <x:v>Scombridae</x:v>
      </x:c>
      <x:c r="F56" s="46" t="str">
        <x:v>Mackerels, tunas, bonitos</x:v>
      </x:c>
      <x:c r="G56" s="46" t="str">
        <x:v>Medium pelagics (30 - 89 cm)</x:v>
      </x:c>
      <x:c r="H56" s="46" t="str">
        <x:v>Perch-likes</x:v>
      </x:c>
      <x:c r="I56" s="60" t="n">
        <x:v>5716.6710664121</x:v>
      </x:c>
      <x:c r="J56" s="60" t="n">
        <x:v>5263.1838399021</x:v>
      </x:c>
      <x:c r="K56" s="60" t="n">
        <x:v>453.48722651</x:v>
      </x:c>
      <x:c r="L56" s="60" t="n">
        <x:v>4632.3354698165</x:v>
      </x:c>
      <x:c r="M56" s="60" t="n">
        <x:v>1084.3355965956</x:v>
      </x:c>
      <x:c r="N56" s="46" t="str">
        <x:v>scombridae</x:v>
      </x:c>
      <x:c r="O56" s="62" t="n">
        <x:v>4.26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Scombridae</x:v>
      </x:c>
      <x:c r="T56" s="62" t="n">
        <x:f>IF(O56="","",(1/'Metadata'!$B$5)^(O56-1))</x:f>
        <x:v>17432.42421569787</x:v>
      </x:c>
      <x:c r="U56" s="60" t="n">
        <x:f>IF(T56="","",I56*T56)</x:f>
        <x:v>99655435.13130166</x:v>
      </x:c>
    </x:row>
    <x:row r="57" ht="18" customHeight="1">
      <x:c r="A57" s="46" t="str">
        <x:v>LME_049</x:v>
      </x:c>
      <x:c r="B57" s="46" t="str">
        <x:v>Kuroshio Current</x:v>
      </x:c>
      <x:c r="C57" s="46" t="str">
        <x:v>LME</x:v>
      </x:c>
      <x:c r="D57" s="58" t="n">
        <x:v>2019</x:v>
      </x:c>
      <x:c r="E57" s="46" t="str">
        <x:v>Ommastrephes bartramii</x:v>
      </x:c>
      <x:c r="F57" s="46" t="str">
        <x:v>Neon flying squid</x:v>
      </x:c>
      <x:c r="G57" s="46" t="str">
        <x:v>Cephalopods</x:v>
      </x:c>
      <x:c r="H57" s="46" t="str">
        <x:v>Other fishes &amp; inverts</x:v>
      </x:c>
      <x:c r="I57" s="60" t="n">
        <x:v>5681.2795974985</x:v>
      </x:c>
      <x:c r="J57" s="60" t="n">
        <x:v>5681.2795974985</x:v>
      </x:c>
      <x:c r="K57" s="60" t="n">
        <x:v>0</x:v>
      </x:c>
      <x:c r="L57" s="60" t="n">
        <x:v>5372.4469955959</x:v>
      </x:c>
      <x:c r="M57" s="60" t="n">
        <x:v>308.8326019026</x:v>
      </x:c>
      <x:c r="N57" s="46" t="str">
        <x:v>ommastrephes bartramii</x:v>
      </x:c>
      <x:c r="O57" s="62" t="n">
        <x:v>4.37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Ommastrephes bartramii</x:v>
      </x:c>
      <x:c r="T57" s="62" t="n">
        <x:f>IF(O57="","",(1/'Metadata'!$B$5)^(O57-1))</x:f>
        <x:v>24236.56596112542</x:v>
      </x:c>
      <x:c r="U57" s="60" t="n">
        <x:f>IF(T57="","",I57*T57)</x:f>
        <x:v>137694707.70836848</x:v>
      </x:c>
    </x:row>
    <x:row r="58" ht="18" customHeight="1">
      <x:c r="A58" s="46" t="str">
        <x:v>LME_049</x:v>
      </x:c>
      <x:c r="B58" s="46" t="str">
        <x:v>Kuroshio Current</x:v>
      </x:c>
      <x:c r="C58" s="46" t="str">
        <x:v>LME</x:v>
      </x:c>
      <x:c r="D58" s="58" t="n">
        <x:v>2019</x:v>
      </x:c>
      <x:c r="E58" s="46" t="str">
        <x:v>Brachyura</x:v>
      </x:c>
      <x:c r="F58" s="46" t="str">
        <x:v>Marine crabs</x:v>
      </x:c>
      <x:c r="G58" s="46" t="str">
        <x:v>Lobsters, crabs</x:v>
      </x:c>
      <x:c r="H58" s="46" t="str">
        <x:v>Crustaceans</x:v>
      </x:c>
      <x:c r="I58" s="60" t="n">
        <x:v>5677.2643225906995</x:v>
      </x:c>
      <x:c r="J58" s="60" t="n">
        <x:v>5507.943603173</x:v>
      </x:c>
      <x:c r="K58" s="60" t="n">
        <x:v>169.3207194177</x:v>
      </x:c>
      <x:c r="L58" s="60" t="n">
        <x:v>5498.1140292671</x:v>
      </x:c>
      <x:c r="M58" s="60" t="n">
        <x:v>179.1502933236</x:v>
      </x:c>
      <x:c r="N58" s="46" t="str">
        <x:v>brachyura</x:v>
      </x:c>
      <x:c r="O58" s="62" t="n">
        <x:v>2.6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Brachyura</x:v>
      </x:c>
      <x:c r="T58" s="62" t="n">
        <x:f>IF(O58="","",(1/'Metadata'!$B$5)^(O58-1))</x:f>
        <x:v>120.6835267309033</x:v>
      </x:c>
      <x:c r="U58" s="60" t="n">
        <x:f>IF(T58="","",I58*T58)</x:f>
        <x:v>685152.2806337783</x:v>
      </x:c>
    </x:row>
    <x:row r="59" ht="18" customHeight="1">
      <x:c r="A59" s="46" t="str">
        <x:v>LME_049</x:v>
      </x:c>
      <x:c r="B59" s="46" t="str">
        <x:v>Kuroshio Current</x:v>
      </x:c>
      <x:c r="C59" s="46" t="str">
        <x:v>LME</x:v>
      </x:c>
      <x:c r="D59" s="58" t="n">
        <x:v>2019</x:v>
      </x:c>
      <x:c r="E59" s="46" t="str">
        <x:v>Epinephelus</x:v>
      </x:c>
      <x:c r="F59" s="46" t="str">
        <x:v>Seabasses, hinds</x:v>
      </x:c>
      <x:c r="G59" s="46" t="str">
        <x:v>Medium reef assoc. fish (30 - 89 cm)</x:v>
      </x:c>
      <x:c r="H59" s="46" t="str">
        <x:v>Perch-likes</x:v>
      </x:c>
      <x:c r="I59" s="60" t="n">
        <x:v>5120.2307801515</x:v>
      </x:c>
      <x:c r="J59" s="60" t="n">
        <x:v>5112.0958121493</x:v>
      </x:c>
      <x:c r="K59" s="60" t="n">
        <x:v>8.1349680022</x:v>
      </x:c>
      <x:c r="L59" s="60" t="n">
        <x:v>5083.593112952401</x:v>
      </x:c>
      <x:c r="M59" s="60" t="n">
        <x:v>36.6376671991</x:v>
      </x:c>
      <x:c r="N59" s="46" t="str">
        <x:v>epinephelus</x:v>
      </x:c>
      <x:c r="O59" s="62" t="n">
        <x:v>3.84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Epinephelus</x:v>
      </x:c>
      <x:c r="T59" s="62" t="n">
        <x:f>IF(O59="","",(1/'Metadata'!$B$5)^(O59-1))</x:f>
        <x:v>4953.648510535111</x:v>
      </x:c>
      <x:c r="U59" s="60" t="n">
        <x:f>IF(T59="","",I59*T59)</x:f>
        <x:v>25363823.577693507</x:v>
      </x:c>
    </x:row>
    <x:row r="60" ht="18" customHeight="1">
      <x:c r="A60" s="46" t="str">
        <x:v>LME_049</x:v>
      </x:c>
      <x:c r="B60" s="46" t="str">
        <x:v>Kuroshio Current</x:v>
      </x:c>
      <x:c r="C60" s="46" t="str">
        <x:v>LME</x:v>
      </x:c>
      <x:c r="D60" s="58" t="n">
        <x:v>2019</x:v>
      </x:c>
      <x:c r="E60" s="46" t="str">
        <x:v>Sepiida</x:v>
      </x:c>
      <x:c r="F60" s="46" t="str">
        <x:v>Cuttlefishes, bobtail squids</x:v>
      </x:c>
      <x:c r="G60" s="46" t="str">
        <x:v>Cephalopods</x:v>
      </x:c>
      <x:c r="H60" s="46" t="str">
        <x:v>Other fishes &amp; inverts</x:v>
      </x:c>
      <x:c r="I60" s="60" t="n">
        <x:v>4855.8089824360995</x:v>
      </x:c>
      <x:c r="J60" s="60" t="n">
        <x:v>4850.5076949753</x:v>
      </x:c>
      <x:c r="K60" s="60" t="n">
        <x:v>5.3012874608</x:v>
      </x:c>
      <x:c r="L60" s="60" t="n">
        <x:v>4849.4106867562</x:v>
      </x:c>
      <x:c r="M60" s="60" t="n">
        <x:v>6.3982956799</x:v>
      </x:c>
      <x:c r="N60" s="46" t="str">
        <x:v>sepiida</x:v>
      </x:c>
      <x:c r="O60" s="62" t="n">
        <x:v>3.7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Sepiida</x:v>
      </x:c>
      <x:c r="T60" s="62" t="n">
        <x:f>IF(O60="","",(1/'Metadata'!$B$5)^(O60-1))</x:f>
        <x:v>3256.724252295237</x:v>
      </x:c>
      <x:c r="U60" s="60" t="n">
        <x:f>IF(T60="","",I60*T60)</x:f>
        <x:v>15814030.877612703</x:v>
      </x:c>
    </x:row>
    <x:row r="61" ht="18" customHeight="1">
      <x:c r="A61" s="46" t="str">
        <x:v>LME_049</x:v>
      </x:c>
      <x:c r="B61" s="46" t="str">
        <x:v>Kuroshio Current</x:v>
      </x:c>
      <x:c r="C61" s="46" t="str">
        <x:v>LME</x:v>
      </x:c>
      <x:c r="D61" s="58" t="n">
        <x:v>2019</x:v>
      </x:c>
      <x:c r="E61" s="46" t="str">
        <x:v>Clupea pallasii</x:v>
      </x:c>
      <x:c r="F61" s="46" t="str">
        <x:v>Pacific herring</x:v>
      </x:c>
      <x:c r="G61" s="46" t="str">
        <x:v>Medium pelagics (30 - 89 cm)</x:v>
      </x:c>
      <x:c r="H61" s="46" t="str">
        <x:v>Herring-likes</x:v>
      </x:c>
      <x:c r="I61" s="60" t="n">
        <x:v>4836.7730754884005</x:v>
      </x:c>
      <x:c r="J61" s="60" t="n">
        <x:v>4723.2964100761</x:v>
      </x:c>
      <x:c r="K61" s="60" t="n">
        <x:v>113.47666541230001</x:v>
      </x:c>
      <x:c r="L61" s="60" t="n">
        <x:v>4723.2964100761</x:v>
      </x:c>
      <x:c r="M61" s="60" t="n">
        <x:v>113.47666541230001</x:v>
      </x:c>
      <x:c r="N61" s="46" t="str">
        <x:v>clupea pallasii</x:v>
      </x:c>
      <x:c r="O61" s="62" t="n">
        <x:v>3.16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Clupea pallasii</x:v>
      </x:c>
      <x:c r="T61" s="62" t="n">
        <x:f>IF(O61="","",(1/'Metadata'!$B$5)^(O61-1))</x:f>
        <x:v>645.9885058849935</x:v>
      </x:c>
      <x:c r="U61" s="60" t="n">
        <x:f>IF(T61="","",I61*T61)</x:f>
        <x:v>3124499.812339517</x:v>
      </x:c>
    </x:row>
    <x:row r="62" ht="18" customHeight="1">
      <x:c r="A62" s="46" t="str">
        <x:v>LME_049</x:v>
      </x:c>
      <x:c r="B62" s="46" t="str">
        <x:v>Kuroshio Current</x:v>
      </x:c>
      <x:c r="C62" s="46" t="str">
        <x:v>LME</x:v>
      </x:c>
      <x:c r="D62" s="58" t="n">
        <x:v>2019</x:v>
      </x:c>
      <x:c r="E62" s="46" t="str">
        <x:v>Pennahia argentata</x:v>
      </x:c>
      <x:c r="F62" s="46" t="str">
        <x:v>Silver croaker</x:v>
      </x:c>
      <x:c r="G62" s="46" t="str">
        <x:v>Medium benthopelagics (30 - 89 cm)</x:v>
      </x:c>
      <x:c r="H62" s="46" t="str">
        <x:v>Perch-likes</x:v>
      </x:c>
      <x:c r="I62" s="60" t="n">
        <x:v>4518.3306746188</x:v>
      </x:c>
      <x:c r="J62" s="60" t="n">
        <x:v>4515.0300257873</x:v>
      </x:c>
      <x:c r="K62" s="60" t="n">
        <x:v>3.3006488314999998</x:v>
      </x:c>
      <x:c r="L62" s="60" t="n">
        <x:v>4508.8372751296</x:v>
      </x:c>
      <x:c r="M62" s="60" t="n">
        <x:v>9.4933994892</x:v>
      </x:c>
      <x:c r="N62" s="46" t="str">
        <x:v>pennahia argentata</x:v>
      </x:c>
      <x:c r="O62" s="62" t="n">
        <x:v>3.47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Pennahia argentata</x:v>
      </x:c>
      <x:c r="T62" s="62" t="n">
        <x:f>IF(O62="","",(1/'Metadata'!$B$5)^(O62-1))</x:f>
        <x:v>1635.0991368927735</x:v>
      </x:c>
      <x:c r="U62" s="60" t="n">
        <x:f>IF(T62="","",I62*T62)</x:f>
        <x:v>7387918.586265342</x:v>
      </x:c>
    </x:row>
    <x:row r="63" ht="18" customHeight="1">
      <x:c r="A63" s="46" t="str">
        <x:v>LME_049</x:v>
      </x:c>
      <x:c r="B63" s="46" t="str">
        <x:v>Kuroshio Current</x:v>
      </x:c>
      <x:c r="C63" s="46" t="str">
        <x:v>LME</x:v>
      </x:c>
      <x:c r="D63" s="58" t="n">
        <x:v>2019</x:v>
      </x:c>
      <x:c r="E63" s="46" t="str">
        <x:v>Chionoecetes japonicus</x:v>
      </x:c>
      <x:c r="F63" s="46" t="str">
        <x:v>Red snow crab</x:v>
      </x:c>
      <x:c r="G63" s="46" t="str">
        <x:v>Lobsters, crabs</x:v>
      </x:c>
      <x:c r="H63" s="46" t="str">
        <x:v>Crustaceans</x:v>
      </x:c>
      <x:c r="I63" s="60" t="n">
        <x:v>4382.1970892707</x:v>
      </x:c>
      <x:c r="J63" s="60" t="n">
        <x:v>4382.1970892707</x:v>
      </x:c>
      <x:c r="K63" s="60" t="n">
        <x:v>0</x:v>
      </x:c>
      <x:c r="L63" s="60" t="n">
        <x:v>4382.1970892707</x:v>
      </x:c>
      <x:c r="M63" s="60" t="n">
        <x:v>0</x:v>
      </x:c>
      <x:c r="N63" s="46" t="str">
        <x:v>chionoecetes japonicus</x:v>
      </x:c>
      <x:c r="O63" s="62" t="n">
        <x:v>3.74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Chionoecetes japonicus</x:v>
      </x:c>
      <x:c r="T63" s="62" t="n">
        <x:f>IF(O63="","",(1/'Metadata'!$B$5)^(O63-1))</x:f>
        <x:v>3671.3195599248957</x:v>
      </x:c>
      <x:c r="U63" s="60" t="n">
        <x:f>IF(T63="","",I63*T63)</x:f>
        <x:v>16088445.889285466</x:v>
      </x:c>
    </x:row>
    <x:row r="64" ht="18" customHeight="1">
      <x:c r="A64" s="46" t="str">
        <x:v>LME_049</x:v>
      </x:c>
      <x:c r="B64" s="46" t="str">
        <x:v>Kuroshio Current</x:v>
      </x:c>
      <x:c r="C64" s="46" t="str">
        <x:v>LME</x:v>
      </x:c>
      <x:c r="D64" s="58" t="n">
        <x:v>2019</x:v>
      </x:c>
      <x:c r="E64" s="46" t="str">
        <x:v>Lateolabrax japonicus</x:v>
      </x:c>
      <x:c r="F64" s="46" t="str">
        <x:v>Japanese seabass</x:v>
      </x:c>
      <x:c r="G64" s="46" t="str">
        <x:v>Medium reef assoc. fish (30 - 89 cm)</x:v>
      </x:c>
      <x:c r="H64" s="46" t="str">
        <x:v>Perch-likes</x:v>
      </x:c>
      <x:c r="I64" s="60" t="n">
        <x:v>3914.3588115043</x:v>
      </x:c>
      <x:c r="J64" s="60" t="n">
        <x:v>2935.8978862764</x:v>
      </x:c>
      <x:c r="K64" s="60" t="n">
        <x:v>978.4609252279</x:v>
      </x:c>
      <x:c r="L64" s="60" t="n">
        <x:v>2735.7042366195</x:v>
      </x:c>
      <x:c r="M64" s="60" t="n">
        <x:v>1178.6545748848</x:v>
      </x:c>
      <x:c r="N64" s="46" t="str">
        <x:v>lateolabrax japonicus</x:v>
      </x:c>
      <x:c r="O64" s="62" t="n">
        <x:v>3.36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Lateolabrax japonicus</x:v>
      </x:c>
      <x:c r="T64" s="62" t="n">
        <x:f>IF(O64="","",(1/'Metadata'!$B$5)^(O64-1))</x:f>
        <x:v>1176.0635493805207</x:v>
      </x:c>
      <x:c r="U64" s="60" t="n">
        <x:f>IF(T64="","",I64*T64)</x:f>
        <x:v>4603534.717406664</x:v>
      </x:c>
    </x:row>
    <x:row r="65" ht="18" customHeight="1">
      <x:c r="A65" s="46" t="str">
        <x:v>LME_049</x:v>
      </x:c>
      <x:c r="B65" s="46" t="str">
        <x:v>Kuroshio Current</x:v>
      </x:c>
      <x:c r="C65" s="46" t="str">
        <x:v>LME</x:v>
      </x:c>
      <x:c r="D65" s="58" t="n">
        <x:v>2019</x:v>
      </x:c>
      <x:c r="E65" s="46" t="str">
        <x:v>Rhopilema esculentum</x:v>
      </x:c>
      <x:c r="F65" s="46" t="str">
        <x:v>Flame jellyfish</x:v>
      </x:c>
      <x:c r="G65" s="46" t="str">
        <x:v>Jellyfish</x:v>
      </x:c>
      <x:c r="H65" s="46" t="str">
        <x:v>Other fishes &amp; inverts</x:v>
      </x:c>
      <x:c r="I65" s="60" t="n">
        <x:v>3618.9060825747997</x:v>
      </x:c>
      <x:c r="J65" s="60" t="n">
        <x:v>3618.9060825747997</x:v>
      </x:c>
      <x:c r="K65" s="60" t="n">
        <x:v>0</x:v>
      </x:c>
      <x:c r="L65" s="60" t="n">
        <x:v>3444.3253854273</x:v>
      </x:c>
      <x:c r="M65" s="60" t="n">
        <x:v>174.5806971475</x:v>
      </x:c>
      <x:c r="N65" s="46" t="str">
        <x:v>rhopilema esculentum</x:v>
      </x:c>
      <x:c r="O65" s="62" t="n">
        <x:v>3.01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Rhopilema esculentum</x:v>
      </x:c>
      <x:c r="T65" s="62" t="n">
        <x:f>IF(O65="","",(1/'Metadata'!$B$5)^(O65-1))</x:f>
        <x:v>412.16422316450075</x:v>
      </x:c>
      <x:c r="U65" s="60" t="n">
        <x:f>IF(T65="","",I65*T65)</x:f>
        <x:v>1491583.614229729</x:v>
      </x:c>
    </x:row>
    <x:row r="66" ht="18" customHeight="1">
      <x:c r="A66" s="46" t="str">
        <x:v>LME_049</x:v>
      </x:c>
      <x:c r="B66" s="46" t="str">
        <x:v>Kuroshio Current</x:v>
      </x:c>
      <x:c r="C66" s="46" t="str">
        <x:v>LME</x:v>
      </x:c>
      <x:c r="D66" s="58" t="n">
        <x:v>2019</x:v>
      </x:c>
      <x:c r="E66" s="46" t="str">
        <x:v>Echinoidea</x:v>
      </x:c>
      <x:c r="F66" s="46" t="str">
        <x:v>Sea urchins, sea hedgehogs</x:v>
      </x:c>
      <x:c r="G66" s="46" t="str">
        <x:v>Other demersal invertebrates</x:v>
      </x:c>
      <x:c r="H66" s="46" t="str">
        <x:v>Other fishes &amp; inverts</x:v>
      </x:c>
      <x:c r="I66" s="60" t="n">
        <x:v>3456.8370664164</x:v>
      </x:c>
      <x:c r="J66" s="60" t="n">
        <x:v>3456.8238228443997</x:v>
      </x:c>
      <x:c r="K66" s="60" t="n">
        <x:v>0.013243572</x:v>
      </x:c>
      <x:c r="L66" s="60" t="n">
        <x:v>3456.8221232761</x:v>
      </x:c>
      <x:c r="M66" s="60" t="n">
        <x:v>0.0149431403</x:v>
      </x:c>
      <x:c r="N66" s="46" t="str">
        <x:v>echinoidea</x:v>
      </x:c>
      <x:c r="O66" s="62" t="n">
        <x:v>2.51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Echinoidea</x:v>
      </x:c>
      <x:c r="T66" s="62" t="n">
        <x:f>IF(O66="","",(1/'Metadata'!$B$5)^(O66-1))</x:f>
        <x:v>92.16272208892171</x:v>
      </x:c>
      <x:c r="U66" s="60" t="n">
        <x:f>IF(T66="","",I66*T66)</x:f>
        <x:v>318591.51385881804</x:v>
      </x:c>
    </x:row>
    <x:row r="67" ht="18" customHeight="1">
      <x:c r="A67" s="46" t="str">
        <x:v>LME_049</x:v>
      </x:c>
      <x:c r="B67" s="46" t="str">
        <x:v>Kuroshio Current</x:v>
      </x:c>
      <x:c r="C67" s="46" t="str">
        <x:v>LME</x:v>
      </x:c>
      <x:c r="D67" s="58" t="n">
        <x:v>2019</x:v>
      </x:c>
      <x:c r="E67" s="46" t="str">
        <x:v>Laemonema longipes</x:v>
      </x:c>
      <x:c r="F67" s="46" t="str">
        <x:v>Longfin codling</x:v>
      </x:c>
      <x:c r="G67" s="46" t="str">
        <x:v>Medium benthopelagics (30 - 89 cm)</x:v>
      </x:c>
      <x:c r="H67" s="46" t="str">
        <x:v>Cod-likes</x:v>
      </x:c>
      <x:c r="I67" s="60" t="n">
        <x:v>3177.6597373894</x:v>
      </x:c>
      <x:c r="J67" s="60" t="n">
        <x:v>3177.6597373894</x:v>
      </x:c>
      <x:c r="K67" s="60" t="n">
        <x:v>0</x:v>
      </x:c>
      <x:c r="L67" s="60" t="n">
        <x:v>1473.9681434777</x:v>
      </x:c>
      <x:c r="M67" s="60" t="n">
        <x:v>1703.6915939117</x:v>
      </x:c>
      <x:c r="N67" s="46" t="str">
        <x:v>laemonema longipes</x:v>
      </x:c>
      <x:c r="O67" s="62" t="n">
        <x:v>3.24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Laemonema longipes</x:v>
      </x:c>
      <x:c r="T67" s="62" t="n">
        <x:f>IF(O67="","",(1/'Metadata'!$B$5)^(O67-1))</x:f>
        <x:v>820.9320103116679</x:v>
      </x:c>
      <x:c r="U67" s="60" t="n">
        <x:f>IF(T67="","",I67*T67)</x:f>
        <x:v>2608642.5963015268</x:v>
      </x:c>
    </x:row>
    <x:row r="68" ht="18" customHeight="1">
      <x:c r="A68" s="46" t="str">
        <x:v>LME_049</x:v>
      </x:c>
      <x:c r="B68" s="46" t="str">
        <x:v>Kuroshio Current</x:v>
      </x:c>
      <x:c r="C68" s="46" t="str">
        <x:v>LME</x:v>
      </x:c>
      <x:c r="D68" s="58" t="n">
        <x:v>2019</x:v>
      </x:c>
      <x:c r="E68" s="46" t="str">
        <x:v>Turbo cornutus</x:v>
      </x:c>
      <x:c r="F68" s="46" t="str">
        <x:v>Horned turban</x:v>
      </x:c>
      <x:c r="G68" s="46" t="str">
        <x:v>Other demersal invertebrates</x:v>
      </x:c>
      <x:c r="H68" s="46" t="str">
        <x:v>Molluscs</x:v>
      </x:c>
      <x:c r="I68" s="60" t="n">
        <x:v>3099.6688826118</x:v>
      </x:c>
      <x:c r="J68" s="60" t="n">
        <x:v>2803.5026905519</x:v>
      </x:c>
      <x:c r="K68" s="60" t="n">
        <x:v>296.16619205989997</x:v>
      </x:c>
      <x:c r="L68" s="60" t="n">
        <x:v>2803.5026905519</x:v>
      </x:c>
      <x:c r="M68" s="60" t="n">
        <x:v>296.16619205989997</x:v>
      </x:c>
      <x:c r="N68" s="46" t="str">
        <x:v>turbo cornutus</x:v>
      </x:c>
      <x:c r="O68" s="62" t="n">
        <x:v>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Turbo cornutus</x:v>
      </x:c>
      <x:c r="T68" s="62" t="n">
        <x:f>IF(O68="","",(1/'Metadata'!$B$5)^(O68-1))</x:f>
        <x:v>20</x:v>
      </x:c>
      <x:c r="U68" s="60" t="n">
        <x:f>IF(T68="","",I68*T68)</x:f>
        <x:v>61993.377652236006</x:v>
      </x:c>
    </x:row>
    <x:row r="69" ht="18" customHeight="1">
      <x:c r="A69" s="46" t="str">
        <x:v>LME_049</x:v>
      </x:c>
      <x:c r="B69" s="46" t="str">
        <x:v>Kuroshio Current</x:v>
      </x:c>
      <x:c r="C69" s="46" t="str">
        <x:v>LME</x:v>
      </x:c>
      <x:c r="D69" s="58" t="n">
        <x:v>2019</x:v>
      </x:c>
      <x:c r="E69" s="46" t="str">
        <x:v>Coryphaena hippurus</x:v>
      </x:c>
      <x:c r="F69" s="46" t="str">
        <x:v>Common dolphinfish</x:v>
      </x:c>
      <x:c r="G69" s="46" t="str">
        <x:v>Large pelagics (&gt;=90 cm)</x:v>
      </x:c>
      <x:c r="H69" s="46" t="str">
        <x:v>Perch-likes</x:v>
      </x:c>
      <x:c r="I69" s="60" t="n">
        <x:v>2969.63695401</x:v>
      </x:c>
      <x:c r="J69" s="60" t="n">
        <x:v>2961.6479096454</x:v>
      </x:c>
      <x:c r="K69" s="60" t="n">
        <x:v>7.9890443646</x:v>
      </x:c>
      <x:c r="L69" s="60" t="n">
        <x:v>1856.6066022493999</x:v>
      </x:c>
      <x:c r="M69" s="60" t="n">
        <x:v>1113.0303517606</x:v>
      </x:c>
      <x:c r="N69" s="46" t="str">
        <x:v>coryphaena hippurus</x:v>
      </x:c>
      <x:c r="O69" s="62" t="n">
        <x:v>4.37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Coryphaena hippurus</x:v>
      </x:c>
      <x:c r="T69" s="62" t="n">
        <x:f>IF(O69="","",(1/'Metadata'!$B$5)^(O69-1))</x:f>
        <x:v>24236.56596112542</x:v>
      </x:c>
      <x:c r="U69" s="60" t="n">
        <x:f>IF(T69="","",I69*T69)</x:f>
        <x:v>71973801.91645893</x:v>
      </x:c>
    </x:row>
    <x:row r="70" ht="18" customHeight="1">
      <x:c r="A70" s="46" t="str">
        <x:v>LME_049</x:v>
      </x:c>
      <x:c r="B70" s="46" t="str">
        <x:v>Kuroshio Current</x:v>
      </x:c>
      <x:c r="C70" s="46" t="str">
        <x:v>LME</x:v>
      </x:c>
      <x:c r="D70" s="58" t="n">
        <x:v>2019</x:v>
      </x:c>
      <x:c r="E70" s="46" t="str">
        <x:v>Paralichthys olivaceus</x:v>
      </x:c>
      <x:c r="F70" s="46" t="str">
        <x:v>Bastard halibut</x:v>
      </x:c>
      <x:c r="G70" s="46" t="str">
        <x:v>Large flatfishes (&gt;=90 cm)</x:v>
      </x:c>
      <x:c r="H70" s="46" t="str">
        <x:v>Flatfishes</x:v>
      </x:c>
      <x:c r="I70" s="60" t="n">
        <x:v>2960.1217273264</x:v>
      </x:c>
      <x:c r="J70" s="60" t="n">
        <x:v>2774.0257305002</x:v>
      </x:c>
      <x:c r="K70" s="60" t="n">
        <x:v>186.0959968262</x:v>
      </x:c>
      <x:c r="L70" s="60" t="n">
        <x:v>2534.4426553713</x:v>
      </x:c>
      <x:c r="M70" s="60" t="n">
        <x:v>425.67907195509997</x:v>
      </x:c>
      <x:c r="N70" s="46" t="str">
        <x:v>paralichthys olivaceus</x:v>
      </x:c>
      <x:c r="O70" s="62" t="n">
        <x:v>4.25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Paralichthys olivaceus</x:v>
      </x:c>
      <x:c r="T70" s="62" t="n">
        <x:f>IF(O70="","",(1/'Metadata'!$B$5)^(O70-1))</x:f>
        <x:v>16917.940215049024</x:v>
      </x:c>
      <x:c r="U70" s="60" t="n">
        <x:f>IF(T70="","",I70*T70)</x:f>
        <x:v>50079162.412175685</x:v>
      </x:c>
    </x:row>
    <x:row r="71" ht="18" customHeight="1">
      <x:c r="A71" s="46" t="str">
        <x:v>LME_049</x:v>
      </x:c>
      <x:c r="B71" s="46" t="str">
        <x:v>Kuroshio Current</x:v>
      </x:c>
      <x:c r="C71" s="46" t="str">
        <x:v>LME</x:v>
      </x:c>
      <x:c r="D71" s="58" t="n">
        <x:v>2019</x:v>
      </x:c>
      <x:c r="E71" s="46" t="str">
        <x:v>Thunnus obesus</x:v>
      </x:c>
      <x:c r="F71" s="46" t="str">
        <x:v>Bigeye tuna</x:v>
      </x:c>
      <x:c r="G71" s="46" t="str">
        <x:v>Large pelagics (&gt;=90 cm)</x:v>
      </x:c>
      <x:c r="H71" s="46" t="str">
        <x:v>Tuna &amp; billfishes</x:v>
      </x:c>
      <x:c r="I71" s="60" t="n">
        <x:v>2836.7215429381</x:v>
      </x:c>
      <x:c r="J71" s="60" t="n">
        <x:v>2835.2454900756998</x:v>
      </x:c>
      <x:c r="K71" s="60" t="n">
        <x:v>1.4760528624</x:v>
      </x:c>
      <x:c r="L71" s="60" t="n">
        <x:v>2835.2454900756998</x:v>
      </x:c>
      <x:c r="M71" s="60" t="n">
        <x:v>1.4760528624</x:v>
      </x:c>
      <x:c r="N71" s="46" t="str">
        <x:v>thunnus obesus</x:v>
      </x:c>
      <x:c r="O71" s="62" t="n">
        <x:v>4.49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Thunnus obesus</x:v>
      </x:c>
      <x:c r="T71" s="62" t="n">
        <x:f>IF(O71="","",(1/'Metadata'!$B$5)^(O71-1))</x:f>
        <x:v>34721.19667768202</x:v>
      </x:c>
      <x:c r="U71" s="60" t="n">
        <x:f>IF(T71="","",I71*T71)</x:f>
        <x:v>98494366.61217137</x:v>
      </x:c>
    </x:row>
    <x:row r="72" ht="18" customHeight="1">
      <x:c r="A72" s="46" t="str">
        <x:v>LME_049</x:v>
      </x:c>
      <x:c r="B72" s="46" t="str">
        <x:v>Kuroshio Current</x:v>
      </x:c>
      <x:c r="C72" s="46" t="str">
        <x:v>LME</x:v>
      </x:c>
      <x:c r="D72" s="58" t="n">
        <x:v>2019</x:v>
      </x:c>
      <x:c r="E72" s="46" t="str">
        <x:v>Perciformes</x:v>
      </x:c>
      <x:c r="F72" s="46" t="str">
        <x:v>Perch-likes</x:v>
      </x:c>
      <x:c r="G72" s="46" t="str">
        <x:v>Medium demersals (30 - 89 cm)</x:v>
      </x:c>
      <x:c r="H72" s="46" t="str">
        <x:v>Perch-likes</x:v>
      </x:c>
      <x:c r="I72" s="60" t="n">
        <x:v>2726.6347132616</x:v>
      </x:c>
      <x:c r="J72" s="60" t="n">
        <x:v>2611.2526205023</x:v>
      </x:c>
      <x:c r="K72" s="60" t="n">
        <x:v>115.38209275930001</x:v>
      </x:c>
      <x:c r="L72" s="60" t="n">
        <x:v>2554.7466479817</x:v>
      </x:c>
      <x:c r="M72" s="60" t="n">
        <x:v>171.8880652799</x:v>
      </x:c>
      <x:c r="N72" s="46" t="str">
        <x:v>perciformes</x:v>
      </x:c>
      <x:c r="O72" s="62" t="n">
        <x:v>3.53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Perciformes</x:v>
      </x:c>
      <x:c r="T72" s="62" t="n">
        <x:f>IF(O72="","",(1/'Metadata'!$B$5)^(O72-1))</x:f>
        <x:v>1957.0678791263101</x:v>
      </x:c>
      <x:c r="U72" s="60" t="n">
        <x:f>IF(T72="","",I72*T72)</x:f>
        <x:v>5336209.215435054</x:v>
      </x:c>
    </x:row>
    <x:row r="73" ht="18" customHeight="1">
      <x:c r="A73" s="46" t="str">
        <x:v>LME_049</x:v>
      </x:c>
      <x:c r="B73" s="46" t="str">
        <x:v>Kuroshio Current</x:v>
      </x:c>
      <x:c r="C73" s="46" t="str">
        <x:v>LME</x:v>
      </x:c>
      <x:c r="D73" s="58" t="n">
        <x:v>2019</x:v>
      </x:c>
      <x:c r="E73" s="46" t="str">
        <x:v>Exocoetidae</x:v>
      </x:c>
      <x:c r="F73" s="46" t="str">
        <x:v>Flyingfishes</x:v>
      </x:c>
      <x:c r="G73" s="46" t="str">
        <x:v>Small pelagics (&lt;30 cm)</x:v>
      </x:c>
      <x:c r="H73" s="46" t="str">
        <x:v>Other fishes &amp; inverts</x:v>
      </x:c>
      <x:c r="I73" s="60" t="n">
        <x:v>2614.9110828648</x:v>
      </x:c>
      <x:c r="J73" s="60" t="n">
        <x:v>2196.9798349421</x:v>
      </x:c>
      <x:c r="K73" s="60" t="n">
        <x:v>417.9312479227</x:v>
      </x:c>
      <x:c r="L73" s="60" t="n">
        <x:v>2183.9250710361</x:v>
      </x:c>
      <x:c r="M73" s="60" t="n">
        <x:v>430.9860118287</x:v>
      </x:c>
      <x:c r="N73" s="46" t="str">
        <x:v>exocoetidae</x:v>
      </x:c>
      <x:c r="O73" s="62" t="n">
        <x:v>3.57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Exocoetidae</x:v>
      </x:c>
      <x:c r="T73" s="62" t="n">
        <x:f>IF(O73="","",(1/'Metadata'!$B$5)^(O73-1))</x:f>
        <x:v>2206.2112196552644</x:v>
      </x:c>
      <x:c r="U73" s="60" t="n">
        <x:f>IF(T73="","",I73*T73)</x:f>
        <x:v>5769046.169417218</x:v>
      </x:c>
    </x:row>
    <x:row r="74" ht="18" customHeight="1">
      <x:c r="A74" s="46" t="str">
        <x:v>LME_049</x:v>
      </x:c>
      <x:c r="B74" s="46" t="str">
        <x:v>Kuroshio Current</x:v>
      </x:c>
      <x:c r="C74" s="46" t="str">
        <x:v>LME</x:v>
      </x:c>
      <x:c r="D74" s="58" t="n">
        <x:v>2019</x:v>
      </x:c>
      <x:c r="E74" s="46" t="str">
        <x:v>Mollusca</x:v>
      </x:c>
      <x:c r="F74" s="46" t="str">
        <x:v>Clams, seasnails, squids, octopuses</x:v>
      </x:c>
      <x:c r="G74" s="46" t="str">
        <x:v>Other demersal invertebrates</x:v>
      </x:c>
      <x:c r="H74" s="46" t="str">
        <x:v>Molluscs</x:v>
      </x:c>
      <x:c r="I74" s="60" t="n">
        <x:v>2531.8095173716997</x:v>
      </x:c>
      <x:c r="J74" s="60" t="n">
        <x:v>2525.7223272979</x:v>
      </x:c>
      <x:c r="K74" s="60" t="n">
        <x:v>6.0871900738</x:v>
      </x:c>
      <x:c r="L74" s="60" t="n">
        <x:v>128.2677932682</x:v>
      </x:c>
      <x:c r="M74" s="60" t="n">
        <x:v>2403.5417241034997</x:v>
      </x:c>
      <x:c r="N74" s="46" t="str">
        <x:v>mollusca</x:v>
      </x:c>
      <x:c r="O74" s="62" t="n">
        <x:v>2.1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Mollusca</x:v>
      </x:c>
      <x:c r="T74" s="62" t="n">
        <x:f>IF(O74="","",(1/'Metadata'!$B$5)^(O74-1))</x:f>
        <x:v>26.985656953471274</x:v>
      </x:c>
      <x:c r="U74" s="60" t="n">
        <x:f>IF(T74="","",I74*T74)</x:f>
        <x:v>68322.54310732636</x:v>
      </x:c>
    </x:row>
    <x:row r="75" ht="18" customHeight="1">
      <x:c r="A75" s="46" t="str">
        <x:v>LME_049</x:v>
      </x:c>
      <x:c r="B75" s="46" t="str">
        <x:v>Kuroshio Current</x:v>
      </x:c>
      <x:c r="C75" s="46" t="str">
        <x:v>LME</x:v>
      </x:c>
      <x:c r="D75" s="58" t="n">
        <x:v>2019</x:v>
      </x:c>
      <x:c r="E75" s="46" t="str">
        <x:v>Konosirus punctatus</x:v>
      </x:c>
      <x:c r="F75" s="46" t="str">
        <x:v>Dotted gizzard shad</x:v>
      </x:c>
      <x:c r="G75" s="46" t="str">
        <x:v>Small pelagics (&lt;30 cm)</x:v>
      </x:c>
      <x:c r="H75" s="46" t="str">
        <x:v>Herring-likes</x:v>
      </x:c>
      <x:c r="I75" s="60" t="n">
        <x:v>2426.1055526097</x:v>
      </x:c>
      <x:c r="J75" s="60" t="n">
        <x:v>2372.5557698521</x:v>
      </x:c>
      <x:c r="K75" s="60" t="n">
        <x:v>53.5497827576</x:v>
      </x:c>
      <x:c r="L75" s="60" t="n">
        <x:v>2372.5557698521</x:v>
      </x:c>
      <x:c r="M75" s="60" t="n">
        <x:v>53.5497827576</x:v>
      </x:c>
      <x:c r="N75" s="46" t="str">
        <x:v>konosirus punctatus</x:v>
      </x:c>
      <x:c r="O75" s="62" t="n">
        <x:v>2.87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Konosirus punctatus</x:v>
      </x:c>
      <x:c r="T75" s="62" t="n">
        <x:f>IF(O75="","",(1/'Metadata'!$B$5)^(O75-1))</x:f>
        <x:v>270.9730451511698</x:v>
      </x:c>
      <x:c r="U75" s="60" t="n">
        <x:f>IF(T75="","",I75*T75)</x:f>
        <x:v>657409.2094488121</x:v>
      </x:c>
    </x:row>
    <x:row r="76" ht="18" customHeight="1">
      <x:c r="A76" s="46" t="str">
        <x:v>LME_049</x:v>
      </x:c>
      <x:c r="B76" s="46" t="str">
        <x:v>Kuroshio Current</x:v>
      </x:c>
      <x:c r="C76" s="46" t="str">
        <x:v>LME</x:v>
      </x:c>
      <x:c r="D76" s="58" t="n">
        <x:v>2019</x:v>
      </x:c>
      <x:c r="E76" s="46" t="str">
        <x:v>Haemulidae</x:v>
      </x:c>
      <x:c r="F76" s="46" t="str">
        <x:v>Grunts, sweetlips, bonnetmouths</x:v>
      </x:c>
      <x:c r="G76" s="46" t="str">
        <x:v>Medium demersals (30 - 89 cm)</x:v>
      </x:c>
      <x:c r="H76" s="46" t="str">
        <x:v>Perch-likes</x:v>
      </x:c>
      <x:c r="I76" s="60" t="n">
        <x:v>2406.374491652</x:v>
      </x:c>
      <x:c r="J76" s="60" t="n">
        <x:v>2406.374491652</x:v>
      </x:c>
      <x:c r="K76" s="60" t="n">
        <x:v>0</x:v>
      </x:c>
      <x:c r="L76" s="60" t="n">
        <x:v>1632.3474454009</x:v>
      </x:c>
      <x:c r="M76" s="60" t="n">
        <x:v>774.0270462511</x:v>
      </x:c>
      <x:c r="N76" s="46" t="str">
        <x:v>haemulidae</x:v>
      </x:c>
      <x:c r="O76" s="62" t="n">
        <x:v>3.36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Haemulidae</x:v>
      </x:c>
      <x:c r="T76" s="62" t="n">
        <x:f>IF(O76="","",(1/'Metadata'!$B$5)^(O76-1))</x:f>
        <x:v>1176.0635493805207</x:v>
      </x:c>
      <x:c r="U76" s="60" t="n">
        <x:f>IF(T76="","",I76*T76)</x:f>
        <x:v>2830049.325790997</x:v>
      </x:c>
    </x:row>
    <x:row r="77" ht="18" customHeight="1">
      <x:c r="A77" s="46" t="str">
        <x:v>LME_049</x:v>
      </x:c>
      <x:c r="B77" s="46" t="str">
        <x:v>Kuroshio Current</x:v>
      </x:c>
      <x:c r="C77" s="46" t="str">
        <x:v>LME</x:v>
      </x:c>
      <x:c r="D77" s="58" t="n">
        <x:v>2019</x:v>
      </x:c>
      <x:c r="E77" s="46" t="str">
        <x:v>Tetraodontidae</x:v>
      </x:c>
      <x:c r="F77" s="46" t="str">
        <x:v>Puffers, tobies</x:v>
      </x:c>
      <x:c r="G77" s="46" t="str">
        <x:v>Large reef assoc. fish (&gt;=90 cm)</x:v>
      </x:c>
      <x:c r="H77" s="46" t="str">
        <x:v>Other fishes &amp; inverts</x:v>
      </x:c>
      <x:c r="I77" s="60" t="n">
        <x:v>2398.2916304023</x:v>
      </x:c>
      <x:c r="J77" s="60" t="n">
        <x:v>2271.5836071303</x:v>
      </x:c>
      <x:c r="K77" s="60" t="n">
        <x:v>126.70802327199999</x:v>
      </x:c>
      <x:c r="L77" s="60" t="n">
        <x:v>2137.279356848</x:v>
      </x:c>
      <x:c r="M77" s="60" t="n">
        <x:v>261.0122735543</x:v>
      </x:c>
      <x:c r="N77" s="46" t="str">
        <x:v>tetraodontidae</x:v>
      </x:c>
      <x:c r="O77" s="62" t="n">
        <x:v>3.5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Tetraodontidae</x:v>
      </x:c>
      <x:c r="T77" s="62" t="n">
        <x:f>IF(O77="","",(1/'Metadata'!$B$5)^(O77-1))</x:f>
        <x:v>1788.8543819998317</x:v>
      </x:c>
      <x:c r="U77" s="60" t="n">
        <x:f>IF(T77="","",I77*T77)</x:f>
        <x:v>4290194.492358675</x:v>
      </x:c>
    </x:row>
    <x:row r="78" ht="18" customHeight="1">
      <x:c r="A78" s="46" t="str">
        <x:v>LME_049</x:v>
      </x:c>
      <x:c r="B78" s="46" t="str">
        <x:v>Kuroshio Current</x:v>
      </x:c>
      <x:c r="C78" s="46" t="str">
        <x:v>LME</x:v>
      </x:c>
      <x:c r="D78" s="58" t="n">
        <x:v>2019</x:v>
      </x:c>
      <x:c r="E78" s="46" t="str">
        <x:v>Coryphaena</x:v>
      </x:c>
      <x:c r="F78" s="46" t="str">
        <x:v>Dolphinfishes</x:v>
      </x:c>
      <x:c r="G78" s="46" t="str">
        <x:v>Large pelagics (&gt;=90 cm)</x:v>
      </x:c>
      <x:c r="H78" s="46" t="str">
        <x:v>Perch-likes</x:v>
      </x:c>
      <x:c r="I78" s="60" t="n">
        <x:v>2393.3784884983</x:v>
      </x:c>
      <x:c r="J78" s="60" t="n">
        <x:v>2146.9965128975</x:v>
      </x:c>
      <x:c r="K78" s="60" t="n">
        <x:v>246.3819756008</x:v>
      </x:c>
      <x:c r="L78" s="60" t="n">
        <x:v>1933.1392817034</x:v>
      </x:c>
      <x:c r="M78" s="60" t="n">
        <x:v>460.2392067949</x:v>
      </x:c>
      <x:c r="N78" s="46" t="str">
        <x:v>coryphaena</x:v>
      </x:c>
      <x:c r="O78" s="62" t="n">
        <x:v>4.49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Coryphaena</x:v>
      </x:c>
      <x:c r="T78" s="62" t="n">
        <x:f>IF(O78="","",(1/'Metadata'!$B$5)^(O78-1))</x:f>
        <x:v>34721.19667768202</x:v>
      </x:c>
      <x:c r="U78" s="60" t="n">
        <x:f>IF(T78="","",I78*T78)</x:f>
        <x:v>83100965.2232828</x:v>
      </x:c>
    </x:row>
    <x:row r="79" ht="18" customHeight="1">
      <x:c r="A79" s="46" t="str">
        <x:v>LME_049</x:v>
      </x:c>
      <x:c r="B79" s="46" t="str">
        <x:v>Kuroshio Current</x:v>
      </x:c>
      <x:c r="C79" s="46" t="str">
        <x:v>LME</x:v>
      </x:c>
      <x:c r="D79" s="58" t="n">
        <x:v>2019</x:v>
      </x:c>
      <x:c r="E79" s="46" t="str">
        <x:v>Apostichopus japonicus</x:v>
      </x:c>
      <x:c r="F79" s="46" t="str">
        <x:v>Japanese sea cucumber</x:v>
      </x:c>
      <x:c r="G79" s="46" t="str">
        <x:v>Other demersal invertebrates</x:v>
      </x:c>
      <x:c r="H79" s="46" t="str">
        <x:v>Other fishes &amp; inverts</x:v>
      </x:c>
      <x:c r="I79" s="60" t="n">
        <x:v>2332.9571353148</x:v>
      </x:c>
      <x:c r="J79" s="60" t="n">
        <x:v>2332.9506918543</x:v>
      </x:c>
      <x:c r="K79" s="60" t="n">
        <x:v>0.0064434605</x:v>
      </x:c>
      <x:c r="L79" s="60" t="n">
        <x:v>2332.9506918543</x:v>
      </x:c>
      <x:c r="M79" s="60" t="n">
        <x:v>0.0064434605</x:v>
      </x:c>
      <x:c r="N79" s="46" t="str">
        <x:v>apostichopus japonicus</x:v>
      </x:c>
      <x:c r="O79" s="62" t="n">
        <x:v>2.3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Apostichopus japonicus</x:v>
      </x:c>
      <x:c r="T79" s="62" t="n">
        <x:f>IF(O79="","",(1/'Metadata'!$B$5)^(O79-1))</x:f>
        <x:v>49.12912104463159</x:v>
      </x:c>
      <x:c r="U79" s="60" t="n">
        <x:f>IF(T79="","",I79*T79)</x:f>
        <x:v>114616.13349281775</x:v>
      </x:c>
    </x:row>
    <x:row r="80" ht="18" customHeight="1">
      <x:c r="A80" s="46" t="str">
        <x:v>LME_049</x:v>
      </x:c>
      <x:c r="B80" s="46" t="str">
        <x:v>Kuroshio Current</x:v>
      </x:c>
      <x:c r="C80" s="46" t="str">
        <x:v>LME</x:v>
      </x:c>
      <x:c r="D80" s="58" t="n">
        <x:v>2019</x:v>
      </x:c>
      <x:c r="E80" s="46" t="str">
        <x:v>Conger myriaster</x:v>
      </x:c>
      <x:c r="F80" s="46" t="str">
        <x:v>Whitespotted conger</x:v>
      </x:c>
      <x:c r="G80" s="46" t="str">
        <x:v>Medium demersals (30 - 89 cm)</x:v>
      </x:c>
      <x:c r="H80" s="46" t="str">
        <x:v>Other fishes &amp; inverts</x:v>
      </x:c>
      <x:c r="I80" s="60" t="n">
        <x:v>2122.0368862834</x:v>
      </x:c>
      <x:c r="J80" s="60" t="n">
        <x:v>2062.587368443</x:v>
      </x:c>
      <x:c r="K80" s="60" t="n">
        <x:v>59.449517840400006</x:v>
      </x:c>
      <x:c r="L80" s="60" t="n">
        <x:v>2055.9528546599</x:v>
      </x:c>
      <x:c r="M80" s="60" t="n">
        <x:v>66.0840316235</x:v>
      </x:c>
      <x:c r="N80" s="46" t="str">
        <x:v>conger myriaster</x:v>
      </x:c>
      <x:c r="O80" s="62" t="n">
        <x:v>3.98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Conger myriaster</x:v>
      </x:c>
      <x:c r="T80" s="62" t="n">
        <x:f>IF(O80="","",(1/'Metadata'!$B$5)^(O80-1))</x:f>
        <x:v>7534.759367064222</x:v>
      </x:c>
      <x:c r="U80" s="60" t="n">
        <x:f>IF(T80="","",I80*T80)</x:f>
        <x:v>15989037.30617964</x:v>
      </x:c>
    </x:row>
    <x:row r="81" ht="18" customHeight="1">
      <x:c r="A81" s="46" t="str">
        <x:v>LME_049</x:v>
      </x:c>
      <x:c r="B81" s="46" t="str">
        <x:v>Kuroshio Current</x:v>
      </x:c>
      <x:c r="C81" s="46" t="str">
        <x:v>LME</x:v>
      </x:c>
      <x:c r="D81" s="58" t="n">
        <x:v>2019</x:v>
      </x:c>
      <x:c r="E81" s="46" t="str">
        <x:v>Thunnus orientalis</x:v>
      </x:c>
      <x:c r="F81" s="46" t="str">
        <x:v>Pacific bluefin tuna</x:v>
      </x:c>
      <x:c r="G81" s="46" t="str">
        <x:v>Large pelagics (&gt;=90 cm)</x:v>
      </x:c>
      <x:c r="H81" s="46" t="str">
        <x:v>Tuna &amp; billfishes</x:v>
      </x:c>
      <x:c r="I81" s="60" t="n">
        <x:v>1891.8861453445002</x:v>
      </x:c>
      <x:c r="J81" s="60" t="n">
        <x:v>1864.4365748591001</x:v>
      </x:c>
      <x:c r="K81" s="60" t="n">
        <x:v>27.449570485400002</x:v>
      </x:c>
      <x:c r="L81" s="60" t="n">
        <x:v>1864.4365748591001</x:v>
      </x:c>
      <x:c r="M81" s="60" t="n">
        <x:v>27.449570485400002</x:v>
      </x:c>
      <x:c r="N81" s="46" t="str">
        <x:v>thunnus orientalis</x:v>
      </x:c>
      <x:c r="O81" s="62" t="n">
        <x:v>4.05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Thunnus orientalis</x:v>
      </x:c>
      <x:c r="T81" s="62" t="n">
        <x:f>IF(O81="","",(1/'Metadata'!$B$5)^(O81-1))</x:f>
        <x:v>9292.690797132333</x:v>
      </x:c>
      <x:c r="U81" s="60" t="n">
        <x:f>IF(T81="","",I81*T81)</x:f>
        <x:v>17580712.972064998</x:v>
      </x:c>
    </x:row>
    <x:row r="82" ht="18" customHeight="1">
      <x:c r="A82" s="46" t="str">
        <x:v>LME_049</x:v>
      </x:c>
      <x:c r="B82" s="46" t="str">
        <x:v>Kuroshio Current</x:v>
      </x:c>
      <x:c r="C82" s="46" t="str">
        <x:v>LME</x:v>
      </x:c>
      <x:c r="D82" s="58" t="n">
        <x:v>2019</x:v>
      </x:c>
      <x:c r="E82" s="46" t="str">
        <x:v>Dendrobranchiata</x:v>
      </x:c>
      <x:c r="F82" s="46" t="str">
        <x:v>Shrimps and prawns</x:v>
      </x:c>
      <x:c r="G82" s="46" t="str">
        <x:v>Shrimps</x:v>
      </x:c>
      <x:c r="H82" s="46" t="str">
        <x:v>Crustaceans</x:v>
      </x:c>
      <x:c r="I82" s="60" t="n">
        <x:v>1866.3677436165</x:v>
      </x:c>
      <x:c r="J82" s="60" t="n">
        <x:v>1808.7499897786</x:v>
      </x:c>
      <x:c r="K82" s="60" t="n">
        <x:v>57.6177538379</x:v>
      </x:c>
      <x:c r="L82" s="60" t="n">
        <x:v>1143.8026604058</x:v>
      </x:c>
      <x:c r="M82" s="60" t="n">
        <x:v>722.5650832107</x:v>
      </x:c>
      <x:c r="N82" s="46" t="str">
        <x:v>dendrobranchiata</x:v>
      </x:c>
      <x:c r="O82" s="62" t="n">
        <x:v>3.24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Dendrobranchiata</x:v>
      </x:c>
      <x:c r="T82" s="62" t="n">
        <x:f>IF(O82="","",(1/'Metadata'!$B$5)^(O82-1))</x:f>
        <x:v>820.9320103116679</x:v>
      </x:c>
      <x:c r="U82" s="60" t="n">
        <x:f>IF(T82="","",I82*T82)</x:f>
        <x:v>1532161.023747945</x:v>
      </x:c>
    </x:row>
    <x:row r="83" ht="18" customHeight="1">
      <x:c r="A83" s="46" t="str">
        <x:v>LME_049</x:v>
      </x:c>
      <x:c r="B83" s="46" t="str">
        <x:v>Kuroshio Current</x:v>
      </x:c>
      <x:c r="C83" s="46" t="str">
        <x:v>LME</x:v>
      </x:c>
      <x:c r="D83" s="58" t="n">
        <x:v>2019</x:v>
      </x:c>
      <x:c r="E83" s="46" t="str">
        <x:v>Ommastrephidae</x:v>
      </x:c>
      <x:c r="F83" s="46" t="str">
        <x:v>Arrow squids</x:v>
      </x:c>
      <x:c r="G83" s="46" t="str">
        <x:v>Cephalopods</x:v>
      </x:c>
      <x:c r="H83" s="46" t="str">
        <x:v>Other fishes &amp; inverts</x:v>
      </x:c>
      <x:c r="I83" s="60" t="n">
        <x:v>1844.5521172825</x:v>
      </x:c>
      <x:c r="J83" s="60" t="n">
        <x:v>0</x:v>
      </x:c>
      <x:c r="K83" s="60" t="n">
        <x:v>1844.5521172825</x:v>
      </x:c>
      <x:c r="L83" s="60" t="n">
        <x:v>0</x:v>
      </x:c>
      <x:c r="M83" s="60" t="n">
        <x:v>1844.5521172825</x:v>
      </x:c>
      <x:c r="N83" s="46" t="str">
        <x:v>ommastrephidae</x:v>
      </x:c>
      <x:c r="O83" s="62" t="n">
        <x:v>4.09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Ommastrephidae</x:v>
      </x:c>
      <x:c r="T83" s="62" t="n">
        <x:f>IF(O83="","",(1/'Metadata'!$B$5)^(O83-1))</x:f>
        <x:v>10475.691168449957</x:v>
      </x:c>
      <x:c r="U83" s="60" t="n">
        <x:f>IF(T83="","",I83*T83)</x:f>
        <x:v>19322958.324761953</x:v>
      </x:c>
    </x:row>
    <x:row r="84" ht="18" customHeight="1">
      <x:c r="A84" s="46" t="str">
        <x:v>LME_049</x:v>
      </x:c>
      <x:c r="B84" s="46" t="str">
        <x:v>Kuroshio Current</x:v>
      </x:c>
      <x:c r="C84" s="46" t="str">
        <x:v>LME</x:v>
      </x:c>
      <x:c r="D84" s="58" t="n">
        <x:v>2019</x:v>
      </x:c>
      <x:c r="E84" s="46" t="str">
        <x:v>Auxis</x:v>
      </x:c>
      <x:c r="F84" s="46" t="str">
        <x:v>Bullet and frigate tunas</x:v>
      </x:c>
      <x:c r="G84" s="46" t="str">
        <x:v>Medium pelagics (30 - 89 cm)</x:v>
      </x:c>
      <x:c r="H84" s="46" t="str">
        <x:v>Tuna &amp; billfishes</x:v>
      </x:c>
      <x:c r="I84" s="60" t="n">
        <x:v>1629.5614663409</x:v>
      </x:c>
      <x:c r="J84" s="60" t="n">
        <x:v>899.6956031037</x:v>
      </x:c>
      <x:c r="K84" s="60" t="n">
        <x:v>729.8658632372001</x:v>
      </x:c>
      <x:c r="L84" s="60" t="n">
        <x:v>711.2221377012</x:v>
      </x:c>
      <x:c r="M84" s="60" t="n">
        <x:v>918.3393286396999</x:v>
      </x:c>
      <x:c r="N84" s="46" t="str">
        <x:v>auxis</x:v>
      </x:c>
      <x:c r="O84" s="62" t="n">
        <x:v>4.24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Auxis</x:v>
      </x:c>
      <x:c r="T84" s="62" t="n">
        <x:f>IF(O84="","",(1/'Metadata'!$B$5)^(O84-1))</x:f>
        <x:v>16418.64020623336</x:v>
      </x:c>
      <x:c r="U84" s="60" t="n">
        <x:f>IF(T84="","",I84*T84)</x:f>
        <x:v>26755183.40979329</x:v>
      </x:c>
    </x:row>
    <x:row r="85" ht="18" customHeight="1">
      <x:c r="A85" s="46" t="str">
        <x:v>LME_049</x:v>
      </x:c>
      <x:c r="B85" s="46" t="str">
        <x:v>Kuroshio Current</x:v>
      </x:c>
      <x:c r="C85" s="46" t="str">
        <x:v>LME</x:v>
      </x:c>
      <x:c r="D85" s="58" t="n">
        <x:v>2019</x:v>
      </x:c>
      <x:c r="E85" s="46" t="str">
        <x:v>Congridae</x:v>
      </x:c>
      <x:c r="F85" s="46" t="str">
        <x:v>Conger, garden eels</x:v>
      </x:c>
      <x:c r="G85" s="46" t="str">
        <x:v>Large demersals (&gt;=90 cm)</x:v>
      </x:c>
      <x:c r="H85" s="46" t="str">
        <x:v>Other fishes &amp; inverts</x:v>
      </x:c>
      <x:c r="I85" s="60" t="n">
        <x:v>1621.3831369959998</x:v>
      </x:c>
      <x:c r="J85" s="60" t="n">
        <x:v>1076.6372344038</x:v>
      </x:c>
      <x:c r="K85" s="60" t="n">
        <x:v>544.7459025922001</x:v>
      </x:c>
      <x:c r="L85" s="60" t="n">
        <x:v>1076.6372344038</x:v>
      </x:c>
      <x:c r="M85" s="60" t="n">
        <x:v>544.7459025922001</x:v>
      </x:c>
      <x:c r="N85" s="46" t="str">
        <x:v>congridae</x:v>
      </x:c>
      <x:c r="O85" s="62" t="n">
        <x:v>4.18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Congridae</x:v>
      </x:c>
      <x:c r="T85" s="62" t="n">
        <x:f>IF(O85="","",(1/'Metadata'!$B$5)^(O85-1))</x:f>
        <x:v>13717.513182092556</x:v>
      </x:c>
      <x:c r="U85" s="60" t="n">
        <x:f>IF(T85="","",I85*T85)</x:f>
        <x:v>22241344.55496521</x:v>
      </x:c>
    </x:row>
    <x:row r="86" ht="18" customHeight="1">
      <x:c r="A86" s="46" t="str">
        <x:v>LME_049</x:v>
      </x:c>
      <x:c r="B86" s="46" t="str">
        <x:v>Kuroshio Current</x:v>
      </x:c>
      <x:c r="C86" s="46" t="str">
        <x:v>LME</x:v>
      </x:c>
      <x:c r="D86" s="58" t="n">
        <x:v>2019</x:v>
      </x:c>
      <x:c r="E86" s="46" t="str">
        <x:v>Arctoscopus japonicus</x:v>
      </x:c>
      <x:c r="F86" s="46" t="str">
        <x:v>Japanese sandfish</x:v>
      </x:c>
      <x:c r="G86" s="46" t="str">
        <x:v>Small bathydemersals (&lt;30 cm)</x:v>
      </x:c>
      <x:c r="H86" s="46" t="str">
        <x:v>Perch-likes</x:v>
      </x:c>
      <x:c r="I86" s="60" t="n">
        <x:v>1382.8641561113</x:v>
      </x:c>
      <x:c r="J86" s="60" t="n">
        <x:v>1048.5825488318</x:v>
      </x:c>
      <x:c r="K86" s="60" t="n">
        <x:v>334.2816072795</x:v>
      </x:c>
      <x:c r="L86" s="60" t="n">
        <x:v>1048.5825488318</x:v>
      </x:c>
      <x:c r="M86" s="60" t="n">
        <x:v>334.2816072795</x:v>
      </x:c>
      <x:c r="N86" s="46" t="str">
        <x:v>arctoscopus japonicus</x:v>
      </x:c>
      <x:c r="O86" s="62" t="n">
        <x:v>3.51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Arctoscopus japonicus</x:v>
      </x:c>
      <x:c r="T86" s="62" t="n">
        <x:f>IF(O86="","",(1/'Metadata'!$B$5)^(O86-1))</x:f>
        <x:v>1843.2544417784343</x:v>
      </x:c>
      <x:c r="U86" s="60" t="n">
        <x:f>IF(T86="","",I86*T86)</x:f>
        <x:v>2548970.4981283396</x:v>
      </x:c>
    </x:row>
    <x:row r="87" ht="18" customHeight="1">
      <x:c r="A87" s="46" t="str">
        <x:v>LME_049</x:v>
      </x:c>
      <x:c r="B87" s="46" t="str">
        <x:v>Kuroshio Current</x:v>
      </x:c>
      <x:c r="C87" s="46" t="str">
        <x:v>LME</x:v>
      </x:c>
      <x:c r="D87" s="58" t="n">
        <x:v>2019</x:v>
      </x:c>
      <x:c r="E87" s="46" t="str">
        <x:v>Xiphias gladius</x:v>
      </x:c>
      <x:c r="F87" s="46" t="str">
        <x:v>Swordfish</x:v>
      </x:c>
      <x:c r="G87" s="46" t="str">
        <x:v>Large pelagics (&gt;=90 cm)</x:v>
      </x:c>
      <x:c r="H87" s="46" t="str">
        <x:v>Tuna &amp; billfishes</x:v>
      </x:c>
      <x:c r="I87" s="60" t="n">
        <x:v>1294.2857883514</x:v>
      </x:c>
      <x:c r="J87" s="60" t="n">
        <x:v>1284.6391678173</x:v>
      </x:c>
      <x:c r="K87" s="60" t="n">
        <x:v>9.6466205341</x:v>
      </x:c>
      <x:c r="L87" s="60" t="n">
        <x:v>1284.6391678173</x:v>
      </x:c>
      <x:c r="M87" s="60" t="n">
        <x:v>9.6466205341</x:v>
      </x:c>
      <x:c r="N87" s="46" t="str">
        <x:v>xiphias gladius</x:v>
      </x:c>
      <x:c r="O87" s="62" t="n">
        <x:v>4.53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Xiphias gladius</x:v>
      </x:c>
      <x:c r="T87" s="62" t="n">
        <x:f>IF(O87="","",(1/'Metadata'!$B$5)^(O87-1))</x:f>
        <x:v>39141.35758252625</x:v>
      </x:c>
      <x:c r="U87" s="60" t="n">
        <x:f>IF(T87="","",I87*T87)</x:f>
        <x:v>50660102.855844036</x:v>
      </x:c>
    </x:row>
    <x:row r="88" ht="18" customHeight="1">
      <x:c r="A88" s="46" t="str">
        <x:v>LME_049</x:v>
      </x:c>
      <x:c r="B88" s="46" t="str">
        <x:v>Kuroshio Current</x:v>
      </x:c>
      <x:c r="C88" s="46" t="str">
        <x:v>LME</x:v>
      </x:c>
      <x:c r="D88" s="58" t="n">
        <x:v>2019</x:v>
      </x:c>
      <x:c r="E88" s="46" t="str">
        <x:v>Harpadon nehereus</x:v>
      </x:c>
      <x:c r="F88" s="46" t="str">
        <x:v>Bombay-duck</x:v>
      </x:c>
      <x:c r="G88" s="46" t="str">
        <x:v>Medium benthopelagics (30 - 89 cm)</x:v>
      </x:c>
      <x:c r="H88" s="46" t="str">
        <x:v>Other fishes &amp; inverts</x:v>
      </x:c>
      <x:c r="I88" s="60" t="n">
        <x:v>1227.1464327788</x:v>
      </x:c>
      <x:c r="J88" s="60" t="n">
        <x:v>1227.1464327788</x:v>
      </x:c>
      <x:c r="K88" s="60" t="n">
        <x:v>0</x:v>
      </x:c>
      <x:c r="L88" s="60" t="n">
        <x:v>45.8896769902</x:v>
      </x:c>
      <x:c r="M88" s="60" t="n">
        <x:v>1181.2567557886</x:v>
      </x:c>
      <x:c r="N88" s="46" t="str">
        <x:v>harpadon nehereus</x:v>
      </x:c>
      <x:c r="O88" s="62" t="n">
        <x:v>4.2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Harpadon nehereus</x:v>
      </x:c>
      <x:c r="T88" s="62" t="n">
        <x:f>IF(O88="","",(1/'Metadata'!$B$5)^(O88-1))</x:f>
        <x:v>14564.51362420865</x:v>
      </x:c>
      <x:c r="U88" s="60" t="n">
        <x:f>IF(T88="","",I88*T88)</x:f>
        <x:v>17872790.93910588</x:v>
      </x:c>
    </x:row>
    <x:row r="89" ht="18" customHeight="1">
      <x:c r="A89" s="46" t="str">
        <x:v>LME_049</x:v>
      </x:c>
      <x:c r="B89" s="46" t="str">
        <x:v>Kuroshio Current</x:v>
      </x:c>
      <x:c r="C89" s="46" t="str">
        <x:v>LME</x:v>
      </x:c>
      <x:c r="D89" s="58" t="n">
        <x:v>2019</x:v>
      </x:c>
      <x:c r="E89" s="46" t="str">
        <x:v>Scomber australasicus</x:v>
      </x:c>
      <x:c r="F89" s="46" t="str">
        <x:v>Blue mackerel</x:v>
      </x:c>
      <x:c r="G89" s="46" t="str">
        <x:v>Medium pelagics (30 - 89 cm)</x:v>
      </x:c>
      <x:c r="H89" s="46" t="str">
        <x:v>Perch-likes</x:v>
      </x:c>
      <x:c r="I89" s="60" t="n">
        <x:v>1217.9459084692</x:v>
      </x:c>
      <x:c r="J89" s="60" t="n">
        <x:v>0</x:v>
      </x:c>
      <x:c r="K89" s="60" t="n">
        <x:v>1217.9459084692</x:v>
      </x:c>
      <x:c r="L89" s="60" t="n">
        <x:v>0</x:v>
      </x:c>
      <x:c r="M89" s="60" t="n">
        <x:v>1217.9459084692</x:v>
      </x:c>
      <x:c r="N89" s="46" t="str">
        <x:v>scomber australasicus</x:v>
      </x:c>
      <x:c r="O89" s="62" t="n">
        <x:v>4.23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Scomber australasicus</x:v>
      </x:c>
      <x:c r="T89" s="62" t="n">
        <x:f>IF(O89="","",(1/'Metadata'!$B$5)^(O89-1))</x:f>
        <x:v>15934.076063346663</x:v>
      </x:c>
      <x:c r="U89" s="60" t="n">
        <x:f>IF(T89="","",I89*T89)</x:f>
        <x:v>19406842.746590085</x:v>
      </x:c>
    </x:row>
    <x:row r="90" ht="18" customHeight="1">
      <x:c r="A90" s="46" t="str">
        <x:v>LME_049</x:v>
      </x:c>
      <x:c r="B90" s="46" t="str">
        <x:v>Kuroshio Current</x:v>
      </x:c>
      <x:c r="C90" s="46" t="str">
        <x:v>LME</x:v>
      </x:c>
      <x:c r="D90" s="58" t="n">
        <x:v>2019</x:v>
      </x:c>
      <x:c r="E90" s="46" t="str">
        <x:v>Gastropoda</x:v>
      </x:c>
      <x:c r="F90" s="46" t="str">
        <x:v>Sea snails</x:v>
      </x:c>
      <x:c r="G90" s="46" t="str">
        <x:v>Other demersal invertebrates</x:v>
      </x:c>
      <x:c r="H90" s="46" t="str">
        <x:v>Molluscs</x:v>
      </x:c>
      <x:c r="I90" s="60" t="n">
        <x:v>1129.5303330263</x:v>
      </x:c>
      <x:c r="J90" s="60" t="n">
        <x:v>1129.4921563316</x:v>
      </x:c>
      <x:c r="K90" s="60" t="n">
        <x:v>0.0381766947</x:v>
      </x:c>
      <x:c r="L90" s="60" t="n">
        <x:v>1120.375854042</x:v>
      </x:c>
      <x:c r="M90" s="60" t="n">
        <x:v>9.154478984299999</x:v>
      </x:c>
      <x:c r="N90" s="46" t="str">
        <x:v>gastropoda</x:v>
      </x:c>
      <x:c r="O90" s="62" t="n">
        <x:v>3.06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Gastropoda</x:v>
      </x:c>
      <x:c r="T90" s="62" t="n">
        <x:f>IF(O90="","",(1/'Metadata'!$B$5)^(O90-1))</x:f>
        <x:v>478.7643354384948</x:v>
      </x:c>
      <x:c r="U90" s="60" t="n">
        <x:f>IF(T90="","",I90*T90)</x:f>
        <x:v>540778.8392489583</x:v>
      </x:c>
    </x:row>
    <x:row r="91" ht="18" customHeight="1">
      <x:c r="A91" s="46" t="str">
        <x:v>LME_049</x:v>
      </x:c>
      <x:c r="B91" s="46" t="str">
        <x:v>Kuroshio Current</x:v>
      </x:c>
      <x:c r="C91" s="46" t="str">
        <x:v>LME</x:v>
      </x:c>
      <x:c r="D91" s="58" t="n">
        <x:v>2019</x:v>
      </x:c>
      <x:c r="E91" s="46" t="str">
        <x:v>Trachurus</x:v>
      </x:c>
      <x:c r="F91" s="46" t="str">
        <x:v>Jacks, horse mackerels</x:v>
      </x:c>
      <x:c r="G91" s="46" t="str">
        <x:v>Medium pelagics (30 - 89 cm)</x:v>
      </x:c>
      <x:c r="H91" s="46" t="str">
        <x:v>Perch-likes</x:v>
      </x:c>
      <x:c r="I91" s="60" t="n">
        <x:v>1121.1204527237999</x:v>
      </x:c>
      <x:c r="J91" s="60" t="n">
        <x:v>1121.1204527237999</x:v>
      </x:c>
      <x:c r="K91" s="60" t="n">
        <x:v>0</x:v>
      </x:c>
      <x:c r="L91" s="60" t="n">
        <x:v>1121.1204527237999</x:v>
      </x:c>
      <x:c r="M91" s="60" t="n">
        <x:v>0</x:v>
      </x:c>
      <x:c r="N91" s="46" t="str">
        <x:v>trachurus</x:v>
      </x:c>
      <x:c r="O91" s="62" t="n">
        <x:v>3.69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Trachurus</x:v>
      </x:c>
      <x:c r="T91" s="62" t="n">
        <x:f>IF(O91="","",(1/'Metadata'!$B$5)^(O91-1))</x:f>
        <x:v>3160.6083878807954</x:v>
      </x:c>
      <x:c r="U91" s="60" t="n">
        <x:f>IF(T91="","",I91*T91)</x:f>
        <x:v>3543422.7067035567</x:v>
      </x:c>
    </x:row>
    <x:row r="92" ht="18" customHeight="1">
      <x:c r="A92" s="46" t="str">
        <x:v>LME_049</x:v>
      </x:c>
      <x:c r="B92" s="46" t="str">
        <x:v>Kuroshio Current</x:v>
      </x:c>
      <x:c r="C92" s="46" t="str">
        <x:v>LME</x:v>
      </x:c>
      <x:c r="D92" s="58" t="n">
        <x:v>2019</x:v>
      </x:c>
      <x:c r="E92" s="46" t="str">
        <x:v>Panulirus longipes</x:v>
      </x:c>
      <x:c r="F92" s="46" t="str">
        <x:v>Longlegged spiny lobster</x:v>
      </x:c>
      <x:c r="G92" s="46" t="str">
        <x:v>Lobsters, crabs</x:v>
      </x:c>
      <x:c r="H92" s="46" t="str">
        <x:v>Crustaceans</x:v>
      </x:c>
      <x:c r="I92" s="60" t="n">
        <x:v>941.9475652138</x:v>
      </x:c>
      <x:c r="J92" s="60" t="n">
        <x:v>651.6162781400001</x:v>
      </x:c>
      <x:c r="K92" s="60" t="n">
        <x:v>290.3312870738</x:v>
      </x:c>
      <x:c r="L92" s="60" t="n">
        <x:v>650.4757487937001</x:v>
      </x:c>
      <x:c r="M92" s="60" t="n">
        <x:v>291.4718164201</x:v>
      </x:c>
      <x:c r="N92" s="46" t="str">
        <x:v>panulirus longipes</x:v>
      </x:c>
      <x:c r="O92" s="62" t="n">
        <x:v>2.6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Panulirus longipes</x:v>
      </x:c>
      <x:c r="T92" s="62" t="n">
        <x:f>IF(O92="","",(1/'Metadata'!$B$5)^(O92-1))</x:f>
        <x:v>120.6835267309033</x:v>
      </x:c>
      <x:c r="U92" s="60" t="n">
        <x:f>IF(T92="","",I92*T92)</x:f>
        <x:v>113677.55416558891</x:v>
      </x:c>
    </x:row>
    <x:row r="93" ht="18" customHeight="1">
      <x:c r="A93" s="46" t="str">
        <x:v>LME_049</x:v>
      </x:c>
      <x:c r="B93" s="46" t="str">
        <x:v>Kuroshio Current</x:v>
      </x:c>
      <x:c r="C93" s="46" t="str">
        <x:v>LME</x:v>
      </x:c>
      <x:c r="D93" s="58" t="n">
        <x:v>2019</x:v>
      </x:c>
      <x:c r="E93" s="46" t="str">
        <x:v>Psenopsis anomala</x:v>
      </x:c>
      <x:c r="F93" s="46" t="str">
        <x:v>Pacific rudderfish</x:v>
      </x:c>
      <x:c r="G93" s="46" t="str">
        <x:v>Small benthopelagics (&lt;30 cm)</x:v>
      </x:c>
      <x:c r="H93" s="46" t="str">
        <x:v>Perch-likes</x:v>
      </x:c>
      <x:c r="I93" s="60" t="n">
        <x:v>920.7046113015999</x:v>
      </x:c>
      <x:c r="J93" s="60" t="n">
        <x:v>912.4589543305999</x:v>
      </x:c>
      <x:c r="K93" s="60" t="n">
        <x:v>8.245656971</x:v>
      </x:c>
      <x:c r="L93" s="60" t="n">
        <x:v>908.6152759541</x:v>
      </x:c>
      <x:c r="M93" s="60" t="n">
        <x:v>12.0893353475</x:v>
      </x:c>
      <x:c r="N93" s="46" t="str">
        <x:v>psenopsis anomala</x:v>
      </x:c>
      <x:c r="O93" s="62" t="n">
        <x:v>4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Psenopsis anomala</x:v>
      </x:c>
      <x:c r="T93" s="62" t="n">
        <x:f>IF(O93="","",(1/'Metadata'!$B$5)^(O93-1))</x:f>
        <x:v>8000</x:v>
      </x:c>
      <x:c r="U93" s="60" t="n">
        <x:f>IF(T93="","",I93*T93)</x:f>
        <x:v>7365636.890412799</x:v>
      </x:c>
    </x:row>
    <x:row r="94" ht="18" customHeight="1">
      <x:c r="A94" s="46" t="str">
        <x:v>LME_049</x:v>
      </x:c>
      <x:c r="B94" s="46" t="str">
        <x:v>Kuroshio Current</x:v>
      </x:c>
      <x:c r="C94" s="46" t="str">
        <x:v>LME</x:v>
      </x:c>
      <x:c r="D94" s="58" t="n">
        <x:v>2019</x:v>
      </x:c>
      <x:c r="E94" s="46" t="str">
        <x:v>Sebastes</x:v>
      </x:c>
      <x:c r="F94" s="46" t="str">
        <x:v>Redfishes</x:v>
      </x:c>
      <x:c r="G94" s="46" t="str">
        <x:v>Large reef assoc. fish (&gt;=90 cm)</x:v>
      </x:c>
      <x:c r="H94" s="46" t="str">
        <x:v>Scorpionfishes</x:v>
      </x:c>
      <x:c r="I94" s="60" t="n">
        <x:v>918.2772852728</x:v>
      </x:c>
      <x:c r="J94" s="60" t="n">
        <x:v>918.2772852728</x:v>
      </x:c>
      <x:c r="K94" s="60" t="n">
        <x:v>0</x:v>
      </x:c>
      <x:c r="L94" s="60" t="n">
        <x:v>0</x:v>
      </x:c>
      <x:c r="M94" s="60" t="n">
        <x:v>918.2772852728</x:v>
      </x:c>
      <x:c r="N94" s="46" t="str">
        <x:v>sebastes</x:v>
      </x:c>
      <x:c r="O94" s="62" t="n">
        <x:v>3.79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Sebastes</x:v>
      </x:c>
      <x:c r="T94" s="62" t="n">
        <x:f>IF(O94="","",(1/'Metadata'!$B$5)^(O94-1))</x:f>
        <x:v>4264.554685980751</x:v>
      </x:c>
      <x:c r="U94" s="60" t="n">
        <x:f>IF(T94="","",I94*T94)</x:f>
        <x:v>3916043.699939802</x:v>
      </x:c>
    </x:row>
    <x:row r="95" ht="18" customHeight="1">
      <x:c r="A95" s="46" t="str">
        <x:v>LME_049</x:v>
      </x:c>
      <x:c r="B95" s="46" t="str">
        <x:v>Kuroshio Current</x:v>
      </x:c>
      <x:c r="C95" s="46" t="str">
        <x:v>LME</x:v>
      </x:c>
      <x:c r="D95" s="58" t="n">
        <x:v>2019</x:v>
      </x:c>
      <x:c r="E95" s="46" t="str">
        <x:v>Scomberomorus niphonius</x:v>
      </x:c>
      <x:c r="F95" s="46" t="str">
        <x:v>Japanese Spanish mackerel</x:v>
      </x:c>
      <x:c r="G95" s="46" t="str">
        <x:v>Large pelagics (&gt;=90 cm)</x:v>
      </x:c>
      <x:c r="H95" s="46" t="str">
        <x:v>Perch-likes</x:v>
      </x:c>
      <x:c r="I95" s="60" t="n">
        <x:v>824.4800915722</x:v>
      </x:c>
      <x:c r="J95" s="60" t="n">
        <x:v>817.1639268197999</x:v>
      </x:c>
      <x:c r="K95" s="60" t="n">
        <x:v>7.316164752400001</x:v>
      </x:c>
      <x:c r="L95" s="60" t="n">
        <x:v>817.1639268197999</x:v>
      </x:c>
      <x:c r="M95" s="60" t="n">
        <x:v>7.316164752400001</x:v>
      </x:c>
      <x:c r="N95" s="46" t="str">
        <x:v>scomberomorus niphonius</x:v>
      </x:c>
      <x:c r="O95" s="62" t="n">
        <x:v>4.5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Scomberomorus niphonius</x:v>
      </x:c>
      <x:c r="T95" s="62" t="n">
        <x:f>IF(O95="","",(1/'Metadata'!$B$5)^(O95-1))</x:f>
        <x:v>35777.08763999664</x:v>
      </x:c>
      <x:c r="U95" s="60" t="n">
        <x:f>IF(T95="","",I95*T95)</x:f>
        <x:v>29497496.49361105</x:v>
      </x:c>
    </x:row>
    <x:row r="96" ht="18" customHeight="1">
      <x:c r="A96" s="46" t="str">
        <x:v>LME_049</x:v>
      </x:c>
      <x:c r="B96" s="46" t="str">
        <x:v>Kuroshio Current</x:v>
      </x:c>
      <x:c r="C96" s="46" t="str">
        <x:v>LME</x:v>
      </x:c>
      <x:c r="D96" s="58" t="n">
        <x:v>2019</x:v>
      </x:c>
      <x:c r="E96" s="46" t="str">
        <x:v>Synodontidae</x:v>
      </x:c>
      <x:c r="F96" s="46" t="str">
        <x:v>Lizardfishes, sauries</x:v>
      </x:c>
      <x:c r="G96" s="46" t="str">
        <x:v>Medium demersals (30 - 89 cm)</x:v>
      </x:c>
      <x:c r="H96" s="46" t="str">
        <x:v>Other fishes &amp; inverts</x:v>
      </x:c>
      <x:c r="I96" s="60" t="n">
        <x:v>823.1751651316</x:v>
      </x:c>
      <x:c r="J96" s="60" t="n">
        <x:v>823.1751651316</x:v>
      </x:c>
      <x:c r="K96" s="60" t="n">
        <x:v>0</x:v>
      </x:c>
      <x:c r="L96" s="60" t="n">
        <x:v>823.1751651316</x:v>
      </x:c>
      <x:c r="M96" s="60" t="n">
        <x:v>0</x:v>
      </x:c>
      <x:c r="N96" s="46" t="str">
        <x:v>synodontidae</x:v>
      </x:c>
      <x:c r="O96" s="62" t="n">
        <x:v>4.3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Synodontidae</x:v>
      </x:c>
      <x:c r="T96" s="62" t="n">
        <x:f>IF(O96="","",(1/'Metadata'!$B$5)^(O96-1))</x:f>
        <x:v>19651.648417852637</x:v>
      </x:c>
      <x:c r="U96" s="60" t="n">
        <x:f>IF(T96="","",I96*T96)</x:f>
        <x:v>16176748.93147399</x:v>
      </x:c>
    </x:row>
    <x:row r="97" ht="18" customHeight="1">
      <x:c r="A97" s="46" t="str">
        <x:v>LME_049</x:v>
      </x:c>
      <x:c r="B97" s="46" t="str">
        <x:v>Kuroshio Current</x:v>
      </x:c>
      <x:c r="C97" s="46" t="str">
        <x:v>LME</x:v>
      </x:c>
      <x:c r="D97" s="58" t="n">
        <x:v>2019</x:v>
      </x:c>
      <x:c r="E97" s="46" t="str">
        <x:v>Scorpaeniformes</x:v>
      </x:c>
      <x:c r="F97" s="46" t="str">
        <x:v>Scorpionfishes, flatheads</x:v>
      </x:c>
      <x:c r="G97" s="46" t="str">
        <x:v>Medium demersals (30 - 89 cm)</x:v>
      </x:c>
      <x:c r="H97" s="46" t="str">
        <x:v>Scorpionfishes</x:v>
      </x:c>
      <x:c r="I97" s="60" t="n">
        <x:v>749.1487131411</x:v>
      </x:c>
      <x:c r="J97" s="60" t="n">
        <x:v>749.1487131411</x:v>
      </x:c>
      <x:c r="K97" s="60" t="n">
        <x:v>0</x:v>
      </x:c>
      <x:c r="L97" s="60" t="n">
        <x:v>0</x:v>
      </x:c>
      <x:c r="M97" s="60" t="n">
        <x:v>749.1487131411</x:v>
      </x:c>
      <x:c r="N97" s="46" t="str">
        <x:v>scorpaeniformes</x:v>
      </x:c>
      <x:c r="O97" s="62" t="n">
        <x:v>3.78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Scorpaeniformes</x:v>
      </x:c>
      <x:c r="T97" s="62" t="n">
        <x:f>IF(O97="","",(1/'Metadata'!$B$5)^(O97-1))</x:f>
        <x:v>4138.694671981463</x:v>
      </x:c>
      <x:c r="U97" s="60" t="n">
        <x:f>IF(T97="","",I97*T97)</x:f>
        <x:v>3100497.78759884</x:v>
      </x:c>
    </x:row>
    <x:row r="98" ht="18" customHeight="1">
      <x:c r="A98" s="46" t="str">
        <x:v>LME_049</x:v>
      </x:c>
      <x:c r="B98" s="46" t="str">
        <x:v>Kuroshio Current</x:v>
      </x:c>
      <x:c r="C98" s="46" t="str">
        <x:v>LME</x:v>
      </x:c>
      <x:c r="D98" s="58" t="n">
        <x:v>2019</x:v>
      </x:c>
      <x:c r="E98" s="46" t="str">
        <x:v>Nemipteridae</x:v>
      </x:c>
      <x:c r="F98" s="46" t="str">
        <x:v>Threadfins, whiptail breams</x:v>
      </x:c>
      <x:c r="G98" s="46" t="str">
        <x:v>Small demersals (&lt;30 cm)</x:v>
      </x:c>
      <x:c r="H98" s="46" t="str">
        <x:v>Perch-likes</x:v>
      </x:c>
      <x:c r="I98" s="60" t="n">
        <x:v>738.2044806649</x:v>
      </x:c>
      <x:c r="J98" s="60" t="n">
        <x:v>738.2044806649</x:v>
      </x:c>
      <x:c r="K98" s="60" t="n">
        <x:v>0</x:v>
      </x:c>
      <x:c r="L98" s="60" t="n">
        <x:v>190.41097412</x:v>
      </x:c>
      <x:c r="M98" s="60" t="n">
        <x:v>547.7935065449</x:v>
      </x:c>
      <x:c r="N98" s="46" t="str">
        <x:v>nemipteridae</x:v>
      </x:c>
      <x:c r="O98" s="62" t="n">
        <x:v>3.51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Nemipteridae</x:v>
      </x:c>
      <x:c r="T98" s="62" t="n">
        <x:f>IF(O98="","",(1/'Metadata'!$B$5)^(O98-1))</x:f>
        <x:v>1843.2544417784343</x:v>
      </x:c>
      <x:c r="U98" s="60" t="n">
        <x:f>IF(T98="","",I98*T98)</x:f>
        <x:v>1360698.6879263192</x:v>
      </x:c>
    </x:row>
    <x:row r="99" ht="18" customHeight="1">
      <x:c r="A99" s="46" t="str">
        <x:v>LME_049</x:v>
      </x:c>
      <x:c r="B99" s="46" t="str">
        <x:v>Kuroshio Current</x:v>
      </x:c>
      <x:c r="C99" s="46" t="str">
        <x:v>LME</x:v>
      </x:c>
      <x:c r="D99" s="58" t="n">
        <x:v>2019</x:v>
      </x:c>
      <x:c r="E99" s="46" t="str">
        <x:v>Pleuronectiformes</x:v>
      </x:c>
      <x:c r="F99" s="46" t="str">
        <x:v>Flatfishes</x:v>
      </x:c>
      <x:c r="G99" s="46" t="str">
        <x:v>Small to medium flatfishes (&lt;90 cm)</x:v>
      </x:c>
      <x:c r="H99" s="46" t="str">
        <x:v>Flatfishes</x:v>
      </x:c>
      <x:c r="I99" s="60" t="n">
        <x:v>732.3115328011</x:v>
      </x:c>
      <x:c r="J99" s="60" t="n">
        <x:v>732.1844245085</x:v>
      </x:c>
      <x:c r="K99" s="60" t="n">
        <x:v>0.1271082926</x:v>
      </x:c>
      <x:c r="L99" s="60" t="n">
        <x:v>709.1181693648001</x:v>
      </x:c>
      <x:c r="M99" s="60" t="n">
        <x:v>23.1933634363</x:v>
      </x:c>
      <x:c r="N99" s="46" t="str">
        <x:v>pleuronectiformes</x:v>
      </x:c>
      <x:c r="O99" s="62" t="n">
        <x:v>3.57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Pleuronectiformes</x:v>
      </x:c>
      <x:c r="T99" s="62" t="n">
        <x:f>IF(O99="","",(1/'Metadata'!$B$5)^(O99-1))</x:f>
        <x:v>2206.2112196552644</x:v>
      </x:c>
      <x:c r="U99" s="60" t="n">
        <x:f>IF(T99="","",I99*T99)</x:f>
        <x:v>1615633.919948731</x:v>
      </x:c>
    </x:row>
    <x:row r="100" ht="18" customHeight="1">
      <x:c r="A100" s="46" t="str">
        <x:v>LME_049</x:v>
      </x:c>
      <x:c r="B100" s="46" t="str">
        <x:v>Kuroshio Current</x:v>
      </x:c>
      <x:c r="C100" s="46" t="str">
        <x:v>LME</x:v>
      </x:c>
      <x:c r="D100" s="58" t="n">
        <x:v>2019</x:v>
      </x:c>
      <x:c r="E100" s="46" t="str">
        <x:v>Anadara</x:v>
      </x:c>
      <x:c r="F100" s="46" t="str">
        <x:v>Arks, blood cockles</x:v>
      </x:c>
      <x:c r="G100" s="46" t="str">
        <x:v>Other demersal invertebrates</x:v>
      </x:c>
      <x:c r="H100" s="46" t="str">
        <x:v>Molluscs</x:v>
      </x:c>
      <x:c r="I100" s="60" t="n">
        <x:v>633.6074881028</x:v>
      </x:c>
      <x:c r="J100" s="60" t="n">
        <x:v>0</x:v>
      </x:c>
      <x:c r="K100" s="60" t="n">
        <x:v>633.6074881028</x:v>
      </x:c>
      <x:c r="L100" s="60" t="n">
        <x:v>0</x:v>
      </x:c>
      <x:c r="M100" s="60" t="n">
        <x:v>633.6074881028</x:v>
      </x:c>
      <x:c r="N100" s="46" t="str">
        <x:v>anadara</x:v>
      </x:c>
      <x:c r="O100" s="62" t="n">
        <x:v>2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Anadara</x:v>
      </x:c>
      <x:c r="T100" s="62" t="n">
        <x:f>IF(O100="","",(1/'Metadata'!$B$5)^(O100-1))</x:f>
        <x:v>20</x:v>
      </x:c>
      <x:c r="U100" s="60" t="n">
        <x:f>IF(T100="","",I100*T100)</x:f>
        <x:v>12672.149762055999</x:v>
      </x:c>
    </x:row>
    <x:row r="101" ht="18" customHeight="1">
      <x:c r="A101" s="46" t="str">
        <x:v>LME_049</x:v>
      </x:c>
      <x:c r="B101" s="46" t="str">
        <x:v>Kuroshio Current</x:v>
      </x:c>
      <x:c r="C101" s="46" t="str">
        <x:v>LME</x:v>
      </x:c>
      <x:c r="D101" s="58" t="n">
        <x:v>2019</x:v>
      </x:c>
      <x:c r="E101" s="46" t="str">
        <x:v>Salmonidae</x:v>
      </x:c>
      <x:c r="F101" s="46" t="str">
        <x:v>Salmonids</x:v>
      </x:c>
      <x:c r="G101" s="46" t="str">
        <x:v>Large benthopelagics (&gt;=90 cm)</x:v>
      </x:c>
      <x:c r="H101" s="46" t="str">
        <x:v>Salmon, smelts, etc</x:v>
      </x:c>
      <x:c r="I101" s="60" t="n">
        <x:v>627.9818551257</x:v>
      </x:c>
      <x:c r="J101" s="60" t="n">
        <x:v>0</x:v>
      </x:c>
      <x:c r="K101" s="60" t="n">
        <x:v>627.9818551257</x:v>
      </x:c>
      <x:c r="L101" s="60" t="n">
        <x:v>0</x:v>
      </x:c>
      <x:c r="M101" s="60" t="n">
        <x:v>627.9818551257</x:v>
      </x:c>
      <x:c r="N101" s="46" t="str">
        <x:v>salmonidae</x:v>
      </x:c>
      <x:c r="O101" s="62" t="n">
        <x:v>3.3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Salmonidae</x:v>
      </x:c>
      <x:c r="T101" s="62" t="n">
        <x:f>IF(O101="","",(1/'Metadata'!$B$5)^(O101-1))</x:f>
        <x:v>982.5824208926318</x:v>
      </x:c>
      <x:c r="U101" s="60" t="n">
        <x:f>IF(T101="","",I101*T101)</x:f>
        <x:v>617043.9314860563</x:v>
      </x:c>
    </x:row>
    <x:row r="102" ht="18" customHeight="1">
      <x:c r="A102" s="46" t="str">
        <x:v>LME_049</x:v>
      </x:c>
      <x:c r="B102" s="46" t="str">
        <x:v>Kuroshio Current</x:v>
      </x:c>
      <x:c r="C102" s="46" t="str">
        <x:v>LME</x:v>
      </x:c>
      <x:c r="D102" s="58" t="n">
        <x:v>2019</x:v>
      </x:c>
      <x:c r="E102" s="46" t="str">
        <x:v>Chionoecetes opilio</x:v>
      </x:c>
      <x:c r="F102" s="46" t="str">
        <x:v>Snow crab</x:v>
      </x:c>
      <x:c r="G102" s="46" t="str">
        <x:v>Lobsters, crabs</x:v>
      </x:c>
      <x:c r="H102" s="46" t="str">
        <x:v>Crustaceans</x:v>
      </x:c>
      <x:c r="I102" s="60" t="n">
        <x:v>598.9537389669</x:v>
      </x:c>
      <x:c r="J102" s="60" t="n">
        <x:v>588.0484218123</x:v>
      </x:c>
      <x:c r="K102" s="60" t="n">
        <x:v>10.9053171546</x:v>
      </x:c>
      <x:c r="L102" s="60" t="n">
        <x:v>588.0484218123</x:v>
      </x:c>
      <x:c r="M102" s="60" t="n">
        <x:v>10.9053171546</x:v>
      </x:c>
      <x:c r="N102" s="46" t="str">
        <x:v>chionoecetes opilio</x:v>
      </x:c>
      <x:c r="O102" s="62" t="n">
        <x:v>3.54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Chionoecetes opilio</x:v>
      </x:c>
      <x:c r="T102" s="62" t="n">
        <x:f>IF(O102="","",(1/'Metadata'!$B$5)^(O102-1))</x:f>
        <x:v>2016.5834052007342</x:v>
      </x:c>
      <x:c r="U102" s="60" t="n">
        <x:f>IF(T102="","",I102*T102)</x:f>
        <x:v>1207840.170483583</x:v>
      </x:c>
    </x:row>
    <x:row r="103" ht="18" customHeight="1">
      <x:c r="A103" s="46" t="str">
        <x:v>LME_049</x:v>
      </x:c>
      <x:c r="B103" s="46" t="str">
        <x:v>Kuroshio Current</x:v>
      </x:c>
      <x:c r="C103" s="46" t="str">
        <x:v>LME</x:v>
      </x:c>
      <x:c r="D103" s="58" t="n">
        <x:v>2019</x:v>
      </x:c>
      <x:c r="E103" s="46" t="str">
        <x:v>Beryx</x:v>
      </x:c>
      <x:c r="F103" s="46" t="str">
        <x:v>Alfonsinos</x:v>
      </x:c>
      <x:c r="G103" s="46" t="str">
        <x:v>Medium benthopelagics (30 - 89 cm)</x:v>
      </x:c>
      <x:c r="H103" s="46" t="str">
        <x:v>Other fishes &amp; inverts</x:v>
      </x:c>
      <x:c r="I103" s="60" t="n">
        <x:v>573.493996074</x:v>
      </x:c>
      <x:c r="J103" s="60" t="n">
        <x:v>573.493996074</x:v>
      </x:c>
      <x:c r="K103" s="60" t="n">
        <x:v>0</x:v>
      </x:c>
      <x:c r="L103" s="60" t="n">
        <x:v>573.493996074</x:v>
      </x:c>
      <x:c r="M103" s="60" t="n">
        <x:v>0</x:v>
      </x:c>
      <x:c r="N103" s="46" t="str">
        <x:v>beryx</x:v>
      </x:c>
      <x:c r="O103" s="62" t="n">
        <x:v>3.97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Beryx</x:v>
      </x:c>
      <x:c r="T103" s="62" t="n">
        <x:f>IF(O103="","",(1/'Metadata'!$B$5)^(O103-1))</x:f>
        <x:v>7312.385640086951</x:v>
      </x:c>
      <x:c r="U103" s="60" t="n">
        <x:f>IF(T103="","",I103*T103)</x:f>
        <x:v>4193609.2615676</x:v>
      </x:c>
    </x:row>
    <x:row r="104" ht="18" customHeight="1">
      <x:c r="A104" s="46" t="str">
        <x:v>LME_049</x:v>
      </x:c>
      <x:c r="B104" s="46" t="str">
        <x:v>Kuroshio Current</x:v>
      </x:c>
      <x:c r="C104" s="46" t="str">
        <x:v>LME</x:v>
      </x:c>
      <x:c r="D104" s="58" t="n">
        <x:v>2019</x:v>
      </x:c>
      <x:c r="E104" s="46" t="str">
        <x:v>Stephanolepis cirrhifer</x:v>
      </x:c>
      <x:c r="F104" s="46" t="str">
        <x:v>Threadsail filefish</x:v>
      </x:c>
      <x:c r="G104" s="46" t="str">
        <x:v>Small demersals (&lt;30 cm)</x:v>
      </x:c>
      <x:c r="H104" s="46" t="str">
        <x:v>Other fishes &amp; inverts</x:v>
      </x:c>
      <x:c r="I104" s="60" t="n">
        <x:v>554.5932110433</x:v>
      </x:c>
      <x:c r="J104" s="60" t="n">
        <x:v>554.4189939132</x:v>
      </x:c>
      <x:c r="K104" s="60" t="n">
        <x:v>0.1742171301</x:v>
      </x:c>
      <x:c r="L104" s="60" t="n">
        <x:v>12.6774519748</x:v>
      </x:c>
      <x:c r="M104" s="60" t="n">
        <x:v>541.9157590685</x:v>
      </x:c>
      <x:c r="N104" s="46" t="str">
        <x:v>stephanolepis cirrhifer</x:v>
      </x:c>
      <x:c r="O104" s="62" t="n">
        <x:v>2.84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Stephanolepis cirrhifer</x:v>
      </x:c>
      <x:c r="T104" s="62" t="n">
        <x:f>IF(O104="","",(1/'Metadata'!$B$5)^(O104-1))</x:f>
        <x:v>247.68242552675557</x:v>
      </x:c>
      <x:c r="U104" s="60" t="n">
        <x:f>IF(T104="","",I104*T104)</x:f>
        <x:v>137362.99169187638</x:v>
      </x:c>
    </x:row>
    <x:row r="105" ht="18" customHeight="1">
      <x:c r="A105" s="46" t="str">
        <x:v>LME_049</x:v>
      </x:c>
      <x:c r="B105" s="46" t="str">
        <x:v>Kuroshio Current</x:v>
      </x:c>
      <x:c r="C105" s="46" t="str">
        <x:v>LME</x:v>
      </x:c>
      <x:c r="D105" s="58" t="n">
        <x:v>2019</x:v>
      </x:c>
      <x:c r="E105" s="46" t="str">
        <x:v>Mactridae</x:v>
      </x:c>
      <x:c r="F105" s="46" t="str">
        <x:v>Mactra surf clams</x:v>
      </x:c>
      <x:c r="G105" s="46" t="str">
        <x:v>Other demersal invertebrates</x:v>
      </x:c>
      <x:c r="H105" s="46" t="str">
        <x:v>Molluscs</x:v>
      </x:c>
      <x:c r="I105" s="60" t="n">
        <x:v>535.7494260666</x:v>
      </x:c>
      <x:c r="J105" s="60" t="n">
        <x:v>0</x:v>
      </x:c>
      <x:c r="K105" s="60" t="n">
        <x:v>535.7494260666</x:v>
      </x:c>
      <x:c r="L105" s="60" t="n">
        <x:v>0</x:v>
      </x:c>
      <x:c r="M105" s="60" t="n">
        <x:v>535.7494260666</x:v>
      </x:c>
      <x:c r="N105" s="46" t="str">
        <x:v>mactridae</x:v>
      </x:c>
      <x:c r="O105" s="62" t="n">
        <x:v>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Mactridae</x:v>
      </x:c>
      <x:c r="T105" s="62" t="n">
        <x:f>IF(O105="","",(1/'Metadata'!$B$5)^(O105-1))</x:f>
        <x:v>20</x:v>
      </x:c>
      <x:c r="U105" s="60" t="n">
        <x:f>IF(T105="","",I105*T105)</x:f>
        <x:v>10714.988521332</x:v>
      </x:c>
    </x:row>
    <x:row r="106" ht="18" customHeight="1">
      <x:c r="A106" s="46" t="str">
        <x:v>LME_049</x:v>
      </x:c>
      <x:c r="B106" s="46" t="str">
        <x:v>Kuroshio Current</x:v>
      </x:c>
      <x:c r="C106" s="46" t="str">
        <x:v>LME</x:v>
      </x:c>
      <x:c r="D106" s="58" t="n">
        <x:v>2019</x:v>
      </x:c>
      <x:c r="E106" s="46" t="str">
        <x:v>Holothuroidea</x:v>
      </x:c>
      <x:c r="F106" s="46" t="str">
        <x:v>Sea cucumbers</x:v>
      </x:c>
      <x:c r="G106" s="46" t="str">
        <x:v>Other demersal invertebrates</x:v>
      </x:c>
      <x:c r="H106" s="46" t="str">
        <x:v>Other fishes &amp; inverts</x:v>
      </x:c>
      <x:c r="I106" s="60" t="n">
        <x:v>527.7184175891</x:v>
      </x:c>
      <x:c r="J106" s="60" t="n">
        <x:v>0</x:v>
      </x:c>
      <x:c r="K106" s="60" t="n">
        <x:v>527.7184175891</x:v>
      </x:c>
      <x:c r="L106" s="60" t="n">
        <x:v>0</x:v>
      </x:c>
      <x:c r="M106" s="60" t="n">
        <x:v>527.7184175891</x:v>
      </x:c>
      <x:c r="N106" s="46" t="str">
        <x:v>holothuroidea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Holothuroidea</x:v>
      </x:c>
      <x:c r="T106" s="62" t="n">
        <x:f>IF(O106="","",(1/'Metadata'!$B$5)^(O106-1))</x:f>
        <x:v>20</x:v>
      </x:c>
      <x:c r="U106" s="60" t="n">
        <x:f>IF(T106="","",I106*T106)</x:f>
        <x:v>10554.368351781999</x:v>
      </x:c>
    </x:row>
    <x:row r="107" ht="18" customHeight="1">
      <x:c r="A107" s="46" t="str">
        <x:v>LME_049</x:v>
      </x:c>
      <x:c r="B107" s="46" t="str">
        <x:v>Kuroshio Current</x:v>
      </x:c>
      <x:c r="C107" s="46" t="str">
        <x:v>LME</x:v>
      </x:c>
      <x:c r="D107" s="58" t="n">
        <x:v>2019</x:v>
      </x:c>
      <x:c r="E107" s="46" t="str">
        <x:v>Sepiidae</x:v>
      </x:c>
      <x:c r="F107" s="46" t="str">
        <x:v>Cuttlefishes</x:v>
      </x:c>
      <x:c r="G107" s="46" t="str">
        <x:v>Cephalopods</x:v>
      </x:c>
      <x:c r="H107" s="46" t="str">
        <x:v>Other fishes &amp; inverts</x:v>
      </x:c>
      <x:c r="I107" s="60" t="n">
        <x:v>517.3495057567</x:v>
      </x:c>
      <x:c r="J107" s="60" t="n">
        <x:v>31.3185469243</x:v>
      </x:c>
      <x:c r="K107" s="60" t="n">
        <x:v>486.03095883239996</x:v>
      </x:c>
      <x:c r="L107" s="60" t="n">
        <x:v>23.214114756100003</x:v>
      </x:c>
      <x:c r="M107" s="60" t="n">
        <x:v>494.1353910006</x:v>
      </x:c>
      <x:c r="N107" s="46" t="str">
        <x:v>sepiidae</x:v>
      </x:c>
      <x:c r="O107" s="62" t="n">
        <x:v>3.6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Sepiidae</x:v>
      </x:c>
      <x:c r="T107" s="62" t="n">
        <x:f>IF(O107="","",(1/'Metadata'!$B$5)^(O107-1))</x:f>
        <x:v>2413.670534618066</x:v>
      </x:c>
      <x:c r="U107" s="60" t="n">
        <x:f>IF(T107="","",I107*T107)</x:f>
        <x:v>1248711.2581441663</x:v>
      </x:c>
    </x:row>
    <x:row r="108" ht="18" customHeight="1">
      <x:c r="A108" s="46" t="str">
        <x:v>LME_049</x:v>
      </x:c>
      <x:c r="B108" s="46" t="str">
        <x:v>Kuroshio Current</x:v>
      </x:c>
      <x:c r="C108" s="46" t="str">
        <x:v>LME</x:v>
      </x:c>
      <x:c r="D108" s="58" t="n">
        <x:v>2019</x:v>
      </x:c>
      <x:c r="E108" s="46" t="str">
        <x:v>Charybdis</x:v>
      </x:c>
      <x:c r="F108" s="46" t="str">
        <x:v>Whirlpool swimming crabs</x:v>
      </x:c>
      <x:c r="G108" s="46" t="str">
        <x:v>Lobsters, crabs</x:v>
      </x:c>
      <x:c r="H108" s="46" t="str">
        <x:v>Crustaceans</x:v>
      </x:c>
      <x:c r="I108" s="60" t="n">
        <x:v>495.81970937759996</x:v>
      </x:c>
      <x:c r="J108" s="60" t="n">
        <x:v>494.9876924008</x:v>
      </x:c>
      <x:c r="K108" s="60" t="n">
        <x:v>0.8320169768</x:v>
      </x:c>
      <x:c r="L108" s="60" t="n">
        <x:v>494.8226751223</x:v>
      </x:c>
      <x:c r="M108" s="60" t="n">
        <x:v>0.9970342553</x:v>
      </x:c>
      <x:c r="N108" s="46" t="str">
        <x:v>charybdis</x:v>
      </x:c>
      <x:c r="O108" s="62" t="n">
        <x:v>2.7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Charybdis</x:v>
      </x:c>
      <x:c r="T108" s="62" t="n">
        <x:f>IF(O108="","",(1/'Metadata'!$B$5)^(O108-1))</x:f>
        <x:v>162.83621261476185</x:v>
      </x:c>
      <x:c r="U108" s="60" t="n">
        <x:f>IF(T108="","",I108*T108)</x:f>
        <x:v>80737.40361480029</x:v>
      </x:c>
    </x:row>
    <x:row r="109" ht="18" customHeight="1">
      <x:c r="A109" s="46" t="str">
        <x:v>LME_049</x:v>
      </x:c>
      <x:c r="B109" s="46" t="str">
        <x:v>Kuroshio Current</x:v>
      </x:c>
      <x:c r="C109" s="46" t="str">
        <x:v>LME</x:v>
      </x:c>
      <x:c r="D109" s="58" t="n">
        <x:v>2019</x:v>
      </x:c>
      <x:c r="E109" s="46" t="str">
        <x:v>Bathylagidae</x:v>
      </x:c>
      <x:c r="F109" s="46" t="str">
        <x:v>Deepsea smelts</x:v>
      </x:c>
      <x:c r="G109" s="46" t="str">
        <x:v>Small bathypelagics (&lt;30 cm)</x:v>
      </x:c>
      <x:c r="H109" s="46" t="str">
        <x:v>Salmon, smelts, etc</x:v>
      </x:c>
      <x:c r="I109" s="60" t="n">
        <x:v>406.6967747967</x:v>
      </x:c>
      <x:c r="J109" s="60" t="n">
        <x:v>396.7982602321</x:v>
      </x:c>
      <x:c r="K109" s="60" t="n">
        <x:v>9.898514564600001</x:v>
      </x:c>
      <x:c r="L109" s="60" t="n">
        <x:v>396.7982602321</x:v>
      </x:c>
      <x:c r="M109" s="60" t="n">
        <x:v>9.898514564600001</x:v>
      </x:c>
      <x:c r="N109" s="46" t="str">
        <x:v>bathylagidae</x:v>
      </x:c>
      <x:c r="O109" s="62" t="n">
        <x:v>3.1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Bathylagidae</x:v>
      </x:c>
      <x:c r="T109" s="62" t="n">
        <x:f>IF(O109="","",(1/'Metadata'!$B$5)^(O109-1))</x:f>
        <x:v>539.7131390694254</x:v>
      </x:c>
      <x:c r="U109" s="60" t="n">
        <x:f>IF(T109="","",I109*T109)</x:f>
        <x:v>219499.59297493816</x:v>
      </x:c>
    </x:row>
    <x:row r="110" ht="18" customHeight="1">
      <x:c r="A110" s="46" t="str">
        <x:v>LME_049</x:v>
      </x:c>
      <x:c r="B110" s="46" t="str">
        <x:v>Kuroshio Current</x:v>
      </x:c>
      <x:c r="C110" s="46" t="str">
        <x:v>LME</x:v>
      </x:c>
      <x:c r="D110" s="58" t="n">
        <x:v>2019</x:v>
      </x:c>
      <x:c r="E110" s="46" t="str">
        <x:v>Gadidae</x:v>
      </x:c>
      <x:c r="F110" s="46" t="str">
        <x:v>Cods, haddocks</x:v>
      </x:c>
      <x:c r="G110" s="46" t="str">
        <x:v>Medium demersals (30 - 89 cm)</x:v>
      </x:c>
      <x:c r="H110" s="46" t="str">
        <x:v>Cod-likes</x:v>
      </x:c>
      <x:c r="I110" s="60" t="n">
        <x:v>395.3375128723</x:v>
      </x:c>
      <x:c r="J110" s="60" t="n">
        <x:v>395.3375128723</x:v>
      </x:c>
      <x:c r="K110" s="60" t="n">
        <x:v>0</x:v>
      </x:c>
      <x:c r="L110" s="60" t="n">
        <x:v>0</x:v>
      </x:c>
      <x:c r="M110" s="60" t="n">
        <x:v>395.3375128723</x:v>
      </x:c>
      <x:c r="N110" s="46" t="str">
        <x:v>gadidae</x:v>
      </x:c>
      <x:c r="O110" s="62" t="n">
        <x:v>3.84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Gadidae</x:v>
      </x:c>
      <x:c r="T110" s="62" t="n">
        <x:f>IF(O110="","",(1/'Metadata'!$B$5)^(O110-1))</x:f>
        <x:v>4953.648510535111</x:v>
      </x:c>
      <x:c r="U110" s="60" t="n">
        <x:f>IF(T110="","",I110*T110)</x:f>
        <x:v>1958363.0817985244</x:v>
      </x:c>
    </x:row>
    <x:row r="111" ht="18" customHeight="1">
      <x:c r="A111" s="46" t="str">
        <x:v>LME_049</x:v>
      </x:c>
      <x:c r="B111" s="46" t="str">
        <x:v>Kuroshio Current</x:v>
      </x:c>
      <x:c r="C111" s="46" t="str">
        <x:v>LME</x:v>
      </x:c>
      <x:c r="D111" s="58" t="n">
        <x:v>2019</x:v>
      </x:c>
      <x:c r="E111" s="46" t="str">
        <x:v>Miscellaneous aquatic invertebrates</x:v>
      </x:c>
      <x:c r="F111" s="46" t="str">
        <x:v>Aquatic invertebrates</x:v>
      </x:c>
      <x:c r="G111" s="46" t="str">
        <x:v>Other demersal invertebrates</x:v>
      </x:c>
      <x:c r="H111" s="46" t="str">
        <x:v>Other fishes &amp; inverts</x:v>
      </x:c>
      <x:c r="I111" s="60" t="n">
        <x:v>352.2301636062</x:v>
      </x:c>
      <x:c r="J111" s="60" t="n">
        <x:v>352.2301401759</x:v>
      </x:c>
      <x:c r="K111" s="60" t="n">
        <x:v>0.000023430299999999998</x:v>
      </x:c>
      <x:c r="L111" s="60" t="n">
        <x:v>352.2022096773</x:v>
      </x:c>
      <x:c r="M111" s="60" t="n">
        <x:v>0.0279539289</x:v>
      </x:c>
      <x:c r="N111" s="46" t="str">
        <x:v>miscellaneous aquatic invertebrates</x:v>
      </x:c>
      <x:c r="O111" s="62" t="n">
        <x:v>2.43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Miscellaneous aquatic invertebrates</x:v>
      </x:c>
      <x:c r="T111" s="62" t="n">
        <x:f>IF(O111="","",(1/'Metadata'!$B$5)^(O111-1))</x:f>
        <x:v>72.52252122305909</x:v>
      </x:c>
      <x:c r="U111" s="60" t="n">
        <x:f>IF(T111="","",I111*T111)</x:f>
        <x:v>25544.619515532213</x:v>
      </x:c>
    </x:row>
    <x:row r="112" ht="18" customHeight="1">
      <x:c r="A112" s="46" t="str">
        <x:v>LME_049</x:v>
      </x:c>
      <x:c r="B112" s="46" t="str">
        <x:v>Kuroshio Current</x:v>
      </x:c>
      <x:c r="C112" s="46" t="str">
        <x:v>LME</x:v>
      </x:c>
      <x:c r="D112" s="58" t="n">
        <x:v>2019</x:v>
      </x:c>
      <x:c r="E112" s="46" t="str">
        <x:v>Kajikia audax</x:v>
      </x:c>
      <x:c r="F112" s="46" t="str">
        <x:v>Striped marlin</x:v>
      </x:c>
      <x:c r="G112" s="46" t="str">
        <x:v>Large pelagics (&gt;=90 cm)</x:v>
      </x:c>
      <x:c r="H112" s="46" t="str">
        <x:v>Tuna &amp; billfishes</x:v>
      </x:c>
      <x:c r="I112" s="60" t="n">
        <x:v>345.1362755567</x:v>
      </x:c>
      <x:c r="J112" s="60" t="n">
        <x:v>345.1107448065</x:v>
      </x:c>
      <x:c r="K112" s="60" t="n">
        <x:v>0.0255307502</x:v>
      </x:c>
      <x:c r="L112" s="60" t="n">
        <x:v>345.1107448065</x:v>
      </x:c>
      <x:c r="M112" s="60" t="n">
        <x:v>0.0255307502</x:v>
      </x:c>
      <x:c r="N112" s="46" t="str">
        <x:v>kajikia audax</x:v>
      </x:c>
      <x:c r="O112" s="62" t="n">
        <x:v>4.58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Kajikia audax</x:v>
      </x:c>
      <x:c r="T112" s="62" t="n">
        <x:f>IF(O112="","",(1/'Metadata'!$B$5)^(O112-1))</x:f>
        <x:v>45466.06667430095</x:v>
      </x:c>
      <x:c r="U112" s="60" t="n">
        <x:f>IF(T112="","",I112*T112)</x:f>
        <x:v>15691988.916180829</x:v>
      </x:c>
    </x:row>
    <x:row r="113" ht="18" customHeight="1">
      <x:c r="A113" s="46" t="str">
        <x:v>LME_049</x:v>
      </x:c>
      <x:c r="B113" s="46" t="str">
        <x:v>Kuroshio Current</x:v>
      </x:c>
      <x:c r="C113" s="46" t="str">
        <x:v>LME</x:v>
      </x:c>
      <x:c r="D113" s="58" t="n">
        <x:v>2019</x:v>
      </x:c>
      <x:c r="E113" s="46" t="str">
        <x:v>Clupanodon thrissa</x:v>
      </x:c>
      <x:c r="F113" s="46" t="str">
        <x:v>Chinese gizzard shad</x:v>
      </x:c>
      <x:c r="G113" s="46" t="str">
        <x:v>Small pelagics (&lt;30 cm)</x:v>
      </x:c>
      <x:c r="H113" s="46" t="str">
        <x:v>Herring-likes</x:v>
      </x:c>
      <x:c r="I113" s="60" t="n">
        <x:v>337.0755042698</x:v>
      </x:c>
      <x:c r="J113" s="60" t="n">
        <x:v>335.3896756644</x:v>
      </x:c>
      <x:c r="K113" s="60" t="n">
        <x:v>1.6858286054</x:v>
      </x:c>
      <x:c r="L113" s="60" t="n">
        <x:v>335.1638315849</x:v>
      </x:c>
      <x:c r="M113" s="60" t="n">
        <x:v>1.9116726849</x:v>
      </x:c>
      <x:c r="N113" s="46" t="str">
        <x:v>clupanodon thrissa</x:v>
      </x:c>
      <x:c r="O113" s="62" t="n">
        <x:v>3.01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Clupanodon thrissa</x:v>
      </x:c>
      <x:c r="T113" s="62" t="n">
        <x:f>IF(O113="","",(1/'Metadata'!$B$5)^(O113-1))</x:f>
        <x:v>412.16422316450075</x:v>
      </x:c>
      <x:c r="U113" s="60" t="n">
        <x:f>IF(T113="","",I113*T113)</x:f>
        <x:v>138930.46336514447</x:v>
      </x:c>
    </x:row>
    <x:row r="114" ht="18" customHeight="1">
      <x:c r="A114" s="46" t="str">
        <x:v>LME_049</x:v>
      </x:c>
      <x:c r="B114" s="46" t="str">
        <x:v>Kuroshio Current</x:v>
      </x:c>
      <x:c r="C114" s="46" t="str">
        <x:v>LME</x:v>
      </x:c>
      <x:c r="D114" s="58" t="n">
        <x:v>2019</x:v>
      </x:c>
      <x:c r="E114" s="46" t="str">
        <x:v>Sillaginidae</x:v>
      </x:c>
      <x:c r="F114" s="46" t="str">
        <x:v>Smelt-whitings</x:v>
      </x:c>
      <x:c r="G114" s="46" t="str">
        <x:v>Medium demersals (30 - 89 cm)</x:v>
      </x:c>
      <x:c r="H114" s="46" t="str">
        <x:v>Perch-likes</x:v>
      </x:c>
      <x:c r="I114" s="60" t="n">
        <x:v>331.2210079871</x:v>
      </x:c>
      <x:c r="J114" s="60" t="n">
        <x:v>331.2210079871</x:v>
      </x:c>
      <x:c r="K114" s="60" t="n">
        <x:v>0</x:v>
      </x:c>
      <x:c r="L114" s="60" t="n">
        <x:v>112.38792741409999</x:v>
      </x:c>
      <x:c r="M114" s="60" t="n">
        <x:v>218.83308057300002</x:v>
      </x:c>
      <x:c r="N114" s="46" t="str">
        <x:v>sillaginidae</x:v>
      </x:c>
      <x:c r="O114" s="62" t="n">
        <x:v>3.25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Sillaginidae</x:v>
      </x:c>
      <x:c r="T114" s="62" t="n">
        <x:f>IF(O114="","",(1/'Metadata'!$B$5)^(O114-1))</x:f>
        <x:v>845.8970107524513</x:v>
      </x:c>
      <x:c r="U114" s="60" t="n">
        <x:f>IF(T114="","",I114*T114)</x:f>
        <x:v>280178.86055470165</x:v>
      </x:c>
    </x:row>
    <x:row r="115" ht="18" customHeight="1">
      <x:c r="A115" s="46" t="str">
        <x:v>LME_049</x:v>
      </x:c>
      <x:c r="B115" s="46" t="str">
        <x:v>Kuroshio Current</x:v>
      </x:c>
      <x:c r="C115" s="46" t="str">
        <x:v>LME</x:v>
      </x:c>
      <x:c r="D115" s="58" t="n">
        <x:v>2019</x:v>
      </x:c>
      <x:c r="E115" s="46" t="str">
        <x:v>Haliotidae</x:v>
      </x:c>
      <x:c r="F115" s="46" t="str">
        <x:v>Abalones, ear shells</x:v>
      </x:c>
      <x:c r="G115" s="46" t="str">
        <x:v>Other demersal invertebrates</x:v>
      </x:c>
      <x:c r="H115" s="46" t="str">
        <x:v>Molluscs</x:v>
      </x:c>
      <x:c r="I115" s="60" t="n">
        <x:v>326.90624518370004</x:v>
      </x:c>
      <x:c r="J115" s="60" t="n">
        <x:v>326.9049187899</x:v>
      </x:c>
      <x:c r="K115" s="60" t="n">
        <x:v>0.0013263938</x:v>
      </x:c>
      <x:c r="L115" s="60" t="n">
        <x:v>326.9049187899</x:v>
      </x:c>
      <x:c r="M115" s="60" t="n">
        <x:v>0.0013263938</x:v>
      </x:c>
      <x:c r="N115" s="46" t="str">
        <x:v>haliotidae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Haliotidae</x:v>
      </x:c>
      <x:c r="T115" s="62" t="n">
        <x:f>IF(O115="","",(1/'Metadata'!$B$5)^(O115-1))</x:f>
        <x:v>20</x:v>
      </x:c>
      <x:c r="U115" s="60" t="n">
        <x:f>IF(T115="","",I115*T115)</x:f>
        <x:v>6538.124903674001</x:v>
      </x:c>
    </x:row>
    <x:row r="116" ht="18" customHeight="1">
      <x:c r="A116" s="46" t="str">
        <x:v>LME_049</x:v>
      </x:c>
      <x:c r="B116" s="46" t="str">
        <x:v>Kuroshio Current</x:v>
      </x:c>
      <x:c r="C116" s="46" t="str">
        <x:v>LME</x:v>
      </x:c>
      <x:c r="D116" s="58" t="n">
        <x:v>2019</x:v>
      </x:c>
      <x:c r="E116" s="46" t="str">
        <x:v>Hexagrammidae</x:v>
      </x:c>
      <x:c r="F116" s="46" t="str">
        <x:v>Greenlings</x:v>
      </x:c>
      <x:c r="G116" s="46" t="str">
        <x:v>Medium demersals (30 - 89 cm)</x:v>
      </x:c>
      <x:c r="H116" s="46" t="str">
        <x:v>Scorpionfishes</x:v>
      </x:c>
      <x:c r="I116" s="60" t="n">
        <x:v>323.89661514</x:v>
      </x:c>
      <x:c r="J116" s="60" t="n">
        <x:v>323.89661514</x:v>
      </x:c>
      <x:c r="K116" s="60" t="n">
        <x:v>0</x:v>
      </x:c>
      <x:c r="L116" s="60" t="n">
        <x:v>0</x:v>
      </x:c>
      <x:c r="M116" s="60" t="n">
        <x:v>323.89661514</x:v>
      </x:c>
      <x:c r="N116" s="46" t="str">
        <x:v>hexagrammidae</x:v>
      </x:c>
      <x:c r="O116" s="62" t="n">
        <x:v>3.72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Hexagrammidae</x:v>
      </x:c>
      <x:c r="T116" s="62" t="n">
        <x:f>IF(O116="","",(1/'Metadata'!$B$5)^(O116-1))</x:f>
        <x:v>3457.8136804537753</x:v>
      </x:c>
      <x:c r="U116" s="60" t="n">
        <x:f>IF(T116="","",I116*T116)</x:f>
        <x:v>1119974.1468837634</x:v>
      </x:c>
    </x:row>
    <x:row r="117" ht="18" customHeight="1">
      <x:c r="A117" s="46" t="str">
        <x:v>LME_049</x:v>
      </x:c>
      <x:c r="B117" s="46" t="str">
        <x:v>Kuroshio Current</x:v>
      </x:c>
      <x:c r="C117" s="46" t="str">
        <x:v>LME</x:v>
      </x:c>
      <x:c r="D117" s="58" t="n">
        <x:v>2019</x:v>
      </x:c>
      <x:c r="E117" s="46" t="str">
        <x:v>Clupeiformes</x:v>
      </x:c>
      <x:c r="F117" s="46" t="str">
        <x:v>Herrings, shads, anchovies</x:v>
      </x:c>
      <x:c r="G117" s="46" t="str">
        <x:v>Small pelagics (&lt;30 cm)</x:v>
      </x:c>
      <x:c r="H117" s="46" t="str">
        <x:v>Other fishes &amp; inverts</x:v>
      </x:c>
      <x:c r="I117" s="60" t="n">
        <x:v>282.6279761669</x:v>
      </x:c>
      <x:c r="J117" s="60" t="n">
        <x:v>282.6279761669</x:v>
      </x:c>
      <x:c r="K117" s="60" t="n">
        <x:v>0</x:v>
      </x:c>
      <x:c r="L117" s="60" t="n">
        <x:v>84.81945851159999</x:v>
      </x:c>
      <x:c r="M117" s="60" t="n">
        <x:v>197.80851765530002</x:v>
      </x:c>
      <x:c r="N117" s="46" t="str">
        <x:v>clupeiformes</x:v>
      </x:c>
      <x:c r="O117" s="62" t="n">
        <x:v>3.24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Clupeiformes</x:v>
      </x:c>
      <x:c r="T117" s="62" t="n">
        <x:f>IF(O117="","",(1/'Metadata'!$B$5)^(O117-1))</x:f>
        <x:v>820.9320103116679</x:v>
      </x:c>
      <x:c r="U117" s="60" t="n">
        <x:f>IF(T117="","",I117*T117)</x:f>
        <x:v>232018.3526450114</x:v>
      </x:c>
    </x:row>
    <x:row r="118" ht="18" customHeight="1">
      <x:c r="A118" s="46" t="str">
        <x:v>LME_049</x:v>
      </x:c>
      <x:c r="B118" s="46" t="str">
        <x:v>Kuroshio Current</x:v>
      </x:c>
      <x:c r="C118" s="46" t="str">
        <x:v>LME</x:v>
      </x:c>
      <x:c r="D118" s="58" t="n">
        <x:v>2019</x:v>
      </x:c>
      <x:c r="E118" s="46" t="str">
        <x:v>Isurus</x:v>
      </x:c>
      <x:c r="F118" s="46" t="str">
        <x:v>Mako sharks</x:v>
      </x:c>
      <x:c r="G118" s="46" t="str">
        <x:v>Large sharks (&gt;=90 cm)</x:v>
      </x:c>
      <x:c r="H118" s="46" t="str">
        <x:v>Sharks &amp; rays</x:v>
      </x:c>
      <x:c r="I118" s="60" t="n">
        <x:v>278.1963256129</x:v>
      </x:c>
      <x:c r="J118" s="60" t="n">
        <x:v>143.5071030392</x:v>
      </x:c>
      <x:c r="K118" s="60" t="n">
        <x:v>134.6892225737</x:v>
      </x:c>
      <x:c r="L118" s="60" t="n">
        <x:v>39.6395275576</x:v>
      </x:c>
      <x:c r="M118" s="60" t="n">
        <x:v>238.5567980553</x:v>
      </x:c>
      <x:c r="N118" s="46" t="str">
        <x:v>isurus</x:v>
      </x:c>
      <x:c r="O118" s="62" t="n">
        <x:v>4.5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Isurus</x:v>
      </x:c>
      <x:c r="T118" s="62" t="n">
        <x:f>IF(O118="","",(1/'Metadata'!$B$5)^(O118-1))</x:f>
        <x:v>35777.08763999664</x:v>
      </x:c>
      <x:c r="U118" s="60" t="n">
        <x:f>IF(T118="","",I118*T118)</x:f>
        <x:v>9953054.322577765</x:v>
      </x:c>
    </x:row>
    <x:row r="119" ht="18" customHeight="1">
      <x:c r="A119" s="46" t="str">
        <x:v>LME_049</x:v>
      </x:c>
      <x:c r="B119" s="46" t="str">
        <x:v>Kuroshio Current</x:v>
      </x:c>
      <x:c r="C119" s="46" t="str">
        <x:v>LME</x:v>
      </x:c>
      <x:c r="D119" s="58" t="n">
        <x:v>2019</x:v>
      </x:c>
      <x:c r="E119" s="46" t="str">
        <x:v>Carangidae</x:v>
      </x:c>
      <x:c r="F119" s="46" t="str">
        <x:v>Jacks, pompanos</x:v>
      </x:c>
      <x:c r="G119" s="46" t="str">
        <x:v>Medium pelagics (30 - 89 cm)</x:v>
      </x:c>
      <x:c r="H119" s="46" t="str">
        <x:v>Perch-likes</x:v>
      </x:c>
      <x:c r="I119" s="60" t="n">
        <x:v>276.5268952656</x:v>
      </x:c>
      <x:c r="J119" s="60" t="n">
        <x:v>276.4446020541</x:v>
      </x:c>
      <x:c r="K119" s="60" t="n">
        <x:v>0.08229321149999999</x:v>
      </x:c>
      <x:c r="L119" s="60" t="n">
        <x:v>76.04407627420001</x:v>
      </x:c>
      <x:c r="M119" s="60" t="n">
        <x:v>200.4828189914</x:v>
      </x:c>
      <x:c r="N119" s="46" t="str">
        <x:v>carangidae</x:v>
      </x:c>
      <x:c r="O119" s="62" t="n">
        <x:v>4.05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Carangidae</x:v>
      </x:c>
      <x:c r="T119" s="62" t="n">
        <x:f>IF(O119="","",(1/'Metadata'!$B$5)^(O119-1))</x:f>
        <x:v>9292.690797132333</x:v>
      </x:c>
      <x:c r="U119" s="60" t="n">
        <x:f>IF(T119="","",I119*T119)</x:f>
        <x:v>2569678.9347942173</x:v>
      </x:c>
    </x:row>
    <x:row r="120" ht="18" customHeight="1">
      <x:c r="A120" s="46" t="str">
        <x:v>LME_049</x:v>
      </x:c>
      <x:c r="B120" s="46" t="str">
        <x:v>Kuroshio Current</x:v>
      </x:c>
      <x:c r="C120" s="46" t="str">
        <x:v>LME</x:v>
      </x:c>
      <x:c r="D120" s="58" t="n">
        <x:v>2019</x:v>
      </x:c>
      <x:c r="E120" s="46" t="str">
        <x:v>Sebastidae</x:v>
      </x:c>
      <x:c r="F120" s="46" t="str">
        <x:v>Rockfishes, rockcods, thornyheads</x:v>
      </x:c>
      <x:c r="G120" s="46" t="str">
        <x:v>Medium demersals (30 - 89 cm)</x:v>
      </x:c>
      <x:c r="H120" s="46" t="str">
        <x:v>Scorpionfishes</x:v>
      </x:c>
      <x:c r="I120" s="60" t="n">
        <x:v>271.035794791</x:v>
      </x:c>
      <x:c r="J120" s="60" t="n">
        <x:v>271.035794791</x:v>
      </x:c>
      <x:c r="K120" s="60" t="n">
        <x:v>0</x:v>
      </x:c>
      <x:c r="L120" s="60" t="n">
        <x:v>271.035794791</x:v>
      </x:c>
      <x:c r="M120" s="60" t="n">
        <x:v>0</x:v>
      </x:c>
      <x:c r="N120" s="46" t="str">
        <x:v>sebastidae</x:v>
      </x:c>
      <x:c r="O120" s="62" t="n">
        <x:v>3.74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Sebastidae</x:v>
      </x:c>
      <x:c r="T120" s="62" t="n">
        <x:f>IF(O120="","",(1/'Metadata'!$B$5)^(O120-1))</x:f>
        <x:v>3671.3195599248957</x:v>
      </x:c>
      <x:c r="U120" s="60" t="n">
        <x:f>IF(T120="","",I120*T120)</x:f>
        <x:v>995059.0148559884</x:v>
      </x:c>
    </x:row>
    <x:row r="121" ht="18" customHeight="1">
      <x:c r="A121" s="46" t="str">
        <x:v>LME_049</x:v>
      </x:c>
      <x:c r="B121" s="46" t="str">
        <x:v>Kuroshio Current</x:v>
      </x:c>
      <x:c r="C121" s="46" t="str">
        <x:v>LME</x:v>
      </x:c>
      <x:c r="D121" s="58" t="n">
        <x:v>2019</x:v>
      </x:c>
      <x:c r="E121" s="46" t="str">
        <x:v>Makaira mazara</x:v>
      </x:c>
      <x:c r="F121" s="46" t="str">
        <x:v>Indo-Pacific blue marlin</x:v>
      </x:c>
      <x:c r="G121" s="46" t="str">
        <x:v>Large pelagics (&gt;=90 cm)</x:v>
      </x:c>
      <x:c r="H121" s="46" t="str">
        <x:v>Tuna &amp; billfishes</x:v>
      </x:c>
      <x:c r="I121" s="60" t="n">
        <x:v>264.9176900512</x:v>
      </x:c>
      <x:c r="J121" s="60" t="n">
        <x:v>264.8988954781</x:v>
      </x:c>
      <x:c r="K121" s="60" t="n">
        <x:v>0.0187945731</x:v>
      </x:c>
      <x:c r="L121" s="60" t="n">
        <x:v>264.8988954781</x:v>
      </x:c>
      <x:c r="M121" s="60" t="n">
        <x:v>0.0187945731</x:v>
      </x:c>
      <x:c r="N121" s="46" t="str">
        <x:v>makaira mazara</x:v>
      </x:c>
      <x:c r="O121" s="62" t="n">
        <x:v>4.46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Makaira mazara</x:v>
      </x:c>
      <x:c r="T121" s="62" t="n">
        <x:f>IF(O121="","",(1/'Metadata'!$B$5)^(O121-1))</x:f>
        <x:v>31736.84749906455</x:v>
      </x:c>
      <x:c r="U121" s="60" t="n">
        <x:f>IF(T121="","",I121*T121)</x:f>
        <x:v>8407652.328959385</x:v>
      </x:c>
    </x:row>
    <x:row r="122" ht="18" customHeight="1">
      <x:c r="A122" s="46" t="str">
        <x:v>LME_049</x:v>
      </x:c>
      <x:c r="B122" s="46" t="str">
        <x:v>Kuroshio Current</x:v>
      </x:c>
      <x:c r="C122" s="46" t="str">
        <x:v>LME</x:v>
      </x:c>
      <x:c r="D122" s="58" t="n">
        <x:v>2019</x:v>
      </x:c>
      <x:c r="E122" s="46" t="str">
        <x:v>Batoidea</x:v>
      </x:c>
      <x:c r="F122" s="46" t="str">
        <x:v>Batoids, skates, rays, sawfishes</x:v>
      </x:c>
      <x:c r="G122" s="46" t="str">
        <x:v>Large rays (&gt;=90 cm)</x:v>
      </x:c>
      <x:c r="H122" s="46" t="str">
        <x:v>Sharks &amp; rays</x:v>
      </x:c>
      <x:c r="I122" s="60" t="n">
        <x:v>255.6051763316</x:v>
      </x:c>
      <x:c r="J122" s="60" t="n">
        <x:v>0</x:v>
      </x:c>
      <x:c r="K122" s="60" t="n">
        <x:v>255.6051763316</x:v>
      </x:c>
      <x:c r="L122" s="60" t="n">
        <x:v>0</x:v>
      </x:c>
      <x:c r="M122" s="60" t="n">
        <x:v>255.6051763316</x:v>
      </x:c>
      <x:c r="N122" s="46" t="str">
        <x:v>batoidea</x:v>
      </x:c>
      <x:c r="O122" s="62" t="n">
        <x:v>3.72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Batoidea</x:v>
      </x:c>
      <x:c r="T122" s="62" t="n">
        <x:f>IF(O122="","",(1/'Metadata'!$B$5)^(O122-1))</x:f>
        <x:v>3457.8136804537753</x:v>
      </x:c>
      <x:c r="U122" s="60" t="n">
        <x:f>IF(T122="","",I122*T122)</x:f>
        <x:v>883835.0755142061</x:v>
      </x:c>
    </x:row>
    <x:row r="123" ht="18" customHeight="1">
      <x:c r="A123" s="46" t="str">
        <x:v>LME_049</x:v>
      </x:c>
      <x:c r="B123" s="46" t="str">
        <x:v>Kuroshio Current</x:v>
      </x:c>
      <x:c r="C123" s="46" t="str">
        <x:v>LME</x:v>
      </x:c>
      <x:c r="D123" s="58" t="n">
        <x:v>2019</x:v>
      </x:c>
      <x:c r="E123" s="46" t="str">
        <x:v>Penaeus japonicus</x:v>
      </x:c>
      <x:c r="F123" s="46" t="str">
        <x:v>Kuruma prawn</x:v>
      </x:c>
      <x:c r="G123" s="46" t="str">
        <x:v>Shrimps</x:v>
      </x:c>
      <x:c r="H123" s="46" t="str">
        <x:v>Crustaceans</x:v>
      </x:c>
      <x:c r="I123" s="60" t="n">
        <x:v>255.4302323275</x:v>
      </x:c>
      <x:c r="J123" s="60" t="n">
        <x:v>221.6077784951</x:v>
      </x:c>
      <x:c r="K123" s="60" t="n">
        <x:v>33.8224538324</x:v>
      </x:c>
      <x:c r="L123" s="60" t="n">
        <x:v>221.5962872414</x:v>
      </x:c>
      <x:c r="M123" s="60" t="n">
        <x:v>33.8339450861</x:v>
      </x:c>
      <x:c r="N123" s="46" t="str">
        <x:v>penaeus japonicus</x:v>
      </x:c>
      <x:c r="O123" s="62" t="n">
        <x:v>2.7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Penaeus japonicus</x:v>
      </x:c>
      <x:c r="T123" s="62" t="n">
        <x:f>IF(O123="","",(1/'Metadata'!$B$5)^(O123-1))</x:f>
        <x:v>162.83621261476185</x:v>
      </x:c>
      <x:c r="U123" s="60" t="n">
        <x:f>IF(T123="","",I123*T123)</x:f>
        <x:v>41593.2916195188</x:v>
      </x:c>
    </x:row>
    <x:row r="124" ht="18" customHeight="1">
      <x:c r="A124" s="46" t="str">
        <x:v>LME_049</x:v>
      </x:c>
      <x:c r="B124" s="46" t="str">
        <x:v>Kuroshio Current</x:v>
      </x:c>
      <x:c r="C124" s="46" t="str">
        <x:v>LME</x:v>
      </x:c>
      <x:c r="D124" s="58" t="n">
        <x:v>2019</x:v>
      </x:c>
      <x:c r="E124" s="46" t="str">
        <x:v>Scomberomorus commerson</x:v>
      </x:c>
      <x:c r="F124" s="46" t="str">
        <x:v>Narrow-barred Spanish mackerel</x:v>
      </x:c>
      <x:c r="G124" s="46" t="str">
        <x:v>Large pelagics (&gt;=90 cm)</x:v>
      </x:c>
      <x:c r="H124" s="46" t="str">
        <x:v>Perch-likes</x:v>
      </x:c>
      <x:c r="I124" s="60" t="n">
        <x:v>190.923351862</x:v>
      </x:c>
      <x:c r="J124" s="60" t="n">
        <x:v>180.77667253250002</x:v>
      </x:c>
      <x:c r="K124" s="60" t="n">
        <x:v>10.1466793295</x:v>
      </x:c>
      <x:c r="L124" s="60" t="n">
        <x:v>180.6703373789</x:v>
      </x:c>
      <x:c r="M124" s="60" t="n">
        <x:v>10.2530144831</x:v>
      </x:c>
      <x:c r="N124" s="46" t="str">
        <x:v>scomberomorus commerson</x:v>
      </x:c>
      <x:c r="O124" s="62" t="n">
        <x:v>4.5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Scomberomorus commerson</x:v>
      </x:c>
      <x:c r="T124" s="62" t="n">
        <x:f>IF(O124="","",(1/'Metadata'!$B$5)^(O124-1))</x:f>
        <x:v>35777.08763999664</x:v>
      </x:c>
      <x:c r="U124" s="60" t="n">
        <x:f>IF(T124="","",I124*T124)</x:f>
        <x:v>6830681.4920886895</x:v>
      </x:c>
    </x:row>
    <x:row r="125" ht="18" customHeight="1">
      <x:c r="A125" s="46" t="str">
        <x:v>LME_049</x:v>
      </x:c>
      <x:c r="B125" s="46" t="str">
        <x:v>Kuroshio Current</x:v>
      </x:c>
      <x:c r="C125" s="46" t="str">
        <x:v>LME</x:v>
      </x:c>
      <x:c r="D125" s="58" t="n">
        <x:v>2019</x:v>
      </x:c>
      <x:c r="E125" s="46" t="str">
        <x:v>Mene maculata</x:v>
      </x:c>
      <x:c r="F125" s="46" t="str">
        <x:v>Moonfish</x:v>
      </x:c>
      <x:c r="G125" s="46" t="str">
        <x:v>Medium reef assoc. fish (30 - 89 cm)</x:v>
      </x:c>
      <x:c r="H125" s="46" t="str">
        <x:v>Perch-likes</x:v>
      </x:c>
      <x:c r="I125" s="60" t="n">
        <x:v>189.3867601162</x:v>
      </x:c>
      <x:c r="J125" s="60" t="n">
        <x:v>171.71664276340002</x:v>
      </x:c>
      <x:c r="K125" s="60" t="n">
        <x:v>17.6701173528</x:v>
      </x:c>
      <x:c r="L125" s="60" t="n">
        <x:v>69.3122246121</x:v>
      </x:c>
      <x:c r="M125" s="60" t="n">
        <x:v>120.0745355041</x:v>
      </x:c>
      <x:c r="N125" s="46" t="str">
        <x:v>mene maculata</x:v>
      </x:c>
      <x:c r="O125" s="62" t="n">
        <x:v>3.45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Mene maculata</x:v>
      </x:c>
      <x:c r="T125" s="62" t="n">
        <x:f>IF(O125="","",(1/'Metadata'!$B$5)^(O125-1))</x:f>
        <x:v>1540.009817222681</x:v>
      </x:c>
      <x:c r="U125" s="60" t="n">
        <x:f>IF(T125="","",I125*T125)</x:f>
        <x:v>291657.4698309449</x:v>
      </x:c>
    </x:row>
    <x:row r="126" ht="18" customHeight="1">
      <x:c r="A126" s="46" t="str">
        <x:v>LME_049</x:v>
      </x:c>
      <x:c r="B126" s="46" t="str">
        <x:v>Kuroshio Current</x:v>
      </x:c>
      <x:c r="C126" s="46" t="str">
        <x:v>LME</x:v>
      </x:c>
      <x:c r="D126" s="58" t="n">
        <x:v>2019</x:v>
      </x:c>
      <x:c r="E126" s="46" t="str">
        <x:v>Scomberomorus guttatus</x:v>
      </x:c>
      <x:c r="F126" s="46" t="str">
        <x:v>Indo-Pacific king mackerel</x:v>
      </x:c>
      <x:c r="G126" s="46" t="str">
        <x:v>Medium pelagics (30 - 89 cm)</x:v>
      </x:c>
      <x:c r="H126" s="46" t="str">
        <x:v>Perch-likes</x:v>
      </x:c>
      <x:c r="I126" s="60" t="n">
        <x:v>184.3512227146</x:v>
      </x:c>
      <x:c r="J126" s="60" t="n">
        <x:v>184.2519847589</x:v>
      </x:c>
      <x:c r="K126" s="60" t="n">
        <x:v>0.0992379557</x:v>
      </x:c>
      <x:c r="L126" s="60" t="n">
        <x:v>62.73427665649999</x:v>
      </x:c>
      <x:c r="M126" s="60" t="n">
        <x:v>121.61694605810001</x:v>
      </x:c>
      <x:c r="N126" s="46" t="str">
        <x:v>scomberomorus guttatus</x:v>
      </x:c>
      <x:c r="O126" s="62" t="n">
        <x:v>4.28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Scomberomorus guttatus</x:v>
      </x:c>
      <x:c r="T126" s="62" t="n">
        <x:f>IF(O126="","",(1/'Metadata'!$B$5)^(O126-1))</x:f>
        <x:v>18508.805249333516</x:v>
      </x:c>
      <x:c r="U126" s="60" t="n">
        <x:f>IF(T126="","",I126*T126)</x:f>
        <x:v>3412120.8787010405</x:v>
      </x:c>
    </x:row>
    <x:row r="127" ht="18" customHeight="1">
      <x:c r="A127" s="46" t="str">
        <x:v>LME_049</x:v>
      </x:c>
      <x:c r="B127" s="46" t="str">
        <x:v>Kuroshio Current</x:v>
      </x:c>
      <x:c r="C127" s="46" t="str">
        <x:v>LME</x:v>
      </x:c>
      <x:c r="D127" s="58" t="n">
        <x:v>2019</x:v>
      </x:c>
      <x:c r="E127" s="46" t="str">
        <x:v>Prionace glauca</x:v>
      </x:c>
      <x:c r="F127" s="46" t="str">
        <x:v>Blue shark</x:v>
      </x:c>
      <x:c r="G127" s="46" t="str">
        <x:v>Large sharks (&gt;=90 cm)</x:v>
      </x:c>
      <x:c r="H127" s="46" t="str">
        <x:v>Sharks &amp; rays</x:v>
      </x:c>
      <x:c r="I127" s="60" t="n">
        <x:v>163.0077585982</x:v>
      </x:c>
      <x:c r="J127" s="60" t="n">
        <x:v>100.7505130353</x:v>
      </x:c>
      <x:c r="K127" s="60" t="n">
        <x:v>62.257245562899996</x:v>
      </x:c>
      <x:c r="L127" s="60" t="n">
        <x:v>100.7360680317</x:v>
      </x:c>
      <x:c r="M127" s="60" t="n">
        <x:v>62.2716905665</x:v>
      </x:c>
      <x:c r="N127" s="46" t="str">
        <x:v>prionace glauca</x:v>
      </x:c>
      <x:c r="O127" s="62" t="n">
        <x:v>4.35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Prionace glauca</x:v>
      </x:c>
      <x:c r="T127" s="62" t="n">
        <x:f>IF(O127="","",(1/'Metadata'!$B$5)^(O127-1))</x:f>
        <x:v>22827.086550132422</x:v>
      </x:c>
      <x:c r="U127" s="60" t="n">
        <x:f>IF(T127="","",I127*T127)</x:f>
        <x:v>3720992.2138642045</x:v>
      </x:c>
    </x:row>
    <x:row r="128" ht="18" customHeight="1">
      <x:c r="A128" s="46" t="str">
        <x:v>LME_049</x:v>
      </x:c>
      <x:c r="B128" s="46" t="str">
        <x:v>Kuroshio Current</x:v>
      </x:c>
      <x:c r="C128" s="46" t="str">
        <x:v>LME</x:v>
      </x:c>
      <x:c r="D128" s="58" t="n">
        <x:v>2019</x:v>
      </x:c>
      <x:c r="E128" s="46" t="str">
        <x:v>Mugilidae</x:v>
      </x:c>
      <x:c r="F128" s="46" t="str">
        <x:v>Mullets, grey mullets</x:v>
      </x:c>
      <x:c r="G128" s="46" t="str">
        <x:v>Medium reef assoc. fish (30 - 89 cm)</x:v>
      </x:c>
      <x:c r="H128" s="46" t="str">
        <x:v>Perch-likes</x:v>
      </x:c>
      <x:c r="I128" s="60" t="n">
        <x:v>144.9344857894</x:v>
      </x:c>
      <x:c r="J128" s="60" t="n">
        <x:v>144.9344857894</x:v>
      </x:c>
      <x:c r="K128" s="60" t="n">
        <x:v>0</x:v>
      </x:c>
      <x:c r="L128" s="60" t="n">
        <x:v>0</x:v>
      </x:c>
      <x:c r="M128" s="60" t="n">
        <x:v>144.9344857894</x:v>
      </x:c>
      <x:c r="N128" s="46" t="str">
        <x:v>mugilidae</x:v>
      </x:c>
      <x:c r="O128" s="62" t="n">
        <x:v>2.53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Mugilidae</x:v>
      </x:c>
      <x:c r="T128" s="62" t="n">
        <x:f>IF(O128="","",(1/'Metadata'!$B$5)^(O128-1))</x:f>
        <x:v>97.8533939563155</x:v>
      </x:c>
      <x:c r="U128" s="60" t="n">
        <x:f>IF(T128="","",I128*T128)</x:f>
        <x:v>14182.331335806168</x:v>
      </x:c>
    </x:row>
    <x:row r="129" ht="18" customHeight="1">
      <x:c r="A129" s="46" t="str">
        <x:v>LME_049</x:v>
      </x:c>
      <x:c r="B129" s="46" t="str">
        <x:v>Kuroshio Current</x:v>
      </x:c>
      <x:c r="C129" s="46" t="str">
        <x:v>LME</x:v>
      </x:c>
      <x:c r="D129" s="58" t="n">
        <x:v>2019</x:v>
      </x:c>
      <x:c r="E129" s="46" t="str">
        <x:v>Saurida tumbil</x:v>
      </x:c>
      <x:c r="F129" s="46" t="str">
        <x:v>Greater lizardfish</x:v>
      </x:c>
      <x:c r="G129" s="46" t="str">
        <x:v>Medium demersals (30 - 89 cm)</x:v>
      </x:c>
      <x:c r="H129" s="46" t="str">
        <x:v>Other fishes &amp; inverts</x:v>
      </x:c>
      <x:c r="I129" s="60" t="n">
        <x:v>144.4848935874</x:v>
      </x:c>
      <x:c r="J129" s="60" t="n">
        <x:v>144.0798003393</x:v>
      </x:c>
      <x:c r="K129" s="60" t="n">
        <x:v>0.40509324809999997</x:v>
      </x:c>
      <x:c r="L129" s="60" t="n">
        <x:v>144.0648368461</x:v>
      </x:c>
      <x:c r="M129" s="60" t="n">
        <x:v>0.4200567413</x:v>
      </x:c>
      <x:c r="N129" s="46" t="str">
        <x:v>saurida tumbil</x:v>
      </x:c>
      <x:c r="O129" s="62" t="n">
        <x:v>4.4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Saurida tumbil</x:v>
      </x:c>
      <x:c r="T129" s="62" t="n">
        <x:f>IF(O129="","",(1/'Metadata'!$B$5)^(O129-1))</x:f>
        <x:v>26515.632138719924</x:v>
      </x:c>
      <x:c r="U129" s="60" t="n">
        <x:f>IF(T129="","",I129*T129)</x:f>
        <x:v>3831108.2879655915</x:v>
      </x:c>
    </x:row>
    <x:row r="130" ht="18" customHeight="1">
      <x:c r="A130" s="46" t="str">
        <x:v>LME_049</x:v>
      </x:c>
      <x:c r="B130" s="46" t="str">
        <x:v>Kuroshio Current</x:v>
      </x:c>
      <x:c r="C130" s="46" t="str">
        <x:v>LME</x:v>
      </x:c>
      <x:c r="D130" s="58" t="n">
        <x:v>2019</x:v>
      </x:c>
      <x:c r="E130" s="46" t="str">
        <x:v>Menidae</x:v>
      </x:c>
      <x:c r="F130" s="46" t="str">
        <x:v>Moonfishes</x:v>
      </x:c>
      <x:c r="G130" s="46" t="str">
        <x:v>Medium reef assoc. fish (30 - 89 cm)</x:v>
      </x:c>
      <x:c r="H130" s="46" t="str">
        <x:v>Perch-likes</x:v>
      </x:c>
      <x:c r="I130" s="60" t="n">
        <x:v>140.2506094868</x:v>
      </x:c>
      <x:c r="J130" s="60" t="n">
        <x:v>140.0177578242</x:v>
      </x:c>
      <x:c r="K130" s="60" t="n">
        <x:v>0.2328516626</x:v>
      </x:c>
      <x:c r="L130" s="60" t="n">
        <x:v>139.6545090549</x:v>
      </x:c>
      <x:c r="M130" s="60" t="n">
        <x:v>0.5961004319000001</x:v>
      </x:c>
      <x:c r="N130" s="46" t="str">
        <x:v>menidae</x:v>
      </x:c>
      <x:c r="O130" s="62" t="n">
        <x:v>3.45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Menidae</x:v>
      </x:c>
      <x:c r="T130" s="62" t="n">
        <x:f>IF(O130="","",(1/'Metadata'!$B$5)^(O130-1))</x:f>
        <x:v>1540.009817222681</x:v>
      </x:c>
      <x:c r="U130" s="60" t="n">
        <x:f>IF(T130="","",I130*T130)</x:f>
        <x:v>215987.31548113647</x:v>
      </x:c>
    </x:row>
    <x:row r="131" ht="18" customHeight="1">
      <x:c r="A131" s="46" t="str">
        <x:v>LME_049</x:v>
      </x:c>
      <x:c r="B131" s="46" t="str">
        <x:v>Kuroshio Current</x:v>
      </x:c>
      <x:c r="C131" s="46" t="str">
        <x:v>LME</x:v>
      </x:c>
      <x:c r="D131" s="58" t="n">
        <x:v>2019</x:v>
      </x:c>
      <x:c r="E131" s="46" t="str">
        <x:v>Priacanthus</x:v>
      </x:c>
      <x:c r="F131" s="46" t="str">
        <x:v>Bigeyes</x:v>
      </x:c>
      <x:c r="G131" s="46" t="str">
        <x:v>Medium reef assoc. fish (30 - 89 cm)</x:v>
      </x:c>
      <x:c r="H131" s="46" t="str">
        <x:v>Perch-likes</x:v>
      </x:c>
      <x:c r="I131" s="60" t="n">
        <x:v>139.81507226</x:v>
      </x:c>
      <x:c r="J131" s="60" t="n">
        <x:v>139.81507226</x:v>
      </x:c>
      <x:c r="K131" s="60" t="n">
        <x:v>0</x:v>
      </x:c>
      <x:c r="L131" s="60" t="n">
        <x:v>36.0480475664</x:v>
      </x:c>
      <x:c r="M131" s="60" t="n">
        <x:v>103.7670246936</x:v>
      </x:c>
      <x:c r="N131" s="46" t="str">
        <x:v>priacanthus</x:v>
      </x:c>
      <x:c r="O131" s="62" t="n">
        <x:v>3.81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Priacanthus</x:v>
      </x:c>
      <x:c r="T131" s="62" t="n">
        <x:f>IF(O131="","",(1/'Metadata'!$B$5)^(O131-1))</x:f>
        <x:v>4527.873529309382</x:v>
      </x:c>
      <x:c r="U131" s="60" t="n">
        <x:f>IF(T131="","",I131*T131)</x:f>
        <x:v>633064.9646845325</x:v>
      </x:c>
    </x:row>
    <x:row r="132" ht="18" customHeight="1">
      <x:c r="A132" s="46" t="str">
        <x:v>LME_049</x:v>
      </x:c>
      <x:c r="B132" s="46" t="str">
        <x:v>Kuroshio Current</x:v>
      </x:c>
      <x:c r="C132" s="46" t="str">
        <x:v>LME</x:v>
      </x:c>
      <x:c r="D132" s="58" t="n">
        <x:v>2019</x:v>
      </x:c>
      <x:c r="E132" s="46" t="str">
        <x:v>Serranidae</x:v>
      </x:c>
      <x:c r="F132" s="46" t="str">
        <x:v>Basses, groupers, hinds</x:v>
      </x:c>
      <x:c r="G132" s="46" t="str">
        <x:v>Medium reef assoc. fish (30 - 89 cm)</x:v>
      </x:c>
      <x:c r="H132" s="46" t="str">
        <x:v>Perch-likes</x:v>
      </x:c>
      <x:c r="I132" s="60" t="n">
        <x:v>130.661723577</x:v>
      </x:c>
      <x:c r="J132" s="60" t="n">
        <x:v>130.5538877241</x:v>
      </x:c>
      <x:c r="K132" s="60" t="n">
        <x:v>0.1078358529</x:v>
      </x:c>
      <x:c r="L132" s="60" t="n">
        <x:v>16.6700776711</x:v>
      </x:c>
      <x:c r="M132" s="60" t="n">
        <x:v>113.9916459059</x:v>
      </x:c>
      <x:c r="N132" s="46" t="str">
        <x:v>serranidae</x:v>
      </x:c>
      <x:c r="O132" s="62" t="n">
        <x:v>3.98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Serranidae</x:v>
      </x:c>
      <x:c r="T132" s="62" t="n">
        <x:f>IF(O132="","",(1/'Metadata'!$B$5)^(O132-1))</x:f>
        <x:v>7534.759367064222</x:v>
      </x:c>
      <x:c r="U132" s="60" t="n">
        <x:f>IF(T132="","",I132*T132)</x:f>
        <x:v>984504.6456385568</x:v>
      </x:c>
    </x:row>
    <x:row r="133" ht="18" customHeight="1">
      <x:c r="A133" s="46" t="str">
        <x:v>LME_049</x:v>
      </x:c>
      <x:c r="B133" s="46" t="str">
        <x:v>Kuroshio Current</x:v>
      </x:c>
      <x:c r="C133" s="46" t="str">
        <x:v>LME</x:v>
      </x:c>
      <x:c r="D133" s="58" t="n">
        <x:v>2019</x:v>
      </x:c>
      <x:c r="E133" s="46" t="str">
        <x:v>Bramidae</x:v>
      </x:c>
      <x:c r="F133" s="46" t="str">
        <x:v>Pomfrets</x:v>
      </x:c>
      <x:c r="G133" s="46" t="str">
        <x:v>Medium pelagics (30 - 89 cm)</x:v>
      </x:c>
      <x:c r="H133" s="46" t="str">
        <x:v>Perch-likes</x:v>
      </x:c>
      <x:c r="I133" s="60" t="n">
        <x:v>130.6457944084</x:v>
      </x:c>
      <x:c r="J133" s="60" t="n">
        <x:v>130.1338887176</x:v>
      </x:c>
      <x:c r="K133" s="60" t="n">
        <x:v>0.5119056908</x:v>
      </x:c>
      <x:c r="L133" s="60" t="n">
        <x:v>0</x:v>
      </x:c>
      <x:c r="M133" s="60" t="n">
        <x:v>130.6457944084</x:v>
      </x:c>
      <x:c r="N133" s="46" t="str">
        <x:v>bramidae</x:v>
      </x:c>
      <x:c r="O133" s="62" t="n">
        <x:v>4.14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Bramidae</x:v>
      </x:c>
      <x:c r="T133" s="62" t="n">
        <x:f>IF(O133="","",(1/'Metadata'!$B$5)^(O133-1))</x:f>
        <x:v>12168.419864331923</x:v>
      </x:c>
      <x:c r="U133" s="60" t="n">
        <x:f>IF(T133="","",I133*T133)</x:f>
        <x:v>1589752.8798705991</x:v>
      </x:c>
    </x:row>
    <x:row r="134" ht="18" customHeight="1">
      <x:c r="A134" s="46" t="str">
        <x:v>LME_049</x:v>
      </x:c>
      <x:c r="B134" s="46" t="str">
        <x:v>Kuroshio Current</x:v>
      </x:c>
      <x:c r="C134" s="46" t="str">
        <x:v>LME</x:v>
      </x:c>
      <x:c r="D134" s="58" t="n">
        <x:v>2019</x:v>
      </x:c>
      <x:c r="E134" s="46" t="str">
        <x:v>Beryx splendens</x:v>
      </x:c>
      <x:c r="F134" s="46" t="str">
        <x:v>Splendid alfonsino</x:v>
      </x:c>
      <x:c r="G134" s="46" t="str">
        <x:v>Medium benthopelagics (30 - 89 cm)</x:v>
      </x:c>
      <x:c r="H134" s="46" t="str">
        <x:v>Other fishes &amp; inverts</x:v>
      </x:c>
      <x:c r="I134" s="60" t="n">
        <x:v>118.0139571114</x:v>
      </x:c>
      <x:c r="J134" s="60" t="n">
        <x:v>118.0139571114</x:v>
      </x:c>
      <x:c r="K134" s="60" t="n">
        <x:v>0</x:v>
      </x:c>
      <x:c r="L134" s="60" t="n">
        <x:v>0</x:v>
      </x:c>
      <x:c r="M134" s="60" t="n">
        <x:v>118.0139571114</x:v>
      </x:c>
      <x:c r="N134" s="46" t="str">
        <x:v>beryx splendens</x:v>
      </x:c>
      <x:c r="O134" s="62" t="n">
        <x:v>4.27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Beryx splendens</x:v>
      </x:c>
      <x:c r="T134" s="62" t="n">
        <x:f>IF(O134="","",(1/'Metadata'!$B$5)^(O134-1))</x:f>
        <x:v>17962.55396184286</x:v>
      </x:c>
      <x:c r="U134" s="60" t="n">
        <x:f>IF(T134="","",I134*T134)</x:f>
        <x:v>2119832.0728641315</x:v>
      </x:c>
    </x:row>
    <x:row r="135" ht="18" customHeight="1">
      <x:c r="A135" s="46" t="str">
        <x:v>LME_049</x:v>
      </x:c>
      <x:c r="B135" s="46" t="str">
        <x:v>Kuroshio Current</x:v>
      </x:c>
      <x:c r="C135" s="46" t="str">
        <x:v>LME</x:v>
      </x:c>
      <x:c r="D135" s="58" t="n">
        <x:v>2019</x:v>
      </x:c>
      <x:c r="E135" s="46" t="str">
        <x:v>Epinephelus coioides</x:v>
      </x:c>
      <x:c r="F135" s="46" t="str">
        <x:v>Orange-spotted grouper</x:v>
      </x:c>
      <x:c r="G135" s="46" t="str">
        <x:v>Large reef assoc. fish (&gt;=90 cm)</x:v>
      </x:c>
      <x:c r="H135" s="46" t="str">
        <x:v>Perch-likes</x:v>
      </x:c>
      <x:c r="I135" s="60" t="n">
        <x:v>106.5522760886</x:v>
      </x:c>
      <x:c r="J135" s="60" t="n">
        <x:v>106.5522760886</x:v>
      </x:c>
      <x:c r="K135" s="60" t="n">
        <x:v>0</x:v>
      </x:c>
      <x:c r="L135" s="60" t="n">
        <x:v>27.3541918088</x:v>
      </x:c>
      <x:c r="M135" s="60" t="n">
        <x:v>79.1980842798</x:v>
      </x:c>
      <x:c r="N135" s="46" t="str">
        <x:v>epinephelus coioides</x:v>
      </x:c>
      <x:c r="O135" s="62" t="n">
        <x:v>4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Epinephelus coioides</x:v>
      </x:c>
      <x:c r="T135" s="62" t="n">
        <x:f>IF(O135="","",(1/'Metadata'!$B$5)^(O135-1))</x:f>
        <x:v>8000</x:v>
      </x:c>
      <x:c r="U135" s="60" t="n">
        <x:f>IF(T135="","",I135*T135)</x:f>
        <x:v>852418.2087087999</x:v>
      </x:c>
    </x:row>
    <x:row r="136" ht="18" customHeight="1">
      <x:c r="A136" s="46" t="str">
        <x:v>LME_049</x:v>
      </x:c>
      <x:c r="B136" s="46" t="str">
        <x:v>Kuroshio Current</x:v>
      </x:c>
      <x:c r="C136" s="46" t="str">
        <x:v>LME</x:v>
      </x:c>
      <x:c r="D136" s="58" t="n">
        <x:v>2019</x:v>
      </x:c>
      <x:c r="E136" s="46" t="str">
        <x:v>Stromateidae</x:v>
      </x:c>
      <x:c r="F136" s="46" t="str">
        <x:v>Butterfishes</x:v>
      </x:c>
      <x:c r="G136" s="46" t="str">
        <x:v>Small benthopelagics (&lt;30 cm)</x:v>
      </x:c>
      <x:c r="H136" s="46" t="str">
        <x:v>Perch-likes</x:v>
      </x:c>
      <x:c r="I136" s="60" t="n">
        <x:v>105.64285214990001</x:v>
      </x:c>
      <x:c r="J136" s="60" t="n">
        <x:v>105.64285214990001</x:v>
      </x:c>
      <x:c r="K136" s="60" t="n">
        <x:v>0</x:v>
      </x:c>
      <x:c r="L136" s="60" t="n">
        <x:v>39.9777777822</x:v>
      </x:c>
      <x:c r="M136" s="60" t="n">
        <x:v>65.6650743677</x:v>
      </x:c>
      <x:c r="N136" s="46" t="str">
        <x:v>stromateidae</x:v>
      </x:c>
      <x:c r="O136" s="62" t="n">
        <x:v>3.62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Stromateidae</x:v>
      </x:c>
      <x:c r="T136" s="62" t="n">
        <x:f>IF(O136="","",(1/'Metadata'!$B$5)^(O136-1))</x:f>
        <x:v>2562.7048371775754</x:v>
      </x:c>
      <x:c r="U136" s="60" t="n">
        <x:f>IF(T136="","",I136*T136)</x:f>
        <x:v>270731.4482177842</x:v>
      </x:c>
    </x:row>
    <x:row r="137" ht="18" customHeight="1">
      <x:c r="A137" s="46" t="str">
        <x:v>LME_049</x:v>
      </x:c>
      <x:c r="B137" s="46" t="str">
        <x:v>Kuroshio Current</x:v>
      </x:c>
      <x:c r="C137" s="46" t="str">
        <x:v>LME</x:v>
      </x:c>
      <x:c r="D137" s="58" t="n">
        <x:v>2019</x:v>
      </x:c>
      <x:c r="E137" s="46" t="str">
        <x:v>Loliginidae</x:v>
      </x:c>
      <x:c r="F137" s="46" t="str">
        <x:v>Common pencil squids</x:v>
      </x:c>
      <x:c r="G137" s="46" t="str">
        <x:v>Cephalopods</x:v>
      </x:c>
      <x:c r="H137" s="46" t="str">
        <x:v>Other fishes &amp; inverts</x:v>
      </x:c>
      <x:c r="I137" s="60" t="n">
        <x:v>94.5075013722</x:v>
      </x:c>
      <x:c r="J137" s="60" t="n">
        <x:v>73.1123062779</x:v>
      </x:c>
      <x:c r="K137" s="60" t="n">
        <x:v>21.3951950943</x:v>
      </x:c>
      <x:c r="L137" s="60" t="n">
        <x:v>72.79356555</x:v>
      </x:c>
      <x:c r="M137" s="60" t="n">
        <x:v>21.7139358222</x:v>
      </x:c>
      <x:c r="N137" s="46" t="str">
        <x:v>loliginidae</x:v>
      </x:c>
      <x:c r="O137" s="62" t="n">
        <x:v>3.9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Loliginidae</x:v>
      </x:c>
      <x:c r="T137" s="62" t="n">
        <x:f>IF(O137="","",(1/'Metadata'!$B$5)^(O137-1))</x:f>
        <x:v>5929.07559285558</x:v>
      </x:c>
      <x:c r="U137" s="60" t="n">
        <x:f>IF(T137="","",I137*T137)</x:f>
        <x:v>560342.1197276763</x:v>
      </x:c>
    </x:row>
    <x:row r="138" ht="18" customHeight="1">
      <x:c r="A138" s="46" t="str">
        <x:v>LME_049</x:v>
      </x:c>
      <x:c r="B138" s="46" t="str">
        <x:v>Kuroshio Current</x:v>
      </x:c>
      <x:c r="C138" s="46" t="str">
        <x:v>LME</x:v>
      </x:c>
      <x:c r="D138" s="58" t="n">
        <x:v>2019</x:v>
      </x:c>
      <x:c r="E138" s="46" t="str">
        <x:v>Portunus</x:v>
      </x:c>
      <x:c r="F138" s="46" t="str">
        <x:v>Swimmer crabs</x:v>
      </x:c>
      <x:c r="G138" s="46" t="str">
        <x:v>Lobsters, crabs</x:v>
      </x:c>
      <x:c r="H138" s="46" t="str">
        <x:v>Crustaceans</x:v>
      </x:c>
      <x:c r="I138" s="60" t="n">
        <x:v>92.44505145929999</x:v>
      </x:c>
      <x:c r="J138" s="60" t="n">
        <x:v>92.44505145929999</x:v>
      </x:c>
      <x:c r="K138" s="60" t="n">
        <x:v>0</x:v>
      </x:c>
      <x:c r="L138" s="60" t="n">
        <x:v>23.8075130532</x:v>
      </x:c>
      <x:c r="M138" s="60" t="n">
        <x:v>68.63753840609999</x:v>
      </x:c>
      <x:c r="N138" s="46" t="str">
        <x:v>portunus</x:v>
      </x:c>
      <x:c r="O138" s="62" t="n">
        <x:v>3.26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Portunus</x:v>
      </x:c>
      <x:c r="T138" s="62" t="n">
        <x:f>IF(O138="","",(1/'Metadata'!$B$5)^(O138-1))</x:f>
        <x:v>871.6212107848935</x:v>
      </x:c>
      <x:c r="U138" s="60" t="n">
        <x:f>IF(T138="","",I138*T138)</x:f>
        <x:v>80577.06768402684</x:v>
      </x:c>
    </x:row>
    <x:row r="139" ht="18" customHeight="1">
      <x:c r="A139" s="46" t="str">
        <x:v>LME_049</x:v>
      </x:c>
      <x:c r="B139" s="46" t="str">
        <x:v>Kuroshio Current</x:v>
      </x:c>
      <x:c r="C139" s="46" t="str">
        <x:v>LME</x:v>
      </x:c>
      <x:c r="D139" s="58" t="n">
        <x:v>2019</x:v>
      </x:c>
      <x:c r="E139" s="46" t="str">
        <x:v>Sillago</x:v>
      </x:c>
      <x:c r="F139" s="46" t="str">
        <x:v>Smelt-whitings</x:v>
      </x:c>
      <x:c r="G139" s="46" t="str">
        <x:v>Medium demersals (30 - 89 cm)</x:v>
      </x:c>
      <x:c r="H139" s="46" t="str">
        <x:v>Perch-likes</x:v>
      </x:c>
      <x:c r="I139" s="60" t="n">
        <x:v>86.4973419418</x:v>
      </x:c>
      <x:c r="J139" s="60" t="n">
        <x:v>86.2579283151</x:v>
      </x:c>
      <x:c r="K139" s="60" t="n">
        <x:v>0.23941362670000002</x:v>
      </x:c>
      <x:c r="L139" s="60" t="n">
        <x:v>85.5018416858</x:v>
      </x:c>
      <x:c r="M139" s="60" t="n">
        <x:v>0.9955002559999999</x:v>
      </x:c>
      <x:c r="N139" s="46" t="str">
        <x:v>sillago</x:v>
      </x:c>
      <x:c r="O139" s="62" t="n">
        <x:v>3.33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Sillago</x:v>
      </x:c>
      <x:c r="T139" s="62" t="n">
        <x:f>IF(O139="","",(1/'Metadata'!$B$5)^(O139-1))</x:f>
        <x:v>1074.9787762899762</x:v>
      </x:c>
      <x:c r="U139" s="60" t="n">
        <x:f>IF(T139="","",I139*T139)</x:f>
        <x:v>92982.80679293179</x:v>
      </x:c>
    </x:row>
    <x:row r="140" ht="18" customHeight="1">
      <x:c r="A140" s="46" t="str">
        <x:v>LME_049</x:v>
      </x:c>
      <x:c r="B140" s="46" t="str">
        <x:v>Kuroshio Current</x:v>
      </x:c>
      <x:c r="C140" s="46" t="str">
        <x:v>LME</x:v>
      </x:c>
      <x:c r="D140" s="58" t="n">
        <x:v>2019</x:v>
      </x:c>
      <x:c r="E140" s="46" t="str">
        <x:v>Priacanthus macracanthus</x:v>
      </x:c>
      <x:c r="F140" s="46" t="str">
        <x:v>Red bigeye</x:v>
      </x:c>
      <x:c r="G140" s="46" t="str">
        <x:v>Medium reef assoc. fish (30 - 89 cm)</x:v>
      </x:c>
      <x:c r="H140" s="46" t="str">
        <x:v>Perch-likes</x:v>
      </x:c>
      <x:c r="I140" s="60" t="n">
        <x:v>86.0413351322</x:v>
      </x:c>
      <x:c r="J140" s="60" t="n">
        <x:v>76.9666661251</x:v>
      </x:c>
      <x:c r="K140" s="60" t="n">
        <x:v>9.0746690071</x:v>
      </x:c>
      <x:c r="L140" s="60" t="n">
        <x:v>76.9334281517</x:v>
      </x:c>
      <x:c r="M140" s="60" t="n">
        <x:v>9.1079069805</x:v>
      </x:c>
      <x:c r="N140" s="46" t="str">
        <x:v>priacanthus macracanthus</x:v>
      </x:c>
      <x:c r="O140" s="62" t="n">
        <x:v>4.11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Priacanthus macracanthus</x:v>
      </x:c>
      <x:c r="T140" s="62" t="n">
        <x:f>IF(O140="","",(1/'Metadata'!$B$5)^(O140-1))</x:f>
        <x:v>11122.52233481121</x:v>
      </x:c>
      <x:c r="U140" s="60" t="n">
        <x:f>IF(T140="","",I140*T140)</x:f>
        <x:v>956996.671724871</x:v>
      </x:c>
    </x:row>
    <x:row r="141" ht="18" customHeight="1">
      <x:c r="A141" s="46" t="str">
        <x:v>LME_049</x:v>
      </x:c>
      <x:c r="B141" s="46" t="str">
        <x:v>Kuroshio Current</x:v>
      </x:c>
      <x:c r="C141" s="46" t="str">
        <x:v>LME</x:v>
      </x:c>
      <x:c r="D141" s="58" t="n">
        <x:v>2019</x:v>
      </x:c>
      <x:c r="E141" s="46" t="str">
        <x:v>Mytilidae</x:v>
      </x:c>
      <x:c r="F141" s="46" t="str">
        <x:v>Sea mussels</x:v>
      </x:c>
      <x:c r="G141" s="46" t="str">
        <x:v>Other demersal invertebrates</x:v>
      </x:c>
      <x:c r="H141" s="46" t="str">
        <x:v>Molluscs</x:v>
      </x:c>
      <x:c r="I141" s="60" t="n">
        <x:v>82.2038149009</x:v>
      </x:c>
      <x:c r="J141" s="60" t="n">
        <x:v>82.17425638</x:v>
      </x:c>
      <x:c r="K141" s="60" t="n">
        <x:v>0.0295585209</x:v>
      </x:c>
      <x:c r="L141" s="60" t="n">
        <x:v>82.17425638</x:v>
      </x:c>
      <x:c r="M141" s="60" t="n">
        <x:v>0.0295585209</x:v>
      </x:c>
      <x:c r="N141" s="46" t="str">
        <x:v>mytilidae</x:v>
      </x:c>
      <x:c r="O141" s="62" t="n">
        <x:v>2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Mytilidae</x:v>
      </x:c>
      <x:c r="T141" s="62" t="n">
        <x:f>IF(O141="","",(1/'Metadata'!$B$5)^(O141-1))</x:f>
        <x:v>20</x:v>
      </x:c>
      <x:c r="U141" s="60" t="n">
        <x:f>IF(T141="","",I141*T141)</x:f>
        <x:v>1644.076298018</x:v>
      </x:c>
    </x:row>
    <x:row r="142" ht="18" customHeight="1">
      <x:c r="A142" s="46" t="str">
        <x:v>LME_049</x:v>
      </x:c>
      <x:c r="B142" s="46" t="str">
        <x:v>Kuroshio Current</x:v>
      </x:c>
      <x:c r="C142" s="46" t="str">
        <x:v>LME</x:v>
      </x:c>
      <x:c r="D142" s="58" t="n">
        <x:v>2019</x:v>
      </x:c>
      <x:c r="E142" s="46" t="str">
        <x:v>Atrobucca nibe</x:v>
      </x:c>
      <x:c r="F142" s="46" t="str">
        <x:v>Blackmouth croaker</x:v>
      </x:c>
      <x:c r="G142" s="46" t="str">
        <x:v>Medium demersals (30 - 89 cm)</x:v>
      </x:c>
      <x:c r="H142" s="46" t="str">
        <x:v>Perch-likes</x:v>
      </x:c>
      <x:c r="I142" s="60" t="n">
        <x:v>79.4223173083</x:v>
      </x:c>
      <x:c r="J142" s="60" t="n">
        <x:v>75.1924888217</x:v>
      </x:c>
      <x:c r="K142" s="60" t="n">
        <x:v>4.2298284866</x:v>
      </x:c>
      <x:c r="L142" s="60" t="n">
        <x:v>56.0034368186</x:v>
      </x:c>
      <x:c r="M142" s="60" t="n">
        <x:v>23.4188804897</x:v>
      </x:c>
      <x:c r="N142" s="46" t="str">
        <x:v>atrobucca nibe</x:v>
      </x:c>
      <x:c r="O142" s="62" t="n">
        <x:v>3.03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Atrobucca nibe</x:v>
      </x:c>
      <x:c r="T142" s="62" t="n">
        <x:f>IF(O142="","",(1/'Metadata'!$B$5)^(O142-1))</x:f>
        <x:v>437.6136814307771</x:v>
      </x:c>
      <x:c r="U142" s="60" t="n">
        <x:f>IF(T142="","",I142*T142)</x:f>
        <x:v>34756.29266504849</x:v>
      </x:c>
    </x:row>
    <x:row r="143" ht="18" customHeight="1">
      <x:c r="A143" s="46" t="str">
        <x:v>LME_049</x:v>
      </x:c>
      <x:c r="B143" s="46" t="str">
        <x:v>Kuroshio Current</x:v>
      </x:c>
      <x:c r="C143" s="46" t="str">
        <x:v>LME</x:v>
      </x:c>
      <x:c r="D143" s="58" t="n">
        <x:v>2019</x:v>
      </x:c>
      <x:c r="E143" s="46" t="str">
        <x:v>Sphyraenidae</x:v>
      </x:c>
      <x:c r="F143" s="46" t="str">
        <x:v>Barracudas</x:v>
      </x:c>
      <x:c r="G143" s="46" t="str">
        <x:v>Medium reef assoc. fish (30 - 89 cm)</x:v>
      </x:c>
      <x:c r="H143" s="46" t="str">
        <x:v>Perch-likes</x:v>
      </x:c>
      <x:c r="I143" s="60" t="n">
        <x:v>74.0950760222</x:v>
      </x:c>
      <x:c r="J143" s="60" t="n">
        <x:v>73.9913930555</x:v>
      </x:c>
      <x:c r="K143" s="60" t="n">
        <x:v>0.1036829667</x:v>
      </x:c>
      <x:c r="L143" s="60" t="n">
        <x:v>70.8865634477</x:v>
      </x:c>
      <x:c r="M143" s="60" t="n">
        <x:v>3.2085125745</x:v>
      </x:c>
      <x:c r="N143" s="46" t="str">
        <x:v>sphyraenidae</x:v>
      </x:c>
      <x:c r="O143" s="62" t="n">
        <x:v>4.4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Sphyraenidae</x:v>
      </x:c>
      <x:c r="T143" s="62" t="n">
        <x:f>IF(O143="","",(1/'Metadata'!$B$5)^(O143-1))</x:f>
        <x:v>26515.632138719924</x:v>
      </x:c>
      <x:c r="U143" s="60" t="n">
        <x:f>IF(T143="","",I143*T143)</x:f>
        <x:v>1964677.7790951424</x:v>
      </x:c>
    </x:row>
    <x:row r="144" ht="18" customHeight="1">
      <x:c r="A144" s="46" t="str">
        <x:v>LME_049</x:v>
      </x:c>
      <x:c r="B144" s="46" t="str">
        <x:v>Kuroshio Current</x:v>
      </x:c>
      <x:c r="C144" s="46" t="str">
        <x:v>LME</x:v>
      </x:c>
      <x:c r="D144" s="58" t="n">
        <x:v>2019</x:v>
      </x:c>
      <x:c r="E144" s="46" t="str">
        <x:v>Muraenesocidae</x:v>
      </x:c>
      <x:c r="F144" s="46" t="str">
        <x:v>Pike congers</x:v>
      </x:c>
      <x:c r="G144" s="46" t="str">
        <x:v>Large demersals (&gt;=90 cm)</x:v>
      </x:c>
      <x:c r="H144" s="46" t="str">
        <x:v>Other fishes &amp; inverts</x:v>
      </x:c>
      <x:c r="I144" s="60" t="n">
        <x:v>71.9816353719</x:v>
      </x:c>
      <x:c r="J144" s="60" t="n">
        <x:v>71.9816353719</x:v>
      </x:c>
      <x:c r="K144" s="60" t="n">
        <x:v>0</x:v>
      </x:c>
      <x:c r="L144" s="60" t="n">
        <x:v>18.5879819668</x:v>
      </x:c>
      <x:c r="M144" s="60" t="n">
        <x:v>53.3936534051</x:v>
      </x:c>
      <x:c r="N144" s="46" t="str">
        <x:v>muraenesocidae</x:v>
      </x:c>
      <x:c r="O144" s="62" t="n">
        <x:v>3.9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Muraenesocidae</x:v>
      </x:c>
      <x:c r="T144" s="62" t="n">
        <x:f>IF(O144="","",(1/'Metadata'!$B$5)^(O144-1))</x:f>
        <x:v>5929.07559285558</x:v>
      </x:c>
      <x:c r="U144" s="60" t="n">
        <x:f>IF(T144="","",I144*T144)</x:f>
        <x:v>426784.5574173622</x:v>
      </x:c>
    </x:row>
    <x:row r="145" ht="18" customHeight="1">
      <x:c r="A145" s="46" t="str">
        <x:v>LME_049</x:v>
      </x:c>
      <x:c r="B145" s="46" t="str">
        <x:v>Kuroshio Current</x:v>
      </x:c>
      <x:c r="C145" s="46" t="str">
        <x:v>LME</x:v>
      </x:c>
      <x:c r="D145" s="58" t="n">
        <x:v>2019</x:v>
      </x:c>
      <x:c r="E145" s="46" t="str">
        <x:v>Mola mola</x:v>
      </x:c>
      <x:c r="F145" s="46" t="str">
        <x:v>Ocean sunfish</x:v>
      </x:c>
      <x:c r="G145" s="46" t="str">
        <x:v>Large pelagics (&gt;=90 cm)</x:v>
      </x:c>
      <x:c r="H145" s="46" t="str">
        <x:v>Other fishes &amp; inverts</x:v>
      </x:c>
      <x:c r="I145" s="60" t="n">
        <x:v>63.2666569138</x:v>
      </x:c>
      <x:c r="J145" s="60" t="n">
        <x:v>62.9616940753</x:v>
      </x:c>
      <x:c r="K145" s="60" t="n">
        <x:v>0.3049628385</x:v>
      </x:c>
      <x:c r="L145" s="60" t="n">
        <x:v>52.250423632200004</x:v>
      </x:c>
      <x:c r="M145" s="60" t="n">
        <x:v>11.0162332816</x:v>
      </x:c>
      <x:c r="N145" s="46" t="str">
        <x:v>mola mola</x:v>
      </x:c>
      <x:c r="O145" s="62" t="n">
        <x:v>3.68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Mola mola</x:v>
      </x:c>
      <x:c r="T145" s="62" t="n">
        <x:f>IF(O145="","",(1/'Metadata'!$B$5)^(O145-1))</x:f>
        <x:v>3067.3291957408446</x:v>
      </x:c>
      <x:c r="U145" s="60" t="n">
        <x:f>IF(T145="","",I145*T145)</x:f>
        <x:v>194059.6638686181</x:v>
      </x:c>
    </x:row>
    <x:row r="146" ht="18" customHeight="1">
      <x:c r="A146" s="46" t="str">
        <x:v>LME_049</x:v>
      </x:c>
      <x:c r="B146" s="46" t="str">
        <x:v>Kuroshio Current</x:v>
      </x:c>
      <x:c r="C146" s="46" t="str">
        <x:v>LME</x:v>
      </x:c>
      <x:c r="D146" s="58" t="n">
        <x:v>2019</x:v>
      </x:c>
      <x:c r="E146" s="46" t="str">
        <x:v>Seriola dumerili</x:v>
      </x:c>
      <x:c r="F146" s="46" t="str">
        <x:v>Greater amberjack</x:v>
      </x:c>
      <x:c r="G146" s="46" t="str">
        <x:v>Large reef assoc. fish (&gt;=90 cm)</x:v>
      </x:c>
      <x:c r="H146" s="46" t="str">
        <x:v>Perch-likes</x:v>
      </x:c>
      <x:c r="I146" s="60" t="n">
        <x:v>59.5677268747</x:v>
      </x:c>
      <x:c r="J146" s="60" t="n">
        <x:v>59.5677268747</x:v>
      </x:c>
      <x:c r="K146" s="60" t="n">
        <x:v>0</x:v>
      </x:c>
      <x:c r="L146" s="60" t="n">
        <x:v>34.043013845299996</x:v>
      </x:c>
      <x:c r="M146" s="60" t="n">
        <x:v>25.5247130294</x:v>
      </x:c>
      <x:c r="N146" s="46" t="str">
        <x:v>seriola dumerili</x:v>
      </x:c>
      <x:c r="O146" s="62" t="n">
        <x:v>4.5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Seriola dumerili</x:v>
      </x:c>
      <x:c r="T146" s="62" t="n">
        <x:f>IF(O146="","",(1/'Metadata'!$B$5)^(O146-1))</x:f>
        <x:v>35777.08763999664</x:v>
      </x:c>
      <x:c r="U146" s="60" t="n">
        <x:f>IF(T146="","",I146*T146)</x:f>
        <x:v>2131159.784911525</x:v>
      </x:c>
    </x:row>
    <x:row r="147" ht="18" customHeight="1">
      <x:c r="A147" s="46" t="str">
        <x:v>LME_049</x:v>
      </x:c>
      <x:c r="B147" s="46" t="str">
        <x:v>Kuroshio Current</x:v>
      </x:c>
      <x:c r="C147" s="46" t="str">
        <x:v>LME</x:v>
      </x:c>
      <x:c r="D147" s="58" t="n">
        <x:v>2019</x:v>
      </x:c>
      <x:c r="E147" s="46" t="str">
        <x:v>Megalaspis cordyla</x:v>
      </x:c>
      <x:c r="F147" s="46" t="str">
        <x:v>Torpedo scad</x:v>
      </x:c>
      <x:c r="G147" s="46" t="str">
        <x:v>Medium pelagics (30 - 89 cm)</x:v>
      </x:c>
      <x:c r="H147" s="46" t="str">
        <x:v>Perch-likes</x:v>
      </x:c>
      <x:c r="I147" s="60" t="n">
        <x:v>55.430825478500005</x:v>
      </x:c>
      <x:c r="J147" s="60" t="n">
        <x:v>54.2577846104</x:v>
      </x:c>
      <x:c r="K147" s="60" t="n">
        <x:v>1.1730408681</x:v>
      </x:c>
      <x:c r="L147" s="60" t="n">
        <x:v>24.2897336644</x:v>
      </x:c>
      <x:c r="M147" s="60" t="n">
        <x:v>31.1410918141</x:v>
      </x:c>
      <x:c r="N147" s="46" t="str">
        <x:v>megalaspis cordyla</x:v>
      </x:c>
      <x:c r="O147" s="62" t="n">
        <x:v>4.24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Megalaspis cordyla</x:v>
      </x:c>
      <x:c r="T147" s="62" t="n">
        <x:f>IF(O147="","",(1/'Metadata'!$B$5)^(O147-1))</x:f>
        <x:v>16418.64020623336</x:v>
      </x:c>
      <x:c r="U147" s="60" t="n">
        <x:f>IF(T147="","",I147*T147)</x:f>
        <x:v>910098.7798660046</x:v>
      </x:c>
    </x:row>
    <x:row r="148" ht="18" customHeight="1">
      <x:c r="A148" s="46" t="str">
        <x:v>LME_049</x:v>
      </x:c>
      <x:c r="B148" s="46" t="str">
        <x:v>Kuroshio Current</x:v>
      </x:c>
      <x:c r="C148" s="46" t="str">
        <x:v>LME</x:v>
      </x:c>
      <x:c r="D148" s="58" t="n">
        <x:v>2019</x:v>
      </x:c>
      <x:c r="E148" s="46" t="str">
        <x:v>Pagrus auratus</x:v>
      </x:c>
      <x:c r="F148" s="46" t="str">
        <x:v>Silver seabream</x:v>
      </x:c>
      <x:c r="G148" s="46" t="str">
        <x:v>Large demersals (&gt;=90 cm)</x:v>
      </x:c>
      <x:c r="H148" s="46" t="str">
        <x:v>Perch-likes</x:v>
      </x:c>
      <x:c r="I148" s="60" t="n">
        <x:v>53.6352502965</x:v>
      </x:c>
      <x:c r="J148" s="60" t="n">
        <x:v>53.1522263955</x:v>
      </x:c>
      <x:c r="K148" s="60" t="n">
        <x:v>0.48302390100000003</x:v>
      </x:c>
      <x:c r="L148" s="60" t="n">
        <x:v>50.473506974399996</x:v>
      </x:c>
      <x:c r="M148" s="60" t="n">
        <x:v>3.1617433221000004</x:v>
      </x:c>
      <x:c r="N148" s="46" t="str">
        <x:v>pagrus auratus</x:v>
      </x:c>
      <x:c r="O148" s="62" t="n">
        <x:v>3.59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Pagrus auratus</x:v>
      </x:c>
      <x:c r="T148" s="62" t="n">
        <x:f>IF(O148="","",(1/'Metadata'!$B$5)^(O148-1))</x:f>
        <x:v>2342.4357563948306</x:v>
      </x:c>
      <x:c r="U148" s="60" t="n">
        <x:f>IF(T148="","",I148*T148)</x:f>
        <x:v>125637.12809770803</x:v>
      </x:c>
    </x:row>
    <x:row r="149" ht="18" customHeight="1">
      <x:c r="A149" s="46" t="str">
        <x:v>LME_049</x:v>
      </x:c>
      <x:c r="B149" s="46" t="str">
        <x:v>Kuroshio Current</x:v>
      </x:c>
      <x:c r="C149" s="46" t="str">
        <x:v>LME</x:v>
      </x:c>
      <x:c r="D149" s="58" t="n">
        <x:v>2019</x:v>
      </x:c>
      <x:c r="E149" s="46" t="str">
        <x:v>Acanthopagrus schlegelii</x:v>
      </x:c>
      <x:c r="F149" s="46" t="str">
        <x:v>Blackhead seabream</x:v>
      </x:c>
      <x:c r="G149" s="46" t="str">
        <x:v>Medium demersals (30 - 89 cm)</x:v>
      </x:c>
      <x:c r="H149" s="46" t="str">
        <x:v>Perch-likes</x:v>
      </x:c>
      <x:c r="I149" s="60" t="n">
        <x:v>53.6281592195</x:v>
      </x:c>
      <x:c r="J149" s="60" t="n">
        <x:v>51.971036736900004</x:v>
      </x:c>
      <x:c r="K149" s="60" t="n">
        <x:v>1.6571224826</x:v>
      </x:c>
      <x:c r="L149" s="60" t="n">
        <x:v>42.9404802107</x:v>
      </x:c>
      <x:c r="M149" s="60" t="n">
        <x:v>10.6876790088</x:v>
      </x:c>
      <x:c r="N149" s="46" t="str">
        <x:v>acanthopagrus schlegelii</x:v>
      </x:c>
      <x:c r="O149" s="62" t="n">
        <x:v>3.24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Acanthopagrus schlegelii</x:v>
      </x:c>
      <x:c r="T149" s="62" t="n">
        <x:f>IF(O149="","",(1/'Metadata'!$B$5)^(O149-1))</x:f>
        <x:v>820.9320103116679</x:v>
      </x:c>
      <x:c r="U149" s="60" t="n">
        <x:f>IF(T149="","",I149*T149)</x:f>
        <x:v>44025.07255737834</x:v>
      </x:c>
    </x:row>
    <x:row r="150" ht="18" customHeight="1">
      <x:c r="A150" s="46" t="str">
        <x:v>LME_049</x:v>
      </x:c>
      <x:c r="B150" s="46" t="str">
        <x:v>Kuroshio Current</x:v>
      </x:c>
      <x:c r="C150" s="46" t="str">
        <x:v>LME</x:v>
      </x:c>
      <x:c r="D150" s="58" t="n">
        <x:v>2019</x:v>
      </x:c>
      <x:c r="E150" s="46" t="str">
        <x:v>Ibacus ciliatus</x:v>
      </x:c>
      <x:c r="F150" s="46" t="str">
        <x:v>Sand Crayfish</x:v>
      </x:c>
      <x:c r="G150" s="46" t="str">
        <x:v>Lobsters, crabs</x:v>
      </x:c>
      <x:c r="H150" s="46" t="str">
        <x:v>Crustaceans</x:v>
      </x:c>
      <x:c r="I150" s="60" t="n">
        <x:v>53.5974739762</x:v>
      </x:c>
      <x:c r="J150" s="60" t="n">
        <x:v>0.157210582</x:v>
      </x:c>
      <x:c r="K150" s="60" t="n">
        <x:v>53.4402633942</x:v>
      </x:c>
      <x:c r="L150" s="60" t="n">
        <x:v>0.157210582</x:v>
      </x:c>
      <x:c r="M150" s="60" t="n">
        <x:v>53.4402633942</x:v>
      </x:c>
      <x:c r="N150" s="46" t="str">
        <x:v>ibacus ciliatus</x:v>
      </x:c>
      <x:c r="O150" s="62" t="n">
        <x:v>2.6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Ibacus ciliatus</x:v>
      </x:c>
      <x:c r="T150" s="62" t="n">
        <x:f>IF(O150="","",(1/'Metadata'!$B$5)^(O150-1))</x:f>
        <x:v>120.6835267309033</x:v>
      </x:c>
      <x:c r="U150" s="60" t="n">
        <x:f>IF(T150="","",I150*T150)</x:f>
        <x:v>6468.332183315626</x:v>
      </x:c>
    </x:row>
    <x:row r="151" ht="18" customHeight="1">
      <x:c r="A151" s="46" t="str">
        <x:v>LME_049</x:v>
      </x:c>
      <x:c r="B151" s="46" t="str">
        <x:v>Kuroshio Current</x:v>
      </x:c>
      <x:c r="C151" s="46" t="str">
        <x:v>LME</x:v>
      </x:c>
      <x:c r="D151" s="58" t="n">
        <x:v>2019</x:v>
      </x:c>
      <x:c r="E151" s="46" t="str">
        <x:v>Trichiuridae</x:v>
      </x:c>
      <x:c r="F151" s="46" t="str">
        <x:v>Cutlassfishes</x:v>
      </x:c>
      <x:c r="G151" s="46" t="str">
        <x:v>Large benthopelagics (&gt;=90 cm)</x:v>
      </x:c>
      <x:c r="H151" s="46" t="str">
        <x:v>Perch-likes</x:v>
      </x:c>
      <x:c r="I151" s="60" t="n">
        <x:v>52.5413178367</x:v>
      </x:c>
      <x:c r="J151" s="60" t="n">
        <x:v>52.5413178367</x:v>
      </x:c>
      <x:c r="K151" s="60" t="n">
        <x:v>0</x:v>
      </x:c>
      <x:c r="L151" s="60" t="n">
        <x:v>13.4236232347</x:v>
      </x:c>
      <x:c r="M151" s="60" t="n">
        <x:v>39.117694602</x:v>
      </x:c>
      <x:c r="N151" s="46" t="str">
        <x:v>trichiuridae</x:v>
      </x:c>
      <x:c r="O151" s="62" t="n">
        <x:v>4.15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Trichiuridae</x:v>
      </x:c>
      <x:c r="T151" s="62" t="n">
        <x:f>IF(O151="","",(1/'Metadata'!$B$5)^(O151-1))</x:f>
        <x:v>12538.46830130465</x:v>
      </x:c>
      <x:c r="U151" s="60" t="n">
        <x:f>IF(T151="","",I151*T151)</x:f>
        <x:v>658787.6482042356</x:v>
      </x:c>
    </x:row>
    <x:row r="152" ht="18" customHeight="1">
      <x:c r="A152" s="46" t="str">
        <x:v>LME_049</x:v>
      </x:c>
      <x:c r="B152" s="46" t="str">
        <x:v>Kuroshio Current</x:v>
      </x:c>
      <x:c r="C152" s="46" t="str">
        <x:v>LME</x:v>
      </x:c>
      <x:c r="D152" s="58" t="n">
        <x:v>2019</x:v>
      </x:c>
      <x:c r="E152" s="46" t="str">
        <x:v>Epinephelus maculatus</x:v>
      </x:c>
      <x:c r="F152" s="46" t="str">
        <x:v>Highfin grouper</x:v>
      </x:c>
      <x:c r="G152" s="46" t="str">
        <x:v>Medium reef assoc. fish (30 - 89 cm)</x:v>
      </x:c>
      <x:c r="H152" s="46" t="str">
        <x:v>Perch-likes</x:v>
      </x:c>
      <x:c r="I152" s="60" t="n">
        <x:v>51.584124109600005</x:v>
      </x:c>
      <x:c r="J152" s="60" t="n">
        <x:v>51.584124109600005</x:v>
      </x:c>
      <x:c r="K152" s="60" t="n">
        <x:v>0</x:v>
      </x:c>
      <x:c r="L152" s="60" t="n">
        <x:v>0</x:v>
      </x:c>
      <x:c r="M152" s="60" t="n">
        <x:v>51.584124109600005</x:v>
      </x:c>
      <x:c r="N152" s="46" t="str">
        <x:v>epinephelus maculatus</x:v>
      </x:c>
      <x:c r="O152" s="62" t="n">
        <x:v>3.98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Epinephelus maculatus</x:v>
      </x:c>
      <x:c r="T152" s="62" t="n">
        <x:f>IF(O152="","",(1/'Metadata'!$B$5)^(O152-1))</x:f>
        <x:v>7534.759367064222</x:v>
      </x:c>
      <x:c r="U152" s="60" t="n">
        <x:f>IF(T152="","",I152*T152)</x:f>
        <x:v>388673.962326612</x:v>
      </x:c>
    </x:row>
    <x:row r="153" ht="18" customHeight="1">
      <x:c r="A153" s="46" t="str">
        <x:v>LME_049</x:v>
      </x:c>
      <x:c r="B153" s="46" t="str">
        <x:v>Kuroshio Current</x:v>
      </x:c>
      <x:c r="C153" s="46" t="str">
        <x:v>LME</x:v>
      </x:c>
      <x:c r="D153" s="58" t="n">
        <x:v>2019</x:v>
      </x:c>
      <x:c r="E153" s="46" t="str">
        <x:v>Auxis rochei</x:v>
      </x:c>
      <x:c r="F153" s="46" t="str">
        <x:v>Bullet tuna</x:v>
      </x:c>
      <x:c r="G153" s="46" t="str">
        <x:v>Medium pelagics (30 - 89 cm)</x:v>
      </x:c>
      <x:c r="H153" s="46" t="str">
        <x:v>Tuna &amp; billfishes</x:v>
      </x:c>
      <x:c r="I153" s="60" t="n">
        <x:v>46.8771139889</x:v>
      </x:c>
      <x:c r="J153" s="60" t="n">
        <x:v>0</x:v>
      </x:c>
      <x:c r="K153" s="60" t="n">
        <x:v>46.8771139889</x:v>
      </x:c>
      <x:c r="L153" s="60" t="n">
        <x:v>0</x:v>
      </x:c>
      <x:c r="M153" s="60" t="n">
        <x:v>46.8771139889</x:v>
      </x:c>
      <x:c r="N153" s="46" t="str">
        <x:v>auxis rochei</x:v>
      </x:c>
      <x:c r="O153" s="62" t="n">
        <x:v>4.13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Auxis rochei</x:v>
      </x:c>
      <x:c r="T153" s="62" t="n">
        <x:f>IF(O153="","",(1/'Metadata'!$B$5)^(O153-1))</x:f>
        <x:v>11809.292685236613</x:v>
      </x:c>
      <x:c r="U153" s="60" t="n">
        <x:f>IF(T153="","",I153*T153)</x:f>
        <x:v>553585.5593341197</x:v>
      </x:c>
    </x:row>
    <x:row r="154" ht="18" customHeight="1">
      <x:c r="A154" s="46" t="str">
        <x:v>LME_049</x:v>
      </x:c>
      <x:c r="B154" s="46" t="str">
        <x:v>Kuroshio Current</x:v>
      </x:c>
      <x:c r="C154" s="46" t="str">
        <x:v>LME</x:v>
      </x:c>
      <x:c r="D154" s="58" t="n">
        <x:v>2019</x:v>
      </x:c>
      <x:c r="E154" s="46" t="str">
        <x:v>Parastromateus niger</x:v>
      </x:c>
      <x:c r="F154" s="46" t="str">
        <x:v>Black pomfret</x:v>
      </x:c>
      <x:c r="G154" s="46" t="str">
        <x:v>Medium benthopelagics (30 - 89 cm)</x:v>
      </x:c>
      <x:c r="H154" s="46" t="str">
        <x:v>Perch-likes</x:v>
      </x:c>
      <x:c r="I154" s="60" t="n">
        <x:v>46.843349877099996</x:v>
      </x:c>
      <x:c r="J154" s="60" t="n">
        <x:v>39.0252526322</x:v>
      </x:c>
      <x:c r="K154" s="60" t="n">
        <x:v>7.818097244900001</x:v>
      </x:c>
      <x:c r="L154" s="60" t="n">
        <x:v>38.7430607125</x:v>
      </x:c>
      <x:c r="M154" s="60" t="n">
        <x:v>8.1002891646</x:v>
      </x:c>
      <x:c r="N154" s="46" t="str">
        <x:v>parastromateus niger</x:v>
      </x:c>
      <x:c r="O154" s="62" t="n">
        <x:v>2.93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Parastromateus niger</x:v>
      </x:c>
      <x:c r="T154" s="62" t="n">
        <x:f>IF(O154="","",(1/'Metadata'!$B$5)^(O154-1))</x:f>
        <x:v>324.3305747088626</x:v>
      </x:c>
      <x:c r="U154" s="60" t="n">
        <x:f>IF(T154="","",I154*T154)</x:f>
        <x:v>15192.730586928172</x:v>
      </x:c>
    </x:row>
    <x:row r="155" ht="18" customHeight="1">
      <x:c r="A155" s="46" t="str">
        <x:v>LME_049</x:v>
      </x:c>
      <x:c r="B155" s="46" t="str">
        <x:v>Kuroshio Current</x:v>
      </x:c>
      <x:c r="C155" s="46" t="str">
        <x:v>LME</x:v>
      </x:c>
      <x:c r="D155" s="58" t="n">
        <x:v>2019</x:v>
      </x:c>
      <x:c r="E155" s="46" t="str">
        <x:v>Decapterus</x:v>
      </x:c>
      <x:c r="F155" s="46" t="str">
        <x:v>Scads</x:v>
      </x:c>
      <x:c r="G155" s="46" t="str">
        <x:v>Medium pelagics (30 - 89 cm)</x:v>
      </x:c>
      <x:c r="H155" s="46" t="str">
        <x:v>Perch-likes</x:v>
      </x:c>
      <x:c r="I155" s="60" t="n">
        <x:v>46.2338809629</x:v>
      </x:c>
      <x:c r="J155" s="60" t="n">
        <x:v>40.0751613472</x:v>
      </x:c>
      <x:c r="K155" s="60" t="n">
        <x:v>6.1587196157</x:v>
      </x:c>
      <x:c r="L155" s="60" t="n">
        <x:v>0</x:v>
      </x:c>
      <x:c r="M155" s="60" t="n">
        <x:v>46.2338809629</x:v>
      </x:c>
      <x:c r="N155" s="46" t="str">
        <x:v>decapterus</x:v>
      </x:c>
      <x:c r="O155" s="62" t="n">
        <x:v>3.63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Decapterus</x:v>
      </x:c>
      <x:c r="T155" s="62" t="n">
        <x:f>IF(O155="","",(1/'Metadata'!$B$5)^(O155-1))</x:f>
        <x:v>2640.638121038009</x:v>
      </x:c>
      <x:c r="U155" s="60" t="n">
        <x:f>IF(T155="","",I155*T155)</x:f>
        <x:v>122086.94855416725</x:v>
      </x:c>
    </x:row>
    <x:row r="156" ht="18" customHeight="1">
      <x:c r="A156" s="46" t="str">
        <x:v>LME_049</x:v>
      </x:c>
      <x:c r="B156" s="46" t="str">
        <x:v>Kuroshio Current</x:v>
      </x:c>
      <x:c r="C156" s="46" t="str">
        <x:v>LME</x:v>
      </x:c>
      <x:c r="D156" s="58" t="n">
        <x:v>2019</x:v>
      </x:c>
      <x:c r="E156" s="46" t="str">
        <x:v>Zenopsis nebulosa</x:v>
      </x:c>
      <x:c r="F156" s="46" t="str">
        <x:v>Mirror dory</x:v>
      </x:c>
      <x:c r="G156" s="46" t="str">
        <x:v>Medium bathydemersals (30 - 89 cm)</x:v>
      </x:c>
      <x:c r="H156" s="46" t="str">
        <x:v>Other fishes &amp; inverts</x:v>
      </x:c>
      <x:c r="I156" s="60" t="n">
        <x:v>39.6946494197</x:v>
      </x:c>
      <x:c r="J156" s="60" t="n">
        <x:v>39.6946494197</x:v>
      </x:c>
      <x:c r="K156" s="60" t="n">
        <x:v>0</x:v>
      </x:c>
      <x:c r="L156" s="60" t="n">
        <x:v>39.6946494197</x:v>
      </x:c>
      <x:c r="M156" s="60" t="n">
        <x:v>0</x:v>
      </x:c>
      <x:c r="N156" s="46" t="str">
        <x:v>zenopsis nebulosa</x:v>
      </x:c>
      <x:c r="O156" s="62" t="n">
        <x:v>3.98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Zenopsis nebulosa</x:v>
      </x:c>
      <x:c r="T156" s="62" t="n">
        <x:f>IF(O156="","",(1/'Metadata'!$B$5)^(O156-1))</x:f>
        <x:v>7534.759367064222</x:v>
      </x:c>
      <x:c r="U156" s="60" t="n">
        <x:f>IF(T156="","",I156*T156)</x:f>
        <x:v>299089.63153741497</x:v>
      </x:c>
    </x:row>
    <x:row r="157" ht="18" customHeight="1">
      <x:c r="A157" s="46" t="str">
        <x:v>LME_049</x:v>
      </x:c>
      <x:c r="B157" s="46" t="str">
        <x:v>Kuroshio Current</x:v>
      </x:c>
      <x:c r="C157" s="46" t="str">
        <x:v>LME</x:v>
      </x:c>
      <x:c r="D157" s="58" t="n">
        <x:v>2019</x:v>
      </x:c>
      <x:c r="E157" s="46" t="str">
        <x:v>Metapenaeus joyneri</x:v>
      </x:c>
      <x:c r="F157" s="46" t="str">
        <x:v>Shiba shrimp</x:v>
      </x:c>
      <x:c r="G157" s="46" t="str">
        <x:v>Shrimps</x:v>
      </x:c>
      <x:c r="H157" s="46" t="str">
        <x:v>Crustaceans</x:v>
      </x:c>
      <x:c r="I157" s="60" t="n">
        <x:v>39.114776049599996</x:v>
      </x:c>
      <x:c r="J157" s="60" t="n">
        <x:v>39.0004498896</x:v>
      </x:c>
      <x:c r="K157" s="60" t="n">
        <x:v>0.11432616</x:v>
      </x:c>
      <x:c r="L157" s="60" t="n">
        <x:v>38.9624521541</x:v>
      </x:c>
      <x:c r="M157" s="60" t="n">
        <x:v>0.1523238955</x:v>
      </x:c>
      <x:c r="N157" s="46" t="str">
        <x:v>metapenaeus joyneri</x:v>
      </x:c>
      <x:c r="O157" s="62" t="n">
        <x:v>3.2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Metapenaeus joyneri</x:v>
      </x:c>
      <x:c r="T157" s="62" t="n">
        <x:f>IF(O157="","",(1/'Metadata'!$B$5)^(O157-1))</x:f>
        <x:v>728.2256812104325</x:v>
      </x:c>
      <x:c r="U157" s="60" t="n">
        <x:f>IF(T157="","",I157*T157)</x:f>
        <x:v>28484.384434113468</x:v>
      </x:c>
    </x:row>
    <x:row r="158" ht="18" customHeight="1">
      <x:c r="A158" s="46" t="str">
        <x:v>LME_049</x:v>
      </x:c>
      <x:c r="B158" s="46" t="str">
        <x:v>Kuroshio Current</x:v>
      </x:c>
      <x:c r="C158" s="46" t="str">
        <x:v>LME</x:v>
      </x:c>
      <x:c r="D158" s="58" t="n">
        <x:v>2019</x:v>
      </x:c>
      <x:c r="E158" s="46" t="str">
        <x:v>Nemipterus virgatus</x:v>
      </x:c>
      <x:c r="F158" s="46" t="str">
        <x:v>Golden threadfin bream</x:v>
      </x:c>
      <x:c r="G158" s="46" t="str">
        <x:v>Medium demersals (30 - 89 cm)</x:v>
      </x:c>
      <x:c r="H158" s="46" t="str">
        <x:v>Perch-likes</x:v>
      </x:c>
      <x:c r="I158" s="60" t="n">
        <x:v>33.8604760072</x:v>
      </x:c>
      <x:c r="J158" s="60" t="n">
        <x:v>24.6122394499</x:v>
      </x:c>
      <x:c r="K158" s="60" t="n">
        <x:v>9.2482365573</x:v>
      </x:c>
      <x:c r="L158" s="60" t="n">
        <x:v>24.6056743514</x:v>
      </x:c>
      <x:c r="M158" s="60" t="n">
        <x:v>9.2548016558</x:v>
      </x:c>
      <x:c r="N158" s="46" t="str">
        <x:v>nemipterus virgatus</x:v>
      </x:c>
      <x:c r="O158" s="62" t="n">
        <x:v>3.99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Nemipterus virgatus</x:v>
      </x:c>
      <x:c r="T158" s="62" t="n">
        <x:f>IF(O158="","",(1/'Metadata'!$B$5)^(O158-1))</x:f>
        <x:v>7763.895603143686</x:v>
      </x:c>
      <x:c r="U158" s="60" t="n">
        <x:f>IF(T158="","",I158*T158)</x:f>
        <x:v>262889.2007926523</x:v>
      </x:c>
    </x:row>
    <x:row r="159" ht="18" customHeight="1">
      <x:c r="A159" s="46" t="str">
        <x:v>LME_049</x:v>
      </x:c>
      <x:c r="B159" s="46" t="str">
        <x:v>Kuroshio Current</x:v>
      </x:c>
      <x:c r="C159" s="46" t="str">
        <x:v>LME</x:v>
      </x:c>
      <x:c r="D159" s="58" t="n">
        <x:v>2019</x:v>
      </x:c>
      <x:c r="E159" s="46" t="str">
        <x:v>Carcharhinus falciformis</x:v>
      </x:c>
      <x:c r="F159" s="46" t="str">
        <x:v>Silky shark</x:v>
      </x:c>
      <x:c r="G159" s="46" t="str">
        <x:v>Large sharks (&gt;=90 cm)</x:v>
      </x:c>
      <x:c r="H159" s="46" t="str">
        <x:v>Sharks &amp; rays</x:v>
      </x:c>
      <x:c r="I159" s="60" t="n">
        <x:v>32.7825362515</x:v>
      </x:c>
      <x:c r="J159" s="60" t="n">
        <x:v>0.317840083</x:v>
      </x:c>
      <x:c r="K159" s="60" t="n">
        <x:v>32.4646961685</x:v>
      </x:c>
      <x:c r="L159" s="60" t="n">
        <x:v>0.317840083</x:v>
      </x:c>
      <x:c r="M159" s="60" t="n">
        <x:v>32.4646961685</x:v>
      </x:c>
      <x:c r="N159" s="46" t="str">
        <x:v>carcharhinus falciformis</x:v>
      </x:c>
      <x:c r="O159" s="62" t="n">
        <x:v>4.51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Carcharhinus falciformis</x:v>
      </x:c>
      <x:c r="T159" s="62" t="n">
        <x:f>IF(O159="","",(1/'Metadata'!$B$5)^(O159-1))</x:f>
        <x:v>36865.088835568684</x:v>
      </x:c>
      <x:c r="U159" s="60" t="n">
        <x:f>IF(T159="","",I159*T159)</x:f>
        <x:v>1208531.1111667983</x:v>
      </x:c>
    </x:row>
    <x:row r="160" ht="18" customHeight="1">
      <x:c r="A160" s="46" t="str">
        <x:v>LME_049</x:v>
      </x:c>
      <x:c r="B160" s="46" t="str">
        <x:v>Kuroshio Current</x:v>
      </x:c>
      <x:c r="C160" s="46" t="str">
        <x:v>LME</x:v>
      </x:c>
      <x:c r="D160" s="58" t="n">
        <x:v>2019</x:v>
      </x:c>
      <x:c r="E160" s="46" t="str">
        <x:v>Sphyraena</x:v>
      </x:c>
      <x:c r="F160" s="46" t="str">
        <x:v>Barracudas, sennets</x:v>
      </x:c>
      <x:c r="G160" s="46" t="str">
        <x:v>Large pelagics (&gt;=90 cm)</x:v>
      </x:c>
      <x:c r="H160" s="46" t="str">
        <x:v>Perch-likes</x:v>
      </x:c>
      <x:c r="I160" s="60" t="n">
        <x:v>32.4100166417</x:v>
      </x:c>
      <x:c r="J160" s="60" t="n">
        <x:v>32.4100166417</x:v>
      </x:c>
      <x:c r="K160" s="60" t="n">
        <x:v>0</x:v>
      </x:c>
      <x:c r="L160" s="60" t="n">
        <x:v>25.6766659147</x:v>
      </x:c>
      <x:c r="M160" s="60" t="n">
        <x:v>6.7333507269999995</x:v>
      </x:c>
      <x:c r="N160" s="46" t="str">
        <x:v>sphyraena</x:v>
      </x:c>
      <x:c r="O160" s="62" t="n">
        <x:v>4.4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Sphyraena</x:v>
      </x:c>
      <x:c r="T160" s="62" t="n">
        <x:f>IF(O160="","",(1/'Metadata'!$B$5)^(O160-1))</x:f>
        <x:v>26515.632138719924</x:v>
      </x:c>
      <x:c r="U160" s="60" t="n">
        <x:f>IF(T160="","",I160*T160)</x:f>
        <x:v>859372.078881108</x:v>
      </x:c>
    </x:row>
    <x:row r="161" ht="18" customHeight="1">
      <x:c r="A161" s="46" t="str">
        <x:v>LME_049</x:v>
      </x:c>
      <x:c r="B161" s="46" t="str">
        <x:v>Kuroshio Current</x:v>
      </x:c>
      <x:c r="C161" s="46" t="str">
        <x:v>LME</x:v>
      </x:c>
      <x:c r="D161" s="58" t="n">
        <x:v>2019</x:v>
      </x:c>
      <x:c r="E161" s="46" t="str">
        <x:v>Pampus argenteus</x:v>
      </x:c>
      <x:c r="F161" s="46" t="str">
        <x:v>Silver pomfret</x:v>
      </x:c>
      <x:c r="G161" s="46" t="str">
        <x:v>Medium benthopelagics (30 - 89 cm)</x:v>
      </x:c>
      <x:c r="H161" s="46" t="str">
        <x:v>Perch-likes</x:v>
      </x:c>
      <x:c r="I161" s="60" t="n">
        <x:v>31.3985123129</x:v>
      </x:c>
      <x:c r="J161" s="60" t="n">
        <x:v>27.8280889437</x:v>
      </x:c>
      <x:c r="K161" s="60" t="n">
        <x:v>3.5704233692</x:v>
      </x:c>
      <x:c r="L161" s="60" t="n">
        <x:v>23.1061266395</x:v>
      </x:c>
      <x:c r="M161" s="60" t="n">
        <x:v>8.2923856734</x:v>
      </x:c>
      <x:c r="N161" s="46" t="str">
        <x:v>pampus argenteus</x:v>
      </x:c>
      <x:c r="O161" s="62" t="n">
        <x:v>3.3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Pampus argenteus</x:v>
      </x:c>
      <x:c r="T161" s="62" t="n">
        <x:f>IF(O161="","",(1/'Metadata'!$B$5)^(O161-1))</x:f>
        <x:v>982.5824208926318</x:v>
      </x:c>
      <x:c r="U161" s="60" t="n">
        <x:f>IF(T161="","",I161*T161)</x:f>
        <x:v>30851.62624083639</x:v>
      </x:c>
    </x:row>
    <x:row r="162" ht="18" customHeight="1">
      <x:c r="A162" s="46" t="str">
        <x:v>LME_049</x:v>
      </x:c>
      <x:c r="B162" s="46" t="str">
        <x:v>Kuroshio Current</x:v>
      </x:c>
      <x:c r="C162" s="46" t="str">
        <x:v>LME</x:v>
      </x:c>
      <x:c r="D162" s="58" t="n">
        <x:v>2019</x:v>
      </x:c>
      <x:c r="E162" s="46" t="str">
        <x:v>Scyllaridae</x:v>
      </x:c>
      <x:c r="F162" s="46" t="str">
        <x:v>Slipper lobsters</x:v>
      </x:c>
      <x:c r="G162" s="46" t="str">
        <x:v>Lobsters, crabs</x:v>
      </x:c>
      <x:c r="H162" s="46" t="str">
        <x:v>Crustaceans</x:v>
      </x:c>
      <x:c r="I162" s="60" t="n">
        <x:v>30.990164669800002</x:v>
      </x:c>
      <x:c r="J162" s="60" t="n">
        <x:v>29.9130547162</x:v>
      </x:c>
      <x:c r="K162" s="60" t="n">
        <x:v>1.0771099536</x:v>
      </x:c>
      <x:c r="L162" s="60" t="n">
        <x:v>29.9130547162</x:v>
      </x:c>
      <x:c r="M162" s="60" t="n">
        <x:v>1.0771099536</x:v>
      </x:c>
      <x:c r="N162" s="46" t="str">
        <x:v>scyllaridae</x:v>
      </x:c>
      <x:c r="O162" s="62" t="n">
        <x:v>2.87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Scyllaridae</x:v>
      </x:c>
      <x:c r="T162" s="62" t="n">
        <x:f>IF(O162="","",(1/'Metadata'!$B$5)^(O162-1))</x:f>
        <x:v>270.9730451511698</x:v>
      </x:c>
      <x:c r="U162" s="60" t="n">
        <x:f>IF(T162="","",I162*T162)</x:f>
        <x:v>8397.499290311904</x:v>
      </x:c>
    </x:row>
    <x:row r="163" ht="18" customHeight="1">
      <x:c r="A163" s="46" t="str">
        <x:v>LME_049</x:v>
      </x:c>
      <x:c r="B163" s="46" t="str">
        <x:v>Kuroshio Current</x:v>
      </x:c>
      <x:c r="C163" s="46" t="str">
        <x:v>LME</x:v>
      </x:c>
      <x:c r="D163" s="58" t="n">
        <x:v>2019</x:v>
      </x:c>
      <x:c r="E163" s="46" t="str">
        <x:v>Istiophoridae</x:v>
      </x:c>
      <x:c r="F163" s="46" t="str">
        <x:v>Billfishes</x:v>
      </x:c>
      <x:c r="G163" s="46" t="str">
        <x:v>Large pelagics (&gt;=90 cm)</x:v>
      </x:c>
      <x:c r="H163" s="46" t="str">
        <x:v>Tuna &amp; billfishes</x:v>
      </x:c>
      <x:c r="I163" s="60" t="n">
        <x:v>27.209251035</x:v>
      </x:c>
      <x:c r="J163" s="60" t="n">
        <x:v>24.8905991717</x:v>
      </x:c>
      <x:c r="K163" s="60" t="n">
        <x:v>2.3186518633</x:v>
      </x:c>
      <x:c r="L163" s="60" t="n">
        <x:v>24.8905991717</x:v>
      </x:c>
      <x:c r="M163" s="60" t="n">
        <x:v>2.3186518633</x:v>
      </x:c>
      <x:c r="N163" s="46" t="str">
        <x:v>istiophoridae</x:v>
      </x:c>
      <x:c r="O163" s="62" t="n">
        <x:v>4.48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Istiophoridae</x:v>
      </x:c>
      <x:c r="T163" s="62" t="n">
        <x:f>IF(O163="","",(1/'Metadata'!$B$5)^(O163-1))</x:f>
        <x:v>33696.468277717824</x:v>
      </x:c>
      <x:c r="U163" s="60" t="n">
        <x:f>IF(T163="","",I163*T163)</x:f>
        <x:v>916855.6643613384</x:v>
      </x:c>
    </x:row>
    <x:row r="164" ht="18" customHeight="1">
      <x:c r="A164" s="46" t="str">
        <x:v>LME_049</x:v>
      </x:c>
      <x:c r="B164" s="46" t="str">
        <x:v>Kuroshio Current</x:v>
      </x:c>
      <x:c r="C164" s="46" t="str">
        <x:v>LME</x:v>
      </x:c>
      <x:c r="D164" s="58" t="n">
        <x:v>2019</x:v>
      </x:c>
      <x:c r="E164" s="46" t="str">
        <x:v>Lutjanidae</x:v>
      </x:c>
      <x:c r="F164" s="46" t="str">
        <x:v>Snappers</x:v>
      </x:c>
      <x:c r="G164" s="46" t="str">
        <x:v>Medium reef assoc. fish (30 - 89 cm)</x:v>
      </x:c>
      <x:c r="H164" s="46" t="str">
        <x:v>Perch-likes</x:v>
      </x:c>
      <x:c r="I164" s="60" t="n">
        <x:v>26.8910178258</x:v>
      </x:c>
      <x:c r="J164" s="60" t="n">
        <x:v>26.5248735366</x:v>
      </x:c>
      <x:c r="K164" s="60" t="n">
        <x:v>0.36614428920000003</x:v>
      </x:c>
      <x:c r="L164" s="60" t="n">
        <x:v>14.6322622042</x:v>
      </x:c>
      <x:c r="M164" s="60" t="n">
        <x:v>12.258755621599999</x:v>
      </x:c>
      <x:c r="N164" s="46" t="str">
        <x:v>lutjanidae</x:v>
      </x:c>
      <x:c r="O164" s="62" t="n">
        <x:v>4.02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Lutjanidae</x:v>
      </x:c>
      <x:c r="T164" s="62" t="n">
        <x:f>IF(O164="","",(1/'Metadata'!$B$5)^(O164-1))</x:f>
        <x:v>8493.967342839818</x:v>
      </x:c>
      <x:c r="U164" s="60" t="n">
        <x:f>IF(T164="","",I164*T164)</x:f>
        <x:v>228411.4272280686</x:v>
      </x:c>
    </x:row>
    <x:row r="165" ht="18" customHeight="1">
      <x:c r="A165" s="46" t="str">
        <x:v>LME_049</x:v>
      </x:c>
      <x:c r="B165" s="46" t="str">
        <x:v>Kuroshio Current</x:v>
      </x:c>
      <x:c r="C165" s="46" t="str">
        <x:v>LME</x:v>
      </x:c>
      <x:c r="D165" s="58" t="n">
        <x:v>2019</x:v>
      </x:c>
      <x:c r="E165" s="46" t="str">
        <x:v>Gobiidae</x:v>
      </x:c>
      <x:c r="F165" s="46" t="str">
        <x:v>Gobies</x:v>
      </x:c>
      <x:c r="G165" s="46" t="str">
        <x:v>Small reef assoc. fish (&lt;30 cm)</x:v>
      </x:c>
      <x:c r="H165" s="46" t="str">
        <x:v>Perch-likes</x:v>
      </x:c>
      <x:c r="I165" s="60" t="n">
        <x:v>24.165266374599998</x:v>
      </x:c>
      <x:c r="J165" s="60" t="n">
        <x:v>24.1545422302</x:v>
      </x:c>
      <x:c r="K165" s="60" t="n">
        <x:v>0.0107241444</x:v>
      </x:c>
      <x:c r="L165" s="60" t="n">
        <x:v>24.117958446899998</x:v>
      </x:c>
      <x:c r="M165" s="60" t="n">
        <x:v>0.047307927699999995</x:v>
      </x:c>
      <x:c r="N165" s="46" t="str">
        <x:v>gobiidae</x:v>
      </x:c>
      <x:c r="O165" s="62" t="n">
        <x:v>3.11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Gobiidae</x:v>
      </x:c>
      <x:c r="T165" s="62" t="n">
        <x:f>IF(O165="","",(1/'Metadata'!$B$5)^(O165-1))</x:f>
        <x:v>556.1261167405597</x:v>
      </x:c>
      <x:c r="U165" s="60" t="n">
        <x:f>IF(T165="","",I165*T165)</x:f>
        <x:v>13438.935748907521</x:v>
      </x:c>
    </x:row>
    <x:row r="166" ht="18" customHeight="1">
      <x:c r="A166" s="46" t="str">
        <x:v>LME_049</x:v>
      </x:c>
      <x:c r="B166" s="46" t="str">
        <x:v>Kuroshio Current</x:v>
      </x:c>
      <x:c r="C166" s="46" t="str">
        <x:v>LME</x:v>
      </x:c>
      <x:c r="D166" s="58" t="n">
        <x:v>2019</x:v>
      </x:c>
      <x:c r="E166" s="46" t="str">
        <x:v>Ariidae</x:v>
      </x:c>
      <x:c r="F166" s="46" t="str">
        <x:v>Sea catfishes, coblers</x:v>
      </x:c>
      <x:c r="G166" s="46" t="str">
        <x:v>Medium demersals (30 - 89 cm)</x:v>
      </x:c>
      <x:c r="H166" s="46" t="str">
        <x:v>Other fishes &amp; inverts</x:v>
      </x:c>
      <x:c r="I166" s="60" t="n">
        <x:v>24.118634752699997</x:v>
      </x:c>
      <x:c r="J166" s="60" t="n">
        <x:v>22.8443132659</x:v>
      </x:c>
      <x:c r="K166" s="60" t="n">
        <x:v>1.2743214868</x:v>
      </x:c>
      <x:c r="L166" s="60" t="n">
        <x:v>13.586859836199999</x:v>
      </x:c>
      <x:c r="M166" s="60" t="n">
        <x:v>10.5317749165</x:v>
      </x:c>
      <x:c r="N166" s="46" t="str">
        <x:v>ariidae</x:v>
      </x:c>
      <x:c r="O166" s="62" t="n">
        <x:v>3.48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Ariidae</x:v>
      </x:c>
      <x:c r="T166" s="62" t="n">
        <x:f>IF(O166="","",(1/'Metadata'!$B$5)^(O166-1))</x:f>
        <x:v>1684.8234138858888</x:v>
      </x:c>
      <x:c r="U166" s="60" t="n">
        <x:f>IF(T166="","",I166*T166)</x:f>
        <x:v>40635.64054231085</x:v>
      </x:c>
    </x:row>
    <x:row r="167" ht="18" customHeight="1">
      <x:c r="A167" s="46" t="str">
        <x:v>LME_049</x:v>
      </x:c>
      <x:c r="B167" s="46" t="str">
        <x:v>Kuroshio Current</x:v>
      </x:c>
      <x:c r="C167" s="46" t="str">
        <x:v>LME</x:v>
      </x:c>
      <x:c r="D167" s="58" t="n">
        <x:v>2019</x:v>
      </x:c>
      <x:c r="E167" s="46" t="str">
        <x:v>Platycephalus indicus</x:v>
      </x:c>
      <x:c r="F167" s="46" t="str">
        <x:v>Bartail flathead</x:v>
      </x:c>
      <x:c r="G167" s="46" t="str">
        <x:v>Medium demersals (30 - 89 cm)</x:v>
      </x:c>
      <x:c r="H167" s="46" t="str">
        <x:v>Scorpionfishes</x:v>
      </x:c>
      <x:c r="I167" s="60" t="n">
        <x:v>22.9953293328</x:v>
      </x:c>
      <x:c r="J167" s="60" t="n">
        <x:v>22.7245064543</x:v>
      </x:c>
      <x:c r="K167" s="60" t="n">
        <x:v>0.2708228785</x:v>
      </x:c>
      <x:c r="L167" s="60" t="n">
        <x:v>22.711401027</x:v>
      </x:c>
      <x:c r="M167" s="60" t="n">
        <x:v>0.2839283058</x:v>
      </x:c>
      <x:c r="N167" s="46" t="str">
        <x:v>platycephalus indicus</x:v>
      </x:c>
      <x:c r="O167" s="62" t="n">
        <x:v>3.6</x:v>
      </x:c>
      <x:c r="P167" s="46" t="str">
        <x:v>exact_2020_supplement</x:v>
      </x:c>
      <x:c r="Q167" s="62" t="str">
        <x:v>2020 supplement MeanTL</x:v>
      </x:c>
      <x:c r="R167" s="46" t="str">
        <x:v>high</x:v>
      </x:c>
      <x:c r="S167" s="46" t="str">
        <x:v>Platycephalus indicus</x:v>
      </x:c>
      <x:c r="T167" s="62" t="n">
        <x:f>IF(O167="","",(1/'Metadata'!$B$5)^(O167-1))</x:f>
        <x:v>2413.670534618066</x:v>
      </x:c>
      <x:c r="U167" s="60" t="n">
        <x:f>IF(T167="","",I167*T167)</x:f>
        <x:v>55503.148844417876</x:v>
      </x:c>
    </x:row>
    <x:row r="168" ht="18" customHeight="1">
      <x:c r="A168" s="46" t="str">
        <x:v>LME_049</x:v>
      </x:c>
      <x:c r="B168" s="46" t="str">
        <x:v>Kuroshio Current</x:v>
      </x:c>
      <x:c r="C168" s="46" t="str">
        <x:v>LME</x:v>
      </x:c>
      <x:c r="D168" s="58" t="n">
        <x:v>2019</x:v>
      </x:c>
      <x:c r="E168" s="46" t="str">
        <x:v>Chelidonichthys kumu</x:v>
      </x:c>
      <x:c r="F168" s="46" t="str">
        <x:v>Bluefin gurnard</x:v>
      </x:c>
      <x:c r="G168" s="46" t="str">
        <x:v>Medium demersals (30 - 89 cm)</x:v>
      </x:c>
      <x:c r="H168" s="46" t="str">
        <x:v>Scorpionfishes</x:v>
      </x:c>
      <x:c r="I168" s="60" t="n">
        <x:v>19.5461685263</x:v>
      </x:c>
      <x:c r="J168" s="60" t="n">
        <x:v>19.4603956916</x:v>
      </x:c>
      <x:c r="K168" s="60" t="n">
        <x:v>0.0857728347</x:v>
      </x:c>
      <x:c r="L168" s="60" t="n">
        <x:v>19.422796211799998</x:v>
      </x:c>
      <x:c r="M168" s="60" t="n">
        <x:v>0.1233723145</x:v>
      </x:c>
      <x:c r="N168" s="46" t="str">
        <x:v>chelidonichthys kumu</x:v>
      </x:c>
      <x:c r="O168" s="62" t="n">
        <x:v>3.68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Chelidonichthys kumu</x:v>
      </x:c>
      <x:c r="T168" s="62" t="n">
        <x:f>IF(O168="","",(1/'Metadata'!$B$5)^(O168-1))</x:f>
        <x:v>3067.3291957408446</x:v>
      </x:c>
      <x:c r="U168" s="60" t="n">
        <x:f>IF(T168="","",I168*T168)</x:f>
        <x:v>59954.53338559079</x:v>
      </x:c>
    </x:row>
    <x:row r="169" ht="18" customHeight="1">
      <x:c r="A169" s="46" t="str">
        <x:v>LME_049</x:v>
      </x:c>
      <x:c r="B169" s="46" t="str">
        <x:v>Kuroshio Current</x:v>
      </x:c>
      <x:c r="C169" s="46" t="str">
        <x:v>LME</x:v>
      </x:c>
      <x:c r="D169" s="58" t="n">
        <x:v>2019</x:v>
      </x:c>
      <x:c r="E169" s="46" t="str">
        <x:v>Marine pelagic fishes not identified</x:v>
      </x:c>
      <x:c r="F169" s="46" t="str">
        <x:v>Pelagic fishes</x:v>
      </x:c>
      <x:c r="G169" s="46" t="str">
        <x:v>Medium pelagics (30 - 89 cm)</x:v>
      </x:c>
      <x:c r="H169" s="46" t="str">
        <x:v>Other fishes &amp; inverts</x:v>
      </x:c>
      <x:c r="I169" s="60" t="n">
        <x:v>19.037731176799998</x:v>
      </x:c>
      <x:c r="J169" s="60" t="n">
        <x:v>17.6614233512</x:v>
      </x:c>
      <x:c r="K169" s="60" t="n">
        <x:v>1.3763078255999999</x:v>
      </x:c>
      <x:c r="L169" s="60" t="n">
        <x:v>17.6614233512</x:v>
      </x:c>
      <x:c r="M169" s="60" t="n">
        <x:v>1.3763078255999999</x:v>
      </x:c>
      <x:c r="N169" s="46" t="str">
        <x:v>marine pelagic fishes not identified</x:v>
      </x:c>
      <x:c r="O169" s="62" t="n">
        <x:v>3.35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Marine pelagic fishes not identified</x:v>
      </x:c>
      <x:c r="T169" s="62" t="n">
        <x:f>IF(O169="","",(1/'Metadata'!$B$5)^(O169-1))</x:f>
        <x:v>1141.3543275066227</x:v>
      </x:c>
      <x:c r="U169" s="60" t="n">
        <x:f>IF(T169="","",I169*T169)</x:f>
        <x:v>21728.796864548425</x:v>
      </x:c>
    </x:row>
    <x:row r="170" ht="18" customHeight="1">
      <x:c r="A170" s="46" t="str">
        <x:v>LME_049</x:v>
      </x:c>
      <x:c r="B170" s="46" t="str">
        <x:v>Kuroshio Current</x:v>
      </x:c>
      <x:c r="C170" s="46" t="str">
        <x:v>LME</x:v>
      </x:c>
      <x:c r="D170" s="58" t="n">
        <x:v>2019</x:v>
      </x:c>
      <x:c r="E170" s="46" t="str">
        <x:v>Mullidae</x:v>
      </x:c>
      <x:c r="F170" s="46" t="str">
        <x:v>Goatfishes</x:v>
      </x:c>
      <x:c r="G170" s="46" t="str">
        <x:v>Medium reef assoc. fish (30 - 89 cm)</x:v>
      </x:c>
      <x:c r="H170" s="46" t="str">
        <x:v>Perch-likes</x:v>
      </x:c>
      <x:c r="I170" s="60" t="n">
        <x:v>18.8465306889</x:v>
      </x:c>
      <x:c r="J170" s="60" t="n">
        <x:v>18.8405411881</x:v>
      </x:c>
      <x:c r="K170" s="60" t="n">
        <x:v>0.0059895008</x:v>
      </x:c>
      <x:c r="L170" s="60" t="n">
        <x:v>9.2507143625</x:v>
      </x:c>
      <x:c r="M170" s="60" t="n">
        <x:v>9.5958163264</x:v>
      </x:c>
      <x:c r="N170" s="46" t="str">
        <x:v>mullidae</x:v>
      </x:c>
      <x:c r="O170" s="62" t="n">
        <x:v>3.46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Mullidae</x:v>
      </x:c>
      <x:c r="T170" s="62" t="n">
        <x:f>IF(O170="","",(1/'Metadata'!$B$5)^(O170-1))</x:f>
        <x:v>1586.8423749532276</x:v>
      </x:c>
      <x:c r="U170" s="60" t="n">
        <x:f>IF(T170="","",I170*T170)</x:f>
        <x:v>29906.473518002964</x:v>
      </x:c>
    </x:row>
    <x:row r="171" ht="18" customHeight="1">
      <x:c r="A171" s="46" t="str">
        <x:v>LME_049</x:v>
      </x:c>
      <x:c r="B171" s="46" t="str">
        <x:v>Kuroshio Current</x:v>
      </x:c>
      <x:c r="C171" s="46" t="str">
        <x:v>LME</x:v>
      </x:c>
      <x:c r="D171" s="58" t="n">
        <x:v>2019</x:v>
      </x:c>
      <x:c r="E171" s="46" t="str">
        <x:v>Lethrinidae</x:v>
      </x:c>
      <x:c r="F171" s="46" t="str">
        <x:v>Emperors, scavengers</x:v>
      </x:c>
      <x:c r="G171" s="46" t="str">
        <x:v>Medium reef assoc. fish (30 - 89 cm)</x:v>
      </x:c>
      <x:c r="H171" s="46" t="str">
        <x:v>Perch-likes</x:v>
      </x:c>
      <x:c r="I171" s="60" t="n">
        <x:v>18.0321882049</x:v>
      </x:c>
      <x:c r="J171" s="60" t="n">
        <x:v>18.0321882049</x:v>
      </x:c>
      <x:c r="K171" s="60" t="n">
        <x:v>0</x:v>
      </x:c>
      <x:c r="L171" s="60" t="n">
        <x:v>4.6442722135</x:v>
      </x:c>
      <x:c r="M171" s="60" t="n">
        <x:v>13.3879159914</x:v>
      </x:c>
      <x:c r="N171" s="46" t="str">
        <x:v>lethrinidae</x:v>
      </x:c>
      <x:c r="O171" s="62" t="n">
        <x:v>3.59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Lethrinidae</x:v>
      </x:c>
      <x:c r="T171" s="62" t="n">
        <x:f>IF(O171="","",(1/'Metadata'!$B$5)^(O171-1))</x:f>
        <x:v>2342.4357563948306</x:v>
      </x:c>
      <x:c r="U171" s="60" t="n">
        <x:f>IF(T171="","",I171*T171)</x:f>
        <x:v>42239.242417198875</x:v>
      </x:c>
    </x:row>
    <x:row r="172" ht="18" customHeight="1">
      <x:c r="A172" s="46" t="str">
        <x:v>LME_049</x:v>
      </x:c>
      <x:c r="B172" s="46" t="str">
        <x:v>Kuroshio Current</x:v>
      </x:c>
      <x:c r="C172" s="46" t="str">
        <x:v>LME</x:v>
      </x:c>
      <x:c r="D172" s="58" t="n">
        <x:v>2019</x:v>
      </x:c>
      <x:c r="E172" s="46" t="str">
        <x:v>Metapenaeus</x:v>
      </x:c>
      <x:c r="F172" s="46" t="str">
        <x:v>Indo-Pacific prawns</x:v>
      </x:c>
      <x:c r="G172" s="46" t="str">
        <x:v>Shrimps</x:v>
      </x:c>
      <x:c r="H172" s="46" t="str">
        <x:v>Crustaceans</x:v>
      </x:c>
      <x:c r="I172" s="60" t="n">
        <x:v>17.3077518988</x:v>
      </x:c>
      <x:c r="J172" s="60" t="n">
        <x:v>17.2383958562</x:v>
      </x:c>
      <x:c r="K172" s="60" t="n">
        <x:v>0.0693560426</x:v>
      </x:c>
      <x:c r="L172" s="60" t="n">
        <x:v>1.8340115233</x:v>
      </x:c>
      <x:c r="M172" s="60" t="n">
        <x:v>15.4737403755</x:v>
      </x:c>
      <x:c r="N172" s="46" t="str">
        <x:v>metapenaeus</x:v>
      </x:c>
      <x:c r="O172" s="62" t="n">
        <x:v>2.7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Metapenaeus</x:v>
      </x:c>
      <x:c r="T172" s="62" t="n">
        <x:f>IF(O172="","",(1/'Metadata'!$B$5)^(O172-1))</x:f>
        <x:v>162.83621261476185</x:v>
      </x:c>
      <x:c r="U172" s="60" t="n">
        <x:f>IF(T172="","",I172*T172)</x:f>
        <x:v>2818.3287680765447</x:v>
      </x:c>
    </x:row>
    <x:row r="173" ht="18" customHeight="1">
      <x:c r="A173" s="46" t="str">
        <x:v>LME_049</x:v>
      </x:c>
      <x:c r="B173" s="46" t="str">
        <x:v>Kuroshio Current</x:v>
      </x:c>
      <x:c r="C173" s="46" t="str">
        <x:v>LME</x:v>
      </x:c>
      <x:c r="D173" s="58" t="n">
        <x:v>2019</x:v>
      </x:c>
      <x:c r="E173" s="46" t="str">
        <x:v>Magallana gigas</x:v>
      </x:c>
      <x:c r="F173" s="46" t="str">
        <x:v>Pacific cupped oyster</x:v>
      </x:c>
      <x:c r="G173" s="46" t="str">
        <x:v>Other demersal invertebrates</x:v>
      </x:c>
      <x:c r="H173" s="46" t="str">
        <x:v>Molluscs</x:v>
      </x:c>
      <x:c r="I173" s="60" t="n">
        <x:v>17.0437745757</x:v>
      </x:c>
      <x:c r="J173" s="60" t="n">
        <x:v>17.0437745757</x:v>
      </x:c>
      <x:c r="K173" s="60" t="n">
        <x:v>0</x:v>
      </x:c>
      <x:c r="L173" s="60" t="n">
        <x:v>7.8740283975</x:v>
      </x:c>
      <x:c r="M173" s="60" t="n">
        <x:v>9.1697461782</x:v>
      </x:c>
      <x:c r="N173" s="46" t="str">
        <x:v>magallana gigas</x:v>
      </x:c>
      <x:c r="O173" s="62" t="n">
        <x:v>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Magallana gigas</x:v>
      </x:c>
      <x:c r="T173" s="62" t="n">
        <x:f>IF(O173="","",(1/'Metadata'!$B$5)^(O173-1))</x:f>
        <x:v>20</x:v>
      </x:c>
      <x:c r="U173" s="60" t="n">
        <x:f>IF(T173="","",I173*T173)</x:f>
        <x:v>340.875491514</x:v>
      </x:c>
    </x:row>
    <x:row r="174" ht="18" customHeight="1">
      <x:c r="A174" s="46" t="str">
        <x:v>LME_049</x:v>
      </x:c>
      <x:c r="B174" s="46" t="str">
        <x:v>Kuroshio Current</x:v>
      </x:c>
      <x:c r="C174" s="46" t="str">
        <x:v>LME</x:v>
      </x:c>
      <x:c r="D174" s="58" t="n">
        <x:v>2019</x:v>
      </x:c>
      <x:c r="E174" s="46" t="str">
        <x:v>Polydactylus sexfilis</x:v>
      </x:c>
      <x:c r="F174" s="46" t="str">
        <x:v>Sixfinger threadfin</x:v>
      </x:c>
      <x:c r="G174" s="46" t="str">
        <x:v>Medium demersals (30 - 89 cm)</x:v>
      </x:c>
      <x:c r="H174" s="46" t="str">
        <x:v>Perch-likes</x:v>
      </x:c>
      <x:c r="I174" s="60" t="n">
        <x:v>15.4824350075</x:v>
      </x:c>
      <x:c r="J174" s="60" t="n">
        <x:v>0</x:v>
      </x:c>
      <x:c r="K174" s="60" t="n">
        <x:v>15.4824350075</x:v>
      </x:c>
      <x:c r="L174" s="60" t="n">
        <x:v>0</x:v>
      </x:c>
      <x:c r="M174" s="60" t="n">
        <x:v>15.4824350075</x:v>
      </x:c>
      <x:c r="N174" s="46" t="str">
        <x:v>polydactylus sexfilis</x:v>
      </x:c>
      <x:c r="O174" s="62" t="n">
        <x:v>3.43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Polydactylus sexfilis</x:v>
      </x:c>
      <x:c r="T174" s="62" t="n">
        <x:f>IF(O174="","",(1/'Metadata'!$B$5)^(O174-1))</x:f>
        <x:v>1450.450424461182</x:v>
      </x:c>
      <x:c r="U174" s="60" t="n">
        <x:f>IF(T174="","",I174*T174)</x:f>
        <x:v>22456.504428321037</x:v>
      </x:c>
    </x:row>
    <x:row r="175" ht="18" customHeight="1">
      <x:c r="A175" s="46" t="str">
        <x:v>LME_049</x:v>
      </x:c>
      <x:c r="B175" s="46" t="str">
        <x:v>Kuroshio Current</x:v>
      </x:c>
      <x:c r="C175" s="46" t="str">
        <x:v>LME</x:v>
      </x:c>
      <x:c r="D175" s="58" t="n">
        <x:v>2019</x:v>
      </x:c>
      <x:c r="E175" s="46" t="str">
        <x:v>Scaridae</x:v>
      </x:c>
      <x:c r="F175" s="46" t="str">
        <x:v>Parrotfishes</x:v>
      </x:c>
      <x:c r="G175" s="46" t="str">
        <x:v>Medium reef assoc. fish (30 - 89 cm)</x:v>
      </x:c>
      <x:c r="H175" s="46" t="str">
        <x:v>Perch-likes</x:v>
      </x:c>
      <x:c r="I175" s="60" t="n">
        <x:v>14.4665754291</x:v>
      </x:c>
      <x:c r="J175" s="60" t="n">
        <x:v>14.4133687709</x:v>
      </x:c>
      <x:c r="K175" s="60" t="n">
        <x:v>0.0532066582</x:v>
      </x:c>
      <x:c r="L175" s="60" t="n">
        <x:v>7.8699656323000005</x:v>
      </x:c>
      <x:c r="M175" s="60" t="n">
        <x:v>6.5966097968</x:v>
      </x:c>
      <x:c r="N175" s="46" t="str">
        <x:v>scaridae</x:v>
      </x:c>
      <x:c r="O175" s="62" t="n">
        <x:v>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Scaridae</x:v>
      </x:c>
      <x:c r="T175" s="62" t="n">
        <x:f>IF(O175="","",(1/'Metadata'!$B$5)^(O175-1))</x:f>
        <x:v>20</x:v>
      </x:c>
      <x:c r="U175" s="60" t="n">
        <x:f>IF(T175="","",I175*T175)</x:f>
        <x:v>289.331508582</x:v>
      </x:c>
    </x:row>
    <x:row r="176" ht="18" customHeight="1">
      <x:c r="A176" s="46" t="str">
        <x:v>LME_049</x:v>
      </x:c>
      <x:c r="B176" s="46" t="str">
        <x:v>Kuroshio Current</x:v>
      </x:c>
      <x:c r="C176" s="46" t="str">
        <x:v>LME</x:v>
      </x:c>
      <x:c r="D176" s="58" t="n">
        <x:v>2019</x:v>
      </x:c>
      <x:c r="E176" s="46" t="str">
        <x:v>Cypselurus</x:v>
      </x:c>
      <x:c r="F176" s="46" t="str">
        <x:v>Cypselurid flyingfishes</x:v>
      </x:c>
      <x:c r="G176" s="46" t="str">
        <x:v>Small pelagics (&lt;30 cm)</x:v>
      </x:c>
      <x:c r="H176" s="46" t="str">
        <x:v>Other fishes &amp; inverts</x:v>
      </x:c>
      <x:c r="I176" s="60" t="n">
        <x:v>14.1955365984</x:v>
      </x:c>
      <x:c r="J176" s="60" t="n">
        <x:v>14.1955365984</x:v>
      </x:c>
      <x:c r="K176" s="60" t="n">
        <x:v>0</x:v>
      </x:c>
      <x:c r="L176" s="60" t="n">
        <x:v>5.9033510978</x:v>
      </x:c>
      <x:c r="M176" s="60" t="n">
        <x:v>8.2921855006</x:v>
      </x:c>
      <x:c r="N176" s="46" t="str">
        <x:v>cypselurus</x:v>
      </x:c>
      <x:c r="O176" s="62" t="n">
        <x:v>3.4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Cypselurus</x:v>
      </x:c>
      <x:c r="T176" s="62" t="n">
        <x:f>IF(O176="","",(1/'Metadata'!$B$5)^(O176-1))</x:f>
        <x:v>1325.7816069359944</x:v>
      </x:c>
      <x:c r="U176" s="60" t="n">
        <x:f>IF(T176="","",I176*T176)</x:f>
        <x:v>18820.181322745473</x:v>
      </x:c>
    </x:row>
    <x:row r="177" ht="18" customHeight="1">
      <x:c r="A177" s="46" t="str">
        <x:v>LME_049</x:v>
      </x:c>
      <x:c r="B177" s="46" t="str">
        <x:v>Kuroshio Current</x:v>
      </x:c>
      <x:c r="C177" s="46" t="str">
        <x:v>LME</x:v>
      </x:c>
      <x:c r="D177" s="58" t="n">
        <x:v>2019</x:v>
      </x:c>
      <x:c r="E177" s="46" t="str">
        <x:v>Muraenidae</x:v>
      </x:c>
      <x:c r="F177" s="46" t="str">
        <x:v>Moray eels</x:v>
      </x:c>
      <x:c r="G177" s="46" t="str">
        <x:v>Large reef assoc. fish (&gt;=90 cm)</x:v>
      </x:c>
      <x:c r="H177" s="46" t="str">
        <x:v>Other fishes &amp; inverts</x:v>
      </x:c>
      <x:c r="I177" s="60" t="n">
        <x:v>13.1300263054</x:v>
      </x:c>
      <x:c r="J177" s="60" t="n">
        <x:v>0</x:v>
      </x:c>
      <x:c r="K177" s="60" t="n">
        <x:v>13.1300263054</x:v>
      </x:c>
      <x:c r="L177" s="60" t="n">
        <x:v>0</x:v>
      </x:c>
      <x:c r="M177" s="60" t="n">
        <x:v>13.1300263054</x:v>
      </x:c>
      <x:c r="N177" s="46" t="str">
        <x:v>muraenidae</x:v>
      </x:c>
      <x:c r="O177" s="62" t="n">
        <x:v>4.07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Muraenidae</x:v>
      </x:c>
      <x:c r="T177" s="62" t="n">
        <x:f>IF(O177="","",(1/'Metadata'!$B$5)^(O177-1))</x:f>
        <x:v>9866.476519743796</x:v>
      </x:c>
      <x:c r="U177" s="60" t="n">
        <x:f>IF(T177="","",I177*T177)</x:f>
        <x:v>129547.09624584747</x:v>
      </x:c>
    </x:row>
    <x:row r="178" ht="18" customHeight="1">
      <x:c r="A178" s="46" t="str">
        <x:v>LME_049</x:v>
      </x:c>
      <x:c r="B178" s="46" t="str">
        <x:v>Kuroshio Current</x:v>
      </x:c>
      <x:c r="C178" s="46" t="str">
        <x:v>LME</x:v>
      </x:c>
      <x:c r="D178" s="58" t="n">
        <x:v>2019</x:v>
      </x:c>
      <x:c r="E178" s="46" t="str">
        <x:v>Sepia</x:v>
      </x:c>
      <x:c r="F178" s="46" t="str">
        <x:v>Sepia cuttlefishes</x:v>
      </x:c>
      <x:c r="G178" s="46" t="str">
        <x:v>Cephalopods</x:v>
      </x:c>
      <x:c r="H178" s="46" t="str">
        <x:v>Other fishes &amp; inverts</x:v>
      </x:c>
      <x:c r="I178" s="60" t="n">
        <x:v>12.490624550000001</x:v>
      </x:c>
      <x:c r="J178" s="60" t="n">
        <x:v>12.490624550000001</x:v>
      </x:c>
      <x:c r="K178" s="60" t="n">
        <x:v>0</x:v>
      </x:c>
      <x:c r="L178" s="60" t="n">
        <x:v>3.2415143853</x:v>
      </x:c>
      <x:c r="M178" s="60" t="n">
        <x:v>9.249110164700001</x:v>
      </x:c>
      <x:c r="N178" s="46" t="str">
        <x:v>sepia</x:v>
      </x:c>
      <x:c r="O178" s="62" t="n">
        <x:v>3.69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Sepia</x:v>
      </x:c>
      <x:c r="T178" s="62" t="n">
        <x:f>IF(O178="","",(1/'Metadata'!$B$5)^(O178-1))</x:f>
        <x:v>3160.6083878807954</x:v>
      </x:c>
      <x:c r="U178" s="60" t="n">
        <x:f>IF(T178="","",I178*T178)</x:f>
        <x:v>39477.97272259979</x:v>
      </x:c>
    </x:row>
    <x:row r="179" ht="18" customHeight="1">
      <x:c r="A179" s="46" t="str">
        <x:v>LME_049</x:v>
      </x:c>
      <x:c r="B179" s="46" t="str">
        <x:v>Kuroshio Current</x:v>
      </x:c>
      <x:c r="C179" s="46" t="str">
        <x:v>LME</x:v>
      </x:c>
      <x:c r="D179" s="58" t="n">
        <x:v>2019</x:v>
      </x:c>
      <x:c r="E179" s="46" t="str">
        <x:v>Spratelloides gracilis</x:v>
      </x:c>
      <x:c r="F179" s="46" t="str">
        <x:v>Silver-stripe round herring</x:v>
      </x:c>
      <x:c r="G179" s="46" t="str">
        <x:v>Small pelagics (&lt;30 cm)</x:v>
      </x:c>
      <x:c r="H179" s="46" t="str">
        <x:v>Herring-likes</x:v>
      </x:c>
      <x:c r="I179" s="60" t="n">
        <x:v>12.1510041824</x:v>
      </x:c>
      <x:c r="J179" s="60" t="n">
        <x:v>7.5204100469</x:v>
      </x:c>
      <x:c r="K179" s="60" t="n">
        <x:v>4.6305941355</x:v>
      </x:c>
      <x:c r="L179" s="60" t="n">
        <x:v>7.5157047712</x:v>
      </x:c>
      <x:c r="M179" s="60" t="n">
        <x:v>4.6352994112</x:v>
      </x:c>
      <x:c r="N179" s="46" t="str">
        <x:v>spratelloides gracilis</x:v>
      </x:c>
      <x:c r="O179" s="62" t="n">
        <x:v>3.06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Spratelloides gracilis</x:v>
      </x:c>
      <x:c r="T179" s="62" t="n">
        <x:f>IF(O179="","",(1/'Metadata'!$B$5)^(O179-1))</x:f>
        <x:v>478.7643354384948</x:v>
      </x:c>
      <x:c r="U179" s="60" t="n">
        <x:f>IF(T179="","",I179*T179)</x:f>
        <x:v>5817.467442297107</x:v>
      </x:c>
    </x:row>
    <x:row r="180" ht="18" customHeight="1">
      <x:c r="A180" s="46" t="str">
        <x:v>LME_049</x:v>
      </x:c>
      <x:c r="B180" s="46" t="str">
        <x:v>Kuroshio Current</x:v>
      </x:c>
      <x:c r="C180" s="46" t="str">
        <x:v>LME</x:v>
      </x:c>
      <x:c r="D180" s="58" t="n">
        <x:v>2019</x:v>
      </x:c>
      <x:c r="E180" s="46" t="str">
        <x:v>Ruditapes philippinarum</x:v>
      </x:c>
      <x:c r="F180" s="46" t="str">
        <x:v>Japanese carpet shell</x:v>
      </x:c>
      <x:c r="G180" s="46" t="str">
        <x:v>Other demersal invertebrates</x:v>
      </x:c>
      <x:c r="H180" s="46" t="str">
        <x:v>Molluscs</x:v>
      </x:c>
      <x:c r="I180" s="60" t="n">
        <x:v>11.036524468</x:v>
      </x:c>
      <x:c r="J180" s="60" t="n">
        <x:v>11.0339884762</x:v>
      </x:c>
      <x:c r="K180" s="60" t="n">
        <x:v>0.0025359918000000003</x:v>
      </x:c>
      <x:c r="L180" s="60" t="n">
        <x:v>11.0339884762</x:v>
      </x:c>
      <x:c r="M180" s="60" t="n">
        <x:v>0.0025359918000000003</x:v>
      </x:c>
      <x:c r="N180" s="46" t="str">
        <x:v>ruditapes philippinarum</x:v>
      </x:c>
      <x:c r="O180" s="62" t="n">
        <x:v>2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Ruditapes philippinarum</x:v>
      </x:c>
      <x:c r="T180" s="62" t="n">
        <x:f>IF(O180="","",(1/'Metadata'!$B$5)^(O180-1))</x:f>
        <x:v>20</x:v>
      </x:c>
      <x:c r="U180" s="60" t="n">
        <x:f>IF(T180="","",I180*T180)</x:f>
        <x:v>220.73048935999998</x:v>
      </x:c>
    </x:row>
    <x:row r="181" ht="18" customHeight="1">
      <x:c r="A181" s="46" t="str">
        <x:v>LME_049</x:v>
      </x:c>
      <x:c r="B181" s="46" t="str">
        <x:v>Kuroshio Current</x:v>
      </x:c>
      <x:c r="C181" s="46" t="str">
        <x:v>LME</x:v>
      </x:c>
      <x:c r="D181" s="58" t="n">
        <x:v>2019</x:v>
      </x:c>
      <x:c r="E181" s="46" t="str">
        <x:v>Istiompax indica</x:v>
      </x:c>
      <x:c r="F181" s="46" t="str">
        <x:v>Black marlin</x:v>
      </x:c>
      <x:c r="G181" s="46" t="str">
        <x:v>Large pelagics (&gt;=90 cm)</x:v>
      </x:c>
      <x:c r="H181" s="46" t="str">
        <x:v>Tuna &amp; billfishes</x:v>
      </x:c>
      <x:c r="I181" s="60" t="n">
        <x:v>10.21931903</x:v>
      </x:c>
      <x:c r="J181" s="60" t="n">
        <x:v>10.0866720853</x:v>
      </x:c>
      <x:c r="K181" s="60" t="n">
        <x:v>0.1326469447</x:v>
      </x:c>
      <x:c r="L181" s="60" t="n">
        <x:v>10.0866720853</x:v>
      </x:c>
      <x:c r="M181" s="60" t="n">
        <x:v>0.1326469447</x:v>
      </x:c>
      <x:c r="N181" s="46" t="str">
        <x:v>istiompax indica</x:v>
      </x:c>
      <x:c r="O181" s="62" t="n">
        <x:v>4.5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Istiompax indica</x:v>
      </x:c>
      <x:c r="T181" s="62" t="n">
        <x:f>IF(O181="","",(1/'Metadata'!$B$5)^(O181-1))</x:f>
        <x:v>35777.08763999664</x:v>
      </x:c>
      <x:c r="U181" s="60" t="n">
        <x:f>IF(T181="","",I181*T181)</x:f>
        <x:v>365617.4725573954</x:v>
      </x:c>
    </x:row>
    <x:row r="182" ht="18" customHeight="1">
      <x:c r="A182" s="46" t="str">
        <x:v>LME_049</x:v>
      </x:c>
      <x:c r="B182" s="46" t="str">
        <x:v>Kuroshio Current</x:v>
      </x:c>
      <x:c r="C182" s="46" t="str">
        <x:v>LME</x:v>
      </x:c>
      <x:c r="D182" s="58" t="n">
        <x:v>2019</x:v>
      </x:c>
      <x:c r="E182" s="46" t="str">
        <x:v>Lethrinus miniatus</x:v>
      </x:c>
      <x:c r="F182" s="46" t="str">
        <x:v>Trumpet emperor</x:v>
      </x:c>
      <x:c r="G182" s="46" t="str">
        <x:v>Medium reef assoc. fish (30 - 89 cm)</x:v>
      </x:c>
      <x:c r="H182" s="46" t="str">
        <x:v>Perch-likes</x:v>
      </x:c>
      <x:c r="I182" s="60" t="n">
        <x:v>8.4040686436</x:v>
      </x:c>
      <x:c r="J182" s="60" t="n">
        <x:v>7.5469727463</x:v>
      </x:c>
      <x:c r="K182" s="60" t="n">
        <x:v>0.8570958972999999</x:v>
      </x:c>
      <x:c r="L182" s="60" t="n">
        <x:v>4.6487720227</x:v>
      </x:c>
      <x:c r="M182" s="60" t="n">
        <x:v>3.7552966209</x:v>
      </x:c>
      <x:c r="N182" s="46" t="str">
        <x:v>lethrinus miniatus</x:v>
      </x:c>
      <x:c r="O182" s="62" t="n">
        <x:v>4.19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Lethrinus miniatus</x:v>
      </x:c>
      <x:c r="T182" s="62" t="n">
        <x:f>IF(O182="","",(1/'Metadata'!$B$5)^(O182-1))</x:f>
        <x:v>14134.67041111498</x:v>
      </x:c>
      <x:c r="U182" s="60" t="n">
        <x:f>IF(T182="","",I182*T182)</x:f>
        <x:v>118788.74038967212</x:v>
      </x:c>
    </x:row>
    <x:row r="183" ht="18" customHeight="1">
      <x:c r="A183" s="46" t="str">
        <x:v>LME_049</x:v>
      </x:c>
      <x:c r="B183" s="46" t="str">
        <x:v>Kuroshio Current</x:v>
      </x:c>
      <x:c r="C183" s="46" t="str">
        <x:v>LME</x:v>
      </x:c>
      <x:c r="D183" s="58" t="n">
        <x:v>2019</x:v>
      </x:c>
      <x:c r="E183" s="46" t="str">
        <x:v>Rachycentridae</x:v>
      </x:c>
      <x:c r="F183" s="46" t="str">
        <x:v>Cobias</x:v>
      </x:c>
      <x:c r="G183" s="46" t="str">
        <x:v>Large pelagics (&gt;=90 cm)</x:v>
      </x:c>
      <x:c r="H183" s="46" t="str">
        <x:v>Perch-likes</x:v>
      </x:c>
      <x:c r="I183" s="60" t="n">
        <x:v>7.8475415915</x:v>
      </x:c>
      <x:c r="J183" s="60" t="n">
        <x:v>7.8015377848</x:v>
      </x:c>
      <x:c r="K183" s="60" t="n">
        <x:v>0.0460038067</x:v>
      </x:c>
      <x:c r="L183" s="60" t="n">
        <x:v>7.8010107753</x:v>
      </x:c>
      <x:c r="M183" s="60" t="n">
        <x:v>0.0465308162</x:v>
      </x:c>
      <x:c r="N183" s="46" t="str">
        <x:v>rachycentridae</x:v>
      </x:c>
      <x:c r="O183" s="62" t="n">
        <x:v>3.96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Rachycentridae</x:v>
      </x:c>
      <x:c r="T183" s="62" t="n">
        <x:f>IF(O183="","",(1/'Metadata'!$B$5)^(O183-1))</x:f>
        <x:v>7096.574839945253</x:v>
      </x:c>
      <x:c r="U183" s="60" t="n">
        <x:f>IF(T183="","",I183*T183)</x:f>
        <x:v>55690.66621366283</x:v>
      </x:c>
    </x:row>
    <x:row r="184" ht="18" customHeight="1">
      <x:c r="A184" s="46" t="str">
        <x:v>LME_049</x:v>
      </x:c>
      <x:c r="B184" s="46" t="str">
        <x:v>Kuroshio Current</x:v>
      </x:c>
      <x:c r="C184" s="46" t="str">
        <x:v>LME</x:v>
      </x:c>
      <x:c r="D184" s="58" t="n">
        <x:v>2019</x:v>
      </x:c>
      <x:c r="E184" s="46" t="str">
        <x:v>Saurida</x:v>
      </x:c>
      <x:c r="F184" s="46" t="str">
        <x:v>Lizardfishes</x:v>
      </x:c>
      <x:c r="G184" s="46" t="str">
        <x:v>Medium demersals (30 - 89 cm)</x:v>
      </x:c>
      <x:c r="H184" s="46" t="str">
        <x:v>Other fishes &amp; inverts</x:v>
      </x:c>
      <x:c r="I184" s="60" t="n">
        <x:v>7.5781556286</x:v>
      </x:c>
      <x:c r="J184" s="60" t="n">
        <x:v>0</x:v>
      </x:c>
      <x:c r="K184" s="60" t="n">
        <x:v>7.5781556286</x:v>
      </x:c>
      <x:c r="L184" s="60" t="n">
        <x:v>0</x:v>
      </x:c>
      <x:c r="M184" s="60" t="n">
        <x:v>7.5781556286</x:v>
      </x:c>
      <x:c r="N184" s="46" t="str">
        <x:v>saurida</x:v>
      </x:c>
      <x:c r="O184" s="62" t="n">
        <x:v>4.35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Saurida</x:v>
      </x:c>
      <x:c r="T184" s="62" t="n">
        <x:f>IF(O184="","",(1/'Metadata'!$B$5)^(O184-1))</x:f>
        <x:v>22827.086550132422</x:v>
      </x:c>
      <x:c r="U184" s="60" t="n">
        <x:f>IF(T184="","",I184*T184)</x:f>
        <x:v>172987.2144244254</x:v>
      </x:c>
    </x:row>
    <x:row r="185" ht="18" customHeight="1">
      <x:c r="A185" s="46" t="str">
        <x:v>LME_049</x:v>
      </x:c>
      <x:c r="B185" s="46" t="str">
        <x:v>Kuroshio Current</x:v>
      </x:c>
      <x:c r="C185" s="46" t="str">
        <x:v>LME</x:v>
      </x:c>
      <x:c r="D185" s="58" t="n">
        <x:v>2019</x:v>
      </x:c>
      <x:c r="E185" s="46" t="str">
        <x:v>Penaeus penicillatus</x:v>
      </x:c>
      <x:c r="F185" s="46" t="str">
        <x:v>Redtail prawn</x:v>
      </x:c>
      <x:c r="G185" s="46" t="str">
        <x:v>Shrimps</x:v>
      </x:c>
      <x:c r="H185" s="46" t="str">
        <x:v>Crustaceans</x:v>
      </x:c>
      <x:c r="I185" s="60" t="n">
        <x:v>7.282295349200001</x:v>
      </x:c>
      <x:c r="J185" s="60" t="n">
        <x:v>5.842973912000001</x:v>
      </x:c>
      <x:c r="K185" s="60" t="n">
        <x:v>1.4393214372</x:v>
      </x:c>
      <x:c r="L185" s="60" t="n">
        <x:v>3.5625073056</x:v>
      </x:c>
      <x:c r="M185" s="60" t="n">
        <x:v>3.7197880436</x:v>
      </x:c>
      <x:c r="N185" s="46" t="str">
        <x:v>penaeus penicillatus</x:v>
      </x:c>
      <x:c r="O185" s="62" t="n">
        <x:v>2.7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Penaeus penicillatus</x:v>
      </x:c>
      <x:c r="T185" s="62" t="n">
        <x:f>IF(O185="","",(1/'Metadata'!$B$5)^(O185-1))</x:f>
        <x:v>162.83621261476185</x:v>
      </x:c>
      <x:c r="U185" s="60" t="n">
        <x:f>IF(T185="","",I185*T185)</x:f>
        <x:v>1185.8213938058227</x:v>
      </x:c>
    </x:row>
    <x:row r="186" ht="18" customHeight="1">
      <x:c r="A186" s="46" t="str">
        <x:v>LME_049</x:v>
      </x:c>
      <x:c r="B186" s="46" t="str">
        <x:v>Kuroshio Current</x:v>
      </x:c>
      <x:c r="C186" s="46" t="str">
        <x:v>LME</x:v>
      </x:c>
      <x:c r="D186" s="58" t="n">
        <x:v>2019</x:v>
      </x:c>
      <x:c r="E186" s="46" t="str">
        <x:v>Psettodes erumei</x:v>
      </x:c>
      <x:c r="F186" s="46" t="str">
        <x:v>Indian halibut</x:v>
      </x:c>
      <x:c r="G186" s="46" t="str">
        <x:v>Small to medium flatfishes (&lt;90 cm)</x:v>
      </x:c>
      <x:c r="H186" s="46" t="str">
        <x:v>Flatfishes</x:v>
      </x:c>
      <x:c r="I186" s="60" t="n">
        <x:v>6.2395214028</x:v>
      </x:c>
      <x:c r="J186" s="60" t="n">
        <x:v>0</x:v>
      </x:c>
      <x:c r="K186" s="60" t="n">
        <x:v>6.2395214028</x:v>
      </x:c>
      <x:c r="L186" s="60" t="n">
        <x:v>0</x:v>
      </x:c>
      <x:c r="M186" s="60" t="n">
        <x:v>6.2395214028</x:v>
      </x:c>
      <x:c r="N186" s="46" t="str">
        <x:v>psettodes erumei</x:v>
      </x:c>
      <x:c r="O186" s="62" t="n">
        <x:v>4.39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Psettodes erumei</x:v>
      </x:c>
      <x:c r="T186" s="62" t="n">
        <x:f>IF(O186="","",(1/'Metadata'!$B$5)^(O186-1))</x:f>
        <x:v>25733.07497204781</x:v>
      </x:c>
      <x:c r="U186" s="60" t="n">
        <x:f>IF(T186="","",I186*T186)</x:f>
        <x:v>160562.07204794933</x:v>
      </x:c>
    </x:row>
    <x:row r="187" ht="18" customHeight="1">
      <x:c r="A187" s="46" t="str">
        <x:v>LME_049</x:v>
      </x:c>
      <x:c r="B187" s="46" t="str">
        <x:v>Kuroshio Current</x:v>
      </x:c>
      <x:c r="C187" s="46" t="str">
        <x:v>LME</x:v>
      </x:c>
      <x:c r="D187" s="58" t="n">
        <x:v>2019</x:v>
      </x:c>
      <x:c r="E187" s="46" t="str">
        <x:v>Chanos chanos</x:v>
      </x:c>
      <x:c r="F187" s="46" t="str">
        <x:v>Milkfish</x:v>
      </x:c>
      <x:c r="G187" s="46" t="str">
        <x:v>Large benthopelagics (&gt;=90 cm)</x:v>
      </x:c>
      <x:c r="H187" s="46" t="str">
        <x:v>Other fishes &amp; inverts</x:v>
      </x:c>
      <x:c r="I187" s="60" t="n">
        <x:v>6.1735746011</x:v>
      </x:c>
      <x:c r="J187" s="60" t="n">
        <x:v>6.1689943581</x:v>
      </x:c>
      <x:c r="K187" s="60" t="n">
        <x:v>0.0045802429999999995</x:v>
      </x:c>
      <x:c r="L187" s="60" t="n">
        <x:v>3.9808156259999996</x:v>
      </x:c>
      <x:c r="M187" s="60" t="n">
        <x:v>2.1927589751</x:v>
      </x:c>
      <x:c r="N187" s="46" t="str">
        <x:v>chanos chanos</x:v>
      </x:c>
      <x:c r="O187" s="62" t="n">
        <x:v>2.03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Chanos chanos</x:v>
      </x:c>
      <x:c r="T187" s="62" t="n">
        <x:f>IF(O187="","",(1/'Metadata'!$B$5)^(O187-1))</x:f>
        <x:v>21.880684071538855</x:v>
      </x:c>
      <x:c r="U187" s="60" t="n">
        <x:f>IF(T187="","",I187*T187)</x:f>
        <x:v>135.0820354387456</x:v>
      </x:c>
    </x:row>
    <x:row r="188" ht="18" customHeight="1">
      <x:c r="A188" s="46" t="str">
        <x:v>LME_049</x:v>
      </x:c>
      <x:c r="B188" s="46" t="str">
        <x:v>Kuroshio Current</x:v>
      </x:c>
      <x:c r="C188" s="46" t="str">
        <x:v>LME</x:v>
      </x:c>
      <x:c r="D188" s="58" t="n">
        <x:v>2019</x:v>
      </x:c>
      <x:c r="E188" s="46" t="str">
        <x:v>Epinephelus malabaricus</x:v>
      </x:c>
      <x:c r="F188" s="46" t="str">
        <x:v>Malabar grouper</x:v>
      </x:c>
      <x:c r="G188" s="46" t="str">
        <x:v>Large reef assoc. fish (&gt;=90 cm)</x:v>
      </x:c>
      <x:c r="H188" s="46" t="str">
        <x:v>Perch-likes</x:v>
      </x:c>
      <x:c r="I188" s="60" t="n">
        <x:v>5.9022894996</x:v>
      </x:c>
      <x:c r="J188" s="60" t="n">
        <x:v>0</x:v>
      </x:c>
      <x:c r="K188" s="60" t="n">
        <x:v>5.9022894996</x:v>
      </x:c>
      <x:c r="L188" s="60" t="n">
        <x:v>0</x:v>
      </x:c>
      <x:c r="M188" s="60" t="n">
        <x:v>5.9022894996</x:v>
      </x:c>
      <x:c r="N188" s="46" t="str">
        <x:v>epinephelus malabaricus</x:v>
      </x:c>
      <x:c r="O188" s="62" t="n">
        <x:v>4.16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Epinephelus malabaricus</x:v>
      </x:c>
      <x:c r="T188" s="62" t="n">
        <x:f>IF(O188="","",(1/'Metadata'!$B$5)^(O188-1))</x:f>
        <x:v>12919.77011769987</x:v>
      </x:c>
      <x:c r="U188" s="60" t="n">
        <x:f>IF(T188="","",I188*T188)</x:f>
        <x:v>76256.22350294581</x:v>
      </x:c>
    </x:row>
    <x:row r="189" ht="18" customHeight="1">
      <x:c r="A189" s="46" t="str">
        <x:v>LME_049</x:v>
      </x:c>
      <x:c r="B189" s="46" t="str">
        <x:v>Kuroshio Current</x:v>
      </x:c>
      <x:c r="C189" s="46" t="str">
        <x:v>LME</x:v>
      </x:c>
      <x:c r="D189" s="58" t="n">
        <x:v>2019</x:v>
      </x:c>
      <x:c r="E189" s="46" t="str">
        <x:v>Platycaranx malabaricus</x:v>
      </x:c>
      <x:c r="F189" s="46" t="str">
        <x:v>Malabar trevally</x:v>
      </x:c>
      <x:c r="G189" s="46" t="str">
        <x:v>Medium reef assoc. fish (30 - 89 cm)</x:v>
      </x:c>
      <x:c r="H189" s="46" t="str">
        <x:v>Perch-likes</x:v>
      </x:c>
      <x:c r="I189" s="60" t="n">
        <x:v>5.8459337763</x:v>
      </x:c>
      <x:c r="J189" s="60" t="n">
        <x:v>0</x:v>
      </x:c>
      <x:c r="K189" s="60" t="n">
        <x:v>5.8459337763</x:v>
      </x:c>
      <x:c r="L189" s="60" t="n">
        <x:v>0</x:v>
      </x:c>
      <x:c r="M189" s="60" t="n">
        <x:v>5.8459337763</x:v>
      </x:c>
      <x:c r="N189" s="46" t="str">
        <x:v>platycaranx malabaricus</x:v>
      </x:c>
      <x:c r="O189" s="62" t="n">
        <x:v>3.88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Platycaranx malabaricus</x:v>
      </x:c>
      <x:c r="T189" s="62" t="n">
        <x:f>IF(O189="","",(1/'Metadata'!$B$5)^(O189-1))</x:f>
        <x:v>5584.269732662554</x:v>
      </x:c>
      <x:c r="U189" s="60" t="n">
        <x:f>IF(T189="","",I189*T189)</x:f>
        <x:v>32645.271046141796</x:v>
      </x:c>
    </x:row>
    <x:row r="190" ht="18" customHeight="1">
      <x:c r="A190" s="46" t="str">
        <x:v>LME_049</x:v>
      </x:c>
      <x:c r="B190" s="46" t="str">
        <x:v>Kuroshio Current</x:v>
      </x:c>
      <x:c r="C190" s="46" t="str">
        <x:v>LME</x:v>
      </x:c>
      <x:c r="D190" s="58" t="n">
        <x:v>2019</x:v>
      </x:c>
      <x:c r="E190" s="46" t="str">
        <x:v>Mierspenaeopsis hardwickii</x:v>
      </x:c>
      <x:c r="F190" s="46" t="str">
        <x:v>Spear shrimp</x:v>
      </x:c>
      <x:c r="G190" s="46" t="str">
        <x:v>Shrimps</x:v>
      </x:c>
      <x:c r="H190" s="46" t="str">
        <x:v>Crustaceans</x:v>
      </x:c>
      <x:c r="I190" s="60" t="n">
        <x:v>5.6517288655</x:v>
      </x:c>
      <x:c r="J190" s="60" t="n">
        <x:v>0</x:v>
      </x:c>
      <x:c r="K190" s="60" t="n">
        <x:v>5.6517288655</x:v>
      </x:c>
      <x:c r="L190" s="60" t="n">
        <x:v>0</x:v>
      </x:c>
      <x:c r="M190" s="60" t="n">
        <x:v>5.6517288655</x:v>
      </x:c>
      <x:c r="N190" s="46" t="str">
        <x:v>mierspenaeopsis hardwickii</x:v>
      </x:c>
      <x:c r="O190" s="62" t="n">
        <x:v>2.71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Mierspenaeopsis hardwickii</x:v>
      </x:c>
      <x:c r="T190" s="62" t="n">
        <x:f>IF(O190="","",(1/'Metadata'!$B$5)^(O190-1))</x:f>
        <x:v>167.78815268853197</x:v>
      </x:c>
      <x:c r="U190" s="60" t="n">
        <x:f>IF(T190="","",I190*T190)</x:f>
        <x:v>948.2931458386976</x:v>
      </x:c>
    </x:row>
    <x:row r="191" ht="18" customHeight="1">
      <x:c r="A191" s="46" t="str">
        <x:v>LME_049</x:v>
      </x:c>
      <x:c r="B191" s="46" t="str">
        <x:v>Kuroshio Current</x:v>
      </x:c>
      <x:c r="C191" s="46" t="str">
        <x:v>LME</x:v>
      </x:c>
      <x:c r="D191" s="58" t="n">
        <x:v>2019</x:v>
      </x:c>
      <x:c r="E191" s="46" t="str">
        <x:v>Gymnocranius</x:v>
      </x:c>
      <x:c r="F191" s="46" t="str">
        <x:v>Largeeye breams</x:v>
      </x:c>
      <x:c r="G191" s="46" t="str">
        <x:v>Medium reef assoc. fish (30 - 89 cm)</x:v>
      </x:c>
      <x:c r="H191" s="46" t="str">
        <x:v>Perch-likes</x:v>
      </x:c>
      <x:c r="I191" s="60" t="n">
        <x:v>5.453660015600001</x:v>
      </x:c>
      <x:c r="J191" s="60" t="n">
        <x:v>5.453660015600001</x:v>
      </x:c>
      <x:c r="K191" s="60" t="n">
        <x:v>0</x:v>
      </x:c>
      <x:c r="L191" s="60" t="n">
        <x:v>1.4033821561</x:v>
      </x:c>
      <x:c r="M191" s="60" t="n">
        <x:v>4.0502778595</x:v>
      </x:c>
      <x:c r="N191" s="46" t="str">
        <x:v>gymnocranius</x:v>
      </x:c>
      <x:c r="O191" s="62" t="n">
        <x:v>3.4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Gymnocranius</x:v>
      </x:c>
      <x:c r="T191" s="62" t="n">
        <x:f>IF(O191="","",(1/'Metadata'!$B$5)^(O191-1))</x:f>
        <x:v>1325.7816069359944</x:v>
      </x:c>
      <x:c r="U191" s="60" t="n">
        <x:f>IF(T191="","",I191*T191)</x:f>
        <x:v>7230.362139164749</x:v>
      </x:c>
    </x:row>
    <x:row r="192" ht="18" customHeight="1">
      <x:c r="A192" s="46" t="str">
        <x:v>LME_049</x:v>
      </x:c>
      <x:c r="B192" s="46" t="str">
        <x:v>Kuroshio Current</x:v>
      </x:c>
      <x:c r="C192" s="46" t="str">
        <x:v>LME</x:v>
      </x:c>
      <x:c r="D192" s="58" t="n">
        <x:v>2019</x:v>
      </x:c>
      <x:c r="E192" s="46" t="str">
        <x:v>Sardinella zunasi</x:v>
      </x:c>
      <x:c r="F192" s="46" t="str">
        <x:v>Japanese sardinella</x:v>
      </x:c>
      <x:c r="G192" s="46" t="str">
        <x:v>Small pelagics (&lt;30 cm)</x:v>
      </x:c>
      <x:c r="H192" s="46" t="str">
        <x:v>Herring-likes</x:v>
      </x:c>
      <x:c r="I192" s="60" t="n">
        <x:v>5.322608132999999</x:v>
      </x:c>
      <x:c r="J192" s="60" t="n">
        <x:v>5.270443322899999</x:v>
      </x:c>
      <x:c r="K192" s="60" t="n">
        <x:v>0.0521648101</x:v>
      </x:c>
      <x:c r="L192" s="60" t="n">
        <x:v>5.2698327011999995</x:v>
      </x:c>
      <x:c r="M192" s="60" t="n">
        <x:v>0.0527754318</x:v>
      </x:c>
      <x:c r="N192" s="46" t="str">
        <x:v>sardinella zunasi</x:v>
      </x:c>
      <x:c r="O192" s="62" t="n">
        <x:v>3.12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Sardinella zunasi</x:v>
      </x:c>
      <x:c r="T192" s="62" t="n">
        <x:f>IF(O192="","",(1/'Metadata'!$B$5)^(O192-1))</x:f>
        <x:v>573.0382222196589</x:v>
      </x:c>
      <x:c r="U192" s="60" t="n">
        <x:f>IF(T192="","",I192*T192)</x:f>
        <x:v>3050.057902106217</x:v>
      </x:c>
    </x:row>
    <x:row r="193" ht="18" customHeight="1">
      <x:c r="A193" s="46" t="str">
        <x:v>LME_049</x:v>
      </x:c>
      <x:c r="B193" s="46" t="str">
        <x:v>Kuroshio Current</x:v>
      </x:c>
      <x:c r="C193" s="46" t="str">
        <x:v>LME</x:v>
      </x:c>
      <x:c r="D193" s="58" t="n">
        <x:v>2019</x:v>
      </x:c>
      <x:c r="E193" s="46" t="str">
        <x:v>Lates calcarifer</x:v>
      </x:c>
      <x:c r="F193" s="46" t="str">
        <x:v>Barramundi</x:v>
      </x:c>
      <x:c r="G193" s="46" t="str">
        <x:v>Large demersals (&gt;=90 cm)</x:v>
      </x:c>
      <x:c r="H193" s="46" t="str">
        <x:v>Perch-likes</x:v>
      </x:c>
      <x:c r="I193" s="60" t="n">
        <x:v>4.7984650734</x:v>
      </x:c>
      <x:c r="J193" s="60" t="n">
        <x:v>4.7714231409</x:v>
      </x:c>
      <x:c r="K193" s="60" t="n">
        <x:v>0.0270419325</x:v>
      </x:c>
      <x:c r="L193" s="60" t="n">
        <x:v>4.7696029649</x:v>
      </x:c>
      <x:c r="M193" s="60" t="n">
        <x:v>0.0288621085</x:v>
      </x:c>
      <x:c r="N193" s="46" t="str">
        <x:v>lates calcarifer</x:v>
      </x:c>
      <x:c r="O193" s="62" t="n">
        <x:v>4.35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Lates calcarifer</x:v>
      </x:c>
      <x:c r="T193" s="62" t="n">
        <x:f>IF(O193="","",(1/'Metadata'!$B$5)^(O193-1))</x:f>
        <x:v>22827.086550132422</x:v>
      </x:c>
      <x:c r="U193" s="60" t="n">
        <x:f>IF(T193="","",I193*T193)</x:f>
        <x:v>109534.97753828933</x:v>
      </x:c>
    </x:row>
    <x:row r="194" ht="18" customHeight="1">
      <x:c r="A194" s="46" t="str">
        <x:v>LME_049</x:v>
      </x:c>
      <x:c r="B194" s="46" t="str">
        <x:v>Kuroshio Current</x:v>
      </x:c>
      <x:c r="C194" s="46" t="str">
        <x:v>LME</x:v>
      </x:c>
      <x:c r="D194" s="58" t="n">
        <x:v>2019</x:v>
      </x:c>
      <x:c r="E194" s="46" t="str">
        <x:v>Octopodidae</x:v>
      </x:c>
      <x:c r="F194" s="46" t="str">
        <x:v>Octopuses</x:v>
      </x:c>
      <x:c r="G194" s="46" t="str">
        <x:v>Cephalopods</x:v>
      </x:c>
      <x:c r="H194" s="46" t="str">
        <x:v>Other fishes &amp; inverts</x:v>
      </x:c>
      <x:c r="I194" s="60" t="n">
        <x:v>4.5239110292</x:v>
      </x:c>
      <x:c r="J194" s="60" t="n">
        <x:v>3.9204238782</x:v>
      </x:c>
      <x:c r="K194" s="60" t="n">
        <x:v>0.6034871509999999</x:v>
      </x:c>
      <x:c r="L194" s="60" t="n">
        <x:v>3.9204238782</x:v>
      </x:c>
      <x:c r="M194" s="60" t="n">
        <x:v>0.6034871509999999</x:v>
      </x:c>
      <x:c r="N194" s="46" t="str">
        <x:v>octopodidae</x:v>
      </x:c>
      <x:c r="O194" s="62" t="n">
        <x:v>3.59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Octopodidae</x:v>
      </x:c>
      <x:c r="T194" s="62" t="n">
        <x:f>IF(O194="","",(1/'Metadata'!$B$5)^(O194-1))</x:f>
        <x:v>2342.4357563948306</x:v>
      </x:c>
      <x:c r="U194" s="60" t="n">
        <x:f>IF(T194="","",I194*T194)</x:f>
        <x:v>10596.970953547017</x:v>
      </x:c>
    </x:row>
    <x:row r="195" ht="18" customHeight="1">
      <x:c r="A195" s="46" t="str">
        <x:v>LME_049</x:v>
      </x:c>
      <x:c r="B195" s="46" t="str">
        <x:v>Kuroshio Current</x:v>
      </x:c>
      <x:c r="C195" s="46" t="str">
        <x:v>LME</x:v>
      </x:c>
      <x:c r="D195" s="58" t="n">
        <x:v>2019</x:v>
      </x:c>
      <x:c r="E195" s="46" t="str">
        <x:v>Hyporhamphus sajori</x:v>
      </x:c>
      <x:c r="F195" s="46" t="str">
        <x:v>Japanese halfbeak</x:v>
      </x:c>
      <x:c r="G195" s="46" t="str">
        <x:v>Medium pelagics (30 - 89 cm)</x:v>
      </x:c>
      <x:c r="H195" s="46" t="str">
        <x:v>Other fishes &amp; inverts</x:v>
      </x:c>
      <x:c r="I195" s="60" t="n">
        <x:v>4.0050101355</x:v>
      </x:c>
      <x:c r="J195" s="60" t="n">
        <x:v>4.0050101355</x:v>
      </x:c>
      <x:c r="K195" s="60" t="n">
        <x:v>0</x:v>
      </x:c>
      <x:c r="L195" s="60" t="n">
        <x:v>3.9986352281</x:v>
      </x:c>
      <x:c r="M195" s="60" t="n">
        <x:v>0.0063749074</x:v>
      </x:c>
      <x:c r="N195" s="46" t="str">
        <x:v>hyporhamphus sajori</x:v>
      </x:c>
      <x:c r="O195" s="62" t="n">
        <x:v>3.4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Hyporhamphus sajori</x:v>
      </x:c>
      <x:c r="T195" s="62" t="n">
        <x:f>IF(O195="","",(1/'Metadata'!$B$5)^(O195-1))</x:f>
        <x:v>1325.7816069359944</x:v>
      </x:c>
      <x:c r="U195" s="60" t="n">
        <x:f>IF(T195="","",I195*T195)</x:f>
        <x:v>5309.768773238135</x:v>
      </x:c>
    </x:row>
    <x:row r="196" ht="18" customHeight="1">
      <x:c r="A196" s="46" t="str">
        <x:v>LME_049</x:v>
      </x:c>
      <x:c r="B196" s="46" t="str">
        <x:v>Kuroshio Current</x:v>
      </x:c>
      <x:c r="C196" s="46" t="str">
        <x:v>LME</x:v>
      </x:c>
      <x:c r="D196" s="58" t="n">
        <x:v>2019</x:v>
      </x:c>
      <x:c r="E196" s="46" t="str">
        <x:v>Hemitrygon akajei</x:v>
      </x:c>
      <x:c r="F196" s="46" t="str">
        <x:v>Whip stingray</x:v>
      </x:c>
      <x:c r="G196" s="46" t="str">
        <x:v>Large rays (&gt;=90 cm)</x:v>
      </x:c>
      <x:c r="H196" s="46" t="str">
        <x:v>Sharks &amp; rays</x:v>
      </x:c>
      <x:c r="I196" s="60" t="n">
        <x:v>3.9515025293</x:v>
      </x:c>
      <x:c r="J196" s="60" t="n">
        <x:v>0</x:v>
      </x:c>
      <x:c r="K196" s="60" t="n">
        <x:v>3.9515025293</x:v>
      </x:c>
      <x:c r="L196" s="60" t="n">
        <x:v>0</x:v>
      </x:c>
      <x:c r="M196" s="60" t="n">
        <x:v>3.9515025293</x:v>
      </x:c>
      <x:c r="N196" s="46" t="str">
        <x:v>hemitrygon akajei</x:v>
      </x:c>
      <x:c r="O196" s="62" t="n">
        <x:v>3.84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Hemitrygon akajei</x:v>
      </x:c>
      <x:c r="T196" s="62" t="n">
        <x:f>IF(O196="","",(1/'Metadata'!$B$5)^(O196-1))</x:f>
        <x:v>4953.648510535111</x:v>
      </x:c>
      <x:c r="U196" s="60" t="n">
        <x:f>IF(T196="","",I196*T196)</x:f>
        <x:v>19574.35461864267</x:v>
      </x:c>
    </x:row>
    <x:row r="197" ht="18" customHeight="1">
      <x:c r="A197" s="46" t="str">
        <x:v>LME_049</x:v>
      </x:c>
      <x:c r="B197" s="46" t="str">
        <x:v>Kuroshio Current</x:v>
      </x:c>
      <x:c r="C197" s="46" t="str">
        <x:v>LME</x:v>
      </x:c>
      <x:c r="D197" s="58" t="n">
        <x:v>2019</x:v>
      </x:c>
      <x:c r="E197" s="46" t="str">
        <x:v>Rachycentron canadum</x:v>
      </x:c>
      <x:c r="F197" s="46" t="str">
        <x:v>Cobia</x:v>
      </x:c>
      <x:c r="G197" s="46" t="str">
        <x:v>Large pelagics (&gt;=90 cm)</x:v>
      </x:c>
      <x:c r="H197" s="46" t="str">
        <x:v>Perch-likes</x:v>
      </x:c>
      <x:c r="I197" s="60" t="n">
        <x:v>3.7857279581</x:v>
      </x:c>
      <x:c r="J197" s="60" t="n">
        <x:v>2.0163183563</x:v>
      </x:c>
      <x:c r="K197" s="60" t="n">
        <x:v>1.7694096018</x:v>
      </x:c>
      <x:c r="L197" s="60" t="n">
        <x:v>2.0163183563</x:v>
      </x:c>
      <x:c r="M197" s="60" t="n">
        <x:v>1.7694096018</x:v>
      </x:c>
      <x:c r="N197" s="46" t="str">
        <x:v>rachycentron canadum</x:v>
      </x:c>
      <x:c r="O197" s="62" t="n">
        <x:v>3.96</x:v>
      </x:c>
      <x:c r="P197" s="46" t="str">
        <x:v>exact_2020_supplement</x:v>
      </x:c>
      <x:c r="Q197" s="62" t="str">
        <x:v>2020 supplement MeanTL</x:v>
      </x:c>
      <x:c r="R197" s="46" t="str">
        <x:v>high</x:v>
      </x:c>
      <x:c r="S197" s="46" t="str">
        <x:v>Rachycentron canadum</x:v>
      </x:c>
      <x:c r="T197" s="62" t="n">
        <x:f>IF(O197="","",(1/'Metadata'!$B$5)^(O197-1))</x:f>
        <x:v>7096.574839945253</x:v>
      </x:c>
      <x:c r="U197" s="60" t="n">
        <x:f>IF(T197="","",I197*T197)</x:f>
        <x:v>26865.701778329778</x:v>
      </x:c>
    </x:row>
    <x:row r="198" ht="18" customHeight="1">
      <x:c r="A198" s="46" t="str">
        <x:v>LME_049</x:v>
      </x:c>
      <x:c r="B198" s="46" t="str">
        <x:v>Kuroshio Current</x:v>
      </x:c>
      <x:c r="C198" s="46" t="str">
        <x:v>LME</x:v>
      </x:c>
      <x:c r="D198" s="58" t="n">
        <x:v>2019</x:v>
      </x:c>
      <x:c r="E198" s="46" t="str">
        <x:v>Sphyraena barracuda</x:v>
      </x:c>
      <x:c r="F198" s="46" t="str">
        <x:v>Great barracuda</x:v>
      </x:c>
      <x:c r="G198" s="46" t="str">
        <x:v>Large pelagics (&gt;=90 cm)</x:v>
      </x:c>
      <x:c r="H198" s="46" t="str">
        <x:v>Perch-likes</x:v>
      </x:c>
      <x:c r="I198" s="60" t="n">
        <x:v>3.2687049853</x:v>
      </x:c>
      <x:c r="J198" s="60" t="n">
        <x:v>0</x:v>
      </x:c>
      <x:c r="K198" s="60" t="n">
        <x:v>3.2687049853</x:v>
      </x:c>
      <x:c r="L198" s="60" t="n">
        <x:v>0</x:v>
      </x:c>
      <x:c r="M198" s="60" t="n">
        <x:v>3.2687049853</x:v>
      </x:c>
      <x:c r="N198" s="46" t="str">
        <x:v>sphyraena barracuda</x:v>
      </x:c>
      <x:c r="O198" s="62" t="n">
        <x:v>4.49</x:v>
      </x:c>
      <x:c r="P198" s="46" t="str">
        <x:v>exact_2020_supplement</x:v>
      </x:c>
      <x:c r="Q198" s="62" t="str">
        <x:v>2020 supplement MeanTL</x:v>
      </x:c>
      <x:c r="R198" s="46" t="str">
        <x:v>high</x:v>
      </x:c>
      <x:c r="S198" s="46" t="str">
        <x:v>Sphyraena barracuda</x:v>
      </x:c>
      <x:c r="T198" s="62" t="n">
        <x:f>IF(O198="","",(1/'Metadata'!$B$5)^(O198-1))</x:f>
        <x:v>34721.19667768202</x:v>
      </x:c>
      <x:c r="U198" s="60" t="n">
        <x:f>IF(T198="","",I198*T198)</x:f>
        <x:v>113493.348675921</x:v>
      </x:c>
    </x:row>
    <x:row r="199" ht="18" customHeight="1">
      <x:c r="A199" s="46" t="str">
        <x:v>LME_049</x:v>
      </x:c>
      <x:c r="B199" s="46" t="str">
        <x:v>Kuroshio Current</x:v>
      </x:c>
      <x:c r="C199" s="46" t="str">
        <x:v>LME</x:v>
      </x:c>
      <x:c r="D199" s="58" t="n">
        <x:v>2019</x:v>
      </x:c>
      <x:c r="E199" s="46" t="str">
        <x:v>Decapterus russelli</x:v>
      </x:c>
      <x:c r="F199" s="46" t="str">
        <x:v>Indian scad</x:v>
      </x:c>
      <x:c r="G199" s="46" t="str">
        <x:v>Medium pelagics (30 - 89 cm)</x:v>
      </x:c>
      <x:c r="H199" s="46" t="str">
        <x:v>Perch-likes</x:v>
      </x:c>
      <x:c r="I199" s="60" t="n">
        <x:v>2.698042179</x:v>
      </x:c>
      <x:c r="J199" s="60" t="n">
        <x:v>2.698042179</x:v>
      </x:c>
      <x:c r="K199" s="60" t="n">
        <x:v>0</x:v>
      </x:c>
      <x:c r="L199" s="60" t="n">
        <x:v>0</x:v>
      </x:c>
      <x:c r="M199" s="60" t="n">
        <x:v>2.698042179</x:v>
      </x:c>
      <x:c r="N199" s="46" t="str">
        <x:v>decapterus russelli</x:v>
      </x:c>
      <x:c r="O199" s="62" t="n">
        <x:v>3.68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Decapterus russelli</x:v>
      </x:c>
      <x:c r="T199" s="62" t="n">
        <x:f>IF(O199="","",(1/'Metadata'!$B$5)^(O199-1))</x:f>
        <x:v>3067.3291957408446</x:v>
      </x:c>
      <x:c r="U199" s="60" t="n">
        <x:f>IF(T199="","",I199*T199)</x:f>
        <x:v>8275.783546986946</x:v>
      </x:c>
    </x:row>
    <x:row r="200" ht="18" customHeight="1">
      <x:c r="A200" s="46" t="str">
        <x:v>LME_049</x:v>
      </x:c>
      <x:c r="B200" s="46" t="str">
        <x:v>Kuroshio Current</x:v>
      </x:c>
      <x:c r="C200" s="46" t="str">
        <x:v>LME</x:v>
      </x:c>
      <x:c r="D200" s="58" t="n">
        <x:v>2019</x:v>
      </x:c>
      <x:c r="E200" s="46" t="str">
        <x:v>Berycidae</x:v>
      </x:c>
      <x:c r="F200" s="46" t="str">
        <x:v>Alfonsinos, redfishes</x:v>
      </x:c>
      <x:c r="G200" s="46" t="str">
        <x:v>Medium benthopelagics (30 - 89 cm)</x:v>
      </x:c>
      <x:c r="H200" s="46" t="str">
        <x:v>Other fishes &amp; inverts</x:v>
      </x:c>
      <x:c r="I200" s="60" t="n">
        <x:v>2.4345360417</x:v>
      </x:c>
      <x:c r="J200" s="60" t="n">
        <x:v>2.4236489928</x:v>
      </x:c>
      <x:c r="K200" s="60" t="n">
        <x:v>0.0108870489</x:v>
      </x:c>
      <x:c r="L200" s="60" t="n">
        <x:v>2.4236489928</x:v>
      </x:c>
      <x:c r="M200" s="60" t="n">
        <x:v>0.0108870489</x:v>
      </x:c>
      <x:c r="N200" s="46" t="str">
        <x:v>berycidae</x:v>
      </x:c>
      <x:c r="O200" s="62" t="n">
        <x:v>3.99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Berycidae</x:v>
      </x:c>
      <x:c r="T200" s="62" t="n">
        <x:f>IF(O200="","",(1/'Metadata'!$B$5)^(O200-1))</x:f>
        <x:v>7763.895603143686</x:v>
      </x:c>
      <x:c r="U200" s="60" t="n">
        <x:f>IF(T200="","",I200*T200)</x:f>
        <x:v>18901.483669849462</x:v>
      </x:c>
    </x:row>
    <x:row r="201" ht="18" customHeight="1">
      <x:c r="A201" s="46" t="str">
        <x:v>LME_049</x:v>
      </x:c>
      <x:c r="B201" s="46" t="str">
        <x:v>Kuroshio Current</x:v>
      </x:c>
      <x:c r="C201" s="46" t="str">
        <x:v>LME</x:v>
      </x:c>
      <x:c r="D201" s="58" t="n">
        <x:v>2019</x:v>
      </x:c>
      <x:c r="E201" s="46" t="str">
        <x:v>Scylla serrata</x:v>
      </x:c>
      <x:c r="F201" s="46" t="str">
        <x:v>Indo-Pacific swamp crab</x:v>
      </x:c>
      <x:c r="G201" s="46" t="str">
        <x:v>Lobsters, crabs</x:v>
      </x:c>
      <x:c r="H201" s="46" t="str">
        <x:v>Crustaceans</x:v>
      </x:c>
      <x:c r="I201" s="60" t="n">
        <x:v>2.4190185702</x:v>
      </x:c>
      <x:c r="J201" s="60" t="n">
        <x:v>2.4170460235</x:v>
      </x:c>
      <x:c r="K201" s="60" t="n">
        <x:v>0.0019725467</x:v>
      </x:c>
      <x:c r="L201" s="60" t="n">
        <x:v>1.1386952158</x:v>
      </x:c>
      <x:c r="M201" s="60" t="n">
        <x:v>1.2803233544000001</x:v>
      </x:c>
      <x:c r="N201" s="46" t="str">
        <x:v>scylla serrata</x:v>
      </x:c>
      <x:c r="O201" s="62" t="n">
        <x:v>3.17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Scylla serrata</x:v>
      </x:c>
      <x:c r="T201" s="62" t="n">
        <x:f>IF(O201="","",(1/'Metadata'!$B$5)^(O201-1))</x:f>
        <x:v>665.6333767532121</x:v>
      </x:c>
      <x:c r="U201" s="60" t="n">
        <x:f>IF(T201="","",I201*T201)</x:f>
        <x:v>1610.1794993109531</x:v>
      </x:c>
    </x:row>
    <x:row r="202" ht="18" customHeight="1">
      <x:c r="A202" s="46" t="str">
        <x:v>LME_049</x:v>
      </x:c>
      <x:c r="B202" s="46" t="str">
        <x:v>Kuroshio Current</x:v>
      </x:c>
      <x:c r="C202" s="46" t="str">
        <x:v>LME</x:v>
      </x:c>
      <x:c r="D202" s="58" t="n">
        <x:v>2019</x:v>
      </x:c>
      <x:c r="E202" s="46" t="str">
        <x:v>Evynnis tumifrons</x:v>
      </x:c>
      <x:c r="F202" s="46" t="str">
        <x:v>Yellowback seabream</x:v>
      </x:c>
      <x:c r="G202" s="46" t="str">
        <x:v>Medium demersals (30 - 89 cm)</x:v>
      </x:c>
      <x:c r="H202" s="46" t="str">
        <x:v>Perch-likes</x:v>
      </x:c>
      <x:c r="I202" s="60" t="n">
        <x:v>2.3945270404</x:v>
      </x:c>
      <x:c r="J202" s="60" t="n">
        <x:v>0</x:v>
      </x:c>
      <x:c r="K202" s="60" t="n">
        <x:v>2.3945270404</x:v>
      </x:c>
      <x:c r="L202" s="60" t="n">
        <x:v>0</x:v>
      </x:c>
      <x:c r="M202" s="60" t="n">
        <x:v>2.3945270404</x:v>
      </x:c>
      <x:c r="N202" s="46" t="str">
        <x:v>evynnis tumifrons</x:v>
      </x:c>
      <x:c r="O202" s="62" t="n">
        <x:v>3.97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Evynnis tumifrons</x:v>
      </x:c>
      <x:c r="T202" s="62" t="n">
        <x:f>IF(O202="","",(1/'Metadata'!$B$5)^(O202-1))</x:f>
        <x:v>7312.385640086951</x:v>
      </x:c>
      <x:c r="U202" s="60" t="n">
        <x:f>IF(T202="","",I202*T202)</x:f>
        <x:v>17509.705145020864</x:v>
      </x:c>
    </x:row>
    <x:row r="203" ht="18" customHeight="1">
      <x:c r="A203" s="46" t="str">
        <x:v>LME_049</x:v>
      </x:c>
      <x:c r="B203" s="46" t="str">
        <x:v>Kuroshio Current</x:v>
      </x:c>
      <x:c r="C203" s="46" t="str">
        <x:v>LME</x:v>
      </x:c>
      <x:c r="D203" s="58" t="n">
        <x:v>2019</x:v>
      </x:c>
      <x:c r="E203" s="46" t="str">
        <x:v>Aluterus</x:v>
      </x:c>
      <x:c r="F203" s="46" t="str">
        <x:v>Aluterid filefishes</x:v>
      </x:c>
      <x:c r="G203" s="46" t="str">
        <x:v>Large reef assoc. fish (&gt;=90 cm)</x:v>
      </x:c>
      <x:c r="H203" s="46" t="str">
        <x:v>Other fishes &amp; inverts</x:v>
      </x:c>
      <x:c r="I203" s="60" t="n">
        <x:v>2.3795420038</x:v>
      </x:c>
      <x:c r="J203" s="60" t="n">
        <x:v>0</x:v>
      </x:c>
      <x:c r="K203" s="60" t="n">
        <x:v>2.3795420038</x:v>
      </x:c>
      <x:c r="L203" s="60" t="n">
        <x:v>0</x:v>
      </x:c>
      <x:c r="M203" s="60" t="n">
        <x:v>2.3795420038</x:v>
      </x:c>
      <x:c r="N203" s="46" t="str">
        <x:v>aluterus</x:v>
      </x:c>
      <x:c r="O203" s="62" t="n">
        <x:v>2.81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Aluterus</x:v>
      </x:c>
      <x:c r="T203" s="62" t="n">
        <x:f>IF(O203="","",(1/'Metadata'!$B$5)^(O203-1))</x:f>
        <x:v>226.39367646546913</x:v>
      </x:c>
      <x:c r="U203" s="60" t="n">
        <x:f>IF(T203="","",I203*T203)</x:f>
        <x:v>538.7132625442913</x:v>
      </x:c>
    </x:row>
    <x:row r="204" ht="18" customHeight="1">
      <x:c r="A204" s="46" t="str">
        <x:v>LME_049</x:v>
      </x:c>
      <x:c r="B204" s="46" t="str">
        <x:v>Kuroshio Current</x:v>
      </x:c>
      <x:c r="C204" s="46" t="str">
        <x:v>LME</x:v>
      </x:c>
      <x:c r="D204" s="58" t="n">
        <x:v>2019</x:v>
      </x:c>
      <x:c r="E204" s="46" t="str">
        <x:v>Ariomma indica</x:v>
      </x:c>
      <x:c r="F204" s="46" t="str">
        <x:v>Indian driftfish</x:v>
      </x:c>
      <x:c r="G204" s="46" t="str">
        <x:v>Small benthopelagics (&lt;30 cm)</x:v>
      </x:c>
      <x:c r="H204" s="46" t="str">
        <x:v>Perch-likes</x:v>
      </x:c>
      <x:c r="I204" s="60" t="n">
        <x:v>2.3733472406</x:v>
      </x:c>
      <x:c r="J204" s="60" t="n">
        <x:v>2.3733472406</x:v>
      </x:c>
      <x:c r="K204" s="60" t="n">
        <x:v>0</x:v>
      </x:c>
      <x:c r="L204" s="60" t="n">
        <x:v>0.6164453682000001</x:v>
      </x:c>
      <x:c r="M204" s="60" t="n">
        <x:v>1.7569018724</x:v>
      </x:c>
      <x:c r="N204" s="46" t="str">
        <x:v>ariomma indica</x:v>
      </x:c>
      <x:c r="O204" s="62" t="n">
        <x:v>3.63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Ariomma indica</x:v>
      </x:c>
      <x:c r="T204" s="62" t="n">
        <x:f>IF(O204="","",(1/'Metadata'!$B$5)^(O204-1))</x:f>
        <x:v>2640.638121038009</x:v>
      </x:c>
      <x:c r="U204" s="60" t="n">
        <x:f>IF(T204="","",I204*T204)</x:f>
        <x:v>6267.151197988727</x:v>
      </x:c>
    </x:row>
    <x:row r="205" ht="18" customHeight="1">
      <x:c r="A205" s="46" t="str">
        <x:v>LME_049</x:v>
      </x:c>
      <x:c r="B205" s="46" t="str">
        <x:v>Kuroshio Current</x:v>
      </x:c>
      <x:c r="C205" s="46" t="str">
        <x:v>LME</x:v>
      </x:c>
      <x:c r="D205" s="58" t="n">
        <x:v>2019</x:v>
      </x:c>
      <x:c r="E205" s="46" t="str">
        <x:v>Acanthocybium solandri</x:v>
      </x:c>
      <x:c r="F205" s="46" t="str">
        <x:v>Wahoo</x:v>
      </x:c>
      <x:c r="G205" s="46" t="str">
        <x:v>Large pelagics (&gt;=90 cm)</x:v>
      </x:c>
      <x:c r="H205" s="46" t="str">
        <x:v>Perch-likes</x:v>
      </x:c>
      <x:c r="I205" s="60" t="n">
        <x:v>2.1482509488</x:v>
      </x:c>
      <x:c r="J205" s="60" t="n">
        <x:v>0</x:v>
      </x:c>
      <x:c r="K205" s="60" t="n">
        <x:v>2.1482509488</x:v>
      </x:c>
      <x:c r="L205" s="60" t="n">
        <x:v>0</x:v>
      </x:c>
      <x:c r="M205" s="60" t="n">
        <x:v>2.1482509488</x:v>
      </x:c>
      <x:c r="N205" s="46" t="str">
        <x:v>acanthocybium solandri</x:v>
      </x:c>
      <x:c r="O205" s="62" t="n">
        <x:v>4.26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Acanthocybium solandri</x:v>
      </x:c>
      <x:c r="T205" s="62" t="n">
        <x:f>IF(O205="","",(1/'Metadata'!$B$5)^(O205-1))</x:f>
        <x:v>17432.42421569787</x:v>
      </x:c>
      <x:c r="U205" s="60" t="n">
        <x:f>IF(T205="","",I205*T205)</x:f>
        <x:v>37449.22186125704</x:v>
      </x:c>
    </x:row>
    <x:row r="206" ht="18" customHeight="1">
      <x:c r="A206" s="46" t="str">
        <x:v>LME_049</x:v>
      </x:c>
      <x:c r="B206" s="46" t="str">
        <x:v>Kuroshio Current</x:v>
      </x:c>
      <x:c r="C206" s="46" t="str">
        <x:v>LME</x:v>
      </x:c>
      <x:c r="D206" s="58" t="n">
        <x:v>2019</x:v>
      </x:c>
      <x:c r="E206" s="46" t="str">
        <x:v>Carcharhinus longimanus</x:v>
      </x:c>
      <x:c r="F206" s="46" t="str">
        <x:v>Oceanic whitetip shark</x:v>
      </x:c>
      <x:c r="G206" s="46" t="str">
        <x:v>Large sharks (&gt;=90 cm)</x:v>
      </x:c>
      <x:c r="H206" s="46" t="str">
        <x:v>Sharks &amp; rays</x:v>
      </x:c>
      <x:c r="I206" s="60" t="n">
        <x:v>1.6603255968</x:v>
      </x:c>
      <x:c r="J206" s="60" t="n">
        <x:v>0.0418616292</x:v>
      </x:c>
      <x:c r="K206" s="60" t="n">
        <x:v>1.6184639675999999</x:v>
      </x:c>
      <x:c r="L206" s="60" t="n">
        <x:v>0.0418616292</x:v>
      </x:c>
      <x:c r="M206" s="60" t="n">
        <x:v>1.6184639675999999</x:v>
      </x:c>
      <x:c r="N206" s="46" t="str">
        <x:v>carcharhinus longimanus</x:v>
      </x:c>
      <x:c r="O206" s="62" t="n">
        <x:v>4.16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Carcharhinus longimanus</x:v>
      </x:c>
      <x:c r="T206" s="62" t="n">
        <x:f>IF(O206="","",(1/'Metadata'!$B$5)^(O206-1))</x:f>
        <x:v>12919.77011769987</x:v>
      </x:c>
      <x:c r="U206" s="60" t="n">
        <x:f>IF(T206="","",I206*T206)</x:f>
        <x:v>21451.02503118884</x:v>
      </x:c>
    </x:row>
    <x:row r="207" ht="18" customHeight="1">
      <x:c r="A207" s="46" t="str">
        <x:v>LME_049</x:v>
      </x:c>
      <x:c r="B207" s="46" t="str">
        <x:v>Kuroshio Current</x:v>
      </x:c>
      <x:c r="C207" s="46" t="str">
        <x:v>LME</x:v>
      </x:c>
      <x:c r="D207" s="58" t="n">
        <x:v>2019</x:v>
      </x:c>
      <x:c r="E207" s="46" t="str">
        <x:v>Alopias</x:v>
      </x:c>
      <x:c r="F207" s="46" t="str">
        <x:v>Thresher sharks</x:v>
      </x:c>
      <x:c r="G207" s="46" t="str">
        <x:v>Large sharks (&gt;=90 cm)</x:v>
      </x:c>
      <x:c r="H207" s="46" t="str">
        <x:v>Sharks &amp; rays</x:v>
      </x:c>
      <x:c r="I207" s="60" t="n">
        <x:v>1.6010296899</x:v>
      </x:c>
      <x:c r="J207" s="60" t="n">
        <x:v>1.0293866189</x:v>
      </x:c>
      <x:c r="K207" s="60" t="n">
        <x:v>0.571643071</x:v>
      </x:c>
      <x:c r="L207" s="60" t="n">
        <x:v>1.0293866189</x:v>
      </x:c>
      <x:c r="M207" s="60" t="n">
        <x:v>0.571643071</x:v>
      </x:c>
      <x:c r="N207" s="46" t="str">
        <x:v>alopias</x:v>
      </x:c>
      <x:c r="O207" s="62" t="n">
        <x:v>4.5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Alopias</x:v>
      </x:c>
      <x:c r="T207" s="62" t="n">
        <x:f>IF(O207="","",(1/'Metadata'!$B$5)^(O207-1))</x:f>
        <x:v>35777.08763999664</x:v>
      </x:c>
      <x:c r="U207" s="60" t="n">
        <x:f>IF(T207="","",I207*T207)</x:f>
        <x:v>57280.17952978894</x:v>
      </x:c>
    </x:row>
    <x:row r="208" ht="18" customHeight="1">
      <x:c r="A208" s="46" t="str">
        <x:v>LME_049</x:v>
      </x:c>
      <x:c r="B208" s="46" t="str">
        <x:v>Kuroshio Current</x:v>
      </x:c>
      <x:c r="C208" s="46" t="str">
        <x:v>LME</x:v>
      </x:c>
      <x:c r="D208" s="58" t="n">
        <x:v>2019</x:v>
      </x:c>
      <x:c r="E208" s="46" t="str">
        <x:v>Parupeneus barberinus</x:v>
      </x:c>
      <x:c r="F208" s="46" t="str">
        <x:v>Dash-and-dot goatfish</x:v>
      </x:c>
      <x:c r="G208" s="46" t="str">
        <x:v>Medium reef assoc. fish (30 - 89 cm)</x:v>
      </x:c>
      <x:c r="H208" s="46" t="str">
        <x:v>Perch-likes</x:v>
      </x:c>
      <x:c r="I208" s="60" t="n">
        <x:v>1.4600934764</x:v>
      </x:c>
      <x:c r="J208" s="60" t="n">
        <x:v>0</x:v>
      </x:c>
      <x:c r="K208" s="60" t="n">
        <x:v>1.4600934764</x:v>
      </x:c>
      <x:c r="L208" s="60" t="n">
        <x:v>0</x:v>
      </x:c>
      <x:c r="M208" s="60" t="n">
        <x:v>1.4600934764</x:v>
      </x:c>
      <x:c r="N208" s="46" t="str">
        <x:v>parupeneus barberinus</x:v>
      </x:c>
      <x:c r="O208" s="62" t="n">
        <x:v>3.22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Parupeneus barberinus</x:v>
      </x:c>
      <x:c r="T208" s="62" t="n">
        <x:f>IF(O208="","",(1/'Metadata'!$B$5)^(O208-1))</x:f>
        <x:v>773.1906443023378</x:v>
      </x:c>
      <x:c r="U208" s="60" t="n">
        <x:f>IF(T208="","",I208*T208)</x:f>
        <x:v>1128.9306157593562</x:v>
      </x:c>
    </x:row>
    <x:row r="209" ht="18" customHeight="1">
      <x:c r="A209" s="46" t="str">
        <x:v>LME_049</x:v>
      </x:c>
      <x:c r="B209" s="46" t="str">
        <x:v>Kuroshio Current</x:v>
      </x:c>
      <x:c r="C209" s="46" t="str">
        <x:v>LME</x:v>
      </x:c>
      <x:c r="D209" s="58" t="n">
        <x:v>2019</x:v>
      </x:c>
      <x:c r="E209" s="46" t="str">
        <x:v>Penaeus monodon</x:v>
      </x:c>
      <x:c r="F209" s="46" t="str">
        <x:v>Giant tiger prawn</x:v>
      </x:c>
      <x:c r="G209" s="46" t="str">
        <x:v>Shrimps</x:v>
      </x:c>
      <x:c r="H209" s="46" t="str">
        <x:v>Crustaceans</x:v>
      </x:c>
      <x:c r="I209" s="60" t="n">
        <x:v>1.4438491986</x:v>
      </x:c>
      <x:c r="J209" s="60" t="n">
        <x:v>1.4291314494</x:v>
      </x:c>
      <x:c r="K209" s="60" t="n">
        <x:v>0.0147177492</x:v>
      </x:c>
      <x:c r="L209" s="60" t="n">
        <x:v>0.836750887</x:v>
      </x:c>
      <x:c r="M209" s="60" t="n">
        <x:v>0.6070983116</x:v>
      </x:c>
      <x:c r="N209" s="46" t="str">
        <x:v>penaeus monodon</x:v>
      </x:c>
      <x:c r="O209" s="62" t="n">
        <x:v>2.6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Penaeus monodon</x:v>
      </x:c>
      <x:c r="T209" s="62" t="n">
        <x:f>IF(O209="","",(1/'Metadata'!$B$5)^(O209-1))</x:f>
        <x:v>120.6835267309033</x:v>
      </x:c>
      <x:c r="U209" s="60" t="n">
        <x:f>IF(T209="","",I209*T209)</x:f>
        <x:v>174.24881335463638</x:v>
      </x:c>
    </x:row>
    <x:row r="210" ht="18" customHeight="1">
      <x:c r="A210" s="46" t="str">
        <x:v>LME_049</x:v>
      </x:c>
      <x:c r="B210" s="46" t="str">
        <x:v>Kuroshio Current</x:v>
      </x:c>
      <x:c r="C210" s="46" t="str">
        <x:v>LME</x:v>
      </x:c>
      <x:c r="D210" s="58" t="n">
        <x:v>2019</x:v>
      </x:c>
      <x:c r="E210" s="46" t="str">
        <x:v>Meretrix lusoria</x:v>
      </x:c>
      <x:c r="F210" s="46" t="str">
        <x:v>Japanese hard clam</x:v>
      </x:c>
      <x:c r="G210" s="46" t="str">
        <x:v>Other demersal invertebrates</x:v>
      </x:c>
      <x:c r="H210" s="46" t="str">
        <x:v>Molluscs</x:v>
      </x:c>
      <x:c r="I210" s="60" t="n">
        <x:v>1.3101618685</x:v>
      </x:c>
      <x:c r="J210" s="60" t="n">
        <x:v>1.3072914440999999</x:v>
      </x:c>
      <x:c r="K210" s="60" t="n">
        <x:v>0.0028704244</x:v>
      </x:c>
      <x:c r="L210" s="60" t="n">
        <x:v>1.3072914440999999</x:v>
      </x:c>
      <x:c r="M210" s="60" t="n">
        <x:v>0.0028704244</x:v>
      </x:c>
      <x:c r="N210" s="46" t="str">
        <x:v>meretrix lusoria</x:v>
      </x:c>
      <x:c r="O210" s="62" t="n">
        <x:v>2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Meretrix lusoria</x:v>
      </x:c>
      <x:c r="T210" s="62" t="n">
        <x:f>IF(O210="","",(1/'Metadata'!$B$5)^(O210-1))</x:f>
        <x:v>20</x:v>
      </x:c>
      <x:c r="U210" s="60" t="n">
        <x:f>IF(T210="","",I210*T210)</x:f>
        <x:v>26.20323737</x:v>
      </x:c>
    </x:row>
    <x:row r="211" ht="18" customHeight="1">
      <x:c r="A211" s="46" t="str">
        <x:v>LME_049</x:v>
      </x:c>
      <x:c r="B211" s="46" t="str">
        <x:v>Kuroshio Current</x:v>
      </x:c>
      <x:c r="C211" s="46" t="str">
        <x:v>LME</x:v>
      </x:c>
      <x:c r="D211" s="58" t="n">
        <x:v>2019</x:v>
      </x:c>
      <x:c r="E211" s="46" t="str">
        <x:v>Platycaranx talamparoides</x:v>
      </x:c>
      <x:c r="F211" s="46" t="str">
        <x:v>Imposter trevally</x:v>
      </x:c>
      <x:c r="G211" s="46" t="str">
        <x:v>Medium pelagics (30 - 89 cm)</x:v>
      </x:c>
      <x:c r="H211" s="46" t="str">
        <x:v>Perch-likes</x:v>
      </x:c>
      <x:c r="I211" s="60" t="n">
        <x:v>0.8524520963</x:v>
      </x:c>
      <x:c r="J211" s="60" t="n">
        <x:v>0.8524520963</x:v>
      </x:c>
      <x:c r="K211" s="60" t="n">
        <x:v>0</x:v>
      </x:c>
      <x:c r="L211" s="60" t="n">
        <x:v>0.21884890399999998</x:v>
      </x:c>
      <x:c r="M211" s="60" t="n">
        <x:v>0.6336031923</x:v>
      </x:c>
      <x:c r="N211" s="46" t="str">
        <x:v>platycaranx talamparoides</x:v>
      </x:c>
      <x:c r="O211" s="62" t="n">
        <x:v>4.4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Platycaranx talamparoides</x:v>
      </x:c>
      <x:c r="T211" s="62" t="n">
        <x:f>IF(O211="","",(1/'Metadata'!$B$5)^(O211-1))</x:f>
        <x:v>26515.632138719924</x:v>
      </x:c>
      <x:c r="U211" s="60" t="n">
        <x:f>IF(T211="","",I211*T211)</x:f>
        <x:v>22603.30620137145</x:v>
      </x:c>
    </x:row>
    <x:row r="212" ht="18" customHeight="1">
      <x:c r="A212" s="46" t="str">
        <x:v>LME_049</x:v>
      </x:c>
      <x:c r="B212" s="46" t="str">
        <x:v>Kuroshio Current</x:v>
      </x:c>
      <x:c r="C212" s="46" t="str">
        <x:v>LME</x:v>
      </x:c>
      <x:c r="D212" s="58" t="n">
        <x:v>2019</x:v>
      </x:c>
      <x:c r="E212" s="46" t="str">
        <x:v>Mizuhopecten yessoensis</x:v>
      </x:c>
      <x:c r="F212" s="46" t="str">
        <x:v>Yesso scallop</x:v>
      </x:c>
      <x:c r="G212" s="46" t="str">
        <x:v>Other demersal invertebrates</x:v>
      </x:c>
      <x:c r="H212" s="46" t="str">
        <x:v>Molluscs</x:v>
      </x:c>
      <x:c r="I212" s="60" t="n">
        <x:v>0.6305457108</x:v>
      </x:c>
      <x:c r="J212" s="60" t="n">
        <x:v>0.6296107748</x:v>
      </x:c>
      <x:c r="K212" s="60" t="n">
        <x:v>0.000934936</x:v>
      </x:c>
      <x:c r="L212" s="60" t="n">
        <x:v>0.6138137450000001</x:v>
      </x:c>
      <x:c r="M212" s="60" t="n">
        <x:v>0.0167319658</x:v>
      </x:c>
      <x:c r="N212" s="46" t="str">
        <x:v>mizuhopecten yessoensis</x:v>
      </x:c>
      <x:c r="O212" s="62" t="n">
        <x:v>2.1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Mizuhopecten yessoensis</x:v>
      </x:c>
      <x:c r="T212" s="62" t="n">
        <x:f>IF(O212="","",(1/'Metadata'!$B$5)^(O212-1))</x:f>
        <x:v>26.985656953471274</x:v>
      </x:c>
      <x:c r="U212" s="60" t="n">
        <x:f>IF(T212="","",I212*T212)</x:f>
        <x:v>17.015690245131506</x:v>
      </x:c>
    </x:row>
    <x:row r="213" ht="18" customHeight="1">
      <x:c r="A213" s="46" t="str">
        <x:v>LME_049</x:v>
      </x:c>
      <x:c r="B213" s="46" t="str">
        <x:v>Kuroshio Current</x:v>
      </x:c>
      <x:c r="C213" s="46" t="str">
        <x:v>LME</x:v>
      </x:c>
      <x:c r="D213" s="58" t="n">
        <x:v>2019</x:v>
      </x:c>
      <x:c r="E213" s="46" t="str">
        <x:v>Sillago sihama</x:v>
      </x:c>
      <x:c r="F213" s="46" t="str">
        <x:v>Silver sillago</x:v>
      </x:c>
      <x:c r="G213" s="46" t="str">
        <x:v>Medium demersals (30 - 89 cm)</x:v>
      </x:c>
      <x:c r="H213" s="46" t="str">
        <x:v>Perch-likes</x:v>
      </x:c>
      <x:c r="I213" s="60" t="n">
        <x:v>0.6161409829000001</x:v>
      </x:c>
      <x:c r="J213" s="60" t="n">
        <x:v>0</x:v>
      </x:c>
      <x:c r="K213" s="60" t="n">
        <x:v>0.6161409829000001</x:v>
      </x:c>
      <x:c r="L213" s="60" t="n">
        <x:v>0</x:v>
      </x:c>
      <x:c r="M213" s="60" t="n">
        <x:v>0.6161409829000001</x:v>
      </x:c>
      <x:c r="N213" s="46" t="str">
        <x:v>sillago sihama</x:v>
      </x:c>
      <x:c r="O213" s="62" t="n">
        <x:v>3.33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Sillago sihama</x:v>
      </x:c>
      <x:c r="T213" s="62" t="n">
        <x:f>IF(O213="","",(1/'Metadata'!$B$5)^(O213-1))</x:f>
        <x:v>1074.9787762899762</x:v>
      </x:c>
      <x:c r="U213" s="60" t="n">
        <x:f>IF(T213="","",I213*T213)</x:f>
        <x:v>662.3384798199452</x:v>
      </x:c>
    </x:row>
    <x:row r="214" ht="18" customHeight="1">
      <x:c r="A214" s="46" t="str">
        <x:v>LME_049</x:v>
      </x:c>
      <x:c r="B214" s="46" t="str">
        <x:v>Kuroshio Current</x:v>
      </x:c>
      <x:c r="C214" s="46" t="str">
        <x:v>LME</x:v>
      </x:c>
      <x:c r="D214" s="58" t="n">
        <x:v>2019</x:v>
      </x:c>
      <x:c r="E214" s="46" t="str">
        <x:v>Cheilopogon unicolor</x:v>
      </x:c>
      <x:c r="F214" s="46" t="str">
        <x:v>Limpidwing flyingfish</x:v>
      </x:c>
      <x:c r="G214" s="46" t="str">
        <x:v>Medium pelagics (30 - 89 cm)</x:v>
      </x:c>
      <x:c r="H214" s="46" t="str">
        <x:v>Other fishes &amp; inverts</x:v>
      </x:c>
      <x:c r="I214" s="60" t="n">
        <x:v>0.5805766466</x:v>
      </x:c>
      <x:c r="J214" s="60" t="n">
        <x:v>0</x:v>
      </x:c>
      <x:c r="K214" s="60" t="n">
        <x:v>0.5805766466</x:v>
      </x:c>
      <x:c r="L214" s="60" t="n">
        <x:v>0</x:v>
      </x:c>
      <x:c r="M214" s="60" t="n">
        <x:v>0.5805766466</x:v>
      </x:c>
      <x:c r="N214" s="46" t="str">
        <x:v>cheilopogon unicolor</x:v>
      </x:c>
      <x:c r="O214" s="62" t="n">
        <x:v>3.7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Cheilopogon unicolor</x:v>
      </x:c>
      <x:c r="T214" s="62" t="n">
        <x:f>IF(O214="","",(1/'Metadata'!$B$5)^(O214-1))</x:f>
        <x:v>3256.724252295237</x:v>
      </x:c>
      <x:c r="U214" s="60" t="n">
        <x:f>IF(T214="","",I214*T214)</x:f>
        <x:v>1890.778045298461</x:v>
      </x:c>
    </x:row>
    <x:row r="215" ht="18" customHeight="1">
      <x:c r="A215" s="46" t="str">
        <x:v>LME_049</x:v>
      </x:c>
      <x:c r="B215" s="46" t="str">
        <x:v>Kuroshio Current</x:v>
      </x:c>
      <x:c r="C215" s="46" t="str">
        <x:v>LME</x:v>
      </x:c>
      <x:c r="D215" s="58" t="n">
        <x:v>2019</x:v>
      </x:c>
      <x:c r="E215" s="46" t="str">
        <x:v>Sphyrna</x:v>
      </x:c>
      <x:c r="F215" s="46" t="str">
        <x:v>Hammerhead sharks</x:v>
      </x:c>
      <x:c r="G215" s="46" t="str">
        <x:v>Large sharks (&gt;=90 cm)</x:v>
      </x:c>
      <x:c r="H215" s="46" t="str">
        <x:v>Sharks &amp; rays</x:v>
      </x:c>
      <x:c r="I215" s="60" t="n">
        <x:v>0.5338401572</x:v>
      </x:c>
      <x:c r="J215" s="60" t="n">
        <x:v>0.5338401572</x:v>
      </x:c>
      <x:c r="K215" s="60" t="n">
        <x:v>0</x:v>
      </x:c>
      <x:c r="L215" s="60" t="n">
        <x:v>0.5338401572</x:v>
      </x:c>
      <x:c r="M215" s="60" t="n">
        <x:v>0</x:v>
      </x:c>
      <x:c r="N215" s="46" t="str">
        <x:v>sphyrna</x:v>
      </x:c>
      <x:c r="O215" s="62" t="n">
        <x:v>4.2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Sphyrna</x:v>
      </x:c>
      <x:c r="T215" s="62" t="n">
        <x:f>IF(O215="","",(1/'Metadata'!$B$5)^(O215-1))</x:f>
        <x:v>14564.51362420865</x:v>
      </x:c>
      <x:c r="U215" s="60" t="n">
        <x:f>IF(T215="","",I215*T215)</x:f>
        <x:v>7775.122242689087</x:v>
      </x:c>
    </x:row>
    <x:row r="216" ht="18" customHeight="1">
      <x:c r="A216" s="46" t="str">
        <x:v>LME_049</x:v>
      </x:c>
      <x:c r="B216" s="46" t="str">
        <x:v>Kuroshio Current</x:v>
      </x:c>
      <x:c r="C216" s="46" t="str">
        <x:v>LME</x:v>
      </x:c>
      <x:c r="D216" s="58" t="n">
        <x:v>2019</x:v>
      </x:c>
      <x:c r="E216" s="46" t="str">
        <x:v>Rhopilema hispidum</x:v>
      </x:c>
      <x:c r="F216" s="46" t="str">
        <x:v>Sand jellyfish</x:v>
      </x:c>
      <x:c r="G216" s="46" t="str">
        <x:v>Jellyfish</x:v>
      </x:c>
      <x:c r="H216" s="46" t="str">
        <x:v>Other fishes &amp; inverts</x:v>
      </x:c>
      <x:c r="I216" s="60" t="n">
        <x:v>0.5165248494</x:v>
      </x:c>
      <x:c r="J216" s="60" t="n">
        <x:v>0.5165248494</x:v>
      </x:c>
      <x:c r="K216" s="60" t="n">
        <x:v>0</x:v>
      </x:c>
      <x:c r="L216" s="60" t="n">
        <x:v>0</x:v>
      </x:c>
      <x:c r="M216" s="60" t="n">
        <x:v>0.5165248494</x:v>
      </x:c>
      <x:c r="N216" s="46" t="str">
        <x:v>rhopilema hispidum</x:v>
      </x:c>
      <x:c r="O216" s="62" t="n">
        <x:v>3.46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Rhopilema hispidum</x:v>
      </x:c>
      <x:c r="T216" s="62" t="n">
        <x:f>IF(O216="","",(1/'Metadata'!$B$5)^(O216-1))</x:f>
        <x:v>1586.8423749532276</x:v>
      </x:c>
      <x:c r="U216" s="60" t="n">
        <x:f>IF(T216="","",I216*T216)</x:f>
        <x:v>819.6435187442542</x:v>
      </x:c>
    </x:row>
    <x:row r="217" ht="18" customHeight="1">
      <x:c r="A217" s="46" t="str">
        <x:v>LME_049</x:v>
      </x:c>
      <x:c r="B217" s="46" t="str">
        <x:v>Kuroshio Current</x:v>
      </x:c>
      <x:c r="C217" s="46" t="str">
        <x:v>LME</x:v>
      </x:c>
      <x:c r="D217" s="58" t="n">
        <x:v>2019</x:v>
      </x:c>
      <x:c r="E217" s="46" t="str">
        <x:v>Sergestidae</x:v>
      </x:c>
      <x:c r="F217" s="46" t="str">
        <x:v>Sergestid shrimp</x:v>
      </x:c>
      <x:c r="G217" s="46" t="str">
        <x:v>Shrimps</x:v>
      </x:c>
      <x:c r="H217" s="46" t="str">
        <x:v>Crustaceans</x:v>
      </x:c>
      <x:c r="I217" s="60" t="n">
        <x:v>0.4951034817</x:v>
      </x:c>
      <x:c r="J217" s="60" t="n">
        <x:v>0</x:v>
      </x:c>
      <x:c r="K217" s="60" t="n">
        <x:v>0.4951034817</x:v>
      </x:c>
      <x:c r="L217" s="60" t="n">
        <x:v>0</x:v>
      </x:c>
      <x:c r="M217" s="60" t="n">
        <x:v>0.4951034817</x:v>
      </x:c>
      <x:c r="N217" s="46" t="str">
        <x:v>sergestidae</x:v>
      </x:c>
      <x:c r="O217" s="62" t="n">
        <x:v>2.93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Sergestidae</x:v>
      </x:c>
      <x:c r="T217" s="62" t="n">
        <x:f>IF(O217="","",(1/'Metadata'!$B$5)^(O217-1))</x:f>
        <x:v>324.3305747088626</x:v>
      </x:c>
      <x:c r="U217" s="60" t="n">
        <x:f>IF(T217="","",I217*T217)</x:f>
        <x:v>160.57719676011985</x:v>
      </x:c>
    </x:row>
    <x:row r="218" ht="18" customHeight="1">
      <x:c r="A218" s="46" t="str">
        <x:v>LME_049</x:v>
      </x:c>
      <x:c r="B218" s="46" t="str">
        <x:v>Kuroshio Current</x:v>
      </x:c>
      <x:c r="C218" s="46" t="str">
        <x:v>LME</x:v>
      </x:c>
      <x:c r="D218" s="58" t="n">
        <x:v>2019</x:v>
      </x:c>
      <x:c r="E218" s="46" t="str">
        <x:v>Encrasicholina punctifer</x:v>
      </x:c>
      <x:c r="F218" s="46" t="str">
        <x:v>Buccaneer anchovy</x:v>
      </x:c>
      <x:c r="G218" s="46" t="str">
        <x:v>Small pelagics (&lt;30 cm)</x:v>
      </x:c>
      <x:c r="H218" s="46" t="str">
        <x:v>Anchovies</x:v>
      </x:c>
      <x:c r="I218" s="60" t="n">
        <x:v>0.4547077874</x:v>
      </x:c>
      <x:c r="J218" s="60" t="n">
        <x:v>0</x:v>
      </x:c>
      <x:c r="K218" s="60" t="n">
        <x:v>0.4547077874</x:v>
      </x:c>
      <x:c r="L218" s="60" t="n">
        <x:v>0</x:v>
      </x:c>
      <x:c r="M218" s="60" t="n">
        <x:v>0.4547077874</x:v>
      </x:c>
      <x:c r="N218" s="46" t="str">
        <x:v>encrasicholina punctifer</x:v>
      </x:c>
      <x:c r="O218" s="62" t="n">
        <x:v>3.25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Encrasicholina punctifer</x:v>
      </x:c>
      <x:c r="T218" s="62" t="n">
        <x:f>IF(O218="","",(1/'Metadata'!$B$5)^(O218-1))</x:f>
        <x:v>845.8970107524513</x:v>
      </x:c>
      <x:c r="U218" s="60" t="n">
        <x:f>IF(T218="","",I218*T218)</x:f>
        <x:v>384.6359581275211</x:v>
      </x:c>
    </x:row>
    <x:row r="219" ht="18" customHeight="1">
      <x:c r="A219" s="46" t="str">
        <x:v>LME_049</x:v>
      </x:c>
      <x:c r="B219" s="46" t="str">
        <x:v>Kuroshio Current</x:v>
      </x:c>
      <x:c r="C219" s="46" t="str">
        <x:v>LME</x:v>
      </x:c>
      <x:c r="D219" s="58" t="n">
        <x:v>2019</x:v>
      </x:c>
      <x:c r="E219" s="46" t="str">
        <x:v>Auxis thazard</x:v>
      </x:c>
      <x:c r="F219" s="46" t="str">
        <x:v>Frigate tuna</x:v>
      </x:c>
      <x:c r="G219" s="46" t="str">
        <x:v>Medium pelagics (30 - 89 cm)</x:v>
      </x:c>
      <x:c r="H219" s="46" t="str">
        <x:v>Tuna &amp; billfishes</x:v>
      </x:c>
      <x:c r="I219" s="60" t="n">
        <x:v>0.3989230555</x:v>
      </x:c>
      <x:c r="J219" s="60" t="n">
        <x:v>0</x:v>
      </x:c>
      <x:c r="K219" s="60" t="n">
        <x:v>0.3989230555</x:v>
      </x:c>
      <x:c r="L219" s="60" t="n">
        <x:v>0</x:v>
      </x:c>
      <x:c r="M219" s="60" t="n">
        <x:v>0.3989230555</x:v>
      </x:c>
      <x:c r="N219" s="46" t="str">
        <x:v>auxis thazard</x:v>
      </x:c>
      <x:c r="O219" s="62" t="n">
        <x:v>4.37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thazard</x:v>
      </x:c>
      <x:c r="T219" s="62" t="n">
        <x:f>IF(O219="","",(1/'Metadata'!$B$5)^(O219-1))</x:f>
        <x:v>24236.56596112542</x:v>
      </x:c>
      <x:c r="U219" s="60" t="n">
        <x:f>IF(T219="","",I219*T219)</x:f>
        <x:v>9668.524948039447</x:v>
      </x:c>
    </x:row>
    <x:row r="220" ht="18" customHeight="1">
      <x:c r="A220" s="46" t="str">
        <x:v>LME_049</x:v>
      </x:c>
      <x:c r="B220" s="46" t="str">
        <x:v>Kuroshio Current</x:v>
      </x:c>
      <x:c r="C220" s="46" t="str">
        <x:v>LME</x:v>
      </x:c>
      <x:c r="D220" s="58" t="n">
        <x:v>2019</x:v>
      </x:c>
      <x:c r="E220" s="46" t="str">
        <x:v>Metapenaeus ensis</x:v>
      </x:c>
      <x:c r="F220" s="46" t="str">
        <x:v>Greasyback shrimp</x:v>
      </x:c>
      <x:c r="G220" s="46" t="str">
        <x:v>Shrimps</x:v>
      </x:c>
      <x:c r="H220" s="46" t="str">
        <x:v>Crustaceans</x:v>
      </x:c>
      <x:c r="I220" s="60" t="n">
        <x:v>0.2854039103</x:v>
      </x:c>
      <x:c r="J220" s="60" t="n">
        <x:v>0</x:v>
      </x:c>
      <x:c r="K220" s="60" t="n">
        <x:v>0.2854039103</x:v>
      </x:c>
      <x:c r="L220" s="60" t="n">
        <x:v>0</x:v>
      </x:c>
      <x:c r="M220" s="60" t="n">
        <x:v>0.2854039103</x:v>
      </x:c>
      <x:c r="N220" s="46" t="str">
        <x:v>metapenaeus ensis</x:v>
      </x:c>
      <x:c r="O220" s="62" t="n">
        <x:v>2.7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Metapenaeus ensis</x:v>
      </x:c>
      <x:c r="T220" s="62" t="n">
        <x:f>IF(O220="","",(1/'Metadata'!$B$5)^(O220-1))</x:f>
        <x:v>162.83621261476185</x:v>
      </x:c>
      <x:c r="U220" s="60" t="n">
        <x:f>IF(T220="","",I220*T220)</x:f>
        <x:v>46.47409181869522</x:v>
      </x:c>
    </x:row>
    <x:row r="221" ht="18" customHeight="1">
      <x:c r="A221" s="46" t="str">
        <x:v>LME_049</x:v>
      </x:c>
      <x:c r="B221" s="46" t="str">
        <x:v>Kuroshio Current</x:v>
      </x:c>
      <x:c r="C221" s="46" t="str">
        <x:v>LME</x:v>
      </x:c>
      <x:c r="D221" s="58" t="n">
        <x:v>2019</x:v>
      </x:c>
      <x:c r="E221" s="46" t="str">
        <x:v>Istiophorus platypterus</x:v>
      </x:c>
      <x:c r="F221" s="46" t="str">
        <x:v>Indo-Pacific sailfish</x:v>
      </x:c>
      <x:c r="G221" s="46" t="str">
        <x:v>Large pelagics (&gt;=90 cm)</x:v>
      </x:c>
      <x:c r="H221" s="46" t="str">
        <x:v>Tuna &amp; billfishes</x:v>
      </x:c>
      <x:c r="I221" s="60" t="n">
        <x:v>0.2476714924</x:v>
      </x:c>
      <x:c r="J221" s="60" t="n">
        <x:v>0</x:v>
      </x:c>
      <x:c r="K221" s="60" t="n">
        <x:v>0.2476714924</x:v>
      </x:c>
      <x:c r="L221" s="60" t="n">
        <x:v>0</x:v>
      </x:c>
      <x:c r="M221" s="60" t="n">
        <x:v>0.2476714924</x:v>
      </x:c>
      <x:c r="N221" s="46" t="str">
        <x:v>istiophorus platypterus</x:v>
      </x:c>
      <x:c r="O221" s="62" t="n">
        <x:v>4.5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Istiophorus platypterus</x:v>
      </x:c>
      <x:c r="T221" s="62" t="n">
        <x:f>IF(O221="","",(1/'Metadata'!$B$5)^(O221-1))</x:f>
        <x:v>35777.08763999664</x:v>
      </x:c>
      <x:c r="U221" s="60" t="n">
        <x:f>IF(T221="","",I221*T221)</x:f>
        <x:v>8860.96468952356</x:v>
      </x:c>
    </x:row>
    <x:row r="222" ht="18" customHeight="1">
      <x:c r="A222" s="46" t="str">
        <x:v>LME_049</x:v>
      </x:c>
      <x:c r="B222" s="46" t="str">
        <x:v>Kuroshio Current</x:v>
      </x:c>
      <x:c r="C222" s="46" t="str">
        <x:v>LME</x:v>
      </x:c>
      <x:c r="D222" s="58" t="n">
        <x:v>2019</x:v>
      </x:c>
      <x:c r="E222" s="46" t="str">
        <x:v>Acetes</x:v>
      </x:c>
      <x:c r="F222" s="46" t="str">
        <x:v>Acetes shrimps</x:v>
      </x:c>
      <x:c r="G222" s="46" t="str">
        <x:v>Shrimps</x:v>
      </x:c>
      <x:c r="H222" s="46" t="str">
        <x:v>Crustaceans</x:v>
      </x:c>
      <x:c r="I222" s="60" t="n">
        <x:v>0.2153098896</x:v>
      </x:c>
      <x:c r="J222" s="60" t="n">
        <x:v>0</x:v>
      </x:c>
      <x:c r="K222" s="60" t="n">
        <x:v>0.2153098896</x:v>
      </x:c>
      <x:c r="L222" s="60" t="n">
        <x:v>0</x:v>
      </x:c>
      <x:c r="M222" s="60" t="n">
        <x:v>0.2153098896</x:v>
      </x:c>
      <x:c r="N222" s="46" t="str">
        <x:v>acetes</x:v>
      </x:c>
      <x:c r="O222" s="62" t="n">
        <x:v>2.7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Acetes</x:v>
      </x:c>
      <x:c r="T222" s="62" t="n">
        <x:f>IF(O222="","",(1/'Metadata'!$B$5)^(O222-1))</x:f>
        <x:v>162.83621261476185</x:v>
      </x:c>
      <x:c r="U222" s="60" t="n">
        <x:f>IF(T222="","",I222*T222)</x:f>
        <x:v>35.0602469609665</x:v>
      </x:c>
    </x:row>
    <x:row r="223" ht="18" customHeight="1">
      <x:c r="A223" s="46" t="str">
        <x:v>LME_049</x:v>
      </x:c>
      <x:c r="B223" s="46" t="str">
        <x:v>Kuroshio Current</x:v>
      </x:c>
      <x:c r="C223" s="46" t="str">
        <x:v>LME</x:v>
      </x:c>
      <x:c r="D223" s="58" t="n">
        <x:v>2019</x:v>
      </x:c>
      <x:c r="E223" s="46" t="str">
        <x:v>Scylla</x:v>
      </x:c>
      <x:c r="F223" s="46" t="str">
        <x:v>Mud crabs</x:v>
      </x:c>
      <x:c r="G223" s="46" t="str">
        <x:v>Lobsters, crabs</x:v>
      </x:c>
      <x:c r="H223" s="46" t="str">
        <x:v>Crustaceans</x:v>
      </x:c>
      <x:c r="I223" s="60" t="n">
        <x:v>0.2136782313</x:v>
      </x:c>
      <x:c r="J223" s="60" t="n">
        <x:v>0</x:v>
      </x:c>
      <x:c r="K223" s="60" t="n">
        <x:v>0.2136782313</x:v>
      </x:c>
      <x:c r="L223" s="60" t="n">
        <x:v>0</x:v>
      </x:c>
      <x:c r="M223" s="60" t="n">
        <x:v>0.2136782313</x:v>
      </x:c>
      <x:c r="N223" s="46" t="str">
        <x:v>scylla</x:v>
      </x:c>
      <x:c r="O223" s="62" t="n">
        <x:v>3.17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Scylla</x:v>
      </x:c>
      <x:c r="T223" s="62" t="n">
        <x:f>IF(O223="","",(1/'Metadata'!$B$5)^(O223-1))</x:f>
        <x:v>665.6333767532121</x:v>
      </x:c>
      <x:c r="U223" s="60" t="n">
        <x:f>IF(T223="","",I223*T223)</x:f>
        <x:v>142.2313626388729</x:v>
      </x:c>
    </x:row>
    <x:row r="224" ht="18" customHeight="1">
      <x:c r="A224" s="46" t="str">
        <x:v>LME_049</x:v>
      </x:c>
      <x:c r="B224" s="46" t="str">
        <x:v>Kuroshio Current</x:v>
      </x:c>
      <x:c r="C224" s="46" t="str">
        <x:v>LME</x:v>
      </x:c>
      <x:c r="D224" s="58" t="n">
        <x:v>2019</x:v>
      </x:c>
      <x:c r="E224" s="46" t="str">
        <x:v>Lutjanus bohar</x:v>
      </x:c>
      <x:c r="F224" s="46" t="str">
        <x:v>Two-spot red snapper</x:v>
      </x:c>
      <x:c r="G224" s="46" t="str">
        <x:v>Medium reef assoc. fish (30 - 89 cm)</x:v>
      </x:c>
      <x:c r="H224" s="46" t="str">
        <x:v>Perch-likes</x:v>
      </x:c>
      <x:c r="I224" s="60" t="n">
        <x:v>0.1656836739</x:v>
      </x:c>
      <x:c r="J224" s="60" t="n">
        <x:v>0</x:v>
      </x:c>
      <x:c r="K224" s="60" t="n">
        <x:v>0.1656836739</x:v>
      </x:c>
      <x:c r="L224" s="60" t="n">
        <x:v>0</x:v>
      </x:c>
      <x:c r="M224" s="60" t="n">
        <x:v>0.1656836739</x:v>
      </x:c>
      <x:c r="N224" s="46" t="str">
        <x:v>lutjanus bohar</x:v>
      </x:c>
      <x:c r="O224" s="62" t="n">
        <x:v>4.27</x:v>
      </x:c>
      <x:c r="P224" s="46" t="str">
        <x:v>exact_2020_supplement</x:v>
      </x:c>
      <x:c r="Q224" s="62" t="str">
        <x:v>2020 supplement MeanTL</x:v>
      </x:c>
      <x:c r="R224" s="46" t="str">
        <x:v>high</x:v>
      </x:c>
      <x:c r="S224" s="46" t="str">
        <x:v>Lutjanus bohar</x:v>
      </x:c>
      <x:c r="T224" s="62" t="n">
        <x:f>IF(O224="","",(1/'Metadata'!$B$5)^(O224-1))</x:f>
        <x:v>17962.55396184286</x:v>
      </x:c>
      <x:c r="U224" s="60" t="n">
        <x:f>IF(T224="","",I224*T224)</x:f>
        <x:v>2976.101933025125</x:v>
      </x:c>
    </x:row>
    <x:row r="225" ht="18" customHeight="1">
      <x:c r="A225" s="46" t="str">
        <x:v>LME_049</x:v>
      </x:c>
      <x:c r="B225" s="46" t="str">
        <x:v>Kuroshio Current</x:v>
      </x:c>
      <x:c r="C225" s="46" t="str">
        <x:v>LME</x:v>
      </x:c>
      <x:c r="D225" s="58" t="n">
        <x:v>2019</x:v>
      </x:c>
      <x:c r="E225" s="46" t="str">
        <x:v>Nibea mitsukurii</x:v>
      </x:c>
      <x:c r="F225" s="46" t="str">
        <x:v>Honnibe croaker</x:v>
      </x:c>
      <x:c r="G225" s="46" t="str">
        <x:v>Medium benthopelagics (30 - 89 cm)</x:v>
      </x:c>
      <x:c r="H225" s="46" t="str">
        <x:v>Perch-likes</x:v>
      </x:c>
      <x:c r="I225" s="60" t="n">
        <x:v>0.06558616910000001</x:v>
      </x:c>
      <x:c r="J225" s="60" t="n">
        <x:v>0</x:v>
      </x:c>
      <x:c r="K225" s="60" t="n">
        <x:v>0.06558616910000001</x:v>
      </x:c>
      <x:c r="L225" s="60" t="n">
        <x:v>0</x:v>
      </x:c>
      <x:c r="M225" s="60" t="n">
        <x:v>0.06558616910000001</x:v>
      </x:c>
      <x:c r="N225" s="46" t="str">
        <x:v>nibea mitsukurii</x:v>
      </x:c>
      <x:c r="O225" s="62" t="n">
        <x:v>3.5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Nibea mitsukurii</x:v>
      </x:c>
      <x:c r="T225" s="62" t="n">
        <x:f>IF(O225="","",(1/'Metadata'!$B$5)^(O225-1))</x:f>
        <x:v>1788.8543819998317</x:v>
      </x:c>
      <x:c r="U225" s="60" t="n">
        <x:f>IF(T225="","",I225*T225)</x:f>
        <x:v>117.32410599311697</x:v>
      </x:c>
    </x:row>
    <x:row r="226" ht="18" customHeight="1">
      <x:c r="A226" s="46" t="str">
        <x:v>LME_049</x:v>
      </x:c>
      <x:c r="B226" s="46" t="str">
        <x:v>Kuroshio Current</x:v>
      </x:c>
      <x:c r="C226" s="46" t="str">
        <x:v>LME</x:v>
      </x:c>
      <x:c r="D226" s="58" t="n">
        <x:v>2019</x:v>
      </x:c>
      <x:c r="E226" s="46" t="str">
        <x:v>Lutjanus</x:v>
      </x:c>
      <x:c r="F226" s="46" t="str">
        <x:v>Snappers</x:v>
      </x:c>
      <x:c r="G226" s="46" t="str">
        <x:v>Medium reef assoc. fish (30 - 89 cm)</x:v>
      </x:c>
      <x:c r="H226" s="46" t="str">
        <x:v>Perch-likes</x:v>
      </x:c>
      <x:c r="I226" s="60" t="n">
        <x:v>0.0562308162</x:v>
      </x:c>
      <x:c r="J226" s="60" t="n">
        <x:v>0</x:v>
      </x:c>
      <x:c r="K226" s="60" t="n">
        <x:v>0.0562308162</x:v>
      </x:c>
      <x:c r="L226" s="60" t="n">
        <x:v>0</x:v>
      </x:c>
      <x:c r="M226" s="60" t="n">
        <x:v>0.0562308162</x:v>
      </x:c>
      <x:c r="N226" s="46" t="str">
        <x:v>lutjanus</x:v>
      </x:c>
      <x:c r="O226" s="62" t="n">
        <x:v>4.02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Lutjanus</x:v>
      </x:c>
      <x:c r="T226" s="62" t="n">
        <x:f>IF(O226="","",(1/'Metadata'!$B$5)^(O226-1))</x:f>
        <x:v>8493.967342839818</x:v>
      </x:c>
      <x:c r="U226" s="60" t="n">
        <x:f>IF(T226="","",I226*T226)</x:f>
        <x:v>477.6227164640282</x:v>
      </x:c>
    </x:row>
    <x:row r="227" ht="18" customHeight="1">
      <x:c r="A227" s="46" t="str">
        <x:v>LME_049</x:v>
      </x:c>
      <x:c r="B227" s="46" t="str">
        <x:v>Kuroshio Current</x:v>
      </x:c>
      <x:c r="C227" s="46" t="str">
        <x:v>LME</x:v>
      </x:c>
      <x:c r="D227" s="58" t="n">
        <x:v>2019</x:v>
      </x:c>
      <x:c r="E227" s="46" t="str">
        <x:v>Dussumieria elopsoides</x:v>
      </x:c>
      <x:c r="F227" s="46" t="str">
        <x:v>Slender rainbow sardine</x:v>
      </x:c>
      <x:c r="G227" s="46" t="str">
        <x:v>Small pelagics (&lt;30 cm)</x:v>
      </x:c>
      <x:c r="H227" s="46" t="str">
        <x:v>Herring-likes</x:v>
      </x:c>
      <x:c r="I227" s="60" t="n">
        <x:v>0.0402476299</x:v>
      </x:c>
      <x:c r="J227" s="60" t="n">
        <x:v>0.0402476299</x:v>
      </x:c>
      <x:c r="K227" s="60" t="n">
        <x:v>0</x:v>
      </x:c>
      <x:c r="L227" s="60" t="n">
        <x:v>0.0103327211</x:v>
      </x:c>
      <x:c r="M227" s="60" t="n">
        <x:v>0.0299149088</x:v>
      </x:c>
      <x:c r="N227" s="46" t="str">
        <x:v>dussumieria elopsoides</x:v>
      </x:c>
      <x:c r="O227" s="62" t="n">
        <x:v>3.4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Dussumieria elopsoides</x:v>
      </x:c>
      <x:c r="T227" s="62" t="n">
        <x:f>IF(O227="","",(1/'Metadata'!$B$5)^(O227-1))</x:f>
        <x:v>1325.7816069359944</x:v>
      </x:c>
      <x:c r="U227" s="60" t="n">
        <x:f>IF(T227="","",I227*T227)</x:f>
        <x:v>53.35956744418718</x:v>
      </x:c>
    </x:row>
    <x:row r="228" ht="18" customHeight="1">
      <x:c r="A228" s="46" t="str">
        <x:v>LME_049</x:v>
      </x:c>
      <x:c r="B228" s="46" t="str">
        <x:v>Kuroshio Current</x:v>
      </x:c>
      <x:c r="C228" s="46" t="str">
        <x:v>LME</x:v>
      </x:c>
      <x:c r="D228" s="58" t="n">
        <x:v>2019</x:v>
      </x:c>
      <x:c r="E228" s="46" t="str">
        <x:v>Saurida undosquamis</x:v>
      </x:c>
      <x:c r="F228" s="46" t="str">
        <x:v>Brushtooth lizardfish</x:v>
      </x:c>
      <x:c r="G228" s="46" t="str">
        <x:v>Medium demersals (30 - 89 cm)</x:v>
      </x:c>
      <x:c r="H228" s="46" t="str">
        <x:v>Other fishes &amp; inverts</x:v>
      </x:c>
      <x:c r="I228" s="60" t="n">
        <x:v>0.027197897000000002</x:v>
      </x:c>
      <x:c r="J228" s="60" t="n">
        <x:v>0</x:v>
      </x:c>
      <x:c r="K228" s="60" t="n">
        <x:v>0.027197897000000002</x:v>
      </x:c>
      <x:c r="L228" s="60" t="n">
        <x:v>0</x:v>
      </x:c>
      <x:c r="M228" s="60" t="n">
        <x:v>0.027197897000000002</x:v>
      </x:c>
      <x:c r="N228" s="46" t="str">
        <x:v>saurida undosquamis</x:v>
      </x:c>
      <x:c r="O228" s="62" t="n">
        <x:v>4.46</x:v>
      </x:c>
      <x:c r="P228" s="46" t="str">
        <x:v>exact_2020_supplement</x:v>
      </x:c>
      <x:c r="Q228" s="62" t="str">
        <x:v>2020 supplement MeanTL</x:v>
      </x:c>
      <x:c r="R228" s="46" t="str">
        <x:v>high</x:v>
      </x:c>
      <x:c r="S228" s="46" t="str">
        <x:v>Saurida undosquamis</x:v>
      </x:c>
      <x:c r="T228" s="62" t="n">
        <x:f>IF(O228="","",(1/'Metadata'!$B$5)^(O228-1))</x:f>
        <x:v>31736.84749906455</x:v>
      </x:c>
      <x:c r="U228" s="60" t="n">
        <x:f>IF(T228="","",I228*T228)</x:f>
        <x:v>863.1755093842653</x:v>
      </x:c>
    </x:row>
    <x:row r="229" ht="18" customHeight="1">
      <x:c r="A229" s="46" t="str">
        <x:v>LME_049</x:v>
      </x:c>
      <x:c r="B229" s="46" t="str">
        <x:v>Kuroshio Current</x:v>
      </x:c>
      <x:c r="C229" s="46" t="str">
        <x:v>LME</x:v>
      </x:c>
      <x:c r="D229" s="58" t="n">
        <x:v>2019</x:v>
      </x:c>
      <x:c r="E229" s="46" t="str">
        <x:v>Isurus oxyrinchus</x:v>
      </x:c>
      <x:c r="F229" s="46" t="str">
        <x:v>Shortfin mako</x:v>
      </x:c>
      <x:c r="G229" s="46" t="str">
        <x:v>Large sharks (&gt;=90 cm)</x:v>
      </x:c>
      <x:c r="H229" s="46" t="str">
        <x:v>Sharks &amp; rays</x:v>
      </x:c>
      <x:c r="I229" s="60" t="n">
        <x:v>0.0197453231</x:v>
      </x:c>
      <x:c r="J229" s="60" t="n">
        <x:v>0.0197453231</x:v>
      </x:c>
      <x:c r="K229" s="60" t="n">
        <x:v>0</x:v>
      </x:c>
      <x:c r="L229" s="60" t="n">
        <x:v>0</x:v>
      </x:c>
      <x:c r="M229" s="60" t="n">
        <x:v>0.0197453231</x:v>
      </x:c>
      <x:c r="N229" s="46" t="str">
        <x:v>isurus oxyrinchus</x:v>
      </x:c>
      <x:c r="O229" s="62" t="n">
        <x:v>4.5</x:v>
      </x:c>
      <x:c r="P229" s="46" t="str">
        <x:v>exact_2020_supplement</x:v>
      </x:c>
      <x:c r="Q229" s="62" t="str">
        <x:v>2020 supplement MeanTL</x:v>
      </x:c>
      <x:c r="R229" s="46" t="str">
        <x:v>high</x:v>
      </x:c>
      <x:c r="S229" s="46" t="str">
        <x:v>Isurus oxyrinchus</x:v>
      </x:c>
      <x:c r="T229" s="62" t="n">
        <x:f>IF(O229="","",(1/'Metadata'!$B$5)^(O229-1))</x:f>
        <x:v>35777.08763999664</x:v>
      </x:c>
      <x:c r="U229" s="60" t="n">
        <x:f>IF(T229="","",I229*T229)</x:f>
        <x:v>706.43015502875</x:v>
      </x:c>
    </x:row>
    <x:row r="230" ht="18" customHeight="1">
      <x:c r="A230" s="46" t="str">
        <x:v>LME_049</x:v>
      </x:c>
      <x:c r="B230" s="46" t="str">
        <x:v>Kuroshio Current</x:v>
      </x:c>
      <x:c r="C230" s="46" t="str">
        <x:v>LME</x:v>
      </x:c>
      <x:c r="D230" s="58" t="n">
        <x:v>2019</x:v>
      </x:c>
      <x:c r="E230" s="46" t="str">
        <x:v>Tripneustes gratilla</x:v>
      </x:c>
      <x:c r="F230" s="46" t="str">
        <x:v>Shortspine urchin</x:v>
      </x:c>
      <x:c r="G230" s="46" t="str">
        <x:v>Other demersal invertebrates</x:v>
      </x:c>
      <x:c r="H230" s="46" t="str">
        <x:v>Other fishes &amp; inverts</x:v>
      </x:c>
      <x:c r="I230" s="60" t="n">
        <x:v>0.0049044885</x:v>
      </x:c>
      <x:c r="J230" s="60" t="n">
        <x:v>0</x:v>
      </x:c>
      <x:c r="K230" s="60" t="n">
        <x:v>0.0049044885</x:v>
      </x:c>
      <x:c r="L230" s="60" t="n">
        <x:v>0</x:v>
      </x:c>
      <x:c r="M230" s="60" t="n">
        <x:v>0.0049044885</x:v>
      </x:c>
      <x:c r="N230" s="46" t="str">
        <x:v>tripneustes gratilla</x:v>
      </x:c>
      <x:c r="O230" s="62" t="n">
        <x:v>2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Tripneustes gratilla</x:v>
      </x:c>
      <x:c r="T230" s="62" t="n">
        <x:f>IF(O230="","",(1/'Metadata'!$B$5)^(O230-1))</x:f>
        <x:v>20</x:v>
      </x:c>
      <x:c r="U230" s="60" t="n">
        <x:f>IF(T230="","",I230*T230)</x:f>
        <x:v>0.09808976999999999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eda600685d645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240679.5806049622</x:v>
      </x:c>
      <x:c r="E2" s="60" t="n">
        <x:v>240679.5806049622</x:v>
      </x:c>
      <x:c r="F2" s="62" t="n">
        <x:v>0</x:v>
      </x:c>
      <x:c r="G2" s="66" t="n">
        <x:v>1</x:v>
      </x:c>
      <x:c r="H2" s="62" t="n">
        <x:f>IF(E2=0,"",I2/E2)</x:f>
        <x:v>608.4214418720012</x:v>
      </x:c>
      <x:c r="I2" s="60" t="n">
        <x:f>SUMIF('Species'!$H$2:$H$230,A2,'Species'!$U$2:$U$230)</x:f>
        <x:v>146434617.46081963</x:v>
      </x:c>
      <x:c r="J2" s="62" t="n">
        <x:v>3.1400002078192784</x:v>
      </x:c>
      <x:c r="K2" s="62" t="n">
        <x:f>IF(J2="","",(1/'Metadata'!$B$5)^(J2-1))</x:f>
        <x:v>608.4213720019317</x:v>
      </x:c>
      <x:c r="L2" s="60" t="n">
        <x:f>IF(E2=0,"",E2*K2)</x:f>
        <x:v>146434600.6445206</x:v>
      </x:c>
      <x:c r="M2" s="60" t="n">
        <x:f>I2-L2</x:f>
        <x:v>16.81629902124405</x:v>
      </x:c>
      <x:c r="N2" s="62" t="n">
        <x:f>IF(L2=0,"",I2/L2)</x:f>
        <x:v>1.0000001148382893</x:v>
      </x:c>
      <x:c r="O2" s="66" t="n">
        <x:f>IF(L2=0,"",M2/L2)</x:f>
        <x:v>1.1483828922418886e-7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30392.2229727308</x:v>
      </x:c>
      <x:c r="E3" s="60" t="n">
        <x:v>30392.2229727308</x:v>
      </x:c>
      <x:c r="F3" s="62" t="n">
        <x:v>0</x:v>
      </x:c>
      <x:c r="G3" s="66" t="n">
        <x:v>1</x:v>
      </x:c>
      <x:c r="H3" s="62" t="n">
        <x:f>IF(E3=0,"",I3/E3)</x:f>
        <x:v>2097.1115678726433</x:v>
      </x:c>
      <x:c r="I3" s="60" t="n">
        <x:f>SUMIF('Species'!$H$2:$H$230,A3,'Species'!$U$2:$U$230)</x:f>
        <x:v>63735882.36947845</x:v>
      </x:c>
      <x:c r="J3" s="62" t="n">
        <x:v>3.53900896042688</x:v>
      </x:c>
      <x:c r="K3" s="62" t="n">
        <x:f>IF(J3="","",(1/'Metadata'!$B$5)^(J3-1))</x:f>
        <x:v>2010.6052710406116</x:v>
      </x:c>
      <x:c r="L3" s="60" t="n">
        <x:f>IF(E3=0,"",E3*K3)</x:f>
        <x:v>61106763.70761411</x:v>
      </x:c>
      <x:c r="M3" s="60" t="n">
        <x:f>I3-L3</x:f>
        <x:v>2629118.6618643403</x:v>
      </x:c>
      <x:c r="N3" s="62" t="n">
        <x:f>IF(L3=0,"",I3/L3)</x:f>
        <x:v>1.0430250025094479</x:v>
      </x:c>
      <x:c r="O3" s="66" t="n">
        <x:f>IF(L3=0,"",M3/L3)</x:f>
        <x:v>0.043025002509447956</x:v>
      </x:c>
    </x:row>
    <x:row r="4" ht="18" customHeight="1">
      <x:c r="A4" s="46" t="str">
        <x:v>Crustaceans</x:v>
      </x:c>
      <x:c r="B4" s="64" t="n">
        <x:v>28</x:v>
      </x:c>
      <x:c r="C4" s="64" t="n">
        <x:v>28</x:v>
      </x:c>
      <x:c r="D4" s="60" t="n">
        <x:v>180527.1950286043</x:v>
      </x:c>
      <x:c r="E4" s="60" t="n">
        <x:v>180527.1950286043</x:v>
      </x:c>
      <x:c r="F4" s="62" t="n">
        <x:v>0</x:v>
      </x:c>
      <x:c r="G4" s="66" t="n">
        <x:v>1</x:v>
      </x:c>
      <x:c r="H4" s="62" t="n">
        <x:f>IF(E4=0,"",I4/E4)</x:f>
        <x:v>1310.8747587505002</x:v>
      </x:c>
      <x:c r="I4" s="60" t="n">
        <x:f>SUMIF('Species'!$H$2:$H$230,A4,'Species'!$U$2:$U$230)</x:f>
        <x:v>236648543.23102617</x:v>
      </x:c>
      <x:c r="J4" s="62" t="n">
        <x:v>2.998093077028352</x:v>
      </x:c>
      <x:c r="K4" s="62" t="n">
        <x:f>IF(J4="","",(1/'Metadata'!$B$5)^(J4-1))</x:f>
        <x:v>397.72146214341296</x:v>
      </x:c>
      <x:c r="L4" s="60" t="n">
        <x:f>IF(E4=0,"",E4*K4)</x:f>
        <x:v>71799539.96342558</x:v>
      </x:c>
      <x:c r="M4" s="60" t="n">
        <x:f>I4-L4</x:f>
        <x:v>164849003.2676006</x:v>
      </x:c>
      <x:c r="N4" s="62" t="n">
        <x:f>IF(L4=0,"",I4/L4)</x:f>
        <x:v>3.2959618313929875</x:v>
      </x:c>
      <x:c r="O4" s="66" t="n">
        <x:f>IF(L4=0,"",M4/L4)</x:f>
        <x:v>2.2959618313929875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20886.805897635903</x:v>
      </x:c>
      <x:c r="E5" s="60" t="n">
        <x:v>20886.805897635903</x:v>
      </x:c>
      <x:c r="F5" s="62" t="n">
        <x:v>0</x:v>
      </x:c>
      <x:c r="G5" s="66" t="n">
        <x:v>1</x:v>
      </x:c>
      <x:c r="H5" s="62" t="n">
        <x:f>IF(E5=0,"",I5/E5)</x:f>
        <x:v>3911.3202050555374</x:v>
      </x:c>
      <x:c r="I5" s="60" t="n">
        <x:f>SUMIF('Species'!$H$2:$H$230,A5,'Species'!$U$2:$U$230)</x:f>
        <x:v>81694985.92649646</x:v>
      </x:c>
      <x:c r="J5" s="62" t="n">
        <x:v>3.6007825206015145</x:v>
      </x:c>
      <x:c r="K5" s="62" t="n">
        <x:f>IF(J5="","",(1/'Metadata'!$B$5)^(J5-1))</x:f>
        <x:v>2419.335351919817</x:v>
      </x:c>
      <x:c r="L5" s="60" t="n">
        <x:f>IF(E5=0,"",E5*K5)</x:f>
        <x:v>50532187.89683787</x:v>
      </x:c>
      <x:c r="M5" s="60" t="n">
        <x:f>I5-L5</x:f>
        <x:v>31162798.029658593</x:v>
      </x:c>
      <x:c r="N5" s="62" t="n">
        <x:f>IF(L5=0,"",I5/L5)</x:f>
        <x:v>1.6166920398000153</x:v>
      </x:c>
      <x:c r="O5" s="66" t="n">
        <x:f>IF(L5=0,"",M5/L5)</x:f>
        <x:v>0.6166920398000154</x:v>
      </x:c>
    </x:row>
    <x:row r="6" ht="18" customHeight="1">
      <x:c r="A6" s="46" t="str">
        <x:v>Herring-likes</x:v>
      </x:c>
      <x:c r="B6" s="64" t="n">
        <x:v>10</x:v>
      </x:c>
      <x:c r="C6" s="64" t="n">
        <x:v>10</x:v>
      </x:c>
      <x:c r="D6" s="60" t="n">
        <x:v>403803.7293577029</x:v>
      </x:c>
      <x:c r="E6" s="60" t="n">
        <x:v>403803.7293577029</x:v>
      </x:c>
      <x:c r="F6" s="62" t="n">
        <x:v>0</x:v>
      </x:c>
      <x:c r="G6" s="66" t="n">
        <x:v>1</x:v>
      </x:c>
      <x:c r="H6" s="62" t="n">
        <x:f>IF(E6=0,"",I6/E6)</x:f>
        <x:v>392.59161883080856</x:v>
      </x:c>
      <x:c r="I6" s="60" t="n">
        <x:f>SUMIF('Species'!$H$2:$H$230,A6,'Species'!$U$2:$U$230)</x:f>
        <x:v>158529959.79845828</x:v>
      </x:c>
      <x:c r="J6" s="62" t="n">
        <x:v>2.904801222234728</x:v>
      </x:c>
      <x:c r="K6" s="62" t="n">
        <x:f>IF(J6="","",(1/'Metadata'!$B$5)^(J6-1))</x:f>
        <x:v>300.74853874918625</x:v>
      </x:c>
      <x:c r="L6" s="60" t="n">
        <x:f>IF(E6=0,"",E6*K6)</x:f>
        <x:v>121443381.54580103</x:v>
      </x:c>
      <x:c r="M6" s="60" t="n">
        <x:f>I6-L6</x:f>
        <x:v>37086578.25265725</x:v>
      </x:c>
      <x:c r="N6" s="62" t="n">
        <x:f>IF(L6=0,"",I6/L6)</x:f>
        <x:v>1.3053816336518138</x:v>
      </x:c>
      <x:c r="O6" s="66" t="n">
        <x:f>IF(L6=0,"",M6/L6)</x:f>
        <x:v>0.30538163365181376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165025.63806698707</x:v>
      </x:c>
      <x:c r="E7" s="60" t="n">
        <x:v>165025.63806698707</x:v>
      </x:c>
      <x:c r="F7" s="62" t="n">
        <x:v>0</x:v>
      </x:c>
      <x:c r="G7" s="66" t="n">
        <x:v>1</x:v>
      </x:c>
      <x:c r="H7" s="62" t="n">
        <x:f>IF(E7=0,"",I7/E7)</x:f>
        <x:v>25.818135561521313</x:v>
      </x:c>
      <x:c r="I7" s="60" t="n">
        <x:f>SUMIF('Species'!$H$2:$H$230,A7,'Species'!$U$2:$U$230)</x:f>
        <x:v>4260654.294740024</x:v>
      </x:c>
      <x:c r="J7" s="62" t="n">
        <x:v>2.038600699062376</x:v>
      </x:c>
      <x:c r="K7" s="62" t="n">
        <x:f>IF(J7="","",(1/'Metadata'!$B$5)^(J7-1))</x:f>
        <x:v>22.45177405401917</x:v>
      </x:c>
      <x:c r="L7" s="60" t="n">
        <x:f>IF(E7=0,"",E7*K7)</x:f>
        <x:v>3705118.3390003387</x:v>
      </x:c>
      <x:c r="M7" s="60" t="n">
        <x:f>I7-L7</x:f>
        <x:v>555535.9557396853</x:v>
      </x:c>
      <x:c r="N7" s="62" t="n">
        <x:f>IF(L7=0,"",I7/L7)</x:f>
        <x:v>1.1499374392153887</x:v>
      </x:c>
      <x:c r="O7" s="66" t="n">
        <x:f>IF(L7=0,"",M7/L7)</x:f>
        <x:v>0.14993743921538874</x:v>
      </x:c>
    </x:row>
    <x:row r="8" ht="18" customHeight="1">
      <x:c r="A8" s="46" t="str">
        <x:v>Other fishes &amp; inverts</x:v>
      </x:c>
      <x:c r="B8" s="64" t="n">
        <x:v>49</x:v>
      </x:c>
      <x:c r="C8" s="64" t="n">
        <x:v>49</x:v>
      </x:c>
      <x:c r="D8" s="60" t="n">
        <x:v>986307.7976116333</x:v>
      </x:c>
      <x:c r="E8" s="60" t="n">
        <x:v>986307.7976116333</x:v>
      </x:c>
      <x:c r="F8" s="62" t="n">
        <x:v>0</x:v>
      </x:c>
      <x:c r="G8" s="66" t="n">
        <x:v>1</x:v>
      </x:c>
      <x:c r="H8" s="62" t="n">
        <x:f>IF(E8=0,"",I8/E8)</x:f>
        <x:v>4433.382280258535</x:v>
      </x:c>
      <x:c r="I8" s="60" t="n">
        <x:f>SUMIF('Species'!$H$2:$H$230,A8,'Species'!$U$2:$U$230)</x:f>
        <x:v>4372679512.812236</x:v>
      </x:c>
      <x:c r="J8" s="62" t="n">
        <x:v>3.5664044116830467</x:v>
      </x:c>
      <x:c r="K8" s="62" t="n">
        <x:f>IF(J8="","",(1/'Metadata'!$B$5)^(J8-1))</x:f>
        <x:v>2182.5747199445614</x:v>
      </x:c>
      <x:c r="L8" s="60" t="n">
        <x:f>IF(E8=0,"",E8*K8)</x:f>
        <x:v>2152690465.1513476</x:v>
      </x:c>
      <x:c r="M8" s="60" t="n">
        <x:f>I8-L8</x:f>
        <x:v>2219989047.660888</x:v>
      </x:c>
      <x:c r="N8" s="62" t="n">
        <x:f>IF(L8=0,"",I8/L8)</x:f>
        <x:v>2.0312625449868422</x:v>
      </x:c>
      <x:c r="O8" s="66" t="n">
        <x:f>IF(L8=0,"",M8/L8)</x:f>
        <x:v>1.0312625449868424</x:v>
      </x:c>
    </x:row>
    <x:row r="9" ht="18" customHeight="1">
      <x:c r="A9" s="46" t="str">
        <x:v>Perch-likes</x:v>
      </x:c>
      <x:c r="B9" s="64" t="n">
        <x:v>85</x:v>
      </x:c>
      <x:c r="C9" s="64" t="n">
        <x:v>85</x:v>
      </x:c>
      <x:c r="D9" s="60" t="n">
        <x:v>853826.9145858468</x:v>
      </x:c>
      <x:c r="E9" s="60" t="n">
        <x:v>853826.9145858468</x:v>
      </x:c>
      <x:c r="F9" s="62" t="n">
        <x:v>0</x:v>
      </x:c>
      <x:c r="G9" s="66" t="n">
        <x:v>1</x:v>
      </x:c>
      <x:c r="H9" s="62" t="n">
        <x:f>IF(E9=0,"",I9/E9)</x:f>
        <x:v>6181.940921412212</x:v>
      </x:c>
      <x:c r="I9" s="60" t="n">
        <x:f>SUMIF('Species'!$H$2:$H$230,A9,'Species'!$U$2:$U$230)</x:f>
        <x:v>5278307543.081376</x:v>
      </x:c>
      <x:c r="J9" s="62" t="n">
        <x:v>3.6396258701028463</x:v>
      </x:c>
      <x:c r="K9" s="62" t="n">
        <x:f>IF(J9="","",(1/'Metadata'!$B$5)^(J9-1))</x:f>
        <x:v>2717.893495799993</x:v>
      </x:c>
      <x:c r="L9" s="60" t="n">
        <x:f>IF(E9=0,"",E9*K9)</x:f>
        <x:v>2320610617.691849</x:v>
      </x:c>
      <x:c r="M9" s="60" t="n">
        <x:f>I9-L9</x:f>
        <x:v>2957696925.389527</x:v>
      </x:c>
      <x:c r="N9" s="62" t="n">
        <x:f>IF(L9=0,"",I9/L9)</x:f>
        <x:v>2.274533910532282</x:v>
      </x:c>
      <x:c r="O9" s="66" t="n">
        <x:f>IF(L9=0,"",M9/L9)</x:f>
        <x:v>1.274533910532282</x:v>
      </x:c>
    </x:row>
    <x:row r="10" ht="18" customHeight="1">
      <x:c r="A10" s="46" t="str">
        <x:v>Salmon, smelts, etc</x:v>
      </x:c>
      <x:c r="B10" s="64" t="n">
        <x:v>3</x:v>
      </x:c>
      <x:c r="C10" s="64" t="n">
        <x:v>3</x:v>
      </x:c>
      <x:c r="D10" s="60" t="n">
        <x:v>39493.351675243</x:v>
      </x:c>
      <x:c r="E10" s="60" t="n">
        <x:v>39493.351675243</x:v>
      </x:c>
      <x:c r="F10" s="62" t="n">
        <x:v>0</x:v>
      </x:c>
      <x:c r="G10" s="66" t="n">
        <x:v>1</x:v>
      </x:c>
      <x:c r="H10" s="62" t="n">
        <x:f>IF(E10=0,"",I10/E10)</x:f>
        <x:v>6727.880493376433</x:v>
      </x:c>
      <x:c r="I10" s="60" t="n">
        <x:f>SUMIF('Species'!$H$2:$H$230,A10,'Species'!$U$2:$U$230)</x:f>
        <x:v>265706550.35392287</x:v>
      </x:c>
      <x:c r="J10" s="62" t="n">
        <x:v>3.930911205749056</x:v>
      </x:c>
      <x:c r="K10" s="62" t="n">
        <x:f>IF(J10="","",(1/'Metadata'!$B$5)^(J10-1))</x:f>
        <x:v>6504.342371478923</x:v>
      </x:c>
      <x:c r="L10" s="60" t="n">
        <x:f>IF(E10=0,"",E10*K10)</x:f>
        <x:v>256878280.69300115</x:v>
      </x:c>
      <x:c r="M10" s="60" t="n">
        <x:f>I10-L10</x:f>
        <x:v>8828269.660921723</x:v>
      </x:c>
      <x:c r="N10" s="62" t="n">
        <x:f>IF(L10=0,"",I10/L10)</x:f>
        <x:v>1.0343675208238898</x:v>
      </x:c>
      <x:c r="O10" s="66" t="n">
        <x:f>IF(L10=0,"",M10/L10)</x:f>
        <x:v>0.03436752082388979</x:v>
      </x:c>
    </x:row>
    <x:row r="11" ht="18" customHeight="1">
      <x:c r="A11" s="46" t="str">
        <x:v>Scorpionfishes</x:v>
      </x:c>
      <x:c r="B11" s="64" t="n">
        <x:v>7</x:v>
      </x:c>
      <x:c r="C11" s="64" t="n">
        <x:v>7</x:v>
      </x:c>
      <x:c r="D11" s="60" t="n">
        <x:v>11308.673196414898</x:v>
      </x:c>
      <x:c r="E11" s="60" t="n">
        <x:v>11308.673196414898</x:v>
      </x:c>
      <x:c r="F11" s="62" t="n">
        <x:v>0</x:v>
      </x:c>
      <x:c r="G11" s="66" t="n">
        <x:v>1</x:v>
      </x:c>
      <x:c r="H11" s="62" t="n">
        <x:f>IF(E11=0,"",I11/E11)</x:f>
        <x:v>2739.4172671196034</x:v>
      </x:c>
      <x:c r="I11" s="60" t="n">
        <x:f>SUMIF('Species'!$H$2:$H$230,A11,'Species'!$U$2:$U$230)</x:f>
        <x:v>30979174.62247161</x:v>
      </x:c>
      <x:c r="J11" s="62" t="n">
        <x:v>3.6342830449163377</x:v>
      </x:c>
      <x:c r="K11" s="62" t="n">
        <x:f>IF(J11="","",(1/'Metadata'!$B$5)^(J11-1))</x:f>
        <x:v>2674.7380661299467</x:v>
      </x:c>
      <x:c r="L11" s="60" t="n">
        <x:f>IF(E11=0,"",E11*K11)</x:f>
        <x:v>30247738.67587435</x:v>
      </x:c>
      <x:c r="M11" s="60" t="n">
        <x:f>I11-L11</x:f>
        <x:v>731435.9465972595</x:v>
      </x:c>
      <x:c r="N11" s="62" t="n">
        <x:f>IF(L11=0,"",I11/L11)</x:f>
        <x:v>1.0241815083909283</x:v>
      </x:c>
      <x:c r="O11" s="66" t="n">
        <x:f>IF(L11=0,"",M11/L11)</x:f>
        <x:v>0.024181508390928218</x:v>
      </x:c>
    </x:row>
    <x:row r="12" ht="18" customHeight="1">
      <x:c r="A12" s="46" t="str">
        <x:v>Sharks &amp; rays</x:v>
      </x:c>
      <x:c r="B12" s="64" t="n">
        <x:v>11</x:v>
      </x:c>
      <x:c r="C12" s="64" t="n">
        <x:v>11</x:v>
      </x:c>
      <x:c r="D12" s="60" t="n">
        <x:v>36149.8968426868</x:v>
      </x:c>
      <x:c r="E12" s="60" t="n">
        <x:v>36149.8968426868</x:v>
      </x:c>
      <x:c r="F12" s="62" t="n">
        <x:v>0</x:v>
      </x:c>
      <x:c r="G12" s="66" t="n">
        <x:v>1</x:v>
      </x:c>
      <x:c r="H12" s="62" t="n">
        <x:f>IF(E12=0,"",I12/E12)</x:f>
        <x:v>9090.427861024744</x:v>
      </x:c>
      <x:c r="I12" s="60" t="n">
        <x:f>SUMIF('Species'!$H$2:$H$230,A12,'Species'!$U$2:$U$230)</x:f>
        <x:v>328618029.43193054</x:v>
      </x:c>
      <x:c r="J12" s="62" t="n">
        <x:v>4.035428482760538</x:v>
      </x:c>
      <x:c r="K12" s="62" t="n">
        <x:f>IF(J12="","",(1/'Metadata'!$B$5)^(J12-1))</x:f>
        <x:v>8895.769181866559</x:v>
      </x:c>
      <x:c r="L12" s="60" t="n">
        <x:f>IF(E12=0,"",E12*K12)</x:f>
        <x:v>321581138.2608285</x:v>
      </x:c>
      <x:c r="M12" s="60" t="n">
        <x:f>I12-L12</x:f>
        <x:v>7036891.171102047</x:v>
      </x:c>
      <x:c r="N12" s="62" t="n">
        <x:f>IF(L12=0,"",I12/L12)</x:f>
        <x:v>1.0218821638892097</x:v>
      </x:c>
      <x:c r="O12" s="66" t="n">
        <x:f>IF(L12=0,"",M12/L12)</x:f>
        <x:v>0.02188216388920968</x:v>
      </x:c>
    </x:row>
    <x:row r="13" ht="18" customHeight="1">
      <x:c r="A13" s="46" t="str">
        <x:v>Tuna &amp; billfishes</x:v>
      </x:c>
      <x:c r="B13" s="64" t="n">
        <x:v>14</x:v>
      </x:c>
      <x:c r="C13" s="64" t="n">
        <x:v>14</x:v>
      </x:c>
      <x:c r="D13" s="60" t="n">
        <x:v>122054.45928402629</x:v>
      </x:c>
      <x:c r="E13" s="60" t="n">
        <x:v>122054.45928402629</x:v>
      </x:c>
      <x:c r="F13" s="62" t="n">
        <x:v>0</x:v>
      </x:c>
      <x:c r="G13" s="66" t="n">
        <x:v>1</x:v>
      </x:c>
      <x:c r="H13" s="62" t="n">
        <x:f>IF(E13=0,"",I13/E13)</x:f>
        <x:v>27452.21094462553</x:v>
      </x:c>
      <x:c r="I13" s="60" t="n">
        <x:f>SUMIF('Species'!$H$2:$H$230,A13,'Species'!$U$2:$U$230)</x:f>
        <x:v>3350664762.997298</x:v>
      </x:c>
      <x:c r="J13" s="62" t="n">
        <x:v>4.40698663622917</x:v>
      </x:c>
      <x:c r="K13" s="62" t="n">
        <x:f>IF(J13="","",(1/'Metadata'!$B$5)^(J13-1))</x:f>
        <x:v>27076.455316291336</x:v>
      </x:c>
      <x:c r="L13" s="60" t="n">
        <x:f>IF(E13=0,"",E13*K13)</x:f>
        <x:v>3304802112.9580383</x:v>
      </x:c>
      <x:c r="M13" s="60" t="n">
        <x:f>I13-L13</x:f>
        <x:v>45862650.039259434</x:v>
      </x:c>
      <x:c r="N13" s="62" t="n">
        <x:f>IF(L13=0,"",I13/L13)</x:f>
        <x:v>1.013877578285076</x:v>
      </x:c>
      <x:c r="O13" s="66" t="n">
        <x:f>IF(L13=0,"",M13/L13)</x:f>
        <x:v>0.013877578285075904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77fad97be74f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12</x:v>
      </x:c>
      <x:c r="C2" s="64" t="n">
        <x:v>12</x:v>
      </x:c>
      <x:c r="D2" s="60" t="n">
        <x:v>193499.0365377087</x:v>
      </x:c>
      <x:c r="E2" s="60" t="n">
        <x:v>193499.0365377087</x:v>
      </x:c>
      <x:c r="F2" s="62" t="n">
        <x:v>0</x:v>
      </x:c>
      <x:c r="G2" s="66" t="n">
        <x:v>1</x:v>
      </x:c>
      <x:c r="H2" s="62" t="n">
        <x:f>IF(E2=0,"",I2/E2)</x:f>
        <x:v>15163.559696590639</x:v>
      </x:c>
      <x:c r="I2" s="60" t="n">
        <x:f>SUMIF('Species'!$G$2:$G$230,A2,'Species'!$U$2:$U$230)</x:f>
        <x:v>2934134191.772319</x:v>
      </x:c>
      <x:c r="J2" s="62" t="n">
        <x:v>4.169013672037414</x:v>
      </x:c>
      <x:c r="K2" s="62" t="n">
        <x:f>IF(J2="","",(1/'Metadata'!$B$5)^(J2-1))</x:f>
        <x:v>13273.38966158042</x:v>
      </x:c>
      <x:c r="L2" s="60" t="n">
        <x:f>IF(E2=0,"",E2*K2)</x:f>
        <x:v>2568388111.1053944</x:v>
      </x:c>
      <x:c r="M2" s="60" t="n">
        <x:f>I2-L2</x:f>
        <x:v>365746080.6669245</x:v>
      </x:c>
      <x:c r="N2" s="62" t="n">
        <x:f>IF(L2=0,"",I2/L2)</x:f>
        <x:v>1.1424029643672167</x:v>
      </x:c>
      <x:c r="O2" s="66" t="n">
        <x:f>IF(L2=0,"",M2/L2)</x:f>
        <x:v>0.1424029643672167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402034.4897938489</x:v>
      </x:c>
      <x:c r="E3" s="60" t="n">
        <x:v>402034.4897938489</x:v>
      </x:c>
      <x:c r="F3" s="62" t="n">
        <x:v>0</x:v>
      </x:c>
      <x:c r="G3" s="66" t="n">
        <x:v>1</x:v>
      </x:c>
      <x:c r="H3" s="62" t="n">
        <x:f>IF(E3=0,"",I3/E3)</x:f>
        <x:v>1576.2685311251626</x:v>
      </x:c>
      <x:c r="I3" s="60" t="n">
        <x:f>SUMIF('Species'!$G$2:$G$230,A3,'Species'!$U$2:$U$230)</x:f>
        <x:v>633714314.6890043</x:v>
      </x:c>
      <x:c r="J3" s="62" t="n">
        <x:v>3.4559493332574682</x:v>
      </x:c>
      <x:c r="K3" s="62" t="n">
        <x:f>IF(J3="","",(1/'Metadata'!$B$5)^(J3-1))</x:f>
        <x:v>1567.7028591398766</x:v>
      </x:c>
      <x:c r="L3" s="60" t="n">
        <x:f>IF(E3=0,"",E3*K3)</x:f>
        <x:v>630270619.1226585</x:v>
      </x:c>
      <x:c r="M3" s="60" t="n">
        <x:f>I3-L3</x:f>
        <x:v>3443695.566345811</x:v>
      </x:c>
      <x:c r="N3" s="62" t="n">
        <x:f>IF(L3=0,"",I3/L3)</x:f>
        <x:v>1.0054638364249622</x:v>
      </x:c>
      <x:c r="O3" s="66" t="n">
        <x:f>IF(L3=0,"",M3/L3)</x:f>
        <x:v>0.005463836424962124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141999.09343673318</x:v>
      </x:c>
      <x:c r="E4" s="60" t="n">
        <x:v>141999.09343673318</x:v>
      </x:c>
      <x:c r="F4" s="62" t="n">
        <x:v>0</x:v>
      </x:c>
      <x:c r="G4" s="66" t="n">
        <x:v>1</x:v>
      </x:c>
      <x:c r="H4" s="62" t="n">
        <x:f>IF(E4=0,"",I4/E4)</x:f>
        <x:v>18975.241694315366</x:v>
      </x:c>
      <x:c r="I4" s="60" t="n">
        <x:f>SUMIF('Species'!$G$2:$G$230,A4,'Species'!$U$2:$U$230)</x:f>
        <x:v>2694467118.335683</x:v>
      </x:c>
      <x:c r="J4" s="62" t="n">
        <x:v>4.140720993432021</x:v>
      </x:c>
      <x:c r="K4" s="62" t="n">
        <x:f>IF(J4="","",(1/'Metadata'!$B$5)^(J4-1))</x:f>
        <x:v>12194.730878866143</x:v>
      </x:c>
      <x:c r="L4" s="60" t="n">
        <x:f>IF(E4=0,"",E4*K4)</x:f>
        <x:v>1731640729.5039287</x:v>
      </x:c>
      <x:c r="M4" s="60" t="n">
        <x:f>I4-L4</x:f>
        <x:v>962826388.8317542</x:v>
      </x:c>
      <x:c r="N4" s="62" t="n">
        <x:f>IF(L4=0,"",I4/L4)</x:f>
        <x:v>1.5560197172698633</x:v>
      </x:c>
      <x:c r="O4" s="66" t="n">
        <x:f>IF(L4=0,"",M4/L4)</x:f>
        <x:v>0.5560197172698633</x:v>
      </x:c>
    </x:row>
    <x:row r="5" ht="18" customHeight="1">
      <x:c r="A5" s="46" t="str">
        <x:v>Large demersals (&gt;=90 cm)</x:v>
      </x:c>
      <x:c r="B5" s="64" t="n">
        <x:v>6</x:v>
      </x:c>
      <x:c r="C5" s="64" t="n">
        <x:v>6</x:v>
      </x:c>
      <x:c r="D5" s="60" t="n">
        <x:v>22270.2276797094</x:v>
      </x:c>
      <x:c r="E5" s="60" t="n">
        <x:v>22270.2276797094</x:v>
      </x:c>
      <x:c r="F5" s="62" t="n">
        <x:v>0</x:v>
      </x:c>
      <x:c r="G5" s="66" t="n">
        <x:v>1</x:v>
      </x:c>
      <x:c r="H5" s="62" t="n">
        <x:f>IF(E5=0,"",I5/E5)</x:f>
        <x:v>11631.324976874559</x:v>
      </x:c>
      <x:c r="I5" s="60" t="n">
        <x:f>SUMIF('Species'!$G$2:$G$230,A5,'Species'!$U$2:$U$230)</x:f>
        <x:v>259032255.45168707</x:v>
      </x:c>
      <x:c r="J5" s="62" t="n">
        <x:v>3.973513034866265</x:v>
      </x:c>
      <x:c r="K5" s="62" t="n">
        <x:f>IF(J5="","",(1/'Metadata'!$B$5)^(J5-1))</x:f>
        <x:v>7389.748378036145</x:v>
      </x:c>
      <x:c r="L5" s="60" t="n">
        <x:f>IF(E5=0,"",E5*K5)</x:f>
        <x:v>164571378.8746282</x:v>
      </x:c>
      <x:c r="M5" s="60" t="n">
        <x:f>I5-L5</x:f>
        <x:v>94460876.57705888</x:v>
      </x:c>
      <x:c r="N5" s="62" t="n">
        <x:f>IF(L5=0,"",I5/L5)</x:f>
        <x:v>1.5739811941967135</x:v>
      </x:c>
      <x:c r="O5" s="66" t="n">
        <x:f>IF(L5=0,"",M5/L5)</x:f>
        <x:v>0.5739811941967136</x:v>
      </x:c>
    </x:row>
    <x:row r="6" ht="18" customHeight="1">
      <x:c r="A6" s="46" t="str">
        <x:v>Large flatfishes (&gt;=90 cm)</x:v>
      </x:c>
      <x:c r="B6" s="64" t="n">
        <x:v>1</x:v>
      </x:c>
      <x:c r="C6" s="64" t="n">
        <x:v>1</x:v>
      </x:c>
      <x:c r="D6" s="60" t="n">
        <x:v>2960.1217273264</x:v>
      </x:c>
      <x:c r="E6" s="60" t="n">
        <x:v>2960.1217273264</x:v>
      </x:c>
      <x:c r="F6" s="62" t="n">
        <x:v>0</x:v>
      </x:c>
      <x:c r="G6" s="66" t="n">
        <x:v>1</x:v>
      </x:c>
      <x:c r="H6" s="62" t="n">
        <x:f>IF(E6=0,"",I6/E6)</x:f>
        <x:v>16917.940215049024</x:v>
      </x:c>
      <x:c r="I6" s="60" t="n">
        <x:f>SUMIF('Species'!$G$2:$G$230,A6,'Species'!$U$2:$U$230)</x:f>
        <x:v>50079162.412175685</x:v>
      </x:c>
      <x:c r="J6" s="62" t="n">
        <x:v>4.25</x:v>
      </x:c>
      <x:c r="K6" s="62" t="n">
        <x:f>IF(J6="","",(1/'Metadata'!$B$5)^(J6-1))</x:f>
        <x:v>16917.940215049024</x:v>
      </x:c>
      <x:c r="L6" s="60" t="n">
        <x:f>IF(E6=0,"",E6*K6)</x:f>
        <x:v>50079162.412175685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Large pelagics (&gt;=90 cm)</x:v>
      </x:c>
      <x:c r="B7" s="64" t="n">
        <x:v>22</x:v>
      </x:c>
      <x:c r="C7" s="64" t="n">
        <x:v>22</x:v>
      </x:c>
      <x:c r="D7" s="60" t="n">
        <x:v>177593.1778181953</x:v>
      </x:c>
      <x:c r="E7" s="60" t="n">
        <x:v>177593.1778181953</x:v>
      </x:c>
      <x:c r="F7" s="62" t="n">
        <x:v>0</x:v>
      </x:c>
      <x:c r="G7" s="66" t="n">
        <x:v>1</x:v>
      </x:c>
      <x:c r="H7" s="62" t="n">
        <x:f>IF(E7=0,"",I7/E7)</x:f>
        <x:v>26318.16583142967</x:v>
      </x:c>
      <x:c r="I7" s="60" t="n">
        <x:f>SUMIF('Species'!$G$2:$G$230,A7,'Species'!$U$2:$U$230)</x:f>
        <x:v>4673926704.349841</x:v>
      </x:c>
      <x:c r="J7" s="62" t="n">
        <x:v>4.3930577643741575</x:v>
      </x:c>
      <x:c r="K7" s="62" t="n">
        <x:f>IF(J7="","",(1/'Metadata'!$B$5)^(J7-1))</x:f>
        <x:v>25969.87913880527</x:v>
      </x:c>
      <x:c r="L7" s="60" t="n">
        <x:f>IF(E7=0,"",E7*K7)</x:f>
        <x:v>4612073363.814885</x:v>
      </x:c>
      <x:c r="M7" s="60" t="n">
        <x:f>I7-L7</x:f>
        <x:v>61853340.53495598</x:v>
      </x:c>
      <x:c r="N7" s="62" t="n">
        <x:f>IF(L7=0,"",I7/L7)</x:f>
        <x:v>1.0134111788030609</x:v>
      </x:c>
      <x:c r="O7" s="66" t="n">
        <x:f>IF(L7=0,"",M7/L7)</x:f>
        <x:v>0.013411178803060902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259.5566788609</x:v>
      </x:c>
      <x:c r="E8" s="60" t="n">
        <x:v>259.5566788609</x:v>
      </x:c>
      <x:c r="F8" s="62" t="n">
        <x:v>0</x:v>
      </x:c>
      <x:c r="G8" s="66" t="n">
        <x:v>1</x:v>
      </x:c>
      <x:c r="H8" s="62" t="n">
        <x:f>IF(E8=0,"",I8/E8)</x:f>
        <x:v>3480.586337048173</x:v>
      </x:c>
      <x:c r="I8" s="60" t="n">
        <x:f>SUMIF('Species'!$G$2:$G$230,A8,'Species'!$U$2:$U$230)</x:f>
        <x:v>903409.4301328488</x:v>
      </x:c>
      <x:c r="J8" s="62" t="n">
        <x:v>3.721826885386256</x:v>
      </x:c>
      <x:c r="K8" s="62" t="n">
        <x:f>IF(J8="","",(1/'Metadata'!$B$5)^(J8-1))</x:f>
        <x:v>3476.789688092055</x:v>
      </x:c>
      <x:c r="L8" s="60" t="n">
        <x:f>IF(E8=0,"",E8*K8)</x:f>
        <x:v>902423.9845389981</x:v>
      </x:c>
      <x:c r="M8" s="60" t="n">
        <x:f>I8-L8</x:f>
        <x:v>985.4455938506871</x:v>
      </x:c>
      <x:c r="N8" s="62" t="n">
        <x:f>IF(L8=0,"",I8/L8)</x:f>
        <x:v>1.0010919984516524</x:v>
      </x:c>
      <x:c r="O8" s="66" t="n">
        <x:f>IF(L8=0,"",M8/L8)</x:f>
        <x:v>0.001091998451652524</x:v>
      </x:c>
    </x:row>
    <x:row r="9" ht="18" customHeight="1">
      <x:c r="A9" s="46" t="str">
        <x:v>Large reef assoc. fish (&gt;=90 cm)</x:v>
      </x:c>
      <x:c r="B9" s="64" t="n">
        <x:v>7</x:v>
      </x:c>
      <x:c r="C9" s="64" t="n">
        <x:v>7</x:v>
      </x:c>
      <x:c r="D9" s="60" t="n">
        <x:v>3504.1007764472</x:v>
      </x:c>
      <x:c r="E9" s="60" t="n">
        <x:v>3504.1007764472</x:v>
      </x:c>
      <x:c r="F9" s="62" t="n">
        <x:v>0</x:v>
      </x:c>
      <x:c r="G9" s="66" t="n">
        <x:v>1</x:v>
      </x:c>
      <x:c r="H9" s="62" t="n">
        <x:f>IF(E9=0,"",I9/E9)</x:f>
        <x:v>3252.2347232503625</x:v>
      </x:c>
      <x:c r="I9" s="60" t="n">
        <x:f>SUMIF('Species'!$G$2:$G$230,A9,'Species'!$U$2:$U$230)</x:f>
        <x:v>11396158.21893014</x:v>
      </x:c>
      <x:c r="J9" s="62" t="n">
        <x:v>3.610979119762529</x:v>
      </x:c>
      <x:c r="K9" s="62" t="n">
        <x:f>IF(J9="","",(1/'Metadata'!$B$5)^(J9-1))</x:f>
        <x:v>2494.3773418330984</x:v>
      </x:c>
      <x:c r="L9" s="60" t="n">
        <x:f>IF(E9=0,"",E9*K9)</x:f>
        <x:v>8740549.580269663</x:v>
      </x:c>
      <x:c r="M9" s="60" t="n">
        <x:f>I9-L9</x:f>
        <x:v>2655608.6386604775</x:v>
      </x:c>
      <x:c r="N9" s="62" t="n">
        <x:f>IF(L9=0,"",I9/L9)</x:f>
        <x:v>1.3038262770861768</x:v>
      </x:c>
      <x:c r="O9" s="66" t="n">
        <x:f>IF(L9=0,"",M9/L9)</x:f>
        <x:v>0.3038262770861769</x:v>
      </x:c>
    </x:row>
    <x:row r="10" ht="18" customHeight="1">
      <x:c r="A10" s="46" t="str">
        <x:v>Large sharks (&gt;=90 cm)</x:v>
      </x:c>
      <x:c r="B10" s="64" t="n">
        <x:v>9</x:v>
      </x:c>
      <x:c r="C10" s="64" t="n">
        <x:v>9</x:v>
      </x:c>
      <x:c r="D10" s="60" t="n">
        <x:v>35890.3401638259</x:v>
      </x:c>
      <x:c r="E10" s="60" t="n">
        <x:v>35890.3401638259</x:v>
      </x:c>
      <x:c r="F10" s="62" t="n">
        <x:v>0</x:v>
      </x:c>
      <x:c r="G10" s="66" t="n">
        <x:v>1</x:v>
      </x:c>
      <x:c r="H10" s="62" t="n">
        <x:f>IF(E10=0,"",I10/E10)</x:f>
        <x:v>9130.997881488549</x:v>
      </x:c>
      <x:c r="I10" s="60" t="n">
        <x:f>SUMIF('Species'!$G$2:$G$230,A10,'Species'!$U$2:$U$230)</x:f>
        <x:v>327714620.0017977</x:v>
      </x:c>
      <x:c r="J10" s="62" t="n">
        <x:v>4.037696429754866</x:v>
      </x:c>
      <x:c r="K10" s="62" t="n">
        <x:f>IF(J10="","",(1/'Metadata'!$B$5)^(J10-1))</x:f>
        <x:v>8956.414261817314</x:v>
      </x:c>
      <x:c r="L10" s="60" t="n">
        <x:f>IF(E10=0,"",E10*K10)</x:f>
        <x:v>321448754.50476503</x:v>
      </x:c>
      <x:c r="M10" s="60" t="n">
        <x:f>I10-L10</x:f>
        <x:v>6265865.497032642</x:v>
      </x:c>
      <x:c r="N10" s="62" t="n">
        <x:f>IF(L10=0,"",I10/L10)</x:f>
        <x:v>1.0194925797945182</x:v>
      </x:c>
      <x:c r="O10" s="66" t="n">
        <x:f>IF(L10=0,"",M10/L10)</x:f>
        <x:v>0.019492579794518256</x:v>
      </x:c>
    </x:row>
    <x:row r="11" ht="18" customHeight="1">
      <x:c r="A11" s="46" t="str">
        <x:v>Lobsters, crabs</x:v>
      </x:c>
      <x:c r="B11" s="64" t="n">
        <x:v>13</x:v>
      </x:c>
      <x:c r="C11" s="64" t="n">
        <x:v>13</x:v>
      </x:c>
      <x:c r="D11" s="60" t="n">
        <x:v>86858.83969307132</x:v>
      </x:c>
      <x:c r="E11" s="60" t="n">
        <x:v>86858.83969307132</x:v>
      </x:c>
      <x:c r="F11" s="62" t="n">
        <x:v>0</x:v>
      </x:c>
      <x:c r="G11" s="66" t="n">
        <x:v>1</x:v>
      </x:c>
      <x:c r="H11" s="62" t="n">
        <x:f>IF(E11=0,"",I11/E11)</x:f>
        <x:v>2417.0339249516032</x:v>
      </x:c>
      <x:c r="I11" s="60" t="n">
        <x:f>SUMIF('Species'!$G$2:$G$230,A11,'Species'!$U$2:$U$230)</x:f>
        <x:v>209940762.22008628</x:v>
      </x:c>
      <x:c r="J11" s="62" t="n">
        <x:v>3.4291014750203272</x:v>
      </x:c>
      <x:c r="K11" s="62" t="n">
        <x:f>IF(J11="","",(1/'Metadata'!$B$5)^(J11-1))</x:f>
        <x:v>1446.5514385121548</x:v>
      </x:c>
      <x:c r="L11" s="60" t="n">
        <x:f>IF(E11=0,"",E11*K11)</x:f>
        <x:v>125645779.50550897</x:v>
      </x:c>
      <x:c r="M11" s="60" t="n">
        <x:f>I11-L11</x:f>
        <x:v>84294982.7145773</x:v>
      </x:c>
      <x:c r="N11" s="62" t="n">
        <x:f>IF(L11=0,"",I11/L11)</x:f>
        <x:v>1.6708938656461705</x:v>
      </x:c>
      <x:c r="O11" s="66" t="n">
        <x:f>IF(L11=0,"",M11/L11)</x:f>
        <x:v>0.6708938656461705</x:v>
      </x:c>
    </x:row>
    <x:row r="12" ht="18" customHeight="1">
      <x:c r="A12" s="46" t="str">
        <x:v>Medium bathydemersals (30 - 89 cm)</x:v>
      </x:c>
      <x:c r="B12" s="64" t="n">
        <x:v>1</x:v>
      </x:c>
      <x:c r="C12" s="64" t="n">
        <x:v>1</x:v>
      </x:c>
      <x:c r="D12" s="60" t="n">
        <x:v>39.6946494197</x:v>
      </x:c>
      <x:c r="E12" s="60" t="n">
        <x:v>39.6946494197</x:v>
      </x:c>
      <x:c r="F12" s="62" t="n">
        <x:v>0</x:v>
      </x:c>
      <x:c r="G12" s="66" t="n">
        <x:v>1</x:v>
      </x:c>
      <x:c r="H12" s="62" t="n">
        <x:f>IF(E12=0,"",I12/E12)</x:f>
        <x:v>7534.759367064223</x:v>
      </x:c>
      <x:c r="I12" s="60" t="n">
        <x:f>SUMIF('Species'!$G$2:$G$230,A12,'Species'!$U$2:$U$230)</x:f>
        <x:v>299089.63153741497</x:v>
      </x:c>
      <x:c r="J12" s="62" t="n">
        <x:v>3.98</x:v>
      </x:c>
      <x:c r="K12" s="62" t="n">
        <x:f>IF(J12="","",(1/'Metadata'!$B$5)^(J12-1))</x:f>
        <x:v>7534.759367064222</x:v>
      </x:c>
      <x:c r="L12" s="60" t="n">
        <x:f>IF(E12=0,"",E12*K12)</x:f>
        <x:v>299089.63153741497</x:v>
      </x:c>
      <x:c r="M12" s="60" t="n">
        <x:f>I12-L12</x:f>
        <x:v>0</x:v>
      </x:c>
      <x:c r="N12" s="62" t="n">
        <x:f>IF(L12=0,"",I12/L12)</x:f>
        <x:v>1</x:v>
      </x:c>
      <x:c r="O12" s="66" t="n">
        <x:f>IF(L12=0,"",M12/L12)</x:f>
        <x:v>0</x:v>
      </x:c>
    </x:row>
    <x:row r="13" ht="18" customHeight="1">
      <x:c r="A13" s="46" t="str">
        <x:v>Medium benthopelagics (30 - 89 cm)</x:v>
      </x:c>
      <x:c r="B13" s="64" t="n">
        <x:v>14</x:v>
      </x:c>
      <x:c r="C13" s="64" t="n">
        <x:v>14</x:v>
      </x:c>
      <x:c r="D13" s="60" t="n">
        <x:v>110604.65128141131</x:v>
      </x:c>
      <x:c r="E13" s="60" t="n">
        <x:v>110604.65128141131</x:v>
      </x:c>
      <x:c r="F13" s="62" t="n">
        <x:v>0</x:v>
      </x:c>
      <x:c r="G13" s="66" t="n">
        <x:v>1</x:v>
      </x:c>
      <x:c r="H13" s="62" t="n">
        <x:f>IF(E13=0,"",I13/E13)</x:f>
        <x:v>2202.615666917175</x:v>
      </x:c>
      <x:c r="I13" s="60" t="n">
        <x:f>SUMIF('Species'!$G$2:$G$230,A13,'Species'!$U$2:$U$230)</x:f>
        <x:v>243619537.74634734</x:v>
      </x:c>
      <x:c r="J13" s="62" t="n">
        <x:v>3.52334922622204</x:v>
      </x:c>
      <x:c r="K13" s="62" t="n">
        <x:f>IF(J13="","",(1/'Metadata'!$B$5)^(J13-1))</x:f>
        <x:v>1918.4612558114834</x:v>
      </x:c>
      <x:c r="L13" s="60" t="n">
        <x:f>IF(E13=0,"",E13*K13)</x:f>
        <x:v>212190738.19592753</x:v>
      </x:c>
      <x:c r="M13" s="60" t="n">
        <x:f>I13-L13</x:f>
        <x:v>31428799.550419807</x:v>
      </x:c>
      <x:c r="N13" s="62" t="n">
        <x:f>IF(L13=0,"",I13/L13)</x:f>
        <x:v>1.1481157934490045</x:v>
      </x:c>
      <x:c r="O13" s="66" t="n">
        <x:f>IF(L13=0,"",M13/L13)</x:f>
        <x:v>0.14811579344900458</x:v>
      </x:c>
    </x:row>
    <x:row r="14" ht="18" customHeight="1">
      <x:c r="A14" s="46" t="str">
        <x:v>Medium demersals (30 - 89 cm)</x:v>
      </x:c>
      <x:c r="B14" s="64" t="n">
        <x:v>28</x:v>
      </x:c>
      <x:c r="C14" s="64" t="n">
        <x:v>28</x:v>
      </x:c>
      <x:c r="D14" s="60" t="n">
        <x:v>479432.2504993962</x:v>
      </x:c>
      <x:c r="E14" s="60" t="n">
        <x:v>479432.2504993962</x:v>
      </x:c>
      <x:c r="F14" s="62" t="n">
        <x:v>0</x:v>
      </x:c>
      <x:c r="G14" s="66" t="n">
        <x:v>1</x:v>
      </x:c>
      <x:c r="H14" s="62" t="n">
        <x:f>IF(E14=0,"",I14/E14)</x:f>
        <x:v>1258.2318751576381</x:v>
      </x:c>
      <x:c r="I14" s="60" t="n">
        <x:f>SUMIF('Species'!$G$2:$G$230,A14,'Species'!$U$2:$U$230)</x:f>
        <x:v>603236939.5569017</x:v>
      </x:c>
      <x:c r="J14" s="62" t="n">
        <x:v>3.33368105788603</x:v>
      </x:c>
      <x:c r="K14" s="62" t="n">
        <x:f>IF(J14="","",(1/'Metadata'!$B$5)^(J14-1))</x:f>
        <x:v>1086.8986682457864</x:v>
      </x:c>
      <x:c r="L14" s="60" t="n">
        <x:f>IF(E14=0,"",E14*K14)</x:f>
        <x:v>521094274.581874</x:v>
      </x:c>
      <x:c r="M14" s="60" t="n">
        <x:f>I14-L14</x:f>
        <x:v>82142664.97502768</x:v>
      </x:c>
      <x:c r="N14" s="62" t="n">
        <x:f>IF(L14=0,"",I14/L14)</x:f>
        <x:v>1.1576349405123265</x:v>
      </x:c>
      <x:c r="O14" s="66" t="n">
        <x:f>IF(L14=0,"",M14/L14)</x:f>
        <x:v>0.15763494051232657</x:v>
      </x:c>
    </x:row>
    <x:row r="15" ht="18" customHeight="1">
      <x:c r="A15" s="46" t="str">
        <x:v>Medium pelagics (30 - 89 cm)</x:v>
      </x:c>
      <x:c r="B15" s="64" t="n">
        <x:v>22</x:v>
      </x:c>
      <x:c r="C15" s="64" t="n">
        <x:v>22</x:v>
      </x:c>
      <x:c r="D15" s="60" t="n">
        <x:v>759846.7215098469</x:v>
      </x:c>
      <x:c r="E15" s="60" t="n">
        <x:v>759846.7215098469</x:v>
      </x:c>
      <x:c r="F15" s="62" t="n">
        <x:v>0</x:v>
      </x:c>
      <x:c r="G15" s="66" t="n">
        <x:v>1</x:v>
      </x:c>
      <x:c r="H15" s="62" t="n">
        <x:f>IF(E15=0,"",I15/E15)</x:f>
        <x:v>1661.860641951107</x:v>
      </x:c>
      <x:c r="I15" s="60" t="n">
        <x:f>SUMIF('Species'!$G$2:$G$230,A15,'Species'!$U$2:$U$230)</x:f>
        <x:v>1262759360.3927982</x:v>
      </x:c>
      <x:c r="J15" s="62" t="n">
        <x:v>3.2579720902630545</x:v>
      </x:c>
      <x:c r="K15" s="62" t="n">
        <x:f>IF(J15="","",(1/'Metadata'!$B$5)^(J15-1))</x:f>
        <x:v>866.3420986020458</x:v>
      </x:c>
      <x:c r="L15" s="60" t="n">
        <x:f>IF(E15=0,"",E15*K15)</x:f>
        <x:v>658287203.328725</x:v>
      </x:c>
      <x:c r="M15" s="60" t="n">
        <x:f>I15-L15</x:f>
        <x:v>604472157.0640732</x:v>
      </x:c>
      <x:c r="N15" s="62" t="n">
        <x:f>IF(L15=0,"",I15/L15)</x:f>
        <x:v>1.9182498976244287</x:v>
      </x:c>
      <x:c r="O15" s="66" t="n">
        <x:f>IF(L15=0,"",M15/L15)</x:f>
        <x:v>0.9182498976244288</x:v>
      </x:c>
    </x:row>
    <x:row r="16" ht="18" customHeight="1">
      <x:c r="A16" s="46" t="str">
        <x:v>Medium reef assoc. fish (30 - 89 cm)</x:v>
      </x:c>
      <x:c r="B16" s="64" t="n">
        <x:v>22</x:v>
      </x:c>
      <x:c r="C16" s="64" t="n">
        <x:v>22</x:v>
      </x:c>
      <x:c r="D16" s="60" t="n">
        <x:v>54029.81327289759</x:v>
      </x:c>
      <x:c r="E16" s="60" t="n">
        <x:v>54029.81327289759</x:v>
      </x:c>
      <x:c r="F16" s="62" t="n">
        <x:v>0</x:v>
      </x:c>
      <x:c r="G16" s="66" t="n">
        <x:v>1</x:v>
      </x:c>
      <x:c r="H16" s="62" t="n">
        <x:f>IF(E16=0,"",I16/E16)</x:f>
        <x:v>1427.046356928867</x:v>
      </x:c>
      <x:c r="I16" s="60" t="n">
        <x:f>SUMIF('Species'!$G$2:$G$230,A16,'Species'!$U$2:$U$230)</x:f>
        <x:v>77103048.19663545</x:v>
      </x:c>
      <x:c r="J16" s="62" t="n">
        <x:v>3.33490820116831</x:v>
      </x:c>
      <x:c r="K16" s="62" t="n">
        <x:f>IF(J16="","",(1/'Metadata'!$B$5)^(J16-1))</x:f>
        <x:v>1090.9016706296368</x:v>
      </x:c>
      <x:c r="L16" s="60" t="n">
        <x:f>IF(E16=0,"",E16*K16)</x:f>
        <x:v>58941213.56321131</x:v>
      </x:c>
      <x:c r="M16" s="60" t="n">
        <x:f>I16-L16</x:f>
        <x:v>18161834.633424148</x:v>
      </x:c>
      <x:c r="N16" s="62" t="n">
        <x:f>IF(L16=0,"",I16/L16)</x:f>
        <x:v>1.3081347250162494</x:v>
      </x:c>
      <x:c r="O16" s="66" t="n">
        <x:f>IF(L16=0,"",M16/L16)</x:f>
        <x:v>0.30813472501624944</x:v>
      </x:c>
    </x:row>
    <x:row r="17" ht="18" customHeight="1">
      <x:c r="A17" s="46" t="str">
        <x:v>Other demersal invertebrates</x:v>
      </x:c>
      <x:c r="B17" s="64" t="n">
        <x:v>18</x:v>
      </x:c>
      <x:c r="C17" s="64" t="n">
        <x:v>18</x:v>
      </x:c>
      <x:c r="D17" s="60" t="n">
        <x:v>171695.38575440212</x:v>
      </x:c>
      <x:c r="E17" s="60" t="n">
        <x:v>171695.38575440212</x:v>
      </x:c>
      <x:c r="F17" s="62" t="n">
        <x:v>0</x:v>
      </x:c>
      <x:c r="G17" s="66" t="n">
        <x:v>1</x:v>
      </x:c>
      <x:c r="H17" s="62" t="n">
        <x:f>IF(E17=0,"",I17/E17)</x:f>
        <x:v>27.54856228235867</x:v>
      </x:c>
      <x:c r="I17" s="60" t="n">
        <x:f>SUMIF('Species'!$G$2:$G$230,A17,'Species'!$U$2:$U$230)</x:f>
        <x:v>4729961.028048744</x:v>
      </x:c>
      <x:c r="J17" s="62" t="n">
        <x:v>2.0523277778720823</x:v>
      </x:c>
      <x:c r="K17" s="62" t="n">
        <x:f>IF(J17="","",(1/'Metadata'!$B$5)^(J17-1))</x:f>
        <x:v>23.39429727647053</x:v>
      </x:c>
      <x:c r="L17" s="60" t="n">
        <x:f>IF(E17=0,"",E17*K17)</x:f>
        <x:v>4016692.8953367667</x:v>
      </x:c>
      <x:c r="M17" s="60" t="n">
        <x:f>I17-L17</x:f>
        <x:v>713268.1327119777</x:v>
      </x:c>
      <x:c r="N17" s="62" t="n">
        <x:f>IF(L17=0,"",I17/L17)</x:f>
        <x:v>1.1775759689121506</x:v>
      </x:c>
      <x:c r="O17" s="66" t="n">
        <x:f>IF(L17=0,"",M17/L17)</x:f>
        <x:v>0.17757596891215055</x:v>
      </x:c>
    </x:row>
    <x:row r="18" ht="18" customHeight="1">
      <x:c r="A18" s="46" t="str">
        <x:v>Shrimps</x:v>
      </x:c>
      <x:c r="B18" s="64" t="n">
        <x:v>15</x:v>
      </x:c>
      <x:c r="C18" s="64" t="n">
        <x:v>15</x:v>
      </x:c>
      <x:c r="D18" s="60" t="n">
        <x:v>93668.355335533</x:v>
      </x:c>
      <x:c r="E18" s="60" t="n">
        <x:v>93668.355335533</x:v>
      </x:c>
      <x:c r="F18" s="62" t="n">
        <x:v>0</x:v>
      </x:c>
      <x:c r="G18" s="66" t="n">
        <x:v>1</x:v>
      </x:c>
      <x:c r="H18" s="62" t="n">
        <x:f>IF(E18=0,"",I18/E18)</x:f>
        <x:v>285.1313115861698</x:v>
      </x:c>
      <x:c r="I18" s="60" t="n">
        <x:f>SUMIF('Species'!$G$2:$G$230,A18,'Species'!$U$2:$U$230)</x:f>
        <x:v>26707781.010939926</x:v>
      </x:c>
      <x:c r="J18" s="62" t="n">
        <x:v>2.598418189885853</x:v>
      </x:c>
      <x:c r="K18" s="62" t="n">
        <x:f>IF(J18="","",(1/'Metadata'!$B$5)^(J18-1))</x:f>
        <x:v>120.1129990052246</x:v>
      </x:c>
      <x:c r="L18" s="60" t="n">
        <x:f>IF(E18=0,"",E18*K18)</x:f>
        <x:v>11250787.071237898</x:v>
      </x:c>
      <x:c r="M18" s="60" t="n">
        <x:f>I18-L18</x:f>
        <x:v>15456993.939702028</x:v>
      </x:c>
      <x:c r="N18" s="62" t="n">
        <x:f>IF(L18=0,"",I18/L18)</x:f>
        <x:v>2.3738588991002327</x:v>
      </x:c>
      <x:c r="O18" s="66" t="n">
        <x:f>IF(L18=0,"",M18/L18)</x:f>
        <x:v>1.3738588991002327</x:v>
      </x:c>
    </x:row>
    <x:row r="19" ht="18" customHeight="1">
      <x:c r="A19" s="46" t="str">
        <x:v>Small bathydemersals (&lt;30 cm)</x:v>
      </x:c>
      <x:c r="B19" s="64" t="n">
        <x:v>1</x:v>
      </x:c>
      <x:c r="C19" s="64" t="n">
        <x:v>1</x:v>
      </x:c>
      <x:c r="D19" s="60" t="n">
        <x:v>1382.8641561113</x:v>
      </x:c>
      <x:c r="E19" s="60" t="n">
        <x:v>1382.8641561113</x:v>
      </x:c>
      <x:c r="F19" s="62" t="n">
        <x:v>0</x:v>
      </x:c>
      <x:c r="G19" s="66" t="n">
        <x:v>1</x:v>
      </x:c>
      <x:c r="H19" s="62" t="n">
        <x:f>IF(E19=0,"",I19/E19)</x:f>
        <x:v>1843.254441778434</x:v>
      </x:c>
      <x:c r="I19" s="60" t="n">
        <x:f>SUMIF('Species'!$G$2:$G$230,A19,'Species'!$U$2:$U$230)</x:f>
        <x:v>2548970.4981283396</x:v>
      </x:c>
      <x:c r="J19" s="62" t="n">
        <x:v>3.51</x:v>
      </x:c>
      <x:c r="K19" s="62" t="n">
        <x:f>IF(J19="","",(1/'Metadata'!$B$5)^(J19-1))</x:f>
        <x:v>1843.2544417784343</x:v>
      </x:c>
      <x:c r="L19" s="60" t="n">
        <x:f>IF(E19=0,"",E19*K19)</x:f>
        <x:v>2548970.4981283396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406.6967747967</x:v>
      </x:c>
      <x:c r="E20" s="60" t="n">
        <x:v>406.6967747967</x:v>
      </x:c>
      <x:c r="F20" s="62" t="n">
        <x:v>0</x:v>
      </x:c>
      <x:c r="G20" s="66" t="n">
        <x:v>1</x:v>
      </x:c>
      <x:c r="H20" s="62" t="n">
        <x:f>IF(E20=0,"",I20/E20)</x:f>
        <x:v>539.7131390694254</x:v>
      </x:c>
      <x:c r="I20" s="60" t="n">
        <x:f>SUMIF('Species'!$G$2:$G$230,A20,'Species'!$U$2:$U$230)</x:f>
        <x:v>219499.59297493816</x:v>
      </x:c>
      <x:c r="J20" s="62" t="n">
        <x:v>3.1</x:v>
      </x:c>
      <x:c r="K20" s="62" t="n">
        <x:f>IF(J20="","",(1/'Metadata'!$B$5)^(J20-1))</x:f>
        <x:v>539.7131390694254</x:v>
      </x:c>
      <x:c r="L20" s="60" t="n">
        <x:f>IF(E20=0,"",E20*K20)</x:f>
        <x:v>219499.59297493816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3</x:v>
      </x:c>
      <x:c r="C21" s="64" t="n">
        <x:v>3</x:v>
      </x:c>
      <x:c r="D21" s="60" t="n">
        <x:v>1028.7208106920998</x:v>
      </x:c>
      <x:c r="E21" s="60" t="n">
        <x:v>1028.7208106920998</x:v>
      </x:c>
      <x:c r="F21" s="62" t="n">
        <x:v>0</x:v>
      </x:c>
      <x:c r="G21" s="66" t="n">
        <x:v>1</x:v>
      </x:c>
      <x:c r="H21" s="62" t="n">
        <x:f>IF(E21=0,"",I21/E21)</x:f>
        <x:v>7429.261088522921</x:v>
      </x:c>
      <x:c r="I21" s="60" t="n">
        <x:f>SUMIF('Species'!$G$2:$G$230,A21,'Species'!$U$2:$U$230)</x:f>
        <x:v>7642635.489828572</x:v>
      </x:c>
      <x:c r="J21" s="62" t="n">
        <x:v>3.9601228808928397</x:v>
      </x:c>
      <x:c r="K21" s="62" t="n">
        <x:f>IF(J21="","",(1/'Metadata'!$B$5)^(J21-1))</x:f>
        <x:v>7099.187699593499</x:v>
      </x:c>
      <x:c r="L21" s="60" t="n">
        <x:f>IF(E21=0,"",E21*K21)</x:f>
        <x:v>7303082.125581208</x:v>
      </x:c>
      <x:c r="M21" s="60" t="n">
        <x:f>I21-L21</x:f>
        <x:v>339553.364247364</x:v>
      </x:c>
      <x:c r="N21" s="62" t="n">
        <x:f>IF(L21=0,"",I21/L21)</x:f>
        <x:v>1.0464945290780694</x:v>
      </x:c>
      <x:c r="O21" s="66" t="n">
        <x:f>IF(L21=0,"",M21/L21)</x:f>
        <x:v>0.04649452907806935</x:v>
      </x:c>
    </x:row>
    <x:row r="22" ht="18" customHeight="1">
      <x:c r="A22" s="46" t="str">
        <x:v>Small demersals (&lt;30 cm)</x:v>
      </x:c>
      <x:c r="B22" s="64" t="n">
        <x:v>4</x:v>
      </x:c>
      <x:c r="C22" s="64" t="n">
        <x:v>4</x:v>
      </x:c>
      <x:c r="D22" s="60" t="n">
        <x:v>34731.762883257295</x:v>
      </x:c>
      <x:c r="E22" s="60" t="n">
        <x:v>34731.762883257295</x:v>
      </x:c>
      <x:c r="F22" s="62" t="n">
        <x:v>0</x:v>
      </x:c>
      <x:c r="G22" s="66" t="n">
        <x:v>1</x:v>
      </x:c>
      <x:c r="H22" s="62" t="n">
        <x:f>IF(E22=0,"",I22/E22)</x:f>
        <x:v>1725.0750826347198</x:v>
      </x:c>
      <x:c r="I22" s="60" t="n">
        <x:f>SUMIF('Species'!$G$2:$G$230,A22,'Species'!$U$2:$U$230)</x:f>
        <x:v>59914898.72588457</x:v>
      </x:c>
      <x:c r="J22" s="62" t="n">
        <x:v>3.3136399462641553</x:v>
      </x:c>
      <x:c r="K22" s="62" t="n">
        <x:f>IF(J22="","",(1/'Metadata'!$B$5)^(J22-1))</x:f>
        <x:v>1023.5639209075473</x:v>
      </x:c>
      <x:c r="L22" s="60" t="n">
        <x:f>IF(E22=0,"",E22*K22)</x:f>
        <x:v>35550179.39681806</x:v>
      </x:c>
      <x:c r="M22" s="60" t="n">
        <x:f>I22-L22</x:f>
        <x:v>24364719.329066515</x:v>
      </x:c>
      <x:c r="N22" s="62" t="n">
        <x:f>IF(L22=0,"",I22/L22)</x:f>
        <x:v>1.6853613608275433</x:v>
      </x:c>
      <x:c r="O22" s="66" t="n">
        <x:f>IF(L22=0,"",M22/L22)</x:f>
        <x:v>0.6853613608275433</x:v>
      </x:c>
    </x:row>
    <x:row r="23" ht="18" customHeight="1">
      <x:c r="A23" s="46" t="str">
        <x:v>Small pelagics (&lt;30 cm)</x:v>
      </x:c>
      <x:c r="B23" s="64" t="n">
        <x:v>13</x:v>
      </x:c>
      <x:c r="C23" s="64" t="n">
        <x:v>13</x:v>
      </x:c>
      <x:c r="D23" s="60" t="n">
        <x:v>298769.514454299</x:v>
      </x:c>
      <x:c r="E23" s="60" t="n">
        <x:v>298769.514454299</x:v>
      </x:c>
      <x:c r="F23" s="62" t="n">
        <x:v>0</x:v>
      </x:c>
      <x:c r="G23" s="66" t="n">
        <x:v>1</x:v>
      </x:c>
      <x:c r="H23" s="62" t="n">
        <x:f>IF(E23=0,"",I23/E23)</x:f>
        <x:v>677.9156687001346</x:v>
      </x:c>
      <x:c r="I23" s="60" t="n">
        <x:f>SUMIF('Species'!$G$2:$G$230,A23,'Species'!$U$2:$U$230)</x:f>
        <x:v>202540535.17850062</x:v>
      </x:c>
      <x:c r="J23" s="62" t="n">
        <x:v>3.163271725977601</x:v>
      </x:c>
      <x:c r="K23" s="62" t="n">
        <x:f>IF(J23="","",(1/'Metadata'!$B$5)^(J23-1))</x:f>
        <x:v>652.3511078648885</x:v>
      </x:c>
      <x:c r="L23" s="60" t="n">
        <x:f>IF(E23=0,"",E23*K23)</x:f>
        <x:v>194902623.75051677</x:v>
      </x:c>
      <x:c r="M23" s="60" t="n">
        <x:f>I23-L23</x:f>
        <x:v>7637911.42798385</x:v>
      </x:c>
      <x:c r="N23" s="62" t="n">
        <x:f>IF(L23=0,"",I23/L23)</x:f>
        <x:v>1.0391883458570608</x:v>
      </x:c>
      <x:c r="O23" s="66" t="n">
        <x:f>IF(L23=0,"",M23/L23)</x:f>
        <x:v>0.03918834585706083</x:v>
      </x:c>
    </x:row>
    <x:row r="24" ht="18" customHeight="1">
      <x:c r="A24" s="46" t="str">
        <x:v>Small reef assoc. fish (&lt;30 cm)</x:v>
      </x:c>
      <x:c r="B24" s="64" t="n">
        <x:v>1</x:v>
      </x:c>
      <x:c r="C24" s="64" t="n">
        <x:v>1</x:v>
      </x:c>
      <x:c r="D24" s="60" t="n">
        <x:v>24.165266374599998</x:v>
      </x:c>
      <x:c r="E24" s="60" t="n">
        <x:v>24.165266374599998</x:v>
      </x:c>
      <x:c r="F24" s="62" t="n">
        <x:v>0</x:v>
      </x:c>
      <x:c r="G24" s="66" t="n">
        <x:v>1</x:v>
      </x:c>
      <x:c r="H24" s="62" t="n">
        <x:f>IF(E24=0,"",I24/E24)</x:f>
        <x:v>556.1261167405597</x:v>
      </x:c>
      <x:c r="I24" s="60" t="n">
        <x:f>SUMIF('Species'!$G$2:$G$230,A24,'Species'!$U$2:$U$230)</x:f>
        <x:v>13438.935748907521</x:v>
      </x:c>
      <x:c r="J24" s="62" t="n">
        <x:v>3.11</x:v>
      </x:c>
      <x:c r="K24" s="62" t="n">
        <x:f>IF(J24="","",(1/'Metadata'!$B$5)^(J24-1))</x:f>
        <x:v>556.1261167405597</x:v>
      </x:c>
      <x:c r="L24" s="60" t="n">
        <x:f>IF(E24=0,"",E24*K24)</x:f>
        <x:v>13438.935748907521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flatfishes (&lt;90 cm)</x:v>
      </x:c>
      <x:c r="B25" s="64" t="n">
        <x:v>3</x:v>
      </x:c>
      <x:c r="C25" s="64" t="n">
        <x:v>3</x:v>
      </x:c>
      <x:c r="D25" s="60" t="n">
        <x:v>17926.6841703095</x:v>
      </x:c>
      <x:c r="E25" s="60" t="n">
        <x:v>17926.6841703095</x:v>
      </x:c>
      <x:c r="F25" s="62" t="n">
        <x:v>0</x:v>
      </x:c>
      <x:c r="G25" s="66" t="n">
        <x:v>1</x:v>
      </x:c>
      <x:c r="H25" s="62" t="n">
        <x:f>IF(E25=0,"",I25/E25)</x:f>
        <x:v>1763.618035212752</x:v>
      </x:c>
      <x:c r="I25" s="60" t="n">
        <x:f>SUMIF('Species'!$G$2:$G$230,A25,'Species'!$U$2:$U$230)</x:f>
        <x:v>31615823.514320783</x:v>
      </x:c>
      <x:c r="J25" s="62" t="n">
        <x:v>3.4935812809149023</x:v>
      </x:c>
      <x:c r="K25" s="62" t="n">
        <x:f>IF(J25="","",(1/'Metadata'!$B$5)^(J25-1))</x:f>
        <x:v>1754.7855241438724</x:v>
      </x:c>
      <x:c r="L25" s="60" t="n">
        <x:f>IF(E25=0,"",E25*K25)</x:f>
        <x:v>31457485.87795822</x:v>
      </x:c>
      <x:c r="M25" s="60" t="n">
        <x:f>I25-L25</x:f>
        <x:v>158337.63636256382</x:v>
      </x:c>
      <x:c r="N25" s="62" t="n">
        <x:f>IF(L25=0,"",I25/L25)</x:f>
        <x:v>1.0050333849620674</x:v>
      </x:c>
      <x:c r="O25" s="66" t="n">
        <x:f>IF(L25=0,"",M25/L25)</x:f>
        <x:v>0.0050333849620674415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a2690c29eda4e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LME_049</x:v>
      </x:c>
      <x:c r="B2" s="46" t="str">
        <x:v>raw_filtered_tonnes</x:v>
      </x:c>
      <x:c r="C2" s="46" t="n">
        <x:v>3090456.2651244747</x:v>
      </x:c>
      <x:c r="D2" s="46" t="str">
        <x:v>tonnes</x:v>
      </x:c>
    </x:row>
    <x:row r="3" ht="18" customHeight="1">
      <x:c r="A3" s="46" t="str">
        <x:v>LME_049</x:v>
      </x:c>
      <x:c r="B3" s="46" t="str">
        <x:v>species_catch_tonnes</x:v>
      </x:c>
      <x:c r="C3" s="46" t="n">
        <x:v>3090456.265124474</x:v>
      </x:c>
      <x:c r="D3" s="46" t="str">
        <x:v>tonnes</x:v>
      </x:c>
    </x:row>
    <x:row r="4" ht="18" customHeight="1">
      <x:c r="A4" s="46" t="str">
        <x:v>LME_049</x:v>
      </x:c>
      <x:c r="B4" s="46" t="str">
        <x:v>catch_difference_tonnes</x:v>
      </x:c>
      <x:c r="C4" s="46" t="n">
        <x:v>-4.656612873077393e-10</x:v>
      </x:c>
      <x:c r="D4" s="46" t="str">
        <x:v>tonnes</x:v>
      </x:c>
    </x:row>
    <x:row r="5" ht="18" customHeight="1">
      <x:c r="A5" s="46" t="str">
        <x:v>LME_049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LME_049</x:v>
      </x:c>
      <x:c r="B6" s="46" t="str">
        <x:v>matched_catch_tonnes</x:v>
      </x:c>
      <x:c r="C6" s="46" t="n">
        <x:v>3090456.265124474</x:v>
      </x:c>
      <x:c r="D6" s="46" t="str">
        <x:v>tonnes</x:v>
      </x:c>
    </x:row>
    <x:row r="7" ht="18" customHeight="1">
      <x:c r="A7" s="46" t="str">
        <x:v>LME_049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LME_049</x:v>
      </x:c>
      <x:c r="B8" s="46" t="str">
        <x:v>taxa_count</x:v>
      </x:c>
      <x:c r="C8" s="46" t="n">
        <x:v>229</x:v>
      </x:c>
      <x:c r="D8" s="46" t="str">
        <x:v>count</x:v>
      </x:c>
    </x:row>
    <x:row r="9" ht="18" customHeight="1">
      <x:c r="A9" s="46" t="str">
        <x:v>LME_049</x:v>
      </x:c>
      <x:c r="B9" s="46" t="str">
        <x:v>matched_taxa_count</x:v>
      </x:c>
      <x:c r="C9" s="46" t="n">
        <x:v>229</x:v>
      </x:c>
      <x:c r="D9" s="46" t="str">
        <x:v>count</x:v>
      </x:c>
    </x:row>
    <x:row r="10" ht="18" customHeight="1">
      <x:c r="A10" s="46" t="str">
        <x:v>LME_049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LME_049</x:v>
      </x:c>
      <x:c r="B11" s="46" t="str">
        <x:v>species_ppr</x:v>
      </x:c>
      <x:c r="C11" s="46" t="n">
        <x:v>14318260216.38025</x:v>
      </x:c>
      <x:c r="D11" s="46" t="str">
        <x:v>tonnes_primary_production_equivalent</x:v>
      </x:c>
    </x:row>
    <x:row r="12" ht="18" customHeight="1">
      <x:c r="A12" s="46" t="str">
        <x:v>LME_049</x:v>
      </x:c>
      <x:c r="B12" s="46" t="str">
        <x:v>commercial_ppr</x:v>
      </x:c>
      <x:c r="C12" s="46" t="n">
        <x:v>14318260216.380255</x:v>
      </x:c>
      <x:c r="D12" s="46" t="str">
        <x:v>tonnes_primary_production_equivalent</x:v>
      </x:c>
    </x:row>
    <x:row r="13" ht="18" customHeight="1">
      <x:c r="A13" s="46" t="str">
        <x:v>LME_049</x:v>
      </x:c>
      <x:c r="B13" s="46" t="str">
        <x:v>functional_ppr</x:v>
      </x:c>
      <x:c r="C13" s="46" t="n">
        <x:v>14318260216.380249</x:v>
      </x:c>
      <x:c r="D13" s="46" t="str">
        <x:v>tonnes_primary_production_equivalent</x:v>
      </x:c>
    </x:row>
    <x:row r="14" ht="18" customHeight="1">
      <x:c r="A14" s="46" t="str">
        <x:v>LME_049</x:v>
      </x:c>
      <x:c r="B14" s="46" t="str">
        <x:v>commercial_ppr_difference</x:v>
      </x:c>
      <x:c r="C14" s="46" t="n">
        <x:v>0.000003814697265625</x:v>
      </x:c>
      <x:c r="D14" s="46" t="str">
        <x:v>tonnes_primary_production_equivalent</x:v>
      </x:c>
    </x:row>
    <x:row r="15" ht="18" customHeight="1">
      <x:c r="A15" s="46" t="str">
        <x:v>LME_049</x:v>
      </x:c>
      <x:c r="B15" s="46" t="str">
        <x:v>functional_ppr_difference</x:v>
      </x:c>
      <x:c r="C15" s="46" t="n">
        <x:v>-0.0000019073486328125</x:v>
      </x:c>
      <x:c r="D15" s="46" t="str">
        <x:v>tonnes_primary_production_equivalent</x:v>
      </x:c>
    </x:row>
    <x:row r="16" ht="18" customHeight="1">
      <x:c r="A16" s="46" t="str">
        <x:v>LME_049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6cbed1763214d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LME_049 - Kuroshio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